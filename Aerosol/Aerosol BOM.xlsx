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2" autoFilterDateGrouping="1"/>
  </bookViews>
  <sheets>
    <sheet xmlns:r="http://schemas.openxmlformats.org/officeDocument/2006/relationships" name="Theoretical BOM" sheetId="1" state="visible" r:id="rId1"/>
    <sheet xmlns:r="http://schemas.openxmlformats.org/officeDocument/2006/relationships" name="Required Spec for BOM" sheetId="2" state="visible" r:id="rId2"/>
    <sheet xmlns:r="http://schemas.openxmlformats.org/officeDocument/2006/relationships" name="Req. Calculator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0.000"/>
    <numFmt numFmtId="165" formatCode="#,##0.0"/>
    <numFmt numFmtId="166" formatCode="#,##0.000"/>
    <numFmt numFmtId="167" formatCode="_(* #,##0.00_);_(* \(#,##0.00\);_(* \-??_);_(@_)"/>
  </numFmts>
  <fonts count="13">
    <font>
      <name val="Calibri"/>
      <charset val="1"/>
      <family val="2"/>
      <color theme="1"/>
      <sz val="11"/>
    </font>
    <font>
      <name val="Calibri"/>
      <charset val="1"/>
      <family val="2"/>
      <b val="1"/>
      <color theme="1"/>
      <sz val="11"/>
    </font>
    <font>
      <name val="Segoe UI"/>
      <charset val="1"/>
      <family val="2"/>
      <b val="1"/>
      <color rgb="FFFFFFFF"/>
      <sz val="14"/>
    </font>
    <font>
      <name val="Segoe UI"/>
      <charset val="1"/>
      <family val="2"/>
      <b val="1"/>
      <color rgb="FFFFFFFF"/>
      <sz val="10"/>
    </font>
    <font>
      <name val="Segoe UI"/>
      <charset val="1"/>
      <family val="2"/>
      <color rgb="FF000000"/>
      <sz val="9"/>
    </font>
    <font>
      <name val="Calibri"/>
      <charset val="1"/>
      <family val="2"/>
      <color theme="1"/>
      <sz val="11"/>
    </font>
    <font>
      <name val="Segoe UI"/>
      <family val="2"/>
      <b val="1"/>
      <sz val="10"/>
    </font>
    <font>
      <name val="Segoe UI"/>
      <family val="2"/>
      <b val="1"/>
      <sz val="12"/>
    </font>
    <font>
      <name val="Segoe UI"/>
      <family val="2"/>
      <i val="1"/>
      <sz val="9"/>
    </font>
    <font>
      <name val="Segoe UI"/>
      <family val="2"/>
      <sz val="10"/>
    </font>
    <font>
      <name val="Segoe UI"/>
      <family val="2"/>
      <b val="1"/>
      <color theme="0"/>
      <sz val="10"/>
    </font>
    <font>
      <name val="Calibri"/>
      <charset val="1"/>
      <family val="2"/>
      <color theme="0"/>
      <sz val="11"/>
    </font>
    <font>
      <name val="Segoe UI"/>
      <family val="2"/>
      <b val="1"/>
      <color theme="0"/>
      <sz val="14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4D8F"/>
        <bgColor rgb="FF1F3864"/>
      </patternFill>
    </fill>
    <fill>
      <patternFill patternType="solid">
        <fgColor rgb="FFD6E4F7"/>
        <bgColor rgb="FFE2EFDA"/>
      </patternFill>
    </fill>
    <fill>
      <patternFill patternType="solid">
        <fgColor rgb="FFFFF2CC"/>
        <bgColor rgb="FFF2F2F2"/>
      </patternFill>
    </fill>
  </fills>
  <borders count="19">
    <border>
      <left/>
      <right/>
      <top/>
      <bottom/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medium">
        <color rgb="FFFFC000"/>
      </top>
      <bottom/>
      <diagonal/>
    </border>
    <border>
      <left/>
      <right/>
      <top style="thin">
        <color rgb="FFB8CCE4"/>
      </top>
      <bottom/>
      <diagonal/>
    </border>
  </borders>
  <cellStyleXfs count="9">
    <xf numFmtId="0" fontId="5" fillId="0" borderId="0"/>
    <xf numFmtId="167" fontId="5" fillId="0" borderId="0"/>
    <xf numFmtId="0" fontId="5" fillId="0" borderId="0"/>
    <xf numFmtId="0" fontId="5" fillId="0" borderId="0" applyAlignment="1">
      <alignment horizontal="left"/>
    </xf>
    <xf numFmtId="0" fontId="5" fillId="0" borderId="0"/>
    <xf numFmtId="0" fontId="5" fillId="0" borderId="0"/>
    <xf numFmtId="0" fontId="1" fillId="0" borderId="0"/>
    <xf numFmtId="0" fontId="1" fillId="0" borderId="0" applyAlignment="1">
      <alignment horizontal="left"/>
    </xf>
    <xf numFmtId="0" fontId="5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8" applyAlignment="1" pivotButton="0" quotePrefix="0" xfId="0">
      <alignment horizontal="left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left" vertical="center" wrapText="1"/>
    </xf>
    <xf numFmtId="0" fontId="0" fillId="0" borderId="5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3" applyAlignment="1" pivotButton="0" quotePrefix="0" xfId="0">
      <alignment horizontal="left"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4" fillId="0" borderId="5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9" fontId="4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center"/>
    </xf>
    <xf numFmtId="0" fontId="10" fillId="3" borderId="6" applyAlignment="1" pivotButton="0" quotePrefix="0" xfId="0">
      <alignment horizontal="center" vertical="center" wrapText="1"/>
    </xf>
    <xf numFmtId="0" fontId="11" fillId="0" borderId="0" pivotButton="0" quotePrefix="0" xfId="0"/>
    <xf numFmtId="165" fontId="10" fillId="3" borderId="6" applyAlignment="1" pivotButton="0" quotePrefix="0" xfId="0">
      <alignment horizontal="center" vertical="center"/>
    </xf>
    <xf numFmtId="166" fontId="10" fillId="3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left"/>
    </xf>
    <xf numFmtId="0" fontId="0" fillId="0" borderId="7" pivotButton="0" quotePrefix="0" xfId="0"/>
    <xf numFmtId="3" fontId="7" fillId="5" borderId="2" applyAlignment="1" pivotButton="0" quotePrefix="0" xfId="0">
      <alignment horizontal="center" vertical="center"/>
    </xf>
    <xf numFmtId="0" fontId="0" fillId="0" borderId="4" pivotButton="0" quotePrefix="0" xfId="0"/>
    <xf numFmtId="0" fontId="8" fillId="4" borderId="1" applyAlignment="1" pivotButton="0" quotePrefix="0" xfId="0">
      <alignment horizontal="left" vertical="center"/>
    </xf>
    <xf numFmtId="0" fontId="0" fillId="0" borderId="3" pivotButton="0" quotePrefix="0" xfId="0"/>
    <xf numFmtId="0" fontId="12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4" borderId="1" applyAlignment="1" pivotButton="0" quotePrefix="0" xfId="0">
      <alignment horizontal="right" vertical="center" indent="1"/>
    </xf>
    <xf numFmtId="0" fontId="10" fillId="3" borderId="1" applyAlignment="1" pivotButton="0" quotePrefix="0" xfId="0">
      <alignment horizontal="right" vertical="center" indent="1"/>
    </xf>
    <xf numFmtId="0" fontId="9" fillId="0" borderId="16" applyAlignment="1" pivotButton="0" quotePrefix="0" xfId="0">
      <alignment horizontal="center"/>
    </xf>
    <xf numFmtId="0" fontId="9" fillId="0" borderId="16" applyAlignment="1" pivotButton="0" quotePrefix="0" xfId="0">
      <alignment horizontal="left"/>
    </xf>
    <xf numFmtId="164" fontId="9" fillId="0" borderId="16" applyAlignment="1" pivotButton="0" quotePrefix="0" xfId="0">
      <alignment horizontal="center"/>
    </xf>
    <xf numFmtId="9" fontId="9" fillId="0" borderId="16" applyAlignment="1" pivotButton="0" quotePrefix="0" xfId="0">
      <alignment horizontal="center"/>
    </xf>
    <xf numFmtId="165" fontId="9" fillId="0" borderId="16" applyAlignment="1" pivotButton="0" quotePrefix="0" xfId="0">
      <alignment horizontal="left"/>
    </xf>
    <xf numFmtId="166" fontId="9" fillId="0" borderId="16" applyAlignment="1" pivotButton="0" quotePrefix="0" xfId="0">
      <alignment horizontal="left"/>
    </xf>
  </cellXfs>
  <cellStyles count="9">
    <cellStyle name="Normal" xfId="0" builtinId="0"/>
    <cellStyle name="Comma 2" xfId="1"/>
    <cellStyle name="Normal 2" xfId="2"/>
    <cellStyle name="Pivot Table Category" xfId="3"/>
    <cellStyle name="Pivot Table Corner" xfId="4"/>
    <cellStyle name="Pivot Table Field" xfId="5"/>
    <cellStyle name="Pivot Table Result" xfId="6"/>
    <cellStyle name="Pivot Table Title" xfId="7"/>
    <cellStyle name="Pivot Table Value" xfId="8"/>
  </cellStyles>
  <dxfs count="8">
    <dxf>
      <alignment horizontal="general" vertical="center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wrapText="1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center" wrapText="1"/>
    </dxf>
    <dxf>
      <border>
        <bottom style="thin">
          <color indexed="64"/>
        </bottom>
      </border>
    </dxf>
    <dxf>
      <font>
        <name val="Calibri"/>
        <charset val="1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EEF4FC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2EFDA"/>
      <rgbColor rgb="FFF2F2F2"/>
      <rgbColor rgb="FF99CCFF"/>
      <rgbColor rgb="FFFF99CC"/>
      <rgbColor rgb="FFCC99FF"/>
      <rgbColor rgb="FFF2F7FF"/>
      <rgbColor rgb="FF3366FF"/>
      <rgbColor rgb="FF33CCCC"/>
      <rgbColor rgb="FF99CC00"/>
      <rgbColor rgb="FFFFC000"/>
      <rgbColor rgb="FFFF9900"/>
      <rgbColor rgb="FFFF6600"/>
      <rgbColor rgb="FF5A5A5A"/>
      <rgbColor rgb="FF969696"/>
      <rgbColor rgb="FF1F3864"/>
      <rgbColor rgb="FF339966"/>
      <rgbColor rgb="FF003300"/>
      <rgbColor rgb="FF333300"/>
      <rgbColor rgb="FF993300"/>
      <rgbColor rgb="FF993366"/>
      <rgbColor rgb="FF2E4D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2" displayName="Table2" ref="A1:C19" headerRowCount="1" totalsRowShown="0" headerRowDxfId="7" dataDxfId="5" headerRowBorderDxfId="6" tableBorderDxfId="4" totalsRowBorderDxfId="3">
  <autoFilter ref="A1:C19"/>
  <tableColumns count="3">
    <tableColumn id="1" name="Sr.No" dataDxfId="2"/>
    <tableColumn id="3" name="Parameter" dataDxfId="1"/>
    <tableColumn id="2" name="Standard Specific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topLeftCell="C1" workbookViewId="0">
      <selection activeCell="J13" sqref="J13"/>
    </sheetView>
  </sheetViews>
  <sheetFormatPr baseColWidth="8" defaultRowHeight="15"/>
  <cols>
    <col hidden="1" width="7.28515625" customWidth="1" style="29" min="1" max="1"/>
    <col hidden="1" width="7.85546875" customWidth="1" style="29" min="2" max="2"/>
    <col width="16.42578125" customWidth="1" style="29" min="3" max="3"/>
    <col width="16.85546875" customWidth="1" style="29" min="4" max="4"/>
    <col width="4.28515625" customWidth="1" style="29" min="5" max="5"/>
    <col width="14.42578125" customWidth="1" style="29" min="6" max="6"/>
    <col width="10" customWidth="1" style="29" min="7" max="7"/>
    <col width="45" customWidth="1" style="29" min="8" max="8"/>
    <col width="6" customWidth="1" style="29" min="9" max="9"/>
    <col width="8.5703125" customWidth="1" style="29" min="10" max="10"/>
    <col width="10" customWidth="1" style="29" min="11" max="12"/>
    <col width="40" customWidth="1" style="29" min="13" max="13"/>
    <col width="60" bestFit="1" customWidth="1" style="1" min="14" max="14"/>
  </cols>
  <sheetData>
    <row r="1" ht="20.25" customHeight="1" s="29">
      <c r="A1" s="22" t="inlineStr">
        <is>
          <t xml:space="preserve"> AEROSOL BILL OF MATERIALS — Customer-Specific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</row>
    <row r="2" ht="32.25" customHeight="1" s="29">
      <c r="A2" s="2" t="inlineStr">
        <is>
          <t>P.ID</t>
        </is>
      </c>
      <c r="B2" s="2" t="inlineStr">
        <is>
          <t>BOM ID</t>
        </is>
      </c>
      <c r="C2" s="2" t="inlineStr">
        <is>
          <t>Customer</t>
        </is>
      </c>
      <c r="D2" s="2" t="inlineStr">
        <is>
          <t>Product Name</t>
        </is>
      </c>
      <c r="E2" s="2" t="inlineStr">
        <is>
          <t>Dia</t>
        </is>
      </c>
      <c r="F2" s="2" t="inlineStr">
        <is>
          <t>Material Group</t>
        </is>
      </c>
      <c r="G2" s="2" t="inlineStr">
        <is>
          <t>Item ID</t>
        </is>
      </c>
      <c r="H2" s="2" t="inlineStr">
        <is>
          <t>Item Name</t>
        </is>
      </c>
      <c r="I2" s="2" t="inlineStr">
        <is>
          <t>UOM</t>
        </is>
      </c>
      <c r="J2" s="2" t="inlineStr">
        <is>
          <t>Net Qty / 1000</t>
        </is>
      </c>
      <c r="K2" s="2" t="inlineStr">
        <is>
          <t>Waste + Tolerance</t>
        </is>
      </c>
      <c r="L2" s="2" t="inlineStr">
        <is>
          <t>Gross Qty / 1000</t>
        </is>
      </c>
      <c r="M2" s="2" t="inlineStr">
        <is>
          <t>Remarks</t>
        </is>
      </c>
      <c r="N2" s="2" t="inlineStr">
        <is>
          <t>Calculations</t>
        </is>
      </c>
    </row>
    <row r="3" ht="15" customHeight="1" s="29">
      <c r="A3" s="14" t="n">
        <v>9001</v>
      </c>
      <c r="B3" s="14" t="n">
        <v>100</v>
      </c>
      <c r="C3" s="14" t="inlineStr">
        <is>
          <t>Aerosol Customer</t>
        </is>
      </c>
      <c r="D3" s="14" t="inlineStr">
        <is>
          <t>Aerosol Can 45mm</t>
        </is>
      </c>
      <c r="E3" s="14" t="n">
        <v>45</v>
      </c>
      <c r="F3" s="14" t="inlineStr">
        <is>
          <t>Aluminum Slugs</t>
        </is>
      </c>
      <c r="G3" s="14" t="n">
        <v>501</v>
      </c>
      <c r="H3" s="17" t="inlineStr">
        <is>
          <t>45mm Aluminum Slug</t>
        </is>
      </c>
      <c r="I3" s="14" t="inlineStr">
        <is>
          <t>kg</t>
        </is>
      </c>
      <c r="J3" s="15" t="n">
        <v>20</v>
      </c>
      <c r="K3" s="16" t="n">
        <v>0.1</v>
      </c>
      <c r="L3" s="15">
        <f>J3/(1-K3)</f>
        <v/>
      </c>
      <c r="M3" s="17" t="inlineStr">
        <is>
          <t>Aluminum disc pressed into can shape. 20g per slug. 100% solid, nothing evaporates.</t>
        </is>
      </c>
      <c r="N3" s="17" t="inlineStr">
        <is>
          <t>Slug weight per can × 1000. Fixed material input.</t>
        </is>
      </c>
    </row>
    <row r="4" ht="15" customHeight="1" s="29">
      <c r="A4" s="14" t="n">
        <v>9001</v>
      </c>
      <c r="B4" s="14" t="n">
        <v>100</v>
      </c>
      <c r="C4" s="14" t="inlineStr">
        <is>
          <t>Aerosol Customer</t>
        </is>
      </c>
      <c r="D4" s="14" t="inlineStr">
        <is>
          <t>Aerosol Can 45mm</t>
        </is>
      </c>
      <c r="E4" s="14" t="n">
        <v>45</v>
      </c>
      <c r="F4" s="14" t="inlineStr">
        <is>
          <t>Lubricant</t>
        </is>
      </c>
      <c r="G4" s="14" t="n">
        <v>502</v>
      </c>
      <c r="H4" s="17" t="inlineStr">
        <is>
          <t>SAPILUB LUBRIMET GR8</t>
        </is>
      </c>
      <c r="I4" s="14" t="inlineStr">
        <is>
          <t>kg</t>
        </is>
      </c>
      <c r="J4" s="15" t="n">
        <v>0.021</v>
      </c>
      <c r="K4" s="16" t="n">
        <v>0.1</v>
      </c>
      <c r="L4" s="15">
        <f>J4/(1-K4)</f>
        <v/>
      </c>
      <c r="M4" s="17" t="inlineStr">
        <is>
          <t>Slug lubricant. TDS: 105g per 100kg slugs. Burns off during wash, none stays on can.</t>
        </is>
      </c>
      <c r="N4" s="17" t="inlineStr">
        <is>
          <t>105g per 100kg slugs × 20kg slugs/1000 = 0.021 kg/1000. (Ref: LUBRIMET GR8 TDS)</t>
        </is>
      </c>
    </row>
    <row r="5" ht="15" customHeight="1" s="29">
      <c r="A5" s="14" t="n">
        <v>9001</v>
      </c>
      <c r="B5" s="14" t="n">
        <v>100</v>
      </c>
      <c r="C5" s="14" t="inlineStr">
        <is>
          <t>Aerosol Customer</t>
        </is>
      </c>
      <c r="D5" s="14" t="inlineStr">
        <is>
          <t>Aerosol Can 45mm</t>
        </is>
      </c>
      <c r="E5" s="14" t="n">
        <v>45</v>
      </c>
      <c r="F5" s="14" t="inlineStr">
        <is>
          <t>Cleaner</t>
        </is>
      </c>
      <c r="G5" s="14" t="n">
        <v>503</v>
      </c>
      <c r="H5" s="17" t="inlineStr">
        <is>
          <t>SAPILUB ALULIQUID 13</t>
        </is>
      </c>
      <c r="I5" s="14" t="inlineStr">
        <is>
          <t>kg</t>
        </is>
      </c>
      <c r="J5" s="15" t="n">
        <v>5</v>
      </c>
      <c r="K5" s="16" t="n">
        <v>0.1</v>
      </c>
      <c r="L5" s="15">
        <f>J5/(1-K5)</f>
        <v/>
      </c>
      <c r="M5" s="17" t="inlineStr">
        <is>
          <t>Post-press wash chemical. No TDS rate; 5 kg/1000 is empirical. Fully drains off.</t>
        </is>
      </c>
      <c r="N5" s="17" t="inlineStr">
        <is>
          <t>Empirical / supplier recommendation. No TDS rate available.</t>
        </is>
      </c>
    </row>
    <row r="6" ht="15" customHeight="1" s="29">
      <c r="A6" s="14" t="n">
        <v>9001</v>
      </c>
      <c r="B6" s="14" t="n">
        <v>100</v>
      </c>
      <c r="C6" s="14" t="inlineStr">
        <is>
          <t>Aerosol Customer</t>
        </is>
      </c>
      <c r="D6" s="14" t="inlineStr">
        <is>
          <t>Aerosol Can 45mm</t>
        </is>
      </c>
      <c r="E6" s="14" t="n">
        <v>45</v>
      </c>
      <c r="F6" s="14" t="inlineStr">
        <is>
          <t>Lacquer</t>
        </is>
      </c>
      <c r="G6" s="14" t="n">
        <v>504</v>
      </c>
      <c r="H6" s="17" t="inlineStr">
        <is>
          <t>SCHEKOSOL INT PROT Gold (400 9 901)</t>
        </is>
      </c>
      <c r="I6" s="14" t="inlineStr">
        <is>
          <t>kg</t>
        </is>
      </c>
      <c r="J6" s="15" t="n">
        <v>1.045</v>
      </c>
      <c r="K6" s="16" t="n">
        <v>0.35</v>
      </c>
      <c r="L6" s="15">
        <f>J6/(1-K6)</f>
        <v/>
      </c>
      <c r="M6" s="17" t="inlineStr">
        <is>
          <t>Internal spray lacquer. TDS: 36% solid, 64% evaporates. Wet film 44 g/m2 (high-end). ~0.38g stays, ~0.67g evaporates per can. BOM uses full wet weight.</t>
        </is>
      </c>
      <c r="N6" s="17" t="inlineStr">
        <is>
          <t>Can inner surface area (0.02375 m²) × High-end TDS wet film (44.0 g/m²) = 1.045 g/can = 1.045 kg/1000</t>
        </is>
      </c>
    </row>
    <row r="7">
      <c r="A7" s="14" t="n">
        <v>9001</v>
      </c>
      <c r="B7" s="14" t="n">
        <v>100</v>
      </c>
      <c r="C7" s="14" t="inlineStr">
        <is>
          <t>Aerosol Customer</t>
        </is>
      </c>
      <c r="D7" s="14" t="inlineStr">
        <is>
          <t>Aerosol Can 45mm</t>
        </is>
      </c>
      <c r="E7" s="14" t="n">
        <v>45</v>
      </c>
      <c r="F7" s="14" t="inlineStr">
        <is>
          <t>Lacquer</t>
        </is>
      </c>
      <c r="G7" s="14" t="n">
        <v>505</v>
      </c>
      <c r="H7" s="17" t="inlineStr">
        <is>
          <t>SCHEKOSOL INT BEIGE (400 4 902)</t>
        </is>
      </c>
      <c r="I7" s="14" t="inlineStr">
        <is>
          <t>kg</t>
        </is>
      </c>
      <c r="J7" s="15" t="n">
        <v>1.14</v>
      </c>
      <c r="K7" s="16" t="n">
        <v>0.35</v>
      </c>
      <c r="L7" s="15">
        <f>J7/(1-K7)</f>
        <v/>
      </c>
      <c r="M7" s="17" t="inlineStr">
        <is>
          <t>Internal spray lacquer. TDS: 38% solid, 62% evaporates. Wet film 48 g/m2 (high-end). ~0.43g stays, ~0.71g evaporates per can. BOM uses full wet weight.</t>
        </is>
      </c>
      <c r="N7" s="17" t="inlineStr">
        <is>
          <t>Can inner surface area (0.02375 m²) × High-end TDS wet film (48.0 g/m²) = 1.140 g/can = 1.140 kg/1000</t>
        </is>
      </c>
    </row>
    <row r="8" ht="15" customHeight="1" s="29">
      <c r="A8" s="14" t="n">
        <v>9001</v>
      </c>
      <c r="B8" s="14" t="n">
        <v>100</v>
      </c>
      <c r="C8" s="14" t="inlineStr">
        <is>
          <t>Aerosol Customer</t>
        </is>
      </c>
      <c r="D8" s="14" t="inlineStr">
        <is>
          <t>Aerosol Can 45mm</t>
        </is>
      </c>
      <c r="E8" s="14" t="n">
        <v>45</v>
      </c>
      <c r="F8" s="14" t="inlineStr">
        <is>
          <t>Base Coat</t>
        </is>
      </c>
      <c r="G8" s="14" t="n">
        <v>506</v>
      </c>
      <c r="H8" s="17" t="inlineStr">
        <is>
          <t>SCHEKOSOL WH BC (422 0 903)</t>
        </is>
      </c>
      <c r="I8" s="14" t="inlineStr">
        <is>
          <t>kg</t>
        </is>
      </c>
      <c r="J8" s="15" t="n">
        <v>0.973</v>
      </c>
      <c r="K8" s="16" t="n">
        <v>0.1</v>
      </c>
      <c r="L8" s="15">
        <f>J8/(1-K8)</f>
        <v/>
      </c>
      <c r="M8" s="17" t="inlineStr">
        <is>
          <t>External roller base coat. TDS: 71% solid, 29% evaporates. Wet film 43 g/m2 (high-end). ~0.69g stays, ~0.28g evaporates per can. BOM uses full wet weight.</t>
        </is>
      </c>
      <c r="N8" s="17" t="inlineStr">
        <is>
          <t>Can outer surface area (0.02262 m²) × High-end TDS wet film (43.0 g/m²) = 0.973 g/can = 0.973 kg/1000</t>
        </is>
      </c>
    </row>
    <row r="9">
      <c r="A9" s="14" t="n">
        <v>9001</v>
      </c>
      <c r="B9" s="14" t="n">
        <v>100</v>
      </c>
      <c r="C9" s="14" t="inlineStr">
        <is>
          <t>Aerosol Customer</t>
        </is>
      </c>
      <c r="D9" s="14" t="inlineStr">
        <is>
          <t>Aerosol Can 45mm</t>
        </is>
      </c>
      <c r="E9" s="14" t="n">
        <v>45</v>
      </c>
      <c r="F9" s="14" t="inlineStr">
        <is>
          <t>Base Coat</t>
        </is>
      </c>
      <c r="G9" s="14" t="n">
        <v>507</v>
      </c>
      <c r="H9" s="17" t="inlineStr">
        <is>
          <t>SCHEKOSOL CLEAR BC (422 9 918)</t>
        </is>
      </c>
      <c r="I9" s="14" t="inlineStr">
        <is>
          <t>kg</t>
        </is>
      </c>
      <c r="J9" s="15" t="n">
        <v>0.701</v>
      </c>
      <c r="K9" s="16" t="n">
        <v>0.1</v>
      </c>
      <c r="L9" s="15">
        <f>J9/(1-K9)</f>
        <v/>
      </c>
      <c r="M9" s="17" t="inlineStr">
        <is>
          <t>External roller base coat. TDS: 51% solid, 49% evaporates. Wet film 31 g/m2 (high-end). ~0.36g stays, ~0.34g evaporates per can. BOM uses full wet weight.</t>
        </is>
      </c>
      <c r="N9" s="17" t="inlineStr">
        <is>
          <t>Can outer surface area (0.02262 m²) × High-end TDS wet film (31.0 g/m²) = 0.701 g/can = 0.701 kg/1000</t>
        </is>
      </c>
    </row>
    <row r="10" ht="15" customHeight="1" s="29">
      <c r="A10" s="14" t="n">
        <v>9001</v>
      </c>
      <c r="B10" s="14" t="n">
        <v>100</v>
      </c>
      <c r="C10" s="14" t="inlineStr">
        <is>
          <t>Aerosol Customer</t>
        </is>
      </c>
      <c r="D10" s="14" t="inlineStr">
        <is>
          <t>Aerosol Can 45mm</t>
        </is>
      </c>
      <c r="E10" s="14" t="n">
        <v>45</v>
      </c>
      <c r="F10" s="14" t="inlineStr">
        <is>
          <t>Varnish</t>
        </is>
      </c>
      <c r="G10" s="14" t="n">
        <v>508</v>
      </c>
      <c r="H10" s="17" t="inlineStr">
        <is>
          <t>SCHEKOSOL OPV GLOSSY (422 9 900)</t>
        </is>
      </c>
      <c r="I10" s="14" t="inlineStr">
        <is>
          <t>kg</t>
        </is>
      </c>
      <c r="J10" s="15" t="n">
        <v>0.43</v>
      </c>
      <c r="K10" s="16" t="n">
        <v>0.1</v>
      </c>
      <c r="L10" s="15">
        <f>J10/(1-K10)</f>
        <v/>
      </c>
      <c r="M10" s="17" t="inlineStr">
        <is>
          <t>External roller varnish. TDS: 43% solid, 57% evaporates. Wet film 19 g/m2 (high-end). ~0.18g stays, ~0.25g evaporates per can. BOM uses full wet weight.</t>
        </is>
      </c>
      <c r="N10" s="17" t="inlineStr">
        <is>
          <t>Can outer surface area (0.02262 m²) × High-end TDS wet film (19.0 g/m²) = 0.430 g/can = 0.430 kg/1000</t>
        </is>
      </c>
    </row>
    <row r="11" ht="15" customHeight="1" s="29">
      <c r="A11" s="14" t="n">
        <v>9001</v>
      </c>
      <c r="B11" s="14" t="n">
        <v>100</v>
      </c>
      <c r="C11" s="14" t="inlineStr">
        <is>
          <t>Aerosol Customer</t>
        </is>
      </c>
      <c r="D11" s="14" t="inlineStr">
        <is>
          <t>Aerosol Can 45mm</t>
        </is>
      </c>
      <c r="E11" s="14" t="n">
        <v>45</v>
      </c>
      <c r="F11" s="14" t="inlineStr">
        <is>
          <t>Varnish</t>
        </is>
      </c>
      <c r="G11" s="14" t="n">
        <v>509</v>
      </c>
      <c r="H11" s="17" t="inlineStr">
        <is>
          <t>SCHEKOSOL OPV SILKMATT (422 9 903)</t>
        </is>
      </c>
      <c r="I11" s="14" t="inlineStr">
        <is>
          <t>kg</t>
        </is>
      </c>
      <c r="J11" s="15" t="n">
        <v>0.385</v>
      </c>
      <c r="K11" s="16" t="n">
        <v>0.1</v>
      </c>
      <c r="L11" s="15">
        <f>J11/(1-K11)</f>
        <v/>
      </c>
      <c r="M11" s="17" t="inlineStr">
        <is>
          <t>External roller varnish. TDS: 47% solid, 53% evaporates. Wet film 17 g/m2 (high-end). ~0.18g stays, ~0.20g evaporates per can. BOM uses full wet weight.</t>
        </is>
      </c>
      <c r="N11" s="17" t="inlineStr">
        <is>
          <t>Can outer surface area (0.02262 m²) × High-end TDS wet film (17.0 g/m²) = 0.385 g/can = 0.385 kg/1000</t>
        </is>
      </c>
    </row>
    <row r="12">
      <c r="A12" s="14" t="n">
        <v>9001</v>
      </c>
      <c r="B12" s="14" t="n">
        <v>100</v>
      </c>
      <c r="C12" s="14" t="inlineStr">
        <is>
          <t>Aerosol Customer</t>
        </is>
      </c>
      <c r="D12" s="14" t="inlineStr">
        <is>
          <t>Aerosol Can 45mm</t>
        </is>
      </c>
      <c r="E12" s="14" t="n">
        <v>45</v>
      </c>
      <c r="F12" s="14" t="inlineStr">
        <is>
          <t>Ink</t>
        </is>
      </c>
      <c r="G12" s="14" t="n">
        <v>510</v>
      </c>
      <c r="H12" s="17" t="inlineStr">
        <is>
          <t>SunAltec MB PLUS 169766 OPAQUE WHITE</t>
        </is>
      </c>
      <c r="I12" s="14" t="inlineStr">
        <is>
          <t>kg</t>
        </is>
      </c>
      <c r="J12" s="15" t="n">
        <v>0.28</v>
      </c>
      <c r="K12" s="16" t="n">
        <v>0.1</v>
      </c>
      <c r="L12" s="15">
        <f>J12/(1-K12)</f>
        <v/>
      </c>
      <c r="M12" s="17" t="inlineStr">
        <is>
          <t>UV ink, ~100% solid (cures under UV, no solvent). ~0.28g per can per color. Usage varies by design.</t>
        </is>
      </c>
      <c r="N12" s="17" t="inlineStr">
        <is>
          <t>Dry-offset ink per print station per can ≈ 0.28 g/can = 0.280 kg/1000.</t>
        </is>
      </c>
    </row>
    <row r="13">
      <c r="A13" s="14" t="n">
        <v>9001</v>
      </c>
      <c r="B13" s="14" t="n">
        <v>100</v>
      </c>
      <c r="C13" s="14" t="inlineStr">
        <is>
          <t>Aerosol Customer</t>
        </is>
      </c>
      <c r="D13" s="14" t="inlineStr">
        <is>
          <t>Aerosol Can 45mm</t>
        </is>
      </c>
      <c r="E13" s="14" t="n">
        <v>45</v>
      </c>
      <c r="F13" s="14" t="inlineStr">
        <is>
          <t>Ink</t>
        </is>
      </c>
      <c r="G13" s="14" t="n">
        <v>599</v>
      </c>
      <c r="H13" s="17" t="inlineStr">
        <is>
          <t>11069 UV INK YELLOW (168391) AEROSOL</t>
        </is>
      </c>
      <c r="I13" s="14" t="inlineStr">
        <is>
          <t>kg</t>
        </is>
      </c>
      <c r="J13" s="15" t="n">
        <v>0.28</v>
      </c>
      <c r="K13" s="16" t="n">
        <v>0.1</v>
      </c>
      <c r="L13" s="15">
        <f>J13/(1-K13)</f>
        <v/>
      </c>
      <c r="M13" s="17" t="inlineStr">
        <is>
          <t>UV ink, ~100% solid (cures under UV, no solvent). ~0.28g per can per color. Usage varies by design.</t>
        </is>
      </c>
      <c r="N13" s="17" t="inlineStr">
        <is>
          <t>Dry-offset ink per print station per can ≈ 0.28 g/can = 0.280 kg/1000.</t>
        </is>
      </c>
    </row>
    <row r="14">
      <c r="A14" s="14" t="n">
        <v>9001</v>
      </c>
      <c r="B14" s="14" t="n">
        <v>100</v>
      </c>
      <c r="C14" s="14" t="inlineStr">
        <is>
          <t>Aerosol Customer</t>
        </is>
      </c>
      <c r="D14" s="14" t="inlineStr">
        <is>
          <t>Aerosol Can 45mm</t>
        </is>
      </c>
      <c r="E14" s="14" t="n">
        <v>45</v>
      </c>
      <c r="F14" s="14" t="inlineStr">
        <is>
          <t>Ink</t>
        </is>
      </c>
      <c r="G14" s="14" t="n">
        <v>600</v>
      </c>
      <c r="H14" s="17" t="inlineStr">
        <is>
          <t>11070 UV INK MAGENTA (168396) AEROSOL</t>
        </is>
      </c>
      <c r="I14" s="14" t="inlineStr">
        <is>
          <t>kg</t>
        </is>
      </c>
      <c r="J14" s="15" t="n">
        <v>0.28</v>
      </c>
      <c r="K14" s="16" t="n">
        <v>0.1</v>
      </c>
      <c r="L14" s="15">
        <f>J14/(1-K14)</f>
        <v/>
      </c>
      <c r="M14" s="17" t="inlineStr">
        <is>
          <t>UV ink, ~100% solid (cures under UV, no solvent). ~0.28g per can per color. Usage varies by design.</t>
        </is>
      </c>
      <c r="N14" s="17" t="inlineStr">
        <is>
          <t>Dry-offset ink per print station per can ≈ 0.28 g/can = 0.280 kg/1000.</t>
        </is>
      </c>
    </row>
    <row r="15">
      <c r="A15" s="14" t="n">
        <v>9001</v>
      </c>
      <c r="B15" s="14" t="n">
        <v>100</v>
      </c>
      <c r="C15" s="14" t="inlineStr">
        <is>
          <t>Aerosol Customer</t>
        </is>
      </c>
      <c r="D15" s="14" t="inlineStr">
        <is>
          <t>Aerosol Can 45mm</t>
        </is>
      </c>
      <c r="E15" s="14" t="n">
        <v>45</v>
      </c>
      <c r="F15" s="14" t="inlineStr">
        <is>
          <t>Ink</t>
        </is>
      </c>
      <c r="G15" s="14" t="n">
        <v>601</v>
      </c>
      <c r="H15" s="17" t="inlineStr">
        <is>
          <t>11071 UV INK BLACK (401295) AEROSOL</t>
        </is>
      </c>
      <c r="I15" s="14" t="inlineStr">
        <is>
          <t>kg</t>
        </is>
      </c>
      <c r="J15" s="15" t="n">
        <v>0.28</v>
      </c>
      <c r="K15" s="16" t="n">
        <v>0.1</v>
      </c>
      <c r="L15" s="15">
        <f>J15/(1-K15)</f>
        <v/>
      </c>
      <c r="M15" s="17" t="inlineStr">
        <is>
          <t>UV ink, ~100% solid (cures under UV, no solvent). ~0.28g per can per color. Usage varies by design.</t>
        </is>
      </c>
      <c r="N15" s="17" t="inlineStr">
        <is>
          <t>Dry-offset ink per print station per can ≈ 0.28 g/can = 0.280 kg/1000.</t>
        </is>
      </c>
    </row>
    <row r="16">
      <c r="A16" s="14" t="n">
        <v>9001</v>
      </c>
      <c r="B16" s="14" t="n">
        <v>100</v>
      </c>
      <c r="C16" s="14" t="inlineStr">
        <is>
          <t>Aerosol Customer</t>
        </is>
      </c>
      <c r="D16" s="14" t="inlineStr">
        <is>
          <t>Aerosol Can 45mm</t>
        </is>
      </c>
      <c r="E16" s="14" t="n">
        <v>45</v>
      </c>
      <c r="F16" s="14" t="inlineStr">
        <is>
          <t>Ink</t>
        </is>
      </c>
      <c r="G16" s="14" t="n">
        <v>602</v>
      </c>
      <c r="H16" s="17" t="inlineStr">
        <is>
          <t>11072 UV INK TRANSPARENT WHITE (169167) AEROSOL</t>
        </is>
      </c>
      <c r="I16" s="14" t="inlineStr">
        <is>
          <t>kg</t>
        </is>
      </c>
      <c r="J16" s="15" t="n">
        <v>0.28</v>
      </c>
      <c r="K16" s="16" t="n">
        <v>0.1</v>
      </c>
      <c r="L16" s="15">
        <f>J16/(1-K16)</f>
        <v/>
      </c>
      <c r="M16" s="17" t="inlineStr">
        <is>
          <t>UV ink, ~100% solid (cures under UV, no solvent). ~0.28g per can per color. Usage varies by design.</t>
        </is>
      </c>
      <c r="N16" s="17" t="inlineStr">
        <is>
          <t>Dry-offset ink per print station per can ≈ 0.28 g/can = 0.280 kg/1000.</t>
        </is>
      </c>
    </row>
    <row r="17">
      <c r="A17" s="14" t="n">
        <v>9001</v>
      </c>
      <c r="B17" s="14" t="n">
        <v>100</v>
      </c>
      <c r="C17" s="14" t="inlineStr">
        <is>
          <t>Aerosol Customer</t>
        </is>
      </c>
      <c r="D17" s="14" t="inlineStr">
        <is>
          <t>Aerosol Can 45mm</t>
        </is>
      </c>
      <c r="E17" s="14" t="n">
        <v>45</v>
      </c>
      <c r="F17" s="14" t="inlineStr">
        <is>
          <t>Ink</t>
        </is>
      </c>
      <c r="G17" s="14" t="n">
        <v>603</v>
      </c>
      <c r="H17" s="17" t="inlineStr">
        <is>
          <t>11065 UV INK REFLEX BLUE (168402) AEROSOL</t>
        </is>
      </c>
      <c r="I17" s="14" t="inlineStr">
        <is>
          <t>kg</t>
        </is>
      </c>
      <c r="J17" s="15" t="n">
        <v>0.28</v>
      </c>
      <c r="K17" s="16" t="n">
        <v>0.1</v>
      </c>
      <c r="L17" s="15">
        <f>J17/(1-K17)</f>
        <v/>
      </c>
      <c r="M17" s="17" t="inlineStr">
        <is>
          <t>UV ink, ~100% solid (cures under UV, no solvent). ~0.28g per can per color. Usage varies by design.</t>
        </is>
      </c>
      <c r="N17" s="17" t="inlineStr">
        <is>
          <t>Dry-offset ink per print station per can ≈ 0.28 g/can = 0.280 kg/1000.</t>
        </is>
      </c>
    </row>
    <row r="18">
      <c r="A18" s="14" t="n">
        <v>9001</v>
      </c>
      <c r="B18" s="14" t="n">
        <v>100</v>
      </c>
      <c r="C18" s="14" t="inlineStr">
        <is>
          <t>Aerosol Customer</t>
        </is>
      </c>
      <c r="D18" s="14" t="inlineStr">
        <is>
          <t>Aerosol Can 45mm</t>
        </is>
      </c>
      <c r="E18" s="14" t="n">
        <v>45</v>
      </c>
      <c r="F18" s="14" t="inlineStr">
        <is>
          <t>Ink</t>
        </is>
      </c>
      <c r="G18" s="14" t="n">
        <v>604</v>
      </c>
      <c r="H18" s="17" t="inlineStr">
        <is>
          <t>11066 UV INK RHODAMINE (168397) AEROSOL</t>
        </is>
      </c>
      <c r="I18" s="14" t="inlineStr">
        <is>
          <t>kg</t>
        </is>
      </c>
      <c r="J18" s="15" t="n">
        <v>0.28</v>
      </c>
      <c r="K18" s="16" t="n">
        <v>0.1</v>
      </c>
      <c r="L18" s="15">
        <f>J18/(1-K18)</f>
        <v/>
      </c>
      <c r="M18" s="17" t="inlineStr">
        <is>
          <t>UV ink, ~100% solid (cures under UV, no solvent). ~0.28g per can per color. Usage varies by design.</t>
        </is>
      </c>
      <c r="N18" s="17" t="inlineStr">
        <is>
          <t>Dry-offset ink per print station per can ≈ 0.28 g/can = 0.280 kg/1000.</t>
        </is>
      </c>
    </row>
    <row r="19">
      <c r="A19" s="14" t="n">
        <v>9001</v>
      </c>
      <c r="B19" s="14" t="n">
        <v>100</v>
      </c>
      <c r="C19" s="14" t="inlineStr">
        <is>
          <t>Aerosol Customer</t>
        </is>
      </c>
      <c r="D19" s="14" t="inlineStr">
        <is>
          <t>Aerosol Can 45mm</t>
        </is>
      </c>
      <c r="E19" s="14" t="n">
        <v>45</v>
      </c>
      <c r="F19" s="14" t="inlineStr">
        <is>
          <t>Ink</t>
        </is>
      </c>
      <c r="G19" s="14" t="n">
        <v>605</v>
      </c>
      <c r="H19" s="17" t="inlineStr">
        <is>
          <t>11067 UV INK PURPLE (168398) AEROSOL</t>
        </is>
      </c>
      <c r="I19" s="14" t="inlineStr">
        <is>
          <t>kg</t>
        </is>
      </c>
      <c r="J19" s="15" t="n">
        <v>0.28</v>
      </c>
      <c r="K19" s="16" t="n">
        <v>0.1</v>
      </c>
      <c r="L19" s="15">
        <f>J19/(1-K19)</f>
        <v/>
      </c>
      <c r="M19" s="17" t="inlineStr">
        <is>
          <t>UV ink, ~100% solid (cures under UV, no solvent). ~0.28g per can per color. Usage varies by design.</t>
        </is>
      </c>
      <c r="N19" s="17" t="inlineStr">
        <is>
          <t>Dry-offset ink per print station per can ≈ 0.28 g/can = 0.280 kg/1000.</t>
        </is>
      </c>
    </row>
    <row r="20">
      <c r="A20" s="14" t="n">
        <v>9001</v>
      </c>
      <c r="B20" s="14" t="n">
        <v>100</v>
      </c>
      <c r="C20" s="14" t="inlineStr">
        <is>
          <t>Aerosol Customer</t>
        </is>
      </c>
      <c r="D20" s="14" t="inlineStr">
        <is>
          <t>Aerosol Can 45mm</t>
        </is>
      </c>
      <c r="E20" s="14" t="n">
        <v>45</v>
      </c>
      <c r="F20" s="14" t="inlineStr">
        <is>
          <t>Ink</t>
        </is>
      </c>
      <c r="G20" s="14" t="n">
        <v>606</v>
      </c>
      <c r="H20" s="17" t="inlineStr">
        <is>
          <t>11068 UV INK VIOLET (168399) AEROSOL</t>
        </is>
      </c>
      <c r="I20" s="14" t="inlineStr">
        <is>
          <t>kg</t>
        </is>
      </c>
      <c r="J20" s="15" t="n">
        <v>0.28</v>
      </c>
      <c r="K20" s="16" t="n">
        <v>0.1</v>
      </c>
      <c r="L20" s="15">
        <f>J20/(1-K20)</f>
        <v/>
      </c>
      <c r="M20" s="17" t="inlineStr">
        <is>
          <t>UV ink, ~100% solid (cures under UV, no solvent). ~0.28g per can per color. Usage varies by design.</t>
        </is>
      </c>
      <c r="N20" s="17" t="inlineStr">
        <is>
          <t>Dry-offset ink per print station per can ≈ 0.28 g/can = 0.280 kg/1000.</t>
        </is>
      </c>
    </row>
    <row r="21">
      <c r="A21" s="14" t="n">
        <v>9001</v>
      </c>
      <c r="B21" s="14" t="n">
        <v>100</v>
      </c>
      <c r="C21" s="14" t="inlineStr">
        <is>
          <t>Aerosol Customer</t>
        </is>
      </c>
      <c r="D21" s="14" t="inlineStr">
        <is>
          <t>Aerosol Can 45mm</t>
        </is>
      </c>
      <c r="E21" s="14" t="n">
        <v>45</v>
      </c>
      <c r="F21" s="14" t="inlineStr">
        <is>
          <t>Ink</t>
        </is>
      </c>
      <c r="G21" s="14" t="n">
        <v>607</v>
      </c>
      <c r="H21" s="17" t="inlineStr">
        <is>
          <t>11074 UV INK RED 032 (156358/CF01) AEROSOL</t>
        </is>
      </c>
      <c r="I21" s="14" t="inlineStr">
        <is>
          <t>kg</t>
        </is>
      </c>
      <c r="J21" s="15" t="n">
        <v>0.28</v>
      </c>
      <c r="K21" s="16" t="n">
        <v>0.1</v>
      </c>
      <c r="L21" s="15">
        <f>J21/(1-K21)</f>
        <v/>
      </c>
      <c r="M21" s="17" t="inlineStr">
        <is>
          <t>UV ink, ~100% solid (cures under UV, no solvent). ~0.28g per can per color. Usage varies by design.</t>
        </is>
      </c>
      <c r="N21" s="17" t="inlineStr">
        <is>
          <t>Dry-offset ink per print station per can ≈ 0.28 g/can = 0.280 kg/1000.</t>
        </is>
      </c>
    </row>
    <row r="22">
      <c r="A22" s="14" t="n">
        <v>9001</v>
      </c>
      <c r="B22" s="14" t="n">
        <v>100</v>
      </c>
      <c r="C22" s="14" t="inlineStr">
        <is>
          <t>Aerosol Customer</t>
        </is>
      </c>
      <c r="D22" s="14" t="inlineStr">
        <is>
          <t>Aerosol Can 45mm</t>
        </is>
      </c>
      <c r="E22" s="14" t="n">
        <v>45</v>
      </c>
      <c r="F22" s="14" t="inlineStr">
        <is>
          <t>Ink</t>
        </is>
      </c>
      <c r="G22" s="14" t="n">
        <v>608</v>
      </c>
      <c r="H22" s="17" t="inlineStr">
        <is>
          <t>11073 UV INK CYAN (168400) AEROSOL</t>
        </is>
      </c>
      <c r="I22" s="14" t="inlineStr">
        <is>
          <t>kg</t>
        </is>
      </c>
      <c r="J22" s="15" t="n">
        <v>0.28</v>
      </c>
      <c r="K22" s="16" t="n">
        <v>0.1</v>
      </c>
      <c r="L22" s="15">
        <f>J22/(1-K22)</f>
        <v/>
      </c>
      <c r="M22" s="17" t="inlineStr">
        <is>
          <t>UV ink, ~100% solid (cures under UV, no solvent). ~0.28g per can per color. Usage varies by design.</t>
        </is>
      </c>
      <c r="N22" s="17" t="inlineStr">
        <is>
          <t>Dry-offset ink per print station per can ≈ 0.28 g/can = 0.280 kg/1000.</t>
        </is>
      </c>
    </row>
    <row r="23">
      <c r="A23" s="14" t="n">
        <v>9001</v>
      </c>
      <c r="B23" s="14" t="n">
        <v>100</v>
      </c>
      <c r="C23" s="14" t="inlineStr">
        <is>
          <t>Aerosol Customer</t>
        </is>
      </c>
      <c r="D23" s="14" t="inlineStr">
        <is>
          <t>Aerosol Can 45mm</t>
        </is>
      </c>
      <c r="E23" s="14" t="n">
        <v>45</v>
      </c>
      <c r="F23" s="14" t="inlineStr">
        <is>
          <t>Ink</t>
        </is>
      </c>
      <c r="G23" s="14" t="n">
        <v>609</v>
      </c>
      <c r="H23" s="17" t="inlineStr">
        <is>
          <t>11075 UV INK OPAQUE WHITE (400050) AEROSOL</t>
        </is>
      </c>
      <c r="I23" s="14" t="inlineStr">
        <is>
          <t>kg</t>
        </is>
      </c>
      <c r="J23" s="15" t="n">
        <v>0.28</v>
      </c>
      <c r="K23" s="16" t="n">
        <v>0.1</v>
      </c>
      <c r="L23" s="15">
        <f>J23/(1-K23)</f>
        <v/>
      </c>
      <c r="M23" s="17" t="inlineStr">
        <is>
          <t>UV ink, ~100% solid (cures under UV, no solvent). ~0.28g per can per color. Usage varies by design.</t>
        </is>
      </c>
      <c r="N23" s="17" t="inlineStr">
        <is>
          <t>Dry-offset ink per print station per can ≈ 0.28 g/can = 0.280 kg/1000.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E24" sqref="E24"/>
    </sheetView>
  </sheetViews>
  <sheetFormatPr baseColWidth="8" defaultRowHeight="15"/>
  <cols>
    <col width="7.85546875" bestFit="1" customWidth="1" style="1" min="1" max="1"/>
    <col width="18.5703125" bestFit="1" customWidth="1" style="29" min="2" max="2"/>
    <col width="25.7109375" bestFit="1" customWidth="1" style="29" min="3" max="3"/>
  </cols>
  <sheetData>
    <row r="1">
      <c r="A1" s="4" t="inlineStr">
        <is>
          <t>Sr.No</t>
        </is>
      </c>
      <c r="B1" s="5" t="inlineStr">
        <is>
          <t>Parameter</t>
        </is>
      </c>
      <c r="C1" s="6" t="inlineStr">
        <is>
          <t>Standard Specification</t>
        </is>
      </c>
    </row>
    <row r="2">
      <c r="A2" s="7" t="n">
        <v>1</v>
      </c>
      <c r="B2" s="8" t="inlineStr">
        <is>
          <t>Can Type</t>
        </is>
      </c>
      <c r="C2" s="9" t="inlineStr">
        <is>
          <t>Necked-in or Straight Wall</t>
        </is>
      </c>
    </row>
    <row r="3">
      <c r="A3" s="7">
        <f>A2+1</f>
        <v/>
      </c>
      <c r="B3" s="8" t="inlineStr">
        <is>
          <t>Can Diameter</t>
        </is>
      </c>
      <c r="C3" s="9" t="inlineStr">
        <is>
          <t>mm</t>
        </is>
      </c>
    </row>
    <row r="4">
      <c r="A4" s="7">
        <f>A3+1</f>
        <v/>
      </c>
      <c r="B4" s="8" t="inlineStr">
        <is>
          <t>Can Height</t>
        </is>
      </c>
      <c r="C4" s="9" t="inlineStr">
        <is>
          <t>mm</t>
        </is>
      </c>
    </row>
    <row r="5">
      <c r="A5" s="7">
        <f>A4+1</f>
        <v/>
      </c>
      <c r="B5" s="8" t="inlineStr">
        <is>
          <t>Neck Opening</t>
        </is>
      </c>
      <c r="C5" s="9" t="inlineStr">
        <is>
          <t>mm</t>
        </is>
      </c>
    </row>
    <row r="6">
      <c r="A6" s="7">
        <f>A5+1</f>
        <v/>
      </c>
      <c r="B6" s="8" t="inlineStr">
        <is>
          <t>Wall Thickness</t>
        </is>
      </c>
      <c r="C6" s="9" t="inlineStr">
        <is>
          <t>mm</t>
        </is>
      </c>
    </row>
    <row r="7">
      <c r="A7" s="7">
        <f>A6+1</f>
        <v/>
      </c>
      <c r="B7" s="8" t="inlineStr">
        <is>
          <t>Cone Thickness</t>
        </is>
      </c>
      <c r="C7" s="9" t="inlineStr">
        <is>
          <t>mm</t>
        </is>
      </c>
    </row>
    <row r="8">
      <c r="A8" s="7">
        <f>A7+1</f>
        <v/>
      </c>
      <c r="B8" s="8" t="inlineStr">
        <is>
          <t>Dome Thickness</t>
        </is>
      </c>
      <c r="C8" s="9" t="inlineStr">
        <is>
          <t>mm</t>
        </is>
      </c>
    </row>
    <row r="9">
      <c r="A9" s="7">
        <f>A8+1</f>
        <v/>
      </c>
      <c r="B9" s="8" t="inlineStr">
        <is>
          <t>Bottom Type</t>
        </is>
      </c>
      <c r="C9" s="9" t="inlineStr">
        <is>
          <t>Dome</t>
        </is>
      </c>
    </row>
    <row r="10">
      <c r="A10" s="7">
        <f>A9+1</f>
        <v/>
      </c>
      <c r="B10" s="10" t="inlineStr">
        <is>
          <t>Brimful Capacity</t>
        </is>
      </c>
      <c r="C10" s="9" t="inlineStr">
        <is>
          <t>ML</t>
        </is>
      </c>
    </row>
    <row r="11">
      <c r="A11" s="7">
        <f>A10+1</f>
        <v/>
      </c>
      <c r="B11" s="8" t="inlineStr">
        <is>
          <t>Can weight</t>
        </is>
      </c>
      <c r="C11" s="9" t="inlineStr">
        <is>
          <t>gm</t>
        </is>
      </c>
    </row>
    <row r="12" ht="30" customHeight="1" s="29">
      <c r="A12" s="7">
        <f>A11+1</f>
        <v/>
      </c>
      <c r="B12" s="8" t="inlineStr">
        <is>
          <t>Quantity per Pallet/Carton</t>
        </is>
      </c>
      <c r="C12" s="9" t="inlineStr">
        <is>
          <t>pcs</t>
        </is>
      </c>
    </row>
    <row r="13" ht="30" customHeight="1" s="29">
      <c r="A13" s="7">
        <f>A12+1</f>
        <v/>
      </c>
      <c r="B13" s="8" t="inlineStr">
        <is>
          <t>Internal Coating Type</t>
        </is>
      </c>
      <c r="C13" s="9" t="inlineStr">
        <is>
          <t xml:space="preserve">BEIGE Epoxy-phenolic, Gold lacquer </t>
        </is>
      </c>
    </row>
    <row r="14" ht="30" customHeight="1" s="29">
      <c r="A14" s="7">
        <f>A13+1</f>
        <v/>
      </c>
      <c r="B14" s="8" t="inlineStr">
        <is>
          <t>Base Coat Color</t>
        </is>
      </c>
      <c r="C14" s="9" t="inlineStr">
        <is>
          <t>White/ Golden/Any other color</t>
        </is>
      </c>
    </row>
    <row r="15">
      <c r="A15" s="7">
        <f>A14+1</f>
        <v/>
      </c>
      <c r="B15" s="8" t="inlineStr">
        <is>
          <t>Printing</t>
        </is>
      </c>
      <c r="C15" s="9" t="inlineStr">
        <is>
          <t>CMYK, Pantone colors</t>
        </is>
      </c>
    </row>
    <row r="16">
      <c r="A16" s="7">
        <f>A15+1</f>
        <v/>
      </c>
      <c r="B16" s="8" t="inlineStr">
        <is>
          <t>No of Color</t>
        </is>
      </c>
      <c r="C16" s="9" t="inlineStr">
        <is>
          <t>1--7</t>
        </is>
      </c>
    </row>
    <row r="17">
      <c r="A17" s="7">
        <f>A16+1</f>
        <v/>
      </c>
      <c r="B17" s="8" t="inlineStr">
        <is>
          <t>External Finish</t>
        </is>
      </c>
      <c r="C17" s="9" t="inlineStr">
        <is>
          <t>Varnished / Non-Varnished</t>
        </is>
      </c>
    </row>
    <row r="18">
      <c r="A18" s="7">
        <f>A17+1</f>
        <v/>
      </c>
      <c r="B18" s="8" t="inlineStr">
        <is>
          <t>Varnish Type</t>
        </is>
      </c>
      <c r="C18" s="9" t="inlineStr">
        <is>
          <t>GLOSSY/SILKMATT</t>
        </is>
      </c>
      <c r="G18" s="3" t="n"/>
    </row>
    <row r="19">
      <c r="A19" s="11">
        <f>A18+1</f>
        <v/>
      </c>
      <c r="B19" s="12" t="inlineStr">
        <is>
          <t>Mode Of Packaging</t>
        </is>
      </c>
      <c r="C19" s="13" t="inlineStr">
        <is>
          <t>Pallet or Carton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tabSelected="1" workbookViewId="0">
      <selection activeCell="I9" sqref="I9"/>
    </sheetView>
  </sheetViews>
  <sheetFormatPr baseColWidth="8" defaultRowHeight="15"/>
  <cols>
    <col width="3" bestFit="1" customWidth="1" style="29" min="1" max="1"/>
    <col width="48.7109375" customWidth="1" style="29" min="2" max="2"/>
    <col width="15.140625" customWidth="1" style="29" min="3" max="3"/>
    <col width="6.42578125" customWidth="1" style="29" min="4" max="4"/>
    <col width="13.140625" customWidth="1" style="29" min="5" max="5"/>
    <col width="7.7109375" customWidth="1" style="29" min="6" max="6"/>
    <col width="13.42578125" customWidth="1" style="29" min="7" max="7"/>
    <col width="16.7109375" customWidth="1" style="29" min="8" max="8"/>
  </cols>
  <sheetData>
    <row r="1" ht="27.75" customHeight="1" s="29">
      <c r="A1" s="28" t="inlineStr">
        <is>
          <t>AEROSOL BILL OF MATERIALS — Material Requirement Calculator</t>
        </is>
      </c>
    </row>
    <row r="2" ht="25.5" customHeight="1" s="29">
      <c r="A2" s="30" t="inlineStr">
        <is>
          <t xml:space="preserve"> Target Production Qty (Cans):</t>
        </is>
      </c>
      <c r="B2" s="27" t="n"/>
      <c r="C2" s="27" t="n"/>
      <c r="D2" s="24" t="n">
        <v>750000</v>
      </c>
      <c r="E2" s="25" t="n"/>
      <c r="F2" s="26" t="n"/>
      <c r="G2" s="27" t="n"/>
      <c r="H2" s="27" t="n"/>
    </row>
    <row r="3" ht="30" customFormat="1" customHeight="1" s="19">
      <c r="A3" s="18" t="inlineStr">
        <is>
          <t>#</t>
        </is>
      </c>
      <c r="B3" s="18" t="inlineStr">
        <is>
          <t>Item Name</t>
        </is>
      </c>
      <c r="C3" s="18" t="inlineStr">
        <is>
          <t>Material Group</t>
        </is>
      </c>
      <c r="D3" s="18" t="inlineStr">
        <is>
          <t>UOM</t>
        </is>
      </c>
      <c r="E3" s="18" t="inlineStr">
        <is>
          <t>Per 1,000 Cans</t>
        </is>
      </c>
      <c r="F3" s="18" t="inlineStr">
        <is>
          <t>Waste %</t>
        </is>
      </c>
      <c r="G3" s="18" t="inlineStr">
        <is>
          <t>Net Required (kg)</t>
        </is>
      </c>
      <c r="H3" s="18" t="inlineStr">
        <is>
          <t>Net+Waste Gross Required (kg)</t>
        </is>
      </c>
    </row>
    <row r="4" ht="18" customHeight="1" s="29">
      <c r="A4" s="32" t="n">
        <v>1</v>
      </c>
      <c r="B4" s="33">
        <f>'Theoretical BOM'!H3</f>
        <v/>
      </c>
      <c r="C4" s="32">
        <f>'Theoretical BOM'!F3</f>
        <v/>
      </c>
      <c r="D4" s="32">
        <f>'Theoretical BOM'!I3</f>
        <v/>
      </c>
      <c r="E4" s="34">
        <f>'Theoretical BOM'!J3</f>
        <v/>
      </c>
      <c r="F4" s="35">
        <f>'Theoretical BOM'!K3</f>
        <v/>
      </c>
      <c r="G4" s="36">
        <f>(D$2/1000)*E4</f>
        <v/>
      </c>
      <c r="H4" s="37">
        <f>(D$2/1000)*'Theoretical BOM'!L3</f>
        <v/>
      </c>
    </row>
    <row r="5" ht="18" customHeight="1" s="29">
      <c r="A5" s="32" t="n">
        <v>2</v>
      </c>
      <c r="B5" s="33">
        <f>'Theoretical BOM'!H4</f>
        <v/>
      </c>
      <c r="C5" s="32">
        <f>'Theoretical BOM'!F4</f>
        <v/>
      </c>
      <c r="D5" s="32">
        <f>'Theoretical BOM'!I4</f>
        <v/>
      </c>
      <c r="E5" s="34">
        <f>'Theoretical BOM'!J4</f>
        <v/>
      </c>
      <c r="F5" s="35">
        <f>'Theoretical BOM'!K4</f>
        <v/>
      </c>
      <c r="G5" s="36">
        <f>(D$2/1000)*E5</f>
        <v/>
      </c>
      <c r="H5" s="37">
        <f>(D$2/1000)*'Theoretical BOM'!L4</f>
        <v/>
      </c>
    </row>
    <row r="6" ht="18" customHeight="1" s="29">
      <c r="A6" s="32" t="n">
        <v>3</v>
      </c>
      <c r="B6" s="33">
        <f>'Theoretical BOM'!H5</f>
        <v/>
      </c>
      <c r="C6" s="32">
        <f>'Theoretical BOM'!F5</f>
        <v/>
      </c>
      <c r="D6" s="32">
        <f>'Theoretical BOM'!I5</f>
        <v/>
      </c>
      <c r="E6" s="34">
        <f>'Theoretical BOM'!J5</f>
        <v/>
      </c>
      <c r="F6" s="35">
        <f>'Theoretical BOM'!K5</f>
        <v/>
      </c>
      <c r="G6" s="36">
        <f>(D$2/1000)*E6</f>
        <v/>
      </c>
      <c r="H6" s="37">
        <f>(D$2/1000)*'Theoretical BOM'!L5</f>
        <v/>
      </c>
    </row>
    <row r="7" ht="18" customHeight="1" s="29">
      <c r="A7" s="32" t="n">
        <v>4</v>
      </c>
      <c r="B7" s="33">
        <f>'Theoretical BOM'!H6</f>
        <v/>
      </c>
      <c r="C7" s="32">
        <f>'Theoretical BOM'!F6</f>
        <v/>
      </c>
      <c r="D7" s="32">
        <f>'Theoretical BOM'!I6</f>
        <v/>
      </c>
      <c r="E7" s="34">
        <f>'Theoretical BOM'!J6</f>
        <v/>
      </c>
      <c r="F7" s="35">
        <f>'Theoretical BOM'!K6</f>
        <v/>
      </c>
      <c r="G7" s="36">
        <f>(D$2/1000)*E7</f>
        <v/>
      </c>
      <c r="H7" s="37">
        <f>(D$2/1000)*'Theoretical BOM'!L6</f>
        <v/>
      </c>
    </row>
    <row r="8" ht="18" customHeight="1" s="29">
      <c r="A8" s="32" t="n">
        <v>5</v>
      </c>
      <c r="B8" s="33">
        <f>'Theoretical BOM'!H7</f>
        <v/>
      </c>
      <c r="C8" s="32">
        <f>'Theoretical BOM'!F7</f>
        <v/>
      </c>
      <c r="D8" s="32">
        <f>'Theoretical BOM'!I7</f>
        <v/>
      </c>
      <c r="E8" s="34">
        <f>'Theoretical BOM'!J7</f>
        <v/>
      </c>
      <c r="F8" s="35">
        <f>'Theoretical BOM'!K7</f>
        <v/>
      </c>
      <c r="G8" s="36">
        <f>(D$2/1000)*E8</f>
        <v/>
      </c>
      <c r="H8" s="37">
        <f>(D$2/1000)*'Theoretical BOM'!L7</f>
        <v/>
      </c>
    </row>
    <row r="9" ht="18" customHeight="1" s="29">
      <c r="A9" s="32" t="n">
        <v>6</v>
      </c>
      <c r="B9" s="33">
        <f>'Theoretical BOM'!H8</f>
        <v/>
      </c>
      <c r="C9" s="32">
        <f>'Theoretical BOM'!F8</f>
        <v/>
      </c>
      <c r="D9" s="32">
        <f>'Theoretical BOM'!I8</f>
        <v/>
      </c>
      <c r="E9" s="34">
        <f>'Theoretical BOM'!J8</f>
        <v/>
      </c>
      <c r="F9" s="35">
        <f>'Theoretical BOM'!K8</f>
        <v/>
      </c>
      <c r="G9" s="36">
        <f>(D$2/1000)*E9</f>
        <v/>
      </c>
      <c r="H9" s="37">
        <f>(D$2/1000)*'Theoretical BOM'!L8</f>
        <v/>
      </c>
    </row>
    <row r="10">
      <c r="A10" s="32" t="n">
        <v>7</v>
      </c>
      <c r="B10" s="33">
        <f>'Theoretical BOM'!H9</f>
        <v/>
      </c>
      <c r="C10" s="32">
        <f>'Theoretical BOM'!F9</f>
        <v/>
      </c>
      <c r="D10" s="32">
        <f>'Theoretical BOM'!I9</f>
        <v/>
      </c>
      <c r="E10" s="34">
        <f>'Theoretical BOM'!J9</f>
        <v/>
      </c>
      <c r="F10" s="35">
        <f>'Theoretical BOM'!K9</f>
        <v/>
      </c>
      <c r="G10" s="36">
        <f>(D$2/1000)*E10</f>
        <v/>
      </c>
      <c r="H10" s="37">
        <f>(D$2/1000)*'Theoretical BOM'!L9</f>
        <v/>
      </c>
    </row>
    <row r="11" ht="18" customHeight="1" s="29">
      <c r="A11" s="32" t="n">
        <v>8</v>
      </c>
      <c r="B11" s="33">
        <f>'Theoretical BOM'!H10</f>
        <v/>
      </c>
      <c r="C11" s="32">
        <f>'Theoretical BOM'!F10</f>
        <v/>
      </c>
      <c r="D11" s="32">
        <f>'Theoretical BOM'!I10</f>
        <v/>
      </c>
      <c r="E11" s="34">
        <f>'Theoretical BOM'!J10</f>
        <v/>
      </c>
      <c r="F11" s="35">
        <f>'Theoretical BOM'!K10</f>
        <v/>
      </c>
      <c r="G11" s="36">
        <f>(D$2/1000)*E11</f>
        <v/>
      </c>
      <c r="H11" s="37">
        <f>(D$2/1000)*'Theoretical BOM'!L10</f>
        <v/>
      </c>
    </row>
    <row r="12" ht="18" customHeight="1" s="29">
      <c r="A12" s="32" t="n">
        <v>9</v>
      </c>
      <c r="B12" s="33">
        <f>'Theoretical BOM'!H11</f>
        <v/>
      </c>
      <c r="C12" s="32">
        <f>'Theoretical BOM'!F11</f>
        <v/>
      </c>
      <c r="D12" s="32">
        <f>'Theoretical BOM'!I11</f>
        <v/>
      </c>
      <c r="E12" s="34">
        <f>'Theoretical BOM'!J11</f>
        <v/>
      </c>
      <c r="F12" s="35">
        <f>'Theoretical BOM'!K11</f>
        <v/>
      </c>
      <c r="G12" s="36">
        <f>(D$2/1000)*E12</f>
        <v/>
      </c>
      <c r="H12" s="37">
        <f>(D$2/1000)*'Theoretical BOM'!L11</f>
        <v/>
      </c>
    </row>
    <row r="13">
      <c r="A13" s="32" t="n">
        <v>10</v>
      </c>
      <c r="B13" s="33">
        <f>'Theoretical BOM'!H12</f>
        <v/>
      </c>
      <c r="C13" s="32">
        <f>'Theoretical BOM'!F12</f>
        <v/>
      </c>
      <c r="D13" s="32">
        <f>'Theoretical BOM'!I12</f>
        <v/>
      </c>
      <c r="E13" s="34">
        <f>'Theoretical BOM'!J12</f>
        <v/>
      </c>
      <c r="F13" s="35">
        <f>'Theoretical BOM'!K12</f>
        <v/>
      </c>
      <c r="G13" s="36">
        <f>(D$2/1000)*E13</f>
        <v/>
      </c>
      <c r="H13" s="37">
        <f>(D$2/1000)*'Theoretical BOM'!L12</f>
        <v/>
      </c>
    </row>
    <row r="14">
      <c r="A14" s="32" t="n">
        <v>11</v>
      </c>
      <c r="B14" s="33">
        <f>'Theoretical BOM'!H13</f>
        <v/>
      </c>
      <c r="C14" s="32">
        <f>'Theoretical BOM'!F13</f>
        <v/>
      </c>
      <c r="D14" s="32">
        <f>'Theoretical BOM'!I13</f>
        <v/>
      </c>
      <c r="E14" s="34">
        <f>'Theoretical BOM'!J13</f>
        <v/>
      </c>
      <c r="F14" s="35">
        <f>'Theoretical BOM'!K13</f>
        <v/>
      </c>
      <c r="G14" s="36">
        <f>(D$2/1000)*E14</f>
        <v/>
      </c>
      <c r="H14" s="37">
        <f>(D$2/1000)*'Theoretical BOM'!L13</f>
        <v/>
      </c>
    </row>
    <row r="15">
      <c r="A15" s="32" t="n">
        <v>12</v>
      </c>
      <c r="B15" s="33">
        <f>'Theoretical BOM'!H14</f>
        <v/>
      </c>
      <c r="C15" s="32">
        <f>'Theoretical BOM'!F14</f>
        <v/>
      </c>
      <c r="D15" s="32">
        <f>'Theoretical BOM'!I14</f>
        <v/>
      </c>
      <c r="E15" s="34">
        <f>'Theoretical BOM'!J14</f>
        <v/>
      </c>
      <c r="F15" s="35">
        <f>'Theoretical BOM'!K14</f>
        <v/>
      </c>
      <c r="G15" s="36">
        <f>(D$2/1000)*E15</f>
        <v/>
      </c>
      <c r="H15" s="37">
        <f>(D$2/1000)*'Theoretical BOM'!L14</f>
        <v/>
      </c>
    </row>
    <row r="16">
      <c r="A16" s="32" t="n">
        <v>13</v>
      </c>
      <c r="B16" s="33">
        <f>'Theoretical BOM'!H15</f>
        <v/>
      </c>
      <c r="C16" s="32">
        <f>'Theoretical BOM'!F15</f>
        <v/>
      </c>
      <c r="D16" s="32">
        <f>'Theoretical BOM'!I15</f>
        <v/>
      </c>
      <c r="E16" s="34">
        <f>'Theoretical BOM'!J15</f>
        <v/>
      </c>
      <c r="F16" s="35">
        <f>'Theoretical BOM'!K15</f>
        <v/>
      </c>
      <c r="G16" s="36">
        <f>(D$2/1000)*E16</f>
        <v/>
      </c>
      <c r="H16" s="37">
        <f>(D$2/1000)*'Theoretical BOM'!L15</f>
        <v/>
      </c>
    </row>
    <row r="17">
      <c r="A17" s="32" t="n">
        <v>14</v>
      </c>
      <c r="B17" s="33">
        <f>'Theoretical BOM'!H16</f>
        <v/>
      </c>
      <c r="C17" s="32">
        <f>'Theoretical BOM'!F16</f>
        <v/>
      </c>
      <c r="D17" s="32">
        <f>'Theoretical BOM'!I16</f>
        <v/>
      </c>
      <c r="E17" s="34">
        <f>'Theoretical BOM'!J16</f>
        <v/>
      </c>
      <c r="F17" s="35">
        <f>'Theoretical BOM'!K16</f>
        <v/>
      </c>
      <c r="G17" s="36">
        <f>(D$2/1000)*E17</f>
        <v/>
      </c>
      <c r="H17" s="37">
        <f>(D$2/1000)*'Theoretical BOM'!L16</f>
        <v/>
      </c>
    </row>
    <row r="18">
      <c r="A18" s="32" t="n">
        <v>15</v>
      </c>
      <c r="B18" s="33">
        <f>'Theoretical BOM'!H17</f>
        <v/>
      </c>
      <c r="C18" s="32">
        <f>'Theoretical BOM'!F17</f>
        <v/>
      </c>
      <c r="D18" s="32">
        <f>'Theoretical BOM'!I17</f>
        <v/>
      </c>
      <c r="E18" s="34">
        <f>'Theoretical BOM'!J17</f>
        <v/>
      </c>
      <c r="F18" s="35">
        <f>'Theoretical BOM'!K17</f>
        <v/>
      </c>
      <c r="G18" s="36">
        <f>(D$2/1000)*E18</f>
        <v/>
      </c>
      <c r="H18" s="37">
        <f>(D$2/1000)*'Theoretical BOM'!L17</f>
        <v/>
      </c>
    </row>
    <row r="19">
      <c r="A19" s="32" t="n">
        <v>16</v>
      </c>
      <c r="B19" s="33">
        <f>'Theoretical BOM'!H18</f>
        <v/>
      </c>
      <c r="C19" s="32">
        <f>'Theoretical BOM'!F18</f>
        <v/>
      </c>
      <c r="D19" s="32">
        <f>'Theoretical BOM'!I18</f>
        <v/>
      </c>
      <c r="E19" s="34">
        <f>'Theoretical BOM'!J18</f>
        <v/>
      </c>
      <c r="F19" s="35">
        <f>'Theoretical BOM'!K18</f>
        <v/>
      </c>
      <c r="G19" s="36">
        <f>(D$2/1000)*E19</f>
        <v/>
      </c>
      <c r="H19" s="37">
        <f>(D$2/1000)*'Theoretical BOM'!L18</f>
        <v/>
      </c>
    </row>
    <row r="20">
      <c r="A20" s="32" t="n">
        <v>17</v>
      </c>
      <c r="B20" s="33">
        <f>'Theoretical BOM'!H19</f>
        <v/>
      </c>
      <c r="C20" s="32">
        <f>'Theoretical BOM'!F19</f>
        <v/>
      </c>
      <c r="D20" s="32">
        <f>'Theoretical BOM'!I19</f>
        <v/>
      </c>
      <c r="E20" s="34">
        <f>'Theoretical BOM'!J19</f>
        <v/>
      </c>
      <c r="F20" s="35">
        <f>'Theoretical BOM'!K19</f>
        <v/>
      </c>
      <c r="G20" s="36">
        <f>(D$2/1000)*E20</f>
        <v/>
      </c>
      <c r="H20" s="37">
        <f>(D$2/1000)*'Theoretical BOM'!L19</f>
        <v/>
      </c>
    </row>
    <row r="21">
      <c r="A21" s="32" t="n">
        <v>18</v>
      </c>
      <c r="B21" s="33">
        <f>'Theoretical BOM'!H20</f>
        <v/>
      </c>
      <c r="C21" s="32">
        <f>'Theoretical BOM'!F20</f>
        <v/>
      </c>
      <c r="D21" s="32">
        <f>'Theoretical BOM'!I20</f>
        <v/>
      </c>
      <c r="E21" s="34">
        <f>'Theoretical BOM'!J20</f>
        <v/>
      </c>
      <c r="F21" s="35">
        <f>'Theoretical BOM'!K20</f>
        <v/>
      </c>
      <c r="G21" s="36">
        <f>(D$2/1000)*E21</f>
        <v/>
      </c>
      <c r="H21" s="37">
        <f>(D$2/1000)*'Theoretical BOM'!L20</f>
        <v/>
      </c>
    </row>
    <row r="22">
      <c r="A22" s="32" t="n">
        <v>19</v>
      </c>
      <c r="B22" s="33">
        <f>'Theoretical BOM'!H21</f>
        <v/>
      </c>
      <c r="C22" s="32">
        <f>'Theoretical BOM'!F21</f>
        <v/>
      </c>
      <c r="D22" s="32">
        <f>'Theoretical BOM'!I21</f>
        <v/>
      </c>
      <c r="E22" s="34">
        <f>'Theoretical BOM'!J21</f>
        <v/>
      </c>
      <c r="F22" s="35">
        <f>'Theoretical BOM'!K21</f>
        <v/>
      </c>
      <c r="G22" s="36">
        <f>(D$2/1000)*E22</f>
        <v/>
      </c>
      <c r="H22" s="37">
        <f>(D$2/1000)*'Theoretical BOM'!L21</f>
        <v/>
      </c>
    </row>
    <row r="23">
      <c r="A23" s="32" t="n">
        <v>20</v>
      </c>
      <c r="B23" s="33">
        <f>'Theoretical BOM'!H22</f>
        <v/>
      </c>
      <c r="C23" s="32">
        <f>'Theoretical BOM'!F22</f>
        <v/>
      </c>
      <c r="D23" s="32">
        <f>'Theoretical BOM'!I22</f>
        <v/>
      </c>
      <c r="E23" s="34">
        <f>'Theoretical BOM'!J22</f>
        <v/>
      </c>
      <c r="F23" s="35">
        <f>'Theoretical BOM'!K22</f>
        <v/>
      </c>
      <c r="G23" s="36">
        <f>(D$2/1000)*E23</f>
        <v/>
      </c>
      <c r="H23" s="37">
        <f>(D$2/1000)*'Theoretical BOM'!L22</f>
        <v/>
      </c>
    </row>
    <row r="24">
      <c r="A24" s="32" t="n">
        <v>21</v>
      </c>
      <c r="B24" s="33">
        <f>'Theoretical BOM'!H23</f>
        <v/>
      </c>
      <c r="C24" s="32">
        <f>'Theoretical BOM'!F23</f>
        <v/>
      </c>
      <c r="D24" s="32">
        <f>'Theoretical BOM'!I23</f>
        <v/>
      </c>
      <c r="E24" s="34">
        <f>'Theoretical BOM'!J23</f>
        <v/>
      </c>
      <c r="F24" s="35">
        <f>'Theoretical BOM'!K23</f>
        <v/>
      </c>
      <c r="G24" s="36">
        <f>(D$2/1000)*E24</f>
        <v/>
      </c>
      <c r="H24" s="37">
        <f>(D$2/1000)*'Theoretical BOM'!L23</f>
        <v/>
      </c>
    </row>
    <row r="25" customFormat="1" s="19">
      <c r="A25" s="31" t="inlineStr">
        <is>
          <t>TOTAL (all materials combined)</t>
        </is>
      </c>
      <c r="B25" s="27" t="n"/>
      <c r="C25" s="27" t="n"/>
      <c r="D25" s="27" t="n"/>
      <c r="E25" s="27" t="n"/>
      <c r="F25" s="27" t="n"/>
      <c r="G25" s="20">
        <f>SUM(G4:G24)</f>
        <v/>
      </c>
      <c r="H25" s="21">
        <f>SUM(H4:H24)</f>
        <v/>
      </c>
    </row>
  </sheetData>
  <mergeCells count="5">
    <mergeCell ref="D2:E2"/>
    <mergeCell ref="F2:H2"/>
    <mergeCell ref="A1:H1"/>
    <mergeCell ref="A2:C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Muhammad Sikander</dc:creator>
  <dc:title xmlns:dc="http://purl.org/dc/elements/1.1/">Alpha Containers Planning System v7.2</dc:title>
  <dc:description xmlns:dc="http://purl.org/dc/elements/1.1/">Production &amp; Inventory Planning System — Alpha Containers (Pvt.) Ltd</dc:description>
  <dc:subject xmlns:dc="http://purl.org/dc/elements/1.1/">Planning &amp; Supply Chain — Tubex / Aerosol Plants</dc:subject>
  <dc:language xmlns:dc="http://purl.org/dc/elements/1.1/">en-US</dc:language>
  <dcterms:created xmlns:dcterms="http://purl.org/dc/terms/" xmlns:xsi="http://www.w3.org/2001/XMLSchema-instance" xsi:type="dcterms:W3CDTF">2026-03-01T07:48:13Z</dcterms:created>
  <dcterms:modified xmlns:dcterms="http://purl.org/dc/terms/" xmlns:xsi="http://www.w3.org/2001/XMLSchema-instance" xsi:type="dcterms:W3CDTF">2026-08-19T07:09:53Z</dcterms:modified>
  <cp:lastModifiedBy>Sikander Shahjahan</cp:lastModifiedBy>
  <cp:category>Operations</cp:category>
  <cp:revision>37</cp:revision>
  <cp:keywords>production inventory planning procurement</cp:keywords>
</cp:coreProperties>
</file>