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E8CC2F9C-3436-42DA-9891-91824CB0B765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heoretical BOM" sheetId="1" r:id="rId1"/>
    <sheet name="Required Spec for BOM" sheetId="3" r:id="rId2"/>
    <sheet name="Req. Calculator" sheetId="2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G4" i="2"/>
  <c r="E4" i="2"/>
  <c r="K3" i="1"/>
  <c r="K4" i="1"/>
  <c r="G6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G8" i="2" s="1"/>
  <c r="D8" i="2"/>
  <c r="C8" i="2"/>
  <c r="B8" i="2"/>
  <c r="F7" i="2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D4" i="2"/>
  <c r="C4" i="2"/>
  <c r="B4" i="2"/>
  <c r="K12" i="1"/>
  <c r="K11" i="1"/>
  <c r="K10" i="1"/>
  <c r="K9" i="1"/>
  <c r="K8" i="1"/>
  <c r="K7" i="1"/>
  <c r="K6" i="1"/>
  <c r="K5" i="1"/>
  <c r="H13" i="2" l="1"/>
  <c r="G13" i="2"/>
  <c r="H12" i="2"/>
  <c r="G12" i="2"/>
  <c r="H11" i="2"/>
  <c r="G11" i="2"/>
  <c r="H10" i="2"/>
  <c r="G10" i="2"/>
  <c r="H9" i="2"/>
  <c r="G9" i="2"/>
  <c r="H8" i="2"/>
  <c r="H7" i="2"/>
  <c r="G7" i="2"/>
  <c r="H6" i="2"/>
  <c r="H5" i="2"/>
  <c r="G5" i="2"/>
  <c r="H4" i="2"/>
  <c r="G14" i="2" l="1"/>
  <c r="H14" i="2"/>
</calcChain>
</file>

<file path=xl/sharedStrings.xml><?xml version="1.0" encoding="utf-8"?>
<sst xmlns="http://schemas.openxmlformats.org/spreadsheetml/2006/main" count="121" uniqueCount="83">
  <si>
    <t xml:space="preserve"> AEROSOL BILL OF MATERIALS — Customer-Specific</t>
  </si>
  <si>
    <t>P.ID</t>
  </si>
  <si>
    <t>BOM ID</t>
  </si>
  <si>
    <t>Customer</t>
  </si>
  <si>
    <t>Product Name</t>
  </si>
  <si>
    <t>Dia</t>
  </si>
  <si>
    <t>Material Group</t>
  </si>
  <si>
    <t>Item Name</t>
  </si>
  <si>
    <t>UOM</t>
  </si>
  <si>
    <t>Net Qty / 1000</t>
  </si>
  <si>
    <t>Gross Qty / 1000</t>
  </si>
  <si>
    <t>Aerosol Customer</t>
  </si>
  <si>
    <t>Aerosol Can 45mm</t>
  </si>
  <si>
    <t>Aluminum Slugs</t>
  </si>
  <si>
    <t>45mm Aluminum Slug</t>
  </si>
  <si>
    <t>kg</t>
  </si>
  <si>
    <t>Lubricant</t>
  </si>
  <si>
    <t>SAPILUB LUBRIMET GR8</t>
  </si>
  <si>
    <t>Cleaner</t>
  </si>
  <si>
    <t>SAPILUB ALULIQUID 13</t>
  </si>
  <si>
    <t>Lacquer</t>
  </si>
  <si>
    <t>SCHEKOSOL INT PROT Gold (400 9 901)</t>
  </si>
  <si>
    <t>SCHEKOSOL INT BEIGE (400 4 902)</t>
  </si>
  <si>
    <t>Base Coat</t>
  </si>
  <si>
    <t>SCHEKOSOL WH BC (422 0 903)</t>
  </si>
  <si>
    <t>SCHEKOSOL CLEAR BC (422 9 918)</t>
  </si>
  <si>
    <t>Ink</t>
  </si>
  <si>
    <t>SunAltec MB PLUS 169766 OPAQUE WHITE</t>
  </si>
  <si>
    <t>Varnish</t>
  </si>
  <si>
    <t>SCHEKOSOL OPV GLOSSY (422 9 900)</t>
  </si>
  <si>
    <t>SCHEKOSOL OPV SILKMATT (422 9 903)</t>
  </si>
  <si>
    <t>AEROSOL BILL OF MATERIALS — Material Requirement Calculator</t>
  </si>
  <si>
    <t xml:space="preserve"> Target Production Qty (Cans):</t>
  </si>
  <si>
    <t>#</t>
  </si>
  <si>
    <t>Per 1,000 Cans</t>
  </si>
  <si>
    <t>Waste %</t>
  </si>
  <si>
    <t>Net Required (kg)</t>
  </si>
  <si>
    <t>TOTAL (all materials combined)</t>
  </si>
  <si>
    <t>Slug lubricant for press extrusion. (Ref: LUBRIMET GR8 TDS)</t>
  </si>
  <si>
    <t>Alkaline wash cleaner for extruded cans. (Ref: ALULIQUID 13 TDS)</t>
  </si>
  <si>
    <t>Internal protective gold lacquer. (Ref: TDS 400 9 901)</t>
  </si>
  <si>
    <t>Internal protective beige lacquer (alternative). (Ref: TDS 400 4 902)</t>
  </si>
  <si>
    <t>External white basecoat. (Ref: TDS 422 0 903)</t>
  </si>
  <si>
    <t>External clear basecoat (alternative). (Ref: TDS 422 9 918)</t>
  </si>
  <si>
    <t>Printing ink for can design. (Ref: SunAltec TDS)</t>
  </si>
  <si>
    <t>External glossy protective varnish. (Ref: TDS 422 9 900)</t>
  </si>
  <si>
    <t>Net+Waste Gross Required (kg)</t>
  </si>
  <si>
    <t>Remarks</t>
  </si>
  <si>
    <t>Waste + Tolerance</t>
  </si>
  <si>
    <t>Parameter</t>
  </si>
  <si>
    <t>Standard Specification</t>
  </si>
  <si>
    <t>Can Type</t>
  </si>
  <si>
    <t>Necked-in or Straight Wall</t>
  </si>
  <si>
    <t>Can Diameter</t>
  </si>
  <si>
    <t>Can Height</t>
  </si>
  <si>
    <t>Brimful Capacity</t>
  </si>
  <si>
    <t>Neck Opening</t>
  </si>
  <si>
    <t>External Finish</t>
  </si>
  <si>
    <t>Cone Thickness</t>
  </si>
  <si>
    <t>Dome Thickness</t>
  </si>
  <si>
    <t>Pallet or Carton</t>
  </si>
  <si>
    <t>mm</t>
  </si>
  <si>
    <t>Bottom Type</t>
  </si>
  <si>
    <t>Wall Thickness</t>
  </si>
  <si>
    <t>Printing</t>
  </si>
  <si>
    <t>CMYK, Pantone colors</t>
  </si>
  <si>
    <t>Base Coat Color</t>
  </si>
  <si>
    <t>White/ Golden/Any other color</t>
  </si>
  <si>
    <t>Internal Coating Type</t>
  </si>
  <si>
    <t>No of Color</t>
  </si>
  <si>
    <t>Can weight</t>
  </si>
  <si>
    <t>gm</t>
  </si>
  <si>
    <t>Quantity per Pallet/Carton</t>
  </si>
  <si>
    <t>pcs</t>
  </si>
  <si>
    <t>Mode Of Packaging</t>
  </si>
  <si>
    <t>Varnished / Non-Varnished</t>
  </si>
  <si>
    <t>ML</t>
  </si>
  <si>
    <t>Dome</t>
  </si>
  <si>
    <t>Varnish Type</t>
  </si>
  <si>
    <t>Sr.No</t>
  </si>
  <si>
    <t>1--7</t>
  </si>
  <si>
    <t>GLOSSY/SILKMATT</t>
  </si>
  <si>
    <t xml:space="preserve">BEIGE Epoxy-phenolic, Gold lacquer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</si>
</sst>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_(* #,##0.00_);_(* \(#,##0.00\);_(* \-??_);_(@_)"/>
    <numFmt numFmtId="167" formatCode="#,##0.0"/>
  </numFmts>
  <fonts count="2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sz val="9"/>
      <name val="Segoe UI"/>
      <family val="2"/>
      <charset val="1"/>
    </font>
    <font>
      <b/>
      <sz val="14"/>
      <color rgb="FFFFFFFF"/>
      <name val="Segoe UI"/>
      <charset val="1"/>
    </font>
    <font>
      <b/>
      <sz val="10"/>
      <color rgb="FF1F3864"/>
      <name val="Segoe UI"/>
      <charset val="1"/>
    </font>
    <font>
      <b/>
      <sz val="12"/>
      <color rgb="FF1F3864"/>
      <name val="Segoe UI"/>
      <charset val="1"/>
    </font>
    <font>
      <i/>
      <sz val="9"/>
      <color rgb="FF888888"/>
      <name val="Segoe UI"/>
      <charset val="1"/>
    </font>
    <font>
      <b/>
      <sz val="10"/>
      <color rgb="FFFFFFFF"/>
      <name val="Segoe UI"/>
      <charset val="1"/>
    </font>
    <font>
      <sz val="9"/>
      <color rgb="FF888888"/>
      <name val="Segoe UI"/>
      <charset val="1"/>
    </font>
    <font>
      <b/>
      <sz val="9"/>
      <name val="Segoe UI"/>
      <charset val="1"/>
    </font>
    <font>
      <sz val="9"/>
      <name val="Segoe UI"/>
      <charset val="1"/>
    </font>
    <font>
      <sz val="11"/>
      <color theme="1"/>
      <name val="Calibri"/>
      <family val="2"/>
      <charset val="1"/>
    </font>
    <font>
      <sz val="9"/>
      <color rgb="FF000000"/>
      <name val="Segoe UI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4D8F"/>
        <bgColor rgb="FF1F3864"/>
      </patternFill>
    </fill>
    <fill>
      <patternFill patternType="solid">
        <fgColor rgb="FFFFFFFF"/>
        <bgColor rgb="FFF2F7FF"/>
      </patternFill>
    </fill>
    <fill>
      <patternFill patternType="solid">
        <fgColor rgb="FFD6E4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EF4FC"/>
        <bgColor rgb="FFF2F7FF"/>
      </patternFill>
    </fill>
    <fill>
      <patternFill patternType="solid">
        <fgColor rgb="FFE2EFDA"/>
        <bgColor rgb="FFF2F2F2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medium">
        <color rgb="FF2E4D8F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medium">
        <color rgb="FF2E4D8F"/>
      </right>
      <top style="thin">
        <color rgb="FFB8CCE4"/>
      </top>
      <bottom style="thin">
        <color rgb="FFB8CCE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6" fontId="17" fillId="0" borderId="0"/>
    <xf numFmtId="0" fontId="17" fillId="0" borderId="0"/>
    <xf numFmtId="0" fontId="17" fillId="0" borderId="0">
      <alignment horizontal="left"/>
    </xf>
    <xf numFmtId="0" fontId="17" fillId="0" borderId="0"/>
    <xf numFmtId="0" fontId="17" fillId="0" borderId="0"/>
    <xf numFmtId="0" fontId="1" fillId="0" borderId="0"/>
    <xf numFmtId="0" fontId="1" fillId="0" borderId="0">
      <alignment horizontal="left"/>
    </xf>
    <xf numFmtId="0" fontId="17" fillId="0" borderId="0"/>
  </cellStyleXfs>
  <cellXfs count="64">
    <xf numFmtId="0" fontId="0" fillId="0" borderId="0" xfId="0"/>
    <xf numFmtId="0" fontId="0" fillId="0" borderId="0" xfId="0" applyAlignment="1">
      <alignment horizontal="left"/>
    </xf>
    <xf numFmtId="164" fontId="2" fillId="0" borderId="0" xfId="0" applyNumberFormat="1" applyFont="1"/>
    <xf numFmtId="9" fontId="3" fillId="0" borderId="0" xfId="0" applyNumberFormat="1" applyFont="1"/>
    <xf numFmtId="0" fontId="0" fillId="0" borderId="0" xfId="0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left" vertical="center" indent="1"/>
    </xf>
    <xf numFmtId="0" fontId="16" fillId="7" borderId="4" xfId="0" applyFont="1" applyFill="1" applyBorder="1" applyAlignment="1">
      <alignment horizontal="center" vertical="center"/>
    </xf>
    <xf numFmtId="165" fontId="10" fillId="8" borderId="5" xfId="0" applyNumberFormat="1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left" vertical="center" indent="1"/>
    </xf>
    <xf numFmtId="0" fontId="16" fillId="4" borderId="4" xfId="0" applyFont="1" applyFill="1" applyBorder="1" applyAlignment="1">
      <alignment horizontal="center" vertical="center"/>
    </xf>
    <xf numFmtId="165" fontId="13" fillId="3" borderId="4" xfId="0" applyNumberFormat="1" applyFont="1" applyFill="1" applyBorder="1" applyAlignment="1">
      <alignment horizontal="center" vertical="center"/>
    </xf>
    <xf numFmtId="0" fontId="15" fillId="7" borderId="9" xfId="0" applyFont="1" applyFill="1" applyBorder="1" applyAlignment="1">
      <alignment horizontal="left" vertical="center" indent="1"/>
    </xf>
    <xf numFmtId="0" fontId="16" fillId="7" borderId="9" xfId="0" applyFont="1" applyFill="1" applyBorder="1" applyAlignment="1">
      <alignment horizontal="center" vertical="center"/>
    </xf>
    <xf numFmtId="165" fontId="10" fillId="8" borderId="10" xfId="0" applyNumberFormat="1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Border="1" applyAlignment="1">
      <alignment horizontal="left" vertical="center"/>
    </xf>
    <xf numFmtId="0" fontId="18" fillId="0" borderId="8" xfId="0" applyFont="1" applyBorder="1" applyAlignment="1">
      <alignment vertical="center"/>
    </xf>
    <xf numFmtId="0" fontId="16" fillId="0" borderId="8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left"/>
    </xf>
    <xf numFmtId="0" fontId="16" fillId="0" borderId="8" xfId="0" applyFont="1" applyBorder="1" applyAlignment="1">
      <alignment horizontal="left"/>
    </xf>
    <xf numFmtId="164" fontId="16" fillId="7" borderId="4" xfId="0" applyNumberFormat="1" applyFont="1" applyFill="1" applyBorder="1" applyAlignment="1">
      <alignment horizontal="center" vertical="center"/>
    </xf>
    <xf numFmtId="9" fontId="16" fillId="7" borderId="4" xfId="0" applyNumberFormat="1" applyFont="1" applyFill="1" applyBorder="1" applyAlignment="1">
      <alignment horizontal="center" vertical="center"/>
    </xf>
    <xf numFmtId="164" fontId="16" fillId="4" borderId="4" xfId="0" applyNumberFormat="1" applyFont="1" applyFill="1" applyBorder="1" applyAlignment="1">
      <alignment horizontal="center" vertical="center"/>
    </xf>
    <xf numFmtId="9" fontId="16" fillId="4" borderId="4" xfId="0" applyNumberFormat="1" applyFont="1" applyFill="1" applyBorder="1" applyAlignment="1">
      <alignment horizontal="center" vertical="center"/>
    </xf>
    <xf numFmtId="164" fontId="16" fillId="7" borderId="9" xfId="0" applyNumberFormat="1" applyFont="1" applyFill="1" applyBorder="1" applyAlignment="1">
      <alignment horizontal="center" vertical="center"/>
    </xf>
    <xf numFmtId="9" fontId="16" fillId="7" borderId="9" xfId="0" applyNumberFormat="1" applyFont="1" applyFill="1" applyBorder="1" applyAlignment="1">
      <alignment horizontal="center" vertical="center"/>
    </xf>
    <xf numFmtId="164" fontId="8" fillId="4" borderId="8" xfId="0" applyNumberFormat="1" applyFont="1" applyFill="1" applyBorder="1" applyAlignment="1">
      <alignment horizontal="center"/>
    </xf>
    <xf numFmtId="9" fontId="8" fillId="4" borderId="8" xfId="0" applyNumberFormat="1" applyFont="1" applyFill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9" fontId="16" fillId="0" borderId="8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left" vertical="center" wrapText="1"/>
    </xf>
    <xf numFmtId="167" fontId="10" fillId="8" borderId="5" xfId="0" applyNumberFormat="1" applyFont="1" applyFill="1" applyBorder="1" applyAlignment="1">
      <alignment horizontal="center" vertical="center"/>
    </xf>
    <xf numFmtId="167" fontId="10" fillId="8" borderId="10" xfId="0" applyNumberFormat="1" applyFont="1" applyFill="1" applyBorder="1" applyAlignment="1">
      <alignment horizontal="center" vertical="center"/>
    </xf>
    <xf numFmtId="1" fontId="8" fillId="4" borderId="8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left" vertical="center" wrapText="1"/>
    </xf>
    <xf numFmtId="0" fontId="0" fillId="0" borderId="8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8" xfId="0" applyBorder="1"/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4" fillId="2" borderId="11" xfId="0" applyFont="1" applyFill="1" applyBorder="1" applyAlignment="1">
      <alignment horizontal="center"/>
    </xf>
    <xf numFmtId="0" fontId="0" fillId="0" borderId="11" xfId="0" applyBorder="1"/>
    <xf numFmtId="3" fontId="11" fillId="6" borderId="3" xfId="0" applyNumberFormat="1" applyFont="1" applyFill="1" applyBorder="1" applyAlignment="1">
      <alignment horizontal="center" vertical="center"/>
    </xf>
    <xf numFmtId="0" fontId="0" fillId="0" borderId="7" xfId="0" applyBorder="1"/>
    <xf numFmtId="0" fontId="13" fillId="3" borderId="2" xfId="0" applyFont="1" applyFill="1" applyBorder="1" applyAlignment="1">
      <alignment horizontal="right" vertical="center" indent="1"/>
    </xf>
    <xf numFmtId="0" fontId="0" fillId="0" borderId="6" xfId="0" applyBorder="1"/>
    <xf numFmtId="0" fontId="12" fillId="5" borderId="2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0" fillId="0" borderId="0" xfId="0"/>
    <xf numFmtId="0" fontId="10" fillId="5" borderId="2" xfId="0" applyFont="1" applyFill="1" applyBorder="1" applyAlignment="1">
      <alignment horizontal="right" vertical="center" indent="1"/>
    </xf>
  </cellXfs>
  <cellStyles count="9"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3"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/>
      <border outline="0">
        <left style="thin">
          <color auto="1"/>
        </left>
      </border>
    </dxf>
    <dxf>
      <alignment horizontal="center" vertical="bottom"/>
      <border outline="0">
        <left style="thin">
          <color auto="1"/>
        </left>
        <right style="thin">
          <color auto="1"/>
        </right>
      </border>
    </dxf>
    <dxf>
      <alignment horizontal="center" vertical="bottom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Segoe UI"/>
        <family val="2"/>
        <charset val="1"/>
      </font>
      <fill>
        <patternFill patternType="solid">
          <fgColor rgb="FFF2F7FF"/>
          <bgColor rgb="FFFFFFFF"/>
        </patternFill>
      </fill>
      <alignment horizontal="left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EF4FC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E2EFDA"/>
      <rgbColor rgb="FFF2F2F2"/>
      <rgbColor rgb="FF99CCFF"/>
      <rgbColor rgb="FFFF99CC"/>
      <rgbColor rgb="FFCC99FF"/>
      <rgbColor rgb="FFF2F7FF"/>
      <rgbColor rgb="FF3366FF"/>
      <rgbColor rgb="FF33CCCC"/>
      <rgbColor rgb="FF99CC00"/>
      <rgbColor rgb="FFFFC000"/>
      <rgbColor rgb="FFFF9900"/>
      <rgbColor rgb="FFFF6600"/>
      <rgbColor rgb="FF5A5A5A"/>
      <rgbColor rgb="FF969696"/>
      <rgbColor rgb="FF1F3864"/>
      <rgbColor rgb="FF339966"/>
      <rgbColor rgb="FF003300"/>
      <rgbColor rgb="FF333300"/>
      <rgbColor rgb="FF993300"/>
      <rgbColor rgb="FF993366"/>
      <rgbColor rgb="FF2E4D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K11" totalsRowShown="0">
  <autoFilter ref="A2:K11" xr:uid="{00000000-0009-0000-0100-000001000000}"/>
  <tableColumns count="11">
    <tableColumn id="1" xr3:uid="{00000000-0010-0000-0000-000001000000}" name="P.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11" xr3:uid="{00000000-0010-0000-0000-00000B000000}" name="Material Group" dataDxfId="12"/>
    <tableColumn id="6" xr3:uid="{00000000-0010-0000-0000-000006000000}" name="Item Name"/>
    <tableColumn id="7" xr3:uid="{00000000-0010-0000-0000-000007000000}" name="UOM" dataDxfId="11"/>
    <tableColumn id="8" xr3:uid="{00000000-0010-0000-0000-000008000000}" name="Net Qty / 1000" dataDxfId="10"/>
    <tableColumn id="9" xr3:uid="{00000000-0010-0000-0000-000009000000}" name="Waste + Tolerance" dataDxfId="9"/>
    <tableColumn id="10" xr3:uid="{00000000-0010-0000-0000-00000A000000}" name="Gross Qty / 1000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278323-874C-4812-8368-242CB62FE4CE}" name="Table2" displayName="Table2" ref="A1:C19" totalsRowShown="0" headerRowDxfId="7" dataDxfId="5" headerRowBorderDxfId="6" tableBorderDxfId="4" totalsRowBorderDxfId="3">
  <autoFilter ref="A1:C19" xr:uid="{52278323-874C-4812-8368-242CB62FE4CE}"/>
  <tableColumns count="3">
    <tableColumn id="1" xr3:uid="{FF2B3077-DEBD-48D3-B28D-CDFBE5F3EC04}" name="Sr.No" dataDxfId="2"/>
    <tableColumn id="3" xr3:uid="{225EF9A4-2A31-4540-9F46-12CD8CAD486D}" name="Parameter" dataDxfId="1"/>
    <tableColumn id="2" xr3:uid="{0A959B07-9661-42CB-AD68-7B166D3279D0}" name="Standard Specifi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zoomScale="130" zoomScaleNormal="130" workbookViewId="0">
      <pane ySplit="2" topLeftCell="A3" activePane="bottomLeft" state="frozen"/>
      <selection activeCell="K7" sqref="K7"/>
      <selection pane="bottomLeft" activeCell="G13" sqref="G13"/>
    </sheetView>
  </sheetViews>
  <sheetFormatPr defaultColWidth="8.7109375" defaultRowHeight="15" x14ac:dyDescent="0.25"/>
  <cols>
    <col min="1" max="1" width="6.5703125" customWidth="1"/>
    <col min="2" max="2" width="5.7109375" customWidth="1"/>
    <col min="3" max="3" width="15.28515625" style="1" customWidth="1"/>
    <col min="4" max="4" width="16.28515625" style="1" customWidth="1"/>
    <col min="5" max="5" width="4.140625" customWidth="1"/>
    <col min="6" max="6" width="14.85546875" style="4" customWidth="1"/>
    <col min="7" max="7" width="33.5703125" bestFit="1" customWidth="1"/>
    <col min="8" max="8" width="5.7109375" customWidth="1"/>
    <col min="9" max="9" width="15.28515625" style="2" customWidth="1"/>
    <col min="10" max="10" width="14" style="1" bestFit="1" customWidth="1"/>
    <col min="11" max="11" width="20.5703125" style="3" bestFit="1" customWidth="1"/>
    <col min="12" max="12" width="52.85546875" customWidth="1"/>
  </cols>
  <sheetData>
    <row r="1" spans="1:21" ht="20.25" customHeight="1" x14ac:dyDescent="0.3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S1" s="2"/>
      <c r="U1" s="3"/>
    </row>
    <row r="2" spans="1:21" s="6" customFormat="1" ht="32.25" customHeight="1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26" t="s">
        <v>6</v>
      </c>
      <c r="G2" s="5" t="s">
        <v>7</v>
      </c>
      <c r="H2" s="5" t="s">
        <v>8</v>
      </c>
      <c r="I2" s="26" t="s">
        <v>9</v>
      </c>
      <c r="J2" s="26" t="s">
        <v>48</v>
      </c>
      <c r="K2" s="26" t="s">
        <v>10</v>
      </c>
      <c r="L2" s="39" t="s">
        <v>47</v>
      </c>
    </row>
    <row r="3" spans="1:21" ht="15" customHeight="1" x14ac:dyDescent="0.25">
      <c r="A3" s="7">
        <v>9001</v>
      </c>
      <c r="B3" s="7">
        <v>100</v>
      </c>
      <c r="C3" s="7" t="s">
        <v>11</v>
      </c>
      <c r="D3" s="8" t="s">
        <v>12</v>
      </c>
      <c r="E3" s="7">
        <v>45</v>
      </c>
      <c r="F3" s="27" t="s">
        <v>13</v>
      </c>
      <c r="G3" s="9" t="s">
        <v>14</v>
      </c>
      <c r="H3" s="10" t="s">
        <v>15</v>
      </c>
      <c r="I3" s="42">
        <v>20</v>
      </c>
      <c r="J3" s="36">
        <v>0.1</v>
      </c>
      <c r="K3" s="42">
        <f>I3/(1-J3)</f>
        <v>22.222222222222221</v>
      </c>
      <c r="L3" s="27"/>
    </row>
    <row r="4" spans="1:21" ht="15" customHeight="1" x14ac:dyDescent="0.25">
      <c r="A4" s="7">
        <v>9001</v>
      </c>
      <c r="B4" s="7">
        <v>100</v>
      </c>
      <c r="C4" s="7" t="s">
        <v>11</v>
      </c>
      <c r="D4" s="8" t="s">
        <v>12</v>
      </c>
      <c r="E4" s="7">
        <v>45</v>
      </c>
      <c r="F4" s="27" t="s">
        <v>16</v>
      </c>
      <c r="G4" s="9" t="s">
        <v>17</v>
      </c>
      <c r="H4" s="10" t="s">
        <v>15</v>
      </c>
      <c r="I4" s="35">
        <v>2.1000000000000001E-2</v>
      </c>
      <c r="J4" s="36">
        <v>0.1</v>
      </c>
      <c r="K4" s="35">
        <f>I4/(1-J4)</f>
        <v>2.3333333333333334E-2</v>
      </c>
      <c r="L4" s="27" t="s">
        <v>38</v>
      </c>
    </row>
    <row r="5" spans="1:21" ht="15" customHeight="1" x14ac:dyDescent="0.25">
      <c r="A5" s="7">
        <v>9001</v>
      </c>
      <c r="B5" s="7">
        <v>100</v>
      </c>
      <c r="C5" s="7" t="s">
        <v>11</v>
      </c>
      <c r="D5" s="8" t="s">
        <v>12</v>
      </c>
      <c r="E5" s="7">
        <v>45</v>
      </c>
      <c r="F5" s="27" t="s">
        <v>18</v>
      </c>
      <c r="G5" s="9" t="s">
        <v>19</v>
      </c>
      <c r="H5" s="10" t="s">
        <v>15</v>
      </c>
      <c r="I5" s="35">
        <v>5</v>
      </c>
      <c r="J5" s="36">
        <v>0.1</v>
      </c>
      <c r="K5" s="35">
        <f t="shared" ref="K5:K12" si="0">I5/(1-J5)</f>
        <v>5.5555555555555554</v>
      </c>
      <c r="L5" s="27" t="s">
        <v>39</v>
      </c>
    </row>
    <row r="6" spans="1:21" ht="15" customHeight="1" x14ac:dyDescent="0.25">
      <c r="A6" s="7">
        <v>9001</v>
      </c>
      <c r="B6" s="7">
        <v>100</v>
      </c>
      <c r="C6" s="7" t="s">
        <v>11</v>
      </c>
      <c r="D6" s="8" t="s">
        <v>12</v>
      </c>
      <c r="E6" s="7">
        <v>45</v>
      </c>
      <c r="F6" s="27" t="s">
        <v>20</v>
      </c>
      <c r="G6" s="9" t="s">
        <v>21</v>
      </c>
      <c r="H6" s="10" t="s">
        <v>15</v>
      </c>
      <c r="I6" s="35">
        <v>1.0449999999999999</v>
      </c>
      <c r="J6" s="36">
        <v>0.35</v>
      </c>
      <c r="K6" s="35">
        <f t="shared" si="0"/>
        <v>1.6076923076923075</v>
      </c>
      <c r="L6" s="27" t="s">
        <v>40</v>
      </c>
    </row>
    <row r="7" spans="1:21" x14ac:dyDescent="0.25">
      <c r="A7" s="22">
        <v>9001</v>
      </c>
      <c r="B7" s="22">
        <v>100</v>
      </c>
      <c r="C7" s="22" t="s">
        <v>11</v>
      </c>
      <c r="D7" s="23" t="s">
        <v>12</v>
      </c>
      <c r="E7" s="22">
        <v>45</v>
      </c>
      <c r="F7" s="28" t="s">
        <v>20</v>
      </c>
      <c r="G7" s="24" t="s">
        <v>22</v>
      </c>
      <c r="H7" s="25" t="s">
        <v>15</v>
      </c>
      <c r="I7" s="37">
        <v>1.1399999999999999</v>
      </c>
      <c r="J7" s="38">
        <v>0.35</v>
      </c>
      <c r="K7" s="37">
        <f t="shared" si="0"/>
        <v>1.7538461538461536</v>
      </c>
      <c r="L7" s="28" t="s">
        <v>41</v>
      </c>
    </row>
    <row r="8" spans="1:21" ht="15" customHeight="1" x14ac:dyDescent="0.25">
      <c r="A8" s="7">
        <v>9001</v>
      </c>
      <c r="B8" s="7">
        <v>100</v>
      </c>
      <c r="C8" s="7" t="s">
        <v>11</v>
      </c>
      <c r="D8" s="8" t="s">
        <v>12</v>
      </c>
      <c r="E8" s="7">
        <v>45</v>
      </c>
      <c r="F8" s="27" t="s">
        <v>23</v>
      </c>
      <c r="G8" s="9" t="s">
        <v>24</v>
      </c>
      <c r="H8" s="10" t="s">
        <v>15</v>
      </c>
      <c r="I8" s="35">
        <v>0.97299999999999998</v>
      </c>
      <c r="J8" s="36">
        <v>0.1</v>
      </c>
      <c r="K8" s="35">
        <f t="shared" si="0"/>
        <v>1.0811111111111111</v>
      </c>
      <c r="L8" s="27" t="s">
        <v>42</v>
      </c>
    </row>
    <row r="9" spans="1:21" x14ac:dyDescent="0.25">
      <c r="A9" s="22">
        <v>9001</v>
      </c>
      <c r="B9" s="22">
        <v>100</v>
      </c>
      <c r="C9" s="22" t="s">
        <v>11</v>
      </c>
      <c r="D9" s="23" t="s">
        <v>12</v>
      </c>
      <c r="E9" s="22">
        <v>45</v>
      </c>
      <c r="F9" s="28" t="s">
        <v>23</v>
      </c>
      <c r="G9" s="24" t="s">
        <v>25</v>
      </c>
      <c r="H9" s="25" t="s">
        <v>15</v>
      </c>
      <c r="I9" s="37">
        <v>0.70099999999999996</v>
      </c>
      <c r="J9" s="38">
        <v>0.1</v>
      </c>
      <c r="K9" s="37">
        <f t="shared" si="0"/>
        <v>0.77888888888888885</v>
      </c>
      <c r="L9" s="28" t="s">
        <v>43</v>
      </c>
    </row>
    <row r="10" spans="1:21" ht="15" customHeight="1" x14ac:dyDescent="0.25">
      <c r="A10" s="7">
        <v>9001</v>
      </c>
      <c r="B10" s="7">
        <v>100</v>
      </c>
      <c r="C10" s="7" t="s">
        <v>11</v>
      </c>
      <c r="D10" s="8" t="s">
        <v>12</v>
      </c>
      <c r="E10" s="7">
        <v>45</v>
      </c>
      <c r="F10" s="27" t="s">
        <v>26</v>
      </c>
      <c r="G10" s="9" t="s">
        <v>27</v>
      </c>
      <c r="H10" s="10" t="s">
        <v>15</v>
      </c>
      <c r="I10" s="35">
        <v>0.3</v>
      </c>
      <c r="J10" s="36">
        <v>0.1</v>
      </c>
      <c r="K10" s="35">
        <f t="shared" si="0"/>
        <v>0.33333333333333331</v>
      </c>
      <c r="L10" s="27" t="s">
        <v>44</v>
      </c>
    </row>
    <row r="11" spans="1:21" ht="15" customHeight="1" x14ac:dyDescent="0.25">
      <c r="A11" s="7">
        <v>9001</v>
      </c>
      <c r="B11" s="7">
        <v>100</v>
      </c>
      <c r="C11" s="7" t="s">
        <v>11</v>
      </c>
      <c r="D11" s="8" t="s">
        <v>12</v>
      </c>
      <c r="E11" s="7">
        <v>45</v>
      </c>
      <c r="F11" s="27" t="s">
        <v>28</v>
      </c>
      <c r="G11" s="9" t="s">
        <v>29</v>
      </c>
      <c r="H11" s="10" t="s">
        <v>15</v>
      </c>
      <c r="I11" s="35">
        <v>0.43</v>
      </c>
      <c r="J11" s="36">
        <v>0.1</v>
      </c>
      <c r="K11" s="35">
        <f t="shared" si="0"/>
        <v>0.47777777777777775</v>
      </c>
      <c r="L11" s="27" t="s">
        <v>45</v>
      </c>
    </row>
    <row r="12" spans="1:21" x14ac:dyDescent="0.25">
      <c r="A12" s="22">
        <v>9001</v>
      </c>
      <c r="B12" s="22">
        <v>100</v>
      </c>
      <c r="C12" s="22" t="s">
        <v>11</v>
      </c>
      <c r="D12" s="23" t="s">
        <v>12</v>
      </c>
      <c r="E12" s="22">
        <v>45</v>
      </c>
      <c r="F12" s="28" t="s">
        <v>28</v>
      </c>
      <c r="G12" s="24" t="s">
        <v>30</v>
      </c>
      <c r="H12" s="25" t="s">
        <v>15</v>
      </c>
      <c r="I12" s="37">
        <v>0.38500000000000001</v>
      </c>
      <c r="J12" s="38">
        <v>0.1</v>
      </c>
      <c r="K12" s="37">
        <f t="shared" si="0"/>
        <v>0.42777777777777776</v>
      </c>
    </row>
  </sheetData>
  <mergeCells count="1">
    <mergeCell ref="A1:L1"/>
  </mergeCells>
  <phoneticPr fontId="1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0D4F-B482-44FB-AAD5-6E3ACB880E05}">
  <dimension ref="A1:G19"/>
  <sheetViews>
    <sheetView tabSelected="1" workbookViewId="0">
      <selection activeCell="F12" sqref="F12"/>
    </sheetView>
  </sheetViews>
  <sheetFormatPr defaultRowHeight="15" x14ac:dyDescent="0.25"/>
  <cols>
    <col min="1" max="1" width="7.85546875" style="1" bestFit="1" customWidth="1"/>
    <col min="2" max="2" width="18.5703125" bestFit="1" customWidth="1"/>
    <col min="3" max="3" width="25.7109375" bestFit="1" customWidth="1"/>
  </cols>
  <sheetData>
    <row r="1" spans="1:3" x14ac:dyDescent="0.25">
      <c r="A1" s="44" t="s">
        <v>79</v>
      </c>
      <c r="B1" s="45" t="s">
        <v>49</v>
      </c>
      <c r="C1" s="46" t="s">
        <v>50</v>
      </c>
    </row>
    <row r="2" spans="1:3" x14ac:dyDescent="0.25">
      <c r="A2" s="47">
        <v>1</v>
      </c>
      <c r="B2" s="48" t="s">
        <v>51</v>
      </c>
      <c r="C2" s="49" t="s">
        <v>52</v>
      </c>
    </row>
    <row r="3" spans="1:3" x14ac:dyDescent="0.25">
      <c r="A3" s="47">
        <f>A2+1</f>
        <v>2</v>
      </c>
      <c r="B3" s="48" t="s">
        <v>53</v>
      </c>
      <c r="C3" s="49" t="s">
        <v>61</v>
      </c>
    </row>
    <row r="4" spans="1:3" x14ac:dyDescent="0.25">
      <c r="A4" s="47">
        <f t="shared" ref="A4:A19" si="0">A3+1</f>
        <v>3</v>
      </c>
      <c r="B4" s="48" t="s">
        <v>54</v>
      </c>
      <c r="C4" s="49" t="s">
        <v>61</v>
      </c>
    </row>
    <row r="5" spans="1:3" x14ac:dyDescent="0.25">
      <c r="A5" s="47">
        <f t="shared" si="0"/>
        <v>4</v>
      </c>
      <c r="B5" s="48" t="s">
        <v>56</v>
      </c>
      <c r="C5" s="49" t="s">
        <v>61</v>
      </c>
    </row>
    <row r="6" spans="1:3" x14ac:dyDescent="0.25">
      <c r="A6" s="47">
        <f t="shared" si="0"/>
        <v>5</v>
      </c>
      <c r="B6" s="48" t="s">
        <v>63</v>
      </c>
      <c r="C6" s="49" t="s">
        <v>61</v>
      </c>
    </row>
    <row r="7" spans="1:3" x14ac:dyDescent="0.25">
      <c r="A7" s="47">
        <f t="shared" ref="A7:A13" si="1">A6+1</f>
        <v>6</v>
      </c>
      <c r="B7" s="48" t="s">
        <v>58</v>
      </c>
      <c r="C7" s="49" t="s">
        <v>61</v>
      </c>
    </row>
    <row r="8" spans="1:3" x14ac:dyDescent="0.25">
      <c r="A8" s="47">
        <f t="shared" si="1"/>
        <v>7</v>
      </c>
      <c r="B8" s="48" t="s">
        <v>59</v>
      </c>
      <c r="C8" s="49" t="s">
        <v>61</v>
      </c>
    </row>
    <row r="9" spans="1:3" x14ac:dyDescent="0.25">
      <c r="A9" s="47">
        <f t="shared" si="1"/>
        <v>8</v>
      </c>
      <c r="B9" s="48" t="s">
        <v>62</v>
      </c>
      <c r="C9" s="49" t="s">
        <v>77</v>
      </c>
    </row>
    <row r="10" spans="1:3" x14ac:dyDescent="0.25">
      <c r="A10" s="47">
        <f t="shared" si="1"/>
        <v>9</v>
      </c>
      <c r="B10" s="50" t="s">
        <v>55</v>
      </c>
      <c r="C10" s="49" t="s">
        <v>76</v>
      </c>
    </row>
    <row r="11" spans="1:3" x14ac:dyDescent="0.25">
      <c r="A11" s="47">
        <f t="shared" si="1"/>
        <v>10</v>
      </c>
      <c r="B11" s="48" t="s">
        <v>70</v>
      </c>
      <c r="C11" s="49" t="s">
        <v>71</v>
      </c>
    </row>
    <row r="12" spans="1:3" ht="30" x14ac:dyDescent="0.25">
      <c r="A12" s="47">
        <f t="shared" si="1"/>
        <v>11</v>
      </c>
      <c r="B12" s="48" t="s">
        <v>72</v>
      </c>
      <c r="C12" s="49" t="s">
        <v>73</v>
      </c>
    </row>
    <row r="13" spans="1:3" ht="30" x14ac:dyDescent="0.25">
      <c r="A13" s="47">
        <f t="shared" si="1"/>
        <v>12</v>
      </c>
      <c r="B13" s="48" t="s">
        <v>68</v>
      </c>
      <c r="C13" s="49" t="s">
        <v>82</v>
      </c>
    </row>
    <row r="14" spans="1:3" ht="30" x14ac:dyDescent="0.25">
      <c r="A14" s="47">
        <f t="shared" si="0"/>
        <v>13</v>
      </c>
      <c r="B14" s="48" t="s">
        <v>66</v>
      </c>
      <c r="C14" s="49" t="s">
        <v>67</v>
      </c>
    </row>
    <row r="15" spans="1:3" x14ac:dyDescent="0.25">
      <c r="A15" s="47">
        <f t="shared" si="0"/>
        <v>14</v>
      </c>
      <c r="B15" s="48" t="s">
        <v>64</v>
      </c>
      <c r="C15" s="49" t="s">
        <v>65</v>
      </c>
    </row>
    <row r="16" spans="1:3" x14ac:dyDescent="0.25">
      <c r="A16" s="47">
        <f t="shared" si="0"/>
        <v>15</v>
      </c>
      <c r="B16" s="48" t="s">
        <v>69</v>
      </c>
      <c r="C16" s="49" t="s">
        <v>80</v>
      </c>
    </row>
    <row r="17" spans="1:7" x14ac:dyDescent="0.25">
      <c r="A17" s="47">
        <f t="shared" si="0"/>
        <v>16</v>
      </c>
      <c r="B17" s="48" t="s">
        <v>57</v>
      </c>
      <c r="C17" s="49" t="s">
        <v>75</v>
      </c>
    </row>
    <row r="18" spans="1:7" x14ac:dyDescent="0.25">
      <c r="A18" s="47">
        <f t="shared" si="0"/>
        <v>17</v>
      </c>
      <c r="B18" s="48" t="s">
        <v>78</v>
      </c>
      <c r="C18" s="49" t="s">
        <v>81</v>
      </c>
      <c r="G18" s="43"/>
    </row>
    <row r="19" spans="1:7" x14ac:dyDescent="0.25">
      <c r="A19" s="51">
        <f t="shared" si="0"/>
        <v>18</v>
      </c>
      <c r="B19" s="52" t="s">
        <v>74</v>
      </c>
      <c r="C19" s="53" t="s">
        <v>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pane ySplit="3" topLeftCell="A4" activePane="bottomLeft" state="frozen"/>
      <selection activeCell="K7" sqref="K7"/>
      <selection pane="bottomLeft" activeCell="G5" sqref="G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7" customWidth="1"/>
    <col min="5" max="5" width="16" customWidth="1"/>
    <col min="6" max="6" width="11" customWidth="1"/>
    <col min="7" max="7" width="20" customWidth="1"/>
    <col min="8" max="8" width="24" customWidth="1"/>
  </cols>
  <sheetData>
    <row r="1" spans="1:8" ht="27.75" customHeight="1" x14ac:dyDescent="0.25">
      <c r="A1" s="61" t="s">
        <v>31</v>
      </c>
      <c r="B1" s="62"/>
      <c r="C1" s="62"/>
      <c r="D1" s="62"/>
      <c r="E1" s="62"/>
      <c r="F1" s="62"/>
      <c r="G1" s="62"/>
      <c r="H1" s="62"/>
    </row>
    <row r="2" spans="1:8" ht="25.5" customHeight="1" x14ac:dyDescent="0.25">
      <c r="A2" s="63" t="s">
        <v>32</v>
      </c>
      <c r="B2" s="59"/>
      <c r="C2" s="59"/>
      <c r="D2" s="56">
        <v>750000</v>
      </c>
      <c r="E2" s="57"/>
      <c r="F2" s="60"/>
      <c r="G2" s="59"/>
      <c r="H2" s="59"/>
    </row>
    <row r="3" spans="1:8" ht="30" customHeight="1" x14ac:dyDescent="0.25">
      <c r="A3" s="11" t="s">
        <v>33</v>
      </c>
      <c r="B3" s="11" t="s">
        <v>7</v>
      </c>
      <c r="C3" s="11" t="s">
        <v>6</v>
      </c>
      <c r="D3" s="11" t="s">
        <v>8</v>
      </c>
      <c r="E3" s="11" t="s">
        <v>34</v>
      </c>
      <c r="F3" s="11" t="s">
        <v>35</v>
      </c>
      <c r="G3" s="11" t="s">
        <v>36</v>
      </c>
      <c r="H3" s="11" t="s">
        <v>46</v>
      </c>
    </row>
    <row r="4" spans="1:8" ht="18" customHeight="1" x14ac:dyDescent="0.25">
      <c r="A4" s="12">
        <v>1</v>
      </c>
      <c r="B4" s="13" t="str">
        <f>'Theoretical BOM'!G3</f>
        <v>45mm Aluminum Slug</v>
      </c>
      <c r="C4" s="14" t="str">
        <f>'Theoretical BOM'!F3</f>
        <v>Aluminum Slugs</v>
      </c>
      <c r="D4" s="14" t="str">
        <f>'Theoretical BOM'!H3</f>
        <v>kg</v>
      </c>
      <c r="E4" s="29">
        <f>'Theoretical BOM'!I3</f>
        <v>20</v>
      </c>
      <c r="F4" s="30">
        <f>'Theoretical BOM'!J3</f>
        <v>0.1</v>
      </c>
      <c r="G4" s="40">
        <f>(D$2/1000)*E4</f>
        <v>15000</v>
      </c>
      <c r="H4" s="15">
        <f>(D$2/1000)*'Theoretical BOM'!K3</f>
        <v>16666.666666666668</v>
      </c>
    </row>
    <row r="5" spans="1:8" ht="18" customHeight="1" x14ac:dyDescent="0.25">
      <c r="A5" s="12">
        <v>2</v>
      </c>
      <c r="B5" s="16" t="str">
        <f>'Theoretical BOM'!G4</f>
        <v>SAPILUB LUBRIMET GR8</v>
      </c>
      <c r="C5" s="17" t="str">
        <f>'Theoretical BOM'!F4</f>
        <v>Lubricant</v>
      </c>
      <c r="D5" s="17" t="str">
        <f>'Theoretical BOM'!H4</f>
        <v>kg</v>
      </c>
      <c r="E5" s="31">
        <f>'Theoretical BOM'!I4</f>
        <v>2.1000000000000001E-2</v>
      </c>
      <c r="F5" s="32">
        <f>'Theoretical BOM'!J4</f>
        <v>0.1</v>
      </c>
      <c r="G5" s="40">
        <f t="shared" ref="G5:G13" si="0">(D$2/1000)*E5</f>
        <v>15.750000000000002</v>
      </c>
      <c r="H5" s="15">
        <f>(D$2/1000)*'Theoretical BOM'!K4</f>
        <v>17.5</v>
      </c>
    </row>
    <row r="6" spans="1:8" ht="18" customHeight="1" x14ac:dyDescent="0.25">
      <c r="A6" s="12">
        <v>3</v>
      </c>
      <c r="B6" s="13" t="str">
        <f>'Theoretical BOM'!G5</f>
        <v>SAPILUB ALULIQUID 13</v>
      </c>
      <c r="C6" s="14" t="str">
        <f>'Theoretical BOM'!F5</f>
        <v>Cleaner</v>
      </c>
      <c r="D6" s="14" t="str">
        <f>'Theoretical BOM'!H5</f>
        <v>kg</v>
      </c>
      <c r="E6" s="29">
        <f>'Theoretical BOM'!I5</f>
        <v>5</v>
      </c>
      <c r="F6" s="30">
        <f>'Theoretical BOM'!J5</f>
        <v>0.1</v>
      </c>
      <c r="G6" s="40">
        <f>(D$2/1000)*E6</f>
        <v>3750</v>
      </c>
      <c r="H6" s="15">
        <f>(D$2/1000)*'Theoretical BOM'!K5</f>
        <v>4166.666666666667</v>
      </c>
    </row>
    <row r="7" spans="1:8" ht="18" customHeight="1" x14ac:dyDescent="0.25">
      <c r="A7" s="12">
        <v>4</v>
      </c>
      <c r="B7" s="16" t="str">
        <f>'Theoretical BOM'!G6</f>
        <v>SCHEKOSOL INT PROT Gold (400 9 901)</v>
      </c>
      <c r="C7" s="17" t="str">
        <f>'Theoretical BOM'!F6</f>
        <v>Lacquer</v>
      </c>
      <c r="D7" s="17" t="str">
        <f>'Theoretical BOM'!H6</f>
        <v>kg</v>
      </c>
      <c r="E7" s="31">
        <f>'Theoretical BOM'!I6</f>
        <v>1.0449999999999999</v>
      </c>
      <c r="F7" s="32">
        <f>'Theoretical BOM'!J6</f>
        <v>0.35</v>
      </c>
      <c r="G7" s="40">
        <f t="shared" si="0"/>
        <v>783.75</v>
      </c>
      <c r="H7" s="15">
        <f>(D$2/1000)*'Theoretical BOM'!K6</f>
        <v>1205.7692307692307</v>
      </c>
    </row>
    <row r="8" spans="1:8" ht="18" customHeight="1" x14ac:dyDescent="0.25">
      <c r="A8" s="12">
        <v>5</v>
      </c>
      <c r="B8" s="13" t="str">
        <f>'Theoretical BOM'!G7</f>
        <v>SCHEKOSOL INT BEIGE (400 4 902)</v>
      </c>
      <c r="C8" s="14" t="str">
        <f>'Theoretical BOM'!F7</f>
        <v>Lacquer</v>
      </c>
      <c r="D8" s="14" t="str">
        <f>'Theoretical BOM'!H7</f>
        <v>kg</v>
      </c>
      <c r="E8" s="29">
        <f>'Theoretical BOM'!I7</f>
        <v>1.1399999999999999</v>
      </c>
      <c r="F8" s="30">
        <f>'Theoretical BOM'!J7</f>
        <v>0.35</v>
      </c>
      <c r="G8" s="40">
        <f>(D$2/1000)*E8</f>
        <v>854.99999999999989</v>
      </c>
      <c r="H8" s="15">
        <f>(D$2/1000)*'Theoretical BOM'!K7</f>
        <v>1315.3846153846152</v>
      </c>
    </row>
    <row r="9" spans="1:8" ht="18" customHeight="1" x14ac:dyDescent="0.25">
      <c r="A9" s="12">
        <v>6</v>
      </c>
      <c r="B9" s="13" t="str">
        <f>'Theoretical BOM'!G8</f>
        <v>SCHEKOSOL WH BC (422 0 903)</v>
      </c>
      <c r="C9" s="14" t="str">
        <f>'Theoretical BOM'!F8</f>
        <v>Base Coat</v>
      </c>
      <c r="D9" s="14" t="str">
        <f>'Theoretical BOM'!H8</f>
        <v>kg</v>
      </c>
      <c r="E9" s="29">
        <f>'Theoretical BOM'!I8</f>
        <v>0.97299999999999998</v>
      </c>
      <c r="F9" s="30">
        <f>'Theoretical BOM'!J8</f>
        <v>0.1</v>
      </c>
      <c r="G9" s="40">
        <f t="shared" si="0"/>
        <v>729.75</v>
      </c>
      <c r="H9" s="15">
        <f>(D$2/1000)*'Theoretical BOM'!K8</f>
        <v>810.83333333333337</v>
      </c>
    </row>
    <row r="10" spans="1:8" x14ac:dyDescent="0.25">
      <c r="A10" s="12">
        <v>7</v>
      </c>
      <c r="B10" s="19" t="str">
        <f>'Theoretical BOM'!G9</f>
        <v>SCHEKOSOL CLEAR BC (422 9 918)</v>
      </c>
      <c r="C10" s="20" t="str">
        <f>'Theoretical BOM'!F9</f>
        <v>Base Coat</v>
      </c>
      <c r="D10" s="20" t="str">
        <f>'Theoretical BOM'!H9</f>
        <v>kg</v>
      </c>
      <c r="E10" s="33">
        <f>'Theoretical BOM'!I9</f>
        <v>0.70099999999999996</v>
      </c>
      <c r="F10" s="34">
        <f>'Theoretical BOM'!J9</f>
        <v>0.1</v>
      </c>
      <c r="G10" s="41">
        <f t="shared" si="0"/>
        <v>525.75</v>
      </c>
      <c r="H10" s="21">
        <f>(D$2/1000)*'Theoretical BOM'!K9</f>
        <v>584.16666666666663</v>
      </c>
    </row>
    <row r="11" spans="1:8" ht="18" customHeight="1" x14ac:dyDescent="0.25">
      <c r="A11" s="12">
        <v>8</v>
      </c>
      <c r="B11" s="16" t="str">
        <f>'Theoretical BOM'!G10</f>
        <v>SunAltec MB PLUS 169766 OPAQUE WHITE</v>
      </c>
      <c r="C11" s="17" t="str">
        <f>'Theoretical BOM'!F10</f>
        <v>Ink</v>
      </c>
      <c r="D11" s="17" t="str">
        <f>'Theoretical BOM'!H10</f>
        <v>kg</v>
      </c>
      <c r="E11" s="31">
        <f>'Theoretical BOM'!I10</f>
        <v>0.3</v>
      </c>
      <c r="F11" s="32">
        <f>'Theoretical BOM'!J10</f>
        <v>0.1</v>
      </c>
      <c r="G11" s="40">
        <f t="shared" si="0"/>
        <v>225</v>
      </c>
      <c r="H11" s="15">
        <f>(D$2/1000)*'Theoretical BOM'!K10</f>
        <v>250</v>
      </c>
    </row>
    <row r="12" spans="1:8" ht="18" customHeight="1" x14ac:dyDescent="0.25">
      <c r="A12" s="12">
        <v>9</v>
      </c>
      <c r="B12" s="13" t="str">
        <f>'Theoretical BOM'!G11</f>
        <v>SCHEKOSOL OPV GLOSSY (422 9 900)</v>
      </c>
      <c r="C12" s="14" t="str">
        <f>'Theoretical BOM'!F11</f>
        <v>Varnish</v>
      </c>
      <c r="D12" s="14" t="str">
        <f>'Theoretical BOM'!H11</f>
        <v>kg</v>
      </c>
      <c r="E12" s="29">
        <f>'Theoretical BOM'!I11</f>
        <v>0.43</v>
      </c>
      <c r="F12" s="30">
        <f>'Theoretical BOM'!J11</f>
        <v>0.1</v>
      </c>
      <c r="G12" s="40">
        <f t="shared" si="0"/>
        <v>322.5</v>
      </c>
      <c r="H12" s="15">
        <f>(D$2/1000)*'Theoretical BOM'!K11</f>
        <v>358.33333333333331</v>
      </c>
    </row>
    <row r="13" spans="1:8" x14ac:dyDescent="0.25">
      <c r="A13" s="12">
        <v>10</v>
      </c>
      <c r="B13" s="19" t="str">
        <f>'Theoretical BOM'!G12</f>
        <v>SCHEKOSOL OPV SILKMATT (422 9 903)</v>
      </c>
      <c r="C13" s="20" t="str">
        <f>'Theoretical BOM'!F12</f>
        <v>Varnish</v>
      </c>
      <c r="D13" s="20" t="str">
        <f>'Theoretical BOM'!H12</f>
        <v>kg</v>
      </c>
      <c r="E13" s="33">
        <f>'Theoretical BOM'!I12</f>
        <v>0.38500000000000001</v>
      </c>
      <c r="F13" s="34">
        <f>'Theoretical BOM'!J12</f>
        <v>0.1</v>
      </c>
      <c r="G13" s="41">
        <f t="shared" si="0"/>
        <v>288.75</v>
      </c>
      <c r="H13" s="21">
        <f>(D$2/1000)*'Theoretical BOM'!K12</f>
        <v>320.83333333333331</v>
      </c>
    </row>
    <row r="14" spans="1:8" x14ac:dyDescent="0.25">
      <c r="A14" s="58" t="s">
        <v>37</v>
      </c>
      <c r="B14" s="59"/>
      <c r="C14" s="59"/>
      <c r="D14" s="59"/>
      <c r="E14" s="59"/>
      <c r="F14" s="59"/>
      <c r="G14" s="18">
        <f>SUM(G4:G13)</f>
        <v>22496.25</v>
      </c>
      <c r="H14" s="18">
        <f>SUM(H4:H13)</f>
        <v>25696.153846153844</v>
      </c>
    </row>
  </sheetData>
  <mergeCells count="5">
    <mergeCell ref="D2:E2"/>
    <mergeCell ref="A14:F14"/>
    <mergeCell ref="F2:H2"/>
    <mergeCell ref="A1:H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Theoretical BOM</vt:lpstr>
      <vt:lpstr>Required Spec for BOM</vt:lpstr>
      <vt:lpstr>Req.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2026-06-27T11:11:12Z</dcterms:modified>
  <cp:category>Operations</cp:category>
  <dc:language>en-US</dc:language>
</cp:coreProperties>
</file>