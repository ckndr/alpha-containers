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Entry" sheetId="1" state="visible" r:id="rId1"/>
    <sheet xmlns:r="http://schemas.openxmlformats.org/officeDocument/2006/relationships" name="Validation_Lists" sheetId="2" state="veryHidden" r:id="rId2"/>
    <sheet xmlns:r="http://schemas.openxmlformats.org/officeDocument/2006/relationships" name="Product_Master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0.0%"/>
  </numFmts>
  <fonts count="6">
    <font>
      <name val="Calibri"/>
      <family val="2"/>
      <color theme="1"/>
      <sz val="11"/>
      <scheme val="minor"/>
    </font>
    <font>
      <name val="Segoe UI"/>
      <b val="1"/>
      <sz val="10"/>
    </font>
    <font>
      <name val="Segoe UI"/>
      <b val="1"/>
      <color rgb="00FFFFFF"/>
      <sz val="16"/>
    </font>
    <font>
      <name val="Segoe UI"/>
      <b val="1"/>
      <color rgb="00000000"/>
      <sz val="9"/>
    </font>
    <font>
      <name val="Segoe UI"/>
      <b val="1"/>
      <color rgb="00FFFFFF"/>
      <sz val="10"/>
    </font>
    <font>
      <name val="Segoe UI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15E9B"/>
        <bgColor rgb="00415E9B"/>
      </patternFill>
    </fill>
    <fill>
      <patternFill patternType="solid">
        <fgColor rgb="00F2F2F2"/>
        <bgColor rgb="00F2F2F2"/>
      </patternFill>
    </fill>
  </fills>
  <borders count="4">
    <border>
      <left/>
      <right/>
      <top/>
      <bottom/>
      <diagonal/>
    </border>
    <border>
      <top style="thin">
        <color rgb="00BFBFBF"/>
      </top>
      <bottom style="double">
        <color rgb="001F3864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 wrapText="1"/>
    </xf>
    <xf numFmtId="164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left" vertical="center"/>
      <protection locked="0" hidden="0"/>
    </xf>
    <xf numFmtId="0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3" fontId="5" fillId="0" borderId="3" applyAlignment="1" applyProtection="1" pivotButton="0" quotePrefix="0" xfId="0">
      <alignment horizontal="right" vertical="center"/>
      <protection locked="0" hidden="0"/>
    </xf>
    <xf numFmtId="165" fontId="5" fillId="4" borderId="3" applyAlignment="1" pivotButton="0" quotePrefix="0" xfId="0">
      <alignment horizontal="right" vertical="center"/>
    </xf>
    <xf numFmtId="3" fontId="5" fillId="4" borderId="3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dxfs count="3">
    <dxf>
      <font>
        <name val="Segoe UI"/>
        <color rgb="009C0006"/>
        <sz val="9"/>
      </font>
      <fill>
        <patternFill patternType="solid">
          <fgColor rgb="00FFC7CE"/>
          <bgColor rgb="00FFC7CE"/>
        </patternFill>
      </fill>
    </dxf>
    <dxf>
      <font>
        <name val="Segoe UI"/>
        <color rgb="009C6500"/>
        <sz val="9"/>
      </font>
      <fill>
        <patternFill patternType="solid">
          <fgColor rgb="00FFEB9C"/>
          <bgColor rgb="00FFEB9C"/>
        </patternFill>
      </fill>
    </dxf>
    <dxf>
      <font>
        <name val="Segoe UI"/>
        <color rgb="007F6000"/>
        <sz val="9"/>
      </font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4" customWidth="1" min="3" max="3"/>
    <col width="12" customWidth="1" min="4" max="4"/>
    <col width="35" customWidth="1" min="5" max="5"/>
    <col width="8" customWidth="1" min="6" max="6"/>
    <col width="30" customWidth="1" min="7" max="7"/>
    <col width="10" customWidth="1" min="8" max="8"/>
    <col width="20" customWidth="1" min="9" max="9"/>
    <col width="15" customWidth="1" min="10" max="10"/>
    <col width="15" customWidth="1" min="11" max="11"/>
    <col width="12" customWidth="1" min="12" max="12"/>
    <col width="10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5" customWidth="1" min="27" max="27"/>
    <col width="40" customWidth="1" min="28" max="28"/>
  </cols>
  <sheetData>
    <row r="1" ht="40" customHeight="1">
      <c r="A1" s="1" t="inlineStr">
        <is>
          <t>AEROSOL PLANT — DAILY PRODUCTION DATA ENTRY</t>
        </is>
      </c>
    </row>
    <row r="2" ht="20" customHeight="1">
      <c r="A2" s="2" t="inlineStr">
        <is>
          <t>Today's live summary:</t>
        </is>
      </c>
      <c r="C2" s="3" t="inlineStr">
        <is>
          <t>Total Good:</t>
        </is>
      </c>
      <c r="D2" s="4">
        <f>SUMIFS(K5:K1000, A5:A1000, TODAY())</f>
        <v/>
      </c>
      <c r="F2" s="3" t="inlineStr">
        <is>
          <t>Total Rejects:</t>
        </is>
      </c>
      <c r="G2" s="4">
        <f>SUMIFS(L5:L1000, A5:A1000, TODAY())</f>
        <v/>
      </c>
      <c r="I2" s="3" t="inlineStr">
        <is>
          <t>Total DT (min):</t>
        </is>
      </c>
      <c r="J2" s="4">
        <f>SUMIFS(AA5:AA1000, A5:A1000, TODAY())</f>
        <v/>
      </c>
    </row>
    <row r="3" ht="10" customHeight="1"/>
    <row r="4" ht="30" customHeight="1">
      <c r="A4" s="5" t="inlineStr">
        <is>
          <t>Date</t>
        </is>
      </c>
      <c r="B4" s="5" t="inlineStr">
        <is>
          <t>Shift</t>
        </is>
      </c>
      <c r="C4" s="5" t="inlineStr">
        <is>
          <t>Machine</t>
        </is>
      </c>
      <c r="D4" s="5" t="inlineStr">
        <is>
          <t>POF #</t>
        </is>
      </c>
      <c r="E4" s="5" t="inlineStr">
        <is>
          <t>Product Selection</t>
        </is>
      </c>
      <c r="F4" s="5" t="inlineStr">
        <is>
          <t>PID</t>
        </is>
      </c>
      <c r="G4" s="5" t="inlineStr">
        <is>
          <t>Product Name</t>
        </is>
      </c>
      <c r="H4" s="5" t="inlineStr">
        <is>
          <t>Can Size</t>
        </is>
      </c>
      <c r="I4" s="5" t="inlineStr">
        <is>
          <t>Customer</t>
        </is>
      </c>
      <c r="J4" s="5" t="inlineStr">
        <is>
          <t>Total Production
(pcs)</t>
        </is>
      </c>
      <c r="K4" s="5" t="inlineStr">
        <is>
          <t>Good Production
(pcs)</t>
        </is>
      </c>
      <c r="L4" s="5" t="inlineStr">
        <is>
          <t>Rejects
(pcs)</t>
        </is>
      </c>
      <c r="M4" s="5" t="inlineStr">
        <is>
          <t>Rejection
%</t>
        </is>
      </c>
      <c r="N4" s="5" t="inlineStr">
        <is>
          <t>DT: Accumulator</t>
        </is>
      </c>
      <c r="O4" s="5" t="inlineStr">
        <is>
          <t>DT: Base Coat</t>
        </is>
      </c>
      <c r="P4" s="5" t="inlineStr">
        <is>
          <t>DT: Compressor</t>
        </is>
      </c>
      <c r="Q4" s="5" t="inlineStr">
        <is>
          <t>DT: Decoration Oven</t>
        </is>
      </c>
      <c r="R4" s="5" t="inlineStr">
        <is>
          <t>DT: Lacquer</t>
        </is>
      </c>
      <c r="S4" s="5" t="inlineStr">
        <is>
          <t>DT: Necking</t>
        </is>
      </c>
      <c r="T4" s="5" t="inlineStr">
        <is>
          <t>DT: Over Varnish</t>
        </is>
      </c>
      <c r="U4" s="5" t="inlineStr">
        <is>
          <t>DT: Press</t>
        </is>
      </c>
      <c r="V4" s="5" t="inlineStr">
        <is>
          <t>DT: Printing</t>
        </is>
      </c>
      <c r="W4" s="5" t="inlineStr">
        <is>
          <t>DT: Strapping</t>
        </is>
      </c>
      <c r="X4" s="5" t="inlineStr">
        <is>
          <t>DT: Trimming</t>
        </is>
      </c>
      <c r="Y4" s="5" t="inlineStr">
        <is>
          <t>DT: Tumbler</t>
        </is>
      </c>
      <c r="Z4" s="5" t="inlineStr">
        <is>
          <t>DT: Washing</t>
        </is>
      </c>
      <c r="AA4" s="5" t="inlineStr">
        <is>
          <t>Total Downtime
(min)</t>
        </is>
      </c>
      <c r="AB4" s="5" t="inlineStr">
        <is>
          <t>Remarks</t>
        </is>
      </c>
    </row>
    <row r="5" ht="20" customHeight="1">
      <c r="A5" s="6" t="n"/>
      <c r="B5" s="7" t="n"/>
      <c r="C5" s="7" t="n"/>
      <c r="D5" s="7" t="n"/>
      <c r="E5" s="8" t="n"/>
      <c r="F5" s="9">
        <f>IF(E5="","",VALUE(LEFT(E5,FIND(" - ",E5)-1)))</f>
        <v/>
      </c>
      <c r="G5" s="10">
        <f>IF(E5="","",VLOOKUP(F5,Product_Master!A:D,2,FALSE)&amp;"")</f>
        <v/>
      </c>
      <c r="H5" s="9">
        <f>IF(E5="","",VLOOKUP(F5,Product_Master!A:D,3,FALSE)&amp;"")</f>
        <v/>
      </c>
      <c r="I5" s="10">
        <f>IF(E5="","",VLOOKUP(F5,Product_Master!A:D,4,FALSE)&amp;"")</f>
        <v/>
      </c>
      <c r="J5" s="11" t="n"/>
      <c r="K5" s="11" t="n"/>
      <c r="L5" s="11" t="n"/>
      <c r="M5" s="12">
        <f>IF(J5="","",IFERROR(L5/J5,""))</f>
        <v/>
      </c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3">
        <f>SUM(N5:Z5)</f>
        <v/>
      </c>
      <c r="AB5" s="8" t="n"/>
    </row>
    <row r="6" ht="20" customHeight="1">
      <c r="A6" s="6" t="n"/>
      <c r="B6" s="7" t="n"/>
      <c r="C6" s="7" t="n"/>
      <c r="D6" s="7" t="n"/>
      <c r="E6" s="8" t="n"/>
      <c r="F6" s="9">
        <f>IF(E6="","",VALUE(LEFT(E6,FIND(" - ",E6)-1)))</f>
        <v/>
      </c>
      <c r="G6" s="10">
        <f>IF(E6="","",VLOOKUP(F6,Product_Master!A:D,2,FALSE)&amp;"")</f>
        <v/>
      </c>
      <c r="H6" s="9">
        <f>IF(E6="","",VLOOKUP(F6,Product_Master!A:D,3,FALSE)&amp;"")</f>
        <v/>
      </c>
      <c r="I6" s="10">
        <f>IF(E6="","",VLOOKUP(F6,Product_Master!A:D,4,FALSE)&amp;"")</f>
        <v/>
      </c>
      <c r="J6" s="11" t="n"/>
      <c r="K6" s="11" t="n"/>
      <c r="L6" s="11" t="n"/>
      <c r="M6" s="12">
        <f>IF(J6="","",IFERROR(L6/J6,""))</f>
        <v/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3">
        <f>SUM(N6:Z6)</f>
        <v/>
      </c>
      <c r="AB6" s="8" t="n"/>
    </row>
    <row r="7" ht="20" customHeight="1">
      <c r="A7" s="6" t="n"/>
      <c r="B7" s="7" t="n"/>
      <c r="C7" s="7" t="n"/>
      <c r="D7" s="7" t="n"/>
      <c r="E7" s="8" t="n"/>
      <c r="F7" s="9">
        <f>IF(E7="","",VALUE(LEFT(E7,FIND(" - ",E7)-1)))</f>
        <v/>
      </c>
      <c r="G7" s="10">
        <f>IF(E7="","",VLOOKUP(F7,Product_Master!A:D,2,FALSE)&amp;"")</f>
        <v/>
      </c>
      <c r="H7" s="9">
        <f>IF(E7="","",VLOOKUP(F7,Product_Master!A:D,3,FALSE)&amp;"")</f>
        <v/>
      </c>
      <c r="I7" s="10">
        <f>IF(E7="","",VLOOKUP(F7,Product_Master!A:D,4,FALSE)&amp;"")</f>
        <v/>
      </c>
      <c r="J7" s="11" t="n"/>
      <c r="K7" s="11" t="n"/>
      <c r="L7" s="11" t="n"/>
      <c r="M7" s="12">
        <f>IF(J7="","",IFERROR(L7/J7,""))</f>
        <v/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3">
        <f>SUM(N7:Z7)</f>
        <v/>
      </c>
      <c r="AB7" s="8" t="n"/>
    </row>
    <row r="8" ht="20" customHeight="1">
      <c r="A8" s="6" t="n"/>
      <c r="B8" s="7" t="n"/>
      <c r="C8" s="7" t="n"/>
      <c r="D8" s="7" t="n"/>
      <c r="E8" s="8" t="n"/>
      <c r="F8" s="9">
        <f>IF(E8="","",VALUE(LEFT(E8,FIND(" - ",E8)-1)))</f>
        <v/>
      </c>
      <c r="G8" s="10">
        <f>IF(E8="","",VLOOKUP(F8,Product_Master!A:D,2,FALSE)&amp;"")</f>
        <v/>
      </c>
      <c r="H8" s="9">
        <f>IF(E8="","",VLOOKUP(F8,Product_Master!A:D,3,FALSE)&amp;"")</f>
        <v/>
      </c>
      <c r="I8" s="10">
        <f>IF(E8="","",VLOOKUP(F8,Product_Master!A:D,4,FALSE)&amp;"")</f>
        <v/>
      </c>
      <c r="J8" s="11" t="n"/>
      <c r="K8" s="11" t="n"/>
      <c r="L8" s="11" t="n"/>
      <c r="M8" s="12">
        <f>IF(J8="","",IFERROR(L8/J8,""))</f>
        <v/>
      </c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3">
        <f>SUM(N8:Z8)</f>
        <v/>
      </c>
      <c r="AB8" s="8" t="n"/>
    </row>
    <row r="9" ht="20" customHeight="1">
      <c r="A9" s="6" t="n"/>
      <c r="B9" s="7" t="n"/>
      <c r="C9" s="7" t="n"/>
      <c r="D9" s="7" t="n"/>
      <c r="E9" s="8" t="n"/>
      <c r="F9" s="9">
        <f>IF(E9="","",VALUE(LEFT(E9,FIND(" - ",E9)-1)))</f>
        <v/>
      </c>
      <c r="G9" s="10">
        <f>IF(E9="","",VLOOKUP(F9,Product_Master!A:D,2,FALSE)&amp;"")</f>
        <v/>
      </c>
      <c r="H9" s="9">
        <f>IF(E9="","",VLOOKUP(F9,Product_Master!A:D,3,FALSE)&amp;"")</f>
        <v/>
      </c>
      <c r="I9" s="10">
        <f>IF(E9="","",VLOOKUP(F9,Product_Master!A:D,4,FALSE)&amp;"")</f>
        <v/>
      </c>
      <c r="J9" s="11" t="n"/>
      <c r="K9" s="11" t="n"/>
      <c r="L9" s="11" t="n"/>
      <c r="M9" s="12">
        <f>IF(J9="","",IFERROR(L9/J9,""))</f>
        <v/>
      </c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3">
        <f>SUM(N9:Z9)</f>
        <v/>
      </c>
      <c r="AB9" s="8" t="n"/>
    </row>
    <row r="10" ht="20" customHeight="1">
      <c r="A10" s="6" t="n"/>
      <c r="B10" s="7" t="n"/>
      <c r="C10" s="7" t="n"/>
      <c r="D10" s="7" t="n"/>
      <c r="E10" s="8" t="n"/>
      <c r="F10" s="9">
        <f>IF(E10="","",VALUE(LEFT(E10,FIND(" - ",E10)-1)))</f>
        <v/>
      </c>
      <c r="G10" s="10">
        <f>IF(E10="","",VLOOKUP(F10,Product_Master!A:D,2,FALSE)&amp;"")</f>
        <v/>
      </c>
      <c r="H10" s="9">
        <f>IF(E10="","",VLOOKUP(F10,Product_Master!A:D,3,FALSE)&amp;"")</f>
        <v/>
      </c>
      <c r="I10" s="10">
        <f>IF(E10="","",VLOOKUP(F10,Product_Master!A:D,4,FALSE)&amp;"")</f>
        <v/>
      </c>
      <c r="J10" s="11" t="n"/>
      <c r="K10" s="11" t="n"/>
      <c r="L10" s="11" t="n"/>
      <c r="M10" s="12">
        <f>IF(J10="","",IFERROR(L10/J10,""))</f>
        <v/>
      </c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3">
        <f>SUM(N10:Z10)</f>
        <v/>
      </c>
      <c r="AB10" s="8" t="n"/>
    </row>
    <row r="11" ht="20" customHeight="1">
      <c r="A11" s="6" t="n"/>
      <c r="B11" s="7" t="n"/>
      <c r="C11" s="7" t="n"/>
      <c r="D11" s="7" t="n"/>
      <c r="E11" s="8" t="n"/>
      <c r="F11" s="9">
        <f>IF(E11="","",VALUE(LEFT(E11,FIND(" - ",E11)-1)))</f>
        <v/>
      </c>
      <c r="G11" s="10">
        <f>IF(E11="","",VLOOKUP(F11,Product_Master!A:D,2,FALSE)&amp;"")</f>
        <v/>
      </c>
      <c r="H11" s="9">
        <f>IF(E11="","",VLOOKUP(F11,Product_Master!A:D,3,FALSE)&amp;"")</f>
        <v/>
      </c>
      <c r="I11" s="10">
        <f>IF(E11="","",VLOOKUP(F11,Product_Master!A:D,4,FALSE)&amp;"")</f>
        <v/>
      </c>
      <c r="J11" s="11" t="n"/>
      <c r="K11" s="11" t="n"/>
      <c r="L11" s="11" t="n"/>
      <c r="M11" s="12">
        <f>IF(J11="","",IFERROR(L11/J11,""))</f>
        <v/>
      </c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3">
        <f>SUM(N11:Z11)</f>
        <v/>
      </c>
      <c r="AB11" s="8" t="n"/>
    </row>
    <row r="12" ht="20" customHeight="1">
      <c r="A12" s="6" t="n"/>
      <c r="B12" s="7" t="n"/>
      <c r="C12" s="7" t="n"/>
      <c r="D12" s="7" t="n"/>
      <c r="E12" s="8" t="n"/>
      <c r="F12" s="9">
        <f>IF(E12="","",VALUE(LEFT(E12,FIND(" - ",E12)-1)))</f>
        <v/>
      </c>
      <c r="G12" s="10">
        <f>IF(E12="","",VLOOKUP(F12,Product_Master!A:D,2,FALSE)&amp;"")</f>
        <v/>
      </c>
      <c r="H12" s="9">
        <f>IF(E12="","",VLOOKUP(F12,Product_Master!A:D,3,FALSE)&amp;"")</f>
        <v/>
      </c>
      <c r="I12" s="10">
        <f>IF(E12="","",VLOOKUP(F12,Product_Master!A:D,4,FALSE)&amp;"")</f>
        <v/>
      </c>
      <c r="J12" s="11" t="n"/>
      <c r="K12" s="11" t="n"/>
      <c r="L12" s="11" t="n"/>
      <c r="M12" s="12">
        <f>IF(J12="","",IFERROR(L12/J12,""))</f>
        <v/>
      </c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3">
        <f>SUM(N12:Z12)</f>
        <v/>
      </c>
      <c r="AB12" s="8" t="n"/>
    </row>
    <row r="13" ht="20" customHeight="1">
      <c r="A13" s="6" t="n"/>
      <c r="B13" s="7" t="n"/>
      <c r="C13" s="7" t="n"/>
      <c r="D13" s="7" t="n"/>
      <c r="E13" s="8" t="n"/>
      <c r="F13" s="9">
        <f>IF(E13="","",VALUE(LEFT(E13,FIND(" - ",E13)-1)))</f>
        <v/>
      </c>
      <c r="G13" s="10">
        <f>IF(E13="","",VLOOKUP(F13,Product_Master!A:D,2,FALSE)&amp;"")</f>
        <v/>
      </c>
      <c r="H13" s="9">
        <f>IF(E13="","",VLOOKUP(F13,Product_Master!A:D,3,FALSE)&amp;"")</f>
        <v/>
      </c>
      <c r="I13" s="10">
        <f>IF(E13="","",VLOOKUP(F13,Product_Master!A:D,4,FALSE)&amp;"")</f>
        <v/>
      </c>
      <c r="J13" s="11" t="n"/>
      <c r="K13" s="11" t="n"/>
      <c r="L13" s="11" t="n"/>
      <c r="M13" s="12">
        <f>IF(J13="","",IFERROR(L13/J13,""))</f>
        <v/>
      </c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3">
        <f>SUM(N13:Z13)</f>
        <v/>
      </c>
      <c r="AB13" s="8" t="n"/>
    </row>
    <row r="14" ht="20" customHeight="1">
      <c r="A14" s="6" t="n"/>
      <c r="B14" s="7" t="n"/>
      <c r="C14" s="7" t="n"/>
      <c r="D14" s="7" t="n"/>
      <c r="E14" s="8" t="n"/>
      <c r="F14" s="9">
        <f>IF(E14="","",VALUE(LEFT(E14,FIND(" - ",E14)-1)))</f>
        <v/>
      </c>
      <c r="G14" s="10">
        <f>IF(E14="","",VLOOKUP(F14,Product_Master!A:D,2,FALSE)&amp;"")</f>
        <v/>
      </c>
      <c r="H14" s="9">
        <f>IF(E14="","",VLOOKUP(F14,Product_Master!A:D,3,FALSE)&amp;"")</f>
        <v/>
      </c>
      <c r="I14" s="10">
        <f>IF(E14="","",VLOOKUP(F14,Product_Master!A:D,4,FALSE)&amp;"")</f>
        <v/>
      </c>
      <c r="J14" s="11" t="n"/>
      <c r="K14" s="11" t="n"/>
      <c r="L14" s="11" t="n"/>
      <c r="M14" s="12">
        <f>IF(J14="","",IFERROR(L14/J14,""))</f>
        <v/>
      </c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3">
        <f>SUM(N14:Z14)</f>
        <v/>
      </c>
      <c r="AB14" s="8" t="n"/>
    </row>
    <row r="15" ht="20" customHeight="1">
      <c r="A15" s="6" t="n"/>
      <c r="B15" s="7" t="n"/>
      <c r="C15" s="7" t="n"/>
      <c r="D15" s="7" t="n"/>
      <c r="E15" s="8" t="n"/>
      <c r="F15" s="9">
        <f>IF(E15="","",VALUE(LEFT(E15,FIND(" - ",E15)-1)))</f>
        <v/>
      </c>
      <c r="G15" s="10">
        <f>IF(E15="","",VLOOKUP(F15,Product_Master!A:D,2,FALSE)&amp;"")</f>
        <v/>
      </c>
      <c r="H15" s="9">
        <f>IF(E15="","",VLOOKUP(F15,Product_Master!A:D,3,FALSE)&amp;"")</f>
        <v/>
      </c>
      <c r="I15" s="10">
        <f>IF(E15="","",VLOOKUP(F15,Product_Master!A:D,4,FALSE)&amp;"")</f>
        <v/>
      </c>
      <c r="J15" s="11" t="n"/>
      <c r="K15" s="11" t="n"/>
      <c r="L15" s="11" t="n"/>
      <c r="M15" s="12">
        <f>IF(J15="","",IFERROR(L15/J15,""))</f>
        <v/>
      </c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3">
        <f>SUM(N15:Z15)</f>
        <v/>
      </c>
      <c r="AB15" s="8" t="n"/>
    </row>
    <row r="16" ht="20" customHeight="1">
      <c r="A16" s="6" t="n"/>
      <c r="B16" s="7" t="n"/>
      <c r="C16" s="7" t="n"/>
      <c r="D16" s="7" t="n"/>
      <c r="E16" s="8" t="n"/>
      <c r="F16" s="9">
        <f>IF(E16="","",VALUE(LEFT(E16,FIND(" - ",E16)-1)))</f>
        <v/>
      </c>
      <c r="G16" s="10">
        <f>IF(E16="","",VLOOKUP(F16,Product_Master!A:D,2,FALSE)&amp;"")</f>
        <v/>
      </c>
      <c r="H16" s="9">
        <f>IF(E16="","",VLOOKUP(F16,Product_Master!A:D,3,FALSE)&amp;"")</f>
        <v/>
      </c>
      <c r="I16" s="10">
        <f>IF(E16="","",VLOOKUP(F16,Product_Master!A:D,4,FALSE)&amp;"")</f>
        <v/>
      </c>
      <c r="J16" s="11" t="n"/>
      <c r="K16" s="11" t="n"/>
      <c r="L16" s="11" t="n"/>
      <c r="M16" s="12">
        <f>IF(J16="","",IFERROR(L16/J16,""))</f>
        <v/>
      </c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3">
        <f>SUM(N16:Z16)</f>
        <v/>
      </c>
      <c r="AB16" s="8" t="n"/>
    </row>
    <row r="17" ht="20" customHeight="1">
      <c r="A17" s="6" t="n"/>
      <c r="B17" s="7" t="n"/>
      <c r="C17" s="7" t="n"/>
      <c r="D17" s="7" t="n"/>
      <c r="E17" s="8" t="n"/>
      <c r="F17" s="9">
        <f>IF(E17="","",VALUE(LEFT(E17,FIND(" - ",E17)-1)))</f>
        <v/>
      </c>
      <c r="G17" s="10">
        <f>IF(E17="","",VLOOKUP(F17,Product_Master!A:D,2,FALSE)&amp;"")</f>
        <v/>
      </c>
      <c r="H17" s="9">
        <f>IF(E17="","",VLOOKUP(F17,Product_Master!A:D,3,FALSE)&amp;"")</f>
        <v/>
      </c>
      <c r="I17" s="10">
        <f>IF(E17="","",VLOOKUP(F17,Product_Master!A:D,4,FALSE)&amp;"")</f>
        <v/>
      </c>
      <c r="J17" s="11" t="n"/>
      <c r="K17" s="11" t="n"/>
      <c r="L17" s="11" t="n"/>
      <c r="M17" s="12">
        <f>IF(J17="","",IFERROR(L17/J17,""))</f>
        <v/>
      </c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3">
        <f>SUM(N17:Z17)</f>
        <v/>
      </c>
      <c r="AB17" s="8" t="n"/>
    </row>
    <row r="18" ht="20" customHeight="1">
      <c r="A18" s="6" t="n"/>
      <c r="B18" s="7" t="n"/>
      <c r="C18" s="7" t="n"/>
      <c r="D18" s="7" t="n"/>
      <c r="E18" s="8" t="n"/>
      <c r="F18" s="9">
        <f>IF(E18="","",VALUE(LEFT(E18,FIND(" - ",E18)-1)))</f>
        <v/>
      </c>
      <c r="G18" s="10">
        <f>IF(E18="","",VLOOKUP(F18,Product_Master!A:D,2,FALSE)&amp;"")</f>
        <v/>
      </c>
      <c r="H18" s="9">
        <f>IF(E18="","",VLOOKUP(F18,Product_Master!A:D,3,FALSE)&amp;"")</f>
        <v/>
      </c>
      <c r="I18" s="10">
        <f>IF(E18="","",VLOOKUP(F18,Product_Master!A:D,4,FALSE)&amp;"")</f>
        <v/>
      </c>
      <c r="J18" s="11" t="n"/>
      <c r="K18" s="11" t="n"/>
      <c r="L18" s="11" t="n"/>
      <c r="M18" s="12">
        <f>IF(J18="","",IFERROR(L18/J18,""))</f>
        <v/>
      </c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3">
        <f>SUM(N18:Z18)</f>
        <v/>
      </c>
      <c r="AB18" s="8" t="n"/>
    </row>
    <row r="19" ht="20" customHeight="1">
      <c r="A19" s="6" t="n"/>
      <c r="B19" s="7" t="n"/>
      <c r="C19" s="7" t="n"/>
      <c r="D19" s="7" t="n"/>
      <c r="E19" s="8" t="n"/>
      <c r="F19" s="9">
        <f>IF(E19="","",VALUE(LEFT(E19,FIND(" - ",E19)-1)))</f>
        <v/>
      </c>
      <c r="G19" s="10">
        <f>IF(E19="","",VLOOKUP(F19,Product_Master!A:D,2,FALSE)&amp;"")</f>
        <v/>
      </c>
      <c r="H19" s="9">
        <f>IF(E19="","",VLOOKUP(F19,Product_Master!A:D,3,FALSE)&amp;"")</f>
        <v/>
      </c>
      <c r="I19" s="10">
        <f>IF(E19="","",VLOOKUP(F19,Product_Master!A:D,4,FALSE)&amp;"")</f>
        <v/>
      </c>
      <c r="J19" s="11" t="n"/>
      <c r="K19" s="11" t="n"/>
      <c r="L19" s="11" t="n"/>
      <c r="M19" s="12">
        <f>IF(J19="","",IFERROR(L19/J19,""))</f>
        <v/>
      </c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3">
        <f>SUM(N19:Z19)</f>
        <v/>
      </c>
      <c r="AB19" s="8" t="n"/>
    </row>
    <row r="20" ht="20" customHeight="1">
      <c r="A20" s="6" t="n"/>
      <c r="B20" s="7" t="n"/>
      <c r="C20" s="7" t="n"/>
      <c r="D20" s="7" t="n"/>
      <c r="E20" s="8" t="n"/>
      <c r="F20" s="9">
        <f>IF(E20="","",VALUE(LEFT(E20,FIND(" - ",E20)-1)))</f>
        <v/>
      </c>
      <c r="G20" s="10">
        <f>IF(E20="","",VLOOKUP(F20,Product_Master!A:D,2,FALSE)&amp;"")</f>
        <v/>
      </c>
      <c r="H20" s="9">
        <f>IF(E20="","",VLOOKUP(F20,Product_Master!A:D,3,FALSE)&amp;"")</f>
        <v/>
      </c>
      <c r="I20" s="10">
        <f>IF(E20="","",VLOOKUP(F20,Product_Master!A:D,4,FALSE)&amp;"")</f>
        <v/>
      </c>
      <c r="J20" s="11" t="n"/>
      <c r="K20" s="11" t="n"/>
      <c r="L20" s="11" t="n"/>
      <c r="M20" s="12">
        <f>IF(J20="","",IFERROR(L20/J20,""))</f>
        <v/>
      </c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3">
        <f>SUM(N20:Z20)</f>
        <v/>
      </c>
      <c r="AB20" s="8" t="n"/>
    </row>
    <row r="21" ht="20" customHeight="1">
      <c r="A21" s="6" t="n"/>
      <c r="B21" s="7" t="n"/>
      <c r="C21" s="7" t="n"/>
      <c r="D21" s="7" t="n"/>
      <c r="E21" s="8" t="n"/>
      <c r="F21" s="9">
        <f>IF(E21="","",VALUE(LEFT(E21,FIND(" - ",E21)-1)))</f>
        <v/>
      </c>
      <c r="G21" s="10">
        <f>IF(E21="","",VLOOKUP(F21,Product_Master!A:D,2,FALSE)&amp;"")</f>
        <v/>
      </c>
      <c r="H21" s="9">
        <f>IF(E21="","",VLOOKUP(F21,Product_Master!A:D,3,FALSE)&amp;"")</f>
        <v/>
      </c>
      <c r="I21" s="10">
        <f>IF(E21="","",VLOOKUP(F21,Product_Master!A:D,4,FALSE)&amp;"")</f>
        <v/>
      </c>
      <c r="J21" s="11" t="n"/>
      <c r="K21" s="11" t="n"/>
      <c r="L21" s="11" t="n"/>
      <c r="M21" s="12">
        <f>IF(J21="","",IFERROR(L21/J21,""))</f>
        <v/>
      </c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3">
        <f>SUM(N21:Z21)</f>
        <v/>
      </c>
      <c r="AB21" s="8" t="n"/>
    </row>
    <row r="22" ht="20" customHeight="1">
      <c r="A22" s="6" t="n"/>
      <c r="B22" s="7" t="n"/>
      <c r="C22" s="7" t="n"/>
      <c r="D22" s="7" t="n"/>
      <c r="E22" s="8" t="n"/>
      <c r="F22" s="9">
        <f>IF(E22="","",VALUE(LEFT(E22,FIND(" - ",E22)-1)))</f>
        <v/>
      </c>
      <c r="G22" s="10">
        <f>IF(E22="","",VLOOKUP(F22,Product_Master!A:D,2,FALSE)&amp;"")</f>
        <v/>
      </c>
      <c r="H22" s="9">
        <f>IF(E22="","",VLOOKUP(F22,Product_Master!A:D,3,FALSE)&amp;"")</f>
        <v/>
      </c>
      <c r="I22" s="10">
        <f>IF(E22="","",VLOOKUP(F22,Product_Master!A:D,4,FALSE)&amp;"")</f>
        <v/>
      </c>
      <c r="J22" s="11" t="n"/>
      <c r="K22" s="11" t="n"/>
      <c r="L22" s="11" t="n"/>
      <c r="M22" s="12">
        <f>IF(J22="","",IFERROR(L22/J22,""))</f>
        <v/>
      </c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3">
        <f>SUM(N22:Z22)</f>
        <v/>
      </c>
      <c r="AB22" s="8" t="n"/>
    </row>
    <row r="23" ht="20" customHeight="1">
      <c r="A23" s="6" t="n"/>
      <c r="B23" s="7" t="n"/>
      <c r="C23" s="7" t="n"/>
      <c r="D23" s="7" t="n"/>
      <c r="E23" s="8" t="n"/>
      <c r="F23" s="9">
        <f>IF(E23="","",VALUE(LEFT(E23,FIND(" - ",E23)-1)))</f>
        <v/>
      </c>
      <c r="G23" s="10">
        <f>IF(E23="","",VLOOKUP(F23,Product_Master!A:D,2,FALSE)&amp;"")</f>
        <v/>
      </c>
      <c r="H23" s="9">
        <f>IF(E23="","",VLOOKUP(F23,Product_Master!A:D,3,FALSE)&amp;"")</f>
        <v/>
      </c>
      <c r="I23" s="10">
        <f>IF(E23="","",VLOOKUP(F23,Product_Master!A:D,4,FALSE)&amp;"")</f>
        <v/>
      </c>
      <c r="J23" s="11" t="n"/>
      <c r="K23" s="11" t="n"/>
      <c r="L23" s="11" t="n"/>
      <c r="M23" s="12">
        <f>IF(J23="","",IFERROR(L23/J23,""))</f>
        <v/>
      </c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3">
        <f>SUM(N23:Z23)</f>
        <v/>
      </c>
      <c r="AB23" s="8" t="n"/>
    </row>
    <row r="24" ht="20" customHeight="1">
      <c r="A24" s="6" t="n"/>
      <c r="B24" s="7" t="n"/>
      <c r="C24" s="7" t="n"/>
      <c r="D24" s="7" t="n"/>
      <c r="E24" s="8" t="n"/>
      <c r="F24" s="9">
        <f>IF(E24="","",VALUE(LEFT(E24,FIND(" - ",E24)-1)))</f>
        <v/>
      </c>
      <c r="G24" s="10">
        <f>IF(E24="","",VLOOKUP(F24,Product_Master!A:D,2,FALSE)&amp;"")</f>
        <v/>
      </c>
      <c r="H24" s="9">
        <f>IF(E24="","",VLOOKUP(F24,Product_Master!A:D,3,FALSE)&amp;"")</f>
        <v/>
      </c>
      <c r="I24" s="10">
        <f>IF(E24="","",VLOOKUP(F24,Product_Master!A:D,4,FALSE)&amp;"")</f>
        <v/>
      </c>
      <c r="J24" s="11" t="n"/>
      <c r="K24" s="11" t="n"/>
      <c r="L24" s="11" t="n"/>
      <c r="M24" s="12">
        <f>IF(J24="","",IFERROR(L24/J24,""))</f>
        <v/>
      </c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3">
        <f>SUM(N24:Z24)</f>
        <v/>
      </c>
      <c r="AB24" s="8" t="n"/>
    </row>
    <row r="25" ht="20" customHeight="1">
      <c r="A25" s="6" t="n"/>
      <c r="B25" s="7" t="n"/>
      <c r="C25" s="7" t="n"/>
      <c r="D25" s="7" t="n"/>
      <c r="E25" s="8" t="n"/>
      <c r="F25" s="9">
        <f>IF(E25="","",VALUE(LEFT(E25,FIND(" - ",E25)-1)))</f>
        <v/>
      </c>
      <c r="G25" s="10">
        <f>IF(E25="","",VLOOKUP(F25,Product_Master!A:D,2,FALSE)&amp;"")</f>
        <v/>
      </c>
      <c r="H25" s="9">
        <f>IF(E25="","",VLOOKUP(F25,Product_Master!A:D,3,FALSE)&amp;"")</f>
        <v/>
      </c>
      <c r="I25" s="10">
        <f>IF(E25="","",VLOOKUP(F25,Product_Master!A:D,4,FALSE)&amp;"")</f>
        <v/>
      </c>
      <c r="J25" s="11" t="n"/>
      <c r="K25" s="11" t="n"/>
      <c r="L25" s="11" t="n"/>
      <c r="M25" s="12">
        <f>IF(J25="","",IFERROR(L25/J25,""))</f>
        <v/>
      </c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3">
        <f>SUM(N25:Z25)</f>
        <v/>
      </c>
      <c r="AB25" s="8" t="n"/>
    </row>
    <row r="26" ht="20" customHeight="1">
      <c r="A26" s="6" t="n"/>
      <c r="B26" s="7" t="n"/>
      <c r="C26" s="7" t="n"/>
      <c r="D26" s="7" t="n"/>
      <c r="E26" s="8" t="n"/>
      <c r="F26" s="9">
        <f>IF(E26="","",VALUE(LEFT(E26,FIND(" - ",E26)-1)))</f>
        <v/>
      </c>
      <c r="G26" s="10">
        <f>IF(E26="","",VLOOKUP(F26,Product_Master!A:D,2,FALSE)&amp;"")</f>
        <v/>
      </c>
      <c r="H26" s="9">
        <f>IF(E26="","",VLOOKUP(F26,Product_Master!A:D,3,FALSE)&amp;"")</f>
        <v/>
      </c>
      <c r="I26" s="10">
        <f>IF(E26="","",VLOOKUP(F26,Product_Master!A:D,4,FALSE)&amp;"")</f>
        <v/>
      </c>
      <c r="J26" s="11" t="n"/>
      <c r="K26" s="11" t="n"/>
      <c r="L26" s="11" t="n"/>
      <c r="M26" s="12">
        <f>IF(J26="","",IFERROR(L26/J26,""))</f>
        <v/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3">
        <f>SUM(N26:Z26)</f>
        <v/>
      </c>
      <c r="AB26" s="8" t="n"/>
    </row>
    <row r="27" ht="20" customHeight="1">
      <c r="A27" s="6" t="n"/>
      <c r="B27" s="7" t="n"/>
      <c r="C27" s="7" t="n"/>
      <c r="D27" s="7" t="n"/>
      <c r="E27" s="8" t="n"/>
      <c r="F27" s="9">
        <f>IF(E27="","",VALUE(LEFT(E27,FIND(" - ",E27)-1)))</f>
        <v/>
      </c>
      <c r="G27" s="10">
        <f>IF(E27="","",VLOOKUP(F27,Product_Master!A:D,2,FALSE)&amp;"")</f>
        <v/>
      </c>
      <c r="H27" s="9">
        <f>IF(E27="","",VLOOKUP(F27,Product_Master!A:D,3,FALSE)&amp;"")</f>
        <v/>
      </c>
      <c r="I27" s="10">
        <f>IF(E27="","",VLOOKUP(F27,Product_Master!A:D,4,FALSE)&amp;"")</f>
        <v/>
      </c>
      <c r="J27" s="11" t="n"/>
      <c r="K27" s="11" t="n"/>
      <c r="L27" s="11" t="n"/>
      <c r="M27" s="12">
        <f>IF(J27="","",IFERROR(L27/J27,""))</f>
        <v/>
      </c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3">
        <f>SUM(N27:Z27)</f>
        <v/>
      </c>
      <c r="AB27" s="8" t="n"/>
    </row>
    <row r="28" ht="20" customHeight="1">
      <c r="A28" s="6" t="n"/>
      <c r="B28" s="7" t="n"/>
      <c r="C28" s="7" t="n"/>
      <c r="D28" s="7" t="n"/>
      <c r="E28" s="8" t="n"/>
      <c r="F28" s="9">
        <f>IF(E28="","",VALUE(LEFT(E28,FIND(" - ",E28)-1)))</f>
        <v/>
      </c>
      <c r="G28" s="10">
        <f>IF(E28="","",VLOOKUP(F28,Product_Master!A:D,2,FALSE)&amp;"")</f>
        <v/>
      </c>
      <c r="H28" s="9">
        <f>IF(E28="","",VLOOKUP(F28,Product_Master!A:D,3,FALSE)&amp;"")</f>
        <v/>
      </c>
      <c r="I28" s="10">
        <f>IF(E28="","",VLOOKUP(F28,Product_Master!A:D,4,FALSE)&amp;"")</f>
        <v/>
      </c>
      <c r="J28" s="11" t="n"/>
      <c r="K28" s="11" t="n"/>
      <c r="L28" s="11" t="n"/>
      <c r="M28" s="12">
        <f>IF(J28="","",IFERROR(L28/J28,""))</f>
        <v/>
      </c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3">
        <f>SUM(N28:Z28)</f>
        <v/>
      </c>
      <c r="AB28" s="8" t="n"/>
    </row>
    <row r="29" ht="20" customHeight="1">
      <c r="A29" s="6" t="n"/>
      <c r="B29" s="7" t="n"/>
      <c r="C29" s="7" t="n"/>
      <c r="D29" s="7" t="n"/>
      <c r="E29" s="8" t="n"/>
      <c r="F29" s="9">
        <f>IF(E29="","",VALUE(LEFT(E29,FIND(" - ",E29)-1)))</f>
        <v/>
      </c>
      <c r="G29" s="10">
        <f>IF(E29="","",VLOOKUP(F29,Product_Master!A:D,2,FALSE)&amp;"")</f>
        <v/>
      </c>
      <c r="H29" s="9">
        <f>IF(E29="","",VLOOKUP(F29,Product_Master!A:D,3,FALSE)&amp;"")</f>
        <v/>
      </c>
      <c r="I29" s="10">
        <f>IF(E29="","",VLOOKUP(F29,Product_Master!A:D,4,FALSE)&amp;"")</f>
        <v/>
      </c>
      <c r="J29" s="11" t="n"/>
      <c r="K29" s="11" t="n"/>
      <c r="L29" s="11" t="n"/>
      <c r="M29" s="12">
        <f>IF(J29="","",IFERROR(L29/J29,""))</f>
        <v/>
      </c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3">
        <f>SUM(N29:Z29)</f>
        <v/>
      </c>
      <c r="AB29" s="8" t="n"/>
    </row>
    <row r="30" ht="20" customHeight="1">
      <c r="A30" s="6" t="n"/>
      <c r="B30" s="7" t="n"/>
      <c r="C30" s="7" t="n"/>
      <c r="D30" s="7" t="n"/>
      <c r="E30" s="8" t="n"/>
      <c r="F30" s="9">
        <f>IF(E30="","",VALUE(LEFT(E30,FIND(" - ",E30)-1)))</f>
        <v/>
      </c>
      <c r="G30" s="10">
        <f>IF(E30="","",VLOOKUP(F30,Product_Master!A:D,2,FALSE)&amp;"")</f>
        <v/>
      </c>
      <c r="H30" s="9">
        <f>IF(E30="","",VLOOKUP(F30,Product_Master!A:D,3,FALSE)&amp;"")</f>
        <v/>
      </c>
      <c r="I30" s="10">
        <f>IF(E30="","",VLOOKUP(F30,Product_Master!A:D,4,FALSE)&amp;"")</f>
        <v/>
      </c>
      <c r="J30" s="11" t="n"/>
      <c r="K30" s="11" t="n"/>
      <c r="L30" s="11" t="n"/>
      <c r="M30" s="12">
        <f>IF(J30="","",IFERROR(L30/J30,""))</f>
        <v/>
      </c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3">
        <f>SUM(N30:Z30)</f>
        <v/>
      </c>
      <c r="AB30" s="8" t="n"/>
    </row>
    <row r="31" ht="20" customHeight="1">
      <c r="A31" s="6" t="n"/>
      <c r="B31" s="7" t="n"/>
      <c r="C31" s="7" t="n"/>
      <c r="D31" s="7" t="n"/>
      <c r="E31" s="8" t="n"/>
      <c r="F31" s="9">
        <f>IF(E31="","",VALUE(LEFT(E31,FIND(" - ",E31)-1)))</f>
        <v/>
      </c>
      <c r="G31" s="10">
        <f>IF(E31="","",VLOOKUP(F31,Product_Master!A:D,2,FALSE)&amp;"")</f>
        <v/>
      </c>
      <c r="H31" s="9">
        <f>IF(E31="","",VLOOKUP(F31,Product_Master!A:D,3,FALSE)&amp;"")</f>
        <v/>
      </c>
      <c r="I31" s="10">
        <f>IF(E31="","",VLOOKUP(F31,Product_Master!A:D,4,FALSE)&amp;"")</f>
        <v/>
      </c>
      <c r="J31" s="11" t="n"/>
      <c r="K31" s="11" t="n"/>
      <c r="L31" s="11" t="n"/>
      <c r="M31" s="12">
        <f>IF(J31="","",IFERROR(L31/J31,""))</f>
        <v/>
      </c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3">
        <f>SUM(N31:Z31)</f>
        <v/>
      </c>
      <c r="AB31" s="8" t="n"/>
    </row>
    <row r="32" ht="20" customHeight="1">
      <c r="A32" s="6" t="n"/>
      <c r="B32" s="7" t="n"/>
      <c r="C32" s="7" t="n"/>
      <c r="D32" s="7" t="n"/>
      <c r="E32" s="8" t="n"/>
      <c r="F32" s="9">
        <f>IF(E32="","",VALUE(LEFT(E32,FIND(" - ",E32)-1)))</f>
        <v/>
      </c>
      <c r="G32" s="10">
        <f>IF(E32="","",VLOOKUP(F32,Product_Master!A:D,2,FALSE)&amp;"")</f>
        <v/>
      </c>
      <c r="H32" s="9">
        <f>IF(E32="","",VLOOKUP(F32,Product_Master!A:D,3,FALSE)&amp;"")</f>
        <v/>
      </c>
      <c r="I32" s="10">
        <f>IF(E32="","",VLOOKUP(F32,Product_Master!A:D,4,FALSE)&amp;"")</f>
        <v/>
      </c>
      <c r="J32" s="11" t="n"/>
      <c r="K32" s="11" t="n"/>
      <c r="L32" s="11" t="n"/>
      <c r="M32" s="12">
        <f>IF(J32="","",IFERROR(L32/J32,""))</f>
        <v/>
      </c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3">
        <f>SUM(N32:Z32)</f>
        <v/>
      </c>
      <c r="AB32" s="8" t="n"/>
    </row>
    <row r="33" ht="20" customHeight="1">
      <c r="A33" s="6" t="n"/>
      <c r="B33" s="7" t="n"/>
      <c r="C33" s="7" t="n"/>
      <c r="D33" s="7" t="n"/>
      <c r="E33" s="8" t="n"/>
      <c r="F33" s="9">
        <f>IF(E33="","",VALUE(LEFT(E33,FIND(" - ",E33)-1)))</f>
        <v/>
      </c>
      <c r="G33" s="10">
        <f>IF(E33="","",VLOOKUP(F33,Product_Master!A:D,2,FALSE)&amp;"")</f>
        <v/>
      </c>
      <c r="H33" s="9">
        <f>IF(E33="","",VLOOKUP(F33,Product_Master!A:D,3,FALSE)&amp;"")</f>
        <v/>
      </c>
      <c r="I33" s="10">
        <f>IF(E33="","",VLOOKUP(F33,Product_Master!A:D,4,FALSE)&amp;"")</f>
        <v/>
      </c>
      <c r="J33" s="11" t="n"/>
      <c r="K33" s="11" t="n"/>
      <c r="L33" s="11" t="n"/>
      <c r="M33" s="12">
        <f>IF(J33="","",IFERROR(L33/J33,""))</f>
        <v/>
      </c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3">
        <f>SUM(N33:Z33)</f>
        <v/>
      </c>
      <c r="AB33" s="8" t="n"/>
    </row>
    <row r="34" ht="20" customHeight="1">
      <c r="A34" s="6" t="n"/>
      <c r="B34" s="7" t="n"/>
      <c r="C34" s="7" t="n"/>
      <c r="D34" s="7" t="n"/>
      <c r="E34" s="8" t="n"/>
      <c r="F34" s="9">
        <f>IF(E34="","",VALUE(LEFT(E34,FIND(" - ",E34)-1)))</f>
        <v/>
      </c>
      <c r="G34" s="10">
        <f>IF(E34="","",VLOOKUP(F34,Product_Master!A:D,2,FALSE)&amp;"")</f>
        <v/>
      </c>
      <c r="H34" s="9">
        <f>IF(E34="","",VLOOKUP(F34,Product_Master!A:D,3,FALSE)&amp;"")</f>
        <v/>
      </c>
      <c r="I34" s="10">
        <f>IF(E34="","",VLOOKUP(F34,Product_Master!A:D,4,FALSE)&amp;"")</f>
        <v/>
      </c>
      <c r="J34" s="11" t="n"/>
      <c r="K34" s="11" t="n"/>
      <c r="L34" s="11" t="n"/>
      <c r="M34" s="12">
        <f>IF(J34="","",IFERROR(L34/J34,""))</f>
        <v/>
      </c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3">
        <f>SUM(N34:Z34)</f>
        <v/>
      </c>
      <c r="AB34" s="8" t="n"/>
    </row>
    <row r="35" ht="20" customHeight="1">
      <c r="A35" s="6" t="n"/>
      <c r="B35" s="7" t="n"/>
      <c r="C35" s="7" t="n"/>
      <c r="D35" s="7" t="n"/>
      <c r="E35" s="8" t="n"/>
      <c r="F35" s="9">
        <f>IF(E35="","",VALUE(LEFT(E35,FIND(" - ",E35)-1)))</f>
        <v/>
      </c>
      <c r="G35" s="10">
        <f>IF(E35="","",VLOOKUP(F35,Product_Master!A:D,2,FALSE)&amp;"")</f>
        <v/>
      </c>
      <c r="H35" s="9">
        <f>IF(E35="","",VLOOKUP(F35,Product_Master!A:D,3,FALSE)&amp;"")</f>
        <v/>
      </c>
      <c r="I35" s="10">
        <f>IF(E35="","",VLOOKUP(F35,Product_Master!A:D,4,FALSE)&amp;"")</f>
        <v/>
      </c>
      <c r="J35" s="11" t="n"/>
      <c r="K35" s="11" t="n"/>
      <c r="L35" s="11" t="n"/>
      <c r="M35" s="12">
        <f>IF(J35="","",IFERROR(L35/J35,""))</f>
        <v/>
      </c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3">
        <f>SUM(N35:Z35)</f>
        <v/>
      </c>
      <c r="AB35" s="8" t="n"/>
    </row>
    <row r="36" ht="20" customHeight="1">
      <c r="A36" s="6" t="n"/>
      <c r="B36" s="7" t="n"/>
      <c r="C36" s="7" t="n"/>
      <c r="D36" s="7" t="n"/>
      <c r="E36" s="8" t="n"/>
      <c r="F36" s="9">
        <f>IF(E36="","",VALUE(LEFT(E36,FIND(" - ",E36)-1)))</f>
        <v/>
      </c>
      <c r="G36" s="10">
        <f>IF(E36="","",VLOOKUP(F36,Product_Master!A:D,2,FALSE)&amp;"")</f>
        <v/>
      </c>
      <c r="H36" s="9">
        <f>IF(E36="","",VLOOKUP(F36,Product_Master!A:D,3,FALSE)&amp;"")</f>
        <v/>
      </c>
      <c r="I36" s="10">
        <f>IF(E36="","",VLOOKUP(F36,Product_Master!A:D,4,FALSE)&amp;"")</f>
        <v/>
      </c>
      <c r="J36" s="11" t="n"/>
      <c r="K36" s="11" t="n"/>
      <c r="L36" s="11" t="n"/>
      <c r="M36" s="12">
        <f>IF(J36="","",IFERROR(L36/J36,""))</f>
        <v/>
      </c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3">
        <f>SUM(N36:Z36)</f>
        <v/>
      </c>
      <c r="AB36" s="8" t="n"/>
    </row>
    <row r="37" ht="20" customHeight="1">
      <c r="A37" s="6" t="n"/>
      <c r="B37" s="7" t="n"/>
      <c r="C37" s="7" t="n"/>
      <c r="D37" s="7" t="n"/>
      <c r="E37" s="8" t="n"/>
      <c r="F37" s="9">
        <f>IF(E37="","",VALUE(LEFT(E37,FIND(" - ",E37)-1)))</f>
        <v/>
      </c>
      <c r="G37" s="10">
        <f>IF(E37="","",VLOOKUP(F37,Product_Master!A:D,2,FALSE)&amp;"")</f>
        <v/>
      </c>
      <c r="H37" s="9">
        <f>IF(E37="","",VLOOKUP(F37,Product_Master!A:D,3,FALSE)&amp;"")</f>
        <v/>
      </c>
      <c r="I37" s="10">
        <f>IF(E37="","",VLOOKUP(F37,Product_Master!A:D,4,FALSE)&amp;"")</f>
        <v/>
      </c>
      <c r="J37" s="11" t="n"/>
      <c r="K37" s="11" t="n"/>
      <c r="L37" s="11" t="n"/>
      <c r="M37" s="12">
        <f>IF(J37="","",IFERROR(L37/J37,""))</f>
        <v/>
      </c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3">
        <f>SUM(N37:Z37)</f>
        <v/>
      </c>
      <c r="AB37" s="8" t="n"/>
    </row>
    <row r="38" ht="20" customHeight="1">
      <c r="A38" s="6" t="n"/>
      <c r="B38" s="7" t="n"/>
      <c r="C38" s="7" t="n"/>
      <c r="D38" s="7" t="n"/>
      <c r="E38" s="8" t="n"/>
      <c r="F38" s="9">
        <f>IF(E38="","",VALUE(LEFT(E38,FIND(" - ",E38)-1)))</f>
        <v/>
      </c>
      <c r="G38" s="10">
        <f>IF(E38="","",VLOOKUP(F38,Product_Master!A:D,2,FALSE)&amp;"")</f>
        <v/>
      </c>
      <c r="H38" s="9">
        <f>IF(E38="","",VLOOKUP(F38,Product_Master!A:D,3,FALSE)&amp;"")</f>
        <v/>
      </c>
      <c r="I38" s="10">
        <f>IF(E38="","",VLOOKUP(F38,Product_Master!A:D,4,FALSE)&amp;"")</f>
        <v/>
      </c>
      <c r="J38" s="11" t="n"/>
      <c r="K38" s="11" t="n"/>
      <c r="L38" s="11" t="n"/>
      <c r="M38" s="12">
        <f>IF(J38="","",IFERROR(L38/J38,""))</f>
        <v/>
      </c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3">
        <f>SUM(N38:Z38)</f>
        <v/>
      </c>
      <c r="AB38" s="8" t="n"/>
    </row>
    <row r="39" ht="20" customHeight="1">
      <c r="A39" s="6" t="n"/>
      <c r="B39" s="7" t="n"/>
      <c r="C39" s="7" t="n"/>
      <c r="D39" s="7" t="n"/>
      <c r="E39" s="8" t="n"/>
      <c r="F39" s="9">
        <f>IF(E39="","",VALUE(LEFT(E39,FIND(" - ",E39)-1)))</f>
        <v/>
      </c>
      <c r="G39" s="10">
        <f>IF(E39="","",VLOOKUP(F39,Product_Master!A:D,2,FALSE)&amp;"")</f>
        <v/>
      </c>
      <c r="H39" s="9">
        <f>IF(E39="","",VLOOKUP(F39,Product_Master!A:D,3,FALSE)&amp;"")</f>
        <v/>
      </c>
      <c r="I39" s="10">
        <f>IF(E39="","",VLOOKUP(F39,Product_Master!A:D,4,FALSE)&amp;"")</f>
        <v/>
      </c>
      <c r="J39" s="11" t="n"/>
      <c r="K39" s="11" t="n"/>
      <c r="L39" s="11" t="n"/>
      <c r="M39" s="12">
        <f>IF(J39="","",IFERROR(L39/J39,""))</f>
        <v/>
      </c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3">
        <f>SUM(N39:Z39)</f>
        <v/>
      </c>
      <c r="AB39" s="8" t="n"/>
    </row>
    <row r="40" ht="20" customHeight="1">
      <c r="A40" s="6" t="n"/>
      <c r="B40" s="7" t="n"/>
      <c r="C40" s="7" t="n"/>
      <c r="D40" s="7" t="n"/>
      <c r="E40" s="8" t="n"/>
      <c r="F40" s="9">
        <f>IF(E40="","",VALUE(LEFT(E40,FIND(" - ",E40)-1)))</f>
        <v/>
      </c>
      <c r="G40" s="10">
        <f>IF(E40="","",VLOOKUP(F40,Product_Master!A:D,2,FALSE)&amp;"")</f>
        <v/>
      </c>
      <c r="H40" s="9">
        <f>IF(E40="","",VLOOKUP(F40,Product_Master!A:D,3,FALSE)&amp;"")</f>
        <v/>
      </c>
      <c r="I40" s="10">
        <f>IF(E40="","",VLOOKUP(F40,Product_Master!A:D,4,FALSE)&amp;"")</f>
        <v/>
      </c>
      <c r="J40" s="11" t="n"/>
      <c r="K40" s="11" t="n"/>
      <c r="L40" s="11" t="n"/>
      <c r="M40" s="12">
        <f>IF(J40="","",IFERROR(L40/J40,""))</f>
        <v/>
      </c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3">
        <f>SUM(N40:Z40)</f>
        <v/>
      </c>
      <c r="AB40" s="8" t="n"/>
    </row>
    <row r="41" ht="20" customHeight="1">
      <c r="A41" s="6" t="n"/>
      <c r="B41" s="7" t="n"/>
      <c r="C41" s="7" t="n"/>
      <c r="D41" s="7" t="n"/>
      <c r="E41" s="8" t="n"/>
      <c r="F41" s="9">
        <f>IF(E41="","",VALUE(LEFT(E41,FIND(" - ",E41)-1)))</f>
        <v/>
      </c>
      <c r="G41" s="10">
        <f>IF(E41="","",VLOOKUP(F41,Product_Master!A:D,2,FALSE)&amp;"")</f>
        <v/>
      </c>
      <c r="H41" s="9">
        <f>IF(E41="","",VLOOKUP(F41,Product_Master!A:D,3,FALSE)&amp;"")</f>
        <v/>
      </c>
      <c r="I41" s="10">
        <f>IF(E41="","",VLOOKUP(F41,Product_Master!A:D,4,FALSE)&amp;"")</f>
        <v/>
      </c>
      <c r="J41" s="11" t="n"/>
      <c r="K41" s="11" t="n"/>
      <c r="L41" s="11" t="n"/>
      <c r="M41" s="12">
        <f>IF(J41="","",IFERROR(L41/J41,""))</f>
        <v/>
      </c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3">
        <f>SUM(N41:Z41)</f>
        <v/>
      </c>
      <c r="AB41" s="8" t="n"/>
    </row>
    <row r="42" ht="20" customHeight="1">
      <c r="A42" s="6" t="n"/>
      <c r="B42" s="7" t="n"/>
      <c r="C42" s="7" t="n"/>
      <c r="D42" s="7" t="n"/>
      <c r="E42" s="8" t="n"/>
      <c r="F42" s="9">
        <f>IF(E42="","",VALUE(LEFT(E42,FIND(" - ",E42)-1)))</f>
        <v/>
      </c>
      <c r="G42" s="10">
        <f>IF(E42="","",VLOOKUP(F42,Product_Master!A:D,2,FALSE)&amp;"")</f>
        <v/>
      </c>
      <c r="H42" s="9">
        <f>IF(E42="","",VLOOKUP(F42,Product_Master!A:D,3,FALSE)&amp;"")</f>
        <v/>
      </c>
      <c r="I42" s="10">
        <f>IF(E42="","",VLOOKUP(F42,Product_Master!A:D,4,FALSE)&amp;"")</f>
        <v/>
      </c>
      <c r="J42" s="11" t="n"/>
      <c r="K42" s="11" t="n"/>
      <c r="L42" s="11" t="n"/>
      <c r="M42" s="12">
        <f>IF(J42="","",IFERROR(L42/J42,""))</f>
        <v/>
      </c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3">
        <f>SUM(N42:Z42)</f>
        <v/>
      </c>
      <c r="AB42" s="8" t="n"/>
    </row>
    <row r="43" ht="20" customHeight="1">
      <c r="A43" s="6" t="n"/>
      <c r="B43" s="7" t="n"/>
      <c r="C43" s="7" t="n"/>
      <c r="D43" s="7" t="n"/>
      <c r="E43" s="8" t="n"/>
      <c r="F43" s="9">
        <f>IF(E43="","",VALUE(LEFT(E43,FIND(" - ",E43)-1)))</f>
        <v/>
      </c>
      <c r="G43" s="10">
        <f>IF(E43="","",VLOOKUP(F43,Product_Master!A:D,2,FALSE)&amp;"")</f>
        <v/>
      </c>
      <c r="H43" s="9">
        <f>IF(E43="","",VLOOKUP(F43,Product_Master!A:D,3,FALSE)&amp;"")</f>
        <v/>
      </c>
      <c r="I43" s="10">
        <f>IF(E43="","",VLOOKUP(F43,Product_Master!A:D,4,FALSE)&amp;"")</f>
        <v/>
      </c>
      <c r="J43" s="11" t="n"/>
      <c r="K43" s="11" t="n"/>
      <c r="L43" s="11" t="n"/>
      <c r="M43" s="12">
        <f>IF(J43="","",IFERROR(L43/J43,""))</f>
        <v/>
      </c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3">
        <f>SUM(N43:Z43)</f>
        <v/>
      </c>
      <c r="AB43" s="8" t="n"/>
    </row>
    <row r="44" ht="20" customHeight="1">
      <c r="A44" s="6" t="n"/>
      <c r="B44" s="7" t="n"/>
      <c r="C44" s="7" t="n"/>
      <c r="D44" s="7" t="n"/>
      <c r="E44" s="8" t="n"/>
      <c r="F44" s="9">
        <f>IF(E44="","",VALUE(LEFT(E44,FIND(" - ",E44)-1)))</f>
        <v/>
      </c>
      <c r="G44" s="10">
        <f>IF(E44="","",VLOOKUP(F44,Product_Master!A:D,2,FALSE)&amp;"")</f>
        <v/>
      </c>
      <c r="H44" s="9">
        <f>IF(E44="","",VLOOKUP(F44,Product_Master!A:D,3,FALSE)&amp;"")</f>
        <v/>
      </c>
      <c r="I44" s="10">
        <f>IF(E44="","",VLOOKUP(F44,Product_Master!A:D,4,FALSE)&amp;"")</f>
        <v/>
      </c>
      <c r="J44" s="11" t="n"/>
      <c r="K44" s="11" t="n"/>
      <c r="L44" s="11" t="n"/>
      <c r="M44" s="12">
        <f>IF(J44="","",IFERROR(L44/J44,""))</f>
        <v/>
      </c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3">
        <f>SUM(N44:Z44)</f>
        <v/>
      </c>
      <c r="AB44" s="8" t="n"/>
    </row>
    <row r="45" ht="20" customHeight="1">
      <c r="A45" s="6" t="n"/>
      <c r="B45" s="7" t="n"/>
      <c r="C45" s="7" t="n"/>
      <c r="D45" s="7" t="n"/>
      <c r="E45" s="8" t="n"/>
      <c r="F45" s="9">
        <f>IF(E45="","",VALUE(LEFT(E45,FIND(" - ",E45)-1)))</f>
        <v/>
      </c>
      <c r="G45" s="10">
        <f>IF(E45="","",VLOOKUP(F45,Product_Master!A:D,2,FALSE)&amp;"")</f>
        <v/>
      </c>
      <c r="H45" s="9">
        <f>IF(E45="","",VLOOKUP(F45,Product_Master!A:D,3,FALSE)&amp;"")</f>
        <v/>
      </c>
      <c r="I45" s="10">
        <f>IF(E45="","",VLOOKUP(F45,Product_Master!A:D,4,FALSE)&amp;"")</f>
        <v/>
      </c>
      <c r="J45" s="11" t="n"/>
      <c r="K45" s="11" t="n"/>
      <c r="L45" s="11" t="n"/>
      <c r="M45" s="12">
        <f>IF(J45="","",IFERROR(L45/J45,""))</f>
        <v/>
      </c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3">
        <f>SUM(N45:Z45)</f>
        <v/>
      </c>
      <c r="AB45" s="8" t="n"/>
    </row>
    <row r="46" ht="20" customHeight="1">
      <c r="A46" s="6" t="n"/>
      <c r="B46" s="7" t="n"/>
      <c r="C46" s="7" t="n"/>
      <c r="D46" s="7" t="n"/>
      <c r="E46" s="8" t="n"/>
      <c r="F46" s="9">
        <f>IF(E46="","",VALUE(LEFT(E46,FIND(" - ",E46)-1)))</f>
        <v/>
      </c>
      <c r="G46" s="10">
        <f>IF(E46="","",VLOOKUP(F46,Product_Master!A:D,2,FALSE)&amp;"")</f>
        <v/>
      </c>
      <c r="H46" s="9">
        <f>IF(E46="","",VLOOKUP(F46,Product_Master!A:D,3,FALSE)&amp;"")</f>
        <v/>
      </c>
      <c r="I46" s="10">
        <f>IF(E46="","",VLOOKUP(F46,Product_Master!A:D,4,FALSE)&amp;"")</f>
        <v/>
      </c>
      <c r="J46" s="11" t="n"/>
      <c r="K46" s="11" t="n"/>
      <c r="L46" s="11" t="n"/>
      <c r="M46" s="12">
        <f>IF(J46="","",IFERROR(L46/J46,""))</f>
        <v/>
      </c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3">
        <f>SUM(N46:Z46)</f>
        <v/>
      </c>
      <c r="AB46" s="8" t="n"/>
    </row>
    <row r="47" ht="20" customHeight="1">
      <c r="A47" s="6" t="n"/>
      <c r="B47" s="7" t="n"/>
      <c r="C47" s="7" t="n"/>
      <c r="D47" s="7" t="n"/>
      <c r="E47" s="8" t="n"/>
      <c r="F47" s="9">
        <f>IF(E47="","",VALUE(LEFT(E47,FIND(" - ",E47)-1)))</f>
        <v/>
      </c>
      <c r="G47" s="10">
        <f>IF(E47="","",VLOOKUP(F47,Product_Master!A:D,2,FALSE)&amp;"")</f>
        <v/>
      </c>
      <c r="H47" s="9">
        <f>IF(E47="","",VLOOKUP(F47,Product_Master!A:D,3,FALSE)&amp;"")</f>
        <v/>
      </c>
      <c r="I47" s="10">
        <f>IF(E47="","",VLOOKUP(F47,Product_Master!A:D,4,FALSE)&amp;"")</f>
        <v/>
      </c>
      <c r="J47" s="11" t="n"/>
      <c r="K47" s="11" t="n"/>
      <c r="L47" s="11" t="n"/>
      <c r="M47" s="12">
        <f>IF(J47="","",IFERROR(L47/J47,""))</f>
        <v/>
      </c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3">
        <f>SUM(N47:Z47)</f>
        <v/>
      </c>
      <c r="AB47" s="8" t="n"/>
    </row>
    <row r="48" ht="20" customHeight="1">
      <c r="A48" s="6" t="n"/>
      <c r="B48" s="7" t="n"/>
      <c r="C48" s="7" t="n"/>
      <c r="D48" s="7" t="n"/>
      <c r="E48" s="8" t="n"/>
      <c r="F48" s="9">
        <f>IF(E48="","",VALUE(LEFT(E48,FIND(" - ",E48)-1)))</f>
        <v/>
      </c>
      <c r="G48" s="10">
        <f>IF(E48="","",VLOOKUP(F48,Product_Master!A:D,2,FALSE)&amp;"")</f>
        <v/>
      </c>
      <c r="H48" s="9">
        <f>IF(E48="","",VLOOKUP(F48,Product_Master!A:D,3,FALSE)&amp;"")</f>
        <v/>
      </c>
      <c r="I48" s="10">
        <f>IF(E48="","",VLOOKUP(F48,Product_Master!A:D,4,FALSE)&amp;"")</f>
        <v/>
      </c>
      <c r="J48" s="11" t="n"/>
      <c r="K48" s="11" t="n"/>
      <c r="L48" s="11" t="n"/>
      <c r="M48" s="12">
        <f>IF(J48="","",IFERROR(L48/J48,""))</f>
        <v/>
      </c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3">
        <f>SUM(N48:Z48)</f>
        <v/>
      </c>
      <c r="AB48" s="8" t="n"/>
    </row>
    <row r="49" ht="20" customHeight="1">
      <c r="A49" s="6" t="n"/>
      <c r="B49" s="7" t="n"/>
      <c r="C49" s="7" t="n"/>
      <c r="D49" s="7" t="n"/>
      <c r="E49" s="8" t="n"/>
      <c r="F49" s="9">
        <f>IF(E49="","",VALUE(LEFT(E49,FIND(" - ",E49)-1)))</f>
        <v/>
      </c>
      <c r="G49" s="10">
        <f>IF(E49="","",VLOOKUP(F49,Product_Master!A:D,2,FALSE)&amp;"")</f>
        <v/>
      </c>
      <c r="H49" s="9">
        <f>IF(E49="","",VLOOKUP(F49,Product_Master!A:D,3,FALSE)&amp;"")</f>
        <v/>
      </c>
      <c r="I49" s="10">
        <f>IF(E49="","",VLOOKUP(F49,Product_Master!A:D,4,FALSE)&amp;"")</f>
        <v/>
      </c>
      <c r="J49" s="11" t="n"/>
      <c r="K49" s="11" t="n"/>
      <c r="L49" s="11" t="n"/>
      <c r="M49" s="12">
        <f>IF(J49="","",IFERROR(L49/J49,""))</f>
        <v/>
      </c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3">
        <f>SUM(N49:Z49)</f>
        <v/>
      </c>
      <c r="AB49" s="8" t="n"/>
    </row>
    <row r="50" ht="20" customHeight="1">
      <c r="A50" s="6" t="n"/>
      <c r="B50" s="7" t="n"/>
      <c r="C50" s="7" t="n"/>
      <c r="D50" s="7" t="n"/>
      <c r="E50" s="8" t="n"/>
      <c r="F50" s="9">
        <f>IF(E50="","",VALUE(LEFT(E50,FIND(" - ",E50)-1)))</f>
        <v/>
      </c>
      <c r="G50" s="10">
        <f>IF(E50="","",VLOOKUP(F50,Product_Master!A:D,2,FALSE)&amp;"")</f>
        <v/>
      </c>
      <c r="H50" s="9">
        <f>IF(E50="","",VLOOKUP(F50,Product_Master!A:D,3,FALSE)&amp;"")</f>
        <v/>
      </c>
      <c r="I50" s="10">
        <f>IF(E50="","",VLOOKUP(F50,Product_Master!A:D,4,FALSE)&amp;"")</f>
        <v/>
      </c>
      <c r="J50" s="11" t="n"/>
      <c r="K50" s="11" t="n"/>
      <c r="L50" s="11" t="n"/>
      <c r="M50" s="12">
        <f>IF(J50="","",IFERROR(L50/J50,""))</f>
        <v/>
      </c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3">
        <f>SUM(N50:Z50)</f>
        <v/>
      </c>
      <c r="AB50" s="8" t="n"/>
    </row>
    <row r="51" ht="20" customHeight="1">
      <c r="A51" s="6" t="n"/>
      <c r="B51" s="7" t="n"/>
      <c r="C51" s="7" t="n"/>
      <c r="D51" s="7" t="n"/>
      <c r="E51" s="8" t="n"/>
      <c r="F51" s="9">
        <f>IF(E51="","",VALUE(LEFT(E51,FIND(" - ",E51)-1)))</f>
        <v/>
      </c>
      <c r="G51" s="10">
        <f>IF(E51="","",VLOOKUP(F51,Product_Master!A:D,2,FALSE)&amp;"")</f>
        <v/>
      </c>
      <c r="H51" s="9">
        <f>IF(E51="","",VLOOKUP(F51,Product_Master!A:D,3,FALSE)&amp;"")</f>
        <v/>
      </c>
      <c r="I51" s="10">
        <f>IF(E51="","",VLOOKUP(F51,Product_Master!A:D,4,FALSE)&amp;"")</f>
        <v/>
      </c>
      <c r="J51" s="11" t="n"/>
      <c r="K51" s="11" t="n"/>
      <c r="L51" s="11" t="n"/>
      <c r="M51" s="12">
        <f>IF(J51="","",IFERROR(L51/J51,""))</f>
        <v/>
      </c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3">
        <f>SUM(N51:Z51)</f>
        <v/>
      </c>
      <c r="AB51" s="8" t="n"/>
    </row>
    <row r="52" ht="20" customHeight="1">
      <c r="A52" s="6" t="n"/>
      <c r="B52" s="7" t="n"/>
      <c r="C52" s="7" t="n"/>
      <c r="D52" s="7" t="n"/>
      <c r="E52" s="8" t="n"/>
      <c r="F52" s="9">
        <f>IF(E52="","",VALUE(LEFT(E52,FIND(" - ",E52)-1)))</f>
        <v/>
      </c>
      <c r="G52" s="10">
        <f>IF(E52="","",VLOOKUP(F52,Product_Master!A:D,2,FALSE)&amp;"")</f>
        <v/>
      </c>
      <c r="H52" s="9">
        <f>IF(E52="","",VLOOKUP(F52,Product_Master!A:D,3,FALSE)&amp;"")</f>
        <v/>
      </c>
      <c r="I52" s="10">
        <f>IF(E52="","",VLOOKUP(F52,Product_Master!A:D,4,FALSE)&amp;"")</f>
        <v/>
      </c>
      <c r="J52" s="11" t="n"/>
      <c r="K52" s="11" t="n"/>
      <c r="L52" s="11" t="n"/>
      <c r="M52" s="12">
        <f>IF(J52="","",IFERROR(L52/J52,""))</f>
        <v/>
      </c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3">
        <f>SUM(N52:Z52)</f>
        <v/>
      </c>
      <c r="AB52" s="8" t="n"/>
    </row>
    <row r="53" ht="20" customHeight="1">
      <c r="A53" s="6" t="n"/>
      <c r="B53" s="7" t="n"/>
      <c r="C53" s="7" t="n"/>
      <c r="D53" s="7" t="n"/>
      <c r="E53" s="8" t="n"/>
      <c r="F53" s="9">
        <f>IF(E53="","",VALUE(LEFT(E53,FIND(" - ",E53)-1)))</f>
        <v/>
      </c>
      <c r="G53" s="10">
        <f>IF(E53="","",VLOOKUP(F53,Product_Master!A:D,2,FALSE)&amp;"")</f>
        <v/>
      </c>
      <c r="H53" s="9">
        <f>IF(E53="","",VLOOKUP(F53,Product_Master!A:D,3,FALSE)&amp;"")</f>
        <v/>
      </c>
      <c r="I53" s="10">
        <f>IF(E53="","",VLOOKUP(F53,Product_Master!A:D,4,FALSE)&amp;"")</f>
        <v/>
      </c>
      <c r="J53" s="11" t="n"/>
      <c r="K53" s="11" t="n"/>
      <c r="L53" s="11" t="n"/>
      <c r="M53" s="12">
        <f>IF(J53="","",IFERROR(L53/J53,""))</f>
        <v/>
      </c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3">
        <f>SUM(N53:Z53)</f>
        <v/>
      </c>
      <c r="AB53" s="8" t="n"/>
    </row>
    <row r="54" ht="20" customHeight="1">
      <c r="A54" s="6" t="n"/>
      <c r="B54" s="7" t="n"/>
      <c r="C54" s="7" t="n"/>
      <c r="D54" s="7" t="n"/>
      <c r="E54" s="8" t="n"/>
      <c r="F54" s="9">
        <f>IF(E54="","",VALUE(LEFT(E54,FIND(" - ",E54)-1)))</f>
        <v/>
      </c>
      <c r="G54" s="10">
        <f>IF(E54="","",VLOOKUP(F54,Product_Master!A:D,2,FALSE)&amp;"")</f>
        <v/>
      </c>
      <c r="H54" s="9">
        <f>IF(E54="","",VLOOKUP(F54,Product_Master!A:D,3,FALSE)&amp;"")</f>
        <v/>
      </c>
      <c r="I54" s="10">
        <f>IF(E54="","",VLOOKUP(F54,Product_Master!A:D,4,FALSE)&amp;"")</f>
        <v/>
      </c>
      <c r="J54" s="11" t="n"/>
      <c r="K54" s="11" t="n"/>
      <c r="L54" s="11" t="n"/>
      <c r="M54" s="12">
        <f>IF(J54="","",IFERROR(L54/J54,""))</f>
        <v/>
      </c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3">
        <f>SUM(N54:Z54)</f>
        <v/>
      </c>
      <c r="AB54" s="8" t="n"/>
    </row>
    <row r="55" ht="20" customHeight="1">
      <c r="A55" s="6" t="n"/>
      <c r="B55" s="7" t="n"/>
      <c r="C55" s="7" t="n"/>
      <c r="D55" s="7" t="n"/>
      <c r="E55" s="8" t="n"/>
      <c r="F55" s="9">
        <f>IF(E55="","",VALUE(LEFT(E55,FIND(" - ",E55)-1)))</f>
        <v/>
      </c>
      <c r="G55" s="10">
        <f>IF(E55="","",VLOOKUP(F55,Product_Master!A:D,2,FALSE)&amp;"")</f>
        <v/>
      </c>
      <c r="H55" s="9">
        <f>IF(E55="","",VLOOKUP(F55,Product_Master!A:D,3,FALSE)&amp;"")</f>
        <v/>
      </c>
      <c r="I55" s="10">
        <f>IF(E55="","",VLOOKUP(F55,Product_Master!A:D,4,FALSE)&amp;"")</f>
        <v/>
      </c>
      <c r="J55" s="11" t="n"/>
      <c r="K55" s="11" t="n"/>
      <c r="L55" s="11" t="n"/>
      <c r="M55" s="12">
        <f>IF(J55="","",IFERROR(L55/J55,""))</f>
        <v/>
      </c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3">
        <f>SUM(N55:Z55)</f>
        <v/>
      </c>
      <c r="AB55" s="8" t="n"/>
    </row>
    <row r="56" ht="20" customHeight="1">
      <c r="A56" s="6" t="n"/>
      <c r="B56" s="7" t="n"/>
      <c r="C56" s="7" t="n"/>
      <c r="D56" s="7" t="n"/>
      <c r="E56" s="8" t="n"/>
      <c r="F56" s="9">
        <f>IF(E56="","",VALUE(LEFT(E56,FIND(" - ",E56)-1)))</f>
        <v/>
      </c>
      <c r="G56" s="10">
        <f>IF(E56="","",VLOOKUP(F56,Product_Master!A:D,2,FALSE)&amp;"")</f>
        <v/>
      </c>
      <c r="H56" s="9">
        <f>IF(E56="","",VLOOKUP(F56,Product_Master!A:D,3,FALSE)&amp;"")</f>
        <v/>
      </c>
      <c r="I56" s="10">
        <f>IF(E56="","",VLOOKUP(F56,Product_Master!A:D,4,FALSE)&amp;"")</f>
        <v/>
      </c>
      <c r="J56" s="11" t="n"/>
      <c r="K56" s="11" t="n"/>
      <c r="L56" s="11" t="n"/>
      <c r="M56" s="12">
        <f>IF(J56="","",IFERROR(L56/J56,""))</f>
        <v/>
      </c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3">
        <f>SUM(N56:Z56)</f>
        <v/>
      </c>
      <c r="AB56" s="8" t="n"/>
    </row>
    <row r="57" ht="20" customHeight="1">
      <c r="A57" s="6" t="n"/>
      <c r="B57" s="7" t="n"/>
      <c r="C57" s="7" t="n"/>
      <c r="D57" s="7" t="n"/>
      <c r="E57" s="8" t="n"/>
      <c r="F57" s="9">
        <f>IF(E57="","",VALUE(LEFT(E57,FIND(" - ",E57)-1)))</f>
        <v/>
      </c>
      <c r="G57" s="10">
        <f>IF(E57="","",VLOOKUP(F57,Product_Master!A:D,2,FALSE)&amp;"")</f>
        <v/>
      </c>
      <c r="H57" s="9">
        <f>IF(E57="","",VLOOKUP(F57,Product_Master!A:D,3,FALSE)&amp;"")</f>
        <v/>
      </c>
      <c r="I57" s="10">
        <f>IF(E57="","",VLOOKUP(F57,Product_Master!A:D,4,FALSE)&amp;"")</f>
        <v/>
      </c>
      <c r="J57" s="11" t="n"/>
      <c r="K57" s="11" t="n"/>
      <c r="L57" s="11" t="n"/>
      <c r="M57" s="12">
        <f>IF(J57="","",IFERROR(L57/J57,""))</f>
        <v/>
      </c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3">
        <f>SUM(N57:Z57)</f>
        <v/>
      </c>
      <c r="AB57" s="8" t="n"/>
    </row>
    <row r="58" ht="20" customHeight="1">
      <c r="A58" s="6" t="n"/>
      <c r="B58" s="7" t="n"/>
      <c r="C58" s="7" t="n"/>
      <c r="D58" s="7" t="n"/>
      <c r="E58" s="8" t="n"/>
      <c r="F58" s="9">
        <f>IF(E58="","",VALUE(LEFT(E58,FIND(" - ",E58)-1)))</f>
        <v/>
      </c>
      <c r="G58" s="10">
        <f>IF(E58="","",VLOOKUP(F58,Product_Master!A:D,2,FALSE)&amp;"")</f>
        <v/>
      </c>
      <c r="H58" s="9">
        <f>IF(E58="","",VLOOKUP(F58,Product_Master!A:D,3,FALSE)&amp;"")</f>
        <v/>
      </c>
      <c r="I58" s="10">
        <f>IF(E58="","",VLOOKUP(F58,Product_Master!A:D,4,FALSE)&amp;"")</f>
        <v/>
      </c>
      <c r="J58" s="11" t="n"/>
      <c r="K58" s="11" t="n"/>
      <c r="L58" s="11" t="n"/>
      <c r="M58" s="12">
        <f>IF(J58="","",IFERROR(L58/J58,""))</f>
        <v/>
      </c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3">
        <f>SUM(N58:Z58)</f>
        <v/>
      </c>
      <c r="AB58" s="8" t="n"/>
    </row>
    <row r="59" ht="20" customHeight="1">
      <c r="A59" s="6" t="n"/>
      <c r="B59" s="7" t="n"/>
      <c r="C59" s="7" t="n"/>
      <c r="D59" s="7" t="n"/>
      <c r="E59" s="8" t="n"/>
      <c r="F59" s="9">
        <f>IF(E59="","",VALUE(LEFT(E59,FIND(" - ",E59)-1)))</f>
        <v/>
      </c>
      <c r="G59" s="10">
        <f>IF(E59="","",VLOOKUP(F59,Product_Master!A:D,2,FALSE)&amp;"")</f>
        <v/>
      </c>
      <c r="H59" s="9">
        <f>IF(E59="","",VLOOKUP(F59,Product_Master!A:D,3,FALSE)&amp;"")</f>
        <v/>
      </c>
      <c r="I59" s="10">
        <f>IF(E59="","",VLOOKUP(F59,Product_Master!A:D,4,FALSE)&amp;"")</f>
        <v/>
      </c>
      <c r="J59" s="11" t="n"/>
      <c r="K59" s="11" t="n"/>
      <c r="L59" s="11" t="n"/>
      <c r="M59" s="12">
        <f>IF(J59="","",IFERROR(L59/J59,""))</f>
        <v/>
      </c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3">
        <f>SUM(N59:Z59)</f>
        <v/>
      </c>
      <c r="AB59" s="8" t="n"/>
    </row>
    <row r="60" ht="20" customHeight="1">
      <c r="A60" s="6" t="n"/>
      <c r="B60" s="7" t="n"/>
      <c r="C60" s="7" t="n"/>
      <c r="D60" s="7" t="n"/>
      <c r="E60" s="8" t="n"/>
      <c r="F60" s="9">
        <f>IF(E60="","",VALUE(LEFT(E60,FIND(" - ",E60)-1)))</f>
        <v/>
      </c>
      <c r="G60" s="10">
        <f>IF(E60="","",VLOOKUP(F60,Product_Master!A:D,2,FALSE)&amp;"")</f>
        <v/>
      </c>
      <c r="H60" s="9">
        <f>IF(E60="","",VLOOKUP(F60,Product_Master!A:D,3,FALSE)&amp;"")</f>
        <v/>
      </c>
      <c r="I60" s="10">
        <f>IF(E60="","",VLOOKUP(F60,Product_Master!A:D,4,FALSE)&amp;"")</f>
        <v/>
      </c>
      <c r="J60" s="11" t="n"/>
      <c r="K60" s="11" t="n"/>
      <c r="L60" s="11" t="n"/>
      <c r="M60" s="12">
        <f>IF(J60="","",IFERROR(L60/J60,""))</f>
        <v/>
      </c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3">
        <f>SUM(N60:Z60)</f>
        <v/>
      </c>
      <c r="AB60" s="8" t="n"/>
    </row>
    <row r="61" ht="20" customHeight="1">
      <c r="A61" s="6" t="n"/>
      <c r="B61" s="7" t="n"/>
      <c r="C61" s="7" t="n"/>
      <c r="D61" s="7" t="n"/>
      <c r="E61" s="8" t="n"/>
      <c r="F61" s="9">
        <f>IF(E61="","",VALUE(LEFT(E61,FIND(" - ",E61)-1)))</f>
        <v/>
      </c>
      <c r="G61" s="10">
        <f>IF(E61="","",VLOOKUP(F61,Product_Master!A:D,2,FALSE)&amp;"")</f>
        <v/>
      </c>
      <c r="H61" s="9">
        <f>IF(E61="","",VLOOKUP(F61,Product_Master!A:D,3,FALSE)&amp;"")</f>
        <v/>
      </c>
      <c r="I61" s="10">
        <f>IF(E61="","",VLOOKUP(F61,Product_Master!A:D,4,FALSE)&amp;"")</f>
        <v/>
      </c>
      <c r="J61" s="11" t="n"/>
      <c r="K61" s="11" t="n"/>
      <c r="L61" s="11" t="n"/>
      <c r="M61" s="12">
        <f>IF(J61="","",IFERROR(L61/J61,""))</f>
        <v/>
      </c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3">
        <f>SUM(N61:Z61)</f>
        <v/>
      </c>
      <c r="AB61" s="8" t="n"/>
    </row>
    <row r="62" ht="20" customHeight="1">
      <c r="A62" s="6" t="n"/>
      <c r="B62" s="7" t="n"/>
      <c r="C62" s="7" t="n"/>
      <c r="D62" s="7" t="n"/>
      <c r="E62" s="8" t="n"/>
      <c r="F62" s="9">
        <f>IF(E62="","",VALUE(LEFT(E62,FIND(" - ",E62)-1)))</f>
        <v/>
      </c>
      <c r="G62" s="10">
        <f>IF(E62="","",VLOOKUP(F62,Product_Master!A:D,2,FALSE)&amp;"")</f>
        <v/>
      </c>
      <c r="H62" s="9">
        <f>IF(E62="","",VLOOKUP(F62,Product_Master!A:D,3,FALSE)&amp;"")</f>
        <v/>
      </c>
      <c r="I62" s="10">
        <f>IF(E62="","",VLOOKUP(F62,Product_Master!A:D,4,FALSE)&amp;"")</f>
        <v/>
      </c>
      <c r="J62" s="11" t="n"/>
      <c r="K62" s="11" t="n"/>
      <c r="L62" s="11" t="n"/>
      <c r="M62" s="12">
        <f>IF(J62="","",IFERROR(L62/J62,""))</f>
        <v/>
      </c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3">
        <f>SUM(N62:Z62)</f>
        <v/>
      </c>
      <c r="AB62" s="8" t="n"/>
    </row>
    <row r="63" ht="20" customHeight="1">
      <c r="A63" s="6" t="n"/>
      <c r="B63" s="7" t="n"/>
      <c r="C63" s="7" t="n"/>
      <c r="D63" s="7" t="n"/>
      <c r="E63" s="8" t="n"/>
      <c r="F63" s="9">
        <f>IF(E63="","",VALUE(LEFT(E63,FIND(" - ",E63)-1)))</f>
        <v/>
      </c>
      <c r="G63" s="10">
        <f>IF(E63="","",VLOOKUP(F63,Product_Master!A:D,2,FALSE)&amp;"")</f>
        <v/>
      </c>
      <c r="H63" s="9">
        <f>IF(E63="","",VLOOKUP(F63,Product_Master!A:D,3,FALSE)&amp;"")</f>
        <v/>
      </c>
      <c r="I63" s="10">
        <f>IF(E63="","",VLOOKUP(F63,Product_Master!A:D,4,FALSE)&amp;"")</f>
        <v/>
      </c>
      <c r="J63" s="11" t="n"/>
      <c r="K63" s="11" t="n"/>
      <c r="L63" s="11" t="n"/>
      <c r="M63" s="12">
        <f>IF(J63="","",IFERROR(L63/J63,""))</f>
        <v/>
      </c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3">
        <f>SUM(N63:Z63)</f>
        <v/>
      </c>
      <c r="AB63" s="8" t="n"/>
    </row>
    <row r="64" ht="20" customHeight="1">
      <c r="A64" s="6" t="n"/>
      <c r="B64" s="7" t="n"/>
      <c r="C64" s="7" t="n"/>
      <c r="D64" s="7" t="n"/>
      <c r="E64" s="8" t="n"/>
      <c r="F64" s="9">
        <f>IF(E64="","",VALUE(LEFT(E64,FIND(" - ",E64)-1)))</f>
        <v/>
      </c>
      <c r="G64" s="10">
        <f>IF(E64="","",VLOOKUP(F64,Product_Master!A:D,2,FALSE)&amp;"")</f>
        <v/>
      </c>
      <c r="H64" s="9">
        <f>IF(E64="","",VLOOKUP(F64,Product_Master!A:D,3,FALSE)&amp;"")</f>
        <v/>
      </c>
      <c r="I64" s="10">
        <f>IF(E64="","",VLOOKUP(F64,Product_Master!A:D,4,FALSE)&amp;"")</f>
        <v/>
      </c>
      <c r="J64" s="11" t="n"/>
      <c r="K64" s="11" t="n"/>
      <c r="L64" s="11" t="n"/>
      <c r="M64" s="12">
        <f>IF(J64="","",IFERROR(L64/J64,""))</f>
        <v/>
      </c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3">
        <f>SUM(N64:Z64)</f>
        <v/>
      </c>
      <c r="AB64" s="8" t="n"/>
    </row>
    <row r="65" ht="20" customHeight="1">
      <c r="A65" s="6" t="n"/>
      <c r="B65" s="7" t="n"/>
      <c r="C65" s="7" t="n"/>
      <c r="D65" s="7" t="n"/>
      <c r="E65" s="8" t="n"/>
      <c r="F65" s="9">
        <f>IF(E65="","",VALUE(LEFT(E65,FIND(" - ",E65)-1)))</f>
        <v/>
      </c>
      <c r="G65" s="10">
        <f>IF(E65="","",VLOOKUP(F65,Product_Master!A:D,2,FALSE)&amp;"")</f>
        <v/>
      </c>
      <c r="H65" s="9">
        <f>IF(E65="","",VLOOKUP(F65,Product_Master!A:D,3,FALSE)&amp;"")</f>
        <v/>
      </c>
      <c r="I65" s="10">
        <f>IF(E65="","",VLOOKUP(F65,Product_Master!A:D,4,FALSE)&amp;"")</f>
        <v/>
      </c>
      <c r="J65" s="11" t="n"/>
      <c r="K65" s="11" t="n"/>
      <c r="L65" s="11" t="n"/>
      <c r="M65" s="12">
        <f>IF(J65="","",IFERROR(L65/J65,""))</f>
        <v/>
      </c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3">
        <f>SUM(N65:Z65)</f>
        <v/>
      </c>
      <c r="AB65" s="8" t="n"/>
    </row>
    <row r="66" ht="20" customHeight="1">
      <c r="A66" s="6" t="n"/>
      <c r="B66" s="7" t="n"/>
      <c r="C66" s="7" t="n"/>
      <c r="D66" s="7" t="n"/>
      <c r="E66" s="8" t="n"/>
      <c r="F66" s="9">
        <f>IF(E66="","",VALUE(LEFT(E66,FIND(" - ",E66)-1)))</f>
        <v/>
      </c>
      <c r="G66" s="10">
        <f>IF(E66="","",VLOOKUP(F66,Product_Master!A:D,2,FALSE)&amp;"")</f>
        <v/>
      </c>
      <c r="H66" s="9">
        <f>IF(E66="","",VLOOKUP(F66,Product_Master!A:D,3,FALSE)&amp;"")</f>
        <v/>
      </c>
      <c r="I66" s="10">
        <f>IF(E66="","",VLOOKUP(F66,Product_Master!A:D,4,FALSE)&amp;"")</f>
        <v/>
      </c>
      <c r="J66" s="11" t="n"/>
      <c r="K66" s="11" t="n"/>
      <c r="L66" s="11" t="n"/>
      <c r="M66" s="12">
        <f>IF(J66="","",IFERROR(L66/J66,""))</f>
        <v/>
      </c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3">
        <f>SUM(N66:Z66)</f>
        <v/>
      </c>
      <c r="AB66" s="8" t="n"/>
    </row>
    <row r="67" ht="20" customHeight="1">
      <c r="A67" s="6" t="n"/>
      <c r="B67" s="7" t="n"/>
      <c r="C67" s="7" t="n"/>
      <c r="D67" s="7" t="n"/>
      <c r="E67" s="8" t="n"/>
      <c r="F67" s="9">
        <f>IF(E67="","",VALUE(LEFT(E67,FIND(" - ",E67)-1)))</f>
        <v/>
      </c>
      <c r="G67" s="10">
        <f>IF(E67="","",VLOOKUP(F67,Product_Master!A:D,2,FALSE)&amp;"")</f>
        <v/>
      </c>
      <c r="H67" s="9">
        <f>IF(E67="","",VLOOKUP(F67,Product_Master!A:D,3,FALSE)&amp;"")</f>
        <v/>
      </c>
      <c r="I67" s="10">
        <f>IF(E67="","",VLOOKUP(F67,Product_Master!A:D,4,FALSE)&amp;"")</f>
        <v/>
      </c>
      <c r="J67" s="11" t="n"/>
      <c r="K67" s="11" t="n"/>
      <c r="L67" s="11" t="n"/>
      <c r="M67" s="12">
        <f>IF(J67="","",IFERROR(L67/J67,""))</f>
        <v/>
      </c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3">
        <f>SUM(N67:Z67)</f>
        <v/>
      </c>
      <c r="AB67" s="8" t="n"/>
    </row>
    <row r="68" ht="20" customHeight="1">
      <c r="A68" s="6" t="n"/>
      <c r="B68" s="7" t="n"/>
      <c r="C68" s="7" t="n"/>
      <c r="D68" s="7" t="n"/>
      <c r="E68" s="8" t="n"/>
      <c r="F68" s="9">
        <f>IF(E68="","",VALUE(LEFT(E68,FIND(" - ",E68)-1)))</f>
        <v/>
      </c>
      <c r="G68" s="10">
        <f>IF(E68="","",VLOOKUP(F68,Product_Master!A:D,2,FALSE)&amp;"")</f>
        <v/>
      </c>
      <c r="H68" s="9">
        <f>IF(E68="","",VLOOKUP(F68,Product_Master!A:D,3,FALSE)&amp;"")</f>
        <v/>
      </c>
      <c r="I68" s="10">
        <f>IF(E68="","",VLOOKUP(F68,Product_Master!A:D,4,FALSE)&amp;"")</f>
        <v/>
      </c>
      <c r="J68" s="11" t="n"/>
      <c r="K68" s="11" t="n"/>
      <c r="L68" s="11" t="n"/>
      <c r="M68" s="12">
        <f>IF(J68="","",IFERROR(L68/J68,""))</f>
        <v/>
      </c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3">
        <f>SUM(N68:Z68)</f>
        <v/>
      </c>
      <c r="AB68" s="8" t="n"/>
    </row>
    <row r="69" ht="20" customHeight="1">
      <c r="A69" s="6" t="n"/>
      <c r="B69" s="7" t="n"/>
      <c r="C69" s="7" t="n"/>
      <c r="D69" s="7" t="n"/>
      <c r="E69" s="8" t="n"/>
      <c r="F69" s="9">
        <f>IF(E69="","",VALUE(LEFT(E69,FIND(" - ",E69)-1)))</f>
        <v/>
      </c>
      <c r="G69" s="10">
        <f>IF(E69="","",VLOOKUP(F69,Product_Master!A:D,2,FALSE)&amp;"")</f>
        <v/>
      </c>
      <c r="H69" s="9">
        <f>IF(E69="","",VLOOKUP(F69,Product_Master!A:D,3,FALSE)&amp;"")</f>
        <v/>
      </c>
      <c r="I69" s="10">
        <f>IF(E69="","",VLOOKUP(F69,Product_Master!A:D,4,FALSE)&amp;"")</f>
        <v/>
      </c>
      <c r="J69" s="11" t="n"/>
      <c r="K69" s="11" t="n"/>
      <c r="L69" s="11" t="n"/>
      <c r="M69" s="12">
        <f>IF(J69="","",IFERROR(L69/J69,""))</f>
        <v/>
      </c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3">
        <f>SUM(N69:Z69)</f>
        <v/>
      </c>
      <c r="AB69" s="8" t="n"/>
    </row>
    <row r="70" ht="20" customHeight="1">
      <c r="A70" s="6" t="n"/>
      <c r="B70" s="7" t="n"/>
      <c r="C70" s="7" t="n"/>
      <c r="D70" s="7" t="n"/>
      <c r="E70" s="8" t="n"/>
      <c r="F70" s="9">
        <f>IF(E70="","",VALUE(LEFT(E70,FIND(" - ",E70)-1)))</f>
        <v/>
      </c>
      <c r="G70" s="10">
        <f>IF(E70="","",VLOOKUP(F70,Product_Master!A:D,2,FALSE)&amp;"")</f>
        <v/>
      </c>
      <c r="H70" s="9">
        <f>IF(E70="","",VLOOKUP(F70,Product_Master!A:D,3,FALSE)&amp;"")</f>
        <v/>
      </c>
      <c r="I70" s="10">
        <f>IF(E70="","",VLOOKUP(F70,Product_Master!A:D,4,FALSE)&amp;"")</f>
        <v/>
      </c>
      <c r="J70" s="11" t="n"/>
      <c r="K70" s="11" t="n"/>
      <c r="L70" s="11" t="n"/>
      <c r="M70" s="12">
        <f>IF(J70="","",IFERROR(L70/J70,""))</f>
        <v/>
      </c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3">
        <f>SUM(N70:Z70)</f>
        <v/>
      </c>
      <c r="AB70" s="8" t="n"/>
    </row>
    <row r="71" ht="20" customHeight="1">
      <c r="A71" s="6" t="n"/>
      <c r="B71" s="7" t="n"/>
      <c r="C71" s="7" t="n"/>
      <c r="D71" s="7" t="n"/>
      <c r="E71" s="8" t="n"/>
      <c r="F71" s="9">
        <f>IF(E71="","",VALUE(LEFT(E71,FIND(" - ",E71)-1)))</f>
        <v/>
      </c>
      <c r="G71" s="10">
        <f>IF(E71="","",VLOOKUP(F71,Product_Master!A:D,2,FALSE)&amp;"")</f>
        <v/>
      </c>
      <c r="H71" s="9">
        <f>IF(E71="","",VLOOKUP(F71,Product_Master!A:D,3,FALSE)&amp;"")</f>
        <v/>
      </c>
      <c r="I71" s="10">
        <f>IF(E71="","",VLOOKUP(F71,Product_Master!A:D,4,FALSE)&amp;"")</f>
        <v/>
      </c>
      <c r="J71" s="11" t="n"/>
      <c r="K71" s="11" t="n"/>
      <c r="L71" s="11" t="n"/>
      <c r="M71" s="12">
        <f>IF(J71="","",IFERROR(L71/J71,""))</f>
        <v/>
      </c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3">
        <f>SUM(N71:Z71)</f>
        <v/>
      </c>
      <c r="AB71" s="8" t="n"/>
    </row>
    <row r="72" ht="20" customHeight="1">
      <c r="A72" s="6" t="n"/>
      <c r="B72" s="7" t="n"/>
      <c r="C72" s="7" t="n"/>
      <c r="D72" s="7" t="n"/>
      <c r="E72" s="8" t="n"/>
      <c r="F72" s="9">
        <f>IF(E72="","",VALUE(LEFT(E72,FIND(" - ",E72)-1)))</f>
        <v/>
      </c>
      <c r="G72" s="10">
        <f>IF(E72="","",VLOOKUP(F72,Product_Master!A:D,2,FALSE)&amp;"")</f>
        <v/>
      </c>
      <c r="H72" s="9">
        <f>IF(E72="","",VLOOKUP(F72,Product_Master!A:D,3,FALSE)&amp;"")</f>
        <v/>
      </c>
      <c r="I72" s="10">
        <f>IF(E72="","",VLOOKUP(F72,Product_Master!A:D,4,FALSE)&amp;"")</f>
        <v/>
      </c>
      <c r="J72" s="11" t="n"/>
      <c r="K72" s="11" t="n"/>
      <c r="L72" s="11" t="n"/>
      <c r="M72" s="12">
        <f>IF(J72="","",IFERROR(L72/J72,""))</f>
        <v/>
      </c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3">
        <f>SUM(N72:Z72)</f>
        <v/>
      </c>
      <c r="AB72" s="8" t="n"/>
    </row>
    <row r="73" ht="20" customHeight="1">
      <c r="A73" s="6" t="n"/>
      <c r="B73" s="7" t="n"/>
      <c r="C73" s="7" t="n"/>
      <c r="D73" s="7" t="n"/>
      <c r="E73" s="8" t="n"/>
      <c r="F73" s="9">
        <f>IF(E73="","",VALUE(LEFT(E73,FIND(" - ",E73)-1)))</f>
        <v/>
      </c>
      <c r="G73" s="10">
        <f>IF(E73="","",VLOOKUP(F73,Product_Master!A:D,2,FALSE)&amp;"")</f>
        <v/>
      </c>
      <c r="H73" s="9">
        <f>IF(E73="","",VLOOKUP(F73,Product_Master!A:D,3,FALSE)&amp;"")</f>
        <v/>
      </c>
      <c r="I73" s="10">
        <f>IF(E73="","",VLOOKUP(F73,Product_Master!A:D,4,FALSE)&amp;"")</f>
        <v/>
      </c>
      <c r="J73" s="11" t="n"/>
      <c r="K73" s="11" t="n"/>
      <c r="L73" s="11" t="n"/>
      <c r="M73" s="12">
        <f>IF(J73="","",IFERROR(L73/J73,""))</f>
        <v/>
      </c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3">
        <f>SUM(N73:Z73)</f>
        <v/>
      </c>
      <c r="AB73" s="8" t="n"/>
    </row>
    <row r="74" ht="20" customHeight="1">
      <c r="A74" s="6" t="n"/>
      <c r="B74" s="7" t="n"/>
      <c r="C74" s="7" t="n"/>
      <c r="D74" s="7" t="n"/>
      <c r="E74" s="8" t="n"/>
      <c r="F74" s="9">
        <f>IF(E74="","",VALUE(LEFT(E74,FIND(" - ",E74)-1)))</f>
        <v/>
      </c>
      <c r="G74" s="10">
        <f>IF(E74="","",VLOOKUP(F74,Product_Master!A:D,2,FALSE)&amp;"")</f>
        <v/>
      </c>
      <c r="H74" s="9">
        <f>IF(E74="","",VLOOKUP(F74,Product_Master!A:D,3,FALSE)&amp;"")</f>
        <v/>
      </c>
      <c r="I74" s="10">
        <f>IF(E74="","",VLOOKUP(F74,Product_Master!A:D,4,FALSE)&amp;"")</f>
        <v/>
      </c>
      <c r="J74" s="11" t="n"/>
      <c r="K74" s="11" t="n"/>
      <c r="L74" s="11" t="n"/>
      <c r="M74" s="12">
        <f>IF(J74="","",IFERROR(L74/J74,""))</f>
        <v/>
      </c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3">
        <f>SUM(N74:Z74)</f>
        <v/>
      </c>
      <c r="AB74" s="8" t="n"/>
    </row>
    <row r="75" ht="20" customHeight="1">
      <c r="A75" s="6" t="n"/>
      <c r="B75" s="7" t="n"/>
      <c r="C75" s="7" t="n"/>
      <c r="D75" s="7" t="n"/>
      <c r="E75" s="8" t="n"/>
      <c r="F75" s="9">
        <f>IF(E75="","",VALUE(LEFT(E75,FIND(" - ",E75)-1)))</f>
        <v/>
      </c>
      <c r="G75" s="10">
        <f>IF(E75="","",VLOOKUP(F75,Product_Master!A:D,2,FALSE)&amp;"")</f>
        <v/>
      </c>
      <c r="H75" s="9">
        <f>IF(E75="","",VLOOKUP(F75,Product_Master!A:D,3,FALSE)&amp;"")</f>
        <v/>
      </c>
      <c r="I75" s="10">
        <f>IF(E75="","",VLOOKUP(F75,Product_Master!A:D,4,FALSE)&amp;"")</f>
        <v/>
      </c>
      <c r="J75" s="11" t="n"/>
      <c r="K75" s="11" t="n"/>
      <c r="L75" s="11" t="n"/>
      <c r="M75" s="12">
        <f>IF(J75="","",IFERROR(L75/J75,""))</f>
        <v/>
      </c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3">
        <f>SUM(N75:Z75)</f>
        <v/>
      </c>
      <c r="AB75" s="8" t="n"/>
    </row>
    <row r="76" ht="20" customHeight="1">
      <c r="A76" s="6" t="n"/>
      <c r="B76" s="7" t="n"/>
      <c r="C76" s="7" t="n"/>
      <c r="D76" s="7" t="n"/>
      <c r="E76" s="8" t="n"/>
      <c r="F76" s="9">
        <f>IF(E76="","",VALUE(LEFT(E76,FIND(" - ",E76)-1)))</f>
        <v/>
      </c>
      <c r="G76" s="10">
        <f>IF(E76="","",VLOOKUP(F76,Product_Master!A:D,2,FALSE)&amp;"")</f>
        <v/>
      </c>
      <c r="H76" s="9">
        <f>IF(E76="","",VLOOKUP(F76,Product_Master!A:D,3,FALSE)&amp;"")</f>
        <v/>
      </c>
      <c r="I76" s="10">
        <f>IF(E76="","",VLOOKUP(F76,Product_Master!A:D,4,FALSE)&amp;"")</f>
        <v/>
      </c>
      <c r="J76" s="11" t="n"/>
      <c r="K76" s="11" t="n"/>
      <c r="L76" s="11" t="n"/>
      <c r="M76" s="12">
        <f>IF(J76="","",IFERROR(L76/J76,""))</f>
        <v/>
      </c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3">
        <f>SUM(N76:Z76)</f>
        <v/>
      </c>
      <c r="AB76" s="8" t="n"/>
    </row>
    <row r="77" ht="20" customHeight="1">
      <c r="A77" s="6" t="n"/>
      <c r="B77" s="7" t="n"/>
      <c r="C77" s="7" t="n"/>
      <c r="D77" s="7" t="n"/>
      <c r="E77" s="8" t="n"/>
      <c r="F77" s="9">
        <f>IF(E77="","",VALUE(LEFT(E77,FIND(" - ",E77)-1)))</f>
        <v/>
      </c>
      <c r="G77" s="10">
        <f>IF(E77="","",VLOOKUP(F77,Product_Master!A:D,2,FALSE)&amp;"")</f>
        <v/>
      </c>
      <c r="H77" s="9">
        <f>IF(E77="","",VLOOKUP(F77,Product_Master!A:D,3,FALSE)&amp;"")</f>
        <v/>
      </c>
      <c r="I77" s="10">
        <f>IF(E77="","",VLOOKUP(F77,Product_Master!A:D,4,FALSE)&amp;"")</f>
        <v/>
      </c>
      <c r="J77" s="11" t="n"/>
      <c r="K77" s="11" t="n"/>
      <c r="L77" s="11" t="n"/>
      <c r="M77" s="12">
        <f>IF(J77="","",IFERROR(L77/J77,""))</f>
        <v/>
      </c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3">
        <f>SUM(N77:Z77)</f>
        <v/>
      </c>
      <c r="AB77" s="8" t="n"/>
    </row>
    <row r="78" ht="20" customHeight="1">
      <c r="A78" s="6" t="n"/>
      <c r="B78" s="7" t="n"/>
      <c r="C78" s="7" t="n"/>
      <c r="D78" s="7" t="n"/>
      <c r="E78" s="8" t="n"/>
      <c r="F78" s="9">
        <f>IF(E78="","",VALUE(LEFT(E78,FIND(" - ",E78)-1)))</f>
        <v/>
      </c>
      <c r="G78" s="10">
        <f>IF(E78="","",VLOOKUP(F78,Product_Master!A:D,2,FALSE)&amp;"")</f>
        <v/>
      </c>
      <c r="H78" s="9">
        <f>IF(E78="","",VLOOKUP(F78,Product_Master!A:D,3,FALSE)&amp;"")</f>
        <v/>
      </c>
      <c r="I78" s="10">
        <f>IF(E78="","",VLOOKUP(F78,Product_Master!A:D,4,FALSE)&amp;"")</f>
        <v/>
      </c>
      <c r="J78" s="11" t="n"/>
      <c r="K78" s="11" t="n"/>
      <c r="L78" s="11" t="n"/>
      <c r="M78" s="12">
        <f>IF(J78="","",IFERROR(L78/J78,""))</f>
        <v/>
      </c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3">
        <f>SUM(N78:Z78)</f>
        <v/>
      </c>
      <c r="AB78" s="8" t="n"/>
    </row>
    <row r="79" ht="20" customHeight="1">
      <c r="A79" s="6" t="n"/>
      <c r="B79" s="7" t="n"/>
      <c r="C79" s="7" t="n"/>
      <c r="D79" s="7" t="n"/>
      <c r="E79" s="8" t="n"/>
      <c r="F79" s="9">
        <f>IF(E79="","",VALUE(LEFT(E79,FIND(" - ",E79)-1)))</f>
        <v/>
      </c>
      <c r="G79" s="10">
        <f>IF(E79="","",VLOOKUP(F79,Product_Master!A:D,2,FALSE)&amp;"")</f>
        <v/>
      </c>
      <c r="H79" s="9">
        <f>IF(E79="","",VLOOKUP(F79,Product_Master!A:D,3,FALSE)&amp;"")</f>
        <v/>
      </c>
      <c r="I79" s="10">
        <f>IF(E79="","",VLOOKUP(F79,Product_Master!A:D,4,FALSE)&amp;"")</f>
        <v/>
      </c>
      <c r="J79" s="11" t="n"/>
      <c r="K79" s="11" t="n"/>
      <c r="L79" s="11" t="n"/>
      <c r="M79" s="12">
        <f>IF(J79="","",IFERROR(L79/J79,""))</f>
        <v/>
      </c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3">
        <f>SUM(N79:Z79)</f>
        <v/>
      </c>
      <c r="AB79" s="8" t="n"/>
    </row>
    <row r="80" ht="20" customHeight="1">
      <c r="A80" s="6" t="n"/>
      <c r="B80" s="7" t="n"/>
      <c r="C80" s="7" t="n"/>
      <c r="D80" s="7" t="n"/>
      <c r="E80" s="8" t="n"/>
      <c r="F80" s="9">
        <f>IF(E80="","",VALUE(LEFT(E80,FIND(" - ",E80)-1)))</f>
        <v/>
      </c>
      <c r="G80" s="10">
        <f>IF(E80="","",VLOOKUP(F80,Product_Master!A:D,2,FALSE)&amp;"")</f>
        <v/>
      </c>
      <c r="H80" s="9">
        <f>IF(E80="","",VLOOKUP(F80,Product_Master!A:D,3,FALSE)&amp;"")</f>
        <v/>
      </c>
      <c r="I80" s="10">
        <f>IF(E80="","",VLOOKUP(F80,Product_Master!A:D,4,FALSE)&amp;"")</f>
        <v/>
      </c>
      <c r="J80" s="11" t="n"/>
      <c r="K80" s="11" t="n"/>
      <c r="L80" s="11" t="n"/>
      <c r="M80" s="12">
        <f>IF(J80="","",IFERROR(L80/J80,""))</f>
        <v/>
      </c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3">
        <f>SUM(N80:Z80)</f>
        <v/>
      </c>
      <c r="AB80" s="8" t="n"/>
    </row>
    <row r="81" ht="20" customHeight="1">
      <c r="A81" s="6" t="n"/>
      <c r="B81" s="7" t="n"/>
      <c r="C81" s="7" t="n"/>
      <c r="D81" s="7" t="n"/>
      <c r="E81" s="8" t="n"/>
      <c r="F81" s="9">
        <f>IF(E81="","",VALUE(LEFT(E81,FIND(" - ",E81)-1)))</f>
        <v/>
      </c>
      <c r="G81" s="10">
        <f>IF(E81="","",VLOOKUP(F81,Product_Master!A:D,2,FALSE)&amp;"")</f>
        <v/>
      </c>
      <c r="H81" s="9">
        <f>IF(E81="","",VLOOKUP(F81,Product_Master!A:D,3,FALSE)&amp;"")</f>
        <v/>
      </c>
      <c r="I81" s="10">
        <f>IF(E81="","",VLOOKUP(F81,Product_Master!A:D,4,FALSE)&amp;"")</f>
        <v/>
      </c>
      <c r="J81" s="11" t="n"/>
      <c r="K81" s="11" t="n"/>
      <c r="L81" s="11" t="n"/>
      <c r="M81" s="12">
        <f>IF(J81="","",IFERROR(L81/J81,""))</f>
        <v/>
      </c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3">
        <f>SUM(N81:Z81)</f>
        <v/>
      </c>
      <c r="AB81" s="8" t="n"/>
    </row>
    <row r="82" ht="20" customHeight="1">
      <c r="A82" s="6" t="n"/>
      <c r="B82" s="7" t="n"/>
      <c r="C82" s="7" t="n"/>
      <c r="D82" s="7" t="n"/>
      <c r="E82" s="8" t="n"/>
      <c r="F82" s="9">
        <f>IF(E82="","",VALUE(LEFT(E82,FIND(" - ",E82)-1)))</f>
        <v/>
      </c>
      <c r="G82" s="10">
        <f>IF(E82="","",VLOOKUP(F82,Product_Master!A:D,2,FALSE)&amp;"")</f>
        <v/>
      </c>
      <c r="H82" s="9">
        <f>IF(E82="","",VLOOKUP(F82,Product_Master!A:D,3,FALSE)&amp;"")</f>
        <v/>
      </c>
      <c r="I82" s="10">
        <f>IF(E82="","",VLOOKUP(F82,Product_Master!A:D,4,FALSE)&amp;"")</f>
        <v/>
      </c>
      <c r="J82" s="11" t="n"/>
      <c r="K82" s="11" t="n"/>
      <c r="L82" s="11" t="n"/>
      <c r="M82" s="12">
        <f>IF(J82="","",IFERROR(L82/J82,""))</f>
        <v/>
      </c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3">
        <f>SUM(N82:Z82)</f>
        <v/>
      </c>
      <c r="AB82" s="8" t="n"/>
    </row>
    <row r="83" ht="20" customHeight="1">
      <c r="A83" s="6" t="n"/>
      <c r="B83" s="7" t="n"/>
      <c r="C83" s="7" t="n"/>
      <c r="D83" s="7" t="n"/>
      <c r="E83" s="8" t="n"/>
      <c r="F83" s="9">
        <f>IF(E83="","",VALUE(LEFT(E83,FIND(" - ",E83)-1)))</f>
        <v/>
      </c>
      <c r="G83" s="10">
        <f>IF(E83="","",VLOOKUP(F83,Product_Master!A:D,2,FALSE)&amp;"")</f>
        <v/>
      </c>
      <c r="H83" s="9">
        <f>IF(E83="","",VLOOKUP(F83,Product_Master!A:D,3,FALSE)&amp;"")</f>
        <v/>
      </c>
      <c r="I83" s="10">
        <f>IF(E83="","",VLOOKUP(F83,Product_Master!A:D,4,FALSE)&amp;"")</f>
        <v/>
      </c>
      <c r="J83" s="11" t="n"/>
      <c r="K83" s="11" t="n"/>
      <c r="L83" s="11" t="n"/>
      <c r="M83" s="12">
        <f>IF(J83="","",IFERROR(L83/J83,""))</f>
        <v/>
      </c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3">
        <f>SUM(N83:Z83)</f>
        <v/>
      </c>
      <c r="AB83" s="8" t="n"/>
    </row>
    <row r="84" ht="20" customHeight="1">
      <c r="A84" s="6" t="n"/>
      <c r="B84" s="7" t="n"/>
      <c r="C84" s="7" t="n"/>
      <c r="D84" s="7" t="n"/>
      <c r="E84" s="8" t="n"/>
      <c r="F84" s="9">
        <f>IF(E84="","",VALUE(LEFT(E84,FIND(" - ",E84)-1)))</f>
        <v/>
      </c>
      <c r="G84" s="10">
        <f>IF(E84="","",VLOOKUP(F84,Product_Master!A:D,2,FALSE)&amp;"")</f>
        <v/>
      </c>
      <c r="H84" s="9">
        <f>IF(E84="","",VLOOKUP(F84,Product_Master!A:D,3,FALSE)&amp;"")</f>
        <v/>
      </c>
      <c r="I84" s="10">
        <f>IF(E84="","",VLOOKUP(F84,Product_Master!A:D,4,FALSE)&amp;"")</f>
        <v/>
      </c>
      <c r="J84" s="11" t="n"/>
      <c r="K84" s="11" t="n"/>
      <c r="L84" s="11" t="n"/>
      <c r="M84" s="12">
        <f>IF(J84="","",IFERROR(L84/J84,""))</f>
        <v/>
      </c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3">
        <f>SUM(N84:Z84)</f>
        <v/>
      </c>
      <c r="AB84" s="8" t="n"/>
    </row>
    <row r="85" ht="20" customHeight="1">
      <c r="A85" s="6" t="n"/>
      <c r="B85" s="7" t="n"/>
      <c r="C85" s="7" t="n"/>
      <c r="D85" s="7" t="n"/>
      <c r="E85" s="8" t="n"/>
      <c r="F85" s="9">
        <f>IF(E85="","",VALUE(LEFT(E85,FIND(" - ",E85)-1)))</f>
        <v/>
      </c>
      <c r="G85" s="10">
        <f>IF(E85="","",VLOOKUP(F85,Product_Master!A:D,2,FALSE)&amp;"")</f>
        <v/>
      </c>
      <c r="H85" s="9">
        <f>IF(E85="","",VLOOKUP(F85,Product_Master!A:D,3,FALSE)&amp;"")</f>
        <v/>
      </c>
      <c r="I85" s="10">
        <f>IF(E85="","",VLOOKUP(F85,Product_Master!A:D,4,FALSE)&amp;"")</f>
        <v/>
      </c>
      <c r="J85" s="11" t="n"/>
      <c r="K85" s="11" t="n"/>
      <c r="L85" s="11" t="n"/>
      <c r="M85" s="12">
        <f>IF(J85="","",IFERROR(L85/J85,""))</f>
        <v/>
      </c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3">
        <f>SUM(N85:Z85)</f>
        <v/>
      </c>
      <c r="AB85" s="8" t="n"/>
    </row>
    <row r="86" ht="20" customHeight="1">
      <c r="A86" s="6" t="n"/>
      <c r="B86" s="7" t="n"/>
      <c r="C86" s="7" t="n"/>
      <c r="D86" s="7" t="n"/>
      <c r="E86" s="8" t="n"/>
      <c r="F86" s="9">
        <f>IF(E86="","",VALUE(LEFT(E86,FIND(" - ",E86)-1)))</f>
        <v/>
      </c>
      <c r="G86" s="10">
        <f>IF(E86="","",VLOOKUP(F86,Product_Master!A:D,2,FALSE)&amp;"")</f>
        <v/>
      </c>
      <c r="H86" s="9">
        <f>IF(E86="","",VLOOKUP(F86,Product_Master!A:D,3,FALSE)&amp;"")</f>
        <v/>
      </c>
      <c r="I86" s="10">
        <f>IF(E86="","",VLOOKUP(F86,Product_Master!A:D,4,FALSE)&amp;"")</f>
        <v/>
      </c>
      <c r="J86" s="11" t="n"/>
      <c r="K86" s="11" t="n"/>
      <c r="L86" s="11" t="n"/>
      <c r="M86" s="12">
        <f>IF(J86="","",IFERROR(L86/J86,""))</f>
        <v/>
      </c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3">
        <f>SUM(N86:Z86)</f>
        <v/>
      </c>
      <c r="AB86" s="8" t="n"/>
    </row>
    <row r="87" ht="20" customHeight="1">
      <c r="A87" s="6" t="n"/>
      <c r="B87" s="7" t="n"/>
      <c r="C87" s="7" t="n"/>
      <c r="D87" s="7" t="n"/>
      <c r="E87" s="8" t="n"/>
      <c r="F87" s="9">
        <f>IF(E87="","",VALUE(LEFT(E87,FIND(" - ",E87)-1)))</f>
        <v/>
      </c>
      <c r="G87" s="10">
        <f>IF(E87="","",VLOOKUP(F87,Product_Master!A:D,2,FALSE)&amp;"")</f>
        <v/>
      </c>
      <c r="H87" s="9">
        <f>IF(E87="","",VLOOKUP(F87,Product_Master!A:D,3,FALSE)&amp;"")</f>
        <v/>
      </c>
      <c r="I87" s="10">
        <f>IF(E87="","",VLOOKUP(F87,Product_Master!A:D,4,FALSE)&amp;"")</f>
        <v/>
      </c>
      <c r="J87" s="11" t="n"/>
      <c r="K87" s="11" t="n"/>
      <c r="L87" s="11" t="n"/>
      <c r="M87" s="12">
        <f>IF(J87="","",IFERROR(L87/J87,""))</f>
        <v/>
      </c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3">
        <f>SUM(N87:Z87)</f>
        <v/>
      </c>
      <c r="AB87" s="8" t="n"/>
    </row>
    <row r="88" ht="20" customHeight="1">
      <c r="A88" s="6" t="n"/>
      <c r="B88" s="7" t="n"/>
      <c r="C88" s="7" t="n"/>
      <c r="D88" s="7" t="n"/>
      <c r="E88" s="8" t="n"/>
      <c r="F88" s="9">
        <f>IF(E88="","",VALUE(LEFT(E88,FIND(" - ",E88)-1)))</f>
        <v/>
      </c>
      <c r="G88" s="10">
        <f>IF(E88="","",VLOOKUP(F88,Product_Master!A:D,2,FALSE)&amp;"")</f>
        <v/>
      </c>
      <c r="H88" s="9">
        <f>IF(E88="","",VLOOKUP(F88,Product_Master!A:D,3,FALSE)&amp;"")</f>
        <v/>
      </c>
      <c r="I88" s="10">
        <f>IF(E88="","",VLOOKUP(F88,Product_Master!A:D,4,FALSE)&amp;"")</f>
        <v/>
      </c>
      <c r="J88" s="11" t="n"/>
      <c r="K88" s="11" t="n"/>
      <c r="L88" s="11" t="n"/>
      <c r="M88" s="12">
        <f>IF(J88="","",IFERROR(L88/J88,""))</f>
        <v/>
      </c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3">
        <f>SUM(N88:Z88)</f>
        <v/>
      </c>
      <c r="AB88" s="8" t="n"/>
    </row>
    <row r="89" ht="20" customHeight="1">
      <c r="A89" s="6" t="n"/>
      <c r="B89" s="7" t="n"/>
      <c r="C89" s="7" t="n"/>
      <c r="D89" s="7" t="n"/>
      <c r="E89" s="8" t="n"/>
      <c r="F89" s="9">
        <f>IF(E89="","",VALUE(LEFT(E89,FIND(" - ",E89)-1)))</f>
        <v/>
      </c>
      <c r="G89" s="10">
        <f>IF(E89="","",VLOOKUP(F89,Product_Master!A:D,2,FALSE)&amp;"")</f>
        <v/>
      </c>
      <c r="H89" s="9">
        <f>IF(E89="","",VLOOKUP(F89,Product_Master!A:D,3,FALSE)&amp;"")</f>
        <v/>
      </c>
      <c r="I89" s="10">
        <f>IF(E89="","",VLOOKUP(F89,Product_Master!A:D,4,FALSE)&amp;"")</f>
        <v/>
      </c>
      <c r="J89" s="11" t="n"/>
      <c r="K89" s="11" t="n"/>
      <c r="L89" s="11" t="n"/>
      <c r="M89" s="12">
        <f>IF(J89="","",IFERROR(L89/J89,""))</f>
        <v/>
      </c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3">
        <f>SUM(N89:Z89)</f>
        <v/>
      </c>
      <c r="AB89" s="8" t="n"/>
    </row>
    <row r="90" ht="20" customHeight="1">
      <c r="A90" s="6" t="n"/>
      <c r="B90" s="7" t="n"/>
      <c r="C90" s="7" t="n"/>
      <c r="D90" s="7" t="n"/>
      <c r="E90" s="8" t="n"/>
      <c r="F90" s="9">
        <f>IF(E90="","",VALUE(LEFT(E90,FIND(" - ",E90)-1)))</f>
        <v/>
      </c>
      <c r="G90" s="10">
        <f>IF(E90="","",VLOOKUP(F90,Product_Master!A:D,2,FALSE)&amp;"")</f>
        <v/>
      </c>
      <c r="H90" s="9">
        <f>IF(E90="","",VLOOKUP(F90,Product_Master!A:D,3,FALSE)&amp;"")</f>
        <v/>
      </c>
      <c r="I90" s="10">
        <f>IF(E90="","",VLOOKUP(F90,Product_Master!A:D,4,FALSE)&amp;"")</f>
        <v/>
      </c>
      <c r="J90" s="11" t="n"/>
      <c r="K90" s="11" t="n"/>
      <c r="L90" s="11" t="n"/>
      <c r="M90" s="12">
        <f>IF(J90="","",IFERROR(L90/J90,""))</f>
        <v/>
      </c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3">
        <f>SUM(N90:Z90)</f>
        <v/>
      </c>
      <c r="AB90" s="8" t="n"/>
    </row>
    <row r="91" ht="20" customHeight="1">
      <c r="A91" s="6" t="n"/>
      <c r="B91" s="7" t="n"/>
      <c r="C91" s="7" t="n"/>
      <c r="D91" s="7" t="n"/>
      <c r="E91" s="8" t="n"/>
      <c r="F91" s="9">
        <f>IF(E91="","",VALUE(LEFT(E91,FIND(" - ",E91)-1)))</f>
        <v/>
      </c>
      <c r="G91" s="10">
        <f>IF(E91="","",VLOOKUP(F91,Product_Master!A:D,2,FALSE)&amp;"")</f>
        <v/>
      </c>
      <c r="H91" s="9">
        <f>IF(E91="","",VLOOKUP(F91,Product_Master!A:D,3,FALSE)&amp;"")</f>
        <v/>
      </c>
      <c r="I91" s="10">
        <f>IF(E91="","",VLOOKUP(F91,Product_Master!A:D,4,FALSE)&amp;"")</f>
        <v/>
      </c>
      <c r="J91" s="11" t="n"/>
      <c r="K91" s="11" t="n"/>
      <c r="L91" s="11" t="n"/>
      <c r="M91" s="12">
        <f>IF(J91="","",IFERROR(L91/J91,""))</f>
        <v/>
      </c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3">
        <f>SUM(N91:Z91)</f>
        <v/>
      </c>
      <c r="AB91" s="8" t="n"/>
    </row>
    <row r="92" ht="20" customHeight="1">
      <c r="A92" s="6" t="n"/>
      <c r="B92" s="7" t="n"/>
      <c r="C92" s="7" t="n"/>
      <c r="D92" s="7" t="n"/>
      <c r="E92" s="8" t="n"/>
      <c r="F92" s="9">
        <f>IF(E92="","",VALUE(LEFT(E92,FIND(" - ",E92)-1)))</f>
        <v/>
      </c>
      <c r="G92" s="10">
        <f>IF(E92="","",VLOOKUP(F92,Product_Master!A:D,2,FALSE)&amp;"")</f>
        <v/>
      </c>
      <c r="H92" s="9">
        <f>IF(E92="","",VLOOKUP(F92,Product_Master!A:D,3,FALSE)&amp;"")</f>
        <v/>
      </c>
      <c r="I92" s="10">
        <f>IF(E92="","",VLOOKUP(F92,Product_Master!A:D,4,FALSE)&amp;"")</f>
        <v/>
      </c>
      <c r="J92" s="11" t="n"/>
      <c r="K92" s="11" t="n"/>
      <c r="L92" s="11" t="n"/>
      <c r="M92" s="12">
        <f>IF(J92="","",IFERROR(L92/J92,""))</f>
        <v/>
      </c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3">
        <f>SUM(N92:Z92)</f>
        <v/>
      </c>
      <c r="AB92" s="8" t="n"/>
    </row>
    <row r="93" ht="20" customHeight="1">
      <c r="A93" s="6" t="n"/>
      <c r="B93" s="7" t="n"/>
      <c r="C93" s="7" t="n"/>
      <c r="D93" s="7" t="n"/>
      <c r="E93" s="8" t="n"/>
      <c r="F93" s="9">
        <f>IF(E93="","",VALUE(LEFT(E93,FIND(" - ",E93)-1)))</f>
        <v/>
      </c>
      <c r="G93" s="10">
        <f>IF(E93="","",VLOOKUP(F93,Product_Master!A:D,2,FALSE)&amp;"")</f>
        <v/>
      </c>
      <c r="H93" s="9">
        <f>IF(E93="","",VLOOKUP(F93,Product_Master!A:D,3,FALSE)&amp;"")</f>
        <v/>
      </c>
      <c r="I93" s="10">
        <f>IF(E93="","",VLOOKUP(F93,Product_Master!A:D,4,FALSE)&amp;"")</f>
        <v/>
      </c>
      <c r="J93" s="11" t="n"/>
      <c r="K93" s="11" t="n"/>
      <c r="L93" s="11" t="n"/>
      <c r="M93" s="12">
        <f>IF(J93="","",IFERROR(L93/J93,""))</f>
        <v/>
      </c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3">
        <f>SUM(N93:Z93)</f>
        <v/>
      </c>
      <c r="AB93" s="8" t="n"/>
    </row>
    <row r="94" ht="20" customHeight="1">
      <c r="A94" s="6" t="n"/>
      <c r="B94" s="7" t="n"/>
      <c r="C94" s="7" t="n"/>
      <c r="D94" s="7" t="n"/>
      <c r="E94" s="8" t="n"/>
      <c r="F94" s="9">
        <f>IF(E94="","",VALUE(LEFT(E94,FIND(" - ",E94)-1)))</f>
        <v/>
      </c>
      <c r="G94" s="10">
        <f>IF(E94="","",VLOOKUP(F94,Product_Master!A:D,2,FALSE)&amp;"")</f>
        <v/>
      </c>
      <c r="H94" s="9">
        <f>IF(E94="","",VLOOKUP(F94,Product_Master!A:D,3,FALSE)&amp;"")</f>
        <v/>
      </c>
      <c r="I94" s="10">
        <f>IF(E94="","",VLOOKUP(F94,Product_Master!A:D,4,FALSE)&amp;"")</f>
        <v/>
      </c>
      <c r="J94" s="11" t="n"/>
      <c r="K94" s="11" t="n"/>
      <c r="L94" s="11" t="n"/>
      <c r="M94" s="12">
        <f>IF(J94="","",IFERROR(L94/J94,""))</f>
        <v/>
      </c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3">
        <f>SUM(N94:Z94)</f>
        <v/>
      </c>
      <c r="AB94" s="8" t="n"/>
    </row>
    <row r="95" ht="20" customHeight="1">
      <c r="A95" s="6" t="n"/>
      <c r="B95" s="7" t="n"/>
      <c r="C95" s="7" t="n"/>
      <c r="D95" s="7" t="n"/>
      <c r="E95" s="8" t="n"/>
      <c r="F95" s="9">
        <f>IF(E95="","",VALUE(LEFT(E95,FIND(" - ",E95)-1)))</f>
        <v/>
      </c>
      <c r="G95" s="10">
        <f>IF(E95="","",VLOOKUP(F95,Product_Master!A:D,2,FALSE)&amp;"")</f>
        <v/>
      </c>
      <c r="H95" s="9">
        <f>IF(E95="","",VLOOKUP(F95,Product_Master!A:D,3,FALSE)&amp;"")</f>
        <v/>
      </c>
      <c r="I95" s="10">
        <f>IF(E95="","",VLOOKUP(F95,Product_Master!A:D,4,FALSE)&amp;"")</f>
        <v/>
      </c>
      <c r="J95" s="11" t="n"/>
      <c r="K95" s="11" t="n"/>
      <c r="L95" s="11" t="n"/>
      <c r="M95" s="12">
        <f>IF(J95="","",IFERROR(L95/J95,""))</f>
        <v/>
      </c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3">
        <f>SUM(N95:Z95)</f>
        <v/>
      </c>
      <c r="AB95" s="8" t="n"/>
    </row>
    <row r="96" ht="20" customHeight="1">
      <c r="A96" s="6" t="n"/>
      <c r="B96" s="7" t="n"/>
      <c r="C96" s="7" t="n"/>
      <c r="D96" s="7" t="n"/>
      <c r="E96" s="8" t="n"/>
      <c r="F96" s="9">
        <f>IF(E96="","",VALUE(LEFT(E96,FIND(" - ",E96)-1)))</f>
        <v/>
      </c>
      <c r="G96" s="10">
        <f>IF(E96="","",VLOOKUP(F96,Product_Master!A:D,2,FALSE)&amp;"")</f>
        <v/>
      </c>
      <c r="H96" s="9">
        <f>IF(E96="","",VLOOKUP(F96,Product_Master!A:D,3,FALSE)&amp;"")</f>
        <v/>
      </c>
      <c r="I96" s="10">
        <f>IF(E96="","",VLOOKUP(F96,Product_Master!A:D,4,FALSE)&amp;"")</f>
        <v/>
      </c>
      <c r="J96" s="11" t="n"/>
      <c r="K96" s="11" t="n"/>
      <c r="L96" s="11" t="n"/>
      <c r="M96" s="12">
        <f>IF(J96="","",IFERROR(L96/J96,""))</f>
        <v/>
      </c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3">
        <f>SUM(N96:Z96)</f>
        <v/>
      </c>
      <c r="AB96" s="8" t="n"/>
    </row>
    <row r="97" ht="20" customHeight="1">
      <c r="A97" s="6" t="n"/>
      <c r="B97" s="7" t="n"/>
      <c r="C97" s="7" t="n"/>
      <c r="D97" s="7" t="n"/>
      <c r="E97" s="8" t="n"/>
      <c r="F97" s="9">
        <f>IF(E97="","",VALUE(LEFT(E97,FIND(" - ",E97)-1)))</f>
        <v/>
      </c>
      <c r="G97" s="10">
        <f>IF(E97="","",VLOOKUP(F97,Product_Master!A:D,2,FALSE)&amp;"")</f>
        <v/>
      </c>
      <c r="H97" s="9">
        <f>IF(E97="","",VLOOKUP(F97,Product_Master!A:D,3,FALSE)&amp;"")</f>
        <v/>
      </c>
      <c r="I97" s="10">
        <f>IF(E97="","",VLOOKUP(F97,Product_Master!A:D,4,FALSE)&amp;"")</f>
        <v/>
      </c>
      <c r="J97" s="11" t="n"/>
      <c r="K97" s="11" t="n"/>
      <c r="L97" s="11" t="n"/>
      <c r="M97" s="12">
        <f>IF(J97="","",IFERROR(L97/J97,""))</f>
        <v/>
      </c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3">
        <f>SUM(N97:Z97)</f>
        <v/>
      </c>
      <c r="AB97" s="8" t="n"/>
    </row>
    <row r="98" ht="20" customHeight="1">
      <c r="A98" s="6" t="n"/>
      <c r="B98" s="7" t="n"/>
      <c r="C98" s="7" t="n"/>
      <c r="D98" s="7" t="n"/>
      <c r="E98" s="8" t="n"/>
      <c r="F98" s="9">
        <f>IF(E98="","",VALUE(LEFT(E98,FIND(" - ",E98)-1)))</f>
        <v/>
      </c>
      <c r="G98" s="10">
        <f>IF(E98="","",VLOOKUP(F98,Product_Master!A:D,2,FALSE)&amp;"")</f>
        <v/>
      </c>
      <c r="H98" s="9">
        <f>IF(E98="","",VLOOKUP(F98,Product_Master!A:D,3,FALSE)&amp;"")</f>
        <v/>
      </c>
      <c r="I98" s="10">
        <f>IF(E98="","",VLOOKUP(F98,Product_Master!A:D,4,FALSE)&amp;"")</f>
        <v/>
      </c>
      <c r="J98" s="11" t="n"/>
      <c r="K98" s="11" t="n"/>
      <c r="L98" s="11" t="n"/>
      <c r="M98" s="12">
        <f>IF(J98="","",IFERROR(L98/J98,""))</f>
        <v/>
      </c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3">
        <f>SUM(N98:Z98)</f>
        <v/>
      </c>
      <c r="AB98" s="8" t="n"/>
    </row>
    <row r="99" ht="20" customHeight="1">
      <c r="A99" s="6" t="n"/>
      <c r="B99" s="7" t="n"/>
      <c r="C99" s="7" t="n"/>
      <c r="D99" s="7" t="n"/>
      <c r="E99" s="8" t="n"/>
      <c r="F99" s="9">
        <f>IF(E99="","",VALUE(LEFT(E99,FIND(" - ",E99)-1)))</f>
        <v/>
      </c>
      <c r="G99" s="10">
        <f>IF(E99="","",VLOOKUP(F99,Product_Master!A:D,2,FALSE)&amp;"")</f>
        <v/>
      </c>
      <c r="H99" s="9">
        <f>IF(E99="","",VLOOKUP(F99,Product_Master!A:D,3,FALSE)&amp;"")</f>
        <v/>
      </c>
      <c r="I99" s="10">
        <f>IF(E99="","",VLOOKUP(F99,Product_Master!A:D,4,FALSE)&amp;"")</f>
        <v/>
      </c>
      <c r="J99" s="11" t="n"/>
      <c r="K99" s="11" t="n"/>
      <c r="L99" s="11" t="n"/>
      <c r="M99" s="12">
        <f>IF(J99="","",IFERROR(L99/J99,""))</f>
        <v/>
      </c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3">
        <f>SUM(N99:Z99)</f>
        <v/>
      </c>
      <c r="AB99" s="8" t="n"/>
    </row>
    <row r="100" ht="20" customHeight="1">
      <c r="A100" s="6" t="n"/>
      <c r="B100" s="7" t="n"/>
      <c r="C100" s="7" t="n"/>
      <c r="D100" s="7" t="n"/>
      <c r="E100" s="8" t="n"/>
      <c r="F100" s="9">
        <f>IF(E100="","",VALUE(LEFT(E100,FIND(" - ",E100)-1)))</f>
        <v/>
      </c>
      <c r="G100" s="10">
        <f>IF(E100="","",VLOOKUP(F100,Product_Master!A:D,2,FALSE)&amp;"")</f>
        <v/>
      </c>
      <c r="H100" s="9">
        <f>IF(E100="","",VLOOKUP(F100,Product_Master!A:D,3,FALSE)&amp;"")</f>
        <v/>
      </c>
      <c r="I100" s="10">
        <f>IF(E100="","",VLOOKUP(F100,Product_Master!A:D,4,FALSE)&amp;"")</f>
        <v/>
      </c>
      <c r="J100" s="11" t="n"/>
      <c r="K100" s="11" t="n"/>
      <c r="L100" s="11" t="n"/>
      <c r="M100" s="12">
        <f>IF(J100="","",IFERROR(L100/J100,""))</f>
        <v/>
      </c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3">
        <f>SUM(N100:Z100)</f>
        <v/>
      </c>
      <c r="AB100" s="8" t="n"/>
    </row>
    <row r="101" ht="20" customHeight="1">
      <c r="A101" s="6" t="n"/>
      <c r="B101" s="7" t="n"/>
      <c r="C101" s="7" t="n"/>
      <c r="D101" s="7" t="n"/>
      <c r="E101" s="8" t="n"/>
      <c r="F101" s="9">
        <f>IF(E101="","",VALUE(LEFT(E101,FIND(" - ",E101)-1)))</f>
        <v/>
      </c>
      <c r="G101" s="10">
        <f>IF(E101="","",VLOOKUP(F101,Product_Master!A:D,2,FALSE)&amp;"")</f>
        <v/>
      </c>
      <c r="H101" s="9">
        <f>IF(E101="","",VLOOKUP(F101,Product_Master!A:D,3,FALSE)&amp;"")</f>
        <v/>
      </c>
      <c r="I101" s="10">
        <f>IF(E101="","",VLOOKUP(F101,Product_Master!A:D,4,FALSE)&amp;"")</f>
        <v/>
      </c>
      <c r="J101" s="11" t="n"/>
      <c r="K101" s="11" t="n"/>
      <c r="L101" s="11" t="n"/>
      <c r="M101" s="12">
        <f>IF(J101="","",IFERROR(L101/J101,""))</f>
        <v/>
      </c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3">
        <f>SUM(N101:Z101)</f>
        <v/>
      </c>
      <c r="AB101" s="8" t="n"/>
    </row>
    <row r="102" ht="20" customHeight="1">
      <c r="A102" s="6" t="n"/>
      <c r="B102" s="7" t="n"/>
      <c r="C102" s="7" t="n"/>
      <c r="D102" s="7" t="n"/>
      <c r="E102" s="8" t="n"/>
      <c r="F102" s="9">
        <f>IF(E102="","",VALUE(LEFT(E102,FIND(" - ",E102)-1)))</f>
        <v/>
      </c>
      <c r="G102" s="10">
        <f>IF(E102="","",VLOOKUP(F102,Product_Master!A:D,2,FALSE)&amp;"")</f>
        <v/>
      </c>
      <c r="H102" s="9">
        <f>IF(E102="","",VLOOKUP(F102,Product_Master!A:D,3,FALSE)&amp;"")</f>
        <v/>
      </c>
      <c r="I102" s="10">
        <f>IF(E102="","",VLOOKUP(F102,Product_Master!A:D,4,FALSE)&amp;"")</f>
        <v/>
      </c>
      <c r="J102" s="11" t="n"/>
      <c r="K102" s="11" t="n"/>
      <c r="L102" s="11" t="n"/>
      <c r="M102" s="12">
        <f>IF(J102="","",IFERROR(L102/J102,""))</f>
        <v/>
      </c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3">
        <f>SUM(N102:Z102)</f>
        <v/>
      </c>
      <c r="AB102" s="8" t="n"/>
    </row>
    <row r="103" ht="20" customHeight="1">
      <c r="A103" s="6" t="n"/>
      <c r="B103" s="7" t="n"/>
      <c r="C103" s="7" t="n"/>
      <c r="D103" s="7" t="n"/>
      <c r="E103" s="8" t="n"/>
      <c r="F103" s="9">
        <f>IF(E103="","",VALUE(LEFT(E103,FIND(" - ",E103)-1)))</f>
        <v/>
      </c>
      <c r="G103" s="10">
        <f>IF(E103="","",VLOOKUP(F103,Product_Master!A:D,2,FALSE)&amp;"")</f>
        <v/>
      </c>
      <c r="H103" s="9">
        <f>IF(E103="","",VLOOKUP(F103,Product_Master!A:D,3,FALSE)&amp;"")</f>
        <v/>
      </c>
      <c r="I103" s="10">
        <f>IF(E103="","",VLOOKUP(F103,Product_Master!A:D,4,FALSE)&amp;"")</f>
        <v/>
      </c>
      <c r="J103" s="11" t="n"/>
      <c r="K103" s="11" t="n"/>
      <c r="L103" s="11" t="n"/>
      <c r="M103" s="12">
        <f>IF(J103="","",IFERROR(L103/J103,""))</f>
        <v/>
      </c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3">
        <f>SUM(N103:Z103)</f>
        <v/>
      </c>
      <c r="AB103" s="8" t="n"/>
    </row>
    <row r="104" ht="20" customHeight="1">
      <c r="A104" s="6" t="n"/>
      <c r="B104" s="7" t="n"/>
      <c r="C104" s="7" t="n"/>
      <c r="D104" s="7" t="n"/>
      <c r="E104" s="8" t="n"/>
      <c r="F104" s="9">
        <f>IF(E104="","",VALUE(LEFT(E104,FIND(" - ",E104)-1)))</f>
        <v/>
      </c>
      <c r="G104" s="10">
        <f>IF(E104="","",VLOOKUP(F104,Product_Master!A:D,2,FALSE)&amp;"")</f>
        <v/>
      </c>
      <c r="H104" s="9">
        <f>IF(E104="","",VLOOKUP(F104,Product_Master!A:D,3,FALSE)&amp;"")</f>
        <v/>
      </c>
      <c r="I104" s="10">
        <f>IF(E104="","",VLOOKUP(F104,Product_Master!A:D,4,FALSE)&amp;"")</f>
        <v/>
      </c>
      <c r="J104" s="11" t="n"/>
      <c r="K104" s="11" t="n"/>
      <c r="L104" s="11" t="n"/>
      <c r="M104" s="12">
        <f>IF(J104="","",IFERROR(L104/J104,""))</f>
        <v/>
      </c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3">
        <f>SUM(N104:Z104)</f>
        <v/>
      </c>
      <c r="AB104" s="8" t="n"/>
    </row>
    <row r="105" ht="20" customHeight="1">
      <c r="A105" s="6" t="n"/>
      <c r="B105" s="7" t="n"/>
      <c r="C105" s="7" t="n"/>
      <c r="D105" s="7" t="n"/>
      <c r="E105" s="8" t="n"/>
      <c r="F105" s="9">
        <f>IF(E105="","",VALUE(LEFT(E105,FIND(" - ",E105)-1)))</f>
        <v/>
      </c>
      <c r="G105" s="10">
        <f>IF(E105="","",VLOOKUP(F105,Product_Master!A:D,2,FALSE)&amp;"")</f>
        <v/>
      </c>
      <c r="H105" s="9">
        <f>IF(E105="","",VLOOKUP(F105,Product_Master!A:D,3,FALSE)&amp;"")</f>
        <v/>
      </c>
      <c r="I105" s="10">
        <f>IF(E105="","",VLOOKUP(F105,Product_Master!A:D,4,FALSE)&amp;"")</f>
        <v/>
      </c>
      <c r="J105" s="11" t="n"/>
      <c r="K105" s="11" t="n"/>
      <c r="L105" s="11" t="n"/>
      <c r="M105" s="12">
        <f>IF(J105="","",IFERROR(L105/J105,""))</f>
        <v/>
      </c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3">
        <f>SUM(N105:Z105)</f>
        <v/>
      </c>
      <c r="AB105" s="8" t="n"/>
    </row>
    <row r="106" ht="20" customHeight="1">
      <c r="A106" s="6" t="n"/>
      <c r="B106" s="7" t="n"/>
      <c r="C106" s="7" t="n"/>
      <c r="D106" s="7" t="n"/>
      <c r="E106" s="8" t="n"/>
      <c r="F106" s="9">
        <f>IF(E106="","",VALUE(LEFT(E106,FIND(" - ",E106)-1)))</f>
        <v/>
      </c>
      <c r="G106" s="10">
        <f>IF(E106="","",VLOOKUP(F106,Product_Master!A:D,2,FALSE)&amp;"")</f>
        <v/>
      </c>
      <c r="H106" s="9">
        <f>IF(E106="","",VLOOKUP(F106,Product_Master!A:D,3,FALSE)&amp;"")</f>
        <v/>
      </c>
      <c r="I106" s="10">
        <f>IF(E106="","",VLOOKUP(F106,Product_Master!A:D,4,FALSE)&amp;"")</f>
        <v/>
      </c>
      <c r="J106" s="11" t="n"/>
      <c r="K106" s="11" t="n"/>
      <c r="L106" s="11" t="n"/>
      <c r="M106" s="12">
        <f>IF(J106="","",IFERROR(L106/J106,""))</f>
        <v/>
      </c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3">
        <f>SUM(N106:Z106)</f>
        <v/>
      </c>
      <c r="AB106" s="8" t="n"/>
    </row>
    <row r="107" ht="20" customHeight="1">
      <c r="A107" s="6" t="n"/>
      <c r="B107" s="7" t="n"/>
      <c r="C107" s="7" t="n"/>
      <c r="D107" s="7" t="n"/>
      <c r="E107" s="8" t="n"/>
      <c r="F107" s="9">
        <f>IF(E107="","",VALUE(LEFT(E107,FIND(" - ",E107)-1)))</f>
        <v/>
      </c>
      <c r="G107" s="10">
        <f>IF(E107="","",VLOOKUP(F107,Product_Master!A:D,2,FALSE)&amp;"")</f>
        <v/>
      </c>
      <c r="H107" s="9">
        <f>IF(E107="","",VLOOKUP(F107,Product_Master!A:D,3,FALSE)&amp;"")</f>
        <v/>
      </c>
      <c r="I107" s="10">
        <f>IF(E107="","",VLOOKUP(F107,Product_Master!A:D,4,FALSE)&amp;"")</f>
        <v/>
      </c>
      <c r="J107" s="11" t="n"/>
      <c r="K107" s="11" t="n"/>
      <c r="L107" s="11" t="n"/>
      <c r="M107" s="12">
        <f>IF(J107="","",IFERROR(L107/J107,""))</f>
        <v/>
      </c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3">
        <f>SUM(N107:Z107)</f>
        <v/>
      </c>
      <c r="AB107" s="8" t="n"/>
    </row>
    <row r="108" ht="20" customHeight="1">
      <c r="A108" s="6" t="n"/>
      <c r="B108" s="7" t="n"/>
      <c r="C108" s="7" t="n"/>
      <c r="D108" s="7" t="n"/>
      <c r="E108" s="8" t="n"/>
      <c r="F108" s="9">
        <f>IF(E108="","",VALUE(LEFT(E108,FIND(" - ",E108)-1)))</f>
        <v/>
      </c>
      <c r="G108" s="10">
        <f>IF(E108="","",VLOOKUP(F108,Product_Master!A:D,2,FALSE)&amp;"")</f>
        <v/>
      </c>
      <c r="H108" s="9">
        <f>IF(E108="","",VLOOKUP(F108,Product_Master!A:D,3,FALSE)&amp;"")</f>
        <v/>
      </c>
      <c r="I108" s="10">
        <f>IF(E108="","",VLOOKUP(F108,Product_Master!A:D,4,FALSE)&amp;"")</f>
        <v/>
      </c>
      <c r="J108" s="11" t="n"/>
      <c r="K108" s="11" t="n"/>
      <c r="L108" s="11" t="n"/>
      <c r="M108" s="12">
        <f>IF(J108="","",IFERROR(L108/J108,""))</f>
        <v/>
      </c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3">
        <f>SUM(N108:Z108)</f>
        <v/>
      </c>
      <c r="AB108" s="8" t="n"/>
    </row>
    <row r="109" ht="20" customHeight="1">
      <c r="A109" s="6" t="n"/>
      <c r="B109" s="7" t="n"/>
      <c r="C109" s="7" t="n"/>
      <c r="D109" s="7" t="n"/>
      <c r="E109" s="8" t="n"/>
      <c r="F109" s="9">
        <f>IF(E109="","",VALUE(LEFT(E109,FIND(" - ",E109)-1)))</f>
        <v/>
      </c>
      <c r="G109" s="10">
        <f>IF(E109="","",VLOOKUP(F109,Product_Master!A:D,2,FALSE)&amp;"")</f>
        <v/>
      </c>
      <c r="H109" s="9">
        <f>IF(E109="","",VLOOKUP(F109,Product_Master!A:D,3,FALSE)&amp;"")</f>
        <v/>
      </c>
      <c r="I109" s="10">
        <f>IF(E109="","",VLOOKUP(F109,Product_Master!A:D,4,FALSE)&amp;"")</f>
        <v/>
      </c>
      <c r="J109" s="11" t="n"/>
      <c r="K109" s="11" t="n"/>
      <c r="L109" s="11" t="n"/>
      <c r="M109" s="12">
        <f>IF(J109="","",IFERROR(L109/J109,""))</f>
        <v/>
      </c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3">
        <f>SUM(N109:Z109)</f>
        <v/>
      </c>
      <c r="AB109" s="8" t="n"/>
    </row>
    <row r="110" ht="20" customHeight="1">
      <c r="A110" s="6" t="n"/>
      <c r="B110" s="7" t="n"/>
      <c r="C110" s="7" t="n"/>
      <c r="D110" s="7" t="n"/>
      <c r="E110" s="8" t="n"/>
      <c r="F110" s="9">
        <f>IF(E110="","",VALUE(LEFT(E110,FIND(" - ",E110)-1)))</f>
        <v/>
      </c>
      <c r="G110" s="10">
        <f>IF(E110="","",VLOOKUP(F110,Product_Master!A:D,2,FALSE)&amp;"")</f>
        <v/>
      </c>
      <c r="H110" s="9">
        <f>IF(E110="","",VLOOKUP(F110,Product_Master!A:D,3,FALSE)&amp;"")</f>
        <v/>
      </c>
      <c r="I110" s="10">
        <f>IF(E110="","",VLOOKUP(F110,Product_Master!A:D,4,FALSE)&amp;"")</f>
        <v/>
      </c>
      <c r="J110" s="11" t="n"/>
      <c r="K110" s="11" t="n"/>
      <c r="L110" s="11" t="n"/>
      <c r="M110" s="12">
        <f>IF(J110="","",IFERROR(L110/J110,""))</f>
        <v/>
      </c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3">
        <f>SUM(N110:Z110)</f>
        <v/>
      </c>
      <c r="AB110" s="8" t="n"/>
    </row>
    <row r="111" ht="20" customHeight="1">
      <c r="A111" s="6" t="n"/>
      <c r="B111" s="7" t="n"/>
      <c r="C111" s="7" t="n"/>
      <c r="D111" s="7" t="n"/>
      <c r="E111" s="8" t="n"/>
      <c r="F111" s="9">
        <f>IF(E111="","",VALUE(LEFT(E111,FIND(" - ",E111)-1)))</f>
        <v/>
      </c>
      <c r="G111" s="10">
        <f>IF(E111="","",VLOOKUP(F111,Product_Master!A:D,2,FALSE)&amp;"")</f>
        <v/>
      </c>
      <c r="H111" s="9">
        <f>IF(E111="","",VLOOKUP(F111,Product_Master!A:D,3,FALSE)&amp;"")</f>
        <v/>
      </c>
      <c r="I111" s="10">
        <f>IF(E111="","",VLOOKUP(F111,Product_Master!A:D,4,FALSE)&amp;"")</f>
        <v/>
      </c>
      <c r="J111" s="11" t="n"/>
      <c r="K111" s="11" t="n"/>
      <c r="L111" s="11" t="n"/>
      <c r="M111" s="12">
        <f>IF(J111="","",IFERROR(L111/J111,""))</f>
        <v/>
      </c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3">
        <f>SUM(N111:Z111)</f>
        <v/>
      </c>
      <c r="AB111" s="8" t="n"/>
    </row>
    <row r="112" ht="20" customHeight="1">
      <c r="A112" s="6" t="n"/>
      <c r="B112" s="7" t="n"/>
      <c r="C112" s="7" t="n"/>
      <c r="D112" s="7" t="n"/>
      <c r="E112" s="8" t="n"/>
      <c r="F112" s="9">
        <f>IF(E112="","",VALUE(LEFT(E112,FIND(" - ",E112)-1)))</f>
        <v/>
      </c>
      <c r="G112" s="10">
        <f>IF(E112="","",VLOOKUP(F112,Product_Master!A:D,2,FALSE)&amp;"")</f>
        <v/>
      </c>
      <c r="H112" s="9">
        <f>IF(E112="","",VLOOKUP(F112,Product_Master!A:D,3,FALSE)&amp;"")</f>
        <v/>
      </c>
      <c r="I112" s="10">
        <f>IF(E112="","",VLOOKUP(F112,Product_Master!A:D,4,FALSE)&amp;"")</f>
        <v/>
      </c>
      <c r="J112" s="11" t="n"/>
      <c r="K112" s="11" t="n"/>
      <c r="L112" s="11" t="n"/>
      <c r="M112" s="12">
        <f>IF(J112="","",IFERROR(L112/J112,""))</f>
        <v/>
      </c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3">
        <f>SUM(N112:Z112)</f>
        <v/>
      </c>
      <c r="AB112" s="8" t="n"/>
    </row>
    <row r="113" ht="20" customHeight="1">
      <c r="A113" s="6" t="n"/>
      <c r="B113" s="7" t="n"/>
      <c r="C113" s="7" t="n"/>
      <c r="D113" s="7" t="n"/>
      <c r="E113" s="8" t="n"/>
      <c r="F113" s="9">
        <f>IF(E113="","",VALUE(LEFT(E113,FIND(" - ",E113)-1)))</f>
        <v/>
      </c>
      <c r="G113" s="10">
        <f>IF(E113="","",VLOOKUP(F113,Product_Master!A:D,2,FALSE)&amp;"")</f>
        <v/>
      </c>
      <c r="H113" s="9">
        <f>IF(E113="","",VLOOKUP(F113,Product_Master!A:D,3,FALSE)&amp;"")</f>
        <v/>
      </c>
      <c r="I113" s="10">
        <f>IF(E113="","",VLOOKUP(F113,Product_Master!A:D,4,FALSE)&amp;"")</f>
        <v/>
      </c>
      <c r="J113" s="11" t="n"/>
      <c r="K113" s="11" t="n"/>
      <c r="L113" s="11" t="n"/>
      <c r="M113" s="12">
        <f>IF(J113="","",IFERROR(L113/J113,""))</f>
        <v/>
      </c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3">
        <f>SUM(N113:Z113)</f>
        <v/>
      </c>
      <c r="AB113" s="8" t="n"/>
    </row>
    <row r="114" ht="20" customHeight="1">
      <c r="A114" s="6" t="n"/>
      <c r="B114" s="7" t="n"/>
      <c r="C114" s="7" t="n"/>
      <c r="D114" s="7" t="n"/>
      <c r="E114" s="8" t="n"/>
      <c r="F114" s="9">
        <f>IF(E114="","",VALUE(LEFT(E114,FIND(" - ",E114)-1)))</f>
        <v/>
      </c>
      <c r="G114" s="10">
        <f>IF(E114="","",VLOOKUP(F114,Product_Master!A:D,2,FALSE)&amp;"")</f>
        <v/>
      </c>
      <c r="H114" s="9">
        <f>IF(E114="","",VLOOKUP(F114,Product_Master!A:D,3,FALSE)&amp;"")</f>
        <v/>
      </c>
      <c r="I114" s="10">
        <f>IF(E114="","",VLOOKUP(F114,Product_Master!A:D,4,FALSE)&amp;"")</f>
        <v/>
      </c>
      <c r="J114" s="11" t="n"/>
      <c r="K114" s="11" t="n"/>
      <c r="L114" s="11" t="n"/>
      <c r="M114" s="12">
        <f>IF(J114="","",IFERROR(L114/J114,""))</f>
        <v/>
      </c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3">
        <f>SUM(N114:Z114)</f>
        <v/>
      </c>
      <c r="AB114" s="8" t="n"/>
    </row>
    <row r="115" ht="20" customHeight="1">
      <c r="A115" s="6" t="n"/>
      <c r="B115" s="7" t="n"/>
      <c r="C115" s="7" t="n"/>
      <c r="D115" s="7" t="n"/>
      <c r="E115" s="8" t="n"/>
      <c r="F115" s="9">
        <f>IF(E115="","",VALUE(LEFT(E115,FIND(" - ",E115)-1)))</f>
        <v/>
      </c>
      <c r="G115" s="10">
        <f>IF(E115="","",VLOOKUP(F115,Product_Master!A:D,2,FALSE)&amp;"")</f>
        <v/>
      </c>
      <c r="H115" s="9">
        <f>IF(E115="","",VLOOKUP(F115,Product_Master!A:D,3,FALSE)&amp;"")</f>
        <v/>
      </c>
      <c r="I115" s="10">
        <f>IF(E115="","",VLOOKUP(F115,Product_Master!A:D,4,FALSE)&amp;"")</f>
        <v/>
      </c>
      <c r="J115" s="11" t="n"/>
      <c r="K115" s="11" t="n"/>
      <c r="L115" s="11" t="n"/>
      <c r="M115" s="12">
        <f>IF(J115="","",IFERROR(L115/J115,""))</f>
        <v/>
      </c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3">
        <f>SUM(N115:Z115)</f>
        <v/>
      </c>
      <c r="AB115" s="8" t="n"/>
    </row>
    <row r="116" ht="20" customHeight="1">
      <c r="A116" s="6" t="n"/>
      <c r="B116" s="7" t="n"/>
      <c r="C116" s="7" t="n"/>
      <c r="D116" s="7" t="n"/>
      <c r="E116" s="8" t="n"/>
      <c r="F116" s="9">
        <f>IF(E116="","",VALUE(LEFT(E116,FIND(" - ",E116)-1)))</f>
        <v/>
      </c>
      <c r="G116" s="10">
        <f>IF(E116="","",VLOOKUP(F116,Product_Master!A:D,2,FALSE)&amp;"")</f>
        <v/>
      </c>
      <c r="H116" s="9">
        <f>IF(E116="","",VLOOKUP(F116,Product_Master!A:D,3,FALSE)&amp;"")</f>
        <v/>
      </c>
      <c r="I116" s="10">
        <f>IF(E116="","",VLOOKUP(F116,Product_Master!A:D,4,FALSE)&amp;"")</f>
        <v/>
      </c>
      <c r="J116" s="11" t="n"/>
      <c r="K116" s="11" t="n"/>
      <c r="L116" s="11" t="n"/>
      <c r="M116" s="12">
        <f>IF(J116="","",IFERROR(L116/J116,""))</f>
        <v/>
      </c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3">
        <f>SUM(N116:Z116)</f>
        <v/>
      </c>
      <c r="AB116" s="8" t="n"/>
    </row>
    <row r="117" ht="20" customHeight="1">
      <c r="A117" s="6" t="n"/>
      <c r="B117" s="7" t="n"/>
      <c r="C117" s="7" t="n"/>
      <c r="D117" s="7" t="n"/>
      <c r="E117" s="8" t="n"/>
      <c r="F117" s="9">
        <f>IF(E117="","",VALUE(LEFT(E117,FIND(" - ",E117)-1)))</f>
        <v/>
      </c>
      <c r="G117" s="10">
        <f>IF(E117="","",VLOOKUP(F117,Product_Master!A:D,2,FALSE)&amp;"")</f>
        <v/>
      </c>
      <c r="H117" s="9">
        <f>IF(E117="","",VLOOKUP(F117,Product_Master!A:D,3,FALSE)&amp;"")</f>
        <v/>
      </c>
      <c r="I117" s="10">
        <f>IF(E117="","",VLOOKUP(F117,Product_Master!A:D,4,FALSE)&amp;"")</f>
        <v/>
      </c>
      <c r="J117" s="11" t="n"/>
      <c r="K117" s="11" t="n"/>
      <c r="L117" s="11" t="n"/>
      <c r="M117" s="12">
        <f>IF(J117="","",IFERROR(L117/J117,""))</f>
        <v/>
      </c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3">
        <f>SUM(N117:Z117)</f>
        <v/>
      </c>
      <c r="AB117" s="8" t="n"/>
    </row>
    <row r="118" ht="20" customHeight="1">
      <c r="A118" s="6" t="n"/>
      <c r="B118" s="7" t="n"/>
      <c r="C118" s="7" t="n"/>
      <c r="D118" s="7" t="n"/>
      <c r="E118" s="8" t="n"/>
      <c r="F118" s="9">
        <f>IF(E118="","",VALUE(LEFT(E118,FIND(" - ",E118)-1)))</f>
        <v/>
      </c>
      <c r="G118" s="10">
        <f>IF(E118="","",VLOOKUP(F118,Product_Master!A:D,2,FALSE)&amp;"")</f>
        <v/>
      </c>
      <c r="H118" s="9">
        <f>IF(E118="","",VLOOKUP(F118,Product_Master!A:D,3,FALSE)&amp;"")</f>
        <v/>
      </c>
      <c r="I118" s="10">
        <f>IF(E118="","",VLOOKUP(F118,Product_Master!A:D,4,FALSE)&amp;"")</f>
        <v/>
      </c>
      <c r="J118" s="11" t="n"/>
      <c r="K118" s="11" t="n"/>
      <c r="L118" s="11" t="n"/>
      <c r="M118" s="12">
        <f>IF(J118="","",IFERROR(L118/J118,""))</f>
        <v/>
      </c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3">
        <f>SUM(N118:Z118)</f>
        <v/>
      </c>
      <c r="AB118" s="8" t="n"/>
    </row>
    <row r="119" ht="20" customHeight="1">
      <c r="A119" s="6" t="n"/>
      <c r="B119" s="7" t="n"/>
      <c r="C119" s="7" t="n"/>
      <c r="D119" s="7" t="n"/>
      <c r="E119" s="8" t="n"/>
      <c r="F119" s="9">
        <f>IF(E119="","",VALUE(LEFT(E119,FIND(" - ",E119)-1)))</f>
        <v/>
      </c>
      <c r="G119" s="10">
        <f>IF(E119="","",VLOOKUP(F119,Product_Master!A:D,2,FALSE)&amp;"")</f>
        <v/>
      </c>
      <c r="H119" s="9">
        <f>IF(E119="","",VLOOKUP(F119,Product_Master!A:D,3,FALSE)&amp;"")</f>
        <v/>
      </c>
      <c r="I119" s="10">
        <f>IF(E119="","",VLOOKUP(F119,Product_Master!A:D,4,FALSE)&amp;"")</f>
        <v/>
      </c>
      <c r="J119" s="11" t="n"/>
      <c r="K119" s="11" t="n"/>
      <c r="L119" s="11" t="n"/>
      <c r="M119" s="12">
        <f>IF(J119="","",IFERROR(L119/J119,""))</f>
        <v/>
      </c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3">
        <f>SUM(N119:Z119)</f>
        <v/>
      </c>
      <c r="AB119" s="8" t="n"/>
    </row>
    <row r="120" ht="20" customHeight="1">
      <c r="A120" s="6" t="n"/>
      <c r="B120" s="7" t="n"/>
      <c r="C120" s="7" t="n"/>
      <c r="D120" s="7" t="n"/>
      <c r="E120" s="8" t="n"/>
      <c r="F120" s="9">
        <f>IF(E120="","",VALUE(LEFT(E120,FIND(" - ",E120)-1)))</f>
        <v/>
      </c>
      <c r="G120" s="10">
        <f>IF(E120="","",VLOOKUP(F120,Product_Master!A:D,2,FALSE)&amp;"")</f>
        <v/>
      </c>
      <c r="H120" s="9">
        <f>IF(E120="","",VLOOKUP(F120,Product_Master!A:D,3,FALSE)&amp;"")</f>
        <v/>
      </c>
      <c r="I120" s="10">
        <f>IF(E120="","",VLOOKUP(F120,Product_Master!A:D,4,FALSE)&amp;"")</f>
        <v/>
      </c>
      <c r="J120" s="11" t="n"/>
      <c r="K120" s="11" t="n"/>
      <c r="L120" s="11" t="n"/>
      <c r="M120" s="12">
        <f>IF(J120="","",IFERROR(L120/J120,""))</f>
        <v/>
      </c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3">
        <f>SUM(N120:Z120)</f>
        <v/>
      </c>
      <c r="AB120" s="8" t="n"/>
    </row>
    <row r="121" ht="20" customHeight="1">
      <c r="A121" s="6" t="n"/>
      <c r="B121" s="7" t="n"/>
      <c r="C121" s="7" t="n"/>
      <c r="D121" s="7" t="n"/>
      <c r="E121" s="8" t="n"/>
      <c r="F121" s="9">
        <f>IF(E121="","",VALUE(LEFT(E121,FIND(" - ",E121)-1)))</f>
        <v/>
      </c>
      <c r="G121" s="10">
        <f>IF(E121="","",VLOOKUP(F121,Product_Master!A:D,2,FALSE)&amp;"")</f>
        <v/>
      </c>
      <c r="H121" s="9">
        <f>IF(E121="","",VLOOKUP(F121,Product_Master!A:D,3,FALSE)&amp;"")</f>
        <v/>
      </c>
      <c r="I121" s="10">
        <f>IF(E121="","",VLOOKUP(F121,Product_Master!A:D,4,FALSE)&amp;"")</f>
        <v/>
      </c>
      <c r="J121" s="11" t="n"/>
      <c r="K121" s="11" t="n"/>
      <c r="L121" s="11" t="n"/>
      <c r="M121" s="12">
        <f>IF(J121="","",IFERROR(L121/J121,""))</f>
        <v/>
      </c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3">
        <f>SUM(N121:Z121)</f>
        <v/>
      </c>
      <c r="AB121" s="8" t="n"/>
    </row>
    <row r="122" ht="20" customHeight="1">
      <c r="A122" s="6" t="n"/>
      <c r="B122" s="7" t="n"/>
      <c r="C122" s="7" t="n"/>
      <c r="D122" s="7" t="n"/>
      <c r="E122" s="8" t="n"/>
      <c r="F122" s="9">
        <f>IF(E122="","",VALUE(LEFT(E122,FIND(" - ",E122)-1)))</f>
        <v/>
      </c>
      <c r="G122" s="10">
        <f>IF(E122="","",VLOOKUP(F122,Product_Master!A:D,2,FALSE)&amp;"")</f>
        <v/>
      </c>
      <c r="H122" s="9">
        <f>IF(E122="","",VLOOKUP(F122,Product_Master!A:D,3,FALSE)&amp;"")</f>
        <v/>
      </c>
      <c r="I122" s="10">
        <f>IF(E122="","",VLOOKUP(F122,Product_Master!A:D,4,FALSE)&amp;"")</f>
        <v/>
      </c>
      <c r="J122" s="11" t="n"/>
      <c r="K122" s="11" t="n"/>
      <c r="L122" s="11" t="n"/>
      <c r="M122" s="12">
        <f>IF(J122="","",IFERROR(L122/J122,""))</f>
        <v/>
      </c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3">
        <f>SUM(N122:Z122)</f>
        <v/>
      </c>
      <c r="AB122" s="8" t="n"/>
    </row>
    <row r="123" ht="20" customHeight="1">
      <c r="A123" s="6" t="n"/>
      <c r="B123" s="7" t="n"/>
      <c r="C123" s="7" t="n"/>
      <c r="D123" s="7" t="n"/>
      <c r="E123" s="8" t="n"/>
      <c r="F123" s="9">
        <f>IF(E123="","",VALUE(LEFT(E123,FIND(" - ",E123)-1)))</f>
        <v/>
      </c>
      <c r="G123" s="10">
        <f>IF(E123="","",VLOOKUP(F123,Product_Master!A:D,2,FALSE)&amp;"")</f>
        <v/>
      </c>
      <c r="H123" s="9">
        <f>IF(E123="","",VLOOKUP(F123,Product_Master!A:D,3,FALSE)&amp;"")</f>
        <v/>
      </c>
      <c r="I123" s="10">
        <f>IF(E123="","",VLOOKUP(F123,Product_Master!A:D,4,FALSE)&amp;"")</f>
        <v/>
      </c>
      <c r="J123" s="11" t="n"/>
      <c r="K123" s="11" t="n"/>
      <c r="L123" s="11" t="n"/>
      <c r="M123" s="12">
        <f>IF(J123="","",IFERROR(L123/J123,""))</f>
        <v/>
      </c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3">
        <f>SUM(N123:Z123)</f>
        <v/>
      </c>
      <c r="AB123" s="8" t="n"/>
    </row>
    <row r="124" ht="20" customHeight="1">
      <c r="A124" s="6" t="n"/>
      <c r="B124" s="7" t="n"/>
      <c r="C124" s="7" t="n"/>
      <c r="D124" s="7" t="n"/>
      <c r="E124" s="8" t="n"/>
      <c r="F124" s="9">
        <f>IF(E124="","",VALUE(LEFT(E124,FIND(" - ",E124)-1)))</f>
        <v/>
      </c>
      <c r="G124" s="10">
        <f>IF(E124="","",VLOOKUP(F124,Product_Master!A:D,2,FALSE)&amp;"")</f>
        <v/>
      </c>
      <c r="H124" s="9">
        <f>IF(E124="","",VLOOKUP(F124,Product_Master!A:D,3,FALSE)&amp;"")</f>
        <v/>
      </c>
      <c r="I124" s="10">
        <f>IF(E124="","",VLOOKUP(F124,Product_Master!A:D,4,FALSE)&amp;"")</f>
        <v/>
      </c>
      <c r="J124" s="11" t="n"/>
      <c r="K124" s="11" t="n"/>
      <c r="L124" s="11" t="n"/>
      <c r="M124" s="12">
        <f>IF(J124="","",IFERROR(L124/J124,""))</f>
        <v/>
      </c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3">
        <f>SUM(N124:Z124)</f>
        <v/>
      </c>
      <c r="AB124" s="8" t="n"/>
    </row>
    <row r="125" ht="20" customHeight="1">
      <c r="A125" s="6" t="n"/>
      <c r="B125" s="7" t="n"/>
      <c r="C125" s="7" t="n"/>
      <c r="D125" s="7" t="n"/>
      <c r="E125" s="8" t="n"/>
      <c r="F125" s="9">
        <f>IF(E125="","",VALUE(LEFT(E125,FIND(" - ",E125)-1)))</f>
        <v/>
      </c>
      <c r="G125" s="10">
        <f>IF(E125="","",VLOOKUP(F125,Product_Master!A:D,2,FALSE)&amp;"")</f>
        <v/>
      </c>
      <c r="H125" s="9">
        <f>IF(E125="","",VLOOKUP(F125,Product_Master!A:D,3,FALSE)&amp;"")</f>
        <v/>
      </c>
      <c r="I125" s="10">
        <f>IF(E125="","",VLOOKUP(F125,Product_Master!A:D,4,FALSE)&amp;"")</f>
        <v/>
      </c>
      <c r="J125" s="11" t="n"/>
      <c r="K125" s="11" t="n"/>
      <c r="L125" s="11" t="n"/>
      <c r="M125" s="12">
        <f>IF(J125="","",IFERROR(L125/J125,""))</f>
        <v/>
      </c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3">
        <f>SUM(N125:Z125)</f>
        <v/>
      </c>
      <c r="AB125" s="8" t="n"/>
    </row>
    <row r="126" ht="20" customHeight="1">
      <c r="A126" s="6" t="n"/>
      <c r="B126" s="7" t="n"/>
      <c r="C126" s="7" t="n"/>
      <c r="D126" s="7" t="n"/>
      <c r="E126" s="8" t="n"/>
      <c r="F126" s="9">
        <f>IF(E126="","",VALUE(LEFT(E126,FIND(" - ",E126)-1)))</f>
        <v/>
      </c>
      <c r="G126" s="10">
        <f>IF(E126="","",VLOOKUP(F126,Product_Master!A:D,2,FALSE)&amp;"")</f>
        <v/>
      </c>
      <c r="H126" s="9">
        <f>IF(E126="","",VLOOKUP(F126,Product_Master!A:D,3,FALSE)&amp;"")</f>
        <v/>
      </c>
      <c r="I126" s="10">
        <f>IF(E126="","",VLOOKUP(F126,Product_Master!A:D,4,FALSE)&amp;"")</f>
        <v/>
      </c>
      <c r="J126" s="11" t="n"/>
      <c r="K126" s="11" t="n"/>
      <c r="L126" s="11" t="n"/>
      <c r="M126" s="12">
        <f>IF(J126="","",IFERROR(L126/J126,""))</f>
        <v/>
      </c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3">
        <f>SUM(N126:Z126)</f>
        <v/>
      </c>
      <c r="AB126" s="8" t="n"/>
    </row>
    <row r="127" ht="20" customHeight="1">
      <c r="A127" s="6" t="n"/>
      <c r="B127" s="7" t="n"/>
      <c r="C127" s="7" t="n"/>
      <c r="D127" s="7" t="n"/>
      <c r="E127" s="8" t="n"/>
      <c r="F127" s="9">
        <f>IF(E127="","",VALUE(LEFT(E127,FIND(" - ",E127)-1)))</f>
        <v/>
      </c>
      <c r="G127" s="10">
        <f>IF(E127="","",VLOOKUP(F127,Product_Master!A:D,2,FALSE)&amp;"")</f>
        <v/>
      </c>
      <c r="H127" s="9">
        <f>IF(E127="","",VLOOKUP(F127,Product_Master!A:D,3,FALSE)&amp;"")</f>
        <v/>
      </c>
      <c r="I127" s="10">
        <f>IF(E127="","",VLOOKUP(F127,Product_Master!A:D,4,FALSE)&amp;"")</f>
        <v/>
      </c>
      <c r="J127" s="11" t="n"/>
      <c r="K127" s="11" t="n"/>
      <c r="L127" s="11" t="n"/>
      <c r="M127" s="12">
        <f>IF(J127="","",IFERROR(L127/J127,""))</f>
        <v/>
      </c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3">
        <f>SUM(N127:Z127)</f>
        <v/>
      </c>
      <c r="AB127" s="8" t="n"/>
    </row>
    <row r="128" ht="20" customHeight="1">
      <c r="A128" s="6" t="n"/>
      <c r="B128" s="7" t="n"/>
      <c r="C128" s="7" t="n"/>
      <c r="D128" s="7" t="n"/>
      <c r="E128" s="8" t="n"/>
      <c r="F128" s="9">
        <f>IF(E128="","",VALUE(LEFT(E128,FIND(" - ",E128)-1)))</f>
        <v/>
      </c>
      <c r="G128" s="10">
        <f>IF(E128="","",VLOOKUP(F128,Product_Master!A:D,2,FALSE)&amp;"")</f>
        <v/>
      </c>
      <c r="H128" s="9">
        <f>IF(E128="","",VLOOKUP(F128,Product_Master!A:D,3,FALSE)&amp;"")</f>
        <v/>
      </c>
      <c r="I128" s="10">
        <f>IF(E128="","",VLOOKUP(F128,Product_Master!A:D,4,FALSE)&amp;"")</f>
        <v/>
      </c>
      <c r="J128" s="11" t="n"/>
      <c r="K128" s="11" t="n"/>
      <c r="L128" s="11" t="n"/>
      <c r="M128" s="12">
        <f>IF(J128="","",IFERROR(L128/J128,""))</f>
        <v/>
      </c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3">
        <f>SUM(N128:Z128)</f>
        <v/>
      </c>
      <c r="AB128" s="8" t="n"/>
    </row>
    <row r="129" ht="20" customHeight="1">
      <c r="A129" s="6" t="n"/>
      <c r="B129" s="7" t="n"/>
      <c r="C129" s="7" t="n"/>
      <c r="D129" s="7" t="n"/>
      <c r="E129" s="8" t="n"/>
      <c r="F129" s="9">
        <f>IF(E129="","",VALUE(LEFT(E129,FIND(" - ",E129)-1)))</f>
        <v/>
      </c>
      <c r="G129" s="10">
        <f>IF(E129="","",VLOOKUP(F129,Product_Master!A:D,2,FALSE)&amp;"")</f>
        <v/>
      </c>
      <c r="H129" s="9">
        <f>IF(E129="","",VLOOKUP(F129,Product_Master!A:D,3,FALSE)&amp;"")</f>
        <v/>
      </c>
      <c r="I129" s="10">
        <f>IF(E129="","",VLOOKUP(F129,Product_Master!A:D,4,FALSE)&amp;"")</f>
        <v/>
      </c>
      <c r="J129" s="11" t="n"/>
      <c r="K129" s="11" t="n"/>
      <c r="L129" s="11" t="n"/>
      <c r="M129" s="12">
        <f>IF(J129="","",IFERROR(L129/J129,""))</f>
        <v/>
      </c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3">
        <f>SUM(N129:Z129)</f>
        <v/>
      </c>
      <c r="AB129" s="8" t="n"/>
    </row>
    <row r="130" ht="20" customHeight="1">
      <c r="A130" s="6" t="n"/>
      <c r="B130" s="7" t="n"/>
      <c r="C130" s="7" t="n"/>
      <c r="D130" s="7" t="n"/>
      <c r="E130" s="8" t="n"/>
      <c r="F130" s="9">
        <f>IF(E130="","",VALUE(LEFT(E130,FIND(" - ",E130)-1)))</f>
        <v/>
      </c>
      <c r="G130" s="10">
        <f>IF(E130="","",VLOOKUP(F130,Product_Master!A:D,2,FALSE)&amp;"")</f>
        <v/>
      </c>
      <c r="H130" s="9">
        <f>IF(E130="","",VLOOKUP(F130,Product_Master!A:D,3,FALSE)&amp;"")</f>
        <v/>
      </c>
      <c r="I130" s="10">
        <f>IF(E130="","",VLOOKUP(F130,Product_Master!A:D,4,FALSE)&amp;"")</f>
        <v/>
      </c>
      <c r="J130" s="11" t="n"/>
      <c r="K130" s="11" t="n"/>
      <c r="L130" s="11" t="n"/>
      <c r="M130" s="12">
        <f>IF(J130="","",IFERROR(L130/J130,""))</f>
        <v/>
      </c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3">
        <f>SUM(N130:Z130)</f>
        <v/>
      </c>
      <c r="AB130" s="8" t="n"/>
    </row>
    <row r="131" ht="20" customHeight="1">
      <c r="A131" s="6" t="n"/>
      <c r="B131" s="7" t="n"/>
      <c r="C131" s="7" t="n"/>
      <c r="D131" s="7" t="n"/>
      <c r="E131" s="8" t="n"/>
      <c r="F131" s="9">
        <f>IF(E131="","",VALUE(LEFT(E131,FIND(" - ",E131)-1)))</f>
        <v/>
      </c>
      <c r="G131" s="10">
        <f>IF(E131="","",VLOOKUP(F131,Product_Master!A:D,2,FALSE)&amp;"")</f>
        <v/>
      </c>
      <c r="H131" s="9">
        <f>IF(E131="","",VLOOKUP(F131,Product_Master!A:D,3,FALSE)&amp;"")</f>
        <v/>
      </c>
      <c r="I131" s="10">
        <f>IF(E131="","",VLOOKUP(F131,Product_Master!A:D,4,FALSE)&amp;"")</f>
        <v/>
      </c>
      <c r="J131" s="11" t="n"/>
      <c r="K131" s="11" t="n"/>
      <c r="L131" s="11" t="n"/>
      <c r="M131" s="12">
        <f>IF(J131="","",IFERROR(L131/J131,""))</f>
        <v/>
      </c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3">
        <f>SUM(N131:Z131)</f>
        <v/>
      </c>
      <c r="AB131" s="8" t="n"/>
    </row>
    <row r="132" ht="20" customHeight="1">
      <c r="A132" s="6" t="n"/>
      <c r="B132" s="7" t="n"/>
      <c r="C132" s="7" t="n"/>
      <c r="D132" s="7" t="n"/>
      <c r="E132" s="8" t="n"/>
      <c r="F132" s="9">
        <f>IF(E132="","",VALUE(LEFT(E132,FIND(" - ",E132)-1)))</f>
        <v/>
      </c>
      <c r="G132" s="10">
        <f>IF(E132="","",VLOOKUP(F132,Product_Master!A:D,2,FALSE)&amp;"")</f>
        <v/>
      </c>
      <c r="H132" s="9">
        <f>IF(E132="","",VLOOKUP(F132,Product_Master!A:D,3,FALSE)&amp;"")</f>
        <v/>
      </c>
      <c r="I132" s="10">
        <f>IF(E132="","",VLOOKUP(F132,Product_Master!A:D,4,FALSE)&amp;"")</f>
        <v/>
      </c>
      <c r="J132" s="11" t="n"/>
      <c r="K132" s="11" t="n"/>
      <c r="L132" s="11" t="n"/>
      <c r="M132" s="12">
        <f>IF(J132="","",IFERROR(L132/J132,""))</f>
        <v/>
      </c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3">
        <f>SUM(N132:Z132)</f>
        <v/>
      </c>
      <c r="AB132" s="8" t="n"/>
    </row>
    <row r="133" ht="20" customHeight="1">
      <c r="A133" s="6" t="n"/>
      <c r="B133" s="7" t="n"/>
      <c r="C133" s="7" t="n"/>
      <c r="D133" s="7" t="n"/>
      <c r="E133" s="8" t="n"/>
      <c r="F133" s="9">
        <f>IF(E133="","",VALUE(LEFT(E133,FIND(" - ",E133)-1)))</f>
        <v/>
      </c>
      <c r="G133" s="10">
        <f>IF(E133="","",VLOOKUP(F133,Product_Master!A:D,2,FALSE)&amp;"")</f>
        <v/>
      </c>
      <c r="H133" s="9">
        <f>IF(E133="","",VLOOKUP(F133,Product_Master!A:D,3,FALSE)&amp;"")</f>
        <v/>
      </c>
      <c r="I133" s="10">
        <f>IF(E133="","",VLOOKUP(F133,Product_Master!A:D,4,FALSE)&amp;"")</f>
        <v/>
      </c>
      <c r="J133" s="11" t="n"/>
      <c r="K133" s="11" t="n"/>
      <c r="L133" s="11" t="n"/>
      <c r="M133" s="12">
        <f>IF(J133="","",IFERROR(L133/J133,""))</f>
        <v/>
      </c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3">
        <f>SUM(N133:Z133)</f>
        <v/>
      </c>
      <c r="AB133" s="8" t="n"/>
    </row>
    <row r="134" ht="20" customHeight="1">
      <c r="A134" s="6" t="n"/>
      <c r="B134" s="7" t="n"/>
      <c r="C134" s="7" t="n"/>
      <c r="D134" s="7" t="n"/>
      <c r="E134" s="8" t="n"/>
      <c r="F134" s="9">
        <f>IF(E134="","",VALUE(LEFT(E134,FIND(" - ",E134)-1)))</f>
        <v/>
      </c>
      <c r="G134" s="10">
        <f>IF(E134="","",VLOOKUP(F134,Product_Master!A:D,2,FALSE)&amp;"")</f>
        <v/>
      </c>
      <c r="H134" s="9">
        <f>IF(E134="","",VLOOKUP(F134,Product_Master!A:D,3,FALSE)&amp;"")</f>
        <v/>
      </c>
      <c r="I134" s="10">
        <f>IF(E134="","",VLOOKUP(F134,Product_Master!A:D,4,FALSE)&amp;"")</f>
        <v/>
      </c>
      <c r="J134" s="11" t="n"/>
      <c r="K134" s="11" t="n"/>
      <c r="L134" s="11" t="n"/>
      <c r="M134" s="12">
        <f>IF(J134="","",IFERROR(L134/J134,""))</f>
        <v/>
      </c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3">
        <f>SUM(N134:Z134)</f>
        <v/>
      </c>
      <c r="AB134" s="8" t="n"/>
    </row>
    <row r="135" ht="20" customHeight="1">
      <c r="A135" s="6" t="n"/>
      <c r="B135" s="7" t="n"/>
      <c r="C135" s="7" t="n"/>
      <c r="D135" s="7" t="n"/>
      <c r="E135" s="8" t="n"/>
      <c r="F135" s="9">
        <f>IF(E135="","",VALUE(LEFT(E135,FIND(" - ",E135)-1)))</f>
        <v/>
      </c>
      <c r="G135" s="10">
        <f>IF(E135="","",VLOOKUP(F135,Product_Master!A:D,2,FALSE)&amp;"")</f>
        <v/>
      </c>
      <c r="H135" s="9">
        <f>IF(E135="","",VLOOKUP(F135,Product_Master!A:D,3,FALSE)&amp;"")</f>
        <v/>
      </c>
      <c r="I135" s="10">
        <f>IF(E135="","",VLOOKUP(F135,Product_Master!A:D,4,FALSE)&amp;"")</f>
        <v/>
      </c>
      <c r="J135" s="11" t="n"/>
      <c r="K135" s="11" t="n"/>
      <c r="L135" s="11" t="n"/>
      <c r="M135" s="12">
        <f>IF(J135="","",IFERROR(L135/J135,""))</f>
        <v/>
      </c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3">
        <f>SUM(N135:Z135)</f>
        <v/>
      </c>
      <c r="AB135" s="8" t="n"/>
    </row>
    <row r="136" ht="20" customHeight="1">
      <c r="A136" s="6" t="n"/>
      <c r="B136" s="7" t="n"/>
      <c r="C136" s="7" t="n"/>
      <c r="D136" s="7" t="n"/>
      <c r="E136" s="8" t="n"/>
      <c r="F136" s="9">
        <f>IF(E136="","",VALUE(LEFT(E136,FIND(" - ",E136)-1)))</f>
        <v/>
      </c>
      <c r="G136" s="10">
        <f>IF(E136="","",VLOOKUP(F136,Product_Master!A:D,2,FALSE)&amp;"")</f>
        <v/>
      </c>
      <c r="H136" s="9">
        <f>IF(E136="","",VLOOKUP(F136,Product_Master!A:D,3,FALSE)&amp;"")</f>
        <v/>
      </c>
      <c r="I136" s="10">
        <f>IF(E136="","",VLOOKUP(F136,Product_Master!A:D,4,FALSE)&amp;"")</f>
        <v/>
      </c>
      <c r="J136" s="11" t="n"/>
      <c r="K136" s="11" t="n"/>
      <c r="L136" s="11" t="n"/>
      <c r="M136" s="12">
        <f>IF(J136="","",IFERROR(L136/J136,""))</f>
        <v/>
      </c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3">
        <f>SUM(N136:Z136)</f>
        <v/>
      </c>
      <c r="AB136" s="8" t="n"/>
    </row>
    <row r="137" ht="20" customHeight="1">
      <c r="A137" s="6" t="n"/>
      <c r="B137" s="7" t="n"/>
      <c r="C137" s="7" t="n"/>
      <c r="D137" s="7" t="n"/>
      <c r="E137" s="8" t="n"/>
      <c r="F137" s="9">
        <f>IF(E137="","",VALUE(LEFT(E137,FIND(" - ",E137)-1)))</f>
        <v/>
      </c>
      <c r="G137" s="10">
        <f>IF(E137="","",VLOOKUP(F137,Product_Master!A:D,2,FALSE)&amp;"")</f>
        <v/>
      </c>
      <c r="H137" s="9">
        <f>IF(E137="","",VLOOKUP(F137,Product_Master!A:D,3,FALSE)&amp;"")</f>
        <v/>
      </c>
      <c r="I137" s="10">
        <f>IF(E137="","",VLOOKUP(F137,Product_Master!A:D,4,FALSE)&amp;"")</f>
        <v/>
      </c>
      <c r="J137" s="11" t="n"/>
      <c r="K137" s="11" t="n"/>
      <c r="L137" s="11" t="n"/>
      <c r="M137" s="12">
        <f>IF(J137="","",IFERROR(L137/J137,""))</f>
        <v/>
      </c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3">
        <f>SUM(N137:Z137)</f>
        <v/>
      </c>
      <c r="AB137" s="8" t="n"/>
    </row>
    <row r="138" ht="20" customHeight="1">
      <c r="A138" s="6" t="n"/>
      <c r="B138" s="7" t="n"/>
      <c r="C138" s="7" t="n"/>
      <c r="D138" s="7" t="n"/>
      <c r="E138" s="8" t="n"/>
      <c r="F138" s="9">
        <f>IF(E138="","",VALUE(LEFT(E138,FIND(" - ",E138)-1)))</f>
        <v/>
      </c>
      <c r="G138" s="10">
        <f>IF(E138="","",VLOOKUP(F138,Product_Master!A:D,2,FALSE)&amp;"")</f>
        <v/>
      </c>
      <c r="H138" s="9">
        <f>IF(E138="","",VLOOKUP(F138,Product_Master!A:D,3,FALSE)&amp;"")</f>
        <v/>
      </c>
      <c r="I138" s="10">
        <f>IF(E138="","",VLOOKUP(F138,Product_Master!A:D,4,FALSE)&amp;"")</f>
        <v/>
      </c>
      <c r="J138" s="11" t="n"/>
      <c r="K138" s="11" t="n"/>
      <c r="L138" s="11" t="n"/>
      <c r="M138" s="12">
        <f>IF(J138="","",IFERROR(L138/J138,""))</f>
        <v/>
      </c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3">
        <f>SUM(N138:Z138)</f>
        <v/>
      </c>
      <c r="AB138" s="8" t="n"/>
    </row>
    <row r="139" ht="20" customHeight="1">
      <c r="A139" s="6" t="n"/>
      <c r="B139" s="7" t="n"/>
      <c r="C139" s="7" t="n"/>
      <c r="D139" s="7" t="n"/>
      <c r="E139" s="8" t="n"/>
      <c r="F139" s="9">
        <f>IF(E139="","",VALUE(LEFT(E139,FIND(" - ",E139)-1)))</f>
        <v/>
      </c>
      <c r="G139" s="10">
        <f>IF(E139="","",VLOOKUP(F139,Product_Master!A:D,2,FALSE)&amp;"")</f>
        <v/>
      </c>
      <c r="H139" s="9">
        <f>IF(E139="","",VLOOKUP(F139,Product_Master!A:D,3,FALSE)&amp;"")</f>
        <v/>
      </c>
      <c r="I139" s="10">
        <f>IF(E139="","",VLOOKUP(F139,Product_Master!A:D,4,FALSE)&amp;"")</f>
        <v/>
      </c>
      <c r="J139" s="11" t="n"/>
      <c r="K139" s="11" t="n"/>
      <c r="L139" s="11" t="n"/>
      <c r="M139" s="12">
        <f>IF(J139="","",IFERROR(L139/J139,""))</f>
        <v/>
      </c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3">
        <f>SUM(N139:Z139)</f>
        <v/>
      </c>
      <c r="AB139" s="8" t="n"/>
    </row>
    <row r="140" ht="20" customHeight="1">
      <c r="A140" s="6" t="n"/>
      <c r="B140" s="7" t="n"/>
      <c r="C140" s="7" t="n"/>
      <c r="D140" s="7" t="n"/>
      <c r="E140" s="8" t="n"/>
      <c r="F140" s="9">
        <f>IF(E140="","",VALUE(LEFT(E140,FIND(" - ",E140)-1)))</f>
        <v/>
      </c>
      <c r="G140" s="10">
        <f>IF(E140="","",VLOOKUP(F140,Product_Master!A:D,2,FALSE)&amp;"")</f>
        <v/>
      </c>
      <c r="H140" s="9">
        <f>IF(E140="","",VLOOKUP(F140,Product_Master!A:D,3,FALSE)&amp;"")</f>
        <v/>
      </c>
      <c r="I140" s="10">
        <f>IF(E140="","",VLOOKUP(F140,Product_Master!A:D,4,FALSE)&amp;"")</f>
        <v/>
      </c>
      <c r="J140" s="11" t="n"/>
      <c r="K140" s="11" t="n"/>
      <c r="L140" s="11" t="n"/>
      <c r="M140" s="12">
        <f>IF(J140="","",IFERROR(L140/J140,""))</f>
        <v/>
      </c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3">
        <f>SUM(N140:Z140)</f>
        <v/>
      </c>
      <c r="AB140" s="8" t="n"/>
    </row>
    <row r="141" ht="20" customHeight="1">
      <c r="A141" s="6" t="n"/>
      <c r="B141" s="7" t="n"/>
      <c r="C141" s="7" t="n"/>
      <c r="D141" s="7" t="n"/>
      <c r="E141" s="8" t="n"/>
      <c r="F141" s="9">
        <f>IF(E141="","",VALUE(LEFT(E141,FIND(" - ",E141)-1)))</f>
        <v/>
      </c>
      <c r="G141" s="10">
        <f>IF(E141="","",VLOOKUP(F141,Product_Master!A:D,2,FALSE)&amp;"")</f>
        <v/>
      </c>
      <c r="H141" s="9">
        <f>IF(E141="","",VLOOKUP(F141,Product_Master!A:D,3,FALSE)&amp;"")</f>
        <v/>
      </c>
      <c r="I141" s="10">
        <f>IF(E141="","",VLOOKUP(F141,Product_Master!A:D,4,FALSE)&amp;"")</f>
        <v/>
      </c>
      <c r="J141" s="11" t="n"/>
      <c r="K141" s="11" t="n"/>
      <c r="L141" s="11" t="n"/>
      <c r="M141" s="12">
        <f>IF(J141="","",IFERROR(L141/J141,""))</f>
        <v/>
      </c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3">
        <f>SUM(N141:Z141)</f>
        <v/>
      </c>
      <c r="AB141" s="8" t="n"/>
    </row>
    <row r="142" ht="20" customHeight="1">
      <c r="A142" s="6" t="n"/>
      <c r="B142" s="7" t="n"/>
      <c r="C142" s="7" t="n"/>
      <c r="D142" s="7" t="n"/>
      <c r="E142" s="8" t="n"/>
      <c r="F142" s="9">
        <f>IF(E142="","",VALUE(LEFT(E142,FIND(" - ",E142)-1)))</f>
        <v/>
      </c>
      <c r="G142" s="10">
        <f>IF(E142="","",VLOOKUP(F142,Product_Master!A:D,2,FALSE)&amp;"")</f>
        <v/>
      </c>
      <c r="H142" s="9">
        <f>IF(E142="","",VLOOKUP(F142,Product_Master!A:D,3,FALSE)&amp;"")</f>
        <v/>
      </c>
      <c r="I142" s="10">
        <f>IF(E142="","",VLOOKUP(F142,Product_Master!A:D,4,FALSE)&amp;"")</f>
        <v/>
      </c>
      <c r="J142" s="11" t="n"/>
      <c r="K142" s="11" t="n"/>
      <c r="L142" s="11" t="n"/>
      <c r="M142" s="12">
        <f>IF(J142="","",IFERROR(L142/J142,""))</f>
        <v/>
      </c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3">
        <f>SUM(N142:Z142)</f>
        <v/>
      </c>
      <c r="AB142" s="8" t="n"/>
    </row>
    <row r="143" ht="20" customHeight="1">
      <c r="A143" s="6" t="n"/>
      <c r="B143" s="7" t="n"/>
      <c r="C143" s="7" t="n"/>
      <c r="D143" s="7" t="n"/>
      <c r="E143" s="8" t="n"/>
      <c r="F143" s="9">
        <f>IF(E143="","",VALUE(LEFT(E143,FIND(" - ",E143)-1)))</f>
        <v/>
      </c>
      <c r="G143" s="10">
        <f>IF(E143="","",VLOOKUP(F143,Product_Master!A:D,2,FALSE)&amp;"")</f>
        <v/>
      </c>
      <c r="H143" s="9">
        <f>IF(E143="","",VLOOKUP(F143,Product_Master!A:D,3,FALSE)&amp;"")</f>
        <v/>
      </c>
      <c r="I143" s="10">
        <f>IF(E143="","",VLOOKUP(F143,Product_Master!A:D,4,FALSE)&amp;"")</f>
        <v/>
      </c>
      <c r="J143" s="11" t="n"/>
      <c r="K143" s="11" t="n"/>
      <c r="L143" s="11" t="n"/>
      <c r="M143" s="12">
        <f>IF(J143="","",IFERROR(L143/J143,""))</f>
        <v/>
      </c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3">
        <f>SUM(N143:Z143)</f>
        <v/>
      </c>
      <c r="AB143" s="8" t="n"/>
    </row>
    <row r="144" ht="20" customHeight="1">
      <c r="A144" s="6" t="n"/>
      <c r="B144" s="7" t="n"/>
      <c r="C144" s="7" t="n"/>
      <c r="D144" s="7" t="n"/>
      <c r="E144" s="8" t="n"/>
      <c r="F144" s="9">
        <f>IF(E144="","",VALUE(LEFT(E144,FIND(" - ",E144)-1)))</f>
        <v/>
      </c>
      <c r="G144" s="10">
        <f>IF(E144="","",VLOOKUP(F144,Product_Master!A:D,2,FALSE)&amp;"")</f>
        <v/>
      </c>
      <c r="H144" s="9">
        <f>IF(E144="","",VLOOKUP(F144,Product_Master!A:D,3,FALSE)&amp;"")</f>
        <v/>
      </c>
      <c r="I144" s="10">
        <f>IF(E144="","",VLOOKUP(F144,Product_Master!A:D,4,FALSE)&amp;"")</f>
        <v/>
      </c>
      <c r="J144" s="11" t="n"/>
      <c r="K144" s="11" t="n"/>
      <c r="L144" s="11" t="n"/>
      <c r="M144" s="12">
        <f>IF(J144="","",IFERROR(L144/J144,""))</f>
        <v/>
      </c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3">
        <f>SUM(N144:Z144)</f>
        <v/>
      </c>
      <c r="AB144" s="8" t="n"/>
    </row>
    <row r="145" ht="20" customHeight="1">
      <c r="A145" s="6" t="n"/>
      <c r="B145" s="7" t="n"/>
      <c r="C145" s="7" t="n"/>
      <c r="D145" s="7" t="n"/>
      <c r="E145" s="8" t="n"/>
      <c r="F145" s="9">
        <f>IF(E145="","",VALUE(LEFT(E145,FIND(" - ",E145)-1)))</f>
        <v/>
      </c>
      <c r="G145" s="10">
        <f>IF(E145="","",VLOOKUP(F145,Product_Master!A:D,2,FALSE)&amp;"")</f>
        <v/>
      </c>
      <c r="H145" s="9">
        <f>IF(E145="","",VLOOKUP(F145,Product_Master!A:D,3,FALSE)&amp;"")</f>
        <v/>
      </c>
      <c r="I145" s="10">
        <f>IF(E145="","",VLOOKUP(F145,Product_Master!A:D,4,FALSE)&amp;"")</f>
        <v/>
      </c>
      <c r="J145" s="11" t="n"/>
      <c r="K145" s="11" t="n"/>
      <c r="L145" s="11" t="n"/>
      <c r="M145" s="12">
        <f>IF(J145="","",IFERROR(L145/J145,""))</f>
        <v/>
      </c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3">
        <f>SUM(N145:Z145)</f>
        <v/>
      </c>
      <c r="AB145" s="8" t="n"/>
    </row>
    <row r="146" ht="20" customHeight="1">
      <c r="A146" s="6" t="n"/>
      <c r="B146" s="7" t="n"/>
      <c r="C146" s="7" t="n"/>
      <c r="D146" s="7" t="n"/>
      <c r="E146" s="8" t="n"/>
      <c r="F146" s="9">
        <f>IF(E146="","",VALUE(LEFT(E146,FIND(" - ",E146)-1)))</f>
        <v/>
      </c>
      <c r="G146" s="10">
        <f>IF(E146="","",VLOOKUP(F146,Product_Master!A:D,2,FALSE)&amp;"")</f>
        <v/>
      </c>
      <c r="H146" s="9">
        <f>IF(E146="","",VLOOKUP(F146,Product_Master!A:D,3,FALSE)&amp;"")</f>
        <v/>
      </c>
      <c r="I146" s="10">
        <f>IF(E146="","",VLOOKUP(F146,Product_Master!A:D,4,FALSE)&amp;"")</f>
        <v/>
      </c>
      <c r="J146" s="11" t="n"/>
      <c r="K146" s="11" t="n"/>
      <c r="L146" s="11" t="n"/>
      <c r="M146" s="12">
        <f>IF(J146="","",IFERROR(L146/J146,""))</f>
        <v/>
      </c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3">
        <f>SUM(N146:Z146)</f>
        <v/>
      </c>
      <c r="AB146" s="8" t="n"/>
    </row>
    <row r="147" ht="20" customHeight="1">
      <c r="A147" s="6" t="n"/>
      <c r="B147" s="7" t="n"/>
      <c r="C147" s="7" t="n"/>
      <c r="D147" s="7" t="n"/>
      <c r="E147" s="8" t="n"/>
      <c r="F147" s="9">
        <f>IF(E147="","",VALUE(LEFT(E147,FIND(" - ",E147)-1)))</f>
        <v/>
      </c>
      <c r="G147" s="10">
        <f>IF(E147="","",VLOOKUP(F147,Product_Master!A:D,2,FALSE)&amp;"")</f>
        <v/>
      </c>
      <c r="H147" s="9">
        <f>IF(E147="","",VLOOKUP(F147,Product_Master!A:D,3,FALSE)&amp;"")</f>
        <v/>
      </c>
      <c r="I147" s="10">
        <f>IF(E147="","",VLOOKUP(F147,Product_Master!A:D,4,FALSE)&amp;"")</f>
        <v/>
      </c>
      <c r="J147" s="11" t="n"/>
      <c r="K147" s="11" t="n"/>
      <c r="L147" s="11" t="n"/>
      <c r="M147" s="12">
        <f>IF(J147="","",IFERROR(L147/J147,""))</f>
        <v/>
      </c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3">
        <f>SUM(N147:Z147)</f>
        <v/>
      </c>
      <c r="AB147" s="8" t="n"/>
    </row>
    <row r="148" ht="20" customHeight="1">
      <c r="A148" s="6" t="n"/>
      <c r="B148" s="7" t="n"/>
      <c r="C148" s="7" t="n"/>
      <c r="D148" s="7" t="n"/>
      <c r="E148" s="8" t="n"/>
      <c r="F148" s="9">
        <f>IF(E148="","",VALUE(LEFT(E148,FIND(" - ",E148)-1)))</f>
        <v/>
      </c>
      <c r="G148" s="10">
        <f>IF(E148="","",VLOOKUP(F148,Product_Master!A:D,2,FALSE)&amp;"")</f>
        <v/>
      </c>
      <c r="H148" s="9">
        <f>IF(E148="","",VLOOKUP(F148,Product_Master!A:D,3,FALSE)&amp;"")</f>
        <v/>
      </c>
      <c r="I148" s="10">
        <f>IF(E148="","",VLOOKUP(F148,Product_Master!A:D,4,FALSE)&amp;"")</f>
        <v/>
      </c>
      <c r="J148" s="11" t="n"/>
      <c r="K148" s="11" t="n"/>
      <c r="L148" s="11" t="n"/>
      <c r="M148" s="12">
        <f>IF(J148="","",IFERROR(L148/J148,""))</f>
        <v/>
      </c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3">
        <f>SUM(N148:Z148)</f>
        <v/>
      </c>
      <c r="AB148" s="8" t="n"/>
    </row>
    <row r="149" ht="20" customHeight="1">
      <c r="A149" s="6" t="n"/>
      <c r="B149" s="7" t="n"/>
      <c r="C149" s="7" t="n"/>
      <c r="D149" s="7" t="n"/>
      <c r="E149" s="8" t="n"/>
      <c r="F149" s="9">
        <f>IF(E149="","",VALUE(LEFT(E149,FIND(" - ",E149)-1)))</f>
        <v/>
      </c>
      <c r="G149" s="10">
        <f>IF(E149="","",VLOOKUP(F149,Product_Master!A:D,2,FALSE)&amp;"")</f>
        <v/>
      </c>
      <c r="H149" s="9">
        <f>IF(E149="","",VLOOKUP(F149,Product_Master!A:D,3,FALSE)&amp;"")</f>
        <v/>
      </c>
      <c r="I149" s="10">
        <f>IF(E149="","",VLOOKUP(F149,Product_Master!A:D,4,FALSE)&amp;"")</f>
        <v/>
      </c>
      <c r="J149" s="11" t="n"/>
      <c r="K149" s="11" t="n"/>
      <c r="L149" s="11" t="n"/>
      <c r="M149" s="12">
        <f>IF(J149="","",IFERROR(L149/J149,""))</f>
        <v/>
      </c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3">
        <f>SUM(N149:Z149)</f>
        <v/>
      </c>
      <c r="AB149" s="8" t="n"/>
    </row>
    <row r="150" ht="20" customHeight="1">
      <c r="A150" s="6" t="n"/>
      <c r="B150" s="7" t="n"/>
      <c r="C150" s="7" t="n"/>
      <c r="D150" s="7" t="n"/>
      <c r="E150" s="8" t="n"/>
      <c r="F150" s="9">
        <f>IF(E150="","",VALUE(LEFT(E150,FIND(" - ",E150)-1)))</f>
        <v/>
      </c>
      <c r="G150" s="10">
        <f>IF(E150="","",VLOOKUP(F150,Product_Master!A:D,2,FALSE)&amp;"")</f>
        <v/>
      </c>
      <c r="H150" s="9">
        <f>IF(E150="","",VLOOKUP(F150,Product_Master!A:D,3,FALSE)&amp;"")</f>
        <v/>
      </c>
      <c r="I150" s="10">
        <f>IF(E150="","",VLOOKUP(F150,Product_Master!A:D,4,FALSE)&amp;"")</f>
        <v/>
      </c>
      <c r="J150" s="11" t="n"/>
      <c r="K150" s="11" t="n"/>
      <c r="L150" s="11" t="n"/>
      <c r="M150" s="12">
        <f>IF(J150="","",IFERROR(L150/J150,""))</f>
        <v/>
      </c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3">
        <f>SUM(N150:Z150)</f>
        <v/>
      </c>
      <c r="AB150" s="8" t="n"/>
    </row>
    <row r="151" ht="20" customHeight="1">
      <c r="A151" s="6" t="n"/>
      <c r="B151" s="7" t="n"/>
      <c r="C151" s="7" t="n"/>
      <c r="D151" s="7" t="n"/>
      <c r="E151" s="8" t="n"/>
      <c r="F151" s="9">
        <f>IF(E151="","",VALUE(LEFT(E151,FIND(" - ",E151)-1)))</f>
        <v/>
      </c>
      <c r="G151" s="10">
        <f>IF(E151="","",VLOOKUP(F151,Product_Master!A:D,2,FALSE)&amp;"")</f>
        <v/>
      </c>
      <c r="H151" s="9">
        <f>IF(E151="","",VLOOKUP(F151,Product_Master!A:D,3,FALSE)&amp;"")</f>
        <v/>
      </c>
      <c r="I151" s="10">
        <f>IF(E151="","",VLOOKUP(F151,Product_Master!A:D,4,FALSE)&amp;"")</f>
        <v/>
      </c>
      <c r="J151" s="11" t="n"/>
      <c r="K151" s="11" t="n"/>
      <c r="L151" s="11" t="n"/>
      <c r="M151" s="12">
        <f>IF(J151="","",IFERROR(L151/J151,""))</f>
        <v/>
      </c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3">
        <f>SUM(N151:Z151)</f>
        <v/>
      </c>
      <c r="AB151" s="8" t="n"/>
    </row>
    <row r="152" ht="20" customHeight="1">
      <c r="A152" s="6" t="n"/>
      <c r="B152" s="7" t="n"/>
      <c r="C152" s="7" t="n"/>
      <c r="D152" s="7" t="n"/>
      <c r="E152" s="8" t="n"/>
      <c r="F152" s="9">
        <f>IF(E152="","",VALUE(LEFT(E152,FIND(" - ",E152)-1)))</f>
        <v/>
      </c>
      <c r="G152" s="10">
        <f>IF(E152="","",VLOOKUP(F152,Product_Master!A:D,2,FALSE)&amp;"")</f>
        <v/>
      </c>
      <c r="H152" s="9">
        <f>IF(E152="","",VLOOKUP(F152,Product_Master!A:D,3,FALSE)&amp;"")</f>
        <v/>
      </c>
      <c r="I152" s="10">
        <f>IF(E152="","",VLOOKUP(F152,Product_Master!A:D,4,FALSE)&amp;"")</f>
        <v/>
      </c>
      <c r="J152" s="11" t="n"/>
      <c r="K152" s="11" t="n"/>
      <c r="L152" s="11" t="n"/>
      <c r="M152" s="12">
        <f>IF(J152="","",IFERROR(L152/J152,""))</f>
        <v/>
      </c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3">
        <f>SUM(N152:Z152)</f>
        <v/>
      </c>
      <c r="AB152" s="8" t="n"/>
    </row>
    <row r="153" ht="20" customHeight="1">
      <c r="A153" s="6" t="n"/>
      <c r="B153" s="7" t="n"/>
      <c r="C153" s="7" t="n"/>
      <c r="D153" s="7" t="n"/>
      <c r="E153" s="8" t="n"/>
      <c r="F153" s="9">
        <f>IF(E153="","",VALUE(LEFT(E153,FIND(" - ",E153)-1)))</f>
        <v/>
      </c>
      <c r="G153" s="10">
        <f>IF(E153="","",VLOOKUP(F153,Product_Master!A:D,2,FALSE)&amp;"")</f>
        <v/>
      </c>
      <c r="H153" s="9">
        <f>IF(E153="","",VLOOKUP(F153,Product_Master!A:D,3,FALSE)&amp;"")</f>
        <v/>
      </c>
      <c r="I153" s="10">
        <f>IF(E153="","",VLOOKUP(F153,Product_Master!A:D,4,FALSE)&amp;"")</f>
        <v/>
      </c>
      <c r="J153" s="11" t="n"/>
      <c r="K153" s="11" t="n"/>
      <c r="L153" s="11" t="n"/>
      <c r="M153" s="12">
        <f>IF(J153="","",IFERROR(L153/J153,""))</f>
        <v/>
      </c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3">
        <f>SUM(N153:Z153)</f>
        <v/>
      </c>
      <c r="AB153" s="8" t="n"/>
    </row>
    <row r="154" ht="20" customHeight="1">
      <c r="A154" s="6" t="n"/>
      <c r="B154" s="7" t="n"/>
      <c r="C154" s="7" t="n"/>
      <c r="D154" s="7" t="n"/>
      <c r="E154" s="8" t="n"/>
      <c r="F154" s="9">
        <f>IF(E154="","",VALUE(LEFT(E154,FIND(" - ",E154)-1)))</f>
        <v/>
      </c>
      <c r="G154" s="10">
        <f>IF(E154="","",VLOOKUP(F154,Product_Master!A:D,2,FALSE)&amp;"")</f>
        <v/>
      </c>
      <c r="H154" s="9">
        <f>IF(E154="","",VLOOKUP(F154,Product_Master!A:D,3,FALSE)&amp;"")</f>
        <v/>
      </c>
      <c r="I154" s="10">
        <f>IF(E154="","",VLOOKUP(F154,Product_Master!A:D,4,FALSE)&amp;"")</f>
        <v/>
      </c>
      <c r="J154" s="11" t="n"/>
      <c r="K154" s="11" t="n"/>
      <c r="L154" s="11" t="n"/>
      <c r="M154" s="12">
        <f>IF(J154="","",IFERROR(L154/J154,""))</f>
        <v/>
      </c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3">
        <f>SUM(N154:Z154)</f>
        <v/>
      </c>
      <c r="AB154" s="8" t="n"/>
    </row>
    <row r="155" ht="20" customHeight="1">
      <c r="A155" s="6" t="n"/>
      <c r="B155" s="7" t="n"/>
      <c r="C155" s="7" t="n"/>
      <c r="D155" s="7" t="n"/>
      <c r="E155" s="8" t="n"/>
      <c r="F155" s="9">
        <f>IF(E155="","",VALUE(LEFT(E155,FIND(" - ",E155)-1)))</f>
        <v/>
      </c>
      <c r="G155" s="10">
        <f>IF(E155="","",VLOOKUP(F155,Product_Master!A:D,2,FALSE)&amp;"")</f>
        <v/>
      </c>
      <c r="H155" s="9">
        <f>IF(E155="","",VLOOKUP(F155,Product_Master!A:D,3,FALSE)&amp;"")</f>
        <v/>
      </c>
      <c r="I155" s="10">
        <f>IF(E155="","",VLOOKUP(F155,Product_Master!A:D,4,FALSE)&amp;"")</f>
        <v/>
      </c>
      <c r="J155" s="11" t="n"/>
      <c r="K155" s="11" t="n"/>
      <c r="L155" s="11" t="n"/>
      <c r="M155" s="12">
        <f>IF(J155="","",IFERROR(L155/J155,""))</f>
        <v/>
      </c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3">
        <f>SUM(N155:Z155)</f>
        <v/>
      </c>
      <c r="AB155" s="8" t="n"/>
    </row>
    <row r="156" ht="20" customHeight="1">
      <c r="A156" s="6" t="n"/>
      <c r="B156" s="7" t="n"/>
      <c r="C156" s="7" t="n"/>
      <c r="D156" s="7" t="n"/>
      <c r="E156" s="8" t="n"/>
      <c r="F156" s="9">
        <f>IF(E156="","",VALUE(LEFT(E156,FIND(" - ",E156)-1)))</f>
        <v/>
      </c>
      <c r="G156" s="10">
        <f>IF(E156="","",VLOOKUP(F156,Product_Master!A:D,2,FALSE)&amp;"")</f>
        <v/>
      </c>
      <c r="H156" s="9">
        <f>IF(E156="","",VLOOKUP(F156,Product_Master!A:D,3,FALSE)&amp;"")</f>
        <v/>
      </c>
      <c r="I156" s="10">
        <f>IF(E156="","",VLOOKUP(F156,Product_Master!A:D,4,FALSE)&amp;"")</f>
        <v/>
      </c>
      <c r="J156" s="11" t="n"/>
      <c r="K156" s="11" t="n"/>
      <c r="L156" s="11" t="n"/>
      <c r="M156" s="12">
        <f>IF(J156="","",IFERROR(L156/J156,""))</f>
        <v/>
      </c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3">
        <f>SUM(N156:Z156)</f>
        <v/>
      </c>
      <c r="AB156" s="8" t="n"/>
    </row>
    <row r="157" ht="20" customHeight="1">
      <c r="A157" s="6" t="n"/>
      <c r="B157" s="7" t="n"/>
      <c r="C157" s="7" t="n"/>
      <c r="D157" s="7" t="n"/>
      <c r="E157" s="8" t="n"/>
      <c r="F157" s="9">
        <f>IF(E157="","",VALUE(LEFT(E157,FIND(" - ",E157)-1)))</f>
        <v/>
      </c>
      <c r="G157" s="10">
        <f>IF(E157="","",VLOOKUP(F157,Product_Master!A:D,2,FALSE)&amp;"")</f>
        <v/>
      </c>
      <c r="H157" s="9">
        <f>IF(E157="","",VLOOKUP(F157,Product_Master!A:D,3,FALSE)&amp;"")</f>
        <v/>
      </c>
      <c r="I157" s="10">
        <f>IF(E157="","",VLOOKUP(F157,Product_Master!A:D,4,FALSE)&amp;"")</f>
        <v/>
      </c>
      <c r="J157" s="11" t="n"/>
      <c r="K157" s="11" t="n"/>
      <c r="L157" s="11" t="n"/>
      <c r="M157" s="12">
        <f>IF(J157="","",IFERROR(L157/J157,""))</f>
        <v/>
      </c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3">
        <f>SUM(N157:Z157)</f>
        <v/>
      </c>
      <c r="AB157" s="8" t="n"/>
    </row>
    <row r="158" ht="20" customHeight="1">
      <c r="A158" s="6" t="n"/>
      <c r="B158" s="7" t="n"/>
      <c r="C158" s="7" t="n"/>
      <c r="D158" s="7" t="n"/>
      <c r="E158" s="8" t="n"/>
      <c r="F158" s="9">
        <f>IF(E158="","",VALUE(LEFT(E158,FIND(" - ",E158)-1)))</f>
        <v/>
      </c>
      <c r="G158" s="10">
        <f>IF(E158="","",VLOOKUP(F158,Product_Master!A:D,2,FALSE)&amp;"")</f>
        <v/>
      </c>
      <c r="H158" s="9">
        <f>IF(E158="","",VLOOKUP(F158,Product_Master!A:D,3,FALSE)&amp;"")</f>
        <v/>
      </c>
      <c r="I158" s="10">
        <f>IF(E158="","",VLOOKUP(F158,Product_Master!A:D,4,FALSE)&amp;"")</f>
        <v/>
      </c>
      <c r="J158" s="11" t="n"/>
      <c r="K158" s="11" t="n"/>
      <c r="L158" s="11" t="n"/>
      <c r="M158" s="12">
        <f>IF(J158="","",IFERROR(L158/J158,""))</f>
        <v/>
      </c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3">
        <f>SUM(N158:Z158)</f>
        <v/>
      </c>
      <c r="AB158" s="8" t="n"/>
    </row>
    <row r="159" ht="20" customHeight="1">
      <c r="A159" s="6" t="n"/>
      <c r="B159" s="7" t="n"/>
      <c r="C159" s="7" t="n"/>
      <c r="D159" s="7" t="n"/>
      <c r="E159" s="8" t="n"/>
      <c r="F159" s="9">
        <f>IF(E159="","",VALUE(LEFT(E159,FIND(" - ",E159)-1)))</f>
        <v/>
      </c>
      <c r="G159" s="10">
        <f>IF(E159="","",VLOOKUP(F159,Product_Master!A:D,2,FALSE)&amp;"")</f>
        <v/>
      </c>
      <c r="H159" s="9">
        <f>IF(E159="","",VLOOKUP(F159,Product_Master!A:D,3,FALSE)&amp;"")</f>
        <v/>
      </c>
      <c r="I159" s="10">
        <f>IF(E159="","",VLOOKUP(F159,Product_Master!A:D,4,FALSE)&amp;"")</f>
        <v/>
      </c>
      <c r="J159" s="11" t="n"/>
      <c r="K159" s="11" t="n"/>
      <c r="L159" s="11" t="n"/>
      <c r="M159" s="12">
        <f>IF(J159="","",IFERROR(L159/J159,""))</f>
        <v/>
      </c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3">
        <f>SUM(N159:Z159)</f>
        <v/>
      </c>
      <c r="AB159" s="8" t="n"/>
    </row>
    <row r="160" ht="20" customHeight="1">
      <c r="A160" s="6" t="n"/>
      <c r="B160" s="7" t="n"/>
      <c r="C160" s="7" t="n"/>
      <c r="D160" s="7" t="n"/>
      <c r="E160" s="8" t="n"/>
      <c r="F160" s="9">
        <f>IF(E160="","",VALUE(LEFT(E160,FIND(" - ",E160)-1)))</f>
        <v/>
      </c>
      <c r="G160" s="10">
        <f>IF(E160="","",VLOOKUP(F160,Product_Master!A:D,2,FALSE)&amp;"")</f>
        <v/>
      </c>
      <c r="H160" s="9">
        <f>IF(E160="","",VLOOKUP(F160,Product_Master!A:D,3,FALSE)&amp;"")</f>
        <v/>
      </c>
      <c r="I160" s="10">
        <f>IF(E160="","",VLOOKUP(F160,Product_Master!A:D,4,FALSE)&amp;"")</f>
        <v/>
      </c>
      <c r="J160" s="11" t="n"/>
      <c r="K160" s="11" t="n"/>
      <c r="L160" s="11" t="n"/>
      <c r="M160" s="12">
        <f>IF(J160="","",IFERROR(L160/J160,""))</f>
        <v/>
      </c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3">
        <f>SUM(N160:Z160)</f>
        <v/>
      </c>
      <c r="AB160" s="8" t="n"/>
    </row>
    <row r="161" ht="20" customHeight="1">
      <c r="A161" s="6" t="n"/>
      <c r="B161" s="7" t="n"/>
      <c r="C161" s="7" t="n"/>
      <c r="D161" s="7" t="n"/>
      <c r="E161" s="8" t="n"/>
      <c r="F161" s="9">
        <f>IF(E161="","",VALUE(LEFT(E161,FIND(" - ",E161)-1)))</f>
        <v/>
      </c>
      <c r="G161" s="10">
        <f>IF(E161="","",VLOOKUP(F161,Product_Master!A:D,2,FALSE)&amp;"")</f>
        <v/>
      </c>
      <c r="H161" s="9">
        <f>IF(E161="","",VLOOKUP(F161,Product_Master!A:D,3,FALSE)&amp;"")</f>
        <v/>
      </c>
      <c r="I161" s="10">
        <f>IF(E161="","",VLOOKUP(F161,Product_Master!A:D,4,FALSE)&amp;"")</f>
        <v/>
      </c>
      <c r="J161" s="11" t="n"/>
      <c r="K161" s="11" t="n"/>
      <c r="L161" s="11" t="n"/>
      <c r="M161" s="12">
        <f>IF(J161="","",IFERROR(L161/J161,""))</f>
        <v/>
      </c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3">
        <f>SUM(N161:Z161)</f>
        <v/>
      </c>
      <c r="AB161" s="8" t="n"/>
    </row>
    <row r="162" ht="20" customHeight="1">
      <c r="A162" s="6" t="n"/>
      <c r="B162" s="7" t="n"/>
      <c r="C162" s="7" t="n"/>
      <c r="D162" s="7" t="n"/>
      <c r="E162" s="8" t="n"/>
      <c r="F162" s="9">
        <f>IF(E162="","",VALUE(LEFT(E162,FIND(" - ",E162)-1)))</f>
        <v/>
      </c>
      <c r="G162" s="10">
        <f>IF(E162="","",VLOOKUP(F162,Product_Master!A:D,2,FALSE)&amp;"")</f>
        <v/>
      </c>
      <c r="H162" s="9">
        <f>IF(E162="","",VLOOKUP(F162,Product_Master!A:D,3,FALSE)&amp;"")</f>
        <v/>
      </c>
      <c r="I162" s="10">
        <f>IF(E162="","",VLOOKUP(F162,Product_Master!A:D,4,FALSE)&amp;"")</f>
        <v/>
      </c>
      <c r="J162" s="11" t="n"/>
      <c r="K162" s="11" t="n"/>
      <c r="L162" s="11" t="n"/>
      <c r="M162" s="12">
        <f>IF(J162="","",IFERROR(L162/J162,""))</f>
        <v/>
      </c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3">
        <f>SUM(N162:Z162)</f>
        <v/>
      </c>
      <c r="AB162" s="8" t="n"/>
    </row>
    <row r="163" ht="20" customHeight="1">
      <c r="A163" s="6" t="n"/>
      <c r="B163" s="7" t="n"/>
      <c r="C163" s="7" t="n"/>
      <c r="D163" s="7" t="n"/>
      <c r="E163" s="8" t="n"/>
      <c r="F163" s="9">
        <f>IF(E163="","",VALUE(LEFT(E163,FIND(" - ",E163)-1)))</f>
        <v/>
      </c>
      <c r="G163" s="10">
        <f>IF(E163="","",VLOOKUP(F163,Product_Master!A:D,2,FALSE)&amp;"")</f>
        <v/>
      </c>
      <c r="H163" s="9">
        <f>IF(E163="","",VLOOKUP(F163,Product_Master!A:D,3,FALSE)&amp;"")</f>
        <v/>
      </c>
      <c r="I163" s="10">
        <f>IF(E163="","",VLOOKUP(F163,Product_Master!A:D,4,FALSE)&amp;"")</f>
        <v/>
      </c>
      <c r="J163" s="11" t="n"/>
      <c r="K163" s="11" t="n"/>
      <c r="L163" s="11" t="n"/>
      <c r="M163" s="12">
        <f>IF(J163="","",IFERROR(L163/J163,""))</f>
        <v/>
      </c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3">
        <f>SUM(N163:Z163)</f>
        <v/>
      </c>
      <c r="AB163" s="8" t="n"/>
    </row>
    <row r="164" ht="20" customHeight="1">
      <c r="A164" s="6" t="n"/>
      <c r="B164" s="7" t="n"/>
      <c r="C164" s="7" t="n"/>
      <c r="D164" s="7" t="n"/>
      <c r="E164" s="8" t="n"/>
      <c r="F164" s="9">
        <f>IF(E164="","",VALUE(LEFT(E164,FIND(" - ",E164)-1)))</f>
        <v/>
      </c>
      <c r="G164" s="10">
        <f>IF(E164="","",VLOOKUP(F164,Product_Master!A:D,2,FALSE)&amp;"")</f>
        <v/>
      </c>
      <c r="H164" s="9">
        <f>IF(E164="","",VLOOKUP(F164,Product_Master!A:D,3,FALSE)&amp;"")</f>
        <v/>
      </c>
      <c r="I164" s="10">
        <f>IF(E164="","",VLOOKUP(F164,Product_Master!A:D,4,FALSE)&amp;"")</f>
        <v/>
      </c>
      <c r="J164" s="11" t="n"/>
      <c r="K164" s="11" t="n"/>
      <c r="L164" s="11" t="n"/>
      <c r="M164" s="12">
        <f>IF(J164="","",IFERROR(L164/J164,""))</f>
        <v/>
      </c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3">
        <f>SUM(N164:Z164)</f>
        <v/>
      </c>
      <c r="AB164" s="8" t="n"/>
    </row>
    <row r="165" ht="20" customHeight="1">
      <c r="A165" s="6" t="n"/>
      <c r="B165" s="7" t="n"/>
      <c r="C165" s="7" t="n"/>
      <c r="D165" s="7" t="n"/>
      <c r="E165" s="8" t="n"/>
      <c r="F165" s="9">
        <f>IF(E165="","",VALUE(LEFT(E165,FIND(" - ",E165)-1)))</f>
        <v/>
      </c>
      <c r="G165" s="10">
        <f>IF(E165="","",VLOOKUP(F165,Product_Master!A:D,2,FALSE)&amp;"")</f>
        <v/>
      </c>
      <c r="H165" s="9">
        <f>IF(E165="","",VLOOKUP(F165,Product_Master!A:D,3,FALSE)&amp;"")</f>
        <v/>
      </c>
      <c r="I165" s="10">
        <f>IF(E165="","",VLOOKUP(F165,Product_Master!A:D,4,FALSE)&amp;"")</f>
        <v/>
      </c>
      <c r="J165" s="11" t="n"/>
      <c r="K165" s="11" t="n"/>
      <c r="L165" s="11" t="n"/>
      <c r="M165" s="12">
        <f>IF(J165="","",IFERROR(L165/J165,""))</f>
        <v/>
      </c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3">
        <f>SUM(N165:Z165)</f>
        <v/>
      </c>
      <c r="AB165" s="8" t="n"/>
    </row>
    <row r="166" ht="20" customHeight="1">
      <c r="A166" s="6" t="n"/>
      <c r="B166" s="7" t="n"/>
      <c r="C166" s="7" t="n"/>
      <c r="D166" s="7" t="n"/>
      <c r="E166" s="8" t="n"/>
      <c r="F166" s="9">
        <f>IF(E166="","",VALUE(LEFT(E166,FIND(" - ",E166)-1)))</f>
        <v/>
      </c>
      <c r="G166" s="10">
        <f>IF(E166="","",VLOOKUP(F166,Product_Master!A:D,2,FALSE)&amp;"")</f>
        <v/>
      </c>
      <c r="H166" s="9">
        <f>IF(E166="","",VLOOKUP(F166,Product_Master!A:D,3,FALSE)&amp;"")</f>
        <v/>
      </c>
      <c r="I166" s="10">
        <f>IF(E166="","",VLOOKUP(F166,Product_Master!A:D,4,FALSE)&amp;"")</f>
        <v/>
      </c>
      <c r="J166" s="11" t="n"/>
      <c r="K166" s="11" t="n"/>
      <c r="L166" s="11" t="n"/>
      <c r="M166" s="12">
        <f>IF(J166="","",IFERROR(L166/J166,""))</f>
        <v/>
      </c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3">
        <f>SUM(N166:Z166)</f>
        <v/>
      </c>
      <c r="AB166" s="8" t="n"/>
    </row>
    <row r="167" ht="20" customHeight="1">
      <c r="A167" s="6" t="n"/>
      <c r="B167" s="7" t="n"/>
      <c r="C167" s="7" t="n"/>
      <c r="D167" s="7" t="n"/>
      <c r="E167" s="8" t="n"/>
      <c r="F167" s="9">
        <f>IF(E167="","",VALUE(LEFT(E167,FIND(" - ",E167)-1)))</f>
        <v/>
      </c>
      <c r="G167" s="10">
        <f>IF(E167="","",VLOOKUP(F167,Product_Master!A:D,2,FALSE)&amp;"")</f>
        <v/>
      </c>
      <c r="H167" s="9">
        <f>IF(E167="","",VLOOKUP(F167,Product_Master!A:D,3,FALSE)&amp;"")</f>
        <v/>
      </c>
      <c r="I167" s="10">
        <f>IF(E167="","",VLOOKUP(F167,Product_Master!A:D,4,FALSE)&amp;"")</f>
        <v/>
      </c>
      <c r="J167" s="11" t="n"/>
      <c r="K167" s="11" t="n"/>
      <c r="L167" s="11" t="n"/>
      <c r="M167" s="12">
        <f>IF(J167="","",IFERROR(L167/J167,""))</f>
        <v/>
      </c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3">
        <f>SUM(N167:Z167)</f>
        <v/>
      </c>
      <c r="AB167" s="8" t="n"/>
    </row>
    <row r="168" ht="20" customHeight="1">
      <c r="A168" s="6" t="n"/>
      <c r="B168" s="7" t="n"/>
      <c r="C168" s="7" t="n"/>
      <c r="D168" s="7" t="n"/>
      <c r="E168" s="8" t="n"/>
      <c r="F168" s="9">
        <f>IF(E168="","",VALUE(LEFT(E168,FIND(" - ",E168)-1)))</f>
        <v/>
      </c>
      <c r="G168" s="10">
        <f>IF(E168="","",VLOOKUP(F168,Product_Master!A:D,2,FALSE)&amp;"")</f>
        <v/>
      </c>
      <c r="H168" s="9">
        <f>IF(E168="","",VLOOKUP(F168,Product_Master!A:D,3,FALSE)&amp;"")</f>
        <v/>
      </c>
      <c r="I168" s="10">
        <f>IF(E168="","",VLOOKUP(F168,Product_Master!A:D,4,FALSE)&amp;"")</f>
        <v/>
      </c>
      <c r="J168" s="11" t="n"/>
      <c r="K168" s="11" t="n"/>
      <c r="L168" s="11" t="n"/>
      <c r="M168" s="12">
        <f>IF(J168="","",IFERROR(L168/J168,""))</f>
        <v/>
      </c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3">
        <f>SUM(N168:Z168)</f>
        <v/>
      </c>
      <c r="AB168" s="8" t="n"/>
    </row>
    <row r="169" ht="20" customHeight="1">
      <c r="A169" s="6" t="n"/>
      <c r="B169" s="7" t="n"/>
      <c r="C169" s="7" t="n"/>
      <c r="D169" s="7" t="n"/>
      <c r="E169" s="8" t="n"/>
      <c r="F169" s="9">
        <f>IF(E169="","",VALUE(LEFT(E169,FIND(" - ",E169)-1)))</f>
        <v/>
      </c>
      <c r="G169" s="10">
        <f>IF(E169="","",VLOOKUP(F169,Product_Master!A:D,2,FALSE)&amp;"")</f>
        <v/>
      </c>
      <c r="H169" s="9">
        <f>IF(E169="","",VLOOKUP(F169,Product_Master!A:D,3,FALSE)&amp;"")</f>
        <v/>
      </c>
      <c r="I169" s="10">
        <f>IF(E169="","",VLOOKUP(F169,Product_Master!A:D,4,FALSE)&amp;"")</f>
        <v/>
      </c>
      <c r="J169" s="11" t="n"/>
      <c r="K169" s="11" t="n"/>
      <c r="L169" s="11" t="n"/>
      <c r="M169" s="12">
        <f>IF(J169="","",IFERROR(L169/J169,""))</f>
        <v/>
      </c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3">
        <f>SUM(N169:Z169)</f>
        <v/>
      </c>
      <c r="AB169" s="8" t="n"/>
    </row>
    <row r="170" ht="20" customHeight="1">
      <c r="A170" s="6" t="n"/>
      <c r="B170" s="7" t="n"/>
      <c r="C170" s="7" t="n"/>
      <c r="D170" s="7" t="n"/>
      <c r="E170" s="8" t="n"/>
      <c r="F170" s="9">
        <f>IF(E170="","",VALUE(LEFT(E170,FIND(" - ",E170)-1)))</f>
        <v/>
      </c>
      <c r="G170" s="10">
        <f>IF(E170="","",VLOOKUP(F170,Product_Master!A:D,2,FALSE)&amp;"")</f>
        <v/>
      </c>
      <c r="H170" s="9">
        <f>IF(E170="","",VLOOKUP(F170,Product_Master!A:D,3,FALSE)&amp;"")</f>
        <v/>
      </c>
      <c r="I170" s="10">
        <f>IF(E170="","",VLOOKUP(F170,Product_Master!A:D,4,FALSE)&amp;"")</f>
        <v/>
      </c>
      <c r="J170" s="11" t="n"/>
      <c r="K170" s="11" t="n"/>
      <c r="L170" s="11" t="n"/>
      <c r="M170" s="12">
        <f>IF(J170="","",IFERROR(L170/J170,""))</f>
        <v/>
      </c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3">
        <f>SUM(N170:Z170)</f>
        <v/>
      </c>
      <c r="AB170" s="8" t="n"/>
    </row>
    <row r="171" ht="20" customHeight="1">
      <c r="A171" s="6" t="n"/>
      <c r="B171" s="7" t="n"/>
      <c r="C171" s="7" t="n"/>
      <c r="D171" s="7" t="n"/>
      <c r="E171" s="8" t="n"/>
      <c r="F171" s="9">
        <f>IF(E171="","",VALUE(LEFT(E171,FIND(" - ",E171)-1)))</f>
        <v/>
      </c>
      <c r="G171" s="10">
        <f>IF(E171="","",VLOOKUP(F171,Product_Master!A:D,2,FALSE)&amp;"")</f>
        <v/>
      </c>
      <c r="H171" s="9">
        <f>IF(E171="","",VLOOKUP(F171,Product_Master!A:D,3,FALSE)&amp;"")</f>
        <v/>
      </c>
      <c r="I171" s="10">
        <f>IF(E171="","",VLOOKUP(F171,Product_Master!A:D,4,FALSE)&amp;"")</f>
        <v/>
      </c>
      <c r="J171" s="11" t="n"/>
      <c r="K171" s="11" t="n"/>
      <c r="L171" s="11" t="n"/>
      <c r="M171" s="12">
        <f>IF(J171="","",IFERROR(L171/J171,""))</f>
        <v/>
      </c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3">
        <f>SUM(N171:Z171)</f>
        <v/>
      </c>
      <c r="AB171" s="8" t="n"/>
    </row>
    <row r="172" ht="20" customHeight="1">
      <c r="A172" s="6" t="n"/>
      <c r="B172" s="7" t="n"/>
      <c r="C172" s="7" t="n"/>
      <c r="D172" s="7" t="n"/>
      <c r="E172" s="8" t="n"/>
      <c r="F172" s="9">
        <f>IF(E172="","",VALUE(LEFT(E172,FIND(" - ",E172)-1)))</f>
        <v/>
      </c>
      <c r="G172" s="10">
        <f>IF(E172="","",VLOOKUP(F172,Product_Master!A:D,2,FALSE)&amp;"")</f>
        <v/>
      </c>
      <c r="H172" s="9">
        <f>IF(E172="","",VLOOKUP(F172,Product_Master!A:D,3,FALSE)&amp;"")</f>
        <v/>
      </c>
      <c r="I172" s="10">
        <f>IF(E172="","",VLOOKUP(F172,Product_Master!A:D,4,FALSE)&amp;"")</f>
        <v/>
      </c>
      <c r="J172" s="11" t="n"/>
      <c r="K172" s="11" t="n"/>
      <c r="L172" s="11" t="n"/>
      <c r="M172" s="12">
        <f>IF(J172="","",IFERROR(L172/J172,""))</f>
        <v/>
      </c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3">
        <f>SUM(N172:Z172)</f>
        <v/>
      </c>
      <c r="AB172" s="8" t="n"/>
    </row>
    <row r="173" ht="20" customHeight="1">
      <c r="A173" s="6" t="n"/>
      <c r="B173" s="7" t="n"/>
      <c r="C173" s="7" t="n"/>
      <c r="D173" s="7" t="n"/>
      <c r="E173" s="8" t="n"/>
      <c r="F173" s="9">
        <f>IF(E173="","",VALUE(LEFT(E173,FIND(" - ",E173)-1)))</f>
        <v/>
      </c>
      <c r="G173" s="10">
        <f>IF(E173="","",VLOOKUP(F173,Product_Master!A:D,2,FALSE)&amp;"")</f>
        <v/>
      </c>
      <c r="H173" s="9">
        <f>IF(E173="","",VLOOKUP(F173,Product_Master!A:D,3,FALSE)&amp;"")</f>
        <v/>
      </c>
      <c r="I173" s="10">
        <f>IF(E173="","",VLOOKUP(F173,Product_Master!A:D,4,FALSE)&amp;"")</f>
        <v/>
      </c>
      <c r="J173" s="11" t="n"/>
      <c r="K173" s="11" t="n"/>
      <c r="L173" s="11" t="n"/>
      <c r="M173" s="12">
        <f>IF(J173="","",IFERROR(L173/J173,""))</f>
        <v/>
      </c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3">
        <f>SUM(N173:Z173)</f>
        <v/>
      </c>
      <c r="AB173" s="8" t="n"/>
    </row>
    <row r="174" ht="20" customHeight="1">
      <c r="A174" s="6" t="n"/>
      <c r="B174" s="7" t="n"/>
      <c r="C174" s="7" t="n"/>
      <c r="D174" s="7" t="n"/>
      <c r="E174" s="8" t="n"/>
      <c r="F174" s="9">
        <f>IF(E174="","",VALUE(LEFT(E174,FIND(" - ",E174)-1)))</f>
        <v/>
      </c>
      <c r="G174" s="10">
        <f>IF(E174="","",VLOOKUP(F174,Product_Master!A:D,2,FALSE)&amp;"")</f>
        <v/>
      </c>
      <c r="H174" s="9">
        <f>IF(E174="","",VLOOKUP(F174,Product_Master!A:D,3,FALSE)&amp;"")</f>
        <v/>
      </c>
      <c r="I174" s="10">
        <f>IF(E174="","",VLOOKUP(F174,Product_Master!A:D,4,FALSE)&amp;"")</f>
        <v/>
      </c>
      <c r="J174" s="11" t="n"/>
      <c r="K174" s="11" t="n"/>
      <c r="L174" s="11" t="n"/>
      <c r="M174" s="12">
        <f>IF(J174="","",IFERROR(L174/J174,""))</f>
        <v/>
      </c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3">
        <f>SUM(N174:Z174)</f>
        <v/>
      </c>
      <c r="AB174" s="8" t="n"/>
    </row>
    <row r="175" ht="20" customHeight="1">
      <c r="A175" s="6" t="n"/>
      <c r="B175" s="7" t="n"/>
      <c r="C175" s="7" t="n"/>
      <c r="D175" s="7" t="n"/>
      <c r="E175" s="8" t="n"/>
      <c r="F175" s="9">
        <f>IF(E175="","",VALUE(LEFT(E175,FIND(" - ",E175)-1)))</f>
        <v/>
      </c>
      <c r="G175" s="10">
        <f>IF(E175="","",VLOOKUP(F175,Product_Master!A:D,2,FALSE)&amp;"")</f>
        <v/>
      </c>
      <c r="H175" s="9">
        <f>IF(E175="","",VLOOKUP(F175,Product_Master!A:D,3,FALSE)&amp;"")</f>
        <v/>
      </c>
      <c r="I175" s="10">
        <f>IF(E175="","",VLOOKUP(F175,Product_Master!A:D,4,FALSE)&amp;"")</f>
        <v/>
      </c>
      <c r="J175" s="11" t="n"/>
      <c r="K175" s="11" t="n"/>
      <c r="L175" s="11" t="n"/>
      <c r="M175" s="12">
        <f>IF(J175="","",IFERROR(L175/J175,""))</f>
        <v/>
      </c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3">
        <f>SUM(N175:Z175)</f>
        <v/>
      </c>
      <c r="AB175" s="8" t="n"/>
    </row>
    <row r="176" ht="20" customHeight="1">
      <c r="A176" s="6" t="n"/>
      <c r="B176" s="7" t="n"/>
      <c r="C176" s="7" t="n"/>
      <c r="D176" s="7" t="n"/>
      <c r="E176" s="8" t="n"/>
      <c r="F176" s="9">
        <f>IF(E176="","",VALUE(LEFT(E176,FIND(" - ",E176)-1)))</f>
        <v/>
      </c>
      <c r="G176" s="10">
        <f>IF(E176="","",VLOOKUP(F176,Product_Master!A:D,2,FALSE)&amp;"")</f>
        <v/>
      </c>
      <c r="H176" s="9">
        <f>IF(E176="","",VLOOKUP(F176,Product_Master!A:D,3,FALSE)&amp;"")</f>
        <v/>
      </c>
      <c r="I176" s="10">
        <f>IF(E176="","",VLOOKUP(F176,Product_Master!A:D,4,FALSE)&amp;"")</f>
        <v/>
      </c>
      <c r="J176" s="11" t="n"/>
      <c r="K176" s="11" t="n"/>
      <c r="L176" s="11" t="n"/>
      <c r="M176" s="12">
        <f>IF(J176="","",IFERROR(L176/J176,""))</f>
        <v/>
      </c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3">
        <f>SUM(N176:Z176)</f>
        <v/>
      </c>
      <c r="AB176" s="8" t="n"/>
    </row>
    <row r="177" ht="20" customHeight="1">
      <c r="A177" s="6" t="n"/>
      <c r="B177" s="7" t="n"/>
      <c r="C177" s="7" t="n"/>
      <c r="D177" s="7" t="n"/>
      <c r="E177" s="8" t="n"/>
      <c r="F177" s="9">
        <f>IF(E177="","",VALUE(LEFT(E177,FIND(" - ",E177)-1)))</f>
        <v/>
      </c>
      <c r="G177" s="10">
        <f>IF(E177="","",VLOOKUP(F177,Product_Master!A:D,2,FALSE)&amp;"")</f>
        <v/>
      </c>
      <c r="H177" s="9">
        <f>IF(E177="","",VLOOKUP(F177,Product_Master!A:D,3,FALSE)&amp;"")</f>
        <v/>
      </c>
      <c r="I177" s="10">
        <f>IF(E177="","",VLOOKUP(F177,Product_Master!A:D,4,FALSE)&amp;"")</f>
        <v/>
      </c>
      <c r="J177" s="11" t="n"/>
      <c r="K177" s="11" t="n"/>
      <c r="L177" s="11" t="n"/>
      <c r="M177" s="12">
        <f>IF(J177="","",IFERROR(L177/J177,""))</f>
        <v/>
      </c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3">
        <f>SUM(N177:Z177)</f>
        <v/>
      </c>
      <c r="AB177" s="8" t="n"/>
    </row>
    <row r="178" ht="20" customHeight="1">
      <c r="A178" s="6" t="n"/>
      <c r="B178" s="7" t="n"/>
      <c r="C178" s="7" t="n"/>
      <c r="D178" s="7" t="n"/>
      <c r="E178" s="8" t="n"/>
      <c r="F178" s="9">
        <f>IF(E178="","",VALUE(LEFT(E178,FIND(" - ",E178)-1)))</f>
        <v/>
      </c>
      <c r="G178" s="10">
        <f>IF(E178="","",VLOOKUP(F178,Product_Master!A:D,2,FALSE)&amp;"")</f>
        <v/>
      </c>
      <c r="H178" s="9">
        <f>IF(E178="","",VLOOKUP(F178,Product_Master!A:D,3,FALSE)&amp;"")</f>
        <v/>
      </c>
      <c r="I178" s="10">
        <f>IF(E178="","",VLOOKUP(F178,Product_Master!A:D,4,FALSE)&amp;"")</f>
        <v/>
      </c>
      <c r="J178" s="11" t="n"/>
      <c r="K178" s="11" t="n"/>
      <c r="L178" s="11" t="n"/>
      <c r="M178" s="12">
        <f>IF(J178="","",IFERROR(L178/J178,""))</f>
        <v/>
      </c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3">
        <f>SUM(N178:Z178)</f>
        <v/>
      </c>
      <c r="AB178" s="8" t="n"/>
    </row>
    <row r="179" ht="20" customHeight="1">
      <c r="A179" s="6" t="n"/>
      <c r="B179" s="7" t="n"/>
      <c r="C179" s="7" t="n"/>
      <c r="D179" s="7" t="n"/>
      <c r="E179" s="8" t="n"/>
      <c r="F179" s="9">
        <f>IF(E179="","",VALUE(LEFT(E179,FIND(" - ",E179)-1)))</f>
        <v/>
      </c>
      <c r="G179" s="10">
        <f>IF(E179="","",VLOOKUP(F179,Product_Master!A:D,2,FALSE)&amp;"")</f>
        <v/>
      </c>
      <c r="H179" s="9">
        <f>IF(E179="","",VLOOKUP(F179,Product_Master!A:D,3,FALSE)&amp;"")</f>
        <v/>
      </c>
      <c r="I179" s="10">
        <f>IF(E179="","",VLOOKUP(F179,Product_Master!A:D,4,FALSE)&amp;"")</f>
        <v/>
      </c>
      <c r="J179" s="11" t="n"/>
      <c r="K179" s="11" t="n"/>
      <c r="L179" s="11" t="n"/>
      <c r="M179" s="12">
        <f>IF(J179="","",IFERROR(L179/J179,""))</f>
        <v/>
      </c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3">
        <f>SUM(N179:Z179)</f>
        <v/>
      </c>
      <c r="AB179" s="8" t="n"/>
    </row>
    <row r="180" ht="20" customHeight="1">
      <c r="A180" s="6" t="n"/>
      <c r="B180" s="7" t="n"/>
      <c r="C180" s="7" t="n"/>
      <c r="D180" s="7" t="n"/>
      <c r="E180" s="8" t="n"/>
      <c r="F180" s="9">
        <f>IF(E180="","",VALUE(LEFT(E180,FIND(" - ",E180)-1)))</f>
        <v/>
      </c>
      <c r="G180" s="10">
        <f>IF(E180="","",VLOOKUP(F180,Product_Master!A:D,2,FALSE)&amp;"")</f>
        <v/>
      </c>
      <c r="H180" s="9">
        <f>IF(E180="","",VLOOKUP(F180,Product_Master!A:D,3,FALSE)&amp;"")</f>
        <v/>
      </c>
      <c r="I180" s="10">
        <f>IF(E180="","",VLOOKUP(F180,Product_Master!A:D,4,FALSE)&amp;"")</f>
        <v/>
      </c>
      <c r="J180" s="11" t="n"/>
      <c r="K180" s="11" t="n"/>
      <c r="L180" s="11" t="n"/>
      <c r="M180" s="12">
        <f>IF(J180="","",IFERROR(L180/J180,""))</f>
        <v/>
      </c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3">
        <f>SUM(N180:Z180)</f>
        <v/>
      </c>
      <c r="AB180" s="8" t="n"/>
    </row>
    <row r="181" ht="20" customHeight="1">
      <c r="A181" s="6" t="n"/>
      <c r="B181" s="7" t="n"/>
      <c r="C181" s="7" t="n"/>
      <c r="D181" s="7" t="n"/>
      <c r="E181" s="8" t="n"/>
      <c r="F181" s="9">
        <f>IF(E181="","",VALUE(LEFT(E181,FIND(" - ",E181)-1)))</f>
        <v/>
      </c>
      <c r="G181" s="10">
        <f>IF(E181="","",VLOOKUP(F181,Product_Master!A:D,2,FALSE)&amp;"")</f>
        <v/>
      </c>
      <c r="H181" s="9">
        <f>IF(E181="","",VLOOKUP(F181,Product_Master!A:D,3,FALSE)&amp;"")</f>
        <v/>
      </c>
      <c r="I181" s="10">
        <f>IF(E181="","",VLOOKUP(F181,Product_Master!A:D,4,FALSE)&amp;"")</f>
        <v/>
      </c>
      <c r="J181" s="11" t="n"/>
      <c r="K181" s="11" t="n"/>
      <c r="L181" s="11" t="n"/>
      <c r="M181" s="12">
        <f>IF(J181="","",IFERROR(L181/J181,""))</f>
        <v/>
      </c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3">
        <f>SUM(N181:Z181)</f>
        <v/>
      </c>
      <c r="AB181" s="8" t="n"/>
    </row>
    <row r="182" ht="20" customHeight="1">
      <c r="A182" s="6" t="n"/>
      <c r="B182" s="7" t="n"/>
      <c r="C182" s="7" t="n"/>
      <c r="D182" s="7" t="n"/>
      <c r="E182" s="8" t="n"/>
      <c r="F182" s="9">
        <f>IF(E182="","",VALUE(LEFT(E182,FIND(" - ",E182)-1)))</f>
        <v/>
      </c>
      <c r="G182" s="10">
        <f>IF(E182="","",VLOOKUP(F182,Product_Master!A:D,2,FALSE)&amp;"")</f>
        <v/>
      </c>
      <c r="H182" s="9">
        <f>IF(E182="","",VLOOKUP(F182,Product_Master!A:D,3,FALSE)&amp;"")</f>
        <v/>
      </c>
      <c r="I182" s="10">
        <f>IF(E182="","",VLOOKUP(F182,Product_Master!A:D,4,FALSE)&amp;"")</f>
        <v/>
      </c>
      <c r="J182" s="11" t="n"/>
      <c r="K182" s="11" t="n"/>
      <c r="L182" s="11" t="n"/>
      <c r="M182" s="12">
        <f>IF(J182="","",IFERROR(L182/J182,""))</f>
        <v/>
      </c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3">
        <f>SUM(N182:Z182)</f>
        <v/>
      </c>
      <c r="AB182" s="8" t="n"/>
    </row>
    <row r="183" ht="20" customHeight="1">
      <c r="A183" s="6" t="n"/>
      <c r="B183" s="7" t="n"/>
      <c r="C183" s="7" t="n"/>
      <c r="D183" s="7" t="n"/>
      <c r="E183" s="8" t="n"/>
      <c r="F183" s="9">
        <f>IF(E183="","",VALUE(LEFT(E183,FIND(" - ",E183)-1)))</f>
        <v/>
      </c>
      <c r="G183" s="10">
        <f>IF(E183="","",VLOOKUP(F183,Product_Master!A:D,2,FALSE)&amp;"")</f>
        <v/>
      </c>
      <c r="H183" s="9">
        <f>IF(E183="","",VLOOKUP(F183,Product_Master!A:D,3,FALSE)&amp;"")</f>
        <v/>
      </c>
      <c r="I183" s="10">
        <f>IF(E183="","",VLOOKUP(F183,Product_Master!A:D,4,FALSE)&amp;"")</f>
        <v/>
      </c>
      <c r="J183" s="11" t="n"/>
      <c r="K183" s="11" t="n"/>
      <c r="L183" s="11" t="n"/>
      <c r="M183" s="12">
        <f>IF(J183="","",IFERROR(L183/J183,""))</f>
        <v/>
      </c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3">
        <f>SUM(N183:Z183)</f>
        <v/>
      </c>
      <c r="AB183" s="8" t="n"/>
    </row>
    <row r="184" ht="20" customHeight="1">
      <c r="A184" s="6" t="n"/>
      <c r="B184" s="7" t="n"/>
      <c r="C184" s="7" t="n"/>
      <c r="D184" s="7" t="n"/>
      <c r="E184" s="8" t="n"/>
      <c r="F184" s="9">
        <f>IF(E184="","",VALUE(LEFT(E184,FIND(" - ",E184)-1)))</f>
        <v/>
      </c>
      <c r="G184" s="10">
        <f>IF(E184="","",VLOOKUP(F184,Product_Master!A:D,2,FALSE)&amp;"")</f>
        <v/>
      </c>
      <c r="H184" s="9">
        <f>IF(E184="","",VLOOKUP(F184,Product_Master!A:D,3,FALSE)&amp;"")</f>
        <v/>
      </c>
      <c r="I184" s="10">
        <f>IF(E184="","",VLOOKUP(F184,Product_Master!A:D,4,FALSE)&amp;"")</f>
        <v/>
      </c>
      <c r="J184" s="11" t="n"/>
      <c r="K184" s="11" t="n"/>
      <c r="L184" s="11" t="n"/>
      <c r="M184" s="12">
        <f>IF(J184="","",IFERROR(L184/J184,""))</f>
        <v/>
      </c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3">
        <f>SUM(N184:Z184)</f>
        <v/>
      </c>
      <c r="AB184" s="8" t="n"/>
    </row>
    <row r="185" ht="20" customHeight="1">
      <c r="A185" s="6" t="n"/>
      <c r="B185" s="7" t="n"/>
      <c r="C185" s="7" t="n"/>
      <c r="D185" s="7" t="n"/>
      <c r="E185" s="8" t="n"/>
      <c r="F185" s="9">
        <f>IF(E185="","",VALUE(LEFT(E185,FIND(" - ",E185)-1)))</f>
        <v/>
      </c>
      <c r="G185" s="10">
        <f>IF(E185="","",VLOOKUP(F185,Product_Master!A:D,2,FALSE)&amp;"")</f>
        <v/>
      </c>
      <c r="H185" s="9">
        <f>IF(E185="","",VLOOKUP(F185,Product_Master!A:D,3,FALSE)&amp;"")</f>
        <v/>
      </c>
      <c r="I185" s="10">
        <f>IF(E185="","",VLOOKUP(F185,Product_Master!A:D,4,FALSE)&amp;"")</f>
        <v/>
      </c>
      <c r="J185" s="11" t="n"/>
      <c r="K185" s="11" t="n"/>
      <c r="L185" s="11" t="n"/>
      <c r="M185" s="12">
        <f>IF(J185="","",IFERROR(L185/J185,""))</f>
        <v/>
      </c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3">
        <f>SUM(N185:Z185)</f>
        <v/>
      </c>
      <c r="AB185" s="8" t="n"/>
    </row>
    <row r="186" ht="20" customHeight="1">
      <c r="A186" s="6" t="n"/>
      <c r="B186" s="7" t="n"/>
      <c r="C186" s="7" t="n"/>
      <c r="D186" s="7" t="n"/>
      <c r="E186" s="8" t="n"/>
      <c r="F186" s="9">
        <f>IF(E186="","",VALUE(LEFT(E186,FIND(" - ",E186)-1)))</f>
        <v/>
      </c>
      <c r="G186" s="10">
        <f>IF(E186="","",VLOOKUP(F186,Product_Master!A:D,2,FALSE)&amp;"")</f>
        <v/>
      </c>
      <c r="H186" s="9">
        <f>IF(E186="","",VLOOKUP(F186,Product_Master!A:D,3,FALSE)&amp;"")</f>
        <v/>
      </c>
      <c r="I186" s="10">
        <f>IF(E186="","",VLOOKUP(F186,Product_Master!A:D,4,FALSE)&amp;"")</f>
        <v/>
      </c>
      <c r="J186" s="11" t="n"/>
      <c r="K186" s="11" t="n"/>
      <c r="L186" s="11" t="n"/>
      <c r="M186" s="12">
        <f>IF(J186="","",IFERROR(L186/J186,""))</f>
        <v/>
      </c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3">
        <f>SUM(N186:Z186)</f>
        <v/>
      </c>
      <c r="AB186" s="8" t="n"/>
    </row>
    <row r="187" ht="20" customHeight="1">
      <c r="A187" s="6" t="n"/>
      <c r="B187" s="7" t="n"/>
      <c r="C187" s="7" t="n"/>
      <c r="D187" s="7" t="n"/>
      <c r="E187" s="8" t="n"/>
      <c r="F187" s="9">
        <f>IF(E187="","",VALUE(LEFT(E187,FIND(" - ",E187)-1)))</f>
        <v/>
      </c>
      <c r="G187" s="10">
        <f>IF(E187="","",VLOOKUP(F187,Product_Master!A:D,2,FALSE)&amp;"")</f>
        <v/>
      </c>
      <c r="H187" s="9">
        <f>IF(E187="","",VLOOKUP(F187,Product_Master!A:D,3,FALSE)&amp;"")</f>
        <v/>
      </c>
      <c r="I187" s="10">
        <f>IF(E187="","",VLOOKUP(F187,Product_Master!A:D,4,FALSE)&amp;"")</f>
        <v/>
      </c>
      <c r="J187" s="11" t="n"/>
      <c r="K187" s="11" t="n"/>
      <c r="L187" s="11" t="n"/>
      <c r="M187" s="12">
        <f>IF(J187="","",IFERROR(L187/J187,""))</f>
        <v/>
      </c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3">
        <f>SUM(N187:Z187)</f>
        <v/>
      </c>
      <c r="AB187" s="8" t="n"/>
    </row>
    <row r="188" ht="20" customHeight="1">
      <c r="A188" s="6" t="n"/>
      <c r="B188" s="7" t="n"/>
      <c r="C188" s="7" t="n"/>
      <c r="D188" s="7" t="n"/>
      <c r="E188" s="8" t="n"/>
      <c r="F188" s="9">
        <f>IF(E188="","",VALUE(LEFT(E188,FIND(" - ",E188)-1)))</f>
        <v/>
      </c>
      <c r="G188" s="10">
        <f>IF(E188="","",VLOOKUP(F188,Product_Master!A:D,2,FALSE)&amp;"")</f>
        <v/>
      </c>
      <c r="H188" s="9">
        <f>IF(E188="","",VLOOKUP(F188,Product_Master!A:D,3,FALSE)&amp;"")</f>
        <v/>
      </c>
      <c r="I188" s="10">
        <f>IF(E188="","",VLOOKUP(F188,Product_Master!A:D,4,FALSE)&amp;"")</f>
        <v/>
      </c>
      <c r="J188" s="11" t="n"/>
      <c r="K188" s="11" t="n"/>
      <c r="L188" s="11" t="n"/>
      <c r="M188" s="12">
        <f>IF(J188="","",IFERROR(L188/J188,""))</f>
        <v/>
      </c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3">
        <f>SUM(N188:Z188)</f>
        <v/>
      </c>
      <c r="AB188" s="8" t="n"/>
    </row>
    <row r="189" ht="20" customHeight="1">
      <c r="A189" s="6" t="n"/>
      <c r="B189" s="7" t="n"/>
      <c r="C189" s="7" t="n"/>
      <c r="D189" s="7" t="n"/>
      <c r="E189" s="8" t="n"/>
      <c r="F189" s="9">
        <f>IF(E189="","",VALUE(LEFT(E189,FIND(" - ",E189)-1)))</f>
        <v/>
      </c>
      <c r="G189" s="10">
        <f>IF(E189="","",VLOOKUP(F189,Product_Master!A:D,2,FALSE)&amp;"")</f>
        <v/>
      </c>
      <c r="H189" s="9">
        <f>IF(E189="","",VLOOKUP(F189,Product_Master!A:D,3,FALSE)&amp;"")</f>
        <v/>
      </c>
      <c r="I189" s="10">
        <f>IF(E189="","",VLOOKUP(F189,Product_Master!A:D,4,FALSE)&amp;"")</f>
        <v/>
      </c>
      <c r="J189" s="11" t="n"/>
      <c r="K189" s="11" t="n"/>
      <c r="L189" s="11" t="n"/>
      <c r="M189" s="12">
        <f>IF(J189="","",IFERROR(L189/J189,""))</f>
        <v/>
      </c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3">
        <f>SUM(N189:Z189)</f>
        <v/>
      </c>
      <c r="AB189" s="8" t="n"/>
    </row>
    <row r="190" ht="20" customHeight="1">
      <c r="A190" s="6" t="n"/>
      <c r="B190" s="7" t="n"/>
      <c r="C190" s="7" t="n"/>
      <c r="D190" s="7" t="n"/>
      <c r="E190" s="8" t="n"/>
      <c r="F190" s="9">
        <f>IF(E190="","",VALUE(LEFT(E190,FIND(" - ",E190)-1)))</f>
        <v/>
      </c>
      <c r="G190" s="10">
        <f>IF(E190="","",VLOOKUP(F190,Product_Master!A:D,2,FALSE)&amp;"")</f>
        <v/>
      </c>
      <c r="H190" s="9">
        <f>IF(E190="","",VLOOKUP(F190,Product_Master!A:D,3,FALSE)&amp;"")</f>
        <v/>
      </c>
      <c r="I190" s="10">
        <f>IF(E190="","",VLOOKUP(F190,Product_Master!A:D,4,FALSE)&amp;"")</f>
        <v/>
      </c>
      <c r="J190" s="11" t="n"/>
      <c r="K190" s="11" t="n"/>
      <c r="L190" s="11" t="n"/>
      <c r="M190" s="12">
        <f>IF(J190="","",IFERROR(L190/J190,""))</f>
        <v/>
      </c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3">
        <f>SUM(N190:Z190)</f>
        <v/>
      </c>
      <c r="AB190" s="8" t="n"/>
    </row>
    <row r="191" ht="20" customHeight="1">
      <c r="A191" s="6" t="n"/>
      <c r="B191" s="7" t="n"/>
      <c r="C191" s="7" t="n"/>
      <c r="D191" s="7" t="n"/>
      <c r="E191" s="8" t="n"/>
      <c r="F191" s="9">
        <f>IF(E191="","",VALUE(LEFT(E191,FIND(" - ",E191)-1)))</f>
        <v/>
      </c>
      <c r="G191" s="10">
        <f>IF(E191="","",VLOOKUP(F191,Product_Master!A:D,2,FALSE)&amp;"")</f>
        <v/>
      </c>
      <c r="H191" s="9">
        <f>IF(E191="","",VLOOKUP(F191,Product_Master!A:D,3,FALSE)&amp;"")</f>
        <v/>
      </c>
      <c r="I191" s="10">
        <f>IF(E191="","",VLOOKUP(F191,Product_Master!A:D,4,FALSE)&amp;"")</f>
        <v/>
      </c>
      <c r="J191" s="11" t="n"/>
      <c r="K191" s="11" t="n"/>
      <c r="L191" s="11" t="n"/>
      <c r="M191" s="12">
        <f>IF(J191="","",IFERROR(L191/J191,""))</f>
        <v/>
      </c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3">
        <f>SUM(N191:Z191)</f>
        <v/>
      </c>
      <c r="AB191" s="8" t="n"/>
    </row>
    <row r="192" ht="20" customHeight="1">
      <c r="A192" s="6" t="n"/>
      <c r="B192" s="7" t="n"/>
      <c r="C192" s="7" t="n"/>
      <c r="D192" s="7" t="n"/>
      <c r="E192" s="8" t="n"/>
      <c r="F192" s="9">
        <f>IF(E192="","",VALUE(LEFT(E192,FIND(" - ",E192)-1)))</f>
        <v/>
      </c>
      <c r="G192" s="10">
        <f>IF(E192="","",VLOOKUP(F192,Product_Master!A:D,2,FALSE)&amp;"")</f>
        <v/>
      </c>
      <c r="H192" s="9">
        <f>IF(E192="","",VLOOKUP(F192,Product_Master!A:D,3,FALSE)&amp;"")</f>
        <v/>
      </c>
      <c r="I192" s="10">
        <f>IF(E192="","",VLOOKUP(F192,Product_Master!A:D,4,FALSE)&amp;"")</f>
        <v/>
      </c>
      <c r="J192" s="11" t="n"/>
      <c r="K192" s="11" t="n"/>
      <c r="L192" s="11" t="n"/>
      <c r="M192" s="12">
        <f>IF(J192="","",IFERROR(L192/J192,""))</f>
        <v/>
      </c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3">
        <f>SUM(N192:Z192)</f>
        <v/>
      </c>
      <c r="AB192" s="8" t="n"/>
    </row>
    <row r="193" ht="20" customHeight="1">
      <c r="A193" s="6" t="n"/>
      <c r="B193" s="7" t="n"/>
      <c r="C193" s="7" t="n"/>
      <c r="D193" s="7" t="n"/>
      <c r="E193" s="8" t="n"/>
      <c r="F193" s="9">
        <f>IF(E193="","",VALUE(LEFT(E193,FIND(" - ",E193)-1)))</f>
        <v/>
      </c>
      <c r="G193" s="10">
        <f>IF(E193="","",VLOOKUP(F193,Product_Master!A:D,2,FALSE)&amp;"")</f>
        <v/>
      </c>
      <c r="H193" s="9">
        <f>IF(E193="","",VLOOKUP(F193,Product_Master!A:D,3,FALSE)&amp;"")</f>
        <v/>
      </c>
      <c r="I193" s="10">
        <f>IF(E193="","",VLOOKUP(F193,Product_Master!A:D,4,FALSE)&amp;"")</f>
        <v/>
      </c>
      <c r="J193" s="11" t="n"/>
      <c r="K193" s="11" t="n"/>
      <c r="L193" s="11" t="n"/>
      <c r="M193" s="12">
        <f>IF(J193="","",IFERROR(L193/J193,""))</f>
        <v/>
      </c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3">
        <f>SUM(N193:Z193)</f>
        <v/>
      </c>
      <c r="AB193" s="8" t="n"/>
    </row>
    <row r="194" ht="20" customHeight="1">
      <c r="A194" s="6" t="n"/>
      <c r="B194" s="7" t="n"/>
      <c r="C194" s="7" t="n"/>
      <c r="D194" s="7" t="n"/>
      <c r="E194" s="8" t="n"/>
      <c r="F194" s="9">
        <f>IF(E194="","",VALUE(LEFT(E194,FIND(" - ",E194)-1)))</f>
        <v/>
      </c>
      <c r="G194" s="10">
        <f>IF(E194="","",VLOOKUP(F194,Product_Master!A:D,2,FALSE)&amp;"")</f>
        <v/>
      </c>
      <c r="H194" s="9">
        <f>IF(E194="","",VLOOKUP(F194,Product_Master!A:D,3,FALSE)&amp;"")</f>
        <v/>
      </c>
      <c r="I194" s="10">
        <f>IF(E194="","",VLOOKUP(F194,Product_Master!A:D,4,FALSE)&amp;"")</f>
        <v/>
      </c>
      <c r="J194" s="11" t="n"/>
      <c r="K194" s="11" t="n"/>
      <c r="L194" s="11" t="n"/>
      <c r="M194" s="12">
        <f>IF(J194="","",IFERROR(L194/J194,""))</f>
        <v/>
      </c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3">
        <f>SUM(N194:Z194)</f>
        <v/>
      </c>
      <c r="AB194" s="8" t="n"/>
    </row>
    <row r="195" ht="20" customHeight="1">
      <c r="A195" s="6" t="n"/>
      <c r="B195" s="7" t="n"/>
      <c r="C195" s="7" t="n"/>
      <c r="D195" s="7" t="n"/>
      <c r="E195" s="8" t="n"/>
      <c r="F195" s="9">
        <f>IF(E195="","",VALUE(LEFT(E195,FIND(" - ",E195)-1)))</f>
        <v/>
      </c>
      <c r="G195" s="10">
        <f>IF(E195="","",VLOOKUP(F195,Product_Master!A:D,2,FALSE)&amp;"")</f>
        <v/>
      </c>
      <c r="H195" s="9">
        <f>IF(E195="","",VLOOKUP(F195,Product_Master!A:D,3,FALSE)&amp;"")</f>
        <v/>
      </c>
      <c r="I195" s="10">
        <f>IF(E195="","",VLOOKUP(F195,Product_Master!A:D,4,FALSE)&amp;"")</f>
        <v/>
      </c>
      <c r="J195" s="11" t="n"/>
      <c r="K195" s="11" t="n"/>
      <c r="L195" s="11" t="n"/>
      <c r="M195" s="12">
        <f>IF(J195="","",IFERROR(L195/J195,""))</f>
        <v/>
      </c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3">
        <f>SUM(N195:Z195)</f>
        <v/>
      </c>
      <c r="AB195" s="8" t="n"/>
    </row>
    <row r="196" ht="20" customHeight="1">
      <c r="A196" s="6" t="n"/>
      <c r="B196" s="7" t="n"/>
      <c r="C196" s="7" t="n"/>
      <c r="D196" s="7" t="n"/>
      <c r="E196" s="8" t="n"/>
      <c r="F196" s="9">
        <f>IF(E196="","",VALUE(LEFT(E196,FIND(" - ",E196)-1)))</f>
        <v/>
      </c>
      <c r="G196" s="10">
        <f>IF(E196="","",VLOOKUP(F196,Product_Master!A:D,2,FALSE)&amp;"")</f>
        <v/>
      </c>
      <c r="H196" s="9">
        <f>IF(E196="","",VLOOKUP(F196,Product_Master!A:D,3,FALSE)&amp;"")</f>
        <v/>
      </c>
      <c r="I196" s="10">
        <f>IF(E196="","",VLOOKUP(F196,Product_Master!A:D,4,FALSE)&amp;"")</f>
        <v/>
      </c>
      <c r="J196" s="11" t="n"/>
      <c r="K196" s="11" t="n"/>
      <c r="L196" s="11" t="n"/>
      <c r="M196" s="12">
        <f>IF(J196="","",IFERROR(L196/J196,""))</f>
        <v/>
      </c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3">
        <f>SUM(N196:Z196)</f>
        <v/>
      </c>
      <c r="AB196" s="8" t="n"/>
    </row>
    <row r="197" ht="20" customHeight="1">
      <c r="A197" s="6" t="n"/>
      <c r="B197" s="7" t="n"/>
      <c r="C197" s="7" t="n"/>
      <c r="D197" s="7" t="n"/>
      <c r="E197" s="8" t="n"/>
      <c r="F197" s="9">
        <f>IF(E197="","",VALUE(LEFT(E197,FIND(" - ",E197)-1)))</f>
        <v/>
      </c>
      <c r="G197" s="10">
        <f>IF(E197="","",VLOOKUP(F197,Product_Master!A:D,2,FALSE)&amp;"")</f>
        <v/>
      </c>
      <c r="H197" s="9">
        <f>IF(E197="","",VLOOKUP(F197,Product_Master!A:D,3,FALSE)&amp;"")</f>
        <v/>
      </c>
      <c r="I197" s="10">
        <f>IF(E197="","",VLOOKUP(F197,Product_Master!A:D,4,FALSE)&amp;"")</f>
        <v/>
      </c>
      <c r="J197" s="11" t="n"/>
      <c r="K197" s="11" t="n"/>
      <c r="L197" s="11" t="n"/>
      <c r="M197" s="12">
        <f>IF(J197="","",IFERROR(L197/J197,""))</f>
        <v/>
      </c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3">
        <f>SUM(N197:Z197)</f>
        <v/>
      </c>
      <c r="AB197" s="8" t="n"/>
    </row>
    <row r="198" ht="20" customHeight="1">
      <c r="A198" s="6" t="n"/>
      <c r="B198" s="7" t="n"/>
      <c r="C198" s="7" t="n"/>
      <c r="D198" s="7" t="n"/>
      <c r="E198" s="8" t="n"/>
      <c r="F198" s="9">
        <f>IF(E198="","",VALUE(LEFT(E198,FIND(" - ",E198)-1)))</f>
        <v/>
      </c>
      <c r="G198" s="10">
        <f>IF(E198="","",VLOOKUP(F198,Product_Master!A:D,2,FALSE)&amp;"")</f>
        <v/>
      </c>
      <c r="H198" s="9">
        <f>IF(E198="","",VLOOKUP(F198,Product_Master!A:D,3,FALSE)&amp;"")</f>
        <v/>
      </c>
      <c r="I198" s="10">
        <f>IF(E198="","",VLOOKUP(F198,Product_Master!A:D,4,FALSE)&amp;"")</f>
        <v/>
      </c>
      <c r="J198" s="11" t="n"/>
      <c r="K198" s="11" t="n"/>
      <c r="L198" s="11" t="n"/>
      <c r="M198" s="12">
        <f>IF(J198="","",IFERROR(L198/J198,""))</f>
        <v/>
      </c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3">
        <f>SUM(N198:Z198)</f>
        <v/>
      </c>
      <c r="AB198" s="8" t="n"/>
    </row>
    <row r="199" ht="20" customHeight="1">
      <c r="A199" s="6" t="n"/>
      <c r="B199" s="7" t="n"/>
      <c r="C199" s="7" t="n"/>
      <c r="D199" s="7" t="n"/>
      <c r="E199" s="8" t="n"/>
      <c r="F199" s="9">
        <f>IF(E199="","",VALUE(LEFT(E199,FIND(" - ",E199)-1)))</f>
        <v/>
      </c>
      <c r="G199" s="10">
        <f>IF(E199="","",VLOOKUP(F199,Product_Master!A:D,2,FALSE)&amp;"")</f>
        <v/>
      </c>
      <c r="H199" s="9">
        <f>IF(E199="","",VLOOKUP(F199,Product_Master!A:D,3,FALSE)&amp;"")</f>
        <v/>
      </c>
      <c r="I199" s="10">
        <f>IF(E199="","",VLOOKUP(F199,Product_Master!A:D,4,FALSE)&amp;"")</f>
        <v/>
      </c>
      <c r="J199" s="11" t="n"/>
      <c r="K199" s="11" t="n"/>
      <c r="L199" s="11" t="n"/>
      <c r="M199" s="12">
        <f>IF(J199="","",IFERROR(L199/J199,""))</f>
        <v/>
      </c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3">
        <f>SUM(N199:Z199)</f>
        <v/>
      </c>
      <c r="AB199" s="8" t="n"/>
    </row>
    <row r="200" ht="20" customHeight="1">
      <c r="A200" s="6" t="n"/>
      <c r="B200" s="7" t="n"/>
      <c r="C200" s="7" t="n"/>
      <c r="D200" s="7" t="n"/>
      <c r="E200" s="8" t="n"/>
      <c r="F200" s="9">
        <f>IF(E200="","",VALUE(LEFT(E200,FIND(" - ",E200)-1)))</f>
        <v/>
      </c>
      <c r="G200" s="10">
        <f>IF(E200="","",VLOOKUP(F200,Product_Master!A:D,2,FALSE)&amp;"")</f>
        <v/>
      </c>
      <c r="H200" s="9">
        <f>IF(E200="","",VLOOKUP(F200,Product_Master!A:D,3,FALSE)&amp;"")</f>
        <v/>
      </c>
      <c r="I200" s="10">
        <f>IF(E200="","",VLOOKUP(F200,Product_Master!A:D,4,FALSE)&amp;"")</f>
        <v/>
      </c>
      <c r="J200" s="11" t="n"/>
      <c r="K200" s="11" t="n"/>
      <c r="L200" s="11" t="n"/>
      <c r="M200" s="12">
        <f>IF(J200="","",IFERROR(L200/J200,""))</f>
        <v/>
      </c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3">
        <f>SUM(N200:Z200)</f>
        <v/>
      </c>
      <c r="AB200" s="8" t="n"/>
    </row>
    <row r="201" ht="20" customHeight="1">
      <c r="A201" s="6" t="n"/>
      <c r="B201" s="7" t="n"/>
      <c r="C201" s="7" t="n"/>
      <c r="D201" s="7" t="n"/>
      <c r="E201" s="8" t="n"/>
      <c r="F201" s="9">
        <f>IF(E201="","",VALUE(LEFT(E201,FIND(" - ",E201)-1)))</f>
        <v/>
      </c>
      <c r="G201" s="10">
        <f>IF(E201="","",VLOOKUP(F201,Product_Master!A:D,2,FALSE)&amp;"")</f>
        <v/>
      </c>
      <c r="H201" s="9">
        <f>IF(E201="","",VLOOKUP(F201,Product_Master!A:D,3,FALSE)&amp;"")</f>
        <v/>
      </c>
      <c r="I201" s="10">
        <f>IF(E201="","",VLOOKUP(F201,Product_Master!A:D,4,FALSE)&amp;"")</f>
        <v/>
      </c>
      <c r="J201" s="11" t="n"/>
      <c r="K201" s="11" t="n"/>
      <c r="L201" s="11" t="n"/>
      <c r="M201" s="12">
        <f>IF(J201="","",IFERROR(L201/J201,""))</f>
        <v/>
      </c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3">
        <f>SUM(N201:Z201)</f>
        <v/>
      </c>
      <c r="AB201" s="8" t="n"/>
    </row>
    <row r="202" ht="20" customHeight="1">
      <c r="A202" s="6" t="n"/>
      <c r="B202" s="7" t="n"/>
      <c r="C202" s="7" t="n"/>
      <c r="D202" s="7" t="n"/>
      <c r="E202" s="8" t="n"/>
      <c r="F202" s="9">
        <f>IF(E202="","",VALUE(LEFT(E202,FIND(" - ",E202)-1)))</f>
        <v/>
      </c>
      <c r="G202" s="10">
        <f>IF(E202="","",VLOOKUP(F202,Product_Master!A:D,2,FALSE)&amp;"")</f>
        <v/>
      </c>
      <c r="H202" s="9">
        <f>IF(E202="","",VLOOKUP(F202,Product_Master!A:D,3,FALSE)&amp;"")</f>
        <v/>
      </c>
      <c r="I202" s="10">
        <f>IF(E202="","",VLOOKUP(F202,Product_Master!A:D,4,FALSE)&amp;"")</f>
        <v/>
      </c>
      <c r="J202" s="11" t="n"/>
      <c r="K202" s="11" t="n"/>
      <c r="L202" s="11" t="n"/>
      <c r="M202" s="12">
        <f>IF(J202="","",IFERROR(L202/J202,""))</f>
        <v/>
      </c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3">
        <f>SUM(N202:Z202)</f>
        <v/>
      </c>
      <c r="AB202" s="8" t="n"/>
    </row>
    <row r="203" ht="20" customHeight="1">
      <c r="A203" s="6" t="n"/>
      <c r="B203" s="7" t="n"/>
      <c r="C203" s="7" t="n"/>
      <c r="D203" s="7" t="n"/>
      <c r="E203" s="8" t="n"/>
      <c r="F203" s="9">
        <f>IF(E203="","",VALUE(LEFT(E203,FIND(" - ",E203)-1)))</f>
        <v/>
      </c>
      <c r="G203" s="10">
        <f>IF(E203="","",VLOOKUP(F203,Product_Master!A:D,2,FALSE)&amp;"")</f>
        <v/>
      </c>
      <c r="H203" s="9">
        <f>IF(E203="","",VLOOKUP(F203,Product_Master!A:D,3,FALSE)&amp;"")</f>
        <v/>
      </c>
      <c r="I203" s="10">
        <f>IF(E203="","",VLOOKUP(F203,Product_Master!A:D,4,FALSE)&amp;"")</f>
        <v/>
      </c>
      <c r="J203" s="11" t="n"/>
      <c r="K203" s="11" t="n"/>
      <c r="L203" s="11" t="n"/>
      <c r="M203" s="12">
        <f>IF(J203="","",IFERROR(L203/J203,""))</f>
        <v/>
      </c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3">
        <f>SUM(N203:Z203)</f>
        <v/>
      </c>
      <c r="AB203" s="8" t="n"/>
    </row>
    <row r="204" ht="20" customHeight="1">
      <c r="A204" s="6" t="n"/>
      <c r="B204" s="7" t="n"/>
      <c r="C204" s="7" t="n"/>
      <c r="D204" s="7" t="n"/>
      <c r="E204" s="8" t="n"/>
      <c r="F204" s="9">
        <f>IF(E204="","",VALUE(LEFT(E204,FIND(" - ",E204)-1)))</f>
        <v/>
      </c>
      <c r="G204" s="10">
        <f>IF(E204="","",VLOOKUP(F204,Product_Master!A:D,2,FALSE)&amp;"")</f>
        <v/>
      </c>
      <c r="H204" s="9">
        <f>IF(E204="","",VLOOKUP(F204,Product_Master!A:D,3,FALSE)&amp;"")</f>
        <v/>
      </c>
      <c r="I204" s="10">
        <f>IF(E204="","",VLOOKUP(F204,Product_Master!A:D,4,FALSE)&amp;"")</f>
        <v/>
      </c>
      <c r="J204" s="11" t="n"/>
      <c r="K204" s="11" t="n"/>
      <c r="L204" s="11" t="n"/>
      <c r="M204" s="12">
        <f>IF(J204="","",IFERROR(L204/J204,""))</f>
        <v/>
      </c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3">
        <f>SUM(N204:Z204)</f>
        <v/>
      </c>
      <c r="AB204" s="8" t="n"/>
    </row>
    <row r="205" ht="20" customHeight="1">
      <c r="A205" s="6" t="n"/>
      <c r="B205" s="7" t="n"/>
      <c r="C205" s="7" t="n"/>
      <c r="D205" s="7" t="n"/>
      <c r="E205" s="8" t="n"/>
      <c r="F205" s="9">
        <f>IF(E205="","",VALUE(LEFT(E205,FIND(" - ",E205)-1)))</f>
        <v/>
      </c>
      <c r="G205" s="10">
        <f>IF(E205="","",VLOOKUP(F205,Product_Master!A:D,2,FALSE)&amp;"")</f>
        <v/>
      </c>
      <c r="H205" s="9">
        <f>IF(E205="","",VLOOKUP(F205,Product_Master!A:D,3,FALSE)&amp;"")</f>
        <v/>
      </c>
      <c r="I205" s="10">
        <f>IF(E205="","",VLOOKUP(F205,Product_Master!A:D,4,FALSE)&amp;"")</f>
        <v/>
      </c>
      <c r="J205" s="11" t="n"/>
      <c r="K205" s="11" t="n"/>
      <c r="L205" s="11" t="n"/>
      <c r="M205" s="12">
        <f>IF(J205="","",IFERROR(L205/J205,""))</f>
        <v/>
      </c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3">
        <f>SUM(N205:Z205)</f>
        <v/>
      </c>
      <c r="AB205" s="8" t="n"/>
    </row>
    <row r="206" ht="20" customHeight="1">
      <c r="A206" s="6" t="n"/>
      <c r="B206" s="7" t="n"/>
      <c r="C206" s="7" t="n"/>
      <c r="D206" s="7" t="n"/>
      <c r="E206" s="8" t="n"/>
      <c r="F206" s="9">
        <f>IF(E206="","",VALUE(LEFT(E206,FIND(" - ",E206)-1)))</f>
        <v/>
      </c>
      <c r="G206" s="10">
        <f>IF(E206="","",VLOOKUP(F206,Product_Master!A:D,2,FALSE)&amp;"")</f>
        <v/>
      </c>
      <c r="H206" s="9">
        <f>IF(E206="","",VLOOKUP(F206,Product_Master!A:D,3,FALSE)&amp;"")</f>
        <v/>
      </c>
      <c r="I206" s="10">
        <f>IF(E206="","",VLOOKUP(F206,Product_Master!A:D,4,FALSE)&amp;"")</f>
        <v/>
      </c>
      <c r="J206" s="11" t="n"/>
      <c r="K206" s="11" t="n"/>
      <c r="L206" s="11" t="n"/>
      <c r="M206" s="12">
        <f>IF(J206="","",IFERROR(L206/J206,""))</f>
        <v/>
      </c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3">
        <f>SUM(N206:Z206)</f>
        <v/>
      </c>
      <c r="AB206" s="8" t="n"/>
    </row>
    <row r="207" ht="20" customHeight="1">
      <c r="A207" s="6" t="n"/>
      <c r="B207" s="7" t="n"/>
      <c r="C207" s="7" t="n"/>
      <c r="D207" s="7" t="n"/>
      <c r="E207" s="8" t="n"/>
      <c r="F207" s="9">
        <f>IF(E207="","",VALUE(LEFT(E207,FIND(" - ",E207)-1)))</f>
        <v/>
      </c>
      <c r="G207" s="10">
        <f>IF(E207="","",VLOOKUP(F207,Product_Master!A:D,2,FALSE)&amp;"")</f>
        <v/>
      </c>
      <c r="H207" s="9">
        <f>IF(E207="","",VLOOKUP(F207,Product_Master!A:D,3,FALSE)&amp;"")</f>
        <v/>
      </c>
      <c r="I207" s="10">
        <f>IF(E207="","",VLOOKUP(F207,Product_Master!A:D,4,FALSE)&amp;"")</f>
        <v/>
      </c>
      <c r="J207" s="11" t="n"/>
      <c r="K207" s="11" t="n"/>
      <c r="L207" s="11" t="n"/>
      <c r="M207" s="12">
        <f>IF(J207="","",IFERROR(L207/J207,""))</f>
        <v/>
      </c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3">
        <f>SUM(N207:Z207)</f>
        <v/>
      </c>
      <c r="AB207" s="8" t="n"/>
    </row>
    <row r="208" ht="20" customHeight="1">
      <c r="A208" s="6" t="n"/>
      <c r="B208" s="7" t="n"/>
      <c r="C208" s="7" t="n"/>
      <c r="D208" s="7" t="n"/>
      <c r="E208" s="8" t="n"/>
      <c r="F208" s="9">
        <f>IF(E208="","",VALUE(LEFT(E208,FIND(" - ",E208)-1)))</f>
        <v/>
      </c>
      <c r="G208" s="10">
        <f>IF(E208="","",VLOOKUP(F208,Product_Master!A:D,2,FALSE)&amp;"")</f>
        <v/>
      </c>
      <c r="H208" s="9">
        <f>IF(E208="","",VLOOKUP(F208,Product_Master!A:D,3,FALSE)&amp;"")</f>
        <v/>
      </c>
      <c r="I208" s="10">
        <f>IF(E208="","",VLOOKUP(F208,Product_Master!A:D,4,FALSE)&amp;"")</f>
        <v/>
      </c>
      <c r="J208" s="11" t="n"/>
      <c r="K208" s="11" t="n"/>
      <c r="L208" s="11" t="n"/>
      <c r="M208" s="12">
        <f>IF(J208="","",IFERROR(L208/J208,""))</f>
        <v/>
      </c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3">
        <f>SUM(N208:Z208)</f>
        <v/>
      </c>
      <c r="AB208" s="8" t="n"/>
    </row>
    <row r="209" ht="20" customHeight="1">
      <c r="A209" s="6" t="n"/>
      <c r="B209" s="7" t="n"/>
      <c r="C209" s="7" t="n"/>
      <c r="D209" s="7" t="n"/>
      <c r="E209" s="8" t="n"/>
      <c r="F209" s="9">
        <f>IF(E209="","",VALUE(LEFT(E209,FIND(" - ",E209)-1)))</f>
        <v/>
      </c>
      <c r="G209" s="10">
        <f>IF(E209="","",VLOOKUP(F209,Product_Master!A:D,2,FALSE)&amp;"")</f>
        <v/>
      </c>
      <c r="H209" s="9">
        <f>IF(E209="","",VLOOKUP(F209,Product_Master!A:D,3,FALSE)&amp;"")</f>
        <v/>
      </c>
      <c r="I209" s="10">
        <f>IF(E209="","",VLOOKUP(F209,Product_Master!A:D,4,FALSE)&amp;"")</f>
        <v/>
      </c>
      <c r="J209" s="11" t="n"/>
      <c r="K209" s="11" t="n"/>
      <c r="L209" s="11" t="n"/>
      <c r="M209" s="12">
        <f>IF(J209="","",IFERROR(L209/J209,""))</f>
        <v/>
      </c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3">
        <f>SUM(N209:Z209)</f>
        <v/>
      </c>
      <c r="AB209" s="8" t="n"/>
    </row>
    <row r="210" ht="20" customHeight="1">
      <c r="A210" s="6" t="n"/>
      <c r="B210" s="7" t="n"/>
      <c r="C210" s="7" t="n"/>
      <c r="D210" s="7" t="n"/>
      <c r="E210" s="8" t="n"/>
      <c r="F210" s="9">
        <f>IF(E210="","",VALUE(LEFT(E210,FIND(" - ",E210)-1)))</f>
        <v/>
      </c>
      <c r="G210" s="10">
        <f>IF(E210="","",VLOOKUP(F210,Product_Master!A:D,2,FALSE)&amp;"")</f>
        <v/>
      </c>
      <c r="H210" s="9">
        <f>IF(E210="","",VLOOKUP(F210,Product_Master!A:D,3,FALSE)&amp;"")</f>
        <v/>
      </c>
      <c r="I210" s="10">
        <f>IF(E210="","",VLOOKUP(F210,Product_Master!A:D,4,FALSE)&amp;"")</f>
        <v/>
      </c>
      <c r="J210" s="11" t="n"/>
      <c r="K210" s="11" t="n"/>
      <c r="L210" s="11" t="n"/>
      <c r="M210" s="12">
        <f>IF(J210="","",IFERROR(L210/J210,""))</f>
        <v/>
      </c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3">
        <f>SUM(N210:Z210)</f>
        <v/>
      </c>
      <c r="AB210" s="8" t="n"/>
    </row>
    <row r="211" ht="20" customHeight="1">
      <c r="A211" s="6" t="n"/>
      <c r="B211" s="7" t="n"/>
      <c r="C211" s="7" t="n"/>
      <c r="D211" s="7" t="n"/>
      <c r="E211" s="8" t="n"/>
      <c r="F211" s="9">
        <f>IF(E211="","",VALUE(LEFT(E211,FIND(" - ",E211)-1)))</f>
        <v/>
      </c>
      <c r="G211" s="10">
        <f>IF(E211="","",VLOOKUP(F211,Product_Master!A:D,2,FALSE)&amp;"")</f>
        <v/>
      </c>
      <c r="H211" s="9">
        <f>IF(E211="","",VLOOKUP(F211,Product_Master!A:D,3,FALSE)&amp;"")</f>
        <v/>
      </c>
      <c r="I211" s="10">
        <f>IF(E211="","",VLOOKUP(F211,Product_Master!A:D,4,FALSE)&amp;"")</f>
        <v/>
      </c>
      <c r="J211" s="11" t="n"/>
      <c r="K211" s="11" t="n"/>
      <c r="L211" s="11" t="n"/>
      <c r="M211" s="12">
        <f>IF(J211="","",IFERROR(L211/J211,""))</f>
        <v/>
      </c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3">
        <f>SUM(N211:Z211)</f>
        <v/>
      </c>
      <c r="AB211" s="8" t="n"/>
    </row>
    <row r="212" ht="20" customHeight="1">
      <c r="A212" s="6" t="n"/>
      <c r="B212" s="7" t="n"/>
      <c r="C212" s="7" t="n"/>
      <c r="D212" s="7" t="n"/>
      <c r="E212" s="8" t="n"/>
      <c r="F212" s="9">
        <f>IF(E212="","",VALUE(LEFT(E212,FIND(" - ",E212)-1)))</f>
        <v/>
      </c>
      <c r="G212" s="10">
        <f>IF(E212="","",VLOOKUP(F212,Product_Master!A:D,2,FALSE)&amp;"")</f>
        <v/>
      </c>
      <c r="H212" s="9">
        <f>IF(E212="","",VLOOKUP(F212,Product_Master!A:D,3,FALSE)&amp;"")</f>
        <v/>
      </c>
      <c r="I212" s="10">
        <f>IF(E212="","",VLOOKUP(F212,Product_Master!A:D,4,FALSE)&amp;"")</f>
        <v/>
      </c>
      <c r="J212" s="11" t="n"/>
      <c r="K212" s="11" t="n"/>
      <c r="L212" s="11" t="n"/>
      <c r="M212" s="12">
        <f>IF(J212="","",IFERROR(L212/J212,""))</f>
        <v/>
      </c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3">
        <f>SUM(N212:Z212)</f>
        <v/>
      </c>
      <c r="AB212" s="8" t="n"/>
    </row>
    <row r="213" ht="20" customHeight="1">
      <c r="A213" s="6" t="n"/>
      <c r="B213" s="7" t="n"/>
      <c r="C213" s="7" t="n"/>
      <c r="D213" s="7" t="n"/>
      <c r="E213" s="8" t="n"/>
      <c r="F213" s="9">
        <f>IF(E213="","",VALUE(LEFT(E213,FIND(" - ",E213)-1)))</f>
        <v/>
      </c>
      <c r="G213" s="10">
        <f>IF(E213="","",VLOOKUP(F213,Product_Master!A:D,2,FALSE)&amp;"")</f>
        <v/>
      </c>
      <c r="H213" s="9">
        <f>IF(E213="","",VLOOKUP(F213,Product_Master!A:D,3,FALSE)&amp;"")</f>
        <v/>
      </c>
      <c r="I213" s="10">
        <f>IF(E213="","",VLOOKUP(F213,Product_Master!A:D,4,FALSE)&amp;"")</f>
        <v/>
      </c>
      <c r="J213" s="11" t="n"/>
      <c r="K213" s="11" t="n"/>
      <c r="L213" s="11" t="n"/>
      <c r="M213" s="12">
        <f>IF(J213="","",IFERROR(L213/J213,""))</f>
        <v/>
      </c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3">
        <f>SUM(N213:Z213)</f>
        <v/>
      </c>
      <c r="AB213" s="8" t="n"/>
    </row>
    <row r="214" ht="20" customHeight="1">
      <c r="A214" s="6" t="n"/>
      <c r="B214" s="7" t="n"/>
      <c r="C214" s="7" t="n"/>
      <c r="D214" s="7" t="n"/>
      <c r="E214" s="8" t="n"/>
      <c r="F214" s="9">
        <f>IF(E214="","",VALUE(LEFT(E214,FIND(" - ",E214)-1)))</f>
        <v/>
      </c>
      <c r="G214" s="10">
        <f>IF(E214="","",VLOOKUP(F214,Product_Master!A:D,2,FALSE)&amp;"")</f>
        <v/>
      </c>
      <c r="H214" s="9">
        <f>IF(E214="","",VLOOKUP(F214,Product_Master!A:D,3,FALSE)&amp;"")</f>
        <v/>
      </c>
      <c r="I214" s="10">
        <f>IF(E214="","",VLOOKUP(F214,Product_Master!A:D,4,FALSE)&amp;"")</f>
        <v/>
      </c>
      <c r="J214" s="11" t="n"/>
      <c r="K214" s="11" t="n"/>
      <c r="L214" s="11" t="n"/>
      <c r="M214" s="12">
        <f>IF(J214="","",IFERROR(L214/J214,""))</f>
        <v/>
      </c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3">
        <f>SUM(N214:Z214)</f>
        <v/>
      </c>
      <c r="AB214" s="8" t="n"/>
    </row>
    <row r="215" ht="20" customHeight="1">
      <c r="A215" s="6" t="n"/>
      <c r="B215" s="7" t="n"/>
      <c r="C215" s="7" t="n"/>
      <c r="D215" s="7" t="n"/>
      <c r="E215" s="8" t="n"/>
      <c r="F215" s="9">
        <f>IF(E215="","",VALUE(LEFT(E215,FIND(" - ",E215)-1)))</f>
        <v/>
      </c>
      <c r="G215" s="10">
        <f>IF(E215="","",VLOOKUP(F215,Product_Master!A:D,2,FALSE)&amp;"")</f>
        <v/>
      </c>
      <c r="H215" s="9">
        <f>IF(E215="","",VLOOKUP(F215,Product_Master!A:D,3,FALSE)&amp;"")</f>
        <v/>
      </c>
      <c r="I215" s="10">
        <f>IF(E215="","",VLOOKUP(F215,Product_Master!A:D,4,FALSE)&amp;"")</f>
        <v/>
      </c>
      <c r="J215" s="11" t="n"/>
      <c r="K215" s="11" t="n"/>
      <c r="L215" s="11" t="n"/>
      <c r="M215" s="12">
        <f>IF(J215="","",IFERROR(L215/J215,""))</f>
        <v/>
      </c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3">
        <f>SUM(N215:Z215)</f>
        <v/>
      </c>
      <c r="AB215" s="8" t="n"/>
    </row>
    <row r="216" ht="20" customHeight="1">
      <c r="A216" s="6" t="n"/>
      <c r="B216" s="7" t="n"/>
      <c r="C216" s="7" t="n"/>
      <c r="D216" s="7" t="n"/>
      <c r="E216" s="8" t="n"/>
      <c r="F216" s="9">
        <f>IF(E216="","",VALUE(LEFT(E216,FIND(" - ",E216)-1)))</f>
        <v/>
      </c>
      <c r="G216" s="10">
        <f>IF(E216="","",VLOOKUP(F216,Product_Master!A:D,2,FALSE)&amp;"")</f>
        <v/>
      </c>
      <c r="H216" s="9">
        <f>IF(E216="","",VLOOKUP(F216,Product_Master!A:D,3,FALSE)&amp;"")</f>
        <v/>
      </c>
      <c r="I216" s="10">
        <f>IF(E216="","",VLOOKUP(F216,Product_Master!A:D,4,FALSE)&amp;"")</f>
        <v/>
      </c>
      <c r="J216" s="11" t="n"/>
      <c r="K216" s="11" t="n"/>
      <c r="L216" s="11" t="n"/>
      <c r="M216" s="12">
        <f>IF(J216="","",IFERROR(L216/J216,""))</f>
        <v/>
      </c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3">
        <f>SUM(N216:Z216)</f>
        <v/>
      </c>
      <c r="AB216" s="8" t="n"/>
    </row>
    <row r="217" ht="20" customHeight="1">
      <c r="A217" s="6" t="n"/>
      <c r="B217" s="7" t="n"/>
      <c r="C217" s="7" t="n"/>
      <c r="D217" s="7" t="n"/>
      <c r="E217" s="8" t="n"/>
      <c r="F217" s="9">
        <f>IF(E217="","",VALUE(LEFT(E217,FIND(" - ",E217)-1)))</f>
        <v/>
      </c>
      <c r="G217" s="10">
        <f>IF(E217="","",VLOOKUP(F217,Product_Master!A:D,2,FALSE)&amp;"")</f>
        <v/>
      </c>
      <c r="H217" s="9">
        <f>IF(E217="","",VLOOKUP(F217,Product_Master!A:D,3,FALSE)&amp;"")</f>
        <v/>
      </c>
      <c r="I217" s="10">
        <f>IF(E217="","",VLOOKUP(F217,Product_Master!A:D,4,FALSE)&amp;"")</f>
        <v/>
      </c>
      <c r="J217" s="11" t="n"/>
      <c r="K217" s="11" t="n"/>
      <c r="L217" s="11" t="n"/>
      <c r="M217" s="12">
        <f>IF(J217="","",IFERROR(L217/J217,""))</f>
        <v/>
      </c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3">
        <f>SUM(N217:Z217)</f>
        <v/>
      </c>
      <c r="AB217" s="8" t="n"/>
    </row>
    <row r="218" ht="20" customHeight="1">
      <c r="A218" s="6" t="n"/>
      <c r="B218" s="7" t="n"/>
      <c r="C218" s="7" t="n"/>
      <c r="D218" s="7" t="n"/>
      <c r="E218" s="8" t="n"/>
      <c r="F218" s="9">
        <f>IF(E218="","",VALUE(LEFT(E218,FIND(" - ",E218)-1)))</f>
        <v/>
      </c>
      <c r="G218" s="10">
        <f>IF(E218="","",VLOOKUP(F218,Product_Master!A:D,2,FALSE)&amp;"")</f>
        <v/>
      </c>
      <c r="H218" s="9">
        <f>IF(E218="","",VLOOKUP(F218,Product_Master!A:D,3,FALSE)&amp;"")</f>
        <v/>
      </c>
      <c r="I218" s="10">
        <f>IF(E218="","",VLOOKUP(F218,Product_Master!A:D,4,FALSE)&amp;"")</f>
        <v/>
      </c>
      <c r="J218" s="11" t="n"/>
      <c r="K218" s="11" t="n"/>
      <c r="L218" s="11" t="n"/>
      <c r="M218" s="12">
        <f>IF(J218="","",IFERROR(L218/J218,""))</f>
        <v/>
      </c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3">
        <f>SUM(N218:Z218)</f>
        <v/>
      </c>
      <c r="AB218" s="8" t="n"/>
    </row>
    <row r="219" ht="20" customHeight="1">
      <c r="A219" s="6" t="n"/>
      <c r="B219" s="7" t="n"/>
      <c r="C219" s="7" t="n"/>
      <c r="D219" s="7" t="n"/>
      <c r="E219" s="8" t="n"/>
      <c r="F219" s="9">
        <f>IF(E219="","",VALUE(LEFT(E219,FIND(" - ",E219)-1)))</f>
        <v/>
      </c>
      <c r="G219" s="10">
        <f>IF(E219="","",VLOOKUP(F219,Product_Master!A:D,2,FALSE)&amp;"")</f>
        <v/>
      </c>
      <c r="H219" s="9">
        <f>IF(E219="","",VLOOKUP(F219,Product_Master!A:D,3,FALSE)&amp;"")</f>
        <v/>
      </c>
      <c r="I219" s="10">
        <f>IF(E219="","",VLOOKUP(F219,Product_Master!A:D,4,FALSE)&amp;"")</f>
        <v/>
      </c>
      <c r="J219" s="11" t="n"/>
      <c r="K219" s="11" t="n"/>
      <c r="L219" s="11" t="n"/>
      <c r="M219" s="12">
        <f>IF(J219="","",IFERROR(L219/J219,""))</f>
        <v/>
      </c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3">
        <f>SUM(N219:Z219)</f>
        <v/>
      </c>
      <c r="AB219" s="8" t="n"/>
    </row>
    <row r="220" ht="20" customHeight="1">
      <c r="A220" s="6" t="n"/>
      <c r="B220" s="7" t="n"/>
      <c r="C220" s="7" t="n"/>
      <c r="D220" s="7" t="n"/>
      <c r="E220" s="8" t="n"/>
      <c r="F220" s="9">
        <f>IF(E220="","",VALUE(LEFT(E220,FIND(" - ",E220)-1)))</f>
        <v/>
      </c>
      <c r="G220" s="10">
        <f>IF(E220="","",VLOOKUP(F220,Product_Master!A:D,2,FALSE)&amp;"")</f>
        <v/>
      </c>
      <c r="H220" s="9">
        <f>IF(E220="","",VLOOKUP(F220,Product_Master!A:D,3,FALSE)&amp;"")</f>
        <v/>
      </c>
      <c r="I220" s="10">
        <f>IF(E220="","",VLOOKUP(F220,Product_Master!A:D,4,FALSE)&amp;"")</f>
        <v/>
      </c>
      <c r="J220" s="11" t="n"/>
      <c r="K220" s="11" t="n"/>
      <c r="L220" s="11" t="n"/>
      <c r="M220" s="12">
        <f>IF(J220="","",IFERROR(L220/J220,""))</f>
        <v/>
      </c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3">
        <f>SUM(N220:Z220)</f>
        <v/>
      </c>
      <c r="AB220" s="8" t="n"/>
    </row>
    <row r="221" ht="20" customHeight="1">
      <c r="A221" s="6" t="n"/>
      <c r="B221" s="7" t="n"/>
      <c r="C221" s="7" t="n"/>
      <c r="D221" s="7" t="n"/>
      <c r="E221" s="8" t="n"/>
      <c r="F221" s="9">
        <f>IF(E221="","",VALUE(LEFT(E221,FIND(" - ",E221)-1)))</f>
        <v/>
      </c>
      <c r="G221" s="10">
        <f>IF(E221="","",VLOOKUP(F221,Product_Master!A:D,2,FALSE)&amp;"")</f>
        <v/>
      </c>
      <c r="H221" s="9">
        <f>IF(E221="","",VLOOKUP(F221,Product_Master!A:D,3,FALSE)&amp;"")</f>
        <v/>
      </c>
      <c r="I221" s="10">
        <f>IF(E221="","",VLOOKUP(F221,Product_Master!A:D,4,FALSE)&amp;"")</f>
        <v/>
      </c>
      <c r="J221" s="11" t="n"/>
      <c r="K221" s="11" t="n"/>
      <c r="L221" s="11" t="n"/>
      <c r="M221" s="12">
        <f>IF(J221="","",IFERROR(L221/J221,""))</f>
        <v/>
      </c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3">
        <f>SUM(N221:Z221)</f>
        <v/>
      </c>
      <c r="AB221" s="8" t="n"/>
    </row>
    <row r="222" ht="20" customHeight="1">
      <c r="A222" s="6" t="n"/>
      <c r="B222" s="7" t="n"/>
      <c r="C222" s="7" t="n"/>
      <c r="D222" s="7" t="n"/>
      <c r="E222" s="8" t="n"/>
      <c r="F222" s="9">
        <f>IF(E222="","",VALUE(LEFT(E222,FIND(" - ",E222)-1)))</f>
        <v/>
      </c>
      <c r="G222" s="10">
        <f>IF(E222="","",VLOOKUP(F222,Product_Master!A:D,2,FALSE)&amp;"")</f>
        <v/>
      </c>
      <c r="H222" s="9">
        <f>IF(E222="","",VLOOKUP(F222,Product_Master!A:D,3,FALSE)&amp;"")</f>
        <v/>
      </c>
      <c r="I222" s="10">
        <f>IF(E222="","",VLOOKUP(F222,Product_Master!A:D,4,FALSE)&amp;"")</f>
        <v/>
      </c>
      <c r="J222" s="11" t="n"/>
      <c r="K222" s="11" t="n"/>
      <c r="L222" s="11" t="n"/>
      <c r="M222" s="12">
        <f>IF(J222="","",IFERROR(L222/J222,""))</f>
        <v/>
      </c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3">
        <f>SUM(N222:Z222)</f>
        <v/>
      </c>
      <c r="AB222" s="8" t="n"/>
    </row>
    <row r="223" ht="20" customHeight="1">
      <c r="A223" s="6" t="n"/>
      <c r="B223" s="7" t="n"/>
      <c r="C223" s="7" t="n"/>
      <c r="D223" s="7" t="n"/>
      <c r="E223" s="8" t="n"/>
      <c r="F223" s="9">
        <f>IF(E223="","",VALUE(LEFT(E223,FIND(" - ",E223)-1)))</f>
        <v/>
      </c>
      <c r="G223" s="10">
        <f>IF(E223="","",VLOOKUP(F223,Product_Master!A:D,2,FALSE)&amp;"")</f>
        <v/>
      </c>
      <c r="H223" s="9">
        <f>IF(E223="","",VLOOKUP(F223,Product_Master!A:D,3,FALSE)&amp;"")</f>
        <v/>
      </c>
      <c r="I223" s="10">
        <f>IF(E223="","",VLOOKUP(F223,Product_Master!A:D,4,FALSE)&amp;"")</f>
        <v/>
      </c>
      <c r="J223" s="11" t="n"/>
      <c r="K223" s="11" t="n"/>
      <c r="L223" s="11" t="n"/>
      <c r="M223" s="12">
        <f>IF(J223="","",IFERROR(L223/J223,""))</f>
        <v/>
      </c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3">
        <f>SUM(N223:Z223)</f>
        <v/>
      </c>
      <c r="AB223" s="8" t="n"/>
    </row>
    <row r="224" ht="20" customHeight="1">
      <c r="A224" s="6" t="n"/>
      <c r="B224" s="7" t="n"/>
      <c r="C224" s="7" t="n"/>
      <c r="D224" s="7" t="n"/>
      <c r="E224" s="8" t="n"/>
      <c r="F224" s="9">
        <f>IF(E224="","",VALUE(LEFT(E224,FIND(" - ",E224)-1)))</f>
        <v/>
      </c>
      <c r="G224" s="10">
        <f>IF(E224="","",VLOOKUP(F224,Product_Master!A:D,2,FALSE)&amp;"")</f>
        <v/>
      </c>
      <c r="H224" s="9">
        <f>IF(E224="","",VLOOKUP(F224,Product_Master!A:D,3,FALSE)&amp;"")</f>
        <v/>
      </c>
      <c r="I224" s="10">
        <f>IF(E224="","",VLOOKUP(F224,Product_Master!A:D,4,FALSE)&amp;"")</f>
        <v/>
      </c>
      <c r="J224" s="11" t="n"/>
      <c r="K224" s="11" t="n"/>
      <c r="L224" s="11" t="n"/>
      <c r="M224" s="12">
        <f>IF(J224="","",IFERROR(L224/J224,""))</f>
        <v/>
      </c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3">
        <f>SUM(N224:Z224)</f>
        <v/>
      </c>
      <c r="AB224" s="8" t="n"/>
    </row>
    <row r="225" ht="20" customHeight="1">
      <c r="A225" s="6" t="n"/>
      <c r="B225" s="7" t="n"/>
      <c r="C225" s="7" t="n"/>
      <c r="D225" s="7" t="n"/>
      <c r="E225" s="8" t="n"/>
      <c r="F225" s="9">
        <f>IF(E225="","",VALUE(LEFT(E225,FIND(" - ",E225)-1)))</f>
        <v/>
      </c>
      <c r="G225" s="10">
        <f>IF(E225="","",VLOOKUP(F225,Product_Master!A:D,2,FALSE)&amp;"")</f>
        <v/>
      </c>
      <c r="H225" s="9">
        <f>IF(E225="","",VLOOKUP(F225,Product_Master!A:D,3,FALSE)&amp;"")</f>
        <v/>
      </c>
      <c r="I225" s="10">
        <f>IF(E225="","",VLOOKUP(F225,Product_Master!A:D,4,FALSE)&amp;"")</f>
        <v/>
      </c>
      <c r="J225" s="11" t="n"/>
      <c r="K225" s="11" t="n"/>
      <c r="L225" s="11" t="n"/>
      <c r="M225" s="12">
        <f>IF(J225="","",IFERROR(L225/J225,""))</f>
        <v/>
      </c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3">
        <f>SUM(N225:Z225)</f>
        <v/>
      </c>
      <c r="AB225" s="8" t="n"/>
    </row>
    <row r="226" ht="20" customHeight="1">
      <c r="A226" s="6" t="n"/>
      <c r="B226" s="7" t="n"/>
      <c r="C226" s="7" t="n"/>
      <c r="D226" s="7" t="n"/>
      <c r="E226" s="8" t="n"/>
      <c r="F226" s="9">
        <f>IF(E226="","",VALUE(LEFT(E226,FIND(" - ",E226)-1)))</f>
        <v/>
      </c>
      <c r="G226" s="10">
        <f>IF(E226="","",VLOOKUP(F226,Product_Master!A:D,2,FALSE)&amp;"")</f>
        <v/>
      </c>
      <c r="H226" s="9">
        <f>IF(E226="","",VLOOKUP(F226,Product_Master!A:D,3,FALSE)&amp;"")</f>
        <v/>
      </c>
      <c r="I226" s="10">
        <f>IF(E226="","",VLOOKUP(F226,Product_Master!A:D,4,FALSE)&amp;"")</f>
        <v/>
      </c>
      <c r="J226" s="11" t="n"/>
      <c r="K226" s="11" t="n"/>
      <c r="L226" s="11" t="n"/>
      <c r="M226" s="12">
        <f>IF(J226="","",IFERROR(L226/J226,""))</f>
        <v/>
      </c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3">
        <f>SUM(N226:Z226)</f>
        <v/>
      </c>
      <c r="AB226" s="8" t="n"/>
    </row>
    <row r="227" ht="20" customHeight="1">
      <c r="A227" s="6" t="n"/>
      <c r="B227" s="7" t="n"/>
      <c r="C227" s="7" t="n"/>
      <c r="D227" s="7" t="n"/>
      <c r="E227" s="8" t="n"/>
      <c r="F227" s="9">
        <f>IF(E227="","",VALUE(LEFT(E227,FIND(" - ",E227)-1)))</f>
        <v/>
      </c>
      <c r="G227" s="10">
        <f>IF(E227="","",VLOOKUP(F227,Product_Master!A:D,2,FALSE)&amp;"")</f>
        <v/>
      </c>
      <c r="H227" s="9">
        <f>IF(E227="","",VLOOKUP(F227,Product_Master!A:D,3,FALSE)&amp;"")</f>
        <v/>
      </c>
      <c r="I227" s="10">
        <f>IF(E227="","",VLOOKUP(F227,Product_Master!A:D,4,FALSE)&amp;"")</f>
        <v/>
      </c>
      <c r="J227" s="11" t="n"/>
      <c r="K227" s="11" t="n"/>
      <c r="L227" s="11" t="n"/>
      <c r="M227" s="12">
        <f>IF(J227="","",IFERROR(L227/J227,""))</f>
        <v/>
      </c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3">
        <f>SUM(N227:Z227)</f>
        <v/>
      </c>
      <c r="AB227" s="8" t="n"/>
    </row>
    <row r="228" ht="20" customHeight="1">
      <c r="A228" s="6" t="n"/>
      <c r="B228" s="7" t="n"/>
      <c r="C228" s="7" t="n"/>
      <c r="D228" s="7" t="n"/>
      <c r="E228" s="8" t="n"/>
      <c r="F228" s="9">
        <f>IF(E228="","",VALUE(LEFT(E228,FIND(" - ",E228)-1)))</f>
        <v/>
      </c>
      <c r="G228" s="10">
        <f>IF(E228="","",VLOOKUP(F228,Product_Master!A:D,2,FALSE)&amp;"")</f>
        <v/>
      </c>
      <c r="H228" s="9">
        <f>IF(E228="","",VLOOKUP(F228,Product_Master!A:D,3,FALSE)&amp;"")</f>
        <v/>
      </c>
      <c r="I228" s="10">
        <f>IF(E228="","",VLOOKUP(F228,Product_Master!A:D,4,FALSE)&amp;"")</f>
        <v/>
      </c>
      <c r="J228" s="11" t="n"/>
      <c r="K228" s="11" t="n"/>
      <c r="L228" s="11" t="n"/>
      <c r="M228" s="12">
        <f>IF(J228="","",IFERROR(L228/J228,""))</f>
        <v/>
      </c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3">
        <f>SUM(N228:Z228)</f>
        <v/>
      </c>
      <c r="AB228" s="8" t="n"/>
    </row>
    <row r="229" ht="20" customHeight="1">
      <c r="A229" s="6" t="n"/>
      <c r="B229" s="7" t="n"/>
      <c r="C229" s="7" t="n"/>
      <c r="D229" s="7" t="n"/>
      <c r="E229" s="8" t="n"/>
      <c r="F229" s="9">
        <f>IF(E229="","",VALUE(LEFT(E229,FIND(" - ",E229)-1)))</f>
        <v/>
      </c>
      <c r="G229" s="10">
        <f>IF(E229="","",VLOOKUP(F229,Product_Master!A:D,2,FALSE)&amp;"")</f>
        <v/>
      </c>
      <c r="H229" s="9">
        <f>IF(E229="","",VLOOKUP(F229,Product_Master!A:D,3,FALSE)&amp;"")</f>
        <v/>
      </c>
      <c r="I229" s="10">
        <f>IF(E229="","",VLOOKUP(F229,Product_Master!A:D,4,FALSE)&amp;"")</f>
        <v/>
      </c>
      <c r="J229" s="11" t="n"/>
      <c r="K229" s="11" t="n"/>
      <c r="L229" s="11" t="n"/>
      <c r="M229" s="12">
        <f>IF(J229="","",IFERROR(L229/J229,""))</f>
        <v/>
      </c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3">
        <f>SUM(N229:Z229)</f>
        <v/>
      </c>
      <c r="AB229" s="8" t="n"/>
    </row>
    <row r="230" ht="20" customHeight="1">
      <c r="A230" s="6" t="n"/>
      <c r="B230" s="7" t="n"/>
      <c r="C230" s="7" t="n"/>
      <c r="D230" s="7" t="n"/>
      <c r="E230" s="8" t="n"/>
      <c r="F230" s="9">
        <f>IF(E230="","",VALUE(LEFT(E230,FIND(" - ",E230)-1)))</f>
        <v/>
      </c>
      <c r="G230" s="10">
        <f>IF(E230="","",VLOOKUP(F230,Product_Master!A:D,2,FALSE)&amp;"")</f>
        <v/>
      </c>
      <c r="H230" s="9">
        <f>IF(E230="","",VLOOKUP(F230,Product_Master!A:D,3,FALSE)&amp;"")</f>
        <v/>
      </c>
      <c r="I230" s="10">
        <f>IF(E230="","",VLOOKUP(F230,Product_Master!A:D,4,FALSE)&amp;"")</f>
        <v/>
      </c>
      <c r="J230" s="11" t="n"/>
      <c r="K230" s="11" t="n"/>
      <c r="L230" s="11" t="n"/>
      <c r="M230" s="12">
        <f>IF(J230="","",IFERROR(L230/J230,""))</f>
        <v/>
      </c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3">
        <f>SUM(N230:Z230)</f>
        <v/>
      </c>
      <c r="AB230" s="8" t="n"/>
    </row>
    <row r="231" ht="20" customHeight="1">
      <c r="A231" s="6" t="n"/>
      <c r="B231" s="7" t="n"/>
      <c r="C231" s="7" t="n"/>
      <c r="D231" s="7" t="n"/>
      <c r="E231" s="8" t="n"/>
      <c r="F231" s="9">
        <f>IF(E231="","",VALUE(LEFT(E231,FIND(" - ",E231)-1)))</f>
        <v/>
      </c>
      <c r="G231" s="10">
        <f>IF(E231="","",VLOOKUP(F231,Product_Master!A:D,2,FALSE)&amp;"")</f>
        <v/>
      </c>
      <c r="H231" s="9">
        <f>IF(E231="","",VLOOKUP(F231,Product_Master!A:D,3,FALSE)&amp;"")</f>
        <v/>
      </c>
      <c r="I231" s="10">
        <f>IF(E231="","",VLOOKUP(F231,Product_Master!A:D,4,FALSE)&amp;"")</f>
        <v/>
      </c>
      <c r="J231" s="11" t="n"/>
      <c r="K231" s="11" t="n"/>
      <c r="L231" s="11" t="n"/>
      <c r="M231" s="12">
        <f>IF(J231="","",IFERROR(L231/J231,""))</f>
        <v/>
      </c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3">
        <f>SUM(N231:Z231)</f>
        <v/>
      </c>
      <c r="AB231" s="8" t="n"/>
    </row>
    <row r="232" ht="20" customHeight="1">
      <c r="A232" s="6" t="n"/>
      <c r="B232" s="7" t="n"/>
      <c r="C232" s="7" t="n"/>
      <c r="D232" s="7" t="n"/>
      <c r="E232" s="8" t="n"/>
      <c r="F232" s="9">
        <f>IF(E232="","",VALUE(LEFT(E232,FIND(" - ",E232)-1)))</f>
        <v/>
      </c>
      <c r="G232" s="10">
        <f>IF(E232="","",VLOOKUP(F232,Product_Master!A:D,2,FALSE)&amp;"")</f>
        <v/>
      </c>
      <c r="H232" s="9">
        <f>IF(E232="","",VLOOKUP(F232,Product_Master!A:D,3,FALSE)&amp;"")</f>
        <v/>
      </c>
      <c r="I232" s="10">
        <f>IF(E232="","",VLOOKUP(F232,Product_Master!A:D,4,FALSE)&amp;"")</f>
        <v/>
      </c>
      <c r="J232" s="11" t="n"/>
      <c r="K232" s="11" t="n"/>
      <c r="L232" s="11" t="n"/>
      <c r="M232" s="12">
        <f>IF(J232="","",IFERROR(L232/J232,""))</f>
        <v/>
      </c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3">
        <f>SUM(N232:Z232)</f>
        <v/>
      </c>
      <c r="AB232" s="8" t="n"/>
    </row>
    <row r="233" ht="20" customHeight="1">
      <c r="A233" s="6" t="n"/>
      <c r="B233" s="7" t="n"/>
      <c r="C233" s="7" t="n"/>
      <c r="D233" s="7" t="n"/>
      <c r="E233" s="8" t="n"/>
      <c r="F233" s="9">
        <f>IF(E233="","",VALUE(LEFT(E233,FIND(" - ",E233)-1)))</f>
        <v/>
      </c>
      <c r="G233" s="10">
        <f>IF(E233="","",VLOOKUP(F233,Product_Master!A:D,2,FALSE)&amp;"")</f>
        <v/>
      </c>
      <c r="H233" s="9">
        <f>IF(E233="","",VLOOKUP(F233,Product_Master!A:D,3,FALSE)&amp;"")</f>
        <v/>
      </c>
      <c r="I233" s="10">
        <f>IF(E233="","",VLOOKUP(F233,Product_Master!A:D,4,FALSE)&amp;"")</f>
        <v/>
      </c>
      <c r="J233" s="11" t="n"/>
      <c r="K233" s="11" t="n"/>
      <c r="L233" s="11" t="n"/>
      <c r="M233" s="12">
        <f>IF(J233="","",IFERROR(L233/J233,""))</f>
        <v/>
      </c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3">
        <f>SUM(N233:Z233)</f>
        <v/>
      </c>
      <c r="AB233" s="8" t="n"/>
    </row>
    <row r="234" ht="20" customHeight="1">
      <c r="A234" s="6" t="n"/>
      <c r="B234" s="7" t="n"/>
      <c r="C234" s="7" t="n"/>
      <c r="D234" s="7" t="n"/>
      <c r="E234" s="8" t="n"/>
      <c r="F234" s="9">
        <f>IF(E234="","",VALUE(LEFT(E234,FIND(" - ",E234)-1)))</f>
        <v/>
      </c>
      <c r="G234" s="10">
        <f>IF(E234="","",VLOOKUP(F234,Product_Master!A:D,2,FALSE)&amp;"")</f>
        <v/>
      </c>
      <c r="H234" s="9">
        <f>IF(E234="","",VLOOKUP(F234,Product_Master!A:D,3,FALSE)&amp;"")</f>
        <v/>
      </c>
      <c r="I234" s="10">
        <f>IF(E234="","",VLOOKUP(F234,Product_Master!A:D,4,FALSE)&amp;"")</f>
        <v/>
      </c>
      <c r="J234" s="11" t="n"/>
      <c r="K234" s="11" t="n"/>
      <c r="L234" s="11" t="n"/>
      <c r="M234" s="12">
        <f>IF(J234="","",IFERROR(L234/J234,""))</f>
        <v/>
      </c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3">
        <f>SUM(N234:Z234)</f>
        <v/>
      </c>
      <c r="AB234" s="8" t="n"/>
    </row>
    <row r="235" ht="20" customHeight="1">
      <c r="A235" s="6" t="n"/>
      <c r="B235" s="7" t="n"/>
      <c r="C235" s="7" t="n"/>
      <c r="D235" s="7" t="n"/>
      <c r="E235" s="8" t="n"/>
      <c r="F235" s="9">
        <f>IF(E235="","",VALUE(LEFT(E235,FIND(" - ",E235)-1)))</f>
        <v/>
      </c>
      <c r="G235" s="10">
        <f>IF(E235="","",VLOOKUP(F235,Product_Master!A:D,2,FALSE)&amp;"")</f>
        <v/>
      </c>
      <c r="H235" s="9">
        <f>IF(E235="","",VLOOKUP(F235,Product_Master!A:D,3,FALSE)&amp;"")</f>
        <v/>
      </c>
      <c r="I235" s="10">
        <f>IF(E235="","",VLOOKUP(F235,Product_Master!A:D,4,FALSE)&amp;"")</f>
        <v/>
      </c>
      <c r="J235" s="11" t="n"/>
      <c r="K235" s="11" t="n"/>
      <c r="L235" s="11" t="n"/>
      <c r="M235" s="12">
        <f>IF(J235="","",IFERROR(L235/J235,""))</f>
        <v/>
      </c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3">
        <f>SUM(N235:Z235)</f>
        <v/>
      </c>
      <c r="AB235" s="8" t="n"/>
    </row>
    <row r="236" ht="20" customHeight="1">
      <c r="A236" s="6" t="n"/>
      <c r="B236" s="7" t="n"/>
      <c r="C236" s="7" t="n"/>
      <c r="D236" s="7" t="n"/>
      <c r="E236" s="8" t="n"/>
      <c r="F236" s="9">
        <f>IF(E236="","",VALUE(LEFT(E236,FIND(" - ",E236)-1)))</f>
        <v/>
      </c>
      <c r="G236" s="10">
        <f>IF(E236="","",VLOOKUP(F236,Product_Master!A:D,2,FALSE)&amp;"")</f>
        <v/>
      </c>
      <c r="H236" s="9">
        <f>IF(E236="","",VLOOKUP(F236,Product_Master!A:D,3,FALSE)&amp;"")</f>
        <v/>
      </c>
      <c r="I236" s="10">
        <f>IF(E236="","",VLOOKUP(F236,Product_Master!A:D,4,FALSE)&amp;"")</f>
        <v/>
      </c>
      <c r="J236" s="11" t="n"/>
      <c r="K236" s="11" t="n"/>
      <c r="L236" s="11" t="n"/>
      <c r="M236" s="12">
        <f>IF(J236="","",IFERROR(L236/J236,""))</f>
        <v/>
      </c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3">
        <f>SUM(N236:Z236)</f>
        <v/>
      </c>
      <c r="AB236" s="8" t="n"/>
    </row>
    <row r="237" ht="20" customHeight="1">
      <c r="A237" s="6" t="n"/>
      <c r="B237" s="7" t="n"/>
      <c r="C237" s="7" t="n"/>
      <c r="D237" s="7" t="n"/>
      <c r="E237" s="8" t="n"/>
      <c r="F237" s="9">
        <f>IF(E237="","",VALUE(LEFT(E237,FIND(" - ",E237)-1)))</f>
        <v/>
      </c>
      <c r="G237" s="10">
        <f>IF(E237="","",VLOOKUP(F237,Product_Master!A:D,2,FALSE)&amp;"")</f>
        <v/>
      </c>
      <c r="H237" s="9">
        <f>IF(E237="","",VLOOKUP(F237,Product_Master!A:D,3,FALSE)&amp;"")</f>
        <v/>
      </c>
      <c r="I237" s="10">
        <f>IF(E237="","",VLOOKUP(F237,Product_Master!A:D,4,FALSE)&amp;"")</f>
        <v/>
      </c>
      <c r="J237" s="11" t="n"/>
      <c r="K237" s="11" t="n"/>
      <c r="L237" s="11" t="n"/>
      <c r="M237" s="12">
        <f>IF(J237="","",IFERROR(L237/J237,""))</f>
        <v/>
      </c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3">
        <f>SUM(N237:Z237)</f>
        <v/>
      </c>
      <c r="AB237" s="8" t="n"/>
    </row>
    <row r="238" ht="20" customHeight="1">
      <c r="A238" s="6" t="n"/>
      <c r="B238" s="7" t="n"/>
      <c r="C238" s="7" t="n"/>
      <c r="D238" s="7" t="n"/>
      <c r="E238" s="8" t="n"/>
      <c r="F238" s="9">
        <f>IF(E238="","",VALUE(LEFT(E238,FIND(" - ",E238)-1)))</f>
        <v/>
      </c>
      <c r="G238" s="10">
        <f>IF(E238="","",VLOOKUP(F238,Product_Master!A:D,2,FALSE)&amp;"")</f>
        <v/>
      </c>
      <c r="H238" s="9">
        <f>IF(E238="","",VLOOKUP(F238,Product_Master!A:D,3,FALSE)&amp;"")</f>
        <v/>
      </c>
      <c r="I238" s="10">
        <f>IF(E238="","",VLOOKUP(F238,Product_Master!A:D,4,FALSE)&amp;"")</f>
        <v/>
      </c>
      <c r="J238" s="11" t="n"/>
      <c r="K238" s="11" t="n"/>
      <c r="L238" s="11" t="n"/>
      <c r="M238" s="12">
        <f>IF(J238="","",IFERROR(L238/J238,""))</f>
        <v/>
      </c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3">
        <f>SUM(N238:Z238)</f>
        <v/>
      </c>
      <c r="AB238" s="8" t="n"/>
    </row>
    <row r="239" ht="20" customHeight="1">
      <c r="A239" s="6" t="n"/>
      <c r="B239" s="7" t="n"/>
      <c r="C239" s="7" t="n"/>
      <c r="D239" s="7" t="n"/>
      <c r="E239" s="8" t="n"/>
      <c r="F239" s="9">
        <f>IF(E239="","",VALUE(LEFT(E239,FIND(" - ",E239)-1)))</f>
        <v/>
      </c>
      <c r="G239" s="10">
        <f>IF(E239="","",VLOOKUP(F239,Product_Master!A:D,2,FALSE)&amp;"")</f>
        <v/>
      </c>
      <c r="H239" s="9">
        <f>IF(E239="","",VLOOKUP(F239,Product_Master!A:D,3,FALSE)&amp;"")</f>
        <v/>
      </c>
      <c r="I239" s="10">
        <f>IF(E239="","",VLOOKUP(F239,Product_Master!A:D,4,FALSE)&amp;"")</f>
        <v/>
      </c>
      <c r="J239" s="11" t="n"/>
      <c r="K239" s="11" t="n"/>
      <c r="L239" s="11" t="n"/>
      <c r="M239" s="12">
        <f>IF(J239="","",IFERROR(L239/J239,""))</f>
        <v/>
      </c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3">
        <f>SUM(N239:Z239)</f>
        <v/>
      </c>
      <c r="AB239" s="8" t="n"/>
    </row>
    <row r="240" ht="20" customHeight="1">
      <c r="A240" s="6" t="n"/>
      <c r="B240" s="7" t="n"/>
      <c r="C240" s="7" t="n"/>
      <c r="D240" s="7" t="n"/>
      <c r="E240" s="8" t="n"/>
      <c r="F240" s="9">
        <f>IF(E240="","",VALUE(LEFT(E240,FIND(" - ",E240)-1)))</f>
        <v/>
      </c>
      <c r="G240" s="10">
        <f>IF(E240="","",VLOOKUP(F240,Product_Master!A:D,2,FALSE)&amp;"")</f>
        <v/>
      </c>
      <c r="H240" s="9">
        <f>IF(E240="","",VLOOKUP(F240,Product_Master!A:D,3,FALSE)&amp;"")</f>
        <v/>
      </c>
      <c r="I240" s="10">
        <f>IF(E240="","",VLOOKUP(F240,Product_Master!A:D,4,FALSE)&amp;"")</f>
        <v/>
      </c>
      <c r="J240" s="11" t="n"/>
      <c r="K240" s="11" t="n"/>
      <c r="L240" s="11" t="n"/>
      <c r="M240" s="12">
        <f>IF(J240="","",IFERROR(L240/J240,""))</f>
        <v/>
      </c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3">
        <f>SUM(N240:Z240)</f>
        <v/>
      </c>
      <c r="AB240" s="8" t="n"/>
    </row>
    <row r="241" ht="20" customHeight="1">
      <c r="A241" s="6" t="n"/>
      <c r="B241" s="7" t="n"/>
      <c r="C241" s="7" t="n"/>
      <c r="D241" s="7" t="n"/>
      <c r="E241" s="8" t="n"/>
      <c r="F241" s="9">
        <f>IF(E241="","",VALUE(LEFT(E241,FIND(" - ",E241)-1)))</f>
        <v/>
      </c>
      <c r="G241" s="10">
        <f>IF(E241="","",VLOOKUP(F241,Product_Master!A:D,2,FALSE)&amp;"")</f>
        <v/>
      </c>
      <c r="H241" s="9">
        <f>IF(E241="","",VLOOKUP(F241,Product_Master!A:D,3,FALSE)&amp;"")</f>
        <v/>
      </c>
      <c r="I241" s="10">
        <f>IF(E241="","",VLOOKUP(F241,Product_Master!A:D,4,FALSE)&amp;"")</f>
        <v/>
      </c>
      <c r="J241" s="11" t="n"/>
      <c r="K241" s="11" t="n"/>
      <c r="L241" s="11" t="n"/>
      <c r="M241" s="12">
        <f>IF(J241="","",IFERROR(L241/J241,""))</f>
        <v/>
      </c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3">
        <f>SUM(N241:Z241)</f>
        <v/>
      </c>
      <c r="AB241" s="8" t="n"/>
    </row>
    <row r="242" ht="20" customHeight="1">
      <c r="A242" s="6" t="n"/>
      <c r="B242" s="7" t="n"/>
      <c r="C242" s="7" t="n"/>
      <c r="D242" s="7" t="n"/>
      <c r="E242" s="8" t="n"/>
      <c r="F242" s="9">
        <f>IF(E242="","",VALUE(LEFT(E242,FIND(" - ",E242)-1)))</f>
        <v/>
      </c>
      <c r="G242" s="10">
        <f>IF(E242="","",VLOOKUP(F242,Product_Master!A:D,2,FALSE)&amp;"")</f>
        <v/>
      </c>
      <c r="H242" s="9">
        <f>IF(E242="","",VLOOKUP(F242,Product_Master!A:D,3,FALSE)&amp;"")</f>
        <v/>
      </c>
      <c r="I242" s="10">
        <f>IF(E242="","",VLOOKUP(F242,Product_Master!A:D,4,FALSE)&amp;"")</f>
        <v/>
      </c>
      <c r="J242" s="11" t="n"/>
      <c r="K242" s="11" t="n"/>
      <c r="L242" s="11" t="n"/>
      <c r="M242" s="12">
        <f>IF(J242="","",IFERROR(L242/J242,""))</f>
        <v/>
      </c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3">
        <f>SUM(N242:Z242)</f>
        <v/>
      </c>
      <c r="AB242" s="8" t="n"/>
    </row>
    <row r="243" ht="20" customHeight="1">
      <c r="A243" s="6" t="n"/>
      <c r="B243" s="7" t="n"/>
      <c r="C243" s="7" t="n"/>
      <c r="D243" s="7" t="n"/>
      <c r="E243" s="8" t="n"/>
      <c r="F243" s="9">
        <f>IF(E243="","",VALUE(LEFT(E243,FIND(" - ",E243)-1)))</f>
        <v/>
      </c>
      <c r="G243" s="10">
        <f>IF(E243="","",VLOOKUP(F243,Product_Master!A:D,2,FALSE)&amp;"")</f>
        <v/>
      </c>
      <c r="H243" s="9">
        <f>IF(E243="","",VLOOKUP(F243,Product_Master!A:D,3,FALSE)&amp;"")</f>
        <v/>
      </c>
      <c r="I243" s="10">
        <f>IF(E243="","",VLOOKUP(F243,Product_Master!A:D,4,FALSE)&amp;"")</f>
        <v/>
      </c>
      <c r="J243" s="11" t="n"/>
      <c r="K243" s="11" t="n"/>
      <c r="L243" s="11" t="n"/>
      <c r="M243" s="12">
        <f>IF(J243="","",IFERROR(L243/J243,""))</f>
        <v/>
      </c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3">
        <f>SUM(N243:Z243)</f>
        <v/>
      </c>
      <c r="AB243" s="8" t="n"/>
    </row>
    <row r="244" ht="20" customHeight="1">
      <c r="A244" s="6" t="n"/>
      <c r="B244" s="7" t="n"/>
      <c r="C244" s="7" t="n"/>
      <c r="D244" s="7" t="n"/>
      <c r="E244" s="8" t="n"/>
      <c r="F244" s="9">
        <f>IF(E244="","",VALUE(LEFT(E244,FIND(" - ",E244)-1)))</f>
        <v/>
      </c>
      <c r="G244" s="10">
        <f>IF(E244="","",VLOOKUP(F244,Product_Master!A:D,2,FALSE)&amp;"")</f>
        <v/>
      </c>
      <c r="H244" s="9">
        <f>IF(E244="","",VLOOKUP(F244,Product_Master!A:D,3,FALSE)&amp;"")</f>
        <v/>
      </c>
      <c r="I244" s="10">
        <f>IF(E244="","",VLOOKUP(F244,Product_Master!A:D,4,FALSE)&amp;"")</f>
        <v/>
      </c>
      <c r="J244" s="11" t="n"/>
      <c r="K244" s="11" t="n"/>
      <c r="L244" s="11" t="n"/>
      <c r="M244" s="12">
        <f>IF(J244="","",IFERROR(L244/J244,""))</f>
        <v/>
      </c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3">
        <f>SUM(N244:Z244)</f>
        <v/>
      </c>
      <c r="AB244" s="8" t="n"/>
    </row>
    <row r="245" ht="20" customHeight="1">
      <c r="A245" s="6" t="n"/>
      <c r="B245" s="7" t="n"/>
      <c r="C245" s="7" t="n"/>
      <c r="D245" s="7" t="n"/>
      <c r="E245" s="8" t="n"/>
      <c r="F245" s="9">
        <f>IF(E245="","",VALUE(LEFT(E245,FIND(" - ",E245)-1)))</f>
        <v/>
      </c>
      <c r="G245" s="10">
        <f>IF(E245="","",VLOOKUP(F245,Product_Master!A:D,2,FALSE)&amp;"")</f>
        <v/>
      </c>
      <c r="H245" s="9">
        <f>IF(E245="","",VLOOKUP(F245,Product_Master!A:D,3,FALSE)&amp;"")</f>
        <v/>
      </c>
      <c r="I245" s="10">
        <f>IF(E245="","",VLOOKUP(F245,Product_Master!A:D,4,FALSE)&amp;"")</f>
        <v/>
      </c>
      <c r="J245" s="11" t="n"/>
      <c r="K245" s="11" t="n"/>
      <c r="L245" s="11" t="n"/>
      <c r="M245" s="12">
        <f>IF(J245="","",IFERROR(L245/J245,""))</f>
        <v/>
      </c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3">
        <f>SUM(N245:Z245)</f>
        <v/>
      </c>
      <c r="AB245" s="8" t="n"/>
    </row>
    <row r="246" ht="20" customHeight="1">
      <c r="A246" s="6" t="n"/>
      <c r="B246" s="7" t="n"/>
      <c r="C246" s="7" t="n"/>
      <c r="D246" s="7" t="n"/>
      <c r="E246" s="8" t="n"/>
      <c r="F246" s="9">
        <f>IF(E246="","",VALUE(LEFT(E246,FIND(" - ",E246)-1)))</f>
        <v/>
      </c>
      <c r="G246" s="10">
        <f>IF(E246="","",VLOOKUP(F246,Product_Master!A:D,2,FALSE)&amp;"")</f>
        <v/>
      </c>
      <c r="H246" s="9">
        <f>IF(E246="","",VLOOKUP(F246,Product_Master!A:D,3,FALSE)&amp;"")</f>
        <v/>
      </c>
      <c r="I246" s="10">
        <f>IF(E246="","",VLOOKUP(F246,Product_Master!A:D,4,FALSE)&amp;"")</f>
        <v/>
      </c>
      <c r="J246" s="11" t="n"/>
      <c r="K246" s="11" t="n"/>
      <c r="L246" s="11" t="n"/>
      <c r="M246" s="12">
        <f>IF(J246="","",IFERROR(L246/J246,""))</f>
        <v/>
      </c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3">
        <f>SUM(N246:Z246)</f>
        <v/>
      </c>
      <c r="AB246" s="8" t="n"/>
    </row>
    <row r="247" ht="20" customHeight="1">
      <c r="A247" s="6" t="n"/>
      <c r="B247" s="7" t="n"/>
      <c r="C247" s="7" t="n"/>
      <c r="D247" s="7" t="n"/>
      <c r="E247" s="8" t="n"/>
      <c r="F247" s="9">
        <f>IF(E247="","",VALUE(LEFT(E247,FIND(" - ",E247)-1)))</f>
        <v/>
      </c>
      <c r="G247" s="10">
        <f>IF(E247="","",VLOOKUP(F247,Product_Master!A:D,2,FALSE)&amp;"")</f>
        <v/>
      </c>
      <c r="H247" s="9">
        <f>IF(E247="","",VLOOKUP(F247,Product_Master!A:D,3,FALSE)&amp;"")</f>
        <v/>
      </c>
      <c r="I247" s="10">
        <f>IF(E247="","",VLOOKUP(F247,Product_Master!A:D,4,FALSE)&amp;"")</f>
        <v/>
      </c>
      <c r="J247" s="11" t="n"/>
      <c r="K247" s="11" t="n"/>
      <c r="L247" s="11" t="n"/>
      <c r="M247" s="12">
        <f>IF(J247="","",IFERROR(L247/J247,""))</f>
        <v/>
      </c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3">
        <f>SUM(N247:Z247)</f>
        <v/>
      </c>
      <c r="AB247" s="8" t="n"/>
    </row>
    <row r="248" ht="20" customHeight="1">
      <c r="A248" s="6" t="n"/>
      <c r="B248" s="7" t="n"/>
      <c r="C248" s="7" t="n"/>
      <c r="D248" s="7" t="n"/>
      <c r="E248" s="8" t="n"/>
      <c r="F248" s="9">
        <f>IF(E248="","",VALUE(LEFT(E248,FIND(" - ",E248)-1)))</f>
        <v/>
      </c>
      <c r="G248" s="10">
        <f>IF(E248="","",VLOOKUP(F248,Product_Master!A:D,2,FALSE)&amp;"")</f>
        <v/>
      </c>
      <c r="H248" s="9">
        <f>IF(E248="","",VLOOKUP(F248,Product_Master!A:D,3,FALSE)&amp;"")</f>
        <v/>
      </c>
      <c r="I248" s="10">
        <f>IF(E248="","",VLOOKUP(F248,Product_Master!A:D,4,FALSE)&amp;"")</f>
        <v/>
      </c>
      <c r="J248" s="11" t="n"/>
      <c r="K248" s="11" t="n"/>
      <c r="L248" s="11" t="n"/>
      <c r="M248" s="12">
        <f>IF(J248="","",IFERROR(L248/J248,""))</f>
        <v/>
      </c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3">
        <f>SUM(N248:Z248)</f>
        <v/>
      </c>
      <c r="AB248" s="8" t="n"/>
    </row>
    <row r="249" ht="20" customHeight="1">
      <c r="A249" s="6" t="n"/>
      <c r="B249" s="7" t="n"/>
      <c r="C249" s="7" t="n"/>
      <c r="D249" s="7" t="n"/>
      <c r="E249" s="8" t="n"/>
      <c r="F249" s="9">
        <f>IF(E249="","",VALUE(LEFT(E249,FIND(" - ",E249)-1)))</f>
        <v/>
      </c>
      <c r="G249" s="10">
        <f>IF(E249="","",VLOOKUP(F249,Product_Master!A:D,2,FALSE)&amp;"")</f>
        <v/>
      </c>
      <c r="H249" s="9">
        <f>IF(E249="","",VLOOKUP(F249,Product_Master!A:D,3,FALSE)&amp;"")</f>
        <v/>
      </c>
      <c r="I249" s="10">
        <f>IF(E249="","",VLOOKUP(F249,Product_Master!A:D,4,FALSE)&amp;"")</f>
        <v/>
      </c>
      <c r="J249" s="11" t="n"/>
      <c r="K249" s="11" t="n"/>
      <c r="L249" s="11" t="n"/>
      <c r="M249" s="12">
        <f>IF(J249="","",IFERROR(L249/J249,""))</f>
        <v/>
      </c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3">
        <f>SUM(N249:Z249)</f>
        <v/>
      </c>
      <c r="AB249" s="8" t="n"/>
    </row>
    <row r="250" ht="20" customHeight="1">
      <c r="A250" s="6" t="n"/>
      <c r="B250" s="7" t="n"/>
      <c r="C250" s="7" t="n"/>
      <c r="D250" s="7" t="n"/>
      <c r="E250" s="8" t="n"/>
      <c r="F250" s="9">
        <f>IF(E250="","",VALUE(LEFT(E250,FIND(" - ",E250)-1)))</f>
        <v/>
      </c>
      <c r="G250" s="10">
        <f>IF(E250="","",VLOOKUP(F250,Product_Master!A:D,2,FALSE)&amp;"")</f>
        <v/>
      </c>
      <c r="H250" s="9">
        <f>IF(E250="","",VLOOKUP(F250,Product_Master!A:D,3,FALSE)&amp;"")</f>
        <v/>
      </c>
      <c r="I250" s="10">
        <f>IF(E250="","",VLOOKUP(F250,Product_Master!A:D,4,FALSE)&amp;"")</f>
        <v/>
      </c>
      <c r="J250" s="11" t="n"/>
      <c r="K250" s="11" t="n"/>
      <c r="L250" s="11" t="n"/>
      <c r="M250" s="12">
        <f>IF(J250="","",IFERROR(L250/J250,""))</f>
        <v/>
      </c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3">
        <f>SUM(N250:Z250)</f>
        <v/>
      </c>
      <c r="AB250" s="8" t="n"/>
    </row>
    <row r="251" ht="20" customHeight="1">
      <c r="A251" s="6" t="n"/>
      <c r="B251" s="7" t="n"/>
      <c r="C251" s="7" t="n"/>
      <c r="D251" s="7" t="n"/>
      <c r="E251" s="8" t="n"/>
      <c r="F251" s="9">
        <f>IF(E251="","",VALUE(LEFT(E251,FIND(" - ",E251)-1)))</f>
        <v/>
      </c>
      <c r="G251" s="10">
        <f>IF(E251="","",VLOOKUP(F251,Product_Master!A:D,2,FALSE)&amp;"")</f>
        <v/>
      </c>
      <c r="H251" s="9">
        <f>IF(E251="","",VLOOKUP(F251,Product_Master!A:D,3,FALSE)&amp;"")</f>
        <v/>
      </c>
      <c r="I251" s="10">
        <f>IF(E251="","",VLOOKUP(F251,Product_Master!A:D,4,FALSE)&amp;"")</f>
        <v/>
      </c>
      <c r="J251" s="11" t="n"/>
      <c r="K251" s="11" t="n"/>
      <c r="L251" s="11" t="n"/>
      <c r="M251" s="12">
        <f>IF(J251="","",IFERROR(L251/J251,""))</f>
        <v/>
      </c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3">
        <f>SUM(N251:Z251)</f>
        <v/>
      </c>
      <c r="AB251" s="8" t="n"/>
    </row>
    <row r="252" ht="20" customHeight="1">
      <c r="A252" s="6" t="n"/>
      <c r="B252" s="7" t="n"/>
      <c r="C252" s="7" t="n"/>
      <c r="D252" s="7" t="n"/>
      <c r="E252" s="8" t="n"/>
      <c r="F252" s="9">
        <f>IF(E252="","",VALUE(LEFT(E252,FIND(" - ",E252)-1)))</f>
        <v/>
      </c>
      <c r="G252" s="10">
        <f>IF(E252="","",VLOOKUP(F252,Product_Master!A:D,2,FALSE)&amp;"")</f>
        <v/>
      </c>
      <c r="H252" s="9">
        <f>IF(E252="","",VLOOKUP(F252,Product_Master!A:D,3,FALSE)&amp;"")</f>
        <v/>
      </c>
      <c r="I252" s="10">
        <f>IF(E252="","",VLOOKUP(F252,Product_Master!A:D,4,FALSE)&amp;"")</f>
        <v/>
      </c>
      <c r="J252" s="11" t="n"/>
      <c r="K252" s="11" t="n"/>
      <c r="L252" s="11" t="n"/>
      <c r="M252" s="12">
        <f>IF(J252="","",IFERROR(L252/J252,""))</f>
        <v/>
      </c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3">
        <f>SUM(N252:Z252)</f>
        <v/>
      </c>
      <c r="AB252" s="8" t="n"/>
    </row>
    <row r="253" ht="20" customHeight="1">
      <c r="A253" s="6" t="n"/>
      <c r="B253" s="7" t="n"/>
      <c r="C253" s="7" t="n"/>
      <c r="D253" s="7" t="n"/>
      <c r="E253" s="8" t="n"/>
      <c r="F253" s="9">
        <f>IF(E253="","",VALUE(LEFT(E253,FIND(" - ",E253)-1)))</f>
        <v/>
      </c>
      <c r="G253" s="10">
        <f>IF(E253="","",VLOOKUP(F253,Product_Master!A:D,2,FALSE)&amp;"")</f>
        <v/>
      </c>
      <c r="H253" s="9">
        <f>IF(E253="","",VLOOKUP(F253,Product_Master!A:D,3,FALSE)&amp;"")</f>
        <v/>
      </c>
      <c r="I253" s="10">
        <f>IF(E253="","",VLOOKUP(F253,Product_Master!A:D,4,FALSE)&amp;"")</f>
        <v/>
      </c>
      <c r="J253" s="11" t="n"/>
      <c r="K253" s="11" t="n"/>
      <c r="L253" s="11" t="n"/>
      <c r="M253" s="12">
        <f>IF(J253="","",IFERROR(L253/J253,""))</f>
        <v/>
      </c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3">
        <f>SUM(N253:Z253)</f>
        <v/>
      </c>
      <c r="AB253" s="8" t="n"/>
    </row>
    <row r="254" ht="20" customHeight="1">
      <c r="A254" s="6" t="n"/>
      <c r="B254" s="7" t="n"/>
      <c r="C254" s="7" t="n"/>
      <c r="D254" s="7" t="n"/>
      <c r="E254" s="8" t="n"/>
      <c r="F254" s="9">
        <f>IF(E254="","",VALUE(LEFT(E254,FIND(" - ",E254)-1)))</f>
        <v/>
      </c>
      <c r="G254" s="10">
        <f>IF(E254="","",VLOOKUP(F254,Product_Master!A:D,2,FALSE)&amp;"")</f>
        <v/>
      </c>
      <c r="H254" s="9">
        <f>IF(E254="","",VLOOKUP(F254,Product_Master!A:D,3,FALSE)&amp;"")</f>
        <v/>
      </c>
      <c r="I254" s="10">
        <f>IF(E254="","",VLOOKUP(F254,Product_Master!A:D,4,FALSE)&amp;"")</f>
        <v/>
      </c>
      <c r="J254" s="11" t="n"/>
      <c r="K254" s="11" t="n"/>
      <c r="L254" s="11" t="n"/>
      <c r="M254" s="12">
        <f>IF(J254="","",IFERROR(L254/J254,""))</f>
        <v/>
      </c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3">
        <f>SUM(N254:Z254)</f>
        <v/>
      </c>
      <c r="AB254" s="8" t="n"/>
    </row>
    <row r="255" ht="20" customHeight="1">
      <c r="A255" s="6" t="n"/>
      <c r="B255" s="7" t="n"/>
      <c r="C255" s="7" t="n"/>
      <c r="D255" s="7" t="n"/>
      <c r="E255" s="8" t="n"/>
      <c r="F255" s="9">
        <f>IF(E255="","",VALUE(LEFT(E255,FIND(" - ",E255)-1)))</f>
        <v/>
      </c>
      <c r="G255" s="10">
        <f>IF(E255="","",VLOOKUP(F255,Product_Master!A:D,2,FALSE)&amp;"")</f>
        <v/>
      </c>
      <c r="H255" s="9">
        <f>IF(E255="","",VLOOKUP(F255,Product_Master!A:D,3,FALSE)&amp;"")</f>
        <v/>
      </c>
      <c r="I255" s="10">
        <f>IF(E255="","",VLOOKUP(F255,Product_Master!A:D,4,FALSE)&amp;"")</f>
        <v/>
      </c>
      <c r="J255" s="11" t="n"/>
      <c r="K255" s="11" t="n"/>
      <c r="L255" s="11" t="n"/>
      <c r="M255" s="12">
        <f>IF(J255="","",IFERROR(L255/J255,""))</f>
        <v/>
      </c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3">
        <f>SUM(N255:Z255)</f>
        <v/>
      </c>
      <c r="AB255" s="8" t="n"/>
    </row>
    <row r="256" ht="20" customHeight="1">
      <c r="A256" s="6" t="n"/>
      <c r="B256" s="7" t="n"/>
      <c r="C256" s="7" t="n"/>
      <c r="D256" s="7" t="n"/>
      <c r="E256" s="8" t="n"/>
      <c r="F256" s="9">
        <f>IF(E256="","",VALUE(LEFT(E256,FIND(" - ",E256)-1)))</f>
        <v/>
      </c>
      <c r="G256" s="10">
        <f>IF(E256="","",VLOOKUP(F256,Product_Master!A:D,2,FALSE)&amp;"")</f>
        <v/>
      </c>
      <c r="H256" s="9">
        <f>IF(E256="","",VLOOKUP(F256,Product_Master!A:D,3,FALSE)&amp;"")</f>
        <v/>
      </c>
      <c r="I256" s="10">
        <f>IF(E256="","",VLOOKUP(F256,Product_Master!A:D,4,FALSE)&amp;"")</f>
        <v/>
      </c>
      <c r="J256" s="11" t="n"/>
      <c r="K256" s="11" t="n"/>
      <c r="L256" s="11" t="n"/>
      <c r="M256" s="12">
        <f>IF(J256="","",IFERROR(L256/J256,""))</f>
        <v/>
      </c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3">
        <f>SUM(N256:Z256)</f>
        <v/>
      </c>
      <c r="AB256" s="8" t="n"/>
    </row>
    <row r="257" ht="20" customHeight="1">
      <c r="A257" s="6" t="n"/>
      <c r="B257" s="7" t="n"/>
      <c r="C257" s="7" t="n"/>
      <c r="D257" s="7" t="n"/>
      <c r="E257" s="8" t="n"/>
      <c r="F257" s="9">
        <f>IF(E257="","",VALUE(LEFT(E257,FIND(" - ",E257)-1)))</f>
        <v/>
      </c>
      <c r="G257" s="10">
        <f>IF(E257="","",VLOOKUP(F257,Product_Master!A:D,2,FALSE)&amp;"")</f>
        <v/>
      </c>
      <c r="H257" s="9">
        <f>IF(E257="","",VLOOKUP(F257,Product_Master!A:D,3,FALSE)&amp;"")</f>
        <v/>
      </c>
      <c r="I257" s="10">
        <f>IF(E257="","",VLOOKUP(F257,Product_Master!A:D,4,FALSE)&amp;"")</f>
        <v/>
      </c>
      <c r="J257" s="11" t="n"/>
      <c r="K257" s="11" t="n"/>
      <c r="L257" s="11" t="n"/>
      <c r="M257" s="12">
        <f>IF(J257="","",IFERROR(L257/J257,""))</f>
        <v/>
      </c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3">
        <f>SUM(N257:Z257)</f>
        <v/>
      </c>
      <c r="AB257" s="8" t="n"/>
    </row>
    <row r="258" ht="20" customHeight="1">
      <c r="A258" s="6" t="n"/>
      <c r="B258" s="7" t="n"/>
      <c r="C258" s="7" t="n"/>
      <c r="D258" s="7" t="n"/>
      <c r="E258" s="8" t="n"/>
      <c r="F258" s="9">
        <f>IF(E258="","",VALUE(LEFT(E258,FIND(" - ",E258)-1)))</f>
        <v/>
      </c>
      <c r="G258" s="10">
        <f>IF(E258="","",VLOOKUP(F258,Product_Master!A:D,2,FALSE)&amp;"")</f>
        <v/>
      </c>
      <c r="H258" s="9">
        <f>IF(E258="","",VLOOKUP(F258,Product_Master!A:D,3,FALSE)&amp;"")</f>
        <v/>
      </c>
      <c r="I258" s="10">
        <f>IF(E258="","",VLOOKUP(F258,Product_Master!A:D,4,FALSE)&amp;"")</f>
        <v/>
      </c>
      <c r="J258" s="11" t="n"/>
      <c r="K258" s="11" t="n"/>
      <c r="L258" s="11" t="n"/>
      <c r="M258" s="12">
        <f>IF(J258="","",IFERROR(L258/J258,""))</f>
        <v/>
      </c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3">
        <f>SUM(N258:Z258)</f>
        <v/>
      </c>
      <c r="AB258" s="8" t="n"/>
    </row>
    <row r="259" ht="20" customHeight="1">
      <c r="A259" s="6" t="n"/>
      <c r="B259" s="7" t="n"/>
      <c r="C259" s="7" t="n"/>
      <c r="D259" s="7" t="n"/>
      <c r="E259" s="8" t="n"/>
      <c r="F259" s="9">
        <f>IF(E259="","",VALUE(LEFT(E259,FIND(" - ",E259)-1)))</f>
        <v/>
      </c>
      <c r="G259" s="10">
        <f>IF(E259="","",VLOOKUP(F259,Product_Master!A:D,2,FALSE)&amp;"")</f>
        <v/>
      </c>
      <c r="H259" s="9">
        <f>IF(E259="","",VLOOKUP(F259,Product_Master!A:D,3,FALSE)&amp;"")</f>
        <v/>
      </c>
      <c r="I259" s="10">
        <f>IF(E259="","",VLOOKUP(F259,Product_Master!A:D,4,FALSE)&amp;"")</f>
        <v/>
      </c>
      <c r="J259" s="11" t="n"/>
      <c r="K259" s="11" t="n"/>
      <c r="L259" s="11" t="n"/>
      <c r="M259" s="12">
        <f>IF(J259="","",IFERROR(L259/J259,""))</f>
        <v/>
      </c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3">
        <f>SUM(N259:Z259)</f>
        <v/>
      </c>
      <c r="AB259" s="8" t="n"/>
    </row>
    <row r="260" ht="20" customHeight="1">
      <c r="A260" s="6" t="n"/>
      <c r="B260" s="7" t="n"/>
      <c r="C260" s="7" t="n"/>
      <c r="D260" s="7" t="n"/>
      <c r="E260" s="8" t="n"/>
      <c r="F260" s="9">
        <f>IF(E260="","",VALUE(LEFT(E260,FIND(" - ",E260)-1)))</f>
        <v/>
      </c>
      <c r="G260" s="10">
        <f>IF(E260="","",VLOOKUP(F260,Product_Master!A:D,2,FALSE)&amp;"")</f>
        <v/>
      </c>
      <c r="H260" s="9">
        <f>IF(E260="","",VLOOKUP(F260,Product_Master!A:D,3,FALSE)&amp;"")</f>
        <v/>
      </c>
      <c r="I260" s="10">
        <f>IF(E260="","",VLOOKUP(F260,Product_Master!A:D,4,FALSE)&amp;"")</f>
        <v/>
      </c>
      <c r="J260" s="11" t="n"/>
      <c r="K260" s="11" t="n"/>
      <c r="L260" s="11" t="n"/>
      <c r="M260" s="12">
        <f>IF(J260="","",IFERROR(L260/J260,""))</f>
        <v/>
      </c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3">
        <f>SUM(N260:Z260)</f>
        <v/>
      </c>
      <c r="AB260" s="8" t="n"/>
    </row>
    <row r="261" ht="20" customHeight="1">
      <c r="A261" s="6" t="n"/>
      <c r="B261" s="7" t="n"/>
      <c r="C261" s="7" t="n"/>
      <c r="D261" s="7" t="n"/>
      <c r="E261" s="8" t="n"/>
      <c r="F261" s="9">
        <f>IF(E261="","",VALUE(LEFT(E261,FIND(" - ",E261)-1)))</f>
        <v/>
      </c>
      <c r="G261" s="10">
        <f>IF(E261="","",VLOOKUP(F261,Product_Master!A:D,2,FALSE)&amp;"")</f>
        <v/>
      </c>
      <c r="H261" s="9">
        <f>IF(E261="","",VLOOKUP(F261,Product_Master!A:D,3,FALSE)&amp;"")</f>
        <v/>
      </c>
      <c r="I261" s="10">
        <f>IF(E261="","",VLOOKUP(F261,Product_Master!A:D,4,FALSE)&amp;"")</f>
        <v/>
      </c>
      <c r="J261" s="11" t="n"/>
      <c r="K261" s="11" t="n"/>
      <c r="L261" s="11" t="n"/>
      <c r="M261" s="12">
        <f>IF(J261="","",IFERROR(L261/J261,""))</f>
        <v/>
      </c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3">
        <f>SUM(N261:Z261)</f>
        <v/>
      </c>
      <c r="AB261" s="8" t="n"/>
    </row>
    <row r="262" ht="20" customHeight="1">
      <c r="A262" s="6" t="n"/>
      <c r="B262" s="7" t="n"/>
      <c r="C262" s="7" t="n"/>
      <c r="D262" s="7" t="n"/>
      <c r="E262" s="8" t="n"/>
      <c r="F262" s="9">
        <f>IF(E262="","",VALUE(LEFT(E262,FIND(" - ",E262)-1)))</f>
        <v/>
      </c>
      <c r="G262" s="10">
        <f>IF(E262="","",VLOOKUP(F262,Product_Master!A:D,2,FALSE)&amp;"")</f>
        <v/>
      </c>
      <c r="H262" s="9">
        <f>IF(E262="","",VLOOKUP(F262,Product_Master!A:D,3,FALSE)&amp;"")</f>
        <v/>
      </c>
      <c r="I262" s="10">
        <f>IF(E262="","",VLOOKUP(F262,Product_Master!A:D,4,FALSE)&amp;"")</f>
        <v/>
      </c>
      <c r="J262" s="11" t="n"/>
      <c r="K262" s="11" t="n"/>
      <c r="L262" s="11" t="n"/>
      <c r="M262" s="12">
        <f>IF(J262="","",IFERROR(L262/J262,""))</f>
        <v/>
      </c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3">
        <f>SUM(N262:Z262)</f>
        <v/>
      </c>
      <c r="AB262" s="8" t="n"/>
    </row>
    <row r="263" ht="20" customHeight="1">
      <c r="A263" s="6" t="n"/>
      <c r="B263" s="7" t="n"/>
      <c r="C263" s="7" t="n"/>
      <c r="D263" s="7" t="n"/>
      <c r="E263" s="8" t="n"/>
      <c r="F263" s="9">
        <f>IF(E263="","",VALUE(LEFT(E263,FIND(" - ",E263)-1)))</f>
        <v/>
      </c>
      <c r="G263" s="10">
        <f>IF(E263="","",VLOOKUP(F263,Product_Master!A:D,2,FALSE)&amp;"")</f>
        <v/>
      </c>
      <c r="H263" s="9">
        <f>IF(E263="","",VLOOKUP(F263,Product_Master!A:D,3,FALSE)&amp;"")</f>
        <v/>
      </c>
      <c r="I263" s="10">
        <f>IF(E263="","",VLOOKUP(F263,Product_Master!A:D,4,FALSE)&amp;"")</f>
        <v/>
      </c>
      <c r="J263" s="11" t="n"/>
      <c r="K263" s="11" t="n"/>
      <c r="L263" s="11" t="n"/>
      <c r="M263" s="12">
        <f>IF(J263="","",IFERROR(L263/J263,""))</f>
        <v/>
      </c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3">
        <f>SUM(N263:Z263)</f>
        <v/>
      </c>
      <c r="AB263" s="8" t="n"/>
    </row>
    <row r="264" ht="20" customHeight="1">
      <c r="A264" s="6" t="n"/>
      <c r="B264" s="7" t="n"/>
      <c r="C264" s="7" t="n"/>
      <c r="D264" s="7" t="n"/>
      <c r="E264" s="8" t="n"/>
      <c r="F264" s="9">
        <f>IF(E264="","",VALUE(LEFT(E264,FIND(" - ",E264)-1)))</f>
        <v/>
      </c>
      <c r="G264" s="10">
        <f>IF(E264="","",VLOOKUP(F264,Product_Master!A:D,2,FALSE)&amp;"")</f>
        <v/>
      </c>
      <c r="H264" s="9">
        <f>IF(E264="","",VLOOKUP(F264,Product_Master!A:D,3,FALSE)&amp;"")</f>
        <v/>
      </c>
      <c r="I264" s="10">
        <f>IF(E264="","",VLOOKUP(F264,Product_Master!A:D,4,FALSE)&amp;"")</f>
        <v/>
      </c>
      <c r="J264" s="11" t="n"/>
      <c r="K264" s="11" t="n"/>
      <c r="L264" s="11" t="n"/>
      <c r="M264" s="12">
        <f>IF(J264="","",IFERROR(L264/J264,""))</f>
        <v/>
      </c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3">
        <f>SUM(N264:Z264)</f>
        <v/>
      </c>
      <c r="AB264" s="8" t="n"/>
    </row>
    <row r="265" ht="20" customHeight="1">
      <c r="A265" s="6" t="n"/>
      <c r="B265" s="7" t="n"/>
      <c r="C265" s="7" t="n"/>
      <c r="D265" s="7" t="n"/>
      <c r="E265" s="8" t="n"/>
      <c r="F265" s="9">
        <f>IF(E265="","",VALUE(LEFT(E265,FIND(" - ",E265)-1)))</f>
        <v/>
      </c>
      <c r="G265" s="10">
        <f>IF(E265="","",VLOOKUP(F265,Product_Master!A:D,2,FALSE)&amp;"")</f>
        <v/>
      </c>
      <c r="H265" s="9">
        <f>IF(E265="","",VLOOKUP(F265,Product_Master!A:D,3,FALSE)&amp;"")</f>
        <v/>
      </c>
      <c r="I265" s="10">
        <f>IF(E265="","",VLOOKUP(F265,Product_Master!A:D,4,FALSE)&amp;"")</f>
        <v/>
      </c>
      <c r="J265" s="11" t="n"/>
      <c r="K265" s="11" t="n"/>
      <c r="L265" s="11" t="n"/>
      <c r="M265" s="12">
        <f>IF(J265="","",IFERROR(L265/J265,""))</f>
        <v/>
      </c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3">
        <f>SUM(N265:Z265)</f>
        <v/>
      </c>
      <c r="AB265" s="8" t="n"/>
    </row>
    <row r="266" ht="20" customHeight="1">
      <c r="A266" s="6" t="n"/>
      <c r="B266" s="7" t="n"/>
      <c r="C266" s="7" t="n"/>
      <c r="D266" s="7" t="n"/>
      <c r="E266" s="8" t="n"/>
      <c r="F266" s="9">
        <f>IF(E266="","",VALUE(LEFT(E266,FIND(" - ",E266)-1)))</f>
        <v/>
      </c>
      <c r="G266" s="10">
        <f>IF(E266="","",VLOOKUP(F266,Product_Master!A:D,2,FALSE)&amp;"")</f>
        <v/>
      </c>
      <c r="H266" s="9">
        <f>IF(E266="","",VLOOKUP(F266,Product_Master!A:D,3,FALSE)&amp;"")</f>
        <v/>
      </c>
      <c r="I266" s="10">
        <f>IF(E266="","",VLOOKUP(F266,Product_Master!A:D,4,FALSE)&amp;"")</f>
        <v/>
      </c>
      <c r="J266" s="11" t="n"/>
      <c r="K266" s="11" t="n"/>
      <c r="L266" s="11" t="n"/>
      <c r="M266" s="12">
        <f>IF(J266="","",IFERROR(L266/J266,""))</f>
        <v/>
      </c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3">
        <f>SUM(N266:Z266)</f>
        <v/>
      </c>
      <c r="AB266" s="8" t="n"/>
    </row>
    <row r="267" ht="20" customHeight="1">
      <c r="A267" s="6" t="n"/>
      <c r="B267" s="7" t="n"/>
      <c r="C267" s="7" t="n"/>
      <c r="D267" s="7" t="n"/>
      <c r="E267" s="8" t="n"/>
      <c r="F267" s="9">
        <f>IF(E267="","",VALUE(LEFT(E267,FIND(" - ",E267)-1)))</f>
        <v/>
      </c>
      <c r="G267" s="10">
        <f>IF(E267="","",VLOOKUP(F267,Product_Master!A:D,2,FALSE)&amp;"")</f>
        <v/>
      </c>
      <c r="H267" s="9">
        <f>IF(E267="","",VLOOKUP(F267,Product_Master!A:D,3,FALSE)&amp;"")</f>
        <v/>
      </c>
      <c r="I267" s="10">
        <f>IF(E267="","",VLOOKUP(F267,Product_Master!A:D,4,FALSE)&amp;"")</f>
        <v/>
      </c>
      <c r="J267" s="11" t="n"/>
      <c r="K267" s="11" t="n"/>
      <c r="L267" s="11" t="n"/>
      <c r="M267" s="12">
        <f>IF(J267="","",IFERROR(L267/J267,""))</f>
        <v/>
      </c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3">
        <f>SUM(N267:Z267)</f>
        <v/>
      </c>
      <c r="AB267" s="8" t="n"/>
    </row>
    <row r="268" ht="20" customHeight="1">
      <c r="A268" s="6" t="n"/>
      <c r="B268" s="7" t="n"/>
      <c r="C268" s="7" t="n"/>
      <c r="D268" s="7" t="n"/>
      <c r="E268" s="8" t="n"/>
      <c r="F268" s="9">
        <f>IF(E268="","",VALUE(LEFT(E268,FIND(" - ",E268)-1)))</f>
        <v/>
      </c>
      <c r="G268" s="10">
        <f>IF(E268="","",VLOOKUP(F268,Product_Master!A:D,2,FALSE)&amp;"")</f>
        <v/>
      </c>
      <c r="H268" s="9">
        <f>IF(E268="","",VLOOKUP(F268,Product_Master!A:D,3,FALSE)&amp;"")</f>
        <v/>
      </c>
      <c r="I268" s="10">
        <f>IF(E268="","",VLOOKUP(F268,Product_Master!A:D,4,FALSE)&amp;"")</f>
        <v/>
      </c>
      <c r="J268" s="11" t="n"/>
      <c r="K268" s="11" t="n"/>
      <c r="L268" s="11" t="n"/>
      <c r="M268" s="12">
        <f>IF(J268="","",IFERROR(L268/J268,""))</f>
        <v/>
      </c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3">
        <f>SUM(N268:Z268)</f>
        <v/>
      </c>
      <c r="AB268" s="8" t="n"/>
    </row>
    <row r="269" ht="20" customHeight="1">
      <c r="A269" s="6" t="n"/>
      <c r="B269" s="7" t="n"/>
      <c r="C269" s="7" t="n"/>
      <c r="D269" s="7" t="n"/>
      <c r="E269" s="8" t="n"/>
      <c r="F269" s="9">
        <f>IF(E269="","",VALUE(LEFT(E269,FIND(" - ",E269)-1)))</f>
        <v/>
      </c>
      <c r="G269" s="10">
        <f>IF(E269="","",VLOOKUP(F269,Product_Master!A:D,2,FALSE)&amp;"")</f>
        <v/>
      </c>
      <c r="H269" s="9">
        <f>IF(E269="","",VLOOKUP(F269,Product_Master!A:D,3,FALSE)&amp;"")</f>
        <v/>
      </c>
      <c r="I269" s="10">
        <f>IF(E269="","",VLOOKUP(F269,Product_Master!A:D,4,FALSE)&amp;"")</f>
        <v/>
      </c>
      <c r="J269" s="11" t="n"/>
      <c r="K269" s="11" t="n"/>
      <c r="L269" s="11" t="n"/>
      <c r="M269" s="12">
        <f>IF(J269="","",IFERROR(L269/J269,""))</f>
        <v/>
      </c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3">
        <f>SUM(N269:Z269)</f>
        <v/>
      </c>
      <c r="AB269" s="8" t="n"/>
    </row>
    <row r="270" ht="20" customHeight="1">
      <c r="A270" s="6" t="n"/>
      <c r="B270" s="7" t="n"/>
      <c r="C270" s="7" t="n"/>
      <c r="D270" s="7" t="n"/>
      <c r="E270" s="8" t="n"/>
      <c r="F270" s="9">
        <f>IF(E270="","",VALUE(LEFT(E270,FIND(" - ",E270)-1)))</f>
        <v/>
      </c>
      <c r="G270" s="10">
        <f>IF(E270="","",VLOOKUP(F270,Product_Master!A:D,2,FALSE)&amp;"")</f>
        <v/>
      </c>
      <c r="H270" s="9">
        <f>IF(E270="","",VLOOKUP(F270,Product_Master!A:D,3,FALSE)&amp;"")</f>
        <v/>
      </c>
      <c r="I270" s="10">
        <f>IF(E270="","",VLOOKUP(F270,Product_Master!A:D,4,FALSE)&amp;"")</f>
        <v/>
      </c>
      <c r="J270" s="11" t="n"/>
      <c r="K270" s="11" t="n"/>
      <c r="L270" s="11" t="n"/>
      <c r="M270" s="12">
        <f>IF(J270="","",IFERROR(L270/J270,""))</f>
        <v/>
      </c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3">
        <f>SUM(N270:Z270)</f>
        <v/>
      </c>
      <c r="AB270" s="8" t="n"/>
    </row>
    <row r="271" ht="20" customHeight="1">
      <c r="A271" s="6" t="n"/>
      <c r="B271" s="7" t="n"/>
      <c r="C271" s="7" t="n"/>
      <c r="D271" s="7" t="n"/>
      <c r="E271" s="8" t="n"/>
      <c r="F271" s="9">
        <f>IF(E271="","",VALUE(LEFT(E271,FIND(" - ",E271)-1)))</f>
        <v/>
      </c>
      <c r="G271" s="10">
        <f>IF(E271="","",VLOOKUP(F271,Product_Master!A:D,2,FALSE)&amp;"")</f>
        <v/>
      </c>
      <c r="H271" s="9">
        <f>IF(E271="","",VLOOKUP(F271,Product_Master!A:D,3,FALSE)&amp;"")</f>
        <v/>
      </c>
      <c r="I271" s="10">
        <f>IF(E271="","",VLOOKUP(F271,Product_Master!A:D,4,FALSE)&amp;"")</f>
        <v/>
      </c>
      <c r="J271" s="11" t="n"/>
      <c r="K271" s="11" t="n"/>
      <c r="L271" s="11" t="n"/>
      <c r="M271" s="12">
        <f>IF(J271="","",IFERROR(L271/J271,""))</f>
        <v/>
      </c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3">
        <f>SUM(N271:Z271)</f>
        <v/>
      </c>
      <c r="AB271" s="8" t="n"/>
    </row>
    <row r="272" ht="20" customHeight="1">
      <c r="A272" s="6" t="n"/>
      <c r="B272" s="7" t="n"/>
      <c r="C272" s="7" t="n"/>
      <c r="D272" s="7" t="n"/>
      <c r="E272" s="8" t="n"/>
      <c r="F272" s="9">
        <f>IF(E272="","",VALUE(LEFT(E272,FIND(" - ",E272)-1)))</f>
        <v/>
      </c>
      <c r="G272" s="10">
        <f>IF(E272="","",VLOOKUP(F272,Product_Master!A:D,2,FALSE)&amp;"")</f>
        <v/>
      </c>
      <c r="H272" s="9">
        <f>IF(E272="","",VLOOKUP(F272,Product_Master!A:D,3,FALSE)&amp;"")</f>
        <v/>
      </c>
      <c r="I272" s="10">
        <f>IF(E272="","",VLOOKUP(F272,Product_Master!A:D,4,FALSE)&amp;"")</f>
        <v/>
      </c>
      <c r="J272" s="11" t="n"/>
      <c r="K272" s="11" t="n"/>
      <c r="L272" s="11" t="n"/>
      <c r="M272" s="12">
        <f>IF(J272="","",IFERROR(L272/J272,""))</f>
        <v/>
      </c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3">
        <f>SUM(N272:Z272)</f>
        <v/>
      </c>
      <c r="AB272" s="8" t="n"/>
    </row>
    <row r="273" ht="20" customHeight="1">
      <c r="A273" s="6" t="n"/>
      <c r="B273" s="7" t="n"/>
      <c r="C273" s="7" t="n"/>
      <c r="D273" s="7" t="n"/>
      <c r="E273" s="8" t="n"/>
      <c r="F273" s="9">
        <f>IF(E273="","",VALUE(LEFT(E273,FIND(" - ",E273)-1)))</f>
        <v/>
      </c>
      <c r="G273" s="10">
        <f>IF(E273="","",VLOOKUP(F273,Product_Master!A:D,2,FALSE)&amp;"")</f>
        <v/>
      </c>
      <c r="H273" s="9">
        <f>IF(E273="","",VLOOKUP(F273,Product_Master!A:D,3,FALSE)&amp;"")</f>
        <v/>
      </c>
      <c r="I273" s="10">
        <f>IF(E273="","",VLOOKUP(F273,Product_Master!A:D,4,FALSE)&amp;"")</f>
        <v/>
      </c>
      <c r="J273" s="11" t="n"/>
      <c r="K273" s="11" t="n"/>
      <c r="L273" s="11" t="n"/>
      <c r="M273" s="12">
        <f>IF(J273="","",IFERROR(L273/J273,""))</f>
        <v/>
      </c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3">
        <f>SUM(N273:Z273)</f>
        <v/>
      </c>
      <c r="AB273" s="8" t="n"/>
    </row>
    <row r="274" ht="20" customHeight="1">
      <c r="A274" s="6" t="n"/>
      <c r="B274" s="7" t="n"/>
      <c r="C274" s="7" t="n"/>
      <c r="D274" s="7" t="n"/>
      <c r="E274" s="8" t="n"/>
      <c r="F274" s="9">
        <f>IF(E274="","",VALUE(LEFT(E274,FIND(" - ",E274)-1)))</f>
        <v/>
      </c>
      <c r="G274" s="10">
        <f>IF(E274="","",VLOOKUP(F274,Product_Master!A:D,2,FALSE)&amp;"")</f>
        <v/>
      </c>
      <c r="H274" s="9">
        <f>IF(E274="","",VLOOKUP(F274,Product_Master!A:D,3,FALSE)&amp;"")</f>
        <v/>
      </c>
      <c r="I274" s="10">
        <f>IF(E274="","",VLOOKUP(F274,Product_Master!A:D,4,FALSE)&amp;"")</f>
        <v/>
      </c>
      <c r="J274" s="11" t="n"/>
      <c r="K274" s="11" t="n"/>
      <c r="L274" s="11" t="n"/>
      <c r="M274" s="12">
        <f>IF(J274="","",IFERROR(L274/J274,""))</f>
        <v/>
      </c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3">
        <f>SUM(N274:Z274)</f>
        <v/>
      </c>
      <c r="AB274" s="8" t="n"/>
    </row>
    <row r="275" ht="20" customHeight="1">
      <c r="A275" s="6" t="n"/>
      <c r="B275" s="7" t="n"/>
      <c r="C275" s="7" t="n"/>
      <c r="D275" s="7" t="n"/>
      <c r="E275" s="8" t="n"/>
      <c r="F275" s="9">
        <f>IF(E275="","",VALUE(LEFT(E275,FIND(" - ",E275)-1)))</f>
        <v/>
      </c>
      <c r="G275" s="10">
        <f>IF(E275="","",VLOOKUP(F275,Product_Master!A:D,2,FALSE)&amp;"")</f>
        <v/>
      </c>
      <c r="H275" s="9">
        <f>IF(E275="","",VLOOKUP(F275,Product_Master!A:D,3,FALSE)&amp;"")</f>
        <v/>
      </c>
      <c r="I275" s="10">
        <f>IF(E275="","",VLOOKUP(F275,Product_Master!A:D,4,FALSE)&amp;"")</f>
        <v/>
      </c>
      <c r="J275" s="11" t="n"/>
      <c r="K275" s="11" t="n"/>
      <c r="L275" s="11" t="n"/>
      <c r="M275" s="12">
        <f>IF(J275="","",IFERROR(L275/J275,""))</f>
        <v/>
      </c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3">
        <f>SUM(N275:Z275)</f>
        <v/>
      </c>
      <c r="AB275" s="8" t="n"/>
    </row>
    <row r="276" ht="20" customHeight="1">
      <c r="A276" s="6" t="n"/>
      <c r="B276" s="7" t="n"/>
      <c r="C276" s="7" t="n"/>
      <c r="D276" s="7" t="n"/>
      <c r="E276" s="8" t="n"/>
      <c r="F276" s="9">
        <f>IF(E276="","",VALUE(LEFT(E276,FIND(" - ",E276)-1)))</f>
        <v/>
      </c>
      <c r="G276" s="10">
        <f>IF(E276="","",VLOOKUP(F276,Product_Master!A:D,2,FALSE)&amp;"")</f>
        <v/>
      </c>
      <c r="H276" s="9">
        <f>IF(E276="","",VLOOKUP(F276,Product_Master!A:D,3,FALSE)&amp;"")</f>
        <v/>
      </c>
      <c r="I276" s="10">
        <f>IF(E276="","",VLOOKUP(F276,Product_Master!A:D,4,FALSE)&amp;"")</f>
        <v/>
      </c>
      <c r="J276" s="11" t="n"/>
      <c r="K276" s="11" t="n"/>
      <c r="L276" s="11" t="n"/>
      <c r="M276" s="12">
        <f>IF(J276="","",IFERROR(L276/J276,""))</f>
        <v/>
      </c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3">
        <f>SUM(N276:Z276)</f>
        <v/>
      </c>
      <c r="AB276" s="8" t="n"/>
    </row>
    <row r="277" ht="20" customHeight="1">
      <c r="A277" s="6" t="n"/>
      <c r="B277" s="7" t="n"/>
      <c r="C277" s="7" t="n"/>
      <c r="D277" s="7" t="n"/>
      <c r="E277" s="8" t="n"/>
      <c r="F277" s="9">
        <f>IF(E277="","",VALUE(LEFT(E277,FIND(" - ",E277)-1)))</f>
        <v/>
      </c>
      <c r="G277" s="10">
        <f>IF(E277="","",VLOOKUP(F277,Product_Master!A:D,2,FALSE)&amp;"")</f>
        <v/>
      </c>
      <c r="H277" s="9">
        <f>IF(E277="","",VLOOKUP(F277,Product_Master!A:D,3,FALSE)&amp;"")</f>
        <v/>
      </c>
      <c r="I277" s="10">
        <f>IF(E277="","",VLOOKUP(F277,Product_Master!A:D,4,FALSE)&amp;"")</f>
        <v/>
      </c>
      <c r="J277" s="11" t="n"/>
      <c r="K277" s="11" t="n"/>
      <c r="L277" s="11" t="n"/>
      <c r="M277" s="12">
        <f>IF(J277="","",IFERROR(L277/J277,""))</f>
        <v/>
      </c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3">
        <f>SUM(N277:Z277)</f>
        <v/>
      </c>
      <c r="AB277" s="8" t="n"/>
    </row>
    <row r="278" ht="20" customHeight="1">
      <c r="A278" s="6" t="n"/>
      <c r="B278" s="7" t="n"/>
      <c r="C278" s="7" t="n"/>
      <c r="D278" s="7" t="n"/>
      <c r="E278" s="8" t="n"/>
      <c r="F278" s="9">
        <f>IF(E278="","",VALUE(LEFT(E278,FIND(" - ",E278)-1)))</f>
        <v/>
      </c>
      <c r="G278" s="10">
        <f>IF(E278="","",VLOOKUP(F278,Product_Master!A:D,2,FALSE)&amp;"")</f>
        <v/>
      </c>
      <c r="H278" s="9">
        <f>IF(E278="","",VLOOKUP(F278,Product_Master!A:D,3,FALSE)&amp;"")</f>
        <v/>
      </c>
      <c r="I278" s="10">
        <f>IF(E278="","",VLOOKUP(F278,Product_Master!A:D,4,FALSE)&amp;"")</f>
        <v/>
      </c>
      <c r="J278" s="11" t="n"/>
      <c r="K278" s="11" t="n"/>
      <c r="L278" s="11" t="n"/>
      <c r="M278" s="12">
        <f>IF(J278="","",IFERROR(L278/J278,""))</f>
        <v/>
      </c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3">
        <f>SUM(N278:Z278)</f>
        <v/>
      </c>
      <c r="AB278" s="8" t="n"/>
    </row>
    <row r="279" ht="20" customHeight="1">
      <c r="A279" s="6" t="n"/>
      <c r="B279" s="7" t="n"/>
      <c r="C279" s="7" t="n"/>
      <c r="D279" s="7" t="n"/>
      <c r="E279" s="8" t="n"/>
      <c r="F279" s="9">
        <f>IF(E279="","",VALUE(LEFT(E279,FIND(" - ",E279)-1)))</f>
        <v/>
      </c>
      <c r="G279" s="10">
        <f>IF(E279="","",VLOOKUP(F279,Product_Master!A:D,2,FALSE)&amp;"")</f>
        <v/>
      </c>
      <c r="H279" s="9">
        <f>IF(E279="","",VLOOKUP(F279,Product_Master!A:D,3,FALSE)&amp;"")</f>
        <v/>
      </c>
      <c r="I279" s="10">
        <f>IF(E279="","",VLOOKUP(F279,Product_Master!A:D,4,FALSE)&amp;"")</f>
        <v/>
      </c>
      <c r="J279" s="11" t="n"/>
      <c r="K279" s="11" t="n"/>
      <c r="L279" s="11" t="n"/>
      <c r="M279" s="12">
        <f>IF(J279="","",IFERROR(L279/J279,""))</f>
        <v/>
      </c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3">
        <f>SUM(N279:Z279)</f>
        <v/>
      </c>
      <c r="AB279" s="8" t="n"/>
    </row>
    <row r="280" ht="20" customHeight="1">
      <c r="A280" s="6" t="n"/>
      <c r="B280" s="7" t="n"/>
      <c r="C280" s="7" t="n"/>
      <c r="D280" s="7" t="n"/>
      <c r="E280" s="8" t="n"/>
      <c r="F280" s="9">
        <f>IF(E280="","",VALUE(LEFT(E280,FIND(" - ",E280)-1)))</f>
        <v/>
      </c>
      <c r="G280" s="10">
        <f>IF(E280="","",VLOOKUP(F280,Product_Master!A:D,2,FALSE)&amp;"")</f>
        <v/>
      </c>
      <c r="H280" s="9">
        <f>IF(E280="","",VLOOKUP(F280,Product_Master!A:D,3,FALSE)&amp;"")</f>
        <v/>
      </c>
      <c r="I280" s="10">
        <f>IF(E280="","",VLOOKUP(F280,Product_Master!A:D,4,FALSE)&amp;"")</f>
        <v/>
      </c>
      <c r="J280" s="11" t="n"/>
      <c r="K280" s="11" t="n"/>
      <c r="L280" s="11" t="n"/>
      <c r="M280" s="12">
        <f>IF(J280="","",IFERROR(L280/J280,""))</f>
        <v/>
      </c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3">
        <f>SUM(N280:Z280)</f>
        <v/>
      </c>
      <c r="AB280" s="8" t="n"/>
    </row>
    <row r="281" ht="20" customHeight="1">
      <c r="A281" s="6" t="n"/>
      <c r="B281" s="7" t="n"/>
      <c r="C281" s="7" t="n"/>
      <c r="D281" s="7" t="n"/>
      <c r="E281" s="8" t="n"/>
      <c r="F281" s="9">
        <f>IF(E281="","",VALUE(LEFT(E281,FIND(" - ",E281)-1)))</f>
        <v/>
      </c>
      <c r="G281" s="10">
        <f>IF(E281="","",VLOOKUP(F281,Product_Master!A:D,2,FALSE)&amp;"")</f>
        <v/>
      </c>
      <c r="H281" s="9">
        <f>IF(E281="","",VLOOKUP(F281,Product_Master!A:D,3,FALSE)&amp;"")</f>
        <v/>
      </c>
      <c r="I281" s="10">
        <f>IF(E281="","",VLOOKUP(F281,Product_Master!A:D,4,FALSE)&amp;"")</f>
        <v/>
      </c>
      <c r="J281" s="11" t="n"/>
      <c r="K281" s="11" t="n"/>
      <c r="L281" s="11" t="n"/>
      <c r="M281" s="12">
        <f>IF(J281="","",IFERROR(L281/J281,""))</f>
        <v/>
      </c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3">
        <f>SUM(N281:Z281)</f>
        <v/>
      </c>
      <c r="AB281" s="8" t="n"/>
    </row>
    <row r="282" ht="20" customHeight="1">
      <c r="A282" s="6" t="n"/>
      <c r="B282" s="7" t="n"/>
      <c r="C282" s="7" t="n"/>
      <c r="D282" s="7" t="n"/>
      <c r="E282" s="8" t="n"/>
      <c r="F282" s="9">
        <f>IF(E282="","",VALUE(LEFT(E282,FIND(" - ",E282)-1)))</f>
        <v/>
      </c>
      <c r="G282" s="10">
        <f>IF(E282="","",VLOOKUP(F282,Product_Master!A:D,2,FALSE)&amp;"")</f>
        <v/>
      </c>
      <c r="H282" s="9">
        <f>IF(E282="","",VLOOKUP(F282,Product_Master!A:D,3,FALSE)&amp;"")</f>
        <v/>
      </c>
      <c r="I282" s="10">
        <f>IF(E282="","",VLOOKUP(F282,Product_Master!A:D,4,FALSE)&amp;"")</f>
        <v/>
      </c>
      <c r="J282" s="11" t="n"/>
      <c r="K282" s="11" t="n"/>
      <c r="L282" s="11" t="n"/>
      <c r="M282" s="12">
        <f>IF(J282="","",IFERROR(L282/J282,""))</f>
        <v/>
      </c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3">
        <f>SUM(N282:Z282)</f>
        <v/>
      </c>
      <c r="AB282" s="8" t="n"/>
    </row>
    <row r="283" ht="20" customHeight="1">
      <c r="A283" s="6" t="n"/>
      <c r="B283" s="7" t="n"/>
      <c r="C283" s="7" t="n"/>
      <c r="D283" s="7" t="n"/>
      <c r="E283" s="8" t="n"/>
      <c r="F283" s="9">
        <f>IF(E283="","",VALUE(LEFT(E283,FIND(" - ",E283)-1)))</f>
        <v/>
      </c>
      <c r="G283" s="10">
        <f>IF(E283="","",VLOOKUP(F283,Product_Master!A:D,2,FALSE)&amp;"")</f>
        <v/>
      </c>
      <c r="H283" s="9">
        <f>IF(E283="","",VLOOKUP(F283,Product_Master!A:D,3,FALSE)&amp;"")</f>
        <v/>
      </c>
      <c r="I283" s="10">
        <f>IF(E283="","",VLOOKUP(F283,Product_Master!A:D,4,FALSE)&amp;"")</f>
        <v/>
      </c>
      <c r="J283" s="11" t="n"/>
      <c r="K283" s="11" t="n"/>
      <c r="L283" s="11" t="n"/>
      <c r="M283" s="12">
        <f>IF(J283="","",IFERROR(L283/J283,""))</f>
        <v/>
      </c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3">
        <f>SUM(N283:Z283)</f>
        <v/>
      </c>
      <c r="AB283" s="8" t="n"/>
    </row>
    <row r="284" ht="20" customHeight="1">
      <c r="A284" s="6" t="n"/>
      <c r="B284" s="7" t="n"/>
      <c r="C284" s="7" t="n"/>
      <c r="D284" s="7" t="n"/>
      <c r="E284" s="8" t="n"/>
      <c r="F284" s="9">
        <f>IF(E284="","",VALUE(LEFT(E284,FIND(" - ",E284)-1)))</f>
        <v/>
      </c>
      <c r="G284" s="10">
        <f>IF(E284="","",VLOOKUP(F284,Product_Master!A:D,2,FALSE)&amp;"")</f>
        <v/>
      </c>
      <c r="H284" s="9">
        <f>IF(E284="","",VLOOKUP(F284,Product_Master!A:D,3,FALSE)&amp;"")</f>
        <v/>
      </c>
      <c r="I284" s="10">
        <f>IF(E284="","",VLOOKUP(F284,Product_Master!A:D,4,FALSE)&amp;"")</f>
        <v/>
      </c>
      <c r="J284" s="11" t="n"/>
      <c r="K284" s="11" t="n"/>
      <c r="L284" s="11" t="n"/>
      <c r="M284" s="12">
        <f>IF(J284="","",IFERROR(L284/J284,""))</f>
        <v/>
      </c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3">
        <f>SUM(N284:Z284)</f>
        <v/>
      </c>
      <c r="AB284" s="8" t="n"/>
    </row>
    <row r="285" ht="20" customHeight="1">
      <c r="A285" s="6" t="n"/>
      <c r="B285" s="7" t="n"/>
      <c r="C285" s="7" t="n"/>
      <c r="D285" s="7" t="n"/>
      <c r="E285" s="8" t="n"/>
      <c r="F285" s="9">
        <f>IF(E285="","",VALUE(LEFT(E285,FIND(" - ",E285)-1)))</f>
        <v/>
      </c>
      <c r="G285" s="10">
        <f>IF(E285="","",VLOOKUP(F285,Product_Master!A:D,2,FALSE)&amp;"")</f>
        <v/>
      </c>
      <c r="H285" s="9">
        <f>IF(E285="","",VLOOKUP(F285,Product_Master!A:D,3,FALSE)&amp;"")</f>
        <v/>
      </c>
      <c r="I285" s="10">
        <f>IF(E285="","",VLOOKUP(F285,Product_Master!A:D,4,FALSE)&amp;"")</f>
        <v/>
      </c>
      <c r="J285" s="11" t="n"/>
      <c r="K285" s="11" t="n"/>
      <c r="L285" s="11" t="n"/>
      <c r="M285" s="12">
        <f>IF(J285="","",IFERROR(L285/J285,""))</f>
        <v/>
      </c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3">
        <f>SUM(N285:Z285)</f>
        <v/>
      </c>
      <c r="AB285" s="8" t="n"/>
    </row>
    <row r="286" ht="20" customHeight="1">
      <c r="A286" s="6" t="n"/>
      <c r="B286" s="7" t="n"/>
      <c r="C286" s="7" t="n"/>
      <c r="D286" s="7" t="n"/>
      <c r="E286" s="8" t="n"/>
      <c r="F286" s="9">
        <f>IF(E286="","",VALUE(LEFT(E286,FIND(" - ",E286)-1)))</f>
        <v/>
      </c>
      <c r="G286" s="10">
        <f>IF(E286="","",VLOOKUP(F286,Product_Master!A:D,2,FALSE)&amp;"")</f>
        <v/>
      </c>
      <c r="H286" s="9">
        <f>IF(E286="","",VLOOKUP(F286,Product_Master!A:D,3,FALSE)&amp;"")</f>
        <v/>
      </c>
      <c r="I286" s="10">
        <f>IF(E286="","",VLOOKUP(F286,Product_Master!A:D,4,FALSE)&amp;"")</f>
        <v/>
      </c>
      <c r="J286" s="11" t="n"/>
      <c r="K286" s="11" t="n"/>
      <c r="L286" s="11" t="n"/>
      <c r="M286" s="12">
        <f>IF(J286="","",IFERROR(L286/J286,""))</f>
        <v/>
      </c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3">
        <f>SUM(N286:Z286)</f>
        <v/>
      </c>
      <c r="AB286" s="8" t="n"/>
    </row>
    <row r="287" ht="20" customHeight="1">
      <c r="A287" s="6" t="n"/>
      <c r="B287" s="7" t="n"/>
      <c r="C287" s="7" t="n"/>
      <c r="D287" s="7" t="n"/>
      <c r="E287" s="8" t="n"/>
      <c r="F287" s="9">
        <f>IF(E287="","",VALUE(LEFT(E287,FIND(" - ",E287)-1)))</f>
        <v/>
      </c>
      <c r="G287" s="10">
        <f>IF(E287="","",VLOOKUP(F287,Product_Master!A:D,2,FALSE)&amp;"")</f>
        <v/>
      </c>
      <c r="H287" s="9">
        <f>IF(E287="","",VLOOKUP(F287,Product_Master!A:D,3,FALSE)&amp;"")</f>
        <v/>
      </c>
      <c r="I287" s="10">
        <f>IF(E287="","",VLOOKUP(F287,Product_Master!A:D,4,FALSE)&amp;"")</f>
        <v/>
      </c>
      <c r="J287" s="11" t="n"/>
      <c r="K287" s="11" t="n"/>
      <c r="L287" s="11" t="n"/>
      <c r="M287" s="12">
        <f>IF(J287="","",IFERROR(L287/J287,""))</f>
        <v/>
      </c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3">
        <f>SUM(N287:Z287)</f>
        <v/>
      </c>
      <c r="AB287" s="8" t="n"/>
    </row>
    <row r="288" ht="20" customHeight="1">
      <c r="A288" s="6" t="n"/>
      <c r="B288" s="7" t="n"/>
      <c r="C288" s="7" t="n"/>
      <c r="D288" s="7" t="n"/>
      <c r="E288" s="8" t="n"/>
      <c r="F288" s="9">
        <f>IF(E288="","",VALUE(LEFT(E288,FIND(" - ",E288)-1)))</f>
        <v/>
      </c>
      <c r="G288" s="10">
        <f>IF(E288="","",VLOOKUP(F288,Product_Master!A:D,2,FALSE)&amp;"")</f>
        <v/>
      </c>
      <c r="H288" s="9">
        <f>IF(E288="","",VLOOKUP(F288,Product_Master!A:D,3,FALSE)&amp;"")</f>
        <v/>
      </c>
      <c r="I288" s="10">
        <f>IF(E288="","",VLOOKUP(F288,Product_Master!A:D,4,FALSE)&amp;"")</f>
        <v/>
      </c>
      <c r="J288" s="11" t="n"/>
      <c r="K288" s="11" t="n"/>
      <c r="L288" s="11" t="n"/>
      <c r="M288" s="12">
        <f>IF(J288="","",IFERROR(L288/J288,""))</f>
        <v/>
      </c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3">
        <f>SUM(N288:Z288)</f>
        <v/>
      </c>
      <c r="AB288" s="8" t="n"/>
    </row>
    <row r="289" ht="20" customHeight="1">
      <c r="A289" s="6" t="n"/>
      <c r="B289" s="7" t="n"/>
      <c r="C289" s="7" t="n"/>
      <c r="D289" s="7" t="n"/>
      <c r="E289" s="8" t="n"/>
      <c r="F289" s="9">
        <f>IF(E289="","",VALUE(LEFT(E289,FIND(" - ",E289)-1)))</f>
        <v/>
      </c>
      <c r="G289" s="10">
        <f>IF(E289="","",VLOOKUP(F289,Product_Master!A:D,2,FALSE)&amp;"")</f>
        <v/>
      </c>
      <c r="H289" s="9">
        <f>IF(E289="","",VLOOKUP(F289,Product_Master!A:D,3,FALSE)&amp;"")</f>
        <v/>
      </c>
      <c r="I289" s="10">
        <f>IF(E289="","",VLOOKUP(F289,Product_Master!A:D,4,FALSE)&amp;"")</f>
        <v/>
      </c>
      <c r="J289" s="11" t="n"/>
      <c r="K289" s="11" t="n"/>
      <c r="L289" s="11" t="n"/>
      <c r="M289" s="12">
        <f>IF(J289="","",IFERROR(L289/J289,""))</f>
        <v/>
      </c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3">
        <f>SUM(N289:Z289)</f>
        <v/>
      </c>
      <c r="AB289" s="8" t="n"/>
    </row>
    <row r="290" ht="20" customHeight="1">
      <c r="A290" s="6" t="n"/>
      <c r="B290" s="7" t="n"/>
      <c r="C290" s="7" t="n"/>
      <c r="D290" s="7" t="n"/>
      <c r="E290" s="8" t="n"/>
      <c r="F290" s="9">
        <f>IF(E290="","",VALUE(LEFT(E290,FIND(" - ",E290)-1)))</f>
        <v/>
      </c>
      <c r="G290" s="10">
        <f>IF(E290="","",VLOOKUP(F290,Product_Master!A:D,2,FALSE)&amp;"")</f>
        <v/>
      </c>
      <c r="H290" s="9">
        <f>IF(E290="","",VLOOKUP(F290,Product_Master!A:D,3,FALSE)&amp;"")</f>
        <v/>
      </c>
      <c r="I290" s="10">
        <f>IF(E290="","",VLOOKUP(F290,Product_Master!A:D,4,FALSE)&amp;"")</f>
        <v/>
      </c>
      <c r="J290" s="11" t="n"/>
      <c r="K290" s="11" t="n"/>
      <c r="L290" s="11" t="n"/>
      <c r="M290" s="12">
        <f>IF(J290="","",IFERROR(L290/J290,""))</f>
        <v/>
      </c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3">
        <f>SUM(N290:Z290)</f>
        <v/>
      </c>
      <c r="AB290" s="8" t="n"/>
    </row>
    <row r="291" ht="20" customHeight="1">
      <c r="A291" s="6" t="n"/>
      <c r="B291" s="7" t="n"/>
      <c r="C291" s="7" t="n"/>
      <c r="D291" s="7" t="n"/>
      <c r="E291" s="8" t="n"/>
      <c r="F291" s="9">
        <f>IF(E291="","",VALUE(LEFT(E291,FIND(" - ",E291)-1)))</f>
        <v/>
      </c>
      <c r="G291" s="10">
        <f>IF(E291="","",VLOOKUP(F291,Product_Master!A:D,2,FALSE)&amp;"")</f>
        <v/>
      </c>
      <c r="H291" s="9">
        <f>IF(E291="","",VLOOKUP(F291,Product_Master!A:D,3,FALSE)&amp;"")</f>
        <v/>
      </c>
      <c r="I291" s="10">
        <f>IF(E291="","",VLOOKUP(F291,Product_Master!A:D,4,FALSE)&amp;"")</f>
        <v/>
      </c>
      <c r="J291" s="11" t="n"/>
      <c r="K291" s="11" t="n"/>
      <c r="L291" s="11" t="n"/>
      <c r="M291" s="12">
        <f>IF(J291="","",IFERROR(L291/J291,""))</f>
        <v/>
      </c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3">
        <f>SUM(N291:Z291)</f>
        <v/>
      </c>
      <c r="AB291" s="8" t="n"/>
    </row>
    <row r="292" ht="20" customHeight="1">
      <c r="A292" s="6" t="n"/>
      <c r="B292" s="7" t="n"/>
      <c r="C292" s="7" t="n"/>
      <c r="D292" s="7" t="n"/>
      <c r="E292" s="8" t="n"/>
      <c r="F292" s="9">
        <f>IF(E292="","",VALUE(LEFT(E292,FIND(" - ",E292)-1)))</f>
        <v/>
      </c>
      <c r="G292" s="10">
        <f>IF(E292="","",VLOOKUP(F292,Product_Master!A:D,2,FALSE)&amp;"")</f>
        <v/>
      </c>
      <c r="H292" s="9">
        <f>IF(E292="","",VLOOKUP(F292,Product_Master!A:D,3,FALSE)&amp;"")</f>
        <v/>
      </c>
      <c r="I292" s="10">
        <f>IF(E292="","",VLOOKUP(F292,Product_Master!A:D,4,FALSE)&amp;"")</f>
        <v/>
      </c>
      <c r="J292" s="11" t="n"/>
      <c r="K292" s="11" t="n"/>
      <c r="L292" s="11" t="n"/>
      <c r="M292" s="12">
        <f>IF(J292="","",IFERROR(L292/J292,""))</f>
        <v/>
      </c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3">
        <f>SUM(N292:Z292)</f>
        <v/>
      </c>
      <c r="AB292" s="8" t="n"/>
    </row>
    <row r="293" ht="20" customHeight="1">
      <c r="A293" s="6" t="n"/>
      <c r="B293" s="7" t="n"/>
      <c r="C293" s="7" t="n"/>
      <c r="D293" s="7" t="n"/>
      <c r="E293" s="8" t="n"/>
      <c r="F293" s="9">
        <f>IF(E293="","",VALUE(LEFT(E293,FIND(" - ",E293)-1)))</f>
        <v/>
      </c>
      <c r="G293" s="10">
        <f>IF(E293="","",VLOOKUP(F293,Product_Master!A:D,2,FALSE)&amp;"")</f>
        <v/>
      </c>
      <c r="H293" s="9">
        <f>IF(E293="","",VLOOKUP(F293,Product_Master!A:D,3,FALSE)&amp;"")</f>
        <v/>
      </c>
      <c r="I293" s="10">
        <f>IF(E293="","",VLOOKUP(F293,Product_Master!A:D,4,FALSE)&amp;"")</f>
        <v/>
      </c>
      <c r="J293" s="11" t="n"/>
      <c r="K293" s="11" t="n"/>
      <c r="L293" s="11" t="n"/>
      <c r="M293" s="12">
        <f>IF(J293="","",IFERROR(L293/J293,""))</f>
        <v/>
      </c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3">
        <f>SUM(N293:Z293)</f>
        <v/>
      </c>
      <c r="AB293" s="8" t="n"/>
    </row>
    <row r="294" ht="20" customHeight="1">
      <c r="A294" s="6" t="n"/>
      <c r="B294" s="7" t="n"/>
      <c r="C294" s="7" t="n"/>
      <c r="D294" s="7" t="n"/>
      <c r="E294" s="8" t="n"/>
      <c r="F294" s="9">
        <f>IF(E294="","",VALUE(LEFT(E294,FIND(" - ",E294)-1)))</f>
        <v/>
      </c>
      <c r="G294" s="10">
        <f>IF(E294="","",VLOOKUP(F294,Product_Master!A:D,2,FALSE)&amp;"")</f>
        <v/>
      </c>
      <c r="H294" s="9">
        <f>IF(E294="","",VLOOKUP(F294,Product_Master!A:D,3,FALSE)&amp;"")</f>
        <v/>
      </c>
      <c r="I294" s="10">
        <f>IF(E294="","",VLOOKUP(F294,Product_Master!A:D,4,FALSE)&amp;"")</f>
        <v/>
      </c>
      <c r="J294" s="11" t="n"/>
      <c r="K294" s="11" t="n"/>
      <c r="L294" s="11" t="n"/>
      <c r="M294" s="12">
        <f>IF(J294="","",IFERROR(L294/J294,""))</f>
        <v/>
      </c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3">
        <f>SUM(N294:Z294)</f>
        <v/>
      </c>
      <c r="AB294" s="8" t="n"/>
    </row>
    <row r="295" ht="20" customHeight="1">
      <c r="A295" s="6" t="n"/>
      <c r="B295" s="7" t="n"/>
      <c r="C295" s="7" t="n"/>
      <c r="D295" s="7" t="n"/>
      <c r="E295" s="8" t="n"/>
      <c r="F295" s="9">
        <f>IF(E295="","",VALUE(LEFT(E295,FIND(" - ",E295)-1)))</f>
        <v/>
      </c>
      <c r="G295" s="10">
        <f>IF(E295="","",VLOOKUP(F295,Product_Master!A:D,2,FALSE)&amp;"")</f>
        <v/>
      </c>
      <c r="H295" s="9">
        <f>IF(E295="","",VLOOKUP(F295,Product_Master!A:D,3,FALSE)&amp;"")</f>
        <v/>
      </c>
      <c r="I295" s="10">
        <f>IF(E295="","",VLOOKUP(F295,Product_Master!A:D,4,FALSE)&amp;"")</f>
        <v/>
      </c>
      <c r="J295" s="11" t="n"/>
      <c r="K295" s="11" t="n"/>
      <c r="L295" s="11" t="n"/>
      <c r="M295" s="12">
        <f>IF(J295="","",IFERROR(L295/J295,""))</f>
        <v/>
      </c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3">
        <f>SUM(N295:Z295)</f>
        <v/>
      </c>
      <c r="AB295" s="8" t="n"/>
    </row>
    <row r="296" ht="20" customHeight="1">
      <c r="A296" s="6" t="n"/>
      <c r="B296" s="7" t="n"/>
      <c r="C296" s="7" t="n"/>
      <c r="D296" s="7" t="n"/>
      <c r="E296" s="8" t="n"/>
      <c r="F296" s="9">
        <f>IF(E296="","",VALUE(LEFT(E296,FIND(" - ",E296)-1)))</f>
        <v/>
      </c>
      <c r="G296" s="10">
        <f>IF(E296="","",VLOOKUP(F296,Product_Master!A:D,2,FALSE)&amp;"")</f>
        <v/>
      </c>
      <c r="H296" s="9">
        <f>IF(E296="","",VLOOKUP(F296,Product_Master!A:D,3,FALSE)&amp;"")</f>
        <v/>
      </c>
      <c r="I296" s="10">
        <f>IF(E296="","",VLOOKUP(F296,Product_Master!A:D,4,FALSE)&amp;"")</f>
        <v/>
      </c>
      <c r="J296" s="11" t="n"/>
      <c r="K296" s="11" t="n"/>
      <c r="L296" s="11" t="n"/>
      <c r="M296" s="12">
        <f>IF(J296="","",IFERROR(L296/J296,""))</f>
        <v/>
      </c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3">
        <f>SUM(N296:Z296)</f>
        <v/>
      </c>
      <c r="AB296" s="8" t="n"/>
    </row>
    <row r="297" ht="20" customHeight="1">
      <c r="A297" s="6" t="n"/>
      <c r="B297" s="7" t="n"/>
      <c r="C297" s="7" t="n"/>
      <c r="D297" s="7" t="n"/>
      <c r="E297" s="8" t="n"/>
      <c r="F297" s="9">
        <f>IF(E297="","",VALUE(LEFT(E297,FIND(" - ",E297)-1)))</f>
        <v/>
      </c>
      <c r="G297" s="10">
        <f>IF(E297="","",VLOOKUP(F297,Product_Master!A:D,2,FALSE)&amp;"")</f>
        <v/>
      </c>
      <c r="H297" s="9">
        <f>IF(E297="","",VLOOKUP(F297,Product_Master!A:D,3,FALSE)&amp;"")</f>
        <v/>
      </c>
      <c r="I297" s="10">
        <f>IF(E297="","",VLOOKUP(F297,Product_Master!A:D,4,FALSE)&amp;"")</f>
        <v/>
      </c>
      <c r="J297" s="11" t="n"/>
      <c r="K297" s="11" t="n"/>
      <c r="L297" s="11" t="n"/>
      <c r="M297" s="12">
        <f>IF(J297="","",IFERROR(L297/J297,""))</f>
        <v/>
      </c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3">
        <f>SUM(N297:Z297)</f>
        <v/>
      </c>
      <c r="AB297" s="8" t="n"/>
    </row>
    <row r="298" ht="20" customHeight="1">
      <c r="A298" s="6" t="n"/>
      <c r="B298" s="7" t="n"/>
      <c r="C298" s="7" t="n"/>
      <c r="D298" s="7" t="n"/>
      <c r="E298" s="8" t="n"/>
      <c r="F298" s="9">
        <f>IF(E298="","",VALUE(LEFT(E298,FIND(" - ",E298)-1)))</f>
        <v/>
      </c>
      <c r="G298" s="10">
        <f>IF(E298="","",VLOOKUP(F298,Product_Master!A:D,2,FALSE)&amp;"")</f>
        <v/>
      </c>
      <c r="H298" s="9">
        <f>IF(E298="","",VLOOKUP(F298,Product_Master!A:D,3,FALSE)&amp;"")</f>
        <v/>
      </c>
      <c r="I298" s="10">
        <f>IF(E298="","",VLOOKUP(F298,Product_Master!A:D,4,FALSE)&amp;"")</f>
        <v/>
      </c>
      <c r="J298" s="11" t="n"/>
      <c r="K298" s="11" t="n"/>
      <c r="L298" s="11" t="n"/>
      <c r="M298" s="12">
        <f>IF(J298="","",IFERROR(L298/J298,""))</f>
        <v/>
      </c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3">
        <f>SUM(N298:Z298)</f>
        <v/>
      </c>
      <c r="AB298" s="8" t="n"/>
    </row>
    <row r="299" ht="20" customHeight="1">
      <c r="A299" s="6" t="n"/>
      <c r="B299" s="7" t="n"/>
      <c r="C299" s="7" t="n"/>
      <c r="D299" s="7" t="n"/>
      <c r="E299" s="8" t="n"/>
      <c r="F299" s="9">
        <f>IF(E299="","",VALUE(LEFT(E299,FIND(" - ",E299)-1)))</f>
        <v/>
      </c>
      <c r="G299" s="10">
        <f>IF(E299="","",VLOOKUP(F299,Product_Master!A:D,2,FALSE)&amp;"")</f>
        <v/>
      </c>
      <c r="H299" s="9">
        <f>IF(E299="","",VLOOKUP(F299,Product_Master!A:D,3,FALSE)&amp;"")</f>
        <v/>
      </c>
      <c r="I299" s="10">
        <f>IF(E299="","",VLOOKUP(F299,Product_Master!A:D,4,FALSE)&amp;"")</f>
        <v/>
      </c>
      <c r="J299" s="11" t="n"/>
      <c r="K299" s="11" t="n"/>
      <c r="L299" s="11" t="n"/>
      <c r="M299" s="12">
        <f>IF(J299="","",IFERROR(L299/J299,""))</f>
        <v/>
      </c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3">
        <f>SUM(N299:Z299)</f>
        <v/>
      </c>
      <c r="AB299" s="8" t="n"/>
    </row>
    <row r="300" ht="20" customHeight="1">
      <c r="A300" s="6" t="n"/>
      <c r="B300" s="7" t="n"/>
      <c r="C300" s="7" t="n"/>
      <c r="D300" s="7" t="n"/>
      <c r="E300" s="8" t="n"/>
      <c r="F300" s="9">
        <f>IF(E300="","",VALUE(LEFT(E300,FIND(" - ",E300)-1)))</f>
        <v/>
      </c>
      <c r="G300" s="10">
        <f>IF(E300="","",VLOOKUP(F300,Product_Master!A:D,2,FALSE)&amp;"")</f>
        <v/>
      </c>
      <c r="H300" s="9">
        <f>IF(E300="","",VLOOKUP(F300,Product_Master!A:D,3,FALSE)&amp;"")</f>
        <v/>
      </c>
      <c r="I300" s="10">
        <f>IF(E300="","",VLOOKUP(F300,Product_Master!A:D,4,FALSE)&amp;"")</f>
        <v/>
      </c>
      <c r="J300" s="11" t="n"/>
      <c r="K300" s="11" t="n"/>
      <c r="L300" s="11" t="n"/>
      <c r="M300" s="12">
        <f>IF(J300="","",IFERROR(L300/J300,""))</f>
        <v/>
      </c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3">
        <f>SUM(N300:Z300)</f>
        <v/>
      </c>
      <c r="AB300" s="8" t="n"/>
    </row>
    <row r="301" ht="20" customHeight="1">
      <c r="A301" s="6" t="n"/>
      <c r="B301" s="7" t="n"/>
      <c r="C301" s="7" t="n"/>
      <c r="D301" s="7" t="n"/>
      <c r="E301" s="8" t="n"/>
      <c r="F301" s="9">
        <f>IF(E301="","",VALUE(LEFT(E301,FIND(" - ",E301)-1)))</f>
        <v/>
      </c>
      <c r="G301" s="10">
        <f>IF(E301="","",VLOOKUP(F301,Product_Master!A:D,2,FALSE)&amp;"")</f>
        <v/>
      </c>
      <c r="H301" s="9">
        <f>IF(E301="","",VLOOKUP(F301,Product_Master!A:D,3,FALSE)&amp;"")</f>
        <v/>
      </c>
      <c r="I301" s="10">
        <f>IF(E301="","",VLOOKUP(F301,Product_Master!A:D,4,FALSE)&amp;"")</f>
        <v/>
      </c>
      <c r="J301" s="11" t="n"/>
      <c r="K301" s="11" t="n"/>
      <c r="L301" s="11" t="n"/>
      <c r="M301" s="12">
        <f>IF(J301="","",IFERROR(L301/J301,""))</f>
        <v/>
      </c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3">
        <f>SUM(N301:Z301)</f>
        <v/>
      </c>
      <c r="AB301" s="8" t="n"/>
    </row>
    <row r="302" ht="20" customHeight="1">
      <c r="A302" s="6" t="n"/>
      <c r="B302" s="7" t="n"/>
      <c r="C302" s="7" t="n"/>
      <c r="D302" s="7" t="n"/>
      <c r="E302" s="8" t="n"/>
      <c r="F302" s="9">
        <f>IF(E302="","",VALUE(LEFT(E302,FIND(" - ",E302)-1)))</f>
        <v/>
      </c>
      <c r="G302" s="10">
        <f>IF(E302="","",VLOOKUP(F302,Product_Master!A:D,2,FALSE)&amp;"")</f>
        <v/>
      </c>
      <c r="H302" s="9">
        <f>IF(E302="","",VLOOKUP(F302,Product_Master!A:D,3,FALSE)&amp;"")</f>
        <v/>
      </c>
      <c r="I302" s="10">
        <f>IF(E302="","",VLOOKUP(F302,Product_Master!A:D,4,FALSE)&amp;"")</f>
        <v/>
      </c>
      <c r="J302" s="11" t="n"/>
      <c r="K302" s="11" t="n"/>
      <c r="L302" s="11" t="n"/>
      <c r="M302" s="12">
        <f>IF(J302="","",IFERROR(L302/J302,""))</f>
        <v/>
      </c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3">
        <f>SUM(N302:Z302)</f>
        <v/>
      </c>
      <c r="AB302" s="8" t="n"/>
    </row>
    <row r="303" ht="20" customHeight="1">
      <c r="A303" s="6" t="n"/>
      <c r="B303" s="7" t="n"/>
      <c r="C303" s="7" t="n"/>
      <c r="D303" s="7" t="n"/>
      <c r="E303" s="8" t="n"/>
      <c r="F303" s="9">
        <f>IF(E303="","",VALUE(LEFT(E303,FIND(" - ",E303)-1)))</f>
        <v/>
      </c>
      <c r="G303" s="10">
        <f>IF(E303="","",VLOOKUP(F303,Product_Master!A:D,2,FALSE)&amp;"")</f>
        <v/>
      </c>
      <c r="H303" s="9">
        <f>IF(E303="","",VLOOKUP(F303,Product_Master!A:D,3,FALSE)&amp;"")</f>
        <v/>
      </c>
      <c r="I303" s="10">
        <f>IF(E303="","",VLOOKUP(F303,Product_Master!A:D,4,FALSE)&amp;"")</f>
        <v/>
      </c>
      <c r="J303" s="11" t="n"/>
      <c r="K303" s="11" t="n"/>
      <c r="L303" s="11" t="n"/>
      <c r="M303" s="12">
        <f>IF(J303="","",IFERROR(L303/J303,""))</f>
        <v/>
      </c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3">
        <f>SUM(N303:Z303)</f>
        <v/>
      </c>
      <c r="AB303" s="8" t="n"/>
    </row>
    <row r="304" ht="20" customHeight="1">
      <c r="A304" s="6" t="n"/>
      <c r="B304" s="7" t="n"/>
      <c r="C304" s="7" t="n"/>
      <c r="D304" s="7" t="n"/>
      <c r="E304" s="8" t="n"/>
      <c r="F304" s="9">
        <f>IF(E304="","",VALUE(LEFT(E304,FIND(" - ",E304)-1)))</f>
        <v/>
      </c>
      <c r="G304" s="10">
        <f>IF(E304="","",VLOOKUP(F304,Product_Master!A:D,2,FALSE)&amp;"")</f>
        <v/>
      </c>
      <c r="H304" s="9">
        <f>IF(E304="","",VLOOKUP(F304,Product_Master!A:D,3,FALSE)&amp;"")</f>
        <v/>
      </c>
      <c r="I304" s="10">
        <f>IF(E304="","",VLOOKUP(F304,Product_Master!A:D,4,FALSE)&amp;"")</f>
        <v/>
      </c>
      <c r="J304" s="11" t="n"/>
      <c r="K304" s="11" t="n"/>
      <c r="L304" s="11" t="n"/>
      <c r="M304" s="12">
        <f>IF(J304="","",IFERROR(L304/J304,""))</f>
        <v/>
      </c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3">
        <f>SUM(N304:Z304)</f>
        <v/>
      </c>
      <c r="AB304" s="8" t="n"/>
    </row>
    <row r="305" ht="20" customHeight="1">
      <c r="A305" s="6" t="n"/>
      <c r="B305" s="7" t="n"/>
      <c r="C305" s="7" t="n"/>
      <c r="D305" s="7" t="n"/>
      <c r="E305" s="8" t="n"/>
      <c r="F305" s="9">
        <f>IF(E305="","",VALUE(LEFT(E305,FIND(" - ",E305)-1)))</f>
        <v/>
      </c>
      <c r="G305" s="10">
        <f>IF(E305="","",VLOOKUP(F305,Product_Master!A:D,2,FALSE)&amp;"")</f>
        <v/>
      </c>
      <c r="H305" s="9">
        <f>IF(E305="","",VLOOKUP(F305,Product_Master!A:D,3,FALSE)&amp;"")</f>
        <v/>
      </c>
      <c r="I305" s="10">
        <f>IF(E305="","",VLOOKUP(F305,Product_Master!A:D,4,FALSE)&amp;"")</f>
        <v/>
      </c>
      <c r="J305" s="11" t="n"/>
      <c r="K305" s="11" t="n"/>
      <c r="L305" s="11" t="n"/>
      <c r="M305" s="12">
        <f>IF(J305="","",IFERROR(L305/J305,""))</f>
        <v/>
      </c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3">
        <f>SUM(N305:Z305)</f>
        <v/>
      </c>
      <c r="AB305" s="8" t="n"/>
    </row>
    <row r="306" ht="20" customHeight="1">
      <c r="A306" s="6" t="n"/>
      <c r="B306" s="7" t="n"/>
      <c r="C306" s="7" t="n"/>
      <c r="D306" s="7" t="n"/>
      <c r="E306" s="8" t="n"/>
      <c r="F306" s="9">
        <f>IF(E306="","",VALUE(LEFT(E306,FIND(" - ",E306)-1)))</f>
        <v/>
      </c>
      <c r="G306" s="10">
        <f>IF(E306="","",VLOOKUP(F306,Product_Master!A:D,2,FALSE)&amp;"")</f>
        <v/>
      </c>
      <c r="H306" s="9">
        <f>IF(E306="","",VLOOKUP(F306,Product_Master!A:D,3,FALSE)&amp;"")</f>
        <v/>
      </c>
      <c r="I306" s="10">
        <f>IF(E306="","",VLOOKUP(F306,Product_Master!A:D,4,FALSE)&amp;"")</f>
        <v/>
      </c>
      <c r="J306" s="11" t="n"/>
      <c r="K306" s="11" t="n"/>
      <c r="L306" s="11" t="n"/>
      <c r="M306" s="12">
        <f>IF(J306="","",IFERROR(L306/J306,""))</f>
        <v/>
      </c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3">
        <f>SUM(N306:Z306)</f>
        <v/>
      </c>
      <c r="AB306" s="8" t="n"/>
    </row>
    <row r="307" ht="20" customHeight="1">
      <c r="A307" s="6" t="n"/>
      <c r="B307" s="7" t="n"/>
      <c r="C307" s="7" t="n"/>
      <c r="D307" s="7" t="n"/>
      <c r="E307" s="8" t="n"/>
      <c r="F307" s="9">
        <f>IF(E307="","",VALUE(LEFT(E307,FIND(" - ",E307)-1)))</f>
        <v/>
      </c>
      <c r="G307" s="10">
        <f>IF(E307="","",VLOOKUP(F307,Product_Master!A:D,2,FALSE)&amp;"")</f>
        <v/>
      </c>
      <c r="H307" s="9">
        <f>IF(E307="","",VLOOKUP(F307,Product_Master!A:D,3,FALSE)&amp;"")</f>
        <v/>
      </c>
      <c r="I307" s="10">
        <f>IF(E307="","",VLOOKUP(F307,Product_Master!A:D,4,FALSE)&amp;"")</f>
        <v/>
      </c>
      <c r="J307" s="11" t="n"/>
      <c r="K307" s="11" t="n"/>
      <c r="L307" s="11" t="n"/>
      <c r="M307" s="12">
        <f>IF(J307="","",IFERROR(L307/J307,""))</f>
        <v/>
      </c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3">
        <f>SUM(N307:Z307)</f>
        <v/>
      </c>
      <c r="AB307" s="8" t="n"/>
    </row>
    <row r="308" ht="20" customHeight="1">
      <c r="A308" s="6" t="n"/>
      <c r="B308" s="7" t="n"/>
      <c r="C308" s="7" t="n"/>
      <c r="D308" s="7" t="n"/>
      <c r="E308" s="8" t="n"/>
      <c r="F308" s="9">
        <f>IF(E308="","",VALUE(LEFT(E308,FIND(" - ",E308)-1)))</f>
        <v/>
      </c>
      <c r="G308" s="10">
        <f>IF(E308="","",VLOOKUP(F308,Product_Master!A:D,2,FALSE)&amp;"")</f>
        <v/>
      </c>
      <c r="H308" s="9">
        <f>IF(E308="","",VLOOKUP(F308,Product_Master!A:D,3,FALSE)&amp;"")</f>
        <v/>
      </c>
      <c r="I308" s="10">
        <f>IF(E308="","",VLOOKUP(F308,Product_Master!A:D,4,FALSE)&amp;"")</f>
        <v/>
      </c>
      <c r="J308" s="11" t="n"/>
      <c r="K308" s="11" t="n"/>
      <c r="L308" s="11" t="n"/>
      <c r="M308" s="12">
        <f>IF(J308="","",IFERROR(L308/J308,""))</f>
        <v/>
      </c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3">
        <f>SUM(N308:Z308)</f>
        <v/>
      </c>
      <c r="AB308" s="8" t="n"/>
    </row>
    <row r="309" ht="20" customHeight="1">
      <c r="A309" s="6" t="n"/>
      <c r="B309" s="7" t="n"/>
      <c r="C309" s="7" t="n"/>
      <c r="D309" s="7" t="n"/>
      <c r="E309" s="8" t="n"/>
      <c r="F309" s="9">
        <f>IF(E309="","",VALUE(LEFT(E309,FIND(" - ",E309)-1)))</f>
        <v/>
      </c>
      <c r="G309" s="10">
        <f>IF(E309="","",VLOOKUP(F309,Product_Master!A:D,2,FALSE)&amp;"")</f>
        <v/>
      </c>
      <c r="H309" s="9">
        <f>IF(E309="","",VLOOKUP(F309,Product_Master!A:D,3,FALSE)&amp;"")</f>
        <v/>
      </c>
      <c r="I309" s="10">
        <f>IF(E309="","",VLOOKUP(F309,Product_Master!A:D,4,FALSE)&amp;"")</f>
        <v/>
      </c>
      <c r="J309" s="11" t="n"/>
      <c r="K309" s="11" t="n"/>
      <c r="L309" s="11" t="n"/>
      <c r="M309" s="12">
        <f>IF(J309="","",IFERROR(L309/J309,""))</f>
        <v/>
      </c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3">
        <f>SUM(N309:Z309)</f>
        <v/>
      </c>
      <c r="AB309" s="8" t="n"/>
    </row>
    <row r="310" ht="20" customHeight="1">
      <c r="A310" s="6" t="n"/>
      <c r="B310" s="7" t="n"/>
      <c r="C310" s="7" t="n"/>
      <c r="D310" s="7" t="n"/>
      <c r="E310" s="8" t="n"/>
      <c r="F310" s="9">
        <f>IF(E310="","",VALUE(LEFT(E310,FIND(" - ",E310)-1)))</f>
        <v/>
      </c>
      <c r="G310" s="10">
        <f>IF(E310="","",VLOOKUP(F310,Product_Master!A:D,2,FALSE)&amp;"")</f>
        <v/>
      </c>
      <c r="H310" s="9">
        <f>IF(E310="","",VLOOKUP(F310,Product_Master!A:D,3,FALSE)&amp;"")</f>
        <v/>
      </c>
      <c r="I310" s="10">
        <f>IF(E310="","",VLOOKUP(F310,Product_Master!A:D,4,FALSE)&amp;"")</f>
        <v/>
      </c>
      <c r="J310" s="11" t="n"/>
      <c r="K310" s="11" t="n"/>
      <c r="L310" s="11" t="n"/>
      <c r="M310" s="12">
        <f>IF(J310="","",IFERROR(L310/J310,""))</f>
        <v/>
      </c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3">
        <f>SUM(N310:Z310)</f>
        <v/>
      </c>
      <c r="AB310" s="8" t="n"/>
    </row>
    <row r="311" ht="20" customHeight="1">
      <c r="A311" s="6" t="n"/>
      <c r="B311" s="7" t="n"/>
      <c r="C311" s="7" t="n"/>
      <c r="D311" s="7" t="n"/>
      <c r="E311" s="8" t="n"/>
      <c r="F311" s="9">
        <f>IF(E311="","",VALUE(LEFT(E311,FIND(" - ",E311)-1)))</f>
        <v/>
      </c>
      <c r="G311" s="10">
        <f>IF(E311="","",VLOOKUP(F311,Product_Master!A:D,2,FALSE)&amp;"")</f>
        <v/>
      </c>
      <c r="H311" s="9">
        <f>IF(E311="","",VLOOKUP(F311,Product_Master!A:D,3,FALSE)&amp;"")</f>
        <v/>
      </c>
      <c r="I311" s="10">
        <f>IF(E311="","",VLOOKUP(F311,Product_Master!A:D,4,FALSE)&amp;"")</f>
        <v/>
      </c>
      <c r="J311" s="11" t="n"/>
      <c r="K311" s="11" t="n"/>
      <c r="L311" s="11" t="n"/>
      <c r="M311" s="12">
        <f>IF(J311="","",IFERROR(L311/J311,""))</f>
        <v/>
      </c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3">
        <f>SUM(N311:Z311)</f>
        <v/>
      </c>
      <c r="AB311" s="8" t="n"/>
    </row>
    <row r="312" ht="20" customHeight="1">
      <c r="A312" s="6" t="n"/>
      <c r="B312" s="7" t="n"/>
      <c r="C312" s="7" t="n"/>
      <c r="D312" s="7" t="n"/>
      <c r="E312" s="8" t="n"/>
      <c r="F312" s="9">
        <f>IF(E312="","",VALUE(LEFT(E312,FIND(" - ",E312)-1)))</f>
        <v/>
      </c>
      <c r="G312" s="10">
        <f>IF(E312="","",VLOOKUP(F312,Product_Master!A:D,2,FALSE)&amp;"")</f>
        <v/>
      </c>
      <c r="H312" s="9">
        <f>IF(E312="","",VLOOKUP(F312,Product_Master!A:D,3,FALSE)&amp;"")</f>
        <v/>
      </c>
      <c r="I312" s="10">
        <f>IF(E312="","",VLOOKUP(F312,Product_Master!A:D,4,FALSE)&amp;"")</f>
        <v/>
      </c>
      <c r="J312" s="11" t="n"/>
      <c r="K312" s="11" t="n"/>
      <c r="L312" s="11" t="n"/>
      <c r="M312" s="12">
        <f>IF(J312="","",IFERROR(L312/J312,""))</f>
        <v/>
      </c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3">
        <f>SUM(N312:Z312)</f>
        <v/>
      </c>
      <c r="AB312" s="8" t="n"/>
    </row>
    <row r="313" ht="20" customHeight="1">
      <c r="A313" s="6" t="n"/>
      <c r="B313" s="7" t="n"/>
      <c r="C313" s="7" t="n"/>
      <c r="D313" s="7" t="n"/>
      <c r="E313" s="8" t="n"/>
      <c r="F313" s="9">
        <f>IF(E313="","",VALUE(LEFT(E313,FIND(" - ",E313)-1)))</f>
        <v/>
      </c>
      <c r="G313" s="10">
        <f>IF(E313="","",VLOOKUP(F313,Product_Master!A:D,2,FALSE)&amp;"")</f>
        <v/>
      </c>
      <c r="H313" s="9">
        <f>IF(E313="","",VLOOKUP(F313,Product_Master!A:D,3,FALSE)&amp;"")</f>
        <v/>
      </c>
      <c r="I313" s="10">
        <f>IF(E313="","",VLOOKUP(F313,Product_Master!A:D,4,FALSE)&amp;"")</f>
        <v/>
      </c>
      <c r="J313" s="11" t="n"/>
      <c r="K313" s="11" t="n"/>
      <c r="L313" s="11" t="n"/>
      <c r="M313" s="12">
        <f>IF(J313="","",IFERROR(L313/J313,""))</f>
        <v/>
      </c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3">
        <f>SUM(N313:Z313)</f>
        <v/>
      </c>
      <c r="AB313" s="8" t="n"/>
    </row>
    <row r="314" ht="20" customHeight="1">
      <c r="A314" s="6" t="n"/>
      <c r="B314" s="7" t="n"/>
      <c r="C314" s="7" t="n"/>
      <c r="D314" s="7" t="n"/>
      <c r="E314" s="8" t="n"/>
      <c r="F314" s="9">
        <f>IF(E314="","",VALUE(LEFT(E314,FIND(" - ",E314)-1)))</f>
        <v/>
      </c>
      <c r="G314" s="10">
        <f>IF(E314="","",VLOOKUP(F314,Product_Master!A:D,2,FALSE)&amp;"")</f>
        <v/>
      </c>
      <c r="H314" s="9">
        <f>IF(E314="","",VLOOKUP(F314,Product_Master!A:D,3,FALSE)&amp;"")</f>
        <v/>
      </c>
      <c r="I314" s="10">
        <f>IF(E314="","",VLOOKUP(F314,Product_Master!A:D,4,FALSE)&amp;"")</f>
        <v/>
      </c>
      <c r="J314" s="11" t="n"/>
      <c r="K314" s="11" t="n"/>
      <c r="L314" s="11" t="n"/>
      <c r="M314" s="12">
        <f>IF(J314="","",IFERROR(L314/J314,""))</f>
        <v/>
      </c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3">
        <f>SUM(N314:Z314)</f>
        <v/>
      </c>
      <c r="AB314" s="8" t="n"/>
    </row>
    <row r="315" ht="20" customHeight="1">
      <c r="A315" s="6" t="n"/>
      <c r="B315" s="7" t="n"/>
      <c r="C315" s="7" t="n"/>
      <c r="D315" s="7" t="n"/>
      <c r="E315" s="8" t="n"/>
      <c r="F315" s="9">
        <f>IF(E315="","",VALUE(LEFT(E315,FIND(" - ",E315)-1)))</f>
        <v/>
      </c>
      <c r="G315" s="10">
        <f>IF(E315="","",VLOOKUP(F315,Product_Master!A:D,2,FALSE)&amp;"")</f>
        <v/>
      </c>
      <c r="H315" s="9">
        <f>IF(E315="","",VLOOKUP(F315,Product_Master!A:D,3,FALSE)&amp;"")</f>
        <v/>
      </c>
      <c r="I315" s="10">
        <f>IF(E315="","",VLOOKUP(F315,Product_Master!A:D,4,FALSE)&amp;"")</f>
        <v/>
      </c>
      <c r="J315" s="11" t="n"/>
      <c r="K315" s="11" t="n"/>
      <c r="L315" s="11" t="n"/>
      <c r="M315" s="12">
        <f>IF(J315="","",IFERROR(L315/J315,""))</f>
        <v/>
      </c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3">
        <f>SUM(N315:Z315)</f>
        <v/>
      </c>
      <c r="AB315" s="8" t="n"/>
    </row>
    <row r="316" ht="20" customHeight="1">
      <c r="A316" s="6" t="n"/>
      <c r="B316" s="7" t="n"/>
      <c r="C316" s="7" t="n"/>
      <c r="D316" s="7" t="n"/>
      <c r="E316" s="8" t="n"/>
      <c r="F316" s="9">
        <f>IF(E316="","",VALUE(LEFT(E316,FIND(" - ",E316)-1)))</f>
        <v/>
      </c>
      <c r="G316" s="10">
        <f>IF(E316="","",VLOOKUP(F316,Product_Master!A:D,2,FALSE)&amp;"")</f>
        <v/>
      </c>
      <c r="H316" s="9">
        <f>IF(E316="","",VLOOKUP(F316,Product_Master!A:D,3,FALSE)&amp;"")</f>
        <v/>
      </c>
      <c r="I316" s="10">
        <f>IF(E316="","",VLOOKUP(F316,Product_Master!A:D,4,FALSE)&amp;"")</f>
        <v/>
      </c>
      <c r="J316" s="11" t="n"/>
      <c r="K316" s="11" t="n"/>
      <c r="L316" s="11" t="n"/>
      <c r="M316" s="12">
        <f>IF(J316="","",IFERROR(L316/J316,""))</f>
        <v/>
      </c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3">
        <f>SUM(N316:Z316)</f>
        <v/>
      </c>
      <c r="AB316" s="8" t="n"/>
    </row>
    <row r="317" ht="20" customHeight="1">
      <c r="A317" s="6" t="n"/>
      <c r="B317" s="7" t="n"/>
      <c r="C317" s="7" t="n"/>
      <c r="D317" s="7" t="n"/>
      <c r="E317" s="8" t="n"/>
      <c r="F317" s="9">
        <f>IF(E317="","",VALUE(LEFT(E317,FIND(" - ",E317)-1)))</f>
        <v/>
      </c>
      <c r="G317" s="10">
        <f>IF(E317="","",VLOOKUP(F317,Product_Master!A:D,2,FALSE)&amp;"")</f>
        <v/>
      </c>
      <c r="H317" s="9">
        <f>IF(E317="","",VLOOKUP(F317,Product_Master!A:D,3,FALSE)&amp;"")</f>
        <v/>
      </c>
      <c r="I317" s="10">
        <f>IF(E317="","",VLOOKUP(F317,Product_Master!A:D,4,FALSE)&amp;"")</f>
        <v/>
      </c>
      <c r="J317" s="11" t="n"/>
      <c r="K317" s="11" t="n"/>
      <c r="L317" s="11" t="n"/>
      <c r="M317" s="12">
        <f>IF(J317="","",IFERROR(L317/J317,""))</f>
        <v/>
      </c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3">
        <f>SUM(N317:Z317)</f>
        <v/>
      </c>
      <c r="AB317" s="8" t="n"/>
    </row>
    <row r="318" ht="20" customHeight="1">
      <c r="A318" s="6" t="n"/>
      <c r="B318" s="7" t="n"/>
      <c r="C318" s="7" t="n"/>
      <c r="D318" s="7" t="n"/>
      <c r="E318" s="8" t="n"/>
      <c r="F318" s="9">
        <f>IF(E318="","",VALUE(LEFT(E318,FIND(" - ",E318)-1)))</f>
        <v/>
      </c>
      <c r="G318" s="10">
        <f>IF(E318="","",VLOOKUP(F318,Product_Master!A:D,2,FALSE)&amp;"")</f>
        <v/>
      </c>
      <c r="H318" s="9">
        <f>IF(E318="","",VLOOKUP(F318,Product_Master!A:D,3,FALSE)&amp;"")</f>
        <v/>
      </c>
      <c r="I318" s="10">
        <f>IF(E318="","",VLOOKUP(F318,Product_Master!A:D,4,FALSE)&amp;"")</f>
        <v/>
      </c>
      <c r="J318" s="11" t="n"/>
      <c r="K318" s="11" t="n"/>
      <c r="L318" s="11" t="n"/>
      <c r="M318" s="12">
        <f>IF(J318="","",IFERROR(L318/J318,""))</f>
        <v/>
      </c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3">
        <f>SUM(N318:Z318)</f>
        <v/>
      </c>
      <c r="AB318" s="8" t="n"/>
    </row>
    <row r="319" ht="20" customHeight="1">
      <c r="A319" s="6" t="n"/>
      <c r="B319" s="7" t="n"/>
      <c r="C319" s="7" t="n"/>
      <c r="D319" s="7" t="n"/>
      <c r="E319" s="8" t="n"/>
      <c r="F319" s="9">
        <f>IF(E319="","",VALUE(LEFT(E319,FIND(" - ",E319)-1)))</f>
        <v/>
      </c>
      <c r="G319" s="10">
        <f>IF(E319="","",VLOOKUP(F319,Product_Master!A:D,2,FALSE)&amp;"")</f>
        <v/>
      </c>
      <c r="H319" s="9">
        <f>IF(E319="","",VLOOKUP(F319,Product_Master!A:D,3,FALSE)&amp;"")</f>
        <v/>
      </c>
      <c r="I319" s="10">
        <f>IF(E319="","",VLOOKUP(F319,Product_Master!A:D,4,FALSE)&amp;"")</f>
        <v/>
      </c>
      <c r="J319" s="11" t="n"/>
      <c r="K319" s="11" t="n"/>
      <c r="L319" s="11" t="n"/>
      <c r="M319" s="12">
        <f>IF(J319="","",IFERROR(L319/J319,""))</f>
        <v/>
      </c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3">
        <f>SUM(N319:Z319)</f>
        <v/>
      </c>
      <c r="AB319" s="8" t="n"/>
    </row>
    <row r="320" ht="20" customHeight="1">
      <c r="A320" s="6" t="n"/>
      <c r="B320" s="7" t="n"/>
      <c r="C320" s="7" t="n"/>
      <c r="D320" s="7" t="n"/>
      <c r="E320" s="8" t="n"/>
      <c r="F320" s="9">
        <f>IF(E320="","",VALUE(LEFT(E320,FIND(" - ",E320)-1)))</f>
        <v/>
      </c>
      <c r="G320" s="10">
        <f>IF(E320="","",VLOOKUP(F320,Product_Master!A:D,2,FALSE)&amp;"")</f>
        <v/>
      </c>
      <c r="H320" s="9">
        <f>IF(E320="","",VLOOKUP(F320,Product_Master!A:D,3,FALSE)&amp;"")</f>
        <v/>
      </c>
      <c r="I320" s="10">
        <f>IF(E320="","",VLOOKUP(F320,Product_Master!A:D,4,FALSE)&amp;"")</f>
        <v/>
      </c>
      <c r="J320" s="11" t="n"/>
      <c r="K320" s="11" t="n"/>
      <c r="L320" s="11" t="n"/>
      <c r="M320" s="12">
        <f>IF(J320="","",IFERROR(L320/J320,""))</f>
        <v/>
      </c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3">
        <f>SUM(N320:Z320)</f>
        <v/>
      </c>
      <c r="AB320" s="8" t="n"/>
    </row>
    <row r="321" ht="20" customHeight="1">
      <c r="A321" s="6" t="n"/>
      <c r="B321" s="7" t="n"/>
      <c r="C321" s="7" t="n"/>
      <c r="D321" s="7" t="n"/>
      <c r="E321" s="8" t="n"/>
      <c r="F321" s="9">
        <f>IF(E321="","",VALUE(LEFT(E321,FIND(" - ",E321)-1)))</f>
        <v/>
      </c>
      <c r="G321" s="10">
        <f>IF(E321="","",VLOOKUP(F321,Product_Master!A:D,2,FALSE)&amp;"")</f>
        <v/>
      </c>
      <c r="H321" s="9">
        <f>IF(E321="","",VLOOKUP(F321,Product_Master!A:D,3,FALSE)&amp;"")</f>
        <v/>
      </c>
      <c r="I321" s="10">
        <f>IF(E321="","",VLOOKUP(F321,Product_Master!A:D,4,FALSE)&amp;"")</f>
        <v/>
      </c>
      <c r="J321" s="11" t="n"/>
      <c r="K321" s="11" t="n"/>
      <c r="L321" s="11" t="n"/>
      <c r="M321" s="12">
        <f>IF(J321="","",IFERROR(L321/J321,""))</f>
        <v/>
      </c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3">
        <f>SUM(N321:Z321)</f>
        <v/>
      </c>
      <c r="AB321" s="8" t="n"/>
    </row>
    <row r="322" ht="20" customHeight="1">
      <c r="A322" s="6" t="n"/>
      <c r="B322" s="7" t="n"/>
      <c r="C322" s="7" t="n"/>
      <c r="D322" s="7" t="n"/>
      <c r="E322" s="8" t="n"/>
      <c r="F322" s="9">
        <f>IF(E322="","",VALUE(LEFT(E322,FIND(" - ",E322)-1)))</f>
        <v/>
      </c>
      <c r="G322" s="10">
        <f>IF(E322="","",VLOOKUP(F322,Product_Master!A:D,2,FALSE)&amp;"")</f>
        <v/>
      </c>
      <c r="H322" s="9">
        <f>IF(E322="","",VLOOKUP(F322,Product_Master!A:D,3,FALSE)&amp;"")</f>
        <v/>
      </c>
      <c r="I322" s="10">
        <f>IF(E322="","",VLOOKUP(F322,Product_Master!A:D,4,FALSE)&amp;"")</f>
        <v/>
      </c>
      <c r="J322" s="11" t="n"/>
      <c r="K322" s="11" t="n"/>
      <c r="L322" s="11" t="n"/>
      <c r="M322" s="12">
        <f>IF(J322="","",IFERROR(L322/J322,""))</f>
        <v/>
      </c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3">
        <f>SUM(N322:Z322)</f>
        <v/>
      </c>
      <c r="AB322" s="8" t="n"/>
    </row>
    <row r="323" ht="20" customHeight="1">
      <c r="A323" s="6" t="n"/>
      <c r="B323" s="7" t="n"/>
      <c r="C323" s="7" t="n"/>
      <c r="D323" s="7" t="n"/>
      <c r="E323" s="8" t="n"/>
      <c r="F323" s="9">
        <f>IF(E323="","",VALUE(LEFT(E323,FIND(" - ",E323)-1)))</f>
        <v/>
      </c>
      <c r="G323" s="10">
        <f>IF(E323="","",VLOOKUP(F323,Product_Master!A:D,2,FALSE)&amp;"")</f>
        <v/>
      </c>
      <c r="H323" s="9">
        <f>IF(E323="","",VLOOKUP(F323,Product_Master!A:D,3,FALSE)&amp;"")</f>
        <v/>
      </c>
      <c r="I323" s="10">
        <f>IF(E323="","",VLOOKUP(F323,Product_Master!A:D,4,FALSE)&amp;"")</f>
        <v/>
      </c>
      <c r="J323" s="11" t="n"/>
      <c r="K323" s="11" t="n"/>
      <c r="L323" s="11" t="n"/>
      <c r="M323" s="12">
        <f>IF(J323="","",IFERROR(L323/J323,""))</f>
        <v/>
      </c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3">
        <f>SUM(N323:Z323)</f>
        <v/>
      </c>
      <c r="AB323" s="8" t="n"/>
    </row>
    <row r="324" ht="20" customHeight="1">
      <c r="A324" s="6" t="n"/>
      <c r="B324" s="7" t="n"/>
      <c r="C324" s="7" t="n"/>
      <c r="D324" s="7" t="n"/>
      <c r="E324" s="8" t="n"/>
      <c r="F324" s="9">
        <f>IF(E324="","",VALUE(LEFT(E324,FIND(" - ",E324)-1)))</f>
        <v/>
      </c>
      <c r="G324" s="10">
        <f>IF(E324="","",VLOOKUP(F324,Product_Master!A:D,2,FALSE)&amp;"")</f>
        <v/>
      </c>
      <c r="H324" s="9">
        <f>IF(E324="","",VLOOKUP(F324,Product_Master!A:D,3,FALSE)&amp;"")</f>
        <v/>
      </c>
      <c r="I324" s="10">
        <f>IF(E324="","",VLOOKUP(F324,Product_Master!A:D,4,FALSE)&amp;"")</f>
        <v/>
      </c>
      <c r="J324" s="11" t="n"/>
      <c r="K324" s="11" t="n"/>
      <c r="L324" s="11" t="n"/>
      <c r="M324" s="12">
        <f>IF(J324="","",IFERROR(L324/J324,""))</f>
        <v/>
      </c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3">
        <f>SUM(N324:Z324)</f>
        <v/>
      </c>
      <c r="AB324" s="8" t="n"/>
    </row>
    <row r="325" ht="20" customHeight="1">
      <c r="A325" s="6" t="n"/>
      <c r="B325" s="7" t="n"/>
      <c r="C325" s="7" t="n"/>
      <c r="D325" s="7" t="n"/>
      <c r="E325" s="8" t="n"/>
      <c r="F325" s="9">
        <f>IF(E325="","",VALUE(LEFT(E325,FIND(" - ",E325)-1)))</f>
        <v/>
      </c>
      <c r="G325" s="10">
        <f>IF(E325="","",VLOOKUP(F325,Product_Master!A:D,2,FALSE)&amp;"")</f>
        <v/>
      </c>
      <c r="H325" s="9">
        <f>IF(E325="","",VLOOKUP(F325,Product_Master!A:D,3,FALSE)&amp;"")</f>
        <v/>
      </c>
      <c r="I325" s="10">
        <f>IF(E325="","",VLOOKUP(F325,Product_Master!A:D,4,FALSE)&amp;"")</f>
        <v/>
      </c>
      <c r="J325" s="11" t="n"/>
      <c r="K325" s="11" t="n"/>
      <c r="L325" s="11" t="n"/>
      <c r="M325" s="12">
        <f>IF(J325="","",IFERROR(L325/J325,""))</f>
        <v/>
      </c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3">
        <f>SUM(N325:Z325)</f>
        <v/>
      </c>
      <c r="AB325" s="8" t="n"/>
    </row>
    <row r="326" ht="20" customHeight="1">
      <c r="A326" s="6" t="n"/>
      <c r="B326" s="7" t="n"/>
      <c r="C326" s="7" t="n"/>
      <c r="D326" s="7" t="n"/>
      <c r="E326" s="8" t="n"/>
      <c r="F326" s="9">
        <f>IF(E326="","",VALUE(LEFT(E326,FIND(" - ",E326)-1)))</f>
        <v/>
      </c>
      <c r="G326" s="10">
        <f>IF(E326="","",VLOOKUP(F326,Product_Master!A:D,2,FALSE)&amp;"")</f>
        <v/>
      </c>
      <c r="H326" s="9">
        <f>IF(E326="","",VLOOKUP(F326,Product_Master!A:D,3,FALSE)&amp;"")</f>
        <v/>
      </c>
      <c r="I326" s="10">
        <f>IF(E326="","",VLOOKUP(F326,Product_Master!A:D,4,FALSE)&amp;"")</f>
        <v/>
      </c>
      <c r="J326" s="11" t="n"/>
      <c r="K326" s="11" t="n"/>
      <c r="L326" s="11" t="n"/>
      <c r="M326" s="12">
        <f>IF(J326="","",IFERROR(L326/J326,""))</f>
        <v/>
      </c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3">
        <f>SUM(N326:Z326)</f>
        <v/>
      </c>
      <c r="AB326" s="8" t="n"/>
    </row>
    <row r="327" ht="20" customHeight="1">
      <c r="A327" s="6" t="n"/>
      <c r="B327" s="7" t="n"/>
      <c r="C327" s="7" t="n"/>
      <c r="D327" s="7" t="n"/>
      <c r="E327" s="8" t="n"/>
      <c r="F327" s="9">
        <f>IF(E327="","",VALUE(LEFT(E327,FIND(" - ",E327)-1)))</f>
        <v/>
      </c>
      <c r="G327" s="10">
        <f>IF(E327="","",VLOOKUP(F327,Product_Master!A:D,2,FALSE)&amp;"")</f>
        <v/>
      </c>
      <c r="H327" s="9">
        <f>IF(E327="","",VLOOKUP(F327,Product_Master!A:D,3,FALSE)&amp;"")</f>
        <v/>
      </c>
      <c r="I327" s="10">
        <f>IF(E327="","",VLOOKUP(F327,Product_Master!A:D,4,FALSE)&amp;"")</f>
        <v/>
      </c>
      <c r="J327" s="11" t="n"/>
      <c r="K327" s="11" t="n"/>
      <c r="L327" s="11" t="n"/>
      <c r="M327" s="12">
        <f>IF(J327="","",IFERROR(L327/J327,""))</f>
        <v/>
      </c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3">
        <f>SUM(N327:Z327)</f>
        <v/>
      </c>
      <c r="AB327" s="8" t="n"/>
    </row>
    <row r="328" ht="20" customHeight="1">
      <c r="A328" s="6" t="n"/>
      <c r="B328" s="7" t="n"/>
      <c r="C328" s="7" t="n"/>
      <c r="D328" s="7" t="n"/>
      <c r="E328" s="8" t="n"/>
      <c r="F328" s="9">
        <f>IF(E328="","",VALUE(LEFT(E328,FIND(" - ",E328)-1)))</f>
        <v/>
      </c>
      <c r="G328" s="10">
        <f>IF(E328="","",VLOOKUP(F328,Product_Master!A:D,2,FALSE)&amp;"")</f>
        <v/>
      </c>
      <c r="H328" s="9">
        <f>IF(E328="","",VLOOKUP(F328,Product_Master!A:D,3,FALSE)&amp;"")</f>
        <v/>
      </c>
      <c r="I328" s="10">
        <f>IF(E328="","",VLOOKUP(F328,Product_Master!A:D,4,FALSE)&amp;"")</f>
        <v/>
      </c>
      <c r="J328" s="11" t="n"/>
      <c r="K328" s="11" t="n"/>
      <c r="L328" s="11" t="n"/>
      <c r="M328" s="12">
        <f>IF(J328="","",IFERROR(L328/J328,""))</f>
        <v/>
      </c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3">
        <f>SUM(N328:Z328)</f>
        <v/>
      </c>
      <c r="AB328" s="8" t="n"/>
    </row>
    <row r="329" ht="20" customHeight="1">
      <c r="A329" s="6" t="n"/>
      <c r="B329" s="7" t="n"/>
      <c r="C329" s="7" t="n"/>
      <c r="D329" s="7" t="n"/>
      <c r="E329" s="8" t="n"/>
      <c r="F329" s="9">
        <f>IF(E329="","",VALUE(LEFT(E329,FIND(" - ",E329)-1)))</f>
        <v/>
      </c>
      <c r="G329" s="10">
        <f>IF(E329="","",VLOOKUP(F329,Product_Master!A:D,2,FALSE)&amp;"")</f>
        <v/>
      </c>
      <c r="H329" s="9">
        <f>IF(E329="","",VLOOKUP(F329,Product_Master!A:D,3,FALSE)&amp;"")</f>
        <v/>
      </c>
      <c r="I329" s="10">
        <f>IF(E329="","",VLOOKUP(F329,Product_Master!A:D,4,FALSE)&amp;"")</f>
        <v/>
      </c>
      <c r="J329" s="11" t="n"/>
      <c r="K329" s="11" t="n"/>
      <c r="L329" s="11" t="n"/>
      <c r="M329" s="12">
        <f>IF(J329="","",IFERROR(L329/J329,""))</f>
        <v/>
      </c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3">
        <f>SUM(N329:Z329)</f>
        <v/>
      </c>
      <c r="AB329" s="8" t="n"/>
    </row>
    <row r="330" ht="20" customHeight="1">
      <c r="A330" s="6" t="n"/>
      <c r="B330" s="7" t="n"/>
      <c r="C330" s="7" t="n"/>
      <c r="D330" s="7" t="n"/>
      <c r="E330" s="8" t="n"/>
      <c r="F330" s="9">
        <f>IF(E330="","",VALUE(LEFT(E330,FIND(" - ",E330)-1)))</f>
        <v/>
      </c>
      <c r="G330" s="10">
        <f>IF(E330="","",VLOOKUP(F330,Product_Master!A:D,2,FALSE)&amp;"")</f>
        <v/>
      </c>
      <c r="H330" s="9">
        <f>IF(E330="","",VLOOKUP(F330,Product_Master!A:D,3,FALSE)&amp;"")</f>
        <v/>
      </c>
      <c r="I330" s="10">
        <f>IF(E330="","",VLOOKUP(F330,Product_Master!A:D,4,FALSE)&amp;"")</f>
        <v/>
      </c>
      <c r="J330" s="11" t="n"/>
      <c r="K330" s="11" t="n"/>
      <c r="L330" s="11" t="n"/>
      <c r="M330" s="12">
        <f>IF(J330="","",IFERROR(L330/J330,""))</f>
        <v/>
      </c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3">
        <f>SUM(N330:Z330)</f>
        <v/>
      </c>
      <c r="AB330" s="8" t="n"/>
    </row>
    <row r="331" ht="20" customHeight="1">
      <c r="A331" s="6" t="n"/>
      <c r="B331" s="7" t="n"/>
      <c r="C331" s="7" t="n"/>
      <c r="D331" s="7" t="n"/>
      <c r="E331" s="8" t="n"/>
      <c r="F331" s="9">
        <f>IF(E331="","",VALUE(LEFT(E331,FIND(" - ",E331)-1)))</f>
        <v/>
      </c>
      <c r="G331" s="10">
        <f>IF(E331="","",VLOOKUP(F331,Product_Master!A:D,2,FALSE)&amp;"")</f>
        <v/>
      </c>
      <c r="H331" s="9">
        <f>IF(E331="","",VLOOKUP(F331,Product_Master!A:D,3,FALSE)&amp;"")</f>
        <v/>
      </c>
      <c r="I331" s="10">
        <f>IF(E331="","",VLOOKUP(F331,Product_Master!A:D,4,FALSE)&amp;"")</f>
        <v/>
      </c>
      <c r="J331" s="11" t="n"/>
      <c r="K331" s="11" t="n"/>
      <c r="L331" s="11" t="n"/>
      <c r="M331" s="12">
        <f>IF(J331="","",IFERROR(L331/J331,""))</f>
        <v/>
      </c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3">
        <f>SUM(N331:Z331)</f>
        <v/>
      </c>
      <c r="AB331" s="8" t="n"/>
    </row>
    <row r="332" ht="20" customHeight="1">
      <c r="A332" s="6" t="n"/>
      <c r="B332" s="7" t="n"/>
      <c r="C332" s="7" t="n"/>
      <c r="D332" s="7" t="n"/>
      <c r="E332" s="8" t="n"/>
      <c r="F332" s="9">
        <f>IF(E332="","",VALUE(LEFT(E332,FIND(" - ",E332)-1)))</f>
        <v/>
      </c>
      <c r="G332" s="10">
        <f>IF(E332="","",VLOOKUP(F332,Product_Master!A:D,2,FALSE)&amp;"")</f>
        <v/>
      </c>
      <c r="H332" s="9">
        <f>IF(E332="","",VLOOKUP(F332,Product_Master!A:D,3,FALSE)&amp;"")</f>
        <v/>
      </c>
      <c r="I332" s="10">
        <f>IF(E332="","",VLOOKUP(F332,Product_Master!A:D,4,FALSE)&amp;"")</f>
        <v/>
      </c>
      <c r="J332" s="11" t="n"/>
      <c r="K332" s="11" t="n"/>
      <c r="L332" s="11" t="n"/>
      <c r="M332" s="12">
        <f>IF(J332="","",IFERROR(L332/J332,""))</f>
        <v/>
      </c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3">
        <f>SUM(N332:Z332)</f>
        <v/>
      </c>
      <c r="AB332" s="8" t="n"/>
    </row>
    <row r="333" ht="20" customHeight="1">
      <c r="A333" s="6" t="n"/>
      <c r="B333" s="7" t="n"/>
      <c r="C333" s="7" t="n"/>
      <c r="D333" s="7" t="n"/>
      <c r="E333" s="8" t="n"/>
      <c r="F333" s="9">
        <f>IF(E333="","",VALUE(LEFT(E333,FIND(" - ",E333)-1)))</f>
        <v/>
      </c>
      <c r="G333" s="10">
        <f>IF(E333="","",VLOOKUP(F333,Product_Master!A:D,2,FALSE)&amp;"")</f>
        <v/>
      </c>
      <c r="H333" s="9">
        <f>IF(E333="","",VLOOKUP(F333,Product_Master!A:D,3,FALSE)&amp;"")</f>
        <v/>
      </c>
      <c r="I333" s="10">
        <f>IF(E333="","",VLOOKUP(F333,Product_Master!A:D,4,FALSE)&amp;"")</f>
        <v/>
      </c>
      <c r="J333" s="11" t="n"/>
      <c r="K333" s="11" t="n"/>
      <c r="L333" s="11" t="n"/>
      <c r="M333" s="12">
        <f>IF(J333="","",IFERROR(L333/J333,""))</f>
        <v/>
      </c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3">
        <f>SUM(N333:Z333)</f>
        <v/>
      </c>
      <c r="AB333" s="8" t="n"/>
    </row>
    <row r="334" ht="20" customHeight="1">
      <c r="A334" s="6" t="n"/>
      <c r="B334" s="7" t="n"/>
      <c r="C334" s="7" t="n"/>
      <c r="D334" s="7" t="n"/>
      <c r="E334" s="8" t="n"/>
      <c r="F334" s="9">
        <f>IF(E334="","",VALUE(LEFT(E334,FIND(" - ",E334)-1)))</f>
        <v/>
      </c>
      <c r="G334" s="10">
        <f>IF(E334="","",VLOOKUP(F334,Product_Master!A:D,2,FALSE)&amp;"")</f>
        <v/>
      </c>
      <c r="H334" s="9">
        <f>IF(E334="","",VLOOKUP(F334,Product_Master!A:D,3,FALSE)&amp;"")</f>
        <v/>
      </c>
      <c r="I334" s="10">
        <f>IF(E334="","",VLOOKUP(F334,Product_Master!A:D,4,FALSE)&amp;"")</f>
        <v/>
      </c>
      <c r="J334" s="11" t="n"/>
      <c r="K334" s="11" t="n"/>
      <c r="L334" s="11" t="n"/>
      <c r="M334" s="12">
        <f>IF(J334="","",IFERROR(L334/J334,""))</f>
        <v/>
      </c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3">
        <f>SUM(N334:Z334)</f>
        <v/>
      </c>
      <c r="AB334" s="8" t="n"/>
    </row>
    <row r="335" ht="20" customHeight="1">
      <c r="A335" s="6" t="n"/>
      <c r="B335" s="7" t="n"/>
      <c r="C335" s="7" t="n"/>
      <c r="D335" s="7" t="n"/>
      <c r="E335" s="8" t="n"/>
      <c r="F335" s="9">
        <f>IF(E335="","",VALUE(LEFT(E335,FIND(" - ",E335)-1)))</f>
        <v/>
      </c>
      <c r="G335" s="10">
        <f>IF(E335="","",VLOOKUP(F335,Product_Master!A:D,2,FALSE)&amp;"")</f>
        <v/>
      </c>
      <c r="H335" s="9">
        <f>IF(E335="","",VLOOKUP(F335,Product_Master!A:D,3,FALSE)&amp;"")</f>
        <v/>
      </c>
      <c r="I335" s="10">
        <f>IF(E335="","",VLOOKUP(F335,Product_Master!A:D,4,FALSE)&amp;"")</f>
        <v/>
      </c>
      <c r="J335" s="11" t="n"/>
      <c r="K335" s="11" t="n"/>
      <c r="L335" s="11" t="n"/>
      <c r="M335" s="12">
        <f>IF(J335="","",IFERROR(L335/J335,""))</f>
        <v/>
      </c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3">
        <f>SUM(N335:Z335)</f>
        <v/>
      </c>
      <c r="AB335" s="8" t="n"/>
    </row>
    <row r="336" ht="20" customHeight="1">
      <c r="A336" s="6" t="n"/>
      <c r="B336" s="7" t="n"/>
      <c r="C336" s="7" t="n"/>
      <c r="D336" s="7" t="n"/>
      <c r="E336" s="8" t="n"/>
      <c r="F336" s="9">
        <f>IF(E336="","",VALUE(LEFT(E336,FIND(" - ",E336)-1)))</f>
        <v/>
      </c>
      <c r="G336" s="10">
        <f>IF(E336="","",VLOOKUP(F336,Product_Master!A:D,2,FALSE)&amp;"")</f>
        <v/>
      </c>
      <c r="H336" s="9">
        <f>IF(E336="","",VLOOKUP(F336,Product_Master!A:D,3,FALSE)&amp;"")</f>
        <v/>
      </c>
      <c r="I336" s="10">
        <f>IF(E336="","",VLOOKUP(F336,Product_Master!A:D,4,FALSE)&amp;"")</f>
        <v/>
      </c>
      <c r="J336" s="11" t="n"/>
      <c r="K336" s="11" t="n"/>
      <c r="L336" s="11" t="n"/>
      <c r="M336" s="12">
        <f>IF(J336="","",IFERROR(L336/J336,""))</f>
        <v/>
      </c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3">
        <f>SUM(N336:Z336)</f>
        <v/>
      </c>
      <c r="AB336" s="8" t="n"/>
    </row>
    <row r="337" ht="20" customHeight="1">
      <c r="A337" s="6" t="n"/>
      <c r="B337" s="7" t="n"/>
      <c r="C337" s="7" t="n"/>
      <c r="D337" s="7" t="n"/>
      <c r="E337" s="8" t="n"/>
      <c r="F337" s="9">
        <f>IF(E337="","",VALUE(LEFT(E337,FIND(" - ",E337)-1)))</f>
        <v/>
      </c>
      <c r="G337" s="10">
        <f>IF(E337="","",VLOOKUP(F337,Product_Master!A:D,2,FALSE)&amp;"")</f>
        <v/>
      </c>
      <c r="H337" s="9">
        <f>IF(E337="","",VLOOKUP(F337,Product_Master!A:D,3,FALSE)&amp;"")</f>
        <v/>
      </c>
      <c r="I337" s="10">
        <f>IF(E337="","",VLOOKUP(F337,Product_Master!A:D,4,FALSE)&amp;"")</f>
        <v/>
      </c>
      <c r="J337" s="11" t="n"/>
      <c r="K337" s="11" t="n"/>
      <c r="L337" s="11" t="n"/>
      <c r="M337" s="12">
        <f>IF(J337="","",IFERROR(L337/J337,""))</f>
        <v/>
      </c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3">
        <f>SUM(N337:Z337)</f>
        <v/>
      </c>
      <c r="AB337" s="8" t="n"/>
    </row>
    <row r="338" ht="20" customHeight="1">
      <c r="A338" s="6" t="n"/>
      <c r="B338" s="7" t="n"/>
      <c r="C338" s="7" t="n"/>
      <c r="D338" s="7" t="n"/>
      <c r="E338" s="8" t="n"/>
      <c r="F338" s="9">
        <f>IF(E338="","",VALUE(LEFT(E338,FIND(" - ",E338)-1)))</f>
        <v/>
      </c>
      <c r="G338" s="10">
        <f>IF(E338="","",VLOOKUP(F338,Product_Master!A:D,2,FALSE)&amp;"")</f>
        <v/>
      </c>
      <c r="H338" s="9">
        <f>IF(E338="","",VLOOKUP(F338,Product_Master!A:D,3,FALSE)&amp;"")</f>
        <v/>
      </c>
      <c r="I338" s="10">
        <f>IF(E338="","",VLOOKUP(F338,Product_Master!A:D,4,FALSE)&amp;"")</f>
        <v/>
      </c>
      <c r="J338" s="11" t="n"/>
      <c r="K338" s="11" t="n"/>
      <c r="L338" s="11" t="n"/>
      <c r="M338" s="12">
        <f>IF(J338="","",IFERROR(L338/J338,""))</f>
        <v/>
      </c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3">
        <f>SUM(N338:Z338)</f>
        <v/>
      </c>
      <c r="AB338" s="8" t="n"/>
    </row>
    <row r="339" ht="20" customHeight="1">
      <c r="A339" s="6" t="n"/>
      <c r="B339" s="7" t="n"/>
      <c r="C339" s="7" t="n"/>
      <c r="D339" s="7" t="n"/>
      <c r="E339" s="8" t="n"/>
      <c r="F339" s="9">
        <f>IF(E339="","",VALUE(LEFT(E339,FIND(" - ",E339)-1)))</f>
        <v/>
      </c>
      <c r="G339" s="10">
        <f>IF(E339="","",VLOOKUP(F339,Product_Master!A:D,2,FALSE)&amp;"")</f>
        <v/>
      </c>
      <c r="H339" s="9">
        <f>IF(E339="","",VLOOKUP(F339,Product_Master!A:D,3,FALSE)&amp;"")</f>
        <v/>
      </c>
      <c r="I339" s="10">
        <f>IF(E339="","",VLOOKUP(F339,Product_Master!A:D,4,FALSE)&amp;"")</f>
        <v/>
      </c>
      <c r="J339" s="11" t="n"/>
      <c r="K339" s="11" t="n"/>
      <c r="L339" s="11" t="n"/>
      <c r="M339" s="12">
        <f>IF(J339="","",IFERROR(L339/J339,""))</f>
        <v/>
      </c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3">
        <f>SUM(N339:Z339)</f>
        <v/>
      </c>
      <c r="AB339" s="8" t="n"/>
    </row>
    <row r="340" ht="20" customHeight="1">
      <c r="A340" s="6" t="n"/>
      <c r="B340" s="7" t="n"/>
      <c r="C340" s="7" t="n"/>
      <c r="D340" s="7" t="n"/>
      <c r="E340" s="8" t="n"/>
      <c r="F340" s="9">
        <f>IF(E340="","",VALUE(LEFT(E340,FIND(" - ",E340)-1)))</f>
        <v/>
      </c>
      <c r="G340" s="10">
        <f>IF(E340="","",VLOOKUP(F340,Product_Master!A:D,2,FALSE)&amp;"")</f>
        <v/>
      </c>
      <c r="H340" s="9">
        <f>IF(E340="","",VLOOKUP(F340,Product_Master!A:D,3,FALSE)&amp;"")</f>
        <v/>
      </c>
      <c r="I340" s="10">
        <f>IF(E340="","",VLOOKUP(F340,Product_Master!A:D,4,FALSE)&amp;"")</f>
        <v/>
      </c>
      <c r="J340" s="11" t="n"/>
      <c r="K340" s="11" t="n"/>
      <c r="L340" s="11" t="n"/>
      <c r="M340" s="12">
        <f>IF(J340="","",IFERROR(L340/J340,""))</f>
        <v/>
      </c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3">
        <f>SUM(N340:Z340)</f>
        <v/>
      </c>
      <c r="AB340" s="8" t="n"/>
    </row>
    <row r="341" ht="20" customHeight="1">
      <c r="A341" s="6" t="n"/>
      <c r="B341" s="7" t="n"/>
      <c r="C341" s="7" t="n"/>
      <c r="D341" s="7" t="n"/>
      <c r="E341" s="8" t="n"/>
      <c r="F341" s="9">
        <f>IF(E341="","",VALUE(LEFT(E341,FIND(" - ",E341)-1)))</f>
        <v/>
      </c>
      <c r="G341" s="10">
        <f>IF(E341="","",VLOOKUP(F341,Product_Master!A:D,2,FALSE)&amp;"")</f>
        <v/>
      </c>
      <c r="H341" s="9">
        <f>IF(E341="","",VLOOKUP(F341,Product_Master!A:D,3,FALSE)&amp;"")</f>
        <v/>
      </c>
      <c r="I341" s="10">
        <f>IF(E341="","",VLOOKUP(F341,Product_Master!A:D,4,FALSE)&amp;"")</f>
        <v/>
      </c>
      <c r="J341" s="11" t="n"/>
      <c r="K341" s="11" t="n"/>
      <c r="L341" s="11" t="n"/>
      <c r="M341" s="12">
        <f>IF(J341="","",IFERROR(L341/J341,""))</f>
        <v/>
      </c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3">
        <f>SUM(N341:Z341)</f>
        <v/>
      </c>
      <c r="AB341" s="8" t="n"/>
    </row>
    <row r="342" ht="20" customHeight="1">
      <c r="A342" s="6" t="n"/>
      <c r="B342" s="7" t="n"/>
      <c r="C342" s="7" t="n"/>
      <c r="D342" s="7" t="n"/>
      <c r="E342" s="8" t="n"/>
      <c r="F342" s="9">
        <f>IF(E342="","",VALUE(LEFT(E342,FIND(" - ",E342)-1)))</f>
        <v/>
      </c>
      <c r="G342" s="10">
        <f>IF(E342="","",VLOOKUP(F342,Product_Master!A:D,2,FALSE)&amp;"")</f>
        <v/>
      </c>
      <c r="H342" s="9">
        <f>IF(E342="","",VLOOKUP(F342,Product_Master!A:D,3,FALSE)&amp;"")</f>
        <v/>
      </c>
      <c r="I342" s="10">
        <f>IF(E342="","",VLOOKUP(F342,Product_Master!A:D,4,FALSE)&amp;"")</f>
        <v/>
      </c>
      <c r="J342" s="11" t="n"/>
      <c r="K342" s="11" t="n"/>
      <c r="L342" s="11" t="n"/>
      <c r="M342" s="12">
        <f>IF(J342="","",IFERROR(L342/J342,""))</f>
        <v/>
      </c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3">
        <f>SUM(N342:Z342)</f>
        <v/>
      </c>
      <c r="AB342" s="8" t="n"/>
    </row>
    <row r="343" ht="20" customHeight="1">
      <c r="A343" s="6" t="n"/>
      <c r="B343" s="7" t="n"/>
      <c r="C343" s="7" t="n"/>
      <c r="D343" s="7" t="n"/>
      <c r="E343" s="8" t="n"/>
      <c r="F343" s="9">
        <f>IF(E343="","",VALUE(LEFT(E343,FIND(" - ",E343)-1)))</f>
        <v/>
      </c>
      <c r="G343" s="10">
        <f>IF(E343="","",VLOOKUP(F343,Product_Master!A:D,2,FALSE)&amp;"")</f>
        <v/>
      </c>
      <c r="H343" s="9">
        <f>IF(E343="","",VLOOKUP(F343,Product_Master!A:D,3,FALSE)&amp;"")</f>
        <v/>
      </c>
      <c r="I343" s="10">
        <f>IF(E343="","",VLOOKUP(F343,Product_Master!A:D,4,FALSE)&amp;"")</f>
        <v/>
      </c>
      <c r="J343" s="11" t="n"/>
      <c r="K343" s="11" t="n"/>
      <c r="L343" s="11" t="n"/>
      <c r="M343" s="12">
        <f>IF(J343="","",IFERROR(L343/J343,""))</f>
        <v/>
      </c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3">
        <f>SUM(N343:Z343)</f>
        <v/>
      </c>
      <c r="AB343" s="8" t="n"/>
    </row>
    <row r="344" ht="20" customHeight="1">
      <c r="A344" s="6" t="n"/>
      <c r="B344" s="7" t="n"/>
      <c r="C344" s="7" t="n"/>
      <c r="D344" s="7" t="n"/>
      <c r="E344" s="8" t="n"/>
      <c r="F344" s="9">
        <f>IF(E344="","",VALUE(LEFT(E344,FIND(" - ",E344)-1)))</f>
        <v/>
      </c>
      <c r="G344" s="10">
        <f>IF(E344="","",VLOOKUP(F344,Product_Master!A:D,2,FALSE)&amp;"")</f>
        <v/>
      </c>
      <c r="H344" s="9">
        <f>IF(E344="","",VLOOKUP(F344,Product_Master!A:D,3,FALSE)&amp;"")</f>
        <v/>
      </c>
      <c r="I344" s="10">
        <f>IF(E344="","",VLOOKUP(F344,Product_Master!A:D,4,FALSE)&amp;"")</f>
        <v/>
      </c>
      <c r="J344" s="11" t="n"/>
      <c r="K344" s="11" t="n"/>
      <c r="L344" s="11" t="n"/>
      <c r="M344" s="12">
        <f>IF(J344="","",IFERROR(L344/J344,""))</f>
        <v/>
      </c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3">
        <f>SUM(N344:Z344)</f>
        <v/>
      </c>
      <c r="AB344" s="8" t="n"/>
    </row>
    <row r="345" ht="20" customHeight="1">
      <c r="A345" s="6" t="n"/>
      <c r="B345" s="7" t="n"/>
      <c r="C345" s="7" t="n"/>
      <c r="D345" s="7" t="n"/>
      <c r="E345" s="8" t="n"/>
      <c r="F345" s="9">
        <f>IF(E345="","",VALUE(LEFT(E345,FIND(" - ",E345)-1)))</f>
        <v/>
      </c>
      <c r="G345" s="10">
        <f>IF(E345="","",VLOOKUP(F345,Product_Master!A:D,2,FALSE)&amp;"")</f>
        <v/>
      </c>
      <c r="H345" s="9">
        <f>IF(E345="","",VLOOKUP(F345,Product_Master!A:D,3,FALSE)&amp;"")</f>
        <v/>
      </c>
      <c r="I345" s="10">
        <f>IF(E345="","",VLOOKUP(F345,Product_Master!A:D,4,FALSE)&amp;"")</f>
        <v/>
      </c>
      <c r="J345" s="11" t="n"/>
      <c r="K345" s="11" t="n"/>
      <c r="L345" s="11" t="n"/>
      <c r="M345" s="12">
        <f>IF(J345="","",IFERROR(L345/J345,""))</f>
        <v/>
      </c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3">
        <f>SUM(N345:Z345)</f>
        <v/>
      </c>
      <c r="AB345" s="8" t="n"/>
    </row>
    <row r="346" ht="20" customHeight="1">
      <c r="A346" s="6" t="n"/>
      <c r="B346" s="7" t="n"/>
      <c r="C346" s="7" t="n"/>
      <c r="D346" s="7" t="n"/>
      <c r="E346" s="8" t="n"/>
      <c r="F346" s="9">
        <f>IF(E346="","",VALUE(LEFT(E346,FIND(" - ",E346)-1)))</f>
        <v/>
      </c>
      <c r="G346" s="10">
        <f>IF(E346="","",VLOOKUP(F346,Product_Master!A:D,2,FALSE)&amp;"")</f>
        <v/>
      </c>
      <c r="H346" s="9">
        <f>IF(E346="","",VLOOKUP(F346,Product_Master!A:D,3,FALSE)&amp;"")</f>
        <v/>
      </c>
      <c r="I346" s="10">
        <f>IF(E346="","",VLOOKUP(F346,Product_Master!A:D,4,FALSE)&amp;"")</f>
        <v/>
      </c>
      <c r="J346" s="11" t="n"/>
      <c r="K346" s="11" t="n"/>
      <c r="L346" s="11" t="n"/>
      <c r="M346" s="12">
        <f>IF(J346="","",IFERROR(L346/J346,""))</f>
        <v/>
      </c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3">
        <f>SUM(N346:Z346)</f>
        <v/>
      </c>
      <c r="AB346" s="8" t="n"/>
    </row>
    <row r="347" ht="20" customHeight="1">
      <c r="A347" s="6" t="n"/>
      <c r="B347" s="7" t="n"/>
      <c r="C347" s="7" t="n"/>
      <c r="D347" s="7" t="n"/>
      <c r="E347" s="8" t="n"/>
      <c r="F347" s="9">
        <f>IF(E347="","",VALUE(LEFT(E347,FIND(" - ",E347)-1)))</f>
        <v/>
      </c>
      <c r="G347" s="10">
        <f>IF(E347="","",VLOOKUP(F347,Product_Master!A:D,2,FALSE)&amp;"")</f>
        <v/>
      </c>
      <c r="H347" s="9">
        <f>IF(E347="","",VLOOKUP(F347,Product_Master!A:D,3,FALSE)&amp;"")</f>
        <v/>
      </c>
      <c r="I347" s="10">
        <f>IF(E347="","",VLOOKUP(F347,Product_Master!A:D,4,FALSE)&amp;"")</f>
        <v/>
      </c>
      <c r="J347" s="11" t="n"/>
      <c r="K347" s="11" t="n"/>
      <c r="L347" s="11" t="n"/>
      <c r="M347" s="12">
        <f>IF(J347="","",IFERROR(L347/J347,""))</f>
        <v/>
      </c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3">
        <f>SUM(N347:Z347)</f>
        <v/>
      </c>
      <c r="AB347" s="8" t="n"/>
    </row>
    <row r="348" ht="20" customHeight="1">
      <c r="A348" s="6" t="n"/>
      <c r="B348" s="7" t="n"/>
      <c r="C348" s="7" t="n"/>
      <c r="D348" s="7" t="n"/>
      <c r="E348" s="8" t="n"/>
      <c r="F348" s="9">
        <f>IF(E348="","",VALUE(LEFT(E348,FIND(" - ",E348)-1)))</f>
        <v/>
      </c>
      <c r="G348" s="10">
        <f>IF(E348="","",VLOOKUP(F348,Product_Master!A:D,2,FALSE)&amp;"")</f>
        <v/>
      </c>
      <c r="H348" s="9">
        <f>IF(E348="","",VLOOKUP(F348,Product_Master!A:D,3,FALSE)&amp;"")</f>
        <v/>
      </c>
      <c r="I348" s="10">
        <f>IF(E348="","",VLOOKUP(F348,Product_Master!A:D,4,FALSE)&amp;"")</f>
        <v/>
      </c>
      <c r="J348" s="11" t="n"/>
      <c r="K348" s="11" t="n"/>
      <c r="L348" s="11" t="n"/>
      <c r="M348" s="12">
        <f>IF(J348="","",IFERROR(L348/J348,""))</f>
        <v/>
      </c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3">
        <f>SUM(N348:Z348)</f>
        <v/>
      </c>
      <c r="AB348" s="8" t="n"/>
    </row>
    <row r="349" ht="20" customHeight="1">
      <c r="A349" s="6" t="n"/>
      <c r="B349" s="7" t="n"/>
      <c r="C349" s="7" t="n"/>
      <c r="D349" s="7" t="n"/>
      <c r="E349" s="8" t="n"/>
      <c r="F349" s="9">
        <f>IF(E349="","",VALUE(LEFT(E349,FIND(" - ",E349)-1)))</f>
        <v/>
      </c>
      <c r="G349" s="10">
        <f>IF(E349="","",VLOOKUP(F349,Product_Master!A:D,2,FALSE)&amp;"")</f>
        <v/>
      </c>
      <c r="H349" s="9">
        <f>IF(E349="","",VLOOKUP(F349,Product_Master!A:D,3,FALSE)&amp;"")</f>
        <v/>
      </c>
      <c r="I349" s="10">
        <f>IF(E349="","",VLOOKUP(F349,Product_Master!A:D,4,FALSE)&amp;"")</f>
        <v/>
      </c>
      <c r="J349" s="11" t="n"/>
      <c r="K349" s="11" t="n"/>
      <c r="L349" s="11" t="n"/>
      <c r="M349" s="12">
        <f>IF(J349="","",IFERROR(L349/J349,""))</f>
        <v/>
      </c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3">
        <f>SUM(N349:Z349)</f>
        <v/>
      </c>
      <c r="AB349" s="8" t="n"/>
    </row>
    <row r="350" ht="20" customHeight="1">
      <c r="A350" s="6" t="n"/>
      <c r="B350" s="7" t="n"/>
      <c r="C350" s="7" t="n"/>
      <c r="D350" s="7" t="n"/>
      <c r="E350" s="8" t="n"/>
      <c r="F350" s="9">
        <f>IF(E350="","",VALUE(LEFT(E350,FIND(" - ",E350)-1)))</f>
        <v/>
      </c>
      <c r="G350" s="10">
        <f>IF(E350="","",VLOOKUP(F350,Product_Master!A:D,2,FALSE)&amp;"")</f>
        <v/>
      </c>
      <c r="H350" s="9">
        <f>IF(E350="","",VLOOKUP(F350,Product_Master!A:D,3,FALSE)&amp;"")</f>
        <v/>
      </c>
      <c r="I350" s="10">
        <f>IF(E350="","",VLOOKUP(F350,Product_Master!A:D,4,FALSE)&amp;"")</f>
        <v/>
      </c>
      <c r="J350" s="11" t="n"/>
      <c r="K350" s="11" t="n"/>
      <c r="L350" s="11" t="n"/>
      <c r="M350" s="12">
        <f>IF(J350="","",IFERROR(L350/J350,""))</f>
        <v/>
      </c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3">
        <f>SUM(N350:Z350)</f>
        <v/>
      </c>
      <c r="AB350" s="8" t="n"/>
    </row>
    <row r="351" ht="20" customHeight="1">
      <c r="A351" s="6" t="n"/>
      <c r="B351" s="7" t="n"/>
      <c r="C351" s="7" t="n"/>
      <c r="D351" s="7" t="n"/>
      <c r="E351" s="8" t="n"/>
      <c r="F351" s="9">
        <f>IF(E351="","",VALUE(LEFT(E351,FIND(" - ",E351)-1)))</f>
        <v/>
      </c>
      <c r="G351" s="10">
        <f>IF(E351="","",VLOOKUP(F351,Product_Master!A:D,2,FALSE)&amp;"")</f>
        <v/>
      </c>
      <c r="H351" s="9">
        <f>IF(E351="","",VLOOKUP(F351,Product_Master!A:D,3,FALSE)&amp;"")</f>
        <v/>
      </c>
      <c r="I351" s="10">
        <f>IF(E351="","",VLOOKUP(F351,Product_Master!A:D,4,FALSE)&amp;"")</f>
        <v/>
      </c>
      <c r="J351" s="11" t="n"/>
      <c r="K351" s="11" t="n"/>
      <c r="L351" s="11" t="n"/>
      <c r="M351" s="12">
        <f>IF(J351="","",IFERROR(L351/J351,""))</f>
        <v/>
      </c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3">
        <f>SUM(N351:Z351)</f>
        <v/>
      </c>
      <c r="AB351" s="8" t="n"/>
    </row>
    <row r="352" ht="20" customHeight="1">
      <c r="A352" s="6" t="n"/>
      <c r="B352" s="7" t="n"/>
      <c r="C352" s="7" t="n"/>
      <c r="D352" s="7" t="n"/>
      <c r="E352" s="8" t="n"/>
      <c r="F352" s="9">
        <f>IF(E352="","",VALUE(LEFT(E352,FIND(" - ",E352)-1)))</f>
        <v/>
      </c>
      <c r="G352" s="10">
        <f>IF(E352="","",VLOOKUP(F352,Product_Master!A:D,2,FALSE)&amp;"")</f>
        <v/>
      </c>
      <c r="H352" s="9">
        <f>IF(E352="","",VLOOKUP(F352,Product_Master!A:D,3,FALSE)&amp;"")</f>
        <v/>
      </c>
      <c r="I352" s="10">
        <f>IF(E352="","",VLOOKUP(F352,Product_Master!A:D,4,FALSE)&amp;"")</f>
        <v/>
      </c>
      <c r="J352" s="11" t="n"/>
      <c r="K352" s="11" t="n"/>
      <c r="L352" s="11" t="n"/>
      <c r="M352" s="12">
        <f>IF(J352="","",IFERROR(L352/J352,""))</f>
        <v/>
      </c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3">
        <f>SUM(N352:Z352)</f>
        <v/>
      </c>
      <c r="AB352" s="8" t="n"/>
    </row>
    <row r="353" ht="20" customHeight="1">
      <c r="A353" s="6" t="n"/>
      <c r="B353" s="7" t="n"/>
      <c r="C353" s="7" t="n"/>
      <c r="D353" s="7" t="n"/>
      <c r="E353" s="8" t="n"/>
      <c r="F353" s="9">
        <f>IF(E353="","",VALUE(LEFT(E353,FIND(" - ",E353)-1)))</f>
        <v/>
      </c>
      <c r="G353" s="10">
        <f>IF(E353="","",VLOOKUP(F353,Product_Master!A:D,2,FALSE)&amp;"")</f>
        <v/>
      </c>
      <c r="H353" s="9">
        <f>IF(E353="","",VLOOKUP(F353,Product_Master!A:D,3,FALSE)&amp;"")</f>
        <v/>
      </c>
      <c r="I353" s="10">
        <f>IF(E353="","",VLOOKUP(F353,Product_Master!A:D,4,FALSE)&amp;"")</f>
        <v/>
      </c>
      <c r="J353" s="11" t="n"/>
      <c r="K353" s="11" t="n"/>
      <c r="L353" s="11" t="n"/>
      <c r="M353" s="12">
        <f>IF(J353="","",IFERROR(L353/J353,""))</f>
        <v/>
      </c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3">
        <f>SUM(N353:Z353)</f>
        <v/>
      </c>
      <c r="AB353" s="8" t="n"/>
    </row>
    <row r="354" ht="20" customHeight="1">
      <c r="A354" s="6" t="n"/>
      <c r="B354" s="7" t="n"/>
      <c r="C354" s="7" t="n"/>
      <c r="D354" s="7" t="n"/>
      <c r="E354" s="8" t="n"/>
      <c r="F354" s="9">
        <f>IF(E354="","",VALUE(LEFT(E354,FIND(" - ",E354)-1)))</f>
        <v/>
      </c>
      <c r="G354" s="10">
        <f>IF(E354="","",VLOOKUP(F354,Product_Master!A:D,2,FALSE)&amp;"")</f>
        <v/>
      </c>
      <c r="H354" s="9">
        <f>IF(E354="","",VLOOKUP(F354,Product_Master!A:D,3,FALSE)&amp;"")</f>
        <v/>
      </c>
      <c r="I354" s="10">
        <f>IF(E354="","",VLOOKUP(F354,Product_Master!A:D,4,FALSE)&amp;"")</f>
        <v/>
      </c>
      <c r="J354" s="11" t="n"/>
      <c r="K354" s="11" t="n"/>
      <c r="L354" s="11" t="n"/>
      <c r="M354" s="12">
        <f>IF(J354="","",IFERROR(L354/J354,""))</f>
        <v/>
      </c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3">
        <f>SUM(N354:Z354)</f>
        <v/>
      </c>
      <c r="AB354" s="8" t="n"/>
    </row>
    <row r="355" ht="20" customHeight="1">
      <c r="A355" s="6" t="n"/>
      <c r="B355" s="7" t="n"/>
      <c r="C355" s="7" t="n"/>
      <c r="D355" s="7" t="n"/>
      <c r="E355" s="8" t="n"/>
      <c r="F355" s="9">
        <f>IF(E355="","",VALUE(LEFT(E355,FIND(" - ",E355)-1)))</f>
        <v/>
      </c>
      <c r="G355" s="10">
        <f>IF(E355="","",VLOOKUP(F355,Product_Master!A:D,2,FALSE)&amp;"")</f>
        <v/>
      </c>
      <c r="H355" s="9">
        <f>IF(E355="","",VLOOKUP(F355,Product_Master!A:D,3,FALSE)&amp;"")</f>
        <v/>
      </c>
      <c r="I355" s="10">
        <f>IF(E355="","",VLOOKUP(F355,Product_Master!A:D,4,FALSE)&amp;"")</f>
        <v/>
      </c>
      <c r="J355" s="11" t="n"/>
      <c r="K355" s="11" t="n"/>
      <c r="L355" s="11" t="n"/>
      <c r="M355" s="12">
        <f>IF(J355="","",IFERROR(L355/J355,""))</f>
        <v/>
      </c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3">
        <f>SUM(N355:Z355)</f>
        <v/>
      </c>
      <c r="AB355" s="8" t="n"/>
    </row>
    <row r="356" ht="20" customHeight="1">
      <c r="A356" s="6" t="n"/>
      <c r="B356" s="7" t="n"/>
      <c r="C356" s="7" t="n"/>
      <c r="D356" s="7" t="n"/>
      <c r="E356" s="8" t="n"/>
      <c r="F356" s="9">
        <f>IF(E356="","",VALUE(LEFT(E356,FIND(" - ",E356)-1)))</f>
        <v/>
      </c>
      <c r="G356" s="10">
        <f>IF(E356="","",VLOOKUP(F356,Product_Master!A:D,2,FALSE)&amp;"")</f>
        <v/>
      </c>
      <c r="H356" s="9">
        <f>IF(E356="","",VLOOKUP(F356,Product_Master!A:D,3,FALSE)&amp;"")</f>
        <v/>
      </c>
      <c r="I356" s="10">
        <f>IF(E356="","",VLOOKUP(F356,Product_Master!A:D,4,FALSE)&amp;"")</f>
        <v/>
      </c>
      <c r="J356" s="11" t="n"/>
      <c r="K356" s="11" t="n"/>
      <c r="L356" s="11" t="n"/>
      <c r="M356" s="12">
        <f>IF(J356="","",IFERROR(L356/J356,""))</f>
        <v/>
      </c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3">
        <f>SUM(N356:Z356)</f>
        <v/>
      </c>
      <c r="AB356" s="8" t="n"/>
    </row>
    <row r="357" ht="20" customHeight="1">
      <c r="A357" s="6" t="n"/>
      <c r="B357" s="7" t="n"/>
      <c r="C357" s="7" t="n"/>
      <c r="D357" s="7" t="n"/>
      <c r="E357" s="8" t="n"/>
      <c r="F357" s="9">
        <f>IF(E357="","",VALUE(LEFT(E357,FIND(" - ",E357)-1)))</f>
        <v/>
      </c>
      <c r="G357" s="10">
        <f>IF(E357="","",VLOOKUP(F357,Product_Master!A:D,2,FALSE)&amp;"")</f>
        <v/>
      </c>
      <c r="H357" s="9">
        <f>IF(E357="","",VLOOKUP(F357,Product_Master!A:D,3,FALSE)&amp;"")</f>
        <v/>
      </c>
      <c r="I357" s="10">
        <f>IF(E357="","",VLOOKUP(F357,Product_Master!A:D,4,FALSE)&amp;"")</f>
        <v/>
      </c>
      <c r="J357" s="11" t="n"/>
      <c r="K357" s="11" t="n"/>
      <c r="L357" s="11" t="n"/>
      <c r="M357" s="12">
        <f>IF(J357="","",IFERROR(L357/J357,""))</f>
        <v/>
      </c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3">
        <f>SUM(N357:Z357)</f>
        <v/>
      </c>
      <c r="AB357" s="8" t="n"/>
    </row>
    <row r="358" ht="20" customHeight="1">
      <c r="A358" s="6" t="n"/>
      <c r="B358" s="7" t="n"/>
      <c r="C358" s="7" t="n"/>
      <c r="D358" s="7" t="n"/>
      <c r="E358" s="8" t="n"/>
      <c r="F358" s="9">
        <f>IF(E358="","",VALUE(LEFT(E358,FIND(" - ",E358)-1)))</f>
        <v/>
      </c>
      <c r="G358" s="10">
        <f>IF(E358="","",VLOOKUP(F358,Product_Master!A:D,2,FALSE)&amp;"")</f>
        <v/>
      </c>
      <c r="H358" s="9">
        <f>IF(E358="","",VLOOKUP(F358,Product_Master!A:D,3,FALSE)&amp;"")</f>
        <v/>
      </c>
      <c r="I358" s="10">
        <f>IF(E358="","",VLOOKUP(F358,Product_Master!A:D,4,FALSE)&amp;"")</f>
        <v/>
      </c>
      <c r="J358" s="11" t="n"/>
      <c r="K358" s="11" t="n"/>
      <c r="L358" s="11" t="n"/>
      <c r="M358" s="12">
        <f>IF(J358="","",IFERROR(L358/J358,""))</f>
        <v/>
      </c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3">
        <f>SUM(N358:Z358)</f>
        <v/>
      </c>
      <c r="AB358" s="8" t="n"/>
    </row>
    <row r="359" ht="20" customHeight="1">
      <c r="A359" s="6" t="n"/>
      <c r="B359" s="7" t="n"/>
      <c r="C359" s="7" t="n"/>
      <c r="D359" s="7" t="n"/>
      <c r="E359" s="8" t="n"/>
      <c r="F359" s="9">
        <f>IF(E359="","",VALUE(LEFT(E359,FIND(" - ",E359)-1)))</f>
        <v/>
      </c>
      <c r="G359" s="10">
        <f>IF(E359="","",VLOOKUP(F359,Product_Master!A:D,2,FALSE)&amp;"")</f>
        <v/>
      </c>
      <c r="H359" s="9">
        <f>IF(E359="","",VLOOKUP(F359,Product_Master!A:D,3,FALSE)&amp;"")</f>
        <v/>
      </c>
      <c r="I359" s="10">
        <f>IF(E359="","",VLOOKUP(F359,Product_Master!A:D,4,FALSE)&amp;"")</f>
        <v/>
      </c>
      <c r="J359" s="11" t="n"/>
      <c r="K359" s="11" t="n"/>
      <c r="L359" s="11" t="n"/>
      <c r="M359" s="12">
        <f>IF(J359="","",IFERROR(L359/J359,""))</f>
        <v/>
      </c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3">
        <f>SUM(N359:Z359)</f>
        <v/>
      </c>
      <c r="AB359" s="8" t="n"/>
    </row>
    <row r="360" ht="20" customHeight="1">
      <c r="A360" s="6" t="n"/>
      <c r="B360" s="7" t="n"/>
      <c r="C360" s="7" t="n"/>
      <c r="D360" s="7" t="n"/>
      <c r="E360" s="8" t="n"/>
      <c r="F360" s="9">
        <f>IF(E360="","",VALUE(LEFT(E360,FIND(" - ",E360)-1)))</f>
        <v/>
      </c>
      <c r="G360" s="10">
        <f>IF(E360="","",VLOOKUP(F360,Product_Master!A:D,2,FALSE)&amp;"")</f>
        <v/>
      </c>
      <c r="H360" s="9">
        <f>IF(E360="","",VLOOKUP(F360,Product_Master!A:D,3,FALSE)&amp;"")</f>
        <v/>
      </c>
      <c r="I360" s="10">
        <f>IF(E360="","",VLOOKUP(F360,Product_Master!A:D,4,FALSE)&amp;"")</f>
        <v/>
      </c>
      <c r="J360" s="11" t="n"/>
      <c r="K360" s="11" t="n"/>
      <c r="L360" s="11" t="n"/>
      <c r="M360" s="12">
        <f>IF(J360="","",IFERROR(L360/J360,""))</f>
        <v/>
      </c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3">
        <f>SUM(N360:Z360)</f>
        <v/>
      </c>
      <c r="AB360" s="8" t="n"/>
    </row>
    <row r="361" ht="20" customHeight="1">
      <c r="A361" s="6" t="n"/>
      <c r="B361" s="7" t="n"/>
      <c r="C361" s="7" t="n"/>
      <c r="D361" s="7" t="n"/>
      <c r="E361" s="8" t="n"/>
      <c r="F361" s="9">
        <f>IF(E361="","",VALUE(LEFT(E361,FIND(" - ",E361)-1)))</f>
        <v/>
      </c>
      <c r="G361" s="10">
        <f>IF(E361="","",VLOOKUP(F361,Product_Master!A:D,2,FALSE)&amp;"")</f>
        <v/>
      </c>
      <c r="H361" s="9">
        <f>IF(E361="","",VLOOKUP(F361,Product_Master!A:D,3,FALSE)&amp;"")</f>
        <v/>
      </c>
      <c r="I361" s="10">
        <f>IF(E361="","",VLOOKUP(F361,Product_Master!A:D,4,FALSE)&amp;"")</f>
        <v/>
      </c>
      <c r="J361" s="11" t="n"/>
      <c r="K361" s="11" t="n"/>
      <c r="L361" s="11" t="n"/>
      <c r="M361" s="12">
        <f>IF(J361="","",IFERROR(L361/J361,""))</f>
        <v/>
      </c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3">
        <f>SUM(N361:Z361)</f>
        <v/>
      </c>
      <c r="AB361" s="8" t="n"/>
    </row>
    <row r="362" ht="20" customHeight="1">
      <c r="A362" s="6" t="n"/>
      <c r="B362" s="7" t="n"/>
      <c r="C362" s="7" t="n"/>
      <c r="D362" s="7" t="n"/>
      <c r="E362" s="8" t="n"/>
      <c r="F362" s="9">
        <f>IF(E362="","",VALUE(LEFT(E362,FIND(" - ",E362)-1)))</f>
        <v/>
      </c>
      <c r="G362" s="10">
        <f>IF(E362="","",VLOOKUP(F362,Product_Master!A:D,2,FALSE)&amp;"")</f>
        <v/>
      </c>
      <c r="H362" s="9">
        <f>IF(E362="","",VLOOKUP(F362,Product_Master!A:D,3,FALSE)&amp;"")</f>
        <v/>
      </c>
      <c r="I362" s="10">
        <f>IF(E362="","",VLOOKUP(F362,Product_Master!A:D,4,FALSE)&amp;"")</f>
        <v/>
      </c>
      <c r="J362" s="11" t="n"/>
      <c r="K362" s="11" t="n"/>
      <c r="L362" s="11" t="n"/>
      <c r="M362" s="12">
        <f>IF(J362="","",IFERROR(L362/J362,""))</f>
        <v/>
      </c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3">
        <f>SUM(N362:Z362)</f>
        <v/>
      </c>
      <c r="AB362" s="8" t="n"/>
    </row>
    <row r="363" ht="20" customHeight="1">
      <c r="A363" s="6" t="n"/>
      <c r="B363" s="7" t="n"/>
      <c r="C363" s="7" t="n"/>
      <c r="D363" s="7" t="n"/>
      <c r="E363" s="8" t="n"/>
      <c r="F363" s="9">
        <f>IF(E363="","",VALUE(LEFT(E363,FIND(" - ",E363)-1)))</f>
        <v/>
      </c>
      <c r="G363" s="10">
        <f>IF(E363="","",VLOOKUP(F363,Product_Master!A:D,2,FALSE)&amp;"")</f>
        <v/>
      </c>
      <c r="H363" s="9">
        <f>IF(E363="","",VLOOKUP(F363,Product_Master!A:D,3,FALSE)&amp;"")</f>
        <v/>
      </c>
      <c r="I363" s="10">
        <f>IF(E363="","",VLOOKUP(F363,Product_Master!A:D,4,FALSE)&amp;"")</f>
        <v/>
      </c>
      <c r="J363" s="11" t="n"/>
      <c r="K363" s="11" t="n"/>
      <c r="L363" s="11" t="n"/>
      <c r="M363" s="12">
        <f>IF(J363="","",IFERROR(L363/J363,""))</f>
        <v/>
      </c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3">
        <f>SUM(N363:Z363)</f>
        <v/>
      </c>
      <c r="AB363" s="8" t="n"/>
    </row>
    <row r="364" ht="20" customHeight="1">
      <c r="A364" s="6" t="n"/>
      <c r="B364" s="7" t="n"/>
      <c r="C364" s="7" t="n"/>
      <c r="D364" s="7" t="n"/>
      <c r="E364" s="8" t="n"/>
      <c r="F364" s="9">
        <f>IF(E364="","",VALUE(LEFT(E364,FIND(" - ",E364)-1)))</f>
        <v/>
      </c>
      <c r="G364" s="10">
        <f>IF(E364="","",VLOOKUP(F364,Product_Master!A:D,2,FALSE)&amp;"")</f>
        <v/>
      </c>
      <c r="H364" s="9">
        <f>IF(E364="","",VLOOKUP(F364,Product_Master!A:D,3,FALSE)&amp;"")</f>
        <v/>
      </c>
      <c r="I364" s="10">
        <f>IF(E364="","",VLOOKUP(F364,Product_Master!A:D,4,FALSE)&amp;"")</f>
        <v/>
      </c>
      <c r="J364" s="11" t="n"/>
      <c r="K364" s="11" t="n"/>
      <c r="L364" s="11" t="n"/>
      <c r="M364" s="12">
        <f>IF(J364="","",IFERROR(L364/J364,""))</f>
        <v/>
      </c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3">
        <f>SUM(N364:Z364)</f>
        <v/>
      </c>
      <c r="AB364" s="8" t="n"/>
    </row>
    <row r="365" ht="20" customHeight="1">
      <c r="A365" s="6" t="n"/>
      <c r="B365" s="7" t="n"/>
      <c r="C365" s="7" t="n"/>
      <c r="D365" s="7" t="n"/>
      <c r="E365" s="8" t="n"/>
      <c r="F365" s="9">
        <f>IF(E365="","",VALUE(LEFT(E365,FIND(" - ",E365)-1)))</f>
        <v/>
      </c>
      <c r="G365" s="10">
        <f>IF(E365="","",VLOOKUP(F365,Product_Master!A:D,2,FALSE)&amp;"")</f>
        <v/>
      </c>
      <c r="H365" s="9">
        <f>IF(E365="","",VLOOKUP(F365,Product_Master!A:D,3,FALSE)&amp;"")</f>
        <v/>
      </c>
      <c r="I365" s="10">
        <f>IF(E365="","",VLOOKUP(F365,Product_Master!A:D,4,FALSE)&amp;"")</f>
        <v/>
      </c>
      <c r="J365" s="11" t="n"/>
      <c r="K365" s="11" t="n"/>
      <c r="L365" s="11" t="n"/>
      <c r="M365" s="12">
        <f>IF(J365="","",IFERROR(L365/J365,""))</f>
        <v/>
      </c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3">
        <f>SUM(N365:Z365)</f>
        <v/>
      </c>
      <c r="AB365" s="8" t="n"/>
    </row>
    <row r="366" ht="20" customHeight="1">
      <c r="A366" s="6" t="n"/>
      <c r="B366" s="7" t="n"/>
      <c r="C366" s="7" t="n"/>
      <c r="D366" s="7" t="n"/>
      <c r="E366" s="8" t="n"/>
      <c r="F366" s="9">
        <f>IF(E366="","",VALUE(LEFT(E366,FIND(" - ",E366)-1)))</f>
        <v/>
      </c>
      <c r="G366" s="10">
        <f>IF(E366="","",VLOOKUP(F366,Product_Master!A:D,2,FALSE)&amp;"")</f>
        <v/>
      </c>
      <c r="H366" s="9">
        <f>IF(E366="","",VLOOKUP(F366,Product_Master!A:D,3,FALSE)&amp;"")</f>
        <v/>
      </c>
      <c r="I366" s="10">
        <f>IF(E366="","",VLOOKUP(F366,Product_Master!A:D,4,FALSE)&amp;"")</f>
        <v/>
      </c>
      <c r="J366" s="11" t="n"/>
      <c r="K366" s="11" t="n"/>
      <c r="L366" s="11" t="n"/>
      <c r="M366" s="12">
        <f>IF(J366="","",IFERROR(L366/J366,""))</f>
        <v/>
      </c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3">
        <f>SUM(N366:Z366)</f>
        <v/>
      </c>
      <c r="AB366" s="8" t="n"/>
    </row>
    <row r="367" ht="20" customHeight="1">
      <c r="A367" s="6" t="n"/>
      <c r="B367" s="7" t="n"/>
      <c r="C367" s="7" t="n"/>
      <c r="D367" s="7" t="n"/>
      <c r="E367" s="8" t="n"/>
      <c r="F367" s="9">
        <f>IF(E367="","",VALUE(LEFT(E367,FIND(" - ",E367)-1)))</f>
        <v/>
      </c>
      <c r="G367" s="10">
        <f>IF(E367="","",VLOOKUP(F367,Product_Master!A:D,2,FALSE)&amp;"")</f>
        <v/>
      </c>
      <c r="H367" s="9">
        <f>IF(E367="","",VLOOKUP(F367,Product_Master!A:D,3,FALSE)&amp;"")</f>
        <v/>
      </c>
      <c r="I367" s="10">
        <f>IF(E367="","",VLOOKUP(F367,Product_Master!A:D,4,FALSE)&amp;"")</f>
        <v/>
      </c>
      <c r="J367" s="11" t="n"/>
      <c r="K367" s="11" t="n"/>
      <c r="L367" s="11" t="n"/>
      <c r="M367" s="12">
        <f>IF(J367="","",IFERROR(L367/J367,""))</f>
        <v/>
      </c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3">
        <f>SUM(N367:Z367)</f>
        <v/>
      </c>
      <c r="AB367" s="8" t="n"/>
    </row>
    <row r="368" ht="20" customHeight="1">
      <c r="A368" s="6" t="n"/>
      <c r="B368" s="7" t="n"/>
      <c r="C368" s="7" t="n"/>
      <c r="D368" s="7" t="n"/>
      <c r="E368" s="8" t="n"/>
      <c r="F368" s="9">
        <f>IF(E368="","",VALUE(LEFT(E368,FIND(" - ",E368)-1)))</f>
        <v/>
      </c>
      <c r="G368" s="10">
        <f>IF(E368="","",VLOOKUP(F368,Product_Master!A:D,2,FALSE)&amp;"")</f>
        <v/>
      </c>
      <c r="H368" s="9">
        <f>IF(E368="","",VLOOKUP(F368,Product_Master!A:D,3,FALSE)&amp;"")</f>
        <v/>
      </c>
      <c r="I368" s="10">
        <f>IF(E368="","",VLOOKUP(F368,Product_Master!A:D,4,FALSE)&amp;"")</f>
        <v/>
      </c>
      <c r="J368" s="11" t="n"/>
      <c r="K368" s="11" t="n"/>
      <c r="L368" s="11" t="n"/>
      <c r="M368" s="12">
        <f>IF(J368="","",IFERROR(L368/J368,""))</f>
        <v/>
      </c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3">
        <f>SUM(N368:Z368)</f>
        <v/>
      </c>
      <c r="AB368" s="8" t="n"/>
    </row>
    <row r="369" ht="20" customHeight="1">
      <c r="A369" s="6" t="n"/>
      <c r="B369" s="7" t="n"/>
      <c r="C369" s="7" t="n"/>
      <c r="D369" s="7" t="n"/>
      <c r="E369" s="8" t="n"/>
      <c r="F369" s="9">
        <f>IF(E369="","",VALUE(LEFT(E369,FIND(" - ",E369)-1)))</f>
        <v/>
      </c>
      <c r="G369" s="10">
        <f>IF(E369="","",VLOOKUP(F369,Product_Master!A:D,2,FALSE)&amp;"")</f>
        <v/>
      </c>
      <c r="H369" s="9">
        <f>IF(E369="","",VLOOKUP(F369,Product_Master!A:D,3,FALSE)&amp;"")</f>
        <v/>
      </c>
      <c r="I369" s="10">
        <f>IF(E369="","",VLOOKUP(F369,Product_Master!A:D,4,FALSE)&amp;"")</f>
        <v/>
      </c>
      <c r="J369" s="11" t="n"/>
      <c r="K369" s="11" t="n"/>
      <c r="L369" s="11" t="n"/>
      <c r="M369" s="12">
        <f>IF(J369="","",IFERROR(L369/J369,""))</f>
        <v/>
      </c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3">
        <f>SUM(N369:Z369)</f>
        <v/>
      </c>
      <c r="AB369" s="8" t="n"/>
    </row>
    <row r="370" ht="20" customHeight="1">
      <c r="A370" s="6" t="n"/>
      <c r="B370" s="7" t="n"/>
      <c r="C370" s="7" t="n"/>
      <c r="D370" s="7" t="n"/>
      <c r="E370" s="8" t="n"/>
      <c r="F370" s="9">
        <f>IF(E370="","",VALUE(LEFT(E370,FIND(" - ",E370)-1)))</f>
        <v/>
      </c>
      <c r="G370" s="10">
        <f>IF(E370="","",VLOOKUP(F370,Product_Master!A:D,2,FALSE)&amp;"")</f>
        <v/>
      </c>
      <c r="H370" s="9">
        <f>IF(E370="","",VLOOKUP(F370,Product_Master!A:D,3,FALSE)&amp;"")</f>
        <v/>
      </c>
      <c r="I370" s="10">
        <f>IF(E370="","",VLOOKUP(F370,Product_Master!A:D,4,FALSE)&amp;"")</f>
        <v/>
      </c>
      <c r="J370" s="11" t="n"/>
      <c r="K370" s="11" t="n"/>
      <c r="L370" s="11" t="n"/>
      <c r="M370" s="12">
        <f>IF(J370="","",IFERROR(L370/J370,""))</f>
        <v/>
      </c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3">
        <f>SUM(N370:Z370)</f>
        <v/>
      </c>
      <c r="AB370" s="8" t="n"/>
    </row>
    <row r="371" ht="20" customHeight="1">
      <c r="A371" s="6" t="n"/>
      <c r="B371" s="7" t="n"/>
      <c r="C371" s="7" t="n"/>
      <c r="D371" s="7" t="n"/>
      <c r="E371" s="8" t="n"/>
      <c r="F371" s="9">
        <f>IF(E371="","",VALUE(LEFT(E371,FIND(" - ",E371)-1)))</f>
        <v/>
      </c>
      <c r="G371" s="10">
        <f>IF(E371="","",VLOOKUP(F371,Product_Master!A:D,2,FALSE)&amp;"")</f>
        <v/>
      </c>
      <c r="H371" s="9">
        <f>IF(E371="","",VLOOKUP(F371,Product_Master!A:D,3,FALSE)&amp;"")</f>
        <v/>
      </c>
      <c r="I371" s="10">
        <f>IF(E371="","",VLOOKUP(F371,Product_Master!A:D,4,FALSE)&amp;"")</f>
        <v/>
      </c>
      <c r="J371" s="11" t="n"/>
      <c r="K371" s="11" t="n"/>
      <c r="L371" s="11" t="n"/>
      <c r="M371" s="12">
        <f>IF(J371="","",IFERROR(L371/J371,""))</f>
        <v/>
      </c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3">
        <f>SUM(N371:Z371)</f>
        <v/>
      </c>
      <c r="AB371" s="8" t="n"/>
    </row>
    <row r="372" ht="20" customHeight="1">
      <c r="A372" s="6" t="n"/>
      <c r="B372" s="7" t="n"/>
      <c r="C372" s="7" t="n"/>
      <c r="D372" s="7" t="n"/>
      <c r="E372" s="8" t="n"/>
      <c r="F372" s="9">
        <f>IF(E372="","",VALUE(LEFT(E372,FIND(" - ",E372)-1)))</f>
        <v/>
      </c>
      <c r="G372" s="10">
        <f>IF(E372="","",VLOOKUP(F372,Product_Master!A:D,2,FALSE)&amp;"")</f>
        <v/>
      </c>
      <c r="H372" s="9">
        <f>IF(E372="","",VLOOKUP(F372,Product_Master!A:D,3,FALSE)&amp;"")</f>
        <v/>
      </c>
      <c r="I372" s="10">
        <f>IF(E372="","",VLOOKUP(F372,Product_Master!A:D,4,FALSE)&amp;"")</f>
        <v/>
      </c>
      <c r="J372" s="11" t="n"/>
      <c r="K372" s="11" t="n"/>
      <c r="L372" s="11" t="n"/>
      <c r="M372" s="12">
        <f>IF(J372="","",IFERROR(L372/J372,""))</f>
        <v/>
      </c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3">
        <f>SUM(N372:Z372)</f>
        <v/>
      </c>
      <c r="AB372" s="8" t="n"/>
    </row>
    <row r="373" ht="20" customHeight="1">
      <c r="A373" s="6" t="n"/>
      <c r="B373" s="7" t="n"/>
      <c r="C373" s="7" t="n"/>
      <c r="D373" s="7" t="n"/>
      <c r="E373" s="8" t="n"/>
      <c r="F373" s="9">
        <f>IF(E373="","",VALUE(LEFT(E373,FIND(" - ",E373)-1)))</f>
        <v/>
      </c>
      <c r="G373" s="10">
        <f>IF(E373="","",VLOOKUP(F373,Product_Master!A:D,2,FALSE)&amp;"")</f>
        <v/>
      </c>
      <c r="H373" s="9">
        <f>IF(E373="","",VLOOKUP(F373,Product_Master!A:D,3,FALSE)&amp;"")</f>
        <v/>
      </c>
      <c r="I373" s="10">
        <f>IF(E373="","",VLOOKUP(F373,Product_Master!A:D,4,FALSE)&amp;"")</f>
        <v/>
      </c>
      <c r="J373" s="11" t="n"/>
      <c r="K373" s="11" t="n"/>
      <c r="L373" s="11" t="n"/>
      <c r="M373" s="12">
        <f>IF(J373="","",IFERROR(L373/J373,""))</f>
        <v/>
      </c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3">
        <f>SUM(N373:Z373)</f>
        <v/>
      </c>
      <c r="AB373" s="8" t="n"/>
    </row>
    <row r="374" ht="20" customHeight="1">
      <c r="A374" s="6" t="n"/>
      <c r="B374" s="7" t="n"/>
      <c r="C374" s="7" t="n"/>
      <c r="D374" s="7" t="n"/>
      <c r="E374" s="8" t="n"/>
      <c r="F374" s="9">
        <f>IF(E374="","",VALUE(LEFT(E374,FIND(" - ",E374)-1)))</f>
        <v/>
      </c>
      <c r="G374" s="10">
        <f>IF(E374="","",VLOOKUP(F374,Product_Master!A:D,2,FALSE)&amp;"")</f>
        <v/>
      </c>
      <c r="H374" s="9">
        <f>IF(E374="","",VLOOKUP(F374,Product_Master!A:D,3,FALSE)&amp;"")</f>
        <v/>
      </c>
      <c r="I374" s="10">
        <f>IF(E374="","",VLOOKUP(F374,Product_Master!A:D,4,FALSE)&amp;"")</f>
        <v/>
      </c>
      <c r="J374" s="11" t="n"/>
      <c r="K374" s="11" t="n"/>
      <c r="L374" s="11" t="n"/>
      <c r="M374" s="12">
        <f>IF(J374="","",IFERROR(L374/J374,""))</f>
        <v/>
      </c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3">
        <f>SUM(N374:Z374)</f>
        <v/>
      </c>
      <c r="AB374" s="8" t="n"/>
    </row>
    <row r="375" ht="20" customHeight="1">
      <c r="A375" s="6" t="n"/>
      <c r="B375" s="7" t="n"/>
      <c r="C375" s="7" t="n"/>
      <c r="D375" s="7" t="n"/>
      <c r="E375" s="8" t="n"/>
      <c r="F375" s="9">
        <f>IF(E375="","",VALUE(LEFT(E375,FIND(" - ",E375)-1)))</f>
        <v/>
      </c>
      <c r="G375" s="10">
        <f>IF(E375="","",VLOOKUP(F375,Product_Master!A:D,2,FALSE)&amp;"")</f>
        <v/>
      </c>
      <c r="H375" s="9">
        <f>IF(E375="","",VLOOKUP(F375,Product_Master!A:D,3,FALSE)&amp;"")</f>
        <v/>
      </c>
      <c r="I375" s="10">
        <f>IF(E375="","",VLOOKUP(F375,Product_Master!A:D,4,FALSE)&amp;"")</f>
        <v/>
      </c>
      <c r="J375" s="11" t="n"/>
      <c r="K375" s="11" t="n"/>
      <c r="L375" s="11" t="n"/>
      <c r="M375" s="12">
        <f>IF(J375="","",IFERROR(L375/J375,""))</f>
        <v/>
      </c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3">
        <f>SUM(N375:Z375)</f>
        <v/>
      </c>
      <c r="AB375" s="8" t="n"/>
    </row>
    <row r="376" ht="20" customHeight="1">
      <c r="A376" s="6" t="n"/>
      <c r="B376" s="7" t="n"/>
      <c r="C376" s="7" t="n"/>
      <c r="D376" s="7" t="n"/>
      <c r="E376" s="8" t="n"/>
      <c r="F376" s="9">
        <f>IF(E376="","",VALUE(LEFT(E376,FIND(" - ",E376)-1)))</f>
        <v/>
      </c>
      <c r="G376" s="10">
        <f>IF(E376="","",VLOOKUP(F376,Product_Master!A:D,2,FALSE)&amp;"")</f>
        <v/>
      </c>
      <c r="H376" s="9">
        <f>IF(E376="","",VLOOKUP(F376,Product_Master!A:D,3,FALSE)&amp;"")</f>
        <v/>
      </c>
      <c r="I376" s="10">
        <f>IF(E376="","",VLOOKUP(F376,Product_Master!A:D,4,FALSE)&amp;"")</f>
        <v/>
      </c>
      <c r="J376" s="11" t="n"/>
      <c r="K376" s="11" t="n"/>
      <c r="L376" s="11" t="n"/>
      <c r="M376" s="12">
        <f>IF(J376="","",IFERROR(L376/J376,""))</f>
        <v/>
      </c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3">
        <f>SUM(N376:Z376)</f>
        <v/>
      </c>
      <c r="AB376" s="8" t="n"/>
    </row>
    <row r="377" ht="20" customHeight="1">
      <c r="A377" s="6" t="n"/>
      <c r="B377" s="7" t="n"/>
      <c r="C377" s="7" t="n"/>
      <c r="D377" s="7" t="n"/>
      <c r="E377" s="8" t="n"/>
      <c r="F377" s="9">
        <f>IF(E377="","",VALUE(LEFT(E377,FIND(" - ",E377)-1)))</f>
        <v/>
      </c>
      <c r="G377" s="10">
        <f>IF(E377="","",VLOOKUP(F377,Product_Master!A:D,2,FALSE)&amp;"")</f>
        <v/>
      </c>
      <c r="H377" s="9">
        <f>IF(E377="","",VLOOKUP(F377,Product_Master!A:D,3,FALSE)&amp;"")</f>
        <v/>
      </c>
      <c r="I377" s="10">
        <f>IF(E377="","",VLOOKUP(F377,Product_Master!A:D,4,FALSE)&amp;"")</f>
        <v/>
      </c>
      <c r="J377" s="11" t="n"/>
      <c r="K377" s="11" t="n"/>
      <c r="L377" s="11" t="n"/>
      <c r="M377" s="12">
        <f>IF(J377="","",IFERROR(L377/J377,""))</f>
        <v/>
      </c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3">
        <f>SUM(N377:Z377)</f>
        <v/>
      </c>
      <c r="AB377" s="8" t="n"/>
    </row>
    <row r="378" ht="20" customHeight="1">
      <c r="A378" s="6" t="n"/>
      <c r="B378" s="7" t="n"/>
      <c r="C378" s="7" t="n"/>
      <c r="D378" s="7" t="n"/>
      <c r="E378" s="8" t="n"/>
      <c r="F378" s="9">
        <f>IF(E378="","",VALUE(LEFT(E378,FIND(" - ",E378)-1)))</f>
        <v/>
      </c>
      <c r="G378" s="10">
        <f>IF(E378="","",VLOOKUP(F378,Product_Master!A:D,2,FALSE)&amp;"")</f>
        <v/>
      </c>
      <c r="H378" s="9">
        <f>IF(E378="","",VLOOKUP(F378,Product_Master!A:D,3,FALSE)&amp;"")</f>
        <v/>
      </c>
      <c r="I378" s="10">
        <f>IF(E378="","",VLOOKUP(F378,Product_Master!A:D,4,FALSE)&amp;"")</f>
        <v/>
      </c>
      <c r="J378" s="11" t="n"/>
      <c r="K378" s="11" t="n"/>
      <c r="L378" s="11" t="n"/>
      <c r="M378" s="12">
        <f>IF(J378="","",IFERROR(L378/J378,""))</f>
        <v/>
      </c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3">
        <f>SUM(N378:Z378)</f>
        <v/>
      </c>
      <c r="AB378" s="8" t="n"/>
    </row>
    <row r="379" ht="20" customHeight="1">
      <c r="A379" s="6" t="n"/>
      <c r="B379" s="7" t="n"/>
      <c r="C379" s="7" t="n"/>
      <c r="D379" s="7" t="n"/>
      <c r="E379" s="8" t="n"/>
      <c r="F379" s="9">
        <f>IF(E379="","",VALUE(LEFT(E379,FIND(" - ",E379)-1)))</f>
        <v/>
      </c>
      <c r="G379" s="10">
        <f>IF(E379="","",VLOOKUP(F379,Product_Master!A:D,2,FALSE)&amp;"")</f>
        <v/>
      </c>
      <c r="H379" s="9">
        <f>IF(E379="","",VLOOKUP(F379,Product_Master!A:D,3,FALSE)&amp;"")</f>
        <v/>
      </c>
      <c r="I379" s="10">
        <f>IF(E379="","",VLOOKUP(F379,Product_Master!A:D,4,FALSE)&amp;"")</f>
        <v/>
      </c>
      <c r="J379" s="11" t="n"/>
      <c r="K379" s="11" t="n"/>
      <c r="L379" s="11" t="n"/>
      <c r="M379" s="12">
        <f>IF(J379="","",IFERROR(L379/J379,""))</f>
        <v/>
      </c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3">
        <f>SUM(N379:Z379)</f>
        <v/>
      </c>
      <c r="AB379" s="8" t="n"/>
    </row>
    <row r="380" ht="20" customHeight="1">
      <c r="A380" s="6" t="n"/>
      <c r="B380" s="7" t="n"/>
      <c r="C380" s="7" t="n"/>
      <c r="D380" s="7" t="n"/>
      <c r="E380" s="8" t="n"/>
      <c r="F380" s="9">
        <f>IF(E380="","",VALUE(LEFT(E380,FIND(" - ",E380)-1)))</f>
        <v/>
      </c>
      <c r="G380" s="10">
        <f>IF(E380="","",VLOOKUP(F380,Product_Master!A:D,2,FALSE)&amp;"")</f>
        <v/>
      </c>
      <c r="H380" s="9">
        <f>IF(E380="","",VLOOKUP(F380,Product_Master!A:D,3,FALSE)&amp;"")</f>
        <v/>
      </c>
      <c r="I380" s="10">
        <f>IF(E380="","",VLOOKUP(F380,Product_Master!A:D,4,FALSE)&amp;"")</f>
        <v/>
      </c>
      <c r="J380" s="11" t="n"/>
      <c r="K380" s="11" t="n"/>
      <c r="L380" s="11" t="n"/>
      <c r="M380" s="12">
        <f>IF(J380="","",IFERROR(L380/J380,""))</f>
        <v/>
      </c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3">
        <f>SUM(N380:Z380)</f>
        <v/>
      </c>
      <c r="AB380" s="8" t="n"/>
    </row>
    <row r="381" ht="20" customHeight="1">
      <c r="A381" s="6" t="n"/>
      <c r="B381" s="7" t="n"/>
      <c r="C381" s="7" t="n"/>
      <c r="D381" s="7" t="n"/>
      <c r="E381" s="8" t="n"/>
      <c r="F381" s="9">
        <f>IF(E381="","",VALUE(LEFT(E381,FIND(" - ",E381)-1)))</f>
        <v/>
      </c>
      <c r="G381" s="10">
        <f>IF(E381="","",VLOOKUP(F381,Product_Master!A:D,2,FALSE)&amp;"")</f>
        <v/>
      </c>
      <c r="H381" s="9">
        <f>IF(E381="","",VLOOKUP(F381,Product_Master!A:D,3,FALSE)&amp;"")</f>
        <v/>
      </c>
      <c r="I381" s="10">
        <f>IF(E381="","",VLOOKUP(F381,Product_Master!A:D,4,FALSE)&amp;"")</f>
        <v/>
      </c>
      <c r="J381" s="11" t="n"/>
      <c r="K381" s="11" t="n"/>
      <c r="L381" s="11" t="n"/>
      <c r="M381" s="12">
        <f>IF(J381="","",IFERROR(L381/J381,""))</f>
        <v/>
      </c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3">
        <f>SUM(N381:Z381)</f>
        <v/>
      </c>
      <c r="AB381" s="8" t="n"/>
    </row>
    <row r="382" ht="20" customHeight="1">
      <c r="A382" s="6" t="n"/>
      <c r="B382" s="7" t="n"/>
      <c r="C382" s="7" t="n"/>
      <c r="D382" s="7" t="n"/>
      <c r="E382" s="8" t="n"/>
      <c r="F382" s="9">
        <f>IF(E382="","",VALUE(LEFT(E382,FIND(" - ",E382)-1)))</f>
        <v/>
      </c>
      <c r="G382" s="10">
        <f>IF(E382="","",VLOOKUP(F382,Product_Master!A:D,2,FALSE)&amp;"")</f>
        <v/>
      </c>
      <c r="H382" s="9">
        <f>IF(E382="","",VLOOKUP(F382,Product_Master!A:D,3,FALSE)&amp;"")</f>
        <v/>
      </c>
      <c r="I382" s="10">
        <f>IF(E382="","",VLOOKUP(F382,Product_Master!A:D,4,FALSE)&amp;"")</f>
        <v/>
      </c>
      <c r="J382" s="11" t="n"/>
      <c r="K382" s="11" t="n"/>
      <c r="L382" s="11" t="n"/>
      <c r="M382" s="12">
        <f>IF(J382="","",IFERROR(L382/J382,""))</f>
        <v/>
      </c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3">
        <f>SUM(N382:Z382)</f>
        <v/>
      </c>
      <c r="AB382" s="8" t="n"/>
    </row>
    <row r="383" ht="20" customHeight="1">
      <c r="A383" s="6" t="n"/>
      <c r="B383" s="7" t="n"/>
      <c r="C383" s="7" t="n"/>
      <c r="D383" s="7" t="n"/>
      <c r="E383" s="8" t="n"/>
      <c r="F383" s="9">
        <f>IF(E383="","",VALUE(LEFT(E383,FIND(" - ",E383)-1)))</f>
        <v/>
      </c>
      <c r="G383" s="10">
        <f>IF(E383="","",VLOOKUP(F383,Product_Master!A:D,2,FALSE)&amp;"")</f>
        <v/>
      </c>
      <c r="H383" s="9">
        <f>IF(E383="","",VLOOKUP(F383,Product_Master!A:D,3,FALSE)&amp;"")</f>
        <v/>
      </c>
      <c r="I383" s="10">
        <f>IF(E383="","",VLOOKUP(F383,Product_Master!A:D,4,FALSE)&amp;"")</f>
        <v/>
      </c>
      <c r="J383" s="11" t="n"/>
      <c r="K383" s="11" t="n"/>
      <c r="L383" s="11" t="n"/>
      <c r="M383" s="12">
        <f>IF(J383="","",IFERROR(L383/J383,""))</f>
        <v/>
      </c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3">
        <f>SUM(N383:Z383)</f>
        <v/>
      </c>
      <c r="AB383" s="8" t="n"/>
    </row>
    <row r="384" ht="20" customHeight="1">
      <c r="A384" s="6" t="n"/>
      <c r="B384" s="7" t="n"/>
      <c r="C384" s="7" t="n"/>
      <c r="D384" s="7" t="n"/>
      <c r="E384" s="8" t="n"/>
      <c r="F384" s="9">
        <f>IF(E384="","",VALUE(LEFT(E384,FIND(" - ",E384)-1)))</f>
        <v/>
      </c>
      <c r="G384" s="10">
        <f>IF(E384="","",VLOOKUP(F384,Product_Master!A:D,2,FALSE)&amp;"")</f>
        <v/>
      </c>
      <c r="H384" s="9">
        <f>IF(E384="","",VLOOKUP(F384,Product_Master!A:D,3,FALSE)&amp;"")</f>
        <v/>
      </c>
      <c r="I384" s="10">
        <f>IF(E384="","",VLOOKUP(F384,Product_Master!A:D,4,FALSE)&amp;"")</f>
        <v/>
      </c>
      <c r="J384" s="11" t="n"/>
      <c r="K384" s="11" t="n"/>
      <c r="L384" s="11" t="n"/>
      <c r="M384" s="12">
        <f>IF(J384="","",IFERROR(L384/J384,""))</f>
        <v/>
      </c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3">
        <f>SUM(N384:Z384)</f>
        <v/>
      </c>
      <c r="AB384" s="8" t="n"/>
    </row>
    <row r="385" ht="20" customHeight="1">
      <c r="A385" s="6" t="n"/>
      <c r="B385" s="7" t="n"/>
      <c r="C385" s="7" t="n"/>
      <c r="D385" s="7" t="n"/>
      <c r="E385" s="8" t="n"/>
      <c r="F385" s="9">
        <f>IF(E385="","",VALUE(LEFT(E385,FIND(" - ",E385)-1)))</f>
        <v/>
      </c>
      <c r="G385" s="10">
        <f>IF(E385="","",VLOOKUP(F385,Product_Master!A:D,2,FALSE)&amp;"")</f>
        <v/>
      </c>
      <c r="H385" s="9">
        <f>IF(E385="","",VLOOKUP(F385,Product_Master!A:D,3,FALSE)&amp;"")</f>
        <v/>
      </c>
      <c r="I385" s="10">
        <f>IF(E385="","",VLOOKUP(F385,Product_Master!A:D,4,FALSE)&amp;"")</f>
        <v/>
      </c>
      <c r="J385" s="11" t="n"/>
      <c r="K385" s="11" t="n"/>
      <c r="L385" s="11" t="n"/>
      <c r="M385" s="12">
        <f>IF(J385="","",IFERROR(L385/J385,""))</f>
        <v/>
      </c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3">
        <f>SUM(N385:Z385)</f>
        <v/>
      </c>
      <c r="AB385" s="8" t="n"/>
    </row>
    <row r="386" ht="20" customHeight="1">
      <c r="A386" s="6" t="n"/>
      <c r="B386" s="7" t="n"/>
      <c r="C386" s="7" t="n"/>
      <c r="D386" s="7" t="n"/>
      <c r="E386" s="8" t="n"/>
      <c r="F386" s="9">
        <f>IF(E386="","",VALUE(LEFT(E386,FIND(" - ",E386)-1)))</f>
        <v/>
      </c>
      <c r="G386" s="10">
        <f>IF(E386="","",VLOOKUP(F386,Product_Master!A:D,2,FALSE)&amp;"")</f>
        <v/>
      </c>
      <c r="H386" s="9">
        <f>IF(E386="","",VLOOKUP(F386,Product_Master!A:D,3,FALSE)&amp;"")</f>
        <v/>
      </c>
      <c r="I386" s="10">
        <f>IF(E386="","",VLOOKUP(F386,Product_Master!A:D,4,FALSE)&amp;"")</f>
        <v/>
      </c>
      <c r="J386" s="11" t="n"/>
      <c r="K386" s="11" t="n"/>
      <c r="L386" s="11" t="n"/>
      <c r="M386" s="12">
        <f>IF(J386="","",IFERROR(L386/J386,""))</f>
        <v/>
      </c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3">
        <f>SUM(N386:Z386)</f>
        <v/>
      </c>
      <c r="AB386" s="8" t="n"/>
    </row>
    <row r="387" ht="20" customHeight="1">
      <c r="A387" s="6" t="n"/>
      <c r="B387" s="7" t="n"/>
      <c r="C387" s="7" t="n"/>
      <c r="D387" s="7" t="n"/>
      <c r="E387" s="8" t="n"/>
      <c r="F387" s="9">
        <f>IF(E387="","",VALUE(LEFT(E387,FIND(" - ",E387)-1)))</f>
        <v/>
      </c>
      <c r="G387" s="10">
        <f>IF(E387="","",VLOOKUP(F387,Product_Master!A:D,2,FALSE)&amp;"")</f>
        <v/>
      </c>
      <c r="H387" s="9">
        <f>IF(E387="","",VLOOKUP(F387,Product_Master!A:D,3,FALSE)&amp;"")</f>
        <v/>
      </c>
      <c r="I387" s="10">
        <f>IF(E387="","",VLOOKUP(F387,Product_Master!A:D,4,FALSE)&amp;"")</f>
        <v/>
      </c>
      <c r="J387" s="11" t="n"/>
      <c r="K387" s="11" t="n"/>
      <c r="L387" s="11" t="n"/>
      <c r="M387" s="12">
        <f>IF(J387="","",IFERROR(L387/J387,""))</f>
        <v/>
      </c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3">
        <f>SUM(N387:Z387)</f>
        <v/>
      </c>
      <c r="AB387" s="8" t="n"/>
    </row>
    <row r="388" ht="20" customHeight="1">
      <c r="A388" s="6" t="n"/>
      <c r="B388" s="7" t="n"/>
      <c r="C388" s="7" t="n"/>
      <c r="D388" s="7" t="n"/>
      <c r="E388" s="8" t="n"/>
      <c r="F388" s="9">
        <f>IF(E388="","",VALUE(LEFT(E388,FIND(" - ",E388)-1)))</f>
        <v/>
      </c>
      <c r="G388" s="10">
        <f>IF(E388="","",VLOOKUP(F388,Product_Master!A:D,2,FALSE)&amp;"")</f>
        <v/>
      </c>
      <c r="H388" s="9">
        <f>IF(E388="","",VLOOKUP(F388,Product_Master!A:D,3,FALSE)&amp;"")</f>
        <v/>
      </c>
      <c r="I388" s="10">
        <f>IF(E388="","",VLOOKUP(F388,Product_Master!A:D,4,FALSE)&amp;"")</f>
        <v/>
      </c>
      <c r="J388" s="11" t="n"/>
      <c r="K388" s="11" t="n"/>
      <c r="L388" s="11" t="n"/>
      <c r="M388" s="12">
        <f>IF(J388="","",IFERROR(L388/J388,""))</f>
        <v/>
      </c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3">
        <f>SUM(N388:Z388)</f>
        <v/>
      </c>
      <c r="AB388" s="8" t="n"/>
    </row>
    <row r="389" ht="20" customHeight="1">
      <c r="A389" s="6" t="n"/>
      <c r="B389" s="7" t="n"/>
      <c r="C389" s="7" t="n"/>
      <c r="D389" s="7" t="n"/>
      <c r="E389" s="8" t="n"/>
      <c r="F389" s="9">
        <f>IF(E389="","",VALUE(LEFT(E389,FIND(" - ",E389)-1)))</f>
        <v/>
      </c>
      <c r="G389" s="10">
        <f>IF(E389="","",VLOOKUP(F389,Product_Master!A:D,2,FALSE)&amp;"")</f>
        <v/>
      </c>
      <c r="H389" s="9">
        <f>IF(E389="","",VLOOKUP(F389,Product_Master!A:D,3,FALSE)&amp;"")</f>
        <v/>
      </c>
      <c r="I389" s="10">
        <f>IF(E389="","",VLOOKUP(F389,Product_Master!A:D,4,FALSE)&amp;"")</f>
        <v/>
      </c>
      <c r="J389" s="11" t="n"/>
      <c r="K389" s="11" t="n"/>
      <c r="L389" s="11" t="n"/>
      <c r="M389" s="12">
        <f>IF(J389="","",IFERROR(L389/J389,""))</f>
        <v/>
      </c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3">
        <f>SUM(N389:Z389)</f>
        <v/>
      </c>
      <c r="AB389" s="8" t="n"/>
    </row>
    <row r="390" ht="20" customHeight="1">
      <c r="A390" s="6" t="n"/>
      <c r="B390" s="7" t="n"/>
      <c r="C390" s="7" t="n"/>
      <c r="D390" s="7" t="n"/>
      <c r="E390" s="8" t="n"/>
      <c r="F390" s="9">
        <f>IF(E390="","",VALUE(LEFT(E390,FIND(" - ",E390)-1)))</f>
        <v/>
      </c>
      <c r="G390" s="10">
        <f>IF(E390="","",VLOOKUP(F390,Product_Master!A:D,2,FALSE)&amp;"")</f>
        <v/>
      </c>
      <c r="H390" s="9">
        <f>IF(E390="","",VLOOKUP(F390,Product_Master!A:D,3,FALSE)&amp;"")</f>
        <v/>
      </c>
      <c r="I390" s="10">
        <f>IF(E390="","",VLOOKUP(F390,Product_Master!A:D,4,FALSE)&amp;"")</f>
        <v/>
      </c>
      <c r="J390" s="11" t="n"/>
      <c r="K390" s="11" t="n"/>
      <c r="L390" s="11" t="n"/>
      <c r="M390" s="12">
        <f>IF(J390="","",IFERROR(L390/J390,""))</f>
        <v/>
      </c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3">
        <f>SUM(N390:Z390)</f>
        <v/>
      </c>
      <c r="AB390" s="8" t="n"/>
    </row>
    <row r="391" ht="20" customHeight="1">
      <c r="A391" s="6" t="n"/>
      <c r="B391" s="7" t="n"/>
      <c r="C391" s="7" t="n"/>
      <c r="D391" s="7" t="n"/>
      <c r="E391" s="8" t="n"/>
      <c r="F391" s="9">
        <f>IF(E391="","",VALUE(LEFT(E391,FIND(" - ",E391)-1)))</f>
        <v/>
      </c>
      <c r="G391" s="10">
        <f>IF(E391="","",VLOOKUP(F391,Product_Master!A:D,2,FALSE)&amp;"")</f>
        <v/>
      </c>
      <c r="H391" s="9">
        <f>IF(E391="","",VLOOKUP(F391,Product_Master!A:D,3,FALSE)&amp;"")</f>
        <v/>
      </c>
      <c r="I391" s="10">
        <f>IF(E391="","",VLOOKUP(F391,Product_Master!A:D,4,FALSE)&amp;"")</f>
        <v/>
      </c>
      <c r="J391" s="11" t="n"/>
      <c r="K391" s="11" t="n"/>
      <c r="L391" s="11" t="n"/>
      <c r="M391" s="12">
        <f>IF(J391="","",IFERROR(L391/J391,""))</f>
        <v/>
      </c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3">
        <f>SUM(N391:Z391)</f>
        <v/>
      </c>
      <c r="AB391" s="8" t="n"/>
    </row>
    <row r="392" ht="20" customHeight="1">
      <c r="A392" s="6" t="n"/>
      <c r="B392" s="7" t="n"/>
      <c r="C392" s="7" t="n"/>
      <c r="D392" s="7" t="n"/>
      <c r="E392" s="8" t="n"/>
      <c r="F392" s="9">
        <f>IF(E392="","",VALUE(LEFT(E392,FIND(" - ",E392)-1)))</f>
        <v/>
      </c>
      <c r="G392" s="10">
        <f>IF(E392="","",VLOOKUP(F392,Product_Master!A:D,2,FALSE)&amp;"")</f>
        <v/>
      </c>
      <c r="H392" s="9">
        <f>IF(E392="","",VLOOKUP(F392,Product_Master!A:D,3,FALSE)&amp;"")</f>
        <v/>
      </c>
      <c r="I392" s="10">
        <f>IF(E392="","",VLOOKUP(F392,Product_Master!A:D,4,FALSE)&amp;"")</f>
        <v/>
      </c>
      <c r="J392" s="11" t="n"/>
      <c r="K392" s="11" t="n"/>
      <c r="L392" s="11" t="n"/>
      <c r="M392" s="12">
        <f>IF(J392="","",IFERROR(L392/J392,""))</f>
        <v/>
      </c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3">
        <f>SUM(N392:Z392)</f>
        <v/>
      </c>
      <c r="AB392" s="8" t="n"/>
    </row>
    <row r="393" ht="20" customHeight="1">
      <c r="A393" s="6" t="n"/>
      <c r="B393" s="7" t="n"/>
      <c r="C393" s="7" t="n"/>
      <c r="D393" s="7" t="n"/>
      <c r="E393" s="8" t="n"/>
      <c r="F393" s="9">
        <f>IF(E393="","",VALUE(LEFT(E393,FIND(" - ",E393)-1)))</f>
        <v/>
      </c>
      <c r="G393" s="10">
        <f>IF(E393="","",VLOOKUP(F393,Product_Master!A:D,2,FALSE)&amp;"")</f>
        <v/>
      </c>
      <c r="H393" s="9">
        <f>IF(E393="","",VLOOKUP(F393,Product_Master!A:D,3,FALSE)&amp;"")</f>
        <v/>
      </c>
      <c r="I393" s="10">
        <f>IF(E393="","",VLOOKUP(F393,Product_Master!A:D,4,FALSE)&amp;"")</f>
        <v/>
      </c>
      <c r="J393" s="11" t="n"/>
      <c r="K393" s="11" t="n"/>
      <c r="L393" s="11" t="n"/>
      <c r="M393" s="12">
        <f>IF(J393="","",IFERROR(L393/J393,""))</f>
        <v/>
      </c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3">
        <f>SUM(N393:Z393)</f>
        <v/>
      </c>
      <c r="AB393" s="8" t="n"/>
    </row>
    <row r="394" ht="20" customHeight="1">
      <c r="A394" s="6" t="n"/>
      <c r="B394" s="7" t="n"/>
      <c r="C394" s="7" t="n"/>
      <c r="D394" s="7" t="n"/>
      <c r="E394" s="8" t="n"/>
      <c r="F394" s="9">
        <f>IF(E394="","",VALUE(LEFT(E394,FIND(" - ",E394)-1)))</f>
        <v/>
      </c>
      <c r="G394" s="10">
        <f>IF(E394="","",VLOOKUP(F394,Product_Master!A:D,2,FALSE)&amp;"")</f>
        <v/>
      </c>
      <c r="H394" s="9">
        <f>IF(E394="","",VLOOKUP(F394,Product_Master!A:D,3,FALSE)&amp;"")</f>
        <v/>
      </c>
      <c r="I394" s="10">
        <f>IF(E394="","",VLOOKUP(F394,Product_Master!A:D,4,FALSE)&amp;"")</f>
        <v/>
      </c>
      <c r="J394" s="11" t="n"/>
      <c r="K394" s="11" t="n"/>
      <c r="L394" s="11" t="n"/>
      <c r="M394" s="12">
        <f>IF(J394="","",IFERROR(L394/J394,""))</f>
        <v/>
      </c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3">
        <f>SUM(N394:Z394)</f>
        <v/>
      </c>
      <c r="AB394" s="8" t="n"/>
    </row>
    <row r="395" ht="20" customHeight="1">
      <c r="A395" s="6" t="n"/>
      <c r="B395" s="7" t="n"/>
      <c r="C395" s="7" t="n"/>
      <c r="D395" s="7" t="n"/>
      <c r="E395" s="8" t="n"/>
      <c r="F395" s="9">
        <f>IF(E395="","",VALUE(LEFT(E395,FIND(" - ",E395)-1)))</f>
        <v/>
      </c>
      <c r="G395" s="10">
        <f>IF(E395="","",VLOOKUP(F395,Product_Master!A:D,2,FALSE)&amp;"")</f>
        <v/>
      </c>
      <c r="H395" s="9">
        <f>IF(E395="","",VLOOKUP(F395,Product_Master!A:D,3,FALSE)&amp;"")</f>
        <v/>
      </c>
      <c r="I395" s="10">
        <f>IF(E395="","",VLOOKUP(F395,Product_Master!A:D,4,FALSE)&amp;"")</f>
        <v/>
      </c>
      <c r="J395" s="11" t="n"/>
      <c r="K395" s="11" t="n"/>
      <c r="L395" s="11" t="n"/>
      <c r="M395" s="12">
        <f>IF(J395="","",IFERROR(L395/J395,""))</f>
        <v/>
      </c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3">
        <f>SUM(N395:Z395)</f>
        <v/>
      </c>
      <c r="AB395" s="8" t="n"/>
    </row>
    <row r="396" ht="20" customHeight="1">
      <c r="A396" s="6" t="n"/>
      <c r="B396" s="7" t="n"/>
      <c r="C396" s="7" t="n"/>
      <c r="D396" s="7" t="n"/>
      <c r="E396" s="8" t="n"/>
      <c r="F396" s="9">
        <f>IF(E396="","",VALUE(LEFT(E396,FIND(" - ",E396)-1)))</f>
        <v/>
      </c>
      <c r="G396" s="10">
        <f>IF(E396="","",VLOOKUP(F396,Product_Master!A:D,2,FALSE)&amp;"")</f>
        <v/>
      </c>
      <c r="H396" s="9">
        <f>IF(E396="","",VLOOKUP(F396,Product_Master!A:D,3,FALSE)&amp;"")</f>
        <v/>
      </c>
      <c r="I396" s="10">
        <f>IF(E396="","",VLOOKUP(F396,Product_Master!A:D,4,FALSE)&amp;"")</f>
        <v/>
      </c>
      <c r="J396" s="11" t="n"/>
      <c r="K396" s="11" t="n"/>
      <c r="L396" s="11" t="n"/>
      <c r="M396" s="12">
        <f>IF(J396="","",IFERROR(L396/J396,""))</f>
        <v/>
      </c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3">
        <f>SUM(N396:Z396)</f>
        <v/>
      </c>
      <c r="AB396" s="8" t="n"/>
    </row>
    <row r="397" ht="20" customHeight="1">
      <c r="A397" s="6" t="n"/>
      <c r="B397" s="7" t="n"/>
      <c r="C397" s="7" t="n"/>
      <c r="D397" s="7" t="n"/>
      <c r="E397" s="8" t="n"/>
      <c r="F397" s="9">
        <f>IF(E397="","",VALUE(LEFT(E397,FIND(" - ",E397)-1)))</f>
        <v/>
      </c>
      <c r="G397" s="10">
        <f>IF(E397="","",VLOOKUP(F397,Product_Master!A:D,2,FALSE)&amp;"")</f>
        <v/>
      </c>
      <c r="H397" s="9">
        <f>IF(E397="","",VLOOKUP(F397,Product_Master!A:D,3,FALSE)&amp;"")</f>
        <v/>
      </c>
      <c r="I397" s="10">
        <f>IF(E397="","",VLOOKUP(F397,Product_Master!A:D,4,FALSE)&amp;"")</f>
        <v/>
      </c>
      <c r="J397" s="11" t="n"/>
      <c r="K397" s="11" t="n"/>
      <c r="L397" s="11" t="n"/>
      <c r="M397" s="12">
        <f>IF(J397="","",IFERROR(L397/J397,""))</f>
        <v/>
      </c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3">
        <f>SUM(N397:Z397)</f>
        <v/>
      </c>
      <c r="AB397" s="8" t="n"/>
    </row>
    <row r="398" ht="20" customHeight="1">
      <c r="A398" s="6" t="n"/>
      <c r="B398" s="7" t="n"/>
      <c r="C398" s="7" t="n"/>
      <c r="D398" s="7" t="n"/>
      <c r="E398" s="8" t="n"/>
      <c r="F398" s="9">
        <f>IF(E398="","",VALUE(LEFT(E398,FIND(" - ",E398)-1)))</f>
        <v/>
      </c>
      <c r="G398" s="10">
        <f>IF(E398="","",VLOOKUP(F398,Product_Master!A:D,2,FALSE)&amp;"")</f>
        <v/>
      </c>
      <c r="H398" s="9">
        <f>IF(E398="","",VLOOKUP(F398,Product_Master!A:D,3,FALSE)&amp;"")</f>
        <v/>
      </c>
      <c r="I398" s="10">
        <f>IF(E398="","",VLOOKUP(F398,Product_Master!A:D,4,FALSE)&amp;"")</f>
        <v/>
      </c>
      <c r="J398" s="11" t="n"/>
      <c r="K398" s="11" t="n"/>
      <c r="L398" s="11" t="n"/>
      <c r="M398" s="12">
        <f>IF(J398="","",IFERROR(L398/J398,""))</f>
        <v/>
      </c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3">
        <f>SUM(N398:Z398)</f>
        <v/>
      </c>
      <c r="AB398" s="8" t="n"/>
    </row>
    <row r="399" ht="20" customHeight="1">
      <c r="A399" s="6" t="n"/>
      <c r="B399" s="7" t="n"/>
      <c r="C399" s="7" t="n"/>
      <c r="D399" s="7" t="n"/>
      <c r="E399" s="8" t="n"/>
      <c r="F399" s="9">
        <f>IF(E399="","",VALUE(LEFT(E399,FIND(" - ",E399)-1)))</f>
        <v/>
      </c>
      <c r="G399" s="10">
        <f>IF(E399="","",VLOOKUP(F399,Product_Master!A:D,2,FALSE)&amp;"")</f>
        <v/>
      </c>
      <c r="H399" s="9">
        <f>IF(E399="","",VLOOKUP(F399,Product_Master!A:D,3,FALSE)&amp;"")</f>
        <v/>
      </c>
      <c r="I399" s="10">
        <f>IF(E399="","",VLOOKUP(F399,Product_Master!A:D,4,FALSE)&amp;"")</f>
        <v/>
      </c>
      <c r="J399" s="11" t="n"/>
      <c r="K399" s="11" t="n"/>
      <c r="L399" s="11" t="n"/>
      <c r="M399" s="12">
        <f>IF(J399="","",IFERROR(L399/J399,""))</f>
        <v/>
      </c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3">
        <f>SUM(N399:Z399)</f>
        <v/>
      </c>
      <c r="AB399" s="8" t="n"/>
    </row>
    <row r="400" ht="20" customHeight="1">
      <c r="A400" s="6" t="n"/>
      <c r="B400" s="7" t="n"/>
      <c r="C400" s="7" t="n"/>
      <c r="D400" s="7" t="n"/>
      <c r="E400" s="8" t="n"/>
      <c r="F400" s="9">
        <f>IF(E400="","",VALUE(LEFT(E400,FIND(" - ",E400)-1)))</f>
        <v/>
      </c>
      <c r="G400" s="10">
        <f>IF(E400="","",VLOOKUP(F400,Product_Master!A:D,2,FALSE)&amp;"")</f>
        <v/>
      </c>
      <c r="H400" s="9">
        <f>IF(E400="","",VLOOKUP(F400,Product_Master!A:D,3,FALSE)&amp;"")</f>
        <v/>
      </c>
      <c r="I400" s="10">
        <f>IF(E400="","",VLOOKUP(F400,Product_Master!A:D,4,FALSE)&amp;"")</f>
        <v/>
      </c>
      <c r="J400" s="11" t="n"/>
      <c r="K400" s="11" t="n"/>
      <c r="L400" s="11" t="n"/>
      <c r="M400" s="12">
        <f>IF(J400="","",IFERROR(L400/J400,""))</f>
        <v/>
      </c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3">
        <f>SUM(N400:Z400)</f>
        <v/>
      </c>
      <c r="AB400" s="8" t="n"/>
    </row>
    <row r="401" ht="20" customHeight="1">
      <c r="A401" s="6" t="n"/>
      <c r="B401" s="7" t="n"/>
      <c r="C401" s="7" t="n"/>
      <c r="D401" s="7" t="n"/>
      <c r="E401" s="8" t="n"/>
      <c r="F401" s="9">
        <f>IF(E401="","",VALUE(LEFT(E401,FIND(" - ",E401)-1)))</f>
        <v/>
      </c>
      <c r="G401" s="10">
        <f>IF(E401="","",VLOOKUP(F401,Product_Master!A:D,2,FALSE)&amp;"")</f>
        <v/>
      </c>
      <c r="H401" s="9">
        <f>IF(E401="","",VLOOKUP(F401,Product_Master!A:D,3,FALSE)&amp;"")</f>
        <v/>
      </c>
      <c r="I401" s="10">
        <f>IF(E401="","",VLOOKUP(F401,Product_Master!A:D,4,FALSE)&amp;"")</f>
        <v/>
      </c>
      <c r="J401" s="11" t="n"/>
      <c r="K401" s="11" t="n"/>
      <c r="L401" s="11" t="n"/>
      <c r="M401" s="12">
        <f>IF(J401="","",IFERROR(L401/J401,""))</f>
        <v/>
      </c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3">
        <f>SUM(N401:Z401)</f>
        <v/>
      </c>
      <c r="AB401" s="8" t="n"/>
    </row>
    <row r="402" ht="20" customHeight="1">
      <c r="A402" s="6" t="n"/>
      <c r="B402" s="7" t="n"/>
      <c r="C402" s="7" t="n"/>
      <c r="D402" s="7" t="n"/>
      <c r="E402" s="8" t="n"/>
      <c r="F402" s="9">
        <f>IF(E402="","",VALUE(LEFT(E402,FIND(" - ",E402)-1)))</f>
        <v/>
      </c>
      <c r="G402" s="10">
        <f>IF(E402="","",VLOOKUP(F402,Product_Master!A:D,2,FALSE)&amp;"")</f>
        <v/>
      </c>
      <c r="H402" s="9">
        <f>IF(E402="","",VLOOKUP(F402,Product_Master!A:D,3,FALSE)&amp;"")</f>
        <v/>
      </c>
      <c r="I402" s="10">
        <f>IF(E402="","",VLOOKUP(F402,Product_Master!A:D,4,FALSE)&amp;"")</f>
        <v/>
      </c>
      <c r="J402" s="11" t="n"/>
      <c r="K402" s="11" t="n"/>
      <c r="L402" s="11" t="n"/>
      <c r="M402" s="12">
        <f>IF(J402="","",IFERROR(L402/J402,""))</f>
        <v/>
      </c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3">
        <f>SUM(N402:Z402)</f>
        <v/>
      </c>
      <c r="AB402" s="8" t="n"/>
    </row>
    <row r="403" ht="20" customHeight="1">
      <c r="A403" s="6" t="n"/>
      <c r="B403" s="7" t="n"/>
      <c r="C403" s="7" t="n"/>
      <c r="D403" s="7" t="n"/>
      <c r="E403" s="8" t="n"/>
      <c r="F403" s="9">
        <f>IF(E403="","",VALUE(LEFT(E403,FIND(" - ",E403)-1)))</f>
        <v/>
      </c>
      <c r="G403" s="10">
        <f>IF(E403="","",VLOOKUP(F403,Product_Master!A:D,2,FALSE)&amp;"")</f>
        <v/>
      </c>
      <c r="H403" s="9">
        <f>IF(E403="","",VLOOKUP(F403,Product_Master!A:D,3,FALSE)&amp;"")</f>
        <v/>
      </c>
      <c r="I403" s="10">
        <f>IF(E403="","",VLOOKUP(F403,Product_Master!A:D,4,FALSE)&amp;"")</f>
        <v/>
      </c>
      <c r="J403" s="11" t="n"/>
      <c r="K403" s="11" t="n"/>
      <c r="L403" s="11" t="n"/>
      <c r="M403" s="12">
        <f>IF(J403="","",IFERROR(L403/J403,""))</f>
        <v/>
      </c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3">
        <f>SUM(N403:Z403)</f>
        <v/>
      </c>
      <c r="AB403" s="8" t="n"/>
    </row>
    <row r="404" ht="20" customHeight="1">
      <c r="A404" s="6" t="n"/>
      <c r="B404" s="7" t="n"/>
      <c r="C404" s="7" t="n"/>
      <c r="D404" s="7" t="n"/>
      <c r="E404" s="8" t="n"/>
      <c r="F404" s="9">
        <f>IF(E404="","",VALUE(LEFT(E404,FIND(" - ",E404)-1)))</f>
        <v/>
      </c>
      <c r="G404" s="10">
        <f>IF(E404="","",VLOOKUP(F404,Product_Master!A:D,2,FALSE)&amp;"")</f>
        <v/>
      </c>
      <c r="H404" s="9">
        <f>IF(E404="","",VLOOKUP(F404,Product_Master!A:D,3,FALSE)&amp;"")</f>
        <v/>
      </c>
      <c r="I404" s="10">
        <f>IF(E404="","",VLOOKUP(F404,Product_Master!A:D,4,FALSE)&amp;"")</f>
        <v/>
      </c>
      <c r="J404" s="11" t="n"/>
      <c r="K404" s="11" t="n"/>
      <c r="L404" s="11" t="n"/>
      <c r="M404" s="12">
        <f>IF(J404="","",IFERROR(L404/J404,""))</f>
        <v/>
      </c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3">
        <f>SUM(N404:Z404)</f>
        <v/>
      </c>
      <c r="AB404" s="8" t="n"/>
    </row>
    <row r="405" ht="20" customHeight="1">
      <c r="A405" s="6" t="n"/>
      <c r="B405" s="7" t="n"/>
      <c r="C405" s="7" t="n"/>
      <c r="D405" s="7" t="n"/>
      <c r="E405" s="8" t="n"/>
      <c r="F405" s="9">
        <f>IF(E405="","",VALUE(LEFT(E405,FIND(" - ",E405)-1)))</f>
        <v/>
      </c>
      <c r="G405" s="10">
        <f>IF(E405="","",VLOOKUP(F405,Product_Master!A:D,2,FALSE)&amp;"")</f>
        <v/>
      </c>
      <c r="H405" s="9">
        <f>IF(E405="","",VLOOKUP(F405,Product_Master!A:D,3,FALSE)&amp;"")</f>
        <v/>
      </c>
      <c r="I405" s="10">
        <f>IF(E405="","",VLOOKUP(F405,Product_Master!A:D,4,FALSE)&amp;"")</f>
        <v/>
      </c>
      <c r="J405" s="11" t="n"/>
      <c r="K405" s="11" t="n"/>
      <c r="L405" s="11" t="n"/>
      <c r="M405" s="12">
        <f>IF(J405="","",IFERROR(L405/J405,""))</f>
        <v/>
      </c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3">
        <f>SUM(N405:Z405)</f>
        <v/>
      </c>
      <c r="AB405" s="8" t="n"/>
    </row>
    <row r="406" ht="20" customHeight="1">
      <c r="A406" s="6" t="n"/>
      <c r="B406" s="7" t="n"/>
      <c r="C406" s="7" t="n"/>
      <c r="D406" s="7" t="n"/>
      <c r="E406" s="8" t="n"/>
      <c r="F406" s="9">
        <f>IF(E406="","",VALUE(LEFT(E406,FIND(" - ",E406)-1)))</f>
        <v/>
      </c>
      <c r="G406" s="10">
        <f>IF(E406="","",VLOOKUP(F406,Product_Master!A:D,2,FALSE)&amp;"")</f>
        <v/>
      </c>
      <c r="H406" s="9">
        <f>IF(E406="","",VLOOKUP(F406,Product_Master!A:D,3,FALSE)&amp;"")</f>
        <v/>
      </c>
      <c r="I406" s="10">
        <f>IF(E406="","",VLOOKUP(F406,Product_Master!A:D,4,FALSE)&amp;"")</f>
        <v/>
      </c>
      <c r="J406" s="11" t="n"/>
      <c r="K406" s="11" t="n"/>
      <c r="L406" s="11" t="n"/>
      <c r="M406" s="12">
        <f>IF(J406="","",IFERROR(L406/J406,""))</f>
        <v/>
      </c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3">
        <f>SUM(N406:Z406)</f>
        <v/>
      </c>
      <c r="AB406" s="8" t="n"/>
    </row>
    <row r="407" ht="20" customHeight="1">
      <c r="A407" s="6" t="n"/>
      <c r="B407" s="7" t="n"/>
      <c r="C407" s="7" t="n"/>
      <c r="D407" s="7" t="n"/>
      <c r="E407" s="8" t="n"/>
      <c r="F407" s="9">
        <f>IF(E407="","",VALUE(LEFT(E407,FIND(" - ",E407)-1)))</f>
        <v/>
      </c>
      <c r="G407" s="10">
        <f>IF(E407="","",VLOOKUP(F407,Product_Master!A:D,2,FALSE)&amp;"")</f>
        <v/>
      </c>
      <c r="H407" s="9">
        <f>IF(E407="","",VLOOKUP(F407,Product_Master!A:D,3,FALSE)&amp;"")</f>
        <v/>
      </c>
      <c r="I407" s="10">
        <f>IF(E407="","",VLOOKUP(F407,Product_Master!A:D,4,FALSE)&amp;"")</f>
        <v/>
      </c>
      <c r="J407" s="11" t="n"/>
      <c r="K407" s="11" t="n"/>
      <c r="L407" s="11" t="n"/>
      <c r="M407" s="12">
        <f>IF(J407="","",IFERROR(L407/J407,""))</f>
        <v/>
      </c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3">
        <f>SUM(N407:Z407)</f>
        <v/>
      </c>
      <c r="AB407" s="8" t="n"/>
    </row>
    <row r="408" ht="20" customHeight="1">
      <c r="A408" s="6" t="n"/>
      <c r="B408" s="7" t="n"/>
      <c r="C408" s="7" t="n"/>
      <c r="D408" s="7" t="n"/>
      <c r="E408" s="8" t="n"/>
      <c r="F408" s="9">
        <f>IF(E408="","",VALUE(LEFT(E408,FIND(" - ",E408)-1)))</f>
        <v/>
      </c>
      <c r="G408" s="10">
        <f>IF(E408="","",VLOOKUP(F408,Product_Master!A:D,2,FALSE)&amp;"")</f>
        <v/>
      </c>
      <c r="H408" s="9">
        <f>IF(E408="","",VLOOKUP(F408,Product_Master!A:D,3,FALSE)&amp;"")</f>
        <v/>
      </c>
      <c r="I408" s="10">
        <f>IF(E408="","",VLOOKUP(F408,Product_Master!A:D,4,FALSE)&amp;"")</f>
        <v/>
      </c>
      <c r="J408" s="11" t="n"/>
      <c r="K408" s="11" t="n"/>
      <c r="L408" s="11" t="n"/>
      <c r="M408" s="12">
        <f>IF(J408="","",IFERROR(L408/J408,""))</f>
        <v/>
      </c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3">
        <f>SUM(N408:Z408)</f>
        <v/>
      </c>
      <c r="AB408" s="8" t="n"/>
    </row>
    <row r="409" ht="20" customHeight="1">
      <c r="A409" s="6" t="n"/>
      <c r="B409" s="7" t="n"/>
      <c r="C409" s="7" t="n"/>
      <c r="D409" s="7" t="n"/>
      <c r="E409" s="8" t="n"/>
      <c r="F409" s="9">
        <f>IF(E409="","",VALUE(LEFT(E409,FIND(" - ",E409)-1)))</f>
        <v/>
      </c>
      <c r="G409" s="10">
        <f>IF(E409="","",VLOOKUP(F409,Product_Master!A:D,2,FALSE)&amp;"")</f>
        <v/>
      </c>
      <c r="H409" s="9">
        <f>IF(E409="","",VLOOKUP(F409,Product_Master!A:D,3,FALSE)&amp;"")</f>
        <v/>
      </c>
      <c r="I409" s="10">
        <f>IF(E409="","",VLOOKUP(F409,Product_Master!A:D,4,FALSE)&amp;"")</f>
        <v/>
      </c>
      <c r="J409" s="11" t="n"/>
      <c r="K409" s="11" t="n"/>
      <c r="L409" s="11" t="n"/>
      <c r="M409" s="12">
        <f>IF(J409="","",IFERROR(L409/J409,""))</f>
        <v/>
      </c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3">
        <f>SUM(N409:Z409)</f>
        <v/>
      </c>
      <c r="AB409" s="8" t="n"/>
    </row>
    <row r="410" ht="20" customHeight="1">
      <c r="A410" s="6" t="n"/>
      <c r="B410" s="7" t="n"/>
      <c r="C410" s="7" t="n"/>
      <c r="D410" s="7" t="n"/>
      <c r="E410" s="8" t="n"/>
      <c r="F410" s="9">
        <f>IF(E410="","",VALUE(LEFT(E410,FIND(" - ",E410)-1)))</f>
        <v/>
      </c>
      <c r="G410" s="10">
        <f>IF(E410="","",VLOOKUP(F410,Product_Master!A:D,2,FALSE)&amp;"")</f>
        <v/>
      </c>
      <c r="H410" s="9">
        <f>IF(E410="","",VLOOKUP(F410,Product_Master!A:D,3,FALSE)&amp;"")</f>
        <v/>
      </c>
      <c r="I410" s="10">
        <f>IF(E410="","",VLOOKUP(F410,Product_Master!A:D,4,FALSE)&amp;"")</f>
        <v/>
      </c>
      <c r="J410" s="11" t="n"/>
      <c r="K410" s="11" t="n"/>
      <c r="L410" s="11" t="n"/>
      <c r="M410" s="12">
        <f>IF(J410="","",IFERROR(L410/J410,""))</f>
        <v/>
      </c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3">
        <f>SUM(N410:Z410)</f>
        <v/>
      </c>
      <c r="AB410" s="8" t="n"/>
    </row>
    <row r="411" ht="20" customHeight="1">
      <c r="A411" s="6" t="n"/>
      <c r="B411" s="7" t="n"/>
      <c r="C411" s="7" t="n"/>
      <c r="D411" s="7" t="n"/>
      <c r="E411" s="8" t="n"/>
      <c r="F411" s="9">
        <f>IF(E411="","",VALUE(LEFT(E411,FIND(" - ",E411)-1)))</f>
        <v/>
      </c>
      <c r="G411" s="10">
        <f>IF(E411="","",VLOOKUP(F411,Product_Master!A:D,2,FALSE)&amp;"")</f>
        <v/>
      </c>
      <c r="H411" s="9">
        <f>IF(E411="","",VLOOKUP(F411,Product_Master!A:D,3,FALSE)&amp;"")</f>
        <v/>
      </c>
      <c r="I411" s="10">
        <f>IF(E411="","",VLOOKUP(F411,Product_Master!A:D,4,FALSE)&amp;"")</f>
        <v/>
      </c>
      <c r="J411" s="11" t="n"/>
      <c r="K411" s="11" t="n"/>
      <c r="L411" s="11" t="n"/>
      <c r="M411" s="12">
        <f>IF(J411="","",IFERROR(L411/J411,""))</f>
        <v/>
      </c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3">
        <f>SUM(N411:Z411)</f>
        <v/>
      </c>
      <c r="AB411" s="8" t="n"/>
    </row>
    <row r="412" ht="20" customHeight="1">
      <c r="A412" s="6" t="n"/>
      <c r="B412" s="7" t="n"/>
      <c r="C412" s="7" t="n"/>
      <c r="D412" s="7" t="n"/>
      <c r="E412" s="8" t="n"/>
      <c r="F412" s="9">
        <f>IF(E412="","",VALUE(LEFT(E412,FIND(" - ",E412)-1)))</f>
        <v/>
      </c>
      <c r="G412" s="10">
        <f>IF(E412="","",VLOOKUP(F412,Product_Master!A:D,2,FALSE)&amp;"")</f>
        <v/>
      </c>
      <c r="H412" s="9">
        <f>IF(E412="","",VLOOKUP(F412,Product_Master!A:D,3,FALSE)&amp;"")</f>
        <v/>
      </c>
      <c r="I412" s="10">
        <f>IF(E412="","",VLOOKUP(F412,Product_Master!A:D,4,FALSE)&amp;"")</f>
        <v/>
      </c>
      <c r="J412" s="11" t="n"/>
      <c r="K412" s="11" t="n"/>
      <c r="L412" s="11" t="n"/>
      <c r="M412" s="12">
        <f>IF(J412="","",IFERROR(L412/J412,""))</f>
        <v/>
      </c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3">
        <f>SUM(N412:Z412)</f>
        <v/>
      </c>
      <c r="AB412" s="8" t="n"/>
    </row>
    <row r="413" ht="20" customHeight="1">
      <c r="A413" s="6" t="n"/>
      <c r="B413" s="7" t="n"/>
      <c r="C413" s="7" t="n"/>
      <c r="D413" s="7" t="n"/>
      <c r="E413" s="8" t="n"/>
      <c r="F413" s="9">
        <f>IF(E413="","",VALUE(LEFT(E413,FIND(" - ",E413)-1)))</f>
        <v/>
      </c>
      <c r="G413" s="10">
        <f>IF(E413="","",VLOOKUP(F413,Product_Master!A:D,2,FALSE)&amp;"")</f>
        <v/>
      </c>
      <c r="H413" s="9">
        <f>IF(E413="","",VLOOKUP(F413,Product_Master!A:D,3,FALSE)&amp;"")</f>
        <v/>
      </c>
      <c r="I413" s="10">
        <f>IF(E413="","",VLOOKUP(F413,Product_Master!A:D,4,FALSE)&amp;"")</f>
        <v/>
      </c>
      <c r="J413" s="11" t="n"/>
      <c r="K413" s="11" t="n"/>
      <c r="L413" s="11" t="n"/>
      <c r="M413" s="12">
        <f>IF(J413="","",IFERROR(L413/J413,""))</f>
        <v/>
      </c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3">
        <f>SUM(N413:Z413)</f>
        <v/>
      </c>
      <c r="AB413" s="8" t="n"/>
    </row>
    <row r="414" ht="20" customHeight="1">
      <c r="A414" s="6" t="n"/>
      <c r="B414" s="7" t="n"/>
      <c r="C414" s="7" t="n"/>
      <c r="D414" s="7" t="n"/>
      <c r="E414" s="8" t="n"/>
      <c r="F414" s="9">
        <f>IF(E414="","",VALUE(LEFT(E414,FIND(" - ",E414)-1)))</f>
        <v/>
      </c>
      <c r="G414" s="10">
        <f>IF(E414="","",VLOOKUP(F414,Product_Master!A:D,2,FALSE)&amp;"")</f>
        <v/>
      </c>
      <c r="H414" s="9">
        <f>IF(E414="","",VLOOKUP(F414,Product_Master!A:D,3,FALSE)&amp;"")</f>
        <v/>
      </c>
      <c r="I414" s="10">
        <f>IF(E414="","",VLOOKUP(F414,Product_Master!A:D,4,FALSE)&amp;"")</f>
        <v/>
      </c>
      <c r="J414" s="11" t="n"/>
      <c r="K414" s="11" t="n"/>
      <c r="L414" s="11" t="n"/>
      <c r="M414" s="12">
        <f>IF(J414="","",IFERROR(L414/J414,""))</f>
        <v/>
      </c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3">
        <f>SUM(N414:Z414)</f>
        <v/>
      </c>
      <c r="AB414" s="8" t="n"/>
    </row>
    <row r="415" ht="20" customHeight="1">
      <c r="A415" s="6" t="n"/>
      <c r="B415" s="7" t="n"/>
      <c r="C415" s="7" t="n"/>
      <c r="D415" s="7" t="n"/>
      <c r="E415" s="8" t="n"/>
      <c r="F415" s="9">
        <f>IF(E415="","",VALUE(LEFT(E415,FIND(" - ",E415)-1)))</f>
        <v/>
      </c>
      <c r="G415" s="10">
        <f>IF(E415="","",VLOOKUP(F415,Product_Master!A:D,2,FALSE)&amp;"")</f>
        <v/>
      </c>
      <c r="H415" s="9">
        <f>IF(E415="","",VLOOKUP(F415,Product_Master!A:D,3,FALSE)&amp;"")</f>
        <v/>
      </c>
      <c r="I415" s="10">
        <f>IF(E415="","",VLOOKUP(F415,Product_Master!A:D,4,FALSE)&amp;"")</f>
        <v/>
      </c>
      <c r="J415" s="11" t="n"/>
      <c r="K415" s="11" t="n"/>
      <c r="L415" s="11" t="n"/>
      <c r="M415" s="12">
        <f>IF(J415="","",IFERROR(L415/J415,""))</f>
        <v/>
      </c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3">
        <f>SUM(N415:Z415)</f>
        <v/>
      </c>
      <c r="AB415" s="8" t="n"/>
    </row>
    <row r="416" ht="20" customHeight="1">
      <c r="A416" s="6" t="n"/>
      <c r="B416" s="7" t="n"/>
      <c r="C416" s="7" t="n"/>
      <c r="D416" s="7" t="n"/>
      <c r="E416" s="8" t="n"/>
      <c r="F416" s="9">
        <f>IF(E416="","",VALUE(LEFT(E416,FIND(" - ",E416)-1)))</f>
        <v/>
      </c>
      <c r="G416" s="10">
        <f>IF(E416="","",VLOOKUP(F416,Product_Master!A:D,2,FALSE)&amp;"")</f>
        <v/>
      </c>
      <c r="H416" s="9">
        <f>IF(E416="","",VLOOKUP(F416,Product_Master!A:D,3,FALSE)&amp;"")</f>
        <v/>
      </c>
      <c r="I416" s="10">
        <f>IF(E416="","",VLOOKUP(F416,Product_Master!A:D,4,FALSE)&amp;"")</f>
        <v/>
      </c>
      <c r="J416" s="11" t="n"/>
      <c r="K416" s="11" t="n"/>
      <c r="L416" s="11" t="n"/>
      <c r="M416" s="12">
        <f>IF(J416="","",IFERROR(L416/J416,""))</f>
        <v/>
      </c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3">
        <f>SUM(N416:Z416)</f>
        <v/>
      </c>
      <c r="AB416" s="8" t="n"/>
    </row>
    <row r="417" ht="20" customHeight="1">
      <c r="A417" s="6" t="n"/>
      <c r="B417" s="7" t="n"/>
      <c r="C417" s="7" t="n"/>
      <c r="D417" s="7" t="n"/>
      <c r="E417" s="8" t="n"/>
      <c r="F417" s="9">
        <f>IF(E417="","",VALUE(LEFT(E417,FIND(" - ",E417)-1)))</f>
        <v/>
      </c>
      <c r="G417" s="10">
        <f>IF(E417="","",VLOOKUP(F417,Product_Master!A:D,2,FALSE)&amp;"")</f>
        <v/>
      </c>
      <c r="H417" s="9">
        <f>IF(E417="","",VLOOKUP(F417,Product_Master!A:D,3,FALSE)&amp;"")</f>
        <v/>
      </c>
      <c r="I417" s="10">
        <f>IF(E417="","",VLOOKUP(F417,Product_Master!A:D,4,FALSE)&amp;"")</f>
        <v/>
      </c>
      <c r="J417" s="11" t="n"/>
      <c r="K417" s="11" t="n"/>
      <c r="L417" s="11" t="n"/>
      <c r="M417" s="12">
        <f>IF(J417="","",IFERROR(L417/J417,""))</f>
        <v/>
      </c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3">
        <f>SUM(N417:Z417)</f>
        <v/>
      </c>
      <c r="AB417" s="8" t="n"/>
    </row>
    <row r="418" ht="20" customHeight="1">
      <c r="A418" s="6" t="n"/>
      <c r="B418" s="7" t="n"/>
      <c r="C418" s="7" t="n"/>
      <c r="D418" s="7" t="n"/>
      <c r="E418" s="8" t="n"/>
      <c r="F418" s="9">
        <f>IF(E418="","",VALUE(LEFT(E418,FIND(" - ",E418)-1)))</f>
        <v/>
      </c>
      <c r="G418" s="10">
        <f>IF(E418="","",VLOOKUP(F418,Product_Master!A:D,2,FALSE)&amp;"")</f>
        <v/>
      </c>
      <c r="H418" s="9">
        <f>IF(E418="","",VLOOKUP(F418,Product_Master!A:D,3,FALSE)&amp;"")</f>
        <v/>
      </c>
      <c r="I418" s="10">
        <f>IF(E418="","",VLOOKUP(F418,Product_Master!A:D,4,FALSE)&amp;"")</f>
        <v/>
      </c>
      <c r="J418" s="11" t="n"/>
      <c r="K418" s="11" t="n"/>
      <c r="L418" s="11" t="n"/>
      <c r="M418" s="12">
        <f>IF(J418="","",IFERROR(L418/J418,""))</f>
        <v/>
      </c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3">
        <f>SUM(N418:Z418)</f>
        <v/>
      </c>
      <c r="AB418" s="8" t="n"/>
    </row>
    <row r="419" ht="20" customHeight="1">
      <c r="A419" s="6" t="n"/>
      <c r="B419" s="7" t="n"/>
      <c r="C419" s="7" t="n"/>
      <c r="D419" s="7" t="n"/>
      <c r="E419" s="8" t="n"/>
      <c r="F419" s="9">
        <f>IF(E419="","",VALUE(LEFT(E419,FIND(" - ",E419)-1)))</f>
        <v/>
      </c>
      <c r="G419" s="10">
        <f>IF(E419="","",VLOOKUP(F419,Product_Master!A:D,2,FALSE)&amp;"")</f>
        <v/>
      </c>
      <c r="H419" s="9">
        <f>IF(E419="","",VLOOKUP(F419,Product_Master!A:D,3,FALSE)&amp;"")</f>
        <v/>
      </c>
      <c r="I419" s="10">
        <f>IF(E419="","",VLOOKUP(F419,Product_Master!A:D,4,FALSE)&amp;"")</f>
        <v/>
      </c>
      <c r="J419" s="11" t="n"/>
      <c r="K419" s="11" t="n"/>
      <c r="L419" s="11" t="n"/>
      <c r="M419" s="12">
        <f>IF(J419="","",IFERROR(L419/J419,""))</f>
        <v/>
      </c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3">
        <f>SUM(N419:Z419)</f>
        <v/>
      </c>
      <c r="AB419" s="8" t="n"/>
    </row>
    <row r="420" ht="20" customHeight="1">
      <c r="A420" s="6" t="n"/>
      <c r="B420" s="7" t="n"/>
      <c r="C420" s="7" t="n"/>
      <c r="D420" s="7" t="n"/>
      <c r="E420" s="8" t="n"/>
      <c r="F420" s="9">
        <f>IF(E420="","",VALUE(LEFT(E420,FIND(" - ",E420)-1)))</f>
        <v/>
      </c>
      <c r="G420" s="10">
        <f>IF(E420="","",VLOOKUP(F420,Product_Master!A:D,2,FALSE)&amp;"")</f>
        <v/>
      </c>
      <c r="H420" s="9">
        <f>IF(E420="","",VLOOKUP(F420,Product_Master!A:D,3,FALSE)&amp;"")</f>
        <v/>
      </c>
      <c r="I420" s="10">
        <f>IF(E420="","",VLOOKUP(F420,Product_Master!A:D,4,FALSE)&amp;"")</f>
        <v/>
      </c>
      <c r="J420" s="11" t="n"/>
      <c r="K420" s="11" t="n"/>
      <c r="L420" s="11" t="n"/>
      <c r="M420" s="12">
        <f>IF(J420="","",IFERROR(L420/J420,""))</f>
        <v/>
      </c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3">
        <f>SUM(N420:Z420)</f>
        <v/>
      </c>
      <c r="AB420" s="8" t="n"/>
    </row>
    <row r="421" ht="20" customHeight="1">
      <c r="A421" s="6" t="n"/>
      <c r="B421" s="7" t="n"/>
      <c r="C421" s="7" t="n"/>
      <c r="D421" s="7" t="n"/>
      <c r="E421" s="8" t="n"/>
      <c r="F421" s="9">
        <f>IF(E421="","",VALUE(LEFT(E421,FIND(" - ",E421)-1)))</f>
        <v/>
      </c>
      <c r="G421" s="10">
        <f>IF(E421="","",VLOOKUP(F421,Product_Master!A:D,2,FALSE)&amp;"")</f>
        <v/>
      </c>
      <c r="H421" s="9">
        <f>IF(E421="","",VLOOKUP(F421,Product_Master!A:D,3,FALSE)&amp;"")</f>
        <v/>
      </c>
      <c r="I421" s="10">
        <f>IF(E421="","",VLOOKUP(F421,Product_Master!A:D,4,FALSE)&amp;"")</f>
        <v/>
      </c>
      <c r="J421" s="11" t="n"/>
      <c r="K421" s="11" t="n"/>
      <c r="L421" s="11" t="n"/>
      <c r="M421" s="12">
        <f>IF(J421="","",IFERROR(L421/J421,""))</f>
        <v/>
      </c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3">
        <f>SUM(N421:Z421)</f>
        <v/>
      </c>
      <c r="AB421" s="8" t="n"/>
    </row>
    <row r="422" ht="20" customHeight="1">
      <c r="A422" s="6" t="n"/>
      <c r="B422" s="7" t="n"/>
      <c r="C422" s="7" t="n"/>
      <c r="D422" s="7" t="n"/>
      <c r="E422" s="8" t="n"/>
      <c r="F422" s="9">
        <f>IF(E422="","",VALUE(LEFT(E422,FIND(" - ",E422)-1)))</f>
        <v/>
      </c>
      <c r="G422" s="10">
        <f>IF(E422="","",VLOOKUP(F422,Product_Master!A:D,2,FALSE)&amp;"")</f>
        <v/>
      </c>
      <c r="H422" s="9">
        <f>IF(E422="","",VLOOKUP(F422,Product_Master!A:D,3,FALSE)&amp;"")</f>
        <v/>
      </c>
      <c r="I422" s="10">
        <f>IF(E422="","",VLOOKUP(F422,Product_Master!A:D,4,FALSE)&amp;"")</f>
        <v/>
      </c>
      <c r="J422" s="11" t="n"/>
      <c r="K422" s="11" t="n"/>
      <c r="L422" s="11" t="n"/>
      <c r="M422" s="12">
        <f>IF(J422="","",IFERROR(L422/J422,""))</f>
        <v/>
      </c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3">
        <f>SUM(N422:Z422)</f>
        <v/>
      </c>
      <c r="AB422" s="8" t="n"/>
    </row>
    <row r="423" ht="20" customHeight="1">
      <c r="A423" s="6" t="n"/>
      <c r="B423" s="7" t="n"/>
      <c r="C423" s="7" t="n"/>
      <c r="D423" s="7" t="n"/>
      <c r="E423" s="8" t="n"/>
      <c r="F423" s="9">
        <f>IF(E423="","",VALUE(LEFT(E423,FIND(" - ",E423)-1)))</f>
        <v/>
      </c>
      <c r="G423" s="10">
        <f>IF(E423="","",VLOOKUP(F423,Product_Master!A:D,2,FALSE)&amp;"")</f>
        <v/>
      </c>
      <c r="H423" s="9">
        <f>IF(E423="","",VLOOKUP(F423,Product_Master!A:D,3,FALSE)&amp;"")</f>
        <v/>
      </c>
      <c r="I423" s="10">
        <f>IF(E423="","",VLOOKUP(F423,Product_Master!A:D,4,FALSE)&amp;"")</f>
        <v/>
      </c>
      <c r="J423" s="11" t="n"/>
      <c r="K423" s="11" t="n"/>
      <c r="L423" s="11" t="n"/>
      <c r="M423" s="12">
        <f>IF(J423="","",IFERROR(L423/J423,""))</f>
        <v/>
      </c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3">
        <f>SUM(N423:Z423)</f>
        <v/>
      </c>
      <c r="AB423" s="8" t="n"/>
    </row>
    <row r="424" ht="20" customHeight="1">
      <c r="A424" s="6" t="n"/>
      <c r="B424" s="7" t="n"/>
      <c r="C424" s="7" t="n"/>
      <c r="D424" s="7" t="n"/>
      <c r="E424" s="8" t="n"/>
      <c r="F424" s="9">
        <f>IF(E424="","",VALUE(LEFT(E424,FIND(" - ",E424)-1)))</f>
        <v/>
      </c>
      <c r="G424" s="10">
        <f>IF(E424="","",VLOOKUP(F424,Product_Master!A:D,2,FALSE)&amp;"")</f>
        <v/>
      </c>
      <c r="H424" s="9">
        <f>IF(E424="","",VLOOKUP(F424,Product_Master!A:D,3,FALSE)&amp;"")</f>
        <v/>
      </c>
      <c r="I424" s="10">
        <f>IF(E424="","",VLOOKUP(F424,Product_Master!A:D,4,FALSE)&amp;"")</f>
        <v/>
      </c>
      <c r="J424" s="11" t="n"/>
      <c r="K424" s="11" t="n"/>
      <c r="L424" s="11" t="n"/>
      <c r="M424" s="12">
        <f>IF(J424="","",IFERROR(L424/J424,""))</f>
        <v/>
      </c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3">
        <f>SUM(N424:Z424)</f>
        <v/>
      </c>
      <c r="AB424" s="8" t="n"/>
    </row>
    <row r="425" ht="20" customHeight="1">
      <c r="A425" s="6" t="n"/>
      <c r="B425" s="7" t="n"/>
      <c r="C425" s="7" t="n"/>
      <c r="D425" s="7" t="n"/>
      <c r="E425" s="8" t="n"/>
      <c r="F425" s="9">
        <f>IF(E425="","",VALUE(LEFT(E425,FIND(" - ",E425)-1)))</f>
        <v/>
      </c>
      <c r="G425" s="10">
        <f>IF(E425="","",VLOOKUP(F425,Product_Master!A:D,2,FALSE)&amp;"")</f>
        <v/>
      </c>
      <c r="H425" s="9">
        <f>IF(E425="","",VLOOKUP(F425,Product_Master!A:D,3,FALSE)&amp;"")</f>
        <v/>
      </c>
      <c r="I425" s="10">
        <f>IF(E425="","",VLOOKUP(F425,Product_Master!A:D,4,FALSE)&amp;"")</f>
        <v/>
      </c>
      <c r="J425" s="11" t="n"/>
      <c r="K425" s="11" t="n"/>
      <c r="L425" s="11" t="n"/>
      <c r="M425" s="12">
        <f>IF(J425="","",IFERROR(L425/J425,""))</f>
        <v/>
      </c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3">
        <f>SUM(N425:Z425)</f>
        <v/>
      </c>
      <c r="AB425" s="8" t="n"/>
    </row>
    <row r="426" ht="20" customHeight="1">
      <c r="A426" s="6" t="n"/>
      <c r="B426" s="7" t="n"/>
      <c r="C426" s="7" t="n"/>
      <c r="D426" s="7" t="n"/>
      <c r="E426" s="8" t="n"/>
      <c r="F426" s="9">
        <f>IF(E426="","",VALUE(LEFT(E426,FIND(" - ",E426)-1)))</f>
        <v/>
      </c>
      <c r="G426" s="10">
        <f>IF(E426="","",VLOOKUP(F426,Product_Master!A:D,2,FALSE)&amp;"")</f>
        <v/>
      </c>
      <c r="H426" s="9">
        <f>IF(E426="","",VLOOKUP(F426,Product_Master!A:D,3,FALSE)&amp;"")</f>
        <v/>
      </c>
      <c r="I426" s="10">
        <f>IF(E426="","",VLOOKUP(F426,Product_Master!A:D,4,FALSE)&amp;"")</f>
        <v/>
      </c>
      <c r="J426" s="11" t="n"/>
      <c r="K426" s="11" t="n"/>
      <c r="L426" s="11" t="n"/>
      <c r="M426" s="12">
        <f>IF(J426="","",IFERROR(L426/J426,""))</f>
        <v/>
      </c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3">
        <f>SUM(N426:Z426)</f>
        <v/>
      </c>
      <c r="AB426" s="8" t="n"/>
    </row>
    <row r="427" ht="20" customHeight="1">
      <c r="A427" s="6" t="n"/>
      <c r="B427" s="7" t="n"/>
      <c r="C427" s="7" t="n"/>
      <c r="D427" s="7" t="n"/>
      <c r="E427" s="8" t="n"/>
      <c r="F427" s="9">
        <f>IF(E427="","",VALUE(LEFT(E427,FIND(" - ",E427)-1)))</f>
        <v/>
      </c>
      <c r="G427" s="10">
        <f>IF(E427="","",VLOOKUP(F427,Product_Master!A:D,2,FALSE)&amp;"")</f>
        <v/>
      </c>
      <c r="H427" s="9">
        <f>IF(E427="","",VLOOKUP(F427,Product_Master!A:D,3,FALSE)&amp;"")</f>
        <v/>
      </c>
      <c r="I427" s="10">
        <f>IF(E427="","",VLOOKUP(F427,Product_Master!A:D,4,FALSE)&amp;"")</f>
        <v/>
      </c>
      <c r="J427" s="11" t="n"/>
      <c r="K427" s="11" t="n"/>
      <c r="L427" s="11" t="n"/>
      <c r="M427" s="12">
        <f>IF(J427="","",IFERROR(L427/J427,""))</f>
        <v/>
      </c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3">
        <f>SUM(N427:Z427)</f>
        <v/>
      </c>
      <c r="AB427" s="8" t="n"/>
    </row>
    <row r="428" ht="20" customHeight="1">
      <c r="A428" s="6" t="n"/>
      <c r="B428" s="7" t="n"/>
      <c r="C428" s="7" t="n"/>
      <c r="D428" s="7" t="n"/>
      <c r="E428" s="8" t="n"/>
      <c r="F428" s="9">
        <f>IF(E428="","",VALUE(LEFT(E428,FIND(" - ",E428)-1)))</f>
        <v/>
      </c>
      <c r="G428" s="10">
        <f>IF(E428="","",VLOOKUP(F428,Product_Master!A:D,2,FALSE)&amp;"")</f>
        <v/>
      </c>
      <c r="H428" s="9">
        <f>IF(E428="","",VLOOKUP(F428,Product_Master!A:D,3,FALSE)&amp;"")</f>
        <v/>
      </c>
      <c r="I428" s="10">
        <f>IF(E428="","",VLOOKUP(F428,Product_Master!A:D,4,FALSE)&amp;"")</f>
        <v/>
      </c>
      <c r="J428" s="11" t="n"/>
      <c r="K428" s="11" t="n"/>
      <c r="L428" s="11" t="n"/>
      <c r="M428" s="12">
        <f>IF(J428="","",IFERROR(L428/J428,""))</f>
        <v/>
      </c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3">
        <f>SUM(N428:Z428)</f>
        <v/>
      </c>
      <c r="AB428" s="8" t="n"/>
    </row>
    <row r="429" ht="20" customHeight="1">
      <c r="A429" s="6" t="n"/>
      <c r="B429" s="7" t="n"/>
      <c r="C429" s="7" t="n"/>
      <c r="D429" s="7" t="n"/>
      <c r="E429" s="8" t="n"/>
      <c r="F429" s="9">
        <f>IF(E429="","",VALUE(LEFT(E429,FIND(" - ",E429)-1)))</f>
        <v/>
      </c>
      <c r="G429" s="10">
        <f>IF(E429="","",VLOOKUP(F429,Product_Master!A:D,2,FALSE)&amp;"")</f>
        <v/>
      </c>
      <c r="H429" s="9">
        <f>IF(E429="","",VLOOKUP(F429,Product_Master!A:D,3,FALSE)&amp;"")</f>
        <v/>
      </c>
      <c r="I429" s="10">
        <f>IF(E429="","",VLOOKUP(F429,Product_Master!A:D,4,FALSE)&amp;"")</f>
        <v/>
      </c>
      <c r="J429" s="11" t="n"/>
      <c r="K429" s="11" t="n"/>
      <c r="L429" s="11" t="n"/>
      <c r="M429" s="12">
        <f>IF(J429="","",IFERROR(L429/J429,""))</f>
        <v/>
      </c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3">
        <f>SUM(N429:Z429)</f>
        <v/>
      </c>
      <c r="AB429" s="8" t="n"/>
    </row>
    <row r="430" ht="20" customHeight="1">
      <c r="A430" s="6" t="n"/>
      <c r="B430" s="7" t="n"/>
      <c r="C430" s="7" t="n"/>
      <c r="D430" s="7" t="n"/>
      <c r="E430" s="8" t="n"/>
      <c r="F430" s="9">
        <f>IF(E430="","",VALUE(LEFT(E430,FIND(" - ",E430)-1)))</f>
        <v/>
      </c>
      <c r="G430" s="10">
        <f>IF(E430="","",VLOOKUP(F430,Product_Master!A:D,2,FALSE)&amp;"")</f>
        <v/>
      </c>
      <c r="H430" s="9">
        <f>IF(E430="","",VLOOKUP(F430,Product_Master!A:D,3,FALSE)&amp;"")</f>
        <v/>
      </c>
      <c r="I430" s="10">
        <f>IF(E430="","",VLOOKUP(F430,Product_Master!A:D,4,FALSE)&amp;"")</f>
        <v/>
      </c>
      <c r="J430" s="11" t="n"/>
      <c r="K430" s="11" t="n"/>
      <c r="L430" s="11" t="n"/>
      <c r="M430" s="12">
        <f>IF(J430="","",IFERROR(L430/J430,""))</f>
        <v/>
      </c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3">
        <f>SUM(N430:Z430)</f>
        <v/>
      </c>
      <c r="AB430" s="8" t="n"/>
    </row>
    <row r="431" ht="20" customHeight="1">
      <c r="A431" s="6" t="n"/>
      <c r="B431" s="7" t="n"/>
      <c r="C431" s="7" t="n"/>
      <c r="D431" s="7" t="n"/>
      <c r="E431" s="8" t="n"/>
      <c r="F431" s="9">
        <f>IF(E431="","",VALUE(LEFT(E431,FIND(" - ",E431)-1)))</f>
        <v/>
      </c>
      <c r="G431" s="10">
        <f>IF(E431="","",VLOOKUP(F431,Product_Master!A:D,2,FALSE)&amp;"")</f>
        <v/>
      </c>
      <c r="H431" s="9">
        <f>IF(E431="","",VLOOKUP(F431,Product_Master!A:D,3,FALSE)&amp;"")</f>
        <v/>
      </c>
      <c r="I431" s="10">
        <f>IF(E431="","",VLOOKUP(F431,Product_Master!A:D,4,FALSE)&amp;"")</f>
        <v/>
      </c>
      <c r="J431" s="11" t="n"/>
      <c r="K431" s="11" t="n"/>
      <c r="L431" s="11" t="n"/>
      <c r="M431" s="12">
        <f>IF(J431="","",IFERROR(L431/J431,""))</f>
        <v/>
      </c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3">
        <f>SUM(N431:Z431)</f>
        <v/>
      </c>
      <c r="AB431" s="8" t="n"/>
    </row>
    <row r="432" ht="20" customHeight="1">
      <c r="A432" s="6" t="n"/>
      <c r="B432" s="7" t="n"/>
      <c r="C432" s="7" t="n"/>
      <c r="D432" s="7" t="n"/>
      <c r="E432" s="8" t="n"/>
      <c r="F432" s="9">
        <f>IF(E432="","",VALUE(LEFT(E432,FIND(" - ",E432)-1)))</f>
        <v/>
      </c>
      <c r="G432" s="10">
        <f>IF(E432="","",VLOOKUP(F432,Product_Master!A:D,2,FALSE)&amp;"")</f>
        <v/>
      </c>
      <c r="H432" s="9">
        <f>IF(E432="","",VLOOKUP(F432,Product_Master!A:D,3,FALSE)&amp;"")</f>
        <v/>
      </c>
      <c r="I432" s="10">
        <f>IF(E432="","",VLOOKUP(F432,Product_Master!A:D,4,FALSE)&amp;"")</f>
        <v/>
      </c>
      <c r="J432" s="11" t="n"/>
      <c r="K432" s="11" t="n"/>
      <c r="L432" s="11" t="n"/>
      <c r="M432" s="12">
        <f>IF(J432="","",IFERROR(L432/J432,""))</f>
        <v/>
      </c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3">
        <f>SUM(N432:Z432)</f>
        <v/>
      </c>
      <c r="AB432" s="8" t="n"/>
    </row>
    <row r="433" ht="20" customHeight="1">
      <c r="A433" s="6" t="n"/>
      <c r="B433" s="7" t="n"/>
      <c r="C433" s="7" t="n"/>
      <c r="D433" s="7" t="n"/>
      <c r="E433" s="8" t="n"/>
      <c r="F433" s="9">
        <f>IF(E433="","",VALUE(LEFT(E433,FIND(" - ",E433)-1)))</f>
        <v/>
      </c>
      <c r="G433" s="10">
        <f>IF(E433="","",VLOOKUP(F433,Product_Master!A:D,2,FALSE)&amp;"")</f>
        <v/>
      </c>
      <c r="H433" s="9">
        <f>IF(E433="","",VLOOKUP(F433,Product_Master!A:D,3,FALSE)&amp;"")</f>
        <v/>
      </c>
      <c r="I433" s="10">
        <f>IF(E433="","",VLOOKUP(F433,Product_Master!A:D,4,FALSE)&amp;"")</f>
        <v/>
      </c>
      <c r="J433" s="11" t="n"/>
      <c r="K433" s="11" t="n"/>
      <c r="L433" s="11" t="n"/>
      <c r="M433" s="12">
        <f>IF(J433="","",IFERROR(L433/J433,""))</f>
        <v/>
      </c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3">
        <f>SUM(N433:Z433)</f>
        <v/>
      </c>
      <c r="AB433" s="8" t="n"/>
    </row>
    <row r="434" ht="20" customHeight="1">
      <c r="A434" s="6" t="n"/>
      <c r="B434" s="7" t="n"/>
      <c r="C434" s="7" t="n"/>
      <c r="D434" s="7" t="n"/>
      <c r="E434" s="8" t="n"/>
      <c r="F434" s="9">
        <f>IF(E434="","",VALUE(LEFT(E434,FIND(" - ",E434)-1)))</f>
        <v/>
      </c>
      <c r="G434" s="10">
        <f>IF(E434="","",VLOOKUP(F434,Product_Master!A:D,2,FALSE)&amp;"")</f>
        <v/>
      </c>
      <c r="H434" s="9">
        <f>IF(E434="","",VLOOKUP(F434,Product_Master!A:D,3,FALSE)&amp;"")</f>
        <v/>
      </c>
      <c r="I434" s="10">
        <f>IF(E434="","",VLOOKUP(F434,Product_Master!A:D,4,FALSE)&amp;"")</f>
        <v/>
      </c>
      <c r="J434" s="11" t="n"/>
      <c r="K434" s="11" t="n"/>
      <c r="L434" s="11" t="n"/>
      <c r="M434" s="12">
        <f>IF(J434="","",IFERROR(L434/J434,""))</f>
        <v/>
      </c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3">
        <f>SUM(N434:Z434)</f>
        <v/>
      </c>
      <c r="AB434" s="8" t="n"/>
    </row>
    <row r="435" ht="20" customHeight="1">
      <c r="A435" s="6" t="n"/>
      <c r="B435" s="7" t="n"/>
      <c r="C435" s="7" t="n"/>
      <c r="D435" s="7" t="n"/>
      <c r="E435" s="8" t="n"/>
      <c r="F435" s="9">
        <f>IF(E435="","",VALUE(LEFT(E435,FIND(" - ",E435)-1)))</f>
        <v/>
      </c>
      <c r="G435" s="10">
        <f>IF(E435="","",VLOOKUP(F435,Product_Master!A:D,2,FALSE)&amp;"")</f>
        <v/>
      </c>
      <c r="H435" s="9">
        <f>IF(E435="","",VLOOKUP(F435,Product_Master!A:D,3,FALSE)&amp;"")</f>
        <v/>
      </c>
      <c r="I435" s="10">
        <f>IF(E435="","",VLOOKUP(F435,Product_Master!A:D,4,FALSE)&amp;"")</f>
        <v/>
      </c>
      <c r="J435" s="11" t="n"/>
      <c r="K435" s="11" t="n"/>
      <c r="L435" s="11" t="n"/>
      <c r="M435" s="12">
        <f>IF(J435="","",IFERROR(L435/J435,""))</f>
        <v/>
      </c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3">
        <f>SUM(N435:Z435)</f>
        <v/>
      </c>
      <c r="AB435" s="8" t="n"/>
    </row>
    <row r="436" ht="20" customHeight="1">
      <c r="A436" s="6" t="n"/>
      <c r="B436" s="7" t="n"/>
      <c r="C436" s="7" t="n"/>
      <c r="D436" s="7" t="n"/>
      <c r="E436" s="8" t="n"/>
      <c r="F436" s="9">
        <f>IF(E436="","",VALUE(LEFT(E436,FIND(" - ",E436)-1)))</f>
        <v/>
      </c>
      <c r="G436" s="10">
        <f>IF(E436="","",VLOOKUP(F436,Product_Master!A:D,2,FALSE)&amp;"")</f>
        <v/>
      </c>
      <c r="H436" s="9">
        <f>IF(E436="","",VLOOKUP(F436,Product_Master!A:D,3,FALSE)&amp;"")</f>
        <v/>
      </c>
      <c r="I436" s="10">
        <f>IF(E436="","",VLOOKUP(F436,Product_Master!A:D,4,FALSE)&amp;"")</f>
        <v/>
      </c>
      <c r="J436" s="11" t="n"/>
      <c r="K436" s="11" t="n"/>
      <c r="L436" s="11" t="n"/>
      <c r="M436" s="12">
        <f>IF(J436="","",IFERROR(L436/J436,""))</f>
        <v/>
      </c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3">
        <f>SUM(N436:Z436)</f>
        <v/>
      </c>
      <c r="AB436" s="8" t="n"/>
    </row>
    <row r="437" ht="20" customHeight="1">
      <c r="A437" s="6" t="n"/>
      <c r="B437" s="7" t="n"/>
      <c r="C437" s="7" t="n"/>
      <c r="D437" s="7" t="n"/>
      <c r="E437" s="8" t="n"/>
      <c r="F437" s="9">
        <f>IF(E437="","",VALUE(LEFT(E437,FIND(" - ",E437)-1)))</f>
        <v/>
      </c>
      <c r="G437" s="10">
        <f>IF(E437="","",VLOOKUP(F437,Product_Master!A:D,2,FALSE)&amp;"")</f>
        <v/>
      </c>
      <c r="H437" s="9">
        <f>IF(E437="","",VLOOKUP(F437,Product_Master!A:D,3,FALSE)&amp;"")</f>
        <v/>
      </c>
      <c r="I437" s="10">
        <f>IF(E437="","",VLOOKUP(F437,Product_Master!A:D,4,FALSE)&amp;"")</f>
        <v/>
      </c>
      <c r="J437" s="11" t="n"/>
      <c r="K437" s="11" t="n"/>
      <c r="L437" s="11" t="n"/>
      <c r="M437" s="12">
        <f>IF(J437="","",IFERROR(L437/J437,""))</f>
        <v/>
      </c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3">
        <f>SUM(N437:Z437)</f>
        <v/>
      </c>
      <c r="AB437" s="8" t="n"/>
    </row>
    <row r="438" ht="20" customHeight="1">
      <c r="A438" s="6" t="n"/>
      <c r="B438" s="7" t="n"/>
      <c r="C438" s="7" t="n"/>
      <c r="D438" s="7" t="n"/>
      <c r="E438" s="8" t="n"/>
      <c r="F438" s="9">
        <f>IF(E438="","",VALUE(LEFT(E438,FIND(" - ",E438)-1)))</f>
        <v/>
      </c>
      <c r="G438" s="10">
        <f>IF(E438="","",VLOOKUP(F438,Product_Master!A:D,2,FALSE)&amp;"")</f>
        <v/>
      </c>
      <c r="H438" s="9">
        <f>IF(E438="","",VLOOKUP(F438,Product_Master!A:D,3,FALSE)&amp;"")</f>
        <v/>
      </c>
      <c r="I438" s="10">
        <f>IF(E438="","",VLOOKUP(F438,Product_Master!A:D,4,FALSE)&amp;"")</f>
        <v/>
      </c>
      <c r="J438" s="11" t="n"/>
      <c r="K438" s="11" t="n"/>
      <c r="L438" s="11" t="n"/>
      <c r="M438" s="12">
        <f>IF(J438="","",IFERROR(L438/J438,""))</f>
        <v/>
      </c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3">
        <f>SUM(N438:Z438)</f>
        <v/>
      </c>
      <c r="AB438" s="8" t="n"/>
    </row>
    <row r="439" ht="20" customHeight="1">
      <c r="A439" s="6" t="n"/>
      <c r="B439" s="7" t="n"/>
      <c r="C439" s="7" t="n"/>
      <c r="D439" s="7" t="n"/>
      <c r="E439" s="8" t="n"/>
      <c r="F439" s="9">
        <f>IF(E439="","",VALUE(LEFT(E439,FIND(" - ",E439)-1)))</f>
        <v/>
      </c>
      <c r="G439" s="10">
        <f>IF(E439="","",VLOOKUP(F439,Product_Master!A:D,2,FALSE)&amp;"")</f>
        <v/>
      </c>
      <c r="H439" s="9">
        <f>IF(E439="","",VLOOKUP(F439,Product_Master!A:D,3,FALSE)&amp;"")</f>
        <v/>
      </c>
      <c r="I439" s="10">
        <f>IF(E439="","",VLOOKUP(F439,Product_Master!A:D,4,FALSE)&amp;"")</f>
        <v/>
      </c>
      <c r="J439" s="11" t="n"/>
      <c r="K439" s="11" t="n"/>
      <c r="L439" s="11" t="n"/>
      <c r="M439" s="12">
        <f>IF(J439="","",IFERROR(L439/J439,""))</f>
        <v/>
      </c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3">
        <f>SUM(N439:Z439)</f>
        <v/>
      </c>
      <c r="AB439" s="8" t="n"/>
    </row>
    <row r="440" ht="20" customHeight="1">
      <c r="A440" s="6" t="n"/>
      <c r="B440" s="7" t="n"/>
      <c r="C440" s="7" t="n"/>
      <c r="D440" s="7" t="n"/>
      <c r="E440" s="8" t="n"/>
      <c r="F440" s="9">
        <f>IF(E440="","",VALUE(LEFT(E440,FIND(" - ",E440)-1)))</f>
        <v/>
      </c>
      <c r="G440" s="10">
        <f>IF(E440="","",VLOOKUP(F440,Product_Master!A:D,2,FALSE)&amp;"")</f>
        <v/>
      </c>
      <c r="H440" s="9">
        <f>IF(E440="","",VLOOKUP(F440,Product_Master!A:D,3,FALSE)&amp;"")</f>
        <v/>
      </c>
      <c r="I440" s="10">
        <f>IF(E440="","",VLOOKUP(F440,Product_Master!A:D,4,FALSE)&amp;"")</f>
        <v/>
      </c>
      <c r="J440" s="11" t="n"/>
      <c r="K440" s="11" t="n"/>
      <c r="L440" s="11" t="n"/>
      <c r="M440" s="12">
        <f>IF(J440="","",IFERROR(L440/J440,""))</f>
        <v/>
      </c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3">
        <f>SUM(N440:Z440)</f>
        <v/>
      </c>
      <c r="AB440" s="8" t="n"/>
    </row>
    <row r="441" ht="20" customHeight="1">
      <c r="A441" s="6" t="n"/>
      <c r="B441" s="7" t="n"/>
      <c r="C441" s="7" t="n"/>
      <c r="D441" s="7" t="n"/>
      <c r="E441" s="8" t="n"/>
      <c r="F441" s="9">
        <f>IF(E441="","",VALUE(LEFT(E441,FIND(" - ",E441)-1)))</f>
        <v/>
      </c>
      <c r="G441" s="10">
        <f>IF(E441="","",VLOOKUP(F441,Product_Master!A:D,2,FALSE)&amp;"")</f>
        <v/>
      </c>
      <c r="H441" s="9">
        <f>IF(E441="","",VLOOKUP(F441,Product_Master!A:D,3,FALSE)&amp;"")</f>
        <v/>
      </c>
      <c r="I441" s="10">
        <f>IF(E441="","",VLOOKUP(F441,Product_Master!A:D,4,FALSE)&amp;"")</f>
        <v/>
      </c>
      <c r="J441" s="11" t="n"/>
      <c r="K441" s="11" t="n"/>
      <c r="L441" s="11" t="n"/>
      <c r="M441" s="12">
        <f>IF(J441="","",IFERROR(L441/J441,""))</f>
        <v/>
      </c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3">
        <f>SUM(N441:Z441)</f>
        <v/>
      </c>
      <c r="AB441" s="8" t="n"/>
    </row>
    <row r="442" ht="20" customHeight="1">
      <c r="A442" s="6" t="n"/>
      <c r="B442" s="7" t="n"/>
      <c r="C442" s="7" t="n"/>
      <c r="D442" s="7" t="n"/>
      <c r="E442" s="8" t="n"/>
      <c r="F442" s="9">
        <f>IF(E442="","",VALUE(LEFT(E442,FIND(" - ",E442)-1)))</f>
        <v/>
      </c>
      <c r="G442" s="10">
        <f>IF(E442="","",VLOOKUP(F442,Product_Master!A:D,2,FALSE)&amp;"")</f>
        <v/>
      </c>
      <c r="H442" s="9">
        <f>IF(E442="","",VLOOKUP(F442,Product_Master!A:D,3,FALSE)&amp;"")</f>
        <v/>
      </c>
      <c r="I442" s="10">
        <f>IF(E442="","",VLOOKUP(F442,Product_Master!A:D,4,FALSE)&amp;"")</f>
        <v/>
      </c>
      <c r="J442" s="11" t="n"/>
      <c r="K442" s="11" t="n"/>
      <c r="L442" s="11" t="n"/>
      <c r="M442" s="12">
        <f>IF(J442="","",IFERROR(L442/J442,""))</f>
        <v/>
      </c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3">
        <f>SUM(N442:Z442)</f>
        <v/>
      </c>
      <c r="AB442" s="8" t="n"/>
    </row>
    <row r="443" ht="20" customHeight="1">
      <c r="A443" s="6" t="n"/>
      <c r="B443" s="7" t="n"/>
      <c r="C443" s="7" t="n"/>
      <c r="D443" s="7" t="n"/>
      <c r="E443" s="8" t="n"/>
      <c r="F443" s="9">
        <f>IF(E443="","",VALUE(LEFT(E443,FIND(" - ",E443)-1)))</f>
        <v/>
      </c>
      <c r="G443" s="10">
        <f>IF(E443="","",VLOOKUP(F443,Product_Master!A:D,2,FALSE)&amp;"")</f>
        <v/>
      </c>
      <c r="H443" s="9">
        <f>IF(E443="","",VLOOKUP(F443,Product_Master!A:D,3,FALSE)&amp;"")</f>
        <v/>
      </c>
      <c r="I443" s="10">
        <f>IF(E443="","",VLOOKUP(F443,Product_Master!A:D,4,FALSE)&amp;"")</f>
        <v/>
      </c>
      <c r="J443" s="11" t="n"/>
      <c r="K443" s="11" t="n"/>
      <c r="L443" s="11" t="n"/>
      <c r="M443" s="12">
        <f>IF(J443="","",IFERROR(L443/J443,""))</f>
        <v/>
      </c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3">
        <f>SUM(N443:Z443)</f>
        <v/>
      </c>
      <c r="AB443" s="8" t="n"/>
    </row>
    <row r="444" ht="20" customHeight="1">
      <c r="A444" s="6" t="n"/>
      <c r="B444" s="7" t="n"/>
      <c r="C444" s="7" t="n"/>
      <c r="D444" s="7" t="n"/>
      <c r="E444" s="8" t="n"/>
      <c r="F444" s="9">
        <f>IF(E444="","",VALUE(LEFT(E444,FIND(" - ",E444)-1)))</f>
        <v/>
      </c>
      <c r="G444" s="10">
        <f>IF(E444="","",VLOOKUP(F444,Product_Master!A:D,2,FALSE)&amp;"")</f>
        <v/>
      </c>
      <c r="H444" s="9">
        <f>IF(E444="","",VLOOKUP(F444,Product_Master!A:D,3,FALSE)&amp;"")</f>
        <v/>
      </c>
      <c r="I444" s="10">
        <f>IF(E444="","",VLOOKUP(F444,Product_Master!A:D,4,FALSE)&amp;"")</f>
        <v/>
      </c>
      <c r="J444" s="11" t="n"/>
      <c r="K444" s="11" t="n"/>
      <c r="L444" s="11" t="n"/>
      <c r="M444" s="12">
        <f>IF(J444="","",IFERROR(L444/J444,""))</f>
        <v/>
      </c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3">
        <f>SUM(N444:Z444)</f>
        <v/>
      </c>
      <c r="AB444" s="8" t="n"/>
    </row>
    <row r="445" ht="20" customHeight="1">
      <c r="A445" s="6" t="n"/>
      <c r="B445" s="7" t="n"/>
      <c r="C445" s="7" t="n"/>
      <c r="D445" s="7" t="n"/>
      <c r="E445" s="8" t="n"/>
      <c r="F445" s="9">
        <f>IF(E445="","",VALUE(LEFT(E445,FIND(" - ",E445)-1)))</f>
        <v/>
      </c>
      <c r="G445" s="10">
        <f>IF(E445="","",VLOOKUP(F445,Product_Master!A:D,2,FALSE)&amp;"")</f>
        <v/>
      </c>
      <c r="H445" s="9">
        <f>IF(E445="","",VLOOKUP(F445,Product_Master!A:D,3,FALSE)&amp;"")</f>
        <v/>
      </c>
      <c r="I445" s="10">
        <f>IF(E445="","",VLOOKUP(F445,Product_Master!A:D,4,FALSE)&amp;"")</f>
        <v/>
      </c>
      <c r="J445" s="11" t="n"/>
      <c r="K445" s="11" t="n"/>
      <c r="L445" s="11" t="n"/>
      <c r="M445" s="12">
        <f>IF(J445="","",IFERROR(L445/J445,""))</f>
        <v/>
      </c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3">
        <f>SUM(N445:Z445)</f>
        <v/>
      </c>
      <c r="AB445" s="8" t="n"/>
    </row>
    <row r="446" ht="20" customHeight="1">
      <c r="A446" s="6" t="n"/>
      <c r="B446" s="7" t="n"/>
      <c r="C446" s="7" t="n"/>
      <c r="D446" s="7" t="n"/>
      <c r="E446" s="8" t="n"/>
      <c r="F446" s="9">
        <f>IF(E446="","",VALUE(LEFT(E446,FIND(" - ",E446)-1)))</f>
        <v/>
      </c>
      <c r="G446" s="10">
        <f>IF(E446="","",VLOOKUP(F446,Product_Master!A:D,2,FALSE)&amp;"")</f>
        <v/>
      </c>
      <c r="H446" s="9">
        <f>IF(E446="","",VLOOKUP(F446,Product_Master!A:D,3,FALSE)&amp;"")</f>
        <v/>
      </c>
      <c r="I446" s="10">
        <f>IF(E446="","",VLOOKUP(F446,Product_Master!A:D,4,FALSE)&amp;"")</f>
        <v/>
      </c>
      <c r="J446" s="11" t="n"/>
      <c r="K446" s="11" t="n"/>
      <c r="L446" s="11" t="n"/>
      <c r="M446" s="12">
        <f>IF(J446="","",IFERROR(L446/J446,""))</f>
        <v/>
      </c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3">
        <f>SUM(N446:Z446)</f>
        <v/>
      </c>
      <c r="AB446" s="8" t="n"/>
    </row>
    <row r="447" ht="20" customHeight="1">
      <c r="A447" s="6" t="n"/>
      <c r="B447" s="7" t="n"/>
      <c r="C447" s="7" t="n"/>
      <c r="D447" s="7" t="n"/>
      <c r="E447" s="8" t="n"/>
      <c r="F447" s="9">
        <f>IF(E447="","",VALUE(LEFT(E447,FIND(" - ",E447)-1)))</f>
        <v/>
      </c>
      <c r="G447" s="10">
        <f>IF(E447="","",VLOOKUP(F447,Product_Master!A:D,2,FALSE)&amp;"")</f>
        <v/>
      </c>
      <c r="H447" s="9">
        <f>IF(E447="","",VLOOKUP(F447,Product_Master!A:D,3,FALSE)&amp;"")</f>
        <v/>
      </c>
      <c r="I447" s="10">
        <f>IF(E447="","",VLOOKUP(F447,Product_Master!A:D,4,FALSE)&amp;"")</f>
        <v/>
      </c>
      <c r="J447" s="11" t="n"/>
      <c r="K447" s="11" t="n"/>
      <c r="L447" s="11" t="n"/>
      <c r="M447" s="12">
        <f>IF(J447="","",IFERROR(L447/J447,""))</f>
        <v/>
      </c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3">
        <f>SUM(N447:Z447)</f>
        <v/>
      </c>
      <c r="AB447" s="8" t="n"/>
    </row>
    <row r="448" ht="20" customHeight="1">
      <c r="A448" s="6" t="n"/>
      <c r="B448" s="7" t="n"/>
      <c r="C448" s="7" t="n"/>
      <c r="D448" s="7" t="n"/>
      <c r="E448" s="8" t="n"/>
      <c r="F448" s="9">
        <f>IF(E448="","",VALUE(LEFT(E448,FIND(" - ",E448)-1)))</f>
        <v/>
      </c>
      <c r="G448" s="10">
        <f>IF(E448="","",VLOOKUP(F448,Product_Master!A:D,2,FALSE)&amp;"")</f>
        <v/>
      </c>
      <c r="H448" s="9">
        <f>IF(E448="","",VLOOKUP(F448,Product_Master!A:D,3,FALSE)&amp;"")</f>
        <v/>
      </c>
      <c r="I448" s="10">
        <f>IF(E448="","",VLOOKUP(F448,Product_Master!A:D,4,FALSE)&amp;"")</f>
        <v/>
      </c>
      <c r="J448" s="11" t="n"/>
      <c r="K448" s="11" t="n"/>
      <c r="L448" s="11" t="n"/>
      <c r="M448" s="12">
        <f>IF(J448="","",IFERROR(L448/J448,""))</f>
        <v/>
      </c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3">
        <f>SUM(N448:Z448)</f>
        <v/>
      </c>
      <c r="AB448" s="8" t="n"/>
    </row>
    <row r="449" ht="20" customHeight="1">
      <c r="A449" s="6" t="n"/>
      <c r="B449" s="7" t="n"/>
      <c r="C449" s="7" t="n"/>
      <c r="D449" s="7" t="n"/>
      <c r="E449" s="8" t="n"/>
      <c r="F449" s="9">
        <f>IF(E449="","",VALUE(LEFT(E449,FIND(" - ",E449)-1)))</f>
        <v/>
      </c>
      <c r="G449" s="10">
        <f>IF(E449="","",VLOOKUP(F449,Product_Master!A:D,2,FALSE)&amp;"")</f>
        <v/>
      </c>
      <c r="H449" s="9">
        <f>IF(E449="","",VLOOKUP(F449,Product_Master!A:D,3,FALSE)&amp;"")</f>
        <v/>
      </c>
      <c r="I449" s="10">
        <f>IF(E449="","",VLOOKUP(F449,Product_Master!A:D,4,FALSE)&amp;"")</f>
        <v/>
      </c>
      <c r="J449" s="11" t="n"/>
      <c r="K449" s="11" t="n"/>
      <c r="L449" s="11" t="n"/>
      <c r="M449" s="12">
        <f>IF(J449="","",IFERROR(L449/J449,""))</f>
        <v/>
      </c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3">
        <f>SUM(N449:Z449)</f>
        <v/>
      </c>
      <c r="AB449" s="8" t="n"/>
    </row>
    <row r="450" ht="20" customHeight="1">
      <c r="A450" s="6" t="n"/>
      <c r="B450" s="7" t="n"/>
      <c r="C450" s="7" t="n"/>
      <c r="D450" s="7" t="n"/>
      <c r="E450" s="8" t="n"/>
      <c r="F450" s="9">
        <f>IF(E450="","",VALUE(LEFT(E450,FIND(" - ",E450)-1)))</f>
        <v/>
      </c>
      <c r="G450" s="10">
        <f>IF(E450="","",VLOOKUP(F450,Product_Master!A:D,2,FALSE)&amp;"")</f>
        <v/>
      </c>
      <c r="H450" s="9">
        <f>IF(E450="","",VLOOKUP(F450,Product_Master!A:D,3,FALSE)&amp;"")</f>
        <v/>
      </c>
      <c r="I450" s="10">
        <f>IF(E450="","",VLOOKUP(F450,Product_Master!A:D,4,FALSE)&amp;"")</f>
        <v/>
      </c>
      <c r="J450" s="11" t="n"/>
      <c r="K450" s="11" t="n"/>
      <c r="L450" s="11" t="n"/>
      <c r="M450" s="12">
        <f>IF(J450="","",IFERROR(L450/J450,""))</f>
        <v/>
      </c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3">
        <f>SUM(N450:Z450)</f>
        <v/>
      </c>
      <c r="AB450" s="8" t="n"/>
    </row>
    <row r="451" ht="20" customHeight="1">
      <c r="A451" s="6" t="n"/>
      <c r="B451" s="7" t="n"/>
      <c r="C451" s="7" t="n"/>
      <c r="D451" s="7" t="n"/>
      <c r="E451" s="8" t="n"/>
      <c r="F451" s="9">
        <f>IF(E451="","",VALUE(LEFT(E451,FIND(" - ",E451)-1)))</f>
        <v/>
      </c>
      <c r="G451" s="10">
        <f>IF(E451="","",VLOOKUP(F451,Product_Master!A:D,2,FALSE)&amp;"")</f>
        <v/>
      </c>
      <c r="H451" s="9">
        <f>IF(E451="","",VLOOKUP(F451,Product_Master!A:D,3,FALSE)&amp;"")</f>
        <v/>
      </c>
      <c r="I451" s="10">
        <f>IF(E451="","",VLOOKUP(F451,Product_Master!A:D,4,FALSE)&amp;"")</f>
        <v/>
      </c>
      <c r="J451" s="11" t="n"/>
      <c r="K451" s="11" t="n"/>
      <c r="L451" s="11" t="n"/>
      <c r="M451" s="12">
        <f>IF(J451="","",IFERROR(L451/J451,""))</f>
        <v/>
      </c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3">
        <f>SUM(N451:Z451)</f>
        <v/>
      </c>
      <c r="AB451" s="8" t="n"/>
    </row>
    <row r="452" ht="20" customHeight="1">
      <c r="A452" s="6" t="n"/>
      <c r="B452" s="7" t="n"/>
      <c r="C452" s="7" t="n"/>
      <c r="D452" s="7" t="n"/>
      <c r="E452" s="8" t="n"/>
      <c r="F452" s="9">
        <f>IF(E452="","",VALUE(LEFT(E452,FIND(" - ",E452)-1)))</f>
        <v/>
      </c>
      <c r="G452" s="10">
        <f>IF(E452="","",VLOOKUP(F452,Product_Master!A:D,2,FALSE)&amp;"")</f>
        <v/>
      </c>
      <c r="H452" s="9">
        <f>IF(E452="","",VLOOKUP(F452,Product_Master!A:D,3,FALSE)&amp;"")</f>
        <v/>
      </c>
      <c r="I452" s="10">
        <f>IF(E452="","",VLOOKUP(F452,Product_Master!A:D,4,FALSE)&amp;"")</f>
        <v/>
      </c>
      <c r="J452" s="11" t="n"/>
      <c r="K452" s="11" t="n"/>
      <c r="L452" s="11" t="n"/>
      <c r="M452" s="12">
        <f>IF(J452="","",IFERROR(L452/J452,""))</f>
        <v/>
      </c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3">
        <f>SUM(N452:Z452)</f>
        <v/>
      </c>
      <c r="AB452" s="8" t="n"/>
    </row>
    <row r="453" ht="20" customHeight="1">
      <c r="A453" s="6" t="n"/>
      <c r="B453" s="7" t="n"/>
      <c r="C453" s="7" t="n"/>
      <c r="D453" s="7" t="n"/>
      <c r="E453" s="8" t="n"/>
      <c r="F453" s="9">
        <f>IF(E453="","",VALUE(LEFT(E453,FIND(" - ",E453)-1)))</f>
        <v/>
      </c>
      <c r="G453" s="10">
        <f>IF(E453="","",VLOOKUP(F453,Product_Master!A:D,2,FALSE)&amp;"")</f>
        <v/>
      </c>
      <c r="H453" s="9">
        <f>IF(E453="","",VLOOKUP(F453,Product_Master!A:D,3,FALSE)&amp;"")</f>
        <v/>
      </c>
      <c r="I453" s="10">
        <f>IF(E453="","",VLOOKUP(F453,Product_Master!A:D,4,FALSE)&amp;"")</f>
        <v/>
      </c>
      <c r="J453" s="11" t="n"/>
      <c r="K453" s="11" t="n"/>
      <c r="L453" s="11" t="n"/>
      <c r="M453" s="12">
        <f>IF(J453="","",IFERROR(L453/J453,""))</f>
        <v/>
      </c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3">
        <f>SUM(N453:Z453)</f>
        <v/>
      </c>
      <c r="AB453" s="8" t="n"/>
    </row>
    <row r="454" ht="20" customHeight="1">
      <c r="A454" s="6" t="n"/>
      <c r="B454" s="7" t="n"/>
      <c r="C454" s="7" t="n"/>
      <c r="D454" s="7" t="n"/>
      <c r="E454" s="8" t="n"/>
      <c r="F454" s="9">
        <f>IF(E454="","",VALUE(LEFT(E454,FIND(" - ",E454)-1)))</f>
        <v/>
      </c>
      <c r="G454" s="10">
        <f>IF(E454="","",VLOOKUP(F454,Product_Master!A:D,2,FALSE)&amp;"")</f>
        <v/>
      </c>
      <c r="H454" s="9">
        <f>IF(E454="","",VLOOKUP(F454,Product_Master!A:D,3,FALSE)&amp;"")</f>
        <v/>
      </c>
      <c r="I454" s="10">
        <f>IF(E454="","",VLOOKUP(F454,Product_Master!A:D,4,FALSE)&amp;"")</f>
        <v/>
      </c>
      <c r="J454" s="11" t="n"/>
      <c r="K454" s="11" t="n"/>
      <c r="L454" s="11" t="n"/>
      <c r="M454" s="12">
        <f>IF(J454="","",IFERROR(L454/J454,""))</f>
        <v/>
      </c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3">
        <f>SUM(N454:Z454)</f>
        <v/>
      </c>
      <c r="AB454" s="8" t="n"/>
    </row>
    <row r="455" ht="20" customHeight="1">
      <c r="A455" s="6" t="n"/>
      <c r="B455" s="7" t="n"/>
      <c r="C455" s="7" t="n"/>
      <c r="D455" s="7" t="n"/>
      <c r="E455" s="8" t="n"/>
      <c r="F455" s="9">
        <f>IF(E455="","",VALUE(LEFT(E455,FIND(" - ",E455)-1)))</f>
        <v/>
      </c>
      <c r="G455" s="10">
        <f>IF(E455="","",VLOOKUP(F455,Product_Master!A:D,2,FALSE)&amp;"")</f>
        <v/>
      </c>
      <c r="H455" s="9">
        <f>IF(E455="","",VLOOKUP(F455,Product_Master!A:D,3,FALSE)&amp;"")</f>
        <v/>
      </c>
      <c r="I455" s="10">
        <f>IF(E455="","",VLOOKUP(F455,Product_Master!A:D,4,FALSE)&amp;"")</f>
        <v/>
      </c>
      <c r="J455" s="11" t="n"/>
      <c r="K455" s="11" t="n"/>
      <c r="L455" s="11" t="n"/>
      <c r="M455" s="12">
        <f>IF(J455="","",IFERROR(L455/J455,""))</f>
        <v/>
      </c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3">
        <f>SUM(N455:Z455)</f>
        <v/>
      </c>
      <c r="AB455" s="8" t="n"/>
    </row>
    <row r="456" ht="20" customHeight="1">
      <c r="A456" s="6" t="n"/>
      <c r="B456" s="7" t="n"/>
      <c r="C456" s="7" t="n"/>
      <c r="D456" s="7" t="n"/>
      <c r="E456" s="8" t="n"/>
      <c r="F456" s="9">
        <f>IF(E456="","",VALUE(LEFT(E456,FIND(" - ",E456)-1)))</f>
        <v/>
      </c>
      <c r="G456" s="10">
        <f>IF(E456="","",VLOOKUP(F456,Product_Master!A:D,2,FALSE)&amp;"")</f>
        <v/>
      </c>
      <c r="H456" s="9">
        <f>IF(E456="","",VLOOKUP(F456,Product_Master!A:D,3,FALSE)&amp;"")</f>
        <v/>
      </c>
      <c r="I456" s="10">
        <f>IF(E456="","",VLOOKUP(F456,Product_Master!A:D,4,FALSE)&amp;"")</f>
        <v/>
      </c>
      <c r="J456" s="11" t="n"/>
      <c r="K456" s="11" t="n"/>
      <c r="L456" s="11" t="n"/>
      <c r="M456" s="12">
        <f>IF(J456="","",IFERROR(L456/J456,""))</f>
        <v/>
      </c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3">
        <f>SUM(N456:Z456)</f>
        <v/>
      </c>
      <c r="AB456" s="8" t="n"/>
    </row>
    <row r="457" ht="20" customHeight="1">
      <c r="A457" s="6" t="n"/>
      <c r="B457" s="7" t="n"/>
      <c r="C457" s="7" t="n"/>
      <c r="D457" s="7" t="n"/>
      <c r="E457" s="8" t="n"/>
      <c r="F457" s="9">
        <f>IF(E457="","",VALUE(LEFT(E457,FIND(" - ",E457)-1)))</f>
        <v/>
      </c>
      <c r="G457" s="10">
        <f>IF(E457="","",VLOOKUP(F457,Product_Master!A:D,2,FALSE)&amp;"")</f>
        <v/>
      </c>
      <c r="H457" s="9">
        <f>IF(E457="","",VLOOKUP(F457,Product_Master!A:D,3,FALSE)&amp;"")</f>
        <v/>
      </c>
      <c r="I457" s="10">
        <f>IF(E457="","",VLOOKUP(F457,Product_Master!A:D,4,FALSE)&amp;"")</f>
        <v/>
      </c>
      <c r="J457" s="11" t="n"/>
      <c r="K457" s="11" t="n"/>
      <c r="L457" s="11" t="n"/>
      <c r="M457" s="12">
        <f>IF(J457="","",IFERROR(L457/J457,""))</f>
        <v/>
      </c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3">
        <f>SUM(N457:Z457)</f>
        <v/>
      </c>
      <c r="AB457" s="8" t="n"/>
    </row>
    <row r="458" ht="20" customHeight="1">
      <c r="A458" s="6" t="n"/>
      <c r="B458" s="7" t="n"/>
      <c r="C458" s="7" t="n"/>
      <c r="D458" s="7" t="n"/>
      <c r="E458" s="8" t="n"/>
      <c r="F458" s="9">
        <f>IF(E458="","",VALUE(LEFT(E458,FIND(" - ",E458)-1)))</f>
        <v/>
      </c>
      <c r="G458" s="10">
        <f>IF(E458="","",VLOOKUP(F458,Product_Master!A:D,2,FALSE)&amp;"")</f>
        <v/>
      </c>
      <c r="H458" s="9">
        <f>IF(E458="","",VLOOKUP(F458,Product_Master!A:D,3,FALSE)&amp;"")</f>
        <v/>
      </c>
      <c r="I458" s="10">
        <f>IF(E458="","",VLOOKUP(F458,Product_Master!A:D,4,FALSE)&amp;"")</f>
        <v/>
      </c>
      <c r="J458" s="11" t="n"/>
      <c r="K458" s="11" t="n"/>
      <c r="L458" s="11" t="n"/>
      <c r="M458" s="12">
        <f>IF(J458="","",IFERROR(L458/J458,""))</f>
        <v/>
      </c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3">
        <f>SUM(N458:Z458)</f>
        <v/>
      </c>
      <c r="AB458" s="8" t="n"/>
    </row>
    <row r="459" ht="20" customHeight="1">
      <c r="A459" s="6" t="n"/>
      <c r="B459" s="7" t="n"/>
      <c r="C459" s="7" t="n"/>
      <c r="D459" s="7" t="n"/>
      <c r="E459" s="8" t="n"/>
      <c r="F459" s="9">
        <f>IF(E459="","",VALUE(LEFT(E459,FIND(" - ",E459)-1)))</f>
        <v/>
      </c>
      <c r="G459" s="10">
        <f>IF(E459="","",VLOOKUP(F459,Product_Master!A:D,2,FALSE)&amp;"")</f>
        <v/>
      </c>
      <c r="H459" s="9">
        <f>IF(E459="","",VLOOKUP(F459,Product_Master!A:D,3,FALSE)&amp;"")</f>
        <v/>
      </c>
      <c r="I459" s="10">
        <f>IF(E459="","",VLOOKUP(F459,Product_Master!A:D,4,FALSE)&amp;"")</f>
        <v/>
      </c>
      <c r="J459" s="11" t="n"/>
      <c r="K459" s="11" t="n"/>
      <c r="L459" s="11" t="n"/>
      <c r="M459" s="12">
        <f>IF(J459="","",IFERROR(L459/J459,""))</f>
        <v/>
      </c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3">
        <f>SUM(N459:Z459)</f>
        <v/>
      </c>
      <c r="AB459" s="8" t="n"/>
    </row>
    <row r="460" ht="20" customHeight="1">
      <c r="A460" s="6" t="n"/>
      <c r="B460" s="7" t="n"/>
      <c r="C460" s="7" t="n"/>
      <c r="D460" s="7" t="n"/>
      <c r="E460" s="8" t="n"/>
      <c r="F460" s="9">
        <f>IF(E460="","",VALUE(LEFT(E460,FIND(" - ",E460)-1)))</f>
        <v/>
      </c>
      <c r="G460" s="10">
        <f>IF(E460="","",VLOOKUP(F460,Product_Master!A:D,2,FALSE)&amp;"")</f>
        <v/>
      </c>
      <c r="H460" s="9">
        <f>IF(E460="","",VLOOKUP(F460,Product_Master!A:D,3,FALSE)&amp;"")</f>
        <v/>
      </c>
      <c r="I460" s="10">
        <f>IF(E460="","",VLOOKUP(F460,Product_Master!A:D,4,FALSE)&amp;"")</f>
        <v/>
      </c>
      <c r="J460" s="11" t="n"/>
      <c r="K460" s="11" t="n"/>
      <c r="L460" s="11" t="n"/>
      <c r="M460" s="12">
        <f>IF(J460="","",IFERROR(L460/J460,""))</f>
        <v/>
      </c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3">
        <f>SUM(N460:Z460)</f>
        <v/>
      </c>
      <c r="AB460" s="8" t="n"/>
    </row>
    <row r="461" ht="20" customHeight="1">
      <c r="A461" s="6" t="n"/>
      <c r="B461" s="7" t="n"/>
      <c r="C461" s="7" t="n"/>
      <c r="D461" s="7" t="n"/>
      <c r="E461" s="8" t="n"/>
      <c r="F461" s="9">
        <f>IF(E461="","",VALUE(LEFT(E461,FIND(" - ",E461)-1)))</f>
        <v/>
      </c>
      <c r="G461" s="10">
        <f>IF(E461="","",VLOOKUP(F461,Product_Master!A:D,2,FALSE)&amp;"")</f>
        <v/>
      </c>
      <c r="H461" s="9">
        <f>IF(E461="","",VLOOKUP(F461,Product_Master!A:D,3,FALSE)&amp;"")</f>
        <v/>
      </c>
      <c r="I461" s="10">
        <f>IF(E461="","",VLOOKUP(F461,Product_Master!A:D,4,FALSE)&amp;"")</f>
        <v/>
      </c>
      <c r="J461" s="11" t="n"/>
      <c r="K461" s="11" t="n"/>
      <c r="L461" s="11" t="n"/>
      <c r="M461" s="12">
        <f>IF(J461="","",IFERROR(L461/J461,""))</f>
        <v/>
      </c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3">
        <f>SUM(N461:Z461)</f>
        <v/>
      </c>
      <c r="AB461" s="8" t="n"/>
    </row>
    <row r="462" ht="20" customHeight="1">
      <c r="A462" s="6" t="n"/>
      <c r="B462" s="7" t="n"/>
      <c r="C462" s="7" t="n"/>
      <c r="D462" s="7" t="n"/>
      <c r="E462" s="8" t="n"/>
      <c r="F462" s="9">
        <f>IF(E462="","",VALUE(LEFT(E462,FIND(" - ",E462)-1)))</f>
        <v/>
      </c>
      <c r="G462" s="10">
        <f>IF(E462="","",VLOOKUP(F462,Product_Master!A:D,2,FALSE)&amp;"")</f>
        <v/>
      </c>
      <c r="H462" s="9">
        <f>IF(E462="","",VLOOKUP(F462,Product_Master!A:D,3,FALSE)&amp;"")</f>
        <v/>
      </c>
      <c r="I462" s="10">
        <f>IF(E462="","",VLOOKUP(F462,Product_Master!A:D,4,FALSE)&amp;"")</f>
        <v/>
      </c>
      <c r="J462" s="11" t="n"/>
      <c r="K462" s="11" t="n"/>
      <c r="L462" s="11" t="n"/>
      <c r="M462" s="12">
        <f>IF(J462="","",IFERROR(L462/J462,""))</f>
        <v/>
      </c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3">
        <f>SUM(N462:Z462)</f>
        <v/>
      </c>
      <c r="AB462" s="8" t="n"/>
    </row>
    <row r="463" ht="20" customHeight="1">
      <c r="A463" s="6" t="n"/>
      <c r="B463" s="7" t="n"/>
      <c r="C463" s="7" t="n"/>
      <c r="D463" s="7" t="n"/>
      <c r="E463" s="8" t="n"/>
      <c r="F463" s="9">
        <f>IF(E463="","",VALUE(LEFT(E463,FIND(" - ",E463)-1)))</f>
        <v/>
      </c>
      <c r="G463" s="10">
        <f>IF(E463="","",VLOOKUP(F463,Product_Master!A:D,2,FALSE)&amp;"")</f>
        <v/>
      </c>
      <c r="H463" s="9">
        <f>IF(E463="","",VLOOKUP(F463,Product_Master!A:D,3,FALSE)&amp;"")</f>
        <v/>
      </c>
      <c r="I463" s="10">
        <f>IF(E463="","",VLOOKUP(F463,Product_Master!A:D,4,FALSE)&amp;"")</f>
        <v/>
      </c>
      <c r="J463" s="11" t="n"/>
      <c r="K463" s="11" t="n"/>
      <c r="L463" s="11" t="n"/>
      <c r="M463" s="12">
        <f>IF(J463="","",IFERROR(L463/J463,""))</f>
        <v/>
      </c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3">
        <f>SUM(N463:Z463)</f>
        <v/>
      </c>
      <c r="AB463" s="8" t="n"/>
    </row>
    <row r="464" ht="20" customHeight="1">
      <c r="A464" s="6" t="n"/>
      <c r="B464" s="7" t="n"/>
      <c r="C464" s="7" t="n"/>
      <c r="D464" s="7" t="n"/>
      <c r="E464" s="8" t="n"/>
      <c r="F464" s="9">
        <f>IF(E464="","",VALUE(LEFT(E464,FIND(" - ",E464)-1)))</f>
        <v/>
      </c>
      <c r="G464" s="10">
        <f>IF(E464="","",VLOOKUP(F464,Product_Master!A:D,2,FALSE)&amp;"")</f>
        <v/>
      </c>
      <c r="H464" s="9">
        <f>IF(E464="","",VLOOKUP(F464,Product_Master!A:D,3,FALSE)&amp;"")</f>
        <v/>
      </c>
      <c r="I464" s="10">
        <f>IF(E464="","",VLOOKUP(F464,Product_Master!A:D,4,FALSE)&amp;"")</f>
        <v/>
      </c>
      <c r="J464" s="11" t="n"/>
      <c r="K464" s="11" t="n"/>
      <c r="L464" s="11" t="n"/>
      <c r="M464" s="12">
        <f>IF(J464="","",IFERROR(L464/J464,""))</f>
        <v/>
      </c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3">
        <f>SUM(N464:Z464)</f>
        <v/>
      </c>
      <c r="AB464" s="8" t="n"/>
    </row>
    <row r="465" ht="20" customHeight="1">
      <c r="A465" s="6" t="n"/>
      <c r="B465" s="7" t="n"/>
      <c r="C465" s="7" t="n"/>
      <c r="D465" s="7" t="n"/>
      <c r="E465" s="8" t="n"/>
      <c r="F465" s="9">
        <f>IF(E465="","",VALUE(LEFT(E465,FIND(" - ",E465)-1)))</f>
        <v/>
      </c>
      <c r="G465" s="10">
        <f>IF(E465="","",VLOOKUP(F465,Product_Master!A:D,2,FALSE)&amp;"")</f>
        <v/>
      </c>
      <c r="H465" s="9">
        <f>IF(E465="","",VLOOKUP(F465,Product_Master!A:D,3,FALSE)&amp;"")</f>
        <v/>
      </c>
      <c r="I465" s="10">
        <f>IF(E465="","",VLOOKUP(F465,Product_Master!A:D,4,FALSE)&amp;"")</f>
        <v/>
      </c>
      <c r="J465" s="11" t="n"/>
      <c r="K465" s="11" t="n"/>
      <c r="L465" s="11" t="n"/>
      <c r="M465" s="12">
        <f>IF(J465="","",IFERROR(L465/J465,""))</f>
        <v/>
      </c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3">
        <f>SUM(N465:Z465)</f>
        <v/>
      </c>
      <c r="AB465" s="8" t="n"/>
    </row>
    <row r="466" ht="20" customHeight="1">
      <c r="A466" s="6" t="n"/>
      <c r="B466" s="7" t="n"/>
      <c r="C466" s="7" t="n"/>
      <c r="D466" s="7" t="n"/>
      <c r="E466" s="8" t="n"/>
      <c r="F466" s="9">
        <f>IF(E466="","",VALUE(LEFT(E466,FIND(" - ",E466)-1)))</f>
        <v/>
      </c>
      <c r="G466" s="10">
        <f>IF(E466="","",VLOOKUP(F466,Product_Master!A:D,2,FALSE)&amp;"")</f>
        <v/>
      </c>
      <c r="H466" s="9">
        <f>IF(E466="","",VLOOKUP(F466,Product_Master!A:D,3,FALSE)&amp;"")</f>
        <v/>
      </c>
      <c r="I466" s="10">
        <f>IF(E466="","",VLOOKUP(F466,Product_Master!A:D,4,FALSE)&amp;"")</f>
        <v/>
      </c>
      <c r="J466" s="11" t="n"/>
      <c r="K466" s="11" t="n"/>
      <c r="L466" s="11" t="n"/>
      <c r="M466" s="12">
        <f>IF(J466="","",IFERROR(L466/J466,""))</f>
        <v/>
      </c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3">
        <f>SUM(N466:Z466)</f>
        <v/>
      </c>
      <c r="AB466" s="8" t="n"/>
    </row>
    <row r="467" ht="20" customHeight="1">
      <c r="A467" s="6" t="n"/>
      <c r="B467" s="7" t="n"/>
      <c r="C467" s="7" t="n"/>
      <c r="D467" s="7" t="n"/>
      <c r="E467" s="8" t="n"/>
      <c r="F467" s="9">
        <f>IF(E467="","",VALUE(LEFT(E467,FIND(" - ",E467)-1)))</f>
        <v/>
      </c>
      <c r="G467" s="10">
        <f>IF(E467="","",VLOOKUP(F467,Product_Master!A:D,2,FALSE)&amp;"")</f>
        <v/>
      </c>
      <c r="H467" s="9">
        <f>IF(E467="","",VLOOKUP(F467,Product_Master!A:D,3,FALSE)&amp;"")</f>
        <v/>
      </c>
      <c r="I467" s="10">
        <f>IF(E467="","",VLOOKUP(F467,Product_Master!A:D,4,FALSE)&amp;"")</f>
        <v/>
      </c>
      <c r="J467" s="11" t="n"/>
      <c r="K467" s="11" t="n"/>
      <c r="L467" s="11" t="n"/>
      <c r="M467" s="12">
        <f>IF(J467="","",IFERROR(L467/J467,""))</f>
        <v/>
      </c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3">
        <f>SUM(N467:Z467)</f>
        <v/>
      </c>
      <c r="AB467" s="8" t="n"/>
    </row>
    <row r="468" ht="20" customHeight="1">
      <c r="A468" s="6" t="n"/>
      <c r="B468" s="7" t="n"/>
      <c r="C468" s="7" t="n"/>
      <c r="D468" s="7" t="n"/>
      <c r="E468" s="8" t="n"/>
      <c r="F468" s="9">
        <f>IF(E468="","",VALUE(LEFT(E468,FIND(" - ",E468)-1)))</f>
        <v/>
      </c>
      <c r="G468" s="10">
        <f>IF(E468="","",VLOOKUP(F468,Product_Master!A:D,2,FALSE)&amp;"")</f>
        <v/>
      </c>
      <c r="H468" s="9">
        <f>IF(E468="","",VLOOKUP(F468,Product_Master!A:D,3,FALSE)&amp;"")</f>
        <v/>
      </c>
      <c r="I468" s="10">
        <f>IF(E468="","",VLOOKUP(F468,Product_Master!A:D,4,FALSE)&amp;"")</f>
        <v/>
      </c>
      <c r="J468" s="11" t="n"/>
      <c r="K468" s="11" t="n"/>
      <c r="L468" s="11" t="n"/>
      <c r="M468" s="12">
        <f>IF(J468="","",IFERROR(L468/J468,""))</f>
        <v/>
      </c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3">
        <f>SUM(N468:Z468)</f>
        <v/>
      </c>
      <c r="AB468" s="8" t="n"/>
    </row>
    <row r="469" ht="20" customHeight="1">
      <c r="A469" s="6" t="n"/>
      <c r="B469" s="7" t="n"/>
      <c r="C469" s="7" t="n"/>
      <c r="D469" s="7" t="n"/>
      <c r="E469" s="8" t="n"/>
      <c r="F469" s="9">
        <f>IF(E469="","",VALUE(LEFT(E469,FIND(" - ",E469)-1)))</f>
        <v/>
      </c>
      <c r="G469" s="10">
        <f>IF(E469="","",VLOOKUP(F469,Product_Master!A:D,2,FALSE)&amp;"")</f>
        <v/>
      </c>
      <c r="H469" s="9">
        <f>IF(E469="","",VLOOKUP(F469,Product_Master!A:D,3,FALSE)&amp;"")</f>
        <v/>
      </c>
      <c r="I469" s="10">
        <f>IF(E469="","",VLOOKUP(F469,Product_Master!A:D,4,FALSE)&amp;"")</f>
        <v/>
      </c>
      <c r="J469" s="11" t="n"/>
      <c r="K469" s="11" t="n"/>
      <c r="L469" s="11" t="n"/>
      <c r="M469" s="12">
        <f>IF(J469="","",IFERROR(L469/J469,""))</f>
        <v/>
      </c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3">
        <f>SUM(N469:Z469)</f>
        <v/>
      </c>
      <c r="AB469" s="8" t="n"/>
    </row>
    <row r="470" ht="20" customHeight="1">
      <c r="A470" s="6" t="n"/>
      <c r="B470" s="7" t="n"/>
      <c r="C470" s="7" t="n"/>
      <c r="D470" s="7" t="n"/>
      <c r="E470" s="8" t="n"/>
      <c r="F470" s="9">
        <f>IF(E470="","",VALUE(LEFT(E470,FIND(" - ",E470)-1)))</f>
        <v/>
      </c>
      <c r="G470" s="10">
        <f>IF(E470="","",VLOOKUP(F470,Product_Master!A:D,2,FALSE)&amp;"")</f>
        <v/>
      </c>
      <c r="H470" s="9">
        <f>IF(E470="","",VLOOKUP(F470,Product_Master!A:D,3,FALSE)&amp;"")</f>
        <v/>
      </c>
      <c r="I470" s="10">
        <f>IF(E470="","",VLOOKUP(F470,Product_Master!A:D,4,FALSE)&amp;"")</f>
        <v/>
      </c>
      <c r="J470" s="11" t="n"/>
      <c r="K470" s="11" t="n"/>
      <c r="L470" s="11" t="n"/>
      <c r="M470" s="12">
        <f>IF(J470="","",IFERROR(L470/J470,""))</f>
        <v/>
      </c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3">
        <f>SUM(N470:Z470)</f>
        <v/>
      </c>
      <c r="AB470" s="8" t="n"/>
    </row>
    <row r="471" ht="20" customHeight="1">
      <c r="A471" s="6" t="n"/>
      <c r="B471" s="7" t="n"/>
      <c r="C471" s="7" t="n"/>
      <c r="D471" s="7" t="n"/>
      <c r="E471" s="8" t="n"/>
      <c r="F471" s="9">
        <f>IF(E471="","",VALUE(LEFT(E471,FIND(" - ",E471)-1)))</f>
        <v/>
      </c>
      <c r="G471" s="10">
        <f>IF(E471="","",VLOOKUP(F471,Product_Master!A:D,2,FALSE)&amp;"")</f>
        <v/>
      </c>
      <c r="H471" s="9">
        <f>IF(E471="","",VLOOKUP(F471,Product_Master!A:D,3,FALSE)&amp;"")</f>
        <v/>
      </c>
      <c r="I471" s="10">
        <f>IF(E471="","",VLOOKUP(F471,Product_Master!A:D,4,FALSE)&amp;"")</f>
        <v/>
      </c>
      <c r="J471" s="11" t="n"/>
      <c r="K471" s="11" t="n"/>
      <c r="L471" s="11" t="n"/>
      <c r="M471" s="12">
        <f>IF(J471="","",IFERROR(L471/J471,""))</f>
        <v/>
      </c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3">
        <f>SUM(N471:Z471)</f>
        <v/>
      </c>
      <c r="AB471" s="8" t="n"/>
    </row>
    <row r="472" ht="20" customHeight="1">
      <c r="A472" s="6" t="n"/>
      <c r="B472" s="7" t="n"/>
      <c r="C472" s="7" t="n"/>
      <c r="D472" s="7" t="n"/>
      <c r="E472" s="8" t="n"/>
      <c r="F472" s="9">
        <f>IF(E472="","",VALUE(LEFT(E472,FIND(" - ",E472)-1)))</f>
        <v/>
      </c>
      <c r="G472" s="10">
        <f>IF(E472="","",VLOOKUP(F472,Product_Master!A:D,2,FALSE)&amp;"")</f>
        <v/>
      </c>
      <c r="H472" s="9">
        <f>IF(E472="","",VLOOKUP(F472,Product_Master!A:D,3,FALSE)&amp;"")</f>
        <v/>
      </c>
      <c r="I472" s="10">
        <f>IF(E472="","",VLOOKUP(F472,Product_Master!A:D,4,FALSE)&amp;"")</f>
        <v/>
      </c>
      <c r="J472" s="11" t="n"/>
      <c r="K472" s="11" t="n"/>
      <c r="L472" s="11" t="n"/>
      <c r="M472" s="12">
        <f>IF(J472="","",IFERROR(L472/J472,""))</f>
        <v/>
      </c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3">
        <f>SUM(N472:Z472)</f>
        <v/>
      </c>
      <c r="AB472" s="8" t="n"/>
    </row>
    <row r="473" ht="20" customHeight="1">
      <c r="A473" s="6" t="n"/>
      <c r="B473" s="7" t="n"/>
      <c r="C473" s="7" t="n"/>
      <c r="D473" s="7" t="n"/>
      <c r="E473" s="8" t="n"/>
      <c r="F473" s="9">
        <f>IF(E473="","",VALUE(LEFT(E473,FIND(" - ",E473)-1)))</f>
        <v/>
      </c>
      <c r="G473" s="10">
        <f>IF(E473="","",VLOOKUP(F473,Product_Master!A:D,2,FALSE)&amp;"")</f>
        <v/>
      </c>
      <c r="H473" s="9">
        <f>IF(E473="","",VLOOKUP(F473,Product_Master!A:D,3,FALSE)&amp;"")</f>
        <v/>
      </c>
      <c r="I473" s="10">
        <f>IF(E473="","",VLOOKUP(F473,Product_Master!A:D,4,FALSE)&amp;"")</f>
        <v/>
      </c>
      <c r="J473" s="11" t="n"/>
      <c r="K473" s="11" t="n"/>
      <c r="L473" s="11" t="n"/>
      <c r="M473" s="12">
        <f>IF(J473="","",IFERROR(L473/J473,""))</f>
        <v/>
      </c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3">
        <f>SUM(N473:Z473)</f>
        <v/>
      </c>
      <c r="AB473" s="8" t="n"/>
    </row>
    <row r="474" ht="20" customHeight="1">
      <c r="A474" s="6" t="n"/>
      <c r="B474" s="7" t="n"/>
      <c r="C474" s="7" t="n"/>
      <c r="D474" s="7" t="n"/>
      <c r="E474" s="8" t="n"/>
      <c r="F474" s="9">
        <f>IF(E474="","",VALUE(LEFT(E474,FIND(" - ",E474)-1)))</f>
        <v/>
      </c>
      <c r="G474" s="10">
        <f>IF(E474="","",VLOOKUP(F474,Product_Master!A:D,2,FALSE)&amp;"")</f>
        <v/>
      </c>
      <c r="H474" s="9">
        <f>IF(E474="","",VLOOKUP(F474,Product_Master!A:D,3,FALSE)&amp;"")</f>
        <v/>
      </c>
      <c r="I474" s="10">
        <f>IF(E474="","",VLOOKUP(F474,Product_Master!A:D,4,FALSE)&amp;"")</f>
        <v/>
      </c>
      <c r="J474" s="11" t="n"/>
      <c r="K474" s="11" t="n"/>
      <c r="L474" s="11" t="n"/>
      <c r="M474" s="12">
        <f>IF(J474="","",IFERROR(L474/J474,""))</f>
        <v/>
      </c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3">
        <f>SUM(N474:Z474)</f>
        <v/>
      </c>
      <c r="AB474" s="8" t="n"/>
    </row>
    <row r="475" ht="20" customHeight="1">
      <c r="A475" s="6" t="n"/>
      <c r="B475" s="7" t="n"/>
      <c r="C475" s="7" t="n"/>
      <c r="D475" s="7" t="n"/>
      <c r="E475" s="8" t="n"/>
      <c r="F475" s="9">
        <f>IF(E475="","",VALUE(LEFT(E475,FIND(" - ",E475)-1)))</f>
        <v/>
      </c>
      <c r="G475" s="10">
        <f>IF(E475="","",VLOOKUP(F475,Product_Master!A:D,2,FALSE)&amp;"")</f>
        <v/>
      </c>
      <c r="H475" s="9">
        <f>IF(E475="","",VLOOKUP(F475,Product_Master!A:D,3,FALSE)&amp;"")</f>
        <v/>
      </c>
      <c r="I475" s="10">
        <f>IF(E475="","",VLOOKUP(F475,Product_Master!A:D,4,FALSE)&amp;"")</f>
        <v/>
      </c>
      <c r="J475" s="11" t="n"/>
      <c r="K475" s="11" t="n"/>
      <c r="L475" s="11" t="n"/>
      <c r="M475" s="12">
        <f>IF(J475="","",IFERROR(L475/J475,""))</f>
        <v/>
      </c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3">
        <f>SUM(N475:Z475)</f>
        <v/>
      </c>
      <c r="AB475" s="8" t="n"/>
    </row>
    <row r="476" ht="20" customHeight="1">
      <c r="A476" s="6" t="n"/>
      <c r="B476" s="7" t="n"/>
      <c r="C476" s="7" t="n"/>
      <c r="D476" s="7" t="n"/>
      <c r="E476" s="8" t="n"/>
      <c r="F476" s="9">
        <f>IF(E476="","",VALUE(LEFT(E476,FIND(" - ",E476)-1)))</f>
        <v/>
      </c>
      <c r="G476" s="10">
        <f>IF(E476="","",VLOOKUP(F476,Product_Master!A:D,2,FALSE)&amp;"")</f>
        <v/>
      </c>
      <c r="H476" s="9">
        <f>IF(E476="","",VLOOKUP(F476,Product_Master!A:D,3,FALSE)&amp;"")</f>
        <v/>
      </c>
      <c r="I476" s="10">
        <f>IF(E476="","",VLOOKUP(F476,Product_Master!A:D,4,FALSE)&amp;"")</f>
        <v/>
      </c>
      <c r="J476" s="11" t="n"/>
      <c r="K476" s="11" t="n"/>
      <c r="L476" s="11" t="n"/>
      <c r="M476" s="12">
        <f>IF(J476="","",IFERROR(L476/J476,""))</f>
        <v/>
      </c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3">
        <f>SUM(N476:Z476)</f>
        <v/>
      </c>
      <c r="AB476" s="8" t="n"/>
    </row>
    <row r="477" ht="20" customHeight="1">
      <c r="A477" s="6" t="n"/>
      <c r="B477" s="7" t="n"/>
      <c r="C477" s="7" t="n"/>
      <c r="D477" s="7" t="n"/>
      <c r="E477" s="8" t="n"/>
      <c r="F477" s="9">
        <f>IF(E477="","",VALUE(LEFT(E477,FIND(" - ",E477)-1)))</f>
        <v/>
      </c>
      <c r="G477" s="10">
        <f>IF(E477="","",VLOOKUP(F477,Product_Master!A:D,2,FALSE)&amp;"")</f>
        <v/>
      </c>
      <c r="H477" s="9">
        <f>IF(E477="","",VLOOKUP(F477,Product_Master!A:D,3,FALSE)&amp;"")</f>
        <v/>
      </c>
      <c r="I477" s="10">
        <f>IF(E477="","",VLOOKUP(F477,Product_Master!A:D,4,FALSE)&amp;"")</f>
        <v/>
      </c>
      <c r="J477" s="11" t="n"/>
      <c r="K477" s="11" t="n"/>
      <c r="L477" s="11" t="n"/>
      <c r="M477" s="12">
        <f>IF(J477="","",IFERROR(L477/J477,""))</f>
        <v/>
      </c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3">
        <f>SUM(N477:Z477)</f>
        <v/>
      </c>
      <c r="AB477" s="8" t="n"/>
    </row>
    <row r="478" ht="20" customHeight="1">
      <c r="A478" s="6" t="n"/>
      <c r="B478" s="7" t="n"/>
      <c r="C478" s="7" t="n"/>
      <c r="D478" s="7" t="n"/>
      <c r="E478" s="8" t="n"/>
      <c r="F478" s="9">
        <f>IF(E478="","",VALUE(LEFT(E478,FIND(" - ",E478)-1)))</f>
        <v/>
      </c>
      <c r="G478" s="10">
        <f>IF(E478="","",VLOOKUP(F478,Product_Master!A:D,2,FALSE)&amp;"")</f>
        <v/>
      </c>
      <c r="H478" s="9">
        <f>IF(E478="","",VLOOKUP(F478,Product_Master!A:D,3,FALSE)&amp;"")</f>
        <v/>
      </c>
      <c r="I478" s="10">
        <f>IF(E478="","",VLOOKUP(F478,Product_Master!A:D,4,FALSE)&amp;"")</f>
        <v/>
      </c>
      <c r="J478" s="11" t="n"/>
      <c r="K478" s="11" t="n"/>
      <c r="L478" s="11" t="n"/>
      <c r="M478" s="12">
        <f>IF(J478="","",IFERROR(L478/J478,""))</f>
        <v/>
      </c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3">
        <f>SUM(N478:Z478)</f>
        <v/>
      </c>
      <c r="AB478" s="8" t="n"/>
    </row>
    <row r="479" ht="20" customHeight="1">
      <c r="A479" s="6" t="n"/>
      <c r="B479" s="7" t="n"/>
      <c r="C479" s="7" t="n"/>
      <c r="D479" s="7" t="n"/>
      <c r="E479" s="8" t="n"/>
      <c r="F479" s="9">
        <f>IF(E479="","",VALUE(LEFT(E479,FIND(" - ",E479)-1)))</f>
        <v/>
      </c>
      <c r="G479" s="10">
        <f>IF(E479="","",VLOOKUP(F479,Product_Master!A:D,2,FALSE)&amp;"")</f>
        <v/>
      </c>
      <c r="H479" s="9">
        <f>IF(E479="","",VLOOKUP(F479,Product_Master!A:D,3,FALSE)&amp;"")</f>
        <v/>
      </c>
      <c r="I479" s="10">
        <f>IF(E479="","",VLOOKUP(F479,Product_Master!A:D,4,FALSE)&amp;"")</f>
        <v/>
      </c>
      <c r="J479" s="11" t="n"/>
      <c r="K479" s="11" t="n"/>
      <c r="L479" s="11" t="n"/>
      <c r="M479" s="12">
        <f>IF(J479="","",IFERROR(L479/J479,""))</f>
        <v/>
      </c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3">
        <f>SUM(N479:Z479)</f>
        <v/>
      </c>
      <c r="AB479" s="8" t="n"/>
    </row>
    <row r="480" ht="20" customHeight="1">
      <c r="A480" s="6" t="n"/>
      <c r="B480" s="7" t="n"/>
      <c r="C480" s="7" t="n"/>
      <c r="D480" s="7" t="n"/>
      <c r="E480" s="8" t="n"/>
      <c r="F480" s="9">
        <f>IF(E480="","",VALUE(LEFT(E480,FIND(" - ",E480)-1)))</f>
        <v/>
      </c>
      <c r="G480" s="10">
        <f>IF(E480="","",VLOOKUP(F480,Product_Master!A:D,2,FALSE)&amp;"")</f>
        <v/>
      </c>
      <c r="H480" s="9">
        <f>IF(E480="","",VLOOKUP(F480,Product_Master!A:D,3,FALSE)&amp;"")</f>
        <v/>
      </c>
      <c r="I480" s="10">
        <f>IF(E480="","",VLOOKUP(F480,Product_Master!A:D,4,FALSE)&amp;"")</f>
        <v/>
      </c>
      <c r="J480" s="11" t="n"/>
      <c r="K480" s="11" t="n"/>
      <c r="L480" s="11" t="n"/>
      <c r="M480" s="12">
        <f>IF(J480="","",IFERROR(L480/J480,""))</f>
        <v/>
      </c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3">
        <f>SUM(N480:Z480)</f>
        <v/>
      </c>
      <c r="AB480" s="8" t="n"/>
    </row>
    <row r="481" ht="20" customHeight="1">
      <c r="A481" s="6" t="n"/>
      <c r="B481" s="7" t="n"/>
      <c r="C481" s="7" t="n"/>
      <c r="D481" s="7" t="n"/>
      <c r="E481" s="8" t="n"/>
      <c r="F481" s="9">
        <f>IF(E481="","",VALUE(LEFT(E481,FIND(" - ",E481)-1)))</f>
        <v/>
      </c>
      <c r="G481" s="10">
        <f>IF(E481="","",VLOOKUP(F481,Product_Master!A:D,2,FALSE)&amp;"")</f>
        <v/>
      </c>
      <c r="H481" s="9">
        <f>IF(E481="","",VLOOKUP(F481,Product_Master!A:D,3,FALSE)&amp;"")</f>
        <v/>
      </c>
      <c r="I481" s="10">
        <f>IF(E481="","",VLOOKUP(F481,Product_Master!A:D,4,FALSE)&amp;"")</f>
        <v/>
      </c>
      <c r="J481" s="11" t="n"/>
      <c r="K481" s="11" t="n"/>
      <c r="L481" s="11" t="n"/>
      <c r="M481" s="12">
        <f>IF(J481="","",IFERROR(L481/J481,""))</f>
        <v/>
      </c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3">
        <f>SUM(N481:Z481)</f>
        <v/>
      </c>
      <c r="AB481" s="8" t="n"/>
    </row>
    <row r="482" ht="20" customHeight="1">
      <c r="A482" s="6" t="n"/>
      <c r="B482" s="7" t="n"/>
      <c r="C482" s="7" t="n"/>
      <c r="D482" s="7" t="n"/>
      <c r="E482" s="8" t="n"/>
      <c r="F482" s="9">
        <f>IF(E482="","",VALUE(LEFT(E482,FIND(" - ",E482)-1)))</f>
        <v/>
      </c>
      <c r="G482" s="10">
        <f>IF(E482="","",VLOOKUP(F482,Product_Master!A:D,2,FALSE)&amp;"")</f>
        <v/>
      </c>
      <c r="H482" s="9">
        <f>IF(E482="","",VLOOKUP(F482,Product_Master!A:D,3,FALSE)&amp;"")</f>
        <v/>
      </c>
      <c r="I482" s="10">
        <f>IF(E482="","",VLOOKUP(F482,Product_Master!A:D,4,FALSE)&amp;"")</f>
        <v/>
      </c>
      <c r="J482" s="11" t="n"/>
      <c r="K482" s="11" t="n"/>
      <c r="L482" s="11" t="n"/>
      <c r="M482" s="12">
        <f>IF(J482="","",IFERROR(L482/J482,""))</f>
        <v/>
      </c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3">
        <f>SUM(N482:Z482)</f>
        <v/>
      </c>
      <c r="AB482" s="8" t="n"/>
    </row>
    <row r="483" ht="20" customHeight="1">
      <c r="A483" s="6" t="n"/>
      <c r="B483" s="7" t="n"/>
      <c r="C483" s="7" t="n"/>
      <c r="D483" s="7" t="n"/>
      <c r="E483" s="8" t="n"/>
      <c r="F483" s="9">
        <f>IF(E483="","",VALUE(LEFT(E483,FIND(" - ",E483)-1)))</f>
        <v/>
      </c>
      <c r="G483" s="10">
        <f>IF(E483="","",VLOOKUP(F483,Product_Master!A:D,2,FALSE)&amp;"")</f>
        <v/>
      </c>
      <c r="H483" s="9">
        <f>IF(E483="","",VLOOKUP(F483,Product_Master!A:D,3,FALSE)&amp;"")</f>
        <v/>
      </c>
      <c r="I483" s="10">
        <f>IF(E483="","",VLOOKUP(F483,Product_Master!A:D,4,FALSE)&amp;"")</f>
        <v/>
      </c>
      <c r="J483" s="11" t="n"/>
      <c r="K483" s="11" t="n"/>
      <c r="L483" s="11" t="n"/>
      <c r="M483" s="12">
        <f>IF(J483="","",IFERROR(L483/J483,""))</f>
        <v/>
      </c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3">
        <f>SUM(N483:Z483)</f>
        <v/>
      </c>
      <c r="AB483" s="8" t="n"/>
    </row>
    <row r="484" ht="20" customHeight="1">
      <c r="A484" s="6" t="n"/>
      <c r="B484" s="7" t="n"/>
      <c r="C484" s="7" t="n"/>
      <c r="D484" s="7" t="n"/>
      <c r="E484" s="8" t="n"/>
      <c r="F484" s="9">
        <f>IF(E484="","",VALUE(LEFT(E484,FIND(" - ",E484)-1)))</f>
        <v/>
      </c>
      <c r="G484" s="10">
        <f>IF(E484="","",VLOOKUP(F484,Product_Master!A:D,2,FALSE)&amp;"")</f>
        <v/>
      </c>
      <c r="H484" s="9">
        <f>IF(E484="","",VLOOKUP(F484,Product_Master!A:D,3,FALSE)&amp;"")</f>
        <v/>
      </c>
      <c r="I484" s="10">
        <f>IF(E484="","",VLOOKUP(F484,Product_Master!A:D,4,FALSE)&amp;"")</f>
        <v/>
      </c>
      <c r="J484" s="11" t="n"/>
      <c r="K484" s="11" t="n"/>
      <c r="L484" s="11" t="n"/>
      <c r="M484" s="12">
        <f>IF(J484="","",IFERROR(L484/J484,""))</f>
        <v/>
      </c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3">
        <f>SUM(N484:Z484)</f>
        <v/>
      </c>
      <c r="AB484" s="8" t="n"/>
    </row>
    <row r="485" ht="20" customHeight="1">
      <c r="A485" s="6" t="n"/>
      <c r="B485" s="7" t="n"/>
      <c r="C485" s="7" t="n"/>
      <c r="D485" s="7" t="n"/>
      <c r="E485" s="8" t="n"/>
      <c r="F485" s="9">
        <f>IF(E485="","",VALUE(LEFT(E485,FIND(" - ",E485)-1)))</f>
        <v/>
      </c>
      <c r="G485" s="10">
        <f>IF(E485="","",VLOOKUP(F485,Product_Master!A:D,2,FALSE)&amp;"")</f>
        <v/>
      </c>
      <c r="H485" s="9">
        <f>IF(E485="","",VLOOKUP(F485,Product_Master!A:D,3,FALSE)&amp;"")</f>
        <v/>
      </c>
      <c r="I485" s="10">
        <f>IF(E485="","",VLOOKUP(F485,Product_Master!A:D,4,FALSE)&amp;"")</f>
        <v/>
      </c>
      <c r="J485" s="11" t="n"/>
      <c r="K485" s="11" t="n"/>
      <c r="L485" s="11" t="n"/>
      <c r="M485" s="12">
        <f>IF(J485="","",IFERROR(L485/J485,""))</f>
        <v/>
      </c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3">
        <f>SUM(N485:Z485)</f>
        <v/>
      </c>
      <c r="AB485" s="8" t="n"/>
    </row>
    <row r="486" ht="20" customHeight="1">
      <c r="A486" s="6" t="n"/>
      <c r="B486" s="7" t="n"/>
      <c r="C486" s="7" t="n"/>
      <c r="D486" s="7" t="n"/>
      <c r="E486" s="8" t="n"/>
      <c r="F486" s="9">
        <f>IF(E486="","",VALUE(LEFT(E486,FIND(" - ",E486)-1)))</f>
        <v/>
      </c>
      <c r="G486" s="10">
        <f>IF(E486="","",VLOOKUP(F486,Product_Master!A:D,2,FALSE)&amp;"")</f>
        <v/>
      </c>
      <c r="H486" s="9">
        <f>IF(E486="","",VLOOKUP(F486,Product_Master!A:D,3,FALSE)&amp;"")</f>
        <v/>
      </c>
      <c r="I486" s="10">
        <f>IF(E486="","",VLOOKUP(F486,Product_Master!A:D,4,FALSE)&amp;"")</f>
        <v/>
      </c>
      <c r="J486" s="11" t="n"/>
      <c r="K486" s="11" t="n"/>
      <c r="L486" s="11" t="n"/>
      <c r="M486" s="12">
        <f>IF(J486="","",IFERROR(L486/J486,""))</f>
        <v/>
      </c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3">
        <f>SUM(N486:Z486)</f>
        <v/>
      </c>
      <c r="AB486" s="8" t="n"/>
    </row>
    <row r="487" ht="20" customHeight="1">
      <c r="A487" s="6" t="n"/>
      <c r="B487" s="7" t="n"/>
      <c r="C487" s="7" t="n"/>
      <c r="D487" s="7" t="n"/>
      <c r="E487" s="8" t="n"/>
      <c r="F487" s="9">
        <f>IF(E487="","",VALUE(LEFT(E487,FIND(" - ",E487)-1)))</f>
        <v/>
      </c>
      <c r="G487" s="10">
        <f>IF(E487="","",VLOOKUP(F487,Product_Master!A:D,2,FALSE)&amp;"")</f>
        <v/>
      </c>
      <c r="H487" s="9">
        <f>IF(E487="","",VLOOKUP(F487,Product_Master!A:D,3,FALSE)&amp;"")</f>
        <v/>
      </c>
      <c r="I487" s="10">
        <f>IF(E487="","",VLOOKUP(F487,Product_Master!A:D,4,FALSE)&amp;"")</f>
        <v/>
      </c>
      <c r="J487" s="11" t="n"/>
      <c r="K487" s="11" t="n"/>
      <c r="L487" s="11" t="n"/>
      <c r="M487" s="12">
        <f>IF(J487="","",IFERROR(L487/J487,""))</f>
        <v/>
      </c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3">
        <f>SUM(N487:Z487)</f>
        <v/>
      </c>
      <c r="AB487" s="8" t="n"/>
    </row>
    <row r="488" ht="20" customHeight="1">
      <c r="A488" s="6" t="n"/>
      <c r="B488" s="7" t="n"/>
      <c r="C488" s="7" t="n"/>
      <c r="D488" s="7" t="n"/>
      <c r="E488" s="8" t="n"/>
      <c r="F488" s="9">
        <f>IF(E488="","",VALUE(LEFT(E488,FIND(" - ",E488)-1)))</f>
        <v/>
      </c>
      <c r="G488" s="10">
        <f>IF(E488="","",VLOOKUP(F488,Product_Master!A:D,2,FALSE)&amp;"")</f>
        <v/>
      </c>
      <c r="H488" s="9">
        <f>IF(E488="","",VLOOKUP(F488,Product_Master!A:D,3,FALSE)&amp;"")</f>
        <v/>
      </c>
      <c r="I488" s="10">
        <f>IF(E488="","",VLOOKUP(F488,Product_Master!A:D,4,FALSE)&amp;"")</f>
        <v/>
      </c>
      <c r="J488" s="11" t="n"/>
      <c r="K488" s="11" t="n"/>
      <c r="L488" s="11" t="n"/>
      <c r="M488" s="12">
        <f>IF(J488="","",IFERROR(L488/J488,""))</f>
        <v/>
      </c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3">
        <f>SUM(N488:Z488)</f>
        <v/>
      </c>
      <c r="AB488" s="8" t="n"/>
    </row>
    <row r="489" ht="20" customHeight="1">
      <c r="A489" s="6" t="n"/>
      <c r="B489" s="7" t="n"/>
      <c r="C489" s="7" t="n"/>
      <c r="D489" s="7" t="n"/>
      <c r="E489" s="8" t="n"/>
      <c r="F489" s="9">
        <f>IF(E489="","",VALUE(LEFT(E489,FIND(" - ",E489)-1)))</f>
        <v/>
      </c>
      <c r="G489" s="10">
        <f>IF(E489="","",VLOOKUP(F489,Product_Master!A:D,2,FALSE)&amp;"")</f>
        <v/>
      </c>
      <c r="H489" s="9">
        <f>IF(E489="","",VLOOKUP(F489,Product_Master!A:D,3,FALSE)&amp;"")</f>
        <v/>
      </c>
      <c r="I489" s="10">
        <f>IF(E489="","",VLOOKUP(F489,Product_Master!A:D,4,FALSE)&amp;"")</f>
        <v/>
      </c>
      <c r="J489" s="11" t="n"/>
      <c r="K489" s="11" t="n"/>
      <c r="L489" s="11" t="n"/>
      <c r="M489" s="12">
        <f>IF(J489="","",IFERROR(L489/J489,""))</f>
        <v/>
      </c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3">
        <f>SUM(N489:Z489)</f>
        <v/>
      </c>
      <c r="AB489" s="8" t="n"/>
    </row>
    <row r="490" ht="20" customHeight="1">
      <c r="A490" s="6" t="n"/>
      <c r="B490" s="7" t="n"/>
      <c r="C490" s="7" t="n"/>
      <c r="D490" s="7" t="n"/>
      <c r="E490" s="8" t="n"/>
      <c r="F490" s="9">
        <f>IF(E490="","",VALUE(LEFT(E490,FIND(" - ",E490)-1)))</f>
        <v/>
      </c>
      <c r="G490" s="10">
        <f>IF(E490="","",VLOOKUP(F490,Product_Master!A:D,2,FALSE)&amp;"")</f>
        <v/>
      </c>
      <c r="H490" s="9">
        <f>IF(E490="","",VLOOKUP(F490,Product_Master!A:D,3,FALSE)&amp;"")</f>
        <v/>
      </c>
      <c r="I490" s="10">
        <f>IF(E490="","",VLOOKUP(F490,Product_Master!A:D,4,FALSE)&amp;"")</f>
        <v/>
      </c>
      <c r="J490" s="11" t="n"/>
      <c r="K490" s="11" t="n"/>
      <c r="L490" s="11" t="n"/>
      <c r="M490" s="12">
        <f>IF(J490="","",IFERROR(L490/J490,""))</f>
        <v/>
      </c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3">
        <f>SUM(N490:Z490)</f>
        <v/>
      </c>
      <c r="AB490" s="8" t="n"/>
    </row>
    <row r="491" ht="20" customHeight="1">
      <c r="A491" s="6" t="n"/>
      <c r="B491" s="7" t="n"/>
      <c r="C491" s="7" t="n"/>
      <c r="D491" s="7" t="n"/>
      <c r="E491" s="8" t="n"/>
      <c r="F491" s="9">
        <f>IF(E491="","",VALUE(LEFT(E491,FIND(" - ",E491)-1)))</f>
        <v/>
      </c>
      <c r="G491" s="10">
        <f>IF(E491="","",VLOOKUP(F491,Product_Master!A:D,2,FALSE)&amp;"")</f>
        <v/>
      </c>
      <c r="H491" s="9">
        <f>IF(E491="","",VLOOKUP(F491,Product_Master!A:D,3,FALSE)&amp;"")</f>
        <v/>
      </c>
      <c r="I491" s="10">
        <f>IF(E491="","",VLOOKUP(F491,Product_Master!A:D,4,FALSE)&amp;"")</f>
        <v/>
      </c>
      <c r="J491" s="11" t="n"/>
      <c r="K491" s="11" t="n"/>
      <c r="L491" s="11" t="n"/>
      <c r="M491" s="12">
        <f>IF(J491="","",IFERROR(L491/J491,""))</f>
        <v/>
      </c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3">
        <f>SUM(N491:Z491)</f>
        <v/>
      </c>
      <c r="AB491" s="8" t="n"/>
    </row>
    <row r="492" ht="20" customHeight="1">
      <c r="A492" s="6" t="n"/>
      <c r="B492" s="7" t="n"/>
      <c r="C492" s="7" t="n"/>
      <c r="D492" s="7" t="n"/>
      <c r="E492" s="8" t="n"/>
      <c r="F492" s="9">
        <f>IF(E492="","",VALUE(LEFT(E492,FIND(" - ",E492)-1)))</f>
        <v/>
      </c>
      <c r="G492" s="10">
        <f>IF(E492="","",VLOOKUP(F492,Product_Master!A:D,2,FALSE)&amp;"")</f>
        <v/>
      </c>
      <c r="H492" s="9">
        <f>IF(E492="","",VLOOKUP(F492,Product_Master!A:D,3,FALSE)&amp;"")</f>
        <v/>
      </c>
      <c r="I492" s="10">
        <f>IF(E492="","",VLOOKUP(F492,Product_Master!A:D,4,FALSE)&amp;"")</f>
        <v/>
      </c>
      <c r="J492" s="11" t="n"/>
      <c r="K492" s="11" t="n"/>
      <c r="L492" s="11" t="n"/>
      <c r="M492" s="12">
        <f>IF(J492="","",IFERROR(L492/J492,""))</f>
        <v/>
      </c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3">
        <f>SUM(N492:Z492)</f>
        <v/>
      </c>
      <c r="AB492" s="8" t="n"/>
    </row>
    <row r="493" ht="20" customHeight="1">
      <c r="A493" s="6" t="n"/>
      <c r="B493" s="7" t="n"/>
      <c r="C493" s="7" t="n"/>
      <c r="D493" s="7" t="n"/>
      <c r="E493" s="8" t="n"/>
      <c r="F493" s="9">
        <f>IF(E493="","",VALUE(LEFT(E493,FIND(" - ",E493)-1)))</f>
        <v/>
      </c>
      <c r="G493" s="10">
        <f>IF(E493="","",VLOOKUP(F493,Product_Master!A:D,2,FALSE)&amp;"")</f>
        <v/>
      </c>
      <c r="H493" s="9">
        <f>IF(E493="","",VLOOKUP(F493,Product_Master!A:D,3,FALSE)&amp;"")</f>
        <v/>
      </c>
      <c r="I493" s="10">
        <f>IF(E493="","",VLOOKUP(F493,Product_Master!A:D,4,FALSE)&amp;"")</f>
        <v/>
      </c>
      <c r="J493" s="11" t="n"/>
      <c r="K493" s="11" t="n"/>
      <c r="L493" s="11" t="n"/>
      <c r="M493" s="12">
        <f>IF(J493="","",IFERROR(L493/J493,""))</f>
        <v/>
      </c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3">
        <f>SUM(N493:Z493)</f>
        <v/>
      </c>
      <c r="AB493" s="8" t="n"/>
    </row>
    <row r="494" ht="20" customHeight="1">
      <c r="A494" s="6" t="n"/>
      <c r="B494" s="7" t="n"/>
      <c r="C494" s="7" t="n"/>
      <c r="D494" s="7" t="n"/>
      <c r="E494" s="8" t="n"/>
      <c r="F494" s="9">
        <f>IF(E494="","",VALUE(LEFT(E494,FIND(" - ",E494)-1)))</f>
        <v/>
      </c>
      <c r="G494" s="10">
        <f>IF(E494="","",VLOOKUP(F494,Product_Master!A:D,2,FALSE)&amp;"")</f>
        <v/>
      </c>
      <c r="H494" s="9">
        <f>IF(E494="","",VLOOKUP(F494,Product_Master!A:D,3,FALSE)&amp;"")</f>
        <v/>
      </c>
      <c r="I494" s="10">
        <f>IF(E494="","",VLOOKUP(F494,Product_Master!A:D,4,FALSE)&amp;"")</f>
        <v/>
      </c>
      <c r="J494" s="11" t="n"/>
      <c r="K494" s="11" t="n"/>
      <c r="L494" s="11" t="n"/>
      <c r="M494" s="12">
        <f>IF(J494="","",IFERROR(L494/J494,""))</f>
        <v/>
      </c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3">
        <f>SUM(N494:Z494)</f>
        <v/>
      </c>
      <c r="AB494" s="8" t="n"/>
    </row>
    <row r="495" ht="20" customHeight="1">
      <c r="A495" s="6" t="n"/>
      <c r="B495" s="7" t="n"/>
      <c r="C495" s="7" t="n"/>
      <c r="D495" s="7" t="n"/>
      <c r="E495" s="8" t="n"/>
      <c r="F495" s="9">
        <f>IF(E495="","",VALUE(LEFT(E495,FIND(" - ",E495)-1)))</f>
        <v/>
      </c>
      <c r="G495" s="10">
        <f>IF(E495="","",VLOOKUP(F495,Product_Master!A:D,2,FALSE)&amp;"")</f>
        <v/>
      </c>
      <c r="H495" s="9">
        <f>IF(E495="","",VLOOKUP(F495,Product_Master!A:D,3,FALSE)&amp;"")</f>
        <v/>
      </c>
      <c r="I495" s="10">
        <f>IF(E495="","",VLOOKUP(F495,Product_Master!A:D,4,FALSE)&amp;"")</f>
        <v/>
      </c>
      <c r="J495" s="11" t="n"/>
      <c r="K495" s="11" t="n"/>
      <c r="L495" s="11" t="n"/>
      <c r="M495" s="12">
        <f>IF(J495="","",IFERROR(L495/J495,""))</f>
        <v/>
      </c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3">
        <f>SUM(N495:Z495)</f>
        <v/>
      </c>
      <c r="AB495" s="8" t="n"/>
    </row>
    <row r="496" ht="20" customHeight="1">
      <c r="A496" s="6" t="n"/>
      <c r="B496" s="7" t="n"/>
      <c r="C496" s="7" t="n"/>
      <c r="D496" s="7" t="n"/>
      <c r="E496" s="8" t="n"/>
      <c r="F496" s="9">
        <f>IF(E496="","",VALUE(LEFT(E496,FIND(" - ",E496)-1)))</f>
        <v/>
      </c>
      <c r="G496" s="10">
        <f>IF(E496="","",VLOOKUP(F496,Product_Master!A:D,2,FALSE)&amp;"")</f>
        <v/>
      </c>
      <c r="H496" s="9">
        <f>IF(E496="","",VLOOKUP(F496,Product_Master!A:D,3,FALSE)&amp;"")</f>
        <v/>
      </c>
      <c r="I496" s="10">
        <f>IF(E496="","",VLOOKUP(F496,Product_Master!A:D,4,FALSE)&amp;"")</f>
        <v/>
      </c>
      <c r="J496" s="11" t="n"/>
      <c r="K496" s="11" t="n"/>
      <c r="L496" s="11" t="n"/>
      <c r="M496" s="12">
        <f>IF(J496="","",IFERROR(L496/J496,""))</f>
        <v/>
      </c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3">
        <f>SUM(N496:Z496)</f>
        <v/>
      </c>
      <c r="AB496" s="8" t="n"/>
    </row>
    <row r="497" ht="20" customHeight="1">
      <c r="A497" s="6" t="n"/>
      <c r="B497" s="7" t="n"/>
      <c r="C497" s="7" t="n"/>
      <c r="D497" s="7" t="n"/>
      <c r="E497" s="8" t="n"/>
      <c r="F497" s="9">
        <f>IF(E497="","",VALUE(LEFT(E497,FIND(" - ",E497)-1)))</f>
        <v/>
      </c>
      <c r="G497" s="10">
        <f>IF(E497="","",VLOOKUP(F497,Product_Master!A:D,2,FALSE)&amp;"")</f>
        <v/>
      </c>
      <c r="H497" s="9">
        <f>IF(E497="","",VLOOKUP(F497,Product_Master!A:D,3,FALSE)&amp;"")</f>
        <v/>
      </c>
      <c r="I497" s="10">
        <f>IF(E497="","",VLOOKUP(F497,Product_Master!A:D,4,FALSE)&amp;"")</f>
        <v/>
      </c>
      <c r="J497" s="11" t="n"/>
      <c r="K497" s="11" t="n"/>
      <c r="L497" s="11" t="n"/>
      <c r="M497" s="12">
        <f>IF(J497="","",IFERROR(L497/J497,""))</f>
        <v/>
      </c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3">
        <f>SUM(N497:Z497)</f>
        <v/>
      </c>
      <c r="AB497" s="8" t="n"/>
    </row>
    <row r="498" ht="20" customHeight="1">
      <c r="A498" s="6" t="n"/>
      <c r="B498" s="7" t="n"/>
      <c r="C498" s="7" t="n"/>
      <c r="D498" s="7" t="n"/>
      <c r="E498" s="8" t="n"/>
      <c r="F498" s="9">
        <f>IF(E498="","",VALUE(LEFT(E498,FIND(" - ",E498)-1)))</f>
        <v/>
      </c>
      <c r="G498" s="10">
        <f>IF(E498="","",VLOOKUP(F498,Product_Master!A:D,2,FALSE)&amp;"")</f>
        <v/>
      </c>
      <c r="H498" s="9">
        <f>IF(E498="","",VLOOKUP(F498,Product_Master!A:D,3,FALSE)&amp;"")</f>
        <v/>
      </c>
      <c r="I498" s="10">
        <f>IF(E498="","",VLOOKUP(F498,Product_Master!A:D,4,FALSE)&amp;"")</f>
        <v/>
      </c>
      <c r="J498" s="11" t="n"/>
      <c r="K498" s="11" t="n"/>
      <c r="L498" s="11" t="n"/>
      <c r="M498" s="12">
        <f>IF(J498="","",IFERROR(L498/J498,""))</f>
        <v/>
      </c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3">
        <f>SUM(N498:Z498)</f>
        <v/>
      </c>
      <c r="AB498" s="8" t="n"/>
    </row>
    <row r="499" ht="20" customHeight="1">
      <c r="A499" s="6" t="n"/>
      <c r="B499" s="7" t="n"/>
      <c r="C499" s="7" t="n"/>
      <c r="D499" s="7" t="n"/>
      <c r="E499" s="8" t="n"/>
      <c r="F499" s="9">
        <f>IF(E499="","",VALUE(LEFT(E499,FIND(" - ",E499)-1)))</f>
        <v/>
      </c>
      <c r="G499" s="10">
        <f>IF(E499="","",VLOOKUP(F499,Product_Master!A:D,2,FALSE)&amp;"")</f>
        <v/>
      </c>
      <c r="H499" s="9">
        <f>IF(E499="","",VLOOKUP(F499,Product_Master!A:D,3,FALSE)&amp;"")</f>
        <v/>
      </c>
      <c r="I499" s="10">
        <f>IF(E499="","",VLOOKUP(F499,Product_Master!A:D,4,FALSE)&amp;"")</f>
        <v/>
      </c>
      <c r="J499" s="11" t="n"/>
      <c r="K499" s="11" t="n"/>
      <c r="L499" s="11" t="n"/>
      <c r="M499" s="12">
        <f>IF(J499="","",IFERROR(L499/J499,""))</f>
        <v/>
      </c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3">
        <f>SUM(N499:Z499)</f>
        <v/>
      </c>
      <c r="AB499" s="8" t="n"/>
    </row>
    <row r="500" ht="20" customHeight="1">
      <c r="A500" s="6" t="n"/>
      <c r="B500" s="7" t="n"/>
      <c r="C500" s="7" t="n"/>
      <c r="D500" s="7" t="n"/>
      <c r="E500" s="8" t="n"/>
      <c r="F500" s="9">
        <f>IF(E500="","",VALUE(LEFT(E500,FIND(" - ",E500)-1)))</f>
        <v/>
      </c>
      <c r="G500" s="10">
        <f>IF(E500="","",VLOOKUP(F500,Product_Master!A:D,2,FALSE)&amp;"")</f>
        <v/>
      </c>
      <c r="H500" s="9">
        <f>IF(E500="","",VLOOKUP(F500,Product_Master!A:D,3,FALSE)&amp;"")</f>
        <v/>
      </c>
      <c r="I500" s="10">
        <f>IF(E500="","",VLOOKUP(F500,Product_Master!A:D,4,FALSE)&amp;"")</f>
        <v/>
      </c>
      <c r="J500" s="11" t="n"/>
      <c r="K500" s="11" t="n"/>
      <c r="L500" s="11" t="n"/>
      <c r="M500" s="12">
        <f>IF(J500="","",IFERROR(L500/J500,""))</f>
        <v/>
      </c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3">
        <f>SUM(N500:Z500)</f>
        <v/>
      </c>
      <c r="AB5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3D4"/>
  <mergeCells count="1">
    <mergeCell ref="A1:AB1"/>
  </mergeCells>
  <conditionalFormatting sqref="E5:E500">
    <cfRule type="expression" priority="1" dxfId="0" stopIfTrue="1">
      <formula>=AND(A5&lt;&gt;"", E5="")</formula>
    </cfRule>
  </conditionalFormatting>
  <conditionalFormatting sqref="M5:M500">
    <cfRule type="cellIs" priority="2" operator="greaterThan" dxfId="0" stopIfTrue="1">
      <formula>0.10</formula>
    </cfRule>
    <cfRule type="cellIs" priority="3" operator="between" dxfId="1" stopIfTrue="1">
      <formula>0.05</formula>
      <formula>0.10</formula>
    </cfRule>
  </conditionalFormatting>
  <conditionalFormatting sqref="N5:N500">
    <cfRule type="cellIs" priority="4" operator="greaterThan" dxfId="2" stopIfTrue="1">
      <formula>120</formula>
    </cfRule>
  </conditionalFormatting>
  <conditionalFormatting sqref="O5:O500">
    <cfRule type="cellIs" priority="5" operator="greaterThan" dxfId="2" stopIfTrue="1">
      <formula>120</formula>
    </cfRule>
  </conditionalFormatting>
  <conditionalFormatting sqref="P5:P500">
    <cfRule type="cellIs" priority="6" operator="greaterThan" dxfId="2" stopIfTrue="1">
      <formula>120</formula>
    </cfRule>
  </conditionalFormatting>
  <conditionalFormatting sqref="Q5:Q500">
    <cfRule type="cellIs" priority="7" operator="greaterThan" dxfId="2" stopIfTrue="1">
      <formula>120</formula>
    </cfRule>
  </conditionalFormatting>
  <conditionalFormatting sqref="R5:R500">
    <cfRule type="cellIs" priority="8" operator="greaterThan" dxfId="2" stopIfTrue="1">
      <formula>120</formula>
    </cfRule>
  </conditionalFormatting>
  <conditionalFormatting sqref="S5:S500">
    <cfRule type="cellIs" priority="9" operator="greaterThan" dxfId="2" stopIfTrue="1">
      <formula>120</formula>
    </cfRule>
  </conditionalFormatting>
  <conditionalFormatting sqref="T5:T500">
    <cfRule type="cellIs" priority="10" operator="greaterThan" dxfId="2" stopIfTrue="1">
      <formula>120</formula>
    </cfRule>
  </conditionalFormatting>
  <conditionalFormatting sqref="U5:U500">
    <cfRule type="cellIs" priority="11" operator="greaterThan" dxfId="2" stopIfTrue="1">
      <formula>120</formula>
    </cfRule>
  </conditionalFormatting>
  <conditionalFormatting sqref="V5:V500">
    <cfRule type="cellIs" priority="12" operator="greaterThan" dxfId="2" stopIfTrue="1">
      <formula>120</formula>
    </cfRule>
  </conditionalFormatting>
  <conditionalFormatting sqref="W5:W500">
    <cfRule type="cellIs" priority="13" operator="greaterThan" dxfId="2" stopIfTrue="1">
      <formula>120</formula>
    </cfRule>
  </conditionalFormatting>
  <conditionalFormatting sqref="X5:X500">
    <cfRule type="cellIs" priority="14" operator="greaterThan" dxfId="2" stopIfTrue="1">
      <formula>120</formula>
    </cfRule>
  </conditionalFormatting>
  <conditionalFormatting sqref="Y5:Y500">
    <cfRule type="cellIs" priority="15" operator="greaterThan" dxfId="2" stopIfTrue="1">
      <formula>120</formula>
    </cfRule>
  </conditionalFormatting>
  <conditionalFormatting sqref="Z5:Z500">
    <cfRule type="cellIs" priority="16" operator="greaterThan" dxfId="2" stopIfTrue="1">
      <formula>120</formula>
    </cfRule>
  </conditionalFormatting>
  <conditionalFormatting sqref="AA5:AA500">
    <cfRule type="cellIs" priority="17" operator="greaterThan" dxfId="1" stopIfTrue="1">
      <formula>240</formula>
    </cfRule>
  </conditionalFormatting>
  <dataValidations count="6">
    <dataValidation sqref="A5:A500" showDropDown="0" showInputMessage="0" showErrorMessage="0" allowBlank="1" errorTitle="Invalid Date" error="Your entry is not a valid date" promptTitle="Date Entry" prompt="Please enter date as DD-MMM-YYYY" type="date" operator="between">
      <formula1>2026-01-01</formula1>
      <formula2>2030-12-31</formula2>
    </dataValidation>
    <dataValidation sqref="B5:B500" showDropDown="0" showInputMessage="0" showErrorMessage="0" allowBlank="1" errorTitle="Invalid Shift" error="Select shift A" type="list">
      <formula1>Validation_Lists!$A$2:$A$2</formula1>
    </dataValidation>
    <dataValidation sqref="C5:C500" showDropDown="0" showInputMessage="0" showErrorMessage="0" allowBlank="1" errorTitle="Invalid Machine" error="Select machine from the list" type="list">
      <formula1>Validation_Lists!$B$2:$B$14</formula1>
    </dataValidation>
    <dataValidation sqref="E5:E500" showDropDown="0" showInputMessage="0" showErrorMessage="0" allowBlank="1" errorTitle="Invalid Product" error="Select a valid product" type="list">
      <formula1>Validation_Lists!$C$2:$C$100</formula1>
    </dataValidation>
    <dataValidation sqref="J5:L500" showDropDown="0" showInputMessage="0" showErrorMessage="0" allowBlank="1" errorTitle="Invalid Qty" error="Value must be a positive integer" type="whole" operator="greaterThanOrEqual">
      <formula1>0</formula1>
    </dataValidation>
    <dataValidation sqref="N5:Z500" showDropDown="0" showInputMessage="0" showErrorMessage="0" allowBlank="1" errorTitle="Invalid Downtime" error="Value must be between 0 and 720 minutes" type="whole" operator="between">
      <formula1>0</formula1>
      <formula2>720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Shifts</t>
        </is>
      </c>
      <c r="B1" t="inlineStr">
        <is>
          <t>Machines</t>
        </is>
      </c>
      <c r="C1" t="inlineStr">
        <is>
          <t>Active Display Strings</t>
        </is>
      </c>
    </row>
    <row r="2">
      <c r="A2" t="inlineStr">
        <is>
          <t>A</t>
        </is>
      </c>
      <c r="B2" t="inlineStr">
        <is>
          <t>Accumulator</t>
        </is>
      </c>
      <c r="C2">
        <f>IF(Product_Master!E2=TRUE, Product_Master!G2, "")</f>
        <v/>
      </c>
    </row>
    <row r="3">
      <c r="B3" t="inlineStr">
        <is>
          <t>Base Coat</t>
        </is>
      </c>
      <c r="C3">
        <f>IF(Product_Master!E3=TRUE, Product_Master!G3, "")</f>
        <v/>
      </c>
    </row>
    <row r="4">
      <c r="B4" t="inlineStr">
        <is>
          <t>Compressor</t>
        </is>
      </c>
      <c r="C4">
        <f>IF(Product_Master!E4=TRUE, Product_Master!G4, "")</f>
        <v/>
      </c>
    </row>
    <row r="5">
      <c r="B5" t="inlineStr">
        <is>
          <t>Decoration Oven</t>
        </is>
      </c>
      <c r="C5">
        <f>IF(Product_Master!E5=TRUE, Product_Master!G5, "")</f>
        <v/>
      </c>
    </row>
    <row r="6">
      <c r="B6" t="inlineStr">
        <is>
          <t>Lacquer</t>
        </is>
      </c>
      <c r="C6">
        <f>IF(Product_Master!E6=TRUE, Product_Master!G6, "")</f>
        <v/>
      </c>
    </row>
    <row r="7">
      <c r="B7" t="inlineStr">
        <is>
          <t>Necking</t>
        </is>
      </c>
      <c r="C7">
        <f>IF(Product_Master!E7=TRUE, Product_Master!G7, "")</f>
        <v/>
      </c>
    </row>
    <row r="8">
      <c r="B8" t="inlineStr">
        <is>
          <t>Over Varnish</t>
        </is>
      </c>
      <c r="C8">
        <f>IF(Product_Master!E8=TRUE, Product_Master!G8, "")</f>
        <v/>
      </c>
    </row>
    <row r="9">
      <c r="B9" t="inlineStr">
        <is>
          <t>Press</t>
        </is>
      </c>
      <c r="C9">
        <f>IF(Product_Master!E9=TRUE, Product_Master!G9, "")</f>
        <v/>
      </c>
    </row>
    <row r="10">
      <c r="B10" t="inlineStr">
        <is>
          <t>Printing</t>
        </is>
      </c>
      <c r="C10">
        <f>IF(Product_Master!E10=TRUE, Product_Master!G10, "")</f>
        <v/>
      </c>
    </row>
    <row r="11">
      <c r="B11" t="inlineStr">
        <is>
          <t>Strapping</t>
        </is>
      </c>
      <c r="C11">
        <f>IF(Product_Master!E11=TRUE, Product_Master!G11, "")</f>
        <v/>
      </c>
    </row>
    <row r="12">
      <c r="B12" t="inlineStr">
        <is>
          <t>Trimming</t>
        </is>
      </c>
      <c r="C12">
        <f>IF(Product_Master!E12=TRUE, Product_Master!G12, "")</f>
        <v/>
      </c>
    </row>
    <row r="13">
      <c r="B13" t="inlineStr">
        <is>
          <t>Tumbler</t>
        </is>
      </c>
      <c r="C13">
        <f>IF(Product_Master!E13=TRUE, Product_Master!G13, "")</f>
        <v/>
      </c>
    </row>
    <row r="14">
      <c r="B14" t="inlineStr">
        <is>
          <t>Washing</t>
        </is>
      </c>
      <c r="C14">
        <f>IF(Product_Master!E14=TRUE, Product_Master!G14, "")</f>
        <v/>
      </c>
    </row>
    <row r="15">
      <c r="C15">
        <f>IF(Product_Master!E15=TRUE, Product_Master!G15, "")</f>
        <v/>
      </c>
    </row>
    <row r="16">
      <c r="C16">
        <f>IF(Product_Master!E16=TRUE, Product_Master!G16, "")</f>
        <v/>
      </c>
    </row>
    <row r="17">
      <c r="C17">
        <f>IF(Product_Master!E17=TRUE, Product_Master!G17, "")</f>
        <v/>
      </c>
    </row>
    <row r="18">
      <c r="C18">
        <f>IF(Product_Master!E18=TRUE, Product_Master!G18, "")</f>
        <v/>
      </c>
    </row>
    <row r="19">
      <c r="C19">
        <f>IF(Product_Master!E19=TRUE, Product_Master!G19, "")</f>
        <v/>
      </c>
    </row>
    <row r="20">
      <c r="C20">
        <f>IF(Product_Master!E20=TRUE, Product_Master!G20, "")</f>
        <v/>
      </c>
    </row>
    <row r="21">
      <c r="C21">
        <f>IF(Product_Master!E21=TRUE, Product_Master!G21, "")</f>
        <v/>
      </c>
    </row>
    <row r="22">
      <c r="C22">
        <f>IF(Product_Master!E22=TRUE, Product_Master!G22, "")</f>
        <v/>
      </c>
    </row>
    <row r="23">
      <c r="C23">
        <f>IF(Product_Master!E23=TRUE, Product_Master!G23, "")</f>
        <v/>
      </c>
    </row>
    <row r="24">
      <c r="C24">
        <f>IF(Product_Master!E24=TRUE, Product_Master!G24, "")</f>
        <v/>
      </c>
    </row>
    <row r="25">
      <c r="C25">
        <f>IF(Product_Master!E25=TRUE, Product_Master!G25, "")</f>
        <v/>
      </c>
    </row>
    <row r="26">
      <c r="C26">
        <f>IF(Product_Master!E26=TRUE, Product_Master!G26, "")</f>
        <v/>
      </c>
    </row>
    <row r="27">
      <c r="C27">
        <f>IF(Product_Master!E27=TRUE, Product_Master!G27, "")</f>
        <v/>
      </c>
    </row>
    <row r="28">
      <c r="C28">
        <f>IF(Product_Master!E28=TRUE, Product_Master!G28, "")</f>
        <v/>
      </c>
    </row>
    <row r="29">
      <c r="C29">
        <f>IF(Product_Master!E29=TRUE, Product_Master!G29, "")</f>
        <v/>
      </c>
    </row>
    <row r="30">
      <c r="C30">
        <f>IF(Product_Master!E30=TRUE, Product_Master!G30, "")</f>
        <v/>
      </c>
    </row>
    <row r="31">
      <c r="C31">
        <f>IF(Product_Master!E31=TRUE, Product_Master!G31, "")</f>
        <v/>
      </c>
    </row>
    <row r="32">
      <c r="C32">
        <f>IF(Product_Master!E32=TRUE, Product_Master!G32, "")</f>
        <v/>
      </c>
    </row>
    <row r="33">
      <c r="C33">
        <f>IF(Product_Master!E33=TRUE, Product_Master!G33, "")</f>
        <v/>
      </c>
    </row>
    <row r="34">
      <c r="C34">
        <f>IF(Product_Master!E34=TRUE, Product_Master!G34, "")</f>
        <v/>
      </c>
    </row>
    <row r="35">
      <c r="C35">
        <f>IF(Product_Master!E35=TRUE, Product_Master!G35, "")</f>
        <v/>
      </c>
    </row>
    <row r="36">
      <c r="C36">
        <f>IF(Product_Master!E36=TRUE, Product_Master!G36, "")</f>
        <v/>
      </c>
    </row>
    <row r="37">
      <c r="C37">
        <f>IF(Product_Master!E37=TRUE, Product_Master!G37, "")</f>
        <v/>
      </c>
    </row>
    <row r="38">
      <c r="C38">
        <f>IF(Product_Master!E38=TRUE, Product_Master!G38, "")</f>
        <v/>
      </c>
    </row>
    <row r="39">
      <c r="C39">
        <f>IF(Product_Master!E39=TRUE, Product_Master!G39, "")</f>
        <v/>
      </c>
    </row>
    <row r="40">
      <c r="C40">
        <f>IF(Product_Master!E40=TRUE, Product_Master!G40, "")</f>
        <v/>
      </c>
    </row>
    <row r="41">
      <c r="C41">
        <f>IF(Product_Master!E41=TRUE, Product_Master!G41, "")</f>
        <v/>
      </c>
    </row>
    <row r="42">
      <c r="C42">
        <f>IF(Product_Master!E42=TRUE, Product_Master!G42, "")</f>
        <v/>
      </c>
    </row>
    <row r="43">
      <c r="C43">
        <f>IF(Product_Master!E43=TRUE, Product_Master!G43, "")</f>
        <v/>
      </c>
    </row>
    <row r="44">
      <c r="C44">
        <f>IF(Product_Master!E44=TRUE, Product_Master!G44, "")</f>
        <v/>
      </c>
    </row>
    <row r="45">
      <c r="C45">
        <f>IF(Product_Master!E45=TRUE, Product_Master!G45, "")</f>
        <v/>
      </c>
    </row>
    <row r="46">
      <c r="C46">
        <f>IF(Product_Master!E46=TRUE, Product_Master!G46, "")</f>
        <v/>
      </c>
    </row>
    <row r="47">
      <c r="C47">
        <f>IF(Product_Master!E47=TRUE, Product_Master!G47, "")</f>
        <v/>
      </c>
    </row>
    <row r="48">
      <c r="C48">
        <f>IF(Product_Master!E48=TRUE, Product_Master!G48, "")</f>
        <v/>
      </c>
    </row>
    <row r="49">
      <c r="C49">
        <f>IF(Product_Master!E49=TRUE, Product_Master!G49, "")</f>
        <v/>
      </c>
    </row>
    <row r="50">
      <c r="C50">
        <f>IF(Product_Master!E50=TRUE, Product_Master!G50, "")</f>
        <v/>
      </c>
    </row>
    <row r="51">
      <c r="C51">
        <f>IF(Product_Master!E51=TRUE, Product_Master!G51, "")</f>
        <v/>
      </c>
    </row>
    <row r="52">
      <c r="C52">
        <f>IF(Product_Master!E52=TRUE, Product_Master!G52, "")</f>
        <v/>
      </c>
    </row>
    <row r="53">
      <c r="C53">
        <f>IF(Product_Master!E53=TRUE, Product_Master!G53, "")</f>
        <v/>
      </c>
    </row>
    <row r="54">
      <c r="C54">
        <f>IF(Product_Master!E54=TRUE, Product_Master!G54, "")</f>
        <v/>
      </c>
    </row>
    <row r="55">
      <c r="C55">
        <f>IF(Product_Master!E55=TRUE, Product_Master!G55, "")</f>
        <v/>
      </c>
    </row>
    <row r="56">
      <c r="C56">
        <f>IF(Product_Master!E56=TRUE, Product_Master!G56, "")</f>
        <v/>
      </c>
    </row>
    <row r="57">
      <c r="C57">
        <f>IF(Product_Master!E57=TRUE, Product_Master!G57, "")</f>
        <v/>
      </c>
    </row>
    <row r="58">
      <c r="C58">
        <f>IF(Product_Master!E58=TRUE, Product_Master!G58, "")</f>
        <v/>
      </c>
    </row>
    <row r="59">
      <c r="C59">
        <f>IF(Product_Master!E59=TRUE, Product_Master!G59, "")</f>
        <v/>
      </c>
    </row>
    <row r="60">
      <c r="C60">
        <f>IF(Product_Master!E60=TRUE, Product_Master!G60, "")</f>
        <v/>
      </c>
    </row>
    <row r="61">
      <c r="C61">
        <f>IF(Product_Master!E61=TRUE, Product_Master!G61, "")</f>
        <v/>
      </c>
    </row>
    <row r="62">
      <c r="C62">
        <f>IF(Product_Master!E62=TRUE, Product_Master!G62, "")</f>
        <v/>
      </c>
    </row>
    <row r="63">
      <c r="C63">
        <f>IF(Product_Master!E63=TRUE, Product_Master!G63, "")</f>
        <v/>
      </c>
    </row>
    <row r="64">
      <c r="C64">
        <f>IF(Product_Master!E64=TRUE, Product_Master!G64, "")</f>
        <v/>
      </c>
    </row>
    <row r="65">
      <c r="C65">
        <f>IF(Product_Master!E65=TRUE, Product_Master!G65, "")</f>
        <v/>
      </c>
    </row>
    <row r="66">
      <c r="C66">
        <f>IF(Product_Master!E66=TRUE, Product_Master!G66, "")</f>
        <v/>
      </c>
    </row>
    <row r="67">
      <c r="C67">
        <f>IF(Product_Master!E67=TRUE, Product_Master!G67, "")</f>
        <v/>
      </c>
    </row>
    <row r="68">
      <c r="C68">
        <f>IF(Product_Master!E68=TRUE, Product_Master!G68, "")</f>
        <v/>
      </c>
    </row>
    <row r="69">
      <c r="C69">
        <f>IF(Product_Master!E69=TRUE, Product_Master!G69, "")</f>
        <v/>
      </c>
    </row>
    <row r="70">
      <c r="C70">
        <f>IF(Product_Master!E70=TRUE, Product_Master!G70, "")</f>
        <v/>
      </c>
    </row>
    <row r="71">
      <c r="C71">
        <f>IF(Product_Master!E71=TRUE, Product_Master!G71, "")</f>
        <v/>
      </c>
    </row>
    <row r="72">
      <c r="C72">
        <f>IF(Product_Master!E72=TRUE, Product_Master!G72, "")</f>
        <v/>
      </c>
    </row>
    <row r="73">
      <c r="C73">
        <f>IF(Product_Master!E73=TRUE, Product_Master!G73, "")</f>
        <v/>
      </c>
    </row>
    <row r="74">
      <c r="C74">
        <f>IF(Product_Master!E74=TRUE, Product_Master!G74, "")</f>
        <v/>
      </c>
    </row>
    <row r="75">
      <c r="C75">
        <f>IF(Product_Master!E75=TRUE, Product_Master!G75, "")</f>
        <v/>
      </c>
    </row>
    <row r="76">
      <c r="C76">
        <f>IF(Product_Master!E76=TRUE, Product_Master!G76, "")</f>
        <v/>
      </c>
    </row>
    <row r="77">
      <c r="C77">
        <f>IF(Product_Master!E77=TRUE, Product_Master!G77, "")</f>
        <v/>
      </c>
    </row>
    <row r="78">
      <c r="C78">
        <f>IF(Product_Master!E78=TRUE, Product_Master!G78, "")</f>
        <v/>
      </c>
    </row>
    <row r="79">
      <c r="C79">
        <f>IF(Product_Master!E79=TRUE, Product_Master!G79, "")</f>
        <v/>
      </c>
    </row>
    <row r="80">
      <c r="C80">
        <f>IF(Product_Master!E80=TRUE, Product_Master!G80, "")</f>
        <v/>
      </c>
    </row>
    <row r="81">
      <c r="C81">
        <f>IF(Product_Master!E81=TRUE, Product_Master!G81, "")</f>
        <v/>
      </c>
    </row>
    <row r="82">
      <c r="C82">
        <f>IF(Product_Master!E82=TRUE, Product_Master!G82, "")</f>
        <v/>
      </c>
    </row>
    <row r="83">
      <c r="C83">
        <f>IF(Product_Master!E83=TRUE, Product_Master!G83, "")</f>
        <v/>
      </c>
    </row>
    <row r="84">
      <c r="C84">
        <f>IF(Product_Master!E84=TRUE, Product_Master!G84, "")</f>
        <v/>
      </c>
    </row>
    <row r="85">
      <c r="C85">
        <f>IF(Product_Master!E85=TRUE, Product_Master!G85, "")</f>
        <v/>
      </c>
    </row>
    <row r="86">
      <c r="C86">
        <f>IF(Product_Master!E86=TRUE, Product_Master!G86, "")</f>
        <v/>
      </c>
    </row>
    <row r="87">
      <c r="C87">
        <f>IF(Product_Master!E87=TRUE, Product_Master!G87, "")</f>
        <v/>
      </c>
    </row>
    <row r="88">
      <c r="C88">
        <f>IF(Product_Master!E88=TRUE, Product_Master!G88, "")</f>
        <v/>
      </c>
    </row>
    <row r="89">
      <c r="C89">
        <f>IF(Product_Master!E89=TRUE, Product_Master!G89, "")</f>
        <v/>
      </c>
    </row>
    <row r="90">
      <c r="C90">
        <f>IF(Product_Master!E90=TRUE, Product_Master!G90, "")</f>
        <v/>
      </c>
    </row>
    <row r="91">
      <c r="C91">
        <f>IF(Product_Master!E91=TRUE, Product_Master!G91, "")</f>
        <v/>
      </c>
    </row>
    <row r="92">
      <c r="C92">
        <f>IF(Product_Master!E92=TRUE, Product_Master!G92, "")</f>
        <v/>
      </c>
    </row>
    <row r="93">
      <c r="C93">
        <f>IF(Product_Master!E93=TRUE, Product_Master!G93, "")</f>
        <v/>
      </c>
    </row>
    <row r="94">
      <c r="C94">
        <f>IF(Product_Master!E94=TRUE, Product_Master!G94, "")</f>
        <v/>
      </c>
    </row>
    <row r="95">
      <c r="C95">
        <f>IF(Product_Master!E95=TRUE, Product_Master!G95, "")</f>
        <v/>
      </c>
    </row>
    <row r="96">
      <c r="C96">
        <f>IF(Product_Master!E96=TRUE, Product_Master!G96, "")</f>
        <v/>
      </c>
    </row>
    <row r="97">
      <c r="C97">
        <f>IF(Product_Master!E97=TRUE, Product_Master!G97, "")</f>
        <v/>
      </c>
    </row>
    <row r="98">
      <c r="C98">
        <f>IF(Product_Master!E98=TRUE, Product_Master!G98, "")</f>
        <v/>
      </c>
    </row>
    <row r="99">
      <c r="C99">
        <f>IF(Product_Master!E99=TRUE, Product_Master!G99, 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3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1" workbookViewId="0">
      <selection activeCell="A1" sqref="A1"/>
    </sheetView>
  </sheetViews>
  <sheetFormatPr baseColWidth="8" defaultRowHeight="15"/>
  <sheetData>
    <row r="1">
      <c r="A1" s="14" t="inlineStr">
        <is>
          <t>PID</t>
        </is>
      </c>
      <c r="B1" s="14" t="inlineStr">
        <is>
          <t>Product Name</t>
        </is>
      </c>
      <c r="C1" s="14" t="inlineStr">
        <is>
          <t>Can Size</t>
        </is>
      </c>
      <c r="D1" s="14" t="inlineStr">
        <is>
          <t>Customer</t>
        </is>
      </c>
      <c r="E1" s="14" t="inlineStr">
        <is>
          <t>Active</t>
        </is>
      </c>
      <c r="F1" s="14" t="inlineStr">
        <is>
          <t>BOM Number</t>
        </is>
      </c>
      <c r="G1" s="14" t="inlineStr">
        <is>
          <t>Display String</t>
        </is>
      </c>
      <c r="H1" s="14" t="inlineStr">
        <is>
          <t>Unit</t>
        </is>
      </c>
      <c r="I1" s="14" t="inlineStr">
        <is>
          <t>Notes</t>
        </is>
      </c>
    </row>
    <row r="2">
      <c r="A2" t="n">
        <v>5001</v>
      </c>
      <c r="B2" t="inlineStr">
        <is>
          <t>AEROSOL CAN 45x160 PLAIN</t>
        </is>
      </c>
      <c r="C2" t="inlineStr">
        <is>
          <t>45x160</t>
        </is>
      </c>
      <c r="D2" t="inlineStr"/>
      <c r="E2" t="b">
        <v>1</v>
      </c>
      <c r="F2" t="inlineStr"/>
      <c r="G2">
        <f>A2&amp;" - "&amp;B2</f>
        <v/>
      </c>
      <c r="H2" t="inlineStr">
        <is>
          <t>pcs</t>
        </is>
      </c>
      <c r="I2" t="inlineStr">
        <is>
          <t>Placeholder</t>
        </is>
      </c>
    </row>
    <row r="3">
      <c r="A3" t="n">
        <v>5002</v>
      </c>
      <c r="B3" t="inlineStr">
        <is>
          <t>AEROSOL CAN 45x160 PRINTED</t>
        </is>
      </c>
      <c r="C3" t="inlineStr">
        <is>
          <t>45x160</t>
        </is>
      </c>
      <c r="D3" t="inlineStr"/>
      <c r="E3" t="b">
        <v>1</v>
      </c>
      <c r="F3" t="inlineStr"/>
      <c r="G3">
        <f>A3&amp;" - "&amp;B3</f>
        <v/>
      </c>
      <c r="H3" t="inlineStr">
        <is>
          <t>pcs</t>
        </is>
      </c>
      <c r="I3" t="inlineStr">
        <is>
          <t>Placeholder</t>
        </is>
      </c>
    </row>
    <row r="4">
      <c r="A4" t="n">
        <v>5003</v>
      </c>
      <c r="B4" t="inlineStr">
        <is>
          <t>AEROSOL CAN 45x160 LACQUERED</t>
        </is>
      </c>
      <c r="C4" t="inlineStr">
        <is>
          <t>45x160</t>
        </is>
      </c>
      <c r="D4" t="inlineStr"/>
      <c r="E4" t="b">
        <v>1</v>
      </c>
      <c r="F4" t="inlineStr"/>
      <c r="G4">
        <f>A4&amp;" - "&amp;B4</f>
        <v/>
      </c>
      <c r="H4" t="inlineStr">
        <is>
          <t>pcs</t>
        </is>
      </c>
      <c r="I4" t="inlineStr">
        <is>
          <t>Placeholder</t>
        </is>
      </c>
    </row>
    <row r="5">
      <c r="A5" t="n">
        <v>9001</v>
      </c>
      <c r="B5" t="inlineStr">
        <is>
          <t>AEROSOL CAN 45mm</t>
        </is>
      </c>
      <c r="C5" t="inlineStr">
        <is>
          <t>45x160</t>
        </is>
      </c>
      <c r="D5" t="inlineStr">
        <is>
          <t>Aerosol Customer</t>
        </is>
      </c>
      <c r="E5" t="b">
        <v>1</v>
      </c>
      <c r="F5" t="inlineStr">
        <is>
          <t>100</t>
        </is>
      </c>
      <c r="G5">
        <f>A5&amp;" - "&amp;B5</f>
        <v/>
      </c>
      <c r="H5" t="inlineStr">
        <is>
          <t>pcs</t>
        </is>
      </c>
      <c r="I5" t="inlineStr">
        <is>
          <t>From Theoretical BOM</t>
        </is>
      </c>
    </row>
    <row r="6">
      <c r="E6" t="b">
        <v>1</v>
      </c>
      <c r="G6">
        <f>IF(A6="","",A6&amp;" - "&amp;B6)</f>
        <v/>
      </c>
      <c r="H6" t="inlineStr">
        <is>
          <t>pcs</t>
        </is>
      </c>
    </row>
    <row r="7">
      <c r="E7" t="b">
        <v>1</v>
      </c>
      <c r="G7">
        <f>IF(A7="","",A7&amp;" - "&amp;B7)</f>
        <v/>
      </c>
      <c r="H7" t="inlineStr">
        <is>
          <t>pcs</t>
        </is>
      </c>
    </row>
    <row r="8">
      <c r="E8" t="b">
        <v>1</v>
      </c>
      <c r="G8">
        <f>IF(A8="","",A8&amp;" - "&amp;B8)</f>
        <v/>
      </c>
      <c r="H8" t="inlineStr">
        <is>
          <t>pcs</t>
        </is>
      </c>
    </row>
    <row r="9">
      <c r="E9" t="b">
        <v>1</v>
      </c>
      <c r="G9">
        <f>IF(A9="","",A9&amp;" - "&amp;B9)</f>
        <v/>
      </c>
      <c r="H9" t="inlineStr">
        <is>
          <t>pcs</t>
        </is>
      </c>
    </row>
    <row r="10">
      <c r="E10" t="b">
        <v>1</v>
      </c>
      <c r="G10">
        <f>IF(A10="","",A10&amp;" - "&amp;B10)</f>
        <v/>
      </c>
      <c r="H10" t="inlineStr">
        <is>
          <t>pcs</t>
        </is>
      </c>
    </row>
    <row r="11">
      <c r="E11" t="b">
        <v>1</v>
      </c>
      <c r="G11">
        <f>IF(A11="","",A11&amp;" - "&amp;B11)</f>
        <v/>
      </c>
      <c r="H11" t="inlineStr">
        <is>
          <t>pcs</t>
        </is>
      </c>
    </row>
    <row r="12">
      <c r="E12" t="b">
        <v>1</v>
      </c>
      <c r="G12">
        <f>IF(A12="","",A12&amp;" - "&amp;B12)</f>
        <v/>
      </c>
      <c r="H12" t="inlineStr">
        <is>
          <t>pcs</t>
        </is>
      </c>
    </row>
    <row r="13">
      <c r="E13" t="b">
        <v>1</v>
      </c>
      <c r="G13">
        <f>IF(A13="","",A13&amp;" - "&amp;B13)</f>
        <v/>
      </c>
      <c r="H13" t="inlineStr">
        <is>
          <t>pcs</t>
        </is>
      </c>
    </row>
    <row r="14">
      <c r="E14" t="b">
        <v>1</v>
      </c>
      <c r="G14">
        <f>IF(A14="","",A14&amp;" - "&amp;B14)</f>
        <v/>
      </c>
      <c r="H14" t="inlineStr">
        <is>
          <t>pcs</t>
        </is>
      </c>
    </row>
    <row r="15">
      <c r="E15" t="b">
        <v>1</v>
      </c>
      <c r="G15">
        <f>IF(A15="","",A15&amp;" - "&amp;B15)</f>
        <v/>
      </c>
      <c r="H15" t="inlineStr">
        <is>
          <t>pcs</t>
        </is>
      </c>
    </row>
    <row r="16">
      <c r="E16" t="b">
        <v>1</v>
      </c>
      <c r="G16">
        <f>IF(A16="","",A16&amp;" - "&amp;B16)</f>
        <v/>
      </c>
      <c r="H16" t="inlineStr">
        <is>
          <t>pcs</t>
        </is>
      </c>
    </row>
    <row r="17">
      <c r="E17" t="b">
        <v>1</v>
      </c>
      <c r="G17">
        <f>IF(A17="","",A17&amp;" - "&amp;B17)</f>
        <v/>
      </c>
      <c r="H17" t="inlineStr">
        <is>
          <t>pcs</t>
        </is>
      </c>
    </row>
    <row r="18">
      <c r="E18" t="b">
        <v>1</v>
      </c>
      <c r="G18">
        <f>IF(A18="","",A18&amp;" - "&amp;B18)</f>
        <v/>
      </c>
      <c r="H18" t="inlineStr">
        <is>
          <t>pcs</t>
        </is>
      </c>
    </row>
    <row r="19">
      <c r="E19" t="b">
        <v>1</v>
      </c>
      <c r="G19">
        <f>IF(A19="","",A19&amp;" - "&amp;B19)</f>
        <v/>
      </c>
      <c r="H19" t="inlineStr">
        <is>
          <t>pcs</t>
        </is>
      </c>
    </row>
    <row r="20">
      <c r="E20" t="b">
        <v>1</v>
      </c>
      <c r="G20">
        <f>IF(A20="","",A20&amp;" - "&amp;B20)</f>
        <v/>
      </c>
      <c r="H20" t="inlineStr">
        <is>
          <t>pcs</t>
        </is>
      </c>
    </row>
    <row r="21">
      <c r="E21" t="b">
        <v>1</v>
      </c>
      <c r="G21">
        <f>IF(A21="","",A21&amp;" - "&amp;B21)</f>
        <v/>
      </c>
      <c r="H21" t="inlineStr">
        <is>
          <t>pcs</t>
        </is>
      </c>
    </row>
    <row r="22">
      <c r="E22" t="b">
        <v>1</v>
      </c>
      <c r="G22">
        <f>IF(A22="","",A22&amp;" - "&amp;B22)</f>
        <v/>
      </c>
      <c r="H22" t="inlineStr">
        <is>
          <t>pcs</t>
        </is>
      </c>
    </row>
    <row r="23">
      <c r="E23" t="b">
        <v>1</v>
      </c>
      <c r="G23">
        <f>IF(A23="","",A23&amp;" - "&amp;B23)</f>
        <v/>
      </c>
      <c r="H23" t="inlineStr">
        <is>
          <t>pcs</t>
        </is>
      </c>
    </row>
    <row r="24">
      <c r="E24" t="b">
        <v>1</v>
      </c>
      <c r="G24">
        <f>IF(A24="","",A24&amp;" - "&amp;B24)</f>
        <v/>
      </c>
      <c r="H24" t="inlineStr">
        <is>
          <t>pcs</t>
        </is>
      </c>
    </row>
    <row r="25">
      <c r="E25" t="b">
        <v>1</v>
      </c>
      <c r="G25">
        <f>IF(A25="","",A25&amp;" - "&amp;B25)</f>
        <v/>
      </c>
      <c r="H25" t="inlineStr">
        <is>
          <t>pcs</t>
        </is>
      </c>
    </row>
    <row r="26">
      <c r="E26" t="b">
        <v>1</v>
      </c>
      <c r="G26">
        <f>IF(A26="","",A26&amp;" - "&amp;B26)</f>
        <v/>
      </c>
      <c r="H26" t="inlineStr">
        <is>
          <t>pcs</t>
        </is>
      </c>
    </row>
    <row r="27">
      <c r="E27" t="b">
        <v>1</v>
      </c>
      <c r="G27">
        <f>IF(A27="","",A27&amp;" - "&amp;B27)</f>
        <v/>
      </c>
      <c r="H27" t="inlineStr">
        <is>
          <t>pcs</t>
        </is>
      </c>
    </row>
    <row r="28">
      <c r="E28" t="b">
        <v>1</v>
      </c>
      <c r="G28">
        <f>IF(A28="","",A28&amp;" - "&amp;B28)</f>
        <v/>
      </c>
      <c r="H28" t="inlineStr">
        <is>
          <t>pcs</t>
        </is>
      </c>
    </row>
    <row r="29">
      <c r="E29" t="b">
        <v>1</v>
      </c>
      <c r="G29">
        <f>IF(A29="","",A29&amp;" - "&amp;B29)</f>
        <v/>
      </c>
      <c r="H29" t="inlineStr">
        <is>
          <t>pcs</t>
        </is>
      </c>
    </row>
    <row r="30">
      <c r="E30" t="b">
        <v>1</v>
      </c>
      <c r="G30">
        <f>IF(A30="","",A30&amp;" - "&amp;B30)</f>
        <v/>
      </c>
      <c r="H30" t="inlineStr">
        <is>
          <t>pcs</t>
        </is>
      </c>
    </row>
    <row r="31">
      <c r="E31" t="b">
        <v>1</v>
      </c>
      <c r="G31">
        <f>IF(A31="","",A31&amp;" - "&amp;B31)</f>
        <v/>
      </c>
      <c r="H31" t="inlineStr">
        <is>
          <t>pcs</t>
        </is>
      </c>
    </row>
    <row r="32">
      <c r="E32" t="b">
        <v>1</v>
      </c>
      <c r="G32">
        <f>IF(A32="","",A32&amp;" - "&amp;B32)</f>
        <v/>
      </c>
      <c r="H32" t="inlineStr">
        <is>
          <t>pcs</t>
        </is>
      </c>
    </row>
    <row r="33">
      <c r="E33" t="b">
        <v>1</v>
      </c>
      <c r="G33">
        <f>IF(A33="","",A33&amp;" - "&amp;B33)</f>
        <v/>
      </c>
      <c r="H33" t="inlineStr">
        <is>
          <t>pcs</t>
        </is>
      </c>
    </row>
    <row r="34">
      <c r="E34" t="b">
        <v>1</v>
      </c>
      <c r="G34">
        <f>IF(A34="","",A34&amp;" - "&amp;B34)</f>
        <v/>
      </c>
      <c r="H34" t="inlineStr">
        <is>
          <t>pcs</t>
        </is>
      </c>
    </row>
    <row r="35">
      <c r="E35" t="b">
        <v>1</v>
      </c>
      <c r="G35">
        <f>IF(A35="","",A35&amp;" - "&amp;B35)</f>
        <v/>
      </c>
      <c r="H35" t="inlineStr">
        <is>
          <t>pcs</t>
        </is>
      </c>
    </row>
    <row r="36">
      <c r="E36" t="b">
        <v>1</v>
      </c>
      <c r="G36">
        <f>IF(A36="","",A36&amp;" - "&amp;B36)</f>
        <v/>
      </c>
      <c r="H36" t="inlineStr">
        <is>
          <t>pcs</t>
        </is>
      </c>
    </row>
    <row r="37">
      <c r="E37" t="b">
        <v>1</v>
      </c>
      <c r="G37">
        <f>IF(A37="","",A37&amp;" - "&amp;B37)</f>
        <v/>
      </c>
      <c r="H37" t="inlineStr">
        <is>
          <t>pcs</t>
        </is>
      </c>
    </row>
    <row r="38">
      <c r="E38" t="b">
        <v>1</v>
      </c>
      <c r="G38">
        <f>IF(A38="","",A38&amp;" - "&amp;B38)</f>
        <v/>
      </c>
      <c r="H38" t="inlineStr">
        <is>
          <t>pcs</t>
        </is>
      </c>
    </row>
    <row r="39">
      <c r="E39" t="b">
        <v>1</v>
      </c>
      <c r="G39">
        <f>IF(A39="","",A39&amp;" - "&amp;B39)</f>
        <v/>
      </c>
      <c r="H39" t="inlineStr">
        <is>
          <t>pcs</t>
        </is>
      </c>
    </row>
    <row r="40">
      <c r="E40" t="b">
        <v>1</v>
      </c>
      <c r="G40">
        <f>IF(A40="","",A40&amp;" - "&amp;B40)</f>
        <v/>
      </c>
      <c r="H40" t="inlineStr">
        <is>
          <t>pcs</t>
        </is>
      </c>
    </row>
    <row r="41">
      <c r="E41" t="b">
        <v>1</v>
      </c>
      <c r="G41">
        <f>IF(A41="","",A41&amp;" - "&amp;B41)</f>
        <v/>
      </c>
      <c r="H41" t="inlineStr">
        <is>
          <t>pcs</t>
        </is>
      </c>
    </row>
    <row r="42">
      <c r="E42" t="b">
        <v>1</v>
      </c>
      <c r="G42">
        <f>IF(A42="","",A42&amp;" - "&amp;B42)</f>
        <v/>
      </c>
      <c r="H42" t="inlineStr">
        <is>
          <t>pcs</t>
        </is>
      </c>
    </row>
    <row r="43">
      <c r="E43" t="b">
        <v>1</v>
      </c>
      <c r="G43">
        <f>IF(A43="","",A43&amp;" - "&amp;B43)</f>
        <v/>
      </c>
      <c r="H43" t="inlineStr">
        <is>
          <t>pcs</t>
        </is>
      </c>
    </row>
    <row r="44">
      <c r="E44" t="b">
        <v>1</v>
      </c>
      <c r="G44">
        <f>IF(A44="","",A44&amp;" - "&amp;B44)</f>
        <v/>
      </c>
      <c r="H44" t="inlineStr">
        <is>
          <t>pcs</t>
        </is>
      </c>
    </row>
    <row r="45">
      <c r="E45" t="b">
        <v>1</v>
      </c>
      <c r="G45">
        <f>IF(A45="","",A45&amp;" - "&amp;B45)</f>
        <v/>
      </c>
      <c r="H45" t="inlineStr">
        <is>
          <t>pcs</t>
        </is>
      </c>
    </row>
    <row r="46">
      <c r="E46" t="b">
        <v>1</v>
      </c>
      <c r="G46">
        <f>IF(A46="","",A46&amp;" - "&amp;B46)</f>
        <v/>
      </c>
      <c r="H46" t="inlineStr">
        <is>
          <t>pcs</t>
        </is>
      </c>
    </row>
    <row r="47">
      <c r="E47" t="b">
        <v>1</v>
      </c>
      <c r="G47">
        <f>IF(A47="","",A47&amp;" - "&amp;B47)</f>
        <v/>
      </c>
      <c r="H47" t="inlineStr">
        <is>
          <t>pcs</t>
        </is>
      </c>
    </row>
    <row r="48">
      <c r="E48" t="b">
        <v>1</v>
      </c>
      <c r="G48">
        <f>IF(A48="","",A48&amp;" - "&amp;B48)</f>
        <v/>
      </c>
      <c r="H48" t="inlineStr">
        <is>
          <t>pcs</t>
        </is>
      </c>
    </row>
    <row r="49">
      <c r="E49" t="b">
        <v>1</v>
      </c>
      <c r="G49">
        <f>IF(A49="","",A49&amp;" - "&amp;B49)</f>
        <v/>
      </c>
      <c r="H49" t="inlineStr">
        <is>
          <t>pcs</t>
        </is>
      </c>
    </row>
    <row r="50">
      <c r="E50" t="b">
        <v>1</v>
      </c>
      <c r="G50">
        <f>IF(A50="","",A50&amp;" - "&amp;B50)</f>
        <v/>
      </c>
      <c r="H50" t="inlineStr">
        <is>
          <t>pcs</t>
        </is>
      </c>
    </row>
    <row r="51">
      <c r="E51" t="b">
        <v>1</v>
      </c>
      <c r="G51">
        <f>IF(A51="","",A51&amp;" - "&amp;B51)</f>
        <v/>
      </c>
      <c r="H51" t="inlineStr">
        <is>
          <t>pcs</t>
        </is>
      </c>
    </row>
    <row r="52">
      <c r="E52" t="b">
        <v>1</v>
      </c>
      <c r="G52">
        <f>IF(A52="","",A52&amp;" - "&amp;B52)</f>
        <v/>
      </c>
      <c r="H52" t="inlineStr">
        <is>
          <t>pcs</t>
        </is>
      </c>
    </row>
    <row r="53">
      <c r="E53" t="b">
        <v>1</v>
      </c>
      <c r="G53">
        <f>IF(A53="","",A53&amp;" - "&amp;B53)</f>
        <v/>
      </c>
      <c r="H53" t="inlineStr">
        <is>
          <t>pcs</t>
        </is>
      </c>
    </row>
    <row r="54">
      <c r="E54" t="b">
        <v>1</v>
      </c>
      <c r="G54">
        <f>IF(A54="","",A54&amp;" - "&amp;B54)</f>
        <v/>
      </c>
      <c r="H54" t="inlineStr">
        <is>
          <t>pcs</t>
        </is>
      </c>
    </row>
    <row r="55">
      <c r="E55" t="b">
        <v>1</v>
      </c>
      <c r="G55">
        <f>IF(A55="","",A55&amp;" - "&amp;B55)</f>
        <v/>
      </c>
      <c r="H55" t="inlineStr">
        <is>
          <t>pcs</t>
        </is>
      </c>
    </row>
    <row r="56">
      <c r="E56" t="b">
        <v>1</v>
      </c>
      <c r="G56">
        <f>IF(A56="","",A56&amp;" - "&amp;B56)</f>
        <v/>
      </c>
      <c r="H56" t="inlineStr">
        <is>
          <t>pcs</t>
        </is>
      </c>
    </row>
    <row r="57">
      <c r="E57" t="b">
        <v>1</v>
      </c>
      <c r="G57">
        <f>IF(A57="","",A57&amp;" - "&amp;B57)</f>
        <v/>
      </c>
      <c r="H57" t="inlineStr">
        <is>
          <t>pcs</t>
        </is>
      </c>
    </row>
    <row r="58">
      <c r="E58" t="b">
        <v>1</v>
      </c>
      <c r="G58">
        <f>IF(A58="","",A58&amp;" - "&amp;B58)</f>
        <v/>
      </c>
      <c r="H58" t="inlineStr">
        <is>
          <t>pcs</t>
        </is>
      </c>
    </row>
    <row r="59">
      <c r="E59" t="b">
        <v>1</v>
      </c>
      <c r="G59">
        <f>IF(A59="","",A59&amp;" - "&amp;B59)</f>
        <v/>
      </c>
      <c r="H59" t="inlineStr">
        <is>
          <t>pcs</t>
        </is>
      </c>
    </row>
    <row r="60">
      <c r="E60" t="b">
        <v>1</v>
      </c>
      <c r="G60">
        <f>IF(A60="","",A60&amp;" - "&amp;B60)</f>
        <v/>
      </c>
      <c r="H60" t="inlineStr">
        <is>
          <t>pcs</t>
        </is>
      </c>
    </row>
    <row r="61">
      <c r="E61" t="b">
        <v>1</v>
      </c>
      <c r="G61">
        <f>IF(A61="","",A61&amp;" - "&amp;B61)</f>
        <v/>
      </c>
      <c r="H61" t="inlineStr">
        <is>
          <t>pcs</t>
        </is>
      </c>
    </row>
    <row r="62">
      <c r="E62" t="b">
        <v>1</v>
      </c>
      <c r="G62">
        <f>IF(A62="","",A62&amp;" - "&amp;B62)</f>
        <v/>
      </c>
      <c r="H62" t="inlineStr">
        <is>
          <t>pcs</t>
        </is>
      </c>
    </row>
    <row r="63">
      <c r="E63" t="b">
        <v>1</v>
      </c>
      <c r="G63">
        <f>IF(A63="","",A63&amp;" - "&amp;B63)</f>
        <v/>
      </c>
      <c r="H63" t="inlineStr">
        <is>
          <t>pcs</t>
        </is>
      </c>
    </row>
    <row r="64">
      <c r="E64" t="b">
        <v>1</v>
      </c>
      <c r="G64">
        <f>IF(A64="","",A64&amp;" - "&amp;B64)</f>
        <v/>
      </c>
      <c r="H64" t="inlineStr">
        <is>
          <t>pcs</t>
        </is>
      </c>
    </row>
    <row r="65">
      <c r="E65" t="b">
        <v>1</v>
      </c>
      <c r="G65">
        <f>IF(A65="","",A65&amp;" - "&amp;B65)</f>
        <v/>
      </c>
      <c r="H65" t="inlineStr">
        <is>
          <t>pcs</t>
        </is>
      </c>
    </row>
    <row r="66">
      <c r="E66" t="b">
        <v>1</v>
      </c>
      <c r="G66">
        <f>IF(A66="","",A66&amp;" - "&amp;B66)</f>
        <v/>
      </c>
      <c r="H66" t="inlineStr">
        <is>
          <t>pcs</t>
        </is>
      </c>
    </row>
    <row r="67">
      <c r="E67" t="b">
        <v>1</v>
      </c>
      <c r="G67">
        <f>IF(A67="","",A67&amp;" - "&amp;B67)</f>
        <v/>
      </c>
      <c r="H67" t="inlineStr">
        <is>
          <t>pcs</t>
        </is>
      </c>
    </row>
    <row r="68">
      <c r="E68" t="b">
        <v>1</v>
      </c>
      <c r="G68">
        <f>IF(A68="","",A68&amp;" - "&amp;B68)</f>
        <v/>
      </c>
      <c r="H68" t="inlineStr">
        <is>
          <t>pcs</t>
        </is>
      </c>
    </row>
    <row r="69">
      <c r="E69" t="b">
        <v>1</v>
      </c>
      <c r="G69">
        <f>IF(A69="","",A69&amp;" - "&amp;B69)</f>
        <v/>
      </c>
      <c r="H69" t="inlineStr">
        <is>
          <t>pcs</t>
        </is>
      </c>
    </row>
    <row r="70">
      <c r="E70" t="b">
        <v>1</v>
      </c>
      <c r="G70">
        <f>IF(A70="","",A70&amp;" - "&amp;B70)</f>
        <v/>
      </c>
      <c r="H70" t="inlineStr">
        <is>
          <t>pcs</t>
        </is>
      </c>
    </row>
    <row r="71">
      <c r="E71" t="b">
        <v>1</v>
      </c>
      <c r="G71">
        <f>IF(A71="","",A71&amp;" - "&amp;B71)</f>
        <v/>
      </c>
      <c r="H71" t="inlineStr">
        <is>
          <t>pcs</t>
        </is>
      </c>
    </row>
    <row r="72">
      <c r="E72" t="b">
        <v>1</v>
      </c>
      <c r="G72">
        <f>IF(A72="","",A72&amp;" - "&amp;B72)</f>
        <v/>
      </c>
      <c r="H72" t="inlineStr">
        <is>
          <t>pcs</t>
        </is>
      </c>
    </row>
    <row r="73">
      <c r="E73" t="b">
        <v>1</v>
      </c>
      <c r="G73">
        <f>IF(A73="","",A73&amp;" - "&amp;B73)</f>
        <v/>
      </c>
      <c r="H73" t="inlineStr">
        <is>
          <t>pcs</t>
        </is>
      </c>
    </row>
    <row r="74">
      <c r="E74" t="b">
        <v>1</v>
      </c>
      <c r="G74">
        <f>IF(A74="","",A74&amp;" - "&amp;B74)</f>
        <v/>
      </c>
      <c r="H74" t="inlineStr">
        <is>
          <t>pcs</t>
        </is>
      </c>
    </row>
    <row r="75">
      <c r="E75" t="b">
        <v>1</v>
      </c>
      <c r="G75">
        <f>IF(A75="","",A75&amp;" - "&amp;B75)</f>
        <v/>
      </c>
      <c r="H75" t="inlineStr">
        <is>
          <t>pcs</t>
        </is>
      </c>
    </row>
    <row r="76">
      <c r="E76" t="b">
        <v>1</v>
      </c>
      <c r="G76">
        <f>IF(A76="","",A76&amp;" - "&amp;B76)</f>
        <v/>
      </c>
      <c r="H76" t="inlineStr">
        <is>
          <t>pcs</t>
        </is>
      </c>
    </row>
    <row r="77">
      <c r="E77" t="b">
        <v>1</v>
      </c>
      <c r="G77">
        <f>IF(A77="","",A77&amp;" - "&amp;B77)</f>
        <v/>
      </c>
      <c r="H77" t="inlineStr">
        <is>
          <t>pcs</t>
        </is>
      </c>
    </row>
    <row r="78">
      <c r="E78" t="b">
        <v>1</v>
      </c>
      <c r="G78">
        <f>IF(A78="","",A78&amp;" - "&amp;B78)</f>
        <v/>
      </c>
      <c r="H78" t="inlineStr">
        <is>
          <t>pcs</t>
        </is>
      </c>
    </row>
    <row r="79">
      <c r="E79" t="b">
        <v>1</v>
      </c>
      <c r="G79">
        <f>IF(A79="","",A79&amp;" - "&amp;B79)</f>
        <v/>
      </c>
      <c r="H79" t="inlineStr">
        <is>
          <t>pcs</t>
        </is>
      </c>
    </row>
    <row r="80">
      <c r="E80" t="b">
        <v>1</v>
      </c>
      <c r="G80">
        <f>IF(A80="","",A80&amp;" - "&amp;B80)</f>
        <v/>
      </c>
      <c r="H80" t="inlineStr">
        <is>
          <t>pcs</t>
        </is>
      </c>
    </row>
    <row r="81">
      <c r="E81" t="b">
        <v>1</v>
      </c>
      <c r="G81">
        <f>IF(A81="","",A81&amp;" - "&amp;B81)</f>
        <v/>
      </c>
      <c r="H81" t="inlineStr">
        <is>
          <t>pcs</t>
        </is>
      </c>
    </row>
    <row r="82">
      <c r="E82" t="b">
        <v>1</v>
      </c>
      <c r="G82">
        <f>IF(A82="","",A82&amp;" - "&amp;B82)</f>
        <v/>
      </c>
      <c r="H82" t="inlineStr">
        <is>
          <t>pcs</t>
        </is>
      </c>
    </row>
    <row r="83">
      <c r="E83" t="b">
        <v>1</v>
      </c>
      <c r="G83">
        <f>IF(A83="","",A83&amp;" - "&amp;B83)</f>
        <v/>
      </c>
      <c r="H83" t="inlineStr">
        <is>
          <t>pcs</t>
        </is>
      </c>
    </row>
    <row r="84">
      <c r="E84" t="b">
        <v>1</v>
      </c>
      <c r="G84">
        <f>IF(A84="","",A84&amp;" - "&amp;B84)</f>
        <v/>
      </c>
      <c r="H84" t="inlineStr">
        <is>
          <t>pcs</t>
        </is>
      </c>
    </row>
    <row r="85">
      <c r="E85" t="b">
        <v>1</v>
      </c>
      <c r="G85">
        <f>IF(A85="","",A85&amp;" - "&amp;B85)</f>
        <v/>
      </c>
      <c r="H85" t="inlineStr">
        <is>
          <t>pcs</t>
        </is>
      </c>
    </row>
    <row r="86">
      <c r="E86" t="b">
        <v>1</v>
      </c>
      <c r="G86">
        <f>IF(A86="","",A86&amp;" - "&amp;B86)</f>
        <v/>
      </c>
      <c r="H86" t="inlineStr">
        <is>
          <t>pcs</t>
        </is>
      </c>
    </row>
    <row r="87">
      <c r="E87" t="b">
        <v>1</v>
      </c>
      <c r="G87">
        <f>IF(A87="","",A87&amp;" - "&amp;B87)</f>
        <v/>
      </c>
      <c r="H87" t="inlineStr">
        <is>
          <t>pcs</t>
        </is>
      </c>
    </row>
    <row r="88">
      <c r="E88" t="b">
        <v>1</v>
      </c>
      <c r="G88">
        <f>IF(A88="","",A88&amp;" - "&amp;B88)</f>
        <v/>
      </c>
      <c r="H88" t="inlineStr">
        <is>
          <t>pcs</t>
        </is>
      </c>
    </row>
    <row r="89">
      <c r="E89" t="b">
        <v>1</v>
      </c>
      <c r="G89">
        <f>IF(A89="","",A89&amp;" - "&amp;B89)</f>
        <v/>
      </c>
      <c r="H89" t="inlineStr">
        <is>
          <t>pcs</t>
        </is>
      </c>
    </row>
    <row r="90">
      <c r="E90" t="b">
        <v>1</v>
      </c>
      <c r="G90">
        <f>IF(A90="","",A90&amp;" - "&amp;B90)</f>
        <v/>
      </c>
      <c r="H90" t="inlineStr">
        <is>
          <t>pcs</t>
        </is>
      </c>
    </row>
    <row r="91">
      <c r="E91" t="b">
        <v>1</v>
      </c>
      <c r="G91">
        <f>IF(A91="","",A91&amp;" - "&amp;B91)</f>
        <v/>
      </c>
      <c r="H91" t="inlineStr">
        <is>
          <t>pcs</t>
        </is>
      </c>
    </row>
    <row r="92">
      <c r="E92" t="b">
        <v>1</v>
      </c>
      <c r="G92">
        <f>IF(A92="","",A92&amp;" - "&amp;B92)</f>
        <v/>
      </c>
      <c r="H92" t="inlineStr">
        <is>
          <t>pcs</t>
        </is>
      </c>
    </row>
    <row r="93">
      <c r="E93" t="b">
        <v>1</v>
      </c>
      <c r="G93">
        <f>IF(A93="","",A93&amp;" - "&amp;B93)</f>
        <v/>
      </c>
      <c r="H93" t="inlineStr">
        <is>
          <t>pcs</t>
        </is>
      </c>
    </row>
    <row r="94">
      <c r="E94" t="b">
        <v>1</v>
      </c>
      <c r="G94">
        <f>IF(A94="","",A94&amp;" - "&amp;B94)</f>
        <v/>
      </c>
      <c r="H94" t="inlineStr">
        <is>
          <t>pcs</t>
        </is>
      </c>
    </row>
    <row r="95">
      <c r="E95" t="b">
        <v>1</v>
      </c>
      <c r="G95">
        <f>IF(A95="","",A95&amp;" - "&amp;B95)</f>
        <v/>
      </c>
      <c r="H95" t="inlineStr">
        <is>
          <t>pcs</t>
        </is>
      </c>
    </row>
    <row r="96">
      <c r="E96" t="b">
        <v>1</v>
      </c>
      <c r="G96">
        <f>IF(A96="","",A96&amp;" - "&amp;B96)</f>
        <v/>
      </c>
      <c r="H96" t="inlineStr">
        <is>
          <t>pcs</t>
        </is>
      </c>
    </row>
    <row r="97">
      <c r="E97" t="b">
        <v>1</v>
      </c>
      <c r="G97">
        <f>IF(A97="","",A97&amp;" - "&amp;B97)</f>
        <v/>
      </c>
      <c r="H97" t="inlineStr">
        <is>
          <t>pcs</t>
        </is>
      </c>
    </row>
    <row r="98">
      <c r="E98" t="b">
        <v>1</v>
      </c>
      <c r="G98">
        <f>IF(A98="","",A98&amp;" - "&amp;B98)</f>
        <v/>
      </c>
      <c r="H98" t="inlineStr">
        <is>
          <t>pcs</t>
        </is>
      </c>
    </row>
    <row r="99">
      <c r="E99" t="b">
        <v>1</v>
      </c>
      <c r="G99">
        <f>IF(A99="","",A99&amp;" - "&amp;B99)</f>
        <v/>
      </c>
      <c r="H99" t="inlineStr">
        <is>
          <t>pcs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3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2026-07-02T09:56:38Z</dcterms:created>
  <dcterms:modified xmlns:dcterms="http://purl.org/dc/terms/" xmlns:xsi="http://www.w3.org/2001/XMLSchema-instance" xsi:type="dcterms:W3CDTF">2026-07-02T09:56:39Z</dcterms:modified>
</cp:coreProperties>
</file>