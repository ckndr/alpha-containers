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lpha\Aerosol\"/>
    </mc:Choice>
  </mc:AlternateContent>
  <xr:revisionPtr revIDLastSave="0" documentId="13_ncr:1_{90A29F62-E08D-4622-AFE4-FDFE694C2E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ob Card" sheetId="1" r:id="rId1"/>
    <sheet name="Aerosol_BOM" sheetId="2" r:id="rId2"/>
    <sheet name="Products_D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2" l="1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41" i="1"/>
  <c r="D41" i="1"/>
  <c r="B41" i="1"/>
  <c r="F40" i="1"/>
  <c r="D40" i="1"/>
  <c r="B40" i="1"/>
  <c r="F39" i="1"/>
  <c r="D39" i="1"/>
  <c r="B39" i="1"/>
  <c r="F38" i="1"/>
  <c r="D38" i="1"/>
  <c r="B38" i="1"/>
  <c r="F35" i="1"/>
  <c r="E35" i="1"/>
  <c r="D35" i="1"/>
  <c r="C35" i="1"/>
  <c r="B35" i="1"/>
  <c r="F34" i="1"/>
  <c r="E34" i="1"/>
  <c r="D6" i="1"/>
  <c r="F5" i="1"/>
  <c r="D34" i="1" l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D26" i="1"/>
  <c r="D18" i="1"/>
</calcChain>
</file>

<file path=xl/sharedStrings.xml><?xml version="1.0" encoding="utf-8"?>
<sst xmlns="http://schemas.openxmlformats.org/spreadsheetml/2006/main" count="227" uniqueCount="102">
  <si>
    <t>ALPHA AEROSOLS PRODUCTION JOB CARD</t>
  </si>
  <si>
    <t>Doc #: AER-JC-001</t>
  </si>
  <si>
    <t>Date: ____________</t>
  </si>
  <si>
    <t>Revision: 00</t>
  </si>
  <si>
    <t>1. JOB / ORDER DETAILS</t>
  </si>
  <si>
    <t>POF #</t>
  </si>
  <si>
    <t>Date / Shift</t>
  </si>
  <si>
    <t>Customer</t>
  </si>
  <si>
    <t>Product Name</t>
  </si>
  <si>
    <t>Product ID</t>
  </si>
  <si>
    <t>Artwork Ref</t>
  </si>
  <si>
    <t>Order Qty (Cans)</t>
  </si>
  <si>
    <t>Tolerance %</t>
  </si>
  <si>
    <t>0.05</t>
  </si>
  <si>
    <t>Special Instructions</t>
  </si>
  <si>
    <t>2. MATERIAL REQUIRED</t>
  </si>
  <si>
    <t>S#</t>
  </si>
  <si>
    <t>Material Description</t>
  </si>
  <si>
    <t>Item Name</t>
  </si>
  <si>
    <t>Item Code</t>
  </si>
  <si>
    <t>Total Required Qty</t>
  </si>
  <si>
    <t>Unit</t>
  </si>
  <si>
    <t>3. SPECIFICATION</t>
  </si>
  <si>
    <t>Can Type</t>
  </si>
  <si>
    <t>Can Diameter</t>
  </si>
  <si>
    <t>Can Height</t>
  </si>
  <si>
    <t>Neck Opening</t>
  </si>
  <si>
    <t>Wall Thickness</t>
  </si>
  <si>
    <t>Dome Thickness</t>
  </si>
  <si>
    <t>Internal Coating</t>
  </si>
  <si>
    <t>Base Coat Color</t>
  </si>
  <si>
    <t>Print Colors</t>
  </si>
  <si>
    <t>Varnish Type</t>
  </si>
  <si>
    <t>Packing Standard</t>
  </si>
  <si>
    <t>4. APPROVAL / SIGN-OFF</t>
  </si>
  <si>
    <t>Planning</t>
  </si>
  <si>
    <t>Store</t>
  </si>
  <si>
    <t>Production / Quality</t>
  </si>
  <si>
    <t>LookupKey</t>
  </si>
  <si>
    <t>P.ID</t>
  </si>
  <si>
    <t>BOM ID</t>
  </si>
  <si>
    <t>Dia</t>
  </si>
  <si>
    <t>Material Group</t>
  </si>
  <si>
    <t>Item ID</t>
  </si>
  <si>
    <t>UOM</t>
  </si>
  <si>
    <t>Net Qty / 1000</t>
  </si>
  <si>
    <t>Waste + Tolerance</t>
  </si>
  <si>
    <t>Gross Qty / 1000</t>
  </si>
  <si>
    <t>Remarks</t>
  </si>
  <si>
    <t>Calculations</t>
  </si>
  <si>
    <t>Aerosol Customer</t>
  </si>
  <si>
    <t>Aerosol Can 45mm</t>
  </si>
  <si>
    <t>Aluminum Slugs</t>
  </si>
  <si>
    <t>45mm Aluminum Slug</t>
  </si>
  <si>
    <t>kg</t>
  </si>
  <si>
    <t>Slug weight per can × 1000. Fixed material input.</t>
  </si>
  <si>
    <t>Lubricant</t>
  </si>
  <si>
    <t>SAPILUB LUBRIMET GR8</t>
  </si>
  <si>
    <t>105g per 100kg slugs × 20kg slugs/1000 = 0.021 kg/1000. (Ref: LUBRIMET GR8 TDS)</t>
  </si>
  <si>
    <t>Cleaner</t>
  </si>
  <si>
    <t>SAPILUB ALULIQUID 13</t>
  </si>
  <si>
    <t>Empirical / supplier recommendation. No TDS rate available.</t>
  </si>
  <si>
    <t>Lacquer</t>
  </si>
  <si>
    <t>SCHEKOSOL INT PROT Gold (400 9 901)</t>
  </si>
  <si>
    <t>Can inner surface area (0.02375 m²) × High-end TDS wet film (44.0 g/m²) = 1.045 g/can = 1.045 kg/1000</t>
  </si>
  <si>
    <t>SCHEKOSOL INT BEIGE (400 4 902)</t>
  </si>
  <si>
    <t>Can inner surface area (0.02375 m²) × High-end TDS wet film (48.0 g/m²) = 1.140 g/can = 1.140 kg/1000</t>
  </si>
  <si>
    <t>Base Coat</t>
  </si>
  <si>
    <t>SCHEKOSOL WH BC (422 0 903)</t>
  </si>
  <si>
    <t>Can outer surface area (0.02262 m²) × High-end TDS wet film (43.0 g/m²) = 0.973 g/can = 0.973 kg/1000</t>
  </si>
  <si>
    <t>SCHEKOSOL CLEAR BC (422 9 918)</t>
  </si>
  <si>
    <t>Can outer surface area (0.02262 m²) × High-end TDS wet film (31.0 g/m²) = 0.701 g/can = 0.701 kg/1000</t>
  </si>
  <si>
    <t>Varnish</t>
  </si>
  <si>
    <t>SCHEKOSOL OPV GLOSSY (422 9 900)</t>
  </si>
  <si>
    <t>Can outer surface area (0.02262 m²) × High-end TDS wet film (19.0 g/m²) = 0.430 g/can = 0.430 kg/1000</t>
  </si>
  <si>
    <t>SCHEKOSOL OPV SILKMATT (422 9 903)</t>
  </si>
  <si>
    <t>Can outer surface area (0.02262 m²) × High-end TDS wet film (17.0 g/m²) = 0.385 g/can = 0.385 kg/1000</t>
  </si>
  <si>
    <t>Ink</t>
  </si>
  <si>
    <t>SunAltec MB PLUS 169766 OPAQUE WHITE</t>
  </si>
  <si>
    <t>Ink usage varies by print design, coverage area, and number of colors.</t>
  </si>
  <si>
    <t>Dry-offset ink per print station per can ≈ 0.28 g/can = 0.280 kg/1000.</t>
  </si>
  <si>
    <t>11069 UV INK YELLOW (168391) AEROSOL</t>
  </si>
  <si>
    <t>11070 UV INK MAGENTA (168396) AEROSOL</t>
  </si>
  <si>
    <t>11071 UV INK BLACK (401295) AEROSOL</t>
  </si>
  <si>
    <t>11072 UV INK TRANSPARENT WHITE (169167) AEROSOL</t>
  </si>
  <si>
    <t>11065 UV INK REFLEX BLUE (168402) AEROSOL</t>
  </si>
  <si>
    <t>11066 UV INK RHODAMINE (168397) AEROSOL</t>
  </si>
  <si>
    <t>11067 UV INK PURPLE (168398) AEROSOL</t>
  </si>
  <si>
    <t>11068 UV INK VIOLET (168399) AEROSOL</t>
  </si>
  <si>
    <t>11074 UV INK RED 032 (156358/CF01) AEROSOL</t>
  </si>
  <si>
    <t>11073 UV INK CYAN (168400) AEROSOL</t>
  </si>
  <si>
    <t>11075 UV INK OPAQUE WHITE (400050) AEROSOL</t>
  </si>
  <si>
    <t>Necked-in</t>
  </si>
  <si>
    <t>45mm</t>
  </si>
  <si>
    <t>150mm</t>
  </si>
  <si>
    <t>1 inch</t>
  </si>
  <si>
    <t>0.35mm</t>
  </si>
  <si>
    <t>Epoxy Gold</t>
  </si>
  <si>
    <t>White</t>
  </si>
  <si>
    <t>4 Colors</t>
  </si>
  <si>
    <t>Glossy</t>
  </si>
  <si>
    <t>100 per Carton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</si>
</sst>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/>
    <xf numFmtId="0" fontId="2" fillId="3" borderId="0" xfId="0" applyFont="1" applyFill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8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04924" cy="552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04924" cy="552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E21" sqref="E21"/>
    </sheetView>
  </sheetViews>
  <sheetFormatPr defaultRowHeight="15" x14ac:dyDescent="0.25"/>
  <cols>
    <col min="1" max="1" width="20" customWidth="1"/>
    <col min="2" max="3" width="25" customWidth="1"/>
    <col min="4" max="5" width="20" customWidth="1"/>
    <col min="6" max="6" width="16.5703125" customWidth="1"/>
  </cols>
  <sheetData>
    <row r="1" spans="1:6" x14ac:dyDescent="0.25">
      <c r="B1" s="19" t="s">
        <v>0</v>
      </c>
      <c r="C1" s="20"/>
      <c r="D1" s="21"/>
      <c r="E1" s="2" t="s">
        <v>1</v>
      </c>
    </row>
    <row r="2" spans="1:6" x14ac:dyDescent="0.25">
      <c r="B2" s="20"/>
      <c r="C2" s="20"/>
      <c r="D2" s="21"/>
      <c r="E2" s="2" t="s">
        <v>2</v>
      </c>
    </row>
    <row r="3" spans="1:6" x14ac:dyDescent="0.25">
      <c r="E3" s="2" t="s">
        <v>3</v>
      </c>
    </row>
    <row r="4" spans="1:6" x14ac:dyDescent="0.25">
      <c r="A4" s="7" t="s">
        <v>4</v>
      </c>
      <c r="B4" s="8"/>
      <c r="C4" s="8"/>
      <c r="D4" s="8"/>
      <c r="E4" s="8"/>
      <c r="F4" s="8"/>
    </row>
    <row r="5" spans="1:6" x14ac:dyDescent="0.25">
      <c r="A5" s="1" t="s">
        <v>5</v>
      </c>
      <c r="B5" s="2"/>
      <c r="C5" s="1" t="s">
        <v>6</v>
      </c>
      <c r="D5" s="2"/>
      <c r="E5" s="1" t="s">
        <v>7</v>
      </c>
      <c r="F5" s="2" t="str">
        <f>IFERROR(VLOOKUP(B6, Products_DB!A:C, 3, FALSE), "")</f>
        <v/>
      </c>
    </row>
    <row r="6" spans="1:6" x14ac:dyDescent="0.25">
      <c r="A6" s="1" t="s">
        <v>8</v>
      </c>
      <c r="B6" s="2"/>
      <c r="C6" s="1" t="s">
        <v>9</v>
      </c>
      <c r="D6" s="17" t="str">
        <f>IFERROR(VLOOKUP(B6, Products_DB!A:C, 2, FALSE), "")</f>
        <v/>
      </c>
      <c r="E6" s="1" t="s">
        <v>10</v>
      </c>
      <c r="F6" s="2"/>
    </row>
    <row r="7" spans="1:6" x14ac:dyDescent="0.25">
      <c r="A7" s="1" t="s">
        <v>11</v>
      </c>
      <c r="B7" s="17">
        <v>100000</v>
      </c>
      <c r="C7" s="1" t="s">
        <v>12</v>
      </c>
      <c r="D7" s="3" t="s">
        <v>13</v>
      </c>
      <c r="E7" s="1" t="s">
        <v>14</v>
      </c>
      <c r="F7" s="2"/>
    </row>
    <row r="9" spans="1:6" x14ac:dyDescent="0.25">
      <c r="A9" s="7" t="s">
        <v>15</v>
      </c>
      <c r="B9" s="8"/>
      <c r="C9" s="8"/>
      <c r="D9" s="8"/>
      <c r="E9" s="8"/>
      <c r="F9" s="8"/>
    </row>
    <row r="10" spans="1:6" x14ac:dyDescent="0.25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</row>
    <row r="11" spans="1:6" x14ac:dyDescent="0.25">
      <c r="A11" s="5">
        <v>1</v>
      </c>
      <c r="B11" s="2" t="str">
        <f>IFERROR(VLOOKUP($B$6&amp;"_"&amp;$A11, Aerosol_BOM!$A:$O, 7, FALSE), "")</f>
        <v/>
      </c>
      <c r="C11" s="2" t="str">
        <f>IFERROR(VLOOKUP($B$6&amp;"_"&amp;$A11, Aerosol_BOM!$A:$O, 9, FALSE), "")</f>
        <v/>
      </c>
      <c r="D11" s="2" t="str">
        <f>IFERROR(VLOOKUP($B$6&amp;"_"&amp;$A11, Aerosol_BOM!$A:$O, 8, FALSE), "")</f>
        <v/>
      </c>
      <c r="E11" s="18" t="str">
        <f>IFERROR(VLOOKUP($B$6&amp;"_"&amp;$A11, Aerosol_BOM!$A:$O, 13, FALSE) * ($B$7*(1+$D$7)) / 1000, "")</f>
        <v/>
      </c>
      <c r="F11" s="2" t="str">
        <f>IFERROR(VLOOKUP($B$6&amp;"_"&amp;$A11, Aerosol_BOM!$A:$O, 10, FALSE), "")</f>
        <v/>
      </c>
    </row>
    <row r="12" spans="1:6" x14ac:dyDescent="0.25">
      <c r="A12" s="5">
        <v>2</v>
      </c>
      <c r="B12" s="2" t="str">
        <f>IFERROR(VLOOKUP($B$6&amp;"_"&amp;$A12, Aerosol_BOM!$A:$O, 7, FALSE), "")</f>
        <v/>
      </c>
      <c r="C12" s="2" t="str">
        <f>IFERROR(VLOOKUP($B$6&amp;"_"&amp;$A12, Aerosol_BOM!$A:$O, 9, FALSE), "")</f>
        <v/>
      </c>
      <c r="D12" s="2" t="str">
        <f>IFERROR(VLOOKUP($B$6&amp;"_"&amp;$A12, Aerosol_BOM!$A:$O, 8, FALSE), "")</f>
        <v/>
      </c>
      <c r="E12" s="18" t="str">
        <f>IFERROR(VLOOKUP($B$6&amp;"_"&amp;$A12, Aerosol_BOM!$A:$O, 13, FALSE) * ($B$7*(1+$D$7)) / 1000, "")</f>
        <v/>
      </c>
      <c r="F12" s="2" t="str">
        <f>IFERROR(VLOOKUP($B$6&amp;"_"&amp;$A12, Aerosol_BOM!$A:$O, 10, FALSE), "")</f>
        <v/>
      </c>
    </row>
    <row r="13" spans="1:6" x14ac:dyDescent="0.25">
      <c r="A13" s="5">
        <v>3</v>
      </c>
      <c r="B13" s="2" t="str">
        <f>IFERROR(VLOOKUP($B$6&amp;"_"&amp;$A13, Aerosol_BOM!$A:$O, 7, FALSE), "")</f>
        <v/>
      </c>
      <c r="C13" s="2" t="str">
        <f>IFERROR(VLOOKUP($B$6&amp;"_"&amp;$A13, Aerosol_BOM!$A:$O, 9, FALSE), "")</f>
        <v/>
      </c>
      <c r="D13" s="2" t="str">
        <f>IFERROR(VLOOKUP($B$6&amp;"_"&amp;$A13, Aerosol_BOM!$A:$O, 8, FALSE), "")</f>
        <v/>
      </c>
      <c r="E13" s="18" t="str">
        <f>IFERROR(VLOOKUP($B$6&amp;"_"&amp;$A13, Aerosol_BOM!$A:$O, 13, FALSE) * ($B$7*(1+$D$7)) / 1000, "")</f>
        <v/>
      </c>
      <c r="F13" s="2" t="str">
        <f>IFERROR(VLOOKUP($B$6&amp;"_"&amp;$A13, Aerosol_BOM!$A:$O, 10, FALSE), "")</f>
        <v/>
      </c>
    </row>
    <row r="14" spans="1:6" x14ac:dyDescent="0.25">
      <c r="A14" s="5">
        <v>4</v>
      </c>
      <c r="B14" s="2" t="str">
        <f>IFERROR(VLOOKUP($B$6&amp;"_"&amp;$A14, Aerosol_BOM!$A:$O, 7, FALSE), "")</f>
        <v/>
      </c>
      <c r="C14" s="2" t="str">
        <f>IFERROR(VLOOKUP($B$6&amp;"_"&amp;$A14, Aerosol_BOM!$A:$O, 9, FALSE), "")</f>
        <v/>
      </c>
      <c r="D14" s="2" t="str">
        <f>IFERROR(VLOOKUP($B$6&amp;"_"&amp;$A14, Aerosol_BOM!$A:$O, 8, FALSE), "")</f>
        <v/>
      </c>
      <c r="E14" s="18" t="str">
        <f>IFERROR(VLOOKUP($B$6&amp;"_"&amp;$A14, Aerosol_BOM!$A:$O, 13, FALSE) * ($B$7*(1+$D$7)) / 1000, "")</f>
        <v/>
      </c>
      <c r="F14" s="2" t="str">
        <f>IFERROR(VLOOKUP($B$6&amp;"_"&amp;$A14, Aerosol_BOM!$A:$O, 10, FALSE), "")</f>
        <v/>
      </c>
    </row>
    <row r="15" spans="1:6" x14ac:dyDescent="0.25">
      <c r="A15" s="5">
        <v>5</v>
      </c>
      <c r="B15" s="2" t="str">
        <f>IFERROR(VLOOKUP($B$6&amp;"_"&amp;$A15, Aerosol_BOM!$A:$O, 7, FALSE), "")</f>
        <v/>
      </c>
      <c r="C15" s="2" t="str">
        <f>IFERROR(VLOOKUP($B$6&amp;"_"&amp;$A15, Aerosol_BOM!$A:$O, 9, FALSE), "")</f>
        <v/>
      </c>
      <c r="D15" s="2" t="str">
        <f>IFERROR(VLOOKUP($B$6&amp;"_"&amp;$A15, Aerosol_BOM!$A:$O, 8, FALSE), "")</f>
        <v/>
      </c>
      <c r="E15" s="18" t="str">
        <f>IFERROR(VLOOKUP($B$6&amp;"_"&amp;$A15, Aerosol_BOM!$A:$O, 13, FALSE) * ($B$7*(1+$D$7)) / 1000, "")</f>
        <v/>
      </c>
      <c r="F15" s="2" t="str">
        <f>IFERROR(VLOOKUP($B$6&amp;"_"&amp;$A15, Aerosol_BOM!$A:$O, 10, FALSE), "")</f>
        <v/>
      </c>
    </row>
    <row r="16" spans="1:6" x14ac:dyDescent="0.25">
      <c r="A16" s="5">
        <v>6</v>
      </c>
      <c r="B16" s="2" t="str">
        <f>IFERROR(VLOOKUP($B$6&amp;"_"&amp;$A16, Aerosol_BOM!$A:$O, 7, FALSE), "")</f>
        <v/>
      </c>
      <c r="C16" s="2" t="str">
        <f>IFERROR(VLOOKUP($B$6&amp;"_"&amp;$A16, Aerosol_BOM!$A:$O, 9, FALSE), "")</f>
        <v/>
      </c>
      <c r="D16" s="2" t="str">
        <f>IFERROR(VLOOKUP($B$6&amp;"_"&amp;$A16, Aerosol_BOM!$A:$O, 8, FALSE), "")</f>
        <v/>
      </c>
      <c r="E16" s="18" t="str">
        <f>IFERROR(VLOOKUP($B$6&amp;"_"&amp;$A16, Aerosol_BOM!$A:$O, 13, FALSE) * ($B$7*(1+$D$7)) / 1000, "")</f>
        <v/>
      </c>
      <c r="F16" s="2" t="str">
        <f>IFERROR(VLOOKUP($B$6&amp;"_"&amp;$A16, Aerosol_BOM!$A:$O, 10, FALSE), "")</f>
        <v/>
      </c>
    </row>
    <row r="17" spans="1:6" x14ac:dyDescent="0.25">
      <c r="A17" s="5">
        <v>7</v>
      </c>
      <c r="B17" s="2" t="str">
        <f>IFERROR(VLOOKUP($B$6&amp;"_"&amp;$A17, Aerosol_BOM!$A:$O, 7, FALSE), "")</f>
        <v/>
      </c>
      <c r="C17" s="2" t="str">
        <f>IFERROR(VLOOKUP($B$6&amp;"_"&amp;$A17, Aerosol_BOM!$A:$O, 9, FALSE), "")</f>
        <v/>
      </c>
      <c r="D17" s="2" t="str">
        <f>IFERROR(VLOOKUP($B$6&amp;"_"&amp;$A17, Aerosol_BOM!$A:$O, 8, FALSE), "")</f>
        <v/>
      </c>
      <c r="E17" s="18" t="str">
        <f>IFERROR(VLOOKUP($B$6&amp;"_"&amp;$A17, Aerosol_BOM!$A:$O, 13, FALSE) * ($B$7*(1+$D$7)) / 1000, "")</f>
        <v/>
      </c>
      <c r="F17" s="2" t="str">
        <f>IFERROR(VLOOKUP($B$6&amp;"_"&amp;$A17, Aerosol_BOM!$A:$O, 10, FALSE), "")</f>
        <v/>
      </c>
    </row>
    <row r="18" spans="1:6" x14ac:dyDescent="0.25">
      <c r="A18" s="5">
        <v>8</v>
      </c>
      <c r="B18" s="2" t="str">
        <f>IFERROR(VLOOKUP($B$6&amp;"_"&amp;$A18, Aerosol_BOM!$A:$O, 7, FALSE), "")</f>
        <v/>
      </c>
      <c r="C18" s="2" t="str">
        <f>IFERROR(VLOOKUP($B$6&amp;"_"&amp;$A18, Aerosol_BOM!$A:$O, 9, FALSE), "")</f>
        <v/>
      </c>
      <c r="D18" s="2" t="str">
        <f>IFERROR(VLOOKUP($B$6&amp;"_"&amp;$A18, Aerosol_BOM!$A:$O, 8, FALSE), "")</f>
        <v/>
      </c>
      <c r="E18" s="18" t="str">
        <f>IFERROR(VLOOKUP($B$6&amp;"_"&amp;$A18, Aerosol_BOM!$A:$O, 13, FALSE) * ($B$7*(1+$D$7)) / 1000, "")</f>
        <v/>
      </c>
      <c r="F18" s="2" t="str">
        <f>IFERROR(VLOOKUP($B$6&amp;"_"&amp;$A18, Aerosol_BOM!$A:$O, 10, FALSE), "")</f>
        <v/>
      </c>
    </row>
    <row r="19" spans="1:6" x14ac:dyDescent="0.25">
      <c r="A19" s="5">
        <v>9</v>
      </c>
      <c r="B19" s="2" t="str">
        <f>IFERROR(VLOOKUP($B$6&amp;"_"&amp;$A19, Aerosol_BOM!$A:$O, 7, FALSE), "")</f>
        <v/>
      </c>
      <c r="C19" s="2" t="str">
        <f>IFERROR(VLOOKUP($B$6&amp;"_"&amp;$A19, Aerosol_BOM!$A:$O, 9, FALSE), "")</f>
        <v/>
      </c>
      <c r="D19" s="2" t="str">
        <f>IFERROR(VLOOKUP($B$6&amp;"_"&amp;$A19, Aerosol_BOM!$A:$O, 8, FALSE), "")</f>
        <v/>
      </c>
      <c r="E19" s="18" t="str">
        <f>IFERROR(VLOOKUP($B$6&amp;"_"&amp;$A19, Aerosol_BOM!$A:$O, 13, FALSE) * ($B$7*(1+$D$7)) / 1000, "")</f>
        <v/>
      </c>
      <c r="F19" s="2" t="str">
        <f>IFERROR(VLOOKUP($B$6&amp;"_"&amp;$A19, Aerosol_BOM!$A:$O, 10, FALSE), "")</f>
        <v/>
      </c>
    </row>
    <row r="20" spans="1:6" x14ac:dyDescent="0.25">
      <c r="A20" s="5">
        <v>10</v>
      </c>
      <c r="B20" s="2" t="str">
        <f>IFERROR(VLOOKUP($B$6&amp;"_"&amp;$A20, Aerosol_BOM!$A:$O, 7, FALSE), "")</f>
        <v/>
      </c>
      <c r="C20" s="2" t="str">
        <f>IFERROR(VLOOKUP($B$6&amp;"_"&amp;$A20, Aerosol_BOM!$A:$O, 9, FALSE), "")</f>
        <v/>
      </c>
      <c r="D20" s="2" t="str">
        <f>IFERROR(VLOOKUP($B$6&amp;"_"&amp;$A20, Aerosol_BOM!$A:$O, 8, FALSE), "")</f>
        <v/>
      </c>
      <c r="E20" s="18" t="str">
        <f>IFERROR(VLOOKUP($B$6&amp;"_"&amp;$A20, Aerosol_BOM!$A:$O, 13, FALSE) * ($B$7*(1+$D$7)) / 1000, "")</f>
        <v/>
      </c>
      <c r="F20" s="2" t="str">
        <f>IFERROR(VLOOKUP($B$6&amp;"_"&amp;$A20, Aerosol_BOM!$A:$O, 10, FALSE), "")</f>
        <v/>
      </c>
    </row>
    <row r="21" spans="1:6" x14ac:dyDescent="0.25">
      <c r="A21" s="5">
        <v>11</v>
      </c>
      <c r="B21" s="2" t="str">
        <f>IFERROR(VLOOKUP($B$6&amp;"_"&amp;$A21, Aerosol_BOM!$A:$O, 7, FALSE), "")</f>
        <v/>
      </c>
      <c r="C21" s="2" t="str">
        <f>IFERROR(VLOOKUP($B$6&amp;"_"&amp;$A21, Aerosol_BOM!$A:$O, 9, FALSE), "")</f>
        <v/>
      </c>
      <c r="D21" s="2" t="str">
        <f>IFERROR(VLOOKUP($B$6&amp;"_"&amp;$A21, Aerosol_BOM!$A:$O, 8, FALSE), "")</f>
        <v/>
      </c>
      <c r="E21" s="18" t="str">
        <f>IFERROR(VLOOKUP($B$6&amp;"_"&amp;$A21, Aerosol_BOM!$A:$O, 13, FALSE) * ($B$7*(1+$D$7)) / 1000, "")</f>
        <v/>
      </c>
      <c r="F21" s="2" t="str">
        <f>IFERROR(VLOOKUP($B$6&amp;"_"&amp;$A21, Aerosol_BOM!$A:$O, 10, FALSE), "")</f>
        <v/>
      </c>
    </row>
    <row r="22" spans="1:6" x14ac:dyDescent="0.25">
      <c r="A22" s="5">
        <v>12</v>
      </c>
      <c r="B22" s="2" t="str">
        <f>IFERROR(VLOOKUP($B$6&amp;"_"&amp;$A22, Aerosol_BOM!$A:$O, 7, FALSE), "")</f>
        <v/>
      </c>
      <c r="C22" s="2" t="str">
        <f>IFERROR(VLOOKUP($B$6&amp;"_"&amp;$A22, Aerosol_BOM!$A:$O, 9, FALSE), "")</f>
        <v/>
      </c>
      <c r="D22" s="2" t="str">
        <f>IFERROR(VLOOKUP($B$6&amp;"_"&amp;$A22, Aerosol_BOM!$A:$O, 8, FALSE), "")</f>
        <v/>
      </c>
      <c r="E22" s="18" t="str">
        <f>IFERROR(VLOOKUP($B$6&amp;"_"&amp;$A22, Aerosol_BOM!$A:$O, 13, FALSE) * ($B$7*(1+$D$7)) / 1000, "")</f>
        <v/>
      </c>
      <c r="F22" s="2" t="str">
        <f>IFERROR(VLOOKUP($B$6&amp;"_"&amp;$A22, Aerosol_BOM!$A:$O, 10, FALSE), "")</f>
        <v/>
      </c>
    </row>
    <row r="23" spans="1:6" x14ac:dyDescent="0.25">
      <c r="A23" s="5">
        <v>13</v>
      </c>
      <c r="B23" s="2" t="str">
        <f>IFERROR(VLOOKUP($B$6&amp;"_"&amp;$A23, Aerosol_BOM!$A:$O, 7, FALSE), "")</f>
        <v/>
      </c>
      <c r="C23" s="2" t="str">
        <f>IFERROR(VLOOKUP($B$6&amp;"_"&amp;$A23, Aerosol_BOM!$A:$O, 9, FALSE), "")</f>
        <v/>
      </c>
      <c r="D23" s="2" t="str">
        <f>IFERROR(VLOOKUP($B$6&amp;"_"&amp;$A23, Aerosol_BOM!$A:$O, 8, FALSE), "")</f>
        <v/>
      </c>
      <c r="E23" s="18" t="str">
        <f>IFERROR(VLOOKUP($B$6&amp;"_"&amp;$A23, Aerosol_BOM!$A:$O, 13, FALSE) * ($B$7*(1+$D$7)) / 1000, "")</f>
        <v/>
      </c>
      <c r="F23" s="2" t="str">
        <f>IFERROR(VLOOKUP($B$6&amp;"_"&amp;$A23, Aerosol_BOM!$A:$O, 10, FALSE), "")</f>
        <v/>
      </c>
    </row>
    <row r="24" spans="1:6" x14ac:dyDescent="0.25">
      <c r="A24" s="5">
        <v>14</v>
      </c>
      <c r="B24" s="2" t="str">
        <f>IFERROR(VLOOKUP($B$6&amp;"_"&amp;$A24, Aerosol_BOM!$A:$O, 7, FALSE), "")</f>
        <v/>
      </c>
      <c r="C24" s="2" t="str">
        <f>IFERROR(VLOOKUP($B$6&amp;"_"&amp;$A24, Aerosol_BOM!$A:$O, 9, FALSE), "")</f>
        <v/>
      </c>
      <c r="D24" s="2" t="str">
        <f>IFERROR(VLOOKUP($B$6&amp;"_"&amp;$A24, Aerosol_BOM!$A:$O, 8, FALSE), "")</f>
        <v/>
      </c>
      <c r="E24" s="18" t="str">
        <f>IFERROR(VLOOKUP($B$6&amp;"_"&amp;$A24, Aerosol_BOM!$A:$O, 13, FALSE) * ($B$7*(1+$D$7)) / 1000, "")</f>
        <v/>
      </c>
      <c r="F24" s="2" t="str">
        <f>IFERROR(VLOOKUP($B$6&amp;"_"&amp;$A24, Aerosol_BOM!$A:$O, 10, FALSE), "")</f>
        <v/>
      </c>
    </row>
    <row r="25" spans="1:6" x14ac:dyDescent="0.25">
      <c r="A25" s="5">
        <v>15</v>
      </c>
      <c r="B25" s="2" t="str">
        <f>IFERROR(VLOOKUP($B$6&amp;"_"&amp;$A25, Aerosol_BOM!$A:$O, 7, FALSE), "")</f>
        <v/>
      </c>
      <c r="C25" s="2" t="str">
        <f>IFERROR(VLOOKUP($B$6&amp;"_"&amp;$A25, Aerosol_BOM!$A:$O, 9, FALSE), "")</f>
        <v/>
      </c>
      <c r="D25" s="2" t="str">
        <f>IFERROR(VLOOKUP($B$6&amp;"_"&amp;$A25, Aerosol_BOM!$A:$O, 8, FALSE), "")</f>
        <v/>
      </c>
      <c r="E25" s="18" t="str">
        <f>IFERROR(VLOOKUP($B$6&amp;"_"&amp;$A25, Aerosol_BOM!$A:$O, 13, FALSE) * ($B$7*(1+$D$7)) / 1000, "")</f>
        <v/>
      </c>
      <c r="F25" s="2" t="str">
        <f>IFERROR(VLOOKUP($B$6&amp;"_"&amp;$A25, Aerosol_BOM!$A:$O, 10, FALSE), "")</f>
        <v/>
      </c>
    </row>
    <row r="26" spans="1:6" x14ac:dyDescent="0.25">
      <c r="A26" s="5">
        <v>16</v>
      </c>
      <c r="B26" s="2" t="str">
        <f>IFERROR(VLOOKUP($B$6&amp;"_"&amp;$A26, Aerosol_BOM!$A:$O, 7, FALSE), "")</f>
        <v/>
      </c>
      <c r="C26" s="2" t="str">
        <f>IFERROR(VLOOKUP($B$6&amp;"_"&amp;$A26, Aerosol_BOM!$A:$O, 9, FALSE), "")</f>
        <v/>
      </c>
      <c r="D26" s="2" t="str">
        <f>IFERROR(VLOOKUP($B$6&amp;"_"&amp;$A26, Aerosol_BOM!$A:$O, 8, FALSE), "")</f>
        <v/>
      </c>
      <c r="E26" s="18" t="str">
        <f>IFERROR(VLOOKUP($B$6&amp;"_"&amp;$A26, Aerosol_BOM!$A:$O, 13, FALSE) * ($B$7*(1+$D$7)) / 1000, "")</f>
        <v/>
      </c>
      <c r="F26" s="2" t="str">
        <f>IFERROR(VLOOKUP($B$6&amp;"_"&amp;$A26, Aerosol_BOM!$A:$O, 10, FALSE), "")</f>
        <v/>
      </c>
    </row>
    <row r="27" spans="1:6" x14ac:dyDescent="0.25">
      <c r="A27" s="5">
        <v>17</v>
      </c>
      <c r="B27" s="2" t="str">
        <f>IFERROR(VLOOKUP($B$6&amp;"_"&amp;$A27, Aerosol_BOM!$A:$O, 7, FALSE), "")</f>
        <v/>
      </c>
      <c r="C27" s="2" t="str">
        <f>IFERROR(VLOOKUP($B$6&amp;"_"&amp;$A27, Aerosol_BOM!$A:$O, 9, FALSE), "")</f>
        <v/>
      </c>
      <c r="D27" s="2" t="str">
        <f>IFERROR(VLOOKUP($B$6&amp;"_"&amp;$A27, Aerosol_BOM!$A:$O, 8, FALSE), "")</f>
        <v/>
      </c>
      <c r="E27" s="18" t="str">
        <f>IFERROR(VLOOKUP($B$6&amp;"_"&amp;$A27, Aerosol_BOM!$A:$O, 13, FALSE) * ($B$7*(1+$D$7)) / 1000, "")</f>
        <v/>
      </c>
      <c r="F27" s="2" t="str">
        <f>IFERROR(VLOOKUP($B$6&amp;"_"&amp;$A27, Aerosol_BOM!$A:$O, 10, FALSE), "")</f>
        <v/>
      </c>
    </row>
    <row r="28" spans="1:6" x14ac:dyDescent="0.25">
      <c r="A28" s="5">
        <v>18</v>
      </c>
      <c r="B28" s="2" t="str">
        <f>IFERROR(VLOOKUP($B$6&amp;"_"&amp;$A28, Aerosol_BOM!$A:$O, 7, FALSE), "")</f>
        <v/>
      </c>
      <c r="C28" s="2" t="str">
        <f>IFERROR(VLOOKUP($B$6&amp;"_"&amp;$A28, Aerosol_BOM!$A:$O, 9, FALSE), "")</f>
        <v/>
      </c>
      <c r="D28" s="2" t="str">
        <f>IFERROR(VLOOKUP($B$6&amp;"_"&amp;$A28, Aerosol_BOM!$A:$O, 8, FALSE), "")</f>
        <v/>
      </c>
      <c r="E28" s="18" t="str">
        <f>IFERROR(VLOOKUP($B$6&amp;"_"&amp;$A28, Aerosol_BOM!$A:$O, 13, FALSE) * ($B$7*(1+$D$7)) / 1000, "")</f>
        <v/>
      </c>
      <c r="F28" s="2" t="str">
        <f>IFERROR(VLOOKUP($B$6&amp;"_"&amp;$A28, Aerosol_BOM!$A:$O, 10, FALSE), "")</f>
        <v/>
      </c>
    </row>
    <row r="29" spans="1:6" x14ac:dyDescent="0.25">
      <c r="A29" s="5">
        <v>19</v>
      </c>
      <c r="B29" s="2" t="str">
        <f>IFERROR(VLOOKUP($B$6&amp;"_"&amp;$A29, Aerosol_BOM!$A:$O, 7, FALSE), "")</f>
        <v/>
      </c>
      <c r="C29" s="2" t="str">
        <f>IFERROR(VLOOKUP($B$6&amp;"_"&amp;$A29, Aerosol_BOM!$A:$O, 9, FALSE), "")</f>
        <v/>
      </c>
      <c r="D29" s="2" t="str">
        <f>IFERROR(VLOOKUP($B$6&amp;"_"&amp;$A29, Aerosol_BOM!$A:$O, 8, FALSE), "")</f>
        <v/>
      </c>
      <c r="E29" s="18" t="str">
        <f>IFERROR(VLOOKUP($B$6&amp;"_"&amp;$A29, Aerosol_BOM!$A:$O, 13, FALSE) * ($B$7*(1+$D$7)) / 1000, "")</f>
        <v/>
      </c>
      <c r="F29" s="2" t="str">
        <f>IFERROR(VLOOKUP($B$6&amp;"_"&amp;$A29, Aerosol_BOM!$A:$O, 10, FALSE), "")</f>
        <v/>
      </c>
    </row>
    <row r="30" spans="1:6" x14ac:dyDescent="0.25">
      <c r="A30" s="5">
        <v>20</v>
      </c>
      <c r="B30" s="2" t="str">
        <f>IFERROR(VLOOKUP($B$6&amp;"_"&amp;$A30, Aerosol_BOM!$A:$O, 7, FALSE), "")</f>
        <v/>
      </c>
      <c r="C30" s="2" t="str">
        <f>IFERROR(VLOOKUP($B$6&amp;"_"&amp;$A30, Aerosol_BOM!$A:$O, 9, FALSE), "")</f>
        <v/>
      </c>
      <c r="D30" s="2" t="str">
        <f>IFERROR(VLOOKUP($B$6&amp;"_"&amp;$A30, Aerosol_BOM!$A:$O, 8, FALSE), "")</f>
        <v/>
      </c>
      <c r="E30" s="18" t="str">
        <f>IFERROR(VLOOKUP($B$6&amp;"_"&amp;$A30, Aerosol_BOM!$A:$O, 13, FALSE) * ($B$7*(1+$D$7)) / 1000, "")</f>
        <v/>
      </c>
      <c r="F30" s="2" t="str">
        <f>IFERROR(VLOOKUP($B$6&amp;"_"&amp;$A30, Aerosol_BOM!$A:$O, 10, FALSE), "")</f>
        <v/>
      </c>
    </row>
    <row r="31" spans="1:6" x14ac:dyDescent="0.25">
      <c r="A31" s="5">
        <v>21</v>
      </c>
      <c r="B31" s="2" t="str">
        <f>IFERROR(VLOOKUP($B$6&amp;"_"&amp;$A31, Aerosol_BOM!$A:$O, 7, FALSE), "")</f>
        <v/>
      </c>
      <c r="C31" s="2" t="str">
        <f>IFERROR(VLOOKUP($B$6&amp;"_"&amp;$A31, Aerosol_BOM!$A:$O, 9, FALSE), "")</f>
        <v/>
      </c>
      <c r="D31" s="2" t="str">
        <f>IFERROR(VLOOKUP($B$6&amp;"_"&amp;$A31, Aerosol_BOM!$A:$O, 8, FALSE), "")</f>
        <v/>
      </c>
      <c r="E31" s="18" t="str">
        <f>IFERROR(VLOOKUP($B$6&amp;"_"&amp;$A31, Aerosol_BOM!$A:$O, 13, FALSE) * ($B$7*(1+$D$7)) / 1000, "")</f>
        <v/>
      </c>
      <c r="F31" s="2" t="str">
        <f>IFERROR(VLOOKUP($B$6&amp;"_"&amp;$A31, Aerosol_BOM!$A:$O, 10, FALSE), "")</f>
        <v/>
      </c>
    </row>
    <row r="32" spans="1:6" x14ac:dyDescent="0.25">
      <c r="A32" s="5">
        <v>22</v>
      </c>
      <c r="B32" s="2" t="str">
        <f>IFERROR(VLOOKUP($B$6&amp;"_"&amp;$A32, Aerosol_BOM!$A:$O, 7, FALSE), "")</f>
        <v/>
      </c>
      <c r="C32" s="2" t="str">
        <f>IFERROR(VLOOKUP($B$6&amp;"_"&amp;$A32, Aerosol_BOM!$A:$O, 9, FALSE), "")</f>
        <v/>
      </c>
      <c r="D32" s="2" t="str">
        <f>IFERROR(VLOOKUP($B$6&amp;"_"&amp;$A32, Aerosol_BOM!$A:$O, 8, FALSE), "")</f>
        <v/>
      </c>
      <c r="E32" s="18" t="str">
        <f>IFERROR(VLOOKUP($B$6&amp;"_"&amp;$A32, Aerosol_BOM!$A:$O, 13, FALSE) * ($B$7*(1+$D$7)) / 1000, "")</f>
        <v/>
      </c>
      <c r="F32" s="2" t="str">
        <f>IFERROR(VLOOKUP($B$6&amp;"_"&amp;$A32, Aerosol_BOM!$A:$O, 10, FALSE), "")</f>
        <v/>
      </c>
    </row>
    <row r="33" spans="1:6" x14ac:dyDescent="0.25">
      <c r="A33" s="5">
        <v>23</v>
      </c>
      <c r="B33" s="2" t="str">
        <f>IFERROR(VLOOKUP($B$6&amp;"_"&amp;$A33, Aerosol_BOM!$A:$O, 7, FALSE), "")</f>
        <v/>
      </c>
      <c r="C33" s="2" t="str">
        <f>IFERROR(VLOOKUP($B$6&amp;"_"&amp;$A33, Aerosol_BOM!$A:$O, 9, FALSE), "")</f>
        <v/>
      </c>
      <c r="D33" s="2" t="str">
        <f>IFERROR(VLOOKUP($B$6&amp;"_"&amp;$A33, Aerosol_BOM!$A:$O, 8, FALSE), "")</f>
        <v/>
      </c>
      <c r="E33" s="18" t="str">
        <f>IFERROR(VLOOKUP($B$6&amp;"_"&amp;$A33, Aerosol_BOM!$A:$O, 13, FALSE) * ($B$7*(1+$D$7)) / 1000, "")</f>
        <v/>
      </c>
      <c r="F33" s="2" t="str">
        <f>IFERROR(VLOOKUP($B$6&amp;"_"&amp;$A33, Aerosol_BOM!$A:$O, 10, FALSE), "")</f>
        <v/>
      </c>
    </row>
    <row r="34" spans="1:6" x14ac:dyDescent="0.25">
      <c r="A34" s="5">
        <v>24</v>
      </c>
      <c r="B34" s="2" t="str">
        <f>IFERROR(VLOOKUP($B$6&amp;"_"&amp;$A34, Aerosol_BOM!$A:$O, 7, FALSE), "")</f>
        <v/>
      </c>
      <c r="C34" s="2" t="str">
        <f>IFERROR(VLOOKUP($B$6&amp;"_"&amp;$A34, Aerosol_BOM!$A:$O, 9, FALSE), "")</f>
        <v/>
      </c>
      <c r="D34" s="2" t="str">
        <f>IFERROR(VLOOKUP($B$6&amp;"_"&amp;$A34, Aerosol_BOM!$A:$O, 8, FALSE), "")</f>
        <v/>
      </c>
      <c r="E34" s="18" t="str">
        <f>IFERROR(VLOOKUP($B$6&amp;"_"&amp;$A34, Aerosol_BOM!$A:$O, 13, FALSE) * ($B$7*(1+$D$7)) / 1000, "")</f>
        <v/>
      </c>
      <c r="F34" s="2" t="str">
        <f>IFERROR(VLOOKUP($B$6&amp;"_"&amp;$A34, Aerosol_BOM!$A:$O, 10, FALSE), "")</f>
        <v/>
      </c>
    </row>
    <row r="35" spans="1:6" x14ac:dyDescent="0.25">
      <c r="A35" s="5">
        <v>25</v>
      </c>
      <c r="B35" s="2" t="str">
        <f>IFERROR(VLOOKUP($B$6&amp;"_"&amp;$A35, Aerosol_BOM!$A:$O, 7, FALSE), "")</f>
        <v/>
      </c>
      <c r="C35" s="2" t="str">
        <f>IFERROR(VLOOKUP($B$6&amp;"_"&amp;$A35, Aerosol_BOM!$A:$O, 9, FALSE), "")</f>
        <v/>
      </c>
      <c r="D35" s="2" t="str">
        <f>IFERROR(VLOOKUP($B$6&amp;"_"&amp;$A35, Aerosol_BOM!$A:$O, 8, FALSE), "")</f>
        <v/>
      </c>
      <c r="E35" s="18" t="str">
        <f>IFERROR(VLOOKUP($B$6&amp;"_"&amp;$A35, Aerosol_BOM!$A:$O, 13, FALSE) * ($B$7*(1+$D$7)) / 1000, "")</f>
        <v/>
      </c>
      <c r="F35" s="2" t="str">
        <f>IFERROR(VLOOKUP($B$6&amp;"_"&amp;$A35, Aerosol_BOM!$A:$O, 10, FALSE), "")</f>
        <v/>
      </c>
    </row>
    <row r="37" spans="1:6" x14ac:dyDescent="0.25">
      <c r="A37" s="7" t="s">
        <v>22</v>
      </c>
      <c r="B37" s="8"/>
      <c r="C37" s="8"/>
      <c r="D37" s="8"/>
      <c r="E37" s="8"/>
      <c r="F37" s="8"/>
    </row>
    <row r="38" spans="1:6" x14ac:dyDescent="0.25">
      <c r="A38" s="1" t="s">
        <v>23</v>
      </c>
      <c r="B38" s="2" t="str">
        <f>IFERROR(VLOOKUP($B$6, Products_DB!A:O, 4, FALSE), "")</f>
        <v/>
      </c>
      <c r="C38" s="1" t="s">
        <v>24</v>
      </c>
      <c r="D38" s="2" t="str">
        <f>IFERROR(VLOOKUP($B$6, Products_DB!A:O, 5, FALSE), "")</f>
        <v/>
      </c>
      <c r="E38" s="1" t="s">
        <v>25</v>
      </c>
      <c r="F38" s="2" t="str">
        <f>IFERROR(VLOOKUP($B$6, Products_DB!A:O, 6, FALSE), "")</f>
        <v/>
      </c>
    </row>
    <row r="39" spans="1:6" x14ac:dyDescent="0.25">
      <c r="A39" s="1" t="s">
        <v>26</v>
      </c>
      <c r="B39" s="2" t="str">
        <f>IFERROR(VLOOKUP($B$6, Products_DB!A:O, 7, FALSE), "")</f>
        <v/>
      </c>
      <c r="C39" s="1" t="s">
        <v>27</v>
      </c>
      <c r="D39" s="2" t="str">
        <f>IFERROR(VLOOKUP($B$6, Products_DB!A:O, 8, FALSE), "")</f>
        <v/>
      </c>
      <c r="E39" s="1" t="s">
        <v>28</v>
      </c>
      <c r="F39" s="2" t="str">
        <f>IFERROR(VLOOKUP($B$6, Products_DB!A:O, 9, FALSE), "")</f>
        <v/>
      </c>
    </row>
    <row r="40" spans="1:6" x14ac:dyDescent="0.25">
      <c r="A40" s="1" t="s">
        <v>29</v>
      </c>
      <c r="B40" s="2" t="str">
        <f>IFERROR(VLOOKUP($B$6, Products_DB!A:O, 10, FALSE), "")</f>
        <v/>
      </c>
      <c r="C40" s="1" t="s">
        <v>30</v>
      </c>
      <c r="D40" s="2" t="str">
        <f>IFERROR(VLOOKUP($B$6, Products_DB!A:O, 11, FALSE), "")</f>
        <v/>
      </c>
      <c r="E40" s="1" t="s">
        <v>31</v>
      </c>
      <c r="F40" s="2" t="str">
        <f>IFERROR(VLOOKUP($B$6, Products_DB!A:O, 12, FALSE), "")</f>
        <v/>
      </c>
    </row>
    <row r="41" spans="1:6" x14ac:dyDescent="0.25">
      <c r="A41" s="1" t="s">
        <v>32</v>
      </c>
      <c r="B41" s="2" t="str">
        <f>IFERROR(VLOOKUP($B$6, Products_DB!A:O, 13, FALSE), "")</f>
        <v/>
      </c>
      <c r="C41" s="1" t="s">
        <v>33</v>
      </c>
      <c r="D41" s="2" t="str">
        <f>IFERROR(VLOOKUP($B$6, Products_DB!A:O, 14, FALSE), "")</f>
        <v/>
      </c>
      <c r="E41" s="1" t="s">
        <v>14</v>
      </c>
      <c r="F41" s="2">
        <f>F7</f>
        <v>0</v>
      </c>
    </row>
    <row r="43" spans="1:6" x14ac:dyDescent="0.25">
      <c r="A43" s="7" t="s">
        <v>34</v>
      </c>
      <c r="B43" s="8"/>
      <c r="C43" s="8"/>
      <c r="D43" s="8"/>
      <c r="E43" s="8"/>
      <c r="F43" s="8"/>
    </row>
    <row r="44" spans="1:6" x14ac:dyDescent="0.25">
      <c r="A44" s="15" t="s">
        <v>35</v>
      </c>
      <c r="B44" s="16"/>
      <c r="C44" s="15" t="s">
        <v>36</v>
      </c>
      <c r="D44" s="16"/>
      <c r="E44" s="15" t="s">
        <v>37</v>
      </c>
      <c r="F44" s="16"/>
    </row>
    <row r="45" spans="1:6" x14ac:dyDescent="0.25">
      <c r="A45" s="9"/>
      <c r="B45" s="10"/>
      <c r="C45" s="9"/>
      <c r="D45" s="10"/>
      <c r="E45" s="9"/>
      <c r="F45" s="10"/>
    </row>
    <row r="46" spans="1:6" x14ac:dyDescent="0.25">
      <c r="A46" s="11"/>
      <c r="B46" s="12"/>
      <c r="C46" s="11"/>
      <c r="D46" s="12"/>
      <c r="E46" s="11"/>
      <c r="F46" s="12"/>
    </row>
    <row r="47" spans="1:6" x14ac:dyDescent="0.25">
      <c r="A47" s="13"/>
      <c r="B47" s="14"/>
      <c r="C47" s="13"/>
      <c r="D47" s="14"/>
      <c r="E47" s="13"/>
      <c r="F47" s="14"/>
    </row>
  </sheetData>
  <mergeCells count="11">
    <mergeCell ref="A37:F37"/>
    <mergeCell ref="A9:F9"/>
    <mergeCell ref="B1:D2"/>
    <mergeCell ref="A45:B47"/>
    <mergeCell ref="A43:F43"/>
    <mergeCell ref="C45:D47"/>
    <mergeCell ref="A4:F4"/>
    <mergeCell ref="E45:F47"/>
    <mergeCell ref="A44:B44"/>
    <mergeCell ref="E44:F44"/>
    <mergeCell ref="C44:D44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Products_DB!$A$2:$A$100</xm:f>
          </x14:formula1>
          <xm:sqref>B6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workbookViewId="0"/>
  </sheetViews>
  <sheetFormatPr defaultRowHeight="15" x14ac:dyDescent="0.25"/>
  <sheetData>
    <row r="1" spans="1:15" x14ac:dyDescent="0.25">
      <c r="A1" s="6" t="s">
        <v>38</v>
      </c>
      <c r="B1" s="6" t="s">
        <v>39</v>
      </c>
      <c r="C1" s="6" t="s">
        <v>40</v>
      </c>
      <c r="D1" s="6" t="s">
        <v>7</v>
      </c>
      <c r="E1" s="6" t="s">
        <v>8</v>
      </c>
      <c r="F1" s="6" t="s">
        <v>41</v>
      </c>
      <c r="G1" s="6" t="s">
        <v>42</v>
      </c>
      <c r="H1" s="6" t="s">
        <v>43</v>
      </c>
      <c r="I1" s="6" t="s">
        <v>18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</row>
    <row r="2" spans="1:15" x14ac:dyDescent="0.25">
      <c r="A2" t="str">
        <f>$E$2&amp;"_"&amp;COUNTIF($E$2:$E$2, $E$2)</f>
        <v>Aerosol Can 45mm_1</v>
      </c>
      <c r="B2">
        <v>9001</v>
      </c>
      <c r="C2">
        <v>100</v>
      </c>
      <c r="D2" t="s">
        <v>50</v>
      </c>
      <c r="E2" t="s">
        <v>51</v>
      </c>
      <c r="F2">
        <v>45</v>
      </c>
      <c r="G2" t="s">
        <v>52</v>
      </c>
      <c r="H2">
        <v>501</v>
      </c>
      <c r="I2" t="s">
        <v>53</v>
      </c>
      <c r="J2" t="s">
        <v>54</v>
      </c>
      <c r="K2">
        <v>20</v>
      </c>
      <c r="L2">
        <v>0.1</v>
      </c>
      <c r="M2">
        <v>22.222222222222221</v>
      </c>
      <c r="O2" t="s">
        <v>55</v>
      </c>
    </row>
    <row r="3" spans="1:15" x14ac:dyDescent="0.25">
      <c r="A3" t="str">
        <f>$E$3&amp;"_"&amp;COUNTIF($E$2:$E$3, $E$3)</f>
        <v>Aerosol Can 45mm_2</v>
      </c>
      <c r="B3">
        <v>9001</v>
      </c>
      <c r="C3">
        <v>100</v>
      </c>
      <c r="D3" t="s">
        <v>50</v>
      </c>
      <c r="E3" t="s">
        <v>51</v>
      </c>
      <c r="F3">
        <v>45</v>
      </c>
      <c r="G3" t="s">
        <v>56</v>
      </c>
      <c r="H3">
        <v>502</v>
      </c>
      <c r="I3" t="s">
        <v>57</v>
      </c>
      <c r="J3" t="s">
        <v>54</v>
      </c>
      <c r="K3">
        <v>2.1000000000000001E-2</v>
      </c>
      <c r="L3">
        <v>0.1</v>
      </c>
      <c r="M3">
        <v>2.3333333333333331E-2</v>
      </c>
      <c r="N3" t="s">
        <v>58</v>
      </c>
      <c r="O3" t="s">
        <v>58</v>
      </c>
    </row>
    <row r="4" spans="1:15" x14ac:dyDescent="0.25">
      <c r="A4" t="str">
        <f>$E$4&amp;"_"&amp;COUNTIF($E$2:$E$4, $E$4)</f>
        <v>Aerosol Can 45mm_3</v>
      </c>
      <c r="B4">
        <v>9001</v>
      </c>
      <c r="C4">
        <v>100</v>
      </c>
      <c r="D4" t="s">
        <v>50</v>
      </c>
      <c r="E4" t="s">
        <v>51</v>
      </c>
      <c r="F4">
        <v>45</v>
      </c>
      <c r="G4" t="s">
        <v>59</v>
      </c>
      <c r="H4">
        <v>503</v>
      </c>
      <c r="I4" t="s">
        <v>60</v>
      </c>
      <c r="J4" t="s">
        <v>54</v>
      </c>
      <c r="K4">
        <v>5</v>
      </c>
      <c r="L4">
        <v>0.1</v>
      </c>
      <c r="M4">
        <v>5.5555555555555554</v>
      </c>
      <c r="N4" t="s">
        <v>61</v>
      </c>
      <c r="O4" t="s">
        <v>61</v>
      </c>
    </row>
    <row r="5" spans="1:15" x14ac:dyDescent="0.25">
      <c r="A5" t="str">
        <f>$E$5&amp;"_"&amp;COUNTIF($E$2:$E$5, $E$5)</f>
        <v>Aerosol Can 45mm_4</v>
      </c>
      <c r="B5">
        <v>9001</v>
      </c>
      <c r="C5">
        <v>100</v>
      </c>
      <c r="D5" t="s">
        <v>50</v>
      </c>
      <c r="E5" t="s">
        <v>51</v>
      </c>
      <c r="F5">
        <v>45</v>
      </c>
      <c r="G5" t="s">
        <v>62</v>
      </c>
      <c r="H5">
        <v>504</v>
      </c>
      <c r="I5" t="s">
        <v>63</v>
      </c>
      <c r="J5" t="s">
        <v>54</v>
      </c>
      <c r="K5">
        <v>1.0449999999999999</v>
      </c>
      <c r="L5">
        <v>0.1</v>
      </c>
      <c r="M5">
        <v>1.161111111111111</v>
      </c>
      <c r="N5" t="s">
        <v>64</v>
      </c>
      <c r="O5" t="s">
        <v>64</v>
      </c>
    </row>
    <row r="6" spans="1:15" x14ac:dyDescent="0.25">
      <c r="A6" t="str">
        <f>$E$6&amp;"_"&amp;COUNTIF($E$2:$E$6, $E$6)</f>
        <v>Aerosol Can 45mm_5</v>
      </c>
      <c r="B6">
        <v>9001</v>
      </c>
      <c r="C6">
        <v>100</v>
      </c>
      <c r="D6" t="s">
        <v>50</v>
      </c>
      <c r="E6" t="s">
        <v>51</v>
      </c>
      <c r="F6">
        <v>45</v>
      </c>
      <c r="G6" t="s">
        <v>62</v>
      </c>
      <c r="H6">
        <v>505</v>
      </c>
      <c r="I6" t="s">
        <v>65</v>
      </c>
      <c r="J6" t="s">
        <v>54</v>
      </c>
      <c r="K6">
        <v>1.1399999999999999</v>
      </c>
      <c r="L6">
        <v>0.1</v>
      </c>
      <c r="M6">
        <v>1.2666666666666671</v>
      </c>
      <c r="N6" t="s">
        <v>66</v>
      </c>
      <c r="O6" t="s">
        <v>66</v>
      </c>
    </row>
    <row r="7" spans="1:15" x14ac:dyDescent="0.25">
      <c r="A7" t="str">
        <f>$E$7&amp;"_"&amp;COUNTIF($E$2:$E$7, $E$7)</f>
        <v>Aerosol Can 45mm_6</v>
      </c>
      <c r="B7">
        <v>9001</v>
      </c>
      <c r="C7">
        <v>100</v>
      </c>
      <c r="D7" t="s">
        <v>50</v>
      </c>
      <c r="E7" t="s">
        <v>51</v>
      </c>
      <c r="F7">
        <v>45</v>
      </c>
      <c r="G7" t="s">
        <v>67</v>
      </c>
      <c r="H7">
        <v>506</v>
      </c>
      <c r="I7" t="s">
        <v>68</v>
      </c>
      <c r="J7" t="s">
        <v>54</v>
      </c>
      <c r="K7">
        <v>0.97299999999999998</v>
      </c>
      <c r="L7">
        <v>0.1</v>
      </c>
      <c r="M7">
        <v>1.0811111111111109</v>
      </c>
      <c r="N7" t="s">
        <v>69</v>
      </c>
      <c r="O7" t="s">
        <v>69</v>
      </c>
    </row>
    <row r="8" spans="1:15" x14ac:dyDescent="0.25">
      <c r="A8" t="str">
        <f>$E$8&amp;"_"&amp;COUNTIF($E$2:$E$8, $E$8)</f>
        <v>Aerosol Can 45mm_7</v>
      </c>
      <c r="B8">
        <v>9001</v>
      </c>
      <c r="C8">
        <v>100</v>
      </c>
      <c r="D8" t="s">
        <v>50</v>
      </c>
      <c r="E8" t="s">
        <v>51</v>
      </c>
      <c r="F8">
        <v>45</v>
      </c>
      <c r="G8" t="s">
        <v>67</v>
      </c>
      <c r="H8">
        <v>507</v>
      </c>
      <c r="I8" t="s">
        <v>70</v>
      </c>
      <c r="J8" t="s">
        <v>54</v>
      </c>
      <c r="K8">
        <v>0.70099999999999996</v>
      </c>
      <c r="L8">
        <v>0.1</v>
      </c>
      <c r="M8">
        <v>0.77888888888888885</v>
      </c>
      <c r="N8" t="s">
        <v>71</v>
      </c>
      <c r="O8" t="s">
        <v>71</v>
      </c>
    </row>
    <row r="9" spans="1:15" x14ac:dyDescent="0.25">
      <c r="A9" t="str">
        <f>$E$9&amp;"_"&amp;COUNTIF($E$2:$E$9, $E$9)</f>
        <v>Aerosol Can 45mm_8</v>
      </c>
      <c r="B9">
        <v>9001</v>
      </c>
      <c r="C9">
        <v>100</v>
      </c>
      <c r="D9" t="s">
        <v>50</v>
      </c>
      <c r="E9" t="s">
        <v>51</v>
      </c>
      <c r="F9">
        <v>45</v>
      </c>
      <c r="G9" t="s">
        <v>72</v>
      </c>
      <c r="H9">
        <v>508</v>
      </c>
      <c r="I9" t="s">
        <v>73</v>
      </c>
      <c r="J9" t="s">
        <v>54</v>
      </c>
      <c r="K9">
        <v>0.43</v>
      </c>
      <c r="L9">
        <v>0.1</v>
      </c>
      <c r="M9">
        <v>0.47777777777777769</v>
      </c>
      <c r="N9" t="s">
        <v>74</v>
      </c>
      <c r="O9" t="s">
        <v>74</v>
      </c>
    </row>
    <row r="10" spans="1:15" x14ac:dyDescent="0.25">
      <c r="A10" t="str">
        <f>$E$10&amp;"_"&amp;COUNTIF($E$2:$E$10, $E$10)</f>
        <v>Aerosol Can 45mm_9</v>
      </c>
      <c r="B10">
        <v>9001</v>
      </c>
      <c r="C10">
        <v>100</v>
      </c>
      <c r="D10" t="s">
        <v>50</v>
      </c>
      <c r="E10" t="s">
        <v>51</v>
      </c>
      <c r="F10">
        <v>45</v>
      </c>
      <c r="G10" t="s">
        <v>72</v>
      </c>
      <c r="H10">
        <v>509</v>
      </c>
      <c r="I10" t="s">
        <v>75</v>
      </c>
      <c r="J10" t="s">
        <v>54</v>
      </c>
      <c r="K10">
        <v>0.38500000000000001</v>
      </c>
      <c r="L10">
        <v>0.1</v>
      </c>
      <c r="M10">
        <v>0.42777777777777781</v>
      </c>
      <c r="N10" t="s">
        <v>76</v>
      </c>
      <c r="O10" t="s">
        <v>76</v>
      </c>
    </row>
    <row r="11" spans="1:15" x14ac:dyDescent="0.25">
      <c r="A11" t="str">
        <f>$E$11&amp;"_"&amp;COUNTIF($E$2:$E$11, $E$11)</f>
        <v>Aerosol Can 45mm_10</v>
      </c>
      <c r="B11">
        <v>9001</v>
      </c>
      <c r="C11">
        <v>100</v>
      </c>
      <c r="D11" t="s">
        <v>50</v>
      </c>
      <c r="E11" t="s">
        <v>51</v>
      </c>
      <c r="F11">
        <v>45</v>
      </c>
      <c r="G11" t="s">
        <v>77</v>
      </c>
      <c r="H11">
        <v>510</v>
      </c>
      <c r="I11" t="s">
        <v>78</v>
      </c>
      <c r="J11" t="s">
        <v>54</v>
      </c>
      <c r="K11">
        <v>0.28000000000000003</v>
      </c>
      <c r="L11">
        <v>0.1</v>
      </c>
      <c r="M11">
        <v>0.31111111111111112</v>
      </c>
      <c r="N11" t="s">
        <v>79</v>
      </c>
      <c r="O11" t="s">
        <v>80</v>
      </c>
    </row>
    <row r="12" spans="1:15" x14ac:dyDescent="0.25">
      <c r="A12" t="str">
        <f>$E$12&amp;"_"&amp;COUNTIF($E$2:$E$12, $E$12)</f>
        <v>Aerosol Can 45mm_11</v>
      </c>
      <c r="B12">
        <v>9001</v>
      </c>
      <c r="C12">
        <v>100</v>
      </c>
      <c r="D12" t="s">
        <v>50</v>
      </c>
      <c r="E12" t="s">
        <v>51</v>
      </c>
      <c r="F12">
        <v>45</v>
      </c>
      <c r="G12" t="s">
        <v>77</v>
      </c>
      <c r="H12">
        <v>599</v>
      </c>
      <c r="I12" t="s">
        <v>81</v>
      </c>
      <c r="J12" t="s">
        <v>54</v>
      </c>
      <c r="K12">
        <v>0.28000000000000003</v>
      </c>
      <c r="L12">
        <v>0.1</v>
      </c>
      <c r="M12">
        <v>0.31111111111111112</v>
      </c>
      <c r="N12" t="s">
        <v>79</v>
      </c>
      <c r="O12" t="s">
        <v>80</v>
      </c>
    </row>
    <row r="13" spans="1:15" x14ac:dyDescent="0.25">
      <c r="A13" t="str">
        <f>$E$13&amp;"_"&amp;COUNTIF($E$2:$E$13, $E$13)</f>
        <v>Aerosol Can 45mm_12</v>
      </c>
      <c r="B13">
        <v>9001</v>
      </c>
      <c r="C13">
        <v>100</v>
      </c>
      <c r="D13" t="s">
        <v>50</v>
      </c>
      <c r="E13" t="s">
        <v>51</v>
      </c>
      <c r="F13">
        <v>45</v>
      </c>
      <c r="G13" t="s">
        <v>77</v>
      </c>
      <c r="H13">
        <v>600</v>
      </c>
      <c r="I13" t="s">
        <v>82</v>
      </c>
      <c r="J13" t="s">
        <v>54</v>
      </c>
      <c r="K13">
        <v>0.28000000000000003</v>
      </c>
      <c r="L13">
        <v>0.1</v>
      </c>
      <c r="M13">
        <v>0.31111111111111112</v>
      </c>
      <c r="N13" t="s">
        <v>79</v>
      </c>
      <c r="O13" t="s">
        <v>80</v>
      </c>
    </row>
    <row r="14" spans="1:15" x14ac:dyDescent="0.25">
      <c r="A14" t="str">
        <f>$E$14&amp;"_"&amp;COUNTIF($E$2:$E$14, $E$14)</f>
        <v>Aerosol Can 45mm_13</v>
      </c>
      <c r="B14">
        <v>9001</v>
      </c>
      <c r="C14">
        <v>100</v>
      </c>
      <c r="D14" t="s">
        <v>50</v>
      </c>
      <c r="E14" t="s">
        <v>51</v>
      </c>
      <c r="F14">
        <v>45</v>
      </c>
      <c r="G14" t="s">
        <v>77</v>
      </c>
      <c r="H14">
        <v>601</v>
      </c>
      <c r="I14" t="s">
        <v>83</v>
      </c>
      <c r="J14" t="s">
        <v>54</v>
      </c>
      <c r="K14">
        <v>0.28000000000000003</v>
      </c>
      <c r="L14">
        <v>0.1</v>
      </c>
      <c r="M14">
        <v>0.31111111111111112</v>
      </c>
      <c r="N14" t="s">
        <v>79</v>
      </c>
      <c r="O14" t="s">
        <v>80</v>
      </c>
    </row>
    <row r="15" spans="1:15" x14ac:dyDescent="0.25">
      <c r="A15" t="str">
        <f>$E$15&amp;"_"&amp;COUNTIF($E$2:$E$15, $E$15)</f>
        <v>Aerosol Can 45mm_14</v>
      </c>
      <c r="B15">
        <v>9001</v>
      </c>
      <c r="C15">
        <v>100</v>
      </c>
      <c r="D15" t="s">
        <v>50</v>
      </c>
      <c r="E15" t="s">
        <v>51</v>
      </c>
      <c r="F15">
        <v>45</v>
      </c>
      <c r="G15" t="s">
        <v>77</v>
      </c>
      <c r="H15">
        <v>602</v>
      </c>
      <c r="I15" t="s">
        <v>84</v>
      </c>
      <c r="J15" t="s">
        <v>54</v>
      </c>
      <c r="K15">
        <v>0.28000000000000003</v>
      </c>
      <c r="L15">
        <v>0.1</v>
      </c>
      <c r="M15">
        <v>0.31111111111111112</v>
      </c>
      <c r="N15" t="s">
        <v>79</v>
      </c>
      <c r="O15" t="s">
        <v>80</v>
      </c>
    </row>
    <row r="16" spans="1:15" x14ac:dyDescent="0.25">
      <c r="A16" t="str">
        <f>$E$16&amp;"_"&amp;COUNTIF($E$2:$E$16, $E$16)</f>
        <v>Aerosol Can 45mm_15</v>
      </c>
      <c r="B16">
        <v>9001</v>
      </c>
      <c r="C16">
        <v>100</v>
      </c>
      <c r="D16" t="s">
        <v>50</v>
      </c>
      <c r="E16" t="s">
        <v>51</v>
      </c>
      <c r="F16">
        <v>45</v>
      </c>
      <c r="G16" t="s">
        <v>77</v>
      </c>
      <c r="H16">
        <v>603</v>
      </c>
      <c r="I16" t="s">
        <v>85</v>
      </c>
      <c r="J16" t="s">
        <v>54</v>
      </c>
      <c r="K16">
        <v>0.28000000000000003</v>
      </c>
      <c r="L16">
        <v>0.1</v>
      </c>
      <c r="M16">
        <v>0.31111111111111112</v>
      </c>
      <c r="N16" t="s">
        <v>79</v>
      </c>
      <c r="O16" t="s">
        <v>80</v>
      </c>
    </row>
    <row r="17" spans="1:15" x14ac:dyDescent="0.25">
      <c r="A17" t="str">
        <f>$E$17&amp;"_"&amp;COUNTIF($E$2:$E$17, $E$17)</f>
        <v>Aerosol Can 45mm_16</v>
      </c>
      <c r="B17">
        <v>9001</v>
      </c>
      <c r="C17">
        <v>100</v>
      </c>
      <c r="D17" t="s">
        <v>50</v>
      </c>
      <c r="E17" t="s">
        <v>51</v>
      </c>
      <c r="F17">
        <v>45</v>
      </c>
      <c r="G17" t="s">
        <v>77</v>
      </c>
      <c r="H17">
        <v>604</v>
      </c>
      <c r="I17" t="s">
        <v>86</v>
      </c>
      <c r="J17" t="s">
        <v>54</v>
      </c>
      <c r="K17">
        <v>0.28000000000000003</v>
      </c>
      <c r="L17">
        <v>0.1</v>
      </c>
      <c r="M17">
        <v>0.31111111111111112</v>
      </c>
      <c r="N17" t="s">
        <v>79</v>
      </c>
      <c r="O17" t="s">
        <v>80</v>
      </c>
    </row>
    <row r="18" spans="1:15" x14ac:dyDescent="0.25">
      <c r="A18" t="str">
        <f>$E$18&amp;"_"&amp;COUNTIF($E$2:$E$18, $E$18)</f>
        <v>Aerosol Can 45mm_17</v>
      </c>
      <c r="B18">
        <v>9001</v>
      </c>
      <c r="C18">
        <v>100</v>
      </c>
      <c r="D18" t="s">
        <v>50</v>
      </c>
      <c r="E18" t="s">
        <v>51</v>
      </c>
      <c r="F18">
        <v>45</v>
      </c>
      <c r="G18" t="s">
        <v>77</v>
      </c>
      <c r="H18">
        <v>605</v>
      </c>
      <c r="I18" t="s">
        <v>87</v>
      </c>
      <c r="J18" t="s">
        <v>54</v>
      </c>
      <c r="K18">
        <v>0.28000000000000003</v>
      </c>
      <c r="L18">
        <v>0.1</v>
      </c>
      <c r="M18">
        <v>0.31111111111111112</v>
      </c>
      <c r="N18" t="s">
        <v>79</v>
      </c>
      <c r="O18" t="s">
        <v>80</v>
      </c>
    </row>
    <row r="19" spans="1:15" x14ac:dyDescent="0.25">
      <c r="A19" t="str">
        <f>$E$19&amp;"_"&amp;COUNTIF($E$2:$E$19, $E$19)</f>
        <v>Aerosol Can 45mm_18</v>
      </c>
      <c r="B19">
        <v>9001</v>
      </c>
      <c r="C19">
        <v>100</v>
      </c>
      <c r="D19" t="s">
        <v>50</v>
      </c>
      <c r="E19" t="s">
        <v>51</v>
      </c>
      <c r="F19">
        <v>45</v>
      </c>
      <c r="G19" t="s">
        <v>77</v>
      </c>
      <c r="H19">
        <v>606</v>
      </c>
      <c r="I19" t="s">
        <v>88</v>
      </c>
      <c r="J19" t="s">
        <v>54</v>
      </c>
      <c r="K19">
        <v>0.28000000000000003</v>
      </c>
      <c r="L19">
        <v>0.1</v>
      </c>
      <c r="M19">
        <v>0.31111111111111112</v>
      </c>
      <c r="N19" t="s">
        <v>79</v>
      </c>
      <c r="O19" t="s">
        <v>80</v>
      </c>
    </row>
    <row r="20" spans="1:15" x14ac:dyDescent="0.25">
      <c r="A20" t="str">
        <f>$E$20&amp;"_"&amp;COUNTIF($E$2:$E$20, $E$20)</f>
        <v>Aerosol Can 45mm_19</v>
      </c>
      <c r="B20">
        <v>9001</v>
      </c>
      <c r="C20">
        <v>100</v>
      </c>
      <c r="D20" t="s">
        <v>50</v>
      </c>
      <c r="E20" t="s">
        <v>51</v>
      </c>
      <c r="F20">
        <v>45</v>
      </c>
      <c r="G20" t="s">
        <v>77</v>
      </c>
      <c r="H20">
        <v>607</v>
      </c>
      <c r="I20" t="s">
        <v>89</v>
      </c>
      <c r="J20" t="s">
        <v>54</v>
      </c>
      <c r="K20">
        <v>0.28000000000000003</v>
      </c>
      <c r="L20">
        <v>0.1</v>
      </c>
      <c r="M20">
        <v>0.31111111111111112</v>
      </c>
      <c r="N20" t="s">
        <v>79</v>
      </c>
      <c r="O20" t="s">
        <v>80</v>
      </c>
    </row>
    <row r="21" spans="1:15" x14ac:dyDescent="0.25">
      <c r="A21" t="str">
        <f>$E$21&amp;"_"&amp;COUNTIF($E$2:$E$21, $E$21)</f>
        <v>Aerosol Can 45mm_20</v>
      </c>
      <c r="B21">
        <v>9001</v>
      </c>
      <c r="C21">
        <v>100</v>
      </c>
      <c r="D21" t="s">
        <v>50</v>
      </c>
      <c r="E21" t="s">
        <v>51</v>
      </c>
      <c r="F21">
        <v>45</v>
      </c>
      <c r="G21" t="s">
        <v>77</v>
      </c>
      <c r="H21">
        <v>608</v>
      </c>
      <c r="I21" t="s">
        <v>90</v>
      </c>
      <c r="J21" t="s">
        <v>54</v>
      </c>
      <c r="K21">
        <v>0.28000000000000003</v>
      </c>
      <c r="L21">
        <v>0.1</v>
      </c>
      <c r="M21">
        <v>0.31111111111111112</v>
      </c>
      <c r="N21" t="s">
        <v>79</v>
      </c>
      <c r="O21" t="s">
        <v>80</v>
      </c>
    </row>
    <row r="22" spans="1:15" x14ac:dyDescent="0.25">
      <c r="A22" t="str">
        <f>$E$22&amp;"_"&amp;COUNTIF($E$2:$E$22, $E$22)</f>
        <v>Aerosol Can 45mm_21</v>
      </c>
      <c r="B22">
        <v>9001</v>
      </c>
      <c r="C22">
        <v>100</v>
      </c>
      <c r="D22" t="s">
        <v>50</v>
      </c>
      <c r="E22" t="s">
        <v>51</v>
      </c>
      <c r="F22">
        <v>45</v>
      </c>
      <c r="G22" t="s">
        <v>77</v>
      </c>
      <c r="H22">
        <v>609</v>
      </c>
      <c r="I22" t="s">
        <v>91</v>
      </c>
      <c r="J22" t="s">
        <v>54</v>
      </c>
      <c r="K22">
        <v>0.28000000000000003</v>
      </c>
      <c r="L22">
        <v>0.1</v>
      </c>
      <c r="M22">
        <v>0.31111111111111112</v>
      </c>
      <c r="N22" t="s">
        <v>79</v>
      </c>
      <c r="O22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workbookViewId="0"/>
  </sheetViews>
  <sheetFormatPr defaultRowHeight="15" x14ac:dyDescent="0.25"/>
  <sheetData>
    <row r="1" spans="1:14" x14ac:dyDescent="0.25">
      <c r="A1" s="6" t="s">
        <v>8</v>
      </c>
      <c r="B1" s="6" t="s">
        <v>9</v>
      </c>
      <c r="C1" s="6" t="s">
        <v>7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</row>
    <row r="2" spans="1:14" x14ac:dyDescent="0.25">
      <c r="A2" t="s">
        <v>51</v>
      </c>
      <c r="B2">
        <v>9001</v>
      </c>
      <c r="C2" t="s">
        <v>50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 Card</vt:lpstr>
      <vt:lpstr>Aerosol_BOM</vt:lpstr>
      <vt:lpstr>Products_DB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Sikander Shahjahan</cp:lastModifiedBy>
  <dcterms:created xsi:type="dcterms:W3CDTF">2026-07-08T09:36:51Z</dcterms:created>
  <dcterms:modified xsi:type="dcterms:W3CDTF">2026-07-08T09:43:01Z</dcterms:modified>
</cp:coreProperties>
</file>