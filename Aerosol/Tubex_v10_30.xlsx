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lpha\"/>
    </mc:Choice>
  </mc:AlternateContent>
  <xr:revisionPtr revIDLastSave="0" documentId="13_ncr:1_{0DA786E5-4544-4FC3-BB58-50D5FF9FFF01}" xr6:coauthVersionLast="47" xr6:coauthVersionMax="47" xr10:uidLastSave="{00000000-0000-0000-0000-000000000000}"/>
  <bookViews>
    <workbookView xWindow="-120" yWindow="-120" windowWidth="20730" windowHeight="11040" tabRatio="500" firstSheet="2" activeTab="5" xr2:uid="{00000000-000D-0000-FFFF-FFFF00000000}"/>
  </bookViews>
  <sheets>
    <sheet name="Tubex_Dashboard" sheetId="1" r:id="rId1"/>
    <sheet name="MRP" sheetId="2" r:id="rId2"/>
    <sheet name="Production_Log" sheetId="3" r:id="rId3"/>
    <sheet name="BOM" sheetId="4" r:id="rId4"/>
    <sheet name="Inventory" sheetId="5" r:id="rId5"/>
    <sheet name="Product_Catalog" sheetId="6" r:id="rId6"/>
    <sheet name="BOM Issues" sheetId="7" r:id="rId7"/>
    <sheet name="FG Stock" sheetId="8" r:id="rId8"/>
    <sheet name="Notes &amp; Guide" sheetId="9" r:id="rId9"/>
  </sheets>
  <definedNames>
    <definedName name="_xlnm._FilterDatabase" localSheetId="6" hidden="1">'BOM Issues'!$A$52:$J$64</definedName>
    <definedName name="_xlnm._FilterDatabase" localSheetId="1" hidden="1">MRP!$A$11:$I$93</definedName>
    <definedName name="_xlnm._FilterDatabase" localSheetId="5" hidden="1">Product_Catalog!$A$2:$S$54</definedName>
    <definedName name="_xlnm._FilterDatabase" localSheetId="2" hidden="1">Production_Log!$A$2:$R$8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8" l="1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P54" i="6"/>
  <c r="O54" i="6"/>
  <c r="N54" i="6"/>
  <c r="M54" i="6"/>
  <c r="L54" i="6"/>
  <c r="K54" i="6"/>
  <c r="J54" i="6"/>
  <c r="P53" i="6"/>
  <c r="O53" i="6"/>
  <c r="N53" i="6"/>
  <c r="M53" i="6"/>
  <c r="L53" i="6"/>
  <c r="K53" i="6"/>
  <c r="J53" i="6"/>
  <c r="P52" i="6"/>
  <c r="O52" i="6"/>
  <c r="N52" i="6"/>
  <c r="M52" i="6"/>
  <c r="L52" i="6"/>
  <c r="K52" i="6"/>
  <c r="J52" i="6"/>
  <c r="P51" i="6"/>
  <c r="O51" i="6"/>
  <c r="N51" i="6"/>
  <c r="M51" i="6"/>
  <c r="L51" i="6"/>
  <c r="K51" i="6"/>
  <c r="J51" i="6"/>
  <c r="P50" i="6"/>
  <c r="O50" i="6"/>
  <c r="N50" i="6"/>
  <c r="M50" i="6"/>
  <c r="L50" i="6"/>
  <c r="K50" i="6"/>
  <c r="J50" i="6"/>
  <c r="P49" i="6"/>
  <c r="O49" i="6"/>
  <c r="N49" i="6"/>
  <c r="M49" i="6"/>
  <c r="L49" i="6"/>
  <c r="K49" i="6"/>
  <c r="J49" i="6"/>
  <c r="P48" i="6"/>
  <c r="O48" i="6"/>
  <c r="N48" i="6"/>
  <c r="M48" i="6"/>
  <c r="L48" i="6"/>
  <c r="K48" i="6"/>
  <c r="J48" i="6"/>
  <c r="P47" i="6"/>
  <c r="O47" i="6"/>
  <c r="N47" i="6"/>
  <c r="M47" i="6"/>
  <c r="L47" i="6"/>
  <c r="K47" i="6"/>
  <c r="J47" i="6"/>
  <c r="P46" i="6"/>
  <c r="O46" i="6"/>
  <c r="N46" i="6"/>
  <c r="M46" i="6"/>
  <c r="L46" i="6"/>
  <c r="K46" i="6"/>
  <c r="J46" i="6"/>
  <c r="P45" i="6"/>
  <c r="O45" i="6"/>
  <c r="N45" i="6"/>
  <c r="M45" i="6"/>
  <c r="L45" i="6"/>
  <c r="K45" i="6"/>
  <c r="J45" i="6"/>
  <c r="P44" i="6"/>
  <c r="O44" i="6"/>
  <c r="N44" i="6"/>
  <c r="M44" i="6"/>
  <c r="L44" i="6"/>
  <c r="K44" i="6"/>
  <c r="J44" i="6"/>
  <c r="P42" i="6"/>
  <c r="O42" i="6"/>
  <c r="N42" i="6"/>
  <c r="M42" i="6"/>
  <c r="L42" i="6"/>
  <c r="K42" i="6"/>
  <c r="J42" i="6"/>
  <c r="P41" i="6"/>
  <c r="O41" i="6"/>
  <c r="N41" i="6"/>
  <c r="M41" i="6"/>
  <c r="L41" i="6"/>
  <c r="K41" i="6"/>
  <c r="J41" i="6"/>
  <c r="P40" i="6"/>
  <c r="O40" i="6"/>
  <c r="N40" i="6"/>
  <c r="M40" i="6"/>
  <c r="L40" i="6"/>
  <c r="K40" i="6"/>
  <c r="J40" i="6"/>
  <c r="P39" i="6"/>
  <c r="O39" i="6"/>
  <c r="N39" i="6"/>
  <c r="M39" i="6"/>
  <c r="L39" i="6"/>
  <c r="K39" i="6"/>
  <c r="J39" i="6"/>
  <c r="P38" i="6"/>
  <c r="O38" i="6"/>
  <c r="N38" i="6"/>
  <c r="M38" i="6"/>
  <c r="L38" i="6"/>
  <c r="K38" i="6"/>
  <c r="J38" i="6"/>
  <c r="P37" i="6"/>
  <c r="O37" i="6"/>
  <c r="N37" i="6"/>
  <c r="M37" i="6"/>
  <c r="L37" i="6"/>
  <c r="K37" i="6"/>
  <c r="J37" i="6"/>
  <c r="P36" i="6"/>
  <c r="O36" i="6"/>
  <c r="N36" i="6"/>
  <c r="M36" i="6"/>
  <c r="L36" i="6"/>
  <c r="K36" i="6"/>
  <c r="J36" i="6"/>
  <c r="P35" i="6"/>
  <c r="O35" i="6"/>
  <c r="N35" i="6"/>
  <c r="M35" i="6"/>
  <c r="L35" i="6"/>
  <c r="K35" i="6"/>
  <c r="J35" i="6"/>
  <c r="P34" i="6"/>
  <c r="O34" i="6"/>
  <c r="N34" i="6"/>
  <c r="M34" i="6"/>
  <c r="L34" i="6"/>
  <c r="K34" i="6"/>
  <c r="J34" i="6"/>
  <c r="P33" i="6"/>
  <c r="O33" i="6"/>
  <c r="N33" i="6"/>
  <c r="M33" i="6"/>
  <c r="L33" i="6"/>
  <c r="K33" i="6"/>
  <c r="J33" i="6"/>
  <c r="P32" i="6"/>
  <c r="O32" i="6"/>
  <c r="N32" i="6"/>
  <c r="M32" i="6"/>
  <c r="L32" i="6"/>
  <c r="K32" i="6"/>
  <c r="J32" i="6"/>
  <c r="P31" i="6"/>
  <c r="O31" i="6"/>
  <c r="N31" i="6"/>
  <c r="M31" i="6"/>
  <c r="L31" i="6"/>
  <c r="K31" i="6"/>
  <c r="J31" i="6"/>
  <c r="P30" i="6"/>
  <c r="O30" i="6"/>
  <c r="N30" i="6"/>
  <c r="M30" i="6"/>
  <c r="L30" i="6"/>
  <c r="K30" i="6"/>
  <c r="J30" i="6"/>
  <c r="P29" i="6"/>
  <c r="O29" i="6"/>
  <c r="N29" i="6"/>
  <c r="M29" i="6"/>
  <c r="L29" i="6"/>
  <c r="K29" i="6"/>
  <c r="J29" i="6"/>
  <c r="P28" i="6"/>
  <c r="O28" i="6"/>
  <c r="N28" i="6"/>
  <c r="M28" i="6"/>
  <c r="L28" i="6"/>
  <c r="K28" i="6"/>
  <c r="J28" i="6"/>
  <c r="P27" i="6"/>
  <c r="O27" i="6"/>
  <c r="N27" i="6"/>
  <c r="M27" i="6"/>
  <c r="L27" i="6"/>
  <c r="K27" i="6"/>
  <c r="J27" i="6"/>
  <c r="P26" i="6"/>
  <c r="O26" i="6"/>
  <c r="N26" i="6"/>
  <c r="M26" i="6"/>
  <c r="L26" i="6"/>
  <c r="K26" i="6"/>
  <c r="J26" i="6"/>
  <c r="P25" i="6"/>
  <c r="O25" i="6"/>
  <c r="N25" i="6"/>
  <c r="M25" i="6"/>
  <c r="L25" i="6"/>
  <c r="K25" i="6"/>
  <c r="J25" i="6"/>
  <c r="P24" i="6"/>
  <c r="O24" i="6"/>
  <c r="N24" i="6"/>
  <c r="M24" i="6"/>
  <c r="L24" i="6"/>
  <c r="K24" i="6"/>
  <c r="J24" i="6"/>
  <c r="P23" i="6"/>
  <c r="O23" i="6"/>
  <c r="N23" i="6"/>
  <c r="M23" i="6"/>
  <c r="L23" i="6"/>
  <c r="K23" i="6"/>
  <c r="J23" i="6"/>
  <c r="P22" i="6"/>
  <c r="O22" i="6"/>
  <c r="N22" i="6"/>
  <c r="M22" i="6"/>
  <c r="L22" i="6"/>
  <c r="K22" i="6"/>
  <c r="J22" i="6"/>
  <c r="P21" i="6"/>
  <c r="O21" i="6"/>
  <c r="N21" i="6"/>
  <c r="M21" i="6"/>
  <c r="L21" i="6"/>
  <c r="K21" i="6"/>
  <c r="J21" i="6"/>
  <c r="P20" i="6"/>
  <c r="O20" i="6"/>
  <c r="N20" i="6"/>
  <c r="M20" i="6"/>
  <c r="L20" i="6"/>
  <c r="K20" i="6"/>
  <c r="J20" i="6"/>
  <c r="P19" i="6"/>
  <c r="O19" i="6"/>
  <c r="N19" i="6"/>
  <c r="M19" i="6"/>
  <c r="L19" i="6"/>
  <c r="K19" i="6"/>
  <c r="J19" i="6"/>
  <c r="P18" i="6"/>
  <c r="O18" i="6"/>
  <c r="N18" i="6"/>
  <c r="M18" i="6"/>
  <c r="L18" i="6"/>
  <c r="K18" i="6"/>
  <c r="J18" i="6"/>
  <c r="P17" i="6"/>
  <c r="O17" i="6"/>
  <c r="N17" i="6"/>
  <c r="M17" i="6"/>
  <c r="L17" i="6"/>
  <c r="K17" i="6"/>
  <c r="J17" i="6"/>
  <c r="P16" i="6"/>
  <c r="O16" i="6"/>
  <c r="N16" i="6"/>
  <c r="M16" i="6"/>
  <c r="L16" i="6"/>
  <c r="K16" i="6"/>
  <c r="J16" i="6"/>
  <c r="P15" i="6"/>
  <c r="O15" i="6"/>
  <c r="N15" i="6"/>
  <c r="M15" i="6"/>
  <c r="L15" i="6"/>
  <c r="K15" i="6"/>
  <c r="J15" i="6"/>
  <c r="P14" i="6"/>
  <c r="O14" i="6"/>
  <c r="N14" i="6"/>
  <c r="M14" i="6"/>
  <c r="L14" i="6"/>
  <c r="K14" i="6"/>
  <c r="J14" i="6"/>
  <c r="P13" i="6"/>
  <c r="O13" i="6"/>
  <c r="N13" i="6"/>
  <c r="M13" i="6"/>
  <c r="L13" i="6"/>
  <c r="K13" i="6"/>
  <c r="J13" i="6"/>
  <c r="P12" i="6"/>
  <c r="O12" i="6"/>
  <c r="N12" i="6"/>
  <c r="M12" i="6"/>
  <c r="L12" i="6"/>
  <c r="K12" i="6"/>
  <c r="J12" i="6"/>
  <c r="P11" i="6"/>
  <c r="O11" i="6"/>
  <c r="N11" i="6"/>
  <c r="M11" i="6"/>
  <c r="L11" i="6"/>
  <c r="K11" i="6"/>
  <c r="J11" i="6"/>
  <c r="P10" i="6"/>
  <c r="O10" i="6"/>
  <c r="N10" i="6"/>
  <c r="M10" i="6"/>
  <c r="L10" i="6"/>
  <c r="K10" i="6"/>
  <c r="J10" i="6"/>
  <c r="P9" i="6"/>
  <c r="O9" i="6"/>
  <c r="N9" i="6"/>
  <c r="M9" i="6"/>
  <c r="L9" i="6"/>
  <c r="K9" i="6"/>
  <c r="J9" i="6"/>
  <c r="P8" i="6"/>
  <c r="O8" i="6"/>
  <c r="N8" i="6"/>
  <c r="M8" i="6"/>
  <c r="L8" i="6"/>
  <c r="K8" i="6"/>
  <c r="J8" i="6"/>
  <c r="P7" i="6"/>
  <c r="O7" i="6"/>
  <c r="N7" i="6"/>
  <c r="M7" i="6"/>
  <c r="L7" i="6"/>
  <c r="K7" i="6"/>
  <c r="J7" i="6"/>
  <c r="P6" i="6"/>
  <c r="O6" i="6"/>
  <c r="N6" i="6"/>
  <c r="M6" i="6"/>
  <c r="L6" i="6"/>
  <c r="K6" i="6"/>
  <c r="J6" i="6"/>
  <c r="P5" i="6"/>
  <c r="O5" i="6"/>
  <c r="N5" i="6"/>
  <c r="M5" i="6"/>
  <c r="L5" i="6"/>
  <c r="K5" i="6"/>
  <c r="J5" i="6"/>
  <c r="P4" i="6"/>
  <c r="O4" i="6"/>
  <c r="N4" i="6"/>
  <c r="M4" i="6"/>
  <c r="L4" i="6"/>
  <c r="K4" i="6"/>
  <c r="J4" i="6"/>
  <c r="P3" i="6"/>
  <c r="O3" i="6"/>
  <c r="N3" i="6"/>
  <c r="M3" i="6"/>
  <c r="L3" i="6"/>
  <c r="K3" i="6"/>
  <c r="J3" i="6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G122" i="2"/>
  <c r="F122" i="2"/>
  <c r="F103" i="2"/>
  <c r="F102" i="2"/>
  <c r="F101" i="2"/>
  <c r="F100" i="2"/>
  <c r="F99" i="2"/>
  <c r="F98" i="2"/>
  <c r="F44" i="2"/>
  <c r="F23" i="2"/>
  <c r="F21" i="2"/>
  <c r="F20" i="2"/>
  <c r="F16" i="2"/>
  <c r="F15" i="2"/>
  <c r="F12" i="2"/>
  <c r="F9" i="2"/>
  <c r="H1" i="2"/>
  <c r="J64" i="1"/>
  <c r="H64" i="1"/>
  <c r="I64" i="1" s="1"/>
  <c r="J63" i="1"/>
  <c r="H63" i="1"/>
  <c r="I63" i="1" s="1"/>
  <c r="J62" i="1"/>
  <c r="H62" i="1"/>
  <c r="I62" i="1" s="1"/>
  <c r="J61" i="1"/>
  <c r="H61" i="1"/>
  <c r="I61" i="1" s="1"/>
  <c r="J60" i="1"/>
  <c r="H60" i="1"/>
  <c r="I60" i="1" s="1"/>
  <c r="J59" i="1"/>
  <c r="H59" i="1"/>
  <c r="I59" i="1" s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J44" i="1" s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U33" i="1"/>
  <c r="T33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K24" i="1"/>
  <c r="G24" i="1"/>
  <c r="H23" i="1"/>
  <c r="H22" i="1"/>
  <c r="H21" i="1"/>
  <c r="H20" i="1"/>
  <c r="T19" i="1"/>
  <c r="U19" i="1" s="1"/>
  <c r="H19" i="1"/>
  <c r="T18" i="1"/>
  <c r="U18" i="1" s="1"/>
  <c r="H18" i="1"/>
  <c r="K17" i="1"/>
  <c r="T16" i="1"/>
  <c r="U16" i="1" s="1"/>
  <c r="H16" i="1"/>
  <c r="G8" i="2" s="1"/>
  <c r="H8" i="2" s="1"/>
  <c r="G16" i="1"/>
  <c r="H15" i="1"/>
  <c r="G6" i="2" s="1"/>
  <c r="H6" i="2" s="1"/>
  <c r="G15" i="1"/>
  <c r="T14" i="1"/>
  <c r="U14" i="1" s="1"/>
  <c r="H14" i="1"/>
  <c r="G7" i="2" s="1"/>
  <c r="H7" i="2" s="1"/>
  <c r="G14" i="1"/>
  <c r="T13" i="1"/>
  <c r="U13" i="1" s="1"/>
  <c r="H13" i="1"/>
  <c r="G4" i="2" s="1"/>
  <c r="H4" i="2" s="1"/>
  <c r="G13" i="1"/>
  <c r="T12" i="1"/>
  <c r="U12" i="1" s="1"/>
  <c r="H12" i="1"/>
  <c r="G5" i="2" s="1"/>
  <c r="H5" i="2" s="1"/>
  <c r="G12" i="1"/>
  <c r="H11" i="1"/>
  <c r="G11" i="1"/>
  <c r="T10" i="1"/>
  <c r="U10" i="1" s="1"/>
  <c r="T9" i="1"/>
  <c r="J8" i="1"/>
  <c r="G8" i="1" a="1"/>
  <c r="G8" i="1" s="1"/>
  <c r="B8" i="1"/>
  <c r="J6" i="1"/>
  <c r="G6" i="1" a="1"/>
  <c r="G6" i="1" s="1"/>
  <c r="B6" i="1"/>
  <c r="H3" i="1"/>
  <c r="H111" i="5"/>
  <c r="J111" i="5" s="1"/>
  <c r="H110" i="5"/>
  <c r="H109" i="5"/>
  <c r="J108" i="5"/>
  <c r="H108" i="5"/>
  <c r="F91" i="2" s="1"/>
  <c r="J107" i="5"/>
  <c r="H107" i="5"/>
  <c r="F90" i="2" s="1"/>
  <c r="J106" i="5"/>
  <c r="H106" i="5"/>
  <c r="F89" i="2" s="1"/>
  <c r="H105" i="5"/>
  <c r="J104" i="5"/>
  <c r="H104" i="5"/>
  <c r="F87" i="2" s="1"/>
  <c r="J103" i="5"/>
  <c r="H103" i="5"/>
  <c r="F86" i="2" s="1"/>
  <c r="H102" i="5"/>
  <c r="J101" i="5"/>
  <c r="H101" i="5"/>
  <c r="F84" i="2" s="1"/>
  <c r="J100" i="5"/>
  <c r="H100" i="5"/>
  <c r="F83" i="2" s="1"/>
  <c r="H99" i="5"/>
  <c r="J98" i="5"/>
  <c r="H98" i="5"/>
  <c r="F81" i="2" s="1"/>
  <c r="J97" i="5"/>
  <c r="H97" i="5"/>
  <c r="F80" i="2" s="1"/>
  <c r="H96" i="5"/>
  <c r="J92" i="5"/>
  <c r="H92" i="5"/>
  <c r="J91" i="5"/>
  <c r="H91" i="5"/>
  <c r="J90" i="5"/>
  <c r="H90" i="5"/>
  <c r="J89" i="5"/>
  <c r="H89" i="5"/>
  <c r="H88" i="5"/>
  <c r="J88" i="5" s="1"/>
  <c r="J87" i="5"/>
  <c r="H87" i="5"/>
  <c r="J86" i="5"/>
  <c r="H86" i="5"/>
  <c r="J85" i="5"/>
  <c r="H85" i="5"/>
  <c r="J84" i="5"/>
  <c r="H84" i="5"/>
  <c r="J83" i="5"/>
  <c r="H83" i="5"/>
  <c r="J82" i="5"/>
  <c r="H82" i="5"/>
  <c r="H81" i="5"/>
  <c r="J81" i="5" s="1"/>
  <c r="J80" i="5"/>
  <c r="H80" i="5"/>
  <c r="H79" i="5"/>
  <c r="J79" i="5" s="1"/>
  <c r="J78" i="5"/>
  <c r="H78" i="5"/>
  <c r="J77" i="5"/>
  <c r="H77" i="5"/>
  <c r="H76" i="5"/>
  <c r="J76" i="5" s="1"/>
  <c r="J75" i="5"/>
  <c r="H75" i="5"/>
  <c r="J74" i="5"/>
  <c r="H74" i="5"/>
  <c r="J73" i="5"/>
  <c r="H73" i="5"/>
  <c r="J72" i="5"/>
  <c r="H72" i="5"/>
  <c r="J71" i="5"/>
  <c r="H71" i="5"/>
  <c r="J70" i="5"/>
  <c r="H70" i="5"/>
  <c r="J69" i="5"/>
  <c r="H69" i="5"/>
  <c r="J68" i="5"/>
  <c r="H68" i="5"/>
  <c r="J67" i="5"/>
  <c r="H67" i="5"/>
  <c r="J66" i="5"/>
  <c r="H66" i="5"/>
  <c r="J65" i="5"/>
  <c r="H65" i="5"/>
  <c r="J64" i="5"/>
  <c r="H64" i="5"/>
  <c r="H63" i="5"/>
  <c r="H62" i="5"/>
  <c r="H61" i="5"/>
  <c r="J61" i="5" s="1"/>
  <c r="H60" i="5"/>
  <c r="H59" i="5"/>
  <c r="H58" i="5"/>
  <c r="H57" i="5"/>
  <c r="H56" i="5"/>
  <c r="H55" i="5"/>
  <c r="H54" i="5"/>
  <c r="H53" i="5"/>
  <c r="F67" i="2"/>
  <c r="F66" i="2"/>
  <c r="H52" i="5"/>
  <c r="J51" i="5"/>
  <c r="H51" i="5"/>
  <c r="F64" i="2" s="1"/>
  <c r="H50" i="5"/>
  <c r="H49" i="5"/>
  <c r="H48" i="5"/>
  <c r="J47" i="5"/>
  <c r="H47" i="5"/>
  <c r="F60" i="2" s="1"/>
  <c r="H46" i="5"/>
  <c r="H45" i="5"/>
  <c r="H44" i="5"/>
  <c r="J43" i="5"/>
  <c r="H43" i="5"/>
  <c r="F56" i="2" s="1"/>
  <c r="J42" i="5"/>
  <c r="H42" i="5"/>
  <c r="F55" i="2" s="1"/>
  <c r="J41" i="5"/>
  <c r="H41" i="5"/>
  <c r="F54" i="2" s="1"/>
  <c r="J40" i="5"/>
  <c r="H40" i="5"/>
  <c r="F53" i="2" s="1"/>
  <c r="H39" i="5"/>
  <c r="J38" i="5"/>
  <c r="H38" i="5"/>
  <c r="F51" i="2" s="1"/>
  <c r="H37" i="5"/>
  <c r="H36" i="5"/>
  <c r="J35" i="5"/>
  <c r="H35" i="5"/>
  <c r="F48" i="2" s="1"/>
  <c r="J34" i="5"/>
  <c r="H34" i="5"/>
  <c r="F47" i="2" s="1"/>
  <c r="J33" i="5"/>
  <c r="H33" i="5"/>
  <c r="F46" i="2" s="1"/>
  <c r="H32" i="5"/>
  <c r="H31" i="5"/>
  <c r="H30" i="5"/>
  <c r="J29" i="5"/>
  <c r="H29" i="5"/>
  <c r="F41" i="2" s="1"/>
  <c r="J28" i="5"/>
  <c r="H28" i="5"/>
  <c r="F40" i="2" s="1"/>
  <c r="J27" i="5"/>
  <c r="H27" i="5"/>
  <c r="F39" i="2" s="1"/>
  <c r="J26" i="5"/>
  <c r="H26" i="5"/>
  <c r="F38" i="2" s="1"/>
  <c r="J25" i="5"/>
  <c r="H25" i="5"/>
  <c r="F37" i="2" s="1"/>
  <c r="H24" i="5"/>
  <c r="J23" i="5"/>
  <c r="H23" i="5"/>
  <c r="F35" i="2" s="1"/>
  <c r="H22" i="5"/>
  <c r="J21" i="5"/>
  <c r="H21" i="5"/>
  <c r="F33" i="2" s="1"/>
  <c r="J20" i="5"/>
  <c r="H20" i="5"/>
  <c r="F32" i="2" s="1"/>
  <c r="H19" i="5"/>
  <c r="H18" i="5"/>
  <c r="H17" i="5"/>
  <c r="J16" i="5"/>
  <c r="H16" i="5"/>
  <c r="F28" i="2" s="1"/>
  <c r="H15" i="5"/>
  <c r="J14" i="5"/>
  <c r="H14" i="5"/>
  <c r="F26" i="2" s="1"/>
  <c r="J12" i="5"/>
  <c r="H10" i="5"/>
  <c r="H9" i="5"/>
  <c r="H8" i="5"/>
  <c r="H7" i="5"/>
  <c r="H6" i="5"/>
  <c r="H5" i="5"/>
  <c r="H4" i="5"/>
  <c r="J3" i="5"/>
  <c r="H3" i="5"/>
  <c r="F13" i="2" s="1"/>
  <c r="J1" i="5"/>
  <c r="D6" i="1" l="1"/>
  <c r="I44" i="1"/>
  <c r="F78" i="2"/>
  <c r="J63" i="5"/>
  <c r="F74" i="2"/>
  <c r="J59" i="5"/>
  <c r="F71" i="2"/>
  <c r="J56" i="5"/>
  <c r="F65" i="2"/>
  <c r="J52" i="5"/>
  <c r="F63" i="2"/>
  <c r="J50" i="5"/>
  <c r="F59" i="2"/>
  <c r="J46" i="5"/>
  <c r="F57" i="2"/>
  <c r="J44" i="5"/>
  <c r="F52" i="2"/>
  <c r="J39" i="5"/>
  <c r="F50" i="2"/>
  <c r="J37" i="5"/>
  <c r="F45" i="2"/>
  <c r="J32" i="5"/>
  <c r="F42" i="2"/>
  <c r="J30" i="5"/>
  <c r="F36" i="2"/>
  <c r="J24" i="5"/>
  <c r="F34" i="2"/>
  <c r="J22" i="5"/>
  <c r="F31" i="2"/>
  <c r="J19" i="5"/>
  <c r="F29" i="2"/>
  <c r="J17" i="5"/>
  <c r="F25" i="2"/>
  <c r="J10" i="5"/>
  <c r="F22" i="2"/>
  <c r="J8" i="5"/>
  <c r="F18" i="2"/>
  <c r="J6" i="5"/>
  <c r="F14" i="2"/>
  <c r="J4" i="5"/>
  <c r="F104" i="2"/>
  <c r="J58" i="1"/>
  <c r="I58" i="1"/>
  <c r="J57" i="1"/>
  <c r="I57" i="1"/>
  <c r="J56" i="1"/>
  <c r="I56" i="1"/>
  <c r="I55" i="1"/>
  <c r="J55" i="1"/>
  <c r="J54" i="1"/>
  <c r="I54" i="1"/>
  <c r="J53" i="1"/>
  <c r="I53" i="1"/>
  <c r="I52" i="1"/>
  <c r="J52" i="1"/>
  <c r="J51" i="1"/>
  <c r="I51" i="1"/>
  <c r="J50" i="1"/>
  <c r="I50" i="1"/>
  <c r="J49" i="1"/>
  <c r="I49" i="1"/>
  <c r="J48" i="1"/>
  <c r="I48" i="1"/>
  <c r="I47" i="1"/>
  <c r="J47" i="1"/>
  <c r="I46" i="1"/>
  <c r="J46" i="1"/>
  <c r="I45" i="1"/>
  <c r="J45" i="1"/>
  <c r="I43" i="1"/>
  <c r="J43" i="1"/>
  <c r="J42" i="1"/>
  <c r="I42" i="1"/>
  <c r="I41" i="1"/>
  <c r="J41" i="1"/>
  <c r="J40" i="1"/>
  <c r="I40" i="1"/>
  <c r="I39" i="1"/>
  <c r="J39" i="1"/>
  <c r="I38" i="1"/>
  <c r="J38" i="1"/>
  <c r="I37" i="1"/>
  <c r="J37" i="1"/>
  <c r="J36" i="1"/>
  <c r="I36" i="1"/>
  <c r="J35" i="1"/>
  <c r="I35" i="1"/>
  <c r="I34" i="1"/>
  <c r="J34" i="1"/>
  <c r="J33" i="1"/>
  <c r="I33" i="1"/>
  <c r="J32" i="1"/>
  <c r="I32" i="1"/>
  <c r="I31" i="1"/>
  <c r="J31" i="1"/>
  <c r="I30" i="1"/>
  <c r="J30" i="1"/>
  <c r="J29" i="1"/>
  <c r="I29" i="1"/>
  <c r="I28" i="1"/>
  <c r="J28" i="1"/>
  <c r="I27" i="1"/>
  <c r="J27" i="1"/>
  <c r="I26" i="1"/>
  <c r="J26" i="1"/>
  <c r="J25" i="1"/>
  <c r="I25" i="1"/>
  <c r="J23" i="1"/>
  <c r="I23" i="1"/>
  <c r="G101" i="2"/>
  <c r="H101" i="2" s="1"/>
  <c r="G102" i="2"/>
  <c r="H102" i="2" s="1"/>
  <c r="J22" i="1"/>
  <c r="I22" i="1"/>
  <c r="I21" i="1"/>
  <c r="J21" i="1"/>
  <c r="G100" i="2"/>
  <c r="H100" i="2" s="1"/>
  <c r="G99" i="2"/>
  <c r="H99" i="2" s="1"/>
  <c r="J20" i="1"/>
  <c r="I20" i="1"/>
  <c r="G103" i="2"/>
  <c r="H103" i="2" s="1"/>
  <c r="I19" i="1"/>
  <c r="J19" i="1"/>
  <c r="I18" i="1"/>
  <c r="I24" i="1" s="1"/>
  <c r="H24" i="1"/>
  <c r="J18" i="1"/>
  <c r="G98" i="2"/>
  <c r="J16" i="1"/>
  <c r="I16" i="1"/>
  <c r="I15" i="1"/>
  <c r="J15" i="1"/>
  <c r="I14" i="1"/>
  <c r="J14" i="1"/>
  <c r="J13" i="1"/>
  <c r="I13" i="1"/>
  <c r="I12" i="1"/>
  <c r="J12" i="1"/>
  <c r="H17" i="1"/>
  <c r="G3" i="2"/>
  <c r="J11" i="1"/>
  <c r="I11" i="1"/>
  <c r="I17" i="1" s="1"/>
  <c r="G17" i="1"/>
  <c r="N14" i="1"/>
  <c r="U9" i="1"/>
  <c r="F93" i="2"/>
  <c r="F114" i="2"/>
  <c r="J110" i="5"/>
  <c r="F112" i="2"/>
  <c r="F92" i="2"/>
  <c r="F111" i="2"/>
  <c r="J109" i="5"/>
  <c r="F88" i="2"/>
  <c r="J105" i="5"/>
  <c r="F85" i="2"/>
  <c r="F109" i="2"/>
  <c r="J102" i="5"/>
  <c r="F82" i="2"/>
  <c r="F108" i="2"/>
  <c r="J99" i="5"/>
  <c r="F79" i="2"/>
  <c r="J96" i="5"/>
  <c r="F107" i="2"/>
  <c r="F77" i="2"/>
  <c r="J62" i="5"/>
  <c r="F113" i="2"/>
  <c r="F76" i="2"/>
  <c r="J60" i="5"/>
  <c r="F75" i="2"/>
  <c r="F110" i="2"/>
  <c r="J58" i="5"/>
  <c r="F73" i="2"/>
  <c r="F72" i="2"/>
  <c r="J57" i="5"/>
  <c r="J55" i="5"/>
  <c r="F70" i="2"/>
  <c r="J54" i="5"/>
  <c r="F69" i="2"/>
  <c r="F68" i="2"/>
  <c r="J53" i="5"/>
  <c r="J49" i="5"/>
  <c r="F62" i="2"/>
  <c r="J48" i="5"/>
  <c r="F61" i="2"/>
  <c r="F58" i="2"/>
  <c r="J45" i="5"/>
  <c r="J36" i="5"/>
  <c r="F49" i="2"/>
  <c r="J31" i="5"/>
  <c r="F43" i="2"/>
  <c r="F30" i="2"/>
  <c r="J18" i="5"/>
  <c r="J15" i="5"/>
  <c r="F27" i="2"/>
  <c r="J9" i="5"/>
  <c r="F24" i="2"/>
  <c r="J7" i="5"/>
  <c r="F19" i="2"/>
  <c r="J5" i="5"/>
  <c r="F17" i="2"/>
  <c r="E109" i="2" l="1"/>
  <c r="E107" i="2"/>
  <c r="H3" i="2"/>
  <c r="G9" i="2"/>
  <c r="M10" i="1"/>
  <c r="N10" i="1"/>
  <c r="O10" i="1" s="1"/>
  <c r="M11" i="1"/>
  <c r="N11" i="1"/>
  <c r="O11" i="1" s="1"/>
  <c r="M13" i="1"/>
  <c r="M8" i="1"/>
  <c r="N8" i="1"/>
  <c r="O8" i="1" s="1"/>
  <c r="M9" i="1"/>
  <c r="N9" i="1"/>
  <c r="O9" i="1" s="1"/>
  <c r="M12" i="1"/>
  <c r="N12" i="1"/>
  <c r="O12" i="1" s="1"/>
  <c r="M7" i="1"/>
  <c r="N7" i="1"/>
  <c r="O7" i="1" s="1"/>
  <c r="N13" i="1"/>
  <c r="O13" i="1" s="1"/>
  <c r="G104" i="2"/>
  <c r="H98" i="2"/>
  <c r="E119" i="2" l="1"/>
  <c r="E149" i="2"/>
  <c r="E145" i="2"/>
  <c r="E142" i="2"/>
  <c r="E138" i="2"/>
  <c r="E134" i="2"/>
  <c r="E130" i="2"/>
  <c r="E126" i="2"/>
  <c r="E122" i="2"/>
  <c r="E113" i="2"/>
  <c r="E114" i="2"/>
  <c r="E108" i="2"/>
  <c r="E146" i="2"/>
  <c r="E141" i="2"/>
  <c r="E137" i="2"/>
  <c r="E133" i="2"/>
  <c r="G140" i="2" s="1"/>
  <c r="E129" i="2"/>
  <c r="E125" i="2"/>
  <c r="E120" i="2"/>
  <c r="E111" i="2"/>
  <c r="E121" i="2"/>
  <c r="E110" i="2"/>
  <c r="E147" i="2"/>
  <c r="E143" i="2"/>
  <c r="E139" i="2"/>
  <c r="E135" i="2"/>
  <c r="E131" i="2"/>
  <c r="E127" i="2"/>
  <c r="E123" i="2"/>
  <c r="E116" i="2"/>
  <c r="E117" i="2"/>
  <c r="E112" i="2"/>
  <c r="E148" i="2"/>
  <c r="E144" i="2"/>
  <c r="E140" i="2"/>
  <c r="E136" i="2"/>
  <c r="E132" i="2"/>
  <c r="E128" i="2"/>
  <c r="E124" i="2"/>
  <c r="E118" i="2"/>
  <c r="F128" i="2"/>
  <c r="G128" i="2"/>
  <c r="F126" i="2"/>
  <c r="G126" i="2"/>
  <c r="F124" i="2"/>
  <c r="G124" i="2"/>
  <c r="G114" i="2"/>
  <c r="I114" i="2"/>
  <c r="G112" i="2"/>
  <c r="I112" i="2"/>
  <c r="G110" i="2"/>
  <c r="I110" i="2"/>
  <c r="G108" i="2"/>
  <c r="I108" i="2"/>
  <c r="F149" i="2"/>
  <c r="G149" i="2"/>
  <c r="F148" i="2"/>
  <c r="G148" i="2"/>
  <c r="F147" i="2"/>
  <c r="G147" i="2"/>
  <c r="F146" i="2"/>
  <c r="G146" i="2"/>
  <c r="F145" i="2"/>
  <c r="G145" i="2"/>
  <c r="F144" i="2"/>
  <c r="G144" i="2"/>
  <c r="F143" i="2"/>
  <c r="G143" i="2"/>
  <c r="F142" i="2"/>
  <c r="G142" i="2"/>
  <c r="F141" i="2"/>
  <c r="G141" i="2"/>
  <c r="F140" i="2"/>
  <c r="G109" i="2"/>
  <c r="I109" i="2"/>
  <c r="G107" i="2"/>
  <c r="I107" i="2"/>
  <c r="E13" i="2"/>
  <c r="H13" i="2"/>
  <c r="E16" i="2"/>
  <c r="H16" i="2"/>
  <c r="E18" i="2"/>
  <c r="H18" i="2"/>
  <c r="E20" i="2"/>
  <c r="H20" i="2"/>
  <c r="E22" i="2"/>
  <c r="H22" i="2"/>
  <c r="E25" i="2"/>
  <c r="G25" i="2" s="1"/>
  <c r="H25" i="2"/>
  <c r="E26" i="2"/>
  <c r="H26" i="2"/>
  <c r="E27" i="2"/>
  <c r="H27" i="2"/>
  <c r="E28" i="2"/>
  <c r="H28" i="2"/>
  <c r="E29" i="2"/>
  <c r="H29" i="2"/>
  <c r="E30" i="2"/>
  <c r="H30" i="2"/>
  <c r="E31" i="2"/>
  <c r="H31" i="2"/>
  <c r="E32" i="2"/>
  <c r="H32" i="2"/>
  <c r="E33" i="2"/>
  <c r="H33" i="2"/>
  <c r="E34" i="2"/>
  <c r="H34" i="2"/>
  <c r="E35" i="2"/>
  <c r="H35" i="2"/>
  <c r="E36" i="2"/>
  <c r="H36" i="2"/>
  <c r="E37" i="2"/>
  <c r="H37" i="2"/>
  <c r="E38" i="2"/>
  <c r="H38" i="2"/>
  <c r="E39" i="2"/>
  <c r="H39" i="2"/>
  <c r="E40" i="2"/>
  <c r="H40" i="2"/>
  <c r="E41" i="2"/>
  <c r="H41" i="2"/>
  <c r="E42" i="2"/>
  <c r="H42" i="2"/>
  <c r="E43" i="2"/>
  <c r="H43" i="2"/>
  <c r="E44" i="2"/>
  <c r="H44" i="2"/>
  <c r="E45" i="2"/>
  <c r="G45" i="2" s="1"/>
  <c r="H45" i="2"/>
  <c r="E46" i="2"/>
  <c r="H46" i="2"/>
  <c r="E47" i="2"/>
  <c r="H47" i="2"/>
  <c r="E48" i="2"/>
  <c r="H48" i="2"/>
  <c r="E49" i="2"/>
  <c r="H49" i="2"/>
  <c r="E50" i="2"/>
  <c r="H50" i="2"/>
  <c r="E51" i="2"/>
  <c r="H51" i="2"/>
  <c r="E52" i="2"/>
  <c r="H52" i="2"/>
  <c r="E53" i="2"/>
  <c r="H53" i="2"/>
  <c r="E54" i="2"/>
  <c r="H54" i="2"/>
  <c r="E55" i="2"/>
  <c r="H55" i="2"/>
  <c r="E56" i="2"/>
  <c r="H56" i="2"/>
  <c r="E57" i="2"/>
  <c r="H57" i="2"/>
  <c r="E58" i="2"/>
  <c r="H58" i="2"/>
  <c r="E59" i="2"/>
  <c r="H59" i="2"/>
  <c r="E60" i="2"/>
  <c r="H60" i="2"/>
  <c r="E61" i="2"/>
  <c r="H61" i="2"/>
  <c r="E62" i="2"/>
  <c r="H62" i="2"/>
  <c r="E63" i="2"/>
  <c r="H63" i="2"/>
  <c r="E64" i="2"/>
  <c r="H64" i="2"/>
  <c r="E65" i="2"/>
  <c r="H65" i="2"/>
  <c r="E66" i="2"/>
  <c r="H66" i="2"/>
  <c r="E67" i="2"/>
  <c r="H67" i="2"/>
  <c r="E68" i="2"/>
  <c r="G68" i="2" s="1"/>
  <c r="H68" i="2"/>
  <c r="E69" i="2"/>
  <c r="G69" i="2" s="1"/>
  <c r="H69" i="2"/>
  <c r="E70" i="2"/>
  <c r="H70" i="2"/>
  <c r="E71" i="2"/>
  <c r="H71" i="2"/>
  <c r="E72" i="2"/>
  <c r="H72" i="2"/>
  <c r="E12" i="2"/>
  <c r="H12" i="2"/>
  <c r="E15" i="2"/>
  <c r="H15" i="2"/>
  <c r="E17" i="2"/>
  <c r="H17" i="2"/>
  <c r="E19" i="2"/>
  <c r="H19" i="2"/>
  <c r="E21" i="2"/>
  <c r="H21" i="2"/>
  <c r="E23" i="2"/>
  <c r="H23" i="2"/>
  <c r="E73" i="2"/>
  <c r="H73" i="2"/>
  <c r="E75" i="2"/>
  <c r="H75" i="2"/>
  <c r="E77" i="2"/>
  <c r="H77" i="2"/>
  <c r="E79" i="2"/>
  <c r="H79" i="2"/>
  <c r="E81" i="2"/>
  <c r="H81" i="2"/>
  <c r="E83" i="2"/>
  <c r="H83" i="2"/>
  <c r="E85" i="2"/>
  <c r="H85" i="2"/>
  <c r="E87" i="2"/>
  <c r="H87" i="2"/>
  <c r="E89" i="2"/>
  <c r="H89" i="2"/>
  <c r="E91" i="2"/>
  <c r="H91" i="2"/>
  <c r="E92" i="2"/>
  <c r="H92" i="2"/>
  <c r="H9" i="2"/>
  <c r="E14" i="2"/>
  <c r="H14" i="2"/>
  <c r="E24" i="2"/>
  <c r="H24" i="2"/>
  <c r="E74" i="2"/>
  <c r="H74" i="2"/>
  <c r="E76" i="2"/>
  <c r="H76" i="2"/>
  <c r="E78" i="2"/>
  <c r="H78" i="2"/>
  <c r="E80" i="2"/>
  <c r="H80" i="2"/>
  <c r="E82" i="2"/>
  <c r="H82" i="2"/>
  <c r="E84" i="2"/>
  <c r="H84" i="2"/>
  <c r="E86" i="2"/>
  <c r="H86" i="2"/>
  <c r="E88" i="2"/>
  <c r="H88" i="2"/>
  <c r="E90" i="2"/>
  <c r="H90" i="2"/>
  <c r="E93" i="2"/>
  <c r="H93" i="2"/>
  <c r="H121" i="2"/>
  <c r="H119" i="2"/>
  <c r="H117" i="2"/>
  <c r="H114" i="2"/>
  <c r="H112" i="2"/>
  <c r="H110" i="2"/>
  <c r="H108" i="2"/>
  <c r="H104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0" i="2"/>
  <c r="H118" i="2"/>
  <c r="H116" i="2"/>
  <c r="H113" i="2"/>
  <c r="H111" i="2"/>
  <c r="H109" i="2"/>
  <c r="H107" i="2"/>
  <c r="G137" i="2" l="1"/>
  <c r="F137" i="2"/>
  <c r="F138" i="2"/>
  <c r="G138" i="2"/>
  <c r="F139" i="2"/>
  <c r="G139" i="2"/>
  <c r="F133" i="2"/>
  <c r="G133" i="2"/>
  <c r="F129" i="2"/>
  <c r="G129" i="2"/>
  <c r="G113" i="2"/>
  <c r="I113" i="2"/>
  <c r="F136" i="2"/>
  <c r="G136" i="2"/>
  <c r="F132" i="2"/>
  <c r="G132" i="2"/>
  <c r="F127" i="2"/>
  <c r="G127" i="2"/>
  <c r="G111" i="2"/>
  <c r="I111" i="2"/>
  <c r="F134" i="2"/>
  <c r="G134" i="2"/>
  <c r="F130" i="2"/>
  <c r="G130" i="2"/>
  <c r="F123" i="2"/>
  <c r="G123" i="2"/>
  <c r="F135" i="2"/>
  <c r="G135" i="2"/>
  <c r="F131" i="2"/>
  <c r="G131" i="2"/>
  <c r="F125" i="2"/>
  <c r="G125" i="2"/>
  <c r="G13" i="2"/>
  <c r="I13" i="2"/>
  <c r="G16" i="2"/>
  <c r="I16" i="2"/>
  <c r="G18" i="2"/>
  <c r="I18" i="2"/>
  <c r="G20" i="2"/>
  <c r="I20" i="2"/>
  <c r="G22" i="2"/>
  <c r="I22" i="2"/>
  <c r="G26" i="2"/>
  <c r="I26" i="2"/>
  <c r="G27" i="2"/>
  <c r="I27" i="2"/>
  <c r="G28" i="2"/>
  <c r="I28" i="2"/>
  <c r="G29" i="2"/>
  <c r="I29" i="2"/>
  <c r="G30" i="2"/>
  <c r="I30" i="2"/>
  <c r="G31" i="2"/>
  <c r="I31" i="2"/>
  <c r="G32" i="2"/>
  <c r="I32" i="2"/>
  <c r="G33" i="2"/>
  <c r="I33" i="2"/>
  <c r="G34" i="2"/>
  <c r="I34" i="2"/>
  <c r="G35" i="2"/>
  <c r="I35" i="2"/>
  <c r="G36" i="2"/>
  <c r="I36" i="2"/>
  <c r="G37" i="2"/>
  <c r="I37" i="2"/>
  <c r="G38" i="2"/>
  <c r="I38" i="2"/>
  <c r="G39" i="2"/>
  <c r="I39" i="2"/>
  <c r="G40" i="2"/>
  <c r="I40" i="2"/>
  <c r="G41" i="2"/>
  <c r="I41" i="2"/>
  <c r="G42" i="2"/>
  <c r="I42" i="2"/>
  <c r="G43" i="2"/>
  <c r="I43" i="2"/>
  <c r="G44" i="2"/>
  <c r="I44" i="2"/>
  <c r="G46" i="2"/>
  <c r="I46" i="2"/>
  <c r="G47" i="2"/>
  <c r="I47" i="2"/>
  <c r="G48" i="2"/>
  <c r="I48" i="2"/>
  <c r="G49" i="2"/>
  <c r="I49" i="2"/>
  <c r="G50" i="2"/>
  <c r="I50" i="2"/>
  <c r="G51" i="2"/>
  <c r="I51" i="2"/>
  <c r="G52" i="2"/>
  <c r="I52" i="2"/>
  <c r="G53" i="2"/>
  <c r="I53" i="2"/>
  <c r="G54" i="2"/>
  <c r="I54" i="2"/>
  <c r="G55" i="2"/>
  <c r="I55" i="2"/>
  <c r="G56" i="2"/>
  <c r="I56" i="2"/>
  <c r="G57" i="2"/>
  <c r="I57" i="2"/>
  <c r="G58" i="2"/>
  <c r="I58" i="2"/>
  <c r="G59" i="2"/>
  <c r="I59" i="2"/>
  <c r="G60" i="2"/>
  <c r="I60" i="2"/>
  <c r="G61" i="2"/>
  <c r="I61" i="2"/>
  <c r="G62" i="2"/>
  <c r="I62" i="2"/>
  <c r="G63" i="2"/>
  <c r="I63" i="2"/>
  <c r="G64" i="2"/>
  <c r="I64" i="2"/>
  <c r="G65" i="2"/>
  <c r="I65" i="2"/>
  <c r="G66" i="2"/>
  <c r="I66" i="2"/>
  <c r="G67" i="2"/>
  <c r="I67" i="2"/>
  <c r="G70" i="2"/>
  <c r="I70" i="2"/>
  <c r="G71" i="2"/>
  <c r="I71" i="2"/>
  <c r="G72" i="2"/>
  <c r="I72" i="2"/>
  <c r="G12" i="2"/>
  <c r="I12" i="2"/>
  <c r="G15" i="2"/>
  <c r="I15" i="2"/>
  <c r="G17" i="2"/>
  <c r="I17" i="2"/>
  <c r="G19" i="2"/>
  <c r="I19" i="2"/>
  <c r="G21" i="2"/>
  <c r="I21" i="2"/>
  <c r="G23" i="2"/>
  <c r="I23" i="2"/>
  <c r="G73" i="2"/>
  <c r="I73" i="2"/>
  <c r="G75" i="2"/>
  <c r="I75" i="2"/>
  <c r="G77" i="2"/>
  <c r="I77" i="2" s="1"/>
  <c r="G79" i="2"/>
  <c r="I79" i="2"/>
  <c r="G81" i="2"/>
  <c r="I81" i="2"/>
  <c r="G83" i="2"/>
  <c r="I83" i="2"/>
  <c r="G85" i="2"/>
  <c r="I85" i="2"/>
  <c r="G87" i="2"/>
  <c r="I87" i="2"/>
  <c r="G89" i="2"/>
  <c r="I89" i="2"/>
  <c r="G91" i="2"/>
  <c r="I91" i="2"/>
  <c r="G92" i="2"/>
  <c r="I92" i="2"/>
  <c r="G14" i="2"/>
  <c r="I14" i="2"/>
  <c r="G24" i="2"/>
  <c r="I24" i="2"/>
  <c r="G74" i="2"/>
  <c r="I74" i="2"/>
  <c r="G76" i="2"/>
  <c r="I76" i="2"/>
  <c r="G78" i="2"/>
  <c r="I78" i="2"/>
  <c r="G80" i="2"/>
  <c r="I80" i="2"/>
  <c r="G82" i="2"/>
  <c r="I82" i="2"/>
  <c r="G84" i="2"/>
  <c r="I84" i="2"/>
  <c r="G86" i="2"/>
  <c r="I86" i="2"/>
  <c r="G88" i="2"/>
  <c r="I88" i="2"/>
  <c r="G90" i="2"/>
  <c r="I90" i="2"/>
  <c r="G93" i="2"/>
  <c r="I93" i="2"/>
  <c r="F121" i="2"/>
  <c r="G121" i="2"/>
  <c r="F119" i="2"/>
  <c r="G119" i="2"/>
  <c r="F120" i="2"/>
  <c r="G120" i="2"/>
  <c r="F118" i="2"/>
  <c r="G118" i="2"/>
</calcChain>
</file>

<file path=xl/sharedStrings.xml><?xml version="1.0" encoding="utf-8"?>
<sst xmlns="http://schemas.openxmlformats.org/spreadsheetml/2006/main" count="4563" uniqueCount="924">
  <si>
    <t>Slugs Inventory — July 2026 MONTH TO DATE</t>
  </si>
  <si>
    <t>Date:</t>
  </si>
  <si>
    <t>Item ID</t>
  </si>
  <si>
    <t>Category</t>
  </si>
  <si>
    <t>Item Name (ERP)</t>
  </si>
  <si>
    <t>UOM</t>
  </si>
  <si>
    <t>Opening</t>
  </si>
  <si>
    <t>Received from Vendor</t>
  </si>
  <si>
    <t>Issued to Production</t>
  </si>
  <si>
    <t>Store Balance</t>
  </si>
  <si>
    <t>Work In Process</t>
  </si>
  <si>
    <t>Pieces Can Be Produced (Store + Floor Stock)</t>
  </si>
  <si>
    <t>Slug</t>
  </si>
  <si>
    <t>13.5X4.2</t>
  </si>
  <si>
    <t>kg</t>
  </si>
  <si>
    <t>16x4.5</t>
  </si>
  <si>
    <t>19X4.5 S/M</t>
  </si>
  <si>
    <t>20.5x4.5</t>
  </si>
  <si>
    <t>25X4.5 S/M</t>
  </si>
  <si>
    <t>30X4.5 S/M</t>
  </si>
  <si>
    <t>32x5.0</t>
  </si>
  <si>
    <t>35X5.0</t>
  </si>
  <si>
    <t>Inventory — July 2026 Month to Date</t>
  </si>
  <si>
    <t>Lacquer</t>
  </si>
  <si>
    <t>LACQUAR IMP 49989</t>
  </si>
  <si>
    <t>EPOXY LACQUER (1500)</t>
  </si>
  <si>
    <t>L</t>
  </si>
  <si>
    <t>LACQUAR RHENANIA (ACTEGA COLL 299)</t>
  </si>
  <si>
    <t>PIGMENTED LACQUAR 57300</t>
  </si>
  <si>
    <t>E/P LACQUAR 4000 A/R</t>
  </si>
  <si>
    <t>Base Coat</t>
  </si>
  <si>
    <t>WHITE 5711200001</t>
  </si>
  <si>
    <t>GOLD 5725100018</t>
  </si>
  <si>
    <t>TRANSPARENT 234-786</t>
  </si>
  <si>
    <t>POLYSTER BASE COAT WHITE 23410</t>
  </si>
  <si>
    <t>POLYESTER BASE COAT BEIGE 234-999</t>
  </si>
  <si>
    <t>BEIGE 5711200007</t>
  </si>
  <si>
    <t>SILVER METALLIC 5725100011</t>
  </si>
  <si>
    <t>GOLD METALLIC ALM-550-234</t>
  </si>
  <si>
    <t>P11 TBX HT VARNISH (PC 176)</t>
  </si>
  <si>
    <t>YELLOW IMP 5711200008</t>
  </si>
  <si>
    <t>VR SCHEKOLIN 57251</t>
  </si>
  <si>
    <t>Latex</t>
  </si>
  <si>
    <t>LATEX IMP 574010002</t>
  </si>
  <si>
    <t>Zinc Powder</t>
  </si>
  <si>
    <t>ZINC STEARATE</t>
  </si>
  <si>
    <t>Cap</t>
  </si>
  <si>
    <t>M-7 S/M F/P (S) WHITE</t>
  </si>
  <si>
    <t>PCS</t>
  </si>
  <si>
    <t>M-7 OPHTHALMIC  PINK</t>
  </si>
  <si>
    <t>pcs</t>
  </si>
  <si>
    <t>M-9 S/M SPR BLACK DIA 16MM</t>
  </si>
  <si>
    <t>M-9 S/M SPR WHITE LORINE</t>
  </si>
  <si>
    <t>M-9 S/M SPR WHITE DIA 19</t>
  </si>
  <si>
    <t>M-9 S/M F/P WHITE (S)</t>
  </si>
  <si>
    <t>M-9 S/M SPR BLACK DIA 19</t>
  </si>
  <si>
    <t>M-9 S/M SPR WHITE DIA 22 AUTO</t>
  </si>
  <si>
    <t>M-9 S/M F/P ORANGE (NORMAL)</t>
  </si>
  <si>
    <t>M-9 S/M SPR BEIGE DIA 20.5</t>
  </si>
  <si>
    <t>M-9 S/M SPR WHITE DIA 16MM</t>
  </si>
  <si>
    <t>M-9 S/M F/P Normal White</t>
  </si>
  <si>
    <t>M-9 S/M SPR WHITE DIA 20.5MM</t>
  </si>
  <si>
    <t>M-9 S/M SPR BLACK DIA 20.5MM</t>
  </si>
  <si>
    <t>M-11 S/M SPR WHITE DIA 25MM</t>
  </si>
  <si>
    <t>M-11 S/M SPR ORANGE DIA 25</t>
  </si>
  <si>
    <t>M-11 S/M F/P BLACK</t>
  </si>
  <si>
    <t>M-11 S/M F/P WHITE (LARGE)</t>
  </si>
  <si>
    <t>M-11 S/M SPR DARK BLUE DIA 25MM</t>
  </si>
  <si>
    <t>M-11 S/M SPR BEIGE DIA 25</t>
  </si>
  <si>
    <t>M-12 S/M SPR WHITE DIA 30</t>
  </si>
  <si>
    <t>CAP 12.5MM (est)</t>
  </si>
  <si>
    <t>Carton</t>
  </si>
  <si>
    <t>CARTON 12.5MM (est)</t>
  </si>
  <si>
    <t>16X200 3Ply</t>
  </si>
  <si>
    <t>DIA 16 5Ply</t>
  </si>
  <si>
    <t>19X200 3Ply</t>
  </si>
  <si>
    <t>20.5x510 5ply</t>
  </si>
  <si>
    <t>25x336 5Ply</t>
  </si>
  <si>
    <t>30X150 3Ply</t>
  </si>
  <si>
    <t>35x165 5ply</t>
  </si>
  <si>
    <t>MASTER CARTON 38"X24"X15.5"</t>
  </si>
  <si>
    <t>Tape</t>
  </si>
  <si>
    <t>PACKING TAPE 2" OF 60 YARDS</t>
  </si>
  <si>
    <t>Thinner</t>
  </si>
  <si>
    <t>THINNER FOR LACQUER SOL R/C</t>
  </si>
  <si>
    <t>THINNER LACQUAR SOL EPOXY</t>
  </si>
  <si>
    <t>Ink</t>
  </si>
  <si>
    <t>VIOLET 501 IMP</t>
  </si>
  <si>
    <t>VIOLET 502 IMP</t>
  </si>
  <si>
    <t>GREEN 165000</t>
  </si>
  <si>
    <t>BROWN 157662</t>
  </si>
  <si>
    <t>BLUE 126039</t>
  </si>
  <si>
    <t>MEGENTA RED 152166</t>
  </si>
  <si>
    <t>BLUE 165743</t>
  </si>
  <si>
    <t>BLACK (LOCAL) 77660</t>
  </si>
  <si>
    <t>YELLOW (PASTAL-C)</t>
  </si>
  <si>
    <t>INK JET BLACK 77842</t>
  </si>
  <si>
    <t>MAGENTA (LOCAL) 32500</t>
  </si>
  <si>
    <t>WHITE (LOCAL) 07094</t>
  </si>
  <si>
    <t>RED BRONZE (LOCAL) 32519</t>
  </si>
  <si>
    <t>INK BLUE ES 164</t>
  </si>
  <si>
    <t>VIOLET 400484</t>
  </si>
  <si>
    <t>ORANGE (LOCAL)</t>
  </si>
  <si>
    <t>GOLD (LOCAL) 97035</t>
  </si>
  <si>
    <t>GERANIUM (EVER SHINE) ES-130</t>
  </si>
  <si>
    <t>BLUE BRONZE (LOCAL) 51168</t>
  </si>
  <si>
    <t>PINK FLUORESCENT</t>
  </si>
  <si>
    <t>VIOLET TUB 400011</t>
  </si>
  <si>
    <t>YELLOW LEMON 18600</t>
  </si>
  <si>
    <t>INK BLUE PC</t>
  </si>
  <si>
    <t>INK CYAN PROCESS 51650</t>
  </si>
  <si>
    <t>GOLD V0221267-RF-401363</t>
  </si>
  <si>
    <t>INK GOLD V0221267AT-401363 IMP</t>
  </si>
  <si>
    <t>INK BLACK 158000 IMPORTED</t>
  </si>
  <si>
    <t>INK GREEN ES 166</t>
  </si>
  <si>
    <t>PURPLE 48054</t>
  </si>
  <si>
    <t>PET Inventory — May 2026 Month to Date</t>
  </si>
  <si>
    <t>PET Resin</t>
  </si>
  <si>
    <t>PET RESIN A-84</t>
  </si>
  <si>
    <t>Master Batch</t>
  </si>
  <si>
    <t>MASTER BATCH (PA M27) GREEN</t>
  </si>
  <si>
    <t>MASTER BATCH YELLOW CMN# 3087</t>
  </si>
  <si>
    <t>MASTER BATCH ONCOLOR YELLOW NE12340208-ZN</t>
  </si>
  <si>
    <t>MASTER BATCH BEIGE (RCW-25)</t>
  </si>
  <si>
    <t>MASTER BATCH AMBAR BR-535n</t>
  </si>
  <si>
    <t>MASTER BATCH WHITE PRC-MC ET02340000</t>
  </si>
  <si>
    <t>MASTER BATCH RENOL-GREEN NE60340193-MN</t>
  </si>
  <si>
    <t>MASTER BATCH GREEN PE63340532-ZN FA</t>
  </si>
  <si>
    <t>MASTER BATCH BLACK DP# 6411</t>
  </si>
  <si>
    <t>Granules</t>
  </si>
  <si>
    <t>HIGH DENSITY POLY ETHYLINE (HDPE) 200050</t>
  </si>
  <si>
    <t>LOW DENSITY POLY ETHYLENE ( LDPE 4025AS AB247Y01)</t>
  </si>
  <si>
    <t>HDPE BLOW NATURAL ( MARLEX )</t>
  </si>
  <si>
    <t>Poly Bag</t>
  </si>
  <si>
    <t>POLY BAG 20X30 (LDPE)</t>
  </si>
  <si>
    <t>POLY BAG 24X36 (LDPE)</t>
  </si>
  <si>
    <t>Packing</t>
  </si>
  <si>
    <t>PLASTIC DOORI</t>
  </si>
  <si>
    <t>ROLL</t>
  </si>
  <si>
    <t>TUBEX  — July 2026 Month to Date Report</t>
  </si>
  <si>
    <t>Report Date (Yesterday's Production):</t>
  </si>
  <si>
    <t>TUBE — YESTERDAY</t>
  </si>
  <si>
    <t>TUBE — MTD</t>
  </si>
  <si>
    <t>TUBE — REJECT %</t>
  </si>
  <si>
    <t>Dispatch — MTD</t>
  </si>
  <si>
    <t>Press &amp; Printing Downtime — MTD</t>
  </si>
  <si>
    <t>Hours (MTD)</t>
  </si>
  <si>
    <t>% Share</t>
  </si>
  <si>
    <t>PET — YESTERDAY</t>
  </si>
  <si>
    <t>PET — MTD</t>
  </si>
  <si>
    <t>PET — REJECT %</t>
  </si>
  <si>
    <t>Summary of Production &amp; Dispatch - MTD</t>
  </si>
  <si>
    <t>Mechanical</t>
  </si>
  <si>
    <t>Type</t>
  </si>
  <si>
    <t>Customer</t>
  </si>
  <si>
    <t>Product Name</t>
  </si>
  <si>
    <t>Dia</t>
  </si>
  <si>
    <t>Prod ID</t>
  </si>
  <si>
    <t>Orders</t>
  </si>
  <si>
    <t>MTD Produced</t>
  </si>
  <si>
    <t>Remaining</t>
  </si>
  <si>
    <t>Compliance</t>
  </si>
  <si>
    <t>Dispatch</t>
  </si>
  <si>
    <t>Remarks</t>
  </si>
  <si>
    <t>Electrical</t>
  </si>
  <si>
    <t>TUBE</t>
  </si>
  <si>
    <t>Brookes Pharma Private Limited</t>
  </si>
  <si>
    <t>ECZEMUS OINTMENT 0.03% 10G</t>
  </si>
  <si>
    <t>Hold (Caps Not Approved)</t>
  </si>
  <si>
    <t>Samsol International Private Limited</t>
  </si>
  <si>
    <t>S 43 25MM</t>
  </si>
  <si>
    <t>100k Extra Planned</t>
  </si>
  <si>
    <t>Material Shortage</t>
  </si>
  <si>
    <t>S-45</t>
  </si>
  <si>
    <t>Changeover</t>
  </si>
  <si>
    <t>Golden Pearl Cosmetics (PVT) LTD</t>
  </si>
  <si>
    <t>HELLO HAIR COLOR</t>
  </si>
  <si>
    <t>TOTAL</t>
  </si>
  <si>
    <t>100%</t>
  </si>
  <si>
    <t>Operations</t>
  </si>
  <si>
    <t>Mablay Beauty PVT LTD.</t>
  </si>
  <si>
    <t>VINCE NURTURAL</t>
  </si>
  <si>
    <t>Adore</t>
  </si>
  <si>
    <t>V- HC BROWN</t>
  </si>
  <si>
    <t xml:space="preserve">Hold </t>
  </si>
  <si>
    <t>Power Shutdown</t>
  </si>
  <si>
    <t>PET</t>
  </si>
  <si>
    <t>PET BOTTLE SMALL (120ML) YELLOW</t>
  </si>
  <si>
    <t>120 ml</t>
  </si>
  <si>
    <t>Gas Shutdown</t>
  </si>
  <si>
    <t>PET BOTTLE 130ML WHITE</t>
  </si>
  <si>
    <t>130 ml</t>
  </si>
  <si>
    <t>Workers Shortage</t>
  </si>
  <si>
    <t>Alpha Labs PVT LTD</t>
  </si>
  <si>
    <t>TRANSPARENT BOTTLE 150ML</t>
  </si>
  <si>
    <t>150 ml</t>
  </si>
  <si>
    <t>PET BOTTLE LARGE 200ML WHITE</t>
  </si>
  <si>
    <t>200 ml</t>
  </si>
  <si>
    <t>PET BOTTLE LARGE (200 ML) YELLOW</t>
  </si>
  <si>
    <t>BT-200ML MUSTARD OIL (TRANSPARENT)</t>
  </si>
  <si>
    <t>Bahadur</t>
  </si>
  <si>
    <t>BAHADUR TUBE 12.5MM</t>
  </si>
  <si>
    <t>S-45 DIA 19MM</t>
  </si>
  <si>
    <t>S-43 DIA 19MM</t>
  </si>
  <si>
    <t>PHLOGIN GEL 20G</t>
  </si>
  <si>
    <t>PYODINE GEL 20GM</t>
  </si>
  <si>
    <t>CONTRATUBEX GEL 20G</t>
  </si>
  <si>
    <t>S-43 DIA 20.5</t>
  </si>
  <si>
    <t>VINCE HIS ONLY BEARD &amp; MUSTACHE COLOR CREAM</t>
  </si>
  <si>
    <t>S-45 DIA 20.5</t>
  </si>
  <si>
    <t>SAMSOL HAIR COLOR 45 DIA 20.5 MM</t>
  </si>
  <si>
    <t>SAMSOL HAIR COLOR 43 DIA 20.5 MM</t>
  </si>
  <si>
    <t>SAMSOL HAIR COLOR 39 SMALL PURPLE</t>
  </si>
  <si>
    <t>SAMSOL HAIR COLOR 41 SMALL PURPLE</t>
  </si>
  <si>
    <t>TUBES COMMON RED</t>
  </si>
  <si>
    <t>TUBE COMMON PURPLE</t>
  </si>
  <si>
    <t>TUBES</t>
  </si>
  <si>
    <t>HIS ONLY HAIR COLOR CREAM 40GM</t>
  </si>
  <si>
    <t>DTM</t>
  </si>
  <si>
    <t>DTM DIA 25MM</t>
  </si>
  <si>
    <t>TUBES MEN BLUE</t>
  </si>
  <si>
    <t>SAMSOL RED 25MM</t>
  </si>
  <si>
    <t>Professional Beauty Solution (Pvt) Ltd</t>
  </si>
  <si>
    <t>BELINI HAIR COLOR 50ML</t>
  </si>
  <si>
    <t>Seatle (Private) Limited</t>
  </si>
  <si>
    <t>DOWFEN GEL 50G</t>
  </si>
  <si>
    <t>Al-Rehman Group</t>
  </si>
  <si>
    <t>SIGNATURE HAIR COLOR CREAM 60ML</t>
  </si>
  <si>
    <t>ACTIVE PRO HAIR COLOR CREAM 60ML</t>
  </si>
  <si>
    <t>VINCE NURTURAL (Varnish)</t>
  </si>
  <si>
    <t>Professional Beauty Solution (PVT) LTD.Pakistan</t>
  </si>
  <si>
    <t>EAZICOLOR PREMIUM HAIR COLOUR 60ML</t>
  </si>
  <si>
    <t>HIBA S HAIR COLOR 60ML</t>
  </si>
  <si>
    <t>EAZI COLOR PERMANENT HAIR COLOUR 60ML</t>
  </si>
  <si>
    <t>Mateen Sons</t>
  </si>
  <si>
    <t>GP DIA 30MM</t>
  </si>
  <si>
    <t>Hola Hair</t>
  </si>
  <si>
    <t>H.H 100GM</t>
  </si>
  <si>
    <t>Mega Grey</t>
  </si>
  <si>
    <t>M.G</t>
  </si>
  <si>
    <t>V-HC BLACK</t>
  </si>
  <si>
    <t>ANVIL 43</t>
  </si>
  <si>
    <t>ANVIL 45</t>
  </si>
  <si>
    <t>BLACK SMALL BOTTLE 120ML</t>
  </si>
  <si>
    <t>WHITE SMALL BOTTLE 120ML</t>
  </si>
  <si>
    <t>PET BOTTLE SMALL (130ML) TRANSPARENT</t>
  </si>
  <si>
    <t>BLACK BOTTLE 200ML</t>
  </si>
  <si>
    <t>TRANSPARENT BOTTLE 300ML</t>
  </si>
  <si>
    <t>300 ml</t>
  </si>
  <si>
    <t>TRANSPARENT JAR 500ML</t>
  </si>
  <si>
    <t>500 ml</t>
  </si>
  <si>
    <t>JULY 2026 Tube Required Orders</t>
  </si>
  <si>
    <t>Product ID</t>
  </si>
  <si>
    <t>Job Order #</t>
  </si>
  <si>
    <t>Required Qty</t>
  </si>
  <si>
    <t>Produced</t>
  </si>
  <si>
    <t>Remaining Balance</t>
  </si>
  <si>
    <t>CAPS Not Approved</t>
  </si>
  <si>
    <t>HOLD</t>
  </si>
  <si>
    <t>TOTAL:</t>
  </si>
  <si>
    <t>JULY TUBES MATERIAL REQUIREMENT PLAN</t>
  </si>
  <si>
    <t>Item Name</t>
  </si>
  <si>
    <t>Current Stock (Store + WIP)</t>
  </si>
  <si>
    <t>Surplus / (Deficit)</t>
  </si>
  <si>
    <t>Product Name(s)</t>
  </si>
  <si>
    <t>Status</t>
  </si>
  <si>
    <t>SLUG</t>
  </si>
  <si>
    <t>12.5X4.5X4.8</t>
  </si>
  <si>
    <t>16X4.8 S/M</t>
  </si>
  <si>
    <t>19X4.2</t>
  </si>
  <si>
    <t>25X4.8 S/M</t>
  </si>
  <si>
    <t>30X4.3</t>
  </si>
  <si>
    <t>32X5.2</t>
  </si>
  <si>
    <t>LACQUER</t>
  </si>
  <si>
    <t>LACQUER IMP 49989</t>
  </si>
  <si>
    <t>LACQUER RHENANIA (ACTEGA COLL 299)</t>
  </si>
  <si>
    <t>PIGMENTED LACQUER 57300</t>
  </si>
  <si>
    <t>E/P LACQUER 4000 A/R</t>
  </si>
  <si>
    <t>BASE COAT</t>
  </si>
  <si>
    <t>LATEX</t>
  </si>
  <si>
    <t>ZINC POWDER</t>
  </si>
  <si>
    <t>ZINC ARCHIMATE</t>
  </si>
  <si>
    <t>CAP</t>
  </si>
  <si>
    <t>Hold. Caps not approved</t>
  </si>
  <si>
    <t>CARTON</t>
  </si>
  <si>
    <t>TAPE</t>
  </si>
  <si>
    <t>THINNER</t>
  </si>
  <si>
    <t>THINNER LACQUER SOL EPOXY</t>
  </si>
  <si>
    <t>PET RESIN</t>
  </si>
  <si>
    <t>MASTER BATCH</t>
  </si>
  <si>
    <t>GRANULES</t>
  </si>
  <si>
    <t>POLY BAG</t>
  </si>
  <si>
    <t>PACKING</t>
  </si>
  <si>
    <t>JULY 2026 PET Required Pet Orders</t>
  </si>
  <si>
    <t>Priority</t>
  </si>
  <si>
    <t>336 &amp; 337</t>
  </si>
  <si>
    <t>334 &amp; 338</t>
  </si>
  <si>
    <t>339</t>
  </si>
  <si>
    <t>JULY PET MATERIAL REQUIREMENT PLAN</t>
  </si>
  <si>
    <t xml:space="preserve">  INK — Avg Monthly Usage  |  Data: May 2025 – Apr 2026  |  271.9 kg issued  /  8,617,293 tubes  =  31.6 g / 1,000 tubes</t>
  </si>
  <si>
    <t>Days of
Stock Left</t>
  </si>
  <si>
    <t>g / 1,000
tubes (ref)</t>
  </si>
  <si>
    <t>INK</t>
  </si>
  <si>
    <t>BLACK (LOCAL) 77842</t>
  </si>
  <si>
    <t>INK GOLD V0221267AT-401363 IMPORTED</t>
  </si>
  <si>
    <t>SILVER (LOCAL)</t>
  </si>
  <si>
    <t>DARK BLUE EAZI COLOR 401168</t>
  </si>
  <si>
    <t>GREEN PC</t>
  </si>
  <si>
    <t xml:space="preserve">  PRODUCTION LOG — One row per machine per product per day.</t>
  </si>
  <si>
    <t>Date</t>
  </si>
  <si>
    <t>Machine</t>
  </si>
  <si>
    <t>Dia / Volume</t>
  </si>
  <si>
    <t>Target Quantity</t>
  </si>
  <si>
    <t>Good Quantity Produced</t>
  </si>
  <si>
    <t>Reject/Scrap Quantity</t>
  </si>
  <si>
    <t>Waste%</t>
  </si>
  <si>
    <t>Mechanical DT</t>
  </si>
  <si>
    <t>Electrical DT</t>
  </si>
  <si>
    <t>Material Shortage DT</t>
  </si>
  <si>
    <t>Changeover DT</t>
  </si>
  <si>
    <t>Operations DT</t>
  </si>
  <si>
    <t>Power Shutdown DT</t>
  </si>
  <si>
    <t>Gas Shutdown DT</t>
  </si>
  <si>
    <t>Workers Shortage DT</t>
  </si>
  <si>
    <t>Lacquer-03</t>
  </si>
  <si>
    <t>Latex-01</t>
  </si>
  <si>
    <t>PF Machine</t>
  </si>
  <si>
    <t>Press-04</t>
  </si>
  <si>
    <t>Press-06</t>
  </si>
  <si>
    <t>Printing-03</t>
  </si>
  <si>
    <t>Lacquer-04</t>
  </si>
  <si>
    <t>Trp Bottle</t>
  </si>
  <si>
    <t>Hello Hair</t>
  </si>
  <si>
    <t xml:space="preserve">  BILL OF MATERIALS — Customer-Specific</t>
  </si>
  <si>
    <t>BOM ID</t>
  </si>
  <si>
    <t>Material Category</t>
  </si>
  <si>
    <t>Per 1000 Units</t>
  </si>
  <si>
    <t>Material Group</t>
  </si>
  <si>
    <t>Scrap %</t>
  </si>
  <si>
    <t>Change Note</t>
  </si>
  <si>
    <t>Aluminum Slugs</t>
  </si>
  <si>
    <t>Updated manually, update in erp</t>
  </si>
  <si>
    <t>POLYSTER BASE COAT WHITE 234</t>
  </si>
  <si>
    <t>Item name kept as ERP ('POLYSTER BASE COAT WHITE 234'). Rehan wrote 'BASE COAT WHITE 23410 CT' — corrected. (16-Apr-2026) — Verify in ERP</t>
  </si>
  <si>
    <t>Caps</t>
  </si>
  <si>
    <t>Value changed manually v9.30 (16-Apr-2026) — Update in ERP BOM</t>
  </si>
  <si>
    <t>Cartons</t>
  </si>
  <si>
    <t>Zinc Stearate</t>
  </si>
  <si>
    <t>Packing Tape</t>
  </si>
  <si>
    <t>JALI</t>
  </si>
  <si>
    <t>16X200 J</t>
  </si>
  <si>
    <t>Jali</t>
  </si>
  <si>
    <t>19X200 J</t>
  </si>
  <si>
    <t>IRON AND METAL</t>
  </si>
  <si>
    <t>DIA 19 (1800) 5Ply</t>
  </si>
  <si>
    <t>Iron &amp; Metal</t>
  </si>
  <si>
    <t>NEW material line added manually v9.30 (16-Apr-2026) — Add to ERP BOM</t>
  </si>
  <si>
    <t>Zinc</t>
  </si>
  <si>
    <t>STATIONARY</t>
  </si>
  <si>
    <t>CARTON LABEL</t>
  </si>
  <si>
    <t>Labels</t>
  </si>
  <si>
    <t>Muhammad Hashim Khan</t>
  </si>
  <si>
    <t>Item name kept as ERP ('25x336 5Ply'). Rehan wrote '25x336 5Ply L21.5 W14.5 H7' — corrected. (16-Apr-2026) — Verify in ERP</t>
  </si>
  <si>
    <t>Slug changed 30X4.3 (ID 2) → 30X4.5 S/M (ID 406) per Sikander 21-Apr-2026. ERP update required.</t>
  </si>
  <si>
    <t>Replaces Item 4165 (ZINC ARCHIMATE). ERP BOM update required.</t>
  </si>
  <si>
    <t>30X150 J</t>
  </si>
  <si>
    <t>35x180 5ply</t>
  </si>
  <si>
    <t>Manually Changed from 5.0. Update needed in ERP</t>
  </si>
  <si>
    <t>YELLOW BASE COAT (Item ID unknown — confirm with ERP)</t>
  </si>
  <si>
    <t>Rate 0.78 kg estimated (matches all other 35mm BC products: 6530/6531). Item ID unknown — confirm with Rehan.</t>
  </si>
  <si>
    <t>MASTER CARTON</t>
  </si>
  <si>
    <t>Master Carton</t>
  </si>
  <si>
    <t>MASTERBATCH</t>
  </si>
  <si>
    <t>Masterbatch</t>
  </si>
  <si>
    <t>MASTER CARTON 34.7 X 59.5 X 34.5</t>
  </si>
  <si>
    <t>Professional Beauty Solution (Pvt) Ltd.Pakistan</t>
  </si>
  <si>
    <t>30X150 3Ply L18.75" W12.5" H6.5"</t>
  </si>
  <si>
    <t>Zinc Archinate</t>
  </si>
  <si>
    <t>25x336 5Ply L21.5" W14.5" H7 "</t>
  </si>
  <si>
    <t>M-12 S/M SPR WHITE DIA 30 SCABIN</t>
  </si>
  <si>
    <t>35x180 5ply L21.5" W14.5" H8.5"</t>
  </si>
  <si>
    <t>POLYSTER BASE COAT WHITE 23410 CT</t>
  </si>
  <si>
    <t>20.5x510 5ply L21.5" W14.5" H6"</t>
  </si>
  <si>
    <t>SAMSOL INTERNATIONAL PRIVATE LIMITED</t>
  </si>
  <si>
    <t>PET BOTTLE SMALL (120 ML) YELLOW</t>
  </si>
  <si>
    <t>ABID MASOOD KHAN</t>
  </si>
  <si>
    <t>BT-300 ML TRANSPARENT</t>
  </si>
  <si>
    <t>PET BOTTLE LARGE (200ML) COMPACT BLACK</t>
  </si>
  <si>
    <t>PET BOTTLE SMALL (120ML) COMPACT BLACK</t>
  </si>
  <si>
    <t>ALPHA LABS PVT LTD</t>
  </si>
  <si>
    <t>PET BOTTLE (150ML)TRANSPARENT BODY MIST</t>
  </si>
  <si>
    <t>BT-120 ML YELLOW</t>
  </si>
  <si>
    <t>BT-200 ML YELLOW</t>
  </si>
  <si>
    <t>BT-130 ML TRANSPARENT</t>
  </si>
  <si>
    <t>PET BOTTLE (500ML) GREEN</t>
  </si>
  <si>
    <t xml:space="preserve">  PRODUCT CATALOG — Master lookup for all products</t>
  </si>
  <si>
    <t>Dia (mm)</t>
  </si>
  <si>
    <t>Length (mm)</t>
  </si>
  <si>
    <t>Pcs/Carton</t>
  </si>
  <si>
    <t># of Pieces</t>
  </si>
  <si>
    <t>Slug (kg)</t>
  </si>
  <si>
    <t>Base Coat (kg)</t>
  </si>
  <si>
    <t>Lacquer (kg)</t>
  </si>
  <si>
    <t>Latex (kg)</t>
  </si>
  <si>
    <t>Zinc (kg)</t>
  </si>
  <si>
    <t>Caps (PCS)</t>
  </si>
  <si>
    <t>Cartons (PCS)</t>
  </si>
  <si>
    <t>Ink Used</t>
  </si>
  <si>
    <t>No</t>
  </si>
  <si>
    <t>Yes</t>
  </si>
  <si>
    <t>BOM ISSUES — ERP Action Register (v10.21 · May 2026)</t>
  </si>
  <si>
    <t>Open items only. Fixed/resolved items are removed. Colour code: RED=CRITICAL · ORANGE=HIGH · YELLOW=MEDIUM · WHITE=LOW.</t>
  </si>
  <si>
    <t>S1 — NEW ERP BOMs REQUIRED: TUBE PRODUCTS</t>
  </si>
  <si>
    <t>PID</t>
  </si>
  <si>
    <t>BOM#</t>
  </si>
  <si>
    <t>Product</t>
  </si>
  <si>
    <t>Issue</t>
  </si>
  <si>
    <t>ERP Action Required</t>
  </si>
  <si>
    <t>Placeholder PID — varnish pass</t>
  </si>
  <si>
    <t>Create ERP BOM: Slug(2)+BC(3595)+Lac(4155)+Zinc(194)+Cap(578)+Carton(3598)+Tape(3635).</t>
  </si>
  <si>
    <t>HIGH</t>
  </si>
  <si>
    <t>OPEN</t>
  </si>
  <si>
    <t>—</t>
  </si>
  <si>
    <t>Samsol International</t>
  </si>
  <si>
    <t>S-43 DIA 19</t>
  </si>
  <si>
    <t>Real ERP PID confirmed (was 9003)</t>
  </si>
  <si>
    <t>Create ERP BOM: Slug(22)+BC(3595)+Lac(185)+Cap(80)+Carton(39 or 3619 — confirm)+Zinc(194)+Tape(3635).</t>
  </si>
  <si>
    <t>Placeholder PID. Carton ID 9903 is fake.</t>
  </si>
  <si>
    <t>Create ERP BOM. Confirm real carton Item ID. Lacquer Item ID unknown — add once confirmed.</t>
  </si>
  <si>
    <t>Placeholder PID</t>
  </si>
  <si>
    <t>Create ERP BOM: Slug(6)+BC(3595)+Lac(185)+Cap(68)+Carton(3598)+Zinc(194)+Tape(3635).</t>
  </si>
  <si>
    <t>S3 — BOM RATE CORRECTIONS: Fix quantities in existing ERP BOMs</t>
  </si>
  <si>
    <t>Material</t>
  </si>
  <si>
    <t>Current ERP Rate</t>
  </si>
  <si>
    <t>Correct Rate</t>
  </si>
  <si>
    <t>Notes</t>
  </si>
  <si>
    <t>4155</t>
  </si>
  <si>
    <t>0.16 kg</t>
  </si>
  <si>
    <t>0.50 kg</t>
  </si>
  <si>
    <t>CRITICAL</t>
  </si>
  <si>
    <t>Floor measurement. 3× understatement.</t>
  </si>
  <si>
    <t>Same spec as Anvil 43.</t>
  </si>
  <si>
    <t>4156</t>
  </si>
  <si>
    <t>0.78 kg</t>
  </si>
  <si>
    <t>1.20 kg</t>
  </si>
  <si>
    <t>Floor wet measurement.</t>
  </si>
  <si>
    <t>SAMSOL HC 45 20.5MM</t>
  </si>
  <si>
    <t>3635</t>
  </si>
  <si>
    <t>2.996 PCS</t>
  </si>
  <si>
    <t>0.059 PCS</t>
  </si>
  <si>
    <t>50× data entry error.</t>
  </si>
  <si>
    <t>SAMSOL HC 43 20.5MM</t>
  </si>
  <si>
    <t>any</t>
  </si>
  <si>
    <t>5,600,000 kg</t>
  </si>
  <si>
    <t>~0.56 kg</t>
  </si>
  <si>
    <t>ERP data entry error — magnitude wrong.</t>
  </si>
  <si>
    <t>0.28 kg</t>
  </si>
  <si>
    <t>0.47 kg</t>
  </si>
  <si>
    <t>MEDIUM</t>
  </si>
  <si>
    <t>Floor dry measurement.</t>
  </si>
  <si>
    <t>S4 — MISSING MATERIAL LINES: Add to existing ERP BOMs</t>
  </si>
  <si>
    <t>Missing Material</t>
  </si>
  <si>
    <t>Rate</t>
  </si>
  <si>
    <t>Reason / Evidence</t>
  </si>
  <si>
    <t>6020/6021</t>
  </si>
  <si>
    <t>ANVIL 43 / ANVIL 45</t>
  </si>
  <si>
    <t>YELLOW BASE COAT</t>
  </si>
  <si>
    <t>0.78 kg (est — matches all 35mm)</t>
  </si>
  <si>
    <t>Added to local BOM (red font). Item ID 177 confirmed per S6. ADD to ERP BOM.</t>
  </si>
  <si>
    <t>1,000 PCS</t>
  </si>
  <si>
    <t>No cap in ERP BOM. Same 30mm white cap used by all 30mm products.</t>
  </si>
  <si>
    <t>UNKNOWN</t>
  </si>
  <si>
    <t>TBD</t>
  </si>
  <si>
    <t>No cap line in ERP BOM at all. Confirm Item ID with Rehan.</t>
  </si>
  <si>
    <t>ERP BOM#95 has no carton despite 150 pcs/carton in header. Confirm Item ID.</t>
  </si>
  <si>
    <t>0.28 kg (est)</t>
  </si>
  <si>
    <t>Product_Catalog=Yes but not in BOM. Same rate as Active Pro 30mm.</t>
  </si>
  <si>
    <t>VINCE HIS</t>
  </si>
  <si>
    <t>Product_Catalog=Yes but not in BOM. Confirm rate with Rehan.</t>
  </si>
  <si>
    <t>Header shows Latex=Yes but no latex line in BOM.</t>
  </si>
  <si>
    <t>Product_Catalog=Yes but not in BOM.</t>
  </si>
  <si>
    <t>S5 — ITEM ID CHANGES: Applied in local BOM. Must be replicated in ERP (delete old line, add new line)</t>
  </si>
  <si>
    <t>Old Item ID</t>
  </si>
  <si>
    <t>Old ERP Name</t>
  </si>
  <si>
    <t>New Item ID</t>
  </si>
  <si>
    <t>New ERP Name</t>
  </si>
  <si>
    <t>ACTIVE PRO 60ML</t>
  </si>
  <si>
    <t>0.67 kg</t>
  </si>
  <si>
    <t>0.56 kg</t>
  </si>
  <si>
    <t>0.3737 kg</t>
  </si>
  <si>
    <t>HIBA S HAIR COLOR</t>
  </si>
  <si>
    <t>HIS ONLY HC 40GM</t>
  </si>
  <si>
    <t>0.612 kg</t>
  </si>
  <si>
    <t>0.1785 kg</t>
  </si>
  <si>
    <t>0.61 kg</t>
  </si>
  <si>
    <t>M-11 SPR BEIGE DIA 25</t>
  </si>
  <si>
    <t>M-11 SPR WHITE DIA 25MM</t>
  </si>
  <si>
    <t>0.385 kg</t>
  </si>
  <si>
    <t>M-9 SPR BEIGE DIA 20.5</t>
  </si>
  <si>
    <t>M-9 SPR WHITE DIA 20.5MM</t>
  </si>
  <si>
    <t>0.24 kg</t>
  </si>
  <si>
    <t>0.292 kg</t>
  </si>
  <si>
    <t>0.31 kg</t>
  </si>
  <si>
    <t>0.6684 kg</t>
  </si>
  <si>
    <t>0.2959 kg</t>
  </si>
  <si>
    <t>6.06 PCS</t>
  </si>
  <si>
    <t>S6 — ITEM ID QUERIES: Confirm with Rehan before finalising</t>
  </si>
  <si>
    <t>Detail</t>
  </si>
  <si>
    <t>Item / ID 1</t>
  </si>
  <si>
    <t>Item / ID 2</t>
  </si>
  <si>
    <t>Question / Issue</t>
  </si>
  <si>
    <t>PID 6624 Carton</t>
  </si>
  <si>
    <t>S-43 DIA 19 (19mm product)</t>
  </si>
  <si>
    <t>3619 = 20.5mm carton</t>
  </si>
  <si>
    <t>39 = 19mm carton (expected)</t>
  </si>
  <si>
    <t>BOM originally had 20.5mm carton for 19mm product — likely Rehan data entry error. Which is correct?</t>
  </si>
  <si>
    <t>Gold Inks</t>
  </si>
  <si>
    <t>Item IDs 7094 vs 6935</t>
  </si>
  <si>
    <t>ID 7094 = INK GOLD IMP V0221267AT</t>
  </si>
  <si>
    <t>ID 6935 = GOLD V0221267-RF</t>
  </si>
  <si>
    <t>Same material or different? 7094 has 20 kg consumption; 6935 has zero. Possible duplicate.</t>
  </si>
  <si>
    <t>Verify</t>
  </si>
  <si>
    <t>LOW</t>
  </si>
  <si>
    <t>PID 5698 vs 5731</t>
  </si>
  <si>
    <t>S-45 DIA 20.5 (Samsol)</t>
  </si>
  <si>
    <t>5698 BOM#22 (old)</t>
  </si>
  <si>
    <t>5731 BOM#32 (newer)</t>
  </si>
  <si>
    <t>Is PID 5698 obsolete, superseded by 5731? Confirm ERP.</t>
  </si>
  <si>
    <t>Confirm</t>
  </si>
  <si>
    <t>PID 6077</t>
  </si>
  <si>
    <t>VINCE HIS BOM#138</t>
  </si>
  <si>
    <t>ERP BOM#138</t>
  </si>
  <si>
    <t>BOM#138 not in ERP BOMs file provided. Does it exist in ERP?</t>
  </si>
  <si>
    <t>Zinc Archimate</t>
  </si>
  <si>
    <t>PIDs 6337/6416/6312</t>
  </si>
  <si>
    <t>ZINC ARCHIMATE (Item 4165)</t>
  </si>
  <si>
    <t>ZINC STEARATE (Item 194)</t>
  </si>
  <si>
    <t>4165 is obsolete — replaced by 194. Local BOM fixed. ERP BOM# 157/166/171 must remove 4165, add 194.</t>
  </si>
  <si>
    <t>Local Fixed — ERP Pending</t>
  </si>
  <si>
    <t>Anvil Yellow BC</t>
  </si>
  <si>
    <t>PID 6020/6021</t>
  </si>
  <si>
    <t>Item 177 = YELLOW IMP 5711200008</t>
  </si>
  <si>
    <t>Confirm Item ID 177 is correct for Yellow Base Coat. Rate 0.78 kg/1000 is estimated (red font).</t>
  </si>
  <si>
    <t>Bahadur Lacquer</t>
  </si>
  <si>
    <t>PID 9004</t>
  </si>
  <si>
    <t>Item 185 (est)</t>
  </si>
  <si>
    <t>Lacquer line added to local BOM at 0.17 kg (same as 16mm). Confirm actual rate with Aurangzeb.</t>
  </si>
  <si>
    <t>S7 — ERP ITEM NAME CORRECTIONS: LACQUER spelling (LACQUAR → LACQUER). Fixed in local BOM. ERP item master still incorrect.</t>
  </si>
  <si>
    <t>Old ERP Name (wrong)</t>
  </si>
  <si>
    <t>Correct Name</t>
  </si>
  <si>
    <t>Affected Products</t>
  </si>
  <si>
    <t>→</t>
  </si>
  <si>
    <t>ACTIVE PRO, SIGNATURE, HELLO HC, VINCE NURTURAL, VINCE NURTURAL (Varnish), HIBA HC, VINCE HIS</t>
  </si>
  <si>
    <t>Obsolete in local BOM (replaced by 4155). May still appear in old ERP BOMs.</t>
  </si>
  <si>
    <t>Obsolete in local BOM (replaced by 185). May still appear in old ERP BOMs.</t>
  </si>
  <si>
    <t>S8 — SLUG CHANGE: 30mm diameter products — 30×4.3 (Item 2) → 30×4.5 S/M (Item 406). Effective 21-Apr-2026. Local BOM updated. ERP pending.</t>
  </si>
  <si>
    <t>Old Slug</t>
  </si>
  <si>
    <t>New Slug</t>
  </si>
  <si>
    <t>30×4.3 (Item 2)</t>
  </si>
  <si>
    <t>30×4.5 S/M (Item 406)</t>
  </si>
  <si>
    <t>Replace slug line in ERP BOM</t>
  </si>
  <si>
    <t>S9 — INK MANAGEMENT (Historical Average Method — BOM-based tracking not applicable)</t>
  </si>
  <si>
    <t>Ink consumption tracked via MRP sheet ink section using 12-month ERP averages (May 2025–Apr 2026). DO NOT create ink BOMs in ERP — Aurangzeb's team custom-mixes every batch. Refresh quarterly.</t>
  </si>
  <si>
    <t>Rule</t>
  </si>
  <si>
    <t>Order trigger</t>
  </si>
  <si>
    <t>Order when Days of Stock &lt; 30 (under 1 month supply)</t>
  </si>
  <si>
    <t>Safety stock</t>
  </si>
  <si>
    <t>≥ 2 months stock for high-volume inks (avg &gt; 1 kg/mo)</t>
  </si>
  <si>
    <t>Min order qty</t>
  </si>
  <si>
    <t>High-vol (&gt;1 kg/mo): 5 kg. Low-vol: 2 kg.</t>
  </si>
  <si>
    <t>Mixing buffer</t>
  </si>
  <si>
    <t>30% uplift on avg — manual mixing causes ±20-30% monthly variance.</t>
  </si>
  <si>
    <t>Dormant stock</t>
  </si>
  <si>
    <t>avg=0 but stock on hand: review with Aurangzeb before writing off.</t>
  </si>
  <si>
    <t>Quarterly refresh</t>
  </si>
  <si>
    <t>Each quarter (Aug/Nov/Feb/May): pull ERP stock report → update col E in MRP ink section.</t>
  </si>
  <si>
    <t>Open Query</t>
  </si>
  <si>
    <t>Item ID(s)</t>
  </si>
  <si>
    <t>Question / Action</t>
  </si>
  <si>
    <t>7094 / 6935</t>
  </si>
  <si>
    <t>ID 7094 consumed 20 kg in 12mo. ID 6935 = zero. Same material under two IDs? Ask Rehan to consolidate.</t>
  </si>
  <si>
    <t>Violet 400484</t>
  </si>
  <si>
    <t>3800</t>
  </si>
  <si>
    <t>Zero consumption 12 months. ~1 kg in stock. Still needed? If not → write off.</t>
  </si>
  <si>
    <t>Pink Fluorescent</t>
  </si>
  <si>
    <t>4216</t>
  </si>
  <si>
    <t>Zero consumption 12 months. ~1 kg in stock. Occasional job or obsolete?</t>
  </si>
  <si>
    <t>Ink Jet Black</t>
  </si>
  <si>
    <t>3642</t>
  </si>
  <si>
    <t>Only 1 kg consumed (Apr 2026). One-off or recurring? Avg set to 0.08 — confirm.</t>
  </si>
  <si>
    <t>Rank</t>
  </si>
  <si>
    <t>Ink Name</t>
  </si>
  <si>
    <t>12mo kg</t>
  </si>
  <si>
    <t>Avg/mo kg</t>
  </si>
  <si>
    <t>g/1000 tubes</t>
  </si>
  <si>
    <t>% of Total</t>
  </si>
  <si>
    <t>20.2%</t>
  </si>
  <si>
    <t>9.2%</t>
  </si>
  <si>
    <t>8.9%</t>
  </si>
  <si>
    <t>8.5%</t>
  </si>
  <si>
    <t>7.7%</t>
  </si>
  <si>
    <t>7.4%</t>
  </si>
  <si>
    <t>INK GOLD IMP V0221267AT</t>
  </si>
  <si>
    <t>5.1%</t>
  </si>
  <si>
    <t>4.0%</t>
  </si>
  <si>
    <t>3.3%</t>
  </si>
  <si>
    <t>Top 10 inks = 81.7% of all consumption. Remaining 15 inks share 18.3%.  Source: ERP ST_Stk_Cons_YFI.rpt · May 2025–Apr 2026 · 8,617,293 pcs produced.</t>
  </si>
  <si>
    <t>FG STOCK IN HAND — Last Updated: 07-Jul-2026</t>
  </si>
  <si>
    <t>Shows latest date only from FG Stock In hand (Production.xlsx). Older dates are discarded. Re-run update_production.py to refresh.</t>
  </si>
  <si>
    <t>Sr.</t>
  </si>
  <si>
    <t>Product (Catalog Name)</t>
  </si>
  <si>
    <t>Dia / Vol</t>
  </si>
  <si>
    <t>FG Qty (pcs)</t>
  </si>
  <si>
    <t>Dispatch Remarks</t>
  </si>
  <si>
    <t>Cap Item ID (auto)</t>
  </si>
  <si>
    <t>130ml</t>
  </si>
  <si>
    <t>OK</t>
  </si>
  <si>
    <t>Ready for dispatch</t>
  </si>
  <si>
    <t>200ml</t>
  </si>
  <si>
    <t>20.5</t>
  </si>
  <si>
    <t>Order Cancel</t>
  </si>
  <si>
    <t>25</t>
  </si>
  <si>
    <t>30</t>
  </si>
  <si>
    <t>32</t>
  </si>
  <si>
    <t>35</t>
  </si>
  <si>
    <t>Not Ready</t>
  </si>
  <si>
    <t>Inprogress on Latex</t>
  </si>
  <si>
    <t>Cap Not Available</t>
  </si>
  <si>
    <t>19</t>
  </si>
  <si>
    <t>ALPHA CONTAINERS — PROJECT REFERENCE GUIDE</t>
  </si>
  <si>
    <t>Last Updated: 16-May-2026 | File: AlphaContainers_v10_27.xlsx | 9 sheets</t>
  </si>
  <si>
    <t>S0 — DAILY WORKFLOW</t>
  </si>
  <si>
    <t>Automated pipeline via Run_All_Updates.bat or individual scripts.</t>
  </si>
  <si>
    <t>#</t>
  </si>
  <si>
    <t>Step</t>
  </si>
  <si>
    <t>Script</t>
  </si>
  <si>
    <t>Input</t>
  </si>
  <si>
    <t>Output</t>
  </si>
  <si>
    <t>1</t>
  </si>
  <si>
    <t>Download ERP files</t>
  </si>
  <si>
    <t>(manual)</t>
  </si>
  <si>
    <t>ERP browser</t>
  </si>
  <si>
    <t>dispatch.xls, inventory.xls</t>
  </si>
  <si>
    <t>Click download, rename, move to D:\Alpha. Takes ~10 seconds.</t>
  </si>
  <si>
    <t>2</t>
  </si>
  <si>
    <t>Download Production file</t>
  </si>
  <si>
    <t>WhatsApp</t>
  </si>
  <si>
    <t>Production.xlsx</t>
  </si>
  <si>
    <t>Imran sends daily. Rename and move to D:\Alpha.</t>
  </si>
  <si>
    <t>3</t>
  </si>
  <si>
    <t>Run update pipeline</t>
  </si>
  <si>
    <t>Run_All_Updates.bat</t>
  </si>
  <si>
    <t>All source files</t>
  </si>
  <si>
    <t>Updated Excel + HTML</t>
  </si>
  <si>
    <t>Double-click to run all 5 steps automatically.</t>
  </si>
  <si>
    <t xml:space="preserve">  Step 1/5</t>
  </si>
  <si>
    <t>update_production.py</t>
  </si>
  <si>
    <t>Production_Log + FG Stock sheets</t>
  </si>
  <si>
    <t>Clears and rewrites from scratch. Logs mismatches.</t>
  </si>
  <si>
    <t xml:space="preserve">  Step 2/5</t>
  </si>
  <si>
    <t>update_inventory.py</t>
  </si>
  <si>
    <t>inventory.xls</t>
  </si>
  <si>
    <t>Inventory sheet</t>
  </si>
  <si>
    <t>Maps ERP items to BOM items.</t>
  </si>
  <si>
    <t xml:space="preserve">  Step 3/5</t>
  </si>
  <si>
    <t>update_dispatch.py</t>
  </si>
  <si>
    <t>dispatch.xls + dispatch_pet.xls</t>
  </si>
  <si>
    <t>Dashboard col K (Dispatch)</t>
  </si>
  <si>
    <t>Matches product names to PIDs.</t>
  </si>
  <si>
    <t xml:space="preserve">  Step 4/5</t>
  </si>
  <si>
    <t>sort_dashboard.py</t>
  </si>
  <si>
    <t>Dashboard data</t>
  </si>
  <si>
    <t>Sorted Tubex_Dashboard</t>
  </si>
  <si>
    <t>Active rows on top (sorted by dia), inactive below. Dynamic sizing.</t>
  </si>
  <si>
    <t xml:space="preserve">  Step 5/5</t>
  </si>
  <si>
    <t>update_html.py</t>
  </si>
  <si>
    <t>All Excel sheets</t>
  </si>
  <si>
    <t>AlphaContainers_App.html</t>
  </si>
  <si>
    <t>Generates the web dashboard for GitHub Pages.</t>
  </si>
  <si>
    <t>4</t>
  </si>
  <si>
    <t>Git push</t>
  </si>
  <si>
    <t>Push.bat (auto)</t>
  </si>
  <si>
    <t>GitHub backup</t>
  </si>
  <si>
    <t>Included in Run_All_Updates.bat. Also runs hourly via scheduled task.</t>
  </si>
  <si>
    <t>5</t>
  </si>
  <si>
    <t>Screenshot Dashboard</t>
  </si>
  <si>
    <t>Excel</t>
  </si>
  <si>
    <t>WhatsApp group</t>
  </si>
  <si>
    <t>Open Excel, Ctrl+Shift+F9, screenshot Tubex_Dashboard.</t>
  </si>
  <si>
    <t>Individual scripts: update_production.py also runs sort_dashboard automatically at the end.</t>
  </si>
  <si>
    <t>Safety: All scripts check if Excel file is open (lock guard) and warn if source files are stale (&gt;26 hours).</t>
  </si>
  <si>
    <t>Logging: All output saved to Logs/ folder with timestamps. Mismatches logged to Logs/mismatches.log.</t>
  </si>
  <si>
    <t>S1 — PEOPLE</t>
  </si>
  <si>
    <t>Name</t>
  </si>
  <si>
    <t>Role</t>
  </si>
  <si>
    <t>Since</t>
  </si>
  <si>
    <t>Sikander</t>
  </si>
  <si>
    <t>Planning &amp; Procurement Lead — both plants (Aerosol base, Tubex weekly visits)</t>
  </si>
  <si>
    <t>Reports to Saqib. ~10 yrs supply chain: BOPET film, SAP ERP, export logistics.</t>
  </si>
  <si>
    <t>Mar 2026</t>
  </si>
  <si>
    <t>Saqib</t>
  </si>
  <si>
    <t>Production Manager, Tubex</t>
  </si>
  <si>
    <t>Reviews AlphaContainers. Approves plan changes. Roman Urdu voice notes.</t>
  </si>
  <si>
    <t>Tubex</t>
  </si>
  <si>
    <t>Aurangzeb</t>
  </si>
  <si>
    <t>Production Engineer / Floor Supervisor</t>
  </si>
  <si>
    <t>Floor measurements, physical data. Hindi voice notes.</t>
  </si>
  <si>
    <t>Rehan</t>
  </si>
  <si>
    <t>Store Manager</t>
  </si>
  <si>
    <t>Manages inventory, ERP store reports, ERP Item IDs and BOM confirmations.</t>
  </si>
  <si>
    <t>Imran</t>
  </si>
  <si>
    <t>Data Entry — maintains daily Production.xlsx</t>
  </si>
  <si>
    <t>Naming differs from catalog. Tracks by Job Order number.</t>
  </si>
  <si>
    <t>Seth</t>
  </si>
  <si>
    <t>Senior Stakeholder</t>
  </si>
  <si>
    <t>Reviews file periodically.</t>
  </si>
  <si>
    <t>S2 — PLANTS &amp; MACHINES</t>
  </si>
  <si>
    <t>Plant</t>
  </si>
  <si>
    <t>Capacity / Notes</t>
  </si>
  <si>
    <t>Running — aluminum collapsible tube manufacturing</t>
  </si>
  <si>
    <t>Pline-03 and Pline-04: 22,500 pcs/day each. Mon-Sat (26 days/month typical).</t>
  </si>
  <si>
    <t>PET Line</t>
  </si>
  <si>
    <t>Running — PET bottle line</t>
  </si>
  <si>
    <t>PF Machine. Separate KPI card in dashboard.</t>
  </si>
  <si>
    <t>Aerosol</t>
  </si>
  <si>
    <t>Not installed yet</t>
  </si>
  <si>
    <t>Sikander's primary base.</t>
  </si>
  <si>
    <t>Diameter conflict</t>
  </si>
  <si>
    <t>Both machines MUST run different diameters on the same day.</t>
  </si>
  <si>
    <t>Changeover cost</t>
  </si>
  <si>
    <t>5,000 pcs deduction on the day the outgoing product finishes (not next day). Same-dia plate swap = no deduction.</t>
  </si>
  <si>
    <t>Scrap factor</t>
  </si>
  <si>
    <t>10% built into BOM formulas. Covers rejected tubes only — NOT solvent evaporation.</t>
  </si>
  <si>
    <t>Confirmed orders run before Expected orders unless Saqib overrides.</t>
  </si>
  <si>
    <t>Exact quantities</t>
  </si>
  <si>
    <t>Plan exactly the ordered amount. No rounding up without approval.</t>
  </si>
  <si>
    <t>S3 — SHEET MAP (9 sheets)</t>
  </si>
  <si>
    <t>Sheet</t>
  </si>
  <si>
    <t>Purpose</t>
  </si>
  <si>
    <t>Key Details</t>
  </si>
  <si>
    <t>Tubex_Dashboard</t>
  </si>
  <si>
    <t>KPIs: Tube (Printing only, no Varnish) + PET. Downtime. Active orders sorted by dia with MTD compliance.</t>
  </si>
  <si>
    <t>Active/inactive auto-sorted by sort_dashboard.py. Dynamic row count — no empty gaps. TOTAL rows separate sections.</t>
  </si>
  <si>
    <t>MRP</t>
  </si>
  <si>
    <t>Active orders + Material Requirement Plan. Tube orders rows 3-10, PET rows 101-106. Ink section rows 122-150.</t>
  </si>
  <si>
    <t>MRP D column (Product ID) MUST be hardcoded — if blank, all SUMIF material reqs = 0 (silent failure).</t>
  </si>
  <si>
    <t>BOM</t>
  </si>
  <si>
    <t>All product BOMs. TableBOM = A2:M345. Cols: PID|BOM|Customer|Product|Dia|MatCat|ItemID|ItemName|UOM|Per1000|MatGroup|Scrap%|ChangeNote</t>
  </si>
  <si>
    <t>Inventory</t>
  </si>
  <si>
    <t>Latest ERP stock positions. Updated by update_inventory.py from inventory.xls.</t>
  </si>
  <si>
    <t>Product_Catalog</t>
  </si>
  <si>
    <t>Single source of truth for product names and PIDs. To rename: update col C only.</t>
  </si>
  <si>
    <t>Production_Log</t>
  </si>
  <si>
    <t>Daily production data. Rewritten from scratch by update_production.py each run.</t>
  </si>
  <si>
    <t>Only current month data kept. Old months removed manually.</t>
  </si>
  <si>
    <t>BOM Issues</t>
  </si>
  <si>
    <t>Tracks ERP BOM discrepancies, Item ID queries, and pending corrections.</t>
  </si>
  <si>
    <t>See BOM Issues sheet for full details.</t>
  </si>
  <si>
    <t>FG Stock</t>
  </si>
  <si>
    <t>Finished Goods stock in hand. Updated by update_production.py from FG Stock In hand sheet in Production.xlsx.</t>
  </si>
  <si>
    <t>Notes &amp; Guide</t>
  </si>
  <si>
    <t>This sheet. Project reference, workflow, people, rules, action items.</t>
  </si>
  <si>
    <t>S4 — AUTOMATION SCRIPTS</t>
  </si>
  <si>
    <t>Location</t>
  </si>
  <si>
    <t>Dependencies</t>
  </si>
  <si>
    <t>Scripts/</t>
  </si>
  <si>
    <t>Reads Production.xlsx, rewrites Production_Log + FG Stock. Auto-runs sort_dashboard at end.</t>
  </si>
  <si>
    <t>pandas, openpyxl</t>
  </si>
  <si>
    <t>Reads inventory.xls, updates Inventory sheet with latest ERP stock levels.</t>
  </si>
  <si>
    <t>Reads dispatch.xls + dispatch_pet.xls, writes Dashboard col K.</t>
  </si>
  <si>
    <t>Sorts Dashboard: active rows on top (by dia low-to-high), inactive below. Dynamic TOTAL row positions.</t>
  </si>
  <si>
    <t>openpyxl</t>
  </si>
  <si>
    <t>Generates AlphaContainers_App.html web dashboard for GitHub Pages.</t>
  </si>
  <si>
    <t>alpha_checks.py</t>
  </si>
  <si>
    <t>Shared safety module: file lock guard, freshness check, mismatch logging.</t>
  </si>
  <si>
    <t>Runs all 5 steps + git push. Logs output to Logs/ folder.</t>
  </si>
  <si>
    <t>Push.bat</t>
  </si>
  <si>
    <t>Git commit + push + OneDrive copy. Also used by hourly scheduled task.</t>
  </si>
  <si>
    <t>Pull.bat</t>
  </si>
  <si>
    <t>Git pull to sync between work and home PCs.</t>
  </si>
  <si>
    <t>S5 — DASHBOARD SORT RULES (sort_dashboard.py)</t>
  </si>
  <si>
    <t>Active criteria</t>
  </si>
  <si>
    <t>A product is ACTIVE if: Orders (G) &gt; 0 OR MTD Produced &gt; 0 OR Dispatched (K) &gt; 0.</t>
  </si>
  <si>
    <t>Sort order</t>
  </si>
  <si>
    <t>Within active and inactive sections: sorted by diameter (low to high). PETs sorted by ml (low to high).</t>
  </si>
  <si>
    <t>Dynamic sizing</t>
  </si>
  <si>
    <t>No fixed row count. Active section expands/shrinks. TOTAL row sits right after last active product. No blank gaps.</t>
  </si>
  <si>
    <t>Formatting</t>
  </si>
  <si>
    <t>Product rows: Arial 10pt. TOTAL rows: Segoe UI 9pt bold navy. Applied explicitly every run — never inherits stale formatting.</t>
  </si>
  <si>
    <t>Formulas rebuilt</t>
  </si>
  <si>
    <t>H (SUMPRODUCT), I (Remaining), J (Compliance) formulas rebuilt with correct row references after every sort.</t>
  </si>
  <si>
    <t>TOTAL formulas</t>
  </si>
  <si>
    <t>SUM ranges adjusted dynamically to cover exactly the active rows above.</t>
  </si>
  <si>
    <t>KPI formulas</t>
  </si>
  <si>
    <t>Rows 6 and 8 SUMIF formulas updated to cover full data range (all active + inactive rows).</t>
  </si>
  <si>
    <t>Idempotent</t>
  </si>
  <si>
    <t>Running twice produces identical results. Safe to run any number of times.</t>
  </si>
  <si>
    <t>Integration</t>
  </si>
  <si>
    <t>Runs as Step 4/5 in Run_All_Updates.bat. Also auto-runs at end of update_production.py.</t>
  </si>
  <si>
    <t>S6 — CRITICAL RULES (DO NOT BREAK)</t>
  </si>
  <si>
    <t>ERP ITEM IDs</t>
  </si>
  <si>
    <t>NEVER alter ERP Item IDs without Rehan confirmation. Equivalencies: ID 170=3595 (White BC), 4156=3869 (Beige BC).</t>
  </si>
  <si>
    <t>LACQUER SPELLING</t>
  </si>
  <si>
    <t>Correct: LACQUER. If LACQUAR appears anywhere it is a new error — fix immediately.</t>
  </si>
  <si>
    <t>VARNISH TAGS</t>
  </si>
  <si>
    <t>Never strip '(Varnish)' from product names. Dashboard and KPI formulas depend on SEARCH('(Varnish)') filter.</t>
  </si>
  <si>
    <t>INVENTORY RULE</t>
  </si>
  <si>
    <t>NEVER add items from ERP PDF unless asked. Only BOM-relevant items belong. Confirm which items and date range before executing.</t>
  </si>
  <si>
    <t>JALI ITEMS</t>
  </si>
  <si>
    <t>Items 52, 54, 57 (Jali cartons), 199 (19mm 5Ply), 495 (Carton Label), 3621 (Master Carton) — in BOM but intentionally excluded from Inventory.</t>
  </si>
  <si>
    <t>PRODUCT CATALOG</t>
  </si>
  <si>
    <t>Single source of truth. To rename: update col C only. All other sheets derive by PID.</t>
  </si>
  <si>
    <t>MHK ACCOUNT</t>
  </si>
  <si>
    <t>Muhammad Hashim Khan = cash/no-GST ERP placeholder. Not a real customer. See S7 for brand mappings.</t>
  </si>
  <si>
    <t>NEGATIVE INVENTORY</t>
  </si>
  <si>
    <t>Negative issued quantities = legitimate ERP reversal (WIP material returned to store). Not an error.</t>
  </si>
  <si>
    <t>COATING BUFFER</t>
  </si>
  <si>
    <t>Interim until drum testing: order all lacquers and base coats with 50% buffer.</t>
  </si>
  <si>
    <t>OVER-PRODUCTION</t>
  </si>
  <si>
    <t>Acceptable for commodity products. Never exceed targets on rare/custom orders without Saqib approval.</t>
  </si>
  <si>
    <t>openpyxl insert_rows</t>
  </si>
  <si>
    <t>Does NOT auto-update formula references below insertion. Always fix manually.</t>
  </si>
  <si>
    <t>S7 — CUSTOMER &amp; ERP CONTEXT</t>
  </si>
  <si>
    <t>Topic</t>
  </si>
  <si>
    <t>MHK Mapping — PIDs 3447, 5699, 6515</t>
  </si>
  <si>
    <t>ERP cash/no-GST placeholder</t>
  </si>
  <si>
    <t>MHK Mapping — PIDs 6020, 6021, 6530, 6531</t>
  </si>
  <si>
    <t>MHK Mapping — PID 5782</t>
  </si>
  <si>
    <t>MHK Mapping — PID 6338</t>
  </si>
  <si>
    <t>MHK Mapping — PID 6470</t>
  </si>
  <si>
    <t>Customer unknown — confirm</t>
  </si>
  <si>
    <t>Varnish Pass Logic</t>
  </si>
  <si>
    <t>Products with 2 passes: Vince Nurtural, H.H 100GM, Vince His, Hiba HC.</t>
  </si>
  <si>
    <t>Pass 1 = print (counted in KPIs). Pass 2 = (Varnish) in name (excluded from tube KPI counts).</t>
  </si>
  <si>
    <t>PIDs — Vince Nurtural</t>
  </si>
  <si>
    <t>5814 = print pass. 9002 = varnish pass (placeholder PID, no ERP BOM).</t>
  </si>
  <si>
    <t>S-43 / S-45 19mm Split</t>
  </si>
  <si>
    <t>S-43 / S-45 20.5mm Split</t>
  </si>
  <si>
    <t>Alpha Lab</t>
  </si>
  <si>
    <t>Alpha Containers' Karachi subsidiary. Buys PET bottles for internal redistribution. PIDs 8001 (150ml), 8010 (130ml).</t>
  </si>
  <si>
    <t>ERP Item ID: 2680</t>
  </si>
  <si>
    <t>Masterbatch IDs</t>
  </si>
  <si>
    <t>Yellow=4070 (ONCOLOR YELLOW, 5%), White=5816 (5%), Black=7412 (3%).</t>
  </si>
  <si>
    <t>Open: confirm Yellow MB — 4070 vs 4002.</t>
  </si>
  <si>
    <t>PET Bottle Weights</t>
  </si>
  <si>
    <t>120ml: 15g est (unconfirmed). 130ml: 18g confirmed. 150ml: unknown. 200ml: 25g confirmed. 300ml: 25g. 500ml: 50g.</t>
  </si>
  <si>
    <t>S8 — COATING CONSUMPTION STUDY</t>
  </si>
  <si>
    <t>Item</t>
  </si>
  <si>
    <t>Why old sheet removed</t>
  </si>
  <si>
    <t>Jan-Mar 2026 data (3 months) too short. BOMs were wrong during that period. Removed v9.32.</t>
  </si>
  <si>
    <t>Method</t>
  </si>
  <si>
    <t>6+ months ERP issuance (Inventory col G) vs Production_Log output by material category. Ratio = Actual / BOM Theoretical. Ratio &gt;1 = BOM understates.</t>
  </si>
  <si>
    <t>12-month preferred for ink.</t>
  </si>
  <si>
    <t>Recommended period</t>
  </si>
  <si>
    <t>Jun 2025-Nov 2025 (pre-Sikander, avoids transition noise).</t>
  </si>
  <si>
    <t>Interim rule</t>
  </si>
  <si>
    <t>Order 50% buffer on ALL lacquers and base coats until drum testing confirms actual rates.</t>
  </si>
  <si>
    <t>White BC ~25% understated. Epoxy Lacquer ~123% understated.</t>
  </si>
  <si>
    <t>Drum testing issue</t>
  </si>
  <si>
    <t>Drums get partially refilled. Simple weigh-before/after method proposed to Saqib. Pending approval.</t>
  </si>
  <si>
    <t>S9 — INK MANAGEMENT (Historical Average Method)</t>
  </si>
  <si>
    <t>Ink consumption tracked via MRP sheet ink section using 12-month ERP averages (May 2025-Apr 2026). DO NOT create ink BOMs in ERP — Aurangzeb custom-mixes every batch. Refresh quarterly.</t>
  </si>
  <si>
    <t>&gt;= 2 months stock for high-volume inks (avg &gt; 1 kg/mo)</t>
  </si>
  <si>
    <t>30% uplift on avg — manual mixing causes +/-20-30% monthly variance.</t>
  </si>
  <si>
    <t>Each quarter (Aug/Nov/Feb/May): pull ERP stock report, update col E in MRP ink section.</t>
  </si>
  <si>
    <t>S10 — OPEN ACTION ITEMS</t>
  </si>
  <si>
    <t>Task</t>
  </si>
  <si>
    <t>Owner</t>
  </si>
  <si>
    <t>Apply Item ID changes from BOM Issues to ERP system</t>
  </si>
  <si>
    <t>ERP team</t>
  </si>
  <si>
    <t>Confirm Anvil Yellow BC Item ID (likely Item 177). Rate 0.78 kg/1000 est.</t>
  </si>
  <si>
    <t>Fix Anvil 43/45 lacquer ERP rate: 0.16 -&gt; 0.50 kg/1000</t>
  </si>
  <si>
    <t>Fix DTM base coat ERP: 5,600,000 -&gt; 0.56 kg (magnitude error)</t>
  </si>
  <si>
    <t>Add cap (Item 578) to HIBA S HAIR COLOR ERP BOM (6312)</t>
  </si>
  <si>
    <t>6</t>
  </si>
  <si>
    <t>Add carton line to VINCE NURTURAL ERP BOM#95</t>
  </si>
  <si>
    <t>7</t>
  </si>
  <si>
    <t>Create ERP BOMs: placeholders 9004 (BAHADUR 12.5MM) and 9006 (SAMSOL RED 25MM)</t>
  </si>
  <si>
    <t>8</t>
  </si>
  <si>
    <t>Create ERP BOMs: all 11 PET products (8001-8014)</t>
  </si>
  <si>
    <t>9</t>
  </si>
  <si>
    <t>Confirm carton for PID 6624 (S-45 DIA 19MM, BOM 192). 3619=20.5mm vs 39=19mm carton.</t>
  </si>
  <si>
    <t>10</t>
  </si>
  <si>
    <t>Confirm TUBES COMMON RED (PID 6470) real customer</t>
  </si>
  <si>
    <t>11</t>
  </si>
  <si>
    <t>Fix tape rate Samsol HC 43/45: 2.996 -&gt; 0.059 PCS in ERP (50x error)</t>
  </si>
  <si>
    <t>12</t>
  </si>
  <si>
    <t>Confirm PID 5698 vs 5731 (S-45 20.5mm) — is 5698 obsolete?</t>
  </si>
  <si>
    <t>13</t>
  </si>
  <si>
    <t>Confirm PID 6077 VINCE HIS BOM#138 exists in ERP</t>
  </si>
  <si>
    <t>14</t>
  </si>
  <si>
    <t>ERP item names: LACQUAR -&gt; LACQUER (Items 4155, 1065, 184)</t>
  </si>
  <si>
    <t>15</t>
  </si>
  <si>
    <t>V-HC BROWN/BLACK (6530/6531): local BOM lacquer rate may be wrong</t>
  </si>
  <si>
    <t>16</t>
  </si>
  <si>
    <t>Create ERP BOM for PID 8014 (BT-200ML MUSTARD OIL) — new product May 2026</t>
  </si>
  <si>
    <t>17</t>
  </si>
  <si>
    <t>Ghost inventory: Item 170 (WHITE BC) and Item 3869 (BEIGE BC) — stale ERP aliases, safe to archive</t>
  </si>
  <si>
    <t>18</t>
  </si>
  <si>
    <t>Item 2 (30x4.3 slug) still in BOM for inactive PIDs 2909, 6151. Update to Item 406 if they resume.</t>
  </si>
  <si>
    <t>Weigh 120ml PET bottles (PIDs 8005/8011/8012) — 15g is unconfirmed</t>
  </si>
  <si>
    <t>20</t>
  </si>
  <si>
    <t>Confirm Yellow Masterbatch: Item 4070 vs Item 4002</t>
  </si>
  <si>
    <t>21</t>
  </si>
  <si>
    <t>Confirm Gold Ink IDs: 7094 vs 6935 — same material or different?</t>
  </si>
  <si>
    <t>S11 — FUTURE TASKS (Sikander)</t>
  </si>
  <si>
    <t>Base Coat Consumption Study (1-year)</t>
  </si>
  <si>
    <t>Extract 1-year base coat issuance from ERP (Inventory issued qty). Compare with 1-year production output to calculate actual consumption rate vs BOM theoretical rate. Confirms if 50% buffer is correct or needs adjustment.</t>
  </si>
  <si>
    <t>Download all active BOMs from ERP</t>
  </si>
  <si>
    <t>Download fresh ERP BOMs for all active products. Compare ERP BOM rates with Excel BOM sheet rates line-by-line. Identify any new discrepancies since last review. Ensures Excel BOM stays synchronized with ERP master.</t>
  </si>
  <si>
    <t>S12 — RESOLVED ITEMS (for reference)</t>
  </si>
  <si>
    <t>Resolution</t>
  </si>
  <si>
    <t>PID 6624 ERP BOM#</t>
  </si>
  <si>
    <t>BOM# = 192 (S-45 DIA 19MM, confirmed from BOM sheet). PID 6623 BOM# = 193 (S-43 DIA 19MM).</t>
  </si>
  <si>
    <t>May 2026</t>
  </si>
  <si>
    <t>Varnish-only BOMs</t>
  </si>
  <si>
    <t>No varnish-only BOMs or PIDs needed. Varnish passes logged with (Varnish) tag and PID=None. PID 9002 BOM rows deleted.</t>
  </si>
  <si>
    <t>Dashboard auto-sort</t>
  </si>
  <si>
    <t>sort_dashboard.py created. Integrated into Run_All_Updates.bat (step 4/5) and update_production.py. Sorts by dia, dynamic sizing, formats preserved.</t>
  </si>
  <si>
    <t>Safety checks</t>
  </si>
  <si>
    <t>alpha_checks.py: lock guard prevents running while Excel open, freshness check warns on stale files, mismatch logging to Logs/.</t>
  </si>
  <si>
    <t>Slug change 30mm</t>
  </si>
  <si>
    <t>Item 2 (30x4.3) replaced by Item 406 (30x4.5 S/M) for all active 30mm products. Effective 21-Apr-2026.</t>
  </si>
  <si>
    <t>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</si>
</sst>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m/d/yyyy"/>
    <numFmt numFmtId="165" formatCode="0.000"/>
    <numFmt numFmtId="166" formatCode="#,##0.0"/>
    <numFmt numFmtId="167" formatCode="dd\-mmm\-yyyy"/>
    <numFmt numFmtId="168" formatCode="0.0%"/>
    <numFmt numFmtId="169" formatCode="0.0"/>
    <numFmt numFmtId="170" formatCode="yyyy\-mm\-dd"/>
    <numFmt numFmtId="171" formatCode="0.#"/>
    <numFmt numFmtId="172" formatCode="_(* #,##0.00_);_(* \(#,##0.00\);_(* \-??_);_(@_)"/>
  </numFmts>
  <fonts count="5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rgb="FF000000"/>
      <name val="Segoe UI"/>
      <family val="2"/>
      <charset val="1"/>
    </font>
    <font>
      <b/>
      <sz val="9"/>
      <color rgb="FFFFFFFF"/>
      <name val="Segoe UI"/>
      <family val="2"/>
      <charset val="1"/>
    </font>
    <font>
      <sz val="9"/>
      <name val="Segoe UI"/>
      <family val="2"/>
      <charset val="1"/>
    </font>
    <font>
      <sz val="10"/>
      <name val="Arial"/>
      <family val="2"/>
      <charset val="1"/>
    </font>
    <font>
      <b/>
      <sz val="9"/>
      <name val="Segoe UI"/>
      <family val="2"/>
      <charset val="1"/>
    </font>
    <font>
      <sz val="11"/>
      <name val="Calibri"/>
      <family val="2"/>
      <charset val="1"/>
    </font>
    <font>
      <b/>
      <sz val="13"/>
      <color rgb="FFFFFFFF"/>
      <name val="Segoe UI"/>
      <family val="2"/>
      <charset val="1"/>
    </font>
    <font>
      <sz val="9"/>
      <color rgb="FF1A1A2E"/>
      <name val="Segoe UI"/>
      <family val="2"/>
      <charset val="1"/>
    </font>
    <font>
      <b/>
      <sz val="9"/>
      <color rgb="FF1A1A2E"/>
      <name val="Segoe UI"/>
      <family val="2"/>
      <charset val="1"/>
    </font>
    <font>
      <b/>
      <sz val="11"/>
      <color rgb="FFFFFFFF"/>
      <name val="Segoe UI"/>
      <family val="2"/>
      <charset val="1"/>
    </font>
    <font>
      <sz val="10"/>
      <name val="Calibri"/>
      <family val="2"/>
      <charset val="1"/>
    </font>
    <font>
      <b/>
      <sz val="14"/>
      <color rgb="FFFFFFFF"/>
      <name val="Segoe UI"/>
      <family val="2"/>
      <charset val="1"/>
    </font>
    <font>
      <b/>
      <sz val="10"/>
      <color rgb="FFFFFFFF"/>
      <name val="Segoe UI"/>
      <family val="2"/>
      <charset val="1"/>
    </font>
    <font>
      <sz val="10"/>
      <color theme="1"/>
      <name val="Calibri"/>
      <family val="2"/>
      <charset val="1"/>
    </font>
    <font>
      <sz val="9"/>
      <color rgb="FF00B050"/>
      <name val="Segoe UI"/>
      <family val="2"/>
      <charset val="1"/>
    </font>
    <font>
      <sz val="9"/>
      <color rgb="FFFF0000"/>
      <name val="Segoe UI"/>
      <family val="2"/>
      <charset val="1"/>
    </font>
    <font>
      <sz val="11"/>
      <color rgb="FFFF0000"/>
      <name val="Calibri"/>
      <family val="2"/>
      <charset val="1"/>
    </font>
    <font>
      <b/>
      <sz val="8"/>
      <color rgb="FFFFFFFF"/>
      <name val="Segoe UI"/>
      <family val="2"/>
      <charset val="1"/>
    </font>
    <font>
      <b/>
      <sz val="9"/>
      <color rgb="FF0000AA"/>
      <name val="Segoe UI"/>
      <family val="2"/>
      <charset val="1"/>
    </font>
    <font>
      <i/>
      <sz val="8"/>
      <color rgb="FF555577"/>
      <name val="Segoe UI"/>
      <family val="2"/>
      <charset val="1"/>
    </font>
    <font>
      <sz val="9"/>
      <color rgb="FF1A1A2E"/>
      <name val="Segoe UI"/>
      <family val="2"/>
    </font>
    <font>
      <b/>
      <sz val="9"/>
      <color rgb="FF1A1A2E"/>
      <name val="Segoe UI"/>
      <family val="2"/>
    </font>
    <font>
      <sz val="11"/>
      <color theme="1"/>
      <name val="Calibri"/>
      <family val="2"/>
      <charset val="1"/>
    </font>
    <font>
      <b/>
      <sz val="9"/>
      <color rgb="FF1F3864"/>
      <name val="Segoe UI"/>
      <family val="2"/>
    </font>
    <font>
      <b/>
      <sz val="13"/>
      <color rgb="FFFFFFFF"/>
      <name val="Segoe UI"/>
      <family val="2"/>
    </font>
    <font>
      <i/>
      <sz val="9"/>
      <color rgb="FF8899AA"/>
      <name val="Segoe UI"/>
      <family val="2"/>
    </font>
    <font>
      <b/>
      <sz val="10"/>
      <color rgb="FFFFFFFF"/>
      <name val="Segoe UI"/>
      <family val="2"/>
    </font>
    <font>
      <i/>
      <sz val="9"/>
      <color rgb="FF555555"/>
      <name val="Segoe UI"/>
      <family val="2"/>
    </font>
    <font>
      <b/>
      <sz val="9"/>
      <color rgb="FFC0392B"/>
      <name val="Segoe UI"/>
      <family val="2"/>
    </font>
    <font>
      <sz val="9"/>
      <color rgb="FFE67E22"/>
      <name val="Segoe UI"/>
      <family val="2"/>
    </font>
    <font>
      <sz val="9"/>
      <color rgb="FF27AE60"/>
      <name val="Segoe UI"/>
      <family val="2"/>
    </font>
    <font>
      <b/>
      <sz val="9"/>
      <color rgb="FF2E86C1"/>
      <name val="Segoe UI"/>
      <family val="2"/>
    </font>
    <font>
      <sz val="9"/>
      <color rgb="FF000000"/>
      <name val="Segoe UI"/>
      <family val="2"/>
    </font>
    <font>
      <sz val="11"/>
      <color theme="1"/>
      <name val="Segoe UI"/>
      <family val="2"/>
    </font>
    <font>
      <b/>
      <sz val="18"/>
      <color rgb="FFFFFFFF"/>
      <name val="Segoe UI"/>
      <family val="2"/>
    </font>
    <font>
      <b/>
      <sz val="12"/>
      <color rgb="FFBDD7EE"/>
      <name val="Segoe UI"/>
      <family val="2"/>
    </font>
    <font>
      <b/>
      <sz val="12"/>
      <color rgb="FFFFFFFF"/>
      <name val="Segoe UI"/>
      <family val="2"/>
    </font>
    <font>
      <sz val="18"/>
      <color rgb="FFFFFFFF"/>
      <name val="Segoe UI"/>
      <family val="2"/>
    </font>
    <font>
      <b/>
      <sz val="11"/>
      <color theme="0"/>
      <name val="Segoe UI"/>
      <family val="2"/>
    </font>
    <font>
      <b/>
      <sz val="9"/>
      <color rgb="FFFFFFFF"/>
      <name val="Segoe UI"/>
      <family val="2"/>
    </font>
    <font>
      <b/>
      <sz val="12"/>
      <color rgb="FFB4E0E0"/>
      <name val="Segoe UI"/>
      <family val="2"/>
    </font>
    <font>
      <b/>
      <sz val="15"/>
      <color theme="0"/>
      <name val="Segoe UI"/>
      <family val="2"/>
    </font>
    <font>
      <b/>
      <sz val="9"/>
      <name val="Segoe UI"/>
      <family val="2"/>
    </font>
    <font>
      <b/>
      <sz val="10"/>
      <color theme="0"/>
      <name val="Segoe UI"/>
      <family val="2"/>
    </font>
    <font>
      <sz val="9"/>
      <color rgb="FF1A1A2E"/>
      <name val="Segoe UI"/>
    </font>
    <font>
      <b/>
      <sz val="9"/>
      <color rgb="FF1A1A2E"/>
      <name val="Segoe UI"/>
    </font>
    <font>
      <sz val="10"/>
      <name val="Arial"/>
    </font>
    <font>
      <b/>
      <sz val="10"/>
      <name val="Arial"/>
    </font>
    <font>
      <sz val="9"/>
      <color rgb="FFFF0000"/>
      <name val="Segoe UI"/>
    </font>
    <font>
      <b/>
      <sz val="9"/>
      <color rgb="FFFF0000"/>
      <name val="Segoe UI"/>
    </font>
    <font>
      <sz val="9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rgb="FFF2F2F2"/>
        <bgColor rgb="FFF2F3F4"/>
      </patternFill>
    </fill>
    <fill>
      <patternFill patternType="solid">
        <fgColor rgb="FF1F3864"/>
        <bgColor rgb="FF2E4057"/>
      </patternFill>
    </fill>
    <fill>
      <patternFill patternType="solid">
        <fgColor rgb="FF2E4D8F"/>
        <bgColor rgb="FF2E4057"/>
      </patternFill>
    </fill>
    <fill>
      <patternFill patternType="solid">
        <fgColor rgb="FF1F6B75"/>
        <bgColor rgb="FF008080"/>
      </patternFill>
    </fill>
    <fill>
      <patternFill patternType="solid">
        <fgColor rgb="FFF7F9FC"/>
        <bgColor rgb="FFF5F5F5"/>
      </patternFill>
    </fill>
    <fill>
      <patternFill patternType="solid">
        <fgColor rgb="FF1A1A2E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EDF2FB"/>
      </patternFill>
    </fill>
    <fill>
      <patternFill patternType="solid">
        <fgColor rgb="FFD6EAD6"/>
      </patternFill>
    </fill>
    <fill>
      <patternFill patternType="solid">
        <fgColor rgb="FFFDEBD0"/>
      </patternFill>
    </fill>
    <fill>
      <patternFill patternType="solid">
        <fgColor rgb="FF1F3864"/>
      </patternFill>
    </fill>
    <fill>
      <patternFill patternType="solid">
        <fgColor rgb="FF2E4D8F"/>
      </patternFill>
    </fill>
    <fill>
      <patternFill patternType="solid">
        <fgColor rgb="FFEBF1F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BF0"/>
      </patternFill>
    </fill>
    <fill>
      <patternFill patternType="solid">
        <fgColor rgb="FFECF5EC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D0D5DD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24"/>
    <xf numFmtId="172" fontId="24" fillId="0" borderId="24"/>
    <xf numFmtId="0" fontId="24" fillId="0" borderId="24"/>
    <xf numFmtId="0" fontId="24" fillId="0" borderId="24">
      <alignment horizontal="left"/>
    </xf>
    <xf numFmtId="0" fontId="24" fillId="0" borderId="24"/>
    <xf numFmtId="0" fontId="24" fillId="0" borderId="24"/>
    <xf numFmtId="0" fontId="1" fillId="0" borderId="24"/>
    <xf numFmtId="0" fontId="1" fillId="0" borderId="24">
      <alignment horizontal="left"/>
    </xf>
    <xf numFmtId="0" fontId="24" fillId="0" borderId="24"/>
    <xf numFmtId="43" fontId="24" fillId="0" borderId="24"/>
  </cellStyleXfs>
  <cellXfs count="274"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0" borderId="0" xfId="0" applyBorder="1" applyAlignment="1">
      <alignment horizontal="left"/>
    </xf>
    <xf numFmtId="2" fontId="0" fillId="0" borderId="0" xfId="0" applyNumberFormat="1" applyBorder="1"/>
    <xf numFmtId="1" fontId="1" fillId="0" borderId="0" xfId="0" applyNumberFormat="1" applyFont="1" applyBorder="1" applyAlignment="1">
      <alignment horizontal="left"/>
    </xf>
    <xf numFmtId="0" fontId="8" fillId="3" borderId="2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2" fontId="8" fillId="3" borderId="3" xfId="0" applyNumberFormat="1" applyFont="1" applyFill="1" applyBorder="1" applyAlignment="1">
      <alignment vertical="center"/>
    </xf>
    <xf numFmtId="1" fontId="8" fillId="3" borderId="3" xfId="0" applyNumberFormat="1" applyFont="1" applyFill="1" applyBorder="1" applyAlignment="1">
      <alignment horizontal="right" vertical="center"/>
    </xf>
    <xf numFmtId="164" fontId="8" fillId="3" borderId="4" xfId="0" applyNumberFormat="1" applyFont="1" applyFill="1" applyBorder="1" applyAlignment="1">
      <alignment horizontal="left" vertical="center"/>
    </xf>
    <xf numFmtId="0" fontId="4" fillId="0" borderId="0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2" fontId="11" fillId="3" borderId="6" xfId="0" applyNumberFormat="1" applyFont="1" applyFill="1" applyBorder="1" applyAlignment="1">
      <alignment vertical="center"/>
    </xf>
    <xf numFmtId="1" fontId="11" fillId="3" borderId="6" xfId="0" applyNumberFormat="1" applyFont="1" applyFill="1" applyBorder="1" applyAlignment="1">
      <alignment vertical="center"/>
    </xf>
    <xf numFmtId="3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1" fontId="9" fillId="6" borderId="1" xfId="0" applyNumberFormat="1" applyFont="1" applyFill="1" applyBorder="1" applyAlignment="1">
      <alignment horizontal="left" vertical="center"/>
    </xf>
    <xf numFmtId="3" fontId="10" fillId="6" borderId="1" xfId="0" applyNumberFormat="1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2" fillId="0" borderId="0" xfId="0" applyFont="1" applyBorder="1"/>
    <xf numFmtId="165" fontId="7" fillId="0" borderId="0" xfId="0" applyNumberFormat="1" applyFont="1" applyBorder="1"/>
    <xf numFmtId="9" fontId="5" fillId="0" borderId="0" xfId="0" applyNumberFormat="1" applyFont="1" applyBorder="1"/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wrapText="1"/>
    </xf>
    <xf numFmtId="0" fontId="15" fillId="2" borderId="0" xfId="0" applyFont="1" applyFill="1" applyBorder="1"/>
    <xf numFmtId="0" fontId="15" fillId="0" borderId="0" xfId="0" applyFont="1" applyBorder="1"/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6" fontId="2" fillId="8" borderId="1" xfId="0" applyNumberFormat="1" applyFont="1" applyFill="1" applyBorder="1" applyAlignment="1">
      <alignment horizontal="center" vertical="center"/>
    </xf>
    <xf numFmtId="0" fontId="16" fillId="0" borderId="0" xfId="0" applyFont="1" applyBorder="1"/>
    <xf numFmtId="166" fontId="17" fillId="8" borderId="1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1" fillId="0" borderId="0" xfId="0" applyNumberFormat="1" applyFont="1" applyBorder="1"/>
    <xf numFmtId="0" fontId="8" fillId="3" borderId="6" xfId="0" applyFont="1" applyFill="1" applyBorder="1" applyAlignment="1">
      <alignment horizontal="right"/>
    </xf>
    <xf numFmtId="164" fontId="8" fillId="3" borderId="6" xfId="0" applyNumberFormat="1" applyFont="1" applyFill="1" applyBorder="1" applyAlignment="1">
      <alignment horizontal="left"/>
    </xf>
    <xf numFmtId="0" fontId="0" fillId="0" borderId="0" xfId="0" applyBorder="1" applyAlignment="1">
      <alignment vertical="center" wrapText="1"/>
    </xf>
    <xf numFmtId="0" fontId="18" fillId="0" borderId="0" xfId="0" applyFont="1" applyBorder="1"/>
    <xf numFmtId="0" fontId="8" fillId="3" borderId="0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/>
    </xf>
    <xf numFmtId="0" fontId="8" fillId="3" borderId="0" xfId="0" applyFont="1" applyFill="1" applyBorder="1"/>
    <xf numFmtId="167" fontId="14" fillId="4" borderId="8" xfId="0" applyNumberFormat="1" applyFont="1" applyFill="1" applyBorder="1" applyAlignment="1">
      <alignment horizontal="center" wrapText="1"/>
    </xf>
    <xf numFmtId="0" fontId="14" fillId="4" borderId="9" xfId="0" applyFont="1" applyFill="1" applyBorder="1" applyAlignment="1">
      <alignment horizontal="center" wrapText="1"/>
    </xf>
    <xf numFmtId="0" fontId="14" fillId="4" borderId="9" xfId="0" applyFont="1" applyFill="1" applyBorder="1" applyAlignment="1">
      <alignment horizontal="left" wrapText="1"/>
    </xf>
    <xf numFmtId="0" fontId="14" fillId="4" borderId="5" xfId="0" applyFont="1" applyFill="1" applyBorder="1" applyAlignment="1">
      <alignment horizontal="center" wrapText="1"/>
    </xf>
    <xf numFmtId="3" fontId="14" fillId="4" borderId="9" xfId="0" applyNumberFormat="1" applyFont="1" applyFill="1" applyBorder="1" applyAlignment="1">
      <alignment horizontal="center" wrapText="1"/>
    </xf>
    <xf numFmtId="168" fontId="14" fillId="4" borderId="9" xfId="0" applyNumberFormat="1" applyFont="1" applyFill="1" applyBorder="1" applyAlignment="1">
      <alignment horizontal="center" wrapText="1"/>
    </xf>
    <xf numFmtId="167" fontId="0" fillId="0" borderId="0" xfId="0" applyNumberFormat="1" applyBorder="1"/>
    <xf numFmtId="3" fontId="0" fillId="0" borderId="0" xfId="0" applyNumberFormat="1" applyBorder="1"/>
    <xf numFmtId="168" fontId="0" fillId="0" borderId="0" xfId="0" applyNumberFormat="1" applyBorder="1"/>
    <xf numFmtId="0" fontId="3" fillId="4" borderId="1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2" fillId="10" borderId="12" xfId="0" applyFont="1" applyFill="1" applyBorder="1" applyAlignment="1">
      <alignment horizontal="center" vertical="center" wrapText="1"/>
    </xf>
    <xf numFmtId="0" fontId="22" fillId="11" borderId="12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/>
    </xf>
    <xf numFmtId="0" fontId="32" fillId="15" borderId="14" xfId="0" applyFont="1" applyFill="1" applyBorder="1" applyAlignment="1">
      <alignment horizontal="center" vertical="center"/>
    </xf>
    <xf numFmtId="0" fontId="22" fillId="15" borderId="14" xfId="0" applyFont="1" applyFill="1" applyBorder="1" applyAlignment="1">
      <alignment horizontal="center" vertical="center"/>
    </xf>
    <xf numFmtId="0" fontId="22" fillId="15" borderId="14" xfId="0" applyFont="1" applyFill="1" applyBorder="1" applyAlignment="1">
      <alignment horizontal="left" vertical="top" wrapText="1"/>
    </xf>
    <xf numFmtId="0" fontId="9" fillId="0" borderId="13" xfId="0" applyFont="1" applyBorder="1"/>
    <xf numFmtId="0" fontId="25" fillId="14" borderId="14" xfId="0" applyFont="1" applyFill="1" applyBorder="1" applyAlignment="1">
      <alignment horizontal="center" vertical="center"/>
    </xf>
    <xf numFmtId="0" fontId="25" fillId="14" borderId="14" xfId="0" applyFont="1" applyFill="1" applyBorder="1" applyAlignment="1">
      <alignment horizontal="left" vertical="top" wrapText="1"/>
    </xf>
    <xf numFmtId="0" fontId="30" fillId="15" borderId="14" xfId="0" applyFont="1" applyFill="1" applyBorder="1" applyAlignment="1">
      <alignment horizontal="left" vertical="top" wrapText="1"/>
    </xf>
    <xf numFmtId="0" fontId="33" fillId="15" borderId="14" xfId="0" applyFont="1" applyFill="1" applyBorder="1" applyAlignment="1">
      <alignment horizontal="left" vertical="top" wrapText="1"/>
    </xf>
    <xf numFmtId="0" fontId="22" fillId="16" borderId="14" xfId="0" applyFont="1" applyFill="1" applyBorder="1" applyAlignment="1">
      <alignment horizontal="center" vertical="center"/>
    </xf>
    <xf numFmtId="0" fontId="22" fillId="16" borderId="14" xfId="0" applyFont="1" applyFill="1" applyBorder="1" applyAlignment="1">
      <alignment horizontal="left" vertical="top" wrapText="1"/>
    </xf>
    <xf numFmtId="0" fontId="30" fillId="16" borderId="14" xfId="0" applyFont="1" applyFill="1" applyBorder="1" applyAlignment="1">
      <alignment horizontal="left" vertical="top" wrapText="1"/>
    </xf>
    <xf numFmtId="0" fontId="33" fillId="16" borderId="14" xfId="0" applyFont="1" applyFill="1" applyBorder="1" applyAlignment="1">
      <alignment horizontal="left" vertical="top" wrapText="1"/>
    </xf>
    <xf numFmtId="0" fontId="9" fillId="0" borderId="13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indent="1"/>
    </xf>
    <xf numFmtId="0" fontId="31" fillId="16" borderId="14" xfId="0" applyFont="1" applyFill="1" applyBorder="1" applyAlignment="1">
      <alignment horizontal="left" vertical="top" wrapText="1"/>
    </xf>
    <xf numFmtId="0" fontId="31" fillId="15" borderId="14" xfId="0" applyFont="1" applyFill="1" applyBorder="1" applyAlignment="1">
      <alignment horizontal="left" vertical="top" wrapText="1"/>
    </xf>
    <xf numFmtId="0" fontId="9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left"/>
    </xf>
    <xf numFmtId="2" fontId="22" fillId="15" borderId="14" xfId="0" applyNumberFormat="1" applyFont="1" applyFill="1" applyBorder="1" applyAlignment="1">
      <alignment horizontal="left" vertical="top" wrapText="1"/>
    </xf>
    <xf numFmtId="2" fontId="22" fillId="16" borderId="14" xfId="0" applyNumberFormat="1" applyFont="1" applyFill="1" applyBorder="1" applyAlignment="1">
      <alignment horizontal="left" vertical="top" wrapText="1"/>
    </xf>
    <xf numFmtId="2" fontId="9" fillId="0" borderId="13" xfId="0" applyNumberFormat="1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169" fontId="9" fillId="0" borderId="13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left" vertical="center"/>
    </xf>
    <xf numFmtId="0" fontId="22" fillId="0" borderId="13" xfId="0" applyFont="1" applyBorder="1"/>
    <xf numFmtId="0" fontId="23" fillId="15" borderId="14" xfId="0" applyFont="1" applyFill="1" applyBorder="1" applyAlignment="1">
      <alignment horizontal="center" vertical="center"/>
    </xf>
    <xf numFmtId="0" fontId="23" fillId="16" borderId="1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vertical="top" wrapText="1"/>
    </xf>
    <xf numFmtId="0" fontId="22" fillId="0" borderId="13" xfId="0" applyFont="1" applyBorder="1" applyAlignment="1">
      <alignment horizontal="left" vertical="center" wrapText="1"/>
    </xf>
    <xf numFmtId="0" fontId="23" fillId="17" borderId="14" xfId="0" applyFont="1" applyFill="1" applyBorder="1" applyAlignment="1">
      <alignment horizontal="center" vertical="center"/>
    </xf>
    <xf numFmtId="0" fontId="22" fillId="17" borderId="14" xfId="0" applyFont="1" applyFill="1" applyBorder="1" applyAlignment="1">
      <alignment horizontal="left" vertical="top" wrapText="1"/>
    </xf>
    <xf numFmtId="0" fontId="30" fillId="17" borderId="14" xfId="0" applyFont="1" applyFill="1" applyBorder="1" applyAlignment="1">
      <alignment horizontal="left" vertical="top" wrapText="1"/>
    </xf>
    <xf numFmtId="0" fontId="22" fillId="18" borderId="14" xfId="0" applyFont="1" applyFill="1" applyBorder="1" applyAlignment="1">
      <alignment horizontal="center" vertical="center"/>
    </xf>
    <xf numFmtId="0" fontId="22" fillId="18" borderId="14" xfId="0" applyFont="1" applyFill="1" applyBorder="1" applyAlignment="1">
      <alignment horizontal="left" vertical="top" wrapText="1"/>
    </xf>
    <xf numFmtId="0" fontId="34" fillId="2" borderId="0" xfId="0" applyFont="1" applyFill="1" applyBorder="1"/>
    <xf numFmtId="0" fontId="35" fillId="0" borderId="0" xfId="0" applyFont="1" applyBorder="1" applyAlignment="1">
      <alignment horizontal="center"/>
    </xf>
    <xf numFmtId="0" fontId="35" fillId="2" borderId="0" xfId="0" applyFont="1" applyFill="1" applyBorder="1"/>
    <xf numFmtId="0" fontId="35" fillId="0" borderId="0" xfId="0" applyFont="1" applyBorder="1"/>
    <xf numFmtId="9" fontId="35" fillId="0" borderId="0" xfId="0" applyNumberFormat="1" applyFont="1" applyBorder="1"/>
    <xf numFmtId="0" fontId="37" fillId="3" borderId="0" xfId="0" applyFont="1" applyFill="1" applyBorder="1" applyAlignment="1">
      <alignment horizontal="center" vertical="center"/>
    </xf>
    <xf numFmtId="0" fontId="37" fillId="3" borderId="0" xfId="0" applyFont="1" applyFill="1" applyBorder="1" applyAlignment="1">
      <alignment horizontal="left" vertical="center"/>
    </xf>
    <xf numFmtId="168" fontId="39" fillId="3" borderId="0" xfId="0" applyNumberFormat="1" applyFont="1" applyFill="1" applyBorder="1" applyAlignment="1">
      <alignment horizontal="center" vertical="center"/>
    </xf>
    <xf numFmtId="0" fontId="40" fillId="3" borderId="0" xfId="0" applyFont="1" applyFill="1" applyBorder="1" applyAlignment="1">
      <alignment horizontal="left" vertical="center"/>
    </xf>
    <xf numFmtId="3" fontId="36" fillId="3" borderId="0" xfId="0" applyNumberFormat="1" applyFont="1" applyFill="1" applyBorder="1" applyAlignment="1">
      <alignment horizontal="center" vertical="center"/>
    </xf>
    <xf numFmtId="168" fontId="36" fillId="3" borderId="0" xfId="0" applyNumberFormat="1" applyFont="1" applyFill="1" applyBorder="1" applyAlignment="1">
      <alignment horizontal="center" vertical="center"/>
    </xf>
    <xf numFmtId="3" fontId="36" fillId="3" borderId="0" xfId="0" applyNumberFormat="1" applyFont="1" applyFill="1" applyBorder="1" applyAlignment="1">
      <alignment vertical="center"/>
    </xf>
    <xf numFmtId="0" fontId="42" fillId="5" borderId="0" xfId="0" applyFont="1" applyFill="1" applyBorder="1" applyAlignment="1">
      <alignment horizontal="center" vertical="center"/>
    </xf>
    <xf numFmtId="0" fontId="42" fillId="5" borderId="0" xfId="0" applyFont="1" applyFill="1" applyBorder="1" applyAlignment="1">
      <alignment vertical="center"/>
    </xf>
    <xf numFmtId="168" fontId="39" fillId="5" borderId="0" xfId="0" applyNumberFormat="1" applyFont="1" applyFill="1" applyBorder="1" applyAlignment="1">
      <alignment horizontal="center" vertical="center"/>
    </xf>
    <xf numFmtId="3" fontId="36" fillId="5" borderId="0" xfId="0" applyNumberFormat="1" applyFont="1" applyFill="1" applyBorder="1" applyAlignment="1">
      <alignment horizontal="center" vertical="center"/>
    </xf>
    <xf numFmtId="168" fontId="36" fillId="5" borderId="0" xfId="0" applyNumberFormat="1" applyFont="1" applyFill="1" applyBorder="1" applyAlignment="1">
      <alignment horizontal="center" vertical="center"/>
    </xf>
    <xf numFmtId="3" fontId="36" fillId="5" borderId="0" xfId="0" applyNumberFormat="1" applyFont="1" applyFill="1" applyBorder="1" applyAlignment="1">
      <alignment vertical="center"/>
    </xf>
    <xf numFmtId="169" fontId="35" fillId="0" borderId="0" xfId="0" applyNumberFormat="1" applyFont="1" applyBorder="1"/>
    <xf numFmtId="3" fontId="41" fillId="3" borderId="0" xfId="0" applyNumberFormat="1" applyFont="1" applyFill="1" applyBorder="1" applyAlignment="1">
      <alignment horizontal="center" vertical="center"/>
    </xf>
    <xf numFmtId="3" fontId="3" fillId="4" borderId="1" xfId="9" applyNumberFormat="1" applyFont="1" applyFill="1" applyBorder="1" applyAlignment="1">
      <alignment horizontal="center" vertical="center" wrapText="1"/>
    </xf>
    <xf numFmtId="0" fontId="44" fillId="0" borderId="0" xfId="0" applyFont="1" applyBorder="1" applyAlignment="1">
      <alignment horizontal="left" vertical="center"/>
    </xf>
    <xf numFmtId="169" fontId="44" fillId="0" borderId="0" xfId="0" applyNumberFormat="1" applyFont="1" applyBorder="1" applyAlignment="1">
      <alignment horizontal="center" vertical="center"/>
    </xf>
    <xf numFmtId="168" fontId="44" fillId="0" borderId="0" xfId="0" applyNumberFormat="1" applyFont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 wrapText="1"/>
    </xf>
    <xf numFmtId="9" fontId="41" fillId="4" borderId="1" xfId="0" applyNumberFormat="1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center" vertical="center"/>
    </xf>
    <xf numFmtId="170" fontId="8" fillId="3" borderId="4" xfId="0" applyNumberFormat="1" applyFont="1" applyFill="1" applyBorder="1" applyAlignment="1">
      <alignment horizontal="left" vertical="center"/>
    </xf>
    <xf numFmtId="2" fontId="3" fillId="4" borderId="1" xfId="0" applyNumberFormat="1" applyFont="1" applyFill="1" applyBorder="1" applyAlignment="1">
      <alignment horizontal="center" vertical="center"/>
    </xf>
    <xf numFmtId="169" fontId="9" fillId="6" borderId="1" xfId="0" applyNumberFormat="1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 vertical="center"/>
    </xf>
    <xf numFmtId="0" fontId="35" fillId="0" borderId="15" xfId="0" applyFont="1" applyBorder="1"/>
    <xf numFmtId="169" fontId="35" fillId="0" borderId="15" xfId="0" applyNumberFormat="1" applyFont="1" applyBorder="1"/>
    <xf numFmtId="0" fontId="34" fillId="2" borderId="16" xfId="0" applyFont="1" applyFill="1" applyBorder="1"/>
    <xf numFmtId="0" fontId="35" fillId="0" borderId="16" xfId="0" applyFont="1" applyBorder="1"/>
    <xf numFmtId="0" fontId="35" fillId="2" borderId="16" xfId="0" applyFont="1" applyFill="1" applyBorder="1"/>
    <xf numFmtId="169" fontId="35" fillId="0" borderId="16" xfId="0" applyNumberFormat="1" applyFont="1" applyBorder="1"/>
    <xf numFmtId="0" fontId="37" fillId="3" borderId="16" xfId="0" applyFont="1" applyFill="1" applyBorder="1" applyAlignment="1">
      <alignment vertical="center"/>
    </xf>
    <xf numFmtId="0" fontId="45" fillId="3" borderId="0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9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 wrapText="1"/>
    </xf>
    <xf numFmtId="1" fontId="9" fillId="0" borderId="17" xfId="0" applyNumberFormat="1" applyFont="1" applyBorder="1" applyAlignment="1">
      <alignment horizontal="center" vertical="center" wrapText="1"/>
    </xf>
    <xf numFmtId="3" fontId="10" fillId="0" borderId="17" xfId="0" applyNumberFormat="1" applyFont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1" fillId="0" borderId="3" xfId="0" applyFont="1" applyBorder="1"/>
    <xf numFmtId="0" fontId="8" fillId="3" borderId="17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left" vertical="center" wrapText="1"/>
    </xf>
    <xf numFmtId="1" fontId="9" fillId="0" borderId="18" xfId="0" applyNumberFormat="1" applyFont="1" applyBorder="1" applyAlignment="1">
      <alignment horizontal="center" vertical="center" wrapText="1"/>
    </xf>
    <xf numFmtId="1" fontId="10" fillId="0" borderId="18" xfId="0" applyNumberFormat="1" applyFont="1" applyBorder="1" applyAlignment="1">
      <alignment horizontal="center" vertical="center" wrapText="1"/>
    </xf>
    <xf numFmtId="3" fontId="10" fillId="0" borderId="18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1" fontId="9" fillId="0" borderId="20" xfId="0" applyNumberFormat="1" applyFont="1" applyBorder="1" applyAlignment="1">
      <alignment horizontal="center" vertical="center"/>
    </xf>
    <xf numFmtId="1" fontId="10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 wrapText="1"/>
    </xf>
    <xf numFmtId="0" fontId="0" fillId="0" borderId="19" xfId="0" applyBorder="1"/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/>
    </xf>
    <xf numFmtId="1" fontId="9" fillId="0" borderId="22" xfId="0" applyNumberFormat="1" applyFont="1" applyBorder="1" applyAlignment="1">
      <alignment horizontal="center" vertical="center"/>
    </xf>
    <xf numFmtId="1" fontId="10" fillId="0" borderId="22" xfId="0" applyNumberFormat="1" applyFont="1" applyBorder="1" applyAlignment="1">
      <alignment horizontal="center" vertical="center"/>
    </xf>
    <xf numFmtId="3" fontId="10" fillId="0" borderId="22" xfId="0" applyNumberFormat="1" applyFont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 wrapText="1"/>
    </xf>
    <xf numFmtId="167" fontId="24" fillId="0" borderId="23" xfId="0" applyNumberFormat="1" applyFont="1" applyBorder="1"/>
    <xf numFmtId="0" fontId="24" fillId="0" borderId="23" xfId="0" applyFont="1" applyBorder="1"/>
    <xf numFmtId="3" fontId="24" fillId="0" borderId="23" xfId="0" applyNumberFormat="1" applyFont="1" applyBorder="1"/>
    <xf numFmtId="168" fontId="24" fillId="0" borderId="23" xfId="0" applyNumberFormat="1" applyFont="1" applyBorder="1"/>
    <xf numFmtId="167" fontId="24" fillId="0" borderId="24" xfId="0" applyNumberFormat="1" applyFont="1"/>
    <xf numFmtId="0" fontId="24" fillId="0" borderId="24" xfId="0" applyFont="1"/>
    <xf numFmtId="3" fontId="24" fillId="0" borderId="24" xfId="0" applyNumberFormat="1" applyFont="1"/>
    <xf numFmtId="168" fontId="24" fillId="0" borderId="24" xfId="0" applyNumberFormat="1" applyFont="1"/>
    <xf numFmtId="0" fontId="46" fillId="10" borderId="27" xfId="0" applyFont="1" applyFill="1" applyBorder="1" applyAlignment="1">
      <alignment horizontal="center" vertical="center"/>
    </xf>
    <xf numFmtId="0" fontId="46" fillId="10" borderId="27" xfId="0" applyFont="1" applyFill="1" applyBorder="1" applyAlignment="1">
      <alignment horizontal="left" vertical="center"/>
    </xf>
    <xf numFmtId="3" fontId="47" fillId="10" borderId="27" xfId="0" applyNumberFormat="1" applyFont="1" applyFill="1" applyBorder="1" applyAlignment="1">
      <alignment horizontal="center" vertical="center"/>
    </xf>
    <xf numFmtId="0" fontId="46" fillId="10" borderId="27" xfId="0" applyFont="1" applyFill="1" applyBorder="1" applyAlignment="1">
      <alignment horizontal="left" vertical="center" wrapText="1"/>
    </xf>
    <xf numFmtId="0" fontId="46" fillId="11" borderId="27" xfId="0" applyFont="1" applyFill="1" applyBorder="1" applyAlignment="1">
      <alignment horizontal="center" vertical="center"/>
    </xf>
    <xf numFmtId="0" fontId="46" fillId="11" borderId="27" xfId="0" applyFont="1" applyFill="1" applyBorder="1" applyAlignment="1">
      <alignment horizontal="left" vertical="center"/>
    </xf>
    <xf numFmtId="3" fontId="47" fillId="11" borderId="27" xfId="0" applyNumberFormat="1" applyFont="1" applyFill="1" applyBorder="1" applyAlignment="1">
      <alignment horizontal="center" vertical="center"/>
    </xf>
    <xf numFmtId="0" fontId="46" fillId="11" borderId="27" xfId="0" applyFont="1" applyFill="1" applyBorder="1" applyAlignment="1">
      <alignment horizontal="left" vertical="center" wrapText="1"/>
    </xf>
    <xf numFmtId="0" fontId="46" fillId="0" borderId="26" xfId="0" applyFont="1" applyBorder="1" applyAlignment="1">
      <alignment horizontal="center" vertical="center"/>
    </xf>
    <xf numFmtId="0" fontId="46" fillId="0" borderId="26" xfId="0" applyFont="1" applyBorder="1" applyAlignment="1">
      <alignment horizontal="left" vertical="center"/>
    </xf>
    <xf numFmtId="3" fontId="46" fillId="0" borderId="26" xfId="0" applyNumberFormat="1" applyFont="1" applyBorder="1" applyAlignment="1">
      <alignment horizontal="center" vertical="center"/>
    </xf>
    <xf numFmtId="0" fontId="46" fillId="0" borderId="26" xfId="0" applyFont="1" applyBorder="1" applyAlignment="1">
      <alignment horizontal="left" vertical="center" wrapText="1"/>
    </xf>
    <xf numFmtId="0" fontId="46" fillId="0" borderId="26" xfId="0" applyFont="1" applyBorder="1"/>
    <xf numFmtId="0" fontId="50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left" vertical="center"/>
    </xf>
    <xf numFmtId="1" fontId="50" fillId="0" borderId="1" xfId="0" applyNumberFormat="1" applyFont="1" applyBorder="1" applyAlignment="1">
      <alignment horizontal="center" vertical="center"/>
    </xf>
    <xf numFmtId="1" fontId="51" fillId="0" borderId="1" xfId="0" applyNumberFormat="1" applyFont="1" applyBorder="1" applyAlignment="1">
      <alignment horizontal="center" vertical="center"/>
    </xf>
    <xf numFmtId="0" fontId="48" fillId="0" borderId="28" xfId="0" applyFont="1" applyBorder="1" applyAlignment="1">
      <alignment horizontal="center" vertical="center"/>
    </xf>
    <xf numFmtId="0" fontId="48" fillId="0" borderId="28" xfId="0" applyFont="1" applyBorder="1" applyAlignment="1">
      <alignment horizontal="left" vertical="center"/>
    </xf>
    <xf numFmtId="3" fontId="48" fillId="0" borderId="28" xfId="0" applyNumberFormat="1" applyFont="1" applyBorder="1" applyAlignment="1">
      <alignment horizontal="left" vertical="center"/>
    </xf>
    <xf numFmtId="171" fontId="48" fillId="0" borderId="28" xfId="0" applyNumberFormat="1" applyFont="1" applyBorder="1" applyAlignment="1">
      <alignment horizontal="center" vertical="center"/>
    </xf>
    <xf numFmtId="3" fontId="48" fillId="0" borderId="28" xfId="0" applyNumberFormat="1" applyFont="1" applyBorder="1" applyAlignment="1">
      <alignment horizontal="center" vertical="center"/>
    </xf>
    <xf numFmtId="3" fontId="49" fillId="0" borderId="28" xfId="0" applyNumberFormat="1" applyFont="1" applyBorder="1" applyAlignment="1">
      <alignment horizontal="center" vertical="center"/>
    </xf>
    <xf numFmtId="9" fontId="48" fillId="0" borderId="28" xfId="0" applyNumberFormat="1" applyFont="1" applyBorder="1" applyAlignment="1">
      <alignment horizontal="center" vertical="center"/>
    </xf>
    <xf numFmtId="0" fontId="49" fillId="0" borderId="28" xfId="0" applyFont="1" applyBorder="1" applyAlignment="1">
      <alignment horizontal="left" vertical="center"/>
    </xf>
    <xf numFmtId="0" fontId="41" fillId="3" borderId="25" xfId="0" applyFont="1" applyFill="1" applyBorder="1" applyAlignment="1">
      <alignment horizontal="left" vertical="center"/>
    </xf>
    <xf numFmtId="169" fontId="41" fillId="3" borderId="25" xfId="0" applyNumberFormat="1" applyFont="1" applyFill="1" applyBorder="1" applyAlignment="1">
      <alignment horizontal="center" vertical="center"/>
    </xf>
    <xf numFmtId="0" fontId="41" fillId="3" borderId="25" xfId="0" applyFont="1" applyFill="1" applyBorder="1" applyAlignment="1">
      <alignment horizontal="right" vertical="center"/>
    </xf>
    <xf numFmtId="3" fontId="41" fillId="3" borderId="25" xfId="0" applyNumberFormat="1" applyFont="1" applyFill="1" applyBorder="1" applyAlignment="1">
      <alignment horizontal="center" vertical="center"/>
    </xf>
    <xf numFmtId="0" fontId="48" fillId="0" borderId="26" xfId="0" applyFont="1" applyBorder="1"/>
    <xf numFmtId="0" fontId="8" fillId="3" borderId="6" xfId="0" applyFont="1" applyFill="1" applyBorder="1" applyAlignment="1">
      <alignment horizontal="center"/>
    </xf>
    <xf numFmtId="0" fontId="0" fillId="0" borderId="6" xfId="0" applyBorder="1"/>
    <xf numFmtId="0" fontId="43" fillId="3" borderId="5" xfId="0" applyFont="1" applyFill="1" applyBorder="1" applyAlignment="1">
      <alignment horizontal="center" vertical="center"/>
    </xf>
    <xf numFmtId="0" fontId="36" fillId="3" borderId="24" xfId="0" applyFont="1" applyFill="1" applyAlignment="1">
      <alignment horizontal="center" vertical="center"/>
    </xf>
    <xf numFmtId="0" fontId="35" fillId="0" borderId="0" xfId="0" applyFont="1" applyBorder="1"/>
    <xf numFmtId="0" fontId="35" fillId="0" borderId="0" xfId="0" applyFont="1" applyBorder="1" applyAlignment="1">
      <alignment horizontal="center"/>
    </xf>
    <xf numFmtId="9" fontId="35" fillId="0" borderId="0" xfId="0" applyNumberFormat="1" applyFont="1" applyBorder="1"/>
    <xf numFmtId="0" fontId="37" fillId="3" borderId="24" xfId="0" applyFont="1" applyFill="1" applyAlignment="1">
      <alignment vertical="center"/>
    </xf>
    <xf numFmtId="3" fontId="36" fillId="5" borderId="24" xfId="0" applyNumberFormat="1" applyFont="1" applyFill="1" applyAlignment="1">
      <alignment horizontal="center" vertical="center"/>
    </xf>
    <xf numFmtId="0" fontId="37" fillId="3" borderId="24" xfId="0" applyFont="1" applyFill="1"/>
    <xf numFmtId="3" fontId="36" fillId="3" borderId="24" xfId="0" applyNumberFormat="1" applyFont="1" applyFill="1" applyAlignment="1">
      <alignment horizontal="center" vertical="center"/>
    </xf>
    <xf numFmtId="167" fontId="38" fillId="3" borderId="24" xfId="0" applyNumberFormat="1" applyFont="1" applyFill="1" applyAlignment="1">
      <alignment horizontal="center"/>
    </xf>
    <xf numFmtId="0" fontId="42" fillId="5" borderId="24" xfId="0" applyFont="1" applyFill="1" applyAlignment="1">
      <alignment vertical="center"/>
    </xf>
    <xf numFmtId="0" fontId="13" fillId="3" borderId="24" xfId="0" applyFont="1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165" fontId="7" fillId="0" borderId="0" xfId="0" applyNumberFormat="1" applyFont="1" applyBorder="1"/>
    <xf numFmtId="9" fontId="5" fillId="0" borderId="0" xfId="0" applyNumberFormat="1" applyFont="1" applyBorder="1"/>
    <xf numFmtId="0" fontId="28" fillId="13" borderId="24" xfId="0" applyFont="1" applyFill="1" applyAlignment="1">
      <alignment horizontal="left" vertical="center"/>
    </xf>
    <xf numFmtId="0" fontId="21" fillId="9" borderId="24" xfId="0" applyFont="1" applyFill="1" applyAlignment="1">
      <alignment horizontal="left" vertical="center" indent="1"/>
    </xf>
    <xf numFmtId="0" fontId="8" fillId="3" borderId="24" xfId="0" applyFont="1" applyFill="1" applyAlignment="1">
      <alignment horizontal="left" vertical="center" indent="1"/>
    </xf>
    <xf numFmtId="0" fontId="26" fillId="12" borderId="24" xfId="0" applyFont="1" applyFill="1" applyAlignment="1">
      <alignment horizontal="left" vertical="center"/>
    </xf>
    <xf numFmtId="0" fontId="29" fillId="0" borderId="24" xfId="0" applyFont="1" applyAlignment="1">
      <alignment horizontal="left" vertical="top" wrapText="1"/>
    </xf>
    <xf numFmtId="0" fontId="0" fillId="0" borderId="0" xfId="0" applyBorder="1" applyAlignment="1">
      <alignment horizontal="center" vertical="center"/>
    </xf>
    <xf numFmtId="0" fontId="27" fillId="12" borderId="24" xfId="0" applyFont="1" applyFill="1" applyAlignment="1">
      <alignment horizontal="left" vertical="center"/>
    </xf>
    <xf numFmtId="0" fontId="52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left" vertical="center"/>
    </xf>
    <xf numFmtId="1" fontId="52" fillId="0" borderId="1" xfId="0" applyNumberFormat="1" applyFont="1" applyBorder="1" applyAlignment="1">
      <alignment horizontal="center" vertical="center"/>
    </xf>
    <xf numFmtId="1" fontId="44" fillId="0" borderId="1" xfId="0" applyNumberFormat="1" applyFont="1" applyBorder="1" applyAlignment="1">
      <alignment horizontal="center" vertical="center"/>
    </xf>
    <xf numFmtId="0" fontId="7" fillId="0" borderId="0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</cellXfs>
  <cellStyles count="10">
    <cellStyle name="Comma" xfId="9" builtinId="3"/>
    <cellStyle name="Comma 2" xfId="1" xr:uid="{00000000-0005-0000-0000-000001000000}"/>
    <cellStyle name="Normal" xfId="0" builtinId="0"/>
    <cellStyle name="Normal 2" xfId="2" xr:uid="{00000000-0005-0000-0000-000002000000}"/>
    <cellStyle name="Pivot Table Category" xfId="3" xr:uid="{00000000-0005-0000-0000-000003000000}"/>
    <cellStyle name="Pivot Table Corner" xfId="4" xr:uid="{00000000-0005-0000-0000-000004000000}"/>
    <cellStyle name="Pivot Table Field" xfId="5" xr:uid="{00000000-0005-0000-0000-000005000000}"/>
    <cellStyle name="Pivot Table Result" xfId="6" xr:uid="{00000000-0005-0000-0000-000006000000}"/>
    <cellStyle name="Pivot Table Title" xfId="7" xr:uid="{00000000-0005-0000-0000-000007000000}"/>
    <cellStyle name="Pivot Table Value" xfId="8" xr:uid="{00000000-0005-0000-0000-000008000000}"/>
  </cellStyles>
  <dxfs count="10"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color rgb="FFFF0000"/>
      </font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ill>
        <patternFill patternType="solid">
          <fgColor auto="1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DEBD0"/>
      <rgbColor rgb="FFFF00FF"/>
      <rgbColor rgb="FFF0F3F8"/>
      <rgbColor rgb="FF9C0006"/>
      <rgbColor rgb="FF006100"/>
      <rgbColor rgb="FF0000AA"/>
      <rgbColor rgb="FF9C6500"/>
      <rgbColor rgb="FF800080"/>
      <rgbColor rgb="FF1F6B75"/>
      <rgbColor rgb="FFB0B0B0"/>
      <rgbColor rgb="FF888888"/>
      <rgbColor rgb="FFB4E0E0"/>
      <rgbColor rgb="FFF7F9FC"/>
      <rgbColor rgb="FFFFFCE0"/>
      <rgbColor rgb="FFEBF5FB"/>
      <rgbColor rgb="FF660066"/>
      <rgbColor rgb="FFDCE6F2"/>
      <rgbColor rgb="FF0066CC"/>
      <rgbColor rgb="FFD0D8E4"/>
      <rgbColor rgb="FF000080"/>
      <rgbColor rgb="FFFF00FF"/>
      <rgbColor rgb="FFFDF3DC"/>
      <rgbColor rgb="FFF2F4F8"/>
      <rgbColor rgb="FF800080"/>
      <rgbColor rgb="FF800000"/>
      <rgbColor rgb="FF008080"/>
      <rgbColor rgb="FF0000FF"/>
      <rgbColor rgb="FFF2F3F4"/>
      <rgbColor rgb="FFEDF2FB"/>
      <rgbColor rgb="FFC6EFCE"/>
      <rgbColor rgb="FFFFEB9C"/>
      <rgbColor rgb="FFBDD7EE"/>
      <rgbColor rgb="FFD9D9D9"/>
      <rgbColor rgb="FFD0D5DD"/>
      <rgbColor rgb="FFFFC7CE"/>
      <rgbColor rgb="FF4F81BD"/>
      <rgbColor rgb="FFE8EDF5"/>
      <rgbColor rgb="FFD6EAD6"/>
      <rgbColor rgb="FFFCE4E4"/>
      <rgbColor rgb="FFFDF0E0"/>
      <rgbColor rgb="FFF2F2F2"/>
      <rgbColor rgb="FF555577"/>
      <rgbColor rgb="FFD5D8DC"/>
      <rgbColor rgb="FF1F3864"/>
      <rgbColor rgb="FF00B050"/>
      <rgbColor rgb="FF003300"/>
      <rgbColor rgb="FF1A1A2E"/>
      <rgbColor rgb="FF993300"/>
      <rgbColor rgb="FF993366"/>
      <rgbColor rgb="FF2E4D8F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BOM" displayName="TableBOM" ref="A2:M337" totalsRowShown="0">
  <autoFilter ref="A2:M337" xr:uid="{00000000-0009-0000-0100-000001000000}"/>
  <tableColumns count="13">
    <tableColumn id="1" xr3:uid="{00000000-0010-0000-0000-000001000000}" name="Product ID"/>
    <tableColumn id="2" xr3:uid="{00000000-0010-0000-0000-000002000000}" name="BOM ID"/>
    <tableColumn id="3" xr3:uid="{00000000-0010-0000-0000-000003000000}" name="Customer"/>
    <tableColumn id="4" xr3:uid="{00000000-0010-0000-0000-000004000000}" name="Product Name"/>
    <tableColumn id="5" xr3:uid="{00000000-0010-0000-0000-000005000000}" name="Dia"/>
    <tableColumn id="6" xr3:uid="{00000000-0010-0000-0000-000006000000}" name="Material Category"/>
    <tableColumn id="7" xr3:uid="{00000000-0010-0000-0000-000007000000}" name="Item ID"/>
    <tableColumn id="8" xr3:uid="{00000000-0010-0000-0000-000008000000}" name="Item Name"/>
    <tableColumn id="9" xr3:uid="{00000000-0010-0000-0000-000009000000}" name="UOM"/>
    <tableColumn id="10" xr3:uid="{00000000-0010-0000-0000-00000A000000}" name="Per 1000 Units"/>
    <tableColumn id="11" xr3:uid="{00000000-0010-0000-0000-00000B000000}" name="Material Group"/>
    <tableColumn id="12" xr3:uid="{00000000-0010-0000-0000-00000C000000}" name="Scrap %"/>
    <tableColumn id="13" xr3:uid="{00000000-0010-0000-0000-00000D000000}" name="Change 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Inventory" displayName="TableInventory" ref="A2:J111" totalsRowShown="0">
  <tableColumns count="10">
    <tableColumn id="1" xr3:uid="{00000000-0010-0000-0100-000001000000}" name="Item ID"/>
    <tableColumn id="2" xr3:uid="{00000000-0010-0000-0100-000002000000}" name="Category"/>
    <tableColumn id="3" xr3:uid="{00000000-0010-0000-0100-000003000000}" name="Item Name (ERP)"/>
    <tableColumn id="4" xr3:uid="{00000000-0010-0000-0100-000004000000}" name="UOM"/>
    <tableColumn id="5" xr3:uid="{00000000-0010-0000-0100-000005000000}" name="Opening"/>
    <tableColumn id="6" xr3:uid="{00000000-0010-0000-0100-000006000000}" name="Received from Vendor"/>
    <tableColumn id="7" xr3:uid="{00000000-0010-0000-0100-000007000000}" name="Issued to Production"/>
    <tableColumn id="8" xr3:uid="{00000000-0010-0000-0100-000008000000}" name="Store Balance"/>
    <tableColumn id="9" xr3:uid="{00000000-0010-0000-0100-000009000000}" name="Work In Process"/>
    <tableColumn id="10" xr3:uid="{00000000-0010-0000-0100-00000A000000}" name="Pieces Can Be Produced (Store + Floor Stock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9"/>
  <sheetViews>
    <sheetView showGridLines="0" topLeftCell="A6" zoomScaleNormal="100" workbookViewId="0">
      <selection activeCell="D13" sqref="D13"/>
    </sheetView>
  </sheetViews>
  <sheetFormatPr defaultColWidth="8.7109375" defaultRowHeight="16.5" x14ac:dyDescent="0.3"/>
  <cols>
    <col min="1" max="1" width="1.5703125" style="136" customWidth="1"/>
    <col min="2" max="2" width="7" style="136" customWidth="1"/>
    <col min="3" max="3" width="32.7109375" style="136" customWidth="1"/>
    <col min="4" max="4" width="38.7109375" style="136" customWidth="1"/>
    <col min="5" max="5" width="8.85546875" style="134" customWidth="1"/>
    <col min="6" max="6" width="9.140625" style="136" hidden="1" customWidth="1"/>
    <col min="7" max="7" width="12.140625" style="137" customWidth="1"/>
    <col min="8" max="8" width="11.140625" style="136" customWidth="1"/>
    <col min="9" max="9" width="10.28515625" style="136" customWidth="1"/>
    <col min="10" max="10" width="10.5703125" style="136" customWidth="1"/>
    <col min="11" max="11" width="9.28515625" style="136" customWidth="1"/>
    <col min="12" max="12" width="35.140625" style="136" customWidth="1"/>
    <col min="13" max="13" width="14.7109375" style="136" customWidth="1"/>
    <col min="14" max="14" width="13.28515625" style="136" customWidth="1"/>
    <col min="15" max="15" width="9.5703125" style="136" customWidth="1"/>
    <col min="16" max="89" width="8.7109375" style="136" customWidth="1"/>
    <col min="90" max="16384" width="8.7109375" style="136"/>
  </cols>
  <sheetData>
    <row r="1" spans="1:29" ht="6" customHeight="1" x14ac:dyDescent="0.3">
      <c r="A1" s="133"/>
      <c r="B1" s="133"/>
      <c r="C1" s="133"/>
      <c r="D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</row>
    <row r="2" spans="1:29" ht="42" customHeight="1" x14ac:dyDescent="0.3">
      <c r="A2" s="133"/>
      <c r="B2" s="241" t="s">
        <v>139</v>
      </c>
      <c r="C2" s="242"/>
      <c r="D2" s="242"/>
      <c r="E2" s="243"/>
      <c r="F2" s="242"/>
      <c r="G2" s="244"/>
      <c r="H2" s="242"/>
      <c r="I2" s="242"/>
      <c r="J2" s="242"/>
      <c r="K2" s="242"/>
      <c r="L2" s="242"/>
      <c r="M2" s="242"/>
      <c r="N2" s="242"/>
      <c r="O2" s="242"/>
      <c r="P2" s="133"/>
      <c r="Q2" s="133"/>
      <c r="R2" s="133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</row>
    <row r="3" spans="1:29" ht="21.75" customHeight="1" x14ac:dyDescent="0.3">
      <c r="A3" s="133"/>
      <c r="B3" s="247" t="s">
        <v>140</v>
      </c>
      <c r="C3" s="242"/>
      <c r="D3" s="242"/>
      <c r="E3" s="243"/>
      <c r="F3" s="242"/>
      <c r="G3" s="244"/>
      <c r="H3" s="249">
        <f ca="1">TODAY()-1</f>
        <v>46209</v>
      </c>
      <c r="I3" s="242"/>
      <c r="J3" s="242"/>
      <c r="K3" s="242"/>
      <c r="L3" s="242"/>
      <c r="M3" s="242"/>
      <c r="N3" s="242"/>
      <c r="O3" s="242"/>
      <c r="P3" s="133"/>
      <c r="Q3" s="133"/>
      <c r="R3" s="133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</row>
    <row r="4" spans="1:29" ht="3" customHeight="1" x14ac:dyDescent="0.3">
      <c r="A4" s="133"/>
      <c r="B4" s="133"/>
      <c r="C4" s="133"/>
      <c r="D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</row>
    <row r="5" spans="1:29" ht="27" customHeight="1" x14ac:dyDescent="0.3">
      <c r="A5" s="133"/>
      <c r="B5" s="245" t="s">
        <v>141</v>
      </c>
      <c r="C5" s="242"/>
      <c r="D5" s="138" t="s">
        <v>142</v>
      </c>
      <c r="E5" s="138"/>
      <c r="F5" s="139"/>
      <c r="G5" s="245" t="s">
        <v>143</v>
      </c>
      <c r="H5" s="242"/>
      <c r="I5" s="140"/>
      <c r="J5" s="245" t="s">
        <v>144</v>
      </c>
      <c r="K5" s="242"/>
      <c r="L5" s="170"/>
      <c r="M5" s="141" t="s">
        <v>145</v>
      </c>
      <c r="N5" s="141"/>
      <c r="O5" s="141"/>
      <c r="P5" s="133"/>
      <c r="Q5" s="133"/>
      <c r="R5" s="133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1:29" ht="27" customHeight="1" x14ac:dyDescent="0.3">
      <c r="A6" s="133"/>
      <c r="B6" s="248">
        <f>SUMPRODUCT((Production_Log!$A$3:$A$8963=MAX(Production_Log!$A$3:$A$8963))*(LEFT(Production_Log!$B$3:$B$8963,5)="Print")*(ISERROR(SEARCH("(Varnish)",Production_Log!$D$3:$D$8963)))*Production_Log!$H$3:$H$8963)</f>
        <v>21724</v>
      </c>
      <c r="C6" s="242"/>
      <c r="D6" s="142">
        <f>SUMIF($B$11:$B$64,"TUBE",$H$11:$H$64)</f>
        <v>83072</v>
      </c>
      <c r="E6" s="248"/>
      <c r="F6" s="242"/>
      <c r="G6" s="143">
        <f t="array" ref="G6">IFERROR(SUMPRODUCT((Production_Log!$F$3:$F$8963&lt;&gt;0)*(LEFT(Production_Log!$B$3:$B$8963,5)="Print")*(ISERROR(SEARCH("(Varnish)",Production_Log!$D$3:$D$8963)))*Production_Log!$I$3:$I$8963)/SUMPRODUCT((Production_Log!$F$3:$F$8963&lt;&gt;0)*(LEFT(Production_Log!$B$3:$B$8963,5)="Print")*(ISERROR(SEARCH("(Varnish)",Production_Log!$D$3:$D$8963)))*(Production_Log!$H$3:$H$8963+Production_Log!$I$3:$I$8963)),"-")</f>
        <v>2.2820307721262881E-2</v>
      </c>
      <c r="H6" s="143"/>
      <c r="I6" s="140"/>
      <c r="J6" s="248">
        <f>SUMIF($B$11:$B$64,"TUBE",$K$11:$K$64)</f>
        <v>76160</v>
      </c>
      <c r="K6" s="242"/>
      <c r="L6" s="144"/>
      <c r="M6" s="171" t="s">
        <v>3</v>
      </c>
      <c r="N6" s="171" t="s">
        <v>146</v>
      </c>
      <c r="O6" s="171" t="s">
        <v>147</v>
      </c>
      <c r="P6" s="133"/>
      <c r="Q6" s="133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</row>
    <row r="7" spans="1:29" ht="27" customHeight="1" x14ac:dyDescent="0.3">
      <c r="A7" s="133"/>
      <c r="B7" s="250" t="s">
        <v>148</v>
      </c>
      <c r="C7" s="242"/>
      <c r="D7" s="145" t="s">
        <v>149</v>
      </c>
      <c r="E7" s="145"/>
      <c r="F7" s="146"/>
      <c r="G7" s="250" t="s">
        <v>150</v>
      </c>
      <c r="H7" s="242"/>
      <c r="I7" s="147"/>
      <c r="J7" s="146" t="s">
        <v>144</v>
      </c>
      <c r="K7" s="146"/>
      <c r="L7" s="146"/>
      <c r="M7" s="154" t="str">
        <f>IFERROR(INDEX($S$9:$S$21,MATCH(LARGE($U$9:$U$21,1),$U$9:$U$21,0)),"")</f>
        <v>Operations</v>
      </c>
      <c r="N7" s="155">
        <f>(IFERROR(INDEX($T$9:$T$21,MATCH(LARGE($U$9:$U$21,1),$U$9:$U$21,0)),""))/60</f>
        <v>14</v>
      </c>
      <c r="O7" s="156">
        <f t="shared" ref="O7:O13" si="0">IFERROR(N7/$N$14,"")</f>
        <v>0.42424242424242425</v>
      </c>
      <c r="P7" s="133"/>
      <c r="Q7" s="133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</row>
    <row r="8" spans="1:29" ht="27" customHeight="1" x14ac:dyDescent="0.3">
      <c r="A8" s="133"/>
      <c r="B8" s="246">
        <f>SUMPRODUCT((Production_Log!$A$3:$A$8963=MAX(Production_Log!$A$3:$A$8963))*(Production_Log!$B$3:$B$8963="PF Machine")*Production_Log!$H$3:$H$8963)</f>
        <v>5400</v>
      </c>
      <c r="C8" s="242"/>
      <c r="D8" s="148">
        <v>5400</v>
      </c>
      <c r="E8" s="246"/>
      <c r="F8" s="242"/>
      <c r="G8" s="149">
        <f t="array" ref="G8">IFERROR(SUMPRODUCT((Production_Log!$B$3:$B$8963="PF Machine")*Production_Log!$I$3:$I$8963)/SUMPRODUCT((Production_Log!$B$3:$B$8963="PF Machine")*(Production_Log!$H$3:$H$8963+Production_Log!$I$3:$I$8963)),0)</f>
        <v>0.12903225806451613</v>
      </c>
      <c r="H8" s="149"/>
      <c r="I8" s="147"/>
      <c r="J8" s="246">
        <f>SUMIF($B$11:$B$64,"PET",$K$11:$K$64)</f>
        <v>13800</v>
      </c>
      <c r="K8" s="242"/>
      <c r="L8" s="150"/>
      <c r="M8" s="154" t="str">
        <f>IFERROR(INDEX($S$9:$S$21,MATCH(LARGE($U$9:$U$21,2),$U$9:$U$21,0)),"")</f>
        <v>Power Shutdown</v>
      </c>
      <c r="N8" s="155">
        <f>IFERROR(INDEX($T$9:$T$21,MATCH(LARGE($U$9:$U$21,2),$U$9:$U$21,0)),"")/60</f>
        <v>11</v>
      </c>
      <c r="O8" s="156">
        <f t="shared" si="0"/>
        <v>0.33333333333333331</v>
      </c>
      <c r="P8" s="133"/>
      <c r="Q8" s="133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</row>
    <row r="9" spans="1:29" ht="20.25" customHeight="1" x14ac:dyDescent="0.3">
      <c r="A9" s="133"/>
      <c r="B9" s="240" t="s">
        <v>151</v>
      </c>
      <c r="C9" s="239"/>
      <c r="D9" s="239"/>
      <c r="E9" s="239"/>
      <c r="F9" s="239"/>
      <c r="G9" s="239"/>
      <c r="H9" s="239"/>
      <c r="I9" s="239"/>
      <c r="J9" s="239"/>
      <c r="K9" s="239"/>
      <c r="L9" s="239"/>
      <c r="M9" s="154" t="str">
        <f>IFERROR(INDEX($S$9:$S$21,MATCH(LARGE($U$9:$U$21,3),$U$9:$U$21,0)),"")</f>
        <v>Mechanical</v>
      </c>
      <c r="N9" s="155">
        <f>IFERROR(INDEX($T$9:$T$21,MATCH(LARGE($U$9:$U$21,3),$U$9:$U$21,0)),"")/60</f>
        <v>8</v>
      </c>
      <c r="O9" s="156">
        <f t="shared" si="0"/>
        <v>0.24242424242424243</v>
      </c>
      <c r="P9" s="133"/>
      <c r="Q9" s="133"/>
      <c r="R9" s="135"/>
      <c r="S9" s="164" t="s">
        <v>152</v>
      </c>
      <c r="T9" s="165">
        <f>SUMPRODUCT(((LEFT(Production_Log!$B$3:$B$8963,5)="Press")+(LEFT(Production_Log!$B$3:$B$8963,5)="Print"))*Production_Log!$K$3:$K$8963)</f>
        <v>480</v>
      </c>
      <c r="U9" s="164">
        <f>T9+0.00001</f>
        <v>480.00000999999997</v>
      </c>
      <c r="V9" s="135"/>
      <c r="W9" s="135"/>
      <c r="X9" s="135"/>
      <c r="Y9" s="135"/>
      <c r="Z9" s="135"/>
      <c r="AA9" s="135"/>
      <c r="AB9" s="135"/>
      <c r="AC9" s="135"/>
    </row>
    <row r="10" spans="1:29" ht="24" customHeight="1" x14ac:dyDescent="0.3">
      <c r="A10" s="133"/>
      <c r="B10" s="157" t="s">
        <v>153</v>
      </c>
      <c r="C10" s="157" t="s">
        <v>154</v>
      </c>
      <c r="D10" s="157" t="s">
        <v>155</v>
      </c>
      <c r="E10" s="157" t="s">
        <v>156</v>
      </c>
      <c r="F10" s="157" t="s">
        <v>157</v>
      </c>
      <c r="G10" s="157" t="s">
        <v>158</v>
      </c>
      <c r="H10" s="157" t="s">
        <v>159</v>
      </c>
      <c r="I10" s="157" t="s">
        <v>160</v>
      </c>
      <c r="J10" s="158" t="s">
        <v>161</v>
      </c>
      <c r="K10" s="159" t="s">
        <v>162</v>
      </c>
      <c r="L10" s="159" t="s">
        <v>163</v>
      </c>
      <c r="M10" s="154" t="str">
        <f>IFERROR(INDEX($S$9:$S$21,MATCH(LARGE($U$9:$U$21,4),$U$9:$U$21,0)),"")</f>
        <v>Workers Shortage</v>
      </c>
      <c r="N10" s="155">
        <f>IFERROR(INDEX($T$9:$T$21,MATCH(LARGE($U$9:$U$21,4),$U$9:$U$21,0)),"")/60</f>
        <v>0</v>
      </c>
      <c r="O10" s="156">
        <f t="shared" si="0"/>
        <v>0</v>
      </c>
      <c r="P10" s="133"/>
      <c r="Q10" s="133"/>
      <c r="R10" s="135"/>
      <c r="S10" s="164" t="s">
        <v>164</v>
      </c>
      <c r="T10" s="165">
        <f>SUMPRODUCT(((LEFT(Production_Log!$B$3:$B$8963,5)="Press")+(LEFT(Production_Log!$B$3:$B$8963,5)="Print"))*Production_Log!$L$3:$L$8963)</f>
        <v>0</v>
      </c>
      <c r="U10" s="164">
        <f>T10+0.00002</f>
        <v>2.0000000000000002E-5</v>
      </c>
      <c r="V10" s="135"/>
      <c r="W10" s="135"/>
      <c r="X10" s="135"/>
      <c r="Y10" s="135"/>
      <c r="Z10" s="135"/>
      <c r="AA10" s="135"/>
      <c r="AB10" s="135"/>
      <c r="AC10" s="135"/>
    </row>
    <row r="11" spans="1:29" s="167" customFormat="1" ht="16.5" customHeight="1" x14ac:dyDescent="0.3">
      <c r="A11" s="166"/>
      <c r="B11" s="225" t="s">
        <v>165</v>
      </c>
      <c r="C11" s="226" t="s">
        <v>166</v>
      </c>
      <c r="D11" s="227" t="s">
        <v>167</v>
      </c>
      <c r="E11" s="228">
        <v>16</v>
      </c>
      <c r="F11" s="229">
        <v>6561</v>
      </c>
      <c r="G11" s="229">
        <f>IFERROR(INDEX(MRP!$F$3:$F$8,MATCH(Tubex_Dashboard!F11,MRP!$D$3:$D$8,0)),0)</f>
        <v>25000</v>
      </c>
      <c r="H11" s="230">
        <f>SUMPRODUCT((Production_Log!$F$3:$F$8963=F11)*(LEFT(Production_Log!$B$3:$B$8963,5)="Print")*(ISERROR(SEARCH("(Varnish)",Production_Log!$D$3:$D$8963)))*Production_Log!$H$3:$H$8963)</f>
        <v>0</v>
      </c>
      <c r="I11" s="229">
        <f t="shared" ref="I11:I16" si="1">G11-H11</f>
        <v>25000</v>
      </c>
      <c r="J11" s="231">
        <f t="shared" ref="J11:J16" si="2">IF(G11=0,"-",H11/G11)</f>
        <v>0</v>
      </c>
      <c r="K11" s="230"/>
      <c r="L11" s="232" t="s">
        <v>168</v>
      </c>
      <c r="M11" s="154" t="str">
        <f>IFERROR(INDEX($S$9:$S$21,MATCH(LARGE($U$9:$U$21,5),$U$9:$U$21,0)),"")</f>
        <v>Gas Shutdown</v>
      </c>
      <c r="N11" s="155">
        <f>IFERROR(INDEX($T$9:$T$21,MATCH(LARGE($U$9:$U$21,5),$U$9:$U$21,0)),"")/60</f>
        <v>0</v>
      </c>
      <c r="O11" s="156">
        <f t="shared" si="0"/>
        <v>0</v>
      </c>
      <c r="P11" s="166"/>
      <c r="Q11" s="166"/>
      <c r="R11" s="166"/>
      <c r="T11" s="169"/>
      <c r="V11" s="168"/>
      <c r="W11" s="168"/>
      <c r="X11" s="168"/>
      <c r="Y11" s="168"/>
      <c r="Z11" s="168"/>
      <c r="AA11" s="168"/>
      <c r="AB11" s="168"/>
      <c r="AC11" s="168"/>
    </row>
    <row r="12" spans="1:29" ht="16.5" customHeight="1" x14ac:dyDescent="0.3">
      <c r="A12" s="133"/>
      <c r="B12" s="225" t="s">
        <v>165</v>
      </c>
      <c r="C12" s="226" t="s">
        <v>169</v>
      </c>
      <c r="D12" s="227" t="s">
        <v>170</v>
      </c>
      <c r="E12" s="228">
        <v>25</v>
      </c>
      <c r="F12" s="229">
        <v>3447</v>
      </c>
      <c r="G12" s="229">
        <f>IFERROR(INDEX(MRP!$F$3:$F$8,MATCH(Tubex_Dashboard!F12,MRP!$D$3:$D$8,0)),0)</f>
        <v>78976</v>
      </c>
      <c r="H12" s="230">
        <f>SUMPRODUCT((Production_Log!$F$3:$F$8963=F12)*(LEFT(Production_Log!$B$3:$B$8963,5)="Print")*(ISERROR(SEARCH("(Varnish)",Production_Log!$D$3:$D$8963)))*Production_Log!$H$3:$H$8963)</f>
        <v>10416</v>
      </c>
      <c r="I12" s="229">
        <f t="shared" si="1"/>
        <v>68560</v>
      </c>
      <c r="J12" s="231">
        <f t="shared" si="2"/>
        <v>0.13188816855753646</v>
      </c>
      <c r="K12" s="230"/>
      <c r="L12" s="232" t="s">
        <v>171</v>
      </c>
      <c r="M12" s="154" t="str">
        <f>IFERROR(INDEX($S$9:$S$21,MATCH(LARGE($U$9:$U$21,6),$U$9:$U$21,0)),"")</f>
        <v>Changeover</v>
      </c>
      <c r="N12" s="155">
        <f>IFERROR(INDEX($T$9:$T$21,MATCH(LARGE($U$9:$U$21,6),$U$9:$U$21,0)),"")/60</f>
        <v>0</v>
      </c>
      <c r="O12" s="156">
        <f t="shared" si="0"/>
        <v>0</v>
      </c>
      <c r="P12" s="133"/>
      <c r="Q12" s="133"/>
      <c r="R12" s="135"/>
      <c r="S12" s="164" t="s">
        <v>172</v>
      </c>
      <c r="T12" s="165">
        <f>SUMPRODUCT(((LEFT(Production_Log!$B$3:$B$8963,5)="Press")+(LEFT(Production_Log!$B$3:$B$8963,5)="Print"))*Production_Log!$M$3:$M$8963)</f>
        <v>0</v>
      </c>
      <c r="U12" s="164">
        <f>T12+0.00003</f>
        <v>3.0000000000000001E-5</v>
      </c>
      <c r="V12" s="135"/>
      <c r="W12" s="135"/>
      <c r="X12" s="135"/>
      <c r="Y12" s="135"/>
      <c r="Z12" s="135"/>
      <c r="AA12" s="135"/>
      <c r="AB12" s="135"/>
      <c r="AC12" s="135"/>
    </row>
    <row r="13" spans="1:29" ht="16.5" customHeight="1" x14ac:dyDescent="0.3">
      <c r="A13" s="133"/>
      <c r="B13" s="225" t="s">
        <v>165</v>
      </c>
      <c r="C13" s="226" t="s">
        <v>169</v>
      </c>
      <c r="D13" s="227" t="s">
        <v>173</v>
      </c>
      <c r="E13" s="228">
        <v>25</v>
      </c>
      <c r="F13" s="229">
        <v>5389</v>
      </c>
      <c r="G13" s="229">
        <f>IFERROR(INDEX(MRP!$F$3:$F$8,MATCH(Tubex_Dashboard!F13,MRP!$D$3:$D$8,0)),0)</f>
        <v>100000</v>
      </c>
      <c r="H13" s="230">
        <f>SUMPRODUCT((Production_Log!$F$3:$F$8963=F13)*(LEFT(Production_Log!$B$3:$B$8963,5)="Print")*(ISERROR(SEARCH("(Varnish)",Production_Log!$D$3:$D$8963)))*Production_Log!$H$3:$H$8963)</f>
        <v>0</v>
      </c>
      <c r="I13" s="229">
        <f t="shared" si="1"/>
        <v>100000</v>
      </c>
      <c r="J13" s="231">
        <f t="shared" si="2"/>
        <v>0</v>
      </c>
      <c r="K13" s="230"/>
      <c r="L13" s="232" t="s">
        <v>171</v>
      </c>
      <c r="M13" s="154" t="str">
        <f>IFERROR(INDEX($S$9:$S$21,MATCH(LARGE($U$9:$U$21,7),$U$9:$U$21,0)),"")</f>
        <v>Material Shortage</v>
      </c>
      <c r="N13" s="155">
        <f>IFERROR(INDEX($T$9:$T$21,MATCH(LARGE($U$9:$U$21,7),$U$9:$U$21,0)),"")/60</f>
        <v>0</v>
      </c>
      <c r="O13" s="156">
        <f t="shared" si="0"/>
        <v>0</v>
      </c>
      <c r="P13" s="133"/>
      <c r="Q13" s="133"/>
      <c r="R13" s="135"/>
      <c r="S13" s="164" t="s">
        <v>174</v>
      </c>
      <c r="T13" s="165">
        <f>SUMPRODUCT(((LEFT(Production_Log!$B$3:$B$8963,5)="Press")+(LEFT(Production_Log!$B$3:$B$8963,5)="Print"))*Production_Log!$N$3:$N$8963)</f>
        <v>0</v>
      </c>
      <c r="U13" s="164">
        <f>T13+0.00004</f>
        <v>4.0000000000000003E-5</v>
      </c>
      <c r="V13" s="135"/>
      <c r="W13" s="135"/>
      <c r="X13" s="135"/>
      <c r="Y13" s="135"/>
      <c r="Z13" s="135"/>
      <c r="AA13" s="135"/>
      <c r="AB13" s="135"/>
      <c r="AC13" s="135"/>
    </row>
    <row r="14" spans="1:29" ht="16.5" customHeight="1" x14ac:dyDescent="0.3">
      <c r="A14" s="133"/>
      <c r="B14" s="225" t="s">
        <v>165</v>
      </c>
      <c r="C14" s="226" t="s">
        <v>175</v>
      </c>
      <c r="D14" s="227" t="s">
        <v>176</v>
      </c>
      <c r="E14" s="228">
        <v>30</v>
      </c>
      <c r="F14" s="229">
        <v>6206</v>
      </c>
      <c r="G14" s="229">
        <f>IFERROR(INDEX(MRP!$F$3:$F$8,MATCH(Tubex_Dashboard!F14,MRP!$D$3:$D$8,0)),0)</f>
        <v>174138</v>
      </c>
      <c r="H14" s="230">
        <f>SUMPRODUCT((Production_Log!$F$3:$F$8963=F14)*(LEFT(Production_Log!$B$3:$B$8963,5)="Print")*(ISERROR(SEARCH("(Varnish)",Production_Log!$D$3:$D$8963)))*Production_Log!$H$3:$H$8963)</f>
        <v>72656</v>
      </c>
      <c r="I14" s="229">
        <f t="shared" si="1"/>
        <v>101482</v>
      </c>
      <c r="J14" s="231">
        <f t="shared" si="2"/>
        <v>0.41723231000700595</v>
      </c>
      <c r="K14" s="230">
        <v>76160</v>
      </c>
      <c r="L14" s="232"/>
      <c r="M14" s="152" t="s">
        <v>177</v>
      </c>
      <c r="N14" s="152">
        <f>SUM($T$9:$T$21)/60</f>
        <v>33</v>
      </c>
      <c r="O14" s="152" t="s">
        <v>178</v>
      </c>
      <c r="P14" s="133"/>
      <c r="Q14" s="133"/>
      <c r="R14" s="133"/>
      <c r="S14" s="164" t="s">
        <v>179</v>
      </c>
      <c r="T14" s="165">
        <f>SUMPRODUCT(((LEFT(Production_Log!$B$3:$B$8963,5)="Press")+(LEFT(Production_Log!$B$3:$B$8963,5)="Print"))*Production_Log!$O$3:$O$8963)</f>
        <v>840</v>
      </c>
      <c r="U14" s="164">
        <f>T14+0.00005</f>
        <v>840.00004999999999</v>
      </c>
      <c r="V14" s="133"/>
      <c r="W14" s="133"/>
      <c r="X14" s="135"/>
      <c r="Y14" s="135"/>
      <c r="Z14" s="135"/>
      <c r="AA14" s="135"/>
      <c r="AB14" s="135"/>
      <c r="AC14" s="135"/>
    </row>
    <row r="15" spans="1:29" ht="16.5" customHeight="1" x14ac:dyDescent="0.3">
      <c r="A15" s="133"/>
      <c r="B15" s="225" t="s">
        <v>165</v>
      </c>
      <c r="C15" s="226" t="s">
        <v>180</v>
      </c>
      <c r="D15" s="227" t="s">
        <v>181</v>
      </c>
      <c r="E15" s="228">
        <v>30</v>
      </c>
      <c r="F15" s="229">
        <v>5814</v>
      </c>
      <c r="G15" s="229">
        <f>IFERROR(INDEX(MRP!$F$3:$F$8,MATCH(Tubex_Dashboard!F15,MRP!$D$3:$D$8,0)),0)</f>
        <v>30000</v>
      </c>
      <c r="H15" s="230">
        <f>SUMPRODUCT((Production_Log!$F$3:$F$8963=F15)*(LEFT(Production_Log!$B$3:$B$8963,5)="Print")*(ISERROR(SEARCH("(Varnish)",Production_Log!$D$3:$D$8963)))*Production_Log!$H$3:$H$8963)</f>
        <v>0</v>
      </c>
      <c r="I15" s="229">
        <f t="shared" si="1"/>
        <v>30000</v>
      </c>
      <c r="J15" s="231">
        <f t="shared" si="2"/>
        <v>0</v>
      </c>
      <c r="K15" s="230"/>
      <c r="L15" s="232"/>
      <c r="P15" s="133"/>
      <c r="Q15" s="133"/>
      <c r="R15" s="133"/>
      <c r="S15" s="133"/>
      <c r="T15" s="133"/>
      <c r="U15" s="133"/>
      <c r="V15" s="135"/>
      <c r="W15" s="135"/>
      <c r="X15" s="135"/>
      <c r="Y15" s="135"/>
      <c r="Z15" s="135"/>
      <c r="AA15" s="135"/>
      <c r="AB15" s="135"/>
      <c r="AC15" s="135"/>
    </row>
    <row r="16" spans="1:29" ht="16.5" customHeight="1" x14ac:dyDescent="0.3">
      <c r="A16" s="133"/>
      <c r="B16" s="225" t="s">
        <v>165</v>
      </c>
      <c r="C16" s="226" t="s">
        <v>182</v>
      </c>
      <c r="D16" s="227" t="s">
        <v>183</v>
      </c>
      <c r="E16" s="228">
        <v>35</v>
      </c>
      <c r="F16" s="229">
        <v>6530</v>
      </c>
      <c r="G16" s="229">
        <f>IFERROR(INDEX(MRP!$F$3:$F$8,MATCH(Tubex_Dashboard!F16,MRP!$D$3:$D$8,0)),0)</f>
        <v>13300</v>
      </c>
      <c r="H16" s="230">
        <f>SUMPRODUCT((Production_Log!$F$3:$F$8963=F16)*(LEFT(Production_Log!$B$3:$B$8963,5)="Print")*(ISERROR(SEARCH("(Varnish)",Production_Log!$D$3:$D$8963)))*Production_Log!$H$3:$H$8963)</f>
        <v>0</v>
      </c>
      <c r="I16" s="229">
        <f t="shared" si="1"/>
        <v>13300</v>
      </c>
      <c r="J16" s="231">
        <f t="shared" si="2"/>
        <v>0</v>
      </c>
      <c r="K16" s="230"/>
      <c r="L16" s="232" t="s">
        <v>184</v>
      </c>
      <c r="M16" s="133"/>
      <c r="N16" s="133"/>
      <c r="O16" s="133"/>
      <c r="P16" s="133"/>
      <c r="Q16" s="133"/>
      <c r="R16" s="133"/>
      <c r="S16" s="164" t="s">
        <v>185</v>
      </c>
      <c r="T16" s="165">
        <f>SUMPRODUCT(((LEFT(Production_Log!$B$3:$B$8963,5)="Press")+(LEFT(Production_Log!$B$3:$B$8963,5)="Print"))*Production_Log!$P$3:$P$8963)</f>
        <v>660</v>
      </c>
      <c r="U16" s="164">
        <f>T16+0.00006</f>
        <v>660.00005999999996</v>
      </c>
      <c r="V16" s="133"/>
      <c r="W16" s="133"/>
      <c r="X16" s="135"/>
      <c r="Y16" s="135"/>
      <c r="Z16" s="135"/>
      <c r="AA16" s="135"/>
      <c r="AB16" s="135"/>
      <c r="AC16" s="135"/>
    </row>
    <row r="17" spans="1:29" ht="16.5" customHeight="1" x14ac:dyDescent="0.3">
      <c r="A17" s="133"/>
      <c r="B17" s="233"/>
      <c r="C17" s="234"/>
      <c r="D17" s="235" t="s">
        <v>177</v>
      </c>
      <c r="E17" s="233"/>
      <c r="F17" s="234"/>
      <c r="G17" s="236">
        <f>SUM(G11:G16)</f>
        <v>421414</v>
      </c>
      <c r="H17" s="236">
        <f>SUM(H11:H16)</f>
        <v>83072</v>
      </c>
      <c r="I17" s="236">
        <f>SUMIF(I11:I16,"&gt;"&amp;0)</f>
        <v>338342</v>
      </c>
      <c r="J17" s="236"/>
      <c r="K17" s="236">
        <f>SUM(K11:K16)</f>
        <v>76160</v>
      </c>
      <c r="L17" s="236"/>
      <c r="P17" s="133"/>
      <c r="Q17" s="133"/>
      <c r="R17" s="133"/>
      <c r="S17" s="133"/>
      <c r="T17" s="133"/>
      <c r="U17" s="133"/>
      <c r="V17" s="135"/>
      <c r="W17" s="135"/>
      <c r="X17" s="135"/>
      <c r="Y17" s="135"/>
      <c r="Z17" s="135"/>
      <c r="AA17" s="135"/>
      <c r="AB17" s="135"/>
      <c r="AC17" s="135"/>
    </row>
    <row r="18" spans="1:29" ht="16.5" customHeight="1" x14ac:dyDescent="0.3">
      <c r="A18" s="133"/>
      <c r="B18" s="225" t="s">
        <v>186</v>
      </c>
      <c r="C18" s="226" t="s">
        <v>169</v>
      </c>
      <c r="D18" s="227" t="s">
        <v>187</v>
      </c>
      <c r="E18" s="228" t="s">
        <v>188</v>
      </c>
      <c r="F18" s="229">
        <v>8005</v>
      </c>
      <c r="G18" s="229">
        <v>19840</v>
      </c>
      <c r="H18" s="230">
        <f>SUMPRODUCT((Production_Log!$F$3:$F$8963=F18)*Production_Log!$H$3:$H$8963)</f>
        <v>0</v>
      </c>
      <c r="I18" s="229">
        <f t="shared" ref="I18:I23" si="3">G18-H18</f>
        <v>19840</v>
      </c>
      <c r="J18" s="231">
        <f t="shared" ref="J18:J23" si="4">IF(G18=0,"-",H18/G18)</f>
        <v>0</v>
      </c>
      <c r="K18" s="230"/>
      <c r="L18" s="232"/>
      <c r="P18" s="133"/>
      <c r="Q18" s="133"/>
      <c r="R18" s="133"/>
      <c r="S18" s="164" t="s">
        <v>189</v>
      </c>
      <c r="T18" s="165">
        <f>SUMPRODUCT(((LEFT(Production_Log!$B$3:$B$8963,5)="Press")+(LEFT(Production_Log!$B$3:$B$8963,5)="Print"))*Production_Log!$Q$3:$Q$8963)</f>
        <v>0</v>
      </c>
      <c r="U18" s="164">
        <f>T18+0.00007</f>
        <v>6.9999999999999994E-5</v>
      </c>
      <c r="V18" s="135"/>
      <c r="W18" s="135"/>
      <c r="X18" s="135"/>
      <c r="Y18" s="135"/>
      <c r="Z18" s="135"/>
      <c r="AA18" s="135"/>
      <c r="AB18" s="135"/>
      <c r="AC18" s="135"/>
    </row>
    <row r="19" spans="1:29" ht="16.5" customHeight="1" x14ac:dyDescent="0.3">
      <c r="A19" s="133"/>
      <c r="B19" s="225" t="s">
        <v>186</v>
      </c>
      <c r="C19" s="226" t="s">
        <v>180</v>
      </c>
      <c r="D19" s="227" t="s">
        <v>190</v>
      </c>
      <c r="E19" s="228" t="s">
        <v>191</v>
      </c>
      <c r="F19" s="229">
        <v>8015</v>
      </c>
      <c r="G19" s="229">
        <v>15000</v>
      </c>
      <c r="H19" s="230">
        <f>SUMPRODUCT((Production_Log!$F$3:$F$8963=F19)*Production_Log!$H$3:$H$8963)</f>
        <v>0</v>
      </c>
      <c r="I19" s="229">
        <f t="shared" si="3"/>
        <v>15000</v>
      </c>
      <c r="J19" s="231">
        <f t="shared" si="4"/>
        <v>0</v>
      </c>
      <c r="K19" s="230"/>
      <c r="L19" s="232"/>
      <c r="M19" s="133"/>
      <c r="N19" s="133"/>
      <c r="O19" s="133"/>
      <c r="P19" s="133"/>
      <c r="Q19" s="133"/>
      <c r="R19" s="135"/>
      <c r="S19" s="164" t="s">
        <v>192</v>
      </c>
      <c r="T19" s="165">
        <f>SUMPRODUCT(((LEFT(Production_Log!$B$3:$B$8963,5)="Press")+(LEFT(Production_Log!$B$3:$B$8963,5)="Print"))*Production_Log!$R$3:$R$8963)</f>
        <v>0</v>
      </c>
      <c r="U19" s="164">
        <f>T19+0.00008</f>
        <v>8.0000000000000007E-5</v>
      </c>
      <c r="V19" s="135"/>
      <c r="W19" s="135"/>
      <c r="X19" s="135"/>
      <c r="Y19" s="135"/>
      <c r="Z19" s="135"/>
      <c r="AA19" s="135"/>
      <c r="AB19" s="135"/>
      <c r="AC19" s="135"/>
    </row>
    <row r="20" spans="1:29" ht="16.5" customHeight="1" x14ac:dyDescent="0.3">
      <c r="A20" s="133"/>
      <c r="B20" s="225" t="s">
        <v>186</v>
      </c>
      <c r="C20" s="226" t="s">
        <v>193</v>
      </c>
      <c r="D20" s="227" t="s">
        <v>194</v>
      </c>
      <c r="E20" s="228" t="s">
        <v>195</v>
      </c>
      <c r="F20" s="229">
        <v>8001</v>
      </c>
      <c r="G20" s="229">
        <v>153167</v>
      </c>
      <c r="H20" s="230">
        <f>SUMPRODUCT((Production_Log!$F$3:$F$8963=F20)*Production_Log!$H$3:$H$8963)</f>
        <v>0</v>
      </c>
      <c r="I20" s="229">
        <f t="shared" si="3"/>
        <v>153167</v>
      </c>
      <c r="J20" s="231">
        <f t="shared" si="4"/>
        <v>0</v>
      </c>
      <c r="K20" s="230">
        <v>13800</v>
      </c>
      <c r="L20" s="232"/>
      <c r="M20" s="133"/>
      <c r="N20" s="133"/>
      <c r="O20" s="133"/>
      <c r="P20" s="133"/>
      <c r="Q20" s="133"/>
      <c r="R20" s="135"/>
      <c r="T20" s="151"/>
      <c r="V20" s="135"/>
      <c r="W20" s="135"/>
      <c r="X20" s="135"/>
      <c r="Y20" s="135"/>
      <c r="Z20" s="135"/>
      <c r="AA20" s="135"/>
      <c r="AB20" s="135"/>
      <c r="AC20" s="135"/>
    </row>
    <row r="21" spans="1:29" ht="16.5" customHeight="1" x14ac:dyDescent="0.3">
      <c r="A21" s="133"/>
      <c r="B21" s="225" t="s">
        <v>186</v>
      </c>
      <c r="C21" s="226" t="s">
        <v>169</v>
      </c>
      <c r="D21" s="227" t="s">
        <v>196</v>
      </c>
      <c r="E21" s="228" t="s">
        <v>197</v>
      </c>
      <c r="F21" s="229">
        <v>8007</v>
      </c>
      <c r="G21" s="229">
        <v>10000</v>
      </c>
      <c r="H21" s="230">
        <f>SUMPRODUCT((Production_Log!$F$3:$F$8963=F21)*Production_Log!$H$3:$H$8963)</f>
        <v>0</v>
      </c>
      <c r="I21" s="229">
        <f t="shared" si="3"/>
        <v>10000</v>
      </c>
      <c r="J21" s="231">
        <f t="shared" si="4"/>
        <v>0</v>
      </c>
      <c r="K21" s="230"/>
      <c r="L21" s="232"/>
      <c r="M21" s="133"/>
      <c r="N21" s="133"/>
      <c r="O21" s="133"/>
      <c r="P21" s="133"/>
      <c r="Q21" s="133"/>
      <c r="R21" s="133"/>
      <c r="T21" s="151"/>
      <c r="V21" s="135"/>
      <c r="W21" s="135"/>
      <c r="X21" s="135"/>
      <c r="Y21" s="135"/>
      <c r="Z21" s="135"/>
      <c r="AA21" s="135"/>
      <c r="AB21" s="135"/>
      <c r="AC21" s="135"/>
    </row>
    <row r="22" spans="1:29" ht="16.5" customHeight="1" x14ac:dyDescent="0.3">
      <c r="A22" s="133"/>
      <c r="B22" s="225" t="s">
        <v>186</v>
      </c>
      <c r="C22" s="226" t="s">
        <v>169</v>
      </c>
      <c r="D22" s="227" t="s">
        <v>198</v>
      </c>
      <c r="E22" s="228" t="s">
        <v>197</v>
      </c>
      <c r="F22" s="229">
        <v>8006</v>
      </c>
      <c r="G22" s="229">
        <v>42400</v>
      </c>
      <c r="H22" s="230">
        <f>SUMPRODUCT((Production_Log!$F$3:$F$8963=F22)*Production_Log!$H$3:$H$8963)</f>
        <v>0</v>
      </c>
      <c r="I22" s="229">
        <f t="shared" si="3"/>
        <v>42400</v>
      </c>
      <c r="J22" s="231">
        <f t="shared" si="4"/>
        <v>0</v>
      </c>
      <c r="K22" s="230"/>
      <c r="L22" s="232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5"/>
      <c r="Y22" s="135"/>
      <c r="Z22" s="135"/>
      <c r="AA22" s="135"/>
      <c r="AB22" s="135"/>
      <c r="AC22" s="135"/>
    </row>
    <row r="23" spans="1:29" ht="16.5" customHeight="1" x14ac:dyDescent="0.3">
      <c r="A23" s="133"/>
      <c r="B23" s="225" t="s">
        <v>186</v>
      </c>
      <c r="C23" s="226" t="s">
        <v>169</v>
      </c>
      <c r="D23" s="227" t="s">
        <v>199</v>
      </c>
      <c r="E23" s="228" t="s">
        <v>197</v>
      </c>
      <c r="F23" s="229">
        <v>8014</v>
      </c>
      <c r="G23" s="229">
        <v>10000</v>
      </c>
      <c r="H23" s="230">
        <f>SUMPRODUCT((Production_Log!$F$3:$F$8963=F23)*Production_Log!$H$3:$H$8963)</f>
        <v>0</v>
      </c>
      <c r="I23" s="229">
        <f t="shared" si="3"/>
        <v>10000</v>
      </c>
      <c r="J23" s="231">
        <f t="shared" si="4"/>
        <v>0</v>
      </c>
      <c r="K23" s="230"/>
      <c r="L23" s="232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5"/>
      <c r="Y23" s="135"/>
      <c r="Z23" s="135"/>
      <c r="AA23" s="135"/>
      <c r="AB23" s="135"/>
      <c r="AC23" s="135"/>
    </row>
    <row r="24" spans="1:29" ht="16.5" customHeight="1" x14ac:dyDescent="0.3">
      <c r="A24" s="133"/>
      <c r="B24" s="233"/>
      <c r="C24" s="234"/>
      <c r="D24" s="235" t="s">
        <v>177</v>
      </c>
      <c r="E24" s="233"/>
      <c r="F24" s="234"/>
      <c r="G24" s="236">
        <f>SUM(G18:G23)</f>
        <v>250407</v>
      </c>
      <c r="H24" s="236">
        <f>SUM(H18:H23)</f>
        <v>0</v>
      </c>
      <c r="I24" s="236">
        <f>SUMIF(I18:I23,"&gt;"&amp;0)</f>
        <v>250407</v>
      </c>
      <c r="J24" s="236"/>
      <c r="K24" s="236">
        <f>SUM(K18:K23)</f>
        <v>13800</v>
      </c>
      <c r="L24" s="236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5"/>
      <c r="Y24" s="135"/>
      <c r="Z24" s="135"/>
      <c r="AA24" s="135"/>
      <c r="AB24" s="135"/>
      <c r="AC24" s="135"/>
    </row>
    <row r="25" spans="1:29" ht="16.5" customHeight="1" x14ac:dyDescent="0.3">
      <c r="A25" s="133"/>
      <c r="B25" s="225" t="s">
        <v>165</v>
      </c>
      <c r="C25" s="226" t="s">
        <v>200</v>
      </c>
      <c r="D25" s="227" t="s">
        <v>201</v>
      </c>
      <c r="E25" s="228">
        <v>12.5</v>
      </c>
      <c r="F25" s="229">
        <v>9004</v>
      </c>
      <c r="G25" s="229">
        <f>IFERROR(INDEX(MRP!$F$3:$F$8,MATCH(Tubex_Dashboard!F25,MRP!$D$3:$D$8,0)),0)</f>
        <v>0</v>
      </c>
      <c r="H25" s="230">
        <f>SUMPRODUCT((Production_Log!$F$3:$F$8963=F25)*(LEFT(Production_Log!$B$3:$B$8963,5)="Print")*(ISERROR(SEARCH("(Varnish)",Production_Log!$D$3:$D$8963)))*Production_Log!$H$3:$H$8963)</f>
        <v>0</v>
      </c>
      <c r="I25" s="229">
        <f t="shared" ref="I25:I64" si="5">G25-H25</f>
        <v>0</v>
      </c>
      <c r="J25" s="231" t="str">
        <f t="shared" ref="J25:J64" si="6">IF(G25=0,"-",H25/G25)</f>
        <v>-</v>
      </c>
      <c r="K25" s="230"/>
      <c r="L25" s="232"/>
      <c r="M25" s="133"/>
      <c r="N25" s="133"/>
      <c r="O25" s="133"/>
      <c r="P25" s="133"/>
      <c r="Q25" s="133"/>
      <c r="R25" s="135"/>
      <c r="T25" s="151"/>
      <c r="V25" s="135"/>
      <c r="W25" s="135"/>
      <c r="X25" s="135"/>
      <c r="Y25" s="135"/>
      <c r="Z25" s="135"/>
      <c r="AA25" s="135"/>
      <c r="AB25" s="135"/>
      <c r="AC25" s="135"/>
    </row>
    <row r="26" spans="1:29" ht="16.5" customHeight="1" x14ac:dyDescent="0.3">
      <c r="A26" s="133"/>
      <c r="B26" s="225" t="s">
        <v>165</v>
      </c>
      <c r="C26" s="226" t="s">
        <v>169</v>
      </c>
      <c r="D26" s="227" t="s">
        <v>202</v>
      </c>
      <c r="E26" s="228">
        <v>19</v>
      </c>
      <c r="F26" s="229">
        <v>6624</v>
      </c>
      <c r="G26" s="229">
        <f>IFERROR(INDEX(MRP!$F$3:$F$8,MATCH(Tubex_Dashboard!F26,MRP!$D$3:$D$8,0)),0)</f>
        <v>0</v>
      </c>
      <c r="H26" s="230">
        <f>SUMPRODUCT((Production_Log!$F$3:$F$8963=F26)*(LEFT(Production_Log!$B$3:$B$8963,5)="Print")*(ISERROR(SEARCH("(Varnish)",Production_Log!$D$3:$D$8963)))*Production_Log!$H$3:$H$8963)</f>
        <v>0</v>
      </c>
      <c r="I26" s="229">
        <f t="shared" si="5"/>
        <v>0</v>
      </c>
      <c r="J26" s="231" t="str">
        <f t="shared" si="6"/>
        <v>-</v>
      </c>
      <c r="K26" s="230"/>
      <c r="L26" s="232"/>
      <c r="M26" s="133"/>
      <c r="N26" s="133"/>
      <c r="O26" s="133"/>
      <c r="P26" s="133"/>
      <c r="Q26" s="133"/>
      <c r="R26" s="135"/>
      <c r="T26" s="151"/>
      <c r="V26" s="135"/>
      <c r="W26" s="135"/>
      <c r="X26" s="135"/>
      <c r="Y26" s="135"/>
      <c r="Z26" s="135"/>
      <c r="AA26" s="135"/>
      <c r="AB26" s="135"/>
      <c r="AC26" s="135"/>
    </row>
    <row r="27" spans="1:29" ht="16.5" customHeight="1" x14ac:dyDescent="0.3">
      <c r="A27" s="133"/>
      <c r="B27" s="225" t="s">
        <v>165</v>
      </c>
      <c r="C27" s="226" t="s">
        <v>169</v>
      </c>
      <c r="D27" s="227" t="s">
        <v>203</v>
      </c>
      <c r="E27" s="228">
        <v>19</v>
      </c>
      <c r="F27" s="229">
        <v>6623</v>
      </c>
      <c r="G27" s="229">
        <f>IFERROR(INDEX(MRP!$F$3:$F$8,MATCH(Tubex_Dashboard!F27,MRP!$D$3:$D$8,0)),0)</f>
        <v>0</v>
      </c>
      <c r="H27" s="230">
        <f>SUMPRODUCT((Production_Log!$F$3:$F$8963=F27)*(LEFT(Production_Log!$B$3:$B$8963,5)="Print")*(ISERROR(SEARCH("(Varnish)",Production_Log!$D$3:$D$8963)))*Production_Log!$H$3:$H$8963)</f>
        <v>0</v>
      </c>
      <c r="I27" s="229">
        <f t="shared" si="5"/>
        <v>0</v>
      </c>
      <c r="J27" s="231" t="str">
        <f t="shared" si="6"/>
        <v>-</v>
      </c>
      <c r="K27" s="230"/>
      <c r="L27" s="232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5"/>
      <c r="Y27" s="135"/>
      <c r="Z27" s="135"/>
      <c r="AA27" s="135"/>
      <c r="AB27" s="135"/>
      <c r="AC27" s="135"/>
    </row>
    <row r="28" spans="1:29" ht="16.5" customHeight="1" x14ac:dyDescent="0.3">
      <c r="A28" s="133"/>
      <c r="B28" s="225" t="s">
        <v>165</v>
      </c>
      <c r="C28" s="226" t="s">
        <v>166</v>
      </c>
      <c r="D28" s="227" t="s">
        <v>204</v>
      </c>
      <c r="E28" s="228">
        <v>19</v>
      </c>
      <c r="F28" s="229">
        <v>6559</v>
      </c>
      <c r="G28" s="229">
        <f>IFERROR(INDEX(MRP!$F$3:$F$8,MATCH(Tubex_Dashboard!F28,MRP!$D$3:$D$8,0)),0)</f>
        <v>0</v>
      </c>
      <c r="H28" s="230">
        <f>SUMPRODUCT((Production_Log!$F$3:$F$8963=F28)*(LEFT(Production_Log!$B$3:$B$8963,5)="Print")*(ISERROR(SEARCH("(Varnish)",Production_Log!$D$3:$D$8963)))*Production_Log!$H$3:$H$8963)</f>
        <v>0</v>
      </c>
      <c r="I28" s="229">
        <f t="shared" si="5"/>
        <v>0</v>
      </c>
      <c r="J28" s="231" t="str">
        <f t="shared" si="6"/>
        <v>-</v>
      </c>
      <c r="K28" s="230"/>
      <c r="L28" s="232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5"/>
      <c r="Y28" s="135"/>
      <c r="Z28" s="135"/>
      <c r="AA28" s="135"/>
      <c r="AB28" s="135"/>
      <c r="AC28" s="135"/>
    </row>
    <row r="29" spans="1:29" ht="16.5" customHeight="1" x14ac:dyDescent="0.3">
      <c r="A29" s="133"/>
      <c r="B29" s="225" t="s">
        <v>165</v>
      </c>
      <c r="C29" s="226" t="s">
        <v>166</v>
      </c>
      <c r="D29" s="227" t="s">
        <v>205</v>
      </c>
      <c r="E29" s="228">
        <v>19</v>
      </c>
      <c r="F29" s="229">
        <v>1085</v>
      </c>
      <c r="G29" s="229">
        <f>IFERROR(INDEX(MRP!$F$3:$F$8,MATCH(Tubex_Dashboard!F29,MRP!$D$3:$D$8,0)),0)</f>
        <v>0</v>
      </c>
      <c r="H29" s="230">
        <f>SUMPRODUCT((Production_Log!$F$3:$F$8963=F29)*(LEFT(Production_Log!$B$3:$B$8963,5)="Print")*(ISERROR(SEARCH("(Varnish)",Production_Log!$D$3:$D$8963)))*Production_Log!$H$3:$H$8963)</f>
        <v>0</v>
      </c>
      <c r="I29" s="229">
        <f t="shared" si="5"/>
        <v>0</v>
      </c>
      <c r="J29" s="231" t="str">
        <f t="shared" si="6"/>
        <v>-</v>
      </c>
      <c r="K29" s="230"/>
      <c r="L29" s="232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5"/>
      <c r="Y29" s="135"/>
      <c r="Z29" s="135"/>
      <c r="AA29" s="135"/>
      <c r="AB29" s="135"/>
      <c r="AC29" s="135"/>
    </row>
    <row r="30" spans="1:29" ht="16.5" customHeight="1" x14ac:dyDescent="0.3">
      <c r="A30" s="133"/>
      <c r="B30" s="225" t="s">
        <v>165</v>
      </c>
      <c r="C30" s="226" t="s">
        <v>166</v>
      </c>
      <c r="D30" s="227" t="s">
        <v>206</v>
      </c>
      <c r="E30" s="228">
        <v>19</v>
      </c>
      <c r="F30" s="229">
        <v>6560</v>
      </c>
      <c r="G30" s="229">
        <f>IFERROR(INDEX(MRP!$F$3:$F$8,MATCH(Tubex_Dashboard!F30,MRP!$D$3:$D$8,0)),0)</f>
        <v>0</v>
      </c>
      <c r="H30" s="230">
        <f>SUMPRODUCT((Production_Log!$F$3:$F$8963=F30)*(LEFT(Production_Log!$B$3:$B$8963,5)="Print")*(ISERROR(SEARCH("(Varnish)",Production_Log!$D$3:$D$8963)))*Production_Log!$H$3:$H$8963)</f>
        <v>0</v>
      </c>
      <c r="I30" s="229">
        <f t="shared" si="5"/>
        <v>0</v>
      </c>
      <c r="J30" s="231" t="str">
        <f t="shared" si="6"/>
        <v>-</v>
      </c>
      <c r="K30" s="230"/>
      <c r="L30" s="232"/>
      <c r="M30" s="133"/>
      <c r="N30" s="133"/>
      <c r="O30" s="133"/>
      <c r="P30" s="133"/>
      <c r="Q30" s="133"/>
      <c r="R30" s="133"/>
      <c r="T30" s="151"/>
      <c r="V30" s="135"/>
      <c r="W30" s="135"/>
      <c r="X30" s="135"/>
      <c r="Y30" s="135"/>
      <c r="Z30" s="135"/>
      <c r="AA30" s="135"/>
      <c r="AB30" s="135"/>
      <c r="AC30" s="135"/>
    </row>
    <row r="31" spans="1:29" ht="16.5" customHeight="1" x14ac:dyDescent="0.3">
      <c r="A31" s="133"/>
      <c r="B31" s="225" t="s">
        <v>165</v>
      </c>
      <c r="C31" s="226" t="s">
        <v>169</v>
      </c>
      <c r="D31" s="227" t="s">
        <v>207</v>
      </c>
      <c r="E31" s="228">
        <v>20.5</v>
      </c>
      <c r="F31" s="229">
        <v>5699</v>
      </c>
      <c r="G31" s="229">
        <f>IFERROR(INDEX(MRP!$F$3:$F$8,MATCH(Tubex_Dashboard!F31,MRP!$D$3:$D$8,0)),0)</f>
        <v>0</v>
      </c>
      <c r="H31" s="230">
        <f>SUMPRODUCT((Production_Log!$F$3:$F$8963=F31)*(LEFT(Production_Log!$B$3:$B$8963,5)="Print")*(ISERROR(SEARCH("(Varnish)",Production_Log!$D$3:$D$8963)))*Production_Log!$H$3:$H$8963)</f>
        <v>0</v>
      </c>
      <c r="I31" s="229">
        <f t="shared" si="5"/>
        <v>0</v>
      </c>
      <c r="J31" s="231" t="str">
        <f t="shared" si="6"/>
        <v>-</v>
      </c>
      <c r="K31" s="230"/>
      <c r="L31" s="232"/>
      <c r="M31" s="133"/>
      <c r="N31" s="133"/>
      <c r="O31" s="133"/>
      <c r="P31" s="133"/>
      <c r="Q31" s="133"/>
      <c r="R31" s="133"/>
      <c r="T31" s="151"/>
      <c r="V31" s="135"/>
      <c r="W31" s="135"/>
      <c r="X31" s="135"/>
      <c r="Y31" s="135"/>
      <c r="Z31" s="135"/>
      <c r="AA31" s="135"/>
      <c r="AB31" s="135"/>
      <c r="AC31" s="135"/>
    </row>
    <row r="32" spans="1:29" ht="16.5" customHeight="1" x14ac:dyDescent="0.3">
      <c r="A32" s="133"/>
      <c r="B32" s="225" t="s">
        <v>165</v>
      </c>
      <c r="C32" s="226" t="s">
        <v>180</v>
      </c>
      <c r="D32" s="227" t="s">
        <v>208</v>
      </c>
      <c r="E32" s="228">
        <v>20.5</v>
      </c>
      <c r="F32" s="229">
        <v>6077</v>
      </c>
      <c r="G32" s="229">
        <f>IFERROR(INDEX(MRP!$F$3:$F$8,MATCH(Tubex_Dashboard!F32,MRP!$D$3:$D$8,0)),0)</f>
        <v>0</v>
      </c>
      <c r="H32" s="230">
        <f>SUMPRODUCT((Production_Log!$F$3:$F$8963=F32)*(LEFT(Production_Log!$B$3:$B$8963,5)="Print")*(ISERROR(SEARCH("(Varnish)",Production_Log!$D$3:$D$8963)))*Production_Log!$H$3:$H$8963)</f>
        <v>0</v>
      </c>
      <c r="I32" s="229">
        <f t="shared" si="5"/>
        <v>0</v>
      </c>
      <c r="J32" s="231" t="str">
        <f t="shared" si="6"/>
        <v>-</v>
      </c>
      <c r="K32" s="230"/>
      <c r="L32" s="232"/>
      <c r="M32" s="133"/>
      <c r="N32" s="133"/>
      <c r="O32" s="133"/>
      <c r="P32" s="133"/>
      <c r="Q32" s="133"/>
      <c r="R32" s="135"/>
      <c r="T32" s="151"/>
      <c r="V32" s="135"/>
      <c r="W32" s="135"/>
      <c r="X32" s="135"/>
      <c r="Y32" s="135"/>
      <c r="Z32" s="135"/>
      <c r="AA32" s="135"/>
      <c r="AB32" s="135"/>
      <c r="AC32" s="135"/>
    </row>
    <row r="33" spans="1:29" ht="16.5" customHeight="1" x14ac:dyDescent="0.3">
      <c r="A33" s="133"/>
      <c r="B33" s="225" t="s">
        <v>165</v>
      </c>
      <c r="C33" s="226" t="s">
        <v>169</v>
      </c>
      <c r="D33" s="227" t="s">
        <v>209</v>
      </c>
      <c r="E33" s="228">
        <v>20.5</v>
      </c>
      <c r="F33" s="229">
        <v>5698</v>
      </c>
      <c r="G33" s="229">
        <f>IFERROR(INDEX(MRP!$F$3:$F$8,MATCH(Tubex_Dashboard!F33,MRP!$D$3:$D$8,0)),0)</f>
        <v>0</v>
      </c>
      <c r="H33" s="230">
        <f>SUMPRODUCT((Production_Log!$F$3:$F$8963=F33)*(LEFT(Production_Log!$B$3:$B$8963,5)="Print")*(ISERROR(SEARCH("(Varnish)",Production_Log!$D$3:$D$8963)))*Production_Log!$H$3:$H$8963)</f>
        <v>0</v>
      </c>
      <c r="I33" s="229">
        <f t="shared" si="5"/>
        <v>0</v>
      </c>
      <c r="J33" s="231" t="str">
        <f t="shared" si="6"/>
        <v>-</v>
      </c>
      <c r="K33" s="230"/>
      <c r="L33" s="232"/>
      <c r="P33" s="133"/>
      <c r="Q33" s="133"/>
      <c r="R33" s="133"/>
      <c r="S33" s="136" t="s">
        <v>189</v>
      </c>
      <c r="T33" s="151">
        <f ca="1">SUMPRODUCT((MONTH(Production_Log!$A$3:$A$8963)=MONTH(TODAY()))*(YEAR(Production_Log!$A$3:$A$8963)=YEAR(TODAY()))*Production_Log!$Q$3:$Q$8963)</f>
        <v>0</v>
      </c>
      <c r="U33" s="136">
        <f>T34+0.00006</f>
        <v>6.0000000000000002E-5</v>
      </c>
      <c r="V33" s="135"/>
      <c r="W33" s="135"/>
      <c r="X33" s="135"/>
      <c r="Y33" s="135"/>
      <c r="Z33" s="135"/>
      <c r="AA33" s="135"/>
      <c r="AB33" s="135"/>
      <c r="AC33" s="135"/>
    </row>
    <row r="34" spans="1:29" ht="16.5" customHeight="1" x14ac:dyDescent="0.3">
      <c r="A34" s="133"/>
      <c r="B34" s="225" t="s">
        <v>165</v>
      </c>
      <c r="C34" s="226" t="s">
        <v>169</v>
      </c>
      <c r="D34" s="227" t="s">
        <v>210</v>
      </c>
      <c r="E34" s="228">
        <v>20.5</v>
      </c>
      <c r="F34" s="229">
        <v>5731</v>
      </c>
      <c r="G34" s="229">
        <f>IFERROR(INDEX(MRP!$F$3:$F$8,MATCH(Tubex_Dashboard!F34,MRP!$D$3:$D$8,0)),0)</f>
        <v>0</v>
      </c>
      <c r="H34" s="230">
        <f>SUMPRODUCT((Production_Log!$F$3:$F$8963=F34)*(LEFT(Production_Log!$B$3:$B$8963,5)="Print")*(ISERROR(SEARCH("(Varnish)",Production_Log!$D$3:$D$8963)))*Production_Log!$H$3:$H$8963)</f>
        <v>0</v>
      </c>
      <c r="I34" s="229">
        <f t="shared" si="5"/>
        <v>0</v>
      </c>
      <c r="J34" s="231" t="str">
        <f t="shared" si="6"/>
        <v>-</v>
      </c>
      <c r="K34" s="230"/>
      <c r="L34" s="232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5"/>
      <c r="Y34" s="135"/>
      <c r="Z34" s="135"/>
      <c r="AA34" s="135"/>
      <c r="AB34" s="135"/>
      <c r="AC34" s="135"/>
    </row>
    <row r="35" spans="1:29" ht="16.5" customHeight="1" x14ac:dyDescent="0.3">
      <c r="A35" s="133"/>
      <c r="B35" s="225" t="s">
        <v>165</v>
      </c>
      <c r="C35" s="226" t="s">
        <v>169</v>
      </c>
      <c r="D35" s="227" t="s">
        <v>211</v>
      </c>
      <c r="E35" s="228">
        <v>20.5</v>
      </c>
      <c r="F35" s="229">
        <v>5732</v>
      </c>
      <c r="G35" s="229">
        <f>IFERROR(INDEX(MRP!$F$3:$F$8,MATCH(Tubex_Dashboard!F35,MRP!$D$3:$D$8,0)),0)</f>
        <v>0</v>
      </c>
      <c r="H35" s="230">
        <f>SUMPRODUCT((Production_Log!$F$3:$F$8963=F35)*(LEFT(Production_Log!$B$3:$B$8963,5)="Print")*(ISERROR(SEARCH("(Varnish)",Production_Log!$D$3:$D$8963)))*Production_Log!$H$3:$H$8963)</f>
        <v>0</v>
      </c>
      <c r="I35" s="229">
        <f t="shared" si="5"/>
        <v>0</v>
      </c>
      <c r="J35" s="231" t="str">
        <f t="shared" si="6"/>
        <v>-</v>
      </c>
      <c r="K35" s="230"/>
      <c r="L35" s="232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5"/>
      <c r="Y35" s="135"/>
      <c r="Z35" s="135"/>
      <c r="AA35" s="135"/>
      <c r="AB35" s="135"/>
      <c r="AC35" s="135"/>
    </row>
    <row r="36" spans="1:29" ht="16.5" customHeight="1" x14ac:dyDescent="0.3">
      <c r="A36" s="133"/>
      <c r="B36" s="225" t="s">
        <v>165</v>
      </c>
      <c r="C36" s="226" t="s">
        <v>169</v>
      </c>
      <c r="D36" s="227" t="s">
        <v>212</v>
      </c>
      <c r="E36" s="228">
        <v>20.5</v>
      </c>
      <c r="F36" s="229">
        <v>6556</v>
      </c>
      <c r="G36" s="229">
        <f>IFERROR(INDEX(MRP!$F$3:$F$8,MATCH(Tubex_Dashboard!F36,MRP!$D$3:$D$8,0)),0)</f>
        <v>0</v>
      </c>
      <c r="H36" s="230">
        <f>SUMPRODUCT((Production_Log!$F$3:$F$8963=F36)*(LEFT(Production_Log!$B$3:$B$8963,5)="Print")*(ISERROR(SEARCH("(Varnish)",Production_Log!$D$3:$D$8963)))*Production_Log!$H$3:$H$8963)</f>
        <v>0</v>
      </c>
      <c r="I36" s="229">
        <f t="shared" si="5"/>
        <v>0</v>
      </c>
      <c r="J36" s="231" t="str">
        <f t="shared" si="6"/>
        <v>-</v>
      </c>
      <c r="K36" s="230"/>
      <c r="L36" s="232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5"/>
      <c r="Y36" s="135"/>
      <c r="Z36" s="135"/>
      <c r="AA36" s="135"/>
      <c r="AB36" s="135"/>
      <c r="AC36" s="135"/>
    </row>
    <row r="37" spans="1:29" ht="16.5" customHeight="1" x14ac:dyDescent="0.3">
      <c r="A37" s="133"/>
      <c r="B37" s="225" t="s">
        <v>165</v>
      </c>
      <c r="C37" s="226" t="s">
        <v>169</v>
      </c>
      <c r="D37" s="227" t="s">
        <v>213</v>
      </c>
      <c r="E37" s="228">
        <v>20.5</v>
      </c>
      <c r="F37" s="229">
        <v>6557</v>
      </c>
      <c r="G37" s="229">
        <f>IFERROR(INDEX(MRP!$F$3:$F$8,MATCH(Tubex_Dashboard!F37,MRP!$D$3:$D$8,0)),0)</f>
        <v>0</v>
      </c>
      <c r="H37" s="230">
        <f>SUMPRODUCT((Production_Log!$F$3:$F$8963=F37)*(LEFT(Production_Log!$B$3:$B$8963,5)="Print")*(ISERROR(SEARCH("(Varnish)",Production_Log!$D$3:$D$8963)))*Production_Log!$H$3:$H$8963)</f>
        <v>0</v>
      </c>
      <c r="I37" s="229">
        <f t="shared" si="5"/>
        <v>0</v>
      </c>
      <c r="J37" s="231" t="str">
        <f t="shared" si="6"/>
        <v>-</v>
      </c>
      <c r="K37" s="230"/>
      <c r="L37" s="232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5"/>
      <c r="Y37" s="135"/>
      <c r="Z37" s="135"/>
      <c r="AA37" s="135"/>
      <c r="AB37" s="135"/>
      <c r="AC37" s="135"/>
    </row>
    <row r="38" spans="1:29" ht="16.5" customHeight="1" x14ac:dyDescent="0.3">
      <c r="A38" s="133"/>
      <c r="B38" s="225" t="s">
        <v>165</v>
      </c>
      <c r="C38" s="226" t="s">
        <v>169</v>
      </c>
      <c r="D38" s="227" t="s">
        <v>214</v>
      </c>
      <c r="E38" s="228">
        <v>25</v>
      </c>
      <c r="F38" s="229">
        <v>6470</v>
      </c>
      <c r="G38" s="229">
        <f>IFERROR(INDEX(MRP!$F$3:$F$8,MATCH(Tubex_Dashboard!F38,MRP!$D$3:$D$8,0)),0)</f>
        <v>0</v>
      </c>
      <c r="H38" s="230">
        <f>SUMPRODUCT((Production_Log!$F$3:$F$8963=F38)*(LEFT(Production_Log!$B$3:$B$8963,5)="Print")*(ISERROR(SEARCH("(Varnish)",Production_Log!$D$3:$D$8963)))*Production_Log!$H$3:$H$8963)</f>
        <v>0</v>
      </c>
      <c r="I38" s="229">
        <f t="shared" si="5"/>
        <v>0</v>
      </c>
      <c r="J38" s="231" t="str">
        <f t="shared" si="6"/>
        <v>-</v>
      </c>
      <c r="K38" s="230"/>
      <c r="L38" s="232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5"/>
      <c r="Y38" s="135"/>
      <c r="Z38" s="135"/>
      <c r="AA38" s="135"/>
      <c r="AB38" s="135"/>
      <c r="AC38" s="135"/>
    </row>
    <row r="39" spans="1:29" ht="16.5" customHeight="1" x14ac:dyDescent="0.3">
      <c r="A39" s="133"/>
      <c r="B39" s="225" t="s">
        <v>165</v>
      </c>
      <c r="C39" s="226" t="s">
        <v>169</v>
      </c>
      <c r="D39" s="227" t="s">
        <v>215</v>
      </c>
      <c r="E39" s="228">
        <v>25</v>
      </c>
      <c r="F39" s="229">
        <v>6532</v>
      </c>
      <c r="G39" s="229">
        <f>IFERROR(INDEX(MRP!$F$3:$F$8,MATCH(Tubex_Dashboard!F39,MRP!$D$3:$D$8,0)),0)</f>
        <v>0</v>
      </c>
      <c r="H39" s="230">
        <f>SUMPRODUCT((Production_Log!$F$3:$F$8963=F39)*(LEFT(Production_Log!$B$3:$B$8963,5)="Print")*(ISERROR(SEARCH("(Varnish)",Production_Log!$D$3:$D$8963)))*Production_Log!$H$3:$H$8963)</f>
        <v>0</v>
      </c>
      <c r="I39" s="229">
        <f t="shared" si="5"/>
        <v>0</v>
      </c>
      <c r="J39" s="231" t="str">
        <f t="shared" si="6"/>
        <v>-</v>
      </c>
      <c r="K39" s="230"/>
      <c r="L39" s="232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5"/>
      <c r="Y39" s="135"/>
      <c r="Z39" s="135"/>
      <c r="AA39" s="135"/>
      <c r="AB39" s="135"/>
      <c r="AC39" s="135"/>
    </row>
    <row r="40" spans="1:29" ht="16.5" customHeight="1" x14ac:dyDescent="0.3">
      <c r="A40" s="133"/>
      <c r="B40" s="225" t="s">
        <v>165</v>
      </c>
      <c r="C40" s="226" t="s">
        <v>169</v>
      </c>
      <c r="D40" s="227" t="s">
        <v>216</v>
      </c>
      <c r="E40" s="228">
        <v>25</v>
      </c>
      <c r="F40" s="229">
        <v>3726</v>
      </c>
      <c r="G40" s="229">
        <f>IFERROR(INDEX(MRP!$F$3:$F$8,MATCH(Tubex_Dashboard!F40,MRP!$D$3:$D$8,0)),0)</f>
        <v>0</v>
      </c>
      <c r="H40" s="230">
        <f>SUMPRODUCT((Production_Log!$F$3:$F$8963=F40)*(LEFT(Production_Log!$B$3:$B$8963,5)="Print")*(ISERROR(SEARCH("(Varnish)",Production_Log!$D$3:$D$8963)))*Production_Log!$H$3:$H$8963)</f>
        <v>0</v>
      </c>
      <c r="I40" s="229">
        <f t="shared" si="5"/>
        <v>0</v>
      </c>
      <c r="J40" s="231" t="str">
        <f t="shared" si="6"/>
        <v>-</v>
      </c>
      <c r="K40" s="230"/>
      <c r="L40" s="232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5"/>
      <c r="Y40" s="135"/>
      <c r="Z40" s="135"/>
      <c r="AA40" s="135"/>
      <c r="AB40" s="135"/>
      <c r="AC40" s="135"/>
    </row>
    <row r="41" spans="1:29" ht="16.5" customHeight="1" x14ac:dyDescent="0.3">
      <c r="A41" s="133"/>
      <c r="B41" s="225" t="s">
        <v>165</v>
      </c>
      <c r="C41" s="226" t="s">
        <v>180</v>
      </c>
      <c r="D41" s="227" t="s">
        <v>217</v>
      </c>
      <c r="E41" s="228">
        <v>25</v>
      </c>
      <c r="F41" s="229">
        <v>6228</v>
      </c>
      <c r="G41" s="229">
        <f>IFERROR(INDEX(MRP!$F$3:$F$8,MATCH(Tubex_Dashboard!F41,MRP!$D$3:$D$8,0)),0)</f>
        <v>0</v>
      </c>
      <c r="H41" s="230">
        <f>SUMPRODUCT((Production_Log!$F$3:$F$8963=F41)*(LEFT(Production_Log!$B$3:$B$8963,5)="Print")*(ISERROR(SEARCH("(Varnish)",Production_Log!$D$3:$D$8963)))*Production_Log!$H$3:$H$8963)</f>
        <v>0</v>
      </c>
      <c r="I41" s="229">
        <f t="shared" si="5"/>
        <v>0</v>
      </c>
      <c r="J41" s="231" t="str">
        <f t="shared" si="6"/>
        <v>-</v>
      </c>
      <c r="K41" s="230"/>
      <c r="L41" s="232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5"/>
      <c r="Y41" s="135"/>
      <c r="Z41" s="135"/>
      <c r="AA41" s="135"/>
      <c r="AB41" s="135"/>
      <c r="AC41" s="135"/>
    </row>
    <row r="42" spans="1:29" ht="16.5" customHeight="1" x14ac:dyDescent="0.3">
      <c r="A42" s="133"/>
      <c r="B42" s="225" t="s">
        <v>165</v>
      </c>
      <c r="C42" s="226" t="s">
        <v>218</v>
      </c>
      <c r="D42" s="227" t="s">
        <v>219</v>
      </c>
      <c r="E42" s="228">
        <v>25</v>
      </c>
      <c r="F42" s="229">
        <v>6338</v>
      </c>
      <c r="G42" s="229">
        <f>IFERROR(INDEX(MRP!$F$3:$F$8,MATCH(Tubex_Dashboard!F42,MRP!$D$3:$D$8,0)),0)</f>
        <v>0</v>
      </c>
      <c r="H42" s="230">
        <f>SUMPRODUCT((Production_Log!$F$3:$F$8963=F42)*(LEFT(Production_Log!$B$3:$B$8963,5)="Print")*(ISERROR(SEARCH("(Varnish)",Production_Log!$D$3:$D$8963)))*Production_Log!$H$3:$H$8963)</f>
        <v>0</v>
      </c>
      <c r="I42" s="229">
        <f t="shared" si="5"/>
        <v>0</v>
      </c>
      <c r="J42" s="231" t="str">
        <f t="shared" si="6"/>
        <v>-</v>
      </c>
      <c r="K42" s="230"/>
      <c r="L42" s="232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5"/>
      <c r="Y42" s="135"/>
      <c r="Z42" s="135"/>
      <c r="AA42" s="135"/>
      <c r="AB42" s="135"/>
      <c r="AC42" s="135"/>
    </row>
    <row r="43" spans="1:29" ht="16.5" customHeight="1" x14ac:dyDescent="0.3">
      <c r="A43" s="133"/>
      <c r="B43" s="225" t="s">
        <v>165</v>
      </c>
      <c r="C43" s="226" t="s">
        <v>169</v>
      </c>
      <c r="D43" s="227" t="s">
        <v>220</v>
      </c>
      <c r="E43" s="228">
        <v>25</v>
      </c>
      <c r="F43" s="229">
        <v>6506</v>
      </c>
      <c r="G43" s="229">
        <f>IFERROR(INDEX(MRP!$F$3:$F$8,MATCH(Tubex_Dashboard!F43,MRP!$D$3:$D$8,0)),0)</f>
        <v>0</v>
      </c>
      <c r="H43" s="230">
        <f>SUMPRODUCT((Production_Log!$F$3:$F$8963=F43)*(LEFT(Production_Log!$B$3:$B$8963,5)="Print")*(ISERROR(SEARCH("(Varnish)",Production_Log!$D$3:$D$8963)))*Production_Log!$H$3:$H$8963)</f>
        <v>0</v>
      </c>
      <c r="I43" s="229">
        <f t="shared" si="5"/>
        <v>0</v>
      </c>
      <c r="J43" s="231" t="str">
        <f t="shared" si="6"/>
        <v>-</v>
      </c>
      <c r="K43" s="230"/>
      <c r="L43" s="232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5"/>
      <c r="Y43" s="135"/>
      <c r="Z43" s="135"/>
      <c r="AA43" s="135"/>
      <c r="AB43" s="135"/>
      <c r="AC43" s="135"/>
    </row>
    <row r="44" spans="1:29" ht="16.5" customHeight="1" x14ac:dyDescent="0.3">
      <c r="A44" s="133"/>
      <c r="B44" s="225" t="s">
        <v>165</v>
      </c>
      <c r="C44" s="226" t="s">
        <v>169</v>
      </c>
      <c r="D44" s="227" t="s">
        <v>221</v>
      </c>
      <c r="E44" s="228">
        <v>25</v>
      </c>
      <c r="F44" s="229">
        <v>9006</v>
      </c>
      <c r="G44" s="229">
        <f>IFERROR(INDEX(MRP!$F$3:$F$8,MATCH(Tubex_Dashboard!F44,MRP!$D$3:$D$8,0)),0)</f>
        <v>0</v>
      </c>
      <c r="H44" s="230">
        <f>SUMPRODUCT((Production_Log!$F$3:$F$8963=F44)*(LEFT(Production_Log!$B$3:$B$8963,5)="Print")*(ISERROR(SEARCH("(Varnish)",Production_Log!$D$3:$D$8963)))*Production_Log!$H$3:$H$8963)</f>
        <v>0</v>
      </c>
      <c r="I44" s="229">
        <f t="shared" si="5"/>
        <v>0</v>
      </c>
      <c r="J44" s="231" t="str">
        <f t="shared" si="6"/>
        <v>-</v>
      </c>
      <c r="K44" s="230"/>
      <c r="L44" s="232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5"/>
      <c r="Y44" s="135"/>
      <c r="Z44" s="135"/>
      <c r="AA44" s="135"/>
      <c r="AB44" s="135"/>
      <c r="AC44" s="135"/>
    </row>
    <row r="45" spans="1:29" ht="16.5" customHeight="1" x14ac:dyDescent="0.3">
      <c r="A45" s="133"/>
      <c r="B45" s="225" t="s">
        <v>165</v>
      </c>
      <c r="C45" s="226" t="s">
        <v>222</v>
      </c>
      <c r="D45" s="227" t="s">
        <v>223</v>
      </c>
      <c r="E45" s="228">
        <v>25</v>
      </c>
      <c r="F45" s="229">
        <v>4227</v>
      </c>
      <c r="G45" s="229">
        <f>IFERROR(INDEX(MRP!$F$3:$F$8,MATCH(Tubex_Dashboard!F45,MRP!$D$3:$D$8,0)),0)</f>
        <v>0</v>
      </c>
      <c r="H45" s="230">
        <f>SUMPRODUCT((Production_Log!$F$3:$F$8963=F45)*(LEFT(Production_Log!$B$3:$B$8963,5)="Print")*(ISERROR(SEARCH("(Varnish)",Production_Log!$D$3:$D$8963)))*Production_Log!$H$3:$H$8963)</f>
        <v>0</v>
      </c>
      <c r="I45" s="229">
        <f t="shared" si="5"/>
        <v>0</v>
      </c>
      <c r="J45" s="231" t="str">
        <f t="shared" si="6"/>
        <v>-</v>
      </c>
      <c r="K45" s="230"/>
      <c r="L45" s="232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5"/>
      <c r="Y45" s="135"/>
      <c r="Z45" s="135"/>
      <c r="AA45" s="135"/>
      <c r="AB45" s="135"/>
      <c r="AC45" s="135"/>
    </row>
    <row r="46" spans="1:29" ht="16.5" customHeight="1" x14ac:dyDescent="0.3">
      <c r="A46" s="133"/>
      <c r="B46" s="225" t="s">
        <v>165</v>
      </c>
      <c r="C46" s="226" t="s">
        <v>224</v>
      </c>
      <c r="D46" s="227" t="s">
        <v>225</v>
      </c>
      <c r="E46" s="228">
        <v>30</v>
      </c>
      <c r="F46" s="229">
        <v>6595</v>
      </c>
      <c r="G46" s="229">
        <f>IFERROR(INDEX(MRP!$F$3:$F$8,MATCH(Tubex_Dashboard!F46,MRP!$D$3:$D$8,0)),0)</f>
        <v>0</v>
      </c>
      <c r="H46" s="230">
        <f>SUMPRODUCT((Production_Log!$F$3:$F$8963=F46)*(LEFT(Production_Log!$B$3:$B$8963,5)="Print")*(ISERROR(SEARCH("(Varnish)",Production_Log!$D$3:$D$8963)))*Production_Log!$H$3:$H$8963)</f>
        <v>0</v>
      </c>
      <c r="I46" s="229">
        <f t="shared" si="5"/>
        <v>0</v>
      </c>
      <c r="J46" s="231" t="str">
        <f t="shared" si="6"/>
        <v>-</v>
      </c>
      <c r="K46" s="230"/>
      <c r="L46" s="232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5"/>
      <c r="Y46" s="135"/>
      <c r="Z46" s="135"/>
      <c r="AA46" s="135"/>
      <c r="AB46" s="135"/>
      <c r="AC46" s="135"/>
    </row>
    <row r="47" spans="1:29" ht="16.5" customHeight="1" x14ac:dyDescent="0.3">
      <c r="A47" s="133"/>
      <c r="B47" s="225" t="s">
        <v>165</v>
      </c>
      <c r="C47" s="226" t="s">
        <v>226</v>
      </c>
      <c r="D47" s="227" t="s">
        <v>227</v>
      </c>
      <c r="E47" s="228">
        <v>30</v>
      </c>
      <c r="F47" s="229">
        <v>6416</v>
      </c>
      <c r="G47" s="229">
        <f>IFERROR(INDEX(MRP!$F$3:$F$8,MATCH(Tubex_Dashboard!F47,MRP!$D$3:$D$8,0)),0)</f>
        <v>0</v>
      </c>
      <c r="H47" s="230">
        <f>SUMPRODUCT((Production_Log!$F$3:$F$8963=F47)*(LEFT(Production_Log!$B$3:$B$8963,5)="Print")*(ISERROR(SEARCH("(Varnish)",Production_Log!$D$3:$D$8963)))*Production_Log!$H$3:$H$8963)</f>
        <v>0</v>
      </c>
      <c r="I47" s="229">
        <f t="shared" si="5"/>
        <v>0</v>
      </c>
      <c r="J47" s="231" t="str">
        <f t="shared" si="6"/>
        <v>-</v>
      </c>
      <c r="K47" s="230"/>
      <c r="L47" s="232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5"/>
      <c r="Y47" s="135"/>
      <c r="Z47" s="135"/>
      <c r="AA47" s="135"/>
      <c r="AB47" s="135"/>
      <c r="AC47" s="135"/>
    </row>
    <row r="48" spans="1:29" ht="16.5" customHeight="1" x14ac:dyDescent="0.3">
      <c r="A48" s="133"/>
      <c r="B48" s="225" t="s">
        <v>165</v>
      </c>
      <c r="C48" s="226" t="s">
        <v>226</v>
      </c>
      <c r="D48" s="227" t="s">
        <v>228</v>
      </c>
      <c r="E48" s="228">
        <v>30</v>
      </c>
      <c r="F48" s="229">
        <v>6337</v>
      </c>
      <c r="G48" s="229">
        <f>IFERROR(INDEX(MRP!$F$3:$F$8,MATCH(Tubex_Dashboard!F48,MRP!$D$3:$D$8,0)),0)</f>
        <v>0</v>
      </c>
      <c r="H48" s="230">
        <f>SUMPRODUCT((Production_Log!$F$3:$F$8963=F48)*(LEFT(Production_Log!$B$3:$B$8963,5)="Print")*(ISERROR(SEARCH("(Varnish)",Production_Log!$D$3:$D$8963)))*Production_Log!$H$3:$H$8963)</f>
        <v>0</v>
      </c>
      <c r="I48" s="229">
        <f t="shared" si="5"/>
        <v>0</v>
      </c>
      <c r="J48" s="231" t="str">
        <f t="shared" si="6"/>
        <v>-</v>
      </c>
      <c r="K48" s="230"/>
      <c r="L48" s="232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5"/>
      <c r="Y48" s="135"/>
      <c r="Z48" s="135"/>
      <c r="AA48" s="135"/>
      <c r="AB48" s="135"/>
      <c r="AC48" s="135"/>
    </row>
    <row r="49" spans="1:29" ht="16.5" customHeight="1" x14ac:dyDescent="0.3">
      <c r="A49" s="133"/>
      <c r="B49" s="225" t="s">
        <v>165</v>
      </c>
      <c r="C49" s="226" t="s">
        <v>180</v>
      </c>
      <c r="D49" s="227" t="s">
        <v>229</v>
      </c>
      <c r="E49" s="228">
        <v>30</v>
      </c>
      <c r="F49" s="229">
        <v>9002</v>
      </c>
      <c r="G49" s="229">
        <f>IFERROR(INDEX(MRP!$F$3:$F$8,MATCH(Tubex_Dashboard!F49,MRP!$D$3:$D$8,0)),0)</f>
        <v>0</v>
      </c>
      <c r="H49" s="230">
        <f>SUMPRODUCT((Production_Log!$F$3:$F$8963=F49)*(LEFT(Production_Log!$B$3:$B$8963,5)="Print")*(ISERROR(SEARCH("(Varnish)",Production_Log!$D$3:$D$8963)))*Production_Log!$H$3:$H$8963)</f>
        <v>0</v>
      </c>
      <c r="I49" s="229">
        <f t="shared" si="5"/>
        <v>0</v>
      </c>
      <c r="J49" s="231" t="str">
        <f t="shared" si="6"/>
        <v>-</v>
      </c>
      <c r="K49" s="230"/>
      <c r="L49" s="232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5"/>
      <c r="Y49" s="135"/>
      <c r="Z49" s="135"/>
      <c r="AA49" s="135"/>
      <c r="AB49" s="135"/>
      <c r="AC49" s="135"/>
    </row>
    <row r="50" spans="1:29" ht="16.5" customHeight="1" x14ac:dyDescent="0.3">
      <c r="A50" s="133"/>
      <c r="B50" s="225" t="s">
        <v>165</v>
      </c>
      <c r="C50" s="226" t="s">
        <v>230</v>
      </c>
      <c r="D50" s="227" t="s">
        <v>231</v>
      </c>
      <c r="E50" s="228">
        <v>30</v>
      </c>
      <c r="F50" s="229">
        <v>4050</v>
      </c>
      <c r="G50" s="229">
        <f>IFERROR(INDEX(MRP!$F$3:$F$8,MATCH(Tubex_Dashboard!F50,MRP!$D$3:$D$8,0)),0)</f>
        <v>0</v>
      </c>
      <c r="H50" s="230">
        <f>SUMPRODUCT((Production_Log!$F$3:$F$8963=F50)*(LEFT(Production_Log!$B$3:$B$8963,5)="Print")*(ISERROR(SEARCH("(Varnish)",Production_Log!$D$3:$D$8963)))*Production_Log!$H$3:$H$8963)</f>
        <v>0</v>
      </c>
      <c r="I50" s="229">
        <f t="shared" si="5"/>
        <v>0</v>
      </c>
      <c r="J50" s="231" t="str">
        <f t="shared" si="6"/>
        <v>-</v>
      </c>
      <c r="K50" s="230"/>
      <c r="L50" s="232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5"/>
      <c r="Y50" s="135"/>
      <c r="Z50" s="135"/>
      <c r="AA50" s="135"/>
      <c r="AB50" s="135"/>
      <c r="AC50" s="135"/>
    </row>
    <row r="51" spans="1:29" ht="16.5" customHeight="1" x14ac:dyDescent="0.3">
      <c r="A51" s="133"/>
      <c r="B51" s="225" t="s">
        <v>165</v>
      </c>
      <c r="C51" s="226" t="s">
        <v>230</v>
      </c>
      <c r="D51" s="227" t="s">
        <v>232</v>
      </c>
      <c r="E51" s="228">
        <v>30</v>
      </c>
      <c r="F51" s="229">
        <v>6312</v>
      </c>
      <c r="G51" s="229">
        <f>IFERROR(INDEX(MRP!$F$3:$F$8,MATCH(Tubex_Dashboard!F51,MRP!$D$3:$D$8,0)),0)</f>
        <v>0</v>
      </c>
      <c r="H51" s="230">
        <f>SUMPRODUCT((Production_Log!$F$3:$F$8963=F51)*(LEFT(Production_Log!$B$3:$B$8963,5)="Print")*(ISERROR(SEARCH("(Varnish)",Production_Log!$D$3:$D$8963)))*Production_Log!$H$3:$H$8963)</f>
        <v>0</v>
      </c>
      <c r="I51" s="229">
        <f t="shared" si="5"/>
        <v>0</v>
      </c>
      <c r="J51" s="231" t="str">
        <f t="shared" si="6"/>
        <v>-</v>
      </c>
      <c r="K51" s="230"/>
      <c r="L51" s="232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5"/>
      <c r="Y51" s="135"/>
      <c r="Z51" s="135"/>
      <c r="AA51" s="135"/>
      <c r="AB51" s="135"/>
      <c r="AC51" s="135"/>
    </row>
    <row r="52" spans="1:29" ht="16.5" customHeight="1" x14ac:dyDescent="0.3">
      <c r="A52" s="133"/>
      <c r="B52" s="225" t="s">
        <v>165</v>
      </c>
      <c r="C52" s="226" t="s">
        <v>230</v>
      </c>
      <c r="D52" s="227" t="s">
        <v>233</v>
      </c>
      <c r="E52" s="228">
        <v>30</v>
      </c>
      <c r="F52" s="229">
        <v>2909</v>
      </c>
      <c r="G52" s="229">
        <f>IFERROR(INDEX(MRP!$F$3:$F$8,MATCH(Tubex_Dashboard!F52,MRP!$D$3:$D$8,0)),0)</f>
        <v>0</v>
      </c>
      <c r="H52" s="230">
        <f>SUMPRODUCT((Production_Log!$F$3:$F$8963=F52)*(LEFT(Production_Log!$B$3:$B$8963,5)="Print")*(ISERROR(SEARCH("(Varnish)",Production_Log!$D$3:$D$8963)))*Production_Log!$H$3:$H$8963)</f>
        <v>0</v>
      </c>
      <c r="I52" s="229">
        <f t="shared" si="5"/>
        <v>0</v>
      </c>
      <c r="J52" s="231" t="str">
        <f t="shared" si="6"/>
        <v>-</v>
      </c>
      <c r="K52" s="230"/>
      <c r="L52" s="232"/>
      <c r="P52" s="133"/>
      <c r="Q52" s="133"/>
      <c r="R52" s="133"/>
      <c r="T52" s="151"/>
      <c r="V52" s="135"/>
      <c r="W52" s="135"/>
      <c r="X52" s="135"/>
      <c r="Y52" s="135"/>
      <c r="Z52" s="135"/>
      <c r="AA52" s="135"/>
      <c r="AB52" s="135"/>
      <c r="AC52" s="135"/>
    </row>
    <row r="53" spans="1:29" ht="16.5" customHeight="1" x14ac:dyDescent="0.3">
      <c r="A53" s="133"/>
      <c r="B53" s="225" t="s">
        <v>165</v>
      </c>
      <c r="C53" s="226" t="s">
        <v>234</v>
      </c>
      <c r="D53" s="227" t="s">
        <v>235</v>
      </c>
      <c r="E53" s="228">
        <v>30</v>
      </c>
      <c r="F53" s="229">
        <v>6151</v>
      </c>
      <c r="G53" s="229">
        <f>IFERROR(INDEX(MRP!$F$3:$F$8,MATCH(Tubex_Dashboard!F53,MRP!$D$3:$D$8,0)),0)</f>
        <v>0</v>
      </c>
      <c r="H53" s="230">
        <f>SUMPRODUCT((Production_Log!$F$3:$F$8963=F53)*(LEFT(Production_Log!$B$3:$B$8963,5)="Print")*(ISERROR(SEARCH("(Varnish)",Production_Log!$D$3:$D$8963)))*Production_Log!$H$3:$H$8963)</f>
        <v>0</v>
      </c>
      <c r="I53" s="229">
        <f t="shared" si="5"/>
        <v>0</v>
      </c>
      <c r="J53" s="231" t="str">
        <f t="shared" si="6"/>
        <v>-</v>
      </c>
      <c r="K53" s="230"/>
      <c r="L53" s="232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5"/>
      <c r="Y53" s="135"/>
      <c r="Z53" s="135"/>
      <c r="AA53" s="135"/>
      <c r="AB53" s="135"/>
      <c r="AC53" s="135"/>
    </row>
    <row r="54" spans="1:29" ht="16.5" customHeight="1" x14ac:dyDescent="0.3">
      <c r="A54" s="133"/>
      <c r="B54" s="225" t="s">
        <v>165</v>
      </c>
      <c r="C54" s="226" t="s">
        <v>236</v>
      </c>
      <c r="D54" s="227" t="s">
        <v>237</v>
      </c>
      <c r="E54" s="228">
        <v>32</v>
      </c>
      <c r="F54" s="229">
        <v>6515</v>
      </c>
      <c r="G54" s="229">
        <f>IFERROR(INDEX(MRP!$F$3:$F$8,MATCH(Tubex_Dashboard!F54,MRP!$D$3:$D$8,0)),0)</f>
        <v>0</v>
      </c>
      <c r="H54" s="230">
        <f>SUMPRODUCT((Production_Log!$F$3:$F$8963=F54)*(LEFT(Production_Log!$B$3:$B$8963,5)="Print")*(ISERROR(SEARCH("(Varnish)",Production_Log!$D$3:$D$8963)))*Production_Log!$H$3:$H$8963)</f>
        <v>0</v>
      </c>
      <c r="I54" s="229">
        <f t="shared" si="5"/>
        <v>0</v>
      </c>
      <c r="J54" s="231" t="str">
        <f t="shared" si="6"/>
        <v>-</v>
      </c>
      <c r="K54" s="230"/>
      <c r="L54" s="232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5"/>
      <c r="Y54" s="135"/>
      <c r="Z54" s="135"/>
      <c r="AA54" s="135"/>
      <c r="AB54" s="135"/>
      <c r="AC54" s="135"/>
    </row>
    <row r="55" spans="1:29" ht="16.5" customHeight="1" x14ac:dyDescent="0.3">
      <c r="A55" s="133"/>
      <c r="B55" s="225" t="s">
        <v>165</v>
      </c>
      <c r="C55" s="226" t="s">
        <v>238</v>
      </c>
      <c r="D55" s="227" t="s">
        <v>239</v>
      </c>
      <c r="E55" s="228">
        <v>32</v>
      </c>
      <c r="F55" s="229">
        <v>5782</v>
      </c>
      <c r="G55" s="229">
        <f>IFERROR(INDEX(MRP!$F$3:$F$8,MATCH(Tubex_Dashboard!F55,MRP!$D$3:$D$8,0)),0)</f>
        <v>0</v>
      </c>
      <c r="H55" s="230">
        <f>SUMPRODUCT((Production_Log!$F$3:$F$8963=F55)*(LEFT(Production_Log!$B$3:$B$8963,5)="Print")*(ISERROR(SEARCH("(Varnish)",Production_Log!$D$3:$D$8963)))*Production_Log!$H$3:$H$8963)</f>
        <v>0</v>
      </c>
      <c r="I55" s="229">
        <f t="shared" si="5"/>
        <v>0</v>
      </c>
      <c r="J55" s="231" t="str">
        <f t="shared" si="6"/>
        <v>-</v>
      </c>
      <c r="K55" s="230"/>
      <c r="L55" s="232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5"/>
      <c r="Y55" s="135"/>
      <c r="Z55" s="135"/>
      <c r="AA55" s="135"/>
      <c r="AB55" s="135"/>
      <c r="AC55" s="135"/>
    </row>
    <row r="56" spans="1:29" ht="16.5" customHeight="1" x14ac:dyDescent="0.3">
      <c r="A56" s="133"/>
      <c r="B56" s="225" t="s">
        <v>165</v>
      </c>
      <c r="C56" s="226" t="s">
        <v>182</v>
      </c>
      <c r="D56" s="227" t="s">
        <v>240</v>
      </c>
      <c r="E56" s="228">
        <v>35</v>
      </c>
      <c r="F56" s="229">
        <v>6531</v>
      </c>
      <c r="G56" s="229">
        <f>IFERROR(INDEX(MRP!$F$3:$F$8,MATCH(Tubex_Dashboard!F56,MRP!$D$3:$D$8,0)),0)</f>
        <v>0</v>
      </c>
      <c r="H56" s="230">
        <f>SUMPRODUCT((Production_Log!$F$3:$F$8963=F56)*(LEFT(Production_Log!$B$3:$B$8963,5)="Print")*(ISERROR(SEARCH("(Varnish)",Production_Log!$D$3:$D$8963)))*Production_Log!$H$3:$H$8963)</f>
        <v>0</v>
      </c>
      <c r="I56" s="229">
        <f t="shared" si="5"/>
        <v>0</v>
      </c>
      <c r="J56" s="231" t="str">
        <f t="shared" si="6"/>
        <v>-</v>
      </c>
      <c r="K56" s="230"/>
      <c r="L56" s="232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5"/>
      <c r="Y56" s="135"/>
      <c r="Z56" s="135"/>
      <c r="AA56" s="135"/>
      <c r="AB56" s="135"/>
      <c r="AC56" s="135"/>
    </row>
    <row r="57" spans="1:29" ht="16.5" customHeight="1" x14ac:dyDescent="0.3">
      <c r="A57" s="133"/>
      <c r="B57" s="225" t="s">
        <v>165</v>
      </c>
      <c r="C57" s="226" t="s">
        <v>182</v>
      </c>
      <c r="D57" s="227" t="s">
        <v>241</v>
      </c>
      <c r="E57" s="228">
        <v>35</v>
      </c>
      <c r="F57" s="229">
        <v>6020</v>
      </c>
      <c r="G57" s="229">
        <f>IFERROR(INDEX(MRP!$F$3:$F$8,MATCH(Tubex_Dashboard!F57,MRP!$D$3:$D$8,0)),0)</f>
        <v>0</v>
      </c>
      <c r="H57" s="230">
        <f>SUMPRODUCT((Production_Log!$F$3:$F$8963=F57)*(LEFT(Production_Log!$B$3:$B$8963,5)="Print")*(ISERROR(SEARCH("(Varnish)",Production_Log!$D$3:$D$8963)))*Production_Log!$H$3:$H$8963)</f>
        <v>0</v>
      </c>
      <c r="I57" s="229">
        <f t="shared" si="5"/>
        <v>0</v>
      </c>
      <c r="J57" s="231" t="str">
        <f t="shared" si="6"/>
        <v>-</v>
      </c>
      <c r="K57" s="230"/>
      <c r="L57" s="232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5"/>
      <c r="Y57" s="135"/>
      <c r="Z57" s="135"/>
      <c r="AA57" s="135"/>
      <c r="AB57" s="135"/>
      <c r="AC57" s="135"/>
    </row>
    <row r="58" spans="1:29" ht="15" customHeight="1" x14ac:dyDescent="0.3">
      <c r="B58" s="225" t="s">
        <v>165</v>
      </c>
      <c r="C58" s="226" t="s">
        <v>182</v>
      </c>
      <c r="D58" s="227" t="s">
        <v>242</v>
      </c>
      <c r="E58" s="228">
        <v>35</v>
      </c>
      <c r="F58" s="229">
        <v>6021</v>
      </c>
      <c r="G58" s="229">
        <f>IFERROR(INDEX(MRP!$F$3:$F$8,MATCH(Tubex_Dashboard!F58,MRP!$D$3:$D$8,0)),0)</f>
        <v>0</v>
      </c>
      <c r="H58" s="230">
        <f>SUMPRODUCT((Production_Log!$F$3:$F$8963=F58)*(LEFT(Production_Log!$B$3:$B$8963,5)="Print")*(ISERROR(SEARCH("(Varnish)",Production_Log!$D$3:$D$8963)))*Production_Log!$H$3:$H$8963)</f>
        <v>0</v>
      </c>
      <c r="I58" s="229">
        <f t="shared" si="5"/>
        <v>0</v>
      </c>
      <c r="J58" s="231" t="str">
        <f t="shared" si="6"/>
        <v>-</v>
      </c>
      <c r="K58" s="230"/>
      <c r="L58" s="232"/>
    </row>
    <row r="59" spans="1:29" x14ac:dyDescent="0.3">
      <c r="B59" s="225" t="s">
        <v>186</v>
      </c>
      <c r="C59" s="226" t="s">
        <v>169</v>
      </c>
      <c r="D59" s="227" t="s">
        <v>243</v>
      </c>
      <c r="E59" s="228" t="s">
        <v>188</v>
      </c>
      <c r="F59" s="229">
        <v>8011</v>
      </c>
      <c r="G59" s="229">
        <v>0</v>
      </c>
      <c r="H59" s="230">
        <f>SUMPRODUCT((Production_Log!$F$3:$F$8963=F59)*Production_Log!$H$3:$H$8963)</f>
        <v>0</v>
      </c>
      <c r="I59" s="229">
        <f t="shared" si="5"/>
        <v>0</v>
      </c>
      <c r="J59" s="231" t="str">
        <f t="shared" si="6"/>
        <v>-</v>
      </c>
      <c r="K59" s="230"/>
      <c r="L59" s="232"/>
    </row>
    <row r="60" spans="1:29" x14ac:dyDescent="0.3">
      <c r="B60" s="225" t="s">
        <v>186</v>
      </c>
      <c r="C60" s="226" t="s">
        <v>169</v>
      </c>
      <c r="D60" s="227" t="s">
        <v>244</v>
      </c>
      <c r="E60" s="228" t="s">
        <v>188</v>
      </c>
      <c r="F60" s="229">
        <v>8012</v>
      </c>
      <c r="G60" s="229">
        <v>0</v>
      </c>
      <c r="H60" s="230">
        <f>SUMPRODUCT((Production_Log!$F$3:$F$8963=F60)*Production_Log!$H$3:$H$8963)</f>
        <v>0</v>
      </c>
      <c r="I60" s="229">
        <f t="shared" si="5"/>
        <v>0</v>
      </c>
      <c r="J60" s="231" t="str">
        <f t="shared" si="6"/>
        <v>-</v>
      </c>
      <c r="K60" s="230"/>
      <c r="L60" s="232"/>
    </row>
    <row r="61" spans="1:29" x14ac:dyDescent="0.3">
      <c r="B61" s="225" t="s">
        <v>186</v>
      </c>
      <c r="C61" s="226" t="s">
        <v>180</v>
      </c>
      <c r="D61" s="227" t="s">
        <v>245</v>
      </c>
      <c r="E61" s="228" t="s">
        <v>191</v>
      </c>
      <c r="F61" s="229">
        <v>8010</v>
      </c>
      <c r="G61" s="229">
        <v>0</v>
      </c>
      <c r="H61" s="230">
        <f>SUMPRODUCT((Production_Log!$F$3:$F$8963=F61)*Production_Log!$H$3:$H$8963)</f>
        <v>0</v>
      </c>
      <c r="I61" s="229">
        <f t="shared" si="5"/>
        <v>0</v>
      </c>
      <c r="J61" s="231" t="str">
        <f t="shared" si="6"/>
        <v>-</v>
      </c>
      <c r="K61" s="230"/>
      <c r="L61" s="232"/>
    </row>
    <row r="62" spans="1:29" x14ac:dyDescent="0.3">
      <c r="B62" s="225" t="s">
        <v>186</v>
      </c>
      <c r="C62" s="226" t="s">
        <v>169</v>
      </c>
      <c r="D62" s="227" t="s">
        <v>246</v>
      </c>
      <c r="E62" s="228" t="s">
        <v>197</v>
      </c>
      <c r="F62" s="229">
        <v>8008</v>
      </c>
      <c r="G62" s="229">
        <v>0</v>
      </c>
      <c r="H62" s="230">
        <f>SUMPRODUCT((Production_Log!$F$3:$F$8963=F62)*Production_Log!$H$3:$H$8963)</f>
        <v>0</v>
      </c>
      <c r="I62" s="229">
        <f t="shared" si="5"/>
        <v>0</v>
      </c>
      <c r="J62" s="231" t="str">
        <f t="shared" si="6"/>
        <v>-</v>
      </c>
      <c r="K62" s="230"/>
      <c r="L62" s="232"/>
    </row>
    <row r="63" spans="1:29" ht="16.5" customHeight="1" x14ac:dyDescent="0.3">
      <c r="A63" s="133"/>
      <c r="B63" s="225" t="s">
        <v>186</v>
      </c>
      <c r="C63" s="226" t="s">
        <v>180</v>
      </c>
      <c r="D63" s="227" t="s">
        <v>247</v>
      </c>
      <c r="E63" s="228" t="s">
        <v>248</v>
      </c>
      <c r="F63" s="229">
        <v>8009</v>
      </c>
      <c r="G63" s="229">
        <v>0</v>
      </c>
      <c r="H63" s="230">
        <f>SUMPRODUCT((Production_Log!$F$3:$F$8963=F63)*Production_Log!$H$3:$H$8963)</f>
        <v>0</v>
      </c>
      <c r="I63" s="229">
        <f t="shared" si="5"/>
        <v>0</v>
      </c>
      <c r="J63" s="231" t="str">
        <f t="shared" si="6"/>
        <v>-</v>
      </c>
      <c r="K63" s="230"/>
      <c r="L63" s="232"/>
      <c r="M63" s="133"/>
      <c r="N63" s="133"/>
      <c r="O63" s="133"/>
      <c r="P63" s="133"/>
      <c r="Q63" s="133"/>
      <c r="R63" s="135"/>
      <c r="T63" s="151"/>
      <c r="V63" s="135"/>
      <c r="W63" s="135"/>
      <c r="X63" s="135"/>
      <c r="Y63" s="135"/>
      <c r="Z63" s="135"/>
      <c r="AA63" s="135"/>
      <c r="AB63" s="135"/>
      <c r="AC63" s="135"/>
    </row>
    <row r="64" spans="1:29" ht="16.5" customHeight="1" x14ac:dyDescent="0.3">
      <c r="A64" s="133"/>
      <c r="B64" s="225" t="s">
        <v>186</v>
      </c>
      <c r="C64" s="226" t="s">
        <v>180</v>
      </c>
      <c r="D64" s="227" t="s">
        <v>249</v>
      </c>
      <c r="E64" s="228" t="s">
        <v>250</v>
      </c>
      <c r="F64" s="229">
        <v>8013</v>
      </c>
      <c r="G64" s="229">
        <v>0</v>
      </c>
      <c r="H64" s="230">
        <f>SUMPRODUCT((Production_Log!$F$3:$F$8963=F64)*Production_Log!$H$3:$H$8963)</f>
        <v>0</v>
      </c>
      <c r="I64" s="229">
        <f t="shared" si="5"/>
        <v>0</v>
      </c>
      <c r="J64" s="231" t="str">
        <f t="shared" si="6"/>
        <v>-</v>
      </c>
      <c r="K64" s="230"/>
      <c r="L64" s="232"/>
      <c r="M64" s="133"/>
      <c r="N64" s="133"/>
      <c r="O64" s="133"/>
      <c r="P64" s="133"/>
      <c r="Q64" s="133"/>
      <c r="R64" s="135"/>
      <c r="T64" s="151"/>
      <c r="V64" s="135"/>
      <c r="W64" s="135"/>
      <c r="X64" s="135"/>
      <c r="Y64" s="135"/>
      <c r="Z64" s="135"/>
      <c r="AA64" s="135"/>
      <c r="AB64" s="135"/>
      <c r="AC64" s="135"/>
    </row>
    <row r="65" spans="2:12" x14ac:dyDescent="0.3">
      <c r="B65" s="237"/>
      <c r="C65" s="237"/>
      <c r="D65" s="237"/>
      <c r="E65" s="237"/>
      <c r="F65" s="237"/>
      <c r="G65" s="237"/>
      <c r="H65" s="237"/>
      <c r="I65" s="237"/>
      <c r="J65" s="237"/>
      <c r="K65" s="237"/>
      <c r="L65" s="237"/>
    </row>
    <row r="66" spans="2:12" x14ac:dyDescent="0.3"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</row>
    <row r="67" spans="2:12" ht="15" customHeight="1" x14ac:dyDescent="0.3"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</row>
    <row r="68" spans="2:12" ht="15" customHeight="1" x14ac:dyDescent="0.3"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</row>
    <row r="69" spans="2:12" ht="15" customHeight="1" x14ac:dyDescent="0.3"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</row>
    <row r="70" spans="2:12" ht="15" customHeight="1" x14ac:dyDescent="0.3"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</row>
    <row r="71" spans="2:12" x14ac:dyDescent="0.3"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</row>
    <row r="72" spans="2:12" x14ac:dyDescent="0.3"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</row>
    <row r="73" spans="2:12" x14ac:dyDescent="0.3"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</row>
    <row r="74" spans="2:12" x14ac:dyDescent="0.3"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</row>
    <row r="75" spans="2:12" x14ac:dyDescent="0.3"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</row>
    <row r="76" spans="2:12" x14ac:dyDescent="0.3"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</row>
    <row r="77" spans="2:12" x14ac:dyDescent="0.3">
      <c r="B77" s="237"/>
      <c r="C77" s="237"/>
      <c r="D77" s="237"/>
      <c r="E77" s="237"/>
      <c r="F77" s="237"/>
      <c r="G77" s="237"/>
      <c r="H77" s="237"/>
      <c r="I77" s="237"/>
      <c r="J77" s="237"/>
      <c r="K77" s="237"/>
      <c r="L77" s="237"/>
    </row>
    <row r="78" spans="2:12" x14ac:dyDescent="0.3">
      <c r="B78" s="237"/>
      <c r="C78" s="237"/>
      <c r="D78" s="237"/>
      <c r="E78" s="237"/>
      <c r="F78" s="237"/>
      <c r="G78" s="237"/>
      <c r="H78" s="237"/>
      <c r="I78" s="237"/>
      <c r="J78" s="237"/>
      <c r="K78" s="237"/>
      <c r="L78" s="237"/>
    </row>
    <row r="79" spans="2:12" x14ac:dyDescent="0.3">
      <c r="B79" s="237"/>
      <c r="C79" s="237"/>
      <c r="D79" s="237"/>
      <c r="E79" s="237"/>
      <c r="F79" s="237"/>
      <c r="G79" s="237"/>
      <c r="H79" s="237"/>
      <c r="I79" s="237"/>
      <c r="J79" s="237"/>
      <c r="K79" s="237"/>
      <c r="L79" s="237"/>
    </row>
    <row r="80" spans="2:12" x14ac:dyDescent="0.3"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</row>
    <row r="81" spans="2:12" x14ac:dyDescent="0.3">
      <c r="B81" s="237"/>
      <c r="C81" s="237"/>
      <c r="D81" s="237"/>
      <c r="E81" s="237"/>
      <c r="F81" s="237"/>
      <c r="G81" s="237"/>
      <c r="H81" s="237"/>
      <c r="I81" s="237"/>
      <c r="J81" s="237"/>
      <c r="K81" s="237"/>
      <c r="L81" s="237"/>
    </row>
    <row r="82" spans="2:12" x14ac:dyDescent="0.3">
      <c r="B82" s="237"/>
      <c r="C82" s="237"/>
      <c r="D82" s="237"/>
      <c r="E82" s="237"/>
      <c r="F82" s="237"/>
      <c r="G82" s="237"/>
      <c r="H82" s="237"/>
      <c r="I82" s="237"/>
      <c r="J82" s="237"/>
      <c r="K82" s="237"/>
      <c r="L82" s="237"/>
    </row>
    <row r="83" spans="2:12" x14ac:dyDescent="0.3">
      <c r="B83" s="237"/>
      <c r="C83" s="237"/>
      <c r="D83" s="237"/>
      <c r="E83" s="237"/>
      <c r="F83" s="237"/>
      <c r="G83" s="237"/>
      <c r="H83" s="237"/>
      <c r="I83" s="237"/>
      <c r="J83" s="237"/>
      <c r="K83" s="237"/>
      <c r="L83" s="237"/>
    </row>
    <row r="84" spans="2:12" x14ac:dyDescent="0.3">
      <c r="B84" s="237"/>
      <c r="C84" s="237"/>
      <c r="D84" s="237"/>
      <c r="E84" s="237"/>
      <c r="F84" s="237"/>
      <c r="G84" s="237"/>
      <c r="H84" s="237"/>
      <c r="I84" s="237"/>
      <c r="J84" s="237"/>
      <c r="K84" s="237"/>
      <c r="L84" s="237"/>
    </row>
    <row r="85" spans="2:12" x14ac:dyDescent="0.3">
      <c r="B85" s="237"/>
      <c r="C85" s="237"/>
      <c r="D85" s="237"/>
      <c r="E85" s="237"/>
      <c r="F85" s="237"/>
      <c r="G85" s="237"/>
      <c r="H85" s="237"/>
      <c r="I85" s="237"/>
      <c r="J85" s="237"/>
      <c r="K85" s="237"/>
      <c r="L85" s="237"/>
    </row>
    <row r="86" spans="2:12" x14ac:dyDescent="0.3">
      <c r="B86" s="237"/>
      <c r="C86" s="237"/>
      <c r="D86" s="237"/>
      <c r="E86" s="237"/>
      <c r="F86" s="237"/>
      <c r="G86" s="237"/>
      <c r="H86" s="237"/>
      <c r="I86" s="237"/>
      <c r="J86" s="237"/>
      <c r="K86" s="237"/>
      <c r="L86" s="237"/>
    </row>
    <row r="87" spans="2:12" x14ac:dyDescent="0.3">
      <c r="B87" s="237"/>
      <c r="C87" s="237"/>
      <c r="D87" s="237"/>
      <c r="E87" s="237"/>
      <c r="F87" s="237"/>
      <c r="G87" s="237"/>
      <c r="H87" s="237"/>
      <c r="I87" s="237"/>
      <c r="J87" s="237"/>
      <c r="K87" s="237"/>
      <c r="L87" s="237"/>
    </row>
    <row r="88" spans="2:12" x14ac:dyDescent="0.3">
      <c r="B88" s="237"/>
      <c r="C88" s="237"/>
      <c r="D88" s="237"/>
      <c r="E88" s="237"/>
      <c r="F88" s="237"/>
      <c r="G88" s="237"/>
      <c r="H88" s="237"/>
      <c r="I88" s="237"/>
      <c r="J88" s="237"/>
      <c r="K88" s="237"/>
      <c r="L88" s="237"/>
    </row>
    <row r="89" spans="2:12" x14ac:dyDescent="0.3">
      <c r="B89" s="237"/>
      <c r="C89" s="237"/>
      <c r="D89" s="237"/>
      <c r="E89" s="237"/>
      <c r="F89" s="237"/>
      <c r="G89" s="237"/>
      <c r="H89" s="237"/>
      <c r="I89" s="237"/>
      <c r="J89" s="237"/>
      <c r="K89" s="237"/>
      <c r="L89" s="237"/>
    </row>
    <row r="90" spans="2:12" x14ac:dyDescent="0.3">
      <c r="B90" s="237"/>
      <c r="C90" s="237"/>
      <c r="D90" s="237"/>
      <c r="E90" s="237"/>
      <c r="F90" s="237"/>
      <c r="G90" s="237"/>
      <c r="H90" s="237"/>
      <c r="I90" s="237"/>
      <c r="J90" s="237"/>
      <c r="K90" s="237"/>
      <c r="L90" s="237"/>
    </row>
    <row r="91" spans="2:12" x14ac:dyDescent="0.3">
      <c r="B91" s="237"/>
      <c r="C91" s="237"/>
      <c r="D91" s="237"/>
      <c r="E91" s="237"/>
      <c r="F91" s="237"/>
      <c r="G91" s="237"/>
      <c r="H91" s="237"/>
      <c r="I91" s="237"/>
      <c r="J91" s="237"/>
      <c r="K91" s="237"/>
      <c r="L91" s="237"/>
    </row>
    <row r="92" spans="2:12" x14ac:dyDescent="0.3">
      <c r="B92" s="237"/>
      <c r="C92" s="237"/>
      <c r="D92" s="237"/>
      <c r="E92" s="237"/>
      <c r="F92" s="237"/>
      <c r="G92" s="237"/>
      <c r="H92" s="237"/>
      <c r="I92" s="237"/>
      <c r="J92" s="237"/>
      <c r="K92" s="237"/>
      <c r="L92" s="237"/>
    </row>
    <row r="93" spans="2:12" x14ac:dyDescent="0.3">
      <c r="B93" s="237"/>
      <c r="C93" s="237"/>
      <c r="D93" s="237"/>
      <c r="E93" s="237"/>
      <c r="F93" s="237"/>
      <c r="G93" s="237"/>
      <c r="H93" s="237"/>
      <c r="I93" s="237"/>
      <c r="J93" s="237"/>
      <c r="K93" s="237"/>
      <c r="L93" s="237"/>
    </row>
    <row r="94" spans="2:12" x14ac:dyDescent="0.3">
      <c r="B94" s="237"/>
      <c r="C94" s="237"/>
      <c r="D94" s="237"/>
      <c r="E94" s="237"/>
      <c r="F94" s="237"/>
      <c r="G94" s="237"/>
      <c r="H94" s="237"/>
      <c r="I94" s="237"/>
      <c r="J94" s="237"/>
      <c r="K94" s="237"/>
      <c r="L94" s="237"/>
    </row>
    <row r="95" spans="2:12" x14ac:dyDescent="0.3">
      <c r="B95" s="237"/>
      <c r="C95" s="237"/>
      <c r="D95" s="237"/>
      <c r="E95" s="237"/>
      <c r="F95" s="237"/>
      <c r="G95" s="237"/>
      <c r="H95" s="237"/>
      <c r="I95" s="237"/>
      <c r="J95" s="237"/>
      <c r="K95" s="237"/>
      <c r="L95" s="237"/>
    </row>
    <row r="96" spans="2:12" x14ac:dyDescent="0.3">
      <c r="B96" s="237"/>
      <c r="C96" s="237"/>
      <c r="D96" s="237"/>
      <c r="E96" s="237"/>
      <c r="F96" s="237"/>
      <c r="G96" s="237"/>
      <c r="H96" s="237"/>
      <c r="I96" s="237"/>
      <c r="J96" s="237"/>
      <c r="K96" s="237"/>
      <c r="L96" s="237"/>
    </row>
    <row r="97" spans="2:12" x14ac:dyDescent="0.3">
      <c r="B97" s="237"/>
      <c r="C97" s="237"/>
      <c r="D97" s="237"/>
      <c r="E97" s="237"/>
      <c r="F97" s="237"/>
      <c r="G97" s="237"/>
      <c r="H97" s="237"/>
      <c r="I97" s="237"/>
      <c r="J97" s="237"/>
      <c r="K97" s="237"/>
      <c r="L97" s="237"/>
    </row>
    <row r="98" spans="2:12" x14ac:dyDescent="0.3">
      <c r="B98" s="237"/>
      <c r="C98" s="237"/>
      <c r="D98" s="237"/>
      <c r="E98" s="237"/>
      <c r="F98" s="237"/>
      <c r="G98" s="237"/>
      <c r="H98" s="237"/>
      <c r="I98" s="237"/>
      <c r="J98" s="237"/>
      <c r="K98" s="237"/>
      <c r="L98" s="237"/>
    </row>
    <row r="99" spans="2:12" x14ac:dyDescent="0.3">
      <c r="B99" s="237"/>
      <c r="C99" s="237"/>
      <c r="D99" s="237"/>
      <c r="E99" s="237"/>
      <c r="F99" s="237"/>
      <c r="G99" s="237"/>
      <c r="H99" s="237"/>
      <c r="I99" s="237"/>
      <c r="J99" s="237"/>
      <c r="K99" s="237"/>
      <c r="L99" s="237"/>
    </row>
    <row r="100" spans="2:12" x14ac:dyDescent="0.3">
      <c r="B100" s="237"/>
      <c r="C100" s="237"/>
      <c r="D100" s="237"/>
      <c r="E100" s="237"/>
      <c r="F100" s="237"/>
      <c r="G100" s="237"/>
      <c r="H100" s="237"/>
      <c r="I100" s="237"/>
      <c r="J100" s="237"/>
      <c r="K100" s="237"/>
      <c r="L100" s="237"/>
    </row>
    <row r="101" spans="2:12" x14ac:dyDescent="0.3">
      <c r="B101" s="237"/>
      <c r="C101" s="237"/>
      <c r="D101" s="237"/>
      <c r="E101" s="237"/>
      <c r="F101" s="237"/>
      <c r="G101" s="237"/>
      <c r="H101" s="237"/>
      <c r="I101" s="237"/>
      <c r="J101" s="237"/>
      <c r="K101" s="237"/>
      <c r="L101" s="237"/>
    </row>
    <row r="102" spans="2:12" x14ac:dyDescent="0.3">
      <c r="B102" s="237"/>
      <c r="C102" s="237"/>
      <c r="D102" s="237"/>
      <c r="E102" s="237"/>
      <c r="F102" s="237"/>
      <c r="G102" s="237"/>
      <c r="H102" s="237"/>
      <c r="I102" s="237"/>
      <c r="J102" s="237"/>
      <c r="K102" s="237"/>
      <c r="L102" s="237"/>
    </row>
    <row r="103" spans="2:12" x14ac:dyDescent="0.3">
      <c r="B103" s="237"/>
      <c r="C103" s="237"/>
      <c r="D103" s="237"/>
      <c r="E103" s="237"/>
      <c r="F103" s="237"/>
      <c r="G103" s="237"/>
      <c r="H103" s="237"/>
      <c r="I103" s="237"/>
      <c r="J103" s="237"/>
      <c r="K103" s="237"/>
      <c r="L103" s="237"/>
    </row>
    <row r="104" spans="2:12" x14ac:dyDescent="0.3">
      <c r="B104" s="237"/>
      <c r="C104" s="237"/>
      <c r="D104" s="237"/>
      <c r="E104" s="237"/>
      <c r="F104" s="237"/>
      <c r="G104" s="237"/>
      <c r="H104" s="237"/>
      <c r="I104" s="237"/>
      <c r="J104" s="237"/>
      <c r="K104" s="237"/>
      <c r="L104" s="237"/>
    </row>
    <row r="105" spans="2:12" x14ac:dyDescent="0.3">
      <c r="B105" s="237"/>
      <c r="C105" s="237"/>
      <c r="D105" s="237"/>
      <c r="E105" s="237"/>
      <c r="F105" s="237"/>
      <c r="G105" s="237"/>
      <c r="H105" s="237"/>
      <c r="I105" s="237"/>
      <c r="J105" s="237"/>
      <c r="K105" s="237"/>
      <c r="L105" s="237"/>
    </row>
    <row r="106" spans="2:12" x14ac:dyDescent="0.3">
      <c r="B106" s="237"/>
      <c r="C106" s="237"/>
      <c r="D106" s="237"/>
      <c r="E106" s="237"/>
      <c r="F106" s="237"/>
      <c r="G106" s="237"/>
      <c r="H106" s="237"/>
      <c r="I106" s="237"/>
      <c r="J106" s="237"/>
      <c r="K106" s="237"/>
      <c r="L106" s="237"/>
    </row>
    <row r="107" spans="2:12" x14ac:dyDescent="0.3">
      <c r="B107" s="237"/>
      <c r="C107" s="237"/>
      <c r="D107" s="237"/>
      <c r="E107" s="237"/>
      <c r="F107" s="237"/>
      <c r="G107" s="237"/>
      <c r="H107" s="237"/>
      <c r="I107" s="237"/>
      <c r="J107" s="237"/>
      <c r="K107" s="237"/>
      <c r="L107" s="237"/>
    </row>
    <row r="108" spans="2:12" x14ac:dyDescent="0.3">
      <c r="B108" s="237"/>
      <c r="C108" s="237"/>
      <c r="D108" s="237"/>
      <c r="E108" s="237"/>
      <c r="F108" s="237"/>
      <c r="G108" s="237"/>
      <c r="H108" s="237"/>
      <c r="I108" s="237"/>
      <c r="J108" s="237"/>
      <c r="K108" s="237"/>
      <c r="L108" s="237"/>
    </row>
    <row r="109" spans="2:12" x14ac:dyDescent="0.3">
      <c r="B109" s="237"/>
      <c r="C109" s="237"/>
      <c r="D109" s="237"/>
      <c r="E109" s="237"/>
      <c r="F109" s="237"/>
      <c r="G109" s="237"/>
      <c r="H109" s="237"/>
      <c r="I109" s="237"/>
      <c r="J109" s="237"/>
      <c r="K109" s="237"/>
      <c r="L109" s="237"/>
    </row>
    <row r="110" spans="2:12" x14ac:dyDescent="0.3">
      <c r="B110" s="237"/>
      <c r="C110" s="237"/>
      <c r="D110" s="237"/>
      <c r="E110" s="237"/>
      <c r="F110" s="237"/>
      <c r="G110" s="237"/>
      <c r="H110" s="237"/>
      <c r="I110" s="237"/>
      <c r="J110" s="237"/>
      <c r="K110" s="237"/>
      <c r="L110" s="237"/>
    </row>
    <row r="111" spans="2:12" x14ac:dyDescent="0.3">
      <c r="B111" s="237"/>
      <c r="C111" s="237"/>
      <c r="D111" s="237"/>
      <c r="E111" s="237"/>
      <c r="F111" s="237"/>
      <c r="G111" s="237"/>
      <c r="H111" s="237"/>
      <c r="I111" s="237"/>
      <c r="J111" s="237"/>
      <c r="K111" s="237"/>
      <c r="L111" s="237"/>
    </row>
    <row r="112" spans="2:12" x14ac:dyDescent="0.3">
      <c r="B112" s="237"/>
      <c r="C112" s="237"/>
      <c r="D112" s="237"/>
      <c r="E112" s="237"/>
      <c r="F112" s="237"/>
      <c r="G112" s="237"/>
      <c r="H112" s="237"/>
      <c r="I112" s="237"/>
      <c r="J112" s="237"/>
      <c r="K112" s="237"/>
      <c r="L112" s="237"/>
    </row>
    <row r="113" spans="2:12" x14ac:dyDescent="0.3">
      <c r="B113" s="237"/>
      <c r="C113" s="237"/>
      <c r="D113" s="237"/>
      <c r="E113" s="237"/>
      <c r="F113" s="237"/>
      <c r="G113" s="237"/>
      <c r="H113" s="237"/>
      <c r="I113" s="237"/>
      <c r="J113" s="237"/>
      <c r="K113" s="237"/>
      <c r="L113" s="237"/>
    </row>
    <row r="114" spans="2:12" x14ac:dyDescent="0.3">
      <c r="B114" s="237"/>
      <c r="C114" s="237"/>
      <c r="D114" s="237"/>
      <c r="E114" s="237"/>
      <c r="F114" s="237"/>
      <c r="G114" s="237"/>
      <c r="H114" s="237"/>
      <c r="I114" s="237"/>
      <c r="J114" s="237"/>
      <c r="K114" s="237"/>
      <c r="L114" s="237"/>
    </row>
    <row r="115" spans="2:12" x14ac:dyDescent="0.3">
      <c r="B115" s="237"/>
      <c r="C115" s="237"/>
      <c r="D115" s="237"/>
      <c r="E115" s="237"/>
      <c r="F115" s="237"/>
      <c r="G115" s="237"/>
      <c r="H115" s="237"/>
      <c r="I115" s="237"/>
      <c r="J115" s="237"/>
      <c r="K115" s="237"/>
      <c r="L115" s="237"/>
    </row>
    <row r="116" spans="2:12" x14ac:dyDescent="0.3">
      <c r="B116" s="237"/>
      <c r="C116" s="237"/>
      <c r="D116" s="237"/>
      <c r="E116" s="237"/>
      <c r="F116" s="237"/>
      <c r="G116" s="237"/>
      <c r="H116" s="237"/>
      <c r="I116" s="237"/>
      <c r="J116" s="237"/>
      <c r="K116" s="237"/>
      <c r="L116" s="237"/>
    </row>
    <row r="117" spans="2:12" x14ac:dyDescent="0.3">
      <c r="B117" s="237"/>
      <c r="C117" s="237"/>
      <c r="D117" s="237"/>
      <c r="E117" s="237"/>
      <c r="F117" s="237"/>
      <c r="G117" s="237"/>
      <c r="H117" s="237"/>
      <c r="I117" s="237"/>
      <c r="J117" s="237"/>
      <c r="K117" s="237"/>
      <c r="L117" s="237"/>
    </row>
    <row r="118" spans="2:12" x14ac:dyDescent="0.3">
      <c r="B118" s="237"/>
      <c r="C118" s="237"/>
      <c r="D118" s="237"/>
      <c r="E118" s="237"/>
      <c r="F118" s="237"/>
      <c r="G118" s="237"/>
      <c r="H118" s="237"/>
      <c r="I118" s="237"/>
      <c r="J118" s="237"/>
      <c r="K118" s="237"/>
      <c r="L118" s="237"/>
    </row>
    <row r="119" spans="2:12" x14ac:dyDescent="0.3">
      <c r="B119" s="237"/>
      <c r="C119" s="237"/>
      <c r="D119" s="237"/>
      <c r="E119" s="237"/>
      <c r="F119" s="237"/>
      <c r="G119" s="237"/>
      <c r="H119" s="237"/>
      <c r="I119" s="237"/>
      <c r="J119" s="237"/>
      <c r="K119" s="237"/>
      <c r="L119" s="237"/>
    </row>
    <row r="120" spans="2:12" x14ac:dyDescent="0.3">
      <c r="B120" s="237"/>
      <c r="C120" s="237"/>
      <c r="D120" s="237"/>
      <c r="E120" s="237"/>
      <c r="F120" s="237"/>
      <c r="G120" s="237"/>
      <c r="H120" s="237"/>
      <c r="I120" s="237"/>
      <c r="J120" s="237"/>
      <c r="K120" s="237"/>
      <c r="L120" s="237"/>
    </row>
    <row r="121" spans="2:12" x14ac:dyDescent="0.3">
      <c r="B121" s="237"/>
      <c r="C121" s="237"/>
      <c r="D121" s="237"/>
      <c r="E121" s="237"/>
      <c r="F121" s="237"/>
      <c r="G121" s="237"/>
      <c r="H121" s="237"/>
      <c r="I121" s="237"/>
      <c r="J121" s="237"/>
      <c r="K121" s="237"/>
      <c r="L121" s="237"/>
    </row>
    <row r="122" spans="2:12" x14ac:dyDescent="0.3">
      <c r="B122" s="237"/>
      <c r="C122" s="237"/>
      <c r="D122" s="237"/>
      <c r="E122" s="237"/>
      <c r="F122" s="237"/>
      <c r="G122" s="237"/>
      <c r="H122" s="237"/>
      <c r="I122" s="237"/>
      <c r="J122" s="237"/>
      <c r="K122" s="237"/>
      <c r="L122" s="237"/>
    </row>
    <row r="123" spans="2:12" x14ac:dyDescent="0.3">
      <c r="B123" s="237"/>
      <c r="C123" s="237"/>
      <c r="D123" s="237"/>
      <c r="E123" s="237"/>
      <c r="F123" s="237"/>
      <c r="G123" s="237"/>
      <c r="H123" s="237"/>
      <c r="I123" s="237"/>
      <c r="J123" s="237"/>
      <c r="K123" s="237"/>
      <c r="L123" s="237"/>
    </row>
    <row r="124" spans="2:12" x14ac:dyDescent="0.3">
      <c r="B124" s="237"/>
      <c r="C124" s="237"/>
      <c r="D124" s="237"/>
      <c r="E124" s="237"/>
      <c r="F124" s="237"/>
      <c r="G124" s="237"/>
      <c r="H124" s="237"/>
      <c r="I124" s="237"/>
      <c r="J124" s="237"/>
      <c r="K124" s="237"/>
      <c r="L124" s="237"/>
    </row>
    <row r="125" spans="2:12" x14ac:dyDescent="0.3">
      <c r="B125" s="237"/>
      <c r="C125" s="237"/>
      <c r="D125" s="237"/>
      <c r="E125" s="237"/>
      <c r="F125" s="237"/>
      <c r="G125" s="237"/>
      <c r="H125" s="237"/>
      <c r="I125" s="237"/>
      <c r="J125" s="237"/>
      <c r="K125" s="237"/>
      <c r="L125" s="237"/>
    </row>
    <row r="126" spans="2:12" x14ac:dyDescent="0.3">
      <c r="B126" s="237"/>
      <c r="C126" s="237"/>
      <c r="D126" s="237"/>
      <c r="E126" s="237"/>
      <c r="F126" s="237"/>
      <c r="G126" s="237"/>
      <c r="H126" s="237"/>
      <c r="I126" s="237"/>
      <c r="J126" s="237"/>
      <c r="K126" s="237"/>
      <c r="L126" s="237"/>
    </row>
    <row r="127" spans="2:12" x14ac:dyDescent="0.3">
      <c r="B127" s="237"/>
      <c r="C127" s="237"/>
      <c r="D127" s="237"/>
      <c r="E127" s="237"/>
      <c r="F127" s="237"/>
      <c r="G127" s="237"/>
      <c r="H127" s="237"/>
      <c r="I127" s="237"/>
      <c r="J127" s="237"/>
      <c r="K127" s="237"/>
      <c r="L127" s="237"/>
    </row>
    <row r="128" spans="2:12" x14ac:dyDescent="0.3">
      <c r="B128" s="237"/>
      <c r="C128" s="237"/>
      <c r="D128" s="237"/>
      <c r="E128" s="237"/>
      <c r="F128" s="237"/>
      <c r="G128" s="237"/>
      <c r="H128" s="237"/>
      <c r="I128" s="237"/>
      <c r="J128" s="237"/>
      <c r="K128" s="237"/>
      <c r="L128" s="237"/>
    </row>
    <row r="129" spans="2:12" x14ac:dyDescent="0.3">
      <c r="B129" s="237"/>
      <c r="C129" s="237"/>
      <c r="D129" s="237"/>
      <c r="E129" s="237"/>
      <c r="F129" s="237"/>
      <c r="G129" s="237"/>
      <c r="H129" s="237"/>
      <c r="I129" s="237"/>
      <c r="J129" s="237"/>
      <c r="K129" s="237"/>
      <c r="L129" s="237"/>
    </row>
    <row r="130" spans="2:12" x14ac:dyDescent="0.3">
      <c r="B130" s="237"/>
      <c r="C130" s="237"/>
      <c r="D130" s="237"/>
      <c r="E130" s="237"/>
      <c r="F130" s="237"/>
      <c r="G130" s="237"/>
      <c r="H130" s="237"/>
      <c r="I130" s="237"/>
      <c r="J130" s="237"/>
      <c r="K130" s="237"/>
      <c r="L130" s="237"/>
    </row>
    <row r="131" spans="2:12" x14ac:dyDescent="0.3">
      <c r="B131" s="237"/>
      <c r="C131" s="237"/>
      <c r="D131" s="237"/>
      <c r="E131" s="237"/>
      <c r="F131" s="237"/>
      <c r="G131" s="237"/>
      <c r="H131" s="237"/>
      <c r="I131" s="237"/>
      <c r="J131" s="237"/>
      <c r="K131" s="237"/>
      <c r="L131" s="237"/>
    </row>
    <row r="132" spans="2:12" x14ac:dyDescent="0.3">
      <c r="B132" s="237"/>
      <c r="C132" s="237"/>
      <c r="D132" s="237"/>
      <c r="E132" s="237"/>
      <c r="F132" s="237"/>
      <c r="G132" s="237"/>
      <c r="H132" s="237"/>
      <c r="I132" s="237"/>
      <c r="J132" s="237"/>
      <c r="K132" s="237"/>
      <c r="L132" s="237"/>
    </row>
    <row r="133" spans="2:12" x14ac:dyDescent="0.3">
      <c r="B133" s="237"/>
      <c r="C133" s="237"/>
      <c r="D133" s="237"/>
      <c r="E133" s="237"/>
      <c r="F133" s="237"/>
      <c r="G133" s="237"/>
      <c r="H133" s="237"/>
      <c r="I133" s="237"/>
      <c r="J133" s="237"/>
      <c r="K133" s="237"/>
      <c r="L133" s="237"/>
    </row>
    <row r="134" spans="2:12" x14ac:dyDescent="0.3">
      <c r="B134" s="237"/>
      <c r="C134" s="237"/>
      <c r="D134" s="237"/>
      <c r="E134" s="237"/>
      <c r="F134" s="237"/>
      <c r="G134" s="237"/>
      <c r="H134" s="237"/>
      <c r="I134" s="237"/>
      <c r="J134" s="237"/>
      <c r="K134" s="237"/>
      <c r="L134" s="237"/>
    </row>
    <row r="135" spans="2:12" x14ac:dyDescent="0.3">
      <c r="B135" s="237"/>
      <c r="C135" s="237"/>
      <c r="D135" s="237"/>
      <c r="E135" s="237"/>
      <c r="F135" s="237"/>
      <c r="G135" s="237"/>
      <c r="H135" s="237"/>
      <c r="I135" s="237"/>
      <c r="J135" s="237"/>
      <c r="K135" s="237"/>
      <c r="L135" s="237"/>
    </row>
    <row r="136" spans="2:12" x14ac:dyDescent="0.3">
      <c r="B136" s="237"/>
      <c r="C136" s="237"/>
      <c r="D136" s="237"/>
      <c r="E136" s="237"/>
      <c r="F136" s="237"/>
      <c r="G136" s="237"/>
      <c r="H136" s="237"/>
      <c r="I136" s="237"/>
      <c r="J136" s="237"/>
      <c r="K136" s="237"/>
      <c r="L136" s="237"/>
    </row>
    <row r="137" spans="2:12" x14ac:dyDescent="0.3">
      <c r="B137" s="237"/>
      <c r="C137" s="237"/>
      <c r="D137" s="237"/>
      <c r="E137" s="237"/>
      <c r="F137" s="237"/>
      <c r="G137" s="237"/>
      <c r="H137" s="237"/>
      <c r="I137" s="237"/>
      <c r="J137" s="237"/>
      <c r="K137" s="237"/>
      <c r="L137" s="237"/>
    </row>
    <row r="138" spans="2:12" x14ac:dyDescent="0.3">
      <c r="B138" s="237"/>
      <c r="C138" s="237"/>
      <c r="D138" s="237"/>
      <c r="E138" s="237"/>
      <c r="F138" s="237"/>
      <c r="G138" s="237"/>
      <c r="H138" s="237"/>
      <c r="I138" s="237"/>
      <c r="J138" s="237"/>
      <c r="K138" s="237"/>
      <c r="L138" s="237"/>
    </row>
    <row r="139" spans="2:12" x14ac:dyDescent="0.3">
      <c r="B139" s="237"/>
      <c r="C139" s="237"/>
      <c r="D139" s="237"/>
      <c r="E139" s="237"/>
      <c r="F139" s="237"/>
      <c r="G139" s="237"/>
      <c r="H139" s="237"/>
      <c r="I139" s="237"/>
      <c r="J139" s="237"/>
      <c r="K139" s="237"/>
      <c r="L139" s="237"/>
    </row>
    <row r="140" spans="2:12" x14ac:dyDescent="0.3">
      <c r="B140" s="237"/>
      <c r="C140" s="237"/>
      <c r="D140" s="237"/>
      <c r="E140" s="237"/>
      <c r="F140" s="237"/>
      <c r="G140" s="237"/>
      <c r="H140" s="237"/>
      <c r="I140" s="237"/>
      <c r="J140" s="237"/>
      <c r="K140" s="237"/>
      <c r="L140" s="237"/>
    </row>
    <row r="141" spans="2:12" x14ac:dyDescent="0.3">
      <c r="B141" s="237"/>
      <c r="C141" s="237"/>
      <c r="D141" s="237"/>
      <c r="E141" s="237"/>
      <c r="F141" s="237"/>
      <c r="G141" s="237"/>
      <c r="H141" s="237"/>
      <c r="I141" s="237"/>
      <c r="J141" s="237"/>
      <c r="K141" s="237"/>
      <c r="L141" s="237"/>
    </row>
    <row r="142" spans="2:12" x14ac:dyDescent="0.3">
      <c r="B142" s="237"/>
      <c r="C142" s="237"/>
      <c r="D142" s="237"/>
      <c r="E142" s="237"/>
      <c r="F142" s="237"/>
      <c r="G142" s="237"/>
      <c r="H142" s="237"/>
      <c r="I142" s="237"/>
      <c r="J142" s="237"/>
      <c r="K142" s="237"/>
      <c r="L142" s="237"/>
    </row>
    <row r="143" spans="2:12" x14ac:dyDescent="0.3">
      <c r="B143" s="237"/>
      <c r="C143" s="237"/>
      <c r="D143" s="237"/>
      <c r="E143" s="237"/>
      <c r="F143" s="237"/>
      <c r="G143" s="237"/>
      <c r="H143" s="237"/>
      <c r="I143" s="237"/>
      <c r="J143" s="237"/>
      <c r="K143" s="237"/>
      <c r="L143" s="237"/>
    </row>
    <row r="144" spans="2:12" x14ac:dyDescent="0.3">
      <c r="B144" s="237"/>
      <c r="C144" s="237"/>
      <c r="D144" s="237"/>
      <c r="E144" s="237"/>
      <c r="F144" s="237"/>
      <c r="G144" s="237"/>
      <c r="H144" s="237"/>
      <c r="I144" s="237"/>
      <c r="J144" s="237"/>
      <c r="K144" s="237"/>
      <c r="L144" s="237"/>
    </row>
    <row r="145" spans="2:12" x14ac:dyDescent="0.3">
      <c r="B145" s="237"/>
      <c r="C145" s="237"/>
      <c r="D145" s="237"/>
      <c r="E145" s="237"/>
      <c r="F145" s="237"/>
      <c r="G145" s="237"/>
      <c r="H145" s="237"/>
      <c r="I145" s="237"/>
      <c r="J145" s="237"/>
      <c r="K145" s="237"/>
      <c r="L145" s="237"/>
    </row>
    <row r="146" spans="2:12" x14ac:dyDescent="0.3">
      <c r="B146" s="237"/>
      <c r="C146" s="237"/>
      <c r="D146" s="237"/>
      <c r="E146" s="237"/>
      <c r="F146" s="237"/>
      <c r="G146" s="237"/>
      <c r="H146" s="237"/>
      <c r="I146" s="237"/>
      <c r="J146" s="237"/>
      <c r="K146" s="237"/>
      <c r="L146" s="237"/>
    </row>
    <row r="147" spans="2:12" x14ac:dyDescent="0.3">
      <c r="B147" s="237"/>
      <c r="C147" s="237"/>
      <c r="D147" s="237"/>
      <c r="E147" s="237"/>
      <c r="F147" s="237"/>
      <c r="G147" s="237"/>
      <c r="H147" s="237"/>
      <c r="I147" s="237"/>
      <c r="J147" s="237"/>
      <c r="K147" s="237"/>
      <c r="L147" s="237"/>
    </row>
    <row r="148" spans="2:12" x14ac:dyDescent="0.3">
      <c r="B148" s="237"/>
      <c r="C148" s="237"/>
      <c r="D148" s="237"/>
      <c r="E148" s="237"/>
      <c r="F148" s="237"/>
      <c r="G148" s="237"/>
      <c r="H148" s="237"/>
      <c r="I148" s="237"/>
      <c r="J148" s="237"/>
      <c r="K148" s="237"/>
      <c r="L148" s="237"/>
    </row>
    <row r="149" spans="2:12" x14ac:dyDescent="0.3">
      <c r="B149" s="237"/>
      <c r="C149" s="237"/>
      <c r="D149" s="237"/>
      <c r="E149" s="237"/>
      <c r="F149" s="237"/>
      <c r="G149" s="237"/>
      <c r="H149" s="237"/>
      <c r="I149" s="237"/>
      <c r="J149" s="237"/>
      <c r="K149" s="237"/>
      <c r="L149" s="237"/>
    </row>
    <row r="150" spans="2:12" x14ac:dyDescent="0.3">
      <c r="B150" s="237"/>
      <c r="C150" s="237"/>
      <c r="D150" s="237"/>
      <c r="E150" s="237"/>
      <c r="F150" s="237"/>
      <c r="G150" s="237"/>
      <c r="H150" s="237"/>
      <c r="I150" s="237"/>
      <c r="J150" s="237"/>
      <c r="K150" s="237"/>
      <c r="L150" s="237"/>
    </row>
    <row r="151" spans="2:12" x14ac:dyDescent="0.3">
      <c r="B151" s="237"/>
      <c r="C151" s="237"/>
      <c r="D151" s="237"/>
      <c r="E151" s="237"/>
      <c r="F151" s="237"/>
      <c r="G151" s="237"/>
      <c r="H151" s="237"/>
      <c r="I151" s="237"/>
      <c r="J151" s="237"/>
      <c r="K151" s="237"/>
      <c r="L151" s="237"/>
    </row>
    <row r="152" spans="2:12" x14ac:dyDescent="0.3">
      <c r="B152" s="237"/>
      <c r="C152" s="237"/>
      <c r="D152" s="237"/>
      <c r="E152" s="237"/>
      <c r="F152" s="237"/>
      <c r="G152" s="237"/>
      <c r="H152" s="237"/>
      <c r="I152" s="237"/>
      <c r="J152" s="237"/>
      <c r="K152" s="237"/>
      <c r="L152" s="237"/>
    </row>
    <row r="153" spans="2:12" x14ac:dyDescent="0.3">
      <c r="B153" s="237"/>
      <c r="C153" s="237"/>
      <c r="D153" s="237"/>
      <c r="E153" s="237"/>
      <c r="F153" s="237"/>
      <c r="G153" s="237"/>
      <c r="H153" s="237"/>
      <c r="I153" s="237"/>
      <c r="J153" s="237"/>
      <c r="K153" s="237"/>
      <c r="L153" s="237"/>
    </row>
    <row r="154" spans="2:12" x14ac:dyDescent="0.3">
      <c r="B154" s="237"/>
      <c r="C154" s="237"/>
      <c r="D154" s="237"/>
      <c r="E154" s="237"/>
      <c r="F154" s="237"/>
      <c r="G154" s="237"/>
      <c r="H154" s="237"/>
      <c r="I154" s="237"/>
      <c r="J154" s="237"/>
      <c r="K154" s="237"/>
      <c r="L154" s="237"/>
    </row>
    <row r="155" spans="2:12" x14ac:dyDescent="0.3">
      <c r="B155" s="237"/>
      <c r="C155" s="237"/>
      <c r="D155" s="237"/>
      <c r="E155" s="237"/>
      <c r="F155" s="237"/>
      <c r="G155" s="237"/>
      <c r="H155" s="237"/>
      <c r="I155" s="237"/>
      <c r="J155" s="237"/>
      <c r="K155" s="237"/>
      <c r="L155" s="237"/>
    </row>
    <row r="156" spans="2:12" x14ac:dyDescent="0.3">
      <c r="B156" s="237"/>
      <c r="C156" s="237"/>
      <c r="D156" s="237"/>
      <c r="E156" s="237"/>
      <c r="F156" s="237"/>
      <c r="G156" s="237"/>
      <c r="H156" s="237"/>
      <c r="I156" s="237"/>
      <c r="J156" s="237"/>
      <c r="K156" s="237"/>
      <c r="L156" s="237"/>
    </row>
    <row r="157" spans="2:12" x14ac:dyDescent="0.3">
      <c r="B157" s="237"/>
      <c r="C157" s="237"/>
      <c r="D157" s="237"/>
      <c r="E157" s="237"/>
      <c r="F157" s="237"/>
      <c r="G157" s="237"/>
      <c r="H157" s="237"/>
      <c r="I157" s="237"/>
      <c r="J157" s="237"/>
      <c r="K157" s="237"/>
      <c r="L157" s="237"/>
    </row>
    <row r="158" spans="2:12" x14ac:dyDescent="0.3">
      <c r="B158" s="237"/>
      <c r="C158" s="237"/>
      <c r="D158" s="237"/>
      <c r="E158" s="237"/>
      <c r="F158" s="237"/>
      <c r="G158" s="237"/>
      <c r="H158" s="237"/>
      <c r="I158" s="237"/>
      <c r="J158" s="237"/>
      <c r="K158" s="237"/>
      <c r="L158" s="237"/>
    </row>
    <row r="159" spans="2:12" x14ac:dyDescent="0.3">
      <c r="B159" s="237"/>
      <c r="C159" s="237"/>
      <c r="D159" s="237"/>
      <c r="E159" s="237"/>
      <c r="F159" s="237"/>
      <c r="G159" s="237"/>
      <c r="H159" s="237"/>
      <c r="I159" s="237"/>
      <c r="J159" s="237"/>
      <c r="K159" s="237"/>
      <c r="L159" s="237"/>
    </row>
    <row r="160" spans="2:12" x14ac:dyDescent="0.3">
      <c r="B160" s="237"/>
      <c r="C160" s="237"/>
      <c r="D160" s="237"/>
      <c r="E160" s="237"/>
      <c r="F160" s="237"/>
      <c r="G160" s="237"/>
      <c r="H160" s="237"/>
      <c r="I160" s="237"/>
      <c r="J160" s="237"/>
      <c r="K160" s="237"/>
      <c r="L160" s="237"/>
    </row>
    <row r="161" spans="2:12" x14ac:dyDescent="0.3">
      <c r="B161" s="237"/>
      <c r="C161" s="237"/>
      <c r="D161" s="237"/>
      <c r="E161" s="237"/>
      <c r="F161" s="237"/>
      <c r="G161" s="237"/>
      <c r="H161" s="237"/>
      <c r="I161" s="237"/>
      <c r="J161" s="237"/>
      <c r="K161" s="237"/>
      <c r="L161" s="237"/>
    </row>
    <row r="162" spans="2:12" x14ac:dyDescent="0.3">
      <c r="B162" s="237"/>
      <c r="C162" s="237"/>
      <c r="D162" s="237"/>
      <c r="E162" s="237"/>
      <c r="F162" s="237"/>
      <c r="G162" s="237"/>
      <c r="H162" s="237"/>
      <c r="I162" s="237"/>
      <c r="J162" s="237"/>
      <c r="K162" s="237"/>
      <c r="L162" s="237"/>
    </row>
    <row r="163" spans="2:12" x14ac:dyDescent="0.3">
      <c r="B163" s="237"/>
      <c r="C163" s="237"/>
      <c r="D163" s="237"/>
      <c r="E163" s="237"/>
      <c r="F163" s="237"/>
      <c r="G163" s="237"/>
      <c r="H163" s="237"/>
      <c r="I163" s="237"/>
      <c r="J163" s="237"/>
      <c r="K163" s="237"/>
      <c r="L163" s="237"/>
    </row>
    <row r="164" spans="2:12" x14ac:dyDescent="0.3">
      <c r="B164" s="237"/>
      <c r="C164" s="237"/>
      <c r="D164" s="237"/>
      <c r="E164" s="237"/>
      <c r="F164" s="237"/>
      <c r="G164" s="237"/>
      <c r="H164" s="237"/>
      <c r="I164" s="237"/>
      <c r="J164" s="237"/>
      <c r="K164" s="237"/>
      <c r="L164" s="237"/>
    </row>
    <row r="165" spans="2:12" x14ac:dyDescent="0.3">
      <c r="B165" s="237"/>
      <c r="C165" s="237"/>
      <c r="D165" s="237"/>
      <c r="E165" s="237"/>
      <c r="F165" s="237"/>
      <c r="G165" s="237"/>
      <c r="H165" s="237"/>
      <c r="I165" s="237"/>
      <c r="J165" s="237"/>
      <c r="K165" s="237"/>
      <c r="L165" s="237"/>
    </row>
    <row r="166" spans="2:12" x14ac:dyDescent="0.3">
      <c r="B166" s="237"/>
      <c r="C166" s="237"/>
      <c r="D166" s="237"/>
      <c r="E166" s="237"/>
      <c r="F166" s="237"/>
      <c r="G166" s="237"/>
      <c r="H166" s="237"/>
      <c r="I166" s="237"/>
      <c r="J166" s="237"/>
      <c r="K166" s="237"/>
      <c r="L166" s="237"/>
    </row>
    <row r="167" spans="2:12" x14ac:dyDescent="0.3">
      <c r="B167" s="237"/>
      <c r="C167" s="237"/>
      <c r="D167" s="237"/>
      <c r="E167" s="237"/>
      <c r="F167" s="237"/>
      <c r="G167" s="237"/>
      <c r="H167" s="237"/>
      <c r="I167" s="237"/>
      <c r="J167" s="237"/>
      <c r="K167" s="237"/>
      <c r="L167" s="237"/>
    </row>
    <row r="168" spans="2:12" x14ac:dyDescent="0.3">
      <c r="B168" s="237"/>
      <c r="C168" s="237"/>
      <c r="D168" s="237"/>
      <c r="E168" s="237"/>
      <c r="F168" s="237"/>
      <c r="G168" s="237"/>
      <c r="H168" s="237"/>
      <c r="I168" s="237"/>
      <c r="J168" s="237"/>
      <c r="K168" s="237"/>
      <c r="L168" s="237"/>
    </row>
    <row r="169" spans="2:12" x14ac:dyDescent="0.3">
      <c r="B169" s="237"/>
      <c r="C169" s="237"/>
      <c r="D169" s="237"/>
      <c r="E169" s="237"/>
      <c r="F169" s="237"/>
      <c r="G169" s="237"/>
      <c r="H169" s="237"/>
      <c r="I169" s="237"/>
      <c r="J169" s="237"/>
      <c r="K169" s="237"/>
      <c r="L169" s="237"/>
    </row>
    <row r="170" spans="2:12" x14ac:dyDescent="0.3">
      <c r="B170" s="237"/>
      <c r="C170" s="237"/>
      <c r="D170" s="237"/>
      <c r="E170" s="237"/>
      <c r="F170" s="237"/>
      <c r="G170" s="237"/>
      <c r="H170" s="237"/>
      <c r="I170" s="237"/>
      <c r="J170" s="237"/>
      <c r="K170" s="237"/>
      <c r="L170" s="237"/>
    </row>
    <row r="171" spans="2:12" x14ac:dyDescent="0.3">
      <c r="B171" s="237"/>
      <c r="C171" s="237"/>
      <c r="D171" s="237"/>
      <c r="E171" s="237"/>
      <c r="F171" s="237"/>
      <c r="G171" s="237"/>
      <c r="H171" s="237"/>
      <c r="I171" s="237"/>
      <c r="J171" s="237"/>
      <c r="K171" s="237"/>
      <c r="L171" s="237"/>
    </row>
    <row r="172" spans="2:12" x14ac:dyDescent="0.3">
      <c r="B172" s="237"/>
      <c r="C172" s="237"/>
      <c r="D172" s="237"/>
      <c r="E172" s="237"/>
      <c r="F172" s="237"/>
      <c r="G172" s="237"/>
      <c r="H172" s="237"/>
      <c r="I172" s="237"/>
      <c r="J172" s="237"/>
      <c r="K172" s="237"/>
      <c r="L172" s="237"/>
    </row>
    <row r="173" spans="2:12" x14ac:dyDescent="0.3">
      <c r="B173" s="237"/>
      <c r="C173" s="237"/>
      <c r="D173" s="237"/>
      <c r="E173" s="237"/>
      <c r="F173" s="237"/>
      <c r="G173" s="237"/>
      <c r="H173" s="237"/>
      <c r="I173" s="237"/>
      <c r="J173" s="237"/>
      <c r="K173" s="237"/>
      <c r="L173" s="237"/>
    </row>
    <row r="174" spans="2:12" x14ac:dyDescent="0.3">
      <c r="B174" s="237"/>
      <c r="C174" s="237"/>
      <c r="D174" s="237"/>
      <c r="E174" s="237"/>
      <c r="F174" s="237"/>
      <c r="G174" s="237"/>
      <c r="H174" s="237"/>
      <c r="I174" s="237"/>
      <c r="J174" s="237"/>
      <c r="K174" s="237"/>
      <c r="L174" s="237"/>
    </row>
    <row r="175" spans="2:12" x14ac:dyDescent="0.3">
      <c r="B175" s="237"/>
      <c r="C175" s="237"/>
      <c r="D175" s="237"/>
      <c r="E175" s="237"/>
      <c r="F175" s="237"/>
      <c r="G175" s="237"/>
      <c r="H175" s="237"/>
      <c r="I175" s="237"/>
      <c r="J175" s="237"/>
      <c r="K175" s="237"/>
      <c r="L175" s="237"/>
    </row>
    <row r="176" spans="2:12" x14ac:dyDescent="0.3">
      <c r="B176" s="237"/>
      <c r="C176" s="237"/>
      <c r="D176" s="237"/>
      <c r="E176" s="237"/>
      <c r="F176" s="237"/>
      <c r="G176" s="237"/>
      <c r="H176" s="237"/>
      <c r="I176" s="237"/>
      <c r="J176" s="237"/>
      <c r="K176" s="237"/>
      <c r="L176" s="237"/>
    </row>
    <row r="177" spans="2:12" x14ac:dyDescent="0.3">
      <c r="B177" s="237"/>
      <c r="C177" s="237"/>
      <c r="D177" s="237"/>
      <c r="E177" s="237"/>
      <c r="F177" s="237"/>
      <c r="G177" s="237"/>
      <c r="H177" s="237"/>
      <c r="I177" s="237"/>
      <c r="J177" s="237"/>
      <c r="K177" s="237"/>
      <c r="L177" s="237"/>
    </row>
    <row r="178" spans="2:12" x14ac:dyDescent="0.3">
      <c r="B178" s="237"/>
      <c r="C178" s="237"/>
      <c r="D178" s="237"/>
      <c r="E178" s="237"/>
      <c r="F178" s="237"/>
      <c r="G178" s="237"/>
      <c r="H178" s="237"/>
      <c r="I178" s="237"/>
      <c r="J178" s="237"/>
      <c r="K178" s="237"/>
      <c r="L178" s="237"/>
    </row>
    <row r="179" spans="2:12" x14ac:dyDescent="0.3">
      <c r="B179" s="237"/>
      <c r="C179" s="237"/>
      <c r="D179" s="237"/>
      <c r="E179" s="237"/>
      <c r="F179" s="237"/>
      <c r="G179" s="237"/>
      <c r="H179" s="237"/>
      <c r="I179" s="237"/>
      <c r="J179" s="237"/>
      <c r="K179" s="237"/>
      <c r="L179" s="237"/>
    </row>
    <row r="180" spans="2:12" x14ac:dyDescent="0.3">
      <c r="B180" s="237"/>
      <c r="C180" s="237"/>
      <c r="D180" s="237"/>
      <c r="E180" s="237"/>
      <c r="F180" s="237"/>
      <c r="G180" s="237"/>
      <c r="H180" s="237"/>
      <c r="I180" s="237"/>
      <c r="J180" s="237"/>
      <c r="K180" s="237"/>
      <c r="L180" s="237"/>
    </row>
    <row r="181" spans="2:12" x14ac:dyDescent="0.3">
      <c r="B181" s="237"/>
      <c r="C181" s="237"/>
      <c r="D181" s="237"/>
      <c r="E181" s="237"/>
      <c r="F181" s="237"/>
      <c r="G181" s="237"/>
      <c r="H181" s="237"/>
      <c r="I181" s="237"/>
      <c r="J181" s="237"/>
      <c r="K181" s="237"/>
      <c r="L181" s="237"/>
    </row>
    <row r="182" spans="2:12" x14ac:dyDescent="0.3">
      <c r="B182" s="237"/>
      <c r="C182" s="237"/>
      <c r="D182" s="237"/>
      <c r="E182" s="237"/>
      <c r="F182" s="237"/>
      <c r="G182" s="237"/>
      <c r="H182" s="237"/>
      <c r="I182" s="237"/>
      <c r="J182" s="237"/>
      <c r="K182" s="237"/>
      <c r="L182" s="237"/>
    </row>
    <row r="183" spans="2:12" x14ac:dyDescent="0.3">
      <c r="B183" s="237"/>
      <c r="C183" s="237"/>
      <c r="D183" s="237"/>
      <c r="E183" s="237"/>
      <c r="F183" s="237"/>
      <c r="G183" s="237"/>
      <c r="H183" s="237"/>
      <c r="I183" s="237"/>
      <c r="J183" s="237"/>
      <c r="K183" s="237"/>
      <c r="L183" s="237"/>
    </row>
    <row r="184" spans="2:12" x14ac:dyDescent="0.3">
      <c r="B184" s="237"/>
      <c r="C184" s="237"/>
      <c r="D184" s="237"/>
      <c r="E184" s="237"/>
      <c r="F184" s="237"/>
      <c r="G184" s="237"/>
      <c r="H184" s="237"/>
      <c r="I184" s="237"/>
      <c r="J184" s="237"/>
      <c r="K184" s="237"/>
      <c r="L184" s="237"/>
    </row>
    <row r="185" spans="2:12" x14ac:dyDescent="0.3">
      <c r="B185" s="237"/>
      <c r="C185" s="237"/>
      <c r="D185" s="237"/>
      <c r="E185" s="237"/>
      <c r="F185" s="237"/>
      <c r="G185" s="237"/>
      <c r="H185" s="237"/>
      <c r="I185" s="237"/>
      <c r="J185" s="237"/>
      <c r="K185" s="237"/>
      <c r="L185" s="237"/>
    </row>
    <row r="186" spans="2:12" x14ac:dyDescent="0.3">
      <c r="B186" s="237"/>
      <c r="C186" s="237"/>
      <c r="D186" s="237"/>
      <c r="E186" s="237"/>
      <c r="F186" s="237"/>
      <c r="G186" s="237"/>
      <c r="H186" s="237"/>
      <c r="I186" s="237"/>
      <c r="J186" s="237"/>
      <c r="K186" s="237"/>
      <c r="L186" s="237"/>
    </row>
    <row r="187" spans="2:12" x14ac:dyDescent="0.3">
      <c r="B187" s="237"/>
      <c r="C187" s="237"/>
      <c r="D187" s="237"/>
      <c r="E187" s="237"/>
      <c r="F187" s="237"/>
      <c r="G187" s="237"/>
      <c r="H187" s="237"/>
      <c r="I187" s="237"/>
      <c r="J187" s="237"/>
      <c r="K187" s="237"/>
      <c r="L187" s="237"/>
    </row>
    <row r="188" spans="2:12" x14ac:dyDescent="0.3">
      <c r="B188" s="237"/>
      <c r="C188" s="237"/>
      <c r="D188" s="237"/>
      <c r="E188" s="237"/>
      <c r="F188" s="237"/>
      <c r="G188" s="237"/>
      <c r="H188" s="237"/>
      <c r="I188" s="237"/>
      <c r="J188" s="237"/>
      <c r="K188" s="237"/>
      <c r="L188" s="237"/>
    </row>
    <row r="189" spans="2:12" x14ac:dyDescent="0.3">
      <c r="B189" s="237"/>
      <c r="C189" s="237"/>
      <c r="D189" s="237"/>
      <c r="E189" s="237"/>
      <c r="F189" s="237"/>
      <c r="G189" s="237"/>
      <c r="H189" s="237"/>
      <c r="I189" s="237"/>
      <c r="J189" s="237"/>
      <c r="K189" s="237"/>
      <c r="L189" s="237"/>
    </row>
    <row r="190" spans="2:12" x14ac:dyDescent="0.3">
      <c r="B190" s="237"/>
      <c r="C190" s="237"/>
      <c r="D190" s="237"/>
      <c r="E190" s="237"/>
      <c r="F190" s="237"/>
      <c r="G190" s="237"/>
      <c r="H190" s="237"/>
      <c r="I190" s="237"/>
      <c r="J190" s="237"/>
      <c r="K190" s="237"/>
      <c r="L190" s="237"/>
    </row>
    <row r="191" spans="2:12" x14ac:dyDescent="0.3">
      <c r="B191" s="237"/>
      <c r="C191" s="237"/>
      <c r="D191" s="237"/>
      <c r="E191" s="237"/>
      <c r="F191" s="237"/>
      <c r="G191" s="237"/>
      <c r="H191" s="237"/>
      <c r="I191" s="237"/>
      <c r="J191" s="237"/>
      <c r="K191" s="237"/>
      <c r="L191" s="237"/>
    </row>
    <row r="192" spans="2:12" x14ac:dyDescent="0.3">
      <c r="B192" s="237"/>
      <c r="C192" s="237"/>
      <c r="D192" s="237"/>
      <c r="E192" s="237"/>
      <c r="F192" s="237"/>
      <c r="G192" s="237"/>
      <c r="H192" s="237"/>
      <c r="I192" s="237"/>
      <c r="J192" s="237"/>
      <c r="K192" s="237"/>
      <c r="L192" s="237"/>
    </row>
    <row r="193" spans="2:12" x14ac:dyDescent="0.3">
      <c r="B193" s="237"/>
      <c r="C193" s="237"/>
      <c r="D193" s="237"/>
      <c r="E193" s="237"/>
      <c r="F193" s="237"/>
      <c r="G193" s="237"/>
      <c r="H193" s="237"/>
      <c r="I193" s="237"/>
      <c r="J193" s="237"/>
      <c r="K193" s="237"/>
      <c r="L193" s="237"/>
    </row>
    <row r="194" spans="2:12" x14ac:dyDescent="0.3">
      <c r="B194" s="237"/>
      <c r="C194" s="237"/>
      <c r="D194" s="237"/>
      <c r="E194" s="237"/>
      <c r="F194" s="237"/>
      <c r="G194" s="237"/>
      <c r="H194" s="237"/>
      <c r="I194" s="237"/>
      <c r="J194" s="237"/>
      <c r="K194" s="237"/>
      <c r="L194" s="237"/>
    </row>
    <row r="195" spans="2:12" x14ac:dyDescent="0.3">
      <c r="B195" s="237"/>
      <c r="C195" s="237"/>
      <c r="D195" s="237"/>
      <c r="E195" s="237"/>
      <c r="F195" s="237"/>
      <c r="G195" s="237"/>
      <c r="H195" s="237"/>
      <c r="I195" s="237"/>
      <c r="J195" s="237"/>
      <c r="K195" s="237"/>
      <c r="L195" s="237"/>
    </row>
    <row r="196" spans="2:12" x14ac:dyDescent="0.3">
      <c r="B196" s="237"/>
      <c r="C196" s="237"/>
      <c r="D196" s="237"/>
      <c r="E196" s="237"/>
      <c r="F196" s="237"/>
      <c r="G196" s="237"/>
      <c r="H196" s="237"/>
      <c r="I196" s="237"/>
      <c r="J196" s="237"/>
      <c r="K196" s="237"/>
      <c r="L196" s="237"/>
    </row>
    <row r="197" spans="2:12" x14ac:dyDescent="0.3">
      <c r="B197" s="237"/>
      <c r="C197" s="237"/>
      <c r="D197" s="237"/>
      <c r="E197" s="237"/>
      <c r="F197" s="237"/>
      <c r="G197" s="237"/>
      <c r="H197" s="237"/>
      <c r="I197" s="237"/>
      <c r="J197" s="237"/>
      <c r="K197" s="237"/>
      <c r="L197" s="237"/>
    </row>
    <row r="198" spans="2:12" x14ac:dyDescent="0.3">
      <c r="B198" s="237"/>
      <c r="C198" s="237"/>
      <c r="D198" s="237"/>
      <c r="E198" s="237"/>
      <c r="F198" s="237"/>
      <c r="G198" s="237"/>
      <c r="H198" s="237"/>
      <c r="I198" s="237"/>
      <c r="J198" s="237"/>
      <c r="K198" s="237"/>
      <c r="L198" s="237"/>
    </row>
    <row r="199" spans="2:12" x14ac:dyDescent="0.3">
      <c r="B199" s="237"/>
      <c r="C199" s="237"/>
      <c r="D199" s="237"/>
      <c r="E199" s="237"/>
      <c r="F199" s="237"/>
      <c r="G199" s="237"/>
      <c r="H199" s="237"/>
      <c r="I199" s="237"/>
      <c r="J199" s="237"/>
      <c r="K199" s="237"/>
      <c r="L199" s="237"/>
    </row>
  </sheetData>
  <mergeCells count="15">
    <mergeCell ref="B9:L9"/>
    <mergeCell ref="B2:O2"/>
    <mergeCell ref="G5:H5"/>
    <mergeCell ref="J8:K8"/>
    <mergeCell ref="B8:C8"/>
    <mergeCell ref="E8:F8"/>
    <mergeCell ref="B3:G3"/>
    <mergeCell ref="B6:C6"/>
    <mergeCell ref="E6:F6"/>
    <mergeCell ref="H3:O3"/>
    <mergeCell ref="G7:H7"/>
    <mergeCell ref="J5:K5"/>
    <mergeCell ref="J6:K6"/>
    <mergeCell ref="B5:C5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149"/>
  <sheetViews>
    <sheetView topLeftCell="A76" zoomScaleNormal="100" workbookViewId="0">
      <selection activeCell="A96" sqref="A96:I114"/>
    </sheetView>
  </sheetViews>
  <sheetFormatPr defaultColWidth="8.7109375" defaultRowHeight="15" x14ac:dyDescent="0.25"/>
  <cols>
    <col min="1" max="1" width="9" customWidth="1"/>
    <col min="2" max="2" width="30.5703125" customWidth="1"/>
    <col min="3" max="3" width="34.28515625" style="3" customWidth="1"/>
    <col min="4" max="4" width="9.85546875" customWidth="1"/>
    <col min="5" max="5" width="14.5703125" style="4" customWidth="1"/>
    <col min="6" max="6" width="16.5703125" style="4" customWidth="1"/>
    <col min="7" max="7" width="11.7109375" style="5" customWidth="1"/>
    <col min="8" max="8" width="40.7109375" style="4" customWidth="1"/>
    <col min="9" max="9" width="21.140625" style="3" customWidth="1"/>
    <col min="10" max="11" width="24" customWidth="1"/>
    <col min="12" max="12" width="12" customWidth="1"/>
    <col min="13" max="13" width="24" customWidth="1"/>
  </cols>
  <sheetData>
    <row r="1" spans="1:19" ht="30" customHeight="1" x14ac:dyDescent="0.25">
      <c r="A1" s="6" t="s">
        <v>251</v>
      </c>
      <c r="B1" s="7"/>
      <c r="C1" s="7"/>
      <c r="D1" s="7"/>
      <c r="E1" s="8"/>
      <c r="F1" s="8"/>
      <c r="G1" s="9" t="s">
        <v>1</v>
      </c>
      <c r="H1" s="160">
        <f ca="1">TODAY()</f>
        <v>46210</v>
      </c>
      <c r="I1" s="10"/>
      <c r="J1" s="11"/>
      <c r="K1" s="11"/>
      <c r="L1" s="11"/>
      <c r="M1" s="11"/>
      <c r="N1" s="11"/>
      <c r="O1" s="11"/>
      <c r="P1" s="11"/>
      <c r="Q1" s="11"/>
      <c r="R1" s="11"/>
      <c r="S1" s="2"/>
    </row>
    <row r="2" spans="1:19" x14ac:dyDescent="0.25">
      <c r="A2" s="12" t="s">
        <v>156</v>
      </c>
      <c r="B2" s="12" t="s">
        <v>154</v>
      </c>
      <c r="C2" s="13" t="s">
        <v>155</v>
      </c>
      <c r="D2" s="13" t="s">
        <v>252</v>
      </c>
      <c r="E2" s="14" t="s">
        <v>253</v>
      </c>
      <c r="F2" s="14" t="s">
        <v>254</v>
      </c>
      <c r="G2" s="15" t="s">
        <v>255</v>
      </c>
      <c r="H2" s="12" t="s">
        <v>256</v>
      </c>
      <c r="I2" s="12" t="s">
        <v>163</v>
      </c>
      <c r="J2" s="11"/>
      <c r="K2" s="11"/>
      <c r="L2" s="11"/>
      <c r="M2" s="11"/>
      <c r="N2" s="11"/>
      <c r="O2" s="11"/>
      <c r="P2" s="11"/>
      <c r="Q2" s="11"/>
      <c r="R2" s="11"/>
      <c r="S2" s="2"/>
    </row>
    <row r="3" spans="1:19" ht="20.25" customHeight="1" x14ac:dyDescent="0.25">
      <c r="A3" s="16">
        <v>16</v>
      </c>
      <c r="B3" s="16" t="s">
        <v>166</v>
      </c>
      <c r="C3" s="17" t="s">
        <v>167</v>
      </c>
      <c r="D3" s="16">
        <v>6561</v>
      </c>
      <c r="E3" s="18">
        <v>6849</v>
      </c>
      <c r="F3" s="18">
        <v>25000</v>
      </c>
      <c r="G3" s="19">
        <f>INDEX(Tubex_Dashboard!$H$11:$H$56,MATCH(MRP!D3,Tubex_Dashboard!$F$11:$F$56,0))</f>
        <v>0</v>
      </c>
      <c r="H3" s="20">
        <f t="shared" ref="H3:H8" si="0">F3-G3</f>
        <v>25000</v>
      </c>
      <c r="I3" s="20" t="s">
        <v>257</v>
      </c>
      <c r="J3" s="11"/>
      <c r="K3" s="11"/>
      <c r="L3" s="11"/>
      <c r="M3" s="11"/>
      <c r="N3" s="11"/>
      <c r="O3" s="11"/>
      <c r="P3" s="11"/>
      <c r="Q3" s="11"/>
      <c r="R3" s="11"/>
    </row>
    <row r="4" spans="1:19" ht="24" customHeight="1" x14ac:dyDescent="0.25">
      <c r="A4" s="174">
        <v>25</v>
      </c>
      <c r="B4" s="174" t="s">
        <v>169</v>
      </c>
      <c r="C4" s="175" t="s">
        <v>173</v>
      </c>
      <c r="D4" s="174">
        <v>5389</v>
      </c>
      <c r="E4" s="176">
        <v>6892</v>
      </c>
      <c r="F4" s="176">
        <v>100000</v>
      </c>
      <c r="G4" s="19">
        <f>INDEX(Tubex_Dashboard!$H$11:$H$56,MATCH(MRP!D4,Tubex_Dashboard!$F$11:$F$56,0))</f>
        <v>0</v>
      </c>
      <c r="H4" s="177">
        <f t="shared" si="0"/>
        <v>100000</v>
      </c>
      <c r="I4" s="177" t="s">
        <v>171</v>
      </c>
    </row>
    <row r="5" spans="1:19" ht="20.25" customHeight="1" x14ac:dyDescent="0.25">
      <c r="A5" s="174">
        <v>25</v>
      </c>
      <c r="B5" s="174" t="s">
        <v>169</v>
      </c>
      <c r="C5" s="175" t="s">
        <v>170</v>
      </c>
      <c r="D5" s="174">
        <v>3447</v>
      </c>
      <c r="E5" s="176">
        <v>6891</v>
      </c>
      <c r="F5" s="176">
        <v>78976</v>
      </c>
      <c r="G5" s="19">
        <f>INDEX(Tubex_Dashboard!$H$11:$H$56,MATCH(MRP!D5,Tubex_Dashboard!$F$11:$F$56,0))</f>
        <v>10416</v>
      </c>
      <c r="H5" s="177">
        <f t="shared" si="0"/>
        <v>68560</v>
      </c>
      <c r="I5" s="177" t="s">
        <v>171</v>
      </c>
    </row>
    <row r="6" spans="1:19" ht="20.25" customHeight="1" x14ac:dyDescent="0.25">
      <c r="A6" s="16">
        <v>30</v>
      </c>
      <c r="B6" s="16" t="s">
        <v>180</v>
      </c>
      <c r="C6" s="17" t="s">
        <v>181</v>
      </c>
      <c r="D6" s="16">
        <v>5814</v>
      </c>
      <c r="E6" s="18">
        <v>6887</v>
      </c>
      <c r="F6" s="18">
        <v>30000</v>
      </c>
      <c r="G6" s="19">
        <f>INDEX(Tubex_Dashboard!$H$11:$H$56,MATCH(MRP!D6,Tubex_Dashboard!$F$11:$F$56,0))</f>
        <v>0</v>
      </c>
      <c r="H6" s="20">
        <f t="shared" si="0"/>
        <v>30000</v>
      </c>
      <c r="I6" s="20"/>
      <c r="J6" s="11"/>
      <c r="K6" s="11"/>
      <c r="L6" s="11"/>
      <c r="M6" s="11"/>
      <c r="N6" s="11"/>
      <c r="O6" s="11"/>
      <c r="P6" s="11"/>
      <c r="Q6" s="11"/>
      <c r="R6" s="11"/>
    </row>
    <row r="7" spans="1:19" ht="24" customHeight="1" x14ac:dyDescent="0.25">
      <c r="A7" s="182">
        <v>30</v>
      </c>
      <c r="B7" s="182" t="s">
        <v>175</v>
      </c>
      <c r="C7" s="183" t="s">
        <v>176</v>
      </c>
      <c r="D7" s="182">
        <v>6206</v>
      </c>
      <c r="E7" s="184">
        <v>6894</v>
      </c>
      <c r="F7" s="184">
        <v>174138</v>
      </c>
      <c r="G7" s="185">
        <f>INDEX(Tubex_Dashboard!$H$11:$H$100,MATCH(MRP!D7,Tubex_Dashboard!$F$11:$F$100,0))</f>
        <v>72656</v>
      </c>
      <c r="H7" s="186">
        <f t="shared" si="0"/>
        <v>101482</v>
      </c>
      <c r="I7" s="186"/>
    </row>
    <row r="8" spans="1:19" ht="15.75" customHeight="1" x14ac:dyDescent="0.25">
      <c r="A8" s="16">
        <v>35</v>
      </c>
      <c r="B8" s="16" t="s">
        <v>182</v>
      </c>
      <c r="C8" s="17" t="s">
        <v>183</v>
      </c>
      <c r="D8" s="16">
        <v>6530</v>
      </c>
      <c r="E8" s="18">
        <v>6884</v>
      </c>
      <c r="F8" s="18">
        <v>13300</v>
      </c>
      <c r="G8" s="19">
        <f>INDEX(Tubex_Dashboard!$H$11:$H$56,MATCH(MRP!D8,Tubex_Dashboard!$F$11:$F$56,0))</f>
        <v>0</v>
      </c>
      <c r="H8" s="20">
        <f t="shared" si="0"/>
        <v>13300</v>
      </c>
      <c r="I8" s="20" t="s">
        <v>258</v>
      </c>
      <c r="J8" s="11"/>
      <c r="K8" s="11"/>
      <c r="L8" s="11"/>
      <c r="M8" s="11"/>
      <c r="N8" s="11"/>
      <c r="O8" s="11"/>
      <c r="P8" s="11"/>
      <c r="Q8" s="11"/>
      <c r="R8" s="11"/>
    </row>
    <row r="9" spans="1:19" ht="24" customHeight="1" x14ac:dyDescent="0.25">
      <c r="A9" s="12"/>
      <c r="B9" s="12"/>
      <c r="C9" s="13"/>
      <c r="D9" s="13"/>
      <c r="E9" s="14" t="s">
        <v>259</v>
      </c>
      <c r="F9" s="153">
        <f>SUM(F3:F8)</f>
        <v>421414</v>
      </c>
      <c r="G9" s="153">
        <f>SUM(G3:G8)</f>
        <v>83072</v>
      </c>
      <c r="H9" s="153">
        <f>SUMIF(H3:H8, "&gt;0")</f>
        <v>338342</v>
      </c>
      <c r="I9" s="12"/>
      <c r="J9" s="11"/>
      <c r="K9" s="11"/>
      <c r="L9" s="11"/>
      <c r="M9" s="11"/>
      <c r="N9" s="11"/>
      <c r="O9" s="11"/>
      <c r="P9" s="11"/>
      <c r="Q9" s="11"/>
      <c r="R9" s="2"/>
    </row>
    <row r="10" spans="1:19" ht="24" customHeight="1" x14ac:dyDescent="0.25">
      <c r="A10" s="23" t="s">
        <v>260</v>
      </c>
      <c r="B10" s="24"/>
      <c r="C10" s="24"/>
      <c r="D10" s="24"/>
      <c r="E10" s="25"/>
      <c r="F10" s="25"/>
      <c r="G10" s="26"/>
      <c r="H10" s="25"/>
      <c r="I10" s="24"/>
      <c r="J10" s="11"/>
      <c r="K10" s="11"/>
      <c r="L10" s="11"/>
      <c r="M10" s="11"/>
      <c r="N10" s="11"/>
      <c r="O10" s="11"/>
      <c r="P10" s="11"/>
      <c r="Q10" s="11"/>
      <c r="R10" s="11"/>
      <c r="S10" s="2"/>
    </row>
    <row r="11" spans="1:19" ht="24" customHeight="1" x14ac:dyDescent="0.25">
      <c r="A11" s="12" t="s">
        <v>2</v>
      </c>
      <c r="B11" s="12" t="s">
        <v>3</v>
      </c>
      <c r="C11" s="12" t="s">
        <v>261</v>
      </c>
      <c r="D11" s="12" t="s">
        <v>5</v>
      </c>
      <c r="E11" s="14" t="s">
        <v>254</v>
      </c>
      <c r="F11" s="14" t="s">
        <v>262</v>
      </c>
      <c r="G11" s="15" t="s">
        <v>263</v>
      </c>
      <c r="H11" s="13" t="s">
        <v>264</v>
      </c>
      <c r="I11" s="12" t="s">
        <v>265</v>
      </c>
      <c r="J11" s="11"/>
      <c r="K11" s="11"/>
      <c r="L11" s="11"/>
      <c r="M11" s="11"/>
      <c r="N11" s="11"/>
      <c r="O11" s="11"/>
      <c r="P11" s="11"/>
      <c r="Q11" s="11"/>
      <c r="R11" s="11"/>
      <c r="S11" s="2"/>
    </row>
    <row r="12" spans="1:19" ht="24" hidden="1" customHeight="1" x14ac:dyDescent="0.25">
      <c r="A12" s="21">
        <v>33</v>
      </c>
      <c r="B12" s="21" t="s">
        <v>266</v>
      </c>
      <c r="C12" s="21" t="s">
        <v>267</v>
      </c>
      <c r="D12" s="21" t="s">
        <v>14</v>
      </c>
      <c r="E12" s="27">
        <f>SUMPRODUCT((TableBOM[Item ID]=A12)*TableBOM[Per 1000 Units]*(1+TableBOM[Scrap %])*SUMIF($D$3:$D$8,TableBOM[Product ID],$H$3:$H$8)/1000)</f>
        <v>0</v>
      </c>
      <c r="F12" s="27">
        <f>IFERROR(INDEX(TableInventory[Store Balance],MATCH(A12,TableInventory[Item ID],0)),0)+IFERROR(INDEX(TableInventory[Work In Process],MATCH(A12,TableInventory[Item ID],0)),0)</f>
        <v>0</v>
      </c>
      <c r="G12" s="31">
        <f t="shared" ref="G12:G43" si="1">F12-E12</f>
        <v>0</v>
      </c>
      <c r="H12" s="28" t="str">
        <f>IF(LEN(IF((COUNTIFS(TableBOM[Product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 &amp; IF((COUNTIFS(TableBOM[Product ID],$D$7,TableBOM[Item ID],$A12)&gt;0)*($H$7&gt;0),$C$7&amp;", ","") &amp; IF((COUNTIFS(TableBOM[Product ID],$D$8,TableBOM[Item ID],$A12)&gt;0)*($H$8&gt;0),$C$8&amp;", ",""))&gt;1,LEFT(IF((COUNTIFS(TableBOM[Product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 &amp; IF((COUNTIFS(TableBOM[Product ID],$D$7,TableBOM[Item ID],$A12)&gt;0)*($H$7&gt;0),$C$7&amp;", ","") &amp; IF((COUNTIFS(TableBOM[Product ID],$D$8,TableBOM[Item ID],$A12)&gt;0)*($H$8&gt;0),$C$8&amp;", ",""),LEN(IF((COUNTIFS(TableBOM[Product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 &amp; IF((COUNTIFS(TableBOM[Product ID],$D$7,TableBOM[Item ID],$A12)&gt;0)*($H$7&gt;0),$C$7&amp;", ","") &amp; IF((COUNTIFS(TableBOM[Product ID],$D$8,TableBOM[Item ID],$A12)&gt;0)*($H$8&gt;0),$C$8&amp;", ",""))-2),"")</f>
        <v/>
      </c>
      <c r="I12" s="30" t="str">
        <f t="shared" ref="I12:I24" si="2">IF(E12=0,"Not needed",IF(G12&lt;0,"SHORTAGE",IF(G12&lt;F12*0.1,"LOW","OK")))</f>
        <v>Not needed</v>
      </c>
      <c r="J12" s="11"/>
      <c r="K12" s="11"/>
      <c r="L12" s="11"/>
      <c r="M12" s="11"/>
      <c r="N12" s="11"/>
      <c r="O12" s="11"/>
      <c r="P12" s="11"/>
      <c r="Q12" s="11"/>
      <c r="R12" s="11"/>
      <c r="S12" s="2"/>
    </row>
    <row r="13" spans="1:19" hidden="1" x14ac:dyDescent="0.25">
      <c r="A13" s="21">
        <v>31</v>
      </c>
      <c r="B13" s="21" t="s">
        <v>266</v>
      </c>
      <c r="C13" s="21" t="s">
        <v>13</v>
      </c>
      <c r="D13" s="21" t="s">
        <v>14</v>
      </c>
      <c r="E13" s="27">
        <f>SUMPRODUCT((TableBOM[Item ID]=A13)*TableBOM[Per 1000 Units]*(1+TableBOM[Scrap %])*SUMIF($D$3:$D$8,TableBOM[Product ID],$H$3:$H$8)/1000)</f>
        <v>0</v>
      </c>
      <c r="F13" s="27">
        <f>IFERROR(INDEX(TableInventory[Store Balance],MATCH(A13,TableInventory[Item ID],0)),0)+IFERROR(INDEX(TableInventory[Work In Process],MATCH(A13,TableInventory[Item ID],0)),0)</f>
        <v>71.5</v>
      </c>
      <c r="G13" s="31">
        <f t="shared" si="1"/>
        <v>71.5</v>
      </c>
      <c r="H13" s="28" t="str">
        <f>IF(LEN(IF((COUNTIFS(TableBOM[Product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 &amp; IF((COUNTIFS(TableBOM[Product ID],$D$7,TableBOM[Item ID],$A13)&gt;0)*($H$7&gt;0),$C$7&amp;", ","") &amp; IF((COUNTIFS(TableBOM[Product ID],$D$8,TableBOM[Item ID],$A13)&gt;0)*($H$8&gt;0),$C$8&amp;", ",""))&gt;1,LEFT(IF((COUNTIFS(TableBOM[Product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 &amp; IF((COUNTIFS(TableBOM[Product ID],$D$7,TableBOM[Item ID],$A13)&gt;0)*($H$7&gt;0),$C$7&amp;", ","") &amp; IF((COUNTIFS(TableBOM[Product ID],$D$8,TableBOM[Item ID],$A13)&gt;0)*($H$8&gt;0),$C$8&amp;", ",""),LEN(IF((COUNTIFS(TableBOM[Product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 &amp; IF((COUNTIFS(TableBOM[Product ID],$D$7,TableBOM[Item ID],$A13)&gt;0)*($H$7&gt;0),$C$7&amp;", ","") &amp; IF((COUNTIFS(TableBOM[Product ID],$D$8,TableBOM[Item ID],$A13)&gt;0)*($H$8&gt;0),$C$8&amp;", ",""))-2),"")</f>
        <v/>
      </c>
      <c r="I13" s="30" t="str">
        <f t="shared" si="2"/>
        <v>Not needed</v>
      </c>
      <c r="J13" s="11"/>
      <c r="K13" s="11"/>
      <c r="L13" s="11"/>
      <c r="M13" s="11"/>
      <c r="N13" s="11"/>
      <c r="O13" s="11"/>
      <c r="P13" s="11"/>
      <c r="Q13" s="11"/>
      <c r="R13" s="11"/>
      <c r="S13" s="2"/>
    </row>
    <row r="14" spans="1:19" x14ac:dyDescent="0.25">
      <c r="A14" s="21">
        <v>2799</v>
      </c>
      <c r="B14" s="21" t="s">
        <v>266</v>
      </c>
      <c r="C14" s="21" t="s">
        <v>15</v>
      </c>
      <c r="D14" s="21" t="s">
        <v>14</v>
      </c>
      <c r="E14" s="27">
        <f>SUMPRODUCT((TableBOM[Item ID]=A14)*TableBOM[Per 1000 Units]*(1+TableBOM[Scrap %])*SUMIF($D$3:$D$8,TableBOM[Product ID],$H$3:$H$8)/1000)</f>
        <v>69.269475</v>
      </c>
      <c r="F14" s="27">
        <f>IFERROR(INDEX(TableInventory[Store Balance],MATCH(A14,TableInventory[Item ID],0)),0)+IFERROR(INDEX(TableInventory[Work In Process],MATCH(A14,TableInventory[Item ID],0)),0)</f>
        <v>88</v>
      </c>
      <c r="G14" s="31">
        <f t="shared" si="1"/>
        <v>18.730525</v>
      </c>
      <c r="H14" s="28" t="str">
        <f>IF(LEN(IF((COUNTIFS(TableBOM[Product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 &amp; IF((COUNTIFS(TableBOM[Product ID],$D$7,TableBOM[Item ID],$A14)&gt;0)*($H$7&gt;0),$C$7&amp;", ","") &amp; IF((COUNTIFS(TableBOM[Product ID],$D$8,TableBOM[Item ID],$A14)&gt;0)*($H$8&gt;0),$C$8&amp;", ",""))&gt;1,LEFT(IF((COUNTIFS(TableBOM[Product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 &amp; IF((COUNTIFS(TableBOM[Product ID],$D$7,TableBOM[Item ID],$A14)&gt;0)*($H$7&gt;0),$C$7&amp;", ","") &amp; IF((COUNTIFS(TableBOM[Product ID],$D$8,TableBOM[Item ID],$A14)&gt;0)*($H$8&gt;0),$C$8&amp;", ",""),LEN(IF((COUNTIFS(TableBOM[Product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 &amp; IF((COUNTIFS(TableBOM[Product ID],$D$7,TableBOM[Item ID],$A14)&gt;0)*($H$7&gt;0),$C$7&amp;", ","") &amp; IF((COUNTIFS(TableBOM[Product ID],$D$8,TableBOM[Item ID],$A14)&gt;0)*($H$8&gt;0),$C$8&amp;", ",""))-2),"")</f>
        <v>ECZEMUS OINTMENT 0.03% 10G</v>
      </c>
      <c r="I14" s="30" t="str">
        <f t="shared" si="2"/>
        <v>OK</v>
      </c>
      <c r="J14" s="11"/>
      <c r="K14" s="11"/>
      <c r="L14" s="11"/>
      <c r="M14" s="11"/>
      <c r="N14" s="11"/>
      <c r="O14" s="11"/>
      <c r="P14" s="11"/>
      <c r="Q14" s="11"/>
      <c r="R14" s="11"/>
      <c r="S14" s="2"/>
    </row>
    <row r="15" spans="1:19" hidden="1" x14ac:dyDescent="0.25">
      <c r="A15" s="21">
        <v>25</v>
      </c>
      <c r="B15" s="21" t="s">
        <v>266</v>
      </c>
      <c r="C15" s="21" t="s">
        <v>268</v>
      </c>
      <c r="D15" s="21" t="s">
        <v>14</v>
      </c>
      <c r="E15" s="32">
        <f>SUMPRODUCT((TableBOM[Item ID]=A15)*TableBOM[Per 1000 Units]*(1+TableBOM[Scrap %])*SUMIF($D$3:$D$8,TableBOM[Product ID],$H$3:$H$8)/1000)</f>
        <v>0</v>
      </c>
      <c r="F15" s="32">
        <f>IFERROR(INDEX(TableInventory[Store Balance],MATCH(A15,TableInventory[Item ID],0)),0)+IFERROR(INDEX(TableInventory[Work In Process],MATCH(A15,TableInventory[Item ID],0)),0)</f>
        <v>0</v>
      </c>
      <c r="G15" s="163">
        <f t="shared" si="1"/>
        <v>0</v>
      </c>
      <c r="H15" s="28" t="str">
        <f>IF(LEN(IF((COUNTIFS(TableBOM[Product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 &amp; IF((COUNTIFS(TableBOM[Product ID],$D$7,TableBOM[Item ID],$A15)&gt;0)*($H$7&gt;0),$C$7&amp;", ","") &amp; IF((COUNTIFS(TableBOM[Product ID],$D$8,TableBOM[Item ID],$A15)&gt;0)*($H$8&gt;0),$C$8&amp;", ",""))&gt;1,LEFT(IF((COUNTIFS(TableBOM[Product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 &amp; IF((COUNTIFS(TableBOM[Product ID],$D$7,TableBOM[Item ID],$A15)&gt;0)*($H$7&gt;0),$C$7&amp;", ","") &amp; IF((COUNTIFS(TableBOM[Product ID],$D$8,TableBOM[Item ID],$A15)&gt;0)*($H$8&gt;0),$C$8&amp;", ",""),LEN(IF((COUNTIFS(TableBOM[Product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 &amp; IF((COUNTIFS(TableBOM[Product ID],$D$7,TableBOM[Item ID],$A15)&gt;0)*($H$7&gt;0),$C$7&amp;", ","") &amp; IF((COUNTIFS(TableBOM[Product ID],$D$8,TableBOM[Item ID],$A15)&gt;0)*($H$8&gt;0),$C$8&amp;", ",""))-2),"")</f>
        <v/>
      </c>
      <c r="I15" s="30" t="str">
        <f t="shared" si="2"/>
        <v>Not needed</v>
      </c>
      <c r="J15" s="11"/>
      <c r="K15" s="11"/>
      <c r="L15" s="11"/>
      <c r="M15" s="11"/>
      <c r="N15" s="11"/>
      <c r="O15" s="11"/>
      <c r="P15" s="11"/>
      <c r="Q15" s="11"/>
      <c r="R15" s="11"/>
      <c r="S15" s="2"/>
    </row>
    <row r="16" spans="1:19" hidden="1" x14ac:dyDescent="0.25">
      <c r="A16" s="21">
        <v>22</v>
      </c>
      <c r="B16" s="21" t="s">
        <v>266</v>
      </c>
      <c r="C16" s="21" t="s">
        <v>269</v>
      </c>
      <c r="D16" s="21" t="s">
        <v>14</v>
      </c>
      <c r="E16" s="32">
        <f>SUMPRODUCT((TableBOM[Item ID]=A16)*TableBOM[Per 1000 Units]*(1+TableBOM[Scrap %])*SUMIF($D$3:$D$8,TableBOM[Product ID],$H$3:$H$8)/1000)</f>
        <v>0</v>
      </c>
      <c r="F16" s="32">
        <f>IFERROR(INDEX(TableInventory[Store Balance],MATCH(A16,TableInventory[Item ID],0)),0)+IFERROR(INDEX(TableInventory[Work In Process],MATCH(A16,TableInventory[Item ID],0)),0)</f>
        <v>0</v>
      </c>
      <c r="G16" s="163">
        <f t="shared" si="1"/>
        <v>0</v>
      </c>
      <c r="H16" s="28" t="str">
        <f>IF(LEN(IF((COUNTIFS(TableBOM[Product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 &amp; IF((COUNTIFS(TableBOM[Product ID],$D$7,TableBOM[Item ID],$A16)&gt;0)*($H$7&gt;0),$C$7&amp;", ","") &amp; IF((COUNTIFS(TableBOM[Product ID],$D$8,TableBOM[Item ID],$A16)&gt;0)*($H$8&gt;0),$C$8&amp;", ",""))&gt;1,LEFT(IF((COUNTIFS(TableBOM[Product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 &amp; IF((COUNTIFS(TableBOM[Product ID],$D$7,TableBOM[Item ID],$A16)&gt;0)*($H$7&gt;0),$C$7&amp;", ","") &amp; IF((COUNTIFS(TableBOM[Product ID],$D$8,TableBOM[Item ID],$A16)&gt;0)*($H$8&gt;0),$C$8&amp;", ",""),LEN(IF((COUNTIFS(TableBOM[Product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 &amp; IF((COUNTIFS(TableBOM[Product ID],$D$7,TableBOM[Item ID],$A16)&gt;0)*($H$7&gt;0),$C$7&amp;", ","") &amp; IF((COUNTIFS(TableBOM[Product ID],$D$8,TableBOM[Item ID],$A16)&gt;0)*($H$8&gt;0),$C$8&amp;", ",""))-2),"")</f>
        <v/>
      </c>
      <c r="I16" s="30" t="str">
        <f t="shared" si="2"/>
        <v>Not needed</v>
      </c>
    </row>
    <row r="17" spans="1:19" hidden="1" x14ac:dyDescent="0.25">
      <c r="A17" s="21">
        <v>19</v>
      </c>
      <c r="B17" s="21" t="s">
        <v>266</v>
      </c>
      <c r="C17" s="21" t="s">
        <v>16</v>
      </c>
      <c r="D17" s="21" t="s">
        <v>14</v>
      </c>
      <c r="E17" s="27">
        <f>SUMPRODUCT((TableBOM[Item ID]=A17)*TableBOM[Per 1000 Units]*(1+TableBOM[Scrap %])*SUMIF($D$3:$D$8,TableBOM[Product ID],$H$3:$H$8)/1000)</f>
        <v>0</v>
      </c>
      <c r="F17" s="27">
        <f>IFERROR(INDEX(TableInventory[Store Balance],MATCH(A17,TableInventory[Item ID],0)),0)+IFERROR(INDEX(TableInventory[Work In Process],MATCH(A17,TableInventory[Item ID],0)),0)</f>
        <v>425</v>
      </c>
      <c r="G17" s="31">
        <f t="shared" si="1"/>
        <v>425</v>
      </c>
      <c r="H17" s="28" t="str">
        <f>IF(LEN(IF((COUNTIFS(TableBOM[Product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 &amp; IF((COUNTIFS(TableBOM[Product ID],$D$7,TableBOM[Item ID],$A17)&gt;0)*($H$7&gt;0),$C$7&amp;", ","") &amp; IF((COUNTIFS(TableBOM[Product ID],$D$8,TableBOM[Item ID],$A17)&gt;0)*($H$8&gt;0),$C$8&amp;", ",""))&gt;1,LEFT(IF((COUNTIFS(TableBOM[Product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 &amp; IF((COUNTIFS(TableBOM[Product ID],$D$7,TableBOM[Item ID],$A17)&gt;0)*($H$7&gt;0),$C$7&amp;", ","") &amp; IF((COUNTIFS(TableBOM[Product ID],$D$8,TableBOM[Item ID],$A17)&gt;0)*($H$8&gt;0),$C$8&amp;", ",""),LEN(IF((COUNTIFS(TableBOM[Product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 &amp; IF((COUNTIFS(TableBOM[Product ID],$D$7,TableBOM[Item ID],$A17)&gt;0)*($H$7&gt;0),$C$7&amp;", ","") &amp; IF((COUNTIFS(TableBOM[Product ID],$D$8,TableBOM[Item ID],$A17)&gt;0)*($H$8&gt;0),$C$8&amp;", ",""))-2),"")</f>
        <v/>
      </c>
      <c r="I17" s="30" t="str">
        <f t="shared" si="2"/>
        <v>Not needed</v>
      </c>
    </row>
    <row r="18" spans="1:19" hidden="1" x14ac:dyDescent="0.25">
      <c r="A18" s="21">
        <v>4179</v>
      </c>
      <c r="B18" s="21" t="s">
        <v>266</v>
      </c>
      <c r="C18" s="21" t="s">
        <v>17</v>
      </c>
      <c r="D18" s="21" t="s">
        <v>14</v>
      </c>
      <c r="E18" s="27">
        <f>SUMPRODUCT((TableBOM[Item ID]=A18)*TableBOM[Per 1000 Units]*(1+TableBOM[Scrap %])*SUMIF($D$3:$D$8,TableBOM[Product ID],$H$3:$H$8)/1000)</f>
        <v>0</v>
      </c>
      <c r="F18" s="27">
        <f>IFERROR(INDEX(TableInventory[Store Balance],MATCH(A18,TableInventory[Item ID],0)),0)+IFERROR(INDEX(TableInventory[Work In Process],MATCH(A18,TableInventory[Item ID],0)),0)</f>
        <v>132</v>
      </c>
      <c r="G18" s="31">
        <f t="shared" si="1"/>
        <v>132</v>
      </c>
      <c r="H18" s="28" t="str">
        <f>IF(LEN(IF((COUNTIFS(TableBOM[Product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ID],$D$8,TableBOM[Item ID],$A18)&gt;0)*($H$8&gt;0),$C$8&amp;", ",""))&gt;1,LEFT(IF((COUNTIFS(TableBOM[Product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ID],$D$8,TableBOM[Item ID],$A18)&gt;0)*($H$8&gt;0),$C$8&amp;", ",""),LEN(IF((COUNTIFS(TableBOM[Product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ID],$D$8,TableBOM[Item ID],$A18)&gt;0)*($H$8&gt;0),$C$8&amp;", ",""))-2),"")</f>
        <v/>
      </c>
      <c r="I18" s="30" t="str">
        <f t="shared" si="2"/>
        <v>Not needed</v>
      </c>
    </row>
    <row r="19" spans="1:19" x14ac:dyDescent="0.25">
      <c r="A19" s="21">
        <v>6</v>
      </c>
      <c r="B19" s="21" t="s">
        <v>266</v>
      </c>
      <c r="C19" s="21" t="s">
        <v>18</v>
      </c>
      <c r="D19" s="21" t="s">
        <v>14</v>
      </c>
      <c r="E19" s="27">
        <f>SUMPRODUCT((TableBOM[Item ID]=A19)*TableBOM[Per 1000 Units]*(1+TableBOM[Scrap %])*SUMIF($D$3:$D$8,TableBOM[Product ID],$H$3:$H$8)/1000)</f>
        <v>1097.1064719999999</v>
      </c>
      <c r="F19" s="27">
        <f>IFERROR(INDEX(TableInventory[Store Balance],MATCH(A19,TableInventory[Item ID],0)),0)+IFERROR(INDEX(TableInventory[Work In Process],MATCH(A19,TableInventory[Item ID],0)),0)</f>
        <v>325</v>
      </c>
      <c r="G19" s="31">
        <f t="shared" si="1"/>
        <v>-772.10647199999994</v>
      </c>
      <c r="H19" s="28" t="str">
        <f>IF(LEN(IF((COUNTIFS(TableBOM[Product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ID],$D$8,TableBOM[Item ID],$A19)&gt;0)*($H$8&gt;0),$C$8&amp;", ",""))&gt;1,LEFT(IF((COUNTIFS(TableBOM[Product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ID],$D$8,TableBOM[Item ID],$A19)&gt;0)*($H$8&gt;0),$C$8&amp;", ",""),LEN(IF((COUNTIFS(TableBOM[Product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ID],$D$8,TableBOM[Item ID],$A19)&gt;0)*($H$8&gt;0),$C$8&amp;", ",""))-2),"")</f>
        <v>S-45, S 43 25MM</v>
      </c>
      <c r="I19" s="30" t="str">
        <f t="shared" si="2"/>
        <v>SHORTAGE</v>
      </c>
    </row>
    <row r="20" spans="1:19" hidden="1" x14ac:dyDescent="0.25">
      <c r="A20" s="21">
        <v>10</v>
      </c>
      <c r="B20" s="21" t="s">
        <v>266</v>
      </c>
      <c r="C20" s="21" t="s">
        <v>270</v>
      </c>
      <c r="D20" s="21" t="s">
        <v>14</v>
      </c>
      <c r="E20" s="27">
        <f>SUMPRODUCT((TableBOM[Item ID]=A20)*TableBOM[Per 1000 Units]*(1+TableBOM[Scrap %])*SUMIF($D$3:$D$8,TableBOM[Product ID],$H$3:$H$8)/1000)</f>
        <v>0</v>
      </c>
      <c r="F20" s="27">
        <f>IFERROR(INDEX(TableInventory[Store Balance],MATCH(A20,TableInventory[Item ID],0)),0)+IFERROR(INDEX(TableInventory[Work In Process],MATCH(A20,TableInventory[Item ID],0)),0)</f>
        <v>0</v>
      </c>
      <c r="G20" s="31">
        <f t="shared" si="1"/>
        <v>0</v>
      </c>
      <c r="H20" s="28" t="str">
        <f>IF(LEN(IF((COUNTIFS(TableBOM[Product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ID],$D$8,TableBOM[Item ID],$A20)&gt;0)*($H$8&gt;0),$C$8&amp;", ",""))&gt;1,LEFT(IF((COUNTIFS(TableBOM[Product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ID],$D$8,TableBOM[Item ID],$A20)&gt;0)*($H$8&gt;0),$C$8&amp;", ",""),LEN(IF((COUNTIFS(TableBOM[Product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ID],$D$8,TableBOM[Item ID],$A20)&gt;0)*($H$8&gt;0),$C$8&amp;", ",""))-2),"")</f>
        <v/>
      </c>
      <c r="I20" s="30" t="str">
        <f t="shared" si="2"/>
        <v>Not needed</v>
      </c>
    </row>
    <row r="21" spans="1:19" hidden="1" x14ac:dyDescent="0.25">
      <c r="A21" s="21">
        <v>2</v>
      </c>
      <c r="B21" s="21" t="s">
        <v>266</v>
      </c>
      <c r="C21" s="21" t="s">
        <v>271</v>
      </c>
      <c r="D21" s="21" t="s">
        <v>14</v>
      </c>
      <c r="E21" s="27">
        <f>SUMPRODUCT((TableBOM[Item ID]=A21)*TableBOM[Per 1000 Units]*(1+TableBOM[Scrap %])*SUMIF($D$3:$D$8,TableBOM[Product ID],$H$3:$H$8)/1000)</f>
        <v>0</v>
      </c>
      <c r="F21" s="27">
        <f>IFERROR(INDEX(TableInventory[Store Balance],MATCH(A21,TableInventory[Item ID],0)),0)+IFERROR(INDEX(TableInventory[Work In Process],MATCH(A21,TableInventory[Item ID],0)),0)</f>
        <v>0</v>
      </c>
      <c r="G21" s="31">
        <f t="shared" si="1"/>
        <v>0</v>
      </c>
      <c r="H21" s="28" t="str">
        <f>IF(LEN(IF((COUNTIFS(TableBOM[Product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ID],$D$8,TableBOM[Item ID],$A21)&gt;0)*($H$8&gt;0),$C$8&amp;", ",""))&gt;1,LEFT(IF((COUNTIFS(TableBOM[Product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ID],$D$8,TableBOM[Item ID],$A21)&gt;0)*($H$8&gt;0),$C$8&amp;", ",""),LEN(IF((COUNTIFS(TableBOM[Product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ID],$D$8,TableBOM[Item ID],$A21)&gt;0)*($H$8&gt;0),$C$8&amp;", ",""))-2),"")</f>
        <v/>
      </c>
      <c r="I21" s="30" t="str">
        <f t="shared" si="2"/>
        <v>Not needed</v>
      </c>
    </row>
    <row r="22" spans="1:19" x14ac:dyDescent="0.25">
      <c r="A22" s="21">
        <v>406</v>
      </c>
      <c r="B22" s="21" t="s">
        <v>266</v>
      </c>
      <c r="C22" s="21" t="s">
        <v>19</v>
      </c>
      <c r="D22" s="21" t="s">
        <v>14</v>
      </c>
      <c r="E22" s="27">
        <f>SUMPRODUCT((TableBOM[Item ID]=A22)*TableBOM[Per 1000 Units]*(1+TableBOM[Scrap %])*SUMIF($D$3:$D$8,TableBOM[Product ID],$H$3:$H$8)/1000)</f>
        <v>1157.0416</v>
      </c>
      <c r="F22" s="32">
        <f>IFERROR(INDEX(TableInventory[Store Balance],MATCH(A22,TableInventory[Item ID],0)),0)+IFERROR(INDEX(TableInventory[Work In Process],MATCH(A22,TableInventory[Item ID],0)),0)</f>
        <v>298</v>
      </c>
      <c r="G22" s="31">
        <f t="shared" si="1"/>
        <v>-859.04160000000002</v>
      </c>
      <c r="H22" s="28" t="str">
        <f>IF(LEN(IF((COUNTIFS(TableBOM[Product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ID],$D$8,TableBOM[Item ID],$A22)&gt;0)*($H$8&gt;0),$C$8&amp;", ",""))&gt;1,LEFT(IF((COUNTIFS(TableBOM[Product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ID],$D$8,TableBOM[Item ID],$A22)&gt;0)*($H$8&gt;0),$C$8&amp;", ",""),LEN(IF((COUNTIFS(TableBOM[Product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ID],$D$8,TableBOM[Item ID],$A22)&gt;0)*($H$8&gt;0),$C$8&amp;", ",""))-2),"")</f>
        <v>VINCE NURTURAL, HELLO HAIR COLOR</v>
      </c>
      <c r="I22" s="30" t="str">
        <f t="shared" si="2"/>
        <v>SHORTAGE</v>
      </c>
      <c r="J22" s="11"/>
      <c r="K22" s="11"/>
      <c r="L22" s="11"/>
      <c r="M22" s="11"/>
      <c r="N22" s="11"/>
      <c r="O22" s="11"/>
      <c r="P22" s="11"/>
      <c r="Q22" s="11"/>
      <c r="R22" s="11"/>
      <c r="S22" s="2"/>
    </row>
    <row r="23" spans="1:19" hidden="1" x14ac:dyDescent="0.25">
      <c r="A23" s="21">
        <v>6961</v>
      </c>
      <c r="B23" s="21" t="s">
        <v>266</v>
      </c>
      <c r="C23" s="21" t="s">
        <v>272</v>
      </c>
      <c r="D23" s="21" t="s">
        <v>14</v>
      </c>
      <c r="E23" s="32">
        <f>SUMPRODUCT((TableBOM[Item ID]=A23)*TableBOM[Per 1000 Units]*(1+TableBOM[Scrap %])*SUMIF($D$3:$D$8,TableBOM[Product ID],$H$3:$H$8)/1000)</f>
        <v>0</v>
      </c>
      <c r="F23" s="32">
        <f>IFERROR(INDEX(TableInventory[Store Balance],MATCH(A23,TableInventory[Item ID],0)),0)+IFERROR(INDEX(TableInventory[Work In Process],MATCH(A23,TableInventory[Item ID],0)),0)</f>
        <v>0</v>
      </c>
      <c r="G23" s="163">
        <f t="shared" si="1"/>
        <v>0</v>
      </c>
      <c r="H23" s="28" t="str">
        <f>IF(LEN(IF((COUNTIFS(TableBOM[Product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ID],$D$8,TableBOM[Item ID],$A23)&gt;0)*($H$8&gt;0),$C$8&amp;", ",""))&gt;1,LEFT(IF((COUNTIFS(TableBOM[Product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ID],$D$8,TableBOM[Item ID],$A23)&gt;0)*($H$8&gt;0),$C$8&amp;", ",""),LEN(IF((COUNTIFS(TableBOM[Product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ID],$D$8,TableBOM[Item ID],$A23)&gt;0)*($H$8&gt;0),$C$8&amp;", ",""))-2),"")</f>
        <v/>
      </c>
      <c r="I23" s="30" t="str">
        <f t="shared" si="2"/>
        <v>Not needed</v>
      </c>
      <c r="J23" s="11"/>
      <c r="K23" s="11"/>
      <c r="L23" s="11"/>
      <c r="M23" s="11"/>
      <c r="N23" s="11"/>
      <c r="O23" s="11"/>
      <c r="P23" s="11"/>
      <c r="Q23" s="11"/>
      <c r="R23" s="11"/>
      <c r="S23" s="2"/>
    </row>
    <row r="24" spans="1:19" hidden="1" x14ac:dyDescent="0.25">
      <c r="A24" s="21">
        <v>3935</v>
      </c>
      <c r="B24" s="21" t="s">
        <v>266</v>
      </c>
      <c r="C24" s="21" t="s">
        <v>20</v>
      </c>
      <c r="D24" s="21" t="s">
        <v>14</v>
      </c>
      <c r="E24" s="27">
        <f>SUMPRODUCT((TableBOM[Item ID]=A24)*TableBOM[Per 1000 Units]*(1+TableBOM[Scrap %])*SUMIF($D$3:$D$8,TableBOM[Product ID],$H$3:$H$8)/1000)</f>
        <v>0</v>
      </c>
      <c r="F24" s="27">
        <f>IFERROR(INDEX(TableInventory[Store Balance],MATCH(A24,TableInventory[Item ID],0)),0)+IFERROR(INDEX(TableInventory[Work In Process],MATCH(A24,TableInventory[Item ID],0)),0)</f>
        <v>444</v>
      </c>
      <c r="G24" s="31">
        <f t="shared" si="1"/>
        <v>444</v>
      </c>
      <c r="H24" s="28" t="str">
        <f>IF(LEN(IF((COUNTIFS(TableBOM[Product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ID],$D$8,TableBOM[Item ID],$A24)&gt;0)*($H$8&gt;0),$C$8&amp;", ",""))&gt;1,LEFT(IF((COUNTIFS(TableBOM[Product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ID],$D$8,TableBOM[Item ID],$A24)&gt;0)*($H$8&gt;0),$C$8&amp;", ",""),LEN(IF((COUNTIFS(TableBOM[Product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ID],$D$8,TableBOM[Item ID],$A24)&gt;0)*($H$8&gt;0),$C$8&amp;", ",""))-2),"")</f>
        <v/>
      </c>
      <c r="I24" s="30" t="str">
        <f t="shared" si="2"/>
        <v>Not needed</v>
      </c>
      <c r="J24" s="11"/>
      <c r="K24" s="11"/>
      <c r="L24" s="11"/>
      <c r="M24" s="11"/>
      <c r="N24" s="11"/>
      <c r="O24" s="11"/>
      <c r="P24" s="11"/>
      <c r="Q24" s="11"/>
      <c r="R24" s="11"/>
      <c r="S24" s="2"/>
    </row>
    <row r="25" spans="1:19" x14ac:dyDescent="0.25">
      <c r="A25" s="21">
        <v>3503</v>
      </c>
      <c r="B25" s="21" t="s">
        <v>266</v>
      </c>
      <c r="C25" s="21" t="s">
        <v>21</v>
      </c>
      <c r="D25" s="21" t="s">
        <v>14</v>
      </c>
      <c r="E25" s="27">
        <f>SUMPRODUCT((TableBOM[Item ID]=A25)*TableBOM[Per 1000 Units]*(1+TableBOM[Scrap %])*SUMIF($D$3:$D$8,TableBOM[Product ID],$H$3:$H$8)/1000)</f>
        <v>187.55660000000003</v>
      </c>
      <c r="F25" s="27">
        <f>IFERROR(INDEX(TableInventory[Store Balance],MATCH(A25,TableInventory[Item ID],0)),0)+IFERROR(INDEX(TableInventory[Work In Process],MATCH(A25,TableInventory[Item ID],0)),0)</f>
        <v>328</v>
      </c>
      <c r="G25" s="31">
        <f t="shared" si="1"/>
        <v>140.44339999999997</v>
      </c>
      <c r="H25" s="28" t="str">
        <f>IF(LEN(IF((COUNTIFS(TableBOM[Product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ID],$D$8,TableBOM[Item ID],$A25)&gt;0)*($H$8&gt;0),$C$8&amp;", ",""))&gt;1,LEFT(IF((COUNTIFS(TableBOM[Product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ID],$D$8,TableBOM[Item ID],$A25)&gt;0)*($H$8&gt;0),$C$8&amp;", ",""),LEN(IF((COUNTIFS(TableBOM[Product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ID],$D$8,TableBOM[Item ID],$A25)&gt;0)*($H$8&gt;0),$C$8&amp;", ",""))-2),"")</f>
        <v>V- HC BROWN</v>
      </c>
      <c r="I25" s="20" t="s">
        <v>258</v>
      </c>
    </row>
    <row r="26" spans="1:19" hidden="1" x14ac:dyDescent="0.25">
      <c r="A26" s="21">
        <v>184</v>
      </c>
      <c r="B26" s="21" t="s">
        <v>273</v>
      </c>
      <c r="C26" s="21" t="s">
        <v>274</v>
      </c>
      <c r="D26" s="21" t="s">
        <v>14</v>
      </c>
      <c r="E26" s="27">
        <f>SUMPRODUCT((TableBOM[Item ID]=A26)*TableBOM[Per 1000 Units]*(1+TableBOM[Scrap %])*SUMIF($D$3:$D$8,TableBOM[Product ID],$H$3:$H$8)/1000)</f>
        <v>0</v>
      </c>
      <c r="F26" s="27">
        <f>IFERROR(INDEX(TableInventory[Store Balance],MATCH(A26,TableInventory[Item ID],0)),0)+IFERROR(INDEX(TableInventory[Work In Process],MATCH(A26,TableInventory[Item ID],0)),0)</f>
        <v>0</v>
      </c>
      <c r="G26" s="31">
        <f t="shared" si="1"/>
        <v>0</v>
      </c>
      <c r="H26" s="28" t="str">
        <f>IF(LEN(IF((COUNTIFS(TableBOM[Product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ID],$D$8,TableBOM[Item ID],$A26)&gt;0)*($H$8&gt;0),$C$8&amp;", ",""))&gt;1,LEFT(IF((COUNTIFS(TableBOM[Product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ID],$D$8,TableBOM[Item ID],$A26)&gt;0)*($H$8&gt;0),$C$8&amp;", ",""),LEN(IF((COUNTIFS(TableBOM[Product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ID],$D$8,TableBOM[Item ID],$A26)&gt;0)*($H$8&gt;0),$C$8&amp;", ",""))-2),"")</f>
        <v/>
      </c>
      <c r="I26" s="30" t="str">
        <f t="shared" ref="I26:I44" si="3">IF(E26=0,"Not needed",IF(G26&lt;0,"SHORTAGE",IF(G26&lt;F26*0.1,"LOW","OK")))</f>
        <v>Not needed</v>
      </c>
      <c r="J26" s="11"/>
      <c r="K26" s="11"/>
      <c r="L26" s="11"/>
      <c r="M26" s="11"/>
      <c r="N26" s="11"/>
      <c r="O26" s="11"/>
      <c r="P26" s="11"/>
      <c r="Q26" s="11"/>
      <c r="R26" s="11"/>
      <c r="S26" s="2"/>
    </row>
    <row r="27" spans="1:19" ht="24" customHeight="1" x14ac:dyDescent="0.25">
      <c r="A27" s="21">
        <v>185</v>
      </c>
      <c r="B27" s="21" t="s">
        <v>273</v>
      </c>
      <c r="C27" s="21" t="s">
        <v>25</v>
      </c>
      <c r="D27" s="21" t="s">
        <v>26</v>
      </c>
      <c r="E27" s="27">
        <f>SUMPRODUCT((TableBOM[Item ID]=A27)*TableBOM[Per 1000 Units]*(1+TableBOM[Scrap %])*SUMIF($D$3:$D$8,TableBOM[Product ID],$H$3:$H$8)/1000)</f>
        <v>64.977959200000001</v>
      </c>
      <c r="F27" s="27">
        <f>IFERROR(INDEX(TableInventory[Store Balance],MATCH(A27,TableInventory[Item ID],0)),0)+IFERROR(INDEX(TableInventory[Work In Process],MATCH(A27,TableInventory[Item ID],0)),0)</f>
        <v>50</v>
      </c>
      <c r="G27" s="31">
        <f t="shared" si="1"/>
        <v>-14.977959200000001</v>
      </c>
      <c r="H27" s="28" t="str">
        <f>IF(LEN(IF((COUNTIFS(TableBOM[Product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ID],$D$8,TableBOM[Item ID],$A27)&gt;0)*($H$8&gt;0),$C$8&amp;", ",""))&gt;1,LEFT(IF((COUNTIFS(TableBOM[Product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ID],$D$8,TableBOM[Item ID],$A27)&gt;0)*($H$8&gt;0),$C$8&amp;", ",""),LEN(IF((COUNTIFS(TableBOM[Product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ID],$D$8,TableBOM[Item ID],$A27)&gt;0)*($H$8&gt;0),$C$8&amp;", ",""))-2),"")</f>
        <v>ECZEMUS OINTMENT 0.03% 10G, S-45, S 43 25MM</v>
      </c>
      <c r="I27" s="30" t="str">
        <f t="shared" si="3"/>
        <v>SHORTAGE</v>
      </c>
      <c r="J27" s="11"/>
      <c r="K27" s="11"/>
      <c r="L27" s="11"/>
      <c r="M27" s="11"/>
      <c r="N27" s="11"/>
      <c r="O27" s="11"/>
      <c r="P27" s="11"/>
      <c r="Q27" s="11"/>
      <c r="R27" s="11"/>
      <c r="S27" s="2"/>
    </row>
    <row r="28" spans="1:19" hidden="1" x14ac:dyDescent="0.25">
      <c r="A28" s="21">
        <v>188</v>
      </c>
      <c r="B28" s="21" t="s">
        <v>273</v>
      </c>
      <c r="C28" s="21" t="s">
        <v>275</v>
      </c>
      <c r="D28" s="21" t="s">
        <v>14</v>
      </c>
      <c r="E28" s="27">
        <f>SUMPRODUCT((TableBOM[Item ID]=A28)*TableBOM[Per 1000 Units]*(1+TableBOM[Scrap %])*SUMIF($D$3:$D$8,TableBOM[Product ID],$H$3:$H$8)/1000)</f>
        <v>0</v>
      </c>
      <c r="F28" s="27">
        <f>IFERROR(INDEX(TableInventory[Store Balance],MATCH(A28,TableInventory[Item ID],0)),0)+IFERROR(INDEX(TableInventory[Work In Process],MATCH(A28,TableInventory[Item ID],0)),0)</f>
        <v>91</v>
      </c>
      <c r="G28" s="31">
        <f t="shared" si="1"/>
        <v>91</v>
      </c>
      <c r="H28" s="28" t="str">
        <f>IF(LEN(IF((COUNTIFS(TableBOM[Product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ID],$D$8,TableBOM[Item ID],$A28)&gt;0)*($H$8&gt;0),$C$8&amp;", ",""))&gt;1,LEFT(IF((COUNTIFS(TableBOM[Product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ID],$D$8,TableBOM[Item ID],$A28)&gt;0)*($H$8&gt;0),$C$8&amp;", ",""),LEN(IF((COUNTIFS(TableBOM[Product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ID],$D$8,TableBOM[Item ID],$A28)&gt;0)*($H$8&gt;0),$C$8&amp;", ",""))-2),"")</f>
        <v/>
      </c>
      <c r="I28" s="30" t="str">
        <f t="shared" si="3"/>
        <v>Not needed</v>
      </c>
      <c r="J28" s="11"/>
      <c r="K28" s="11"/>
      <c r="L28" s="11"/>
      <c r="M28" s="11"/>
      <c r="N28" s="11"/>
      <c r="O28" s="11"/>
      <c r="P28" s="11"/>
      <c r="Q28" s="11"/>
      <c r="R28" s="11"/>
      <c r="S28" s="2"/>
    </row>
    <row r="29" spans="1:19" hidden="1" x14ac:dyDescent="0.25">
      <c r="A29" s="21">
        <v>1065</v>
      </c>
      <c r="B29" s="21" t="s">
        <v>273</v>
      </c>
      <c r="C29" s="21" t="s">
        <v>276</v>
      </c>
      <c r="D29" s="21" t="s">
        <v>14</v>
      </c>
      <c r="E29" s="27">
        <f>SUMPRODUCT((TableBOM[Item ID]=A29)*TableBOM[Per 1000 Units]*(1+TableBOM[Scrap %])*SUMIF($D$3:$D$8,TableBOM[Product ID],$H$3:$H$8)/1000)</f>
        <v>0</v>
      </c>
      <c r="F29" s="27">
        <f>IFERROR(INDEX(TableInventory[Store Balance],MATCH(A29,TableInventory[Item ID],0)),0)+IFERROR(INDEX(TableInventory[Work In Process],MATCH(A29,TableInventory[Item ID],0)),0)</f>
        <v>0</v>
      </c>
      <c r="G29" s="31">
        <f t="shared" si="1"/>
        <v>0</v>
      </c>
      <c r="H29" s="28" t="str">
        <f>IF(LEN(IF((COUNTIFS(TableBOM[Product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ID],$D$8,TableBOM[Item ID],$A29)&gt;0)*($H$8&gt;0),$C$8&amp;", ",""))&gt;1,LEFT(IF((COUNTIFS(TableBOM[Product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ID],$D$8,TableBOM[Item ID],$A29)&gt;0)*($H$8&gt;0),$C$8&amp;", ",""),LEN(IF((COUNTIFS(TableBOM[Product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ID],$D$8,TableBOM[Item ID],$A29)&gt;0)*($H$8&gt;0),$C$8&amp;", ",""))-2),"")</f>
        <v/>
      </c>
      <c r="I29" s="30" t="str">
        <f t="shared" si="3"/>
        <v>Not needed</v>
      </c>
      <c r="J29" s="11"/>
      <c r="K29" s="11"/>
      <c r="L29" s="11"/>
      <c r="M29" s="11"/>
      <c r="N29" s="11"/>
      <c r="O29" s="11"/>
      <c r="P29" s="11"/>
      <c r="Q29" s="11"/>
      <c r="R29" s="11"/>
      <c r="S29" s="2"/>
    </row>
    <row r="30" spans="1:19" ht="24" customHeight="1" x14ac:dyDescent="0.25">
      <c r="A30" s="21">
        <v>4155</v>
      </c>
      <c r="B30" s="21" t="s">
        <v>273</v>
      </c>
      <c r="C30" s="21" t="s">
        <v>277</v>
      </c>
      <c r="D30" s="21" t="s">
        <v>14</v>
      </c>
      <c r="E30" s="27">
        <f>SUMPRODUCT((TableBOM[Item ID]=A30)*TableBOM[Per 1000 Units]*(1+TableBOM[Scrap %])*SUMIF($D$3:$D$8,TableBOM[Product ID],$H$3:$H$8)/1000)</f>
        <v>43.361956000000006</v>
      </c>
      <c r="F30" s="27">
        <f>IFERROR(INDEX(TableInventory[Store Balance],MATCH(A30,TableInventory[Item ID],0)),0)+IFERROR(INDEX(TableInventory[Work In Process],MATCH(A30,TableInventory[Item ID],0)),0)</f>
        <v>125</v>
      </c>
      <c r="G30" s="31">
        <f t="shared" si="1"/>
        <v>81.638043999999994</v>
      </c>
      <c r="H30" s="28" t="str">
        <f>IF(LEN(IF((COUNTIFS(TableBOM[Product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ID],$D$8,TableBOM[Item ID],$A30)&gt;0)*($H$8&gt;0),$C$8&amp;", ",""))&gt;1,LEFT(IF((COUNTIFS(TableBOM[Product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ID],$D$8,TableBOM[Item ID],$A30)&gt;0)*($H$8&gt;0),$C$8&amp;", ",""),LEN(IF((COUNTIFS(TableBOM[Product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ID],$D$8,TableBOM[Item ID],$A30)&gt;0)*($H$8&gt;0),$C$8&amp;", ",""))-2),"")</f>
        <v>VINCE NURTURAL, HELLO HAIR COLOR, V- HC BROWN</v>
      </c>
      <c r="I30" s="30" t="str">
        <f t="shared" si="3"/>
        <v>OK</v>
      </c>
      <c r="J30" s="11"/>
      <c r="K30" s="11"/>
      <c r="L30" s="11"/>
      <c r="M30" s="11"/>
      <c r="N30" s="11"/>
      <c r="O30" s="11"/>
      <c r="P30" s="11"/>
      <c r="Q30" s="11"/>
      <c r="R30" s="11"/>
      <c r="S30" s="2"/>
    </row>
    <row r="31" spans="1:19" hidden="1" x14ac:dyDescent="0.25">
      <c r="A31" s="21">
        <v>170</v>
      </c>
      <c r="B31" s="21" t="s">
        <v>278</v>
      </c>
      <c r="C31" s="21" t="s">
        <v>31</v>
      </c>
      <c r="D31" s="21" t="s">
        <v>14</v>
      </c>
      <c r="E31" s="27">
        <f>SUMPRODUCT((TableBOM[Item ID]=A31)*TableBOM[Per 1000 Units]*(1+TableBOM[Scrap %])*SUMIF($D$3:$D$8,TableBOM[Product ID],$H$3:$H$8)/1000)</f>
        <v>0</v>
      </c>
      <c r="F31" s="27">
        <f>IFERROR(INDEX(TableInventory[Store Balance],MATCH(A31,TableInventory[Item ID],0)),0)+IFERROR(INDEX(TableInventory[Work In Process],MATCH(A31,TableInventory[Item ID],0)),0)</f>
        <v>0</v>
      </c>
      <c r="G31" s="31">
        <f t="shared" si="1"/>
        <v>0</v>
      </c>
      <c r="H31" s="28" t="str">
        <f>IF(LEN(IF((COUNTIFS(TableBOM[Product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ID],$D$8,TableBOM[Item ID],$A31)&gt;0)*($H$8&gt;0),$C$8&amp;", ",""))&gt;1,LEFT(IF((COUNTIFS(TableBOM[Product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ID],$D$8,TableBOM[Item ID],$A31)&gt;0)*($H$8&gt;0),$C$8&amp;", ",""),LEN(IF((COUNTIFS(TableBOM[Product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ID],$D$8,TableBOM[Item ID],$A31)&gt;0)*($H$8&gt;0),$C$8&amp;", ",""))-2),"")</f>
        <v/>
      </c>
      <c r="I31" s="30" t="str">
        <f t="shared" si="3"/>
        <v>Not needed</v>
      </c>
      <c r="J31" s="11"/>
      <c r="K31" s="11"/>
      <c r="L31" s="11"/>
      <c r="M31" s="11"/>
      <c r="N31" s="11"/>
      <c r="O31" s="11"/>
      <c r="P31" s="11"/>
      <c r="Q31" s="11"/>
      <c r="R31" s="11"/>
      <c r="S31" s="2"/>
    </row>
    <row r="32" spans="1:19" hidden="1" x14ac:dyDescent="0.25">
      <c r="A32" s="21">
        <v>175</v>
      </c>
      <c r="B32" s="21" t="s">
        <v>278</v>
      </c>
      <c r="C32" s="21" t="s">
        <v>32</v>
      </c>
      <c r="D32" s="21" t="s">
        <v>14</v>
      </c>
      <c r="E32" s="27">
        <f>SUMPRODUCT((TableBOM[Item ID]=A32)*TableBOM[Per 1000 Units]*(1+TableBOM[Scrap %])*SUMIF($D$3:$D$8,TableBOM[Product ID],$H$3:$H$8)/1000)</f>
        <v>0</v>
      </c>
      <c r="F32" s="27">
        <f>IFERROR(INDEX(TableInventory[Store Balance],MATCH(A32,TableInventory[Item ID],0)),0)+IFERROR(INDEX(TableInventory[Work In Process],MATCH(A32,TableInventory[Item ID],0)),0)</f>
        <v>30</v>
      </c>
      <c r="G32" s="31">
        <f t="shared" si="1"/>
        <v>30</v>
      </c>
      <c r="H32" s="28" t="str">
        <f>IF(LEN(IF((COUNTIFS(TableBOM[Product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ID],$D$8,TableBOM[Item ID],$A32)&gt;0)*($H$8&gt;0),$C$8&amp;", ",""))&gt;1,LEFT(IF((COUNTIFS(TableBOM[Product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ID],$D$8,TableBOM[Item ID],$A32)&gt;0)*($H$8&gt;0),$C$8&amp;", ",""),LEN(IF((COUNTIFS(TableBOM[Product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ID],$D$8,TableBOM[Item ID],$A32)&gt;0)*($H$8&gt;0),$C$8&amp;", ",""))-2),"")</f>
        <v/>
      </c>
      <c r="I32" s="30" t="str">
        <f t="shared" si="3"/>
        <v>Not needed</v>
      </c>
      <c r="J32" s="11"/>
      <c r="K32" s="11"/>
      <c r="L32" s="11"/>
      <c r="M32" s="11"/>
      <c r="N32" s="11"/>
      <c r="O32" s="11"/>
      <c r="P32" s="11"/>
      <c r="Q32" s="11"/>
      <c r="R32" s="11"/>
      <c r="S32" s="2"/>
    </row>
    <row r="33" spans="1:19" hidden="1" x14ac:dyDescent="0.25">
      <c r="A33" s="21">
        <v>192</v>
      </c>
      <c r="B33" s="21" t="s">
        <v>278</v>
      </c>
      <c r="C33" s="21" t="s">
        <v>33</v>
      </c>
      <c r="D33" s="21" t="s">
        <v>14</v>
      </c>
      <c r="E33" s="27">
        <f>SUMPRODUCT((TableBOM[Item ID]=A33)*TableBOM[Per 1000 Units]*(1+TableBOM[Scrap %])*SUMIF($D$3:$D$8,TableBOM[Product ID],$H$3:$H$8)/1000)</f>
        <v>0</v>
      </c>
      <c r="F33" s="27">
        <f>IFERROR(INDEX(TableInventory[Store Balance],MATCH(A33,TableInventory[Item ID],0)),0)+IFERROR(INDEX(TableInventory[Work In Process],MATCH(A33,TableInventory[Item ID],0)),0)</f>
        <v>50</v>
      </c>
      <c r="G33" s="31">
        <f t="shared" si="1"/>
        <v>50</v>
      </c>
      <c r="H33" s="28" t="str">
        <f>IF(LEN(IF((COUNTIFS(TableBOM[Product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ID],$D$8,TableBOM[Item ID],$A33)&gt;0)*($H$8&gt;0),$C$8&amp;", ",""))&gt;1,LEFT(IF((COUNTIFS(TableBOM[Product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ID],$D$8,TableBOM[Item ID],$A33)&gt;0)*($H$8&gt;0),$C$8&amp;", ",""),LEN(IF((COUNTIFS(TableBOM[Product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ID],$D$8,TableBOM[Item ID],$A33)&gt;0)*($H$8&gt;0),$C$8&amp;", ",""))-2),"")</f>
        <v/>
      </c>
      <c r="I33" s="30" t="str">
        <f t="shared" si="3"/>
        <v>Not needed</v>
      </c>
      <c r="J33" s="11"/>
      <c r="K33" s="11"/>
      <c r="L33" s="11"/>
      <c r="M33" s="11"/>
      <c r="N33" s="11"/>
      <c r="O33" s="11"/>
      <c r="P33" s="11"/>
      <c r="Q33" s="11"/>
      <c r="R33" s="11"/>
      <c r="S33" s="2"/>
    </row>
    <row r="34" spans="1:19" ht="36" customHeight="1" x14ac:dyDescent="0.25">
      <c r="A34" s="21">
        <v>3595</v>
      </c>
      <c r="B34" s="21" t="s">
        <v>278</v>
      </c>
      <c r="C34" s="21" t="s">
        <v>34</v>
      </c>
      <c r="D34" s="21" t="s">
        <v>14</v>
      </c>
      <c r="E34" s="27">
        <f>SUMPRODUCT((TableBOM[Item ID]=A34)*TableBOM[Per 1000 Units]*(1+TableBOM[Scrap %])*SUMIF($D$3:$D$8,TableBOM[Product ID],$H$3:$H$8)/1000)</f>
        <v>229.559594</v>
      </c>
      <c r="F34" s="27">
        <f>IFERROR(INDEX(TableInventory[Store Balance],MATCH(A34,TableInventory[Item ID],0)),0)+IFERROR(INDEX(TableInventory[Work In Process],MATCH(A34,TableInventory[Item ID],0)),0)</f>
        <v>150</v>
      </c>
      <c r="G34" s="31">
        <f t="shared" si="1"/>
        <v>-79.559594000000004</v>
      </c>
      <c r="H34" s="28" t="str">
        <f>IF(LEN(IF((COUNTIFS(TableBOM[Product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ID],$D$8,TableBOM[Item ID],$A34)&gt;0)*($H$8&gt;0),$C$8&amp;", ",""))&gt;1,LEFT(IF((COUNTIFS(TableBOM[Product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ID],$D$8,TableBOM[Item ID],$A34)&gt;0)*($H$8&gt;0),$C$8&amp;", ",""),LEN(IF((COUNTIFS(TableBOM[Product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ID],$D$8,TableBOM[Item ID],$A34)&gt;0)*($H$8&gt;0),$C$8&amp;", ",""))-2),"")</f>
        <v>ECZEMUS OINTMENT 0.03% 10G, S-45, S 43 25MM, VINCE NURTURAL, HELLO HAIR COLOR, V- HC BROWN</v>
      </c>
      <c r="I34" s="30" t="str">
        <f t="shared" si="3"/>
        <v>SHORTAGE</v>
      </c>
      <c r="J34" s="11"/>
      <c r="K34" s="11"/>
      <c r="L34" s="11"/>
      <c r="M34" s="11"/>
      <c r="N34" s="11"/>
      <c r="O34" s="11"/>
      <c r="P34" s="11"/>
      <c r="Q34" s="11"/>
      <c r="R34" s="11"/>
      <c r="S34" s="2"/>
    </row>
    <row r="35" spans="1:19" hidden="1" x14ac:dyDescent="0.25">
      <c r="A35" s="21">
        <v>3869</v>
      </c>
      <c r="B35" s="21" t="s">
        <v>278</v>
      </c>
      <c r="C35" s="21" t="s">
        <v>35</v>
      </c>
      <c r="D35" s="21" t="s">
        <v>14</v>
      </c>
      <c r="E35" s="27">
        <f>SUMPRODUCT((TableBOM[Item ID]=A35)*TableBOM[Per 1000 Units]*(1+TableBOM[Scrap %])*SUMIF($D$3:$D$8,TableBOM[Product ID],$H$3:$H$8)/1000)</f>
        <v>0</v>
      </c>
      <c r="F35" s="27">
        <f>IFERROR(INDEX(TableInventory[Store Balance],MATCH(A35,TableInventory[Item ID],0)),0)+IFERROR(INDEX(TableInventory[Work In Process],MATCH(A35,TableInventory[Item ID],0)),0)</f>
        <v>60</v>
      </c>
      <c r="G35" s="31">
        <f t="shared" si="1"/>
        <v>60</v>
      </c>
      <c r="H35" s="28" t="str">
        <f>IF(LEN(IF((COUNTIFS(TableBOM[Product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ID],$D$8,TableBOM[Item ID],$A35)&gt;0)*($H$8&gt;0),$C$8&amp;", ",""))&gt;1,LEFT(IF((COUNTIFS(TableBOM[Product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ID],$D$8,TableBOM[Item ID],$A35)&gt;0)*($H$8&gt;0),$C$8&amp;", ",""),LEN(IF((COUNTIFS(TableBOM[Product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ID],$D$8,TableBOM[Item ID],$A35)&gt;0)*($H$8&gt;0),$C$8&amp;", ",""))-2),"")</f>
        <v/>
      </c>
      <c r="I35" s="30" t="str">
        <f t="shared" si="3"/>
        <v>Not needed</v>
      </c>
      <c r="J35" s="11"/>
      <c r="K35" s="11"/>
      <c r="L35" s="11"/>
      <c r="M35" s="11"/>
      <c r="N35" s="11"/>
      <c r="O35" s="11"/>
      <c r="P35" s="11"/>
      <c r="Q35" s="11"/>
      <c r="R35" s="11"/>
      <c r="S35" s="2"/>
    </row>
    <row r="36" spans="1:19" hidden="1" x14ac:dyDescent="0.25">
      <c r="A36" s="21">
        <v>4156</v>
      </c>
      <c r="B36" s="21" t="s">
        <v>278</v>
      </c>
      <c r="C36" s="21" t="s">
        <v>36</v>
      </c>
      <c r="D36" s="21" t="s">
        <v>14</v>
      </c>
      <c r="E36" s="27">
        <f>SUMPRODUCT((TableBOM[Item ID]=A36)*TableBOM[Per 1000 Units]*(1+TableBOM[Scrap %])*SUMIF($D$3:$D$8,TableBOM[Product ID],$H$3:$H$8)/1000)</f>
        <v>0</v>
      </c>
      <c r="F36" s="27">
        <f>IFERROR(INDEX(TableInventory[Store Balance],MATCH(A36,TableInventory[Item ID],0)),0)+IFERROR(INDEX(TableInventory[Work In Process],MATCH(A36,TableInventory[Item ID],0)),0)</f>
        <v>0</v>
      </c>
      <c r="G36" s="31">
        <f t="shared" si="1"/>
        <v>0</v>
      </c>
      <c r="H36" s="28" t="str">
        <f>IF(LEN(IF((COUNTIFS(TableBOM[Product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ID],$D$8,TableBOM[Item ID],$A36)&gt;0)*($H$8&gt;0),$C$8&amp;", ",""))&gt;1,LEFT(IF((COUNTIFS(TableBOM[Product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ID],$D$8,TableBOM[Item ID],$A36)&gt;0)*($H$8&gt;0),$C$8&amp;", ",""),LEN(IF((COUNTIFS(TableBOM[Product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ID],$D$8,TableBOM[Item ID],$A36)&gt;0)*($H$8&gt;0),$C$8&amp;", ",""))-2),"")</f>
        <v/>
      </c>
      <c r="I36" s="30" t="str">
        <f t="shared" si="3"/>
        <v>Not needed</v>
      </c>
    </row>
    <row r="37" spans="1:19" hidden="1" x14ac:dyDescent="0.25">
      <c r="A37" s="21">
        <v>4157</v>
      </c>
      <c r="B37" s="21" t="s">
        <v>278</v>
      </c>
      <c r="C37" s="21" t="s">
        <v>37</v>
      </c>
      <c r="D37" s="21" t="s">
        <v>14</v>
      </c>
      <c r="E37" s="27">
        <f>SUMPRODUCT((TableBOM[Item ID]=A37)*TableBOM[Per 1000 Units]*(1+TableBOM[Scrap %])*SUMIF($D$3:$D$8,TableBOM[Product ID],$H$3:$H$8)/1000)</f>
        <v>0</v>
      </c>
      <c r="F37" s="27">
        <f>IFERROR(INDEX(TableInventory[Store Balance],MATCH(A37,TableInventory[Item ID],0)),0)+IFERROR(INDEX(TableInventory[Work In Process],MATCH(A37,TableInventory[Item ID],0)),0)</f>
        <v>240</v>
      </c>
      <c r="G37" s="31">
        <f t="shared" si="1"/>
        <v>240</v>
      </c>
      <c r="H37" s="28" t="str">
        <f>IF(LEN(IF((COUNTIFS(TableBOM[Product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ID],$D$8,TableBOM[Item ID],$A37)&gt;0)*($H$8&gt;0),$C$8&amp;", ",""))&gt;1,LEFT(IF((COUNTIFS(TableBOM[Product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ID],$D$8,TableBOM[Item ID],$A37)&gt;0)*($H$8&gt;0),$C$8&amp;", ",""),LEN(IF((COUNTIFS(TableBOM[Product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ID],$D$8,TableBOM[Item ID],$A37)&gt;0)*($H$8&gt;0),$C$8&amp;", ",""))-2),"")</f>
        <v/>
      </c>
      <c r="I37" s="30" t="str">
        <f t="shared" si="3"/>
        <v>Not needed</v>
      </c>
    </row>
    <row r="38" spans="1:19" hidden="1" x14ac:dyDescent="0.25">
      <c r="A38" s="21">
        <v>5895</v>
      </c>
      <c r="B38" s="21" t="s">
        <v>278</v>
      </c>
      <c r="C38" s="21" t="s">
        <v>38</v>
      </c>
      <c r="D38" s="21" t="s">
        <v>14</v>
      </c>
      <c r="E38" s="27">
        <f>SUMPRODUCT((TableBOM[Item ID]=A38)*TableBOM[Per 1000 Units]*(1+TableBOM[Scrap %])*SUMIF($D$3:$D$8,TableBOM[Product ID],$H$3:$H$8)/1000)</f>
        <v>0</v>
      </c>
      <c r="F38" s="27">
        <f>IFERROR(INDEX(TableInventory[Store Balance],MATCH(A38,TableInventory[Item ID],0)),0)+IFERROR(INDEX(TableInventory[Work In Process],MATCH(A38,TableInventory[Item ID],0)),0)</f>
        <v>50</v>
      </c>
      <c r="G38" s="31">
        <f t="shared" si="1"/>
        <v>50</v>
      </c>
      <c r="H38" s="28" t="str">
        <f>IF(LEN(IF((COUNTIFS(TableBOM[Product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ID],$D$8,TableBOM[Item ID],$A38)&gt;0)*($H$8&gt;0),$C$8&amp;", ",""))&gt;1,LEFT(IF((COUNTIFS(TableBOM[Product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ID],$D$8,TableBOM[Item ID],$A38)&gt;0)*($H$8&gt;0),$C$8&amp;", ",""),LEN(IF((COUNTIFS(TableBOM[Product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ID],$D$8,TableBOM[Item ID],$A38)&gt;0)*($H$8&gt;0),$C$8&amp;", ",""))-2),"")</f>
        <v/>
      </c>
      <c r="I38" s="30" t="str">
        <f t="shared" si="3"/>
        <v>Not needed</v>
      </c>
      <c r="J38" s="11"/>
      <c r="K38" s="11"/>
      <c r="L38" s="11"/>
      <c r="M38" s="11"/>
      <c r="N38" s="11"/>
      <c r="O38" s="11"/>
      <c r="P38" s="11"/>
      <c r="Q38" s="11"/>
      <c r="R38" s="11"/>
      <c r="S38" s="2"/>
    </row>
    <row r="39" spans="1:19" hidden="1" x14ac:dyDescent="0.25">
      <c r="A39" s="21">
        <v>5974</v>
      </c>
      <c r="B39" s="21" t="s">
        <v>278</v>
      </c>
      <c r="C39" s="21" t="s">
        <v>39</v>
      </c>
      <c r="D39" s="21" t="s">
        <v>26</v>
      </c>
      <c r="E39" s="27">
        <f>SUMPRODUCT((TableBOM[Item ID]=A39)*TableBOM[Per 1000 Units]*(1+TableBOM[Scrap %])*SUMIF($D$3:$D$8,TableBOM[Product ID],$H$3:$H$8)/1000)</f>
        <v>0</v>
      </c>
      <c r="F39" s="27">
        <f>IFERROR(INDEX(TableInventory[Store Balance],MATCH(A39,TableInventory[Item ID],0)),0)+IFERROR(INDEX(TableInventory[Work In Process],MATCH(A39,TableInventory[Item ID],0)),0)</f>
        <v>50</v>
      </c>
      <c r="G39" s="31">
        <f t="shared" si="1"/>
        <v>50</v>
      </c>
      <c r="H39" s="28" t="str">
        <f>IF(LEN(IF((COUNTIFS(TableBOM[Product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ID],$D$8,TableBOM[Item ID],$A39)&gt;0)*($H$8&gt;0),$C$8&amp;", ",""))&gt;1,LEFT(IF((COUNTIFS(TableBOM[Product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ID],$D$8,TableBOM[Item ID],$A39)&gt;0)*($H$8&gt;0),$C$8&amp;", ",""),LEN(IF((COUNTIFS(TableBOM[Product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ID],$D$8,TableBOM[Item ID],$A39)&gt;0)*($H$8&gt;0),$C$8&amp;", ",""))-2),"")</f>
        <v/>
      </c>
      <c r="I39" s="30" t="str">
        <f t="shared" si="3"/>
        <v>Not needed</v>
      </c>
    </row>
    <row r="40" spans="1:19" hidden="1" x14ac:dyDescent="0.25">
      <c r="A40" s="21">
        <v>177</v>
      </c>
      <c r="B40" s="21" t="s">
        <v>278</v>
      </c>
      <c r="C40" s="21" t="s">
        <v>40</v>
      </c>
      <c r="D40" s="21" t="s">
        <v>14</v>
      </c>
      <c r="E40" s="27">
        <f>SUMPRODUCT((TableBOM[Item ID]=A40)*TableBOM[Per 1000 Units]*(1+TableBOM[Scrap %])*SUMIF($D$3:$D$8,TableBOM[Product ID],$H$3:$H$8)/1000)</f>
        <v>0</v>
      </c>
      <c r="F40" s="27">
        <f>IFERROR(INDEX(TableInventory[Store Balance],MATCH(A40,TableInventory[Item ID],0)),0)+IFERROR(INDEX(TableInventory[Work In Process],MATCH(A40,TableInventory[Item ID],0)),0)</f>
        <v>450</v>
      </c>
      <c r="G40" s="31">
        <f t="shared" si="1"/>
        <v>450</v>
      </c>
      <c r="H40" s="28" t="str">
        <f>IF(LEN(IF((COUNTIFS(TableBOM[Product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ID],$D$8,TableBOM[Item ID],$A40)&gt;0)*($H$8&gt;0),$C$8&amp;", ",""))&gt;1,LEFT(IF((COUNTIFS(TableBOM[Product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ID],$D$8,TableBOM[Item ID],$A40)&gt;0)*($H$8&gt;0),$C$8&amp;", ",""),LEN(IF((COUNTIFS(TableBOM[Product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ID],$D$8,TableBOM[Item ID],$A40)&gt;0)*($H$8&gt;0),$C$8&amp;", ",""))-2),"")</f>
        <v/>
      </c>
      <c r="I40" s="30" t="str">
        <f t="shared" si="3"/>
        <v>Not needed</v>
      </c>
    </row>
    <row r="41" spans="1:19" hidden="1" x14ac:dyDescent="0.25">
      <c r="A41" s="21">
        <v>6132</v>
      </c>
      <c r="B41" s="21" t="s">
        <v>278</v>
      </c>
      <c r="C41" s="21" t="s">
        <v>41</v>
      </c>
      <c r="D41" s="21" t="s">
        <v>14</v>
      </c>
      <c r="E41" s="27">
        <f>SUMPRODUCT((TableBOM[Item ID]=A41)*TableBOM[Per 1000 Units]*(1+TableBOM[Scrap %])*SUMIF($D$3:$D$8,TableBOM[Product ID],$H$3:$H$8)/1000)</f>
        <v>0</v>
      </c>
      <c r="F41" s="27">
        <f>IFERROR(INDEX(TableInventory[Store Balance],MATCH(A41,TableInventory[Item ID],0)),0)+IFERROR(INDEX(TableInventory[Work In Process],MATCH(A41,TableInventory[Item ID],0)),0)</f>
        <v>60</v>
      </c>
      <c r="G41" s="31">
        <f t="shared" si="1"/>
        <v>60</v>
      </c>
      <c r="H41" s="28" t="str">
        <f>IF(LEN(IF((COUNTIFS(TableBOM[Product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ID],$D$8,TableBOM[Item ID],$A41)&gt;0)*($H$8&gt;0),$C$8&amp;", ",""))&gt;1,LEFT(IF((COUNTIFS(TableBOM[Product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ID],$D$8,TableBOM[Item ID],$A41)&gt;0)*($H$8&gt;0),$C$8&amp;", ",""),LEN(IF((COUNTIFS(TableBOM[Product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ID],$D$8,TableBOM[Item ID],$A41)&gt;0)*($H$8&gt;0),$C$8&amp;", ",""))-2),"")</f>
        <v/>
      </c>
      <c r="I41" s="30" t="str">
        <f t="shared" si="3"/>
        <v>Not needed</v>
      </c>
    </row>
    <row r="42" spans="1:19" x14ac:dyDescent="0.25">
      <c r="A42" s="21">
        <v>186</v>
      </c>
      <c r="B42" s="21" t="s">
        <v>279</v>
      </c>
      <c r="C42" s="21" t="s">
        <v>43</v>
      </c>
      <c r="D42" s="21" t="s">
        <v>14</v>
      </c>
      <c r="E42" s="27">
        <f>SUMPRODUCT((TableBOM[Item ID]=A42)*TableBOM[Per 1000 Units]*(1+TableBOM[Scrap %])*SUMIF($D$3:$D$8,TableBOM[Product ID],$H$3:$H$8)/1000)</f>
        <v>35.216456000000008</v>
      </c>
      <c r="F42" s="27">
        <f>IFERROR(INDEX(TableInventory[Store Balance],MATCH(A42,TableInventory[Item ID],0)),0)+IFERROR(INDEX(TableInventory[Work In Process],MATCH(A42,TableInventory[Item ID],0)),0)</f>
        <v>75</v>
      </c>
      <c r="G42" s="31">
        <f t="shared" si="1"/>
        <v>39.783543999999992</v>
      </c>
      <c r="H42" s="28" t="str">
        <f>IF(LEN(IF((COUNTIFS(TableBOM[Product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ID],$D$8,TableBOM[Item ID],$A42)&gt;0)*($H$8&gt;0),$C$8&amp;", ",""))&gt;1,LEFT(IF((COUNTIFS(TableBOM[Product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ID],$D$8,TableBOM[Item ID],$A42)&gt;0)*($H$8&gt;0),$C$8&amp;", ",""),LEN(IF((COUNTIFS(TableBOM[Product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ID],$D$8,TableBOM[Item ID],$A42)&gt;0)*($H$8&gt;0),$C$8&amp;", ",""))-2),"")</f>
        <v>VINCE NURTURAL, HELLO HAIR COLOR</v>
      </c>
      <c r="I42" s="30" t="str">
        <f t="shared" si="3"/>
        <v>OK</v>
      </c>
    </row>
    <row r="43" spans="1:19" ht="24" customHeight="1" x14ac:dyDescent="0.25">
      <c r="A43" s="21">
        <v>194</v>
      </c>
      <c r="B43" s="21" t="s">
        <v>280</v>
      </c>
      <c r="C43" s="21" t="s">
        <v>45</v>
      </c>
      <c r="D43" s="21" t="s">
        <v>14</v>
      </c>
      <c r="E43" s="27">
        <f>SUMPRODUCT((TableBOM[Item ID]=A43)*TableBOM[Per 1000 Units]*(1+TableBOM[Scrap %])*SUMIF($D$3:$D$8,TableBOM[Product ID],$H$3:$H$8)/1000)</f>
        <v>2.3356907640000006</v>
      </c>
      <c r="F43" s="27">
        <f>IFERROR(INDEX(TableInventory[Store Balance],MATCH(A43,TableInventory[Item ID],0)),0)+IFERROR(INDEX(TableInventory[Work In Process],MATCH(A43,TableInventory[Item ID],0)),0)</f>
        <v>20</v>
      </c>
      <c r="G43" s="31">
        <f t="shared" si="1"/>
        <v>17.664309236000001</v>
      </c>
      <c r="H43" s="28" t="str">
        <f>IF(LEN(IF((COUNTIFS(TableBOM[Product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ID],$D$8,TableBOM[Item ID],$A43)&gt;0)*($H$8&gt;0),$C$8&amp;", ",""))&gt;1,LEFT(IF((COUNTIFS(TableBOM[Product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ID],$D$8,TableBOM[Item ID],$A43)&gt;0)*($H$8&gt;0),$C$8&amp;", ",""),LEN(IF((COUNTIFS(TableBOM[Product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ID],$D$8,TableBOM[Item ID],$A43)&gt;0)*($H$8&gt;0),$C$8&amp;", ",""))-2),"")</f>
        <v>ECZEMUS OINTMENT 0.03% 10G, S-45, S 43 25MM, HELLO HAIR COLOR, V- HC BROWN</v>
      </c>
      <c r="I43" s="30" t="str">
        <f t="shared" si="3"/>
        <v>OK</v>
      </c>
    </row>
    <row r="44" spans="1:19" hidden="1" x14ac:dyDescent="0.25">
      <c r="A44" s="21">
        <v>4165</v>
      </c>
      <c r="B44" s="21" t="s">
        <v>280</v>
      </c>
      <c r="C44" s="21" t="s">
        <v>281</v>
      </c>
      <c r="D44" s="21" t="s">
        <v>14</v>
      </c>
      <c r="E44" s="27">
        <f>SUMPRODUCT((TableBOM[Item ID]=A44)*TableBOM[Per 1000 Units]*(1+TableBOM[Scrap %])*SUMIF($D$3:$D$8,TableBOM[Product ID],$H$3:$H$8)/1000)</f>
        <v>0</v>
      </c>
      <c r="F44" s="27">
        <f>IFERROR(INDEX(TableInventory[Store Balance],MATCH(A44,TableInventory[Item ID],0)),0)+IFERROR(INDEX(TableInventory[Work In Process],MATCH(A44,TableInventory[Item ID],0)),0)</f>
        <v>0</v>
      </c>
      <c r="G44" s="31">
        <f t="shared" ref="G44:G75" si="4">F44-E44</f>
        <v>0</v>
      </c>
      <c r="H44" s="28" t="str">
        <f>IF(LEN(IF((COUNTIFS(TableBOM[Product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ID],$D$8,TableBOM[Item ID],$A44)&gt;0)*($H$8&gt;0),$C$8&amp;", ",""))&gt;1,LEFT(IF((COUNTIFS(TableBOM[Product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ID],$D$8,TableBOM[Item ID],$A44)&gt;0)*($H$8&gt;0),$C$8&amp;", ",""),LEN(IF((COUNTIFS(TableBOM[Product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ID],$D$8,TableBOM[Item ID],$A44)&gt;0)*($H$8&gt;0),$C$8&amp;", ",""))-2),"")</f>
        <v/>
      </c>
      <c r="I44" s="30" t="str">
        <f t="shared" si="3"/>
        <v>Not needed</v>
      </c>
      <c r="J44" s="11"/>
      <c r="K44" s="11"/>
      <c r="L44" s="11"/>
      <c r="M44" s="11"/>
      <c r="N44" s="11"/>
      <c r="O44" s="11"/>
      <c r="P44" s="11"/>
      <c r="Q44" s="11"/>
      <c r="R44" s="11"/>
      <c r="S44" s="2"/>
    </row>
    <row r="45" spans="1:19" x14ac:dyDescent="0.25">
      <c r="A45" s="21">
        <v>69</v>
      </c>
      <c r="B45" s="21" t="s">
        <v>282</v>
      </c>
      <c r="C45" s="21" t="s">
        <v>47</v>
      </c>
      <c r="D45" s="21" t="s">
        <v>48</v>
      </c>
      <c r="E45" s="27">
        <f>SUMPRODUCT((TableBOM[Item ID]=A45)*TableBOM[Per 1000 Units]*(1+TableBOM[Scrap %])*SUMIF($D$3:$D$8,TableBOM[Product ID],$H$3:$H$8)/1000)</f>
        <v>25500</v>
      </c>
      <c r="F45" s="27">
        <f>IFERROR(INDEX(TableInventory[Store Balance],MATCH(A45,TableInventory[Item ID],0)),0)+IFERROR(INDEX(TableInventory[Work In Process],MATCH(A45,TableInventory[Item ID],0)),0)</f>
        <v>0</v>
      </c>
      <c r="G45" s="31">
        <f t="shared" si="4"/>
        <v>-25500</v>
      </c>
      <c r="H45" s="28" t="str">
        <f>IF(LEN(IF((COUNTIFS(TableBOM[Product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ID],$D$8,TableBOM[Item ID],$A45)&gt;0)*($H$8&gt;0),$C$8&amp;", ",""))&gt;1,LEFT(IF((COUNTIFS(TableBOM[Product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ID],$D$8,TableBOM[Item ID],$A45)&gt;0)*($H$8&gt;0),$C$8&amp;", ",""),LEN(IF((COUNTIFS(TableBOM[Product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ID],$D$8,TableBOM[Item ID],$A45)&gt;0)*($H$8&gt;0),$C$8&amp;", ",""))-2),"")</f>
        <v>ECZEMUS OINTMENT 0.03% 10G</v>
      </c>
      <c r="I45" s="30" t="s">
        <v>283</v>
      </c>
    </row>
    <row r="46" spans="1:19" hidden="1" x14ac:dyDescent="0.25">
      <c r="A46" s="21">
        <v>99</v>
      </c>
      <c r="B46" s="21" t="s">
        <v>282</v>
      </c>
      <c r="C46" s="21" t="s">
        <v>49</v>
      </c>
      <c r="D46" s="21" t="s">
        <v>48</v>
      </c>
      <c r="E46" s="27">
        <f>SUMPRODUCT((TableBOM[Item ID]=A46)*TableBOM[Per 1000 Units]*(1+TableBOM[Scrap %])*SUMIF($D$3:$D$8,TableBOM[Product ID],$H$3:$H$8)/1000)</f>
        <v>0</v>
      </c>
      <c r="F46" s="27">
        <f>IFERROR(INDEX(TableInventory[Store Balance],MATCH(A46,TableInventory[Item ID],0)),0)+IFERROR(INDEX(TableInventory[Work In Process],MATCH(A46,TableInventory[Item ID],0)),0)</f>
        <v>10000</v>
      </c>
      <c r="G46" s="31">
        <f t="shared" si="4"/>
        <v>10000</v>
      </c>
      <c r="H46" s="28" t="str">
        <f>IF(LEN(IF((COUNTIFS(TableBOM[Product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ID],$D$8,TableBOM[Item ID],$A46)&gt;0)*($H$8&gt;0),$C$8&amp;", ",""))&gt;1,LEFT(IF((COUNTIFS(TableBOM[Product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ID],$D$8,TableBOM[Item ID],$A46)&gt;0)*($H$8&gt;0),$C$8&amp;", ",""),LEN(IF((COUNTIFS(TableBOM[Product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ID],$D$8,TableBOM[Item ID],$A46)&gt;0)*($H$8&gt;0),$C$8&amp;", ",""))-2),"")</f>
        <v/>
      </c>
      <c r="I46" s="30" t="str">
        <f t="shared" ref="I46:I67" si="5">IF(E46=0,"Not needed",IF(G46&lt;0,"SHORTAGE",IF(G46&lt;F46*0.1,"LOW","OK")))</f>
        <v>Not needed</v>
      </c>
      <c r="J46" s="11"/>
      <c r="K46" s="11"/>
      <c r="L46" s="11"/>
      <c r="M46" s="11"/>
      <c r="N46" s="11"/>
      <c r="O46" s="11"/>
      <c r="P46" s="11"/>
      <c r="Q46" s="11"/>
      <c r="R46" s="11"/>
      <c r="S46" s="2"/>
    </row>
    <row r="47" spans="1:19" hidden="1" x14ac:dyDescent="0.25">
      <c r="A47" s="21">
        <v>72</v>
      </c>
      <c r="B47" s="21" t="s">
        <v>282</v>
      </c>
      <c r="C47" s="21" t="s">
        <v>51</v>
      </c>
      <c r="D47" s="21" t="s">
        <v>48</v>
      </c>
      <c r="E47" s="27">
        <f>SUMPRODUCT((TableBOM[Item ID]=A47)*TableBOM[Per 1000 Units]*(1+TableBOM[Scrap %])*SUMIF($D$3:$D$8,TableBOM[Product ID],$H$3:$H$8)/1000)</f>
        <v>0</v>
      </c>
      <c r="F47" s="27">
        <f>IFERROR(INDEX(TableInventory[Store Balance],MATCH(A47,TableInventory[Item ID],0)),0)+IFERROR(INDEX(TableInventory[Work In Process],MATCH(A47,TableInventory[Item ID],0)),0)</f>
        <v>23741</v>
      </c>
      <c r="G47" s="31">
        <f t="shared" si="4"/>
        <v>23741</v>
      </c>
      <c r="H47" s="28" t="str">
        <f>IF(LEN(IF((COUNTIFS(TableBOM[Product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ID],$D$8,TableBOM[Item ID],$A47)&gt;0)*($H$8&gt;0),$C$8&amp;", ",""))&gt;1,LEFT(IF((COUNTIFS(TableBOM[Product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ID],$D$8,TableBOM[Item ID],$A47)&gt;0)*($H$8&gt;0),$C$8&amp;", ",""),LEN(IF((COUNTIFS(TableBOM[Product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ID],$D$8,TableBOM[Item ID],$A47)&gt;0)*($H$8&gt;0),$C$8&amp;", ",""))-2),"")</f>
        <v/>
      </c>
      <c r="I47" s="30" t="str">
        <f t="shared" si="5"/>
        <v>Not needed</v>
      </c>
      <c r="J47" s="11"/>
      <c r="K47" s="11"/>
      <c r="L47" s="11"/>
      <c r="M47" s="11"/>
      <c r="N47" s="11"/>
      <c r="O47" s="11"/>
      <c r="P47" s="11"/>
      <c r="Q47" s="11"/>
      <c r="R47" s="11"/>
      <c r="S47" s="2"/>
    </row>
    <row r="48" spans="1:19" hidden="1" x14ac:dyDescent="0.25">
      <c r="A48" s="21">
        <v>79</v>
      </c>
      <c r="B48" s="21" t="s">
        <v>282</v>
      </c>
      <c r="C48" s="21" t="s">
        <v>52</v>
      </c>
      <c r="D48" s="21" t="s">
        <v>48</v>
      </c>
      <c r="E48" s="27">
        <f>SUMPRODUCT((TableBOM[Item ID]=A48)*TableBOM[Per 1000 Units]*(1+TableBOM[Scrap %])*SUMIF($D$3:$D$8,TableBOM[Product ID],$H$3:$H$8)/1000)</f>
        <v>0</v>
      </c>
      <c r="F48" s="27">
        <f>IFERROR(INDEX(TableInventory[Store Balance],MATCH(A48,TableInventory[Item ID],0)),0)+IFERROR(INDEX(TableInventory[Work In Process],MATCH(A48,TableInventory[Item ID],0)),0)</f>
        <v>83600</v>
      </c>
      <c r="G48" s="31">
        <f t="shared" si="4"/>
        <v>83600</v>
      </c>
      <c r="H48" s="28" t="str">
        <f>IF(LEN(IF((COUNTIFS(TableBOM[Product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ID],$D$8,TableBOM[Item ID],$A48)&gt;0)*($H$8&gt;0),$C$8&amp;", ",""))&gt;1,LEFT(IF((COUNTIFS(TableBOM[Product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ID],$D$8,TableBOM[Item ID],$A48)&gt;0)*($H$8&gt;0),$C$8&amp;", ",""),LEN(IF((COUNTIFS(TableBOM[Product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ID],$D$8,TableBOM[Item ID],$A48)&gt;0)*($H$8&gt;0),$C$8&amp;", ",""))-2),"")</f>
        <v/>
      </c>
      <c r="I48" s="30" t="str">
        <f t="shared" si="5"/>
        <v>Not needed</v>
      </c>
      <c r="J48" s="11"/>
      <c r="K48" s="11"/>
      <c r="L48" s="11"/>
      <c r="M48" s="11"/>
      <c r="N48" s="11"/>
      <c r="O48" s="11"/>
      <c r="P48" s="11"/>
      <c r="Q48" s="11"/>
      <c r="R48" s="11"/>
      <c r="S48" s="2"/>
    </row>
    <row r="49" spans="1:9" hidden="1" x14ac:dyDescent="0.25">
      <c r="A49" s="21">
        <v>80</v>
      </c>
      <c r="B49" s="21" t="s">
        <v>282</v>
      </c>
      <c r="C49" s="21" t="s">
        <v>53</v>
      </c>
      <c r="D49" s="21" t="s">
        <v>48</v>
      </c>
      <c r="E49" s="27">
        <f>SUMPRODUCT((TableBOM[Item ID]=A49)*TableBOM[Per 1000 Units]*(1+TableBOM[Scrap %])*SUMIF($D$3:$D$8,TableBOM[Product ID],$H$3:$H$8)/1000)</f>
        <v>0</v>
      </c>
      <c r="F49" s="27">
        <f>IFERROR(INDEX(TableInventory[Store Balance],MATCH(A49,TableInventory[Item ID],0)),0)+IFERROR(INDEX(TableInventory[Work In Process],MATCH(A49,TableInventory[Item ID],0)),0)</f>
        <v>100000</v>
      </c>
      <c r="G49" s="31">
        <f t="shared" si="4"/>
        <v>100000</v>
      </c>
      <c r="H49" s="28" t="str">
        <f>IF(LEN(IF((COUNTIFS(TableBOM[Product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ID],$D$8,TableBOM[Item ID],$A49)&gt;0)*($H$8&gt;0),$C$8&amp;", ",""))&gt;1,LEFT(IF((COUNTIFS(TableBOM[Product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ID],$D$8,TableBOM[Item ID],$A49)&gt;0)*($H$8&gt;0),$C$8&amp;", ",""),LEN(IF((COUNTIFS(TableBOM[Product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ID],$D$8,TableBOM[Item ID],$A49)&gt;0)*($H$8&gt;0),$C$8&amp;", ",""))-2),"")</f>
        <v/>
      </c>
      <c r="I49" s="30" t="str">
        <f t="shared" si="5"/>
        <v>Not needed</v>
      </c>
    </row>
    <row r="50" spans="1:9" hidden="1" x14ac:dyDescent="0.25">
      <c r="A50" s="21">
        <v>81</v>
      </c>
      <c r="B50" s="21" t="s">
        <v>282</v>
      </c>
      <c r="C50" s="21" t="s">
        <v>54</v>
      </c>
      <c r="D50" s="21" t="s">
        <v>48</v>
      </c>
      <c r="E50" s="27">
        <f>SUMPRODUCT((TableBOM[Item ID]=A50)*TableBOM[Per 1000 Units]*(1+TableBOM[Scrap %])*SUMIF($D$3:$D$8,TableBOM[Product ID],$H$3:$H$8)/1000)</f>
        <v>0</v>
      </c>
      <c r="F50" s="27">
        <f>IFERROR(INDEX(TableInventory[Store Balance],MATCH(A50,TableInventory[Item ID],0)),0)+IFERROR(INDEX(TableInventory[Work In Process],MATCH(A50,TableInventory[Item ID],0)),0)</f>
        <v>553124</v>
      </c>
      <c r="G50" s="31">
        <f t="shared" si="4"/>
        <v>553124</v>
      </c>
      <c r="H50" s="28" t="str">
        <f>IF(LEN(IF((COUNTIFS(TableBOM[Product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ID],$D$8,TableBOM[Item ID],$A50)&gt;0)*($H$8&gt;0),$C$8&amp;", ",""))&gt;1,LEFT(IF((COUNTIFS(TableBOM[Product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ID],$D$8,TableBOM[Item ID],$A50)&gt;0)*($H$8&gt;0),$C$8&amp;", ",""),LEN(IF((COUNTIFS(TableBOM[Product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ID],$D$8,TableBOM[Item ID],$A50)&gt;0)*($H$8&gt;0),$C$8&amp;", ",""))-2),"")</f>
        <v/>
      </c>
      <c r="I50" s="30" t="str">
        <f t="shared" si="5"/>
        <v>Not needed</v>
      </c>
    </row>
    <row r="51" spans="1:9" hidden="1" x14ac:dyDescent="0.25">
      <c r="A51" s="21">
        <v>1800</v>
      </c>
      <c r="B51" s="21" t="s">
        <v>282</v>
      </c>
      <c r="C51" s="21" t="s">
        <v>55</v>
      </c>
      <c r="D51" s="21" t="s">
        <v>48</v>
      </c>
      <c r="E51" s="27">
        <f>SUMPRODUCT((TableBOM[Item ID]=A51)*TableBOM[Per 1000 Units]*(1+TableBOM[Scrap %])*SUMIF($D$3:$D$8,TableBOM[Product ID],$H$3:$H$8)/1000)</f>
        <v>0</v>
      </c>
      <c r="F51" s="27">
        <f>IFERROR(INDEX(TableInventory[Store Balance],MATCH(A51,TableInventory[Item ID],0)),0)+IFERROR(INDEX(TableInventory[Work In Process],MATCH(A51,TableInventory[Item ID],0)),0)</f>
        <v>0</v>
      </c>
      <c r="G51" s="31">
        <f t="shared" si="4"/>
        <v>0</v>
      </c>
      <c r="H51" s="28" t="str">
        <f>IF(LEN(IF((COUNTIFS(TableBOM[Product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ID],$D$8,TableBOM[Item ID],$A51)&gt;0)*($H$8&gt;0),$C$8&amp;", ",""))&gt;1,LEFT(IF((COUNTIFS(TableBOM[Product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ID],$D$8,TableBOM[Item ID],$A51)&gt;0)*($H$8&gt;0),$C$8&amp;", ",""),LEN(IF((COUNTIFS(TableBOM[Product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ID],$D$8,TableBOM[Item ID],$A51)&gt;0)*($H$8&gt;0),$C$8&amp;", ",""))-2),"")</f>
        <v/>
      </c>
      <c r="I51" s="30" t="str">
        <f t="shared" si="5"/>
        <v>Not needed</v>
      </c>
    </row>
    <row r="52" spans="1:9" hidden="1" x14ac:dyDescent="0.25">
      <c r="A52" s="21">
        <v>3211</v>
      </c>
      <c r="B52" s="21" t="s">
        <v>282</v>
      </c>
      <c r="C52" s="21" t="s">
        <v>56</v>
      </c>
      <c r="D52" s="21" t="s">
        <v>48</v>
      </c>
      <c r="E52" s="33">
        <f>SUMPRODUCT((TableBOM[Item ID]=A52)*TableBOM[Per 1000 Units]*(1+TableBOM[Scrap %])*SUMIF($D$3:$D$8,TableBOM[Product ID],$H$3:$H$8)/1000)</f>
        <v>0</v>
      </c>
      <c r="F52" s="33">
        <f>IFERROR(INDEX(TableInventory[Store Balance],MATCH(A52,TableInventory[Item ID],0)),0)+IFERROR(INDEX(TableInventory[Work In Process],MATCH(A52,TableInventory[Item ID],0)),0)</f>
        <v>4000</v>
      </c>
      <c r="G52" s="163">
        <f t="shared" si="4"/>
        <v>4000</v>
      </c>
      <c r="H52" s="28" t="str">
        <f>IF(LEN(IF((COUNTIFS(TableBOM[Product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ID],$D$8,TableBOM[Item ID],$A52)&gt;0)*($H$8&gt;0),$C$8&amp;", ",""))&gt;1,LEFT(IF((COUNTIFS(TableBOM[Product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ID],$D$8,TableBOM[Item ID],$A52)&gt;0)*($H$8&gt;0),$C$8&amp;", ",""),LEN(IF((COUNTIFS(TableBOM[Product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ID],$D$8,TableBOM[Item ID],$A52)&gt;0)*($H$8&gt;0),$C$8&amp;", ",""))-2),"")</f>
        <v/>
      </c>
      <c r="I52" s="30" t="str">
        <f t="shared" si="5"/>
        <v>Not needed</v>
      </c>
    </row>
    <row r="53" spans="1:9" hidden="1" x14ac:dyDescent="0.25">
      <c r="A53" s="21">
        <v>4015</v>
      </c>
      <c r="B53" s="21" t="s">
        <v>282</v>
      </c>
      <c r="C53" s="21" t="s">
        <v>57</v>
      </c>
      <c r="D53" s="21" t="s">
        <v>48</v>
      </c>
      <c r="E53" s="27">
        <f>SUMPRODUCT((TableBOM[Item ID]=A53)*TableBOM[Per 1000 Units]*(1+TableBOM[Scrap %])*SUMIF($D$3:$D$8,TableBOM[Product ID],$H$3:$H$8)/1000)</f>
        <v>0</v>
      </c>
      <c r="F53" s="27">
        <f>IFERROR(INDEX(TableInventory[Store Balance],MATCH(A53,TableInventory[Item ID],0)),0)+IFERROR(INDEX(TableInventory[Work In Process],MATCH(A53,TableInventory[Item ID],0)),0)</f>
        <v>475000</v>
      </c>
      <c r="G53" s="31">
        <f t="shared" si="4"/>
        <v>475000</v>
      </c>
      <c r="H53" s="28" t="str">
        <f>IF(LEN(IF((COUNTIFS(TableBOM[Product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ID],$D$8,TableBOM[Item ID],$A53)&gt;0)*($H$8&gt;0),$C$8&amp;", ",""))&gt;1,LEFT(IF((COUNTIFS(TableBOM[Product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ID],$D$8,TableBOM[Item ID],$A53)&gt;0)*($H$8&gt;0),$C$8&amp;", ",""),LEN(IF((COUNTIFS(TableBOM[Product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ID],$D$8,TableBOM[Item ID],$A53)&gt;0)*($H$8&gt;0),$C$8&amp;", ",""))-2),"")</f>
        <v/>
      </c>
      <c r="I53" s="30" t="str">
        <f t="shared" si="5"/>
        <v>Not needed</v>
      </c>
    </row>
    <row r="54" spans="1:9" hidden="1" x14ac:dyDescent="0.25">
      <c r="A54" s="21">
        <v>4044</v>
      </c>
      <c r="B54" s="21" t="s">
        <v>282</v>
      </c>
      <c r="C54" s="21" t="s">
        <v>58</v>
      </c>
      <c r="D54" s="21" t="s">
        <v>48</v>
      </c>
      <c r="E54" s="27">
        <f>SUMPRODUCT((TableBOM[Item ID]=A54)*TableBOM[Per 1000 Units]*(1+TableBOM[Scrap %])*SUMIF($D$3:$D$8,TableBOM[Product ID],$H$3:$H$8)/1000)</f>
        <v>0</v>
      </c>
      <c r="F54" s="27">
        <f>IFERROR(INDEX(TableInventory[Store Balance],MATCH(A54,TableInventory[Item ID],0)),0)+IFERROR(INDEX(TableInventory[Work In Process],MATCH(A54,TableInventory[Item ID],0)),0)</f>
        <v>0</v>
      </c>
      <c r="G54" s="31">
        <f t="shared" si="4"/>
        <v>0</v>
      </c>
      <c r="H54" s="28" t="str">
        <f>IF(LEN(IF((COUNTIFS(TableBOM[Product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ID],$D$8,TableBOM[Item ID],$A54)&gt;0)*($H$8&gt;0),$C$8&amp;", ",""))&gt;1,LEFT(IF((COUNTIFS(TableBOM[Product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ID],$D$8,TableBOM[Item ID],$A54)&gt;0)*($H$8&gt;0),$C$8&amp;", ",""),LEN(IF((COUNTIFS(TableBOM[Product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ID],$D$8,TableBOM[Item ID],$A54)&gt;0)*($H$8&gt;0),$C$8&amp;", ",""))-2),"")</f>
        <v/>
      </c>
      <c r="I54" s="30" t="str">
        <f t="shared" si="5"/>
        <v>Not needed</v>
      </c>
    </row>
    <row r="55" spans="1:9" hidden="1" x14ac:dyDescent="0.25">
      <c r="A55" s="21">
        <v>4088</v>
      </c>
      <c r="B55" s="21" t="s">
        <v>282</v>
      </c>
      <c r="C55" s="21" t="s">
        <v>59</v>
      </c>
      <c r="D55" s="21" t="s">
        <v>48</v>
      </c>
      <c r="E55" s="27">
        <f>SUMPRODUCT((TableBOM[Item ID]=A55)*TableBOM[Per 1000 Units]*(1+TableBOM[Scrap %])*SUMIF($D$3:$D$8,TableBOM[Product ID],$H$3:$H$8)/1000)</f>
        <v>0</v>
      </c>
      <c r="F55" s="27">
        <f>IFERROR(INDEX(TableInventory[Store Balance],MATCH(A55,TableInventory[Item ID],0)),0)+IFERROR(INDEX(TableInventory[Work In Process],MATCH(A55,TableInventory[Item ID],0)),0)</f>
        <v>60000</v>
      </c>
      <c r="G55" s="31">
        <f t="shared" si="4"/>
        <v>60000</v>
      </c>
      <c r="H55" s="28" t="str">
        <f>IF(LEN(IF((COUNTIFS(TableBOM[Product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ID],$D$8,TableBOM[Item ID],$A55)&gt;0)*($H$8&gt;0),$C$8&amp;", ",""))&gt;1,LEFT(IF((COUNTIFS(TableBOM[Product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ID],$D$8,TableBOM[Item ID],$A55)&gt;0)*($H$8&gt;0),$C$8&amp;", ",""),LEN(IF((COUNTIFS(TableBOM[Product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ID],$D$8,TableBOM[Item ID],$A55)&gt;0)*($H$8&gt;0),$C$8&amp;", ",""))-2),"")</f>
        <v/>
      </c>
      <c r="I55" s="30" t="str">
        <f t="shared" si="5"/>
        <v>Not needed</v>
      </c>
    </row>
    <row r="56" spans="1:9" hidden="1" x14ac:dyDescent="0.25">
      <c r="A56" s="21">
        <v>4143</v>
      </c>
      <c r="B56" s="21" t="s">
        <v>282</v>
      </c>
      <c r="C56" s="21" t="s">
        <v>60</v>
      </c>
      <c r="D56" s="21" t="s">
        <v>48</v>
      </c>
      <c r="E56" s="27">
        <f>SUMPRODUCT((TableBOM[Item ID]=A56)*TableBOM[Per 1000 Units]*(1+TableBOM[Scrap %])*SUMIF($D$3:$D$8,TableBOM[Product ID],$H$3:$H$8)/1000)</f>
        <v>0</v>
      </c>
      <c r="F56" s="27">
        <f>IFERROR(INDEX(TableInventory[Store Balance],MATCH(A56,TableInventory[Item ID],0)),0)+IFERROR(INDEX(TableInventory[Work In Process],MATCH(A56,TableInventory[Item ID],0)),0)</f>
        <v>65000</v>
      </c>
      <c r="G56" s="31">
        <f t="shared" si="4"/>
        <v>65000</v>
      </c>
      <c r="H56" s="28" t="str">
        <f>IF(LEN(IF((COUNTIFS(TableBOM[Product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ID],$D$8,TableBOM[Item ID],$A56)&gt;0)*($H$8&gt;0),$C$8&amp;", ",""))&gt;1,LEFT(IF((COUNTIFS(TableBOM[Product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ID],$D$8,TableBOM[Item ID],$A56)&gt;0)*($H$8&gt;0),$C$8&amp;", ",""),LEN(IF((COUNTIFS(TableBOM[Product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ID],$D$8,TableBOM[Item ID],$A56)&gt;0)*($H$8&gt;0),$C$8&amp;", ",""))-2),"")</f>
        <v/>
      </c>
      <c r="I56" s="30" t="str">
        <f t="shared" si="5"/>
        <v>Not needed</v>
      </c>
    </row>
    <row r="57" spans="1:9" hidden="1" x14ac:dyDescent="0.25">
      <c r="A57" s="21">
        <v>6971</v>
      </c>
      <c r="B57" s="21" t="s">
        <v>282</v>
      </c>
      <c r="C57" s="21" t="s">
        <v>61</v>
      </c>
      <c r="D57" s="21" t="s">
        <v>48</v>
      </c>
      <c r="E57" s="27">
        <f>SUMPRODUCT((TableBOM[Item ID]=A57)*TableBOM[Per 1000 Units]*(1+TableBOM[Scrap %])*SUMIF($D$3:$D$8,TableBOM[Product ID],$H$3:$H$8)/1000)</f>
        <v>0</v>
      </c>
      <c r="F57" s="27">
        <f>IFERROR(INDEX(TableInventory[Store Balance],MATCH(A57,TableInventory[Item ID],0)),0)+IFERROR(INDEX(TableInventory[Work In Process],MATCH(A57,TableInventory[Item ID],0)),0)</f>
        <v>0</v>
      </c>
      <c r="G57" s="31">
        <f t="shared" si="4"/>
        <v>0</v>
      </c>
      <c r="H57" s="28" t="str">
        <f>IF(LEN(IF((COUNTIFS(TableBOM[Product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ID],$D$8,TableBOM[Item ID],$A57)&gt;0)*($H$8&gt;0),$C$8&amp;", ",""))&gt;1,LEFT(IF((COUNTIFS(TableBOM[Product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ID],$D$8,TableBOM[Item ID],$A57)&gt;0)*($H$8&gt;0),$C$8&amp;", ",""),LEN(IF((COUNTIFS(TableBOM[Product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ID],$D$8,TableBOM[Item ID],$A57)&gt;0)*($H$8&gt;0),$C$8&amp;", ",""))-2),"")</f>
        <v/>
      </c>
      <c r="I57" s="30" t="str">
        <f t="shared" si="5"/>
        <v>Not needed</v>
      </c>
    </row>
    <row r="58" spans="1:9" hidden="1" x14ac:dyDescent="0.25">
      <c r="A58" s="21">
        <v>7370</v>
      </c>
      <c r="B58" s="21" t="s">
        <v>282</v>
      </c>
      <c r="C58" s="21" t="s">
        <v>62</v>
      </c>
      <c r="D58" s="21" t="s">
        <v>48</v>
      </c>
      <c r="E58" s="27">
        <f>SUMPRODUCT((TableBOM[Item ID]=A58)*TableBOM[Per 1000 Units]*(1+TableBOM[Scrap %])*SUMIF($D$3:$D$8,TableBOM[Product ID],$H$3:$H$8)/1000)</f>
        <v>0</v>
      </c>
      <c r="F58" s="27">
        <f>IFERROR(INDEX(TableInventory[Store Balance],MATCH(A58,TableInventory[Item ID],0)),0)+IFERROR(INDEX(TableInventory[Work In Process],MATCH(A58,TableInventory[Item ID],0)),0)</f>
        <v>47000</v>
      </c>
      <c r="G58" s="31">
        <f t="shared" si="4"/>
        <v>47000</v>
      </c>
      <c r="H58" s="28" t="str">
        <f>IF(LEN(IF((COUNTIFS(TableBOM[Product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ID],$D$8,TableBOM[Item ID],$A58)&gt;0)*($H$8&gt;0),$C$8&amp;", ",""))&gt;1,LEFT(IF((COUNTIFS(TableBOM[Product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ID],$D$8,TableBOM[Item ID],$A58)&gt;0)*($H$8&gt;0),$C$8&amp;", ",""),LEN(IF((COUNTIFS(TableBOM[Product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ID],$D$8,TableBOM[Item ID],$A58)&gt;0)*($H$8&gt;0),$C$8&amp;", ",""))-2),"")</f>
        <v/>
      </c>
      <c r="I58" s="30" t="str">
        <f t="shared" si="5"/>
        <v>Not needed</v>
      </c>
    </row>
    <row r="59" spans="1:9" x14ac:dyDescent="0.25">
      <c r="A59" s="21">
        <v>68</v>
      </c>
      <c r="B59" s="21" t="s">
        <v>282</v>
      </c>
      <c r="C59" s="21" t="s">
        <v>63</v>
      </c>
      <c r="D59" s="21" t="s">
        <v>48</v>
      </c>
      <c r="E59" s="27">
        <f>SUMPRODUCT((TableBOM[Item ID]=A59)*TableBOM[Per 1000 Units]*(1+TableBOM[Scrap %])*SUMIF($D$3:$D$8,TableBOM[Product ID],$H$3:$H$8)/1000)</f>
        <v>275442.83999999997</v>
      </c>
      <c r="F59" s="27">
        <f>IFERROR(INDEX(TableInventory[Store Balance],MATCH(A59,TableInventory[Item ID],0)),0)+IFERROR(INDEX(TableInventory[Work In Process],MATCH(A59,TableInventory[Item ID],0)),0)</f>
        <v>230000</v>
      </c>
      <c r="G59" s="31">
        <f t="shared" si="4"/>
        <v>-45442.839999999967</v>
      </c>
      <c r="H59" s="28" t="str">
        <f>IF(LEN(IF((COUNTIFS(TableBOM[Product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ID],$D$8,TableBOM[Item ID],$A59)&gt;0)*($H$8&gt;0),$C$8&amp;", ",""))&gt;1,LEFT(IF((COUNTIFS(TableBOM[Product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ID],$D$8,TableBOM[Item ID],$A59)&gt;0)*($H$8&gt;0),$C$8&amp;", ",""),LEN(IF((COUNTIFS(TableBOM[Product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ID],$D$8,TableBOM[Item ID],$A59)&gt;0)*($H$8&gt;0),$C$8&amp;", ",""))-2),"")</f>
        <v>S-45, S 43 25MM, HELLO HAIR COLOR</v>
      </c>
      <c r="I59" s="30" t="str">
        <f t="shared" si="5"/>
        <v>SHORTAGE</v>
      </c>
    </row>
    <row r="60" spans="1:9" hidden="1" x14ac:dyDescent="0.25">
      <c r="A60" s="21">
        <v>102</v>
      </c>
      <c r="B60" s="21" t="s">
        <v>282</v>
      </c>
      <c r="C60" s="21" t="s">
        <v>64</v>
      </c>
      <c r="D60" s="21" t="s">
        <v>48</v>
      </c>
      <c r="E60" s="27">
        <f>SUMPRODUCT((TableBOM[Item ID]=A60)*TableBOM[Per 1000 Units]*(1+TableBOM[Scrap %])*SUMIF($D$3:$D$8,TableBOM[Product ID],$H$3:$H$8)/1000)</f>
        <v>0</v>
      </c>
      <c r="F60" s="27">
        <f>IFERROR(INDEX(TableInventory[Store Balance],MATCH(A60,TableInventory[Item ID],0)),0)+IFERROR(INDEX(TableInventory[Work In Process],MATCH(A60,TableInventory[Item ID],0)),0)</f>
        <v>30000</v>
      </c>
      <c r="G60" s="31">
        <f t="shared" si="4"/>
        <v>30000</v>
      </c>
      <c r="H60" s="28" t="str">
        <f>IF(LEN(IF((COUNTIFS(TableBOM[Product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ID],$D$8,TableBOM[Item ID],$A60)&gt;0)*($H$8&gt;0),$C$8&amp;", ",""))&gt;1,LEFT(IF((COUNTIFS(TableBOM[Product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ID],$D$8,TableBOM[Item ID],$A60)&gt;0)*($H$8&gt;0),$C$8&amp;", ",""),LEN(IF((COUNTIFS(TableBOM[Product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ID],$D$8,TableBOM[Item ID],$A60)&gt;0)*($H$8&gt;0),$C$8&amp;", ",""))-2),"")</f>
        <v/>
      </c>
      <c r="I60" s="30" t="str">
        <f t="shared" si="5"/>
        <v>Not needed</v>
      </c>
    </row>
    <row r="61" spans="1:9" hidden="1" x14ac:dyDescent="0.25">
      <c r="A61" s="21">
        <v>1073</v>
      </c>
      <c r="B61" s="21" t="s">
        <v>282</v>
      </c>
      <c r="C61" s="21" t="s">
        <v>65</v>
      </c>
      <c r="D61" s="21" t="s">
        <v>48</v>
      </c>
      <c r="E61" s="27">
        <f>SUMPRODUCT((TableBOM[Item ID]=A61)*TableBOM[Per 1000 Units]*(1+TableBOM[Scrap %])*SUMIF($D$3:$D$8,TableBOM[Product ID],$H$3:$H$8)/1000)</f>
        <v>0</v>
      </c>
      <c r="F61" s="27">
        <f>IFERROR(INDEX(TableInventory[Store Balance],MATCH(A61,TableInventory[Item ID],0)),0)+IFERROR(INDEX(TableInventory[Work In Process],MATCH(A61,TableInventory[Item ID],0)),0)</f>
        <v>95000</v>
      </c>
      <c r="G61" s="31">
        <f t="shared" si="4"/>
        <v>95000</v>
      </c>
      <c r="H61" s="28" t="str">
        <f>IF(LEN(IF((COUNTIFS(TableBOM[Product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ID],$D$8,TableBOM[Item ID],$A61)&gt;0)*($H$8&gt;0),$C$8&amp;", ",""))&gt;1,LEFT(IF((COUNTIFS(TableBOM[Product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ID],$D$8,TableBOM[Item ID],$A61)&gt;0)*($H$8&gt;0),$C$8&amp;", ",""),LEN(IF((COUNTIFS(TableBOM[Product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ID],$D$8,TableBOM[Item ID],$A61)&gt;0)*($H$8&gt;0),$C$8&amp;", ",""))-2),"")</f>
        <v/>
      </c>
      <c r="I61" s="30" t="str">
        <f t="shared" si="5"/>
        <v>Not needed</v>
      </c>
    </row>
    <row r="62" spans="1:9" hidden="1" x14ac:dyDescent="0.25">
      <c r="A62" s="21">
        <v>1285</v>
      </c>
      <c r="B62" s="21" t="s">
        <v>282</v>
      </c>
      <c r="C62" s="21" t="s">
        <v>66</v>
      </c>
      <c r="D62" s="21" t="s">
        <v>48</v>
      </c>
      <c r="E62" s="27">
        <f>SUMPRODUCT((TableBOM[Item ID]=A62)*TableBOM[Per 1000 Units]*(1+TableBOM[Scrap %])*SUMIF($D$3:$D$8,TableBOM[Product ID],$H$3:$H$8)/1000)</f>
        <v>0</v>
      </c>
      <c r="F62" s="27">
        <f>IFERROR(INDEX(TableInventory[Store Balance],MATCH(A62,TableInventory[Item ID],0)),0)+IFERROR(INDEX(TableInventory[Work In Process],MATCH(A62,TableInventory[Item ID],0)),0)</f>
        <v>38000</v>
      </c>
      <c r="G62" s="31">
        <f t="shared" si="4"/>
        <v>38000</v>
      </c>
      <c r="H62" s="28" t="str">
        <f>IF(LEN(IF((COUNTIFS(TableBOM[Product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ID],$D$8,TableBOM[Item ID],$A62)&gt;0)*($H$8&gt;0),$C$8&amp;", ",""))&gt;1,LEFT(IF((COUNTIFS(TableBOM[Product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ID],$D$8,TableBOM[Item ID],$A62)&gt;0)*($H$8&gt;0),$C$8&amp;", ",""),LEN(IF((COUNTIFS(TableBOM[Product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ID],$D$8,TableBOM[Item ID],$A62)&gt;0)*($H$8&gt;0),$C$8&amp;", ",""))-2),"")</f>
        <v/>
      </c>
      <c r="I62" s="30" t="str">
        <f t="shared" si="5"/>
        <v>Not needed</v>
      </c>
    </row>
    <row r="63" spans="1:9" hidden="1" x14ac:dyDescent="0.25">
      <c r="A63" s="21">
        <v>3522</v>
      </c>
      <c r="B63" s="21" t="s">
        <v>282</v>
      </c>
      <c r="C63" s="21" t="s">
        <v>67</v>
      </c>
      <c r="D63" s="21" t="s">
        <v>48</v>
      </c>
      <c r="E63" s="27">
        <f>SUMPRODUCT((TableBOM[Item ID]=A63)*TableBOM[Per 1000 Units]*(1+TableBOM[Scrap %])*SUMIF($D$3:$D$8,TableBOM[Product ID],$H$3:$H$8)/1000)</f>
        <v>0</v>
      </c>
      <c r="F63" s="27">
        <f>IFERROR(INDEX(TableInventory[Store Balance],MATCH(A63,TableInventory[Item ID],0)),0)+IFERROR(INDEX(TableInventory[Work In Process],MATCH(A63,TableInventory[Item ID],0)),0)</f>
        <v>75000</v>
      </c>
      <c r="G63" s="31">
        <f t="shared" si="4"/>
        <v>75000</v>
      </c>
      <c r="H63" s="28" t="str">
        <f>IF(LEN(IF((COUNTIFS(TableBOM[Product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ID],$D$8,TableBOM[Item ID],$A63)&gt;0)*($H$8&gt;0),$C$8&amp;", ",""))&gt;1,LEFT(IF((COUNTIFS(TableBOM[Product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ID],$D$8,TableBOM[Item ID],$A63)&gt;0)*($H$8&gt;0),$C$8&amp;", ",""),LEN(IF((COUNTIFS(TableBOM[Product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ID],$D$8,TableBOM[Item ID],$A63)&gt;0)*($H$8&gt;0),$C$8&amp;", ",""))-2),"")</f>
        <v/>
      </c>
      <c r="I63" s="30" t="str">
        <f t="shared" si="5"/>
        <v>Not needed</v>
      </c>
    </row>
    <row r="64" spans="1:9" hidden="1" x14ac:dyDescent="0.25">
      <c r="A64" s="21">
        <v>3866</v>
      </c>
      <c r="B64" s="21" t="s">
        <v>282</v>
      </c>
      <c r="C64" s="21" t="s">
        <v>68</v>
      </c>
      <c r="D64" s="21" t="s">
        <v>48</v>
      </c>
      <c r="E64" s="27">
        <f>SUMPRODUCT((TableBOM[Item ID]=A64)*TableBOM[Per 1000 Units]*(1+TableBOM[Scrap %])*SUMIF($D$3:$D$8,TableBOM[Product ID],$H$3:$H$8)/1000)</f>
        <v>0</v>
      </c>
      <c r="F64" s="27">
        <f>IFERROR(INDEX(TableInventory[Store Balance],MATCH(A64,TableInventory[Item ID],0)),0)+IFERROR(INDEX(TableInventory[Work In Process],MATCH(A64,TableInventory[Item ID],0)),0)</f>
        <v>0</v>
      </c>
      <c r="G64" s="31">
        <f t="shared" si="4"/>
        <v>0</v>
      </c>
      <c r="H64" s="28" t="str">
        <f>IF(LEN(IF((COUNTIFS(TableBOM[Product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ID],$D$8,TableBOM[Item ID],$A64)&gt;0)*($H$8&gt;0),$C$8&amp;", ",""))&gt;1,LEFT(IF((COUNTIFS(TableBOM[Product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ID],$D$8,TableBOM[Item ID],$A64)&gt;0)*($H$8&gt;0),$C$8&amp;", ",""),LEN(IF((COUNTIFS(TableBOM[Product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ID],$D$8,TableBOM[Item ID],$A64)&gt;0)*($H$8&gt;0),$C$8&amp;", ",""))-2),"")</f>
        <v/>
      </c>
      <c r="I64" s="30" t="str">
        <f t="shared" si="5"/>
        <v>Not needed</v>
      </c>
    </row>
    <row r="65" spans="1:9" x14ac:dyDescent="0.25">
      <c r="A65" s="21">
        <v>578</v>
      </c>
      <c r="B65" s="21" t="s">
        <v>282</v>
      </c>
      <c r="C65" s="21" t="s">
        <v>69</v>
      </c>
      <c r="D65" s="21" t="s">
        <v>48</v>
      </c>
      <c r="E65" s="27">
        <f>SUMPRODUCT((TableBOM[Item ID]=A65)*TableBOM[Per 1000 Units]*(1+TableBOM[Scrap %])*SUMIF($D$3:$D$8,TableBOM[Product ID],$H$3:$H$8)/1000)</f>
        <v>44166</v>
      </c>
      <c r="F65" s="27">
        <f>IFERROR(INDEX(TableInventory[Store Balance],MATCH(A65,TableInventory[Item ID],0)),0)+IFERROR(INDEX(TableInventory[Work In Process],MATCH(A65,TableInventory[Item ID],0)),0)</f>
        <v>0</v>
      </c>
      <c r="G65" s="31">
        <f t="shared" si="4"/>
        <v>-44166</v>
      </c>
      <c r="H65" s="28" t="str">
        <f>IF(LEN(IF((COUNTIFS(TableBOM[Product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ID],$D$8,TableBOM[Item ID],$A65)&gt;0)*($H$8&gt;0),$C$8&amp;", ",""))&gt;1,LEFT(IF((COUNTIFS(TableBOM[Product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ID],$D$8,TableBOM[Item ID],$A65)&gt;0)*($H$8&gt;0),$C$8&amp;", ",""),LEN(IF((COUNTIFS(TableBOM[Product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ID],$D$8,TableBOM[Item ID],$A65)&gt;0)*($H$8&gt;0),$C$8&amp;", ",""))-2),"")</f>
        <v>VINCE NURTURAL, V- HC BROWN</v>
      </c>
      <c r="I65" s="30" t="str">
        <f t="shared" si="5"/>
        <v>SHORTAGE</v>
      </c>
    </row>
    <row r="66" spans="1:9" hidden="1" x14ac:dyDescent="0.25">
      <c r="A66" s="21">
        <v>9902</v>
      </c>
      <c r="B66" s="21" t="s">
        <v>282</v>
      </c>
      <c r="C66" s="21" t="s">
        <v>70</v>
      </c>
      <c r="D66" s="21" t="s">
        <v>48</v>
      </c>
      <c r="E66" s="27">
        <f>SUMPRODUCT((TableBOM[Item ID]=A66)*TableBOM[Per 1000 Units]*(1+TableBOM[Scrap %])*SUMIF($D$3:$D$8,TableBOM[Product ID],$H$3:$H$8)/1000)</f>
        <v>0</v>
      </c>
      <c r="F66" s="27">
        <f>IFERROR(INDEX(TableInventory[Store Balance],MATCH(A66,TableInventory[Item ID],0)),0)+IFERROR(INDEX(TableInventory[Work In Process],MATCH(A66,TableInventory[Item ID],0)),0)</f>
        <v>0</v>
      </c>
      <c r="G66" s="31">
        <f t="shared" si="4"/>
        <v>0</v>
      </c>
      <c r="H66" s="28" t="str">
        <f>IF(LEN(IF((COUNTIFS(TableBOM[Product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ID],$D$8,TableBOM[Item ID],$A66)&gt;0)*($H$8&gt;0),$C$8&amp;", ",""))&gt;1,LEFT(IF((COUNTIFS(TableBOM[Product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ID],$D$8,TableBOM[Item ID],$A66)&gt;0)*($H$8&gt;0),$C$8&amp;", ",""),LEN(IF((COUNTIFS(TableBOM[Product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ID],$D$8,TableBOM[Item ID],$A66)&gt;0)*($H$8&gt;0),$C$8&amp;", ",""))-2),"")</f>
        <v/>
      </c>
      <c r="I66" s="30" t="str">
        <f t="shared" si="5"/>
        <v>Not needed</v>
      </c>
    </row>
    <row r="67" spans="1:9" hidden="1" x14ac:dyDescent="0.25">
      <c r="A67" s="21">
        <v>9903</v>
      </c>
      <c r="B67" s="21" t="s">
        <v>284</v>
      </c>
      <c r="C67" s="21" t="s">
        <v>72</v>
      </c>
      <c r="D67" s="21" t="s">
        <v>48</v>
      </c>
      <c r="E67" s="27">
        <f>SUMPRODUCT((TableBOM[Item ID]=A67)*TableBOM[Per 1000 Units]*(1+TableBOM[Scrap %])*SUMIF($D$3:$D$8,TableBOM[Product ID],$H$3:$H$8)/1000)</f>
        <v>0</v>
      </c>
      <c r="F67" s="27">
        <f>IFERROR(INDEX(TableInventory[Store Balance],MATCH(A67,TableInventory[Item ID],0)),0)+IFERROR(INDEX(TableInventory[Work In Process],MATCH(A67,TableInventory[Item ID],0)),0)</f>
        <v>0</v>
      </c>
      <c r="G67" s="31">
        <f t="shared" si="4"/>
        <v>0</v>
      </c>
      <c r="H67" s="28" t="str">
        <f>IF(LEN(IF((COUNTIFS(TableBOM[Product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ID],$D$8,TableBOM[Item ID],$A67)&gt;0)*($H$8&gt;0),$C$8&amp;", ",""))&gt;1,LEFT(IF((COUNTIFS(TableBOM[Product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ID],$D$8,TableBOM[Item ID],$A67)&gt;0)*($H$8&gt;0),$C$8&amp;", ",""),LEN(IF((COUNTIFS(TableBOM[Product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ID],$D$8,TableBOM[Item ID],$A67)&gt;0)*($H$8&gt;0),$C$8&amp;", ",""))-2),"")</f>
        <v/>
      </c>
      <c r="I67" s="30" t="str">
        <f t="shared" si="5"/>
        <v>Not needed</v>
      </c>
    </row>
    <row r="68" spans="1:9" x14ac:dyDescent="0.25">
      <c r="A68" s="21">
        <v>36</v>
      </c>
      <c r="B68" s="21" t="s">
        <v>284</v>
      </c>
      <c r="C68" s="21" t="s">
        <v>73</v>
      </c>
      <c r="D68" s="21" t="s">
        <v>48</v>
      </c>
      <c r="E68" s="27">
        <f>SUMPRODUCT((TableBOM[Item ID]=A68)*TableBOM[Per 1000 Units]*(1+TableBOM[Scrap %])*SUMIF($D$3:$D$8,TableBOM[Product ID],$H$3:$H$8)/1000)</f>
        <v>137.5</v>
      </c>
      <c r="F68" s="27">
        <f>IFERROR(INDEX(TableInventory[Store Balance],MATCH(A68,TableInventory[Item ID],0)),0)+IFERROR(INDEX(TableInventory[Work In Process],MATCH(A68,TableInventory[Item ID],0)),0)</f>
        <v>0</v>
      </c>
      <c r="G68" s="31">
        <f t="shared" si="4"/>
        <v>-137.5</v>
      </c>
      <c r="H68" s="28" t="str">
        <f>IF(LEN(IF((COUNTIFS(TableBOM[Product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ID],$D$8,TableBOM[Item ID],$A68)&gt;0)*($H$8&gt;0),$C$8&amp;", ",""))&gt;1,LEFT(IF((COUNTIFS(TableBOM[Product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ID],$D$8,TableBOM[Item ID],$A68)&gt;0)*($H$8&gt;0),$C$8&amp;", ",""),LEN(IF((COUNTIFS(TableBOM[Product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ID],$D$8,TableBOM[Item ID],$A68)&gt;0)*($H$8&gt;0),$C$8&amp;", ",""))-2),"")</f>
        <v>ECZEMUS OINTMENT 0.03% 10G</v>
      </c>
      <c r="I68" s="30" t="s">
        <v>283</v>
      </c>
    </row>
    <row r="69" spans="1:9" x14ac:dyDescent="0.25">
      <c r="A69" s="21">
        <v>200</v>
      </c>
      <c r="B69" s="21" t="s">
        <v>284</v>
      </c>
      <c r="C69" s="21" t="s">
        <v>74</v>
      </c>
      <c r="D69" s="21" t="s">
        <v>48</v>
      </c>
      <c r="E69" s="27">
        <f>SUMPRODUCT((TableBOM[Item ID]=A69)*TableBOM[Per 1000 Units]*(1+TableBOM[Scrap %])*SUMIF($D$3:$D$8,TableBOM[Product ID],$H$3:$H$8)/1000)</f>
        <v>15.125000000000002</v>
      </c>
      <c r="F69" s="27">
        <f>IFERROR(INDEX(TableInventory[Store Balance],MATCH(A69,TableInventory[Item ID],0)),0)+IFERROR(INDEX(TableInventory[Work In Process],MATCH(A69,TableInventory[Item ID],0)),0)</f>
        <v>0</v>
      </c>
      <c r="G69" s="31">
        <f t="shared" si="4"/>
        <v>-15.125000000000002</v>
      </c>
      <c r="H69" s="28" t="str">
        <f>IF(LEN(IF((COUNTIFS(TableBOM[Product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ID],$D$8,TableBOM[Item ID],$A69)&gt;0)*($H$8&gt;0),$C$8&amp;", ",""))&gt;1,LEFT(IF((COUNTIFS(TableBOM[Product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ID],$D$8,TableBOM[Item ID],$A69)&gt;0)*($H$8&gt;0),$C$8&amp;", ",""),LEN(IF((COUNTIFS(TableBOM[Product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ID],$D$8,TableBOM[Item ID],$A69)&gt;0)*($H$8&gt;0),$C$8&amp;", ",""))-2),"")</f>
        <v>ECZEMUS OINTMENT 0.03% 10G</v>
      </c>
      <c r="I69" s="30" t="s">
        <v>283</v>
      </c>
    </row>
    <row r="70" spans="1:9" hidden="1" x14ac:dyDescent="0.25">
      <c r="A70" s="21">
        <v>39</v>
      </c>
      <c r="B70" s="21" t="s">
        <v>284</v>
      </c>
      <c r="C70" s="21" t="s">
        <v>75</v>
      </c>
      <c r="D70" s="21" t="s">
        <v>48</v>
      </c>
      <c r="E70" s="27">
        <f>SUMPRODUCT((TableBOM[Item ID]=A70)*TableBOM[Per 1000 Units]*(1+TableBOM[Scrap %])*SUMIF($D$3:$D$8,TableBOM[Product ID],$H$3:$H$8)/1000)</f>
        <v>0</v>
      </c>
      <c r="F70" s="27">
        <f>IFERROR(INDEX(TableInventory[Store Balance],MATCH(A70,TableInventory[Item ID],0)),0)+IFERROR(INDEX(TableInventory[Work In Process],MATCH(A70,TableInventory[Item ID],0)),0)</f>
        <v>0</v>
      </c>
      <c r="G70" s="31">
        <f t="shared" si="4"/>
        <v>0</v>
      </c>
      <c r="H70" s="28" t="str">
        <f>IF(LEN(IF((COUNTIFS(TableBOM[Product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ID],$D$8,TableBOM[Item ID],$A70)&gt;0)*($H$8&gt;0),$C$8&amp;", ",""))&gt;1,LEFT(IF((COUNTIFS(TableBOM[Product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ID],$D$8,TableBOM[Item ID],$A70)&gt;0)*($H$8&gt;0),$C$8&amp;", ",""),LEN(IF((COUNTIFS(TableBOM[Product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ID],$D$8,TableBOM[Item ID],$A70)&gt;0)*($H$8&gt;0),$C$8&amp;", ",""))-2),"")</f>
        <v/>
      </c>
      <c r="I70" s="30" t="str">
        <f t="shared" ref="I70:I93" si="6">IF(E70=0,"Not needed",IF(G70&lt;0,"SHORTAGE",IF(G70&lt;F70*0.1,"LOW","OK")))</f>
        <v>Not needed</v>
      </c>
    </row>
    <row r="71" spans="1:9" hidden="1" x14ac:dyDescent="0.25">
      <c r="A71" s="21">
        <v>3619</v>
      </c>
      <c r="B71" s="21" t="s">
        <v>284</v>
      </c>
      <c r="C71" s="21" t="s">
        <v>76</v>
      </c>
      <c r="D71" s="21" t="s">
        <v>48</v>
      </c>
      <c r="E71" s="27">
        <f>SUMPRODUCT((TableBOM[Item ID]=A71)*TableBOM[Per 1000 Units]*(1+TableBOM[Scrap %])*SUMIF($D$3:$D$8,TableBOM[Product ID],$H$3:$H$8)/1000)</f>
        <v>0</v>
      </c>
      <c r="F71" s="27">
        <f>IFERROR(INDEX(TableInventory[Store Balance],MATCH(A71,TableInventory[Item ID],0)),0)+IFERROR(INDEX(TableInventory[Work In Process],MATCH(A71,TableInventory[Item ID],0)),0)</f>
        <v>280</v>
      </c>
      <c r="G71" s="31">
        <f t="shared" si="4"/>
        <v>280</v>
      </c>
      <c r="H71" s="28" t="str">
        <f>IF(LEN(IF((COUNTIFS(TableBOM[Product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ID],$D$8,TableBOM[Item ID],$A71)&gt;0)*($H$8&gt;0),$C$8&amp;", ",""))&gt;1,LEFT(IF((COUNTIFS(TableBOM[Product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ID],$D$8,TableBOM[Item ID],$A71)&gt;0)*($H$8&gt;0),$C$8&amp;", ",""),LEN(IF((COUNTIFS(TableBOM[Product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ID],$D$8,TableBOM[Item ID],$A71)&gt;0)*($H$8&gt;0),$C$8&amp;", ",""))-2),"")</f>
        <v/>
      </c>
      <c r="I71" s="30" t="str">
        <f t="shared" si="6"/>
        <v>Not needed</v>
      </c>
    </row>
    <row r="72" spans="1:9" x14ac:dyDescent="0.25">
      <c r="A72" s="21">
        <v>3598</v>
      </c>
      <c r="B72" s="21" t="s">
        <v>284</v>
      </c>
      <c r="C72" s="21" t="s">
        <v>77</v>
      </c>
      <c r="D72" s="21" t="s">
        <v>48</v>
      </c>
      <c r="E72" s="27">
        <f>SUMPRODUCT((TableBOM[Item ID]=A72)*TableBOM[Per 1000 Units]*(1+TableBOM[Scrap %])*SUMIF($D$3:$D$8,TableBOM[Product ID],$H$3:$H$8)/1000)</f>
        <v>1020.82346432</v>
      </c>
      <c r="F72" s="27">
        <f>IFERROR(INDEX(TableInventory[Store Balance],MATCH(A72,TableInventory[Item ID],0)),0)+IFERROR(INDEX(TableInventory[Work In Process],MATCH(A72,TableInventory[Item ID],0)),0)</f>
        <v>360</v>
      </c>
      <c r="G72" s="31">
        <f t="shared" si="4"/>
        <v>-660.82346431999997</v>
      </c>
      <c r="H72" s="28" t="str">
        <f>IF(LEN(IF((COUNTIFS(TableBOM[Product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ID],$D$8,TableBOM[Item ID],$A72)&gt;0)*($H$8&gt;0),$C$8&amp;", ",""))&gt;1,LEFT(IF((COUNTIFS(TableBOM[Product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ID],$D$8,TableBOM[Item ID],$A72)&gt;0)*($H$8&gt;0),$C$8&amp;", ",""),LEN(IF((COUNTIFS(TableBOM[Product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ID],$D$8,TableBOM[Item ID],$A72)&gt;0)*($H$8&gt;0),$C$8&amp;", ",""))-2),"")</f>
        <v>S-45, S 43 25MM, HELLO HAIR COLOR</v>
      </c>
      <c r="I72" s="30" t="str">
        <f t="shared" si="6"/>
        <v>SHORTAGE</v>
      </c>
    </row>
    <row r="73" spans="1:9" hidden="1" x14ac:dyDescent="0.25">
      <c r="A73" s="21">
        <v>45</v>
      </c>
      <c r="B73" s="21" t="s">
        <v>284</v>
      </c>
      <c r="C73" s="21" t="s">
        <v>78</v>
      </c>
      <c r="D73" s="21" t="s">
        <v>48</v>
      </c>
      <c r="E73" s="27">
        <f>SUMPRODUCT((TableBOM[Item ID]=A73)*TableBOM[Per 1000 Units]*(1+TableBOM[Scrap %])*SUMIF($D$3:$D$8,TableBOM[Product ID],$H$3:$H$8)/1000)</f>
        <v>0</v>
      </c>
      <c r="F73" s="27">
        <f>IFERROR(INDEX(TableInventory[Store Balance],MATCH(A73,TableInventory[Item ID],0)),0)+IFERROR(INDEX(TableInventory[Work In Process],MATCH(A73,TableInventory[Item ID],0)),0)</f>
        <v>460</v>
      </c>
      <c r="G73" s="31">
        <f t="shared" si="4"/>
        <v>460</v>
      </c>
      <c r="H73" s="28" t="str">
        <f>IF(LEN(IF((COUNTIFS(TableBOM[Product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ID],$D$8,TableBOM[Item ID],$A73)&gt;0)*($H$8&gt;0),$C$8&amp;", ",""))&gt;1,LEFT(IF((COUNTIFS(TableBOM[Product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ID],$D$8,TableBOM[Item ID],$A73)&gt;0)*($H$8&gt;0),$C$8&amp;", ",""),LEN(IF((COUNTIFS(TableBOM[Product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ID],$D$8,TableBOM[Item ID],$A73)&gt;0)*($H$8&gt;0),$C$8&amp;", ",""))-2),"")</f>
        <v/>
      </c>
      <c r="I73" s="30" t="str">
        <f t="shared" si="6"/>
        <v>Not needed</v>
      </c>
    </row>
    <row r="74" spans="1:9" x14ac:dyDescent="0.25">
      <c r="A74" s="21">
        <v>3988</v>
      </c>
      <c r="B74" s="21" t="s">
        <v>284</v>
      </c>
      <c r="C74" s="21" t="s">
        <v>79</v>
      </c>
      <c r="D74" s="21" t="s">
        <v>48</v>
      </c>
      <c r="E74" s="27">
        <f>SUMPRODUCT((TableBOM[Item ID]=A74)*TableBOM[Per 1000 Units]*(1+TableBOM[Scrap %])*SUMIF($D$3:$D$8,TableBOM[Product ID],$H$3:$H$8)/1000)</f>
        <v>88.657800000000009</v>
      </c>
      <c r="F74" s="27">
        <f>IFERROR(INDEX(TableInventory[Store Balance],MATCH(A74,TableInventory[Item ID],0)),0)+IFERROR(INDEX(TableInventory[Work In Process],MATCH(A74,TableInventory[Item ID],0)),0)</f>
        <v>349</v>
      </c>
      <c r="G74" s="31">
        <f t="shared" si="4"/>
        <v>260.34219999999999</v>
      </c>
      <c r="H74" s="28" t="str">
        <f>IF(LEN(IF((COUNTIFS(TableBOM[Product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ID],$D$8,TableBOM[Item ID],$A74)&gt;0)*($H$8&gt;0),$C$8&amp;", ",""))&gt;1,LEFT(IF((COUNTIFS(TableBOM[Product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ID],$D$8,TableBOM[Item ID],$A74)&gt;0)*($H$8&gt;0),$C$8&amp;", ",""),LEN(IF((COUNTIFS(TableBOM[Product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ID],$D$8,TableBOM[Item ID],$A74)&gt;0)*($H$8&gt;0),$C$8&amp;", ",""))-2),"")</f>
        <v>V- HC BROWN</v>
      </c>
      <c r="I74" s="30" t="str">
        <f t="shared" si="6"/>
        <v>OK</v>
      </c>
    </row>
    <row r="75" spans="1:9" hidden="1" x14ac:dyDescent="0.25">
      <c r="A75" s="21">
        <v>5977</v>
      </c>
      <c r="B75" s="21" t="s">
        <v>284</v>
      </c>
      <c r="C75" s="21" t="s">
        <v>80</v>
      </c>
      <c r="D75" s="21" t="s">
        <v>48</v>
      </c>
      <c r="E75" s="27">
        <f>SUMPRODUCT((TableBOM[Item ID]=A75)*TableBOM[Per 1000 Units]*(1+TableBOM[Scrap %])*SUMIF($D$3:$D$8,TableBOM[Product ID],$H$3:$H$8)/1000)</f>
        <v>0</v>
      </c>
      <c r="F75" s="27">
        <f>IFERROR(INDEX(TableInventory[Store Balance],MATCH(A75,TableInventory[Item ID],0)),0)+IFERROR(INDEX(TableInventory[Work In Process],MATCH(A75,TableInventory[Item ID],0)),0)</f>
        <v>61</v>
      </c>
      <c r="G75" s="31">
        <f t="shared" si="4"/>
        <v>61</v>
      </c>
      <c r="H75" s="28" t="str">
        <f>IF(LEN(IF((COUNTIFS(TableBOM[Product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ID],$D$8,TableBOM[Item ID],$A75)&gt;0)*($H$8&gt;0),$C$8&amp;", ",""))&gt;1,LEFT(IF((COUNTIFS(TableBOM[Product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ID],$D$8,TableBOM[Item ID],$A75)&gt;0)*($H$8&gt;0),$C$8&amp;", ",""),LEN(IF((COUNTIFS(TableBOM[Product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ID],$D$8,TableBOM[Item ID],$A75)&gt;0)*($H$8&gt;0),$C$8&amp;", ",""))-2),"")</f>
        <v/>
      </c>
      <c r="I75" s="30" t="str">
        <f t="shared" si="6"/>
        <v>Not needed</v>
      </c>
    </row>
    <row r="76" spans="1:9" ht="36" customHeight="1" x14ac:dyDescent="0.25">
      <c r="A76" s="21">
        <v>3635</v>
      </c>
      <c r="B76" s="21" t="s">
        <v>285</v>
      </c>
      <c r="C76" s="21" t="s">
        <v>82</v>
      </c>
      <c r="D76" s="21" t="s">
        <v>48</v>
      </c>
      <c r="E76" s="27">
        <f>SUMPRODUCT((TableBOM[Item ID]=A76)*TableBOM[Per 1000 Units]*(1+TableBOM[Scrap %])*SUMIF($D$3:$D$8,TableBOM[Product ID],$H$3:$H$8)/1000)</f>
        <v>392.3428432</v>
      </c>
      <c r="F76" s="27">
        <f>IFERROR(INDEX(TableInventory[Store Balance],MATCH(A76,TableInventory[Item ID],0)),0)+IFERROR(INDEX(TableInventory[Work In Process],MATCH(A76,TableInventory[Item ID],0)),0)</f>
        <v>513</v>
      </c>
      <c r="G76" s="31">
        <f t="shared" ref="G76:G93" si="7">F76-E76</f>
        <v>120.6571568</v>
      </c>
      <c r="H76" s="28" t="str">
        <f>IF(LEN(IF((COUNTIFS(TableBOM[Product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ID],$D$8,TableBOM[Item ID],$A76)&gt;0)*($H$8&gt;0),$C$8&amp;", ",""))&gt;1,LEFT(IF((COUNTIFS(TableBOM[Product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ID],$D$8,TableBOM[Item ID],$A76)&gt;0)*($H$8&gt;0),$C$8&amp;", ",""),LEN(IF((COUNTIFS(TableBOM[Product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ID],$D$8,TableBOM[Item ID],$A76)&gt;0)*($H$8&gt;0),$C$8&amp;", ",""))-2),"")</f>
        <v>ECZEMUS OINTMENT 0.03% 10G, S-45, S 43 25MM, VINCE NURTURAL, HELLO HAIR COLOR, V- HC BROWN</v>
      </c>
      <c r="I76" s="30" t="str">
        <f t="shared" si="6"/>
        <v>OK</v>
      </c>
    </row>
    <row r="77" spans="1:9" x14ac:dyDescent="0.25">
      <c r="A77" s="21">
        <v>190</v>
      </c>
      <c r="B77" s="21" t="s">
        <v>286</v>
      </c>
      <c r="C77" s="21" t="s">
        <v>84</v>
      </c>
      <c r="D77" s="21" t="s">
        <v>26</v>
      </c>
      <c r="E77" s="27">
        <f>SUMPRODUCT((TableBOM[Item ID]=A77)*TableBOM[Per 1000 Units]*(1+TableBOM[Scrap %])*SUMIF($D$3:$D$8,TableBOM[Product ID],$H$3:$H$8)/1000)</f>
        <v>1.65</v>
      </c>
      <c r="F77" s="27">
        <f>IFERROR(INDEX(TableInventory[Store Balance],MATCH(A77,TableInventory[Item ID],0)),0)+IFERROR(INDEX(TableInventory[Work In Process],MATCH(A77,TableInventory[Item ID],0)),0)</f>
        <v>150</v>
      </c>
      <c r="G77" s="31">
        <f t="shared" si="7"/>
        <v>148.35</v>
      </c>
      <c r="H77" s="28" t="str">
        <f>IF(LEN(IF((COUNTIFS(TableBOM[Product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ID],$D$8,TableBOM[Item ID],$A77)&gt;0)*($H$8&gt;0),$C$8&amp;", ",""))&gt;1,LEFT(IF((COUNTIFS(TableBOM[Product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ID],$D$8,TableBOM[Item ID],$A77)&gt;0)*($H$8&gt;0),$C$8&amp;", ",""),LEN(IF((COUNTIFS(TableBOM[Product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ID],$D$8,TableBOM[Item ID],$A77)&gt;0)*($H$8&gt;0),$C$8&amp;", ",""))-2),"")</f>
        <v>ECZEMUS OINTMENT 0.03% 10G</v>
      </c>
      <c r="I77" s="30" t="str">
        <f t="shared" si="6"/>
        <v>OK</v>
      </c>
    </row>
    <row r="78" spans="1:9" ht="15" hidden="1" customHeight="1" x14ac:dyDescent="0.25">
      <c r="A78" s="21">
        <v>191</v>
      </c>
      <c r="B78" s="21" t="s">
        <v>286</v>
      </c>
      <c r="C78" s="21" t="s">
        <v>287</v>
      </c>
      <c r="D78" s="21" t="s">
        <v>26</v>
      </c>
      <c r="E78" s="27">
        <f>SUMPRODUCT((TableBOM[Item ID]=A78)*TableBOM[Per 1000 Units]*(1+TableBOM[Scrap %])*SUMIF($D$3:$D$8,TableBOM[Product ID],$H$3:$H$8)/1000)</f>
        <v>0</v>
      </c>
      <c r="F78" s="27">
        <f>IFERROR(INDEX(TableInventory[Store Balance],MATCH(A78,TableInventory[Item ID],0)),0)+IFERROR(INDEX(TableInventory[Work In Process],MATCH(A78,TableInventory[Item ID],0)),0)</f>
        <v>75</v>
      </c>
      <c r="G78" s="31">
        <f t="shared" si="7"/>
        <v>75</v>
      </c>
      <c r="H78" s="28" t="str">
        <f>IF(LEN(IF((COUNTIFS(TableBOM[Product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ID],$D$8,TableBOM[Item ID],$A78)&gt;0)*($H$8&gt;0),$C$8&amp;", ",""))&gt;1,LEFT(IF((COUNTIFS(TableBOM[Product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ID],$D$8,TableBOM[Item ID],$A78)&gt;0)*($H$8&gt;0),$C$8&amp;", ",""),LEN(IF((COUNTIFS(TableBOM[Product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ID],$D$8,TableBOM[Item ID],$A78)&gt;0)*($H$8&gt;0),$C$8&amp;", ",""))-2),"")</f>
        <v/>
      </c>
      <c r="I78" s="30" t="str">
        <f t="shared" si="6"/>
        <v>Not needed</v>
      </c>
    </row>
    <row r="79" spans="1:9" ht="15" hidden="1" customHeight="1" x14ac:dyDescent="0.25">
      <c r="A79" s="21">
        <v>2680</v>
      </c>
      <c r="B79" s="21" t="s">
        <v>288</v>
      </c>
      <c r="C79" s="21" t="s">
        <v>118</v>
      </c>
      <c r="D79" s="21" t="s">
        <v>14</v>
      </c>
      <c r="E79" s="27">
        <f>SUMPRODUCT((TableBOM[Item ID]=A79)*TableBOM[Per 1000 Units]*(1+TableBOM[Scrap %])*SUMIF($D$3:$D$8,TableBOM[Product ID],$H$3:$H$8)/1000)</f>
        <v>0</v>
      </c>
      <c r="F79" s="27">
        <f>IFERROR(INDEX(TableInventory[Store Balance],MATCH(A79,TableInventory[Item ID],0)),0)+IFERROR(INDEX(TableInventory[Work In Process],MATCH(A79,TableInventory[Item ID],0)),0)</f>
        <v>2000</v>
      </c>
      <c r="G79" s="31">
        <f t="shared" si="7"/>
        <v>2000</v>
      </c>
      <c r="H79" s="28" t="str">
        <f>IF(LEN(IF((COUNTIFS(TableBOM[Product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ID],$D$8,TableBOM[Item ID],$A79)&gt;0)*($H$8&gt;0),$C$8&amp;", ",""))&gt;1,LEFT(IF((COUNTIFS(TableBOM[Product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ID],$D$8,TableBOM[Item ID],$A79)&gt;0)*($H$8&gt;0),$C$8&amp;", ",""),LEN(IF((COUNTIFS(TableBOM[Product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ID],$D$8,TableBOM[Item ID],$A79)&gt;0)*($H$8&gt;0),$C$8&amp;", ",""))-2),"")</f>
        <v/>
      </c>
      <c r="I79" s="30" t="str">
        <f t="shared" si="6"/>
        <v>Not needed</v>
      </c>
    </row>
    <row r="80" spans="1:9" ht="15" hidden="1" customHeight="1" x14ac:dyDescent="0.25">
      <c r="A80" s="21">
        <v>3492</v>
      </c>
      <c r="B80" s="21" t="s">
        <v>289</v>
      </c>
      <c r="C80" s="21" t="s">
        <v>120</v>
      </c>
      <c r="D80" s="21" t="s">
        <v>14</v>
      </c>
      <c r="E80" s="27">
        <f>SUMPRODUCT((TableBOM[Item ID]=A80)*TableBOM[Per 1000 Units]*(1+TableBOM[Scrap %])*SUMIF($D$3:$D$8,TableBOM[Product ID],$H$3:$H$8)/1000)</f>
        <v>0</v>
      </c>
      <c r="F80" s="27">
        <f>IFERROR(INDEX(TableInventory[Store Balance],MATCH(A80,TableInventory[Item ID],0)),0)+IFERROR(INDEX(TableInventory[Work In Process],MATCH(A80,TableInventory[Item ID],0)),0)</f>
        <v>75</v>
      </c>
      <c r="G80" s="31">
        <f t="shared" si="7"/>
        <v>75</v>
      </c>
      <c r="H80" s="28" t="str">
        <f>IF(LEN(IF((COUNTIFS(TableBOM[Product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ID],$D$8,TableBOM[Item ID],$A80)&gt;0)*($H$8&gt;0),$C$8&amp;", ",""))&gt;1,LEFT(IF((COUNTIFS(TableBOM[Product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ID],$D$8,TableBOM[Item ID],$A80)&gt;0)*($H$8&gt;0),$C$8&amp;", ",""),LEN(IF((COUNTIFS(TableBOM[Product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ID],$D$8,TableBOM[Item ID],$A80)&gt;0)*($H$8&gt;0),$C$8&amp;", ",""))-2),"")</f>
        <v/>
      </c>
      <c r="I80" s="30" t="str">
        <f t="shared" si="6"/>
        <v>Not needed</v>
      </c>
    </row>
    <row r="81" spans="1:9" ht="15" hidden="1" customHeight="1" x14ac:dyDescent="0.25">
      <c r="A81" s="21">
        <v>4002</v>
      </c>
      <c r="B81" s="21" t="s">
        <v>289</v>
      </c>
      <c r="C81" s="21" t="s">
        <v>121</v>
      </c>
      <c r="D81" s="21" t="s">
        <v>14</v>
      </c>
      <c r="E81" s="27">
        <f>SUMPRODUCT((TableBOM[Item ID]=A81)*TableBOM[Per 1000 Units]*(1+TableBOM[Scrap %])*SUMIF($D$3:$D$8,TableBOM[Product ID],$H$3:$H$8)/1000)</f>
        <v>0</v>
      </c>
      <c r="F81" s="27">
        <f>IFERROR(INDEX(TableInventory[Store Balance],MATCH(A81,TableInventory[Item ID],0)),0)+IFERROR(INDEX(TableInventory[Work In Process],MATCH(A81,TableInventory[Item ID],0)),0)</f>
        <v>100</v>
      </c>
      <c r="G81" s="31">
        <f t="shared" si="7"/>
        <v>100</v>
      </c>
      <c r="H81" s="28" t="str">
        <f>IF(LEN(IF((COUNTIFS(TableBOM[Product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ID],$D$8,TableBOM[Item ID],$A81)&gt;0)*($H$8&gt;0),$C$8&amp;", ",""))&gt;1,LEFT(IF((COUNTIFS(TableBOM[Product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ID],$D$8,TableBOM[Item ID],$A81)&gt;0)*($H$8&gt;0),$C$8&amp;", ",""),LEN(IF((COUNTIFS(TableBOM[Product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ID],$D$8,TableBOM[Item ID],$A81)&gt;0)*($H$8&gt;0),$C$8&amp;", ",""))-2),"")</f>
        <v/>
      </c>
      <c r="I81" s="30" t="str">
        <f t="shared" si="6"/>
        <v>Not needed</v>
      </c>
    </row>
    <row r="82" spans="1:9" ht="15" hidden="1" customHeight="1" x14ac:dyDescent="0.25">
      <c r="A82" s="21">
        <v>4070</v>
      </c>
      <c r="B82" s="21" t="s">
        <v>289</v>
      </c>
      <c r="C82" s="21" t="s">
        <v>122</v>
      </c>
      <c r="D82" s="21" t="s">
        <v>14</v>
      </c>
      <c r="E82" s="27">
        <f>SUMPRODUCT((TableBOM[Item ID]=A82)*TableBOM[Per 1000 Units]*(1+TableBOM[Scrap %])*SUMIF($D$3:$D$8,TableBOM[Product ID],$H$3:$H$8)/1000)</f>
        <v>0</v>
      </c>
      <c r="F82" s="27">
        <f>IFERROR(INDEX(TableInventory[Store Balance],MATCH(A82,TableInventory[Item ID],0)),0)+IFERROR(INDEX(TableInventory[Work In Process],MATCH(A82,TableInventory[Item ID],0)),0)</f>
        <v>0</v>
      </c>
      <c r="G82" s="31">
        <f t="shared" si="7"/>
        <v>0</v>
      </c>
      <c r="H82" s="28" t="str">
        <f>IF(LEN(IF((COUNTIFS(TableBOM[Product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ID],$D$8,TableBOM[Item ID],$A82)&gt;0)*($H$8&gt;0),$C$8&amp;", ",""))&gt;1,LEFT(IF((COUNTIFS(TableBOM[Product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ID],$D$8,TableBOM[Item ID],$A82)&gt;0)*($H$8&gt;0),$C$8&amp;", ",""),LEN(IF((COUNTIFS(TableBOM[Product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ID],$D$8,TableBOM[Item ID],$A82)&gt;0)*($H$8&gt;0),$C$8&amp;", ",""))-2),"")</f>
        <v/>
      </c>
      <c r="I82" s="30" t="str">
        <f t="shared" si="6"/>
        <v>Not needed</v>
      </c>
    </row>
    <row r="83" spans="1:9" ht="15" hidden="1" customHeight="1" x14ac:dyDescent="0.25">
      <c r="A83" s="21">
        <v>4310</v>
      </c>
      <c r="B83" s="21" t="s">
        <v>289</v>
      </c>
      <c r="C83" s="21" t="s">
        <v>123</v>
      </c>
      <c r="D83" s="21" t="s">
        <v>14</v>
      </c>
      <c r="E83" s="27">
        <f>SUMPRODUCT((TableBOM[Item ID]=A83)*TableBOM[Per 1000 Units]*(1+TableBOM[Scrap %])*SUMIF($D$3:$D$8,TableBOM[Product ID],$H$3:$H$8)/1000)</f>
        <v>0</v>
      </c>
      <c r="F83" s="27">
        <f>IFERROR(INDEX(TableInventory[Store Balance],MATCH(A83,TableInventory[Item ID],0)),0)+IFERROR(INDEX(TableInventory[Work In Process],MATCH(A83,TableInventory[Item ID],0)),0)</f>
        <v>36.229999999999997</v>
      </c>
      <c r="G83" s="31">
        <f t="shared" si="7"/>
        <v>36.229999999999997</v>
      </c>
      <c r="H83" s="28" t="str">
        <f>IF(LEN(IF((COUNTIFS(TableBOM[Product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ID],$D$8,TableBOM[Item ID],$A83)&gt;0)*($H$8&gt;0),$C$8&amp;", ",""))&gt;1,LEFT(IF((COUNTIFS(TableBOM[Product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ID],$D$8,TableBOM[Item ID],$A83)&gt;0)*($H$8&gt;0),$C$8&amp;", ",""),LEN(IF((COUNTIFS(TableBOM[Product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ID],$D$8,TableBOM[Item ID],$A83)&gt;0)*($H$8&gt;0),$C$8&amp;", ",""))-2),"")</f>
        <v/>
      </c>
      <c r="I83" s="30" t="str">
        <f t="shared" si="6"/>
        <v>Not needed</v>
      </c>
    </row>
    <row r="84" spans="1:9" ht="15" hidden="1" customHeight="1" x14ac:dyDescent="0.25">
      <c r="A84" s="21">
        <v>5625</v>
      </c>
      <c r="B84" s="21" t="s">
        <v>289</v>
      </c>
      <c r="C84" s="21" t="s">
        <v>124</v>
      </c>
      <c r="D84" s="21" t="s">
        <v>14</v>
      </c>
      <c r="E84" s="27">
        <f>SUMPRODUCT((TableBOM[Item ID]=A84)*TableBOM[Per 1000 Units]*(1+TableBOM[Scrap %])*SUMIF($D$3:$D$8,TableBOM[Product ID],$H$3:$H$8)/1000)</f>
        <v>0</v>
      </c>
      <c r="F84" s="27">
        <f>IFERROR(INDEX(TableInventory[Store Balance],MATCH(A84,TableInventory[Item ID],0)),0)+IFERROR(INDEX(TableInventory[Work In Process],MATCH(A84,TableInventory[Item ID],0)),0)</f>
        <v>48.5</v>
      </c>
      <c r="G84" s="31">
        <f t="shared" si="7"/>
        <v>48.5</v>
      </c>
      <c r="H84" s="28" t="str">
        <f>IF(LEN(IF((COUNTIFS(TableBOM[Product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ID],$D$8,TableBOM[Item ID],$A84)&gt;0)*($H$8&gt;0),$C$8&amp;", ",""))&gt;1,LEFT(IF((COUNTIFS(TableBOM[Product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ID],$D$8,TableBOM[Item ID],$A84)&gt;0)*($H$8&gt;0),$C$8&amp;", ",""),LEN(IF((COUNTIFS(TableBOM[Product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ID],$D$8,TableBOM[Item ID],$A84)&gt;0)*($H$8&gt;0),$C$8&amp;", ",""))-2),"")</f>
        <v/>
      </c>
      <c r="I84" s="30" t="str">
        <f t="shared" si="6"/>
        <v>Not needed</v>
      </c>
    </row>
    <row r="85" spans="1:9" ht="15" hidden="1" customHeight="1" x14ac:dyDescent="0.25">
      <c r="A85" s="21">
        <v>5816</v>
      </c>
      <c r="B85" s="21" t="s">
        <v>289</v>
      </c>
      <c r="C85" s="21" t="s">
        <v>125</v>
      </c>
      <c r="D85" s="21" t="s">
        <v>14</v>
      </c>
      <c r="E85" s="27">
        <f>SUMPRODUCT((TableBOM[Item ID]=A85)*TableBOM[Per 1000 Units]*(1+TableBOM[Scrap %])*SUMIF($D$3:$D$8,TableBOM[Product ID],$H$3:$H$8)/1000)</f>
        <v>0</v>
      </c>
      <c r="F85" s="27">
        <f>IFERROR(INDEX(TableInventory[Store Balance],MATCH(A85,TableInventory[Item ID],0)),0)+IFERROR(INDEX(TableInventory[Work In Process],MATCH(A85,TableInventory[Item ID],0)),0)</f>
        <v>0</v>
      </c>
      <c r="G85" s="31">
        <f t="shared" si="7"/>
        <v>0</v>
      </c>
      <c r="H85" s="28" t="str">
        <f>IF(LEN(IF((COUNTIFS(TableBOM[Product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ID],$D$8,TableBOM[Item ID],$A85)&gt;0)*($H$8&gt;0),$C$8&amp;", ",""))&gt;1,LEFT(IF((COUNTIFS(TableBOM[Product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ID],$D$8,TableBOM[Item ID],$A85)&gt;0)*($H$8&gt;0),$C$8&amp;", ",""),LEN(IF((COUNTIFS(TableBOM[Product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ID],$D$8,TableBOM[Item ID],$A85)&gt;0)*($H$8&gt;0),$C$8&amp;", ",""))-2),"")</f>
        <v/>
      </c>
      <c r="I85" s="30" t="str">
        <f t="shared" si="6"/>
        <v>Not needed</v>
      </c>
    </row>
    <row r="86" spans="1:9" ht="15" hidden="1" customHeight="1" x14ac:dyDescent="0.25">
      <c r="A86" s="21">
        <v>6135</v>
      </c>
      <c r="B86" s="21" t="s">
        <v>289</v>
      </c>
      <c r="C86" s="21" t="s">
        <v>126</v>
      </c>
      <c r="D86" s="21" t="s">
        <v>14</v>
      </c>
      <c r="E86" s="27">
        <f>SUMPRODUCT((TableBOM[Item ID]=A86)*TableBOM[Per 1000 Units]*(1+TableBOM[Scrap %])*SUMIF($D$3:$D$8,TableBOM[Product ID],$H$3:$H$8)/1000)</f>
        <v>0</v>
      </c>
      <c r="F86" s="27">
        <f>IFERROR(INDEX(TableInventory[Store Balance],MATCH(A86,TableInventory[Item ID],0)),0)+IFERROR(INDEX(TableInventory[Work In Process],MATCH(A86,TableInventory[Item ID],0)),0)</f>
        <v>200</v>
      </c>
      <c r="G86" s="31">
        <f t="shared" si="7"/>
        <v>200</v>
      </c>
      <c r="H86" s="28" t="str">
        <f>IF(LEN(IF((COUNTIFS(TableBOM[Product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ID],$D$8,TableBOM[Item ID],$A86)&gt;0)*($H$8&gt;0),$C$8&amp;", ",""))&gt;1,LEFT(IF((COUNTIFS(TableBOM[Product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ID],$D$8,TableBOM[Item ID],$A86)&gt;0)*($H$8&gt;0),$C$8&amp;", ",""),LEN(IF((COUNTIFS(TableBOM[Product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ID],$D$8,TableBOM[Item ID],$A86)&gt;0)*($H$8&gt;0),$C$8&amp;", ",""))-2),"")</f>
        <v/>
      </c>
      <c r="I86" s="30" t="str">
        <f t="shared" si="6"/>
        <v>Not needed</v>
      </c>
    </row>
    <row r="87" spans="1:9" ht="15" hidden="1" customHeight="1" x14ac:dyDescent="0.25">
      <c r="A87" s="21">
        <v>7133</v>
      </c>
      <c r="B87" s="21" t="s">
        <v>289</v>
      </c>
      <c r="C87" s="21" t="s">
        <v>127</v>
      </c>
      <c r="D87" s="21" t="s">
        <v>14</v>
      </c>
      <c r="E87" s="27">
        <f>SUMPRODUCT((TableBOM[Item ID]=A87)*TableBOM[Per 1000 Units]*(1+TableBOM[Scrap %])*SUMIF($D$3:$D$8,TableBOM[Product ID],$H$3:$H$8)/1000)</f>
        <v>0</v>
      </c>
      <c r="F87" s="27">
        <f>IFERROR(INDEX(TableInventory[Store Balance],MATCH(A87,TableInventory[Item ID],0)),0)+IFERROR(INDEX(TableInventory[Work In Process],MATCH(A87,TableInventory[Item ID],0)),0)</f>
        <v>20</v>
      </c>
      <c r="G87" s="31">
        <f t="shared" si="7"/>
        <v>20</v>
      </c>
      <c r="H87" s="28" t="str">
        <f>IF(LEN(IF((COUNTIFS(TableBOM[Product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ID],$D$8,TableBOM[Item ID],$A87)&gt;0)*($H$8&gt;0),$C$8&amp;", ",""))&gt;1,LEFT(IF((COUNTIFS(TableBOM[Product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ID],$D$8,TableBOM[Item ID],$A87)&gt;0)*($H$8&gt;0),$C$8&amp;", ",""),LEN(IF((COUNTIFS(TableBOM[Product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ID],$D$8,TableBOM[Item ID],$A87)&gt;0)*($H$8&gt;0),$C$8&amp;", ",""))-2),"")</f>
        <v/>
      </c>
      <c r="I87" s="30" t="str">
        <f t="shared" si="6"/>
        <v>Not needed</v>
      </c>
    </row>
    <row r="88" spans="1:9" ht="15" hidden="1" customHeight="1" x14ac:dyDescent="0.25">
      <c r="A88" s="21">
        <v>7412</v>
      </c>
      <c r="B88" s="21" t="s">
        <v>289</v>
      </c>
      <c r="C88" s="21" t="s">
        <v>128</v>
      </c>
      <c r="D88" s="21" t="s">
        <v>14</v>
      </c>
      <c r="E88" s="27">
        <f>SUMPRODUCT((TableBOM[Item ID]=A88)*TableBOM[Per 1000 Units]*(1+TableBOM[Scrap %])*SUMIF($D$3:$D$8,TableBOM[Product ID],$H$3:$H$8)/1000)</f>
        <v>0</v>
      </c>
      <c r="F88" s="27">
        <f>IFERROR(INDEX(TableInventory[Store Balance],MATCH(A88,TableInventory[Item ID],0)),0)+IFERROR(INDEX(TableInventory[Work In Process],MATCH(A88,TableInventory[Item ID],0)),0)</f>
        <v>25</v>
      </c>
      <c r="G88" s="31">
        <f t="shared" si="7"/>
        <v>25</v>
      </c>
      <c r="H88" s="28" t="str">
        <f>IF(LEN(IF((COUNTIFS(TableBOM[Product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ID],$D$8,TableBOM[Item ID],$A88)&gt;0)*($H$8&gt;0),$C$8&amp;", ",""))&gt;1,LEFT(IF((COUNTIFS(TableBOM[Product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ID],$D$8,TableBOM[Item ID],$A88)&gt;0)*($H$8&gt;0),$C$8&amp;", ",""),LEN(IF((COUNTIFS(TableBOM[Product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ID],$D$8,TableBOM[Item ID],$A88)&gt;0)*($H$8&gt;0),$C$8&amp;", ",""))-2),"")</f>
        <v/>
      </c>
      <c r="I88" s="30" t="str">
        <f t="shared" si="6"/>
        <v>Not needed</v>
      </c>
    </row>
    <row r="89" spans="1:9" ht="15" hidden="1" customHeight="1" x14ac:dyDescent="0.25">
      <c r="A89" s="21">
        <v>3752</v>
      </c>
      <c r="B89" s="21" t="s">
        <v>290</v>
      </c>
      <c r="C89" s="21" t="s">
        <v>130</v>
      </c>
      <c r="D89" s="21" t="s">
        <v>14</v>
      </c>
      <c r="E89" s="27">
        <f>SUMPRODUCT((TableBOM[Item ID]=A89)*TableBOM[Per 1000 Units]*(1+TableBOM[Scrap %])*SUMIF($D$3:$D$8,TableBOM[Product ID],$H$3:$H$8)/1000)</f>
        <v>0</v>
      </c>
      <c r="F89" s="27">
        <f>IFERROR(INDEX(TableInventory[Store Balance],MATCH(A89,TableInventory[Item ID],0)),0)+IFERROR(INDEX(TableInventory[Work In Process],MATCH(A89,TableInventory[Item ID],0)),0)</f>
        <v>56</v>
      </c>
      <c r="G89" s="31">
        <f t="shared" si="7"/>
        <v>56</v>
      </c>
      <c r="H89" s="28" t="str">
        <f>IF(LEN(IF((COUNTIFS(TableBOM[Product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ID],$D$8,TableBOM[Item ID],$A89)&gt;0)*($H$8&gt;0),$C$8&amp;", ",""))&gt;1,LEFT(IF((COUNTIFS(TableBOM[Product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ID],$D$8,TableBOM[Item ID],$A89)&gt;0)*($H$8&gt;0),$C$8&amp;", ",""),LEN(IF((COUNTIFS(TableBOM[Product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ID],$D$8,TableBOM[Item ID],$A89)&gt;0)*($H$8&gt;0),$C$8&amp;", ",""))-2),"")</f>
        <v/>
      </c>
      <c r="I89" s="30" t="str">
        <f t="shared" si="6"/>
        <v>Not needed</v>
      </c>
    </row>
    <row r="90" spans="1:9" ht="15" hidden="1" customHeight="1" x14ac:dyDescent="0.25">
      <c r="A90" s="21">
        <v>4248</v>
      </c>
      <c r="B90" s="21" t="s">
        <v>290</v>
      </c>
      <c r="C90" s="21" t="s">
        <v>131</v>
      </c>
      <c r="D90" s="21" t="s">
        <v>14</v>
      </c>
      <c r="E90" s="27">
        <f>SUMPRODUCT((TableBOM[Item ID]=A90)*TableBOM[Per 1000 Units]*(1+TableBOM[Scrap %])*SUMIF($D$3:$D$8,TableBOM[Product ID],$H$3:$H$8)/1000)</f>
        <v>0</v>
      </c>
      <c r="F90" s="27">
        <f>IFERROR(INDEX(TableInventory[Store Balance],MATCH(A90,TableInventory[Item ID],0)),0)+IFERROR(INDEX(TableInventory[Work In Process],MATCH(A90,TableInventory[Item ID],0)),0)</f>
        <v>250</v>
      </c>
      <c r="G90" s="31">
        <f t="shared" si="7"/>
        <v>250</v>
      </c>
      <c r="H90" s="28" t="str">
        <f>IF(LEN(IF((COUNTIFS(TableBOM[Product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ID],$D$8,TableBOM[Item ID],$A90)&gt;0)*($H$8&gt;0),$C$8&amp;", ",""))&gt;1,LEFT(IF((COUNTIFS(TableBOM[Product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ID],$D$8,TableBOM[Item ID],$A90)&gt;0)*($H$8&gt;0),$C$8&amp;", ",""),LEN(IF((COUNTIFS(TableBOM[Product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ID],$D$8,TableBOM[Item ID],$A90)&gt;0)*($H$8&gt;0),$C$8&amp;", ",""))-2),"")</f>
        <v/>
      </c>
      <c r="I90" s="30" t="str">
        <f t="shared" si="6"/>
        <v>Not needed</v>
      </c>
    </row>
    <row r="91" spans="1:9" ht="16.5" hidden="1" customHeight="1" x14ac:dyDescent="0.25">
      <c r="A91" s="21">
        <v>6042</v>
      </c>
      <c r="B91" s="21" t="s">
        <v>290</v>
      </c>
      <c r="C91" s="21" t="s">
        <v>132</v>
      </c>
      <c r="D91" s="21" t="s">
        <v>14</v>
      </c>
      <c r="E91" s="27">
        <f>SUMPRODUCT((TableBOM[Item ID]=A91)*TableBOM[Per 1000 Units]*(1+TableBOM[Scrap %])*SUMIF($D$3:$D$8,TableBOM[Product ID],$H$3:$H$8)/1000)</f>
        <v>0</v>
      </c>
      <c r="F91" s="27">
        <f>IFERROR(INDEX(TableInventory[Store Balance],MATCH(A91,TableInventory[Item ID],0)),0)+IFERROR(INDEX(TableInventory[Work In Process],MATCH(A91,TableInventory[Item ID],0)),0)</f>
        <v>25</v>
      </c>
      <c r="G91" s="31">
        <f t="shared" si="7"/>
        <v>25</v>
      </c>
      <c r="H91" s="28" t="str">
        <f>IF(LEN(IF((COUNTIFS(TableBOM[Product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ID],$D$8,TableBOM[Item ID],$A91)&gt;0)*($H$8&gt;0),$C$8&amp;", ",""))&gt;1,LEFT(IF((COUNTIFS(TableBOM[Product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ID],$D$8,TableBOM[Item ID],$A91)&gt;0)*($H$8&gt;0),$C$8&amp;", ",""),LEN(IF((COUNTIFS(TableBOM[Product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ID],$D$8,TableBOM[Item ID],$A91)&gt;0)*($H$8&gt;0),$C$8&amp;", ",""))-2),"")</f>
        <v/>
      </c>
      <c r="I91" s="30" t="str">
        <f t="shared" si="6"/>
        <v>Not needed</v>
      </c>
    </row>
    <row r="92" spans="1:9" ht="15" hidden="1" customHeight="1" x14ac:dyDescent="0.25">
      <c r="A92" s="21">
        <v>2267</v>
      </c>
      <c r="B92" s="21" t="s">
        <v>291</v>
      </c>
      <c r="C92" s="21" t="s">
        <v>134</v>
      </c>
      <c r="D92" s="21" t="s">
        <v>48</v>
      </c>
      <c r="E92" s="27">
        <f>SUMPRODUCT((TableBOM[Item ID]=A92)*TableBOM[Per 1000 Units]*(1+TableBOM[Scrap %])*SUMIF($D$3:$D$8,TableBOM[Product ID],$H$3:$H$8)/1000)</f>
        <v>0</v>
      </c>
      <c r="F92" s="27">
        <f>IFERROR(INDEX(TableInventory[Store Balance],MATCH(A92,TableInventory[Item ID],0)),0)+IFERROR(INDEX(TableInventory[Work In Process],MATCH(A92,TableInventory[Item ID],0)),0)</f>
        <v>75</v>
      </c>
      <c r="G92" s="31">
        <f t="shared" si="7"/>
        <v>75</v>
      </c>
      <c r="H92" s="28" t="str">
        <f>IF(LEN(IF((COUNTIFS(TableBOM[Product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ID],$D$8,TableBOM[Item ID],$A92)&gt;0)*($H$8&gt;0),$C$8&amp;", ",""))&gt;1,LEFT(IF((COUNTIFS(TableBOM[Product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ID],$D$8,TableBOM[Item ID],$A92)&gt;0)*($H$8&gt;0),$C$8&amp;", ",""),LEN(IF((COUNTIFS(TableBOM[Product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ID],$D$8,TableBOM[Item ID],$A92)&gt;0)*($H$8&gt;0),$C$8&amp;", ",""))-2),"")</f>
        <v/>
      </c>
      <c r="I92" s="30" t="str">
        <f t="shared" si="6"/>
        <v>Not needed</v>
      </c>
    </row>
    <row r="93" spans="1:9" ht="15" hidden="1" customHeight="1" x14ac:dyDescent="0.25">
      <c r="A93" s="21">
        <v>3043</v>
      </c>
      <c r="B93" s="21" t="s">
        <v>292</v>
      </c>
      <c r="C93" s="21" t="s">
        <v>137</v>
      </c>
      <c r="D93" s="21" t="s">
        <v>138</v>
      </c>
      <c r="E93" s="27">
        <f>SUMPRODUCT((TableBOM[Item ID]=A93)*TableBOM[Per 1000 Units]*(1+TableBOM[Scrap %])*SUMIF($D$3:$D$8,TableBOM[Product ID],$H$3:$H$8)/1000)</f>
        <v>0</v>
      </c>
      <c r="F93" s="27">
        <f>IFERROR(INDEX(TableInventory[Store Balance],MATCH(A93,TableInventory[Item ID],0)),0)+IFERROR(INDEX(TableInventory[Work In Process],MATCH(A93,TableInventory[Item ID],0)),0)</f>
        <v>0</v>
      </c>
      <c r="G93" s="31">
        <f t="shared" si="7"/>
        <v>0</v>
      </c>
      <c r="H93" s="28" t="str">
        <f>IF(LEN(IF((COUNTIFS(TableBOM[Product ID],$D$3,TableBOM[Item ID],$A93)&gt;0)*($H$3&gt;0),$C$3&amp;", ","") &amp; IF((COUNTIFS(TableBOM[Product ID],$D$4,TableBOM[Item ID],$A93)&gt;0)*($H$4&gt;0),$C$4&amp;", ","") &amp; IF((COUNTIFS(TableBOM[Product ID],$D$5,TableBOM[Item ID],$A93)&gt;0)*($H$5&gt;0),$C$5&amp;", ","") &amp; IF((COUNTIFS(TableBOM[Product ID],$D$6,TableBOM[Item ID],$A93)&gt;0)*($H$6&gt;0),$C$6&amp;", ","") &amp; IF((COUNTIFS(TableBOM[Product ID],$D$7,TableBOM[Item ID],$A93)&gt;0)*($H$7&gt;0),$C$7&amp;", ","") &amp; IF((COUNTIFS(TableBOM[Product ID],$D$8,TableBOM[Item ID],$A93)&gt;0)*($H$8&gt;0),$C$8&amp;", ",""))&gt;1,LEFT(IF((COUNTIFS(TableBOM[Product ID],$D$3,TableBOM[Item ID],$A93)&gt;0)*($H$3&gt;0),$C$3&amp;", ","") &amp; IF((COUNTIFS(TableBOM[Product ID],$D$4,TableBOM[Item ID],$A93)&gt;0)*($H$4&gt;0),$C$4&amp;", ","") &amp; IF((COUNTIFS(TableBOM[Product ID],$D$5,TableBOM[Item ID],$A93)&gt;0)*($H$5&gt;0),$C$5&amp;", ","") &amp; IF((COUNTIFS(TableBOM[Product ID],$D$6,TableBOM[Item ID],$A93)&gt;0)*($H$6&gt;0),$C$6&amp;", ","") &amp; IF((COUNTIFS(TableBOM[Product ID],$D$7,TableBOM[Item ID],$A93)&gt;0)*($H$7&gt;0),$C$7&amp;", ","") &amp; IF((COUNTIFS(TableBOM[Product ID],$D$8,TableBOM[Item ID],$A93)&gt;0)*($H$8&gt;0),$C$8&amp;", ",""),LEN(IF((COUNTIFS(TableBOM[Product ID],$D$3,TableBOM[Item ID],$A93)&gt;0)*($H$3&gt;0),$C$3&amp;", ","") &amp; IF((COUNTIFS(TableBOM[Product ID],$D$4,TableBOM[Item ID],$A93)&gt;0)*($H$4&gt;0),$C$4&amp;", ","") &amp; IF((COUNTIFS(TableBOM[Product ID],$D$5,TableBOM[Item ID],$A93)&gt;0)*($H$5&gt;0),$C$5&amp;", ","") &amp; IF((COUNTIFS(TableBOM[Product ID],$D$6,TableBOM[Item ID],$A93)&gt;0)*($H$6&gt;0),$C$6&amp;", ","") &amp; IF((COUNTIFS(TableBOM[Product ID],$D$7,TableBOM[Item ID],$A93)&gt;0)*($H$7&gt;0),$C$7&amp;", ","") &amp; IF((COUNTIFS(TableBOM[Product ID],$D$8,TableBOM[Item ID],$A93)&gt;0)*($H$8&gt;0),$C$8&amp;", ",""))-2),"")</f>
        <v/>
      </c>
      <c r="I93" s="30" t="str">
        <f t="shared" si="6"/>
        <v>Not needed</v>
      </c>
    </row>
    <row r="94" spans="1:9" ht="15" customHeight="1" x14ac:dyDescent="0.25">
      <c r="A94" s="21"/>
      <c r="B94" s="21"/>
      <c r="C94" s="21"/>
      <c r="D94" s="21"/>
      <c r="E94" s="33"/>
      <c r="F94" s="33"/>
      <c r="G94" s="22"/>
      <c r="H94" s="28"/>
      <c r="I94" s="30"/>
    </row>
    <row r="95" spans="1:9" ht="15" customHeight="1" x14ac:dyDescent="0.25">
      <c r="A95" s="21"/>
      <c r="B95" s="21"/>
      <c r="C95" s="21"/>
      <c r="D95" s="21"/>
      <c r="E95" s="33"/>
      <c r="F95" s="33"/>
      <c r="G95" s="22"/>
      <c r="H95" s="28"/>
      <c r="I95" s="30"/>
    </row>
    <row r="96" spans="1:9" ht="15" customHeight="1" x14ac:dyDescent="0.25">
      <c r="A96" s="180" t="s">
        <v>293</v>
      </c>
      <c r="B96" s="180"/>
      <c r="C96" s="180"/>
      <c r="D96" s="180"/>
      <c r="E96" s="180"/>
      <c r="F96" s="180"/>
      <c r="G96" s="180"/>
      <c r="H96" s="180"/>
      <c r="I96" s="180"/>
    </row>
    <row r="97" spans="1:19" ht="15" customHeight="1" x14ac:dyDescent="0.25">
      <c r="A97" s="12" t="s">
        <v>156</v>
      </c>
      <c r="B97" s="12" t="s">
        <v>154</v>
      </c>
      <c r="C97" s="13" t="s">
        <v>155</v>
      </c>
      <c r="D97" s="13" t="s">
        <v>252</v>
      </c>
      <c r="E97" s="14" t="s">
        <v>253</v>
      </c>
      <c r="F97" s="14" t="s">
        <v>254</v>
      </c>
      <c r="G97" s="15" t="s">
        <v>255</v>
      </c>
      <c r="H97" s="12" t="s">
        <v>256</v>
      </c>
      <c r="I97" s="13" t="s">
        <v>294</v>
      </c>
      <c r="J97" s="11"/>
      <c r="K97" s="11"/>
      <c r="L97" s="11"/>
      <c r="M97" s="11"/>
      <c r="N97" s="11"/>
      <c r="O97" s="11"/>
      <c r="P97" s="11"/>
      <c r="Q97" s="11"/>
      <c r="R97" s="11"/>
      <c r="S97" s="2"/>
    </row>
    <row r="98" spans="1:19" ht="15" customHeight="1" x14ac:dyDescent="0.25">
      <c r="A98" s="35" t="s">
        <v>188</v>
      </c>
      <c r="B98" s="35" t="s">
        <v>169</v>
      </c>
      <c r="C98" s="36" t="s">
        <v>187</v>
      </c>
      <c r="D98" s="35">
        <v>8005</v>
      </c>
      <c r="E98" s="37" t="s">
        <v>295</v>
      </c>
      <c r="F98" s="37">
        <f>INDEX(Tubex_Dashboard!$G$11:$G$61,MATCH(MRP!D98,Tubex_Dashboard!$F$11:$F$61,0))</f>
        <v>19840</v>
      </c>
      <c r="G98" s="38">
        <f>INDEX(Tubex_Dashboard!$H$11:$H$100,MATCH(MRP!D98,Tubex_Dashboard!$F$11:$F$100,0))</f>
        <v>0</v>
      </c>
      <c r="H98" s="39">
        <f t="shared" ref="H98:H103" si="8">F98-G98</f>
        <v>19840</v>
      </c>
      <c r="I98" s="29"/>
    </row>
    <row r="99" spans="1:19" ht="15" customHeight="1" x14ac:dyDescent="0.25">
      <c r="A99" s="35" t="s">
        <v>195</v>
      </c>
      <c r="B99" s="35" t="s">
        <v>193</v>
      </c>
      <c r="C99" s="36" t="s">
        <v>194</v>
      </c>
      <c r="D99" s="35">
        <v>8001</v>
      </c>
      <c r="E99" s="37">
        <v>319</v>
      </c>
      <c r="F99" s="37">
        <f>INDEX(Tubex_Dashboard!$G$11:$G$61,MATCH(MRP!D99,Tubex_Dashboard!$F$11:$F$61,0))</f>
        <v>153167</v>
      </c>
      <c r="G99" s="38">
        <f>INDEX(Tubex_Dashboard!$H$11:$H$100,MATCH(MRP!D99,Tubex_Dashboard!$F$11:$F$100,0))</f>
        <v>0</v>
      </c>
      <c r="H99" s="39">
        <f t="shared" si="8"/>
        <v>153167</v>
      </c>
      <c r="I99" s="29"/>
    </row>
    <row r="100" spans="1:19" x14ac:dyDescent="0.25">
      <c r="A100" s="35" t="s">
        <v>197</v>
      </c>
      <c r="B100" s="35" t="s">
        <v>169</v>
      </c>
      <c r="C100" s="36" t="s">
        <v>196</v>
      </c>
      <c r="D100" s="35">
        <v>8007</v>
      </c>
      <c r="E100" s="37" t="s">
        <v>296</v>
      </c>
      <c r="F100" s="37">
        <f>INDEX(Tubex_Dashboard!$G$11:$G$61,MATCH(MRP!D100,Tubex_Dashboard!$F$11:$F$61,0))</f>
        <v>10000</v>
      </c>
      <c r="G100" s="38">
        <f>INDEX(Tubex_Dashboard!$H$11:$H$100,MATCH(MRP!D100,Tubex_Dashboard!$F$11:$F$100,0))</f>
        <v>0</v>
      </c>
      <c r="H100" s="39">
        <f t="shared" si="8"/>
        <v>10000</v>
      </c>
      <c r="I100" s="29"/>
    </row>
    <row r="101" spans="1:19" x14ac:dyDescent="0.25">
      <c r="A101" s="35" t="s">
        <v>197</v>
      </c>
      <c r="B101" s="35" t="s">
        <v>169</v>
      </c>
      <c r="C101" s="36" t="s">
        <v>199</v>
      </c>
      <c r="D101" s="35">
        <v>8014</v>
      </c>
      <c r="E101" s="37" t="s">
        <v>297</v>
      </c>
      <c r="F101" s="37">
        <f>INDEX(Tubex_Dashboard!$G$11:$G$61,MATCH(MRP!D101,Tubex_Dashboard!$F$11:$F$61,0))</f>
        <v>10000</v>
      </c>
      <c r="G101" s="38">
        <f>INDEX(Tubex_Dashboard!$H$11:$H$100,MATCH(MRP!D101,Tubex_Dashboard!$F$11:$F$100,0))</f>
        <v>0</v>
      </c>
      <c r="H101" s="39">
        <f t="shared" si="8"/>
        <v>10000</v>
      </c>
      <c r="I101" s="29"/>
    </row>
    <row r="102" spans="1:19" s="193" customFormat="1" x14ac:dyDescent="0.25">
      <c r="A102" s="187" t="s">
        <v>197</v>
      </c>
      <c r="B102" s="187" t="s">
        <v>169</v>
      </c>
      <c r="C102" s="188" t="s">
        <v>198</v>
      </c>
      <c r="D102" s="187">
        <v>8006</v>
      </c>
      <c r="E102" s="189"/>
      <c r="F102" s="37">
        <f>INDEX(Tubex_Dashboard!$G$11:$G$61,MATCH(MRP!D102,Tubex_Dashboard!$F$11:$F$61,0))</f>
        <v>42400</v>
      </c>
      <c r="G102" s="190">
        <f>INDEX(Tubex_Dashboard!$H$11:$H$100,MATCH(MRP!D102,Tubex_Dashboard!$F$11:$F$100,0))</f>
        <v>0</v>
      </c>
      <c r="H102" s="191">
        <f t="shared" si="8"/>
        <v>42400</v>
      </c>
      <c r="I102" s="192"/>
    </row>
    <row r="103" spans="1:19" ht="15" customHeight="1" x14ac:dyDescent="0.25">
      <c r="A103" s="194" t="s">
        <v>191</v>
      </c>
      <c r="B103" s="194" t="s">
        <v>180</v>
      </c>
      <c r="C103" s="195" t="s">
        <v>190</v>
      </c>
      <c r="D103" s="194">
        <v>8015</v>
      </c>
      <c r="E103" s="196">
        <v>344</v>
      </c>
      <c r="F103" s="37">
        <f>INDEX(Tubex_Dashboard!$G$11:$G$61,MATCH(MRP!D103,Tubex_Dashboard!$F$11:$F$61,0))</f>
        <v>15000</v>
      </c>
      <c r="G103" s="197">
        <f>INDEX(Tubex_Dashboard!$H$11:$H$100,MATCH(MRP!D103,Tubex_Dashboard!$F$11:$F$100,0))</f>
        <v>0</v>
      </c>
      <c r="H103" s="198">
        <f t="shared" si="8"/>
        <v>15000</v>
      </c>
      <c r="I103" s="199"/>
    </row>
    <row r="104" spans="1:19" x14ac:dyDescent="0.25">
      <c r="A104" s="12"/>
      <c r="B104" s="12"/>
      <c r="C104" s="13"/>
      <c r="D104" s="13"/>
      <c r="E104" s="14" t="s">
        <v>259</v>
      </c>
      <c r="F104" s="153">
        <f>SUM(F98:F103)</f>
        <v>250407</v>
      </c>
      <c r="G104" s="153">
        <f>SUM(G98:G103)</f>
        <v>0</v>
      </c>
      <c r="H104" s="153">
        <f>SUM(H98:H103)</f>
        <v>250407</v>
      </c>
      <c r="I104" s="12"/>
      <c r="J104" s="11"/>
      <c r="K104" s="11"/>
      <c r="L104" s="11"/>
      <c r="M104" s="11"/>
      <c r="N104" s="11"/>
      <c r="O104" s="11"/>
      <c r="P104" s="11"/>
      <c r="Q104" s="11"/>
      <c r="R104" s="2"/>
    </row>
    <row r="105" spans="1:19" ht="15" customHeight="1" x14ac:dyDescent="0.25">
      <c r="A105" s="181" t="s">
        <v>298</v>
      </c>
      <c r="B105" s="181"/>
      <c r="C105" s="181"/>
      <c r="D105" s="181"/>
      <c r="E105" s="181"/>
      <c r="F105" s="181"/>
      <c r="G105" s="181"/>
      <c r="H105" s="181"/>
      <c r="I105" s="181"/>
    </row>
    <row r="106" spans="1:19" ht="24" customHeight="1" x14ac:dyDescent="0.25">
      <c r="A106" s="40" t="s">
        <v>2</v>
      </c>
      <c r="B106" s="40" t="s">
        <v>3</v>
      </c>
      <c r="C106" s="41" t="s">
        <v>261</v>
      </c>
      <c r="D106" s="40" t="s">
        <v>5</v>
      </c>
      <c r="E106" s="42" t="s">
        <v>254</v>
      </c>
      <c r="F106" s="15" t="s">
        <v>262</v>
      </c>
      <c r="G106" s="15" t="s">
        <v>263</v>
      </c>
      <c r="H106" s="42" t="s">
        <v>264</v>
      </c>
      <c r="I106" s="43" t="s">
        <v>265</v>
      </c>
    </row>
    <row r="107" spans="1:19" ht="15" customHeight="1" x14ac:dyDescent="0.25">
      <c r="A107" s="21">
        <v>2680</v>
      </c>
      <c r="B107" s="21" t="s">
        <v>288</v>
      </c>
      <c r="C107" s="44" t="s">
        <v>118</v>
      </c>
      <c r="D107" s="21" t="s">
        <v>14</v>
      </c>
      <c r="E107" s="32">
        <f>SUMPRODUCT((TableBOM[Item ID]=A107)*TableBOM[Per 1000 Units]*(1+TableBOM[Scrap %])*SUMIF($D$98:$D$103,TableBOM[Product ID],$H$98:$H$103)/1000)</f>
        <v>5969.5787</v>
      </c>
      <c r="F107" s="32">
        <f>IFERROR(INDEX(TableInventory[Store Balance],MATCH(A107,TableInventory[Item ID],0)),0)+IFERROR(INDEX(TableInventory[Work In Process],MATCH(A107,TableInventory[Item ID],0)),0)</f>
        <v>2000</v>
      </c>
      <c r="G107" s="22">
        <f t="shared" ref="G107:G114" si="9">F107-E107</f>
        <v>-3969.5787</v>
      </c>
      <c r="H107" s="45" t="str">
        <f>IF(LEN(IF((COUNTIFS(TableBOM[Product ID],$D$98,TableBOM[Item ID],$A107)&gt;0)*($H$98&gt;0),$C$98&amp;", ","") &amp; IF((COUNTIFS(TableBOM[Product ID],$D$99,TableBOM[Item ID],$A107)&gt;0)*($H$99&gt;0),$C$99&amp;", ","") &amp; IF((COUNTIFS(TableBOM[Product ID],$D$100,TableBOM[Item ID],$A107)&gt;0)*($H$100&gt;0),$C$100&amp;", ","") &amp; IF((COUNTIFS(TableBOM[Product ID],$D$101,TableBOM[Item ID],$A107)&gt;0)*($H$101&gt;0),$C$101&amp;", ","") &amp; IF((COUNTIFS(TableBOM[Product ID],$D$102,TableBOM[Item ID],$A107)&gt;0)*($H$102&gt;0),$C$102&amp;", ","") &amp; IF((COUNTIFS(TableBOM[Product ID],$D$103,TableBOM[Item ID],$A107)&gt;0)*($H$103&gt;0),$C$103&amp;", ",""))&gt;1,LEFT(IF((COUNTIFS(TableBOM[Product ID],$D$98,TableBOM[Item ID],$A107)&gt;0)*($H$98&gt;0),$C$98&amp;", ","") &amp; IF((COUNTIFS(TableBOM[Product ID],$D$99,TableBOM[Item ID],$A107)&gt;0)*($H$99&gt;0),$C$99&amp;", ","") &amp; IF((COUNTIFS(TableBOM[Product ID],$D$100,TableBOM[Item ID],$A107)&gt;0)*($H$100&gt;0),$C$100&amp;", ","") &amp; IF((COUNTIFS(TableBOM[Product ID],$D$101,TableBOM[Item ID],$A107)&gt;0)*($H$101&gt;0),$C$101&amp;", ","") &amp; IF((COUNTIFS(TableBOM[Product ID],$D$102,TableBOM[Item ID],$A107)&gt;0)*($H$102&gt;0),$C$102&amp;", ","") &amp; IF((COUNTIFS(TableBOM[Product ID],$D$103,TableBOM[Item ID],$A107)&gt;0)*($H$103&gt;0),$C$103&amp;", ",""),LEN(IF((COUNTIFS(TableBOM[Product ID],$D$98,TableBOM[Item ID],$A107)&gt;0)*($H$98&gt;0),$C$98&amp;", ","") &amp; IF((COUNTIFS(TableBOM[Product ID],$D$99,TableBOM[Item ID],$A107)&gt;0)*($H$99&gt;0),$C$99&amp;", ","") &amp; IF((COUNTIFS(TableBOM[Product ID],$D$100,TableBOM[Item ID],$A107)&gt;0)*($H$100&gt;0),$C$100&amp;", ","") &amp; IF((COUNTIFS(TableBOM[Product ID],$D$101,TableBOM[Item ID],$A107)&gt;0)*($H$101&gt;0),$C$101&amp;", ","") &amp; IF((COUNTIFS(TableBOM[Product ID],$D$102,TableBOM[Item ID],$A107)&gt;0)*($H$102&gt;0),$C$102&amp;", ","") &amp; IF((COUNTIFS(TableBOM[Product ID],$D$103,TableBOM[Item ID],$A107)&gt;0)*($H$103&gt;0),$C$103&amp;", ",""))-2),"")</f>
        <v>PET BOTTLE SMALL (120ML) YELLOW, TRANSPARENT BOTTLE 150ML, PET BOTTLE LARGE 200ML WHITE, BT-200ML MUSTARD OIL (TRANSPARENT), PET BOTTLE LARGE (200 ML) YELLOW</v>
      </c>
      <c r="I107" s="46" t="str">
        <f t="shared" ref="I107:I114" si="10">IF(E107=0,"Not needed",IF(G107&lt;0,"SHORTAGE",IF(G107&lt;F107*0.1,"LOW","OK")))</f>
        <v>SHORTAGE</v>
      </c>
    </row>
    <row r="108" spans="1:19" ht="15" customHeight="1" x14ac:dyDescent="0.25">
      <c r="A108" s="21">
        <v>4070</v>
      </c>
      <c r="B108" s="21" t="s">
        <v>289</v>
      </c>
      <c r="C108" s="44" t="s">
        <v>122</v>
      </c>
      <c r="D108" s="21" t="s">
        <v>14</v>
      </c>
      <c r="E108" s="32">
        <f>SUMPRODUCT((TableBOM[Item ID]=A108)*TableBOM[Per 1000 Units]*(1+TableBOM[Scrap %])*SUMIF($D$98:$D$103,TableBOM[Product ID],$H$98:$H$103)/1000)</f>
        <v>81.484399999999994</v>
      </c>
      <c r="F108" s="32">
        <f>IFERROR(INDEX(TableInventory[Store Balance],MATCH(A108,TableInventory[Item ID],0)),0)+IFERROR(INDEX(TableInventory[Work In Process],MATCH(A108,TableInventory[Item ID],0)),0)</f>
        <v>0</v>
      </c>
      <c r="G108" s="22">
        <f t="shared" si="9"/>
        <v>-81.484399999999994</v>
      </c>
      <c r="H108" s="45" t="str">
        <f>IF(LEN(IF((COUNTIFS(TableBOM[Product ID],$D$98,TableBOM[Item ID],$A108)&gt;0)*($H$98&gt;0),$C$98&amp;", ","") &amp; IF((COUNTIFS(TableBOM[Product ID],$D$99,TableBOM[Item ID],$A108)&gt;0)*($H$99&gt;0),$C$99&amp;", ","") &amp; IF((COUNTIFS(TableBOM[Product ID],$D$100,TableBOM[Item ID],$A108)&gt;0)*($H$100&gt;0),$C$100&amp;", ","") &amp; IF((COUNTIFS(TableBOM[Product ID],$D$101,TableBOM[Item ID],$A108)&gt;0)*($H$101&gt;0),$C$101&amp;", ","") &amp; IF((COUNTIFS(TableBOM[Product ID],$D$102,TableBOM[Item ID],$A108)&gt;0)*($H$102&gt;0),$C$102&amp;", ","") &amp; IF((COUNTIFS(TableBOM[Product ID],$D$103,TableBOM[Item ID],$A108)&gt;0)*($H$103&gt;0),$C$103&amp;", ",""))&gt;1,LEFT(IF((COUNTIFS(TableBOM[Product ID],$D$98,TableBOM[Item ID],$A108)&gt;0)*($H$98&gt;0),$C$98&amp;", ","") &amp; IF((COUNTIFS(TableBOM[Product ID],$D$99,TableBOM[Item ID],$A108)&gt;0)*($H$99&gt;0),$C$99&amp;", ","") &amp; IF((COUNTIFS(TableBOM[Product ID],$D$100,TableBOM[Item ID],$A108)&gt;0)*($H$100&gt;0),$C$100&amp;", ","") &amp; IF((COUNTIFS(TableBOM[Product ID],$D$101,TableBOM[Item ID],$A108)&gt;0)*($H$101&gt;0),$C$101&amp;", ","") &amp; IF((COUNTIFS(TableBOM[Product ID],$D$102,TableBOM[Item ID],$A108)&gt;0)*($H$102&gt;0),$C$102&amp;", ","") &amp; IF((COUNTIFS(TableBOM[Product ID],$D$103,TableBOM[Item ID],$A108)&gt;0)*($H$103&gt;0),$C$103&amp;", ",""),LEN(IF((COUNTIFS(TableBOM[Product ID],$D$98,TableBOM[Item ID],$A108)&gt;0)*($H$98&gt;0),$C$98&amp;", ","") &amp; IF((COUNTIFS(TableBOM[Product ID],$D$99,TableBOM[Item ID],$A108)&gt;0)*($H$99&gt;0),$C$99&amp;", ","") &amp; IF((COUNTIFS(TableBOM[Product ID],$D$100,TableBOM[Item ID],$A108)&gt;0)*($H$100&gt;0),$C$100&amp;", ","") &amp; IF((COUNTIFS(TableBOM[Product ID],$D$101,TableBOM[Item ID],$A108)&gt;0)*($H$101&gt;0),$C$101&amp;", ","") &amp; IF((COUNTIFS(TableBOM[Product ID],$D$102,TableBOM[Item ID],$A108)&gt;0)*($H$102&gt;0),$C$102&amp;", ","") &amp; IF((COUNTIFS(TableBOM[Product ID],$D$103,TableBOM[Item ID],$A108)&gt;0)*($H$103&gt;0),$C$103&amp;", ",""))-2),"")</f>
        <v>PET BOTTLE SMALL (120ML) YELLOW, PET BOTTLE LARGE (200 ML) YELLOW</v>
      </c>
      <c r="I108" s="46" t="str">
        <f t="shared" si="10"/>
        <v>SHORTAGE</v>
      </c>
    </row>
    <row r="109" spans="1:19" ht="15" customHeight="1" x14ac:dyDescent="0.25">
      <c r="A109" s="21">
        <v>5816</v>
      </c>
      <c r="B109" s="21" t="s">
        <v>289</v>
      </c>
      <c r="C109" s="44" t="s">
        <v>125</v>
      </c>
      <c r="D109" s="21" t="s">
        <v>14</v>
      </c>
      <c r="E109" s="32">
        <f>SUMPRODUCT((TableBOM[Item ID]=A109)*TableBOM[Per 1000 Units]*(1+TableBOM[Scrap %])*SUMIF($D$98:$D$103,TableBOM[Product ID],$H$98:$H$103)/1000)</f>
        <v>14.375</v>
      </c>
      <c r="F109" s="32">
        <f>IFERROR(INDEX(TableInventory[Store Balance],MATCH(A109,TableInventory[Item ID],0)),0)+IFERROR(INDEX(TableInventory[Work In Process],MATCH(A109,TableInventory[Item ID],0)),0)</f>
        <v>0</v>
      </c>
      <c r="G109" s="22">
        <f t="shared" si="9"/>
        <v>-14.375</v>
      </c>
      <c r="H109" s="45" t="str">
        <f>IF(LEN(IF((COUNTIFS(TableBOM[Product ID],$D$98,TableBOM[Item ID],$A109)&gt;0)*($H$98&gt;0),$C$98&amp;", ","") &amp; IF((COUNTIFS(TableBOM[Product ID],$D$99,TableBOM[Item ID],$A109)&gt;0)*($H$99&gt;0),$C$99&amp;", ","") &amp; IF((COUNTIFS(TableBOM[Product ID],$D$100,TableBOM[Item ID],$A109)&gt;0)*($H$100&gt;0),$C$100&amp;", ","") &amp; IF((COUNTIFS(TableBOM[Product ID],$D$101,TableBOM[Item ID],$A109)&gt;0)*($H$101&gt;0),$C$101&amp;", ","") &amp; IF((COUNTIFS(TableBOM[Product ID],$D$102,TableBOM[Item ID],$A109)&gt;0)*($H$102&gt;0),$C$102&amp;", ","") &amp; IF((COUNTIFS(TableBOM[Product ID],$D$103,TableBOM[Item ID],$A109)&gt;0)*($H$103&gt;0),$C$103&amp;", ",""))&gt;1,LEFT(IF((COUNTIFS(TableBOM[Product ID],$D$98,TableBOM[Item ID],$A109)&gt;0)*($H$98&gt;0),$C$98&amp;", ","") &amp; IF((COUNTIFS(TableBOM[Product ID],$D$99,TableBOM[Item ID],$A109)&gt;0)*($H$99&gt;0),$C$99&amp;", ","") &amp; IF((COUNTIFS(TableBOM[Product ID],$D$100,TableBOM[Item ID],$A109)&gt;0)*($H$100&gt;0),$C$100&amp;", ","") &amp; IF((COUNTIFS(TableBOM[Product ID],$D$101,TableBOM[Item ID],$A109)&gt;0)*($H$101&gt;0),$C$101&amp;", ","") &amp; IF((COUNTIFS(TableBOM[Product ID],$D$102,TableBOM[Item ID],$A109)&gt;0)*($H$102&gt;0),$C$102&amp;", ","") &amp; IF((COUNTIFS(TableBOM[Product ID],$D$103,TableBOM[Item ID],$A109)&gt;0)*($H$103&gt;0),$C$103&amp;", ",""),LEN(IF((COUNTIFS(TableBOM[Product ID],$D$98,TableBOM[Item ID],$A109)&gt;0)*($H$98&gt;0),$C$98&amp;", ","") &amp; IF((COUNTIFS(TableBOM[Product ID],$D$99,TableBOM[Item ID],$A109)&gt;0)*($H$99&gt;0),$C$99&amp;", ","") &amp; IF((COUNTIFS(TableBOM[Product ID],$D$100,TableBOM[Item ID],$A109)&gt;0)*($H$100&gt;0),$C$100&amp;", ","") &amp; IF((COUNTIFS(TableBOM[Product ID],$D$101,TableBOM[Item ID],$A109)&gt;0)*($H$101&gt;0),$C$101&amp;", ","") &amp; IF((COUNTIFS(TableBOM[Product ID],$D$102,TableBOM[Item ID],$A109)&gt;0)*($H$102&gt;0),$C$102&amp;", ","") &amp; IF((COUNTIFS(TableBOM[Product ID],$D$103,TableBOM[Item ID],$A109)&gt;0)*($H$103&gt;0),$C$103&amp;", ",""))-2),"")</f>
        <v>PET BOTTLE LARGE 200ML WHITE</v>
      </c>
      <c r="I109" s="46" t="str">
        <f t="shared" si="10"/>
        <v>SHORTAGE</v>
      </c>
    </row>
    <row r="110" spans="1:19" ht="15" customHeight="1" x14ac:dyDescent="0.25">
      <c r="A110" s="21">
        <v>5977</v>
      </c>
      <c r="B110" s="21" t="s">
        <v>71</v>
      </c>
      <c r="C110" s="44" t="s">
        <v>80</v>
      </c>
      <c r="D110" s="21" t="s">
        <v>48</v>
      </c>
      <c r="E110" s="32">
        <f>SUMPRODUCT((TableBOM[Item ID]=A110)*TableBOM[Per 1000 Units]*(1+TableBOM[Scrap %])*SUMIF($D$98:$D$103,TableBOM[Product ID],$H$98:$H$103)/1000)</f>
        <v>191.46640834999999</v>
      </c>
      <c r="F110" s="32">
        <f>IFERROR(INDEX(TableInventory[Store Balance],MATCH(A110,TableInventory[Item ID],0)),0)+IFERROR(INDEX(TableInventory[Work In Process],MATCH(A110,TableInventory[Item ID],0)),0)</f>
        <v>61</v>
      </c>
      <c r="G110" s="22">
        <f t="shared" si="9"/>
        <v>-130.46640834999999</v>
      </c>
      <c r="H110" s="45" t="str">
        <f>IF(LEN(IF((COUNTIFS(TableBOM[Product ID],$D$98,TableBOM[Item ID],$A110)&gt;0)*($H$98&gt;0),$C$98&amp;", ","") &amp; IF((COUNTIFS(TableBOM[Product ID],$D$99,TableBOM[Item ID],$A110)&gt;0)*($H$99&gt;0),$C$99&amp;", ","") &amp; IF((COUNTIFS(TableBOM[Product ID],$D$100,TableBOM[Item ID],$A110)&gt;0)*($H$100&gt;0),$C$100&amp;", ","") &amp; IF((COUNTIFS(TableBOM[Product ID],$D$101,TableBOM[Item ID],$A110)&gt;0)*($H$101&gt;0),$C$101&amp;", ","") &amp; IF((COUNTIFS(TableBOM[Product ID],$D$102,TableBOM[Item ID],$A110)&gt;0)*($H$102&gt;0),$C$102&amp;", ","") &amp; IF((COUNTIFS(TableBOM[Product ID],$D$103,TableBOM[Item ID],$A110)&gt;0)*($H$103&gt;0),$C$103&amp;", ",""))&gt;1,LEFT(IF((COUNTIFS(TableBOM[Product ID],$D$98,TableBOM[Item ID],$A110)&gt;0)*($H$98&gt;0),$C$98&amp;", ","") &amp; IF((COUNTIFS(TableBOM[Product ID],$D$99,TableBOM[Item ID],$A110)&gt;0)*($H$99&gt;0),$C$99&amp;", ","") &amp; IF((COUNTIFS(TableBOM[Product ID],$D$100,TableBOM[Item ID],$A110)&gt;0)*($H$100&gt;0),$C$100&amp;", ","") &amp; IF((COUNTIFS(TableBOM[Product ID],$D$101,TableBOM[Item ID],$A110)&gt;0)*($H$101&gt;0),$C$101&amp;", ","") &amp; IF((COUNTIFS(TableBOM[Product ID],$D$102,TableBOM[Item ID],$A110)&gt;0)*($H$102&gt;0),$C$102&amp;", ","") &amp; IF((COUNTIFS(TableBOM[Product ID],$D$103,TableBOM[Item ID],$A110)&gt;0)*($H$103&gt;0),$C$103&amp;", ",""),LEN(IF((COUNTIFS(TableBOM[Product ID],$D$98,TableBOM[Item ID],$A110)&gt;0)*($H$98&gt;0),$C$98&amp;", ","") &amp; IF((COUNTIFS(TableBOM[Product ID],$D$99,TableBOM[Item ID],$A110)&gt;0)*($H$99&gt;0),$C$99&amp;", ","") &amp; IF((COUNTIFS(TableBOM[Product ID],$D$100,TableBOM[Item ID],$A110)&gt;0)*($H$100&gt;0),$C$100&amp;", ","") &amp; IF((COUNTIFS(TableBOM[Product ID],$D$101,TableBOM[Item ID],$A110)&gt;0)*($H$101&gt;0),$C$101&amp;", ","") &amp; IF((COUNTIFS(TableBOM[Product ID],$D$102,TableBOM[Item ID],$A110)&gt;0)*($H$102&gt;0),$C$102&amp;", ","") &amp; IF((COUNTIFS(TableBOM[Product ID],$D$103,TableBOM[Item ID],$A110)&gt;0)*($H$103&gt;0),$C$103&amp;", ",""))-2),"")</f>
        <v>TRANSPARENT BOTTLE 150ML</v>
      </c>
      <c r="I110" s="46" t="str">
        <f t="shared" si="10"/>
        <v>SHORTAGE</v>
      </c>
    </row>
    <row r="111" spans="1:19" ht="15" customHeight="1" x14ac:dyDescent="0.25">
      <c r="A111" s="21">
        <v>2267</v>
      </c>
      <c r="B111" s="21" t="s">
        <v>133</v>
      </c>
      <c r="C111" s="44" t="s">
        <v>134</v>
      </c>
      <c r="D111" s="21" t="s">
        <v>48</v>
      </c>
      <c r="E111" s="32">
        <f>SUMPRODUCT((TableBOM[Item ID]=A111)*TableBOM[Per 1000 Units]*(1+TableBOM[Scrap %])*SUMIF($D$98:$D$103,TableBOM[Product ID],$H$98:$H$103)/1000)</f>
        <v>1721.8569947999999</v>
      </c>
      <c r="F111" s="32">
        <f>IFERROR(INDEX(TableInventory[Store Balance],MATCH(A111,TableInventory[Item ID],0)),0)+IFERROR(INDEX(TableInventory[Work In Process],MATCH(A111,TableInventory[Item ID],0)),0)</f>
        <v>75</v>
      </c>
      <c r="G111" s="22">
        <f t="shared" si="9"/>
        <v>-1646.8569947999999</v>
      </c>
      <c r="H111" s="45" t="str">
        <f>IF(LEN(IF((COUNTIFS(TableBOM[Product ID],$D$98,TableBOM[Item ID],$A111)&gt;0)*($H$98&gt;0),$C$98&amp;", ","") &amp; IF((COUNTIFS(TableBOM[Product ID],$D$99,TableBOM[Item ID],$A111)&gt;0)*($H$99&gt;0),$C$99&amp;", ","") &amp; IF((COUNTIFS(TableBOM[Product ID],$D$100,TableBOM[Item ID],$A111)&gt;0)*($H$100&gt;0),$C$100&amp;", ","") &amp; IF((COUNTIFS(TableBOM[Product ID],$D$101,TableBOM[Item ID],$A111)&gt;0)*($H$101&gt;0),$C$101&amp;", ","") &amp; IF((COUNTIFS(TableBOM[Product ID],$D$102,TableBOM[Item ID],$A111)&gt;0)*($H$102&gt;0),$C$102&amp;", ","") &amp; IF((COUNTIFS(TableBOM[Product ID],$D$103,TableBOM[Item ID],$A111)&gt;0)*($H$103&gt;0),$C$103&amp;", ",""))&gt;1,LEFT(IF((COUNTIFS(TableBOM[Product ID],$D$98,TableBOM[Item ID],$A111)&gt;0)*($H$98&gt;0),$C$98&amp;", ","") &amp; IF((COUNTIFS(TableBOM[Product ID],$D$99,TableBOM[Item ID],$A111)&gt;0)*($H$99&gt;0),$C$99&amp;", ","") &amp; IF((COUNTIFS(TableBOM[Product ID],$D$100,TableBOM[Item ID],$A111)&gt;0)*($H$100&gt;0),$C$100&amp;", ","") &amp; IF((COUNTIFS(TableBOM[Product ID],$D$101,TableBOM[Item ID],$A111)&gt;0)*($H$101&gt;0),$C$101&amp;", ","") &amp; IF((COUNTIFS(TableBOM[Product ID],$D$102,TableBOM[Item ID],$A111)&gt;0)*($H$102&gt;0),$C$102&amp;", ","") &amp; IF((COUNTIFS(TableBOM[Product ID],$D$103,TableBOM[Item ID],$A111)&gt;0)*($H$103&gt;0),$C$103&amp;", ",""),LEN(IF((COUNTIFS(TableBOM[Product ID],$D$98,TableBOM[Item ID],$A111)&gt;0)*($H$98&gt;0),$C$98&amp;", ","") &amp; IF((COUNTIFS(TableBOM[Product ID],$D$99,TableBOM[Item ID],$A111)&gt;0)*($H$99&gt;0),$C$99&amp;", ","") &amp; IF((COUNTIFS(TableBOM[Product ID],$D$100,TableBOM[Item ID],$A111)&gt;0)*($H$100&gt;0),$C$100&amp;", ","") &amp; IF((COUNTIFS(TableBOM[Product ID],$D$101,TableBOM[Item ID],$A111)&gt;0)*($H$101&gt;0),$C$101&amp;", ","") &amp; IF((COUNTIFS(TableBOM[Product ID],$D$102,TableBOM[Item ID],$A111)&gt;0)*($H$102&gt;0),$C$102&amp;", ","") &amp; IF((COUNTIFS(TableBOM[Product ID],$D$103,TableBOM[Item ID],$A111)&gt;0)*($H$103&gt;0),$C$103&amp;", ",""))-2),"")</f>
        <v>PET BOTTLE SMALL (120ML) YELLOW, TRANSPARENT BOTTLE 150ML</v>
      </c>
      <c r="I111" s="46" t="str">
        <f t="shared" si="10"/>
        <v>SHORTAGE</v>
      </c>
    </row>
    <row r="112" spans="1:19" ht="15" customHeight="1" x14ac:dyDescent="0.25">
      <c r="A112" s="21">
        <v>3006</v>
      </c>
      <c r="B112" s="21" t="s">
        <v>291</v>
      </c>
      <c r="C112" s="44" t="s">
        <v>135</v>
      </c>
      <c r="D112" s="21" t="s">
        <v>48</v>
      </c>
      <c r="E112" s="32">
        <f>SUMPRODUCT((TableBOM[Item ID]=A112)*TableBOM[Per 1000 Units]*(1+TableBOM[Scrap %])*SUMIF($D$98:$D$103,TableBOM[Product ID],$H$98:$H$103)/1000)</f>
        <v>597.97608000000002</v>
      </c>
      <c r="F112" s="32">
        <f>IFERROR(INDEX(TableInventory[Store Balance],MATCH(A112,TableInventory[Item ID],0)),0)+IFERROR(INDEX(TableInventory[Work In Process],MATCH(A112,TableInventory[Item ID],0)),0)</f>
        <v>201</v>
      </c>
      <c r="G112" s="22">
        <f t="shared" si="9"/>
        <v>-396.97608000000002</v>
      </c>
      <c r="H112" s="45" t="str">
        <f>IF(LEN(IF((COUNTIFS(TableBOM[Product ID],$D$98,TableBOM[Item ID],$A112)&gt;0)*($H$98&gt;0),$C$98&amp;", ","") &amp; IF((COUNTIFS(TableBOM[Product ID],$D$99,TableBOM[Item ID],$A112)&gt;0)*($H$99&gt;0),$C$99&amp;", ","") &amp; IF((COUNTIFS(TableBOM[Product ID],$D$100,TableBOM[Item ID],$A112)&gt;0)*($H$100&gt;0),$C$100&amp;", ","") &amp; IF((COUNTIFS(TableBOM[Product ID],$D$101,TableBOM[Item ID],$A112)&gt;0)*($H$101&gt;0),$C$101&amp;", ","") &amp; IF((COUNTIFS(TableBOM[Product ID],$D$102,TableBOM[Item ID],$A112)&gt;0)*($H$102&gt;0),$C$102&amp;", ","") &amp; IF((COUNTIFS(TableBOM[Product ID],$D$103,TableBOM[Item ID],$A112)&gt;0)*($H$103&gt;0),$C$103&amp;", ",""))&gt;1,LEFT(IF((COUNTIFS(TableBOM[Product ID],$D$98,TableBOM[Item ID],$A112)&gt;0)*($H$98&gt;0),$C$98&amp;", ","") &amp; IF((COUNTIFS(TableBOM[Product ID],$D$99,TableBOM[Item ID],$A112)&gt;0)*($H$99&gt;0),$C$99&amp;", ","") &amp; IF((COUNTIFS(TableBOM[Product ID],$D$100,TableBOM[Item ID],$A112)&gt;0)*($H$100&gt;0),$C$100&amp;", ","") &amp; IF((COUNTIFS(TableBOM[Product ID],$D$101,TableBOM[Item ID],$A112)&gt;0)*($H$101&gt;0),$C$101&amp;", ","") &amp; IF((COUNTIFS(TableBOM[Product ID],$D$102,TableBOM[Item ID],$A112)&gt;0)*($H$102&gt;0),$C$102&amp;", ","") &amp; IF((COUNTIFS(TableBOM[Product ID],$D$103,TableBOM[Item ID],$A112)&gt;0)*($H$103&gt;0),$C$103&amp;", ",""),LEN(IF((COUNTIFS(TableBOM[Product ID],$D$98,TableBOM[Item ID],$A112)&gt;0)*($H$98&gt;0),$C$98&amp;", ","") &amp; IF((COUNTIFS(TableBOM[Product ID],$D$99,TableBOM[Item ID],$A112)&gt;0)*($H$99&gt;0),$C$99&amp;", ","") &amp; IF((COUNTIFS(TableBOM[Product ID],$D$100,TableBOM[Item ID],$A112)&gt;0)*($H$100&gt;0),$C$100&amp;", ","") &amp; IF((COUNTIFS(TableBOM[Product ID],$D$101,TableBOM[Item ID],$A112)&gt;0)*($H$101&gt;0),$C$101&amp;", ","") &amp; IF((COUNTIFS(TableBOM[Product ID],$D$102,TableBOM[Item ID],$A112)&gt;0)*($H$102&gt;0),$C$102&amp;", ","") &amp; IF((COUNTIFS(TableBOM[Product ID],$D$103,TableBOM[Item ID],$A112)&gt;0)*($H$103&gt;0),$C$103&amp;", ",""))-2),"")</f>
        <v>PET BOTTLE LARGE 200ML WHITE, BT-200ML MUSTARD OIL (TRANSPARENT), PET BOTTLE LARGE (200 ML) YELLOW</v>
      </c>
      <c r="I112" s="47" t="str">
        <f t="shared" si="10"/>
        <v>SHORTAGE</v>
      </c>
    </row>
    <row r="113" spans="1:19" ht="15" customHeight="1" x14ac:dyDescent="0.25">
      <c r="A113" s="21">
        <v>3635</v>
      </c>
      <c r="B113" s="21" t="s">
        <v>285</v>
      </c>
      <c r="C113" s="44" t="s">
        <v>82</v>
      </c>
      <c r="D113" s="21" t="s">
        <v>48</v>
      </c>
      <c r="E113" s="32">
        <f>SUMPRODUCT((TableBOM[Item ID]=A113)*TableBOM[Per 1000 Units]*(1+TableBOM[Scrap %])*SUMIF($D$98:$D$103,TableBOM[Product ID],$H$98:$H$103)/1000)</f>
        <v>4.755835349999999</v>
      </c>
      <c r="F113" s="32">
        <f>IFERROR(INDEX(TableInventory[Store Balance],MATCH(A113,TableInventory[Item ID],0)),0)+IFERROR(INDEX(TableInventory[Work In Process],MATCH(A113,TableInventory[Item ID],0)),0)</f>
        <v>513</v>
      </c>
      <c r="G113" s="22">
        <f t="shared" si="9"/>
        <v>508.24416465000002</v>
      </c>
      <c r="H113" s="45" t="str">
        <f>IF(LEN(IF((COUNTIFS(TableBOM[Product ID],$D$98,TableBOM[Item ID],$A113)&gt;0)*($H$98&gt;0),$C$98&amp;", ","") &amp; IF((COUNTIFS(TableBOM[Product ID],$D$99,TableBOM[Item ID],$A113)&gt;0)*($H$99&gt;0),$C$99&amp;", ","") &amp; IF((COUNTIFS(TableBOM[Product ID],$D$100,TableBOM[Item ID],$A113)&gt;0)*($H$100&gt;0),$C$100&amp;", ","") &amp; IF((COUNTIFS(TableBOM[Product ID],$D$101,TableBOM[Item ID],$A113)&gt;0)*($H$101&gt;0),$C$101&amp;", ","") &amp; IF((COUNTIFS(TableBOM[Product ID],$D$102,TableBOM[Item ID],$A113)&gt;0)*($H$102&gt;0),$C$102&amp;", ","") &amp; IF((COUNTIFS(TableBOM[Product ID],$D$103,TableBOM[Item ID],$A113)&gt;0)*($H$103&gt;0),$C$103&amp;", ",""))&gt;1,LEFT(IF((COUNTIFS(TableBOM[Product ID],$D$98,TableBOM[Item ID],$A113)&gt;0)*($H$98&gt;0),$C$98&amp;", ","") &amp; IF((COUNTIFS(TableBOM[Product ID],$D$99,TableBOM[Item ID],$A113)&gt;0)*($H$99&gt;0),$C$99&amp;", ","") &amp; IF((COUNTIFS(TableBOM[Product ID],$D$100,TableBOM[Item ID],$A113)&gt;0)*($H$100&gt;0),$C$100&amp;", ","") &amp; IF((COUNTIFS(TableBOM[Product ID],$D$101,TableBOM[Item ID],$A113)&gt;0)*($H$101&gt;0),$C$101&amp;", ","") &amp; IF((COUNTIFS(TableBOM[Product ID],$D$102,TableBOM[Item ID],$A113)&gt;0)*($H$102&gt;0),$C$102&amp;", ","") &amp; IF((COUNTIFS(TableBOM[Product ID],$D$103,TableBOM[Item ID],$A113)&gt;0)*($H$103&gt;0),$C$103&amp;", ",""),LEN(IF((COUNTIFS(TableBOM[Product ID],$D$98,TableBOM[Item ID],$A113)&gt;0)*($H$98&gt;0),$C$98&amp;", ","") &amp; IF((COUNTIFS(TableBOM[Product ID],$D$99,TableBOM[Item ID],$A113)&gt;0)*($H$99&gt;0),$C$99&amp;", ","") &amp; IF((COUNTIFS(TableBOM[Product ID],$D$100,TableBOM[Item ID],$A113)&gt;0)*($H$100&gt;0),$C$100&amp;", ","") &amp; IF((COUNTIFS(TableBOM[Product ID],$D$101,TableBOM[Item ID],$A113)&gt;0)*($H$101&gt;0),$C$101&amp;", ","") &amp; IF((COUNTIFS(TableBOM[Product ID],$D$102,TableBOM[Item ID],$A113)&gt;0)*($H$102&gt;0),$C$102&amp;", ","") &amp; IF((COUNTIFS(TableBOM[Product ID],$D$103,TableBOM[Item ID],$A113)&gt;0)*($H$103&gt;0),$C$103&amp;", ",""))-2),"")</f>
        <v>TRANSPARENT BOTTLE 150ML</v>
      </c>
      <c r="I113" s="47" t="str">
        <f t="shared" si="10"/>
        <v>OK</v>
      </c>
    </row>
    <row r="114" spans="1:19" ht="15" customHeight="1" x14ac:dyDescent="0.25">
      <c r="A114" s="21">
        <v>3043</v>
      </c>
      <c r="B114" s="21" t="s">
        <v>292</v>
      </c>
      <c r="C114" s="44" t="s">
        <v>137</v>
      </c>
      <c r="D114" s="21" t="s">
        <v>138</v>
      </c>
      <c r="E114" s="32">
        <f>SUMPRODUCT((TableBOM[Item ID]=A114)*TableBOM[Per 1000 Units]*(1+TableBOM[Scrap %])*SUMIF($D$98:$D$103,TableBOM[Product ID],$H$98:$H$103)/1000)</f>
        <v>1.3535902500000001</v>
      </c>
      <c r="F114" s="32">
        <f>IFERROR(INDEX(TableInventory[Store Balance],MATCH(A114,TableInventory[Item ID],0)),0)+IFERROR(INDEX(TableInventory[Work In Process],MATCH(A114,TableInventory[Item ID],0)),0)</f>
        <v>0</v>
      </c>
      <c r="G114" s="22">
        <f t="shared" si="9"/>
        <v>-1.3535902500000001</v>
      </c>
      <c r="H114" s="45" t="str">
        <f>IF(LEN(IF((COUNTIFS(TableBOM[Product ID],$D$98,TableBOM[Item ID],$A114)&gt;0)*($H$98&gt;0),$C$98&amp;", ","") &amp; IF((COUNTIFS(TableBOM[Product ID],$D$99,TableBOM[Item ID],$A114)&gt;0)*($H$99&gt;0),$C$99&amp;", ","") &amp; IF((COUNTIFS(TableBOM[Product ID],$D$100,TableBOM[Item ID],$A114)&gt;0)*($H$100&gt;0),$C$100&amp;", ","") &amp; IF((COUNTIFS(TableBOM[Product ID],$D$101,TableBOM[Item ID],$A114)&gt;0)*($H$101&gt;0),$C$101&amp;", ","") &amp; IF((COUNTIFS(TableBOM[Product ID],$D$102,TableBOM[Item ID],$A114)&gt;0)*($H$102&gt;0),$C$102&amp;", ","") &amp; IF((COUNTIFS(TableBOM[Product ID],$D$103,TableBOM[Item ID],$A114)&gt;0)*($H$103&gt;0),$C$103&amp;", ",""))&gt;1,LEFT(IF((COUNTIFS(TableBOM[Product ID],$D$98,TableBOM[Item ID],$A114)&gt;0)*($H$98&gt;0),$C$98&amp;", ","") &amp; IF((COUNTIFS(TableBOM[Product ID],$D$99,TableBOM[Item ID],$A114)&gt;0)*($H$99&gt;0),$C$99&amp;", ","") &amp; IF((COUNTIFS(TableBOM[Product ID],$D$100,TableBOM[Item ID],$A114)&gt;0)*($H$100&gt;0),$C$100&amp;", ","") &amp; IF((COUNTIFS(TableBOM[Product ID],$D$101,TableBOM[Item ID],$A114)&gt;0)*($H$101&gt;0),$C$101&amp;", ","") &amp; IF((COUNTIFS(TableBOM[Product ID],$D$102,TableBOM[Item ID],$A114)&gt;0)*($H$102&gt;0),$C$102&amp;", ","") &amp; IF((COUNTIFS(TableBOM[Product ID],$D$103,TableBOM[Item ID],$A114)&gt;0)*($H$103&gt;0),$C$103&amp;", ",""),LEN(IF((COUNTIFS(TableBOM[Product ID],$D$98,TableBOM[Item ID],$A114)&gt;0)*($H$98&gt;0),$C$98&amp;", ","") &amp; IF((COUNTIFS(TableBOM[Product ID],$D$99,TableBOM[Item ID],$A114)&gt;0)*($H$99&gt;0),$C$99&amp;", ","") &amp; IF((COUNTIFS(TableBOM[Product ID],$D$100,TableBOM[Item ID],$A114)&gt;0)*($H$100&gt;0),$C$100&amp;", ","") &amp; IF((COUNTIFS(TableBOM[Product ID],$D$101,TableBOM[Item ID],$A114)&gt;0)*($H$101&gt;0),$C$101&amp;", ","") &amp; IF((COUNTIFS(TableBOM[Product ID],$D$102,TableBOM[Item ID],$A114)&gt;0)*($H$102&gt;0),$C$102&amp;", ","") &amp; IF((COUNTIFS(TableBOM[Product ID],$D$103,TableBOM[Item ID],$A114)&gt;0)*($H$103&gt;0),$C$103&amp;", ",""))-2),"")</f>
        <v>PET BOTTLE SMALL (120ML) YELLOW, TRANSPARENT BOTTLE 150ML, PET BOTTLE LARGE 200ML WHITE, BT-200ML MUSTARD OIL (TRANSPARENT), PET BOTTLE LARGE (200 ML) YELLOW</v>
      </c>
      <c r="I114" s="47" t="str">
        <f t="shared" si="10"/>
        <v>SHORTAGE</v>
      </c>
    </row>
    <row r="115" spans="1:19" ht="15" customHeight="1" x14ac:dyDescent="0.25">
      <c r="A115" s="178"/>
      <c r="B115" s="172"/>
      <c r="C115" s="172"/>
      <c r="D115" s="172"/>
      <c r="E115" s="172"/>
      <c r="F115" s="172"/>
      <c r="G115" s="179"/>
      <c r="H115" s="172"/>
      <c r="I115" s="173"/>
    </row>
    <row r="116" spans="1:19" ht="15" customHeight="1" x14ac:dyDescent="0.25">
      <c r="A116" s="6" t="s">
        <v>299</v>
      </c>
      <c r="B116" s="7"/>
      <c r="C116" s="7"/>
      <c r="D116" s="7"/>
      <c r="E116" s="7">
        <f>SUMPRODUCT((TableBOM[Item ID]=A116)*TableBOM[Per 1000 Units]*(1+TableBOM[Scrap %])*SUMIF($D$98:$D$103,TableBOM[Product ID],$H$98:$H$103)/1000)</f>
        <v>0</v>
      </c>
      <c r="F116" s="7"/>
      <c r="G116" s="7"/>
      <c r="H116" s="34" t="str">
        <f>IF(LEN(IF((COUNTIFS(TableBOM[Product ID],$D$98,TableBOM[Item ID],$A116)&gt;0)*($H$98&gt;0),$C$98&amp;", ","") &amp; IF((COUNTIFS(TableBOM[Product ID],$D$99,TableBOM[Item ID],$A116)&gt;0)*($H$99&gt;0),$C$99&amp;", ","") &amp; IF((COUNTIFS(TableBOM[Product ID],$D$100,TableBOM[Item ID],$A116)&gt;0)*($H$100&gt;0),$C$100&amp;", ","") &amp; IF((COUNTIFS(TableBOM[Product ID],$D$101,TableBOM[Item ID],$A116)&gt;0)*($H$101&gt;0),$C$101&amp;", ","") &amp; IF((COUNTIFS(TableBOM[Product ID],$D$102,TableBOM[Item ID],$A116)&gt;0)*($H$102&gt;0),$C$102&amp;", ","") &amp; IF((COUNTIFS(TableBOM[Product ID],$D$103,TableBOM[Item ID],$A116)&gt;0)*($H$103&gt;0),$C$103&amp;", ",""))&gt;1,LEFT(IF((COUNTIFS(TableBOM[Product ID],$D$98,TableBOM[Item ID],$A116)&gt;0)*($H$98&gt;0),$C$98&amp;", ","") &amp; IF((COUNTIFS(TableBOM[Product ID],$D$99,TableBOM[Item ID],$A116)&gt;0)*($H$99&gt;0),$C$99&amp;", ","") &amp; IF((COUNTIFS(TableBOM[Product ID],$D$100,TableBOM[Item ID],$A116)&gt;0)*($H$100&gt;0),$C$100&amp;", ","") &amp; IF((COUNTIFS(TableBOM[Product ID],$D$101,TableBOM[Item ID],$A116)&gt;0)*($H$101&gt;0),$C$101&amp;", ","") &amp; IF((COUNTIFS(TableBOM[Product ID],$D$102,TableBOM[Item ID],$A116)&gt;0)*($H$102&gt;0),$C$102&amp;", ","") &amp; IF((COUNTIFS(TableBOM[Product ID],$D$103,TableBOM[Item ID],$A116)&gt;0)*($H$103&gt;0),$C$103&amp;", ",""),LEN(IF((COUNTIFS(TableBOM[Product ID],$D$98,TableBOM[Item ID],$A116)&gt;0)*($H$98&gt;0),$C$98&amp;", ","") &amp; IF((COUNTIFS(TableBOM[Product ID],$D$99,TableBOM[Item ID],$A116)&gt;0)*($H$99&gt;0),$C$99&amp;", ","") &amp; IF((COUNTIFS(TableBOM[Product ID],$D$100,TableBOM[Item ID],$A116)&gt;0)*($H$100&gt;0),$C$100&amp;", ","") &amp; IF((COUNTIFS(TableBOM[Product ID],$D$101,TableBOM[Item ID],$A116)&gt;0)*($H$101&gt;0),$C$101&amp;", ","") &amp; IF((COUNTIFS(TableBOM[Product ID],$D$102,TableBOM[Item ID],$A116)&gt;0)*($H$102&gt;0),$C$102&amp;", ","") &amp; IF((COUNTIFS(TableBOM[Product ID],$D$103,TableBOM[Item ID],$A116)&gt;0)*($H$103&gt;0),$C$103&amp;", ",""))-2),"")</f>
        <v/>
      </c>
      <c r="I116" s="34"/>
      <c r="J116" s="48"/>
      <c r="K116" s="48"/>
      <c r="L116" s="48"/>
      <c r="M116" s="48"/>
      <c r="N116" s="48"/>
      <c r="O116" s="48"/>
      <c r="P116" s="48"/>
      <c r="Q116" s="48"/>
      <c r="R116" s="48"/>
      <c r="S116" s="48"/>
    </row>
    <row r="117" spans="1:19" ht="15" customHeight="1" x14ac:dyDescent="0.25">
      <c r="A117" s="40" t="s">
        <v>2</v>
      </c>
      <c r="B117" s="40" t="s">
        <v>3</v>
      </c>
      <c r="C117" s="41" t="s">
        <v>261</v>
      </c>
      <c r="D117" s="40" t="s">
        <v>5</v>
      </c>
      <c r="E117" s="161">
        <f>SUMPRODUCT((TableBOM[Item ID]=A117)*TableBOM[Per 1000 Units]*(1+TableBOM[Scrap %])*SUMIF($D$98:$D$103,TableBOM[Product ID],$H$98:$H$103)/1000)</f>
        <v>0</v>
      </c>
      <c r="F117" s="14" t="s">
        <v>300</v>
      </c>
      <c r="G117" s="15" t="s">
        <v>265</v>
      </c>
      <c r="H117" s="161" t="str">
        <f>IF(LEN(IF((COUNTIFS(TableBOM[Product ID],$D$98,TableBOM[Item ID],$A117)&gt;0)*($H$98&gt;0),$C$98&amp;", ","") &amp; IF((COUNTIFS(TableBOM[Product ID],$D$99,TableBOM[Item ID],$A117)&gt;0)*($H$99&gt;0),$C$99&amp;", ","") &amp; IF((COUNTIFS(TableBOM[Product ID],$D$100,TableBOM[Item ID],$A117)&gt;0)*($H$100&gt;0),$C$100&amp;", ","") &amp; IF((COUNTIFS(TableBOM[Product ID],$D$101,TableBOM[Item ID],$A117)&gt;0)*($H$101&gt;0),$C$101&amp;", ","") &amp; IF((COUNTIFS(TableBOM[Product ID],$D$102,TableBOM[Item ID],$A117)&gt;0)*($H$102&gt;0),$C$102&amp;", ","") &amp; IF((COUNTIFS(TableBOM[Product ID],$D$103,TableBOM[Item ID],$A117)&gt;0)*($H$103&gt;0),$C$103&amp;", ",""))&gt;1,LEFT(IF((COUNTIFS(TableBOM[Product ID],$D$98,TableBOM[Item ID],$A117)&gt;0)*($H$98&gt;0),$C$98&amp;", ","") &amp; IF((COUNTIFS(TableBOM[Product ID],$D$99,TableBOM[Item ID],$A117)&gt;0)*($H$99&gt;0),$C$99&amp;", ","") &amp; IF((COUNTIFS(TableBOM[Product ID],$D$100,TableBOM[Item ID],$A117)&gt;0)*($H$100&gt;0),$C$100&amp;", ","") &amp; IF((COUNTIFS(TableBOM[Product ID],$D$101,TableBOM[Item ID],$A117)&gt;0)*($H$101&gt;0),$C$101&amp;", ","") &amp; IF((COUNTIFS(TableBOM[Product ID],$D$102,TableBOM[Item ID],$A117)&gt;0)*($H$102&gt;0),$C$102&amp;", ","") &amp; IF((COUNTIFS(TableBOM[Product ID],$D$103,TableBOM[Item ID],$A117)&gt;0)*($H$103&gt;0),$C$103&amp;", ",""),LEN(IF((COUNTIFS(TableBOM[Product ID],$D$98,TableBOM[Item ID],$A117)&gt;0)*($H$98&gt;0),$C$98&amp;", ","") &amp; IF((COUNTIFS(TableBOM[Product ID],$D$99,TableBOM[Item ID],$A117)&gt;0)*($H$99&gt;0),$C$99&amp;", ","") &amp; IF((COUNTIFS(TableBOM[Product ID],$D$100,TableBOM[Item ID],$A117)&gt;0)*($H$100&gt;0),$C$100&amp;", ","") &amp; IF((COUNTIFS(TableBOM[Product ID],$D$101,TableBOM[Item ID],$A117)&gt;0)*($H$101&gt;0),$C$101&amp;", ","") &amp; IF((COUNTIFS(TableBOM[Product ID],$D$102,TableBOM[Item ID],$A117)&gt;0)*($H$102&gt;0),$C$102&amp;", ","") &amp; IF((COUNTIFS(TableBOM[Product ID],$D$103,TableBOM[Item ID],$A117)&gt;0)*($H$103&gt;0),$C$103&amp;", ",""))-2),"")</f>
        <v/>
      </c>
      <c r="I117" s="40" t="s">
        <v>301</v>
      </c>
      <c r="J117" s="48"/>
      <c r="K117" s="48"/>
      <c r="L117" s="48"/>
      <c r="M117" s="48"/>
      <c r="N117" s="48"/>
      <c r="O117" s="48"/>
      <c r="P117" s="48"/>
      <c r="Q117" s="48"/>
      <c r="R117" s="48"/>
      <c r="S117" s="48"/>
    </row>
    <row r="118" spans="1:19" ht="15" customHeight="1" x14ac:dyDescent="0.25">
      <c r="A118" s="21">
        <v>3734</v>
      </c>
      <c r="B118" s="21" t="s">
        <v>302</v>
      </c>
      <c r="C118" s="44" t="s">
        <v>97</v>
      </c>
      <c r="D118" s="21" t="s">
        <v>14</v>
      </c>
      <c r="E118" s="33">
        <f>SUMPRODUCT((TableBOM[Item ID]=A118)*TableBOM[Per 1000 Units]*(1+TableBOM[Scrap %])*SUMIF($D$98:$D$103,TableBOM[Product ID],$H$98:$H$103)/1000)</f>
        <v>0</v>
      </c>
      <c r="F118" s="162" t="e">
        <f t="shared" ref="F118:F149" si="11">IF(E111=0,0,ROUND(H111/E111*30,1))</f>
        <v>#VALUE!</v>
      </c>
      <c r="G118" s="22" t="e">
        <f t="shared" ref="G118:G149" si="12">IF(E111=0,"Not needed",IF(H111-E111&lt;0,"SHORTAGE",IF(H111-E111&lt;E111,"LOW","OK")))</f>
        <v>#VALUE!</v>
      </c>
      <c r="H118" s="33" t="str">
        <f>IF(LEN(IF((COUNTIFS(TableBOM[Product ID],$D$98,TableBOM[Item ID],$A118)&gt;0)*($H$98&gt;0),$C$98&amp;", ","") &amp; IF((COUNTIFS(TableBOM[Product ID],$D$99,TableBOM[Item ID],$A118)&gt;0)*($H$99&gt;0),$C$99&amp;", ","") &amp; IF((COUNTIFS(TableBOM[Product ID],$D$100,TableBOM[Item ID],$A118)&gt;0)*($H$100&gt;0),$C$100&amp;", ","") &amp; IF((COUNTIFS(TableBOM[Product ID],$D$101,TableBOM[Item ID],$A118)&gt;0)*($H$101&gt;0),$C$101&amp;", ","") &amp; IF((COUNTIFS(TableBOM[Product ID],$D$102,TableBOM[Item ID],$A118)&gt;0)*($H$102&gt;0),$C$102&amp;", ","") &amp; IF((COUNTIFS(TableBOM[Product ID],$D$103,TableBOM[Item ID],$A118)&gt;0)*($H$103&gt;0),$C$103&amp;", ",""))&gt;1,LEFT(IF((COUNTIFS(TableBOM[Product ID],$D$98,TableBOM[Item ID],$A118)&gt;0)*($H$98&gt;0),$C$98&amp;", ","") &amp; IF((COUNTIFS(TableBOM[Product ID],$D$99,TableBOM[Item ID],$A118)&gt;0)*($H$99&gt;0),$C$99&amp;", ","") &amp; IF((COUNTIFS(TableBOM[Product ID],$D$100,TableBOM[Item ID],$A118)&gt;0)*($H$100&gt;0),$C$100&amp;", ","") &amp; IF((COUNTIFS(TableBOM[Product ID],$D$101,TableBOM[Item ID],$A118)&gt;0)*($H$101&gt;0),$C$101&amp;", ","") &amp; IF((COUNTIFS(TableBOM[Product ID],$D$102,TableBOM[Item ID],$A118)&gt;0)*($H$102&gt;0),$C$102&amp;", ","") &amp; IF((COUNTIFS(TableBOM[Product ID],$D$103,TableBOM[Item ID],$A118)&gt;0)*($H$103&gt;0),$C$103&amp;", ",""),LEN(IF((COUNTIFS(TableBOM[Product ID],$D$98,TableBOM[Item ID],$A118)&gt;0)*($H$98&gt;0),$C$98&amp;", ","") &amp; IF((COUNTIFS(TableBOM[Product ID],$D$99,TableBOM[Item ID],$A118)&gt;0)*($H$99&gt;0),$C$99&amp;", ","") &amp; IF((COUNTIFS(TableBOM[Product ID],$D$100,TableBOM[Item ID],$A118)&gt;0)*($H$100&gt;0),$C$100&amp;", ","") &amp; IF((COUNTIFS(TableBOM[Product ID],$D$101,TableBOM[Item ID],$A118)&gt;0)*($H$101&gt;0),$C$101&amp;", ","") &amp; IF((COUNTIFS(TableBOM[Product ID],$D$102,TableBOM[Item ID],$A118)&gt;0)*($H$102&gt;0),$C$102&amp;", ","") &amp; IF((COUNTIFS(TableBOM[Product ID],$D$103,TableBOM[Item ID],$A118)&gt;0)*($H$103&gt;0),$C$103&amp;", ",""))-2),"")</f>
        <v/>
      </c>
      <c r="I118" s="163">
        <v>6.38</v>
      </c>
      <c r="J118" s="48"/>
      <c r="K118" s="48"/>
      <c r="L118" s="48"/>
      <c r="M118" s="48"/>
      <c r="N118" s="48"/>
      <c r="O118" s="48"/>
      <c r="P118" s="48"/>
      <c r="Q118" s="48"/>
      <c r="R118" s="48"/>
      <c r="S118" s="48"/>
    </row>
    <row r="119" spans="1:19" ht="18.75" customHeight="1" x14ac:dyDescent="0.25">
      <c r="A119" s="21">
        <v>6038</v>
      </c>
      <c r="B119" s="21" t="s">
        <v>302</v>
      </c>
      <c r="C119" s="44" t="s">
        <v>109</v>
      </c>
      <c r="D119" s="21" t="s">
        <v>14</v>
      </c>
      <c r="E119" s="33">
        <f>SUMPRODUCT((TableBOM[Item ID]=A119)*TableBOM[Per 1000 Units]*(1+TableBOM[Scrap %])*SUMIF($D$98:$D$103,TableBOM[Product ID],$H$98:$H$103)/1000)</f>
        <v>0</v>
      </c>
      <c r="F119" s="162" t="e">
        <f t="shared" si="11"/>
        <v>#VALUE!</v>
      </c>
      <c r="G119" s="22" t="e">
        <f t="shared" si="12"/>
        <v>#VALUE!</v>
      </c>
      <c r="H119" s="33" t="str">
        <f>IF(LEN(IF((COUNTIFS(TableBOM[Product ID],$D$98,TableBOM[Item ID],$A119)&gt;0)*($H$98&gt;0),$C$98&amp;", ","") &amp; IF((COUNTIFS(TableBOM[Product ID],$D$99,TableBOM[Item ID],$A119)&gt;0)*($H$99&gt;0),$C$99&amp;", ","") &amp; IF((COUNTIFS(TableBOM[Product ID],$D$100,TableBOM[Item ID],$A119)&gt;0)*($H$100&gt;0),$C$100&amp;", ","") &amp; IF((COUNTIFS(TableBOM[Product ID],$D$101,TableBOM[Item ID],$A119)&gt;0)*($H$101&gt;0),$C$101&amp;", ","") &amp; IF((COUNTIFS(TableBOM[Product ID],$D$102,TableBOM[Item ID],$A119)&gt;0)*($H$102&gt;0),$C$102&amp;", ","") &amp; IF((COUNTIFS(TableBOM[Product ID],$D$103,TableBOM[Item ID],$A119)&gt;0)*($H$103&gt;0),$C$103&amp;", ",""))&gt;1,LEFT(IF((COUNTIFS(TableBOM[Product ID],$D$98,TableBOM[Item ID],$A119)&gt;0)*($H$98&gt;0),$C$98&amp;", ","") &amp; IF((COUNTIFS(TableBOM[Product ID],$D$99,TableBOM[Item ID],$A119)&gt;0)*($H$99&gt;0),$C$99&amp;", ","") &amp; IF((COUNTIFS(TableBOM[Product ID],$D$100,TableBOM[Item ID],$A119)&gt;0)*($H$100&gt;0),$C$100&amp;", ","") &amp; IF((COUNTIFS(TableBOM[Product ID],$D$101,TableBOM[Item ID],$A119)&gt;0)*($H$101&gt;0),$C$101&amp;", ","") &amp; IF((COUNTIFS(TableBOM[Product ID],$D$102,TableBOM[Item ID],$A119)&gt;0)*($H$102&gt;0),$C$102&amp;", ","") &amp; IF((COUNTIFS(TableBOM[Product ID],$D$103,TableBOM[Item ID],$A119)&gt;0)*($H$103&gt;0),$C$103&amp;", ",""),LEN(IF((COUNTIFS(TableBOM[Product ID],$D$98,TableBOM[Item ID],$A119)&gt;0)*($H$98&gt;0),$C$98&amp;", ","") &amp; IF((COUNTIFS(TableBOM[Product ID],$D$99,TableBOM[Item ID],$A119)&gt;0)*($H$99&gt;0),$C$99&amp;", ","") &amp; IF((COUNTIFS(TableBOM[Product ID],$D$100,TableBOM[Item ID],$A119)&gt;0)*($H$100&gt;0),$C$100&amp;", ","") &amp; IF((COUNTIFS(TableBOM[Product ID],$D$101,TableBOM[Item ID],$A119)&gt;0)*($H$101&gt;0),$C$101&amp;", ","") &amp; IF((COUNTIFS(TableBOM[Product ID],$D$102,TableBOM[Item ID],$A119)&gt;0)*($H$102&gt;0),$C$102&amp;", ","") &amp; IF((COUNTIFS(TableBOM[Product ID],$D$103,TableBOM[Item ID],$A119)&gt;0)*($H$103&gt;0),$C$103&amp;", ",""))-2),"")</f>
        <v/>
      </c>
      <c r="I119" s="163">
        <v>2.9</v>
      </c>
      <c r="J119" s="48"/>
      <c r="K119" s="48"/>
      <c r="L119" s="48"/>
      <c r="M119" s="48"/>
      <c r="N119" s="48"/>
      <c r="O119" s="48"/>
      <c r="P119" s="48"/>
      <c r="Q119" s="48"/>
      <c r="R119" s="48"/>
      <c r="S119" s="48"/>
    </row>
    <row r="120" spans="1:19" ht="15" customHeight="1" x14ac:dyDescent="0.25">
      <c r="A120" s="21">
        <v>3858</v>
      </c>
      <c r="B120" s="21" t="s">
        <v>302</v>
      </c>
      <c r="C120" s="44" t="s">
        <v>103</v>
      </c>
      <c r="D120" s="21" t="s">
        <v>14</v>
      </c>
      <c r="E120" s="33">
        <f>SUMPRODUCT((TableBOM[Item ID]=A120)*TableBOM[Per 1000 Units]*(1+TableBOM[Scrap %])*SUMIF($D$98:$D$103,TableBOM[Product ID],$H$98:$H$103)/1000)</f>
        <v>0</v>
      </c>
      <c r="F120" s="162" t="e">
        <f t="shared" si="11"/>
        <v>#VALUE!</v>
      </c>
      <c r="G120" s="22" t="e">
        <f t="shared" si="12"/>
        <v>#VALUE!</v>
      </c>
      <c r="H120" s="33" t="str">
        <f>IF(LEN(IF((COUNTIFS(TableBOM[Product ID],$D$98,TableBOM[Item ID],$A120)&gt;0)*($H$98&gt;0),$C$98&amp;", ","") &amp; IF((COUNTIFS(TableBOM[Product ID],$D$99,TableBOM[Item ID],$A120)&gt;0)*($H$99&gt;0),$C$99&amp;", ","") &amp; IF((COUNTIFS(TableBOM[Product ID],$D$100,TableBOM[Item ID],$A120)&gt;0)*($H$100&gt;0),$C$100&amp;", ","") &amp; IF((COUNTIFS(TableBOM[Product ID],$D$101,TableBOM[Item ID],$A120)&gt;0)*($H$101&gt;0),$C$101&amp;", ","") &amp; IF((COUNTIFS(TableBOM[Product ID],$D$102,TableBOM[Item ID],$A120)&gt;0)*($H$102&gt;0),$C$102&amp;", ","") &amp; IF((COUNTIFS(TableBOM[Product ID],$D$103,TableBOM[Item ID],$A120)&gt;0)*($H$103&gt;0),$C$103&amp;", ",""))&gt;1,LEFT(IF((COUNTIFS(TableBOM[Product ID],$D$98,TableBOM[Item ID],$A120)&gt;0)*($H$98&gt;0),$C$98&amp;", ","") &amp; IF((COUNTIFS(TableBOM[Product ID],$D$99,TableBOM[Item ID],$A120)&gt;0)*($H$99&gt;0),$C$99&amp;", ","") &amp; IF((COUNTIFS(TableBOM[Product ID],$D$100,TableBOM[Item ID],$A120)&gt;0)*($H$100&gt;0),$C$100&amp;", ","") &amp; IF((COUNTIFS(TableBOM[Product ID],$D$101,TableBOM[Item ID],$A120)&gt;0)*($H$101&gt;0),$C$101&amp;", ","") &amp; IF((COUNTIFS(TableBOM[Product ID],$D$102,TableBOM[Item ID],$A120)&gt;0)*($H$102&gt;0),$C$102&amp;", ","") &amp; IF((COUNTIFS(TableBOM[Product ID],$D$103,TableBOM[Item ID],$A120)&gt;0)*($H$103&gt;0),$C$103&amp;", ",""),LEN(IF((COUNTIFS(TableBOM[Product ID],$D$98,TableBOM[Item ID],$A120)&gt;0)*($H$98&gt;0),$C$98&amp;", ","") &amp; IF((COUNTIFS(TableBOM[Product ID],$D$99,TableBOM[Item ID],$A120)&gt;0)*($H$99&gt;0),$C$99&amp;", ","") &amp; IF((COUNTIFS(TableBOM[Product ID],$D$100,TableBOM[Item ID],$A120)&gt;0)*($H$100&gt;0),$C$100&amp;", ","") &amp; IF((COUNTIFS(TableBOM[Product ID],$D$101,TableBOM[Item ID],$A120)&gt;0)*($H$101&gt;0),$C$101&amp;", ","") &amp; IF((COUNTIFS(TableBOM[Product ID],$D$102,TableBOM[Item ID],$A120)&gt;0)*($H$102&gt;0),$C$102&amp;", ","") &amp; IF((COUNTIFS(TableBOM[Product ID],$D$103,TableBOM[Item ID],$A120)&gt;0)*($H$103&gt;0),$C$103&amp;", ",""))-2),"")</f>
        <v/>
      </c>
      <c r="I120" s="163">
        <v>2.8</v>
      </c>
      <c r="J120" s="48"/>
      <c r="K120" s="48"/>
      <c r="L120" s="48"/>
      <c r="M120" s="48"/>
      <c r="N120" s="48"/>
      <c r="O120" s="48"/>
      <c r="P120" s="48"/>
      <c r="Q120" s="48"/>
      <c r="R120" s="48"/>
      <c r="S120" s="48"/>
    </row>
    <row r="121" spans="1:19" ht="18.75" customHeight="1" x14ac:dyDescent="0.25">
      <c r="A121" s="21">
        <v>3754</v>
      </c>
      <c r="B121" s="21" t="s">
        <v>302</v>
      </c>
      <c r="C121" s="44" t="s">
        <v>99</v>
      </c>
      <c r="D121" s="21" t="s">
        <v>14</v>
      </c>
      <c r="E121" s="33">
        <f>SUMPRODUCT((TableBOM[Item ID]=A121)*TableBOM[Per 1000 Units]*(1+TableBOM[Scrap %])*SUMIF($D$98:$D$103,TableBOM[Product ID],$H$98:$H$103)/1000)</f>
        <v>0</v>
      </c>
      <c r="F121" s="162" t="e">
        <f t="shared" si="11"/>
        <v>#VALUE!</v>
      </c>
      <c r="G121" s="22" t="e">
        <f t="shared" si="12"/>
        <v>#VALUE!</v>
      </c>
      <c r="H121" s="33" t="str">
        <f>IF(LEN(IF((COUNTIFS(TableBOM[Product ID],$D$98,TableBOM[Item ID],$A121)&gt;0)*($H$98&gt;0),$C$98&amp;", ","") &amp; IF((COUNTIFS(TableBOM[Product ID],$D$99,TableBOM[Item ID],$A121)&gt;0)*($H$99&gt;0),$C$99&amp;", ","") &amp; IF((COUNTIFS(TableBOM[Product ID],$D$100,TableBOM[Item ID],$A121)&gt;0)*($H$100&gt;0),$C$100&amp;", ","") &amp; IF((COUNTIFS(TableBOM[Product ID],$D$101,TableBOM[Item ID],$A121)&gt;0)*($H$101&gt;0),$C$101&amp;", ","") &amp; IF((COUNTIFS(TableBOM[Product ID],$D$102,TableBOM[Item ID],$A121)&gt;0)*($H$102&gt;0),$C$102&amp;", ","") &amp; IF((COUNTIFS(TableBOM[Product ID],$D$103,TableBOM[Item ID],$A121)&gt;0)*($H$103&gt;0),$C$103&amp;", ",""))&gt;1,LEFT(IF((COUNTIFS(TableBOM[Product ID],$D$98,TableBOM[Item ID],$A121)&gt;0)*($H$98&gt;0),$C$98&amp;", ","") &amp; IF((COUNTIFS(TableBOM[Product ID],$D$99,TableBOM[Item ID],$A121)&gt;0)*($H$99&gt;0),$C$99&amp;", ","") &amp; IF((COUNTIFS(TableBOM[Product ID],$D$100,TableBOM[Item ID],$A121)&gt;0)*($H$100&gt;0),$C$100&amp;", ","") &amp; IF((COUNTIFS(TableBOM[Product ID],$D$101,TableBOM[Item ID],$A121)&gt;0)*($H$101&gt;0),$C$101&amp;", ","") &amp; IF((COUNTIFS(TableBOM[Product ID],$D$102,TableBOM[Item ID],$A121)&gt;0)*($H$102&gt;0),$C$102&amp;", ","") &amp; IF((COUNTIFS(TableBOM[Product ID],$D$103,TableBOM[Item ID],$A121)&gt;0)*($H$103&gt;0),$C$103&amp;", ",""),LEN(IF((COUNTIFS(TableBOM[Product ID],$D$98,TableBOM[Item ID],$A121)&gt;0)*($H$98&gt;0),$C$98&amp;", ","") &amp; IF((COUNTIFS(TableBOM[Product ID],$D$99,TableBOM[Item ID],$A121)&gt;0)*($H$99&gt;0),$C$99&amp;", ","") &amp; IF((COUNTIFS(TableBOM[Product ID],$D$100,TableBOM[Item ID],$A121)&gt;0)*($H$100&gt;0),$C$100&amp;", ","") &amp; IF((COUNTIFS(TableBOM[Product ID],$D$101,TableBOM[Item ID],$A121)&gt;0)*($H$101&gt;0),$C$101&amp;", ","") &amp; IF((COUNTIFS(TableBOM[Product ID],$D$102,TableBOM[Item ID],$A121)&gt;0)*($H$102&gt;0),$C$102&amp;", ","") &amp; IF((COUNTIFS(TableBOM[Product ID],$D$103,TableBOM[Item ID],$A121)&gt;0)*($H$103&gt;0),$C$103&amp;", ",""))-2),"")</f>
        <v/>
      </c>
      <c r="I121" s="163">
        <v>2.67</v>
      </c>
      <c r="J121" s="48"/>
      <c r="K121" s="48"/>
      <c r="L121" s="48"/>
      <c r="M121" s="48"/>
      <c r="N121" s="48"/>
      <c r="O121" s="48"/>
      <c r="P121" s="48"/>
      <c r="Q121" s="48"/>
      <c r="R121" s="48"/>
      <c r="S121" s="48"/>
    </row>
    <row r="122" spans="1:19" ht="18.75" customHeight="1" x14ac:dyDescent="0.25">
      <c r="A122" s="21">
        <v>3755</v>
      </c>
      <c r="B122" s="21" t="s">
        <v>302</v>
      </c>
      <c r="C122" s="44" t="s">
        <v>100</v>
      </c>
      <c r="D122" s="21" t="s">
        <v>14</v>
      </c>
      <c r="E122" s="33">
        <f>SUMPRODUCT((TableBOM[Item ID]=A122)*TableBOM[Per 1000 Units]*(1+TableBOM[Scrap %])*SUMIF($D$98:$D$103,TableBOM[Product ID],$H$98:$H$103)/1000)</f>
        <v>0</v>
      </c>
      <c r="F122" s="162">
        <f t="shared" si="11"/>
        <v>0</v>
      </c>
      <c r="G122" s="22" t="str">
        <f t="shared" si="12"/>
        <v>Not needed</v>
      </c>
      <c r="H122" s="33" t="str">
        <f>IF(LEN(IF((COUNTIFS(TableBOM[Product ID],$D$98,TableBOM[Item ID],$A122)&gt;0)*($H$98&gt;0),$C$98&amp;", ","") &amp; IF((COUNTIFS(TableBOM[Product ID],$D$99,TableBOM[Item ID],$A122)&gt;0)*($H$99&gt;0),$C$99&amp;", ","") &amp; IF((COUNTIFS(TableBOM[Product ID],$D$100,TableBOM[Item ID],$A122)&gt;0)*($H$100&gt;0),$C$100&amp;", ","") &amp; IF((COUNTIFS(TableBOM[Product ID],$D$101,TableBOM[Item ID],$A122)&gt;0)*($H$101&gt;0),$C$101&amp;", ","") &amp; IF((COUNTIFS(TableBOM[Product ID],$D$102,TableBOM[Item ID],$A122)&gt;0)*($H$102&gt;0),$C$102&amp;", ","") &amp; IF((COUNTIFS(TableBOM[Product ID],$D$103,TableBOM[Item ID],$A122)&gt;0)*($H$103&gt;0),$C$103&amp;", ",""))&gt;1,LEFT(IF((COUNTIFS(TableBOM[Product ID],$D$98,TableBOM[Item ID],$A122)&gt;0)*($H$98&gt;0),$C$98&amp;", ","") &amp; IF((COUNTIFS(TableBOM[Product ID],$D$99,TableBOM[Item ID],$A122)&gt;0)*($H$99&gt;0),$C$99&amp;", ","") &amp; IF((COUNTIFS(TableBOM[Product ID],$D$100,TableBOM[Item ID],$A122)&gt;0)*($H$100&gt;0),$C$100&amp;", ","") &amp; IF((COUNTIFS(TableBOM[Product ID],$D$101,TableBOM[Item ID],$A122)&gt;0)*($H$101&gt;0),$C$101&amp;", ","") &amp; IF((COUNTIFS(TableBOM[Product ID],$D$102,TableBOM[Item ID],$A122)&gt;0)*($H$102&gt;0),$C$102&amp;", ","") &amp; IF((COUNTIFS(TableBOM[Product ID],$D$103,TableBOM[Item ID],$A122)&gt;0)*($H$103&gt;0),$C$103&amp;", ",""),LEN(IF((COUNTIFS(TableBOM[Product ID],$D$98,TableBOM[Item ID],$A122)&gt;0)*($H$98&gt;0),$C$98&amp;", ","") &amp; IF((COUNTIFS(TableBOM[Product ID],$D$99,TableBOM[Item ID],$A122)&gt;0)*($H$99&gt;0),$C$99&amp;", ","") &amp; IF((COUNTIFS(TableBOM[Product ID],$D$100,TableBOM[Item ID],$A122)&gt;0)*($H$100&gt;0),$C$100&amp;", ","") &amp; IF((COUNTIFS(TableBOM[Product ID],$D$101,TableBOM[Item ID],$A122)&gt;0)*($H$101&gt;0),$C$101&amp;", ","") &amp; IF((COUNTIFS(TableBOM[Product ID],$D$102,TableBOM[Item ID],$A122)&gt;0)*($H$102&gt;0),$C$102&amp;", ","") &amp; IF((COUNTIFS(TableBOM[Product ID],$D$103,TableBOM[Item ID],$A122)&gt;0)*($H$103&gt;0),$C$103&amp;", ",""))-2),"")</f>
        <v/>
      </c>
      <c r="I122" s="163">
        <v>2.44</v>
      </c>
      <c r="J122" s="48"/>
      <c r="K122" s="48"/>
      <c r="L122" s="48"/>
      <c r="M122" s="48"/>
      <c r="N122" s="48"/>
      <c r="O122" s="48"/>
      <c r="P122" s="48"/>
      <c r="Q122" s="48"/>
      <c r="R122" s="48"/>
      <c r="S122" s="48"/>
    </row>
    <row r="123" spans="1:19" ht="18.75" customHeight="1" x14ac:dyDescent="0.25">
      <c r="A123" s="21">
        <v>1928</v>
      </c>
      <c r="B123" s="21" t="s">
        <v>302</v>
      </c>
      <c r="C123" s="44" t="s">
        <v>303</v>
      </c>
      <c r="D123" s="21" t="s">
        <v>14</v>
      </c>
      <c r="E123" s="33">
        <f>SUMPRODUCT((TableBOM[Item ID]=A123)*TableBOM[Per 1000 Units]*(1+TableBOM[Scrap %])*SUMIF($D$98:$D$103,TableBOM[Product ID],$H$98:$H$103)/1000)</f>
        <v>0</v>
      </c>
      <c r="F123" s="162">
        <f t="shared" si="11"/>
        <v>0</v>
      </c>
      <c r="G123" s="22" t="str">
        <f t="shared" si="12"/>
        <v>Not needed</v>
      </c>
      <c r="H123" s="33" t="str">
        <f>IF(LEN(IF((COUNTIFS(TableBOM[Product ID],$D$98,TableBOM[Item ID],$A123)&gt;0)*($H$98&gt;0),$C$98&amp;", ","") &amp; IF((COUNTIFS(TableBOM[Product ID],$D$99,TableBOM[Item ID],$A123)&gt;0)*($H$99&gt;0),$C$99&amp;", ","") &amp; IF((COUNTIFS(TableBOM[Product ID],$D$100,TableBOM[Item ID],$A123)&gt;0)*($H$100&gt;0),$C$100&amp;", ","") &amp; IF((COUNTIFS(TableBOM[Product ID],$D$101,TableBOM[Item ID],$A123)&gt;0)*($H$101&gt;0),$C$101&amp;", ","") &amp; IF((COUNTIFS(TableBOM[Product ID],$D$102,TableBOM[Item ID],$A123)&gt;0)*($H$102&gt;0),$C$102&amp;", ","") &amp; IF((COUNTIFS(TableBOM[Product ID],$D$103,TableBOM[Item ID],$A123)&gt;0)*($H$103&gt;0),$C$103&amp;", ",""))&gt;1,LEFT(IF((COUNTIFS(TableBOM[Product ID],$D$98,TableBOM[Item ID],$A123)&gt;0)*($H$98&gt;0),$C$98&amp;", ","") &amp; IF((COUNTIFS(TableBOM[Product ID],$D$99,TableBOM[Item ID],$A123)&gt;0)*($H$99&gt;0),$C$99&amp;", ","") &amp; IF((COUNTIFS(TableBOM[Product ID],$D$100,TableBOM[Item ID],$A123)&gt;0)*($H$100&gt;0),$C$100&amp;", ","") &amp; IF((COUNTIFS(TableBOM[Product ID],$D$101,TableBOM[Item ID],$A123)&gt;0)*($H$101&gt;0),$C$101&amp;", ","") &amp; IF((COUNTIFS(TableBOM[Product ID],$D$102,TableBOM[Item ID],$A123)&gt;0)*($H$102&gt;0),$C$102&amp;", ","") &amp; IF((COUNTIFS(TableBOM[Product ID],$D$103,TableBOM[Item ID],$A123)&gt;0)*($H$103&gt;0),$C$103&amp;", ",""),LEN(IF((COUNTIFS(TableBOM[Product ID],$D$98,TableBOM[Item ID],$A123)&gt;0)*($H$98&gt;0),$C$98&amp;", ","") &amp; IF((COUNTIFS(TableBOM[Product ID],$D$99,TableBOM[Item ID],$A123)&gt;0)*($H$99&gt;0),$C$99&amp;", ","") &amp; IF((COUNTIFS(TableBOM[Product ID],$D$100,TableBOM[Item ID],$A123)&gt;0)*($H$100&gt;0),$C$100&amp;", ","") &amp; IF((COUNTIFS(TableBOM[Product ID],$D$101,TableBOM[Item ID],$A123)&gt;0)*($H$101&gt;0),$C$101&amp;", ","") &amp; IF((COUNTIFS(TableBOM[Product ID],$D$102,TableBOM[Item ID],$A123)&gt;0)*($H$102&gt;0),$C$102&amp;", ","") &amp; IF((COUNTIFS(TableBOM[Product ID],$D$103,TableBOM[Item ID],$A123)&gt;0)*($H$103&gt;0),$C$103&amp;", ",""))-2),"")</f>
        <v/>
      </c>
      <c r="I123" s="163">
        <v>2.3199999999999998</v>
      </c>
      <c r="J123" s="48"/>
      <c r="K123" s="48"/>
      <c r="L123" s="48"/>
      <c r="M123" s="48"/>
      <c r="N123" s="48"/>
      <c r="O123" s="48"/>
      <c r="P123" s="48"/>
      <c r="Q123" s="48"/>
      <c r="R123" s="48"/>
      <c r="S123" s="48"/>
    </row>
    <row r="124" spans="1:19" ht="18.75" customHeight="1" x14ac:dyDescent="0.25">
      <c r="A124" s="21">
        <v>7094</v>
      </c>
      <c r="B124" s="21" t="s">
        <v>302</v>
      </c>
      <c r="C124" s="44" t="s">
        <v>304</v>
      </c>
      <c r="D124" s="21" t="s">
        <v>14</v>
      </c>
      <c r="E124" s="33">
        <f>SUMPRODUCT((TableBOM[Item ID]=A124)*TableBOM[Per 1000 Units]*(1+TableBOM[Scrap %])*SUMIF($D$98:$D$103,TableBOM[Product ID],$H$98:$H$103)/1000)</f>
        <v>0</v>
      </c>
      <c r="F124" s="162">
        <f t="shared" si="11"/>
        <v>0</v>
      </c>
      <c r="G124" s="22" t="str">
        <f t="shared" si="12"/>
        <v>Not needed</v>
      </c>
      <c r="H124" s="33" t="str">
        <f>IF(LEN(IF((COUNTIFS(TableBOM[Product ID],$D$98,TableBOM[Item ID],$A124)&gt;0)*($H$98&gt;0),$C$98&amp;", ","") &amp; IF((COUNTIFS(TableBOM[Product ID],$D$99,TableBOM[Item ID],$A124)&gt;0)*($H$99&gt;0),$C$99&amp;", ","") &amp; IF((COUNTIFS(TableBOM[Product ID],$D$100,TableBOM[Item ID],$A124)&gt;0)*($H$100&gt;0),$C$100&amp;", ","") &amp; IF((COUNTIFS(TableBOM[Product ID],$D$101,TableBOM[Item ID],$A124)&gt;0)*($H$101&gt;0),$C$101&amp;", ","") &amp; IF((COUNTIFS(TableBOM[Product ID],$D$102,TableBOM[Item ID],$A124)&gt;0)*($H$102&gt;0),$C$102&amp;", ","") &amp; IF((COUNTIFS(TableBOM[Product ID],$D$103,TableBOM[Item ID],$A124)&gt;0)*($H$103&gt;0),$C$103&amp;", ",""))&gt;1,LEFT(IF((COUNTIFS(TableBOM[Product ID],$D$98,TableBOM[Item ID],$A124)&gt;0)*($H$98&gt;0),$C$98&amp;", ","") &amp; IF((COUNTIFS(TableBOM[Product ID],$D$99,TableBOM[Item ID],$A124)&gt;0)*($H$99&gt;0),$C$99&amp;", ","") &amp; IF((COUNTIFS(TableBOM[Product ID],$D$100,TableBOM[Item ID],$A124)&gt;0)*($H$100&gt;0),$C$100&amp;", ","") &amp; IF((COUNTIFS(TableBOM[Product ID],$D$101,TableBOM[Item ID],$A124)&gt;0)*($H$101&gt;0),$C$101&amp;", ","") &amp; IF((COUNTIFS(TableBOM[Product ID],$D$102,TableBOM[Item ID],$A124)&gt;0)*($H$102&gt;0),$C$102&amp;", ","") &amp; IF((COUNTIFS(TableBOM[Product ID],$D$103,TableBOM[Item ID],$A124)&gt;0)*($H$103&gt;0),$C$103&amp;", ",""),LEN(IF((COUNTIFS(TableBOM[Product ID],$D$98,TableBOM[Item ID],$A124)&gt;0)*($H$98&gt;0),$C$98&amp;", ","") &amp; IF((COUNTIFS(TableBOM[Product ID],$D$99,TableBOM[Item ID],$A124)&gt;0)*($H$99&gt;0),$C$99&amp;", ","") &amp; IF((COUNTIFS(TableBOM[Product ID],$D$100,TableBOM[Item ID],$A124)&gt;0)*($H$100&gt;0),$C$100&amp;", ","") &amp; IF((COUNTIFS(TableBOM[Product ID],$D$101,TableBOM[Item ID],$A124)&gt;0)*($H$101&gt;0),$C$101&amp;", ","") &amp; IF((COUNTIFS(TableBOM[Product ID],$D$102,TableBOM[Item ID],$A124)&gt;0)*($H$102&gt;0),$C$102&amp;", ","") &amp; IF((COUNTIFS(TableBOM[Product ID],$D$103,TableBOM[Item ID],$A124)&gt;0)*($H$103&gt;0),$C$103&amp;", ",""))-2),"")</f>
        <v/>
      </c>
      <c r="I124" s="163">
        <v>2.3199999999999998</v>
      </c>
      <c r="J124" s="48"/>
      <c r="K124" s="48"/>
      <c r="L124" s="48"/>
      <c r="M124" s="48"/>
      <c r="N124" s="48"/>
      <c r="O124" s="48"/>
      <c r="P124" s="48"/>
      <c r="Q124" s="48"/>
      <c r="R124" s="48"/>
      <c r="S124" s="48"/>
    </row>
    <row r="125" spans="1:19" ht="18.75" customHeight="1" x14ac:dyDescent="0.25">
      <c r="A125" s="21">
        <v>3736</v>
      </c>
      <c r="B125" s="21" t="s">
        <v>302</v>
      </c>
      <c r="C125" s="44" t="s">
        <v>98</v>
      </c>
      <c r="D125" s="21" t="s">
        <v>14</v>
      </c>
      <c r="E125" s="33">
        <f>SUMPRODUCT((TableBOM[Item ID]=A125)*TableBOM[Per 1000 Units]*(1+TableBOM[Scrap %])*SUMIF($D$98:$D$103,TableBOM[Product ID],$H$98:$H$103)/1000)</f>
        <v>0</v>
      </c>
      <c r="F125" s="162">
        <f t="shared" si="11"/>
        <v>0</v>
      </c>
      <c r="G125" s="22" t="str">
        <f t="shared" si="12"/>
        <v>Not needed</v>
      </c>
      <c r="H125" s="33" t="str">
        <f>IF(LEN(IF((COUNTIFS(TableBOM[Product ID],$D$98,TableBOM[Item ID],$A125)&gt;0)*($H$98&gt;0),$C$98&amp;", ","") &amp; IF((COUNTIFS(TableBOM[Product ID],$D$99,TableBOM[Item ID],$A125)&gt;0)*($H$99&gt;0),$C$99&amp;", ","") &amp; IF((COUNTIFS(TableBOM[Product ID],$D$100,TableBOM[Item ID],$A125)&gt;0)*($H$100&gt;0),$C$100&amp;", ","") &amp; IF((COUNTIFS(TableBOM[Product ID],$D$101,TableBOM[Item ID],$A125)&gt;0)*($H$101&gt;0),$C$101&amp;", ","") &amp; IF((COUNTIFS(TableBOM[Product ID],$D$102,TableBOM[Item ID],$A125)&gt;0)*($H$102&gt;0),$C$102&amp;", ","") &amp; IF((COUNTIFS(TableBOM[Product ID],$D$103,TableBOM[Item ID],$A125)&gt;0)*($H$103&gt;0),$C$103&amp;", ",""))&gt;1,LEFT(IF((COUNTIFS(TableBOM[Product ID],$D$98,TableBOM[Item ID],$A125)&gt;0)*($H$98&gt;0),$C$98&amp;", ","") &amp; IF((COUNTIFS(TableBOM[Product ID],$D$99,TableBOM[Item ID],$A125)&gt;0)*($H$99&gt;0),$C$99&amp;", ","") &amp; IF((COUNTIFS(TableBOM[Product ID],$D$100,TableBOM[Item ID],$A125)&gt;0)*($H$100&gt;0),$C$100&amp;", ","") &amp; IF((COUNTIFS(TableBOM[Product ID],$D$101,TableBOM[Item ID],$A125)&gt;0)*($H$101&gt;0),$C$101&amp;", ","") &amp; IF((COUNTIFS(TableBOM[Product ID],$D$102,TableBOM[Item ID],$A125)&gt;0)*($H$102&gt;0),$C$102&amp;", ","") &amp; IF((COUNTIFS(TableBOM[Product ID],$D$103,TableBOM[Item ID],$A125)&gt;0)*($H$103&gt;0),$C$103&amp;", ",""),LEN(IF((COUNTIFS(TableBOM[Product ID],$D$98,TableBOM[Item ID],$A125)&gt;0)*($H$98&gt;0),$C$98&amp;", ","") &amp; IF((COUNTIFS(TableBOM[Product ID],$D$99,TableBOM[Item ID],$A125)&gt;0)*($H$99&gt;0),$C$99&amp;", ","") &amp; IF((COUNTIFS(TableBOM[Product ID],$D$100,TableBOM[Item ID],$A125)&gt;0)*($H$100&gt;0),$C$100&amp;", ","") &amp; IF((COUNTIFS(TableBOM[Product ID],$D$101,TableBOM[Item ID],$A125)&gt;0)*($H$101&gt;0),$C$101&amp;", ","") &amp; IF((COUNTIFS(TableBOM[Product ID],$D$102,TableBOM[Item ID],$A125)&gt;0)*($H$102&gt;0),$C$102&amp;", ","") &amp; IF((COUNTIFS(TableBOM[Product ID],$D$103,TableBOM[Item ID],$A125)&gt;0)*($H$103&gt;0),$C$103&amp;", ",""))-2),"")</f>
        <v/>
      </c>
      <c r="I125" s="163">
        <v>1.6</v>
      </c>
      <c r="J125" s="48"/>
      <c r="K125" s="48"/>
      <c r="L125" s="48"/>
      <c r="M125" s="48"/>
      <c r="N125" s="48"/>
      <c r="O125" s="48"/>
      <c r="P125" s="48"/>
      <c r="Q125" s="48"/>
      <c r="R125" s="48"/>
      <c r="S125" s="48"/>
    </row>
    <row r="126" spans="1:19" ht="18.75" customHeight="1" x14ac:dyDescent="0.25">
      <c r="A126" s="21">
        <v>3955</v>
      </c>
      <c r="B126" s="21" t="s">
        <v>302</v>
      </c>
      <c r="C126" s="44" t="s">
        <v>104</v>
      </c>
      <c r="D126" s="21" t="s">
        <v>14</v>
      </c>
      <c r="E126" s="33">
        <f>SUMPRODUCT((TableBOM[Item ID]=A126)*TableBOM[Per 1000 Units]*(1+TableBOM[Scrap %])*SUMIF($D$98:$D$103,TableBOM[Product ID],$H$98:$H$103)/1000)</f>
        <v>0</v>
      </c>
      <c r="F126" s="162">
        <f t="shared" si="11"/>
        <v>0</v>
      </c>
      <c r="G126" s="22" t="str">
        <f t="shared" si="12"/>
        <v>Not needed</v>
      </c>
      <c r="H126" s="33" t="str">
        <f>IF(LEN(IF((COUNTIFS(TableBOM[Product ID],$D$98,TableBOM[Item ID],$A126)&gt;0)*($H$98&gt;0),$C$98&amp;", ","") &amp; IF((COUNTIFS(TableBOM[Product ID],$D$99,TableBOM[Item ID],$A126)&gt;0)*($H$99&gt;0),$C$99&amp;", ","") &amp; IF((COUNTIFS(TableBOM[Product ID],$D$100,TableBOM[Item ID],$A126)&gt;0)*($H$100&gt;0),$C$100&amp;", ","") &amp; IF((COUNTIFS(TableBOM[Product ID],$D$101,TableBOM[Item ID],$A126)&gt;0)*($H$101&gt;0),$C$101&amp;", ","") &amp; IF((COUNTIFS(TableBOM[Product ID],$D$102,TableBOM[Item ID],$A126)&gt;0)*($H$102&gt;0),$C$102&amp;", ","") &amp; IF((COUNTIFS(TableBOM[Product ID],$D$103,TableBOM[Item ID],$A126)&gt;0)*($H$103&gt;0),$C$103&amp;", ",""))&gt;1,LEFT(IF((COUNTIFS(TableBOM[Product ID],$D$98,TableBOM[Item ID],$A126)&gt;0)*($H$98&gt;0),$C$98&amp;", ","") &amp; IF((COUNTIFS(TableBOM[Product ID],$D$99,TableBOM[Item ID],$A126)&gt;0)*($H$99&gt;0),$C$99&amp;", ","") &amp; IF((COUNTIFS(TableBOM[Product ID],$D$100,TableBOM[Item ID],$A126)&gt;0)*($H$100&gt;0),$C$100&amp;", ","") &amp; IF((COUNTIFS(TableBOM[Product ID],$D$101,TableBOM[Item ID],$A126)&gt;0)*($H$101&gt;0),$C$101&amp;", ","") &amp; IF((COUNTIFS(TableBOM[Product ID],$D$102,TableBOM[Item ID],$A126)&gt;0)*($H$102&gt;0),$C$102&amp;", ","") &amp; IF((COUNTIFS(TableBOM[Product ID],$D$103,TableBOM[Item ID],$A126)&gt;0)*($H$103&gt;0),$C$103&amp;", ",""),LEN(IF((COUNTIFS(TableBOM[Product ID],$D$98,TableBOM[Item ID],$A126)&gt;0)*($H$98&gt;0),$C$98&amp;", ","") &amp; IF((COUNTIFS(TableBOM[Product ID],$D$99,TableBOM[Item ID],$A126)&gt;0)*($H$99&gt;0),$C$99&amp;", ","") &amp; IF((COUNTIFS(TableBOM[Product ID],$D$100,TableBOM[Item ID],$A126)&gt;0)*($H$100&gt;0),$C$100&amp;", ","") &amp; IF((COUNTIFS(TableBOM[Product ID],$D$101,TableBOM[Item ID],$A126)&gt;0)*($H$101&gt;0),$C$101&amp;", ","") &amp; IF((COUNTIFS(TableBOM[Product ID],$D$102,TableBOM[Item ID],$A126)&gt;0)*($H$102&gt;0),$C$102&amp;", ","") &amp; IF((COUNTIFS(TableBOM[Product ID],$D$103,TableBOM[Item ID],$A126)&gt;0)*($H$103&gt;0),$C$103&amp;", ",""))-2),"")</f>
        <v/>
      </c>
      <c r="I126" s="163">
        <v>1.28</v>
      </c>
      <c r="J126" s="48"/>
      <c r="K126" s="48"/>
      <c r="L126" s="48"/>
      <c r="M126" s="48"/>
      <c r="N126" s="48"/>
      <c r="O126" s="48"/>
      <c r="P126" s="48"/>
      <c r="Q126" s="48"/>
      <c r="R126" s="48"/>
      <c r="S126" s="48"/>
    </row>
    <row r="127" spans="1:19" ht="15" customHeight="1" x14ac:dyDescent="0.25">
      <c r="A127" s="21">
        <v>7398</v>
      </c>
      <c r="B127" s="21" t="s">
        <v>302</v>
      </c>
      <c r="C127" s="44" t="s">
        <v>115</v>
      </c>
      <c r="D127" s="21" t="s">
        <v>14</v>
      </c>
      <c r="E127" s="33">
        <f>SUMPRODUCT((TableBOM[Item ID]=A127)*TableBOM[Per 1000 Units]*(1+TableBOM[Scrap %])*SUMIF($D$98:$D$103,TableBOM[Product ID],$H$98:$H$103)/1000)</f>
        <v>0</v>
      </c>
      <c r="F127" s="162">
        <f t="shared" si="11"/>
        <v>0</v>
      </c>
      <c r="G127" s="22" t="str">
        <f t="shared" si="12"/>
        <v>Not needed</v>
      </c>
      <c r="H127" s="33" t="str">
        <f>IF(LEN(IF((COUNTIFS(TableBOM[Product ID],$D$98,TableBOM[Item ID],$A127)&gt;0)*($H$98&gt;0),$C$98&amp;", ","") &amp; IF((COUNTIFS(TableBOM[Product ID],$D$99,TableBOM[Item ID],$A127)&gt;0)*($H$99&gt;0),$C$99&amp;", ","") &amp; IF((COUNTIFS(TableBOM[Product ID],$D$100,TableBOM[Item ID],$A127)&gt;0)*($H$100&gt;0),$C$100&amp;", ","") &amp; IF((COUNTIFS(TableBOM[Product ID],$D$101,TableBOM[Item ID],$A127)&gt;0)*($H$101&gt;0),$C$101&amp;", ","") &amp; IF((COUNTIFS(TableBOM[Product ID],$D$102,TableBOM[Item ID],$A127)&gt;0)*($H$102&gt;0),$C$102&amp;", ","") &amp; IF((COUNTIFS(TableBOM[Product ID],$D$103,TableBOM[Item ID],$A127)&gt;0)*($H$103&gt;0),$C$103&amp;", ",""))&gt;1,LEFT(IF((COUNTIFS(TableBOM[Product ID],$D$98,TableBOM[Item ID],$A127)&gt;0)*($H$98&gt;0),$C$98&amp;", ","") &amp; IF((COUNTIFS(TableBOM[Product ID],$D$99,TableBOM[Item ID],$A127)&gt;0)*($H$99&gt;0),$C$99&amp;", ","") &amp; IF((COUNTIFS(TableBOM[Product ID],$D$100,TableBOM[Item ID],$A127)&gt;0)*($H$100&gt;0),$C$100&amp;", ","") &amp; IF((COUNTIFS(TableBOM[Product ID],$D$101,TableBOM[Item ID],$A127)&gt;0)*($H$101&gt;0),$C$101&amp;", ","") &amp; IF((COUNTIFS(TableBOM[Product ID],$D$102,TableBOM[Item ID],$A127)&gt;0)*($H$102&gt;0),$C$102&amp;", ","") &amp; IF((COUNTIFS(TableBOM[Product ID],$D$103,TableBOM[Item ID],$A127)&gt;0)*($H$103&gt;0),$C$103&amp;", ",""),LEN(IF((COUNTIFS(TableBOM[Product ID],$D$98,TableBOM[Item ID],$A127)&gt;0)*($H$98&gt;0),$C$98&amp;", ","") &amp; IF((COUNTIFS(TableBOM[Product ID],$D$99,TableBOM[Item ID],$A127)&gt;0)*($H$99&gt;0),$C$99&amp;", ","") &amp; IF((COUNTIFS(TableBOM[Product ID],$D$100,TableBOM[Item ID],$A127)&gt;0)*($H$100&gt;0),$C$100&amp;", ","") &amp; IF((COUNTIFS(TableBOM[Product ID],$D$101,TableBOM[Item ID],$A127)&gt;0)*($H$101&gt;0),$C$101&amp;", ","") &amp; IF((COUNTIFS(TableBOM[Product ID],$D$102,TableBOM[Item ID],$A127)&gt;0)*($H$102&gt;0),$C$102&amp;", ","") &amp; IF((COUNTIFS(TableBOM[Product ID],$D$103,TableBOM[Item ID],$A127)&gt;0)*($H$103&gt;0),$C$103&amp;", ",""))-2),"")</f>
        <v/>
      </c>
      <c r="I127" s="163">
        <v>1.04</v>
      </c>
      <c r="J127" s="48"/>
      <c r="K127" s="48"/>
      <c r="L127" s="48"/>
      <c r="M127" s="48"/>
      <c r="N127" s="48"/>
      <c r="O127" s="48"/>
      <c r="P127" s="48"/>
      <c r="Q127" s="48"/>
      <c r="R127" s="48"/>
      <c r="S127" s="48"/>
    </row>
    <row r="128" spans="1:19" ht="15" customHeight="1" x14ac:dyDescent="0.25">
      <c r="A128" s="21">
        <v>3857</v>
      </c>
      <c r="B128" s="21" t="s">
        <v>302</v>
      </c>
      <c r="C128" s="44" t="s">
        <v>102</v>
      </c>
      <c r="D128" s="21" t="s">
        <v>14</v>
      </c>
      <c r="E128" s="33">
        <f>SUMPRODUCT((TableBOM[Item ID]=A128)*TableBOM[Per 1000 Units]*(1+TableBOM[Scrap %])*SUMIF($D$98:$D$103,TableBOM[Product ID],$H$98:$H$103)/1000)</f>
        <v>0</v>
      </c>
      <c r="F128" s="162">
        <f t="shared" si="11"/>
        <v>0</v>
      </c>
      <c r="G128" s="22" t="str">
        <f t="shared" si="12"/>
        <v>Not needed</v>
      </c>
      <c r="H128" s="33" t="str">
        <f>IF(LEN(IF((COUNTIFS(TableBOM[Product ID],$D$98,TableBOM[Item ID],$A128)&gt;0)*($H$98&gt;0),$C$98&amp;", ","") &amp; IF((COUNTIFS(TableBOM[Product ID],$D$99,TableBOM[Item ID],$A128)&gt;0)*($H$99&gt;0),$C$99&amp;", ","") &amp; IF((COUNTIFS(TableBOM[Product ID],$D$100,TableBOM[Item ID],$A128)&gt;0)*($H$100&gt;0),$C$100&amp;", ","") &amp; IF((COUNTIFS(TableBOM[Product ID],$D$101,TableBOM[Item ID],$A128)&gt;0)*($H$101&gt;0),$C$101&amp;", ","") &amp; IF((COUNTIFS(TableBOM[Product ID],$D$102,TableBOM[Item ID],$A128)&gt;0)*($H$102&gt;0),$C$102&amp;", ","") &amp; IF((COUNTIFS(TableBOM[Product ID],$D$103,TableBOM[Item ID],$A128)&gt;0)*($H$103&gt;0),$C$103&amp;", ",""))&gt;1,LEFT(IF((COUNTIFS(TableBOM[Product ID],$D$98,TableBOM[Item ID],$A128)&gt;0)*($H$98&gt;0),$C$98&amp;", ","") &amp; IF((COUNTIFS(TableBOM[Product ID],$D$99,TableBOM[Item ID],$A128)&gt;0)*($H$99&gt;0),$C$99&amp;", ","") &amp; IF((COUNTIFS(TableBOM[Product ID],$D$100,TableBOM[Item ID],$A128)&gt;0)*($H$100&gt;0),$C$100&amp;", ","") &amp; IF((COUNTIFS(TableBOM[Product ID],$D$101,TableBOM[Item ID],$A128)&gt;0)*($H$101&gt;0),$C$101&amp;", ","") &amp; IF((COUNTIFS(TableBOM[Product ID],$D$102,TableBOM[Item ID],$A128)&gt;0)*($H$102&gt;0),$C$102&amp;", ","") &amp; IF((COUNTIFS(TableBOM[Product ID],$D$103,TableBOM[Item ID],$A128)&gt;0)*($H$103&gt;0),$C$103&amp;", ",""),LEN(IF((COUNTIFS(TableBOM[Product ID],$D$98,TableBOM[Item ID],$A128)&gt;0)*($H$98&gt;0),$C$98&amp;", ","") &amp; IF((COUNTIFS(TableBOM[Product ID],$D$99,TableBOM[Item ID],$A128)&gt;0)*($H$99&gt;0),$C$99&amp;", ","") &amp; IF((COUNTIFS(TableBOM[Product ID],$D$100,TableBOM[Item ID],$A128)&gt;0)*($H$100&gt;0),$C$100&amp;", ","") &amp; IF((COUNTIFS(TableBOM[Product ID],$D$101,TableBOM[Item ID],$A128)&gt;0)*($H$101&gt;0),$C$101&amp;", ","") &amp; IF((COUNTIFS(TableBOM[Product ID],$D$102,TableBOM[Item ID],$A128)&gt;0)*($H$102&gt;0),$C$102&amp;", ","") &amp; IF((COUNTIFS(TableBOM[Product ID],$D$103,TableBOM[Item ID],$A128)&gt;0)*($H$103&gt;0),$C$103&amp;", ",""))-2),"")</f>
        <v/>
      </c>
      <c r="I128" s="163">
        <v>0.81</v>
      </c>
      <c r="J128" s="48"/>
      <c r="K128" s="48"/>
      <c r="L128" s="48"/>
      <c r="M128" s="48"/>
      <c r="N128" s="48"/>
      <c r="O128" s="48"/>
      <c r="P128" s="48"/>
      <c r="Q128" s="48"/>
      <c r="R128" s="48"/>
      <c r="S128" s="48"/>
    </row>
    <row r="129" spans="1:19" ht="18.75" customHeight="1" x14ac:dyDescent="0.25">
      <c r="A129" s="21">
        <v>6040</v>
      </c>
      <c r="B129" s="21" t="s">
        <v>302</v>
      </c>
      <c r="C129" s="44" t="s">
        <v>110</v>
      </c>
      <c r="D129" s="21" t="s">
        <v>14</v>
      </c>
      <c r="E129" s="33">
        <f>SUMPRODUCT((TableBOM[Item ID]=A129)*TableBOM[Per 1000 Units]*(1+TableBOM[Scrap %])*SUMIF($D$98:$D$103,TableBOM[Product ID],$H$98:$H$103)/1000)</f>
        <v>0</v>
      </c>
      <c r="F129" s="162">
        <f t="shared" si="11"/>
        <v>0</v>
      </c>
      <c r="G129" s="22" t="str">
        <f t="shared" si="12"/>
        <v>Not needed</v>
      </c>
      <c r="H129" s="33" t="str">
        <f>IF(LEN(IF((COUNTIFS(TableBOM[Product ID],$D$98,TableBOM[Item ID],$A129)&gt;0)*($H$98&gt;0),$C$98&amp;", ","") &amp; IF((COUNTIFS(TableBOM[Product ID],$D$99,TableBOM[Item ID],$A129)&gt;0)*($H$99&gt;0),$C$99&amp;", ","") &amp; IF((COUNTIFS(TableBOM[Product ID],$D$100,TableBOM[Item ID],$A129)&gt;0)*($H$100&gt;0),$C$100&amp;", ","") &amp; IF((COUNTIFS(TableBOM[Product ID],$D$101,TableBOM[Item ID],$A129)&gt;0)*($H$101&gt;0),$C$101&amp;", ","") &amp; IF((COUNTIFS(TableBOM[Product ID],$D$102,TableBOM[Item ID],$A129)&gt;0)*($H$102&gt;0),$C$102&amp;", ","") &amp; IF((COUNTIFS(TableBOM[Product ID],$D$103,TableBOM[Item ID],$A129)&gt;0)*($H$103&gt;0),$C$103&amp;", ",""))&gt;1,LEFT(IF((COUNTIFS(TableBOM[Product ID],$D$98,TableBOM[Item ID],$A129)&gt;0)*($H$98&gt;0),$C$98&amp;", ","") &amp; IF((COUNTIFS(TableBOM[Product ID],$D$99,TableBOM[Item ID],$A129)&gt;0)*($H$99&gt;0),$C$99&amp;", ","") &amp; IF((COUNTIFS(TableBOM[Product ID],$D$100,TableBOM[Item ID],$A129)&gt;0)*($H$100&gt;0),$C$100&amp;", ","") &amp; IF((COUNTIFS(TableBOM[Product ID],$D$101,TableBOM[Item ID],$A129)&gt;0)*($H$101&gt;0),$C$101&amp;", ","") &amp; IF((COUNTIFS(TableBOM[Product ID],$D$102,TableBOM[Item ID],$A129)&gt;0)*($H$102&gt;0),$C$102&amp;", ","") &amp; IF((COUNTIFS(TableBOM[Product ID],$D$103,TableBOM[Item ID],$A129)&gt;0)*($H$103&gt;0),$C$103&amp;", ",""),LEN(IF((COUNTIFS(TableBOM[Product ID],$D$98,TableBOM[Item ID],$A129)&gt;0)*($H$98&gt;0),$C$98&amp;", ","") &amp; IF((COUNTIFS(TableBOM[Product ID],$D$99,TableBOM[Item ID],$A129)&gt;0)*($H$99&gt;0),$C$99&amp;", ","") &amp; IF((COUNTIFS(TableBOM[Product ID],$D$100,TableBOM[Item ID],$A129)&gt;0)*($H$100&gt;0),$C$100&amp;", ","") &amp; IF((COUNTIFS(TableBOM[Product ID],$D$101,TableBOM[Item ID],$A129)&gt;0)*($H$101&gt;0),$C$101&amp;", ","") &amp; IF((COUNTIFS(TableBOM[Product ID],$D$102,TableBOM[Item ID],$A129)&gt;0)*($H$102&gt;0),$C$102&amp;", ","") &amp; IF((COUNTIFS(TableBOM[Product ID],$D$103,TableBOM[Item ID],$A129)&gt;0)*($H$103&gt;0),$C$103&amp;", ",""))-2),"")</f>
        <v/>
      </c>
      <c r="I129" s="163">
        <v>0.7</v>
      </c>
      <c r="J129" s="48"/>
      <c r="K129" s="48"/>
      <c r="L129" s="48"/>
      <c r="M129" s="48"/>
      <c r="N129" s="48"/>
      <c r="O129" s="48"/>
      <c r="P129" s="48"/>
      <c r="Q129" s="48"/>
      <c r="R129" s="48"/>
      <c r="S129" s="48"/>
    </row>
    <row r="130" spans="1:19" ht="36" customHeight="1" x14ac:dyDescent="0.25">
      <c r="A130" s="21">
        <v>5107</v>
      </c>
      <c r="B130" s="21" t="s">
        <v>302</v>
      </c>
      <c r="C130" s="44" t="s">
        <v>108</v>
      </c>
      <c r="D130" s="21" t="s">
        <v>14</v>
      </c>
      <c r="E130" s="33">
        <f>SUMPRODUCT((TableBOM[Item ID]=A130)*TableBOM[Per 1000 Units]*(1+TableBOM[Scrap %])*SUMIF($D$98:$D$103,TableBOM[Product ID],$H$98:$H$103)/1000)</f>
        <v>0</v>
      </c>
      <c r="F130" s="162">
        <f t="shared" si="11"/>
        <v>0</v>
      </c>
      <c r="G130" s="22" t="str">
        <f t="shared" si="12"/>
        <v>Not needed</v>
      </c>
      <c r="H130" s="33" t="str">
        <f>IF(LEN(IF((COUNTIFS(TableBOM[Product ID],$D$98,TableBOM[Item ID],$A130)&gt;0)*($H$98&gt;0),$C$98&amp;", ","") &amp; IF((COUNTIFS(TableBOM[Product ID],$D$99,TableBOM[Item ID],$A130)&gt;0)*($H$99&gt;0),$C$99&amp;", ","") &amp; IF((COUNTIFS(TableBOM[Product ID],$D$100,TableBOM[Item ID],$A130)&gt;0)*($H$100&gt;0),$C$100&amp;", ","") &amp; IF((COUNTIFS(TableBOM[Product ID],$D$101,TableBOM[Item ID],$A130)&gt;0)*($H$101&gt;0),$C$101&amp;", ","") &amp; IF((COUNTIFS(TableBOM[Product ID],$D$102,TableBOM[Item ID],$A130)&gt;0)*($H$102&gt;0),$C$102&amp;", ","") &amp; IF((COUNTIFS(TableBOM[Product ID],$D$103,TableBOM[Item ID],$A130)&gt;0)*($H$103&gt;0),$C$103&amp;", ",""))&gt;1,LEFT(IF((COUNTIFS(TableBOM[Product ID],$D$98,TableBOM[Item ID],$A130)&gt;0)*($H$98&gt;0),$C$98&amp;", ","") &amp; IF((COUNTIFS(TableBOM[Product ID],$D$99,TableBOM[Item ID],$A130)&gt;0)*($H$99&gt;0),$C$99&amp;", ","") &amp; IF((COUNTIFS(TableBOM[Product ID],$D$100,TableBOM[Item ID],$A130)&gt;0)*($H$100&gt;0),$C$100&amp;", ","") &amp; IF((COUNTIFS(TableBOM[Product ID],$D$101,TableBOM[Item ID],$A130)&gt;0)*($H$101&gt;0),$C$101&amp;", ","") &amp; IF((COUNTIFS(TableBOM[Product ID],$D$102,TableBOM[Item ID],$A130)&gt;0)*($H$102&gt;0),$C$102&amp;", ","") &amp; IF((COUNTIFS(TableBOM[Product ID],$D$103,TableBOM[Item ID],$A130)&gt;0)*($H$103&gt;0),$C$103&amp;", ",""),LEN(IF((COUNTIFS(TableBOM[Product ID],$D$98,TableBOM[Item ID],$A130)&gt;0)*($H$98&gt;0),$C$98&amp;", ","") &amp; IF((COUNTIFS(TableBOM[Product ID],$D$99,TableBOM[Item ID],$A130)&gt;0)*($H$99&gt;0),$C$99&amp;", ","") &amp; IF((COUNTIFS(TableBOM[Product ID],$D$100,TableBOM[Item ID],$A130)&gt;0)*($H$100&gt;0),$C$100&amp;", ","") &amp; IF((COUNTIFS(TableBOM[Product ID],$D$101,TableBOM[Item ID],$A130)&gt;0)*($H$101&gt;0),$C$101&amp;", ","") &amp; IF((COUNTIFS(TableBOM[Product ID],$D$102,TableBOM[Item ID],$A130)&gt;0)*($H$102&gt;0),$C$102&amp;", ","") &amp; IF((COUNTIFS(TableBOM[Product ID],$D$103,TableBOM[Item ID],$A130)&gt;0)*($H$103&gt;0),$C$103&amp;", ",""))-2),"")</f>
        <v/>
      </c>
      <c r="I130" s="163">
        <v>0.7</v>
      </c>
      <c r="J130" s="48"/>
      <c r="K130" s="48"/>
      <c r="L130" s="48"/>
      <c r="M130" s="48"/>
      <c r="N130" s="48"/>
      <c r="O130" s="48"/>
      <c r="P130" s="48"/>
      <c r="Q130" s="48"/>
      <c r="R130" s="48"/>
      <c r="S130" s="48"/>
    </row>
    <row r="131" spans="1:19" ht="15" customHeight="1" x14ac:dyDescent="0.25">
      <c r="A131" s="21">
        <v>7152</v>
      </c>
      <c r="B131" s="21" t="s">
        <v>302</v>
      </c>
      <c r="C131" s="44" t="s">
        <v>114</v>
      </c>
      <c r="D131" s="21" t="s">
        <v>14</v>
      </c>
      <c r="E131" s="33">
        <f>SUMPRODUCT((TableBOM[Item ID]=A131)*TableBOM[Per 1000 Units]*(1+TableBOM[Scrap %])*SUMIF($D$98:$D$103,TableBOM[Product ID],$H$98:$H$103)/1000)</f>
        <v>0</v>
      </c>
      <c r="F131" s="162">
        <f t="shared" si="11"/>
        <v>0</v>
      </c>
      <c r="G131" s="22" t="str">
        <f t="shared" si="12"/>
        <v>Not needed</v>
      </c>
      <c r="H131" s="33" t="str">
        <f>IF(LEN(IF((COUNTIFS(TableBOM[Product ID],$D$98,TableBOM[Item ID],$A131)&gt;0)*($H$98&gt;0),$C$98&amp;", ","") &amp; IF((COUNTIFS(TableBOM[Product ID],$D$99,TableBOM[Item ID],$A131)&gt;0)*($H$99&gt;0),$C$99&amp;", ","") &amp; IF((COUNTIFS(TableBOM[Product ID],$D$100,TableBOM[Item ID],$A131)&gt;0)*($H$100&gt;0),$C$100&amp;", ","") &amp; IF((COUNTIFS(TableBOM[Product ID],$D$101,TableBOM[Item ID],$A131)&gt;0)*($H$101&gt;0),$C$101&amp;", ","") &amp; IF((COUNTIFS(TableBOM[Product ID],$D$102,TableBOM[Item ID],$A131)&gt;0)*($H$102&gt;0),$C$102&amp;", ","") &amp; IF((COUNTIFS(TableBOM[Product ID],$D$103,TableBOM[Item ID],$A131)&gt;0)*($H$103&gt;0),$C$103&amp;", ",""))&gt;1,LEFT(IF((COUNTIFS(TableBOM[Product ID],$D$98,TableBOM[Item ID],$A131)&gt;0)*($H$98&gt;0),$C$98&amp;", ","") &amp; IF((COUNTIFS(TableBOM[Product ID],$D$99,TableBOM[Item ID],$A131)&gt;0)*($H$99&gt;0),$C$99&amp;", ","") &amp; IF((COUNTIFS(TableBOM[Product ID],$D$100,TableBOM[Item ID],$A131)&gt;0)*($H$100&gt;0),$C$100&amp;", ","") &amp; IF((COUNTIFS(TableBOM[Product ID],$D$101,TableBOM[Item ID],$A131)&gt;0)*($H$101&gt;0),$C$101&amp;", ","") &amp; IF((COUNTIFS(TableBOM[Product ID],$D$102,TableBOM[Item ID],$A131)&gt;0)*($H$102&gt;0),$C$102&amp;", ","") &amp; IF((COUNTIFS(TableBOM[Product ID],$D$103,TableBOM[Item ID],$A131)&gt;0)*($H$103&gt;0),$C$103&amp;", ",""),LEN(IF((COUNTIFS(TableBOM[Product ID],$D$98,TableBOM[Item ID],$A131)&gt;0)*($H$98&gt;0),$C$98&amp;", ","") &amp; IF((COUNTIFS(TableBOM[Product ID],$D$99,TableBOM[Item ID],$A131)&gt;0)*($H$99&gt;0),$C$99&amp;", ","") &amp; IF((COUNTIFS(TableBOM[Product ID],$D$100,TableBOM[Item ID],$A131)&gt;0)*($H$100&gt;0),$C$100&amp;", ","") &amp; IF((COUNTIFS(TableBOM[Product ID],$D$101,TableBOM[Item ID],$A131)&gt;0)*($H$101&gt;0),$C$101&amp;", ","") &amp; IF((COUNTIFS(TableBOM[Product ID],$D$102,TableBOM[Item ID],$A131)&gt;0)*($H$102&gt;0),$C$102&amp;", ","") &amp; IF((COUNTIFS(TableBOM[Product ID],$D$103,TableBOM[Item ID],$A131)&gt;0)*($H$103&gt;0),$C$103&amp;", ",""))-2),"")</f>
        <v/>
      </c>
      <c r="I131" s="163">
        <v>0.57999999999999996</v>
      </c>
      <c r="J131" s="48"/>
      <c r="K131" s="48"/>
      <c r="L131" s="48"/>
      <c r="M131" s="48"/>
      <c r="N131" s="48"/>
      <c r="O131" s="48"/>
      <c r="P131" s="48"/>
      <c r="Q131" s="48"/>
      <c r="R131" s="48"/>
      <c r="S131" s="48"/>
    </row>
    <row r="132" spans="1:19" ht="15" customHeight="1" x14ac:dyDescent="0.25">
      <c r="A132" s="21">
        <v>7095</v>
      </c>
      <c r="B132" s="21" t="s">
        <v>302</v>
      </c>
      <c r="C132" s="44" t="s">
        <v>113</v>
      </c>
      <c r="D132" s="21" t="s">
        <v>14</v>
      </c>
      <c r="E132" s="33">
        <f>SUMPRODUCT((TableBOM[Item ID]=A132)*TableBOM[Per 1000 Units]*(1+TableBOM[Scrap %])*SUMIF($D$98:$D$103,TableBOM[Product ID],$H$98:$H$103)/1000)</f>
        <v>0</v>
      </c>
      <c r="F132" s="162">
        <f t="shared" si="11"/>
        <v>0</v>
      </c>
      <c r="G132" s="22" t="str">
        <f t="shared" si="12"/>
        <v>Not needed</v>
      </c>
      <c r="H132" s="33" t="str">
        <f>IF(LEN(IF((COUNTIFS(TableBOM[Product ID],$D$98,TableBOM[Item ID],$A132)&gt;0)*($H$98&gt;0),$C$98&amp;", ","") &amp; IF((COUNTIFS(TableBOM[Product ID],$D$99,TableBOM[Item ID],$A132)&gt;0)*($H$99&gt;0),$C$99&amp;", ","") &amp; IF((COUNTIFS(TableBOM[Product ID],$D$100,TableBOM[Item ID],$A132)&gt;0)*($H$100&gt;0),$C$100&amp;", ","") &amp; IF((COUNTIFS(TableBOM[Product ID],$D$101,TableBOM[Item ID],$A132)&gt;0)*($H$101&gt;0),$C$101&amp;", ","") &amp; IF((COUNTIFS(TableBOM[Product ID],$D$102,TableBOM[Item ID],$A132)&gt;0)*($H$102&gt;0),$C$102&amp;", ","") &amp; IF((COUNTIFS(TableBOM[Product ID],$D$103,TableBOM[Item ID],$A132)&gt;0)*($H$103&gt;0),$C$103&amp;", ",""))&gt;1,LEFT(IF((COUNTIFS(TableBOM[Product ID],$D$98,TableBOM[Item ID],$A132)&gt;0)*($H$98&gt;0),$C$98&amp;", ","") &amp; IF((COUNTIFS(TableBOM[Product ID],$D$99,TableBOM[Item ID],$A132)&gt;0)*($H$99&gt;0),$C$99&amp;", ","") &amp; IF((COUNTIFS(TableBOM[Product ID],$D$100,TableBOM[Item ID],$A132)&gt;0)*($H$100&gt;0),$C$100&amp;", ","") &amp; IF((COUNTIFS(TableBOM[Product ID],$D$101,TableBOM[Item ID],$A132)&gt;0)*($H$101&gt;0),$C$101&amp;", ","") &amp; IF((COUNTIFS(TableBOM[Product ID],$D$102,TableBOM[Item ID],$A132)&gt;0)*($H$102&gt;0),$C$102&amp;", ","") &amp; IF((COUNTIFS(TableBOM[Product ID],$D$103,TableBOM[Item ID],$A132)&gt;0)*($H$103&gt;0),$C$103&amp;", ",""),LEN(IF((COUNTIFS(TableBOM[Product ID],$D$98,TableBOM[Item ID],$A132)&gt;0)*($H$98&gt;0),$C$98&amp;", ","") &amp; IF((COUNTIFS(TableBOM[Product ID],$D$99,TableBOM[Item ID],$A132)&gt;0)*($H$99&gt;0),$C$99&amp;", ","") &amp; IF((COUNTIFS(TableBOM[Product ID],$D$100,TableBOM[Item ID],$A132)&gt;0)*($H$100&gt;0),$C$100&amp;", ","") &amp; IF((COUNTIFS(TableBOM[Product ID],$D$101,TableBOM[Item ID],$A132)&gt;0)*($H$101&gt;0),$C$101&amp;", ","") &amp; IF((COUNTIFS(TableBOM[Product ID],$D$102,TableBOM[Item ID],$A132)&gt;0)*($H$102&gt;0),$C$102&amp;", ","") &amp; IF((COUNTIFS(TableBOM[Product ID],$D$103,TableBOM[Item ID],$A132)&gt;0)*($H$103&gt;0),$C$103&amp;", ",""))-2),"")</f>
        <v/>
      </c>
      <c r="I132" s="163">
        <v>0.46</v>
      </c>
      <c r="J132" s="48"/>
      <c r="K132" s="48"/>
      <c r="L132" s="48"/>
      <c r="M132" s="48"/>
      <c r="N132" s="48"/>
      <c r="O132" s="48"/>
      <c r="P132" s="48"/>
      <c r="Q132" s="48"/>
      <c r="R132" s="48"/>
      <c r="S132" s="48"/>
    </row>
    <row r="133" spans="1:19" ht="15" customHeight="1" x14ac:dyDescent="0.25">
      <c r="A133" s="21">
        <v>118</v>
      </c>
      <c r="B133" s="21" t="s">
        <v>302</v>
      </c>
      <c r="C133" s="44" t="s">
        <v>305</v>
      </c>
      <c r="D133" s="21" t="s">
        <v>14</v>
      </c>
      <c r="E133" s="33">
        <f>SUMPRODUCT((TableBOM[Item ID]=A133)*TableBOM[Per 1000 Units]*(1+TableBOM[Scrap %])*SUMIF($D$98:$D$103,TableBOM[Product ID],$H$98:$H$103)/1000)</f>
        <v>0</v>
      </c>
      <c r="F133" s="162">
        <f t="shared" si="11"/>
        <v>0</v>
      </c>
      <c r="G133" s="22" t="str">
        <f t="shared" si="12"/>
        <v>Not needed</v>
      </c>
      <c r="H133" s="33" t="str">
        <f>IF(LEN(IF((COUNTIFS(TableBOM[Product ID],$D$98,TableBOM[Item ID],$A133)&gt;0)*($H$98&gt;0),$C$98&amp;", ","") &amp; IF((COUNTIFS(TableBOM[Product ID],$D$99,TableBOM[Item ID],$A133)&gt;0)*($H$99&gt;0),$C$99&amp;", ","") &amp; IF((COUNTIFS(TableBOM[Product ID],$D$100,TableBOM[Item ID],$A133)&gt;0)*($H$100&gt;0),$C$100&amp;", ","") &amp; IF((COUNTIFS(TableBOM[Product ID],$D$101,TableBOM[Item ID],$A133)&gt;0)*($H$101&gt;0),$C$101&amp;", ","") &amp; IF((COUNTIFS(TableBOM[Product ID],$D$102,TableBOM[Item ID],$A133)&gt;0)*($H$102&gt;0),$C$102&amp;", ","") &amp; IF((COUNTIFS(TableBOM[Product ID],$D$103,TableBOM[Item ID],$A133)&gt;0)*($H$103&gt;0),$C$103&amp;", ",""))&gt;1,LEFT(IF((COUNTIFS(TableBOM[Product ID],$D$98,TableBOM[Item ID],$A133)&gt;0)*($H$98&gt;0),$C$98&amp;", ","") &amp; IF((COUNTIFS(TableBOM[Product ID],$D$99,TableBOM[Item ID],$A133)&gt;0)*($H$99&gt;0),$C$99&amp;", ","") &amp; IF((COUNTIFS(TableBOM[Product ID],$D$100,TableBOM[Item ID],$A133)&gt;0)*($H$100&gt;0),$C$100&amp;", ","") &amp; IF((COUNTIFS(TableBOM[Product ID],$D$101,TableBOM[Item ID],$A133)&gt;0)*($H$101&gt;0),$C$101&amp;", ","") &amp; IF((COUNTIFS(TableBOM[Product ID],$D$102,TableBOM[Item ID],$A133)&gt;0)*($H$102&gt;0),$C$102&amp;", ","") &amp; IF((COUNTIFS(TableBOM[Product ID],$D$103,TableBOM[Item ID],$A133)&gt;0)*($H$103&gt;0),$C$103&amp;", ",""),LEN(IF((COUNTIFS(TableBOM[Product ID],$D$98,TableBOM[Item ID],$A133)&gt;0)*($H$98&gt;0),$C$98&amp;", ","") &amp; IF((COUNTIFS(TableBOM[Product ID],$D$99,TableBOM[Item ID],$A133)&gt;0)*($H$99&gt;0),$C$99&amp;", ","") &amp; IF((COUNTIFS(TableBOM[Product ID],$D$100,TableBOM[Item ID],$A133)&gt;0)*($H$100&gt;0),$C$100&amp;", ","") &amp; IF((COUNTIFS(TableBOM[Product ID],$D$101,TableBOM[Item ID],$A133)&gt;0)*($H$101&gt;0),$C$101&amp;", ","") &amp; IF((COUNTIFS(TableBOM[Product ID],$D$102,TableBOM[Item ID],$A133)&gt;0)*($H$102&gt;0),$C$102&amp;", ","") &amp; IF((COUNTIFS(TableBOM[Product ID],$D$103,TableBOM[Item ID],$A133)&gt;0)*($H$103&gt;0),$C$103&amp;", ",""))-2),"")</f>
        <v/>
      </c>
      <c r="I133" s="163">
        <v>0.46</v>
      </c>
      <c r="J133" s="48"/>
      <c r="K133" s="48"/>
      <c r="L133" s="48"/>
      <c r="M133" s="48"/>
      <c r="N133" s="48"/>
      <c r="O133" s="48"/>
      <c r="P133" s="48"/>
      <c r="Q133" s="48"/>
      <c r="R133" s="48"/>
      <c r="S133" s="48"/>
    </row>
    <row r="134" spans="1:19" ht="15" customHeight="1" x14ac:dyDescent="0.25">
      <c r="A134" s="21">
        <v>2284</v>
      </c>
      <c r="B134" s="21" t="s">
        <v>302</v>
      </c>
      <c r="C134" s="44" t="s">
        <v>95</v>
      </c>
      <c r="D134" s="21" t="s">
        <v>14</v>
      </c>
      <c r="E134" s="33">
        <f>SUMPRODUCT((TableBOM[Item ID]=A134)*TableBOM[Per 1000 Units]*(1+TableBOM[Scrap %])*SUMIF($D$98:$D$103,TableBOM[Product ID],$H$98:$H$103)/1000)</f>
        <v>0</v>
      </c>
      <c r="F134" s="162">
        <f t="shared" si="11"/>
        <v>0</v>
      </c>
      <c r="G134" s="22" t="str">
        <f t="shared" si="12"/>
        <v>Not needed</v>
      </c>
      <c r="H134" s="33" t="str">
        <f>IF(LEN(IF((COUNTIFS(TableBOM[Product ID],$D$98,TableBOM[Item ID],$A134)&gt;0)*($H$98&gt;0),$C$98&amp;", ","") &amp; IF((COUNTIFS(TableBOM[Product ID],$D$99,TableBOM[Item ID],$A134)&gt;0)*($H$99&gt;0),$C$99&amp;", ","") &amp; IF((COUNTIFS(TableBOM[Product ID],$D$100,TableBOM[Item ID],$A134)&gt;0)*($H$100&gt;0),$C$100&amp;", ","") &amp; IF((COUNTIFS(TableBOM[Product ID],$D$101,TableBOM[Item ID],$A134)&gt;0)*($H$101&gt;0),$C$101&amp;", ","") &amp; IF((COUNTIFS(TableBOM[Product ID],$D$102,TableBOM[Item ID],$A134)&gt;0)*($H$102&gt;0),$C$102&amp;", ","") &amp; IF((COUNTIFS(TableBOM[Product ID],$D$103,TableBOM[Item ID],$A134)&gt;0)*($H$103&gt;0),$C$103&amp;", ",""))&gt;1,LEFT(IF((COUNTIFS(TableBOM[Product ID],$D$98,TableBOM[Item ID],$A134)&gt;0)*($H$98&gt;0),$C$98&amp;", ","") &amp; IF((COUNTIFS(TableBOM[Product ID],$D$99,TableBOM[Item ID],$A134)&gt;0)*($H$99&gt;0),$C$99&amp;", ","") &amp; IF((COUNTIFS(TableBOM[Product ID],$D$100,TableBOM[Item ID],$A134)&gt;0)*($H$100&gt;0),$C$100&amp;", ","") &amp; IF((COUNTIFS(TableBOM[Product ID],$D$101,TableBOM[Item ID],$A134)&gt;0)*($H$101&gt;0),$C$101&amp;", ","") &amp; IF((COUNTIFS(TableBOM[Product ID],$D$102,TableBOM[Item ID],$A134)&gt;0)*($H$102&gt;0),$C$102&amp;", ","") &amp; IF((COUNTIFS(TableBOM[Product ID],$D$103,TableBOM[Item ID],$A134)&gt;0)*($H$103&gt;0),$C$103&amp;", ",""),LEN(IF((COUNTIFS(TableBOM[Product ID],$D$98,TableBOM[Item ID],$A134)&gt;0)*($H$98&gt;0),$C$98&amp;", ","") &amp; IF((COUNTIFS(TableBOM[Product ID],$D$99,TableBOM[Item ID],$A134)&gt;0)*($H$99&gt;0),$C$99&amp;", ","") &amp; IF((COUNTIFS(TableBOM[Product ID],$D$100,TableBOM[Item ID],$A134)&gt;0)*($H$100&gt;0),$C$100&amp;", ","") &amp; IF((COUNTIFS(TableBOM[Product ID],$D$101,TableBOM[Item ID],$A134)&gt;0)*($H$101&gt;0),$C$101&amp;", ","") &amp; IF((COUNTIFS(TableBOM[Product ID],$D$102,TableBOM[Item ID],$A134)&gt;0)*($H$102&gt;0),$C$102&amp;", ","") &amp; IF((COUNTIFS(TableBOM[Product ID],$D$103,TableBOM[Item ID],$A134)&gt;0)*($H$103&gt;0),$C$103&amp;", ",""))-2),"")</f>
        <v/>
      </c>
      <c r="I134" s="163">
        <v>0.46</v>
      </c>
      <c r="J134" s="48"/>
      <c r="K134" s="48"/>
      <c r="L134" s="48"/>
      <c r="M134" s="48"/>
      <c r="N134" s="48"/>
      <c r="O134" s="48"/>
      <c r="P134" s="48"/>
      <c r="Q134" s="48"/>
      <c r="R134" s="48"/>
      <c r="S134" s="48"/>
    </row>
    <row r="135" spans="1:19" ht="15" customHeight="1" x14ac:dyDescent="0.25">
      <c r="A135" s="21">
        <v>110</v>
      </c>
      <c r="B135" s="21" t="s">
        <v>302</v>
      </c>
      <c r="C135" s="44" t="s">
        <v>89</v>
      </c>
      <c r="D135" s="21" t="s">
        <v>14</v>
      </c>
      <c r="E135" s="33">
        <f>SUMPRODUCT((TableBOM[Item ID]=A135)*TableBOM[Per 1000 Units]*(1+TableBOM[Scrap %])*SUMIF($D$98:$D$103,TableBOM[Product ID],$H$98:$H$103)/1000)</f>
        <v>0</v>
      </c>
      <c r="F135" s="162">
        <f t="shared" si="11"/>
        <v>0</v>
      </c>
      <c r="G135" s="22" t="str">
        <f t="shared" si="12"/>
        <v>Not needed</v>
      </c>
      <c r="H135" s="33" t="str">
        <f>IF(LEN(IF((COUNTIFS(TableBOM[Product ID],$D$98,TableBOM[Item ID],$A135)&gt;0)*($H$98&gt;0),$C$98&amp;", ","") &amp; IF((COUNTIFS(TableBOM[Product ID],$D$99,TableBOM[Item ID],$A135)&gt;0)*($H$99&gt;0),$C$99&amp;", ","") &amp; IF((COUNTIFS(TableBOM[Product ID],$D$100,TableBOM[Item ID],$A135)&gt;0)*($H$100&gt;0),$C$100&amp;", ","") &amp; IF((COUNTIFS(TableBOM[Product ID],$D$101,TableBOM[Item ID],$A135)&gt;0)*($H$101&gt;0),$C$101&amp;", ","") &amp; IF((COUNTIFS(TableBOM[Product ID],$D$102,TableBOM[Item ID],$A135)&gt;0)*($H$102&gt;0),$C$102&amp;", ","") &amp; IF((COUNTIFS(TableBOM[Product ID],$D$103,TableBOM[Item ID],$A135)&gt;0)*($H$103&gt;0),$C$103&amp;", ",""))&gt;1,LEFT(IF((COUNTIFS(TableBOM[Product ID],$D$98,TableBOM[Item ID],$A135)&gt;0)*($H$98&gt;0),$C$98&amp;", ","") &amp; IF((COUNTIFS(TableBOM[Product ID],$D$99,TableBOM[Item ID],$A135)&gt;0)*($H$99&gt;0),$C$99&amp;", ","") &amp; IF((COUNTIFS(TableBOM[Product ID],$D$100,TableBOM[Item ID],$A135)&gt;0)*($H$100&gt;0),$C$100&amp;", ","") &amp; IF((COUNTIFS(TableBOM[Product ID],$D$101,TableBOM[Item ID],$A135)&gt;0)*($H$101&gt;0),$C$101&amp;", ","") &amp; IF((COUNTIFS(TableBOM[Product ID],$D$102,TableBOM[Item ID],$A135)&gt;0)*($H$102&gt;0),$C$102&amp;", ","") &amp; IF((COUNTIFS(TableBOM[Product ID],$D$103,TableBOM[Item ID],$A135)&gt;0)*($H$103&gt;0),$C$103&amp;", ",""),LEN(IF((COUNTIFS(TableBOM[Product ID],$D$98,TableBOM[Item ID],$A135)&gt;0)*($H$98&gt;0),$C$98&amp;", ","") &amp; IF((COUNTIFS(TableBOM[Product ID],$D$99,TableBOM[Item ID],$A135)&gt;0)*($H$99&gt;0),$C$99&amp;", ","") &amp; IF((COUNTIFS(TableBOM[Product ID],$D$100,TableBOM[Item ID],$A135)&gt;0)*($H$100&gt;0),$C$100&amp;", ","") &amp; IF((COUNTIFS(TableBOM[Product ID],$D$101,TableBOM[Item ID],$A135)&gt;0)*($H$101&gt;0),$C$101&amp;", ","") &amp; IF((COUNTIFS(TableBOM[Product ID],$D$102,TableBOM[Item ID],$A135)&gt;0)*($H$102&gt;0),$C$102&amp;", ","") &amp; IF((COUNTIFS(TableBOM[Product ID],$D$103,TableBOM[Item ID],$A135)&gt;0)*($H$103&gt;0),$C$103&amp;", ",""))-2),"")</f>
        <v/>
      </c>
      <c r="I135" s="163">
        <v>0.35</v>
      </c>
      <c r="J135" s="48"/>
      <c r="K135" s="48"/>
      <c r="L135" s="48"/>
      <c r="M135" s="48"/>
      <c r="N135" s="48"/>
      <c r="O135" s="48"/>
      <c r="P135" s="48"/>
      <c r="Q135" s="48"/>
      <c r="R135" s="48"/>
      <c r="S135" s="48"/>
    </row>
    <row r="136" spans="1:19" ht="15" customHeight="1" x14ac:dyDescent="0.25">
      <c r="A136" s="21">
        <v>129</v>
      </c>
      <c r="B136" s="21" t="s">
        <v>302</v>
      </c>
      <c r="C136" s="44" t="s">
        <v>92</v>
      </c>
      <c r="D136" s="21" t="s">
        <v>14</v>
      </c>
      <c r="E136" s="33">
        <f>SUMPRODUCT((TableBOM[Item ID]=A136)*TableBOM[Per 1000 Units]*(1+TableBOM[Scrap %])*SUMIF($D$98:$D$103,TableBOM[Product ID],$H$98:$H$103)/1000)</f>
        <v>0</v>
      </c>
      <c r="F136" s="162">
        <f t="shared" si="11"/>
        <v>0</v>
      </c>
      <c r="G136" s="22" t="str">
        <f t="shared" si="12"/>
        <v>Not needed</v>
      </c>
      <c r="H136" s="33" t="str">
        <f>IF(LEN(IF((COUNTIFS(TableBOM[Product ID],$D$98,TableBOM[Item ID],$A136)&gt;0)*($H$98&gt;0),$C$98&amp;", ","") &amp; IF((COUNTIFS(TableBOM[Product ID],$D$99,TableBOM[Item ID],$A136)&gt;0)*($H$99&gt;0),$C$99&amp;", ","") &amp; IF((COUNTIFS(TableBOM[Product ID],$D$100,TableBOM[Item ID],$A136)&gt;0)*($H$100&gt;0),$C$100&amp;", ","") &amp; IF((COUNTIFS(TableBOM[Product ID],$D$101,TableBOM[Item ID],$A136)&gt;0)*($H$101&gt;0),$C$101&amp;", ","") &amp; IF((COUNTIFS(TableBOM[Product ID],$D$102,TableBOM[Item ID],$A136)&gt;0)*($H$102&gt;0),$C$102&amp;", ","") &amp; IF((COUNTIFS(TableBOM[Product ID],$D$103,TableBOM[Item ID],$A136)&gt;0)*($H$103&gt;0),$C$103&amp;", ",""))&gt;1,LEFT(IF((COUNTIFS(TableBOM[Product ID],$D$98,TableBOM[Item ID],$A136)&gt;0)*($H$98&gt;0),$C$98&amp;", ","") &amp; IF((COUNTIFS(TableBOM[Product ID],$D$99,TableBOM[Item ID],$A136)&gt;0)*($H$99&gt;0),$C$99&amp;", ","") &amp; IF((COUNTIFS(TableBOM[Product ID],$D$100,TableBOM[Item ID],$A136)&gt;0)*($H$100&gt;0),$C$100&amp;", ","") &amp; IF((COUNTIFS(TableBOM[Product ID],$D$101,TableBOM[Item ID],$A136)&gt;0)*($H$101&gt;0),$C$101&amp;", ","") &amp; IF((COUNTIFS(TableBOM[Product ID],$D$102,TableBOM[Item ID],$A136)&gt;0)*($H$102&gt;0),$C$102&amp;", ","") &amp; IF((COUNTIFS(TableBOM[Product ID],$D$103,TableBOM[Item ID],$A136)&gt;0)*($H$103&gt;0),$C$103&amp;", ",""),LEN(IF((COUNTIFS(TableBOM[Product ID],$D$98,TableBOM[Item ID],$A136)&gt;0)*($H$98&gt;0),$C$98&amp;", ","") &amp; IF((COUNTIFS(TableBOM[Product ID],$D$99,TableBOM[Item ID],$A136)&gt;0)*($H$99&gt;0),$C$99&amp;", ","") &amp; IF((COUNTIFS(TableBOM[Product ID],$D$100,TableBOM[Item ID],$A136)&gt;0)*($H$100&gt;0),$C$100&amp;", ","") &amp; IF((COUNTIFS(TableBOM[Product ID],$D$101,TableBOM[Item ID],$A136)&gt;0)*($H$101&gt;0),$C$101&amp;", ","") &amp; IF((COUNTIFS(TableBOM[Product ID],$D$102,TableBOM[Item ID],$A136)&gt;0)*($H$102&gt;0),$C$102&amp;", ","") &amp; IF((COUNTIFS(TableBOM[Product ID],$D$103,TableBOM[Item ID],$A136)&gt;0)*($H$103&gt;0),$C$103&amp;", ",""))-2),"")</f>
        <v/>
      </c>
      <c r="I136" s="163">
        <v>0.35</v>
      </c>
      <c r="J136" s="48"/>
      <c r="K136" s="48"/>
      <c r="L136" s="48"/>
      <c r="M136" s="48"/>
      <c r="N136" s="48"/>
      <c r="O136" s="48"/>
      <c r="P136" s="48"/>
      <c r="Q136" s="48"/>
      <c r="R136" s="48"/>
      <c r="S136" s="48"/>
    </row>
    <row r="137" spans="1:19" ht="15" customHeight="1" x14ac:dyDescent="0.25">
      <c r="A137" s="21">
        <v>6049</v>
      </c>
      <c r="B137" s="21" t="s">
        <v>302</v>
      </c>
      <c r="C137" s="44" t="s">
        <v>306</v>
      </c>
      <c r="D137" s="21" t="s">
        <v>14</v>
      </c>
      <c r="E137" s="33">
        <f>SUMPRODUCT((TableBOM[Item ID]=A137)*TableBOM[Per 1000 Units]*(1+TableBOM[Scrap %])*SUMIF($D$98:$D$103,TableBOM[Product ID],$H$98:$H$103)/1000)</f>
        <v>0</v>
      </c>
      <c r="F137" s="162">
        <f t="shared" si="11"/>
        <v>0</v>
      </c>
      <c r="G137" s="22" t="str">
        <f t="shared" si="12"/>
        <v>Not needed</v>
      </c>
      <c r="H137" s="33" t="str">
        <f>IF(LEN(IF((COUNTIFS(TableBOM[Product ID],$D$98,TableBOM[Item ID],$A137)&gt;0)*($H$98&gt;0),$C$98&amp;", ","") &amp; IF((COUNTIFS(TableBOM[Product ID],$D$99,TableBOM[Item ID],$A137)&gt;0)*($H$99&gt;0),$C$99&amp;", ","") &amp; IF((COUNTIFS(TableBOM[Product ID],$D$100,TableBOM[Item ID],$A137)&gt;0)*($H$100&gt;0),$C$100&amp;", ","") &amp; IF((COUNTIFS(TableBOM[Product ID],$D$101,TableBOM[Item ID],$A137)&gt;0)*($H$101&gt;0),$C$101&amp;", ","") &amp; IF((COUNTIFS(TableBOM[Product ID],$D$102,TableBOM[Item ID],$A137)&gt;0)*($H$102&gt;0),$C$102&amp;", ","") &amp; IF((COUNTIFS(TableBOM[Product ID],$D$103,TableBOM[Item ID],$A137)&gt;0)*($H$103&gt;0),$C$103&amp;", ",""))&gt;1,LEFT(IF((COUNTIFS(TableBOM[Product ID],$D$98,TableBOM[Item ID],$A137)&gt;0)*($H$98&gt;0),$C$98&amp;", ","") &amp; IF((COUNTIFS(TableBOM[Product ID],$D$99,TableBOM[Item ID],$A137)&gt;0)*($H$99&gt;0),$C$99&amp;", ","") &amp; IF((COUNTIFS(TableBOM[Product ID],$D$100,TableBOM[Item ID],$A137)&gt;0)*($H$100&gt;0),$C$100&amp;", ","") &amp; IF((COUNTIFS(TableBOM[Product ID],$D$101,TableBOM[Item ID],$A137)&gt;0)*($H$101&gt;0),$C$101&amp;", ","") &amp; IF((COUNTIFS(TableBOM[Product ID],$D$102,TableBOM[Item ID],$A137)&gt;0)*($H$102&gt;0),$C$102&amp;", ","") &amp; IF((COUNTIFS(TableBOM[Product ID],$D$103,TableBOM[Item ID],$A137)&gt;0)*($H$103&gt;0),$C$103&amp;", ",""),LEN(IF((COUNTIFS(TableBOM[Product ID],$D$98,TableBOM[Item ID],$A137)&gt;0)*($H$98&gt;0),$C$98&amp;", ","") &amp; IF((COUNTIFS(TableBOM[Product ID],$D$99,TableBOM[Item ID],$A137)&gt;0)*($H$99&gt;0),$C$99&amp;", ","") &amp; IF((COUNTIFS(TableBOM[Product ID],$D$100,TableBOM[Item ID],$A137)&gt;0)*($H$100&gt;0),$C$100&amp;", ","") &amp; IF((COUNTIFS(TableBOM[Product ID],$D$101,TableBOM[Item ID],$A137)&gt;0)*($H$101&gt;0),$C$101&amp;", ","") &amp; IF((COUNTIFS(TableBOM[Product ID],$D$102,TableBOM[Item ID],$A137)&gt;0)*($H$102&gt;0),$C$102&amp;", ","") &amp; IF((COUNTIFS(TableBOM[Product ID],$D$103,TableBOM[Item ID],$A137)&gt;0)*($H$103&gt;0),$C$103&amp;", ",""))-2),"")</f>
        <v/>
      </c>
      <c r="I137" s="163">
        <v>0.23</v>
      </c>
      <c r="J137" s="48"/>
      <c r="K137" s="48"/>
      <c r="L137" s="48"/>
      <c r="M137" s="48"/>
      <c r="N137" s="48"/>
      <c r="O137" s="48"/>
      <c r="P137" s="48"/>
      <c r="Q137" s="48"/>
      <c r="R137" s="48"/>
      <c r="S137" s="48"/>
    </row>
    <row r="138" spans="1:19" ht="15" customHeight="1" x14ac:dyDescent="0.25">
      <c r="A138" s="21">
        <v>3770</v>
      </c>
      <c r="B138" s="21" t="s">
        <v>302</v>
      </c>
      <c r="C138" s="44" t="s">
        <v>307</v>
      </c>
      <c r="D138" s="21" t="s">
        <v>14</v>
      </c>
      <c r="E138" s="33">
        <f>SUMPRODUCT((TableBOM[Item ID]=A138)*TableBOM[Per 1000 Units]*(1+TableBOM[Scrap %])*SUMIF($D$98:$D$103,TableBOM[Product ID],$H$98:$H$103)/1000)</f>
        <v>0</v>
      </c>
      <c r="F138" s="162">
        <f t="shared" si="11"/>
        <v>0</v>
      </c>
      <c r="G138" s="22" t="str">
        <f t="shared" si="12"/>
        <v>Not needed</v>
      </c>
      <c r="H138" s="33" t="str">
        <f>IF(LEN(IF((COUNTIFS(TableBOM[Product ID],$D$98,TableBOM[Item ID],$A138)&gt;0)*($H$98&gt;0),$C$98&amp;", ","") &amp; IF((COUNTIFS(TableBOM[Product ID],$D$99,TableBOM[Item ID],$A138)&gt;0)*($H$99&gt;0),$C$99&amp;", ","") &amp; IF((COUNTIFS(TableBOM[Product ID],$D$100,TableBOM[Item ID],$A138)&gt;0)*($H$100&gt;0),$C$100&amp;", ","") &amp; IF((COUNTIFS(TableBOM[Product ID],$D$101,TableBOM[Item ID],$A138)&gt;0)*($H$101&gt;0),$C$101&amp;", ","") &amp; IF((COUNTIFS(TableBOM[Product ID],$D$102,TableBOM[Item ID],$A138)&gt;0)*($H$102&gt;0),$C$102&amp;", ","") &amp; IF((COUNTIFS(TableBOM[Product ID],$D$103,TableBOM[Item ID],$A138)&gt;0)*($H$103&gt;0),$C$103&amp;", ",""))&gt;1,LEFT(IF((COUNTIFS(TableBOM[Product ID],$D$98,TableBOM[Item ID],$A138)&gt;0)*($H$98&gt;0),$C$98&amp;", ","") &amp; IF((COUNTIFS(TableBOM[Product ID],$D$99,TableBOM[Item ID],$A138)&gt;0)*($H$99&gt;0),$C$99&amp;", ","") &amp; IF((COUNTIFS(TableBOM[Product ID],$D$100,TableBOM[Item ID],$A138)&gt;0)*($H$100&gt;0),$C$100&amp;", ","") &amp; IF((COUNTIFS(TableBOM[Product ID],$D$101,TableBOM[Item ID],$A138)&gt;0)*($H$101&gt;0),$C$101&amp;", ","") &amp; IF((COUNTIFS(TableBOM[Product ID],$D$102,TableBOM[Item ID],$A138)&gt;0)*($H$102&gt;0),$C$102&amp;", ","") &amp; IF((COUNTIFS(TableBOM[Product ID],$D$103,TableBOM[Item ID],$A138)&gt;0)*($H$103&gt;0),$C$103&amp;", ",""),LEN(IF((COUNTIFS(TableBOM[Product ID],$D$98,TableBOM[Item ID],$A138)&gt;0)*($H$98&gt;0),$C$98&amp;", ","") &amp; IF((COUNTIFS(TableBOM[Product ID],$D$99,TableBOM[Item ID],$A138)&gt;0)*($H$99&gt;0),$C$99&amp;", ","") &amp; IF((COUNTIFS(TableBOM[Product ID],$D$100,TableBOM[Item ID],$A138)&gt;0)*($H$100&gt;0),$C$100&amp;", ","") &amp; IF((COUNTIFS(TableBOM[Product ID],$D$101,TableBOM[Item ID],$A138)&gt;0)*($H$101&gt;0),$C$101&amp;", ","") &amp; IF((COUNTIFS(TableBOM[Product ID],$D$102,TableBOM[Item ID],$A138)&gt;0)*($H$102&gt;0),$C$102&amp;", ","") &amp; IF((COUNTIFS(TableBOM[Product ID],$D$103,TableBOM[Item ID],$A138)&gt;0)*($H$103&gt;0),$C$103&amp;", ",""))-2),"")</f>
        <v/>
      </c>
      <c r="I138" s="163">
        <v>0.23</v>
      </c>
      <c r="J138" s="48"/>
      <c r="K138" s="48"/>
      <c r="L138" s="48"/>
      <c r="M138" s="48"/>
      <c r="N138" s="48"/>
      <c r="O138" s="48"/>
      <c r="P138" s="48"/>
      <c r="Q138" s="48"/>
      <c r="R138" s="48"/>
      <c r="S138" s="48"/>
    </row>
    <row r="139" spans="1:19" ht="15" customHeight="1" x14ac:dyDescent="0.25">
      <c r="A139" s="21">
        <v>130</v>
      </c>
      <c r="B139" s="21" t="s">
        <v>302</v>
      </c>
      <c r="C139" s="44" t="s">
        <v>93</v>
      </c>
      <c r="D139" s="21" t="s">
        <v>14</v>
      </c>
      <c r="E139" s="33">
        <f>SUMPRODUCT((TableBOM[Item ID]=A139)*TableBOM[Per 1000 Units]*(1+TableBOM[Scrap %])*SUMIF($D$98:$D$103,TableBOM[Product ID],$H$98:$H$103)/1000)</f>
        <v>0</v>
      </c>
      <c r="F139" s="162">
        <f t="shared" si="11"/>
        <v>0</v>
      </c>
      <c r="G139" s="22" t="str">
        <f t="shared" si="12"/>
        <v>Not needed</v>
      </c>
      <c r="H139" s="33" t="str">
        <f>IF(LEN(IF((COUNTIFS(TableBOM[Product ID],$D$98,TableBOM[Item ID],$A139)&gt;0)*($H$98&gt;0),$C$98&amp;", ","") &amp; IF((COUNTIFS(TableBOM[Product ID],$D$99,TableBOM[Item ID],$A139)&gt;0)*($H$99&gt;0),$C$99&amp;", ","") &amp; IF((COUNTIFS(TableBOM[Product ID],$D$100,TableBOM[Item ID],$A139)&gt;0)*($H$100&gt;0),$C$100&amp;", ","") &amp; IF((COUNTIFS(TableBOM[Product ID],$D$101,TableBOM[Item ID],$A139)&gt;0)*($H$101&gt;0),$C$101&amp;", ","") &amp; IF((COUNTIFS(TableBOM[Product ID],$D$102,TableBOM[Item ID],$A139)&gt;0)*($H$102&gt;0),$C$102&amp;", ","") &amp; IF((COUNTIFS(TableBOM[Product ID],$D$103,TableBOM[Item ID],$A139)&gt;0)*($H$103&gt;0),$C$103&amp;", ",""))&gt;1,LEFT(IF((COUNTIFS(TableBOM[Product ID],$D$98,TableBOM[Item ID],$A139)&gt;0)*($H$98&gt;0),$C$98&amp;", ","") &amp; IF((COUNTIFS(TableBOM[Product ID],$D$99,TableBOM[Item ID],$A139)&gt;0)*($H$99&gt;0),$C$99&amp;", ","") &amp; IF((COUNTIFS(TableBOM[Product ID],$D$100,TableBOM[Item ID],$A139)&gt;0)*($H$100&gt;0),$C$100&amp;", ","") &amp; IF((COUNTIFS(TableBOM[Product ID],$D$101,TableBOM[Item ID],$A139)&gt;0)*($H$101&gt;0),$C$101&amp;", ","") &amp; IF((COUNTIFS(TableBOM[Product ID],$D$102,TableBOM[Item ID],$A139)&gt;0)*($H$102&gt;0),$C$102&amp;", ","") &amp; IF((COUNTIFS(TableBOM[Product ID],$D$103,TableBOM[Item ID],$A139)&gt;0)*($H$103&gt;0),$C$103&amp;", ",""),LEN(IF((COUNTIFS(TableBOM[Product ID],$D$98,TableBOM[Item ID],$A139)&gt;0)*($H$98&gt;0),$C$98&amp;", ","") &amp; IF((COUNTIFS(TableBOM[Product ID],$D$99,TableBOM[Item ID],$A139)&gt;0)*($H$99&gt;0),$C$99&amp;", ","") &amp; IF((COUNTIFS(TableBOM[Product ID],$D$100,TableBOM[Item ID],$A139)&gt;0)*($H$100&gt;0),$C$100&amp;", ","") &amp; IF((COUNTIFS(TableBOM[Product ID],$D$101,TableBOM[Item ID],$A139)&gt;0)*($H$101&gt;0),$C$101&amp;", ","") &amp; IF((COUNTIFS(TableBOM[Product ID],$D$102,TableBOM[Item ID],$A139)&gt;0)*($H$102&gt;0),$C$102&amp;", ","") &amp; IF((COUNTIFS(TableBOM[Product ID],$D$103,TableBOM[Item ID],$A139)&gt;0)*($H$103&gt;0),$C$103&amp;", ",""))-2),"")</f>
        <v/>
      </c>
      <c r="I139" s="163">
        <v>0.12</v>
      </c>
      <c r="J139" s="48"/>
      <c r="K139" s="48"/>
      <c r="L139" s="48"/>
      <c r="M139" s="48"/>
      <c r="N139" s="48"/>
      <c r="O139" s="48"/>
      <c r="P139" s="48"/>
      <c r="Q139" s="48"/>
      <c r="R139" s="48"/>
      <c r="S139" s="48"/>
    </row>
    <row r="140" spans="1:19" ht="15" customHeight="1" x14ac:dyDescent="0.25">
      <c r="A140" s="21">
        <v>124</v>
      </c>
      <c r="B140" s="21" t="s">
        <v>302</v>
      </c>
      <c r="C140" s="44" t="s">
        <v>90</v>
      </c>
      <c r="D140" s="21" t="s">
        <v>14</v>
      </c>
      <c r="E140" s="33">
        <f>SUMPRODUCT((TableBOM[Item ID]=A140)*TableBOM[Per 1000 Units]*(1+TableBOM[Scrap %])*SUMIF($D$98:$D$103,TableBOM[Product ID],$H$98:$H$103)/1000)</f>
        <v>0</v>
      </c>
      <c r="F140" s="162">
        <f t="shared" si="11"/>
        <v>0</v>
      </c>
      <c r="G140" s="22" t="str">
        <f t="shared" si="12"/>
        <v>Not needed</v>
      </c>
      <c r="H140" s="33" t="str">
        <f>IF(LEN(IF((COUNTIFS(TableBOM[Product ID],$D$98,TableBOM[Item ID],$A140)&gt;0)*($H$98&gt;0),$C$98&amp;", ","") &amp; IF((COUNTIFS(TableBOM[Product ID],$D$99,TableBOM[Item ID],$A140)&gt;0)*($H$99&gt;0),$C$99&amp;", ","") &amp; IF((COUNTIFS(TableBOM[Product ID],$D$100,TableBOM[Item ID],$A140)&gt;0)*($H$100&gt;0),$C$100&amp;", ","") &amp; IF((COUNTIFS(TableBOM[Product ID],$D$101,TableBOM[Item ID],$A140)&gt;0)*($H$101&gt;0),$C$101&amp;", ","") &amp; IF((COUNTIFS(TableBOM[Product ID],$D$102,TableBOM[Item ID],$A140)&gt;0)*($H$102&gt;0),$C$102&amp;", ","") &amp; IF((COUNTIFS(TableBOM[Product ID],$D$103,TableBOM[Item ID],$A140)&gt;0)*($H$103&gt;0),$C$103&amp;", ",""))&gt;1,LEFT(IF((COUNTIFS(TableBOM[Product ID],$D$98,TableBOM[Item ID],$A140)&gt;0)*($H$98&gt;0),$C$98&amp;", ","") &amp; IF((COUNTIFS(TableBOM[Product ID],$D$99,TableBOM[Item ID],$A140)&gt;0)*($H$99&gt;0),$C$99&amp;", ","") &amp; IF((COUNTIFS(TableBOM[Product ID],$D$100,TableBOM[Item ID],$A140)&gt;0)*($H$100&gt;0),$C$100&amp;", ","") &amp; IF((COUNTIFS(TableBOM[Product ID],$D$101,TableBOM[Item ID],$A140)&gt;0)*($H$101&gt;0),$C$101&amp;", ","") &amp; IF((COUNTIFS(TableBOM[Product ID],$D$102,TableBOM[Item ID],$A140)&gt;0)*($H$102&gt;0),$C$102&amp;", ","") &amp; IF((COUNTIFS(TableBOM[Product ID],$D$103,TableBOM[Item ID],$A140)&gt;0)*($H$103&gt;0),$C$103&amp;", ",""),LEN(IF((COUNTIFS(TableBOM[Product ID],$D$98,TableBOM[Item ID],$A140)&gt;0)*($H$98&gt;0),$C$98&amp;", ","") &amp; IF((COUNTIFS(TableBOM[Product ID],$D$99,TableBOM[Item ID],$A140)&gt;0)*($H$99&gt;0),$C$99&amp;", ","") &amp; IF((COUNTIFS(TableBOM[Product ID],$D$100,TableBOM[Item ID],$A140)&gt;0)*($H$100&gt;0),$C$100&amp;", ","") &amp; IF((COUNTIFS(TableBOM[Product ID],$D$101,TableBOM[Item ID],$A140)&gt;0)*($H$101&gt;0),$C$101&amp;", ","") &amp; IF((COUNTIFS(TableBOM[Product ID],$D$102,TableBOM[Item ID],$A140)&gt;0)*($H$102&gt;0),$C$102&amp;", ","") &amp; IF((COUNTIFS(TableBOM[Product ID],$D$103,TableBOM[Item ID],$A140)&gt;0)*($H$103&gt;0),$C$103&amp;", ",""))-2),"")</f>
        <v/>
      </c>
      <c r="I140" s="163">
        <v>0.12</v>
      </c>
      <c r="J140" s="48"/>
      <c r="K140" s="48"/>
      <c r="L140" s="48"/>
      <c r="M140" s="48"/>
      <c r="N140" s="48"/>
      <c r="O140" s="48"/>
      <c r="P140" s="48"/>
      <c r="Q140" s="48"/>
      <c r="R140" s="48"/>
      <c r="S140" s="48"/>
    </row>
    <row r="141" spans="1:19" ht="15" customHeight="1" x14ac:dyDescent="0.25">
      <c r="A141" s="21">
        <v>3968</v>
      </c>
      <c r="B141" s="21" t="s">
        <v>302</v>
      </c>
      <c r="C141" s="44" t="s">
        <v>105</v>
      </c>
      <c r="D141" s="21" t="s">
        <v>14</v>
      </c>
      <c r="E141" s="33">
        <f>SUMPRODUCT((TableBOM[Item ID]=A141)*TableBOM[Per 1000 Units]*(1+TableBOM[Scrap %])*SUMIF($D$98:$D$103,TableBOM[Product ID],$H$98:$H$103)/1000)</f>
        <v>0</v>
      </c>
      <c r="F141" s="162">
        <f t="shared" si="11"/>
        <v>0</v>
      </c>
      <c r="G141" s="22" t="str">
        <f t="shared" si="12"/>
        <v>Not needed</v>
      </c>
      <c r="H141" s="33" t="str">
        <f>IF(LEN(IF((COUNTIFS(TableBOM[Product ID],$D$98,TableBOM[Item ID],$A141)&gt;0)*($H$98&gt;0),$C$98&amp;", ","") &amp; IF((COUNTIFS(TableBOM[Product ID],$D$99,TableBOM[Item ID],$A141)&gt;0)*($H$99&gt;0),$C$99&amp;", ","") &amp; IF((COUNTIFS(TableBOM[Product ID],$D$100,TableBOM[Item ID],$A141)&gt;0)*($H$100&gt;0),$C$100&amp;", ","") &amp; IF((COUNTIFS(TableBOM[Product ID],$D$101,TableBOM[Item ID],$A141)&gt;0)*($H$101&gt;0),$C$101&amp;", ","") &amp; IF((COUNTIFS(TableBOM[Product ID],$D$102,TableBOM[Item ID],$A141)&gt;0)*($H$102&gt;0),$C$102&amp;", ","") &amp; IF((COUNTIFS(TableBOM[Product ID],$D$103,TableBOM[Item ID],$A141)&gt;0)*($H$103&gt;0),$C$103&amp;", ",""))&gt;1,LEFT(IF((COUNTIFS(TableBOM[Product ID],$D$98,TableBOM[Item ID],$A141)&gt;0)*($H$98&gt;0),$C$98&amp;", ","") &amp; IF((COUNTIFS(TableBOM[Product ID],$D$99,TableBOM[Item ID],$A141)&gt;0)*($H$99&gt;0),$C$99&amp;", ","") &amp; IF((COUNTIFS(TableBOM[Product ID],$D$100,TableBOM[Item ID],$A141)&gt;0)*($H$100&gt;0),$C$100&amp;", ","") &amp; IF((COUNTIFS(TableBOM[Product ID],$D$101,TableBOM[Item ID],$A141)&gt;0)*($H$101&gt;0),$C$101&amp;", ","") &amp; IF((COUNTIFS(TableBOM[Product ID],$D$102,TableBOM[Item ID],$A141)&gt;0)*($H$102&gt;0),$C$102&amp;", ","") &amp; IF((COUNTIFS(TableBOM[Product ID],$D$103,TableBOM[Item ID],$A141)&gt;0)*($H$103&gt;0),$C$103&amp;", ",""),LEN(IF((COUNTIFS(TableBOM[Product ID],$D$98,TableBOM[Item ID],$A141)&gt;0)*($H$98&gt;0),$C$98&amp;", ","") &amp; IF((COUNTIFS(TableBOM[Product ID],$D$99,TableBOM[Item ID],$A141)&gt;0)*($H$99&gt;0),$C$99&amp;", ","") &amp; IF((COUNTIFS(TableBOM[Product ID],$D$100,TableBOM[Item ID],$A141)&gt;0)*($H$100&gt;0),$C$100&amp;", ","") &amp; IF((COUNTIFS(TableBOM[Product ID],$D$101,TableBOM[Item ID],$A141)&gt;0)*($H$101&gt;0),$C$101&amp;", ","") &amp; IF((COUNTIFS(TableBOM[Product ID],$D$102,TableBOM[Item ID],$A141)&gt;0)*($H$102&gt;0),$C$102&amp;", ","") &amp; IF((COUNTIFS(TableBOM[Product ID],$D$103,TableBOM[Item ID],$A141)&gt;0)*($H$103&gt;0),$C$103&amp;", ",""))-2),"")</f>
        <v/>
      </c>
      <c r="I141" s="163">
        <v>0.12</v>
      </c>
      <c r="J141" s="48"/>
      <c r="K141" s="48"/>
      <c r="L141" s="48"/>
      <c r="M141" s="48"/>
      <c r="N141" s="48"/>
      <c r="O141" s="48"/>
      <c r="P141" s="48"/>
      <c r="Q141" s="48"/>
      <c r="R141" s="48"/>
      <c r="S141" s="48"/>
    </row>
    <row r="142" spans="1:19" x14ac:dyDescent="0.25">
      <c r="A142" s="21">
        <v>3642</v>
      </c>
      <c r="B142" s="21" t="s">
        <v>302</v>
      </c>
      <c r="C142" s="44" t="s">
        <v>96</v>
      </c>
      <c r="D142" s="21" t="s">
        <v>14</v>
      </c>
      <c r="E142" s="33">
        <f>SUMPRODUCT((TableBOM[Item ID]=A142)*TableBOM[Per 1000 Units]*(1+TableBOM[Scrap %])*SUMIF($D$98:$D$103,TableBOM[Product ID],$H$98:$H$103)/1000)</f>
        <v>0</v>
      </c>
      <c r="F142" s="162">
        <f t="shared" si="11"/>
        <v>0</v>
      </c>
      <c r="G142" s="22" t="str">
        <f t="shared" si="12"/>
        <v>Not needed</v>
      </c>
      <c r="H142" s="33" t="str">
        <f>IF(LEN(IF((COUNTIFS(TableBOM[Product ID],$D$98,TableBOM[Item ID],$A142)&gt;0)*($H$98&gt;0),$C$98&amp;", ","") &amp; IF((COUNTIFS(TableBOM[Product ID],$D$99,TableBOM[Item ID],$A142)&gt;0)*($H$99&gt;0),$C$99&amp;", ","") &amp; IF((COUNTIFS(TableBOM[Product ID],$D$100,TableBOM[Item ID],$A142)&gt;0)*($H$100&gt;0),$C$100&amp;", ","") &amp; IF((COUNTIFS(TableBOM[Product ID],$D$101,TableBOM[Item ID],$A142)&gt;0)*($H$101&gt;0),$C$101&amp;", ","") &amp; IF((COUNTIFS(TableBOM[Product ID],$D$102,TableBOM[Item ID],$A142)&gt;0)*($H$102&gt;0),$C$102&amp;", ","") &amp; IF((COUNTIFS(TableBOM[Product ID],$D$103,TableBOM[Item ID],$A142)&gt;0)*($H$103&gt;0),$C$103&amp;", ",""))&gt;1,LEFT(IF((COUNTIFS(TableBOM[Product ID],$D$98,TableBOM[Item ID],$A142)&gt;0)*($H$98&gt;0),$C$98&amp;", ","") &amp; IF((COUNTIFS(TableBOM[Product ID],$D$99,TableBOM[Item ID],$A142)&gt;0)*($H$99&gt;0),$C$99&amp;", ","") &amp; IF((COUNTIFS(TableBOM[Product ID],$D$100,TableBOM[Item ID],$A142)&gt;0)*($H$100&gt;0),$C$100&amp;", ","") &amp; IF((COUNTIFS(TableBOM[Product ID],$D$101,TableBOM[Item ID],$A142)&gt;0)*($H$101&gt;0),$C$101&amp;", ","") &amp; IF((COUNTIFS(TableBOM[Product ID],$D$102,TableBOM[Item ID],$A142)&gt;0)*($H$102&gt;0),$C$102&amp;", ","") &amp; IF((COUNTIFS(TableBOM[Product ID],$D$103,TableBOM[Item ID],$A142)&gt;0)*($H$103&gt;0),$C$103&amp;", ",""),LEN(IF((COUNTIFS(TableBOM[Product ID],$D$98,TableBOM[Item ID],$A142)&gt;0)*($H$98&gt;0),$C$98&amp;", ","") &amp; IF((COUNTIFS(TableBOM[Product ID],$D$99,TableBOM[Item ID],$A142)&gt;0)*($H$99&gt;0),$C$99&amp;", ","") &amp; IF((COUNTIFS(TableBOM[Product ID],$D$100,TableBOM[Item ID],$A142)&gt;0)*($H$100&gt;0),$C$100&amp;", ","") &amp; IF((COUNTIFS(TableBOM[Product ID],$D$101,TableBOM[Item ID],$A142)&gt;0)*($H$101&gt;0),$C$101&amp;", ","") &amp; IF((COUNTIFS(TableBOM[Product ID],$D$102,TableBOM[Item ID],$A142)&gt;0)*($H$102&gt;0),$C$102&amp;", ","") &amp; IF((COUNTIFS(TableBOM[Product ID],$D$103,TableBOM[Item ID],$A142)&gt;0)*($H$103&gt;0),$C$103&amp;", ",""))-2),"")</f>
        <v/>
      </c>
      <c r="I142" s="163">
        <v>0.12</v>
      </c>
      <c r="J142" s="48"/>
      <c r="K142" s="48"/>
      <c r="L142" s="48"/>
      <c r="M142" s="48"/>
      <c r="N142" s="48"/>
      <c r="O142" s="48"/>
      <c r="P142" s="48"/>
      <c r="Q142" s="48"/>
      <c r="R142" s="48"/>
      <c r="S142" s="48"/>
    </row>
    <row r="143" spans="1:19" x14ac:dyDescent="0.25">
      <c r="A143" s="21">
        <v>104</v>
      </c>
      <c r="B143" s="21" t="s">
        <v>302</v>
      </c>
      <c r="C143" s="44" t="s">
        <v>87</v>
      </c>
      <c r="D143" s="21" t="s">
        <v>14</v>
      </c>
      <c r="E143" s="33">
        <f>SUMPRODUCT((TableBOM[Item ID]=A143)*TableBOM[Per 1000 Units]*(1+TableBOM[Scrap %])*SUMIF($D$98:$D$103,TableBOM[Product ID],$H$98:$H$103)/1000)</f>
        <v>0</v>
      </c>
      <c r="F143" s="162">
        <f t="shared" si="11"/>
        <v>0</v>
      </c>
      <c r="G143" s="22" t="str">
        <f t="shared" si="12"/>
        <v>Not needed</v>
      </c>
      <c r="H143" s="33" t="str">
        <f>IF(LEN(IF((COUNTIFS(TableBOM[Product ID],$D$98,TableBOM[Item ID],$A143)&gt;0)*($H$98&gt;0),$C$98&amp;", ","") &amp; IF((COUNTIFS(TableBOM[Product ID],$D$99,TableBOM[Item ID],$A143)&gt;0)*($H$99&gt;0),$C$99&amp;", ","") &amp; IF((COUNTIFS(TableBOM[Product ID],$D$100,TableBOM[Item ID],$A143)&gt;0)*($H$100&gt;0),$C$100&amp;", ","") &amp; IF((COUNTIFS(TableBOM[Product ID],$D$101,TableBOM[Item ID],$A143)&gt;0)*($H$101&gt;0),$C$101&amp;", ","") &amp; IF((COUNTIFS(TableBOM[Product ID],$D$102,TableBOM[Item ID],$A143)&gt;0)*($H$102&gt;0),$C$102&amp;", ","") &amp; IF((COUNTIFS(TableBOM[Product ID],$D$103,TableBOM[Item ID],$A143)&gt;0)*($H$103&gt;0),$C$103&amp;", ",""))&gt;1,LEFT(IF((COUNTIFS(TableBOM[Product ID],$D$98,TableBOM[Item ID],$A143)&gt;0)*($H$98&gt;0),$C$98&amp;", ","") &amp; IF((COUNTIFS(TableBOM[Product ID],$D$99,TableBOM[Item ID],$A143)&gt;0)*($H$99&gt;0),$C$99&amp;", ","") &amp; IF((COUNTIFS(TableBOM[Product ID],$D$100,TableBOM[Item ID],$A143)&gt;0)*($H$100&gt;0),$C$100&amp;", ","") &amp; IF((COUNTIFS(TableBOM[Product ID],$D$101,TableBOM[Item ID],$A143)&gt;0)*($H$101&gt;0),$C$101&amp;", ","") &amp; IF((COUNTIFS(TableBOM[Product ID],$D$102,TableBOM[Item ID],$A143)&gt;0)*($H$102&gt;0),$C$102&amp;", ","") &amp; IF((COUNTIFS(TableBOM[Product ID],$D$103,TableBOM[Item ID],$A143)&gt;0)*($H$103&gt;0),$C$103&amp;", ",""),LEN(IF((COUNTIFS(TableBOM[Product ID],$D$98,TableBOM[Item ID],$A143)&gt;0)*($H$98&gt;0),$C$98&amp;", ","") &amp; IF((COUNTIFS(TableBOM[Product ID],$D$99,TableBOM[Item ID],$A143)&gt;0)*($H$99&gt;0),$C$99&amp;", ","") &amp; IF((COUNTIFS(TableBOM[Product ID],$D$100,TableBOM[Item ID],$A143)&gt;0)*($H$100&gt;0),$C$100&amp;", ","") &amp; IF((COUNTIFS(TableBOM[Product ID],$D$101,TableBOM[Item ID],$A143)&gt;0)*($H$101&gt;0),$C$101&amp;", ","") &amp; IF((COUNTIFS(TableBOM[Product ID],$D$102,TableBOM[Item ID],$A143)&gt;0)*($H$102&gt;0),$C$102&amp;", ","") &amp; IF((COUNTIFS(TableBOM[Product ID],$D$103,TableBOM[Item ID],$A143)&gt;0)*($H$103&gt;0),$C$103&amp;", ",""))-2),"")</f>
        <v/>
      </c>
      <c r="I143" s="163">
        <v>0</v>
      </c>
      <c r="J143" s="48"/>
      <c r="K143" s="48"/>
      <c r="L143" s="48"/>
      <c r="M143" s="48"/>
      <c r="N143" s="48"/>
      <c r="O143" s="48"/>
      <c r="P143" s="48"/>
      <c r="Q143" s="48"/>
      <c r="R143" s="48"/>
      <c r="S143" s="48"/>
    </row>
    <row r="144" spans="1:19" ht="15" customHeight="1" x14ac:dyDescent="0.25">
      <c r="A144" s="21">
        <v>105</v>
      </c>
      <c r="B144" s="21" t="s">
        <v>302</v>
      </c>
      <c r="C144" s="44" t="s">
        <v>88</v>
      </c>
      <c r="D144" s="21" t="s">
        <v>14</v>
      </c>
      <c r="E144" s="33">
        <f>SUMPRODUCT((TableBOM[Item ID]=A144)*TableBOM[Per 1000 Units]*(1+TableBOM[Scrap %])*SUMIF($D$98:$D$103,TableBOM[Product ID],$H$98:$H$103)/1000)</f>
        <v>0</v>
      </c>
      <c r="F144" s="162">
        <f t="shared" si="11"/>
        <v>0</v>
      </c>
      <c r="G144" s="22" t="str">
        <f t="shared" si="12"/>
        <v>Not needed</v>
      </c>
      <c r="H144" s="33" t="str">
        <f>IF(LEN(IF((COUNTIFS(TableBOM[Product ID],$D$98,TableBOM[Item ID],$A144)&gt;0)*($H$98&gt;0),$C$98&amp;", ","") &amp; IF((COUNTIFS(TableBOM[Product ID],$D$99,TableBOM[Item ID],$A144)&gt;0)*($H$99&gt;0),$C$99&amp;", ","") &amp; IF((COUNTIFS(TableBOM[Product ID],$D$100,TableBOM[Item ID],$A144)&gt;0)*($H$100&gt;0),$C$100&amp;", ","") &amp; IF((COUNTIFS(TableBOM[Product ID],$D$101,TableBOM[Item ID],$A144)&gt;0)*($H$101&gt;0),$C$101&amp;", ","") &amp; IF((COUNTIFS(TableBOM[Product ID],$D$102,TableBOM[Item ID],$A144)&gt;0)*($H$102&gt;0),$C$102&amp;", ","") &amp; IF((COUNTIFS(TableBOM[Product ID],$D$103,TableBOM[Item ID],$A144)&gt;0)*($H$103&gt;0),$C$103&amp;", ",""))&gt;1,LEFT(IF((COUNTIFS(TableBOM[Product ID],$D$98,TableBOM[Item ID],$A144)&gt;0)*($H$98&gt;0),$C$98&amp;", ","") &amp; IF((COUNTIFS(TableBOM[Product ID],$D$99,TableBOM[Item ID],$A144)&gt;0)*($H$99&gt;0),$C$99&amp;", ","") &amp; IF((COUNTIFS(TableBOM[Product ID],$D$100,TableBOM[Item ID],$A144)&gt;0)*($H$100&gt;0),$C$100&amp;", ","") &amp; IF((COUNTIFS(TableBOM[Product ID],$D$101,TableBOM[Item ID],$A144)&gt;0)*($H$101&gt;0),$C$101&amp;", ","") &amp; IF((COUNTIFS(TableBOM[Product ID],$D$102,TableBOM[Item ID],$A144)&gt;0)*($H$102&gt;0),$C$102&amp;", ","") &amp; IF((COUNTIFS(TableBOM[Product ID],$D$103,TableBOM[Item ID],$A144)&gt;0)*($H$103&gt;0),$C$103&amp;", ",""),LEN(IF((COUNTIFS(TableBOM[Product ID],$D$98,TableBOM[Item ID],$A144)&gt;0)*($H$98&gt;0),$C$98&amp;", ","") &amp; IF((COUNTIFS(TableBOM[Product ID],$D$99,TableBOM[Item ID],$A144)&gt;0)*($H$99&gt;0),$C$99&amp;", ","") &amp; IF((COUNTIFS(TableBOM[Product ID],$D$100,TableBOM[Item ID],$A144)&gt;0)*($H$100&gt;0),$C$100&amp;", ","") &amp; IF((COUNTIFS(TableBOM[Product ID],$D$101,TableBOM[Item ID],$A144)&gt;0)*($H$101&gt;0),$C$101&amp;", ","") &amp; IF((COUNTIFS(TableBOM[Product ID],$D$102,TableBOM[Item ID],$A144)&gt;0)*($H$102&gt;0),$C$102&amp;", ","") &amp; IF((COUNTIFS(TableBOM[Product ID],$D$103,TableBOM[Item ID],$A144)&gt;0)*($H$103&gt;0),$C$103&amp;", ",""))-2),"")</f>
        <v/>
      </c>
      <c r="I144" s="163">
        <v>0</v>
      </c>
      <c r="J144" s="48"/>
      <c r="K144" s="48"/>
      <c r="L144" s="48"/>
      <c r="M144" s="48"/>
      <c r="N144" s="48"/>
      <c r="O144" s="48"/>
      <c r="P144" s="48"/>
      <c r="Q144" s="48"/>
      <c r="R144" s="48"/>
      <c r="S144" s="48"/>
    </row>
    <row r="145" spans="1:19" ht="15" customHeight="1" x14ac:dyDescent="0.25">
      <c r="A145" s="21">
        <v>127</v>
      </c>
      <c r="B145" s="21" t="s">
        <v>302</v>
      </c>
      <c r="C145" s="44" t="s">
        <v>91</v>
      </c>
      <c r="D145" s="21" t="s">
        <v>14</v>
      </c>
      <c r="E145" s="33">
        <f>SUMPRODUCT((TableBOM[Item ID]=A145)*TableBOM[Per 1000 Units]*(1+TableBOM[Scrap %])*SUMIF($D$98:$D$103,TableBOM[Product ID],$H$98:$H$103)/1000)</f>
        <v>0</v>
      </c>
      <c r="F145" s="162">
        <f t="shared" si="11"/>
        <v>0</v>
      </c>
      <c r="G145" s="22" t="str">
        <f t="shared" si="12"/>
        <v>Not needed</v>
      </c>
      <c r="H145" s="33" t="str">
        <f>IF(LEN(IF((COUNTIFS(TableBOM[Product ID],$D$98,TableBOM[Item ID],$A145)&gt;0)*($H$98&gt;0),$C$98&amp;", ","") &amp; IF((COUNTIFS(TableBOM[Product ID],$D$99,TableBOM[Item ID],$A145)&gt;0)*($H$99&gt;0),$C$99&amp;", ","") &amp; IF((COUNTIFS(TableBOM[Product ID],$D$100,TableBOM[Item ID],$A145)&gt;0)*($H$100&gt;0),$C$100&amp;", ","") &amp; IF((COUNTIFS(TableBOM[Product ID],$D$101,TableBOM[Item ID],$A145)&gt;0)*($H$101&gt;0),$C$101&amp;", ","") &amp; IF((COUNTIFS(TableBOM[Product ID],$D$102,TableBOM[Item ID],$A145)&gt;0)*($H$102&gt;0),$C$102&amp;", ","") &amp; IF((COUNTIFS(TableBOM[Product ID],$D$103,TableBOM[Item ID],$A145)&gt;0)*($H$103&gt;0),$C$103&amp;", ",""))&gt;1,LEFT(IF((COUNTIFS(TableBOM[Product ID],$D$98,TableBOM[Item ID],$A145)&gt;0)*($H$98&gt;0),$C$98&amp;", ","") &amp; IF((COUNTIFS(TableBOM[Product ID],$D$99,TableBOM[Item ID],$A145)&gt;0)*($H$99&gt;0),$C$99&amp;", ","") &amp; IF((COUNTIFS(TableBOM[Product ID],$D$100,TableBOM[Item ID],$A145)&gt;0)*($H$100&gt;0),$C$100&amp;", ","") &amp; IF((COUNTIFS(TableBOM[Product ID],$D$101,TableBOM[Item ID],$A145)&gt;0)*($H$101&gt;0),$C$101&amp;", ","") &amp; IF((COUNTIFS(TableBOM[Product ID],$D$102,TableBOM[Item ID],$A145)&gt;0)*($H$102&gt;0),$C$102&amp;", ","") &amp; IF((COUNTIFS(TableBOM[Product ID],$D$103,TableBOM[Item ID],$A145)&gt;0)*($H$103&gt;0),$C$103&amp;", ",""),LEN(IF((COUNTIFS(TableBOM[Product ID],$D$98,TableBOM[Item ID],$A145)&gt;0)*($H$98&gt;0),$C$98&amp;", ","") &amp; IF((COUNTIFS(TableBOM[Product ID],$D$99,TableBOM[Item ID],$A145)&gt;0)*($H$99&gt;0),$C$99&amp;", ","") &amp; IF((COUNTIFS(TableBOM[Product ID],$D$100,TableBOM[Item ID],$A145)&gt;0)*($H$100&gt;0),$C$100&amp;", ","") &amp; IF((COUNTIFS(TableBOM[Product ID],$D$101,TableBOM[Item ID],$A145)&gt;0)*($H$101&gt;0),$C$101&amp;", ","") &amp; IF((COUNTIFS(TableBOM[Product ID],$D$102,TableBOM[Item ID],$A145)&gt;0)*($H$102&gt;0),$C$102&amp;", ","") &amp; IF((COUNTIFS(TableBOM[Product ID],$D$103,TableBOM[Item ID],$A145)&gt;0)*($H$103&gt;0),$C$103&amp;", ",""))-2),"")</f>
        <v/>
      </c>
      <c r="I145" s="163">
        <v>0</v>
      </c>
      <c r="J145" s="48"/>
      <c r="K145" s="48"/>
      <c r="L145" s="48"/>
      <c r="M145" s="48"/>
      <c r="N145" s="48"/>
      <c r="O145" s="48"/>
      <c r="P145" s="48"/>
      <c r="Q145" s="48"/>
      <c r="R145" s="48"/>
      <c r="S145" s="48"/>
    </row>
    <row r="146" spans="1:19" ht="15" customHeight="1" x14ac:dyDescent="0.25">
      <c r="A146" s="21">
        <v>3800</v>
      </c>
      <c r="B146" s="21" t="s">
        <v>302</v>
      </c>
      <c r="C146" s="44" t="s">
        <v>101</v>
      </c>
      <c r="D146" s="21" t="s">
        <v>14</v>
      </c>
      <c r="E146" s="33">
        <f>SUMPRODUCT((TableBOM[Item ID]=A146)*TableBOM[Per 1000 Units]*(1+TableBOM[Scrap %])*SUMIF($D$98:$D$103,TableBOM[Product ID],$H$98:$H$103)/1000)</f>
        <v>0</v>
      </c>
      <c r="F146" s="162">
        <f t="shared" si="11"/>
        <v>0</v>
      </c>
      <c r="G146" s="22" t="str">
        <f t="shared" si="12"/>
        <v>Not needed</v>
      </c>
      <c r="H146" s="33" t="str">
        <f>IF(LEN(IF((COUNTIFS(TableBOM[Product ID],$D$98,TableBOM[Item ID],$A146)&gt;0)*($H$98&gt;0),$C$98&amp;", ","") &amp; IF((COUNTIFS(TableBOM[Product ID],$D$99,TableBOM[Item ID],$A146)&gt;0)*($H$99&gt;0),$C$99&amp;", ","") &amp; IF((COUNTIFS(TableBOM[Product ID],$D$100,TableBOM[Item ID],$A146)&gt;0)*($H$100&gt;0),$C$100&amp;", ","") &amp; IF((COUNTIFS(TableBOM[Product ID],$D$101,TableBOM[Item ID],$A146)&gt;0)*($H$101&gt;0),$C$101&amp;", ","") &amp; IF((COUNTIFS(TableBOM[Product ID],$D$102,TableBOM[Item ID],$A146)&gt;0)*($H$102&gt;0),$C$102&amp;", ","") &amp; IF((COUNTIFS(TableBOM[Product ID],$D$103,TableBOM[Item ID],$A146)&gt;0)*($H$103&gt;0),$C$103&amp;", ",""))&gt;1,LEFT(IF((COUNTIFS(TableBOM[Product ID],$D$98,TableBOM[Item ID],$A146)&gt;0)*($H$98&gt;0),$C$98&amp;", ","") &amp; IF((COUNTIFS(TableBOM[Product ID],$D$99,TableBOM[Item ID],$A146)&gt;0)*($H$99&gt;0),$C$99&amp;", ","") &amp; IF((COUNTIFS(TableBOM[Product ID],$D$100,TableBOM[Item ID],$A146)&gt;0)*($H$100&gt;0),$C$100&amp;", ","") &amp; IF((COUNTIFS(TableBOM[Product ID],$D$101,TableBOM[Item ID],$A146)&gt;0)*($H$101&gt;0),$C$101&amp;", ","") &amp; IF((COUNTIFS(TableBOM[Product ID],$D$102,TableBOM[Item ID],$A146)&gt;0)*($H$102&gt;0),$C$102&amp;", ","") &amp; IF((COUNTIFS(TableBOM[Product ID],$D$103,TableBOM[Item ID],$A146)&gt;0)*($H$103&gt;0),$C$103&amp;", ",""),LEN(IF((COUNTIFS(TableBOM[Product ID],$D$98,TableBOM[Item ID],$A146)&gt;0)*($H$98&gt;0),$C$98&amp;", ","") &amp; IF((COUNTIFS(TableBOM[Product ID],$D$99,TableBOM[Item ID],$A146)&gt;0)*($H$99&gt;0),$C$99&amp;", ","") &amp; IF((COUNTIFS(TableBOM[Product ID],$D$100,TableBOM[Item ID],$A146)&gt;0)*($H$100&gt;0),$C$100&amp;", ","") &amp; IF((COUNTIFS(TableBOM[Product ID],$D$101,TableBOM[Item ID],$A146)&gt;0)*($H$101&gt;0),$C$101&amp;", ","") &amp; IF((COUNTIFS(TableBOM[Product ID],$D$102,TableBOM[Item ID],$A146)&gt;0)*($H$102&gt;0),$C$102&amp;", ","") &amp; IF((COUNTIFS(TableBOM[Product ID],$D$103,TableBOM[Item ID],$A146)&gt;0)*($H$103&gt;0),$C$103&amp;", ",""))-2),"")</f>
        <v/>
      </c>
      <c r="I146" s="163">
        <v>0</v>
      </c>
      <c r="J146" s="48"/>
      <c r="K146" s="48"/>
      <c r="L146" s="48"/>
      <c r="M146" s="48"/>
      <c r="N146" s="48"/>
      <c r="O146" s="48"/>
      <c r="P146" s="48"/>
      <c r="Q146" s="48"/>
      <c r="R146" s="48"/>
      <c r="S146" s="48"/>
    </row>
    <row r="147" spans="1:19" ht="15" customHeight="1" x14ac:dyDescent="0.25">
      <c r="A147" s="21">
        <v>4216</v>
      </c>
      <c r="B147" s="21" t="s">
        <v>302</v>
      </c>
      <c r="C147" s="44" t="s">
        <v>106</v>
      </c>
      <c r="D147" s="21" t="s">
        <v>14</v>
      </c>
      <c r="E147" s="33">
        <f>SUMPRODUCT((TableBOM[Item ID]=A147)*TableBOM[Per 1000 Units]*(1+TableBOM[Scrap %])*SUMIF($D$98:$D$103,TableBOM[Product ID],$H$98:$H$103)/1000)</f>
        <v>0</v>
      </c>
      <c r="F147" s="162">
        <f t="shared" si="11"/>
        <v>0</v>
      </c>
      <c r="G147" s="22" t="str">
        <f t="shared" si="12"/>
        <v>Not needed</v>
      </c>
      <c r="H147" s="33" t="str">
        <f>IF(LEN(IF((COUNTIFS(TableBOM[Product ID],$D$98,TableBOM[Item ID],$A147)&gt;0)*($H$98&gt;0),$C$98&amp;", ","") &amp; IF((COUNTIFS(TableBOM[Product ID],$D$99,TableBOM[Item ID],$A147)&gt;0)*($H$99&gt;0),$C$99&amp;", ","") &amp; IF((COUNTIFS(TableBOM[Product ID],$D$100,TableBOM[Item ID],$A147)&gt;0)*($H$100&gt;0),$C$100&amp;", ","") &amp; IF((COUNTIFS(TableBOM[Product ID],$D$101,TableBOM[Item ID],$A147)&gt;0)*($H$101&gt;0),$C$101&amp;", ","") &amp; IF((COUNTIFS(TableBOM[Product ID],$D$102,TableBOM[Item ID],$A147)&gt;0)*($H$102&gt;0),$C$102&amp;", ","") &amp; IF((COUNTIFS(TableBOM[Product ID],$D$103,TableBOM[Item ID],$A147)&gt;0)*($H$103&gt;0),$C$103&amp;", ",""))&gt;1,LEFT(IF((COUNTIFS(TableBOM[Product ID],$D$98,TableBOM[Item ID],$A147)&gt;0)*($H$98&gt;0),$C$98&amp;", ","") &amp; IF((COUNTIFS(TableBOM[Product ID],$D$99,TableBOM[Item ID],$A147)&gt;0)*($H$99&gt;0),$C$99&amp;", ","") &amp; IF((COUNTIFS(TableBOM[Product ID],$D$100,TableBOM[Item ID],$A147)&gt;0)*($H$100&gt;0),$C$100&amp;", ","") &amp; IF((COUNTIFS(TableBOM[Product ID],$D$101,TableBOM[Item ID],$A147)&gt;0)*($H$101&gt;0),$C$101&amp;", ","") &amp; IF((COUNTIFS(TableBOM[Product ID],$D$102,TableBOM[Item ID],$A147)&gt;0)*($H$102&gt;0),$C$102&amp;", ","") &amp; IF((COUNTIFS(TableBOM[Product ID],$D$103,TableBOM[Item ID],$A147)&gt;0)*($H$103&gt;0),$C$103&amp;", ",""),LEN(IF((COUNTIFS(TableBOM[Product ID],$D$98,TableBOM[Item ID],$A147)&gt;0)*($H$98&gt;0),$C$98&amp;", ","") &amp; IF((COUNTIFS(TableBOM[Product ID],$D$99,TableBOM[Item ID],$A147)&gt;0)*($H$99&gt;0),$C$99&amp;", ","") &amp; IF((COUNTIFS(TableBOM[Product ID],$D$100,TableBOM[Item ID],$A147)&gt;0)*($H$100&gt;0),$C$100&amp;", ","") &amp; IF((COUNTIFS(TableBOM[Product ID],$D$101,TableBOM[Item ID],$A147)&gt;0)*($H$101&gt;0),$C$101&amp;", ","") &amp; IF((COUNTIFS(TableBOM[Product ID],$D$102,TableBOM[Item ID],$A147)&gt;0)*($H$102&gt;0),$C$102&amp;", ","") &amp; IF((COUNTIFS(TableBOM[Product ID],$D$103,TableBOM[Item ID],$A147)&gt;0)*($H$103&gt;0),$C$103&amp;", ",""))-2),"")</f>
        <v/>
      </c>
      <c r="I147" s="163">
        <v>0</v>
      </c>
      <c r="J147" s="48"/>
      <c r="K147" s="48"/>
      <c r="L147" s="48"/>
      <c r="M147" s="48"/>
      <c r="N147" s="48"/>
      <c r="O147" s="48"/>
      <c r="P147" s="48"/>
      <c r="Q147" s="48"/>
      <c r="R147" s="48"/>
      <c r="S147" s="48"/>
    </row>
    <row r="148" spans="1:19" ht="15" customHeight="1" x14ac:dyDescent="0.25">
      <c r="A148" s="21">
        <v>4306</v>
      </c>
      <c r="B148" s="21" t="s">
        <v>302</v>
      </c>
      <c r="C148" s="44" t="s">
        <v>107</v>
      </c>
      <c r="D148" s="21" t="s">
        <v>14</v>
      </c>
      <c r="E148" s="33">
        <f>SUMPRODUCT((TableBOM[Item ID]=A148)*TableBOM[Per 1000 Units]*(1+TableBOM[Scrap %])*SUMIF($D$98:$D$103,TableBOM[Product ID],$H$98:$H$103)/1000)</f>
        <v>0</v>
      </c>
      <c r="F148" s="162">
        <f t="shared" si="11"/>
        <v>0</v>
      </c>
      <c r="G148" s="22" t="str">
        <f t="shared" si="12"/>
        <v>Not needed</v>
      </c>
      <c r="H148" s="33" t="str">
        <f>IF(LEN(IF((COUNTIFS(TableBOM[Product ID],$D$98,TableBOM[Item ID],$A148)&gt;0)*($H$98&gt;0),$C$98&amp;", ","") &amp; IF((COUNTIFS(TableBOM[Product ID],$D$99,TableBOM[Item ID],$A148)&gt;0)*($H$99&gt;0),$C$99&amp;", ","") &amp; IF((COUNTIFS(TableBOM[Product ID],$D$100,TableBOM[Item ID],$A148)&gt;0)*($H$100&gt;0),$C$100&amp;", ","") &amp; IF((COUNTIFS(TableBOM[Product ID],$D$101,TableBOM[Item ID],$A148)&gt;0)*($H$101&gt;0),$C$101&amp;", ","") &amp; IF((COUNTIFS(TableBOM[Product ID],$D$102,TableBOM[Item ID],$A148)&gt;0)*($H$102&gt;0),$C$102&amp;", ","") &amp; IF((COUNTIFS(TableBOM[Product ID],$D$103,TableBOM[Item ID],$A148)&gt;0)*($H$103&gt;0),$C$103&amp;", ",""))&gt;1,LEFT(IF((COUNTIFS(TableBOM[Product ID],$D$98,TableBOM[Item ID],$A148)&gt;0)*($H$98&gt;0),$C$98&amp;", ","") &amp; IF((COUNTIFS(TableBOM[Product ID],$D$99,TableBOM[Item ID],$A148)&gt;0)*($H$99&gt;0),$C$99&amp;", ","") &amp; IF((COUNTIFS(TableBOM[Product ID],$D$100,TableBOM[Item ID],$A148)&gt;0)*($H$100&gt;0),$C$100&amp;", ","") &amp; IF((COUNTIFS(TableBOM[Product ID],$D$101,TableBOM[Item ID],$A148)&gt;0)*($H$101&gt;0),$C$101&amp;", ","") &amp; IF((COUNTIFS(TableBOM[Product ID],$D$102,TableBOM[Item ID],$A148)&gt;0)*($H$102&gt;0),$C$102&amp;", ","") &amp; IF((COUNTIFS(TableBOM[Product ID],$D$103,TableBOM[Item ID],$A148)&gt;0)*($H$103&gt;0),$C$103&amp;", ",""),LEN(IF((COUNTIFS(TableBOM[Product ID],$D$98,TableBOM[Item ID],$A148)&gt;0)*($H$98&gt;0),$C$98&amp;", ","") &amp; IF((COUNTIFS(TableBOM[Product ID],$D$99,TableBOM[Item ID],$A148)&gt;0)*($H$99&gt;0),$C$99&amp;", ","") &amp; IF((COUNTIFS(TableBOM[Product ID],$D$100,TableBOM[Item ID],$A148)&gt;0)*($H$100&gt;0),$C$100&amp;", ","") &amp; IF((COUNTIFS(TableBOM[Product ID],$D$101,TableBOM[Item ID],$A148)&gt;0)*($H$101&gt;0),$C$101&amp;", ","") &amp; IF((COUNTIFS(TableBOM[Product ID],$D$102,TableBOM[Item ID],$A148)&gt;0)*($H$102&gt;0),$C$102&amp;", ","") &amp; IF((COUNTIFS(TableBOM[Product ID],$D$103,TableBOM[Item ID],$A148)&gt;0)*($H$103&gt;0),$C$103&amp;", ",""))-2),"")</f>
        <v/>
      </c>
      <c r="I148" s="163">
        <v>0</v>
      </c>
      <c r="J148" s="48"/>
      <c r="K148" s="48"/>
      <c r="L148" s="48"/>
      <c r="M148" s="48"/>
      <c r="N148" s="48"/>
      <c r="O148" s="48"/>
      <c r="P148" s="48"/>
      <c r="Q148" s="48"/>
      <c r="R148" s="48"/>
      <c r="S148" s="48"/>
    </row>
    <row r="149" spans="1:19" x14ac:dyDescent="0.25">
      <c r="A149" s="21">
        <v>6935</v>
      </c>
      <c r="B149" s="21" t="s">
        <v>302</v>
      </c>
      <c r="C149" s="44" t="s">
        <v>111</v>
      </c>
      <c r="D149" s="21" t="s">
        <v>14</v>
      </c>
      <c r="E149" s="33">
        <f>SUMPRODUCT((TableBOM[Item ID]=A149)*TableBOM[Per 1000 Units]*(1+TableBOM[Scrap %])*SUMIF($D$98:$D$103,TableBOM[Product ID],$H$98:$H$103)/1000)</f>
        <v>0</v>
      </c>
      <c r="F149" s="162">
        <f t="shared" si="11"/>
        <v>0</v>
      </c>
      <c r="G149" s="22" t="str">
        <f t="shared" si="12"/>
        <v>Not needed</v>
      </c>
      <c r="H149" s="33" t="str">
        <f>IF(LEN(IF((COUNTIFS(TableBOM[Product ID],$D$98,TableBOM[Item ID],$A149)&gt;0)*($H$98&gt;0),$C$98&amp;", ","") &amp; IF((COUNTIFS(TableBOM[Product ID],$D$99,TableBOM[Item ID],$A149)&gt;0)*($H$99&gt;0),$C$99&amp;", ","") &amp; IF((COUNTIFS(TableBOM[Product ID],$D$100,TableBOM[Item ID],$A149)&gt;0)*($H$100&gt;0),$C$100&amp;", ","") &amp; IF((COUNTIFS(TableBOM[Product ID],$D$101,TableBOM[Item ID],$A149)&gt;0)*($H$101&gt;0),$C$101&amp;", ","") &amp; IF((COUNTIFS(TableBOM[Product ID],$D$102,TableBOM[Item ID],$A149)&gt;0)*($H$102&gt;0),$C$102&amp;", ","") &amp; IF((COUNTIFS(TableBOM[Product ID],$D$103,TableBOM[Item ID],$A149)&gt;0)*($H$103&gt;0),$C$103&amp;", ",""))&gt;1,LEFT(IF((COUNTIFS(TableBOM[Product ID],$D$98,TableBOM[Item ID],$A149)&gt;0)*($H$98&gt;0),$C$98&amp;", ","") &amp; IF((COUNTIFS(TableBOM[Product ID],$D$99,TableBOM[Item ID],$A149)&gt;0)*($H$99&gt;0),$C$99&amp;", ","") &amp; IF((COUNTIFS(TableBOM[Product ID],$D$100,TableBOM[Item ID],$A149)&gt;0)*($H$100&gt;0),$C$100&amp;", ","") &amp; IF((COUNTIFS(TableBOM[Product ID],$D$101,TableBOM[Item ID],$A149)&gt;0)*($H$101&gt;0),$C$101&amp;", ","") &amp; IF((COUNTIFS(TableBOM[Product ID],$D$102,TableBOM[Item ID],$A149)&gt;0)*($H$102&gt;0),$C$102&amp;", ","") &amp; IF((COUNTIFS(TableBOM[Product ID],$D$103,TableBOM[Item ID],$A149)&gt;0)*($H$103&gt;0),$C$103&amp;", ",""),LEN(IF((COUNTIFS(TableBOM[Product ID],$D$98,TableBOM[Item ID],$A149)&gt;0)*($H$98&gt;0),$C$98&amp;", ","") &amp; IF((COUNTIFS(TableBOM[Product ID],$D$99,TableBOM[Item ID],$A149)&gt;0)*($H$99&gt;0),$C$99&amp;", ","") &amp; IF((COUNTIFS(TableBOM[Product ID],$D$100,TableBOM[Item ID],$A149)&gt;0)*($H$100&gt;0),$C$100&amp;", ","") &amp; IF((COUNTIFS(TableBOM[Product ID],$D$101,TableBOM[Item ID],$A149)&gt;0)*($H$101&gt;0),$C$101&amp;", ","") &amp; IF((COUNTIFS(TableBOM[Product ID],$D$102,TableBOM[Item ID],$A149)&gt;0)*($H$102&gt;0),$C$102&amp;", ","") &amp; IF((COUNTIFS(TableBOM[Product ID],$D$103,TableBOM[Item ID],$A149)&gt;0)*($H$103&gt;0),$C$103&amp;", ",""))-2),"")</f>
        <v/>
      </c>
      <c r="I149" s="163">
        <v>0</v>
      </c>
      <c r="J149" s="48"/>
      <c r="K149" s="48"/>
      <c r="L149" s="48"/>
      <c r="M149" s="48"/>
      <c r="N149" s="48"/>
      <c r="O149" s="48"/>
      <c r="P149" s="48"/>
      <c r="Q149" s="48"/>
      <c r="R149" s="48"/>
      <c r="S149" s="48"/>
    </row>
  </sheetData>
  <autoFilter ref="A11:I93" xr:uid="{00000000-0009-0000-0000-000001000000}">
    <filterColumn colId="4">
      <filters>
        <filter val="1,165"/>
        <filter val="1,493"/>
        <filter val="1,991"/>
        <filter val="138"/>
        <filter val="15"/>
        <filter val="188"/>
        <filter val="2"/>
        <filter val="25,500"/>
        <filter val="3"/>
        <filter val="306"/>
        <filter val="390,704"/>
        <filter val="44,166"/>
        <filter val="462"/>
        <filter val="64"/>
        <filter val="69"/>
        <filter val="73"/>
        <filter val="89"/>
      </filters>
    </filterColumn>
  </autoFilter>
  <conditionalFormatting sqref="K3 K5:K8">
    <cfRule type="cellIs" dxfId="8" priority="10" operator="equal">
      <formula>"OK"</formula>
    </cfRule>
    <cfRule type="cellIs" dxfId="7" priority="11" operator="equal">
      <formula>"LOW"</formula>
    </cfRule>
    <cfRule type="cellIs" dxfId="6" priority="12" operator="equal">
      <formula>"SHORTAGE"</formula>
    </cfRule>
  </conditionalFormatting>
  <conditionalFormatting sqref="K127">
    <cfRule type="cellIs" dxfId="5" priority="2" operator="equal">
      <formula>"OK"</formula>
    </cfRule>
    <cfRule type="cellIs" dxfId="4" priority="3" operator="equal">
      <formula>"LOW"</formula>
    </cfRule>
    <cfRule type="cellIs" dxfId="3" priority="4" operator="equal">
      <formula>"SHORTAGE"</formula>
    </cfRule>
  </conditionalFormatting>
  <dataValidations count="3">
    <dataValidation type="list" allowBlank="1" sqref="F122:G122 H2:I3 H6:I8 H120:H127 I6:I10 I12 I14:I17 I20 I22:I23 I25:I27 I29:I35 I38" xr:uid="{00000000-0002-0000-0100-000000000000}">
      <formula1>"Confirmed,1st Week,2nd Week,Tentative,In Process,Initial Stage,Completed,Cancelled"</formula1>
      <formula2>0</formula2>
    </dataValidation>
    <dataValidation type="list" allowBlank="1" sqref="B6:B17 B124 B128:B129 B134:B135 C3 C6:C7 C121:C123 C125:C127 C130:C132" xr:uid="{00000000-0002-0000-0100-000001000000}">
      <formula1>"Alpha Lab,Brookes Pharma,DTM,Golden Pearl,Mabley Beauty,Mega Grey,PBS,Samsol"</formula1>
      <formula2>0</formula2>
    </dataValidation>
    <dataValidation type="list" allowBlank="1" sqref="C6:C17 C124 C128:C129 C134:C135 D3 D6:D8 D121:D133" xr:uid="{00000000-0002-0000-0100-000002000000}">
      <formula1>"CONTRATUBEX GEL 20G,DTM DIA 25MM,EAZICOLOR PREMIUM 60ML,H.H 100GM,HELLO HAIR COLOR,M.G (Mega Grey),PHLOGIN GEL 20G,PYODINE GEL 20GM,S 43 25MM,S-43 DIA 20.5,S-45 DIA 20.5,TRANSPARENT BOTTLE 150ML,TUBES (Samsol 25),V-HC BLACK (Vince),VINCE NURTURAL (VARNISH"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47"/>
  <sheetViews>
    <sheetView topLeftCell="A15" zoomScaleNormal="100" workbookViewId="0">
      <selection activeCell="A30" sqref="A30:XFD30"/>
    </sheetView>
  </sheetViews>
  <sheetFormatPr defaultColWidth="8.7109375" defaultRowHeight="15" x14ac:dyDescent="0.25"/>
  <cols>
    <col min="1" max="1" width="20.85546875" customWidth="1"/>
    <col min="2" max="2" width="14" customWidth="1"/>
    <col min="3" max="3" width="34" style="3" customWidth="1"/>
    <col min="4" max="4" width="21.7109375" style="3" customWidth="1"/>
    <col min="5" max="6" width="12" customWidth="1"/>
    <col min="7" max="7" width="14" customWidth="1"/>
    <col min="8" max="8" width="20" customWidth="1"/>
    <col min="9" max="9" width="12.85546875" customWidth="1"/>
    <col min="10" max="10" width="10" customWidth="1"/>
    <col min="11" max="12" width="14" customWidth="1"/>
    <col min="13" max="13" width="18" customWidth="1"/>
    <col min="14" max="15" width="14" customWidth="1"/>
    <col min="16" max="16" width="18" customWidth="1"/>
    <col min="17" max="17" width="17.140625" customWidth="1"/>
    <col min="18" max="18" width="16" customWidth="1"/>
  </cols>
  <sheetData>
    <row r="1" spans="1:19" ht="15" customHeight="1" x14ac:dyDescent="0.35">
      <c r="A1" s="79" t="s">
        <v>308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2"/>
    </row>
    <row r="2" spans="1:19" ht="29.25" customHeight="1" x14ac:dyDescent="0.25">
      <c r="A2" s="80" t="s">
        <v>309</v>
      </c>
      <c r="B2" s="81" t="s">
        <v>310</v>
      </c>
      <c r="C2" s="82" t="s">
        <v>154</v>
      </c>
      <c r="D2" s="82" t="s">
        <v>155</v>
      </c>
      <c r="E2" s="81" t="s">
        <v>311</v>
      </c>
      <c r="F2" s="83" t="s">
        <v>252</v>
      </c>
      <c r="G2" s="84" t="s">
        <v>312</v>
      </c>
      <c r="H2" s="84" t="s">
        <v>313</v>
      </c>
      <c r="I2" s="84" t="s">
        <v>314</v>
      </c>
      <c r="J2" s="85" t="s">
        <v>315</v>
      </c>
      <c r="K2" s="81" t="s">
        <v>316</v>
      </c>
      <c r="L2" s="81" t="s">
        <v>317</v>
      </c>
      <c r="M2" s="81" t="s">
        <v>318</v>
      </c>
      <c r="N2" s="81" t="s">
        <v>319</v>
      </c>
      <c r="O2" s="81" t="s">
        <v>320</v>
      </c>
      <c r="P2" s="81" t="s">
        <v>321</v>
      </c>
      <c r="Q2" s="81" t="s">
        <v>322</v>
      </c>
      <c r="R2" s="81" t="s">
        <v>323</v>
      </c>
    </row>
    <row r="3" spans="1:19" ht="15" customHeight="1" x14ac:dyDescent="0.25">
      <c r="A3" s="204">
        <v>46204</v>
      </c>
      <c r="B3" s="205" t="s">
        <v>324</v>
      </c>
      <c r="C3" s="205" t="s">
        <v>175</v>
      </c>
      <c r="D3" s="205" t="s">
        <v>176</v>
      </c>
      <c r="E3" s="205">
        <v>30</v>
      </c>
      <c r="F3" s="205">
        <v>6206</v>
      </c>
      <c r="G3" s="206">
        <v>12000</v>
      </c>
      <c r="H3" s="206">
        <v>11735</v>
      </c>
      <c r="I3" s="206">
        <v>265</v>
      </c>
      <c r="J3" s="207">
        <f t="shared" ref="J3:J33" si="0">IFERROR(I3/(H3+I3),"")</f>
        <v>2.2083333333333333E-2</v>
      </c>
      <c r="K3" s="205"/>
      <c r="L3" s="205"/>
      <c r="M3" s="205"/>
      <c r="N3" s="205"/>
      <c r="O3" s="205"/>
      <c r="P3" s="205">
        <v>180</v>
      </c>
      <c r="Q3" s="205"/>
      <c r="R3" s="205"/>
      <c r="S3" s="205"/>
    </row>
    <row r="4" spans="1:19" ht="15" customHeight="1" x14ac:dyDescent="0.25">
      <c r="A4" s="204">
        <v>46204</v>
      </c>
      <c r="B4" s="205" t="s">
        <v>325</v>
      </c>
      <c r="C4" s="205" t="s">
        <v>175</v>
      </c>
      <c r="D4" s="205" t="s">
        <v>176</v>
      </c>
      <c r="E4" s="205">
        <v>30</v>
      </c>
      <c r="F4" s="205">
        <v>6206</v>
      </c>
      <c r="G4" s="206">
        <v>13000</v>
      </c>
      <c r="H4" s="206">
        <v>12990</v>
      </c>
      <c r="I4" s="206">
        <v>10</v>
      </c>
      <c r="J4" s="207">
        <f t="shared" si="0"/>
        <v>7.6923076923076923E-4</v>
      </c>
      <c r="K4" s="205"/>
      <c r="L4" s="205"/>
      <c r="M4" s="205"/>
      <c r="N4" s="205"/>
      <c r="O4" s="205"/>
      <c r="P4" s="205">
        <v>180</v>
      </c>
      <c r="Q4" s="205"/>
      <c r="R4" s="205"/>
      <c r="S4" s="205"/>
    </row>
    <row r="5" spans="1:19" ht="15" customHeight="1" x14ac:dyDescent="0.25">
      <c r="A5" s="204">
        <v>46204</v>
      </c>
      <c r="B5" s="205" t="s">
        <v>326</v>
      </c>
      <c r="C5" s="205" t="s">
        <v>193</v>
      </c>
      <c r="D5" s="205" t="s">
        <v>194</v>
      </c>
      <c r="E5" s="205" t="s">
        <v>195</v>
      </c>
      <c r="F5" s="205">
        <v>8001</v>
      </c>
      <c r="G5" s="206">
        <v>0</v>
      </c>
      <c r="H5" s="206">
        <v>0</v>
      </c>
      <c r="I5" s="206">
        <v>0</v>
      </c>
      <c r="J5" s="207" t="str">
        <f t="shared" si="0"/>
        <v/>
      </c>
      <c r="K5" s="205"/>
      <c r="L5" s="205">
        <v>240</v>
      </c>
      <c r="M5" s="205"/>
      <c r="N5" s="205"/>
      <c r="O5" s="205"/>
      <c r="P5" s="205">
        <v>240</v>
      </c>
      <c r="Q5" s="205"/>
      <c r="R5" s="205"/>
      <c r="S5" s="205"/>
    </row>
    <row r="6" spans="1:19" ht="15" customHeight="1" x14ac:dyDescent="0.25">
      <c r="A6" s="204">
        <v>46204</v>
      </c>
      <c r="B6" s="205" t="s">
        <v>327</v>
      </c>
      <c r="C6" s="205" t="s">
        <v>175</v>
      </c>
      <c r="D6" s="205" t="s">
        <v>176</v>
      </c>
      <c r="E6" s="205">
        <v>30</v>
      </c>
      <c r="F6" s="205">
        <v>6206</v>
      </c>
      <c r="G6" s="206">
        <v>12700</v>
      </c>
      <c r="H6" s="206">
        <v>12600</v>
      </c>
      <c r="I6" s="206">
        <v>100</v>
      </c>
      <c r="J6" s="207">
        <f t="shared" si="0"/>
        <v>7.874015748031496E-3</v>
      </c>
      <c r="K6" s="205"/>
      <c r="L6" s="205"/>
      <c r="M6" s="205"/>
      <c r="N6" s="205"/>
      <c r="O6" s="205"/>
      <c r="P6" s="205">
        <v>180</v>
      </c>
      <c r="Q6" s="205"/>
      <c r="R6" s="205"/>
      <c r="S6" s="205"/>
    </row>
    <row r="7" spans="1:19" ht="15" customHeight="1" x14ac:dyDescent="0.25">
      <c r="A7" s="204">
        <v>46204</v>
      </c>
      <c r="B7" s="205" t="s">
        <v>328</v>
      </c>
      <c r="C7" s="205" t="s">
        <v>169</v>
      </c>
      <c r="D7" s="205" t="s">
        <v>170</v>
      </c>
      <c r="E7" s="205">
        <v>25</v>
      </c>
      <c r="F7" s="205">
        <v>3447</v>
      </c>
      <c r="G7" s="206">
        <v>6000</v>
      </c>
      <c r="H7" s="206">
        <v>5905</v>
      </c>
      <c r="I7" s="206">
        <v>95</v>
      </c>
      <c r="J7" s="207">
        <f t="shared" si="0"/>
        <v>1.5833333333333335E-2</v>
      </c>
      <c r="K7" s="205"/>
      <c r="L7" s="205"/>
      <c r="M7" s="205"/>
      <c r="N7" s="205"/>
      <c r="O7" s="205">
        <v>120</v>
      </c>
      <c r="P7" s="205">
        <v>180</v>
      </c>
      <c r="Q7" s="205"/>
      <c r="R7" s="205"/>
      <c r="S7" s="205"/>
    </row>
    <row r="8" spans="1:19" ht="15" customHeight="1" x14ac:dyDescent="0.25">
      <c r="A8" s="204">
        <v>46204</v>
      </c>
      <c r="B8" s="205" t="s">
        <v>329</v>
      </c>
      <c r="C8" s="205" t="s">
        <v>175</v>
      </c>
      <c r="D8" s="205" t="s">
        <v>176</v>
      </c>
      <c r="E8" s="205">
        <v>30</v>
      </c>
      <c r="F8" s="205">
        <v>6206</v>
      </c>
      <c r="G8" s="206">
        <v>6200</v>
      </c>
      <c r="H8" s="206">
        <v>5950</v>
      </c>
      <c r="I8" s="206">
        <v>250</v>
      </c>
      <c r="J8" s="207">
        <f t="shared" si="0"/>
        <v>4.0322580645161289E-2</v>
      </c>
      <c r="K8" s="205">
        <v>120</v>
      </c>
      <c r="L8" s="205"/>
      <c r="M8" s="205"/>
      <c r="N8" s="205"/>
      <c r="O8" s="205"/>
      <c r="P8" s="205">
        <v>180</v>
      </c>
      <c r="Q8" s="205"/>
      <c r="R8" s="205"/>
      <c r="S8" s="205"/>
    </row>
    <row r="9" spans="1:19" ht="15" customHeight="1" x14ac:dyDescent="0.25">
      <c r="A9" s="204">
        <v>46205</v>
      </c>
      <c r="B9" s="205" t="s">
        <v>324</v>
      </c>
      <c r="C9" s="205" t="s">
        <v>175</v>
      </c>
      <c r="D9" s="205" t="s">
        <v>176</v>
      </c>
      <c r="E9" s="205">
        <v>30</v>
      </c>
      <c r="F9" s="205">
        <v>6206</v>
      </c>
      <c r="G9" s="206">
        <v>22000</v>
      </c>
      <c r="H9" s="206">
        <v>21650</v>
      </c>
      <c r="I9" s="206">
        <v>350</v>
      </c>
      <c r="J9" s="207">
        <f t="shared" si="0"/>
        <v>1.5909090909090907E-2</v>
      </c>
      <c r="K9" s="205"/>
      <c r="L9" s="205"/>
      <c r="M9" s="205"/>
      <c r="N9" s="205"/>
      <c r="O9" s="205"/>
      <c r="P9" s="205">
        <v>60</v>
      </c>
      <c r="Q9" s="205"/>
      <c r="R9" s="205"/>
      <c r="S9" s="205"/>
    </row>
    <row r="10" spans="1:19" ht="15" customHeight="1" x14ac:dyDescent="0.25">
      <c r="A10" s="204">
        <v>46205</v>
      </c>
      <c r="B10" s="205" t="s">
        <v>325</v>
      </c>
      <c r="C10" s="205" t="s">
        <v>175</v>
      </c>
      <c r="D10" s="205" t="s">
        <v>176</v>
      </c>
      <c r="E10" s="205">
        <v>30</v>
      </c>
      <c r="F10" s="205">
        <v>6206</v>
      </c>
      <c r="G10" s="206">
        <v>22134</v>
      </c>
      <c r="H10" s="206">
        <v>22124</v>
      </c>
      <c r="I10" s="206">
        <v>10</v>
      </c>
      <c r="J10" s="207">
        <f t="shared" si="0"/>
        <v>4.5179362067407608E-4</v>
      </c>
      <c r="K10" s="205"/>
      <c r="L10" s="205"/>
      <c r="M10" s="205"/>
      <c r="N10" s="205"/>
      <c r="O10" s="205"/>
      <c r="P10" s="205">
        <v>60</v>
      </c>
      <c r="Q10" s="205"/>
      <c r="R10" s="205"/>
      <c r="S10" s="205"/>
    </row>
    <row r="11" spans="1:19" ht="15" customHeight="1" x14ac:dyDescent="0.25">
      <c r="A11" s="204">
        <v>46205</v>
      </c>
      <c r="B11" s="205" t="s">
        <v>326</v>
      </c>
      <c r="C11" s="205" t="s">
        <v>193</v>
      </c>
      <c r="D11" s="205" t="s">
        <v>194</v>
      </c>
      <c r="E11" s="205" t="s">
        <v>195</v>
      </c>
      <c r="F11" s="205">
        <v>8001</v>
      </c>
      <c r="G11" s="206">
        <v>0</v>
      </c>
      <c r="H11" s="206">
        <v>0</v>
      </c>
      <c r="I11" s="206">
        <v>0</v>
      </c>
      <c r="J11" s="207" t="str">
        <f t="shared" si="0"/>
        <v/>
      </c>
      <c r="K11" s="205">
        <v>240</v>
      </c>
      <c r="L11" s="205"/>
      <c r="M11" s="205"/>
      <c r="N11" s="205"/>
      <c r="O11" s="205">
        <v>240</v>
      </c>
      <c r="P11" s="205"/>
      <c r="Q11" s="205"/>
      <c r="R11" s="205"/>
      <c r="S11" s="205"/>
    </row>
    <row r="12" spans="1:19" ht="15" customHeight="1" x14ac:dyDescent="0.25">
      <c r="A12" s="204">
        <v>46205</v>
      </c>
      <c r="B12" s="205" t="s">
        <v>327</v>
      </c>
      <c r="C12" s="205" t="s">
        <v>175</v>
      </c>
      <c r="D12" s="205" t="s">
        <v>176</v>
      </c>
      <c r="E12" s="205">
        <v>30</v>
      </c>
      <c r="F12" s="205">
        <v>6206</v>
      </c>
      <c r="G12" s="206">
        <v>20400</v>
      </c>
      <c r="H12" s="206">
        <v>20270</v>
      </c>
      <c r="I12" s="206">
        <v>130</v>
      </c>
      <c r="J12" s="207">
        <f t="shared" si="0"/>
        <v>6.372549019607843E-3</v>
      </c>
      <c r="K12" s="205"/>
      <c r="L12" s="205"/>
      <c r="M12" s="205"/>
      <c r="N12" s="205"/>
      <c r="O12" s="205"/>
      <c r="P12" s="205">
        <v>60</v>
      </c>
      <c r="Q12" s="205"/>
      <c r="R12" s="205"/>
      <c r="S12" s="205"/>
    </row>
    <row r="13" spans="1:19" ht="15" customHeight="1" x14ac:dyDescent="0.25">
      <c r="A13" s="204">
        <v>46205</v>
      </c>
      <c r="B13" s="205" t="s">
        <v>329</v>
      </c>
      <c r="C13" s="205" t="s">
        <v>175</v>
      </c>
      <c r="D13" s="205" t="s">
        <v>176</v>
      </c>
      <c r="E13" s="205">
        <v>30</v>
      </c>
      <c r="F13" s="205">
        <v>6206</v>
      </c>
      <c r="G13" s="206">
        <v>19490</v>
      </c>
      <c r="H13" s="206">
        <v>19040</v>
      </c>
      <c r="I13" s="206">
        <v>450</v>
      </c>
      <c r="J13" s="207">
        <f t="shared" si="0"/>
        <v>2.3088763468445357E-2</v>
      </c>
      <c r="K13" s="205"/>
      <c r="L13" s="205"/>
      <c r="M13" s="205"/>
      <c r="N13" s="205"/>
      <c r="O13" s="205"/>
      <c r="P13" s="205">
        <v>60</v>
      </c>
      <c r="Q13" s="205"/>
      <c r="R13" s="205"/>
      <c r="S13" s="205"/>
    </row>
    <row r="14" spans="1:19" ht="15" customHeight="1" x14ac:dyDescent="0.25">
      <c r="A14" s="204">
        <v>46206</v>
      </c>
      <c r="B14" s="205" t="s">
        <v>324</v>
      </c>
      <c r="C14" s="205" t="s">
        <v>175</v>
      </c>
      <c r="D14" s="205" t="s">
        <v>176</v>
      </c>
      <c r="E14" s="205">
        <v>30</v>
      </c>
      <c r="F14" s="205">
        <v>6206</v>
      </c>
      <c r="G14" s="206">
        <v>16000</v>
      </c>
      <c r="H14" s="206">
        <v>15760</v>
      </c>
      <c r="I14" s="206">
        <v>240</v>
      </c>
      <c r="J14" s="207">
        <f t="shared" si="0"/>
        <v>1.4999999999999999E-2</v>
      </c>
      <c r="K14" s="205"/>
      <c r="L14" s="205"/>
      <c r="M14" s="205">
        <v>60</v>
      </c>
      <c r="N14" s="205"/>
      <c r="O14" s="205"/>
      <c r="P14" s="205"/>
      <c r="Q14" s="205"/>
      <c r="R14" s="205"/>
      <c r="S14" s="205"/>
    </row>
    <row r="15" spans="1:19" ht="15" customHeight="1" x14ac:dyDescent="0.25">
      <c r="A15" s="204">
        <v>46206</v>
      </c>
      <c r="B15" s="205" t="s">
        <v>330</v>
      </c>
      <c r="C15" s="205" t="s">
        <v>169</v>
      </c>
      <c r="D15" s="205" t="s">
        <v>170</v>
      </c>
      <c r="E15" s="205">
        <v>25</v>
      </c>
      <c r="F15" s="205">
        <v>3447</v>
      </c>
      <c r="G15" s="206">
        <v>1000</v>
      </c>
      <c r="H15" s="206">
        <v>980</v>
      </c>
      <c r="I15" s="206">
        <v>20</v>
      </c>
      <c r="J15" s="207">
        <f t="shared" si="0"/>
        <v>0.02</v>
      </c>
      <c r="K15" s="205"/>
      <c r="L15" s="205"/>
      <c r="M15" s="205"/>
      <c r="N15" s="205"/>
      <c r="O15" s="205"/>
      <c r="P15" s="205"/>
      <c r="Q15" s="205"/>
      <c r="R15" s="205"/>
      <c r="S15" s="205"/>
    </row>
    <row r="16" spans="1:19" ht="15" customHeight="1" x14ac:dyDescent="0.25">
      <c r="A16" s="204">
        <v>46206</v>
      </c>
      <c r="B16" s="205" t="s">
        <v>325</v>
      </c>
      <c r="C16" s="205" t="s">
        <v>175</v>
      </c>
      <c r="D16" s="205" t="s">
        <v>176</v>
      </c>
      <c r="E16" s="205">
        <v>30</v>
      </c>
      <c r="F16" s="205">
        <v>6206</v>
      </c>
      <c r="G16" s="206">
        <v>23000</v>
      </c>
      <c r="H16" s="206">
        <v>22980</v>
      </c>
      <c r="I16" s="206">
        <v>20</v>
      </c>
      <c r="J16" s="207">
        <f t="shared" si="0"/>
        <v>8.6956521739130438E-4</v>
      </c>
      <c r="K16" s="205"/>
      <c r="L16" s="205"/>
      <c r="M16" s="205"/>
      <c r="N16" s="205"/>
      <c r="O16" s="205"/>
      <c r="P16" s="205"/>
      <c r="Q16" s="205"/>
      <c r="R16" s="205"/>
      <c r="S16" s="205"/>
    </row>
    <row r="17" spans="1:19" ht="15" customHeight="1" x14ac:dyDescent="0.25">
      <c r="A17" s="204">
        <v>46206</v>
      </c>
      <c r="B17" s="205" t="s">
        <v>326</v>
      </c>
      <c r="C17" s="205" t="s">
        <v>193</v>
      </c>
      <c r="D17" s="205" t="s">
        <v>194</v>
      </c>
      <c r="E17" s="205" t="s">
        <v>195</v>
      </c>
      <c r="F17" s="205">
        <v>8001</v>
      </c>
      <c r="G17" s="206">
        <v>0</v>
      </c>
      <c r="H17" s="206">
        <v>0</v>
      </c>
      <c r="I17" s="206">
        <v>0</v>
      </c>
      <c r="J17" s="207" t="str">
        <f t="shared" si="0"/>
        <v/>
      </c>
      <c r="K17" s="205">
        <v>300</v>
      </c>
      <c r="L17" s="205">
        <v>180</v>
      </c>
      <c r="M17" s="205"/>
      <c r="N17" s="205"/>
      <c r="O17" s="205"/>
      <c r="P17" s="205"/>
      <c r="Q17" s="205"/>
      <c r="R17" s="205"/>
      <c r="S17" s="205"/>
    </row>
    <row r="18" spans="1:19" ht="15" customHeight="1" x14ac:dyDescent="0.25">
      <c r="A18" s="204">
        <v>46206</v>
      </c>
      <c r="B18" s="205" t="s">
        <v>327</v>
      </c>
      <c r="C18" s="205" t="s">
        <v>175</v>
      </c>
      <c r="D18" s="205" t="s">
        <v>176</v>
      </c>
      <c r="E18" s="205">
        <v>30</v>
      </c>
      <c r="F18" s="205">
        <v>6206</v>
      </c>
      <c r="G18" s="206">
        <v>15000</v>
      </c>
      <c r="H18" s="206">
        <v>14890</v>
      </c>
      <c r="I18" s="206">
        <v>110</v>
      </c>
      <c r="J18" s="207">
        <f t="shared" si="0"/>
        <v>7.3333333333333332E-3</v>
      </c>
      <c r="K18" s="205">
        <v>120</v>
      </c>
      <c r="L18" s="205"/>
      <c r="M18" s="205"/>
      <c r="N18" s="205"/>
      <c r="O18" s="205"/>
      <c r="P18" s="205"/>
      <c r="Q18" s="205"/>
      <c r="R18" s="205"/>
      <c r="S18" s="205"/>
    </row>
    <row r="19" spans="1:19" ht="15" customHeight="1" x14ac:dyDescent="0.25">
      <c r="A19" s="204">
        <v>46206</v>
      </c>
      <c r="B19" s="205" t="s">
        <v>328</v>
      </c>
      <c r="C19" s="205" t="s">
        <v>169</v>
      </c>
      <c r="D19" s="205" t="s">
        <v>170</v>
      </c>
      <c r="E19" s="205">
        <v>25</v>
      </c>
      <c r="F19" s="205">
        <v>3447</v>
      </c>
      <c r="G19" s="206">
        <v>13000</v>
      </c>
      <c r="H19" s="206">
        <v>12905</v>
      </c>
      <c r="I19" s="206">
        <v>95</v>
      </c>
      <c r="J19" s="207">
        <f t="shared" si="0"/>
        <v>7.3076923076923076E-3</v>
      </c>
      <c r="K19" s="205">
        <v>180</v>
      </c>
      <c r="L19" s="205"/>
      <c r="M19" s="205"/>
      <c r="N19" s="205"/>
      <c r="O19" s="205"/>
      <c r="P19" s="205"/>
      <c r="Q19" s="205"/>
      <c r="R19" s="205"/>
      <c r="S19" s="205"/>
    </row>
    <row r="20" spans="1:19" ht="15" customHeight="1" x14ac:dyDescent="0.25">
      <c r="A20" s="204">
        <v>46206</v>
      </c>
      <c r="B20" s="205" t="s">
        <v>329</v>
      </c>
      <c r="C20" s="205" t="s">
        <v>175</v>
      </c>
      <c r="D20" s="205" t="s">
        <v>176</v>
      </c>
      <c r="E20" s="205">
        <v>30</v>
      </c>
      <c r="F20" s="205">
        <v>6206</v>
      </c>
      <c r="G20" s="206">
        <v>26392</v>
      </c>
      <c r="H20" s="206">
        <v>25942</v>
      </c>
      <c r="I20" s="206">
        <v>450</v>
      </c>
      <c r="J20" s="207">
        <f t="shared" si="0"/>
        <v>1.7050621400424373E-2</v>
      </c>
      <c r="K20" s="205"/>
      <c r="L20" s="205"/>
      <c r="M20" s="205"/>
      <c r="N20" s="205"/>
      <c r="O20" s="205"/>
      <c r="P20" s="205"/>
      <c r="Q20" s="205"/>
      <c r="R20" s="205"/>
      <c r="S20" s="205"/>
    </row>
    <row r="21" spans="1:19" ht="15" customHeight="1" x14ac:dyDescent="0.25">
      <c r="A21" s="204">
        <v>46207</v>
      </c>
      <c r="B21" s="205" t="s">
        <v>330</v>
      </c>
      <c r="C21" s="205" t="s">
        <v>169</v>
      </c>
      <c r="D21" s="205" t="s">
        <v>170</v>
      </c>
      <c r="E21" s="205">
        <v>25</v>
      </c>
      <c r="F21" s="205">
        <v>3447</v>
      </c>
      <c r="G21" s="206">
        <v>9000</v>
      </c>
      <c r="H21" s="206">
        <v>8780</v>
      </c>
      <c r="I21" s="206">
        <v>220</v>
      </c>
      <c r="J21" s="207">
        <f t="shared" si="0"/>
        <v>2.4444444444444446E-2</v>
      </c>
      <c r="K21" s="205"/>
      <c r="L21" s="205"/>
      <c r="M21" s="205"/>
      <c r="N21" s="205"/>
      <c r="O21" s="205">
        <v>240</v>
      </c>
      <c r="P21" s="205"/>
      <c r="Q21" s="205"/>
      <c r="R21" s="205"/>
      <c r="S21" s="205"/>
    </row>
    <row r="22" spans="1:19" ht="15" customHeight="1" x14ac:dyDescent="0.25">
      <c r="A22" s="204">
        <v>46207</v>
      </c>
      <c r="B22" s="205" t="s">
        <v>325</v>
      </c>
      <c r="C22" s="205" t="s">
        <v>175</v>
      </c>
      <c r="D22" s="205" t="s">
        <v>176</v>
      </c>
      <c r="E22" s="205">
        <v>30</v>
      </c>
      <c r="F22" s="205">
        <v>6206</v>
      </c>
      <c r="G22" s="206">
        <v>3570</v>
      </c>
      <c r="H22" s="206">
        <v>3565</v>
      </c>
      <c r="I22" s="206">
        <v>5</v>
      </c>
      <c r="J22" s="207">
        <f t="shared" si="0"/>
        <v>1.4005602240896359E-3</v>
      </c>
      <c r="K22" s="205"/>
      <c r="L22" s="205"/>
      <c r="M22" s="205"/>
      <c r="N22" s="205"/>
      <c r="O22" s="205">
        <v>360</v>
      </c>
      <c r="P22" s="205"/>
      <c r="Q22" s="205"/>
      <c r="R22" s="205"/>
      <c r="S22" s="205"/>
    </row>
    <row r="23" spans="1:19" ht="15" customHeight="1" x14ac:dyDescent="0.25">
      <c r="A23" s="204">
        <v>46207</v>
      </c>
      <c r="B23" s="205" t="s">
        <v>326</v>
      </c>
      <c r="C23" s="205" t="s">
        <v>169</v>
      </c>
      <c r="D23" s="205" t="s">
        <v>331</v>
      </c>
      <c r="E23" s="205" t="s">
        <v>197</v>
      </c>
      <c r="F23" s="205"/>
      <c r="G23" s="206">
        <v>0</v>
      </c>
      <c r="H23" s="206">
        <v>0</v>
      </c>
      <c r="I23" s="206">
        <v>0</v>
      </c>
      <c r="J23" s="207" t="str">
        <f t="shared" si="0"/>
        <v/>
      </c>
      <c r="K23" s="205"/>
      <c r="L23" s="205"/>
      <c r="M23" s="205"/>
      <c r="N23" s="205">
        <v>480</v>
      </c>
      <c r="O23" s="205"/>
      <c r="P23" s="205"/>
      <c r="Q23" s="205"/>
      <c r="R23" s="205"/>
      <c r="S23" s="205"/>
    </row>
    <row r="24" spans="1:19" ht="15" customHeight="1" x14ac:dyDescent="0.25">
      <c r="A24" s="204">
        <v>46207</v>
      </c>
      <c r="B24" s="205" t="s">
        <v>327</v>
      </c>
      <c r="C24" s="205" t="s">
        <v>175</v>
      </c>
      <c r="D24" s="205" t="s">
        <v>176</v>
      </c>
      <c r="E24" s="205">
        <v>30</v>
      </c>
      <c r="F24" s="205">
        <v>6206</v>
      </c>
      <c r="G24" s="206">
        <v>10600</v>
      </c>
      <c r="H24" s="206">
        <v>10490</v>
      </c>
      <c r="I24" s="206">
        <v>110</v>
      </c>
      <c r="J24" s="207">
        <f t="shared" si="0"/>
        <v>1.0377358490566037E-2</v>
      </c>
      <c r="K24" s="205"/>
      <c r="L24" s="205"/>
      <c r="M24" s="205"/>
      <c r="N24" s="205"/>
      <c r="O24" s="205">
        <v>240</v>
      </c>
      <c r="P24" s="205"/>
      <c r="Q24" s="205"/>
      <c r="R24" s="205"/>
      <c r="S24" s="205"/>
    </row>
    <row r="25" spans="1:19" ht="15" customHeight="1" x14ac:dyDescent="0.25">
      <c r="A25" s="204">
        <v>46207</v>
      </c>
      <c r="B25" s="205" t="s">
        <v>328</v>
      </c>
      <c r="C25" s="205" t="s">
        <v>169</v>
      </c>
      <c r="D25" s="205" t="s">
        <v>170</v>
      </c>
      <c r="E25" s="205">
        <v>25</v>
      </c>
      <c r="F25" s="205">
        <v>3447</v>
      </c>
      <c r="G25" s="206">
        <v>9000</v>
      </c>
      <c r="H25" s="206">
        <v>8900</v>
      </c>
      <c r="I25" s="206">
        <v>100</v>
      </c>
      <c r="J25" s="207">
        <f t="shared" si="0"/>
        <v>1.1111111111111112E-2</v>
      </c>
      <c r="K25" s="205"/>
      <c r="L25" s="205"/>
      <c r="M25" s="205"/>
      <c r="N25" s="205"/>
      <c r="O25" s="205">
        <v>240</v>
      </c>
      <c r="P25" s="205"/>
      <c r="Q25" s="205"/>
      <c r="R25" s="205"/>
      <c r="S25" s="205"/>
    </row>
    <row r="26" spans="1:19" ht="15" customHeight="1" x14ac:dyDescent="0.25">
      <c r="A26" s="204">
        <v>46207</v>
      </c>
      <c r="B26" s="205" t="s">
        <v>329</v>
      </c>
      <c r="C26" s="205" t="s">
        <v>169</v>
      </c>
      <c r="D26" s="205" t="s">
        <v>170</v>
      </c>
      <c r="E26" s="205">
        <v>25</v>
      </c>
      <c r="F26" s="205">
        <v>3447</v>
      </c>
      <c r="G26" s="206">
        <v>10796</v>
      </c>
      <c r="H26" s="206">
        <v>10416</v>
      </c>
      <c r="I26" s="206">
        <v>380</v>
      </c>
      <c r="J26" s="207">
        <f t="shared" si="0"/>
        <v>3.5198221563542055E-2</v>
      </c>
      <c r="K26" s="205"/>
      <c r="L26" s="205"/>
      <c r="M26" s="205"/>
      <c r="N26" s="205"/>
      <c r="O26" s="205">
        <v>240</v>
      </c>
      <c r="P26" s="205"/>
      <c r="Q26" s="205"/>
      <c r="R26" s="205"/>
      <c r="S26" s="205"/>
    </row>
    <row r="27" spans="1:19" ht="15" customHeight="1" x14ac:dyDescent="0.25">
      <c r="A27" s="204">
        <v>46209</v>
      </c>
      <c r="B27" s="205" t="s">
        <v>330</v>
      </c>
      <c r="C27" s="205" t="s">
        <v>169</v>
      </c>
      <c r="D27" s="205" t="s">
        <v>332</v>
      </c>
      <c r="E27" s="205">
        <v>25</v>
      </c>
      <c r="F27" s="205"/>
      <c r="G27" s="206">
        <v>25000</v>
      </c>
      <c r="H27" s="206">
        <v>24550</v>
      </c>
      <c r="I27" s="206">
        <v>450</v>
      </c>
      <c r="J27" s="207">
        <f t="shared" si="0"/>
        <v>1.7999999999999999E-2</v>
      </c>
      <c r="K27" s="205"/>
      <c r="L27" s="205"/>
      <c r="M27" s="205"/>
      <c r="N27" s="205"/>
      <c r="O27" s="205"/>
      <c r="P27" s="205"/>
      <c r="Q27" s="205"/>
      <c r="R27" s="205"/>
      <c r="S27" s="205"/>
    </row>
    <row r="28" spans="1:19" ht="15" customHeight="1" x14ac:dyDescent="0.25">
      <c r="A28" s="204">
        <v>46209</v>
      </c>
      <c r="B28" s="205" t="s">
        <v>325</v>
      </c>
      <c r="C28" s="205" t="s">
        <v>175</v>
      </c>
      <c r="D28" s="205" t="s">
        <v>176</v>
      </c>
      <c r="E28" s="205">
        <v>30</v>
      </c>
      <c r="F28" s="205">
        <v>6206</v>
      </c>
      <c r="G28" s="206">
        <v>11000</v>
      </c>
      <c r="H28" s="206">
        <v>10990</v>
      </c>
      <c r="I28" s="206">
        <v>10</v>
      </c>
      <c r="J28" s="207">
        <f t="shared" si="0"/>
        <v>9.0909090909090909E-4</v>
      </c>
      <c r="K28" s="205"/>
      <c r="L28" s="205"/>
      <c r="M28" s="205"/>
      <c r="N28" s="205"/>
      <c r="O28" s="205"/>
      <c r="P28" s="205"/>
      <c r="Q28" s="205"/>
      <c r="R28" s="205"/>
      <c r="S28" s="205"/>
    </row>
    <row r="29" spans="1:19" ht="15" customHeight="1" x14ac:dyDescent="0.25">
      <c r="A29" s="204">
        <v>46209</v>
      </c>
      <c r="B29" s="205" t="s">
        <v>325</v>
      </c>
      <c r="C29" s="205" t="s">
        <v>238</v>
      </c>
      <c r="D29" s="205" t="s">
        <v>239</v>
      </c>
      <c r="E29" s="205">
        <v>32</v>
      </c>
      <c r="F29" s="205">
        <v>5782</v>
      </c>
      <c r="G29" s="206">
        <v>11000</v>
      </c>
      <c r="H29" s="206">
        <v>10990</v>
      </c>
      <c r="I29" s="206">
        <v>10</v>
      </c>
      <c r="J29" s="207">
        <f t="shared" si="0"/>
        <v>9.0909090909090909E-4</v>
      </c>
      <c r="K29" s="205"/>
      <c r="L29" s="205"/>
      <c r="M29" s="205"/>
      <c r="N29" s="205"/>
      <c r="O29" s="205"/>
      <c r="P29" s="205"/>
      <c r="Q29" s="205"/>
      <c r="R29" s="205"/>
      <c r="S29" s="205"/>
    </row>
    <row r="30" spans="1:19" ht="15" customHeight="1" x14ac:dyDescent="0.25">
      <c r="A30" s="204">
        <v>46209</v>
      </c>
      <c r="B30" s="205" t="s">
        <v>326</v>
      </c>
      <c r="C30" s="205" t="s">
        <v>169</v>
      </c>
      <c r="D30" s="205" t="s">
        <v>331</v>
      </c>
      <c r="E30" s="205" t="s">
        <v>197</v>
      </c>
      <c r="F30" s="205"/>
      <c r="G30" s="206">
        <v>6200</v>
      </c>
      <c r="H30" s="206">
        <v>5400</v>
      </c>
      <c r="I30" s="206">
        <v>800</v>
      </c>
      <c r="J30" s="207">
        <f t="shared" si="0"/>
        <v>0.12903225806451613</v>
      </c>
      <c r="K30" s="205">
        <v>150</v>
      </c>
      <c r="L30" s="205">
        <v>100</v>
      </c>
      <c r="M30" s="205"/>
      <c r="N30" s="205"/>
      <c r="O30" s="205"/>
      <c r="P30" s="205">
        <v>150</v>
      </c>
      <c r="Q30" s="205"/>
      <c r="R30" s="205"/>
      <c r="S30" s="205"/>
    </row>
    <row r="31" spans="1:19" ht="15" customHeight="1" x14ac:dyDescent="0.25">
      <c r="A31" s="204">
        <v>46209</v>
      </c>
      <c r="B31" s="205" t="s">
        <v>327</v>
      </c>
      <c r="C31" s="205" t="s">
        <v>175</v>
      </c>
      <c r="D31" s="205" t="s">
        <v>176</v>
      </c>
      <c r="E31" s="205">
        <v>30</v>
      </c>
      <c r="F31" s="205">
        <v>6206</v>
      </c>
      <c r="G31" s="206">
        <v>20000</v>
      </c>
      <c r="H31" s="206">
        <v>19900</v>
      </c>
      <c r="I31" s="206">
        <v>100</v>
      </c>
      <c r="J31" s="207">
        <f t="shared" si="0"/>
        <v>5.0000000000000001E-3</v>
      </c>
      <c r="K31" s="205">
        <v>60</v>
      </c>
      <c r="L31" s="205"/>
      <c r="M31" s="205"/>
      <c r="N31" s="205"/>
      <c r="O31" s="205"/>
      <c r="P31" s="205"/>
      <c r="Q31" s="205"/>
      <c r="R31" s="205"/>
      <c r="S31" s="205"/>
    </row>
    <row r="32" spans="1:19" ht="15" customHeight="1" x14ac:dyDescent="0.25">
      <c r="A32" s="204">
        <v>46209</v>
      </c>
      <c r="B32" s="205" t="s">
        <v>328</v>
      </c>
      <c r="C32" s="205" t="s">
        <v>169</v>
      </c>
      <c r="D32" s="205" t="s">
        <v>170</v>
      </c>
      <c r="E32" s="205">
        <v>25</v>
      </c>
      <c r="F32" s="205">
        <v>3447</v>
      </c>
      <c r="G32" s="206">
        <v>7000</v>
      </c>
      <c r="H32" s="206">
        <v>6915</v>
      </c>
      <c r="I32" s="206">
        <v>85</v>
      </c>
      <c r="J32" s="207">
        <f t="shared" si="0"/>
        <v>1.2142857142857143E-2</v>
      </c>
      <c r="K32" s="205"/>
      <c r="L32" s="205"/>
      <c r="M32" s="205"/>
      <c r="N32" s="205"/>
      <c r="O32" s="205"/>
      <c r="P32" s="205"/>
      <c r="Q32" s="205"/>
      <c r="R32" s="205"/>
      <c r="S32" s="205"/>
    </row>
    <row r="33" spans="1:19" ht="15" customHeight="1" x14ac:dyDescent="0.25">
      <c r="A33" s="204">
        <v>46209</v>
      </c>
      <c r="B33" s="205" t="s">
        <v>329</v>
      </c>
      <c r="C33" s="205" t="s">
        <v>175</v>
      </c>
      <c r="D33" s="205" t="s">
        <v>176</v>
      </c>
      <c r="E33" s="205">
        <v>30</v>
      </c>
      <c r="F33" s="205">
        <v>6206</v>
      </c>
      <c r="G33" s="206">
        <v>22134</v>
      </c>
      <c r="H33" s="206">
        <v>21724</v>
      </c>
      <c r="I33" s="206">
        <v>410</v>
      </c>
      <c r="J33" s="207">
        <f t="shared" si="0"/>
        <v>1.8523538447637121E-2</v>
      </c>
      <c r="K33" s="205"/>
      <c r="L33" s="205"/>
      <c r="M33" s="205"/>
      <c r="N33" s="205"/>
      <c r="O33" s="205"/>
      <c r="P33" s="205"/>
      <c r="Q33" s="205"/>
      <c r="R33" s="205"/>
      <c r="S33" s="205"/>
    </row>
    <row r="34" spans="1:19" ht="15" customHeight="1" x14ac:dyDescent="0.25">
      <c r="A34" s="200"/>
      <c r="B34" s="201"/>
      <c r="C34" s="201"/>
      <c r="D34" s="201"/>
      <c r="E34" s="201"/>
      <c r="F34" s="201"/>
      <c r="G34" s="202"/>
      <c r="H34" s="202"/>
      <c r="I34" s="202"/>
      <c r="J34" s="203"/>
      <c r="K34" s="201"/>
      <c r="L34" s="201"/>
      <c r="M34" s="201"/>
      <c r="N34" s="201"/>
      <c r="O34" s="201"/>
      <c r="P34" s="201"/>
      <c r="Q34" s="201"/>
      <c r="R34" s="201"/>
      <c r="S34" s="201"/>
    </row>
    <row r="35" spans="1:19" ht="15" customHeight="1" x14ac:dyDescent="0.25">
      <c r="A35" s="200"/>
      <c r="B35" s="201"/>
      <c r="C35" s="201"/>
      <c r="D35" s="201"/>
      <c r="E35" s="201"/>
      <c r="F35" s="201"/>
      <c r="G35" s="202"/>
      <c r="H35" s="202"/>
      <c r="I35" s="202"/>
      <c r="J35" s="203"/>
      <c r="K35" s="201"/>
      <c r="L35" s="201"/>
      <c r="M35" s="201"/>
      <c r="N35" s="201"/>
      <c r="O35" s="201"/>
      <c r="P35" s="201"/>
      <c r="Q35" s="201"/>
      <c r="R35" s="201"/>
      <c r="S35" s="201"/>
    </row>
    <row r="36" spans="1:19" ht="15" customHeight="1" x14ac:dyDescent="0.25">
      <c r="A36" s="200"/>
      <c r="B36" s="201"/>
      <c r="C36" s="201"/>
      <c r="D36" s="201"/>
      <c r="E36" s="201"/>
      <c r="F36" s="201"/>
      <c r="G36" s="202"/>
      <c r="H36" s="202"/>
      <c r="I36" s="202"/>
      <c r="J36" s="203"/>
      <c r="K36" s="201"/>
      <c r="L36" s="201"/>
      <c r="M36" s="201"/>
      <c r="N36" s="201"/>
      <c r="O36" s="201"/>
      <c r="P36" s="201"/>
      <c r="Q36" s="201"/>
      <c r="R36" s="201"/>
      <c r="S36" s="201"/>
    </row>
    <row r="37" spans="1:19" ht="15" customHeight="1" x14ac:dyDescent="0.25">
      <c r="A37" s="200"/>
      <c r="B37" s="201"/>
      <c r="C37" s="201"/>
      <c r="D37" s="201"/>
      <c r="E37" s="201"/>
      <c r="F37" s="201"/>
      <c r="G37" s="202"/>
      <c r="H37" s="202"/>
      <c r="I37" s="202"/>
      <c r="J37" s="203"/>
      <c r="K37" s="201"/>
      <c r="L37" s="201"/>
      <c r="M37" s="201"/>
      <c r="N37" s="201"/>
      <c r="O37" s="201"/>
      <c r="P37" s="201"/>
      <c r="Q37" s="201"/>
      <c r="R37" s="201"/>
      <c r="S37" s="201"/>
    </row>
    <row r="38" spans="1:19" ht="15" customHeight="1" x14ac:dyDescent="0.25">
      <c r="A38" s="200"/>
      <c r="B38" s="201"/>
      <c r="C38" s="201"/>
      <c r="D38" s="201"/>
      <c r="E38" s="201"/>
      <c r="F38" s="201"/>
      <c r="G38" s="202"/>
      <c r="H38" s="202"/>
      <c r="I38" s="202"/>
      <c r="J38" s="203"/>
      <c r="K38" s="201"/>
      <c r="L38" s="201"/>
      <c r="M38" s="201"/>
      <c r="N38" s="201"/>
      <c r="O38" s="201"/>
      <c r="P38" s="201"/>
      <c r="Q38" s="201"/>
      <c r="R38" s="201"/>
      <c r="S38" s="201"/>
    </row>
    <row r="39" spans="1:19" ht="15" customHeight="1" x14ac:dyDescent="0.25">
      <c r="A39" s="200"/>
      <c r="B39" s="201"/>
      <c r="C39" s="201"/>
      <c r="D39" s="201"/>
      <c r="E39" s="201"/>
      <c r="F39" s="201"/>
      <c r="G39" s="202"/>
      <c r="H39" s="202"/>
      <c r="I39" s="202"/>
      <c r="J39" s="203"/>
      <c r="K39" s="201"/>
      <c r="L39" s="201"/>
      <c r="M39" s="201"/>
      <c r="N39" s="201"/>
      <c r="O39" s="201"/>
      <c r="P39" s="201"/>
      <c r="Q39" s="201"/>
      <c r="R39" s="201"/>
      <c r="S39" s="201"/>
    </row>
    <row r="40" spans="1:19" ht="15" customHeight="1" x14ac:dyDescent="0.25">
      <c r="A40" s="200"/>
      <c r="B40" s="201"/>
      <c r="C40" s="201"/>
      <c r="D40" s="201"/>
      <c r="E40" s="201"/>
      <c r="F40" s="201"/>
      <c r="G40" s="202"/>
      <c r="H40" s="202"/>
      <c r="I40" s="202"/>
      <c r="J40" s="203"/>
      <c r="K40" s="201"/>
      <c r="L40" s="201"/>
      <c r="M40" s="201"/>
      <c r="N40" s="201"/>
      <c r="O40" s="201"/>
      <c r="P40" s="201"/>
      <c r="Q40" s="201"/>
      <c r="R40" s="201"/>
      <c r="S40" s="201"/>
    </row>
    <row r="41" spans="1:19" ht="15" customHeight="1" x14ac:dyDescent="0.25">
      <c r="A41" s="200"/>
      <c r="B41" s="201"/>
      <c r="C41" s="201"/>
      <c r="D41" s="201"/>
      <c r="E41" s="201"/>
      <c r="F41" s="201"/>
      <c r="G41" s="202"/>
      <c r="H41" s="202"/>
      <c r="I41" s="202"/>
      <c r="J41" s="203"/>
      <c r="K41" s="201"/>
      <c r="L41" s="201"/>
      <c r="M41" s="201"/>
      <c r="N41" s="201"/>
      <c r="O41" s="201"/>
      <c r="P41" s="201"/>
      <c r="Q41" s="201"/>
      <c r="R41" s="201"/>
      <c r="S41" s="201"/>
    </row>
    <row r="42" spans="1:19" ht="15" customHeight="1" x14ac:dyDescent="0.25">
      <c r="A42" s="200"/>
      <c r="B42" s="201"/>
      <c r="C42" s="201"/>
      <c r="D42" s="201"/>
      <c r="E42" s="201"/>
      <c r="F42" s="201"/>
      <c r="G42" s="202"/>
      <c r="H42" s="202"/>
      <c r="I42" s="202"/>
      <c r="J42" s="203"/>
      <c r="K42" s="201"/>
      <c r="L42" s="201"/>
      <c r="M42" s="201"/>
      <c r="N42" s="201"/>
      <c r="O42" s="201"/>
      <c r="P42" s="201"/>
      <c r="Q42" s="201"/>
      <c r="R42" s="201"/>
      <c r="S42" s="201"/>
    </row>
    <row r="43" spans="1:19" ht="15" customHeight="1" x14ac:dyDescent="0.25">
      <c r="A43" s="200"/>
      <c r="B43" s="201"/>
      <c r="C43" s="201"/>
      <c r="D43" s="201"/>
      <c r="E43" s="201"/>
      <c r="F43" s="201"/>
      <c r="G43" s="202"/>
      <c r="H43" s="202"/>
      <c r="I43" s="202"/>
      <c r="J43" s="203"/>
      <c r="K43" s="201"/>
      <c r="L43" s="201"/>
      <c r="M43" s="201"/>
      <c r="N43" s="201"/>
      <c r="O43" s="201"/>
      <c r="P43" s="201"/>
      <c r="Q43" s="201"/>
      <c r="R43" s="201"/>
      <c r="S43" s="201"/>
    </row>
    <row r="44" spans="1:19" ht="15" customHeight="1" x14ac:dyDescent="0.25">
      <c r="A44" s="200"/>
      <c r="B44" s="201"/>
      <c r="C44" s="201"/>
      <c r="D44" s="201"/>
      <c r="E44" s="201"/>
      <c r="F44" s="201"/>
      <c r="G44" s="202"/>
      <c r="H44" s="202"/>
      <c r="I44" s="202"/>
      <c r="J44" s="203"/>
      <c r="K44" s="201"/>
      <c r="L44" s="201"/>
      <c r="M44" s="201"/>
      <c r="N44" s="201"/>
      <c r="O44" s="201"/>
      <c r="P44" s="201"/>
      <c r="Q44" s="201"/>
      <c r="R44" s="201"/>
      <c r="S44" s="201"/>
    </row>
    <row r="45" spans="1:19" ht="15" customHeight="1" x14ac:dyDescent="0.25">
      <c r="A45" s="200"/>
      <c r="B45" s="201"/>
      <c r="C45" s="201"/>
      <c r="D45" s="201"/>
      <c r="E45" s="201"/>
      <c r="F45" s="201"/>
      <c r="G45" s="202"/>
      <c r="H45" s="202"/>
      <c r="I45" s="202"/>
      <c r="J45" s="203"/>
      <c r="K45" s="201"/>
      <c r="L45" s="201"/>
      <c r="M45" s="201"/>
      <c r="N45" s="201"/>
      <c r="O45" s="201"/>
      <c r="P45" s="201"/>
      <c r="Q45" s="201"/>
      <c r="R45" s="201"/>
      <c r="S45" s="201"/>
    </row>
    <row r="46" spans="1:19" ht="15" customHeight="1" x14ac:dyDescent="0.25">
      <c r="A46" s="200"/>
      <c r="B46" s="201"/>
      <c r="C46" s="201"/>
      <c r="D46" s="201"/>
      <c r="E46" s="201"/>
      <c r="F46" s="201"/>
      <c r="G46" s="202"/>
      <c r="H46" s="202"/>
      <c r="I46" s="202"/>
      <c r="J46" s="203"/>
      <c r="K46" s="201"/>
      <c r="L46" s="201"/>
      <c r="M46" s="201"/>
      <c r="N46" s="201"/>
      <c r="O46" s="201"/>
      <c r="P46" s="201"/>
      <c r="Q46" s="201"/>
      <c r="R46" s="201"/>
      <c r="S46" s="201"/>
    </row>
    <row r="47" spans="1:19" ht="15" customHeight="1" x14ac:dyDescent="0.25">
      <c r="A47" s="200"/>
      <c r="B47" s="201"/>
      <c r="C47" s="201"/>
      <c r="D47" s="201"/>
      <c r="E47" s="201"/>
      <c r="F47" s="201"/>
      <c r="G47" s="202"/>
      <c r="H47" s="202"/>
      <c r="I47" s="202"/>
      <c r="J47" s="203"/>
      <c r="K47" s="201"/>
      <c r="L47" s="201"/>
      <c r="M47" s="201"/>
      <c r="N47" s="201"/>
      <c r="O47" s="201"/>
      <c r="P47" s="201"/>
      <c r="Q47" s="201"/>
      <c r="R47" s="201"/>
      <c r="S47" s="201"/>
    </row>
    <row r="48" spans="1:19" ht="15" customHeight="1" x14ac:dyDescent="0.25">
      <c r="A48" s="200"/>
      <c r="B48" s="201"/>
      <c r="C48" s="201"/>
      <c r="D48" s="201"/>
      <c r="E48" s="201"/>
      <c r="F48" s="201"/>
      <c r="G48" s="202"/>
      <c r="H48" s="202"/>
      <c r="I48" s="202"/>
      <c r="J48" s="203"/>
      <c r="K48" s="201"/>
      <c r="L48" s="201"/>
      <c r="M48" s="201"/>
      <c r="N48" s="201"/>
      <c r="O48" s="201"/>
      <c r="P48" s="201"/>
      <c r="Q48" s="201"/>
      <c r="R48" s="201"/>
      <c r="S48" s="201"/>
    </row>
    <row r="49" spans="1:19" ht="15" customHeight="1" x14ac:dyDescent="0.25">
      <c r="A49" s="200"/>
      <c r="B49" s="201"/>
      <c r="C49" s="201"/>
      <c r="D49" s="201"/>
      <c r="E49" s="201"/>
      <c r="F49" s="201"/>
      <c r="G49" s="202"/>
      <c r="H49" s="202"/>
      <c r="I49" s="202"/>
      <c r="J49" s="203"/>
      <c r="K49" s="201"/>
      <c r="L49" s="201"/>
      <c r="M49" s="201"/>
      <c r="N49" s="201"/>
      <c r="O49" s="201"/>
      <c r="P49" s="201"/>
      <c r="Q49" s="201"/>
      <c r="R49" s="201"/>
      <c r="S49" s="201"/>
    </row>
    <row r="50" spans="1:19" ht="15" customHeight="1" x14ac:dyDescent="0.25">
      <c r="A50" s="200"/>
      <c r="B50" s="201"/>
      <c r="C50" s="201"/>
      <c r="D50" s="201"/>
      <c r="E50" s="201"/>
      <c r="F50" s="201"/>
      <c r="G50" s="202"/>
      <c r="H50" s="202"/>
      <c r="I50" s="202"/>
      <c r="J50" s="203"/>
      <c r="K50" s="201"/>
      <c r="L50" s="201"/>
      <c r="M50" s="201"/>
      <c r="N50" s="201"/>
      <c r="O50" s="201"/>
      <c r="P50" s="201"/>
      <c r="Q50" s="201"/>
      <c r="R50" s="201"/>
      <c r="S50" s="201"/>
    </row>
    <row r="51" spans="1:19" ht="15" customHeight="1" x14ac:dyDescent="0.25">
      <c r="A51" s="200"/>
      <c r="B51" s="201"/>
      <c r="C51" s="201"/>
      <c r="D51" s="201"/>
      <c r="E51" s="201"/>
      <c r="F51" s="201"/>
      <c r="G51" s="202"/>
      <c r="H51" s="202"/>
      <c r="I51" s="202"/>
      <c r="J51" s="203"/>
      <c r="K51" s="201"/>
      <c r="L51" s="201"/>
      <c r="M51" s="201"/>
      <c r="N51" s="201"/>
      <c r="O51" s="201"/>
      <c r="P51" s="201"/>
      <c r="Q51" s="201"/>
      <c r="R51" s="201"/>
      <c r="S51" s="201"/>
    </row>
    <row r="52" spans="1:19" ht="15" customHeight="1" x14ac:dyDescent="0.25">
      <c r="A52" s="200"/>
      <c r="B52" s="201"/>
      <c r="C52" s="201"/>
      <c r="D52" s="201"/>
      <c r="E52" s="201"/>
      <c r="F52" s="201"/>
      <c r="G52" s="202"/>
      <c r="H52" s="202"/>
      <c r="I52" s="202"/>
      <c r="J52" s="203"/>
      <c r="K52" s="201"/>
      <c r="L52" s="201"/>
      <c r="M52" s="201"/>
      <c r="N52" s="201"/>
      <c r="O52" s="201"/>
      <c r="P52" s="201"/>
      <c r="Q52" s="201"/>
      <c r="R52" s="201"/>
      <c r="S52" s="201"/>
    </row>
    <row r="53" spans="1:19" ht="15" customHeight="1" x14ac:dyDescent="0.25">
      <c r="A53" s="200"/>
      <c r="B53" s="201"/>
      <c r="C53" s="201"/>
      <c r="D53" s="201"/>
      <c r="E53" s="201"/>
      <c r="F53" s="201"/>
      <c r="G53" s="202"/>
      <c r="H53" s="202"/>
      <c r="I53" s="202"/>
      <c r="J53" s="203"/>
      <c r="K53" s="201"/>
      <c r="L53" s="201"/>
      <c r="M53" s="201"/>
      <c r="N53" s="201"/>
      <c r="O53" s="201"/>
      <c r="P53" s="201"/>
      <c r="Q53" s="201"/>
      <c r="R53" s="201"/>
      <c r="S53" s="201"/>
    </row>
    <row r="54" spans="1:19" ht="15" customHeight="1" x14ac:dyDescent="0.25">
      <c r="A54" s="200"/>
      <c r="B54" s="201"/>
      <c r="C54" s="201"/>
      <c r="D54" s="201"/>
      <c r="E54" s="201"/>
      <c r="F54" s="201"/>
      <c r="G54" s="202"/>
      <c r="H54" s="202"/>
      <c r="I54" s="202"/>
      <c r="J54" s="203"/>
      <c r="K54" s="201"/>
      <c r="L54" s="201"/>
      <c r="M54" s="201"/>
      <c r="N54" s="201"/>
      <c r="O54" s="201"/>
      <c r="P54" s="201"/>
      <c r="Q54" s="201"/>
      <c r="R54" s="201"/>
      <c r="S54" s="201"/>
    </row>
    <row r="55" spans="1:19" ht="15" customHeight="1" x14ac:dyDescent="0.25">
      <c r="A55" s="200"/>
      <c r="B55" s="201"/>
      <c r="C55" s="201"/>
      <c r="D55" s="201"/>
      <c r="E55" s="201"/>
      <c r="F55" s="201"/>
      <c r="G55" s="202"/>
      <c r="H55" s="202"/>
      <c r="I55" s="202"/>
      <c r="J55" s="203"/>
      <c r="K55" s="201"/>
      <c r="L55" s="201"/>
      <c r="M55" s="201"/>
      <c r="N55" s="201"/>
      <c r="O55" s="201"/>
      <c r="P55" s="201"/>
      <c r="Q55" s="201"/>
      <c r="R55" s="201"/>
      <c r="S55" s="201"/>
    </row>
    <row r="56" spans="1:19" ht="15" customHeight="1" x14ac:dyDescent="0.25">
      <c r="A56" s="200"/>
      <c r="B56" s="201"/>
      <c r="C56" s="201"/>
      <c r="D56" s="201"/>
      <c r="E56" s="201"/>
      <c r="F56" s="201"/>
      <c r="G56" s="202"/>
      <c r="H56" s="202"/>
      <c r="I56" s="202"/>
      <c r="J56" s="203"/>
      <c r="K56" s="201"/>
      <c r="L56" s="201"/>
      <c r="M56" s="201"/>
      <c r="N56" s="201"/>
      <c r="O56" s="201"/>
      <c r="P56" s="201"/>
      <c r="Q56" s="201"/>
      <c r="R56" s="201"/>
      <c r="S56" s="201"/>
    </row>
    <row r="57" spans="1:19" ht="15" customHeight="1" x14ac:dyDescent="0.25">
      <c r="A57" s="200"/>
      <c r="B57" s="201"/>
      <c r="C57" s="201"/>
      <c r="D57" s="201"/>
      <c r="E57" s="201"/>
      <c r="F57" s="201"/>
      <c r="G57" s="202"/>
      <c r="H57" s="202"/>
      <c r="I57" s="202"/>
      <c r="J57" s="203"/>
      <c r="K57" s="201"/>
      <c r="L57" s="201"/>
      <c r="M57" s="201"/>
      <c r="N57" s="201"/>
      <c r="O57" s="201"/>
      <c r="P57" s="201"/>
      <c r="Q57" s="201"/>
      <c r="R57" s="201"/>
      <c r="S57" s="201"/>
    </row>
    <row r="58" spans="1:19" ht="15" customHeight="1" x14ac:dyDescent="0.25">
      <c r="A58" s="200"/>
      <c r="B58" s="201"/>
      <c r="C58" s="201"/>
      <c r="D58" s="201"/>
      <c r="E58" s="201"/>
      <c r="F58" s="201"/>
      <c r="G58" s="202"/>
      <c r="H58" s="202"/>
      <c r="I58" s="202"/>
      <c r="J58" s="203"/>
      <c r="K58" s="201"/>
      <c r="L58" s="201"/>
      <c r="M58" s="201"/>
      <c r="N58" s="201"/>
      <c r="O58" s="201"/>
      <c r="P58" s="201"/>
      <c r="Q58" s="201"/>
      <c r="R58" s="201"/>
      <c r="S58" s="201"/>
    </row>
    <row r="59" spans="1:19" ht="15" customHeight="1" x14ac:dyDescent="0.25">
      <c r="A59" s="200"/>
      <c r="B59" s="201"/>
      <c r="C59" s="201"/>
      <c r="D59" s="201"/>
      <c r="E59" s="201"/>
      <c r="F59" s="201"/>
      <c r="G59" s="202"/>
      <c r="H59" s="202"/>
      <c r="I59" s="202"/>
      <c r="J59" s="203"/>
      <c r="K59" s="201"/>
      <c r="L59" s="201"/>
      <c r="M59" s="201"/>
      <c r="N59" s="201"/>
      <c r="O59" s="201"/>
      <c r="P59" s="201"/>
      <c r="Q59" s="201"/>
      <c r="R59" s="201"/>
      <c r="S59" s="201"/>
    </row>
    <row r="60" spans="1:19" ht="15" customHeight="1" x14ac:dyDescent="0.25">
      <c r="A60" s="200"/>
      <c r="B60" s="201"/>
      <c r="C60" s="201"/>
      <c r="D60" s="201"/>
      <c r="E60" s="201"/>
      <c r="F60" s="201"/>
      <c r="G60" s="202"/>
      <c r="H60" s="202"/>
      <c r="I60" s="202"/>
      <c r="J60" s="203"/>
      <c r="K60" s="201"/>
      <c r="L60" s="201"/>
      <c r="M60" s="201"/>
      <c r="N60" s="201"/>
      <c r="O60" s="201"/>
      <c r="P60" s="201"/>
      <c r="Q60" s="201"/>
      <c r="R60" s="201"/>
      <c r="S60" s="201"/>
    </row>
    <row r="61" spans="1:19" ht="15" customHeight="1" x14ac:dyDescent="0.25">
      <c r="A61" s="200"/>
      <c r="B61" s="201"/>
      <c r="C61" s="201"/>
      <c r="D61" s="201"/>
      <c r="E61" s="201"/>
      <c r="F61" s="201"/>
      <c r="G61" s="202"/>
      <c r="H61" s="202"/>
      <c r="I61" s="202"/>
      <c r="J61" s="203"/>
      <c r="K61" s="201"/>
      <c r="L61" s="201"/>
      <c r="M61" s="201"/>
      <c r="N61" s="201"/>
      <c r="O61" s="201"/>
      <c r="P61" s="201"/>
      <c r="Q61" s="201"/>
      <c r="R61" s="201"/>
      <c r="S61" s="201"/>
    </row>
    <row r="62" spans="1:19" ht="15" customHeight="1" x14ac:dyDescent="0.25">
      <c r="A62" s="200"/>
      <c r="B62" s="201"/>
      <c r="C62" s="201"/>
      <c r="D62" s="201"/>
      <c r="E62" s="201"/>
      <c r="F62" s="201"/>
      <c r="G62" s="202"/>
      <c r="H62" s="202"/>
      <c r="I62" s="202"/>
      <c r="J62" s="203"/>
      <c r="K62" s="201"/>
      <c r="L62" s="201"/>
      <c r="M62" s="201"/>
      <c r="N62" s="201"/>
      <c r="O62" s="201"/>
      <c r="P62" s="201"/>
      <c r="Q62" s="201"/>
      <c r="R62" s="201"/>
      <c r="S62" s="201"/>
    </row>
    <row r="63" spans="1:19" ht="15" customHeight="1" x14ac:dyDescent="0.25">
      <c r="A63" s="200"/>
      <c r="B63" s="201"/>
      <c r="C63" s="201"/>
      <c r="D63" s="201"/>
      <c r="E63" s="201"/>
      <c r="F63" s="201"/>
      <c r="G63" s="202"/>
      <c r="H63" s="202"/>
      <c r="I63" s="202"/>
      <c r="J63" s="203"/>
      <c r="K63" s="201"/>
      <c r="L63" s="201"/>
      <c r="M63" s="201"/>
      <c r="N63" s="201"/>
      <c r="O63" s="201"/>
      <c r="P63" s="201"/>
      <c r="Q63" s="201"/>
      <c r="R63" s="201"/>
      <c r="S63" s="201"/>
    </row>
    <row r="64" spans="1:19" ht="15" customHeight="1" x14ac:dyDescent="0.25">
      <c r="A64" s="200"/>
      <c r="B64" s="201"/>
      <c r="C64" s="201"/>
      <c r="D64" s="201"/>
      <c r="E64" s="201"/>
      <c r="F64" s="201"/>
      <c r="G64" s="202"/>
      <c r="H64" s="202"/>
      <c r="I64" s="202"/>
      <c r="J64" s="203"/>
      <c r="K64" s="201"/>
      <c r="L64" s="201"/>
      <c r="M64" s="201"/>
      <c r="N64" s="201"/>
      <c r="O64" s="201"/>
      <c r="P64" s="201"/>
      <c r="Q64" s="201"/>
      <c r="R64" s="201"/>
      <c r="S64" s="201"/>
    </row>
    <row r="65" spans="1:19" ht="15" customHeight="1" x14ac:dyDescent="0.25">
      <c r="A65" s="200"/>
      <c r="B65" s="201"/>
      <c r="C65" s="201"/>
      <c r="D65" s="201"/>
      <c r="E65" s="201"/>
      <c r="F65" s="201"/>
      <c r="G65" s="202"/>
      <c r="H65" s="202"/>
      <c r="I65" s="202"/>
      <c r="J65" s="203"/>
      <c r="K65" s="201"/>
      <c r="L65" s="201"/>
      <c r="M65" s="201"/>
      <c r="N65" s="201"/>
      <c r="O65" s="201"/>
      <c r="P65" s="201"/>
      <c r="Q65" s="201"/>
      <c r="R65" s="201"/>
      <c r="S65" s="201"/>
    </row>
    <row r="66" spans="1:19" ht="15" customHeight="1" x14ac:dyDescent="0.25">
      <c r="A66" s="200"/>
      <c r="B66" s="201"/>
      <c r="C66" s="201"/>
      <c r="D66" s="201"/>
      <c r="E66" s="201"/>
      <c r="F66" s="201"/>
      <c r="G66" s="202"/>
      <c r="H66" s="202"/>
      <c r="I66" s="202"/>
      <c r="J66" s="203"/>
      <c r="K66" s="201"/>
      <c r="L66" s="201"/>
      <c r="M66" s="201"/>
      <c r="N66" s="201"/>
      <c r="O66" s="201"/>
      <c r="P66" s="201"/>
      <c r="Q66" s="201"/>
      <c r="R66" s="201"/>
      <c r="S66" s="201"/>
    </row>
    <row r="67" spans="1:19" ht="15" customHeight="1" x14ac:dyDescent="0.25">
      <c r="A67" s="200"/>
      <c r="B67" s="201"/>
      <c r="C67" s="201"/>
      <c r="D67" s="201"/>
      <c r="E67" s="201"/>
      <c r="F67" s="201"/>
      <c r="G67" s="202"/>
      <c r="H67" s="202"/>
      <c r="I67" s="202"/>
      <c r="J67" s="203"/>
      <c r="K67" s="201"/>
      <c r="L67" s="201"/>
      <c r="M67" s="201"/>
      <c r="N67" s="201"/>
      <c r="O67" s="201"/>
      <c r="P67" s="201"/>
      <c r="Q67" s="201"/>
      <c r="R67" s="201"/>
      <c r="S67" s="201"/>
    </row>
    <row r="68" spans="1:19" ht="15" customHeight="1" x14ac:dyDescent="0.25">
      <c r="A68" s="200"/>
      <c r="B68" s="201"/>
      <c r="C68" s="201"/>
      <c r="D68" s="201"/>
      <c r="E68" s="201"/>
      <c r="F68" s="201"/>
      <c r="G68" s="202"/>
      <c r="H68" s="202"/>
      <c r="I68" s="202"/>
      <c r="J68" s="203"/>
      <c r="K68" s="201"/>
      <c r="L68" s="201"/>
      <c r="M68" s="201"/>
      <c r="N68" s="201"/>
      <c r="O68" s="201"/>
      <c r="P68" s="201"/>
      <c r="Q68" s="201"/>
      <c r="R68" s="201"/>
      <c r="S68" s="201"/>
    </row>
    <row r="69" spans="1:19" ht="15" customHeight="1" x14ac:dyDescent="0.25">
      <c r="A69" s="200"/>
      <c r="B69" s="201"/>
      <c r="C69" s="201"/>
      <c r="D69" s="201"/>
      <c r="E69" s="201"/>
      <c r="F69" s="201"/>
      <c r="G69" s="202"/>
      <c r="H69" s="202"/>
      <c r="I69" s="202"/>
      <c r="J69" s="203"/>
      <c r="K69" s="201"/>
      <c r="L69" s="201"/>
      <c r="M69" s="201"/>
      <c r="N69" s="201"/>
      <c r="O69" s="201"/>
      <c r="P69" s="201"/>
      <c r="Q69" s="201"/>
      <c r="R69" s="201"/>
      <c r="S69" s="201"/>
    </row>
    <row r="70" spans="1:19" ht="15" customHeight="1" x14ac:dyDescent="0.25">
      <c r="A70" s="200"/>
      <c r="B70" s="201"/>
      <c r="C70" s="201"/>
      <c r="D70" s="201"/>
      <c r="E70" s="201"/>
      <c r="F70" s="201"/>
      <c r="G70" s="202"/>
      <c r="H70" s="202"/>
      <c r="I70" s="202"/>
      <c r="J70" s="203"/>
      <c r="K70" s="201"/>
      <c r="L70" s="201"/>
      <c r="M70" s="201"/>
      <c r="N70" s="201"/>
      <c r="O70" s="201"/>
      <c r="P70" s="201"/>
      <c r="Q70" s="201"/>
      <c r="R70" s="201"/>
      <c r="S70" s="201"/>
    </row>
    <row r="71" spans="1:19" ht="15" customHeight="1" x14ac:dyDescent="0.25">
      <c r="A71" s="200"/>
      <c r="B71" s="201"/>
      <c r="C71" s="201"/>
      <c r="D71" s="201"/>
      <c r="E71" s="201"/>
      <c r="F71" s="201"/>
      <c r="G71" s="202"/>
      <c r="H71" s="202"/>
      <c r="I71" s="202"/>
      <c r="J71" s="203"/>
      <c r="K71" s="201"/>
      <c r="L71" s="201"/>
      <c r="M71" s="201"/>
      <c r="N71" s="201"/>
      <c r="O71" s="201"/>
      <c r="P71" s="201"/>
      <c r="Q71" s="201"/>
      <c r="R71" s="201"/>
      <c r="S71" s="201"/>
    </row>
    <row r="72" spans="1:19" ht="15" customHeight="1" x14ac:dyDescent="0.25">
      <c r="A72" s="200"/>
      <c r="B72" s="201"/>
      <c r="C72" s="201"/>
      <c r="D72" s="201"/>
      <c r="E72" s="201"/>
      <c r="F72" s="201"/>
      <c r="G72" s="202"/>
      <c r="H72" s="202"/>
      <c r="I72" s="202"/>
      <c r="J72" s="203"/>
      <c r="K72" s="201"/>
      <c r="L72" s="201"/>
      <c r="M72" s="201"/>
      <c r="N72" s="201"/>
      <c r="O72" s="201"/>
      <c r="P72" s="201"/>
      <c r="Q72" s="201"/>
      <c r="R72" s="201"/>
      <c r="S72" s="201"/>
    </row>
    <row r="73" spans="1:19" ht="15" customHeight="1" x14ac:dyDescent="0.25">
      <c r="A73" s="200"/>
      <c r="B73" s="201"/>
      <c r="C73" s="201"/>
      <c r="D73" s="201"/>
      <c r="E73" s="201"/>
      <c r="F73" s="201"/>
      <c r="G73" s="202"/>
      <c r="H73" s="202"/>
      <c r="I73" s="202"/>
      <c r="J73" s="203"/>
      <c r="K73" s="201"/>
      <c r="L73" s="201"/>
      <c r="M73" s="201"/>
      <c r="N73" s="201"/>
      <c r="O73" s="201"/>
      <c r="P73" s="201"/>
      <c r="Q73" s="201"/>
      <c r="R73" s="201"/>
      <c r="S73" s="201"/>
    </row>
    <row r="74" spans="1:19" ht="15" customHeight="1" x14ac:dyDescent="0.25">
      <c r="A74" s="200"/>
      <c r="B74" s="201"/>
      <c r="C74" s="201"/>
      <c r="D74" s="201"/>
      <c r="E74" s="201"/>
      <c r="F74" s="201"/>
      <c r="G74" s="202"/>
      <c r="H74" s="202"/>
      <c r="I74" s="202"/>
      <c r="J74" s="203"/>
      <c r="K74" s="201"/>
      <c r="L74" s="201"/>
      <c r="M74" s="201"/>
      <c r="N74" s="201"/>
      <c r="O74" s="201"/>
      <c r="P74" s="201"/>
      <c r="Q74" s="201"/>
      <c r="R74" s="201"/>
      <c r="S74" s="201"/>
    </row>
    <row r="75" spans="1:19" ht="15" customHeight="1" x14ac:dyDescent="0.25">
      <c r="A75" s="200"/>
      <c r="B75" s="201"/>
      <c r="C75" s="201"/>
      <c r="D75" s="201"/>
      <c r="E75" s="201"/>
      <c r="F75" s="201"/>
      <c r="G75" s="202"/>
      <c r="H75" s="202"/>
      <c r="I75" s="202"/>
      <c r="J75" s="203"/>
      <c r="K75" s="201"/>
      <c r="L75" s="201"/>
      <c r="M75" s="201"/>
      <c r="N75" s="201"/>
      <c r="O75" s="201"/>
      <c r="P75" s="201"/>
      <c r="Q75" s="201"/>
      <c r="R75" s="201"/>
      <c r="S75" s="201"/>
    </row>
    <row r="76" spans="1:19" ht="15" customHeight="1" x14ac:dyDescent="0.25">
      <c r="A76" s="200"/>
      <c r="B76" s="201"/>
      <c r="C76" s="201"/>
      <c r="D76" s="201"/>
      <c r="E76" s="201"/>
      <c r="F76" s="201"/>
      <c r="G76" s="202"/>
      <c r="H76" s="202"/>
      <c r="I76" s="202"/>
      <c r="J76" s="203"/>
      <c r="K76" s="201"/>
      <c r="L76" s="201"/>
      <c r="M76" s="201"/>
      <c r="N76" s="201"/>
      <c r="O76" s="201"/>
      <c r="P76" s="201"/>
      <c r="Q76" s="201"/>
      <c r="R76" s="201"/>
      <c r="S76" s="201"/>
    </row>
    <row r="77" spans="1:19" ht="15" customHeight="1" x14ac:dyDescent="0.25">
      <c r="A77" s="200"/>
      <c r="B77" s="201"/>
      <c r="C77" s="201"/>
      <c r="D77" s="201"/>
      <c r="E77" s="201"/>
      <c r="F77" s="201"/>
      <c r="G77" s="202"/>
      <c r="H77" s="202"/>
      <c r="I77" s="202"/>
      <c r="J77" s="203"/>
      <c r="K77" s="201"/>
      <c r="L77" s="201"/>
      <c r="M77" s="201"/>
      <c r="N77" s="201"/>
      <c r="O77" s="201"/>
      <c r="P77" s="201"/>
      <c r="Q77" s="201"/>
      <c r="R77" s="201"/>
      <c r="S77" s="201"/>
    </row>
    <row r="78" spans="1:19" ht="15" customHeight="1" x14ac:dyDescent="0.25">
      <c r="A78" s="200"/>
      <c r="B78" s="201"/>
      <c r="C78" s="201"/>
      <c r="D78" s="201"/>
      <c r="E78" s="201"/>
      <c r="F78" s="201"/>
      <c r="G78" s="202"/>
      <c r="H78" s="202"/>
      <c r="I78" s="202"/>
      <c r="J78" s="203"/>
      <c r="K78" s="201"/>
      <c r="L78" s="201"/>
      <c r="M78" s="201"/>
      <c r="N78" s="201"/>
      <c r="O78" s="201"/>
      <c r="P78" s="201"/>
      <c r="Q78" s="201"/>
      <c r="R78" s="201"/>
      <c r="S78" s="201"/>
    </row>
    <row r="79" spans="1:19" ht="15" customHeight="1" x14ac:dyDescent="0.25">
      <c r="A79" s="200"/>
      <c r="B79" s="201"/>
      <c r="C79" s="201"/>
      <c r="D79" s="201"/>
      <c r="E79" s="201"/>
      <c r="F79" s="201"/>
      <c r="G79" s="202"/>
      <c r="H79" s="202"/>
      <c r="I79" s="202"/>
      <c r="J79" s="203"/>
      <c r="K79" s="201"/>
      <c r="L79" s="201"/>
      <c r="M79" s="201"/>
      <c r="N79" s="201"/>
      <c r="O79" s="201"/>
      <c r="P79" s="201"/>
      <c r="Q79" s="201"/>
      <c r="R79" s="201"/>
      <c r="S79" s="201"/>
    </row>
    <row r="80" spans="1:19" ht="15" customHeight="1" x14ac:dyDescent="0.25">
      <c r="A80" s="200"/>
      <c r="B80" s="201"/>
      <c r="C80" s="201"/>
      <c r="D80" s="201"/>
      <c r="E80" s="201"/>
      <c r="F80" s="201"/>
      <c r="G80" s="202"/>
      <c r="H80" s="202"/>
      <c r="I80" s="202"/>
      <c r="J80" s="203"/>
      <c r="K80" s="201"/>
      <c r="L80" s="201"/>
      <c r="M80" s="201"/>
      <c r="N80" s="201"/>
      <c r="O80" s="201"/>
      <c r="P80" s="201"/>
      <c r="Q80" s="201"/>
      <c r="R80" s="201"/>
      <c r="S80" s="201"/>
    </row>
    <row r="81" spans="1:19" ht="15" customHeight="1" x14ac:dyDescent="0.25">
      <c r="A81" s="200"/>
      <c r="B81" s="201"/>
      <c r="C81" s="201"/>
      <c r="D81" s="201"/>
      <c r="E81" s="201"/>
      <c r="F81" s="201"/>
      <c r="G81" s="202"/>
      <c r="H81" s="202"/>
      <c r="I81" s="202"/>
      <c r="J81" s="203"/>
      <c r="K81" s="201"/>
      <c r="L81" s="201"/>
      <c r="M81" s="201"/>
      <c r="N81" s="201"/>
      <c r="O81" s="201"/>
      <c r="P81" s="201"/>
      <c r="Q81" s="201"/>
      <c r="R81" s="201"/>
      <c r="S81" s="201"/>
    </row>
    <row r="82" spans="1:19" ht="15" customHeight="1" x14ac:dyDescent="0.25">
      <c r="A82" s="200"/>
      <c r="B82" s="201"/>
      <c r="C82" s="201"/>
      <c r="D82" s="201"/>
      <c r="E82" s="201"/>
      <c r="F82" s="201"/>
      <c r="G82" s="202"/>
      <c r="H82" s="202"/>
      <c r="I82" s="202"/>
      <c r="J82" s="203"/>
      <c r="K82" s="201"/>
      <c r="L82" s="201"/>
      <c r="M82" s="201"/>
      <c r="N82" s="201"/>
      <c r="O82" s="201"/>
      <c r="P82" s="201"/>
      <c r="Q82" s="201"/>
      <c r="R82" s="201"/>
      <c r="S82" s="201"/>
    </row>
    <row r="83" spans="1:19" ht="15" customHeight="1" x14ac:dyDescent="0.25">
      <c r="A83" s="200"/>
      <c r="B83" s="201"/>
      <c r="C83" s="201"/>
      <c r="D83" s="201"/>
      <c r="E83" s="201"/>
      <c r="F83" s="201"/>
      <c r="G83" s="202"/>
      <c r="H83" s="202"/>
      <c r="I83" s="202"/>
      <c r="J83" s="203"/>
      <c r="K83" s="201"/>
      <c r="L83" s="201"/>
      <c r="M83" s="201"/>
      <c r="N83" s="201"/>
      <c r="O83" s="201"/>
      <c r="P83" s="201"/>
      <c r="Q83" s="201"/>
      <c r="R83" s="201"/>
      <c r="S83" s="201"/>
    </row>
    <row r="84" spans="1:19" ht="15" customHeight="1" x14ac:dyDescent="0.25">
      <c r="A84" s="200"/>
      <c r="B84" s="201"/>
      <c r="C84" s="201"/>
      <c r="D84" s="201"/>
      <c r="E84" s="201"/>
      <c r="F84" s="201"/>
      <c r="G84" s="202"/>
      <c r="H84" s="202"/>
      <c r="I84" s="202"/>
      <c r="J84" s="203"/>
      <c r="K84" s="201"/>
      <c r="L84" s="201"/>
      <c r="M84" s="201"/>
      <c r="N84" s="201"/>
      <c r="O84" s="201"/>
      <c r="P84" s="201"/>
      <c r="Q84" s="201"/>
      <c r="R84" s="201"/>
      <c r="S84" s="201"/>
    </row>
    <row r="85" spans="1:19" ht="15" customHeight="1" x14ac:dyDescent="0.25">
      <c r="A85" s="200"/>
      <c r="B85" s="201"/>
      <c r="C85" s="201"/>
      <c r="D85" s="201"/>
      <c r="E85" s="201"/>
      <c r="F85" s="201"/>
      <c r="G85" s="202"/>
      <c r="H85" s="202"/>
      <c r="I85" s="202"/>
      <c r="J85" s="203"/>
      <c r="K85" s="201"/>
      <c r="L85" s="201"/>
      <c r="M85" s="201"/>
      <c r="N85" s="201"/>
      <c r="O85" s="201"/>
      <c r="P85" s="201"/>
      <c r="Q85" s="201"/>
      <c r="R85" s="201"/>
      <c r="S85" s="201"/>
    </row>
    <row r="86" spans="1:19" ht="15" customHeight="1" x14ac:dyDescent="0.25">
      <c r="A86" s="200"/>
      <c r="B86" s="201"/>
      <c r="C86" s="201"/>
      <c r="D86" s="201"/>
      <c r="E86" s="201"/>
      <c r="F86" s="201"/>
      <c r="G86" s="202"/>
      <c r="H86" s="202"/>
      <c r="I86" s="202"/>
      <c r="J86" s="203"/>
      <c r="K86" s="201"/>
      <c r="L86" s="201"/>
      <c r="M86" s="201"/>
      <c r="N86" s="201"/>
      <c r="O86" s="201"/>
      <c r="P86" s="201"/>
      <c r="Q86" s="201"/>
      <c r="R86" s="201"/>
      <c r="S86" s="201"/>
    </row>
    <row r="87" spans="1:19" ht="15" customHeight="1" x14ac:dyDescent="0.25">
      <c r="A87" s="200"/>
      <c r="B87" s="201"/>
      <c r="C87" s="201"/>
      <c r="D87" s="201"/>
      <c r="E87" s="201"/>
      <c r="F87" s="201"/>
      <c r="G87" s="202"/>
      <c r="H87" s="202"/>
      <c r="I87" s="202"/>
      <c r="J87" s="203"/>
      <c r="K87" s="201"/>
      <c r="L87" s="201"/>
      <c r="M87" s="201"/>
      <c r="N87" s="201"/>
      <c r="O87" s="201"/>
      <c r="P87" s="201"/>
      <c r="Q87" s="201"/>
      <c r="R87" s="201"/>
      <c r="S87" s="201"/>
    </row>
    <row r="88" spans="1:19" ht="15" customHeight="1" x14ac:dyDescent="0.25">
      <c r="A88" s="200"/>
      <c r="B88" s="201"/>
      <c r="C88" s="201"/>
      <c r="D88" s="201"/>
      <c r="E88" s="201"/>
      <c r="F88" s="201"/>
      <c r="G88" s="202"/>
      <c r="H88" s="202"/>
      <c r="I88" s="202"/>
      <c r="J88" s="203"/>
      <c r="K88" s="201"/>
      <c r="L88" s="201"/>
      <c r="M88" s="201"/>
      <c r="N88" s="201"/>
      <c r="O88" s="201"/>
      <c r="P88" s="201"/>
      <c r="Q88" s="201"/>
      <c r="R88" s="201"/>
      <c r="S88" s="201"/>
    </row>
    <row r="89" spans="1:19" ht="15" customHeight="1" x14ac:dyDescent="0.25">
      <c r="A89" s="200"/>
      <c r="B89" s="201"/>
      <c r="C89" s="201"/>
      <c r="D89" s="201"/>
      <c r="E89" s="201"/>
      <c r="F89" s="201"/>
      <c r="G89" s="202"/>
      <c r="H89" s="202"/>
      <c r="I89" s="202"/>
      <c r="J89" s="203"/>
      <c r="K89" s="201"/>
      <c r="L89" s="201"/>
      <c r="M89" s="201"/>
      <c r="N89" s="201"/>
      <c r="O89" s="201"/>
      <c r="P89" s="201"/>
      <c r="Q89" s="201"/>
      <c r="R89" s="201"/>
      <c r="S89" s="201"/>
    </row>
    <row r="90" spans="1:19" ht="15" customHeight="1" x14ac:dyDescent="0.25">
      <c r="A90" s="200"/>
      <c r="B90" s="201"/>
      <c r="C90" s="201"/>
      <c r="D90" s="201"/>
      <c r="E90" s="201"/>
      <c r="F90" s="201"/>
      <c r="G90" s="202"/>
      <c r="H90" s="202"/>
      <c r="I90" s="202"/>
      <c r="J90" s="203"/>
      <c r="K90" s="201"/>
      <c r="L90" s="201"/>
      <c r="M90" s="201"/>
      <c r="N90" s="201"/>
      <c r="O90" s="201"/>
      <c r="P90" s="201"/>
      <c r="Q90" s="201"/>
      <c r="R90" s="201"/>
      <c r="S90" s="201"/>
    </row>
    <row r="91" spans="1:19" ht="15" customHeight="1" x14ac:dyDescent="0.25">
      <c r="A91" s="200"/>
      <c r="B91" s="201"/>
      <c r="C91" s="201"/>
      <c r="D91" s="201"/>
      <c r="E91" s="201"/>
      <c r="F91" s="201"/>
      <c r="G91" s="202"/>
      <c r="H91" s="202"/>
      <c r="I91" s="202"/>
      <c r="J91" s="203"/>
      <c r="K91" s="201"/>
      <c r="L91" s="201"/>
      <c r="M91" s="201"/>
      <c r="N91" s="201"/>
      <c r="O91" s="201"/>
      <c r="P91" s="201"/>
      <c r="Q91" s="201"/>
      <c r="R91" s="201"/>
      <c r="S91" s="201"/>
    </row>
    <row r="92" spans="1:19" ht="15" customHeight="1" x14ac:dyDescent="0.25">
      <c r="A92" s="200"/>
      <c r="B92" s="201"/>
      <c r="C92" s="201"/>
      <c r="D92" s="201"/>
      <c r="E92" s="201"/>
      <c r="F92" s="201"/>
      <c r="G92" s="202"/>
      <c r="H92" s="202"/>
      <c r="I92" s="202"/>
      <c r="J92" s="203"/>
      <c r="K92" s="201"/>
      <c r="L92" s="201"/>
      <c r="M92" s="201"/>
      <c r="N92" s="201"/>
      <c r="O92" s="201"/>
      <c r="P92" s="201"/>
      <c r="Q92" s="201"/>
      <c r="R92" s="201"/>
      <c r="S92" s="201"/>
    </row>
    <row r="93" spans="1:19" ht="15" customHeight="1" x14ac:dyDescent="0.25">
      <c r="A93" s="200"/>
      <c r="B93" s="201"/>
      <c r="C93" s="201"/>
      <c r="D93" s="201"/>
      <c r="E93" s="201"/>
      <c r="F93" s="201"/>
      <c r="G93" s="202"/>
      <c r="H93" s="202"/>
      <c r="I93" s="202"/>
      <c r="J93" s="203"/>
      <c r="K93" s="201"/>
      <c r="L93" s="201"/>
      <c r="M93" s="201"/>
      <c r="N93" s="201"/>
      <c r="O93" s="201"/>
      <c r="P93" s="201"/>
      <c r="Q93" s="201"/>
      <c r="R93" s="201"/>
      <c r="S93" s="201"/>
    </row>
    <row r="94" spans="1:19" ht="15" customHeight="1" x14ac:dyDescent="0.25">
      <c r="A94" s="200"/>
      <c r="B94" s="201"/>
      <c r="C94" s="201"/>
      <c r="D94" s="201"/>
      <c r="E94" s="201"/>
      <c r="F94" s="201"/>
      <c r="G94" s="202"/>
      <c r="H94" s="202"/>
      <c r="I94" s="202"/>
      <c r="J94" s="203"/>
      <c r="K94" s="201"/>
      <c r="L94" s="201"/>
      <c r="M94" s="201"/>
      <c r="N94" s="201"/>
      <c r="O94" s="201"/>
      <c r="P94" s="201"/>
      <c r="Q94" s="201"/>
      <c r="R94" s="201"/>
      <c r="S94" s="201"/>
    </row>
    <row r="95" spans="1:19" ht="15" customHeight="1" x14ac:dyDescent="0.25">
      <c r="A95" s="200"/>
      <c r="B95" s="201"/>
      <c r="C95" s="201"/>
      <c r="D95" s="201"/>
      <c r="E95" s="201"/>
      <c r="F95" s="201"/>
      <c r="G95" s="202"/>
      <c r="H95" s="202"/>
      <c r="I95" s="202"/>
      <c r="J95" s="203"/>
      <c r="K95" s="201"/>
      <c r="L95" s="201"/>
      <c r="M95" s="201"/>
      <c r="N95" s="201"/>
      <c r="O95" s="201"/>
      <c r="P95" s="201"/>
      <c r="Q95" s="201"/>
      <c r="R95" s="201"/>
      <c r="S95" s="201"/>
    </row>
    <row r="96" spans="1:19" ht="15" customHeight="1" x14ac:dyDescent="0.25">
      <c r="A96" s="200"/>
      <c r="B96" s="201"/>
      <c r="C96" s="201"/>
      <c r="D96" s="201"/>
      <c r="E96" s="201"/>
      <c r="F96" s="201"/>
      <c r="G96" s="202"/>
      <c r="H96" s="202"/>
      <c r="I96" s="202"/>
      <c r="J96" s="203"/>
      <c r="K96" s="201"/>
      <c r="L96" s="201"/>
      <c r="M96" s="201"/>
      <c r="N96" s="201"/>
      <c r="O96" s="201"/>
      <c r="P96" s="201"/>
      <c r="Q96" s="201"/>
      <c r="R96" s="201"/>
      <c r="S96" s="201"/>
    </row>
    <row r="97" spans="1:19" ht="15" customHeight="1" x14ac:dyDescent="0.25">
      <c r="A97" s="200"/>
      <c r="B97" s="201"/>
      <c r="C97" s="201"/>
      <c r="D97" s="201"/>
      <c r="E97" s="201"/>
      <c r="F97" s="201"/>
      <c r="G97" s="202"/>
      <c r="H97" s="202"/>
      <c r="I97" s="202"/>
      <c r="J97" s="203"/>
      <c r="K97" s="201"/>
      <c r="L97" s="201"/>
      <c r="M97" s="201"/>
      <c r="N97" s="201"/>
      <c r="O97" s="201"/>
      <c r="P97" s="201"/>
      <c r="Q97" s="201"/>
      <c r="R97" s="201"/>
      <c r="S97" s="201"/>
    </row>
    <row r="98" spans="1:19" ht="15" customHeight="1" x14ac:dyDescent="0.25">
      <c r="A98" s="200"/>
      <c r="B98" s="201"/>
      <c r="C98" s="201"/>
      <c r="D98" s="201"/>
      <c r="E98" s="201"/>
      <c r="F98" s="201"/>
      <c r="G98" s="202"/>
      <c r="H98" s="202"/>
      <c r="I98" s="202"/>
      <c r="J98" s="203"/>
      <c r="K98" s="201"/>
      <c r="L98" s="201"/>
      <c r="M98" s="201"/>
      <c r="N98" s="201"/>
      <c r="O98" s="201"/>
      <c r="P98" s="201"/>
      <c r="Q98" s="201"/>
      <c r="R98" s="201"/>
      <c r="S98" s="201"/>
    </row>
    <row r="99" spans="1:19" ht="15" customHeight="1" x14ac:dyDescent="0.25">
      <c r="A99" s="200"/>
      <c r="B99" s="201"/>
      <c r="C99" s="201"/>
      <c r="D99" s="201"/>
      <c r="E99" s="201"/>
      <c r="F99" s="201"/>
      <c r="G99" s="202"/>
      <c r="H99" s="202"/>
      <c r="I99" s="202"/>
      <c r="J99" s="203"/>
      <c r="K99" s="201"/>
      <c r="L99" s="201"/>
      <c r="M99" s="201"/>
      <c r="N99" s="201"/>
      <c r="O99" s="201"/>
      <c r="P99" s="201"/>
      <c r="Q99" s="201"/>
      <c r="R99" s="201"/>
      <c r="S99" s="201"/>
    </row>
    <row r="100" spans="1:19" ht="15" customHeight="1" x14ac:dyDescent="0.25">
      <c r="A100" s="200"/>
      <c r="B100" s="201"/>
      <c r="C100" s="201"/>
      <c r="D100" s="201"/>
      <c r="E100" s="201"/>
      <c r="F100" s="201"/>
      <c r="G100" s="202"/>
      <c r="H100" s="202"/>
      <c r="I100" s="202"/>
      <c r="J100" s="203"/>
      <c r="K100" s="201"/>
      <c r="L100" s="201"/>
      <c r="M100" s="201"/>
      <c r="N100" s="201"/>
      <c r="O100" s="201"/>
      <c r="P100" s="201"/>
      <c r="Q100" s="201"/>
      <c r="R100" s="201"/>
      <c r="S100" s="201"/>
    </row>
    <row r="101" spans="1:19" ht="15" customHeight="1" x14ac:dyDescent="0.25">
      <c r="A101" s="200"/>
      <c r="B101" s="201"/>
      <c r="C101" s="201"/>
      <c r="D101" s="201"/>
      <c r="E101" s="201"/>
      <c r="F101" s="201"/>
      <c r="G101" s="202"/>
      <c r="H101" s="202"/>
      <c r="I101" s="202"/>
      <c r="J101" s="203"/>
      <c r="K101" s="201"/>
      <c r="L101" s="201"/>
      <c r="M101" s="201"/>
      <c r="N101" s="201"/>
      <c r="O101" s="201"/>
      <c r="P101" s="201"/>
      <c r="Q101" s="201"/>
      <c r="R101" s="201"/>
      <c r="S101" s="201"/>
    </row>
    <row r="102" spans="1:19" ht="15" customHeight="1" x14ac:dyDescent="0.25">
      <c r="A102" s="200"/>
      <c r="B102" s="201"/>
      <c r="C102" s="201"/>
      <c r="D102" s="201"/>
      <c r="E102" s="201"/>
      <c r="F102" s="201"/>
      <c r="G102" s="202"/>
      <c r="H102" s="202"/>
      <c r="I102" s="202"/>
      <c r="J102" s="203"/>
      <c r="K102" s="201"/>
      <c r="L102" s="201"/>
      <c r="M102" s="201"/>
      <c r="N102" s="201"/>
      <c r="O102" s="201"/>
      <c r="P102" s="201"/>
      <c r="Q102" s="201"/>
      <c r="R102" s="201"/>
      <c r="S102" s="201"/>
    </row>
    <row r="103" spans="1:19" ht="15" customHeight="1" x14ac:dyDescent="0.25">
      <c r="A103" s="200"/>
      <c r="B103" s="201"/>
      <c r="C103" s="201"/>
      <c r="D103" s="201"/>
      <c r="E103" s="201"/>
      <c r="F103" s="201"/>
      <c r="G103" s="202"/>
      <c r="H103" s="202"/>
      <c r="I103" s="202"/>
      <c r="J103" s="203"/>
      <c r="K103" s="201"/>
      <c r="L103" s="201"/>
      <c r="M103" s="201"/>
      <c r="N103" s="201"/>
      <c r="O103" s="201"/>
      <c r="P103" s="201"/>
      <c r="Q103" s="201"/>
      <c r="R103" s="201"/>
      <c r="S103" s="201"/>
    </row>
    <row r="104" spans="1:19" ht="15" customHeight="1" x14ac:dyDescent="0.25">
      <c r="A104" s="200"/>
      <c r="B104" s="201"/>
      <c r="C104" s="201"/>
      <c r="D104" s="201"/>
      <c r="E104" s="201"/>
      <c r="F104" s="201"/>
      <c r="G104" s="202"/>
      <c r="H104" s="202"/>
      <c r="I104" s="202"/>
      <c r="J104" s="203"/>
      <c r="K104" s="201"/>
      <c r="L104" s="201"/>
      <c r="M104" s="201"/>
      <c r="N104" s="201"/>
      <c r="O104" s="201"/>
      <c r="P104" s="201"/>
      <c r="Q104" s="201"/>
      <c r="R104" s="201"/>
      <c r="S104" s="201"/>
    </row>
    <row r="105" spans="1:19" ht="15" customHeight="1" x14ac:dyDescent="0.25">
      <c r="A105" s="200"/>
      <c r="B105" s="201"/>
      <c r="C105" s="201"/>
      <c r="D105" s="201"/>
      <c r="E105" s="201"/>
      <c r="F105" s="201"/>
      <c r="G105" s="202"/>
      <c r="H105" s="202"/>
      <c r="I105" s="202"/>
      <c r="J105" s="203"/>
      <c r="K105" s="201"/>
      <c r="L105" s="201"/>
      <c r="M105" s="201"/>
      <c r="N105" s="201"/>
      <c r="O105" s="201"/>
      <c r="P105" s="201"/>
      <c r="Q105" s="201"/>
      <c r="R105" s="201"/>
      <c r="S105" s="201"/>
    </row>
    <row r="106" spans="1:19" ht="15" customHeight="1" x14ac:dyDescent="0.25">
      <c r="A106" s="200"/>
      <c r="B106" s="201"/>
      <c r="C106" s="201"/>
      <c r="D106" s="201"/>
      <c r="E106" s="201"/>
      <c r="F106" s="201"/>
      <c r="G106" s="202"/>
      <c r="H106" s="202"/>
      <c r="I106" s="202"/>
      <c r="J106" s="203"/>
      <c r="K106" s="201"/>
      <c r="L106" s="201"/>
      <c r="M106" s="201"/>
      <c r="N106" s="201"/>
      <c r="O106" s="201"/>
      <c r="P106" s="201"/>
      <c r="Q106" s="201"/>
      <c r="R106" s="201"/>
      <c r="S106" s="201"/>
    </row>
    <row r="107" spans="1:19" ht="15" customHeight="1" x14ac:dyDescent="0.25">
      <c r="A107" s="200"/>
      <c r="B107" s="201"/>
      <c r="C107" s="201"/>
      <c r="D107" s="201"/>
      <c r="E107" s="201"/>
      <c r="F107" s="201"/>
      <c r="G107" s="202"/>
      <c r="H107" s="202"/>
      <c r="I107" s="202"/>
      <c r="J107" s="203"/>
      <c r="K107" s="201"/>
      <c r="L107" s="201"/>
      <c r="M107" s="201"/>
      <c r="N107" s="201"/>
      <c r="O107" s="201"/>
      <c r="P107" s="201"/>
      <c r="Q107" s="201"/>
      <c r="R107" s="201"/>
      <c r="S107" s="201"/>
    </row>
    <row r="108" spans="1:19" ht="15" customHeight="1" x14ac:dyDescent="0.25">
      <c r="A108" s="200"/>
      <c r="B108" s="201"/>
      <c r="C108" s="201"/>
      <c r="D108" s="201"/>
      <c r="E108" s="201"/>
      <c r="F108" s="201"/>
      <c r="G108" s="202"/>
      <c r="H108" s="202"/>
      <c r="I108" s="202"/>
      <c r="J108" s="203"/>
      <c r="K108" s="201"/>
      <c r="L108" s="201"/>
      <c r="M108" s="201"/>
      <c r="N108" s="201"/>
      <c r="O108" s="201"/>
      <c r="P108" s="201"/>
      <c r="Q108" s="201"/>
      <c r="R108" s="201"/>
      <c r="S108" s="201"/>
    </row>
    <row r="109" spans="1:19" ht="15" customHeight="1" x14ac:dyDescent="0.25">
      <c r="A109" s="200"/>
      <c r="B109" s="201"/>
      <c r="C109" s="201"/>
      <c r="D109" s="201"/>
      <c r="E109" s="201"/>
      <c r="F109" s="201"/>
      <c r="G109" s="202"/>
      <c r="H109" s="202"/>
      <c r="I109" s="202"/>
      <c r="J109" s="203"/>
      <c r="K109" s="201"/>
      <c r="L109" s="201"/>
      <c r="M109" s="201"/>
      <c r="N109" s="201"/>
      <c r="O109" s="201"/>
      <c r="P109" s="201"/>
      <c r="Q109" s="201"/>
      <c r="R109" s="201"/>
      <c r="S109" s="201"/>
    </row>
    <row r="110" spans="1:19" ht="15" customHeight="1" x14ac:dyDescent="0.25">
      <c r="A110" s="200"/>
      <c r="B110" s="201"/>
      <c r="C110" s="201"/>
      <c r="D110" s="201"/>
      <c r="E110" s="201"/>
      <c r="F110" s="201"/>
      <c r="G110" s="202"/>
      <c r="H110" s="202"/>
      <c r="I110" s="202"/>
      <c r="J110" s="203"/>
      <c r="K110" s="201"/>
      <c r="L110" s="201"/>
      <c r="M110" s="201"/>
      <c r="N110" s="201"/>
      <c r="O110" s="201"/>
      <c r="P110" s="201"/>
      <c r="Q110" s="201"/>
      <c r="R110" s="201"/>
      <c r="S110" s="201"/>
    </row>
    <row r="111" spans="1:19" ht="15" customHeight="1" x14ac:dyDescent="0.25">
      <c r="A111" s="200"/>
      <c r="B111" s="201"/>
      <c r="C111" s="201"/>
      <c r="D111" s="201"/>
      <c r="E111" s="201"/>
      <c r="F111" s="201"/>
      <c r="G111" s="202"/>
      <c r="H111" s="202"/>
      <c r="I111" s="202"/>
      <c r="J111" s="203"/>
      <c r="K111" s="201"/>
      <c r="L111" s="201"/>
      <c r="M111" s="201"/>
      <c r="N111" s="201"/>
      <c r="O111" s="201"/>
      <c r="P111" s="201"/>
      <c r="Q111" s="201"/>
      <c r="R111" s="201"/>
      <c r="S111" s="201"/>
    </row>
    <row r="112" spans="1:19" ht="15" customHeight="1" x14ac:dyDescent="0.25">
      <c r="A112" s="200"/>
      <c r="B112" s="201"/>
      <c r="C112" s="201"/>
      <c r="D112" s="201"/>
      <c r="E112" s="201"/>
      <c r="F112" s="201"/>
      <c r="G112" s="202"/>
      <c r="H112" s="202"/>
      <c r="I112" s="202"/>
      <c r="J112" s="203"/>
      <c r="K112" s="201"/>
      <c r="L112" s="201"/>
      <c r="M112" s="201"/>
      <c r="N112" s="201"/>
      <c r="O112" s="201"/>
      <c r="P112" s="201"/>
      <c r="Q112" s="201"/>
      <c r="R112" s="201"/>
      <c r="S112" s="201"/>
    </row>
    <row r="113" spans="1:19" ht="15" customHeight="1" x14ac:dyDescent="0.25">
      <c r="A113" s="200"/>
      <c r="B113" s="201"/>
      <c r="C113" s="201"/>
      <c r="D113" s="201"/>
      <c r="E113" s="201"/>
      <c r="F113" s="201"/>
      <c r="G113" s="202"/>
      <c r="H113" s="202"/>
      <c r="I113" s="202"/>
      <c r="J113" s="203"/>
      <c r="K113" s="201"/>
      <c r="L113" s="201"/>
      <c r="M113" s="201"/>
      <c r="N113" s="201"/>
      <c r="O113" s="201"/>
      <c r="P113" s="201"/>
      <c r="Q113" s="201"/>
      <c r="R113" s="201"/>
      <c r="S113" s="201"/>
    </row>
    <row r="114" spans="1:19" ht="15" customHeight="1" x14ac:dyDescent="0.25">
      <c r="A114" s="200"/>
      <c r="B114" s="201"/>
      <c r="C114" s="201"/>
      <c r="D114" s="201"/>
      <c r="E114" s="201"/>
      <c r="F114" s="201"/>
      <c r="G114" s="202"/>
      <c r="H114" s="202"/>
      <c r="I114" s="202"/>
      <c r="J114" s="203"/>
      <c r="K114" s="201"/>
      <c r="L114" s="201"/>
      <c r="M114" s="201"/>
      <c r="N114" s="201"/>
      <c r="O114" s="201"/>
      <c r="P114" s="201"/>
      <c r="Q114" s="201"/>
      <c r="R114" s="201"/>
      <c r="S114" s="201"/>
    </row>
    <row r="115" spans="1:19" ht="15" customHeight="1" x14ac:dyDescent="0.25">
      <c r="A115" s="200"/>
      <c r="B115" s="201"/>
      <c r="C115" s="201"/>
      <c r="D115" s="201"/>
      <c r="E115" s="201"/>
      <c r="F115" s="201"/>
      <c r="G115" s="202"/>
      <c r="H115" s="202"/>
      <c r="I115" s="202"/>
      <c r="J115" s="203"/>
      <c r="K115" s="201"/>
      <c r="L115" s="201"/>
      <c r="M115" s="201"/>
      <c r="N115" s="201"/>
      <c r="O115" s="201"/>
      <c r="P115" s="201"/>
      <c r="Q115" s="201"/>
      <c r="R115" s="201"/>
      <c r="S115" s="201"/>
    </row>
    <row r="116" spans="1:19" ht="15" customHeight="1" x14ac:dyDescent="0.25">
      <c r="A116" s="200"/>
      <c r="B116" s="201"/>
      <c r="C116" s="201"/>
      <c r="D116" s="201"/>
      <c r="E116" s="201"/>
      <c r="F116" s="201"/>
      <c r="G116" s="202"/>
      <c r="H116" s="202"/>
      <c r="I116" s="202"/>
      <c r="J116" s="203"/>
      <c r="K116" s="201"/>
      <c r="L116" s="201"/>
      <c r="M116" s="201"/>
      <c r="N116" s="201"/>
      <c r="O116" s="201"/>
      <c r="P116" s="201"/>
      <c r="Q116" s="201"/>
      <c r="R116" s="201"/>
      <c r="S116" s="201"/>
    </row>
    <row r="117" spans="1:19" ht="15" customHeight="1" x14ac:dyDescent="0.25">
      <c r="A117" s="200"/>
      <c r="B117" s="201"/>
      <c r="C117" s="201"/>
      <c r="D117" s="201"/>
      <c r="E117" s="201"/>
      <c r="F117" s="201"/>
      <c r="G117" s="202"/>
      <c r="H117" s="202"/>
      <c r="I117" s="202"/>
      <c r="J117" s="203"/>
      <c r="K117" s="201"/>
      <c r="L117" s="201"/>
      <c r="M117" s="201"/>
      <c r="N117" s="201"/>
      <c r="O117" s="201"/>
      <c r="P117" s="201"/>
      <c r="Q117" s="201"/>
      <c r="R117" s="201"/>
      <c r="S117" s="201"/>
    </row>
    <row r="118" spans="1:19" ht="15" customHeight="1" x14ac:dyDescent="0.25">
      <c r="A118" s="200"/>
      <c r="B118" s="201"/>
      <c r="C118" s="201"/>
      <c r="D118" s="201"/>
      <c r="E118" s="201"/>
      <c r="F118" s="201"/>
      <c r="G118" s="202"/>
      <c r="H118" s="202"/>
      <c r="I118" s="202"/>
      <c r="J118" s="203"/>
      <c r="K118" s="201"/>
      <c r="L118" s="201"/>
      <c r="M118" s="201"/>
      <c r="N118" s="201"/>
      <c r="O118" s="201"/>
      <c r="P118" s="201"/>
      <c r="Q118" s="201"/>
      <c r="R118" s="201"/>
      <c r="S118" s="201"/>
    </row>
    <row r="119" spans="1:19" ht="15" customHeight="1" x14ac:dyDescent="0.25">
      <c r="A119" s="200"/>
      <c r="B119" s="201"/>
      <c r="C119" s="201"/>
      <c r="D119" s="201"/>
      <c r="E119" s="201"/>
      <c r="F119" s="201"/>
      <c r="G119" s="202"/>
      <c r="H119" s="202"/>
      <c r="I119" s="202"/>
      <c r="J119" s="203"/>
      <c r="K119" s="201"/>
      <c r="L119" s="201"/>
      <c r="M119" s="201"/>
      <c r="N119" s="201"/>
      <c r="O119" s="201"/>
      <c r="P119" s="201"/>
      <c r="Q119" s="201"/>
      <c r="R119" s="201"/>
      <c r="S119" s="201"/>
    </row>
    <row r="120" spans="1:19" ht="15" customHeight="1" x14ac:dyDescent="0.25">
      <c r="A120" s="200"/>
      <c r="B120" s="201"/>
      <c r="C120" s="201"/>
      <c r="D120" s="201"/>
      <c r="E120" s="201"/>
      <c r="F120" s="201"/>
      <c r="G120" s="202"/>
      <c r="H120" s="202"/>
      <c r="I120" s="202"/>
      <c r="J120" s="203"/>
      <c r="K120" s="201"/>
      <c r="L120" s="201"/>
      <c r="M120" s="201"/>
      <c r="N120" s="201"/>
      <c r="O120" s="201"/>
      <c r="P120" s="201"/>
      <c r="Q120" s="201"/>
      <c r="R120" s="201"/>
      <c r="S120" s="201"/>
    </row>
    <row r="121" spans="1:19" ht="15" customHeight="1" x14ac:dyDescent="0.25">
      <c r="A121" s="200"/>
      <c r="B121" s="201"/>
      <c r="C121" s="201"/>
      <c r="D121" s="201"/>
      <c r="E121" s="201"/>
      <c r="F121" s="201"/>
      <c r="G121" s="202"/>
      <c r="H121" s="202"/>
      <c r="I121" s="202"/>
      <c r="J121" s="203"/>
      <c r="K121" s="201"/>
      <c r="L121" s="201"/>
      <c r="M121" s="201"/>
      <c r="N121" s="201"/>
      <c r="O121" s="201"/>
      <c r="P121" s="201"/>
      <c r="Q121" s="201"/>
      <c r="R121" s="201"/>
      <c r="S121" s="201"/>
    </row>
    <row r="122" spans="1:19" ht="15" customHeight="1" x14ac:dyDescent="0.25">
      <c r="A122" s="200"/>
      <c r="B122" s="201"/>
      <c r="C122" s="201"/>
      <c r="D122" s="201"/>
      <c r="E122" s="201"/>
      <c r="F122" s="201"/>
      <c r="G122" s="202"/>
      <c r="H122" s="202"/>
      <c r="I122" s="202"/>
      <c r="J122" s="203"/>
      <c r="K122" s="201"/>
      <c r="L122" s="201"/>
      <c r="M122" s="201"/>
      <c r="N122" s="201"/>
      <c r="O122" s="201"/>
      <c r="P122" s="201"/>
      <c r="Q122" s="201"/>
      <c r="R122" s="201"/>
      <c r="S122" s="201"/>
    </row>
    <row r="123" spans="1:19" ht="15" customHeight="1" x14ac:dyDescent="0.25">
      <c r="A123" s="200"/>
      <c r="B123" s="201"/>
      <c r="C123" s="201"/>
      <c r="D123" s="201"/>
      <c r="E123" s="201"/>
      <c r="F123" s="201"/>
      <c r="G123" s="202"/>
      <c r="H123" s="202"/>
      <c r="I123" s="202"/>
      <c r="J123" s="203"/>
      <c r="K123" s="201"/>
      <c r="L123" s="201"/>
      <c r="M123" s="201"/>
      <c r="N123" s="201"/>
      <c r="O123" s="201"/>
      <c r="P123" s="201"/>
      <c r="Q123" s="201"/>
      <c r="R123" s="201"/>
      <c r="S123" s="201"/>
    </row>
    <row r="124" spans="1:19" ht="15" customHeight="1" x14ac:dyDescent="0.25">
      <c r="A124" s="200"/>
      <c r="B124" s="201"/>
      <c r="C124" s="201"/>
      <c r="D124" s="201"/>
      <c r="E124" s="201"/>
      <c r="F124" s="201"/>
      <c r="G124" s="202"/>
      <c r="H124" s="202"/>
      <c r="I124" s="202"/>
      <c r="J124" s="203"/>
      <c r="K124" s="201"/>
      <c r="L124" s="201"/>
      <c r="M124" s="201"/>
      <c r="N124" s="201"/>
      <c r="O124" s="201"/>
      <c r="P124" s="201"/>
      <c r="Q124" s="201"/>
      <c r="R124" s="201"/>
      <c r="S124" s="201"/>
    </row>
    <row r="125" spans="1:19" ht="15" customHeight="1" x14ac:dyDescent="0.25">
      <c r="A125" s="200"/>
      <c r="B125" s="201"/>
      <c r="C125" s="201"/>
      <c r="D125" s="201"/>
      <c r="E125" s="201"/>
      <c r="F125" s="201"/>
      <c r="G125" s="202"/>
      <c r="H125" s="202"/>
      <c r="I125" s="202"/>
      <c r="J125" s="203"/>
      <c r="K125" s="201"/>
      <c r="L125" s="201"/>
      <c r="M125" s="201"/>
      <c r="N125" s="201"/>
      <c r="O125" s="201"/>
      <c r="P125" s="201"/>
      <c r="Q125" s="201"/>
      <c r="R125" s="201"/>
      <c r="S125" s="201"/>
    </row>
    <row r="126" spans="1:19" ht="15" customHeight="1" x14ac:dyDescent="0.25">
      <c r="A126" s="200"/>
      <c r="B126" s="201"/>
      <c r="C126" s="201"/>
      <c r="D126" s="201"/>
      <c r="E126" s="201"/>
      <c r="F126" s="201"/>
      <c r="G126" s="202"/>
      <c r="H126" s="202"/>
      <c r="I126" s="202"/>
      <c r="J126" s="203"/>
      <c r="K126" s="201"/>
      <c r="L126" s="201"/>
      <c r="M126" s="201"/>
      <c r="N126" s="201"/>
      <c r="O126" s="201"/>
      <c r="P126" s="201"/>
      <c r="Q126" s="201"/>
      <c r="R126" s="201"/>
      <c r="S126" s="201"/>
    </row>
    <row r="127" spans="1:19" ht="15" customHeight="1" x14ac:dyDescent="0.25">
      <c r="A127" s="200"/>
      <c r="B127" s="201"/>
      <c r="C127" s="201"/>
      <c r="D127" s="201"/>
      <c r="E127" s="201"/>
      <c r="F127" s="201"/>
      <c r="G127" s="202"/>
      <c r="H127" s="202"/>
      <c r="I127" s="202"/>
      <c r="J127" s="203"/>
      <c r="K127" s="201"/>
      <c r="L127" s="201"/>
      <c r="M127" s="201"/>
      <c r="N127" s="201"/>
      <c r="O127" s="201"/>
      <c r="P127" s="201"/>
      <c r="Q127" s="201"/>
      <c r="R127" s="201"/>
      <c r="S127" s="201"/>
    </row>
    <row r="128" spans="1:19" ht="15" customHeight="1" x14ac:dyDescent="0.25">
      <c r="A128" s="200"/>
      <c r="B128" s="201"/>
      <c r="C128" s="201"/>
      <c r="D128" s="201"/>
      <c r="E128" s="201"/>
      <c r="F128" s="201"/>
      <c r="G128" s="202"/>
      <c r="H128" s="202"/>
      <c r="I128" s="202"/>
      <c r="J128" s="203"/>
      <c r="K128" s="201"/>
      <c r="L128" s="201"/>
      <c r="M128" s="201"/>
      <c r="N128" s="201"/>
      <c r="O128" s="201"/>
      <c r="P128" s="201"/>
      <c r="Q128" s="201"/>
      <c r="R128" s="201"/>
      <c r="S128" s="201"/>
    </row>
    <row r="129" spans="1:19" ht="15" customHeight="1" x14ac:dyDescent="0.25">
      <c r="A129" s="200"/>
      <c r="B129" s="201"/>
      <c r="C129" s="201"/>
      <c r="D129" s="201"/>
      <c r="E129" s="201"/>
      <c r="F129" s="201"/>
      <c r="G129" s="202"/>
      <c r="H129" s="202"/>
      <c r="I129" s="202"/>
      <c r="J129" s="203"/>
      <c r="K129" s="201"/>
      <c r="L129" s="201"/>
      <c r="M129" s="201"/>
      <c r="N129" s="201"/>
      <c r="O129" s="201"/>
      <c r="P129" s="201"/>
      <c r="Q129" s="201"/>
      <c r="R129" s="201"/>
      <c r="S129" s="201"/>
    </row>
    <row r="130" spans="1:19" ht="15" customHeight="1" x14ac:dyDescent="0.25">
      <c r="A130" s="200"/>
      <c r="B130" s="201"/>
      <c r="C130" s="201"/>
      <c r="D130" s="201"/>
      <c r="E130" s="201"/>
      <c r="F130" s="201"/>
      <c r="G130" s="202"/>
      <c r="H130" s="202"/>
      <c r="I130" s="202"/>
      <c r="J130" s="203"/>
      <c r="K130" s="201"/>
      <c r="L130" s="201"/>
      <c r="M130" s="201"/>
      <c r="N130" s="201"/>
      <c r="O130" s="201"/>
      <c r="P130" s="201"/>
      <c r="Q130" s="201"/>
      <c r="R130" s="201"/>
      <c r="S130" s="201"/>
    </row>
    <row r="131" spans="1:19" ht="15" customHeight="1" x14ac:dyDescent="0.25">
      <c r="A131" s="200"/>
      <c r="B131" s="201"/>
      <c r="C131" s="201"/>
      <c r="D131" s="201"/>
      <c r="E131" s="201"/>
      <c r="F131" s="201"/>
      <c r="G131" s="202"/>
      <c r="H131" s="202"/>
      <c r="I131" s="202"/>
      <c r="J131" s="203"/>
      <c r="K131" s="201"/>
      <c r="L131" s="201"/>
      <c r="M131" s="201"/>
      <c r="N131" s="201"/>
      <c r="O131" s="201"/>
      <c r="P131" s="201"/>
      <c r="Q131" s="201"/>
      <c r="R131" s="201"/>
      <c r="S131" s="201"/>
    </row>
    <row r="132" spans="1:19" ht="15" customHeight="1" x14ac:dyDescent="0.25">
      <c r="A132" s="200"/>
      <c r="B132" s="201"/>
      <c r="C132" s="201"/>
      <c r="D132" s="201"/>
      <c r="E132" s="201"/>
      <c r="F132" s="201"/>
      <c r="G132" s="202"/>
      <c r="H132" s="202"/>
      <c r="I132" s="202"/>
      <c r="J132" s="203"/>
      <c r="K132" s="201"/>
      <c r="L132" s="201"/>
      <c r="M132" s="201"/>
      <c r="N132" s="201"/>
      <c r="O132" s="201"/>
      <c r="P132" s="201"/>
      <c r="Q132" s="201"/>
      <c r="R132" s="201"/>
      <c r="S132" s="201"/>
    </row>
    <row r="133" spans="1:19" ht="15" customHeight="1" x14ac:dyDescent="0.25">
      <c r="A133" s="200"/>
      <c r="B133" s="201"/>
      <c r="C133" s="201"/>
      <c r="D133" s="201"/>
      <c r="E133" s="201"/>
      <c r="F133" s="201"/>
      <c r="G133" s="202"/>
      <c r="H133" s="202"/>
      <c r="I133" s="202"/>
      <c r="J133" s="203"/>
      <c r="K133" s="201"/>
      <c r="L133" s="201"/>
      <c r="M133" s="201"/>
      <c r="N133" s="201"/>
      <c r="O133" s="201"/>
      <c r="P133" s="201"/>
      <c r="Q133" s="201"/>
      <c r="R133" s="201"/>
      <c r="S133" s="201"/>
    </row>
    <row r="134" spans="1:19" ht="15" customHeight="1" x14ac:dyDescent="0.25">
      <c r="A134" s="200"/>
      <c r="B134" s="201"/>
      <c r="C134" s="201"/>
      <c r="D134" s="201"/>
      <c r="E134" s="201"/>
      <c r="F134" s="201"/>
      <c r="G134" s="202"/>
      <c r="H134" s="202"/>
      <c r="I134" s="202"/>
      <c r="J134" s="203"/>
      <c r="K134" s="201"/>
      <c r="L134" s="201"/>
      <c r="M134" s="201"/>
      <c r="N134" s="201"/>
      <c r="O134" s="201"/>
      <c r="P134" s="201"/>
      <c r="Q134" s="201"/>
      <c r="R134" s="201"/>
      <c r="S134" s="201"/>
    </row>
    <row r="135" spans="1:19" ht="15" customHeight="1" x14ac:dyDescent="0.25">
      <c r="A135" s="200"/>
      <c r="B135" s="201"/>
      <c r="C135" s="201"/>
      <c r="D135" s="201"/>
      <c r="E135" s="201"/>
      <c r="F135" s="201"/>
      <c r="G135" s="202"/>
      <c r="H135" s="202"/>
      <c r="I135" s="202"/>
      <c r="J135" s="203"/>
      <c r="K135" s="201"/>
      <c r="L135" s="201"/>
      <c r="M135" s="201"/>
      <c r="N135" s="201"/>
      <c r="O135" s="201"/>
      <c r="P135" s="201"/>
      <c r="Q135" s="201"/>
      <c r="R135" s="201"/>
      <c r="S135" s="201"/>
    </row>
    <row r="136" spans="1:19" ht="15" customHeight="1" x14ac:dyDescent="0.25">
      <c r="A136" s="200"/>
      <c r="B136" s="201"/>
      <c r="C136" s="201"/>
      <c r="D136" s="201"/>
      <c r="E136" s="201"/>
      <c r="F136" s="201"/>
      <c r="G136" s="202"/>
      <c r="H136" s="202"/>
      <c r="I136" s="202"/>
      <c r="J136" s="203"/>
      <c r="K136" s="201"/>
      <c r="L136" s="201"/>
      <c r="M136" s="201"/>
      <c r="N136" s="201"/>
      <c r="O136" s="201"/>
      <c r="P136" s="201"/>
      <c r="Q136" s="201"/>
      <c r="R136" s="201"/>
      <c r="S136" s="201"/>
    </row>
    <row r="137" spans="1:19" ht="15" customHeight="1" x14ac:dyDescent="0.25">
      <c r="A137" s="200"/>
      <c r="B137" s="201"/>
      <c r="C137" s="201"/>
      <c r="D137" s="201"/>
      <c r="E137" s="201"/>
      <c r="F137" s="201"/>
      <c r="G137" s="202"/>
      <c r="H137" s="202"/>
      <c r="I137" s="202"/>
      <c r="J137" s="203"/>
      <c r="K137" s="201"/>
      <c r="L137" s="201"/>
      <c r="M137" s="201"/>
      <c r="N137" s="201"/>
      <c r="O137" s="201"/>
      <c r="P137" s="201"/>
      <c r="Q137" s="201"/>
      <c r="R137" s="201"/>
      <c r="S137" s="201"/>
    </row>
    <row r="138" spans="1:19" ht="15" customHeight="1" x14ac:dyDescent="0.25">
      <c r="A138" s="200"/>
      <c r="B138" s="201"/>
      <c r="C138" s="201"/>
      <c r="D138" s="201"/>
      <c r="E138" s="201"/>
      <c r="F138" s="201"/>
      <c r="G138" s="202"/>
      <c r="H138" s="202"/>
      <c r="I138" s="202"/>
      <c r="J138" s="203"/>
      <c r="K138" s="201"/>
      <c r="L138" s="201"/>
      <c r="M138" s="201"/>
      <c r="N138" s="201"/>
      <c r="O138" s="201"/>
      <c r="P138" s="201"/>
      <c r="Q138" s="201"/>
      <c r="R138" s="201"/>
      <c r="S138" s="201"/>
    </row>
    <row r="139" spans="1:19" ht="15" customHeight="1" x14ac:dyDescent="0.25">
      <c r="A139" s="200"/>
      <c r="B139" s="201"/>
      <c r="C139" s="201"/>
      <c r="D139" s="201"/>
      <c r="E139" s="201"/>
      <c r="F139" s="201"/>
      <c r="G139" s="202"/>
      <c r="H139" s="202"/>
      <c r="I139" s="202"/>
      <c r="J139" s="203"/>
      <c r="K139" s="201"/>
      <c r="L139" s="201"/>
      <c r="M139" s="201"/>
      <c r="N139" s="201"/>
      <c r="O139" s="201"/>
      <c r="P139" s="201"/>
      <c r="Q139" s="201"/>
      <c r="R139" s="201"/>
      <c r="S139" s="201"/>
    </row>
    <row r="140" spans="1:19" ht="15" customHeight="1" x14ac:dyDescent="0.25">
      <c r="A140" s="200"/>
      <c r="B140" s="201"/>
      <c r="C140" s="201"/>
      <c r="D140" s="201"/>
      <c r="E140" s="201"/>
      <c r="F140" s="201"/>
      <c r="G140" s="202"/>
      <c r="H140" s="202"/>
      <c r="I140" s="202"/>
      <c r="J140" s="203"/>
      <c r="K140" s="201"/>
      <c r="L140" s="201"/>
      <c r="M140" s="201"/>
      <c r="N140" s="201"/>
      <c r="O140" s="201"/>
      <c r="P140" s="201"/>
      <c r="Q140" s="201"/>
      <c r="R140" s="201"/>
      <c r="S140" s="201"/>
    </row>
    <row r="141" spans="1:19" ht="15" customHeight="1" x14ac:dyDescent="0.25">
      <c r="A141" s="200"/>
      <c r="B141" s="201"/>
      <c r="C141" s="201"/>
      <c r="D141" s="201"/>
      <c r="E141" s="201"/>
      <c r="F141" s="201"/>
      <c r="G141" s="202"/>
      <c r="H141" s="202"/>
      <c r="I141" s="202"/>
      <c r="J141" s="203"/>
      <c r="K141" s="201"/>
      <c r="L141" s="201"/>
      <c r="M141" s="201"/>
      <c r="N141" s="201"/>
      <c r="O141" s="201"/>
      <c r="P141" s="201"/>
      <c r="Q141" s="201"/>
      <c r="R141" s="201"/>
      <c r="S141" s="201"/>
    </row>
    <row r="142" spans="1:19" ht="15" customHeight="1" x14ac:dyDescent="0.25">
      <c r="A142" s="200"/>
      <c r="B142" s="201"/>
      <c r="C142" s="201"/>
      <c r="D142" s="201"/>
      <c r="E142" s="201"/>
      <c r="F142" s="201"/>
      <c r="G142" s="202"/>
      <c r="H142" s="202"/>
      <c r="I142" s="202"/>
      <c r="J142" s="203"/>
      <c r="K142" s="201"/>
      <c r="L142" s="201"/>
      <c r="M142" s="201"/>
      <c r="N142" s="201"/>
      <c r="O142" s="201"/>
      <c r="P142" s="201"/>
      <c r="Q142" s="201"/>
      <c r="R142" s="201"/>
      <c r="S142" s="201"/>
    </row>
    <row r="143" spans="1:19" ht="15" customHeight="1" x14ac:dyDescent="0.25">
      <c r="A143" s="200"/>
      <c r="B143" s="201"/>
      <c r="C143" s="201"/>
      <c r="D143" s="201"/>
      <c r="E143" s="201"/>
      <c r="F143" s="201"/>
      <c r="G143" s="202"/>
      <c r="H143" s="202"/>
      <c r="I143" s="202"/>
      <c r="J143" s="203"/>
      <c r="K143" s="201"/>
      <c r="L143" s="201"/>
      <c r="M143" s="201"/>
      <c r="N143" s="201"/>
      <c r="O143" s="201"/>
      <c r="P143" s="201"/>
      <c r="Q143" s="201"/>
      <c r="R143" s="201"/>
      <c r="S143" s="201"/>
    </row>
    <row r="144" spans="1:19" ht="15" customHeight="1" x14ac:dyDescent="0.25">
      <c r="A144" s="200"/>
      <c r="B144" s="201"/>
      <c r="C144" s="201"/>
      <c r="D144" s="201"/>
      <c r="E144" s="201"/>
      <c r="F144" s="201"/>
      <c r="G144" s="202"/>
      <c r="H144" s="202"/>
      <c r="I144" s="202"/>
      <c r="J144" s="203"/>
      <c r="K144" s="201"/>
      <c r="L144" s="201"/>
      <c r="M144" s="201"/>
      <c r="N144" s="201"/>
      <c r="O144" s="201"/>
      <c r="P144" s="201"/>
      <c r="Q144" s="201"/>
      <c r="R144" s="201"/>
      <c r="S144" s="201"/>
    </row>
    <row r="145" spans="1:19" ht="15" customHeight="1" x14ac:dyDescent="0.25">
      <c r="A145" s="200"/>
      <c r="B145" s="201"/>
      <c r="C145" s="201"/>
      <c r="D145" s="201"/>
      <c r="E145" s="201"/>
      <c r="F145" s="201"/>
      <c r="G145" s="202"/>
      <c r="H145" s="202"/>
      <c r="I145" s="202"/>
      <c r="J145" s="203"/>
      <c r="K145" s="201"/>
      <c r="L145" s="201"/>
      <c r="M145" s="201"/>
      <c r="N145" s="201"/>
      <c r="O145" s="201"/>
      <c r="P145" s="201"/>
      <c r="Q145" s="201"/>
      <c r="R145" s="201"/>
      <c r="S145" s="201"/>
    </row>
    <row r="146" spans="1:19" ht="15" customHeight="1" x14ac:dyDescent="0.25">
      <c r="A146" s="200"/>
      <c r="B146" s="201"/>
      <c r="C146" s="201"/>
      <c r="D146" s="201"/>
      <c r="E146" s="201"/>
      <c r="F146" s="201"/>
      <c r="G146" s="202"/>
      <c r="H146" s="202"/>
      <c r="I146" s="202"/>
      <c r="J146" s="203"/>
      <c r="K146" s="201"/>
      <c r="L146" s="201"/>
      <c r="M146" s="201"/>
      <c r="N146" s="201"/>
      <c r="O146" s="201"/>
      <c r="P146" s="201"/>
      <c r="Q146" s="201"/>
      <c r="R146" s="201"/>
      <c r="S146" s="201"/>
    </row>
    <row r="147" spans="1:19" ht="15" customHeight="1" x14ac:dyDescent="0.25">
      <c r="A147" s="200"/>
      <c r="B147" s="201"/>
      <c r="C147" s="201"/>
      <c r="D147" s="201"/>
      <c r="E147" s="201"/>
      <c r="F147" s="201"/>
      <c r="G147" s="202"/>
      <c r="H147" s="202"/>
      <c r="I147" s="202"/>
      <c r="J147" s="203"/>
      <c r="K147" s="201"/>
      <c r="L147" s="201"/>
      <c r="M147" s="201"/>
      <c r="N147" s="201"/>
      <c r="O147" s="201"/>
      <c r="P147" s="201"/>
      <c r="Q147" s="201"/>
      <c r="R147" s="201"/>
      <c r="S147" s="201"/>
    </row>
    <row r="148" spans="1:19" ht="15" customHeight="1" x14ac:dyDescent="0.25">
      <c r="A148" s="200"/>
      <c r="B148" s="201"/>
      <c r="C148" s="201"/>
      <c r="D148" s="201"/>
      <c r="E148" s="201"/>
      <c r="F148" s="201"/>
      <c r="G148" s="202"/>
      <c r="H148" s="202"/>
      <c r="I148" s="202"/>
      <c r="J148" s="203"/>
      <c r="K148" s="201"/>
      <c r="L148" s="201"/>
      <c r="M148" s="201"/>
      <c r="N148" s="201"/>
      <c r="O148" s="201"/>
      <c r="P148" s="201"/>
      <c r="Q148" s="201"/>
      <c r="R148" s="201"/>
      <c r="S148" s="201"/>
    </row>
    <row r="149" spans="1:19" ht="15" customHeight="1" x14ac:dyDescent="0.25">
      <c r="A149" s="200"/>
      <c r="B149" s="201"/>
      <c r="C149" s="201"/>
      <c r="D149" s="201"/>
      <c r="E149" s="201"/>
      <c r="F149" s="201"/>
      <c r="G149" s="202"/>
      <c r="H149" s="202"/>
      <c r="I149" s="202"/>
      <c r="J149" s="203"/>
      <c r="K149" s="201"/>
      <c r="L149" s="201"/>
      <c r="M149" s="201"/>
      <c r="N149" s="201"/>
      <c r="O149" s="201"/>
      <c r="P149" s="201"/>
      <c r="Q149" s="201"/>
      <c r="R149" s="201"/>
      <c r="S149" s="201"/>
    </row>
    <row r="150" spans="1:19" ht="15" customHeight="1" x14ac:dyDescent="0.25">
      <c r="A150" s="200"/>
      <c r="B150" s="201"/>
      <c r="C150" s="201"/>
      <c r="D150" s="201"/>
      <c r="E150" s="201"/>
      <c r="F150" s="201"/>
      <c r="G150" s="202"/>
      <c r="H150" s="202"/>
      <c r="I150" s="202"/>
      <c r="J150" s="203"/>
      <c r="K150" s="201"/>
      <c r="L150" s="201"/>
      <c r="M150" s="201"/>
      <c r="N150" s="201"/>
      <c r="O150" s="201"/>
      <c r="P150" s="201"/>
      <c r="Q150" s="201"/>
      <c r="R150" s="201"/>
      <c r="S150" s="201"/>
    </row>
    <row r="151" spans="1:19" ht="15" customHeight="1" x14ac:dyDescent="0.25">
      <c r="A151" s="200"/>
      <c r="B151" s="201"/>
      <c r="C151" s="201"/>
      <c r="D151" s="201"/>
      <c r="E151" s="201"/>
      <c r="F151" s="201"/>
      <c r="G151" s="202"/>
      <c r="H151" s="202"/>
      <c r="I151" s="202"/>
      <c r="J151" s="203"/>
      <c r="K151" s="201"/>
      <c r="L151" s="201"/>
      <c r="M151" s="201"/>
      <c r="N151" s="201"/>
      <c r="O151" s="201"/>
      <c r="P151" s="201"/>
      <c r="Q151" s="201"/>
      <c r="R151" s="201"/>
      <c r="S151" s="201"/>
    </row>
    <row r="152" spans="1:19" ht="15" customHeight="1" x14ac:dyDescent="0.25">
      <c r="A152" s="200"/>
      <c r="B152" s="201"/>
      <c r="C152" s="201"/>
      <c r="D152" s="201"/>
      <c r="E152" s="201"/>
      <c r="F152" s="201"/>
      <c r="G152" s="202"/>
      <c r="H152" s="202"/>
      <c r="I152" s="202"/>
      <c r="J152" s="203"/>
      <c r="K152" s="201"/>
      <c r="L152" s="201"/>
      <c r="M152" s="201"/>
      <c r="N152" s="201"/>
      <c r="O152" s="201"/>
      <c r="P152" s="201"/>
      <c r="Q152" s="201"/>
      <c r="R152" s="201"/>
      <c r="S152" s="201"/>
    </row>
    <row r="153" spans="1:19" ht="15" customHeight="1" x14ac:dyDescent="0.25">
      <c r="A153" s="200"/>
      <c r="B153" s="201"/>
      <c r="C153" s="201"/>
      <c r="D153" s="201"/>
      <c r="E153" s="201"/>
      <c r="F153" s="201"/>
      <c r="G153" s="202"/>
      <c r="H153" s="202"/>
      <c r="I153" s="202"/>
      <c r="J153" s="203"/>
      <c r="K153" s="201"/>
      <c r="L153" s="201"/>
      <c r="M153" s="201"/>
      <c r="N153" s="201"/>
      <c r="O153" s="201"/>
      <c r="P153" s="201"/>
      <c r="Q153" s="201"/>
      <c r="R153" s="201"/>
      <c r="S153" s="201"/>
    </row>
    <row r="154" spans="1:19" ht="15" customHeight="1" x14ac:dyDescent="0.25">
      <c r="A154" s="200"/>
      <c r="B154" s="201"/>
      <c r="C154" s="201"/>
      <c r="D154" s="201"/>
      <c r="E154" s="201"/>
      <c r="F154" s="201"/>
      <c r="G154" s="202"/>
      <c r="H154" s="202"/>
      <c r="I154" s="202"/>
      <c r="J154" s="203"/>
      <c r="K154" s="201"/>
      <c r="L154" s="201"/>
      <c r="M154" s="201"/>
      <c r="N154" s="201"/>
      <c r="O154" s="201"/>
      <c r="P154" s="201"/>
      <c r="Q154" s="201"/>
      <c r="R154" s="201"/>
      <c r="S154" s="201"/>
    </row>
    <row r="155" spans="1:19" ht="15" customHeight="1" x14ac:dyDescent="0.25">
      <c r="A155" s="200"/>
      <c r="B155" s="201"/>
      <c r="C155" s="201"/>
      <c r="D155" s="201"/>
      <c r="E155" s="201"/>
      <c r="F155" s="201"/>
      <c r="G155" s="202"/>
      <c r="H155" s="202"/>
      <c r="I155" s="202"/>
      <c r="J155" s="203"/>
      <c r="K155" s="201"/>
      <c r="L155" s="201"/>
      <c r="M155" s="201"/>
      <c r="N155" s="201"/>
      <c r="O155" s="201"/>
      <c r="P155" s="201"/>
      <c r="Q155" s="201"/>
      <c r="R155" s="201"/>
      <c r="S155" s="201"/>
    </row>
    <row r="156" spans="1:19" ht="15" customHeight="1" x14ac:dyDescent="0.25">
      <c r="A156" s="200"/>
      <c r="B156" s="201"/>
      <c r="C156" s="201"/>
      <c r="D156" s="201"/>
      <c r="E156" s="201"/>
      <c r="F156" s="201"/>
      <c r="G156" s="202"/>
      <c r="H156" s="202"/>
      <c r="I156" s="202"/>
      <c r="J156" s="203"/>
      <c r="K156" s="201"/>
      <c r="L156" s="201"/>
      <c r="M156" s="201"/>
      <c r="N156" s="201"/>
      <c r="O156" s="201"/>
      <c r="P156" s="201"/>
      <c r="Q156" s="201"/>
      <c r="R156" s="201"/>
      <c r="S156" s="201"/>
    </row>
    <row r="157" spans="1:19" ht="15" customHeight="1" x14ac:dyDescent="0.25">
      <c r="A157" s="200"/>
      <c r="B157" s="201"/>
      <c r="C157" s="201"/>
      <c r="D157" s="201"/>
      <c r="E157" s="201"/>
      <c r="F157" s="201"/>
      <c r="G157" s="202"/>
      <c r="H157" s="202"/>
      <c r="I157" s="202"/>
      <c r="J157" s="203"/>
      <c r="K157" s="201"/>
      <c r="L157" s="201"/>
      <c r="M157" s="201"/>
      <c r="N157" s="201"/>
      <c r="O157" s="201"/>
      <c r="P157" s="201"/>
      <c r="Q157" s="201"/>
      <c r="R157" s="201"/>
      <c r="S157" s="201"/>
    </row>
    <row r="158" spans="1:19" ht="15" customHeight="1" x14ac:dyDescent="0.25">
      <c r="A158" s="200"/>
      <c r="B158" s="201"/>
      <c r="C158" s="201"/>
      <c r="D158" s="201"/>
      <c r="E158" s="201"/>
      <c r="F158" s="201"/>
      <c r="G158" s="202"/>
      <c r="H158" s="202"/>
      <c r="I158" s="202"/>
      <c r="J158" s="203"/>
      <c r="K158" s="201"/>
      <c r="L158" s="201"/>
      <c r="M158" s="201"/>
      <c r="N158" s="201"/>
      <c r="O158" s="201"/>
      <c r="P158" s="201"/>
      <c r="Q158" s="201"/>
      <c r="R158" s="201"/>
      <c r="S158" s="201"/>
    </row>
    <row r="159" spans="1:19" ht="15" customHeight="1" x14ac:dyDescent="0.25">
      <c r="A159" s="200"/>
      <c r="B159" s="201"/>
      <c r="C159" s="201"/>
      <c r="D159" s="201"/>
      <c r="E159" s="201"/>
      <c r="F159" s="201"/>
      <c r="G159" s="202"/>
      <c r="H159" s="202"/>
      <c r="I159" s="202"/>
      <c r="J159" s="203"/>
      <c r="K159" s="201"/>
      <c r="L159" s="201"/>
      <c r="M159" s="201"/>
      <c r="N159" s="201"/>
      <c r="O159" s="201"/>
      <c r="P159" s="201"/>
      <c r="Q159" s="201"/>
      <c r="R159" s="201"/>
      <c r="S159" s="201"/>
    </row>
    <row r="160" spans="1:19" ht="15" customHeight="1" x14ac:dyDescent="0.25">
      <c r="A160" s="200"/>
      <c r="B160" s="201"/>
      <c r="C160" s="201"/>
      <c r="D160" s="201"/>
      <c r="E160" s="201"/>
      <c r="F160" s="201"/>
      <c r="G160" s="202"/>
      <c r="H160" s="202"/>
      <c r="I160" s="202"/>
      <c r="J160" s="203"/>
      <c r="K160" s="201"/>
      <c r="L160" s="201"/>
      <c r="M160" s="201"/>
      <c r="N160" s="201"/>
      <c r="O160" s="201"/>
      <c r="P160" s="201"/>
      <c r="Q160" s="201"/>
      <c r="R160" s="201"/>
      <c r="S160" s="201"/>
    </row>
    <row r="161" spans="1:19" ht="15" customHeight="1" x14ac:dyDescent="0.25">
      <c r="A161" s="200"/>
      <c r="B161" s="201"/>
      <c r="C161" s="201"/>
      <c r="D161" s="201"/>
      <c r="E161" s="201"/>
      <c r="F161" s="201"/>
      <c r="G161" s="202"/>
      <c r="H161" s="202"/>
      <c r="I161" s="202"/>
      <c r="J161" s="203"/>
      <c r="K161" s="201"/>
      <c r="L161" s="201"/>
      <c r="M161" s="201"/>
      <c r="N161" s="201"/>
      <c r="O161" s="201"/>
      <c r="P161" s="201"/>
      <c r="Q161" s="201"/>
      <c r="R161" s="201"/>
      <c r="S161" s="201"/>
    </row>
    <row r="162" spans="1:19" ht="15" customHeight="1" x14ac:dyDescent="0.25">
      <c r="A162" s="200"/>
      <c r="B162" s="201"/>
      <c r="C162" s="201"/>
      <c r="D162" s="201"/>
      <c r="E162" s="201"/>
      <c r="F162" s="201"/>
      <c r="G162" s="202"/>
      <c r="H162" s="202"/>
      <c r="I162" s="202"/>
      <c r="J162" s="203"/>
      <c r="K162" s="201"/>
      <c r="L162" s="201"/>
      <c r="M162" s="201"/>
      <c r="N162" s="201"/>
      <c r="O162" s="201"/>
      <c r="P162" s="201"/>
      <c r="Q162" s="201"/>
      <c r="R162" s="201"/>
      <c r="S162" s="201"/>
    </row>
    <row r="163" spans="1:19" ht="15" customHeight="1" x14ac:dyDescent="0.25">
      <c r="A163" s="200"/>
      <c r="B163" s="201"/>
      <c r="C163" s="201"/>
      <c r="D163" s="201"/>
      <c r="E163" s="201"/>
      <c r="F163" s="201"/>
      <c r="G163" s="202"/>
      <c r="H163" s="202"/>
      <c r="I163" s="202"/>
      <c r="J163" s="203"/>
      <c r="K163" s="201"/>
      <c r="L163" s="201"/>
      <c r="M163" s="201"/>
      <c r="N163" s="201"/>
      <c r="O163" s="201"/>
      <c r="P163" s="201"/>
      <c r="Q163" s="201"/>
      <c r="R163" s="201"/>
      <c r="S163" s="201"/>
    </row>
    <row r="164" spans="1:19" ht="15" customHeight="1" x14ac:dyDescent="0.25">
      <c r="A164" s="200"/>
      <c r="B164" s="201"/>
      <c r="C164" s="201"/>
      <c r="D164" s="201"/>
      <c r="E164" s="201"/>
      <c r="F164" s="201"/>
      <c r="G164" s="202"/>
      <c r="H164" s="202"/>
      <c r="I164" s="202"/>
      <c r="J164" s="203"/>
      <c r="K164" s="201"/>
      <c r="L164" s="201"/>
      <c r="M164" s="201"/>
      <c r="N164" s="201"/>
      <c r="O164" s="201"/>
      <c r="P164" s="201"/>
      <c r="Q164" s="201"/>
      <c r="R164" s="201"/>
      <c r="S164" s="201"/>
    </row>
    <row r="165" spans="1:19" ht="15" customHeight="1" x14ac:dyDescent="0.25">
      <c r="A165" s="200"/>
      <c r="B165" s="201"/>
      <c r="C165" s="201"/>
      <c r="D165" s="201"/>
      <c r="E165" s="201"/>
      <c r="F165" s="201"/>
      <c r="G165" s="202"/>
      <c r="H165" s="202"/>
      <c r="I165" s="202"/>
      <c r="J165" s="203"/>
      <c r="K165" s="201"/>
      <c r="L165" s="201"/>
      <c r="M165" s="201"/>
      <c r="N165" s="201"/>
      <c r="O165" s="201"/>
      <c r="P165" s="201"/>
      <c r="Q165" s="201"/>
      <c r="R165" s="201"/>
      <c r="S165" s="201"/>
    </row>
    <row r="166" spans="1:19" ht="15" customHeight="1" x14ac:dyDescent="0.25">
      <c r="A166" s="200"/>
      <c r="B166" s="201"/>
      <c r="C166" s="201"/>
      <c r="D166" s="201"/>
      <c r="E166" s="201"/>
      <c r="F166" s="201"/>
      <c r="G166" s="202"/>
      <c r="H166" s="202"/>
      <c r="I166" s="202"/>
      <c r="J166" s="203"/>
      <c r="K166" s="201"/>
      <c r="L166" s="201"/>
      <c r="M166" s="201"/>
      <c r="N166" s="201"/>
      <c r="O166" s="201"/>
      <c r="P166" s="201"/>
      <c r="Q166" s="201"/>
      <c r="R166" s="201"/>
      <c r="S166" s="201"/>
    </row>
    <row r="167" spans="1:19" ht="15" customHeight="1" x14ac:dyDescent="0.25">
      <c r="A167" s="200"/>
      <c r="B167" s="201"/>
      <c r="C167" s="201"/>
      <c r="D167" s="201"/>
      <c r="E167" s="201"/>
      <c r="F167" s="201"/>
      <c r="G167" s="202"/>
      <c r="H167" s="202"/>
      <c r="I167" s="202"/>
      <c r="J167" s="203"/>
      <c r="K167" s="201"/>
      <c r="L167" s="201"/>
      <c r="M167" s="201"/>
      <c r="N167" s="201"/>
      <c r="O167" s="201"/>
      <c r="P167" s="201"/>
      <c r="Q167" s="201"/>
      <c r="R167" s="201"/>
      <c r="S167" s="201"/>
    </row>
    <row r="168" spans="1:19" ht="15" customHeight="1" x14ac:dyDescent="0.25">
      <c r="A168" s="200"/>
      <c r="B168" s="201"/>
      <c r="C168" s="201"/>
      <c r="D168" s="201"/>
      <c r="E168" s="201"/>
      <c r="F168" s="201"/>
      <c r="G168" s="202"/>
      <c r="H168" s="202"/>
      <c r="I168" s="202"/>
      <c r="J168" s="203"/>
      <c r="K168" s="201"/>
      <c r="L168" s="201"/>
      <c r="M168" s="201"/>
      <c r="N168" s="201"/>
      <c r="O168" s="201"/>
      <c r="P168" s="201"/>
      <c r="Q168" s="201"/>
      <c r="R168" s="201"/>
      <c r="S168" s="201"/>
    </row>
    <row r="169" spans="1:19" ht="15" customHeight="1" x14ac:dyDescent="0.25">
      <c r="A169" s="200"/>
      <c r="B169" s="201"/>
      <c r="C169" s="201"/>
      <c r="D169" s="201"/>
      <c r="E169" s="201"/>
      <c r="F169" s="201"/>
      <c r="G169" s="202"/>
      <c r="H169" s="202"/>
      <c r="I169" s="202"/>
      <c r="J169" s="203"/>
      <c r="K169" s="201"/>
      <c r="L169" s="201"/>
      <c r="M169" s="201"/>
      <c r="N169" s="201"/>
      <c r="O169" s="201"/>
      <c r="P169" s="201"/>
      <c r="Q169" s="201"/>
      <c r="R169" s="201"/>
      <c r="S169" s="201"/>
    </row>
    <row r="170" spans="1:19" ht="15" customHeight="1" x14ac:dyDescent="0.25">
      <c r="A170" s="200"/>
      <c r="B170" s="201"/>
      <c r="C170" s="201"/>
      <c r="D170" s="201"/>
      <c r="E170" s="201"/>
      <c r="F170" s="201"/>
      <c r="G170" s="202"/>
      <c r="H170" s="202"/>
      <c r="I170" s="202"/>
      <c r="J170" s="203"/>
      <c r="K170" s="201"/>
      <c r="L170" s="201"/>
      <c r="M170" s="201"/>
      <c r="N170" s="201"/>
      <c r="O170" s="201"/>
      <c r="P170" s="201"/>
      <c r="Q170" s="201"/>
      <c r="R170" s="201"/>
      <c r="S170" s="201"/>
    </row>
    <row r="171" spans="1:19" ht="15" customHeight="1" x14ac:dyDescent="0.25">
      <c r="A171" s="200"/>
      <c r="B171" s="201"/>
      <c r="C171" s="201"/>
      <c r="D171" s="201"/>
      <c r="E171" s="201"/>
      <c r="F171" s="201"/>
      <c r="G171" s="202"/>
      <c r="H171" s="202"/>
      <c r="I171" s="202"/>
      <c r="J171" s="203"/>
      <c r="K171" s="201"/>
      <c r="L171" s="201"/>
      <c r="M171" s="201"/>
      <c r="N171" s="201"/>
      <c r="O171" s="201"/>
      <c r="P171" s="201"/>
      <c r="Q171" s="201"/>
      <c r="R171" s="201"/>
      <c r="S171" s="201"/>
    </row>
    <row r="172" spans="1:19" ht="15" customHeight="1" x14ac:dyDescent="0.25">
      <c r="A172" s="200"/>
      <c r="B172" s="201"/>
      <c r="C172" s="201"/>
      <c r="D172" s="201"/>
      <c r="E172" s="201"/>
      <c r="F172" s="201"/>
      <c r="G172" s="202"/>
      <c r="H172" s="202"/>
      <c r="I172" s="202"/>
      <c r="J172" s="203"/>
      <c r="K172" s="201"/>
      <c r="L172" s="201"/>
      <c r="M172" s="201"/>
      <c r="N172" s="201"/>
      <c r="O172" s="201"/>
      <c r="P172" s="201"/>
      <c r="Q172" s="201"/>
      <c r="R172" s="201"/>
      <c r="S172" s="201"/>
    </row>
    <row r="173" spans="1:19" ht="15" customHeight="1" x14ac:dyDescent="0.25">
      <c r="A173" s="200"/>
      <c r="B173" s="201"/>
      <c r="C173" s="201"/>
      <c r="D173" s="201"/>
      <c r="E173" s="201"/>
      <c r="F173" s="201"/>
      <c r="G173" s="202"/>
      <c r="H173" s="202"/>
      <c r="I173" s="202"/>
      <c r="J173" s="203"/>
      <c r="K173" s="201"/>
      <c r="L173" s="201"/>
      <c r="M173" s="201"/>
      <c r="N173" s="201"/>
      <c r="O173" s="201"/>
      <c r="P173" s="201"/>
      <c r="Q173" s="201"/>
      <c r="R173" s="201"/>
      <c r="S173" s="201"/>
    </row>
    <row r="174" spans="1:19" ht="15" customHeight="1" x14ac:dyDescent="0.25">
      <c r="A174" s="200"/>
      <c r="B174" s="201"/>
      <c r="C174" s="201"/>
      <c r="D174" s="201"/>
      <c r="E174" s="201"/>
      <c r="F174" s="201"/>
      <c r="G174" s="202"/>
      <c r="H174" s="202"/>
      <c r="I174" s="202"/>
      <c r="J174" s="203"/>
      <c r="K174" s="201"/>
      <c r="L174" s="201"/>
      <c r="M174" s="201"/>
      <c r="N174" s="201"/>
      <c r="O174" s="201"/>
      <c r="P174" s="201"/>
      <c r="Q174" s="201"/>
      <c r="R174" s="201"/>
      <c r="S174" s="201"/>
    </row>
    <row r="175" spans="1:19" ht="15" customHeight="1" x14ac:dyDescent="0.25">
      <c r="A175" s="200"/>
      <c r="B175" s="201"/>
      <c r="C175" s="201"/>
      <c r="D175" s="201"/>
      <c r="E175" s="201"/>
      <c r="F175" s="201"/>
      <c r="G175" s="202"/>
      <c r="H175" s="202"/>
      <c r="I175" s="202"/>
      <c r="J175" s="203"/>
      <c r="K175" s="201"/>
      <c r="L175" s="201"/>
      <c r="M175" s="201"/>
      <c r="N175" s="201"/>
      <c r="O175" s="201"/>
      <c r="P175" s="201"/>
      <c r="Q175" s="201"/>
      <c r="R175" s="201"/>
      <c r="S175" s="201"/>
    </row>
    <row r="176" spans="1:19" ht="15" customHeight="1" x14ac:dyDescent="0.25">
      <c r="A176" s="200"/>
      <c r="B176" s="201"/>
      <c r="C176" s="201"/>
      <c r="D176" s="201"/>
      <c r="E176" s="201"/>
      <c r="F176" s="201"/>
      <c r="G176" s="202"/>
      <c r="H176" s="202"/>
      <c r="I176" s="202"/>
      <c r="J176" s="203"/>
      <c r="K176" s="201"/>
      <c r="L176" s="201"/>
      <c r="M176" s="201"/>
      <c r="N176" s="201"/>
      <c r="O176" s="201"/>
      <c r="P176" s="201"/>
      <c r="Q176" s="201"/>
      <c r="R176" s="201"/>
      <c r="S176" s="201"/>
    </row>
    <row r="177" spans="1:19" ht="15" customHeight="1" x14ac:dyDescent="0.25">
      <c r="A177" s="200"/>
      <c r="B177" s="201"/>
      <c r="C177" s="201"/>
      <c r="D177" s="201"/>
      <c r="E177" s="201"/>
      <c r="F177" s="201"/>
      <c r="G177" s="202"/>
      <c r="H177" s="202"/>
      <c r="I177" s="202"/>
      <c r="J177" s="203"/>
      <c r="K177" s="201"/>
      <c r="L177" s="201"/>
      <c r="M177" s="201"/>
      <c r="N177" s="201"/>
      <c r="O177" s="201"/>
      <c r="P177" s="201"/>
      <c r="Q177" s="201"/>
      <c r="R177" s="201"/>
      <c r="S177" s="201"/>
    </row>
    <row r="178" spans="1:19" ht="15" customHeight="1" x14ac:dyDescent="0.25">
      <c r="A178" s="200"/>
      <c r="B178" s="201"/>
      <c r="C178" s="201"/>
      <c r="D178" s="201"/>
      <c r="E178" s="201"/>
      <c r="F178" s="201"/>
      <c r="G178" s="202"/>
      <c r="H178" s="202"/>
      <c r="I178" s="202"/>
      <c r="J178" s="203"/>
      <c r="K178" s="201"/>
      <c r="L178" s="201"/>
      <c r="M178" s="201"/>
      <c r="N178" s="201"/>
      <c r="O178" s="201"/>
      <c r="P178" s="201"/>
      <c r="Q178" s="201"/>
      <c r="R178" s="201"/>
      <c r="S178" s="201"/>
    </row>
    <row r="179" spans="1:19" ht="15" customHeight="1" x14ac:dyDescent="0.25">
      <c r="A179" s="200"/>
      <c r="B179" s="201"/>
      <c r="C179" s="201"/>
      <c r="D179" s="201"/>
      <c r="E179" s="201"/>
      <c r="F179" s="201"/>
      <c r="G179" s="202"/>
      <c r="H179" s="202"/>
      <c r="I179" s="202"/>
      <c r="J179" s="203"/>
      <c r="K179" s="201"/>
      <c r="L179" s="201"/>
      <c r="M179" s="201"/>
      <c r="N179" s="201"/>
      <c r="O179" s="201"/>
      <c r="P179" s="201"/>
      <c r="Q179" s="201"/>
      <c r="R179" s="201"/>
      <c r="S179" s="201"/>
    </row>
    <row r="180" spans="1:19" ht="15" customHeight="1" x14ac:dyDescent="0.25">
      <c r="A180" s="200"/>
      <c r="B180" s="201"/>
      <c r="C180" s="201"/>
      <c r="D180" s="201"/>
      <c r="E180" s="201"/>
      <c r="F180" s="201"/>
      <c r="G180" s="202"/>
      <c r="H180" s="202"/>
      <c r="I180" s="202"/>
      <c r="J180" s="203"/>
      <c r="K180" s="201"/>
      <c r="L180" s="201"/>
      <c r="M180" s="201"/>
      <c r="N180" s="201"/>
      <c r="O180" s="201"/>
      <c r="P180" s="201"/>
      <c r="Q180" s="201"/>
      <c r="R180" s="201"/>
      <c r="S180" s="201"/>
    </row>
    <row r="181" spans="1:19" ht="15" customHeight="1" x14ac:dyDescent="0.25">
      <c r="A181" s="86"/>
      <c r="G181" s="87"/>
      <c r="H181" s="87"/>
      <c r="I181" s="87"/>
      <c r="J181" s="88"/>
    </row>
    <row r="182" spans="1:19" ht="15" customHeight="1" x14ac:dyDescent="0.25">
      <c r="A182" s="86"/>
      <c r="G182" s="87"/>
      <c r="H182" s="87"/>
      <c r="I182" s="87"/>
      <c r="J182" s="88"/>
    </row>
    <row r="183" spans="1:19" ht="15" customHeight="1" x14ac:dyDescent="0.25">
      <c r="A183" s="86"/>
      <c r="G183" s="87"/>
      <c r="H183" s="87"/>
      <c r="I183" s="87"/>
      <c r="J183" s="88"/>
    </row>
    <row r="184" spans="1:19" ht="15" customHeight="1" x14ac:dyDescent="0.25">
      <c r="A184" s="86"/>
      <c r="G184" s="87"/>
      <c r="H184" s="87"/>
      <c r="I184" s="87"/>
      <c r="J184" s="88"/>
    </row>
    <row r="185" spans="1:19" ht="15" customHeight="1" x14ac:dyDescent="0.25">
      <c r="A185" s="86"/>
      <c r="G185" s="87"/>
      <c r="H185" s="87"/>
      <c r="I185" s="87"/>
      <c r="J185" s="88"/>
    </row>
    <row r="186" spans="1:19" ht="15" customHeight="1" x14ac:dyDescent="0.25">
      <c r="A186" s="86"/>
      <c r="G186" s="87"/>
      <c r="H186" s="87"/>
      <c r="I186" s="87"/>
      <c r="J186" s="88"/>
    </row>
    <row r="187" spans="1:19" ht="15" customHeight="1" x14ac:dyDescent="0.25">
      <c r="A187" s="86"/>
      <c r="G187" s="87"/>
      <c r="H187" s="87"/>
      <c r="I187" s="87"/>
      <c r="J187" s="88"/>
    </row>
    <row r="188" spans="1:19" ht="15" customHeight="1" x14ac:dyDescent="0.25">
      <c r="A188" s="86"/>
      <c r="G188" s="87"/>
      <c r="H188" s="87"/>
      <c r="I188" s="87"/>
      <c r="J188" s="88"/>
    </row>
    <row r="189" spans="1:19" ht="15" customHeight="1" x14ac:dyDescent="0.25">
      <c r="A189" s="86"/>
      <c r="G189" s="87"/>
      <c r="H189" s="87"/>
      <c r="I189" s="87"/>
      <c r="J189" s="88"/>
    </row>
    <row r="190" spans="1:19" ht="15" customHeight="1" x14ac:dyDescent="0.25">
      <c r="A190" s="86"/>
      <c r="G190" s="87"/>
      <c r="H190" s="87"/>
      <c r="I190" s="87"/>
      <c r="J190" s="88"/>
    </row>
    <row r="191" spans="1:19" ht="15" customHeight="1" x14ac:dyDescent="0.25">
      <c r="A191" s="86"/>
      <c r="G191" s="87"/>
      <c r="H191" s="87"/>
      <c r="I191" s="87"/>
      <c r="J191" s="88"/>
    </row>
    <row r="192" spans="1:19" ht="15" customHeight="1" x14ac:dyDescent="0.25">
      <c r="A192" s="86"/>
      <c r="G192" s="87"/>
      <c r="H192" s="87"/>
      <c r="I192" s="87"/>
      <c r="J192" s="88"/>
    </row>
    <row r="193" spans="1:10" ht="15" customHeight="1" x14ac:dyDescent="0.25">
      <c r="A193" s="86"/>
      <c r="G193" s="87"/>
      <c r="H193" s="87"/>
      <c r="I193" s="87"/>
      <c r="J193" s="88"/>
    </row>
    <row r="194" spans="1:10" ht="15" customHeight="1" x14ac:dyDescent="0.25">
      <c r="A194" s="86"/>
      <c r="G194" s="87"/>
      <c r="H194" s="87"/>
      <c r="I194" s="87"/>
      <c r="J194" s="88"/>
    </row>
    <row r="195" spans="1:10" ht="15" customHeight="1" x14ac:dyDescent="0.25">
      <c r="A195" s="86"/>
      <c r="G195" s="87"/>
      <c r="H195" s="87"/>
      <c r="I195" s="87"/>
      <c r="J195" s="88"/>
    </row>
    <row r="196" spans="1:10" ht="15" customHeight="1" x14ac:dyDescent="0.25">
      <c r="A196" s="86"/>
      <c r="G196" s="87"/>
      <c r="H196" s="87"/>
      <c r="I196" s="87"/>
      <c r="J196" s="88"/>
    </row>
    <row r="197" spans="1:10" ht="15" customHeight="1" x14ac:dyDescent="0.25">
      <c r="A197" s="86"/>
      <c r="G197" s="87"/>
      <c r="H197" s="87"/>
      <c r="I197" s="87"/>
      <c r="J197" s="88"/>
    </row>
    <row r="198" spans="1:10" ht="15" customHeight="1" x14ac:dyDescent="0.25">
      <c r="A198" s="86"/>
      <c r="G198" s="87"/>
      <c r="H198" s="87"/>
      <c r="I198" s="87"/>
      <c r="J198" s="88"/>
    </row>
    <row r="199" spans="1:10" ht="15" customHeight="1" x14ac:dyDescent="0.25">
      <c r="A199" s="86"/>
      <c r="G199" s="87"/>
      <c r="H199" s="87"/>
      <c r="I199" s="87"/>
      <c r="J199" s="88"/>
    </row>
    <row r="200" spans="1:10" ht="15" customHeight="1" x14ac:dyDescent="0.25">
      <c r="A200" s="86"/>
      <c r="G200" s="87"/>
      <c r="H200" s="87"/>
      <c r="I200" s="87"/>
      <c r="J200" s="88"/>
    </row>
    <row r="201" spans="1:10" ht="15" customHeight="1" x14ac:dyDescent="0.25">
      <c r="A201" s="86"/>
      <c r="G201" s="87"/>
      <c r="H201" s="87"/>
      <c r="I201" s="87"/>
      <c r="J201" s="88"/>
    </row>
    <row r="202" spans="1:10" ht="15" customHeight="1" x14ac:dyDescent="0.25">
      <c r="A202" s="86"/>
      <c r="G202" s="87"/>
      <c r="H202" s="87"/>
      <c r="I202" s="87"/>
      <c r="J202" s="88"/>
    </row>
    <row r="203" spans="1:10" ht="15" customHeight="1" x14ac:dyDescent="0.25">
      <c r="A203" s="86"/>
      <c r="G203" s="87"/>
      <c r="H203" s="87"/>
      <c r="I203" s="87"/>
      <c r="J203" s="88"/>
    </row>
    <row r="204" spans="1:10" ht="15" customHeight="1" x14ac:dyDescent="0.25">
      <c r="A204" s="86"/>
      <c r="G204" s="87"/>
      <c r="H204" s="87"/>
      <c r="I204" s="87"/>
      <c r="J204" s="88"/>
    </row>
    <row r="205" spans="1:10" ht="15" customHeight="1" x14ac:dyDescent="0.25">
      <c r="A205" s="86"/>
      <c r="G205" s="87"/>
      <c r="H205" s="87"/>
      <c r="I205" s="87"/>
      <c r="J205" s="88"/>
    </row>
    <row r="206" spans="1:10" ht="15" customHeight="1" x14ac:dyDescent="0.25">
      <c r="A206" s="86"/>
      <c r="G206" s="87"/>
      <c r="H206" s="87"/>
      <c r="I206" s="87"/>
      <c r="J206" s="88"/>
    </row>
    <row r="207" spans="1:10" ht="15" customHeight="1" x14ac:dyDescent="0.25">
      <c r="A207" s="86"/>
      <c r="G207" s="87"/>
      <c r="H207" s="87"/>
      <c r="I207" s="87"/>
      <c r="J207" s="88"/>
    </row>
    <row r="208" spans="1:10" ht="15" customHeight="1" x14ac:dyDescent="0.25">
      <c r="A208" s="86"/>
      <c r="G208" s="87"/>
      <c r="H208" s="87"/>
      <c r="I208" s="87"/>
      <c r="J208" s="88"/>
    </row>
    <row r="209" spans="1:10" ht="15" customHeight="1" x14ac:dyDescent="0.25">
      <c r="A209" s="86"/>
      <c r="G209" s="87"/>
      <c r="H209" s="87"/>
      <c r="I209" s="87"/>
      <c r="J209" s="88"/>
    </row>
    <row r="210" spans="1:10" ht="15" customHeight="1" x14ac:dyDescent="0.25">
      <c r="A210" s="86"/>
      <c r="G210" s="87"/>
      <c r="H210" s="87"/>
      <c r="I210" s="87"/>
      <c r="J210" s="88"/>
    </row>
    <row r="211" spans="1:10" ht="15" customHeight="1" x14ac:dyDescent="0.25">
      <c r="A211" s="86"/>
      <c r="G211" s="87"/>
      <c r="H211" s="87"/>
      <c r="I211" s="87"/>
      <c r="J211" s="88"/>
    </row>
    <row r="212" spans="1:10" ht="15" customHeight="1" x14ac:dyDescent="0.25">
      <c r="A212" s="86"/>
      <c r="G212" s="87"/>
      <c r="H212" s="87"/>
      <c r="I212" s="87"/>
      <c r="J212" s="88"/>
    </row>
    <row r="213" spans="1:10" ht="15" customHeight="1" x14ac:dyDescent="0.25">
      <c r="A213" s="86"/>
      <c r="G213" s="87"/>
      <c r="H213" s="87"/>
      <c r="I213" s="87"/>
      <c r="J213" s="88"/>
    </row>
    <row r="214" spans="1:10" ht="15" customHeight="1" x14ac:dyDescent="0.25">
      <c r="A214" s="86"/>
      <c r="G214" s="87"/>
      <c r="H214" s="87"/>
      <c r="I214" s="87"/>
      <c r="J214" s="88"/>
    </row>
    <row r="215" spans="1:10" ht="15" customHeight="1" x14ac:dyDescent="0.25">
      <c r="A215" s="86"/>
      <c r="G215" s="87"/>
      <c r="H215" s="87"/>
      <c r="I215" s="87"/>
      <c r="J215" s="88"/>
    </row>
    <row r="216" spans="1:10" ht="15" customHeight="1" x14ac:dyDescent="0.25">
      <c r="A216" s="86"/>
      <c r="G216" s="87"/>
      <c r="H216" s="87"/>
      <c r="I216" s="87"/>
      <c r="J216" s="88"/>
    </row>
    <row r="217" spans="1:10" ht="15" customHeight="1" x14ac:dyDescent="0.25">
      <c r="A217" s="86"/>
      <c r="G217" s="87"/>
      <c r="H217" s="87"/>
      <c r="I217" s="87"/>
      <c r="J217" s="88"/>
    </row>
    <row r="218" spans="1:10" ht="15" customHeight="1" x14ac:dyDescent="0.25">
      <c r="A218" s="86"/>
      <c r="G218" s="87"/>
      <c r="H218" s="87"/>
      <c r="I218" s="87"/>
      <c r="J218" s="88"/>
    </row>
    <row r="219" spans="1:10" ht="15" customHeight="1" x14ac:dyDescent="0.25">
      <c r="A219" s="86"/>
      <c r="G219" s="87"/>
      <c r="H219" s="87"/>
      <c r="I219" s="87"/>
      <c r="J219" s="88"/>
    </row>
    <row r="220" spans="1:10" ht="15" customHeight="1" x14ac:dyDescent="0.25">
      <c r="A220" s="86"/>
      <c r="G220" s="87"/>
      <c r="H220" s="87"/>
      <c r="I220" s="87"/>
      <c r="J220" s="88"/>
    </row>
    <row r="221" spans="1:10" ht="15" customHeight="1" x14ac:dyDescent="0.25">
      <c r="A221" s="86"/>
      <c r="G221" s="87"/>
      <c r="H221" s="87"/>
      <c r="I221" s="87"/>
      <c r="J221" s="88"/>
    </row>
    <row r="222" spans="1:10" ht="15" customHeight="1" x14ac:dyDescent="0.25">
      <c r="A222" s="86"/>
      <c r="G222" s="87"/>
      <c r="H222" s="87"/>
      <c r="I222" s="87"/>
      <c r="J222" s="88"/>
    </row>
    <row r="223" spans="1:10" ht="15" customHeight="1" x14ac:dyDescent="0.25">
      <c r="A223" s="86"/>
      <c r="G223" s="87"/>
      <c r="H223" s="87"/>
      <c r="I223" s="87"/>
      <c r="J223" s="88"/>
    </row>
    <row r="224" spans="1:10" ht="15" customHeight="1" x14ac:dyDescent="0.25">
      <c r="A224" s="86"/>
      <c r="G224" s="87"/>
      <c r="H224" s="87"/>
      <c r="I224" s="87"/>
      <c r="J224" s="88"/>
    </row>
    <row r="225" spans="1:10" ht="15" customHeight="1" x14ac:dyDescent="0.25">
      <c r="A225" s="86"/>
      <c r="G225" s="87"/>
      <c r="H225" s="87"/>
      <c r="I225" s="87"/>
      <c r="J225" s="88"/>
    </row>
    <row r="226" spans="1:10" ht="15" customHeight="1" x14ac:dyDescent="0.25">
      <c r="A226" s="86"/>
      <c r="G226" s="87"/>
      <c r="H226" s="87"/>
      <c r="I226" s="87"/>
      <c r="J226" s="88"/>
    </row>
    <row r="227" spans="1:10" ht="15" customHeight="1" x14ac:dyDescent="0.25">
      <c r="A227" s="86"/>
      <c r="G227" s="87"/>
      <c r="H227" s="87"/>
      <c r="I227" s="87"/>
      <c r="J227" s="88"/>
    </row>
    <row r="228" spans="1:10" ht="15" customHeight="1" x14ac:dyDescent="0.25">
      <c r="A228" s="86"/>
      <c r="G228" s="87"/>
      <c r="H228" s="87"/>
      <c r="I228" s="87"/>
      <c r="J228" s="88"/>
    </row>
    <row r="229" spans="1:10" ht="15" customHeight="1" x14ac:dyDescent="0.25">
      <c r="A229" s="86"/>
      <c r="G229" s="87"/>
      <c r="H229" s="87"/>
      <c r="I229" s="87"/>
      <c r="J229" s="88"/>
    </row>
    <row r="230" spans="1:10" ht="15" customHeight="1" x14ac:dyDescent="0.25">
      <c r="A230" s="86"/>
      <c r="G230" s="87"/>
      <c r="H230" s="87"/>
      <c r="I230" s="87"/>
      <c r="J230" s="88"/>
    </row>
    <row r="231" spans="1:10" ht="15" customHeight="1" x14ac:dyDescent="0.25">
      <c r="A231" s="86"/>
      <c r="G231" s="87"/>
      <c r="H231" s="87"/>
      <c r="I231" s="87"/>
      <c r="J231" s="88"/>
    </row>
    <row r="232" spans="1:10" ht="15" customHeight="1" x14ac:dyDescent="0.25">
      <c r="A232" s="86"/>
      <c r="G232" s="87"/>
      <c r="H232" s="87"/>
      <c r="I232" s="87"/>
      <c r="J232" s="88"/>
    </row>
    <row r="233" spans="1:10" ht="15" customHeight="1" x14ac:dyDescent="0.25">
      <c r="A233" s="86"/>
      <c r="G233" s="87"/>
      <c r="H233" s="87"/>
      <c r="I233" s="87"/>
      <c r="J233" s="88"/>
    </row>
    <row r="234" spans="1:10" ht="15" customHeight="1" x14ac:dyDescent="0.25">
      <c r="A234" s="86"/>
      <c r="G234" s="87"/>
      <c r="H234" s="87"/>
      <c r="I234" s="87"/>
      <c r="J234" s="88"/>
    </row>
    <row r="235" spans="1:10" ht="15" customHeight="1" x14ac:dyDescent="0.25">
      <c r="A235" s="86"/>
      <c r="G235" s="87"/>
      <c r="H235" s="87"/>
      <c r="I235" s="87"/>
      <c r="J235" s="88"/>
    </row>
    <row r="236" spans="1:10" ht="15" customHeight="1" x14ac:dyDescent="0.25">
      <c r="A236" s="86"/>
      <c r="G236" s="87"/>
      <c r="H236" s="87"/>
      <c r="I236" s="87"/>
      <c r="J236" s="88"/>
    </row>
    <row r="237" spans="1:10" ht="15" customHeight="1" x14ac:dyDescent="0.25">
      <c r="A237" s="86"/>
      <c r="G237" s="87"/>
      <c r="H237" s="87"/>
      <c r="I237" s="87"/>
      <c r="J237" s="88"/>
    </row>
    <row r="238" spans="1:10" ht="15" customHeight="1" x14ac:dyDescent="0.25">
      <c r="A238" s="86"/>
      <c r="G238" s="87"/>
      <c r="H238" s="87"/>
      <c r="I238" s="87"/>
      <c r="J238" s="88"/>
    </row>
    <row r="239" spans="1:10" ht="15" customHeight="1" x14ac:dyDescent="0.25">
      <c r="A239" s="86"/>
      <c r="G239" s="87"/>
      <c r="H239" s="87"/>
      <c r="I239" s="87"/>
      <c r="J239" s="88"/>
    </row>
    <row r="240" spans="1:10" ht="15" customHeight="1" x14ac:dyDescent="0.25">
      <c r="A240" s="86"/>
      <c r="G240" s="87"/>
      <c r="H240" s="87"/>
      <c r="I240" s="87"/>
      <c r="J240" s="88"/>
    </row>
    <row r="241" spans="1:10" ht="15" customHeight="1" x14ac:dyDescent="0.25">
      <c r="A241" s="86"/>
      <c r="G241" s="87"/>
      <c r="H241" s="87"/>
      <c r="I241" s="87"/>
      <c r="J241" s="88"/>
    </row>
    <row r="242" spans="1:10" ht="15" customHeight="1" x14ac:dyDescent="0.25">
      <c r="A242" s="86"/>
      <c r="G242" s="87"/>
      <c r="H242" s="87"/>
      <c r="I242" s="87"/>
      <c r="J242" s="88"/>
    </row>
    <row r="243" spans="1:10" ht="15" customHeight="1" x14ac:dyDescent="0.25">
      <c r="A243" s="86"/>
      <c r="G243" s="87"/>
      <c r="H243" s="87"/>
      <c r="I243" s="87"/>
      <c r="J243" s="88"/>
    </row>
    <row r="244" spans="1:10" ht="15" customHeight="1" x14ac:dyDescent="0.25">
      <c r="A244" s="86"/>
      <c r="G244" s="87"/>
      <c r="H244" s="87"/>
      <c r="I244" s="87"/>
      <c r="J244" s="88"/>
    </row>
    <row r="245" spans="1:10" ht="15" customHeight="1" x14ac:dyDescent="0.25">
      <c r="A245" s="86"/>
      <c r="G245" s="87"/>
      <c r="H245" s="87"/>
      <c r="I245" s="87"/>
      <c r="J245" s="88"/>
    </row>
    <row r="246" spans="1:10" ht="15" customHeight="1" x14ac:dyDescent="0.25">
      <c r="A246" s="86"/>
      <c r="G246" s="87"/>
      <c r="H246" s="87"/>
      <c r="I246" s="87"/>
      <c r="J246" s="88"/>
    </row>
    <row r="247" spans="1:10" ht="15" customHeight="1" x14ac:dyDescent="0.25">
      <c r="A247" s="86"/>
      <c r="G247" s="87"/>
      <c r="H247" s="87"/>
      <c r="I247" s="87"/>
      <c r="J247" s="88"/>
    </row>
  </sheetData>
  <autoFilter ref="A2:R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52"/>
  <sheetViews>
    <sheetView topLeftCell="C1" zoomScaleNormal="100" workbookViewId="0">
      <pane ySplit="2" topLeftCell="A3" activePane="bottomLeft" state="frozen"/>
      <selection activeCell="C1" sqref="C1"/>
      <selection pane="bottomLeft" activeCell="F11" sqref="F11"/>
    </sheetView>
  </sheetViews>
  <sheetFormatPr defaultColWidth="8.7109375" defaultRowHeight="15" x14ac:dyDescent="0.25"/>
  <cols>
    <col min="1" max="1" width="10" customWidth="1"/>
    <col min="2" max="2" width="8" customWidth="1"/>
    <col min="3" max="3" width="37.7109375" style="3" customWidth="1"/>
    <col min="4" max="4" width="39" style="3" customWidth="1"/>
    <col min="5" max="5" width="6" customWidth="1"/>
    <col min="6" max="6" width="16" customWidth="1"/>
    <col min="7" max="7" width="8" customWidth="1"/>
    <col min="8" max="8" width="30" style="3" customWidth="1"/>
    <col min="9" max="9" width="6" customWidth="1"/>
    <col min="10" max="10" width="14" style="49" customWidth="1"/>
    <col min="11" max="11" width="16" style="3" customWidth="1"/>
    <col min="12" max="12" width="8" style="50" customWidth="1"/>
    <col min="13" max="13" width="68.28515625" style="51" customWidth="1"/>
  </cols>
  <sheetData>
    <row r="1" spans="1:17" ht="20.25" customHeight="1" x14ac:dyDescent="0.35">
      <c r="A1" s="251" t="s">
        <v>333</v>
      </c>
      <c r="B1" s="252"/>
      <c r="C1" s="253"/>
      <c r="D1" s="253"/>
      <c r="E1" s="252"/>
      <c r="F1" s="252"/>
      <c r="G1" s="252"/>
      <c r="H1" s="253"/>
      <c r="I1" s="252"/>
      <c r="J1" s="254"/>
      <c r="K1" s="253"/>
      <c r="L1" s="255"/>
      <c r="M1" s="52"/>
      <c r="N1" s="2"/>
      <c r="O1" s="2"/>
    </row>
    <row r="2" spans="1:17" s="58" customFormat="1" ht="32.25" customHeight="1" x14ac:dyDescent="0.25">
      <c r="A2" s="53" t="s">
        <v>252</v>
      </c>
      <c r="B2" s="53" t="s">
        <v>334</v>
      </c>
      <c r="C2" s="54" t="s">
        <v>154</v>
      </c>
      <c r="D2" s="54" t="s">
        <v>155</v>
      </c>
      <c r="E2" s="53" t="s">
        <v>156</v>
      </c>
      <c r="F2" s="53" t="s">
        <v>335</v>
      </c>
      <c r="G2" s="53" t="s">
        <v>2</v>
      </c>
      <c r="H2" s="54" t="s">
        <v>261</v>
      </c>
      <c r="I2" s="53" t="s">
        <v>5</v>
      </c>
      <c r="J2" s="53" t="s">
        <v>336</v>
      </c>
      <c r="K2" s="54" t="s">
        <v>337</v>
      </c>
      <c r="L2" s="55" t="s">
        <v>338</v>
      </c>
      <c r="M2" s="56" t="s">
        <v>339</v>
      </c>
      <c r="N2" s="57"/>
      <c r="O2" s="57"/>
    </row>
    <row r="3" spans="1:17" ht="15" customHeight="1" x14ac:dyDescent="0.25">
      <c r="A3" s="59">
        <v>6561</v>
      </c>
      <c r="B3" s="59">
        <v>190</v>
      </c>
      <c r="C3" s="59" t="s">
        <v>166</v>
      </c>
      <c r="D3" s="60" t="s">
        <v>167</v>
      </c>
      <c r="E3" s="59">
        <v>16</v>
      </c>
      <c r="F3" s="59" t="s">
        <v>266</v>
      </c>
      <c r="G3" s="59">
        <v>2799</v>
      </c>
      <c r="H3" s="59" t="s">
        <v>15</v>
      </c>
      <c r="I3" s="61" t="s">
        <v>14</v>
      </c>
      <c r="J3" s="62">
        <v>2.5188899999999999</v>
      </c>
      <c r="K3" s="63" t="s">
        <v>340</v>
      </c>
      <c r="L3" s="63">
        <v>0.1</v>
      </c>
      <c r="M3" s="63" t="s">
        <v>341</v>
      </c>
      <c r="N3" s="63"/>
      <c r="O3" s="63"/>
      <c r="P3" s="63"/>
      <c r="Q3" s="64"/>
    </row>
    <row r="4" spans="1:17" ht="15" customHeight="1" x14ac:dyDescent="0.25">
      <c r="A4" s="59">
        <v>6561</v>
      </c>
      <c r="B4" s="59">
        <v>190</v>
      </c>
      <c r="C4" s="59" t="s">
        <v>166</v>
      </c>
      <c r="D4" s="60" t="s">
        <v>167</v>
      </c>
      <c r="E4" s="59">
        <v>16</v>
      </c>
      <c r="F4" s="59" t="s">
        <v>278</v>
      </c>
      <c r="G4" s="59">
        <v>3595</v>
      </c>
      <c r="H4" s="59" t="s">
        <v>342</v>
      </c>
      <c r="I4" s="61" t="s">
        <v>14</v>
      </c>
      <c r="J4" s="62">
        <v>0.28999999999999998</v>
      </c>
      <c r="K4" s="63" t="s">
        <v>30</v>
      </c>
      <c r="L4" s="63">
        <v>0.1</v>
      </c>
      <c r="M4" s="65" t="s">
        <v>343</v>
      </c>
      <c r="N4" s="63"/>
      <c r="O4" s="63"/>
      <c r="P4" s="63"/>
      <c r="Q4" s="64"/>
    </row>
    <row r="5" spans="1:17" ht="15" customHeight="1" x14ac:dyDescent="0.25">
      <c r="A5" s="59">
        <v>6561</v>
      </c>
      <c r="B5" s="59">
        <v>190</v>
      </c>
      <c r="C5" s="59" t="s">
        <v>166</v>
      </c>
      <c r="D5" s="60" t="s">
        <v>167</v>
      </c>
      <c r="E5" s="59">
        <v>16</v>
      </c>
      <c r="F5" s="59" t="s">
        <v>282</v>
      </c>
      <c r="G5" s="59">
        <v>69</v>
      </c>
      <c r="H5" s="59" t="s">
        <v>47</v>
      </c>
      <c r="I5" s="61" t="s">
        <v>48</v>
      </c>
      <c r="J5" s="62">
        <v>1000</v>
      </c>
      <c r="K5" s="63" t="s">
        <v>344</v>
      </c>
      <c r="L5" s="63">
        <v>0.02</v>
      </c>
      <c r="M5" s="65" t="s">
        <v>345</v>
      </c>
      <c r="N5" s="63"/>
      <c r="O5" s="63"/>
      <c r="P5" s="63"/>
      <c r="Q5" s="64"/>
    </row>
    <row r="6" spans="1:17" ht="15" customHeight="1" x14ac:dyDescent="0.25">
      <c r="A6" s="59">
        <v>6561</v>
      </c>
      <c r="B6" s="59">
        <v>190</v>
      </c>
      <c r="C6" s="59" t="s">
        <v>166</v>
      </c>
      <c r="D6" s="60" t="s">
        <v>167</v>
      </c>
      <c r="E6" s="59">
        <v>16</v>
      </c>
      <c r="F6" s="59" t="s">
        <v>284</v>
      </c>
      <c r="G6" s="59">
        <v>36</v>
      </c>
      <c r="H6" s="59" t="s">
        <v>73</v>
      </c>
      <c r="I6" s="61" t="s">
        <v>48</v>
      </c>
      <c r="J6" s="62">
        <v>5</v>
      </c>
      <c r="K6" s="63" t="s">
        <v>346</v>
      </c>
      <c r="L6" s="63">
        <v>0.1</v>
      </c>
      <c r="M6" s="65" t="s">
        <v>345</v>
      </c>
      <c r="N6" s="63"/>
      <c r="O6" s="63"/>
      <c r="P6" s="63"/>
      <c r="Q6" s="64"/>
    </row>
    <row r="7" spans="1:17" ht="15" customHeight="1" x14ac:dyDescent="0.25">
      <c r="A7" s="59">
        <v>6561</v>
      </c>
      <c r="B7" s="59">
        <v>190</v>
      </c>
      <c r="C7" s="59" t="s">
        <v>166</v>
      </c>
      <c r="D7" s="60" t="s">
        <v>167</v>
      </c>
      <c r="E7" s="59">
        <v>16</v>
      </c>
      <c r="F7" s="59" t="s">
        <v>280</v>
      </c>
      <c r="G7" s="59">
        <v>194</v>
      </c>
      <c r="H7" s="59" t="s">
        <v>45</v>
      </c>
      <c r="I7" s="61" t="s">
        <v>14</v>
      </c>
      <c r="J7" s="62">
        <v>2.6196399999999999E-3</v>
      </c>
      <c r="K7" s="63" t="s">
        <v>347</v>
      </c>
      <c r="L7" s="63">
        <v>0.1</v>
      </c>
      <c r="M7" s="63"/>
      <c r="N7" s="63"/>
      <c r="O7" s="63"/>
      <c r="P7" s="63"/>
      <c r="Q7" s="64"/>
    </row>
    <row r="8" spans="1:17" ht="15" customHeight="1" x14ac:dyDescent="0.25">
      <c r="A8" s="59">
        <v>6561</v>
      </c>
      <c r="B8" s="59">
        <v>190</v>
      </c>
      <c r="C8" s="59" t="s">
        <v>166</v>
      </c>
      <c r="D8" s="60" t="s">
        <v>167</v>
      </c>
      <c r="E8" s="59">
        <v>16</v>
      </c>
      <c r="F8" s="59" t="s">
        <v>273</v>
      </c>
      <c r="G8" s="59">
        <v>185</v>
      </c>
      <c r="H8" s="59" t="s">
        <v>25</v>
      </c>
      <c r="I8" s="61" t="s">
        <v>26</v>
      </c>
      <c r="J8" s="62">
        <v>0.17</v>
      </c>
      <c r="K8" s="63" t="s">
        <v>23</v>
      </c>
      <c r="L8" s="63">
        <v>0.1</v>
      </c>
      <c r="M8" s="63"/>
      <c r="N8" s="63"/>
      <c r="O8" s="63"/>
      <c r="P8" s="63"/>
      <c r="Q8" s="64"/>
    </row>
    <row r="9" spans="1:17" ht="15" customHeight="1" x14ac:dyDescent="0.25">
      <c r="A9" s="59">
        <v>6561</v>
      </c>
      <c r="B9" s="59">
        <v>190</v>
      </c>
      <c r="C9" s="59" t="s">
        <v>166</v>
      </c>
      <c r="D9" s="60" t="s">
        <v>167</v>
      </c>
      <c r="E9" s="59">
        <v>16</v>
      </c>
      <c r="F9" s="59" t="s">
        <v>286</v>
      </c>
      <c r="G9" s="59">
        <v>190</v>
      </c>
      <c r="H9" s="59" t="s">
        <v>84</v>
      </c>
      <c r="I9" s="61" t="s">
        <v>26</v>
      </c>
      <c r="J9" s="62">
        <v>0.06</v>
      </c>
      <c r="K9" s="63" t="s">
        <v>83</v>
      </c>
      <c r="L9" s="63">
        <v>0.1</v>
      </c>
      <c r="M9" s="63"/>
      <c r="N9" s="63"/>
      <c r="O9" s="63"/>
      <c r="P9" s="63"/>
      <c r="Q9" s="64"/>
    </row>
    <row r="10" spans="1:17" ht="15" customHeight="1" x14ac:dyDescent="0.25">
      <c r="A10" s="59">
        <v>6561</v>
      </c>
      <c r="B10" s="59">
        <v>190</v>
      </c>
      <c r="C10" s="59" t="s">
        <v>166</v>
      </c>
      <c r="D10" s="60" t="s">
        <v>167</v>
      </c>
      <c r="E10" s="59">
        <v>16</v>
      </c>
      <c r="F10" s="59" t="s">
        <v>285</v>
      </c>
      <c r="G10" s="59">
        <v>3635</v>
      </c>
      <c r="H10" s="59" t="s">
        <v>82</v>
      </c>
      <c r="I10" s="61" t="s">
        <v>48</v>
      </c>
      <c r="J10" s="62">
        <v>0.11899999999999999</v>
      </c>
      <c r="K10" s="63" t="s">
        <v>348</v>
      </c>
      <c r="L10" s="63">
        <v>0.1</v>
      </c>
      <c r="M10" s="63"/>
      <c r="N10" s="63"/>
      <c r="O10" s="63"/>
      <c r="P10" s="63"/>
      <c r="Q10" s="64"/>
    </row>
    <row r="11" spans="1:17" ht="15" customHeight="1" x14ac:dyDescent="0.25">
      <c r="A11" s="59">
        <v>6561</v>
      </c>
      <c r="B11" s="59">
        <v>190</v>
      </c>
      <c r="C11" s="59" t="s">
        <v>166</v>
      </c>
      <c r="D11" s="60" t="s">
        <v>167</v>
      </c>
      <c r="E11" s="59">
        <v>16</v>
      </c>
      <c r="F11" s="59" t="s">
        <v>284</v>
      </c>
      <c r="G11" s="59">
        <v>200</v>
      </c>
      <c r="H11" s="59" t="s">
        <v>74</v>
      </c>
      <c r="I11" s="61" t="s">
        <v>48</v>
      </c>
      <c r="J11" s="62">
        <v>0.55000000000000004</v>
      </c>
      <c r="K11" s="63" t="s">
        <v>346</v>
      </c>
      <c r="L11" s="63">
        <v>0.1</v>
      </c>
      <c r="M11" s="63"/>
      <c r="N11" s="63"/>
      <c r="O11" s="63"/>
      <c r="P11" s="63"/>
      <c r="Q11" s="64"/>
    </row>
    <row r="12" spans="1:17" ht="15" customHeight="1" x14ac:dyDescent="0.25">
      <c r="A12" s="59">
        <v>6561</v>
      </c>
      <c r="B12" s="59">
        <v>190</v>
      </c>
      <c r="C12" s="59" t="s">
        <v>166</v>
      </c>
      <c r="D12" s="60" t="s">
        <v>167</v>
      </c>
      <c r="E12" s="59">
        <v>16</v>
      </c>
      <c r="F12" s="59" t="s">
        <v>349</v>
      </c>
      <c r="G12" s="59">
        <v>52</v>
      </c>
      <c r="H12" s="59" t="s">
        <v>350</v>
      </c>
      <c r="I12" s="61" t="s">
        <v>50</v>
      </c>
      <c r="J12" s="62">
        <v>5</v>
      </c>
      <c r="K12" s="63" t="s">
        <v>351</v>
      </c>
      <c r="L12" s="63">
        <v>0.1</v>
      </c>
      <c r="M12" s="65" t="s">
        <v>345</v>
      </c>
      <c r="N12" s="63"/>
      <c r="O12" s="63"/>
      <c r="P12" s="63"/>
      <c r="Q12" s="64"/>
    </row>
    <row r="13" spans="1:17" ht="15" customHeight="1" x14ac:dyDescent="0.25">
      <c r="A13" s="59">
        <v>1085</v>
      </c>
      <c r="B13" s="59">
        <v>187</v>
      </c>
      <c r="C13" s="59" t="s">
        <v>166</v>
      </c>
      <c r="D13" s="60" t="s">
        <v>205</v>
      </c>
      <c r="E13" s="59">
        <v>19</v>
      </c>
      <c r="F13" s="59" t="s">
        <v>266</v>
      </c>
      <c r="G13" s="59">
        <v>22</v>
      </c>
      <c r="H13" s="59" t="s">
        <v>269</v>
      </c>
      <c r="I13" s="61" t="s">
        <v>14</v>
      </c>
      <c r="J13" s="62">
        <v>3.367</v>
      </c>
      <c r="K13" s="63" t="s">
        <v>340</v>
      </c>
      <c r="L13" s="63">
        <v>0.1</v>
      </c>
      <c r="M13" s="63"/>
      <c r="N13" s="63"/>
      <c r="O13" s="63"/>
      <c r="P13" s="63"/>
      <c r="Q13" s="64"/>
    </row>
    <row r="14" spans="1:17" ht="15" customHeight="1" x14ac:dyDescent="0.25">
      <c r="A14" s="59">
        <v>1085</v>
      </c>
      <c r="B14" s="59">
        <v>187</v>
      </c>
      <c r="C14" s="59" t="s">
        <v>166</v>
      </c>
      <c r="D14" s="60" t="s">
        <v>205</v>
      </c>
      <c r="E14" s="59">
        <v>19</v>
      </c>
      <c r="F14" s="59" t="s">
        <v>278</v>
      </c>
      <c r="G14" s="59">
        <v>3595</v>
      </c>
      <c r="H14" s="59" t="s">
        <v>342</v>
      </c>
      <c r="I14" s="61" t="s">
        <v>14</v>
      </c>
      <c r="J14" s="62">
        <v>0.31</v>
      </c>
      <c r="K14" s="63" t="s">
        <v>30</v>
      </c>
      <c r="L14" s="63">
        <v>0.1</v>
      </c>
      <c r="M14" s="65" t="s">
        <v>343</v>
      </c>
      <c r="N14" s="63"/>
      <c r="O14" s="63"/>
      <c r="P14" s="63"/>
      <c r="Q14" s="64"/>
    </row>
    <row r="15" spans="1:17" ht="15" customHeight="1" x14ac:dyDescent="0.25">
      <c r="A15" s="59">
        <v>1085</v>
      </c>
      <c r="B15" s="59">
        <v>187</v>
      </c>
      <c r="C15" s="59" t="s">
        <v>166</v>
      </c>
      <c r="D15" s="60" t="s">
        <v>205</v>
      </c>
      <c r="E15" s="59">
        <v>19</v>
      </c>
      <c r="F15" s="59" t="s">
        <v>282</v>
      </c>
      <c r="G15" s="59">
        <v>81</v>
      </c>
      <c r="H15" s="59" t="s">
        <v>54</v>
      </c>
      <c r="I15" s="61" t="s">
        <v>48</v>
      </c>
      <c r="J15" s="62">
        <v>1000</v>
      </c>
      <c r="K15" s="63" t="s">
        <v>344</v>
      </c>
      <c r="L15" s="63">
        <v>0.02</v>
      </c>
      <c r="M15" s="65" t="s">
        <v>345</v>
      </c>
      <c r="N15" s="63"/>
      <c r="O15" s="63"/>
      <c r="P15" s="63"/>
      <c r="Q15" s="64"/>
    </row>
    <row r="16" spans="1:17" ht="15" customHeight="1" x14ac:dyDescent="0.25">
      <c r="A16" s="59">
        <v>1085</v>
      </c>
      <c r="B16" s="59">
        <v>187</v>
      </c>
      <c r="C16" s="59" t="s">
        <v>166</v>
      </c>
      <c r="D16" s="60" t="s">
        <v>205</v>
      </c>
      <c r="E16" s="59">
        <v>19</v>
      </c>
      <c r="F16" s="59" t="s">
        <v>284</v>
      </c>
      <c r="G16" s="59">
        <v>39</v>
      </c>
      <c r="H16" s="59" t="s">
        <v>75</v>
      </c>
      <c r="I16" s="61" t="s">
        <v>48</v>
      </c>
      <c r="J16" s="62">
        <v>5</v>
      </c>
      <c r="K16" s="63" t="s">
        <v>346</v>
      </c>
      <c r="L16" s="63">
        <v>0.1</v>
      </c>
      <c r="M16" s="65" t="s">
        <v>345</v>
      </c>
      <c r="N16" s="63"/>
      <c r="O16" s="63"/>
      <c r="P16" s="63"/>
      <c r="Q16" s="64"/>
    </row>
    <row r="17" spans="1:17" ht="15" customHeight="1" x14ac:dyDescent="0.25">
      <c r="A17" s="59">
        <v>1085</v>
      </c>
      <c r="B17" s="59">
        <v>187</v>
      </c>
      <c r="C17" s="59" t="s">
        <v>166</v>
      </c>
      <c r="D17" s="60" t="s">
        <v>205</v>
      </c>
      <c r="E17" s="59">
        <v>19</v>
      </c>
      <c r="F17" s="59" t="s">
        <v>280</v>
      </c>
      <c r="G17" s="59">
        <v>194</v>
      </c>
      <c r="H17" s="59" t="s">
        <v>45</v>
      </c>
      <c r="I17" s="61" t="s">
        <v>14</v>
      </c>
      <c r="J17" s="62">
        <v>3.3999999999999998E-3</v>
      </c>
      <c r="K17" s="63" t="s">
        <v>347</v>
      </c>
      <c r="L17" s="63">
        <v>0.1</v>
      </c>
      <c r="M17" s="63"/>
      <c r="N17" s="63"/>
      <c r="O17" s="63"/>
      <c r="P17" s="63"/>
      <c r="Q17" s="64"/>
    </row>
    <row r="18" spans="1:17" ht="15" customHeight="1" x14ac:dyDescent="0.25">
      <c r="A18" s="59">
        <v>1085</v>
      </c>
      <c r="B18" s="59">
        <v>187</v>
      </c>
      <c r="C18" s="59" t="s">
        <v>166</v>
      </c>
      <c r="D18" s="60" t="s">
        <v>205</v>
      </c>
      <c r="E18" s="59">
        <v>19</v>
      </c>
      <c r="F18" s="59" t="s">
        <v>285</v>
      </c>
      <c r="G18" s="59">
        <v>3635</v>
      </c>
      <c r="H18" s="59" t="s">
        <v>82</v>
      </c>
      <c r="I18" s="61" t="s">
        <v>48</v>
      </c>
      <c r="J18" s="62">
        <v>0.13800000000000001</v>
      </c>
      <c r="K18" s="63" t="s">
        <v>348</v>
      </c>
      <c r="L18" s="63">
        <v>0.1</v>
      </c>
      <c r="M18" s="63"/>
      <c r="N18" s="63"/>
      <c r="O18" s="63"/>
      <c r="P18" s="63"/>
      <c r="Q18" s="64"/>
    </row>
    <row r="19" spans="1:17" ht="15" customHeight="1" x14ac:dyDescent="0.25">
      <c r="A19" s="59">
        <v>1085</v>
      </c>
      <c r="B19" s="59">
        <v>187</v>
      </c>
      <c r="C19" s="59" t="s">
        <v>166</v>
      </c>
      <c r="D19" s="60" t="s">
        <v>205</v>
      </c>
      <c r="E19" s="59">
        <v>19</v>
      </c>
      <c r="F19" s="59" t="s">
        <v>273</v>
      </c>
      <c r="G19" s="59">
        <v>185</v>
      </c>
      <c r="H19" s="59" t="s">
        <v>25</v>
      </c>
      <c r="I19" s="61" t="s">
        <v>26</v>
      </c>
      <c r="J19" s="62">
        <v>0.1449</v>
      </c>
      <c r="K19" s="63" t="s">
        <v>23</v>
      </c>
      <c r="L19" s="63">
        <v>0.1</v>
      </c>
      <c r="M19" s="63"/>
      <c r="N19" s="63"/>
      <c r="O19" s="63"/>
      <c r="P19" s="63"/>
      <c r="Q19" s="64"/>
    </row>
    <row r="20" spans="1:17" ht="15" customHeight="1" x14ac:dyDescent="0.25">
      <c r="A20" s="59">
        <v>1085</v>
      </c>
      <c r="B20" s="59">
        <v>187</v>
      </c>
      <c r="C20" s="59" t="s">
        <v>166</v>
      </c>
      <c r="D20" s="60" t="s">
        <v>205</v>
      </c>
      <c r="E20" s="59">
        <v>19</v>
      </c>
      <c r="F20" s="59" t="s">
        <v>349</v>
      </c>
      <c r="G20" s="59">
        <v>54</v>
      </c>
      <c r="H20" s="59" t="s">
        <v>352</v>
      </c>
      <c r="I20" s="61" t="s">
        <v>50</v>
      </c>
      <c r="J20" s="62">
        <v>5</v>
      </c>
      <c r="K20" s="63" t="s">
        <v>351</v>
      </c>
      <c r="L20" s="63">
        <v>0.1</v>
      </c>
      <c r="M20" s="65" t="s">
        <v>345</v>
      </c>
      <c r="N20" s="63"/>
      <c r="O20" s="63"/>
      <c r="P20" s="63"/>
      <c r="Q20" s="64"/>
    </row>
    <row r="21" spans="1:17" ht="15" customHeight="1" x14ac:dyDescent="0.25">
      <c r="A21" s="59">
        <v>1085</v>
      </c>
      <c r="B21" s="59">
        <v>187</v>
      </c>
      <c r="C21" s="59" t="s">
        <v>166</v>
      </c>
      <c r="D21" s="60" t="s">
        <v>205</v>
      </c>
      <c r="E21" s="59">
        <v>19</v>
      </c>
      <c r="F21" s="59" t="s">
        <v>353</v>
      </c>
      <c r="G21" s="59">
        <v>199</v>
      </c>
      <c r="H21" s="59" t="s">
        <v>354</v>
      </c>
      <c r="I21" s="61" t="s">
        <v>50</v>
      </c>
      <c r="J21" s="62">
        <v>0.55000000000000004</v>
      </c>
      <c r="K21" s="63" t="s">
        <v>355</v>
      </c>
      <c r="L21" s="63">
        <v>0.1</v>
      </c>
      <c r="M21" s="65"/>
      <c r="N21" s="63"/>
      <c r="O21" s="63"/>
      <c r="P21" s="63"/>
      <c r="Q21" s="64"/>
    </row>
    <row r="22" spans="1:17" ht="15" customHeight="1" x14ac:dyDescent="0.25">
      <c r="A22" s="59">
        <v>6559</v>
      </c>
      <c r="B22" s="59">
        <v>188</v>
      </c>
      <c r="C22" s="59" t="s">
        <v>166</v>
      </c>
      <c r="D22" s="60" t="s">
        <v>204</v>
      </c>
      <c r="E22" s="59">
        <v>19</v>
      </c>
      <c r="F22" s="59" t="s">
        <v>266</v>
      </c>
      <c r="G22" s="59">
        <v>22</v>
      </c>
      <c r="H22" s="59" t="s">
        <v>269</v>
      </c>
      <c r="I22" s="61" t="s">
        <v>14</v>
      </c>
      <c r="J22" s="62">
        <v>3.367</v>
      </c>
      <c r="K22" s="63" t="s">
        <v>340</v>
      </c>
      <c r="L22" s="63">
        <v>0.1</v>
      </c>
      <c r="M22" s="63"/>
      <c r="N22" s="63"/>
      <c r="O22" s="63"/>
      <c r="P22" s="63"/>
      <c r="Q22" s="64"/>
    </row>
    <row r="23" spans="1:17" ht="15" customHeight="1" x14ac:dyDescent="0.25">
      <c r="A23" s="59">
        <v>6559</v>
      </c>
      <c r="B23" s="59">
        <v>188</v>
      </c>
      <c r="C23" s="59" t="s">
        <v>166</v>
      </c>
      <c r="D23" s="60" t="s">
        <v>204</v>
      </c>
      <c r="E23" s="59">
        <v>19</v>
      </c>
      <c r="F23" s="59" t="s">
        <v>278</v>
      </c>
      <c r="G23" s="59">
        <v>3595</v>
      </c>
      <c r="H23" s="59" t="s">
        <v>342</v>
      </c>
      <c r="I23" s="61" t="s">
        <v>14</v>
      </c>
      <c r="J23" s="62">
        <v>0.31</v>
      </c>
      <c r="K23" s="63" t="s">
        <v>30</v>
      </c>
      <c r="L23" s="63">
        <v>0.1</v>
      </c>
      <c r="M23" s="65" t="s">
        <v>343</v>
      </c>
      <c r="N23" s="63"/>
      <c r="O23" s="63"/>
      <c r="P23" s="63"/>
      <c r="Q23" s="64"/>
    </row>
    <row r="24" spans="1:17" ht="15" customHeight="1" x14ac:dyDescent="0.25">
      <c r="A24" s="59">
        <v>6559</v>
      </c>
      <c r="B24" s="59">
        <v>188</v>
      </c>
      <c r="C24" s="59" t="s">
        <v>166</v>
      </c>
      <c r="D24" s="60" t="s">
        <v>204</v>
      </c>
      <c r="E24" s="59">
        <v>19</v>
      </c>
      <c r="F24" s="59" t="s">
        <v>282</v>
      </c>
      <c r="G24" s="59">
        <v>81</v>
      </c>
      <c r="H24" s="59" t="s">
        <v>54</v>
      </c>
      <c r="I24" s="61" t="s">
        <v>48</v>
      </c>
      <c r="J24" s="62">
        <v>1000</v>
      </c>
      <c r="K24" s="63" t="s">
        <v>344</v>
      </c>
      <c r="L24" s="63">
        <v>0.02</v>
      </c>
      <c r="M24" s="65" t="s">
        <v>345</v>
      </c>
      <c r="N24" s="63"/>
      <c r="O24" s="63"/>
      <c r="P24" s="63"/>
      <c r="Q24" s="64"/>
    </row>
    <row r="25" spans="1:17" ht="15" customHeight="1" x14ac:dyDescent="0.25">
      <c r="A25" s="59">
        <v>6559</v>
      </c>
      <c r="B25" s="59">
        <v>188</v>
      </c>
      <c r="C25" s="59" t="s">
        <v>166</v>
      </c>
      <c r="D25" s="60" t="s">
        <v>204</v>
      </c>
      <c r="E25" s="59">
        <v>19</v>
      </c>
      <c r="F25" s="59" t="s">
        <v>284</v>
      </c>
      <c r="G25" s="59">
        <v>39</v>
      </c>
      <c r="H25" s="59" t="s">
        <v>75</v>
      </c>
      <c r="I25" s="61" t="s">
        <v>48</v>
      </c>
      <c r="J25" s="62">
        <v>5</v>
      </c>
      <c r="K25" s="63" t="s">
        <v>346</v>
      </c>
      <c r="L25" s="63">
        <v>0.1</v>
      </c>
      <c r="M25" s="65" t="s">
        <v>345</v>
      </c>
      <c r="N25" s="63"/>
      <c r="O25" s="63"/>
      <c r="P25" s="63"/>
      <c r="Q25" s="64"/>
    </row>
    <row r="26" spans="1:17" ht="15" customHeight="1" x14ac:dyDescent="0.25">
      <c r="A26" s="59">
        <v>6559</v>
      </c>
      <c r="B26" s="59">
        <v>188</v>
      </c>
      <c r="C26" s="59" t="s">
        <v>166</v>
      </c>
      <c r="D26" s="60" t="s">
        <v>204</v>
      </c>
      <c r="E26" s="59">
        <v>19</v>
      </c>
      <c r="F26" s="59" t="s">
        <v>280</v>
      </c>
      <c r="G26" s="59">
        <v>194</v>
      </c>
      <c r="H26" s="59" t="s">
        <v>45</v>
      </c>
      <c r="I26" s="61" t="s">
        <v>14</v>
      </c>
      <c r="J26" s="62">
        <v>3.3999999999999998E-3</v>
      </c>
      <c r="K26" s="63" t="s">
        <v>347</v>
      </c>
      <c r="L26" s="63">
        <v>0.1</v>
      </c>
      <c r="M26" s="63"/>
      <c r="N26" s="63"/>
      <c r="O26" s="63"/>
      <c r="P26" s="63"/>
      <c r="Q26" s="64"/>
    </row>
    <row r="27" spans="1:17" ht="15" customHeight="1" x14ac:dyDescent="0.25">
      <c r="A27" s="59">
        <v>6559</v>
      </c>
      <c r="B27" s="59">
        <v>188</v>
      </c>
      <c r="C27" s="59" t="s">
        <v>166</v>
      </c>
      <c r="D27" s="60" t="s">
        <v>204</v>
      </c>
      <c r="E27" s="59">
        <v>19</v>
      </c>
      <c r="F27" s="59" t="s">
        <v>285</v>
      </c>
      <c r="G27" s="59">
        <v>3635</v>
      </c>
      <c r="H27" s="59" t="s">
        <v>82</v>
      </c>
      <c r="I27" s="61" t="s">
        <v>48</v>
      </c>
      <c r="J27" s="62">
        <v>0.13800000000000001</v>
      </c>
      <c r="K27" s="63" t="s">
        <v>348</v>
      </c>
      <c r="L27" s="63">
        <v>0.1</v>
      </c>
      <c r="M27" s="63"/>
      <c r="N27" s="63"/>
      <c r="O27" s="63"/>
      <c r="P27" s="63"/>
      <c r="Q27" s="64"/>
    </row>
    <row r="28" spans="1:17" ht="15" customHeight="1" x14ac:dyDescent="0.25">
      <c r="A28" s="59">
        <v>6559</v>
      </c>
      <c r="B28" s="59">
        <v>188</v>
      </c>
      <c r="C28" s="59" t="s">
        <v>166</v>
      </c>
      <c r="D28" s="60" t="s">
        <v>204</v>
      </c>
      <c r="E28" s="59">
        <v>19</v>
      </c>
      <c r="F28" s="59" t="s">
        <v>273</v>
      </c>
      <c r="G28" s="59">
        <v>185</v>
      </c>
      <c r="H28" s="59" t="s">
        <v>25</v>
      </c>
      <c r="I28" s="61" t="s">
        <v>26</v>
      </c>
      <c r="J28" s="62">
        <v>0.1449</v>
      </c>
      <c r="K28" s="63" t="s">
        <v>23</v>
      </c>
      <c r="L28" s="63">
        <v>0.1</v>
      </c>
      <c r="M28" s="63"/>
      <c r="N28" s="63"/>
      <c r="O28" s="63"/>
      <c r="P28" s="63"/>
      <c r="Q28" s="64"/>
    </row>
    <row r="29" spans="1:17" ht="15" customHeight="1" x14ac:dyDescent="0.25">
      <c r="A29" s="59">
        <v>6559</v>
      </c>
      <c r="B29" s="59">
        <v>188</v>
      </c>
      <c r="C29" s="59" t="s">
        <v>166</v>
      </c>
      <c r="D29" s="60" t="s">
        <v>204</v>
      </c>
      <c r="E29" s="59">
        <v>19</v>
      </c>
      <c r="F29" s="59" t="s">
        <v>349</v>
      </c>
      <c r="G29" s="59">
        <v>54</v>
      </c>
      <c r="H29" s="59" t="s">
        <v>352</v>
      </c>
      <c r="I29" s="61" t="s">
        <v>50</v>
      </c>
      <c r="J29" s="62">
        <v>5</v>
      </c>
      <c r="K29" s="63" t="s">
        <v>351</v>
      </c>
      <c r="L29" s="63">
        <v>0.1</v>
      </c>
      <c r="M29" s="65" t="s">
        <v>345</v>
      </c>
      <c r="N29" s="63"/>
      <c r="O29" s="63"/>
      <c r="P29" s="63"/>
      <c r="Q29" s="64"/>
    </row>
    <row r="30" spans="1:17" ht="15" customHeight="1" x14ac:dyDescent="0.25">
      <c r="A30" s="59">
        <v>6559</v>
      </c>
      <c r="B30" s="59">
        <v>188</v>
      </c>
      <c r="C30" s="59" t="s">
        <v>166</v>
      </c>
      <c r="D30" s="60" t="s">
        <v>204</v>
      </c>
      <c r="E30" s="59">
        <v>19</v>
      </c>
      <c r="F30" s="59" t="s">
        <v>353</v>
      </c>
      <c r="G30" s="59">
        <v>199</v>
      </c>
      <c r="H30" s="59" t="s">
        <v>354</v>
      </c>
      <c r="I30" s="61" t="s">
        <v>50</v>
      </c>
      <c r="J30" s="62">
        <v>0.55000000000000004</v>
      </c>
      <c r="K30" s="63" t="s">
        <v>355</v>
      </c>
      <c r="L30" s="63">
        <v>0.1</v>
      </c>
      <c r="M30" s="65"/>
      <c r="N30" s="63"/>
      <c r="O30" s="63"/>
      <c r="P30" s="63"/>
      <c r="Q30" s="64"/>
    </row>
    <row r="31" spans="1:17" ht="15" customHeight="1" x14ac:dyDescent="0.25">
      <c r="A31" s="59">
        <v>6560</v>
      </c>
      <c r="B31" s="59">
        <v>189</v>
      </c>
      <c r="C31" s="59" t="s">
        <v>166</v>
      </c>
      <c r="D31" s="60" t="s">
        <v>206</v>
      </c>
      <c r="E31" s="59">
        <v>19</v>
      </c>
      <c r="F31" s="59" t="s">
        <v>266</v>
      </c>
      <c r="G31" s="59">
        <v>22</v>
      </c>
      <c r="H31" s="59" t="s">
        <v>269</v>
      </c>
      <c r="I31" s="61" t="s">
        <v>14</v>
      </c>
      <c r="J31" s="62">
        <v>3.367</v>
      </c>
      <c r="K31" s="63" t="s">
        <v>340</v>
      </c>
      <c r="L31" s="63">
        <v>0.1</v>
      </c>
      <c r="M31" s="63"/>
      <c r="N31" s="63"/>
      <c r="O31" s="63"/>
      <c r="P31" s="63"/>
      <c r="Q31" s="64"/>
    </row>
    <row r="32" spans="1:17" ht="15" customHeight="1" x14ac:dyDescent="0.25">
      <c r="A32" s="59">
        <v>6560</v>
      </c>
      <c r="B32" s="59">
        <v>189</v>
      </c>
      <c r="C32" s="59" t="s">
        <v>166</v>
      </c>
      <c r="D32" s="60" t="s">
        <v>206</v>
      </c>
      <c r="E32" s="59">
        <v>19</v>
      </c>
      <c r="F32" s="59" t="s">
        <v>278</v>
      </c>
      <c r="G32" s="59">
        <v>3595</v>
      </c>
      <c r="H32" s="59" t="s">
        <v>342</v>
      </c>
      <c r="I32" s="61" t="s">
        <v>14</v>
      </c>
      <c r="J32" s="62">
        <v>0.31</v>
      </c>
      <c r="K32" s="63" t="s">
        <v>30</v>
      </c>
      <c r="L32" s="63">
        <v>0.1</v>
      </c>
      <c r="M32" s="65" t="s">
        <v>343</v>
      </c>
      <c r="N32" s="63"/>
      <c r="O32" s="63"/>
      <c r="P32" s="63"/>
      <c r="Q32" s="64"/>
    </row>
    <row r="33" spans="1:17" ht="15" customHeight="1" x14ac:dyDescent="0.25">
      <c r="A33" s="59">
        <v>6560</v>
      </c>
      <c r="B33" s="59">
        <v>189</v>
      </c>
      <c r="C33" s="59" t="s">
        <v>166</v>
      </c>
      <c r="D33" s="60" t="s">
        <v>206</v>
      </c>
      <c r="E33" s="59">
        <v>19</v>
      </c>
      <c r="F33" s="59" t="s">
        <v>282</v>
      </c>
      <c r="G33" s="59">
        <v>81</v>
      </c>
      <c r="H33" s="59" t="s">
        <v>54</v>
      </c>
      <c r="I33" s="61" t="s">
        <v>48</v>
      </c>
      <c r="J33" s="62">
        <v>1000</v>
      </c>
      <c r="K33" s="63" t="s">
        <v>344</v>
      </c>
      <c r="L33" s="63">
        <v>0.02</v>
      </c>
      <c r="M33" s="65" t="s">
        <v>345</v>
      </c>
      <c r="N33" s="63"/>
      <c r="O33" s="63"/>
      <c r="P33" s="63"/>
      <c r="Q33" s="64"/>
    </row>
    <row r="34" spans="1:17" ht="15" customHeight="1" x14ac:dyDescent="0.25">
      <c r="A34" s="59">
        <v>6560</v>
      </c>
      <c r="B34" s="59">
        <v>189</v>
      </c>
      <c r="C34" s="59" t="s">
        <v>166</v>
      </c>
      <c r="D34" s="60" t="s">
        <v>206</v>
      </c>
      <c r="E34" s="59">
        <v>19</v>
      </c>
      <c r="F34" s="59" t="s">
        <v>284</v>
      </c>
      <c r="G34" s="59">
        <v>39</v>
      </c>
      <c r="H34" s="59" t="s">
        <v>75</v>
      </c>
      <c r="I34" s="61" t="s">
        <v>48</v>
      </c>
      <c r="J34" s="62">
        <v>5</v>
      </c>
      <c r="K34" s="63" t="s">
        <v>346</v>
      </c>
      <c r="L34" s="63">
        <v>0.1</v>
      </c>
      <c r="M34" s="65" t="s">
        <v>345</v>
      </c>
      <c r="N34" s="63"/>
      <c r="O34" s="63"/>
      <c r="P34" s="63"/>
      <c r="Q34" s="64"/>
    </row>
    <row r="35" spans="1:17" ht="15" customHeight="1" x14ac:dyDescent="0.25">
      <c r="A35" s="59">
        <v>6560</v>
      </c>
      <c r="B35" s="59">
        <v>189</v>
      </c>
      <c r="C35" s="59" t="s">
        <v>166</v>
      </c>
      <c r="D35" s="60" t="s">
        <v>206</v>
      </c>
      <c r="E35" s="59">
        <v>19</v>
      </c>
      <c r="F35" s="59" t="s">
        <v>280</v>
      </c>
      <c r="G35" s="59">
        <v>194</v>
      </c>
      <c r="H35" s="59" t="s">
        <v>45</v>
      </c>
      <c r="I35" s="61" t="s">
        <v>14</v>
      </c>
      <c r="J35" s="62">
        <v>3.3999999999999998E-3</v>
      </c>
      <c r="K35" s="63" t="s">
        <v>347</v>
      </c>
      <c r="L35" s="63">
        <v>0.1</v>
      </c>
      <c r="M35" s="63"/>
      <c r="N35" s="63"/>
      <c r="O35" s="63"/>
      <c r="P35" s="63"/>
      <c r="Q35" s="64"/>
    </row>
    <row r="36" spans="1:17" ht="15" customHeight="1" x14ac:dyDescent="0.25">
      <c r="A36" s="59">
        <v>6560</v>
      </c>
      <c r="B36" s="59">
        <v>189</v>
      </c>
      <c r="C36" s="59" t="s">
        <v>166</v>
      </c>
      <c r="D36" s="60" t="s">
        <v>206</v>
      </c>
      <c r="E36" s="59">
        <v>19</v>
      </c>
      <c r="F36" s="59" t="s">
        <v>285</v>
      </c>
      <c r="G36" s="59">
        <v>3635</v>
      </c>
      <c r="H36" s="59" t="s">
        <v>82</v>
      </c>
      <c r="I36" s="61" t="s">
        <v>48</v>
      </c>
      <c r="J36" s="62">
        <v>0.13800000000000001</v>
      </c>
      <c r="K36" s="63" t="s">
        <v>348</v>
      </c>
      <c r="L36" s="63">
        <v>0.1</v>
      </c>
      <c r="M36" s="63"/>
      <c r="N36" s="63"/>
      <c r="O36" s="63"/>
      <c r="P36" s="63"/>
      <c r="Q36" s="64"/>
    </row>
    <row r="37" spans="1:17" ht="15" customHeight="1" x14ac:dyDescent="0.25">
      <c r="A37" s="59">
        <v>6560</v>
      </c>
      <c r="B37" s="59">
        <v>189</v>
      </c>
      <c r="C37" s="59" t="s">
        <v>166</v>
      </c>
      <c r="D37" s="60" t="s">
        <v>206</v>
      </c>
      <c r="E37" s="59">
        <v>19</v>
      </c>
      <c r="F37" s="59" t="s">
        <v>273</v>
      </c>
      <c r="G37" s="59">
        <v>185</v>
      </c>
      <c r="H37" s="59" t="s">
        <v>25</v>
      </c>
      <c r="I37" s="61" t="s">
        <v>26</v>
      </c>
      <c r="J37" s="62">
        <v>0.1449</v>
      </c>
      <c r="K37" s="63" t="s">
        <v>23</v>
      </c>
      <c r="L37" s="63">
        <v>0.1</v>
      </c>
      <c r="M37" s="63"/>
      <c r="N37" s="63"/>
      <c r="O37" s="63"/>
      <c r="P37" s="63"/>
      <c r="Q37" s="64"/>
    </row>
    <row r="38" spans="1:17" ht="15" customHeight="1" x14ac:dyDescent="0.25">
      <c r="A38" s="59">
        <v>6560</v>
      </c>
      <c r="B38" s="59">
        <v>189</v>
      </c>
      <c r="C38" s="59" t="s">
        <v>166</v>
      </c>
      <c r="D38" s="60" t="s">
        <v>206</v>
      </c>
      <c r="E38" s="59">
        <v>19</v>
      </c>
      <c r="F38" s="59" t="s">
        <v>349</v>
      </c>
      <c r="G38" s="59">
        <v>54</v>
      </c>
      <c r="H38" s="59" t="s">
        <v>352</v>
      </c>
      <c r="I38" s="61" t="s">
        <v>50</v>
      </c>
      <c r="J38" s="62">
        <v>5</v>
      </c>
      <c r="K38" s="63" t="s">
        <v>351</v>
      </c>
      <c r="L38" s="63">
        <v>0.1</v>
      </c>
      <c r="M38" s="65" t="s">
        <v>345</v>
      </c>
      <c r="N38" s="63"/>
      <c r="O38" s="63"/>
      <c r="P38" s="63"/>
      <c r="Q38" s="64"/>
    </row>
    <row r="39" spans="1:17" ht="15" customHeight="1" x14ac:dyDescent="0.25">
      <c r="A39" s="59">
        <v>6560</v>
      </c>
      <c r="B39" s="59">
        <v>189</v>
      </c>
      <c r="C39" s="59" t="s">
        <v>166</v>
      </c>
      <c r="D39" s="60" t="s">
        <v>206</v>
      </c>
      <c r="E39" s="59">
        <v>19</v>
      </c>
      <c r="F39" s="59" t="s">
        <v>353</v>
      </c>
      <c r="G39" s="59">
        <v>199</v>
      </c>
      <c r="H39" s="59" t="s">
        <v>354</v>
      </c>
      <c r="I39" s="61" t="s">
        <v>50</v>
      </c>
      <c r="J39" s="62">
        <v>0.55000000000000004</v>
      </c>
      <c r="K39" s="63" t="s">
        <v>355</v>
      </c>
      <c r="L39" s="63">
        <v>0.1</v>
      </c>
      <c r="M39" s="65"/>
      <c r="N39" s="63"/>
      <c r="O39" s="63"/>
      <c r="P39" s="63"/>
      <c r="Q39" s="64"/>
    </row>
    <row r="40" spans="1:17" ht="15" customHeight="1" x14ac:dyDescent="0.25">
      <c r="A40" s="59">
        <v>6077</v>
      </c>
      <c r="B40" s="59">
        <v>138</v>
      </c>
      <c r="C40" s="59" t="s">
        <v>180</v>
      </c>
      <c r="D40" s="60" t="s">
        <v>208</v>
      </c>
      <c r="E40" s="59">
        <v>20.5</v>
      </c>
      <c r="F40" s="59" t="s">
        <v>266</v>
      </c>
      <c r="G40" s="59">
        <v>4179</v>
      </c>
      <c r="H40" s="59" t="s">
        <v>17</v>
      </c>
      <c r="I40" s="61" t="s">
        <v>14</v>
      </c>
      <c r="J40" s="62">
        <v>3.9369999999999998</v>
      </c>
      <c r="K40" s="63" t="s">
        <v>340</v>
      </c>
      <c r="L40" s="63">
        <v>0.1</v>
      </c>
      <c r="M40" s="63"/>
      <c r="N40" s="63"/>
      <c r="O40" s="63"/>
      <c r="P40" s="63"/>
      <c r="Q40" s="64"/>
    </row>
    <row r="41" spans="1:17" ht="15" customHeight="1" x14ac:dyDescent="0.25">
      <c r="A41" s="59">
        <v>6077</v>
      </c>
      <c r="B41" s="59">
        <v>138</v>
      </c>
      <c r="C41" s="59" t="s">
        <v>180</v>
      </c>
      <c r="D41" s="60" t="s">
        <v>208</v>
      </c>
      <c r="E41" s="59">
        <v>20.5</v>
      </c>
      <c r="F41" s="59" t="s">
        <v>278</v>
      </c>
      <c r="G41" s="59">
        <v>3595</v>
      </c>
      <c r="H41" s="59" t="s">
        <v>342</v>
      </c>
      <c r="I41" s="61" t="s">
        <v>14</v>
      </c>
      <c r="J41" s="62">
        <v>0.31</v>
      </c>
      <c r="K41" s="63" t="s">
        <v>30</v>
      </c>
      <c r="L41" s="63">
        <v>0.1</v>
      </c>
      <c r="M41" s="65" t="s">
        <v>356</v>
      </c>
      <c r="N41" s="63"/>
      <c r="O41" s="63"/>
      <c r="P41" s="63"/>
      <c r="Q41" s="64"/>
    </row>
    <row r="42" spans="1:17" ht="15" customHeight="1" x14ac:dyDescent="0.25">
      <c r="A42" s="59">
        <v>6077</v>
      </c>
      <c r="B42" s="59">
        <v>138</v>
      </c>
      <c r="C42" s="59" t="s">
        <v>180</v>
      </c>
      <c r="D42" s="60" t="s">
        <v>208</v>
      </c>
      <c r="E42" s="59">
        <v>20.5</v>
      </c>
      <c r="F42" s="59" t="s">
        <v>282</v>
      </c>
      <c r="G42" s="59">
        <v>7370</v>
      </c>
      <c r="H42" s="59" t="s">
        <v>62</v>
      </c>
      <c r="I42" s="61" t="s">
        <v>48</v>
      </c>
      <c r="J42" s="62">
        <v>1000</v>
      </c>
      <c r="K42" s="63" t="s">
        <v>344</v>
      </c>
      <c r="L42" s="63">
        <v>0.02</v>
      </c>
      <c r="M42" s="65" t="s">
        <v>345</v>
      </c>
      <c r="N42" s="63"/>
      <c r="O42" s="63"/>
      <c r="P42" s="63"/>
      <c r="Q42" s="64"/>
    </row>
    <row r="43" spans="1:17" ht="15" customHeight="1" x14ac:dyDescent="0.25">
      <c r="A43" s="59">
        <v>6077</v>
      </c>
      <c r="B43" s="59">
        <v>138</v>
      </c>
      <c r="C43" s="59" t="s">
        <v>180</v>
      </c>
      <c r="D43" s="60" t="s">
        <v>208</v>
      </c>
      <c r="E43" s="59">
        <v>20.5</v>
      </c>
      <c r="F43" s="59" t="s">
        <v>284</v>
      </c>
      <c r="G43" s="59">
        <v>3619</v>
      </c>
      <c r="H43" s="59" t="s">
        <v>76</v>
      </c>
      <c r="I43" s="61" t="s">
        <v>48</v>
      </c>
      <c r="J43" s="62">
        <v>1.7</v>
      </c>
      <c r="K43" s="63" t="s">
        <v>346</v>
      </c>
      <c r="L43" s="63">
        <v>0.1</v>
      </c>
      <c r="M43" s="63"/>
      <c r="N43" s="63"/>
      <c r="O43" s="63"/>
      <c r="P43" s="63"/>
      <c r="Q43" s="64"/>
    </row>
    <row r="44" spans="1:17" ht="15" customHeight="1" x14ac:dyDescent="0.25">
      <c r="A44" s="59">
        <v>6077</v>
      </c>
      <c r="B44" s="59">
        <v>138</v>
      </c>
      <c r="C44" s="59" t="s">
        <v>180</v>
      </c>
      <c r="D44" s="60" t="s">
        <v>208</v>
      </c>
      <c r="E44" s="59">
        <v>20.5</v>
      </c>
      <c r="F44" s="59" t="s">
        <v>280</v>
      </c>
      <c r="G44" s="59">
        <v>194</v>
      </c>
      <c r="H44" s="59" t="s">
        <v>45</v>
      </c>
      <c r="I44" s="61" t="s">
        <v>14</v>
      </c>
      <c r="J44" s="62">
        <v>3.3999999999999998E-3</v>
      </c>
      <c r="K44" s="63" t="s">
        <v>357</v>
      </c>
      <c r="L44" s="63">
        <v>0.1</v>
      </c>
      <c r="M44" s="63"/>
      <c r="N44" s="63"/>
      <c r="O44" s="63"/>
      <c r="P44" s="63"/>
      <c r="Q44" s="64"/>
    </row>
    <row r="45" spans="1:17" ht="15" customHeight="1" x14ac:dyDescent="0.25">
      <c r="A45" s="59">
        <v>6077</v>
      </c>
      <c r="B45" s="59">
        <v>138</v>
      </c>
      <c r="C45" s="59" t="s">
        <v>180</v>
      </c>
      <c r="D45" s="60" t="s">
        <v>208</v>
      </c>
      <c r="E45" s="59">
        <v>20.5</v>
      </c>
      <c r="F45" s="59" t="s">
        <v>273</v>
      </c>
      <c r="G45" s="59">
        <v>4155</v>
      </c>
      <c r="H45" s="59" t="s">
        <v>277</v>
      </c>
      <c r="I45" s="61" t="s">
        <v>14</v>
      </c>
      <c r="J45" s="62">
        <v>0.1449</v>
      </c>
      <c r="K45" s="63" t="s">
        <v>23</v>
      </c>
      <c r="L45" s="63">
        <v>0.1</v>
      </c>
      <c r="M45" s="63"/>
      <c r="N45" s="63"/>
      <c r="O45" s="63"/>
      <c r="P45" s="63"/>
      <c r="Q45" s="64"/>
    </row>
    <row r="46" spans="1:17" ht="15" customHeight="1" x14ac:dyDescent="0.25">
      <c r="A46" s="59">
        <v>6077</v>
      </c>
      <c r="B46" s="59">
        <v>138</v>
      </c>
      <c r="C46" s="59" t="s">
        <v>180</v>
      </c>
      <c r="D46" s="60" t="s">
        <v>208</v>
      </c>
      <c r="E46" s="59">
        <v>20.5</v>
      </c>
      <c r="F46" s="59" t="s">
        <v>285</v>
      </c>
      <c r="G46" s="59">
        <v>3635</v>
      </c>
      <c r="H46" s="59" t="s">
        <v>82</v>
      </c>
      <c r="I46" s="61" t="s">
        <v>48</v>
      </c>
      <c r="J46" s="62">
        <v>5.8999999999999997E-2</v>
      </c>
      <c r="K46" s="63" t="s">
        <v>81</v>
      </c>
      <c r="L46" s="63">
        <v>0.1</v>
      </c>
      <c r="M46" s="65"/>
      <c r="N46" s="63"/>
      <c r="O46" s="63"/>
      <c r="P46" s="63"/>
      <c r="Q46" s="64"/>
    </row>
    <row r="47" spans="1:17" ht="15" customHeight="1" x14ac:dyDescent="0.25">
      <c r="A47" s="59">
        <v>5698</v>
      </c>
      <c r="B47" s="59">
        <v>22</v>
      </c>
      <c r="C47" s="59" t="s">
        <v>169</v>
      </c>
      <c r="D47" s="60" t="s">
        <v>209</v>
      </c>
      <c r="E47" s="59">
        <v>20.5</v>
      </c>
      <c r="F47" s="59" t="s">
        <v>266</v>
      </c>
      <c r="G47" s="59">
        <v>4179</v>
      </c>
      <c r="H47" s="59" t="s">
        <v>17</v>
      </c>
      <c r="I47" s="61" t="s">
        <v>14</v>
      </c>
      <c r="J47" s="62">
        <v>3.9369999999999998</v>
      </c>
      <c r="K47" s="63" t="s">
        <v>340</v>
      </c>
      <c r="L47" s="63">
        <v>0.1</v>
      </c>
      <c r="M47" s="63"/>
      <c r="N47" s="63"/>
      <c r="O47" s="63"/>
      <c r="P47" s="63"/>
      <c r="Q47" s="64"/>
    </row>
    <row r="48" spans="1:17" ht="15" customHeight="1" x14ac:dyDescent="0.25">
      <c r="A48" s="59">
        <v>5698</v>
      </c>
      <c r="B48" s="59">
        <v>22</v>
      </c>
      <c r="C48" s="59" t="s">
        <v>169</v>
      </c>
      <c r="D48" s="60" t="s">
        <v>209</v>
      </c>
      <c r="E48" s="59">
        <v>20.5</v>
      </c>
      <c r="F48" s="59" t="s">
        <v>278</v>
      </c>
      <c r="G48" s="59">
        <v>3595</v>
      </c>
      <c r="H48" s="59" t="s">
        <v>342</v>
      </c>
      <c r="I48" s="61" t="s">
        <v>14</v>
      </c>
      <c r="J48" s="62">
        <v>0.38500000000000001</v>
      </c>
      <c r="K48" s="63" t="s">
        <v>30</v>
      </c>
      <c r="L48" s="63">
        <v>0.1</v>
      </c>
      <c r="M48" s="65" t="s">
        <v>343</v>
      </c>
      <c r="N48" s="63"/>
      <c r="O48" s="63"/>
      <c r="P48" s="63"/>
      <c r="Q48" s="64"/>
    </row>
    <row r="49" spans="1:17" ht="15" customHeight="1" x14ac:dyDescent="0.25">
      <c r="A49" s="59">
        <v>5698</v>
      </c>
      <c r="B49" s="59">
        <v>22</v>
      </c>
      <c r="C49" s="59" t="s">
        <v>169</v>
      </c>
      <c r="D49" s="60" t="s">
        <v>209</v>
      </c>
      <c r="E49" s="59">
        <v>20.5</v>
      </c>
      <c r="F49" s="59" t="s">
        <v>282</v>
      </c>
      <c r="G49" s="59">
        <v>6971</v>
      </c>
      <c r="H49" s="59" t="s">
        <v>61</v>
      </c>
      <c r="I49" s="61" t="s">
        <v>48</v>
      </c>
      <c r="J49" s="62">
        <v>1000</v>
      </c>
      <c r="K49" s="63" t="s">
        <v>344</v>
      </c>
      <c r="L49" s="63">
        <v>0.02</v>
      </c>
      <c r="M49" s="65" t="s">
        <v>345</v>
      </c>
      <c r="N49" s="63"/>
      <c r="O49" s="63"/>
      <c r="P49" s="63"/>
      <c r="Q49" s="64"/>
    </row>
    <row r="50" spans="1:17" ht="15" customHeight="1" x14ac:dyDescent="0.25">
      <c r="A50" s="59">
        <v>5698</v>
      </c>
      <c r="B50" s="59">
        <v>22</v>
      </c>
      <c r="C50" s="59" t="s">
        <v>169</v>
      </c>
      <c r="D50" s="60" t="s">
        <v>209</v>
      </c>
      <c r="E50" s="59">
        <v>20.5</v>
      </c>
      <c r="F50" s="59" t="s">
        <v>284</v>
      </c>
      <c r="G50" s="59">
        <v>3619</v>
      </c>
      <c r="H50" s="59" t="s">
        <v>76</v>
      </c>
      <c r="I50" s="61" t="s">
        <v>48</v>
      </c>
      <c r="J50" s="62">
        <v>2.976</v>
      </c>
      <c r="K50" s="63" t="s">
        <v>346</v>
      </c>
      <c r="L50" s="63">
        <v>0.1</v>
      </c>
      <c r="M50" s="63"/>
      <c r="N50" s="63"/>
      <c r="O50" s="63"/>
      <c r="P50" s="63"/>
      <c r="Q50" s="64"/>
    </row>
    <row r="51" spans="1:17" ht="15" customHeight="1" x14ac:dyDescent="0.25">
      <c r="A51" s="59">
        <v>5698</v>
      </c>
      <c r="B51" s="59">
        <v>22</v>
      </c>
      <c r="C51" s="59" t="s">
        <v>169</v>
      </c>
      <c r="D51" s="60" t="s">
        <v>209</v>
      </c>
      <c r="E51" s="59">
        <v>20.5</v>
      </c>
      <c r="F51" s="59" t="s">
        <v>280</v>
      </c>
      <c r="G51" s="59">
        <v>194</v>
      </c>
      <c r="H51" s="59" t="s">
        <v>45</v>
      </c>
      <c r="I51" s="61" t="s">
        <v>14</v>
      </c>
      <c r="J51" s="62">
        <v>4.0899999999999999E-3</v>
      </c>
      <c r="K51" s="63" t="s">
        <v>347</v>
      </c>
      <c r="L51" s="63">
        <v>0.1</v>
      </c>
      <c r="M51" s="63"/>
      <c r="N51" s="63"/>
      <c r="O51" s="63"/>
      <c r="P51" s="63"/>
      <c r="Q51" s="64"/>
    </row>
    <row r="52" spans="1:17" ht="15" customHeight="1" x14ac:dyDescent="0.25">
      <c r="A52" s="59">
        <v>5698</v>
      </c>
      <c r="B52" s="59">
        <v>22</v>
      </c>
      <c r="C52" s="59" t="s">
        <v>169</v>
      </c>
      <c r="D52" s="60" t="s">
        <v>209</v>
      </c>
      <c r="E52" s="59">
        <v>20.5</v>
      </c>
      <c r="F52" s="59" t="s">
        <v>273</v>
      </c>
      <c r="G52" s="59">
        <v>185</v>
      </c>
      <c r="H52" s="59" t="s">
        <v>25</v>
      </c>
      <c r="I52" s="61" t="s">
        <v>26</v>
      </c>
      <c r="J52" s="62">
        <v>0.24</v>
      </c>
      <c r="K52" s="63" t="s">
        <v>23</v>
      </c>
      <c r="L52" s="63">
        <v>0.1</v>
      </c>
      <c r="M52" s="63"/>
      <c r="N52" s="63"/>
      <c r="O52" s="63"/>
      <c r="P52" s="63"/>
      <c r="Q52" s="64"/>
    </row>
    <row r="53" spans="1:17" ht="15" customHeight="1" x14ac:dyDescent="0.25">
      <c r="A53" s="59">
        <v>5698</v>
      </c>
      <c r="B53" s="59">
        <v>22</v>
      </c>
      <c r="C53" s="59" t="s">
        <v>169</v>
      </c>
      <c r="D53" s="60" t="s">
        <v>209</v>
      </c>
      <c r="E53" s="59">
        <v>20.5</v>
      </c>
      <c r="F53" s="59" t="s">
        <v>285</v>
      </c>
      <c r="G53" s="59">
        <v>3635</v>
      </c>
      <c r="H53" s="59" t="s">
        <v>82</v>
      </c>
      <c r="I53" s="61" t="s">
        <v>48</v>
      </c>
      <c r="J53" s="62">
        <v>5.8999999999999997E-2</v>
      </c>
      <c r="K53" s="63" t="s">
        <v>348</v>
      </c>
      <c r="L53" s="63">
        <v>0.1</v>
      </c>
      <c r="M53" s="65"/>
      <c r="N53" s="63"/>
      <c r="O53" s="63"/>
      <c r="P53" s="63"/>
      <c r="Q53" s="64"/>
    </row>
    <row r="54" spans="1:17" ht="15" customHeight="1" x14ac:dyDescent="0.25">
      <c r="A54" s="59">
        <v>5699</v>
      </c>
      <c r="B54" s="59">
        <v>21</v>
      </c>
      <c r="C54" s="59" t="s">
        <v>169</v>
      </c>
      <c r="D54" s="60" t="s">
        <v>207</v>
      </c>
      <c r="E54" s="59">
        <v>20.5</v>
      </c>
      <c r="F54" s="59" t="s">
        <v>266</v>
      </c>
      <c r="G54" s="59">
        <v>4179</v>
      </c>
      <c r="H54" s="59" t="s">
        <v>17</v>
      </c>
      <c r="I54" s="61" t="s">
        <v>14</v>
      </c>
      <c r="J54" s="62">
        <v>3.9369999999999998</v>
      </c>
      <c r="K54" s="63" t="s">
        <v>340</v>
      </c>
      <c r="L54" s="63">
        <v>0.1</v>
      </c>
      <c r="M54" s="63"/>
      <c r="N54" s="63"/>
      <c r="O54" s="63"/>
      <c r="P54" s="63"/>
      <c r="Q54" s="64"/>
    </row>
    <row r="55" spans="1:17" ht="15" customHeight="1" x14ac:dyDescent="0.25">
      <c r="A55" s="59">
        <v>5699</v>
      </c>
      <c r="B55" s="59">
        <v>21</v>
      </c>
      <c r="C55" s="59" t="s">
        <v>169</v>
      </c>
      <c r="D55" s="60" t="s">
        <v>207</v>
      </c>
      <c r="E55" s="59">
        <v>20.5</v>
      </c>
      <c r="F55" s="59" t="s">
        <v>278</v>
      </c>
      <c r="G55" s="59">
        <v>3595</v>
      </c>
      <c r="H55" s="59" t="s">
        <v>342</v>
      </c>
      <c r="I55" s="61" t="s">
        <v>14</v>
      </c>
      <c r="J55" s="62">
        <v>0.38500000000000001</v>
      </c>
      <c r="K55" s="63" t="s">
        <v>30</v>
      </c>
      <c r="L55" s="63">
        <v>0.1</v>
      </c>
      <c r="M55" s="65" t="s">
        <v>343</v>
      </c>
      <c r="N55" s="63"/>
      <c r="O55" s="63"/>
      <c r="P55" s="63"/>
      <c r="Q55" s="64"/>
    </row>
    <row r="56" spans="1:17" ht="15" customHeight="1" x14ac:dyDescent="0.25">
      <c r="A56" s="59">
        <v>5699</v>
      </c>
      <c r="B56" s="59">
        <v>21</v>
      </c>
      <c r="C56" s="59" t="s">
        <v>169</v>
      </c>
      <c r="D56" s="60" t="s">
        <v>207</v>
      </c>
      <c r="E56" s="59">
        <v>20.5</v>
      </c>
      <c r="F56" s="59" t="s">
        <v>282</v>
      </c>
      <c r="G56" s="59">
        <v>6971</v>
      </c>
      <c r="H56" s="59" t="s">
        <v>61</v>
      </c>
      <c r="I56" s="61" t="s">
        <v>48</v>
      </c>
      <c r="J56" s="62">
        <v>1000</v>
      </c>
      <c r="K56" s="63" t="s">
        <v>344</v>
      </c>
      <c r="L56" s="63">
        <v>0.02</v>
      </c>
      <c r="M56" s="65" t="s">
        <v>345</v>
      </c>
      <c r="N56" s="63"/>
      <c r="O56" s="63"/>
      <c r="P56" s="63"/>
      <c r="Q56" s="64"/>
    </row>
    <row r="57" spans="1:17" ht="15" customHeight="1" x14ac:dyDescent="0.25">
      <c r="A57" s="59">
        <v>5699</v>
      </c>
      <c r="B57" s="59">
        <v>21</v>
      </c>
      <c r="C57" s="59" t="s">
        <v>169</v>
      </c>
      <c r="D57" s="60" t="s">
        <v>207</v>
      </c>
      <c r="E57" s="59">
        <v>20.5</v>
      </c>
      <c r="F57" s="59" t="s">
        <v>284</v>
      </c>
      <c r="G57" s="59">
        <v>3619</v>
      </c>
      <c r="H57" s="59" t="s">
        <v>76</v>
      </c>
      <c r="I57" s="61" t="s">
        <v>48</v>
      </c>
      <c r="J57" s="62">
        <v>1.9607000000000001</v>
      </c>
      <c r="K57" s="63" t="s">
        <v>346</v>
      </c>
      <c r="L57" s="63">
        <v>0.1</v>
      </c>
      <c r="M57" s="63"/>
      <c r="N57" s="63"/>
      <c r="O57" s="63"/>
      <c r="P57" s="63"/>
      <c r="Q57" s="64"/>
    </row>
    <row r="58" spans="1:17" ht="15" customHeight="1" x14ac:dyDescent="0.25">
      <c r="A58" s="59">
        <v>5699</v>
      </c>
      <c r="B58" s="59">
        <v>21</v>
      </c>
      <c r="C58" s="59" t="s">
        <v>169</v>
      </c>
      <c r="D58" s="60" t="s">
        <v>207</v>
      </c>
      <c r="E58" s="59">
        <v>20.5</v>
      </c>
      <c r="F58" s="59" t="s">
        <v>280</v>
      </c>
      <c r="G58" s="59">
        <v>194</v>
      </c>
      <c r="H58" s="59" t="s">
        <v>45</v>
      </c>
      <c r="I58" s="61" t="s">
        <v>14</v>
      </c>
      <c r="J58" s="62">
        <v>4.0899999999999999E-3</v>
      </c>
      <c r="K58" s="63" t="s">
        <v>347</v>
      </c>
      <c r="L58" s="63">
        <v>0.1</v>
      </c>
      <c r="M58" s="63"/>
      <c r="N58" s="63"/>
      <c r="O58" s="63"/>
      <c r="P58" s="63"/>
      <c r="Q58" s="64"/>
    </row>
    <row r="59" spans="1:17" ht="15" customHeight="1" x14ac:dyDescent="0.25">
      <c r="A59" s="59">
        <v>5699</v>
      </c>
      <c r="B59" s="59">
        <v>21</v>
      </c>
      <c r="C59" s="59" t="s">
        <v>169</v>
      </c>
      <c r="D59" s="60" t="s">
        <v>207</v>
      </c>
      <c r="E59" s="59">
        <v>20.5</v>
      </c>
      <c r="F59" s="59" t="s">
        <v>273</v>
      </c>
      <c r="G59" s="59">
        <v>185</v>
      </c>
      <c r="H59" s="59" t="s">
        <v>25</v>
      </c>
      <c r="I59" s="61" t="s">
        <v>26</v>
      </c>
      <c r="J59" s="62">
        <v>0.24</v>
      </c>
      <c r="K59" s="63" t="s">
        <v>23</v>
      </c>
      <c r="L59" s="63">
        <v>0.1</v>
      </c>
      <c r="M59" s="63"/>
      <c r="N59" s="63"/>
      <c r="O59" s="63"/>
      <c r="P59" s="63"/>
      <c r="Q59" s="64"/>
    </row>
    <row r="60" spans="1:17" ht="15" customHeight="1" x14ac:dyDescent="0.25">
      <c r="A60" s="59">
        <v>5699</v>
      </c>
      <c r="B60" s="59">
        <v>21</v>
      </c>
      <c r="C60" s="59" t="s">
        <v>169</v>
      </c>
      <c r="D60" s="60" t="s">
        <v>207</v>
      </c>
      <c r="E60" s="59">
        <v>20.5</v>
      </c>
      <c r="F60" s="59" t="s">
        <v>285</v>
      </c>
      <c r="G60" s="59">
        <v>3635</v>
      </c>
      <c r="H60" s="59" t="s">
        <v>82</v>
      </c>
      <c r="I60" s="61" t="s">
        <v>48</v>
      </c>
      <c r="J60" s="62">
        <v>5.8999999999999997E-2</v>
      </c>
      <c r="K60" s="63" t="s">
        <v>348</v>
      </c>
      <c r="L60" s="63">
        <v>0.1</v>
      </c>
      <c r="M60" s="65"/>
      <c r="N60" s="63"/>
      <c r="O60" s="63"/>
      <c r="P60" s="63"/>
      <c r="Q60" s="64"/>
    </row>
    <row r="61" spans="1:17" ht="15" customHeight="1" x14ac:dyDescent="0.25">
      <c r="A61" s="59">
        <v>5731</v>
      </c>
      <c r="B61" s="59">
        <v>32</v>
      </c>
      <c r="C61" s="59" t="s">
        <v>169</v>
      </c>
      <c r="D61" s="60" t="s">
        <v>210</v>
      </c>
      <c r="E61" s="59">
        <v>20.5</v>
      </c>
      <c r="F61" s="59" t="s">
        <v>266</v>
      </c>
      <c r="G61" s="59">
        <v>4179</v>
      </c>
      <c r="H61" s="59" t="s">
        <v>17</v>
      </c>
      <c r="I61" s="61" t="s">
        <v>14</v>
      </c>
      <c r="J61" s="62">
        <v>3.9369999999999998</v>
      </c>
      <c r="K61" s="63" t="s">
        <v>340</v>
      </c>
      <c r="L61" s="63">
        <v>0.1</v>
      </c>
      <c r="M61" s="65"/>
      <c r="N61" s="63"/>
      <c r="O61" s="63"/>
      <c r="P61" s="63"/>
      <c r="Q61" s="64"/>
    </row>
    <row r="62" spans="1:17" ht="15" customHeight="1" x14ac:dyDescent="0.25">
      <c r="A62" s="59">
        <v>5731</v>
      </c>
      <c r="B62" s="59">
        <v>32</v>
      </c>
      <c r="C62" s="59" t="s">
        <v>169</v>
      </c>
      <c r="D62" s="60" t="s">
        <v>210</v>
      </c>
      <c r="E62" s="59">
        <v>20.5</v>
      </c>
      <c r="F62" s="59" t="s">
        <v>278</v>
      </c>
      <c r="G62" s="59">
        <v>3595</v>
      </c>
      <c r="H62" s="59" t="s">
        <v>342</v>
      </c>
      <c r="I62" s="61" t="s">
        <v>14</v>
      </c>
      <c r="J62" s="62">
        <v>0.38500000000000001</v>
      </c>
      <c r="K62" s="63" t="s">
        <v>30</v>
      </c>
      <c r="L62" s="63">
        <v>0.1</v>
      </c>
      <c r="M62" s="65" t="s">
        <v>356</v>
      </c>
      <c r="N62" s="63"/>
      <c r="O62" s="63"/>
      <c r="P62" s="63"/>
      <c r="Q62" s="64"/>
    </row>
    <row r="63" spans="1:17" ht="15" customHeight="1" x14ac:dyDescent="0.25">
      <c r="A63" s="59">
        <v>5731</v>
      </c>
      <c r="B63" s="59">
        <v>32</v>
      </c>
      <c r="C63" s="59" t="s">
        <v>169</v>
      </c>
      <c r="D63" s="60" t="s">
        <v>210</v>
      </c>
      <c r="E63" s="59">
        <v>20.5</v>
      </c>
      <c r="F63" s="59" t="s">
        <v>282</v>
      </c>
      <c r="G63" s="59">
        <v>6971</v>
      </c>
      <c r="H63" s="59" t="s">
        <v>61</v>
      </c>
      <c r="I63" s="61" t="s">
        <v>48</v>
      </c>
      <c r="J63" s="62">
        <v>1000</v>
      </c>
      <c r="K63" s="63" t="s">
        <v>344</v>
      </c>
      <c r="L63" s="63">
        <v>0.02</v>
      </c>
      <c r="M63" s="65" t="s">
        <v>356</v>
      </c>
      <c r="N63" s="63"/>
      <c r="O63" s="63"/>
      <c r="P63" s="63"/>
      <c r="Q63" s="64"/>
    </row>
    <row r="64" spans="1:17" ht="15" customHeight="1" x14ac:dyDescent="0.25">
      <c r="A64" s="59">
        <v>5731</v>
      </c>
      <c r="B64" s="59">
        <v>32</v>
      </c>
      <c r="C64" s="59" t="s">
        <v>169</v>
      </c>
      <c r="D64" s="60" t="s">
        <v>210</v>
      </c>
      <c r="E64" s="59">
        <v>20.5</v>
      </c>
      <c r="F64" s="59" t="s">
        <v>284</v>
      </c>
      <c r="G64" s="59">
        <v>3619</v>
      </c>
      <c r="H64" s="59" t="s">
        <v>76</v>
      </c>
      <c r="I64" s="61" t="s">
        <v>48</v>
      </c>
      <c r="J64" s="62">
        <v>1.96</v>
      </c>
      <c r="K64" s="63" t="s">
        <v>346</v>
      </c>
      <c r="L64" s="63">
        <v>0.1</v>
      </c>
      <c r="M64" s="65"/>
      <c r="N64" s="63"/>
      <c r="O64" s="63"/>
      <c r="P64" s="63"/>
      <c r="Q64" s="64"/>
    </row>
    <row r="65" spans="1:17" ht="15" customHeight="1" x14ac:dyDescent="0.25">
      <c r="A65" s="59">
        <v>5731</v>
      </c>
      <c r="B65" s="59">
        <v>32</v>
      </c>
      <c r="C65" s="59" t="s">
        <v>169</v>
      </c>
      <c r="D65" s="60" t="s">
        <v>210</v>
      </c>
      <c r="E65" s="59">
        <v>20.5</v>
      </c>
      <c r="F65" s="59" t="s">
        <v>280</v>
      </c>
      <c r="G65" s="59">
        <v>194</v>
      </c>
      <c r="H65" s="59" t="s">
        <v>45</v>
      </c>
      <c r="I65" s="61" t="s">
        <v>14</v>
      </c>
      <c r="J65" s="62">
        <v>4.0940000000000004E-3</v>
      </c>
      <c r="K65" s="63" t="s">
        <v>347</v>
      </c>
      <c r="L65" s="63">
        <v>0.1</v>
      </c>
      <c r="M65" s="63"/>
      <c r="N65" s="63"/>
      <c r="O65" s="63"/>
      <c r="P65" s="63"/>
      <c r="Q65" s="64"/>
    </row>
    <row r="66" spans="1:17" ht="15" customHeight="1" x14ac:dyDescent="0.25">
      <c r="A66" s="59">
        <v>5731</v>
      </c>
      <c r="B66" s="59">
        <v>32</v>
      </c>
      <c r="C66" s="59" t="s">
        <v>169</v>
      </c>
      <c r="D66" s="60" t="s">
        <v>210</v>
      </c>
      <c r="E66" s="59">
        <v>20.5</v>
      </c>
      <c r="F66" s="59" t="s">
        <v>273</v>
      </c>
      <c r="G66" s="59">
        <v>185</v>
      </c>
      <c r="H66" s="59" t="s">
        <v>25</v>
      </c>
      <c r="I66" s="61" t="s">
        <v>26</v>
      </c>
      <c r="J66" s="62">
        <v>0.24</v>
      </c>
      <c r="K66" s="63" t="s">
        <v>23</v>
      </c>
      <c r="L66" s="63">
        <v>0.1</v>
      </c>
      <c r="M66" s="65" t="s">
        <v>356</v>
      </c>
      <c r="N66" s="63"/>
      <c r="O66" s="63"/>
      <c r="P66" s="63"/>
      <c r="Q66" s="64"/>
    </row>
    <row r="67" spans="1:17" ht="15" customHeight="1" x14ac:dyDescent="0.25">
      <c r="A67" s="59">
        <v>5731</v>
      </c>
      <c r="B67" s="59">
        <v>32</v>
      </c>
      <c r="C67" s="59" t="s">
        <v>169</v>
      </c>
      <c r="D67" s="60" t="s">
        <v>210</v>
      </c>
      <c r="E67" s="59">
        <v>20.5</v>
      </c>
      <c r="F67" s="59" t="s">
        <v>285</v>
      </c>
      <c r="G67" s="59">
        <v>3635</v>
      </c>
      <c r="H67" s="59" t="s">
        <v>82</v>
      </c>
      <c r="I67" s="61" t="s">
        <v>48</v>
      </c>
      <c r="J67" s="62">
        <v>2.996</v>
      </c>
      <c r="K67" s="63" t="s">
        <v>348</v>
      </c>
      <c r="L67" s="63">
        <v>0.1</v>
      </c>
      <c r="M67" s="65"/>
      <c r="N67" s="63"/>
      <c r="O67" s="63"/>
      <c r="P67" s="63"/>
      <c r="Q67" s="64"/>
    </row>
    <row r="68" spans="1:17" ht="15" customHeight="1" x14ac:dyDescent="0.25">
      <c r="A68" s="59">
        <v>5732</v>
      </c>
      <c r="B68" s="59">
        <v>33</v>
      </c>
      <c r="C68" s="59" t="s">
        <v>169</v>
      </c>
      <c r="D68" s="60" t="s">
        <v>211</v>
      </c>
      <c r="E68" s="59">
        <v>20.5</v>
      </c>
      <c r="F68" s="59" t="s">
        <v>266</v>
      </c>
      <c r="G68" s="59">
        <v>4179</v>
      </c>
      <c r="H68" s="59" t="s">
        <v>17</v>
      </c>
      <c r="I68" s="61" t="s">
        <v>14</v>
      </c>
      <c r="J68" s="62">
        <v>3.9369999999999998</v>
      </c>
      <c r="K68" s="63" t="s">
        <v>340</v>
      </c>
      <c r="L68" s="63">
        <v>0.1</v>
      </c>
      <c r="M68" s="65"/>
      <c r="N68" s="63"/>
      <c r="O68" s="63"/>
      <c r="P68" s="63"/>
      <c r="Q68" s="64"/>
    </row>
    <row r="69" spans="1:17" ht="15" customHeight="1" x14ac:dyDescent="0.25">
      <c r="A69" s="59">
        <v>5732</v>
      </c>
      <c r="B69" s="59">
        <v>33</v>
      </c>
      <c r="C69" s="59" t="s">
        <v>169</v>
      </c>
      <c r="D69" s="60" t="s">
        <v>211</v>
      </c>
      <c r="E69" s="59">
        <v>20.5</v>
      </c>
      <c r="F69" s="59" t="s">
        <v>278</v>
      </c>
      <c r="G69" s="59">
        <v>3595</v>
      </c>
      <c r="H69" s="59" t="s">
        <v>342</v>
      </c>
      <c r="I69" s="61" t="s">
        <v>14</v>
      </c>
      <c r="J69" s="62">
        <v>0.38500000000000001</v>
      </c>
      <c r="K69" s="63" t="s">
        <v>30</v>
      </c>
      <c r="L69" s="63">
        <v>0.1</v>
      </c>
      <c r="M69" s="65" t="s">
        <v>356</v>
      </c>
      <c r="N69" s="63"/>
      <c r="O69" s="63"/>
      <c r="P69" s="63"/>
      <c r="Q69" s="64"/>
    </row>
    <row r="70" spans="1:17" ht="15" customHeight="1" x14ac:dyDescent="0.25">
      <c r="A70" s="59">
        <v>5732</v>
      </c>
      <c r="B70" s="59">
        <v>33</v>
      </c>
      <c r="C70" s="59" t="s">
        <v>169</v>
      </c>
      <c r="D70" s="60" t="s">
        <v>211</v>
      </c>
      <c r="E70" s="59">
        <v>20.5</v>
      </c>
      <c r="F70" s="59" t="s">
        <v>282</v>
      </c>
      <c r="G70" s="59">
        <v>6971</v>
      </c>
      <c r="H70" s="59" t="s">
        <v>61</v>
      </c>
      <c r="I70" s="61" t="s">
        <v>48</v>
      </c>
      <c r="J70" s="62">
        <v>1000</v>
      </c>
      <c r="K70" s="63" t="s">
        <v>344</v>
      </c>
      <c r="L70" s="63">
        <v>0.02</v>
      </c>
      <c r="M70" s="65" t="s">
        <v>356</v>
      </c>
      <c r="N70" s="63"/>
      <c r="O70" s="63"/>
      <c r="P70" s="63"/>
      <c r="Q70" s="64"/>
    </row>
    <row r="71" spans="1:17" ht="15" customHeight="1" x14ac:dyDescent="0.25">
      <c r="A71" s="59">
        <v>5732</v>
      </c>
      <c r="B71" s="59">
        <v>33</v>
      </c>
      <c r="C71" s="59" t="s">
        <v>169</v>
      </c>
      <c r="D71" s="60" t="s">
        <v>211</v>
      </c>
      <c r="E71" s="59">
        <v>20.5</v>
      </c>
      <c r="F71" s="59" t="s">
        <v>284</v>
      </c>
      <c r="G71" s="59">
        <v>3619</v>
      </c>
      <c r="H71" s="59" t="s">
        <v>76</v>
      </c>
      <c r="I71" s="61" t="s">
        <v>48</v>
      </c>
      <c r="J71" s="62">
        <v>1.96</v>
      </c>
      <c r="K71" s="63" t="s">
        <v>346</v>
      </c>
      <c r="L71" s="63">
        <v>0.1</v>
      </c>
      <c r="M71" s="65"/>
      <c r="N71" s="63"/>
      <c r="O71" s="63"/>
      <c r="P71" s="63"/>
      <c r="Q71" s="64"/>
    </row>
    <row r="72" spans="1:17" ht="15" customHeight="1" x14ac:dyDescent="0.25">
      <c r="A72" s="59">
        <v>5732</v>
      </c>
      <c r="B72" s="59">
        <v>33</v>
      </c>
      <c r="C72" s="59" t="s">
        <v>169</v>
      </c>
      <c r="D72" s="60" t="s">
        <v>211</v>
      </c>
      <c r="E72" s="59">
        <v>20.5</v>
      </c>
      <c r="F72" s="59" t="s">
        <v>280</v>
      </c>
      <c r="G72" s="59">
        <v>194</v>
      </c>
      <c r="H72" s="59" t="s">
        <v>45</v>
      </c>
      <c r="I72" s="61" t="s">
        <v>14</v>
      </c>
      <c r="J72" s="62">
        <v>4.0899999999999999E-3</v>
      </c>
      <c r="K72" s="63" t="s">
        <v>357</v>
      </c>
      <c r="L72" s="63">
        <v>0.1</v>
      </c>
      <c r="M72" s="63"/>
      <c r="N72" s="63"/>
      <c r="O72" s="63"/>
      <c r="P72" s="63"/>
      <c r="Q72" s="64"/>
    </row>
    <row r="73" spans="1:17" ht="15" customHeight="1" x14ac:dyDescent="0.25">
      <c r="A73" s="59">
        <v>5732</v>
      </c>
      <c r="B73" s="59">
        <v>33</v>
      </c>
      <c r="C73" s="59" t="s">
        <v>169</v>
      </c>
      <c r="D73" s="60" t="s">
        <v>211</v>
      </c>
      <c r="E73" s="59">
        <v>20.5</v>
      </c>
      <c r="F73" s="59" t="s">
        <v>273</v>
      </c>
      <c r="G73" s="59">
        <v>185</v>
      </c>
      <c r="H73" s="59" t="s">
        <v>25</v>
      </c>
      <c r="I73" s="61" t="s">
        <v>26</v>
      </c>
      <c r="J73" s="62">
        <v>0.24</v>
      </c>
      <c r="K73" s="63" t="s">
        <v>23</v>
      </c>
      <c r="L73" s="63">
        <v>0.1</v>
      </c>
      <c r="M73" s="65" t="s">
        <v>356</v>
      </c>
      <c r="N73" s="63"/>
      <c r="O73" s="63"/>
      <c r="P73" s="63"/>
      <c r="Q73" s="64"/>
    </row>
    <row r="74" spans="1:17" ht="15" customHeight="1" x14ac:dyDescent="0.25">
      <c r="A74" s="59">
        <v>5732</v>
      </c>
      <c r="B74" s="59">
        <v>33</v>
      </c>
      <c r="C74" s="59" t="s">
        <v>169</v>
      </c>
      <c r="D74" s="60" t="s">
        <v>211</v>
      </c>
      <c r="E74" s="59">
        <v>20.5</v>
      </c>
      <c r="F74" s="59" t="s">
        <v>285</v>
      </c>
      <c r="G74" s="59">
        <v>3635</v>
      </c>
      <c r="H74" s="59" t="s">
        <v>82</v>
      </c>
      <c r="I74" s="61" t="s">
        <v>48</v>
      </c>
      <c r="J74" s="62">
        <v>2.996</v>
      </c>
      <c r="K74" s="63" t="s">
        <v>81</v>
      </c>
      <c r="L74" s="63">
        <v>0.1</v>
      </c>
      <c r="M74" s="65"/>
      <c r="N74" s="63"/>
      <c r="O74" s="63"/>
      <c r="P74" s="63"/>
      <c r="Q74" s="64"/>
    </row>
    <row r="75" spans="1:17" ht="15" customHeight="1" x14ac:dyDescent="0.25">
      <c r="A75" s="59">
        <v>6556</v>
      </c>
      <c r="B75" s="59">
        <v>186</v>
      </c>
      <c r="C75" s="59" t="s">
        <v>169</v>
      </c>
      <c r="D75" s="60" t="s">
        <v>212</v>
      </c>
      <c r="E75" s="59">
        <v>20.5</v>
      </c>
      <c r="F75" s="59" t="s">
        <v>266</v>
      </c>
      <c r="G75" s="59">
        <v>4179</v>
      </c>
      <c r="H75" s="59" t="s">
        <v>17</v>
      </c>
      <c r="I75" s="61" t="s">
        <v>14</v>
      </c>
      <c r="J75" s="62">
        <v>3.9369999999999998</v>
      </c>
      <c r="K75" s="63" t="s">
        <v>340</v>
      </c>
      <c r="L75" s="63">
        <v>0.1</v>
      </c>
      <c r="M75" s="63"/>
      <c r="N75" s="63"/>
      <c r="O75" s="63"/>
      <c r="P75" s="63"/>
      <c r="Q75" s="64"/>
    </row>
    <row r="76" spans="1:17" ht="15" customHeight="1" x14ac:dyDescent="0.25">
      <c r="A76" s="59">
        <v>6556</v>
      </c>
      <c r="B76" s="59">
        <v>186</v>
      </c>
      <c r="C76" s="59" t="s">
        <v>169</v>
      </c>
      <c r="D76" s="60" t="s">
        <v>212</v>
      </c>
      <c r="E76" s="59">
        <v>20.5</v>
      </c>
      <c r="F76" s="59" t="s">
        <v>278</v>
      </c>
      <c r="G76" s="59">
        <v>3595</v>
      </c>
      <c r="H76" s="59" t="s">
        <v>342</v>
      </c>
      <c r="I76" s="61" t="s">
        <v>14</v>
      </c>
      <c r="J76" s="62">
        <v>0.38500000000000001</v>
      </c>
      <c r="K76" s="63" t="s">
        <v>30</v>
      </c>
      <c r="L76" s="63">
        <v>0.1</v>
      </c>
      <c r="M76" s="65" t="s">
        <v>343</v>
      </c>
      <c r="N76" s="63"/>
      <c r="O76" s="63"/>
      <c r="P76" s="63"/>
      <c r="Q76" s="64"/>
    </row>
    <row r="77" spans="1:17" ht="15" customHeight="1" x14ac:dyDescent="0.25">
      <c r="A77" s="59">
        <v>6556</v>
      </c>
      <c r="B77" s="59">
        <v>186</v>
      </c>
      <c r="C77" s="59" t="s">
        <v>169</v>
      </c>
      <c r="D77" s="60" t="s">
        <v>212</v>
      </c>
      <c r="E77" s="59">
        <v>20.5</v>
      </c>
      <c r="F77" s="59" t="s">
        <v>282</v>
      </c>
      <c r="G77" s="59">
        <v>6971</v>
      </c>
      <c r="H77" s="59" t="s">
        <v>61</v>
      </c>
      <c r="I77" s="61" t="s">
        <v>48</v>
      </c>
      <c r="J77" s="62">
        <v>1000</v>
      </c>
      <c r="K77" s="63" t="s">
        <v>344</v>
      </c>
      <c r="L77" s="63">
        <v>0.02</v>
      </c>
      <c r="M77" s="65" t="s">
        <v>345</v>
      </c>
      <c r="N77" s="63"/>
      <c r="O77" s="63"/>
      <c r="P77" s="63"/>
      <c r="Q77" s="64"/>
    </row>
    <row r="78" spans="1:17" ht="15" customHeight="1" x14ac:dyDescent="0.25">
      <c r="A78" s="59">
        <v>6556</v>
      </c>
      <c r="B78" s="59">
        <v>186</v>
      </c>
      <c r="C78" s="59" t="s">
        <v>169</v>
      </c>
      <c r="D78" s="60" t="s">
        <v>212</v>
      </c>
      <c r="E78" s="59">
        <v>20.5</v>
      </c>
      <c r="F78" s="59" t="s">
        <v>284</v>
      </c>
      <c r="G78" s="59">
        <v>3619</v>
      </c>
      <c r="H78" s="59" t="s">
        <v>76</v>
      </c>
      <c r="I78" s="61" t="s">
        <v>48</v>
      </c>
      <c r="J78" s="62">
        <v>1.9607000000000001</v>
      </c>
      <c r="K78" s="63" t="s">
        <v>346</v>
      </c>
      <c r="L78" s="63">
        <v>0.1</v>
      </c>
      <c r="M78" s="63"/>
      <c r="N78" s="63"/>
      <c r="O78" s="63"/>
      <c r="P78" s="63"/>
      <c r="Q78" s="64"/>
    </row>
    <row r="79" spans="1:17" ht="15" customHeight="1" x14ac:dyDescent="0.25">
      <c r="A79" s="59">
        <v>6556</v>
      </c>
      <c r="B79" s="59">
        <v>186</v>
      </c>
      <c r="C79" s="59" t="s">
        <v>169</v>
      </c>
      <c r="D79" s="60" t="s">
        <v>212</v>
      </c>
      <c r="E79" s="59">
        <v>20.5</v>
      </c>
      <c r="F79" s="59" t="s">
        <v>280</v>
      </c>
      <c r="G79" s="59">
        <v>194</v>
      </c>
      <c r="H79" s="59" t="s">
        <v>45</v>
      </c>
      <c r="I79" s="61" t="s">
        <v>14</v>
      </c>
      <c r="J79" s="62">
        <v>4.0899999999999999E-3</v>
      </c>
      <c r="K79" s="63" t="s">
        <v>347</v>
      </c>
      <c r="L79" s="63">
        <v>0.1</v>
      </c>
      <c r="M79" s="63"/>
      <c r="N79" s="63"/>
      <c r="O79" s="63"/>
      <c r="P79" s="63"/>
      <c r="Q79" s="64"/>
    </row>
    <row r="80" spans="1:17" ht="15" customHeight="1" x14ac:dyDescent="0.25">
      <c r="A80" s="59">
        <v>6556</v>
      </c>
      <c r="B80" s="59">
        <v>186</v>
      </c>
      <c r="C80" s="59" t="s">
        <v>169</v>
      </c>
      <c r="D80" s="60" t="s">
        <v>212</v>
      </c>
      <c r="E80" s="59">
        <v>20.5</v>
      </c>
      <c r="F80" s="59" t="s">
        <v>273</v>
      </c>
      <c r="G80" s="59">
        <v>185</v>
      </c>
      <c r="H80" s="59" t="s">
        <v>25</v>
      </c>
      <c r="I80" s="61" t="s">
        <v>26</v>
      </c>
      <c r="J80" s="62">
        <v>0.24</v>
      </c>
      <c r="K80" s="63" t="s">
        <v>23</v>
      </c>
      <c r="L80" s="63">
        <v>0.1</v>
      </c>
      <c r="M80" s="63"/>
      <c r="N80" s="63"/>
      <c r="O80" s="63"/>
      <c r="P80" s="63"/>
      <c r="Q80" s="64"/>
    </row>
    <row r="81" spans="1:17" ht="15" customHeight="1" x14ac:dyDescent="0.25">
      <c r="A81" s="59">
        <v>6556</v>
      </c>
      <c r="B81" s="59">
        <v>186</v>
      </c>
      <c r="C81" s="59" t="s">
        <v>169</v>
      </c>
      <c r="D81" s="60" t="s">
        <v>212</v>
      </c>
      <c r="E81" s="59">
        <v>20.5</v>
      </c>
      <c r="F81" s="59" t="s">
        <v>285</v>
      </c>
      <c r="G81" s="59">
        <v>3635</v>
      </c>
      <c r="H81" s="59" t="s">
        <v>82</v>
      </c>
      <c r="I81" s="61" t="s">
        <v>48</v>
      </c>
      <c r="J81" s="62">
        <v>5.8999999999999997E-2</v>
      </c>
      <c r="K81" s="63" t="s">
        <v>348</v>
      </c>
      <c r="L81" s="63">
        <v>0.1</v>
      </c>
      <c r="M81" s="65"/>
      <c r="N81" s="63"/>
      <c r="O81" s="63"/>
      <c r="P81" s="63"/>
      <c r="Q81" s="64"/>
    </row>
    <row r="82" spans="1:17" ht="15" customHeight="1" x14ac:dyDescent="0.25">
      <c r="A82" s="59">
        <v>6557</v>
      </c>
      <c r="B82" s="59">
        <v>185</v>
      </c>
      <c r="C82" s="59" t="s">
        <v>169</v>
      </c>
      <c r="D82" s="60" t="s">
        <v>213</v>
      </c>
      <c r="E82" s="59">
        <v>20.5</v>
      </c>
      <c r="F82" s="59" t="s">
        <v>266</v>
      </c>
      <c r="G82" s="59">
        <v>4179</v>
      </c>
      <c r="H82" s="59" t="s">
        <v>17</v>
      </c>
      <c r="I82" s="61" t="s">
        <v>14</v>
      </c>
      <c r="J82" s="62">
        <v>3.9369999999999998</v>
      </c>
      <c r="K82" s="63" t="s">
        <v>340</v>
      </c>
      <c r="L82" s="63">
        <v>0.1</v>
      </c>
      <c r="M82" s="63"/>
      <c r="N82" s="63"/>
      <c r="O82" s="63"/>
      <c r="P82" s="63"/>
      <c r="Q82" s="64"/>
    </row>
    <row r="83" spans="1:17" ht="15" customHeight="1" x14ac:dyDescent="0.25">
      <c r="A83" s="59">
        <v>6557</v>
      </c>
      <c r="B83" s="59">
        <v>185</v>
      </c>
      <c r="C83" s="59" t="s">
        <v>169</v>
      </c>
      <c r="D83" s="60" t="s">
        <v>213</v>
      </c>
      <c r="E83" s="59">
        <v>20.5</v>
      </c>
      <c r="F83" s="59" t="s">
        <v>278</v>
      </c>
      <c r="G83" s="59">
        <v>3595</v>
      </c>
      <c r="H83" s="59" t="s">
        <v>342</v>
      </c>
      <c r="I83" s="61" t="s">
        <v>14</v>
      </c>
      <c r="J83" s="62">
        <v>0.38500000000000001</v>
      </c>
      <c r="K83" s="63" t="s">
        <v>30</v>
      </c>
      <c r="L83" s="63">
        <v>0.1</v>
      </c>
      <c r="M83" s="65" t="s">
        <v>343</v>
      </c>
      <c r="N83" s="63"/>
      <c r="O83" s="63"/>
      <c r="P83" s="63"/>
      <c r="Q83" s="64"/>
    </row>
    <row r="84" spans="1:17" ht="15" customHeight="1" x14ac:dyDescent="0.25">
      <c r="A84" s="59">
        <v>6557</v>
      </c>
      <c r="B84" s="59">
        <v>185</v>
      </c>
      <c r="C84" s="59" t="s">
        <v>169</v>
      </c>
      <c r="D84" s="60" t="s">
        <v>213</v>
      </c>
      <c r="E84" s="59">
        <v>20.5</v>
      </c>
      <c r="F84" s="59" t="s">
        <v>282</v>
      </c>
      <c r="G84" s="59">
        <v>6971</v>
      </c>
      <c r="H84" s="59" t="s">
        <v>61</v>
      </c>
      <c r="I84" s="61" t="s">
        <v>48</v>
      </c>
      <c r="J84" s="62">
        <v>1000</v>
      </c>
      <c r="K84" s="63" t="s">
        <v>344</v>
      </c>
      <c r="L84" s="63">
        <v>0.02</v>
      </c>
      <c r="M84" s="65" t="s">
        <v>345</v>
      </c>
      <c r="N84" s="63"/>
      <c r="O84" s="63"/>
      <c r="P84" s="63"/>
      <c r="Q84" s="64"/>
    </row>
    <row r="85" spans="1:17" ht="15" customHeight="1" x14ac:dyDescent="0.25">
      <c r="A85" s="59">
        <v>6557</v>
      </c>
      <c r="B85" s="59">
        <v>185</v>
      </c>
      <c r="C85" s="59" t="s">
        <v>169</v>
      </c>
      <c r="D85" s="60" t="s">
        <v>213</v>
      </c>
      <c r="E85" s="59">
        <v>20.5</v>
      </c>
      <c r="F85" s="59" t="s">
        <v>284</v>
      </c>
      <c r="G85" s="59">
        <v>3619</v>
      </c>
      <c r="H85" s="59" t="s">
        <v>76</v>
      </c>
      <c r="I85" s="61" t="s">
        <v>48</v>
      </c>
      <c r="J85" s="62">
        <v>1.9607000000000001</v>
      </c>
      <c r="K85" s="63" t="s">
        <v>346</v>
      </c>
      <c r="L85" s="63">
        <v>0.1</v>
      </c>
      <c r="M85" s="63"/>
      <c r="N85" s="63"/>
      <c r="O85" s="63"/>
      <c r="P85" s="63"/>
      <c r="Q85" s="64"/>
    </row>
    <row r="86" spans="1:17" ht="15" customHeight="1" x14ac:dyDescent="0.25">
      <c r="A86" s="59">
        <v>6557</v>
      </c>
      <c r="B86" s="59">
        <v>185</v>
      </c>
      <c r="C86" s="59" t="s">
        <v>169</v>
      </c>
      <c r="D86" s="60" t="s">
        <v>213</v>
      </c>
      <c r="E86" s="59">
        <v>20.5</v>
      </c>
      <c r="F86" s="59" t="s">
        <v>280</v>
      </c>
      <c r="G86" s="59">
        <v>194</v>
      </c>
      <c r="H86" s="59" t="s">
        <v>45</v>
      </c>
      <c r="I86" s="61" t="s">
        <v>14</v>
      </c>
      <c r="J86" s="62">
        <v>4.0899999999999999E-3</v>
      </c>
      <c r="K86" s="63" t="s">
        <v>347</v>
      </c>
      <c r="L86" s="63">
        <v>0.1</v>
      </c>
      <c r="M86" s="63"/>
      <c r="N86" s="63"/>
      <c r="O86" s="63"/>
      <c r="P86" s="63"/>
      <c r="Q86" s="64"/>
    </row>
    <row r="87" spans="1:17" ht="15" customHeight="1" x14ac:dyDescent="0.25">
      <c r="A87" s="59">
        <v>6557</v>
      </c>
      <c r="B87" s="59">
        <v>185</v>
      </c>
      <c r="C87" s="59" t="s">
        <v>169</v>
      </c>
      <c r="D87" s="60" t="s">
        <v>213</v>
      </c>
      <c r="E87" s="59">
        <v>20.5</v>
      </c>
      <c r="F87" s="59" t="s">
        <v>273</v>
      </c>
      <c r="G87" s="59">
        <v>185</v>
      </c>
      <c r="H87" s="59" t="s">
        <v>25</v>
      </c>
      <c r="I87" s="61" t="s">
        <v>26</v>
      </c>
      <c r="J87" s="62">
        <v>0.24</v>
      </c>
      <c r="K87" s="63" t="s">
        <v>23</v>
      </c>
      <c r="L87" s="63">
        <v>0.1</v>
      </c>
      <c r="M87" s="63"/>
      <c r="N87" s="63"/>
      <c r="O87" s="63"/>
      <c r="P87" s="63"/>
      <c r="Q87" s="64"/>
    </row>
    <row r="88" spans="1:17" ht="15" customHeight="1" x14ac:dyDescent="0.25">
      <c r="A88" s="59">
        <v>6557</v>
      </c>
      <c r="B88" s="59">
        <v>185</v>
      </c>
      <c r="C88" s="59" t="s">
        <v>169</v>
      </c>
      <c r="D88" s="60" t="s">
        <v>213</v>
      </c>
      <c r="E88" s="59">
        <v>20.5</v>
      </c>
      <c r="F88" s="59" t="s">
        <v>285</v>
      </c>
      <c r="G88" s="59">
        <v>3635</v>
      </c>
      <c r="H88" s="59" t="s">
        <v>82</v>
      </c>
      <c r="I88" s="61" t="s">
        <v>48</v>
      </c>
      <c r="J88" s="62">
        <v>5.8999999999999997E-2</v>
      </c>
      <c r="K88" s="63" t="s">
        <v>348</v>
      </c>
      <c r="L88" s="63">
        <v>0.1</v>
      </c>
      <c r="M88" s="65"/>
      <c r="N88" s="63"/>
      <c r="O88" s="63"/>
      <c r="P88" s="63"/>
      <c r="Q88" s="64"/>
    </row>
    <row r="89" spans="1:17" ht="15" customHeight="1" x14ac:dyDescent="0.25">
      <c r="A89" s="59">
        <v>6228</v>
      </c>
      <c r="B89" s="59">
        <v>150</v>
      </c>
      <c r="C89" s="59" t="s">
        <v>180</v>
      </c>
      <c r="D89" s="60" t="s">
        <v>217</v>
      </c>
      <c r="E89" s="59">
        <v>25</v>
      </c>
      <c r="F89" s="59" t="s">
        <v>266</v>
      </c>
      <c r="G89" s="59">
        <v>6</v>
      </c>
      <c r="H89" s="59" t="s">
        <v>18</v>
      </c>
      <c r="I89" s="61" t="s">
        <v>14</v>
      </c>
      <c r="J89" s="62">
        <v>5.97</v>
      </c>
      <c r="K89" s="63" t="s">
        <v>340</v>
      </c>
      <c r="L89" s="63">
        <v>0.1</v>
      </c>
      <c r="M89" s="63"/>
      <c r="N89" s="63"/>
      <c r="O89" s="63"/>
      <c r="P89" s="63"/>
      <c r="Q89" s="64"/>
    </row>
    <row r="90" spans="1:17" ht="15" customHeight="1" x14ac:dyDescent="0.25">
      <c r="A90" s="59">
        <v>6228</v>
      </c>
      <c r="B90" s="59">
        <v>150</v>
      </c>
      <c r="C90" s="59" t="s">
        <v>180</v>
      </c>
      <c r="D90" s="60" t="s">
        <v>217</v>
      </c>
      <c r="E90" s="59">
        <v>25</v>
      </c>
      <c r="F90" s="59" t="s">
        <v>278</v>
      </c>
      <c r="G90" s="59">
        <v>3595</v>
      </c>
      <c r="H90" s="59" t="s">
        <v>342</v>
      </c>
      <c r="I90" s="61" t="s">
        <v>14</v>
      </c>
      <c r="J90" s="62">
        <v>0.61199999999999999</v>
      </c>
      <c r="K90" s="63" t="s">
        <v>30</v>
      </c>
      <c r="L90" s="63">
        <v>0.1</v>
      </c>
      <c r="M90" s="65" t="s">
        <v>356</v>
      </c>
      <c r="N90" s="63"/>
      <c r="O90" s="63"/>
      <c r="P90" s="63"/>
      <c r="Q90" s="64"/>
    </row>
    <row r="91" spans="1:17" ht="15" customHeight="1" x14ac:dyDescent="0.25">
      <c r="A91" s="59">
        <v>6228</v>
      </c>
      <c r="B91" s="59">
        <v>150</v>
      </c>
      <c r="C91" s="59" t="s">
        <v>180</v>
      </c>
      <c r="D91" s="60" t="s">
        <v>217</v>
      </c>
      <c r="E91" s="59">
        <v>25</v>
      </c>
      <c r="F91" s="59" t="s">
        <v>279</v>
      </c>
      <c r="G91" s="59">
        <v>186</v>
      </c>
      <c r="H91" s="59" t="s">
        <v>43</v>
      </c>
      <c r="I91" s="61" t="s">
        <v>14</v>
      </c>
      <c r="J91" s="62">
        <v>0.25</v>
      </c>
      <c r="K91" s="63" t="s">
        <v>42</v>
      </c>
      <c r="L91" s="63">
        <v>0.1</v>
      </c>
      <c r="M91" s="63"/>
      <c r="N91" s="63"/>
      <c r="O91" s="63"/>
      <c r="P91" s="63"/>
      <c r="Q91" s="64"/>
    </row>
    <row r="92" spans="1:17" ht="15" customHeight="1" x14ac:dyDescent="0.25">
      <c r="A92" s="59">
        <v>6228</v>
      </c>
      <c r="B92" s="59">
        <v>150</v>
      </c>
      <c r="C92" s="59" t="s">
        <v>180</v>
      </c>
      <c r="D92" s="60" t="s">
        <v>217</v>
      </c>
      <c r="E92" s="59">
        <v>25</v>
      </c>
      <c r="F92" s="59" t="s">
        <v>282</v>
      </c>
      <c r="G92" s="59">
        <v>68</v>
      </c>
      <c r="H92" s="59" t="s">
        <v>63</v>
      </c>
      <c r="I92" s="61" t="s">
        <v>48</v>
      </c>
      <c r="J92" s="62">
        <v>1000</v>
      </c>
      <c r="K92" s="63" t="s">
        <v>344</v>
      </c>
      <c r="L92" s="63">
        <v>0.02</v>
      </c>
      <c r="M92" s="65" t="s">
        <v>345</v>
      </c>
      <c r="N92" s="63"/>
      <c r="O92" s="63"/>
      <c r="P92" s="63"/>
      <c r="Q92" s="64"/>
    </row>
    <row r="93" spans="1:17" ht="15" customHeight="1" x14ac:dyDescent="0.25">
      <c r="A93" s="59">
        <v>6228</v>
      </c>
      <c r="B93" s="59">
        <v>150</v>
      </c>
      <c r="C93" s="59" t="s">
        <v>180</v>
      </c>
      <c r="D93" s="60" t="s">
        <v>217</v>
      </c>
      <c r="E93" s="59">
        <v>25</v>
      </c>
      <c r="F93" s="59" t="s">
        <v>284</v>
      </c>
      <c r="G93" s="59">
        <v>3598</v>
      </c>
      <c r="H93" s="59" t="s">
        <v>77</v>
      </c>
      <c r="I93" s="61" t="s">
        <v>48</v>
      </c>
      <c r="J93" s="62">
        <v>2.976</v>
      </c>
      <c r="K93" s="63" t="s">
        <v>346</v>
      </c>
      <c r="L93" s="63">
        <v>0.1</v>
      </c>
      <c r="M93" s="63"/>
      <c r="N93" s="63"/>
      <c r="O93" s="63"/>
      <c r="P93" s="63"/>
      <c r="Q93" s="64"/>
    </row>
    <row r="94" spans="1:17" ht="15" customHeight="1" x14ac:dyDescent="0.25">
      <c r="A94" s="59">
        <v>6228</v>
      </c>
      <c r="B94" s="59">
        <v>150</v>
      </c>
      <c r="C94" s="59" t="s">
        <v>180</v>
      </c>
      <c r="D94" s="60" t="s">
        <v>217</v>
      </c>
      <c r="E94" s="59">
        <v>25</v>
      </c>
      <c r="F94" s="59" t="s">
        <v>280</v>
      </c>
      <c r="G94" s="59">
        <v>194</v>
      </c>
      <c r="H94" s="59" t="s">
        <v>45</v>
      </c>
      <c r="I94" s="61" t="s">
        <v>14</v>
      </c>
      <c r="J94" s="62">
        <v>6.1538499999999998E-3</v>
      </c>
      <c r="K94" s="63" t="s">
        <v>347</v>
      </c>
      <c r="L94" s="63">
        <v>0.1</v>
      </c>
      <c r="M94" s="63"/>
      <c r="N94" s="63"/>
      <c r="O94" s="63"/>
      <c r="P94" s="63"/>
      <c r="Q94" s="64"/>
    </row>
    <row r="95" spans="1:17" ht="15" customHeight="1" x14ac:dyDescent="0.25">
      <c r="A95" s="59">
        <v>6228</v>
      </c>
      <c r="B95" s="59">
        <v>150</v>
      </c>
      <c r="C95" s="59" t="s">
        <v>180</v>
      </c>
      <c r="D95" s="60" t="s">
        <v>217</v>
      </c>
      <c r="E95" s="59">
        <v>25</v>
      </c>
      <c r="F95" s="59" t="s">
        <v>273</v>
      </c>
      <c r="G95" s="59">
        <v>4155</v>
      </c>
      <c r="H95" s="59" t="s">
        <v>277</v>
      </c>
      <c r="I95" s="61" t="s">
        <v>14</v>
      </c>
      <c r="J95" s="62">
        <v>0.29199999999999998</v>
      </c>
      <c r="K95" s="63" t="s">
        <v>23</v>
      </c>
      <c r="L95" s="63">
        <v>0.1</v>
      </c>
      <c r="M95" s="63"/>
      <c r="N95" s="63"/>
      <c r="O95" s="63"/>
      <c r="P95" s="63"/>
      <c r="Q95" s="64"/>
    </row>
    <row r="96" spans="1:17" ht="15" customHeight="1" x14ac:dyDescent="0.25">
      <c r="A96" s="59">
        <v>6228</v>
      </c>
      <c r="B96" s="59">
        <v>150</v>
      </c>
      <c r="C96" s="59" t="s">
        <v>180</v>
      </c>
      <c r="D96" s="60" t="s">
        <v>217</v>
      </c>
      <c r="E96" s="59">
        <v>25</v>
      </c>
      <c r="F96" s="59" t="s">
        <v>358</v>
      </c>
      <c r="G96" s="59">
        <v>495</v>
      </c>
      <c r="H96" s="59" t="s">
        <v>359</v>
      </c>
      <c r="I96" s="61" t="s">
        <v>50</v>
      </c>
      <c r="J96" s="62">
        <v>2.976</v>
      </c>
      <c r="K96" s="63" t="s">
        <v>360</v>
      </c>
      <c r="L96" s="63">
        <v>0.1</v>
      </c>
      <c r="M96" s="63"/>
      <c r="N96" s="63"/>
      <c r="O96" s="63"/>
      <c r="P96" s="63"/>
      <c r="Q96" s="64"/>
    </row>
    <row r="97" spans="1:17" ht="15" customHeight="1" x14ac:dyDescent="0.25">
      <c r="A97" s="59">
        <v>6228</v>
      </c>
      <c r="B97" s="59">
        <v>150</v>
      </c>
      <c r="C97" s="59" t="s">
        <v>180</v>
      </c>
      <c r="D97" s="60" t="s">
        <v>217</v>
      </c>
      <c r="E97" s="59">
        <v>25</v>
      </c>
      <c r="F97" s="59" t="s">
        <v>285</v>
      </c>
      <c r="G97" s="59">
        <v>3635</v>
      </c>
      <c r="H97" s="59" t="s">
        <v>82</v>
      </c>
      <c r="I97" s="61" t="s">
        <v>48</v>
      </c>
      <c r="J97" s="62">
        <v>7.9000000000000001E-2</v>
      </c>
      <c r="K97" s="63" t="s">
        <v>348</v>
      </c>
      <c r="L97" s="63">
        <v>0.1</v>
      </c>
      <c r="M97" s="65"/>
      <c r="N97" s="63"/>
      <c r="O97" s="63"/>
      <c r="P97" s="63"/>
      <c r="Q97" s="64"/>
    </row>
    <row r="98" spans="1:17" ht="15" customHeight="1" x14ac:dyDescent="0.25">
      <c r="A98" s="59">
        <v>3447</v>
      </c>
      <c r="B98" s="59">
        <v>34</v>
      </c>
      <c r="C98" s="59" t="s">
        <v>169</v>
      </c>
      <c r="D98" s="60" t="s">
        <v>170</v>
      </c>
      <c r="E98" s="59">
        <v>25</v>
      </c>
      <c r="F98" s="59" t="s">
        <v>266</v>
      </c>
      <c r="G98" s="59">
        <v>6</v>
      </c>
      <c r="H98" s="59" t="s">
        <v>18</v>
      </c>
      <c r="I98" s="61" t="s">
        <v>14</v>
      </c>
      <c r="J98" s="62">
        <v>5.9169999999999998</v>
      </c>
      <c r="K98" s="63" t="s">
        <v>340</v>
      </c>
      <c r="L98" s="63">
        <v>0.1</v>
      </c>
      <c r="M98" s="65"/>
      <c r="N98" s="63"/>
      <c r="O98" s="63"/>
      <c r="P98" s="63"/>
      <c r="Q98" s="64"/>
    </row>
    <row r="99" spans="1:17" ht="15" customHeight="1" x14ac:dyDescent="0.25">
      <c r="A99" s="59">
        <v>3447</v>
      </c>
      <c r="B99" s="59">
        <v>34</v>
      </c>
      <c r="C99" s="59" t="s">
        <v>169</v>
      </c>
      <c r="D99" s="60" t="s">
        <v>170</v>
      </c>
      <c r="E99" s="59">
        <v>25</v>
      </c>
      <c r="F99" s="59" t="s">
        <v>278</v>
      </c>
      <c r="G99" s="59">
        <v>3595</v>
      </c>
      <c r="H99" s="59" t="s">
        <v>342</v>
      </c>
      <c r="I99" s="61" t="s">
        <v>14</v>
      </c>
      <c r="J99" s="62">
        <v>0.61</v>
      </c>
      <c r="K99" s="63" t="s">
        <v>30</v>
      </c>
      <c r="L99" s="63">
        <v>0.1</v>
      </c>
      <c r="M99" s="65" t="s">
        <v>356</v>
      </c>
      <c r="N99" s="63"/>
      <c r="O99" s="63"/>
      <c r="P99" s="63"/>
      <c r="Q99" s="64"/>
    </row>
    <row r="100" spans="1:17" ht="15" customHeight="1" x14ac:dyDescent="0.25">
      <c r="A100" s="59">
        <v>3447</v>
      </c>
      <c r="B100" s="59">
        <v>34</v>
      </c>
      <c r="C100" s="59" t="s">
        <v>169</v>
      </c>
      <c r="D100" s="60" t="s">
        <v>170</v>
      </c>
      <c r="E100" s="59">
        <v>25</v>
      </c>
      <c r="F100" s="59" t="s">
        <v>282</v>
      </c>
      <c r="G100" s="59">
        <v>68</v>
      </c>
      <c r="H100" s="59" t="s">
        <v>63</v>
      </c>
      <c r="I100" s="61" t="s">
        <v>48</v>
      </c>
      <c r="J100" s="62">
        <v>1000</v>
      </c>
      <c r="K100" s="63" t="s">
        <v>344</v>
      </c>
      <c r="L100" s="63">
        <v>0.02</v>
      </c>
      <c r="M100" s="65" t="s">
        <v>356</v>
      </c>
      <c r="N100" s="63"/>
      <c r="O100" s="63"/>
      <c r="P100" s="63"/>
      <c r="Q100" s="64"/>
    </row>
    <row r="101" spans="1:17" ht="15" customHeight="1" x14ac:dyDescent="0.25">
      <c r="A101" s="59">
        <v>3447</v>
      </c>
      <c r="B101" s="59">
        <v>34</v>
      </c>
      <c r="C101" s="59" t="s">
        <v>169</v>
      </c>
      <c r="D101" s="60" t="s">
        <v>170</v>
      </c>
      <c r="E101" s="59">
        <v>25</v>
      </c>
      <c r="F101" s="59" t="s">
        <v>284</v>
      </c>
      <c r="G101" s="59">
        <v>3598</v>
      </c>
      <c r="H101" s="59" t="s">
        <v>77</v>
      </c>
      <c r="I101" s="61" t="s">
        <v>48</v>
      </c>
      <c r="J101" s="62">
        <v>2.976</v>
      </c>
      <c r="K101" s="63" t="s">
        <v>346</v>
      </c>
      <c r="L101" s="63">
        <v>0.1</v>
      </c>
      <c r="M101" s="65"/>
      <c r="N101" s="63"/>
      <c r="O101" s="63"/>
      <c r="P101" s="63"/>
      <c r="Q101" s="64"/>
    </row>
    <row r="102" spans="1:17" ht="15" customHeight="1" x14ac:dyDescent="0.25">
      <c r="A102" s="59">
        <v>3447</v>
      </c>
      <c r="B102" s="59">
        <v>34</v>
      </c>
      <c r="C102" s="59" t="s">
        <v>169</v>
      </c>
      <c r="D102" s="60" t="s">
        <v>170</v>
      </c>
      <c r="E102" s="59">
        <v>25</v>
      </c>
      <c r="F102" s="59" t="s">
        <v>280</v>
      </c>
      <c r="G102" s="59">
        <v>194</v>
      </c>
      <c r="H102" s="59" t="s">
        <v>45</v>
      </c>
      <c r="I102" s="61" t="s">
        <v>14</v>
      </c>
      <c r="J102" s="62">
        <v>6.1500000000000001E-3</v>
      </c>
      <c r="K102" s="63" t="s">
        <v>347</v>
      </c>
      <c r="L102" s="63">
        <v>0.1</v>
      </c>
      <c r="M102" s="63"/>
      <c r="N102" s="63"/>
      <c r="O102" s="63"/>
      <c r="P102" s="63"/>
      <c r="Q102" s="64"/>
    </row>
    <row r="103" spans="1:17" ht="15" customHeight="1" x14ac:dyDescent="0.25">
      <c r="A103" s="59">
        <v>3447</v>
      </c>
      <c r="B103" s="59">
        <v>34</v>
      </c>
      <c r="C103" s="59" t="s">
        <v>169</v>
      </c>
      <c r="D103" s="60" t="s">
        <v>170</v>
      </c>
      <c r="E103" s="59">
        <v>25</v>
      </c>
      <c r="F103" s="59" t="s">
        <v>273</v>
      </c>
      <c r="G103" s="59">
        <v>185</v>
      </c>
      <c r="H103" s="59" t="s">
        <v>25</v>
      </c>
      <c r="I103" s="61" t="s">
        <v>26</v>
      </c>
      <c r="J103" s="62">
        <v>0.37369999999999998</v>
      </c>
      <c r="K103" s="63" t="s">
        <v>23</v>
      </c>
      <c r="L103" s="63">
        <v>0.1</v>
      </c>
      <c r="M103" s="65" t="s">
        <v>356</v>
      </c>
      <c r="N103" s="63"/>
      <c r="O103" s="63"/>
      <c r="P103" s="63"/>
      <c r="Q103" s="64"/>
    </row>
    <row r="104" spans="1:17" ht="15" customHeight="1" x14ac:dyDescent="0.25">
      <c r="A104" s="59">
        <v>3447</v>
      </c>
      <c r="B104" s="59">
        <v>34</v>
      </c>
      <c r="C104" s="59" t="s">
        <v>169</v>
      </c>
      <c r="D104" s="60" t="s">
        <v>170</v>
      </c>
      <c r="E104" s="59">
        <v>25</v>
      </c>
      <c r="F104" s="59" t="s">
        <v>285</v>
      </c>
      <c r="G104" s="59">
        <v>3635</v>
      </c>
      <c r="H104" s="59" t="s">
        <v>82</v>
      </c>
      <c r="I104" s="61" t="s">
        <v>48</v>
      </c>
      <c r="J104" s="62">
        <v>4.7119999999999997</v>
      </c>
      <c r="K104" s="63" t="s">
        <v>348</v>
      </c>
      <c r="L104" s="63">
        <v>0.1</v>
      </c>
      <c r="M104" s="65"/>
      <c r="N104" s="63"/>
      <c r="O104" s="63"/>
      <c r="P104" s="63"/>
      <c r="Q104" s="64"/>
    </row>
    <row r="105" spans="1:17" ht="15" customHeight="1" x14ac:dyDescent="0.25">
      <c r="A105" s="59">
        <v>3726</v>
      </c>
      <c r="B105" s="59">
        <v>9</v>
      </c>
      <c r="C105" s="59" t="s">
        <v>169</v>
      </c>
      <c r="D105" s="60" t="s">
        <v>216</v>
      </c>
      <c r="E105" s="59">
        <v>25</v>
      </c>
      <c r="F105" s="59" t="s">
        <v>266</v>
      </c>
      <c r="G105" s="59">
        <v>6</v>
      </c>
      <c r="H105" s="59" t="s">
        <v>18</v>
      </c>
      <c r="I105" s="61" t="s">
        <v>14</v>
      </c>
      <c r="J105" s="62">
        <v>5.9169999999999998</v>
      </c>
      <c r="K105" s="63" t="s">
        <v>340</v>
      </c>
      <c r="L105" s="63">
        <v>0.1</v>
      </c>
      <c r="M105" s="63"/>
      <c r="N105" s="63"/>
      <c r="O105" s="63"/>
      <c r="P105" s="63"/>
      <c r="Q105" s="64"/>
    </row>
    <row r="106" spans="1:17" ht="15" customHeight="1" x14ac:dyDescent="0.25">
      <c r="A106" s="59">
        <v>3726</v>
      </c>
      <c r="B106" s="59">
        <v>9</v>
      </c>
      <c r="C106" s="59" t="s">
        <v>169</v>
      </c>
      <c r="D106" s="60" t="s">
        <v>216</v>
      </c>
      <c r="E106" s="59">
        <v>25</v>
      </c>
      <c r="F106" s="59" t="s">
        <v>278</v>
      </c>
      <c r="G106" s="59">
        <v>3595</v>
      </c>
      <c r="H106" s="59" t="s">
        <v>342</v>
      </c>
      <c r="I106" s="61" t="s">
        <v>14</v>
      </c>
      <c r="J106" s="62">
        <v>0.61199999999999999</v>
      </c>
      <c r="K106" s="63" t="s">
        <v>30</v>
      </c>
      <c r="L106" s="63">
        <v>0.1</v>
      </c>
      <c r="M106" s="65" t="s">
        <v>356</v>
      </c>
      <c r="N106" s="63"/>
      <c r="O106" s="63"/>
      <c r="P106" s="63"/>
      <c r="Q106" s="64"/>
    </row>
    <row r="107" spans="1:17" ht="15" customHeight="1" x14ac:dyDescent="0.25">
      <c r="A107" s="59">
        <v>3726</v>
      </c>
      <c r="B107" s="59">
        <v>9</v>
      </c>
      <c r="C107" s="59" t="s">
        <v>169</v>
      </c>
      <c r="D107" s="60" t="s">
        <v>216</v>
      </c>
      <c r="E107" s="59">
        <v>25</v>
      </c>
      <c r="F107" s="59" t="s">
        <v>282</v>
      </c>
      <c r="G107" s="59">
        <v>68</v>
      </c>
      <c r="H107" s="59" t="s">
        <v>63</v>
      </c>
      <c r="I107" s="61" t="s">
        <v>48</v>
      </c>
      <c r="J107" s="62">
        <v>1000</v>
      </c>
      <c r="K107" s="63" t="s">
        <v>344</v>
      </c>
      <c r="L107" s="63">
        <v>0.02</v>
      </c>
      <c r="M107" s="65" t="s">
        <v>345</v>
      </c>
      <c r="N107" s="63"/>
      <c r="O107" s="63"/>
      <c r="P107" s="63"/>
      <c r="Q107" s="64"/>
    </row>
    <row r="108" spans="1:17" ht="15" customHeight="1" x14ac:dyDescent="0.25">
      <c r="A108" s="59">
        <v>3726</v>
      </c>
      <c r="B108" s="59">
        <v>9</v>
      </c>
      <c r="C108" s="59" t="s">
        <v>169</v>
      </c>
      <c r="D108" s="60" t="s">
        <v>216</v>
      </c>
      <c r="E108" s="59">
        <v>25</v>
      </c>
      <c r="F108" s="59" t="s">
        <v>284</v>
      </c>
      <c r="G108" s="59">
        <v>3598</v>
      </c>
      <c r="H108" s="59" t="s">
        <v>77</v>
      </c>
      <c r="I108" s="61" t="s">
        <v>48</v>
      </c>
      <c r="J108" s="62">
        <v>2.976</v>
      </c>
      <c r="K108" s="63" t="s">
        <v>346</v>
      </c>
      <c r="L108" s="63">
        <v>0.1</v>
      </c>
      <c r="M108" s="65"/>
      <c r="N108" s="63"/>
      <c r="O108" s="63"/>
      <c r="P108" s="63"/>
      <c r="Q108" s="64"/>
    </row>
    <row r="109" spans="1:17" ht="15" customHeight="1" x14ac:dyDescent="0.25">
      <c r="A109" s="59">
        <v>3726</v>
      </c>
      <c r="B109" s="59">
        <v>9</v>
      </c>
      <c r="C109" s="59" t="s">
        <v>169</v>
      </c>
      <c r="D109" s="60" t="s">
        <v>216</v>
      </c>
      <c r="E109" s="59">
        <v>25</v>
      </c>
      <c r="F109" s="59" t="s">
        <v>280</v>
      </c>
      <c r="G109" s="59">
        <v>194</v>
      </c>
      <c r="H109" s="59" t="s">
        <v>45</v>
      </c>
      <c r="I109" s="61" t="s">
        <v>14</v>
      </c>
      <c r="J109" s="62">
        <v>6.1500000000000001E-3</v>
      </c>
      <c r="K109" s="63" t="s">
        <v>347</v>
      </c>
      <c r="L109" s="63">
        <v>0.1</v>
      </c>
      <c r="M109" s="63"/>
      <c r="N109" s="63"/>
      <c r="O109" s="63"/>
      <c r="P109" s="63"/>
      <c r="Q109" s="64"/>
    </row>
    <row r="110" spans="1:17" ht="15" customHeight="1" x14ac:dyDescent="0.25">
      <c r="A110" s="59">
        <v>3726</v>
      </c>
      <c r="B110" s="59">
        <v>9</v>
      </c>
      <c r="C110" s="59" t="s">
        <v>169</v>
      </c>
      <c r="D110" s="60" t="s">
        <v>216</v>
      </c>
      <c r="E110" s="59">
        <v>25</v>
      </c>
      <c r="F110" s="59" t="s">
        <v>273</v>
      </c>
      <c r="G110" s="59">
        <v>185</v>
      </c>
      <c r="H110" s="59" t="s">
        <v>25</v>
      </c>
      <c r="I110" s="61" t="s">
        <v>26</v>
      </c>
      <c r="J110" s="62">
        <v>0.29199999999999998</v>
      </c>
      <c r="K110" s="63" t="s">
        <v>23</v>
      </c>
      <c r="L110" s="63">
        <v>0.1</v>
      </c>
      <c r="M110" s="65" t="s">
        <v>356</v>
      </c>
      <c r="N110" s="63"/>
      <c r="O110" s="63"/>
      <c r="P110" s="63"/>
      <c r="Q110" s="64"/>
    </row>
    <row r="111" spans="1:17" ht="15" customHeight="1" x14ac:dyDescent="0.25">
      <c r="A111" s="59">
        <v>3726</v>
      </c>
      <c r="B111" s="59">
        <v>9</v>
      </c>
      <c r="C111" s="59" t="s">
        <v>169</v>
      </c>
      <c r="D111" s="60" t="s">
        <v>216</v>
      </c>
      <c r="E111" s="59">
        <v>25</v>
      </c>
      <c r="F111" s="59" t="s">
        <v>285</v>
      </c>
      <c r="G111" s="59">
        <v>3635</v>
      </c>
      <c r="H111" s="59" t="s">
        <v>82</v>
      </c>
      <c r="I111" s="61" t="s">
        <v>48</v>
      </c>
      <c r="J111" s="62">
        <v>7.9000000000000001E-2</v>
      </c>
      <c r="K111" s="63" t="s">
        <v>348</v>
      </c>
      <c r="L111" s="63">
        <v>0.1</v>
      </c>
      <c r="M111" s="65"/>
      <c r="N111" s="63"/>
      <c r="O111" s="63"/>
      <c r="P111" s="63"/>
      <c r="Q111" s="64"/>
    </row>
    <row r="112" spans="1:17" ht="15" customHeight="1" x14ac:dyDescent="0.25">
      <c r="A112" s="59">
        <v>6470</v>
      </c>
      <c r="B112" s="59">
        <v>177</v>
      </c>
      <c r="C112" s="59" t="s">
        <v>361</v>
      </c>
      <c r="D112" s="60" t="s">
        <v>214</v>
      </c>
      <c r="E112" s="59">
        <v>25</v>
      </c>
      <c r="F112" s="59" t="s">
        <v>266</v>
      </c>
      <c r="G112" s="59">
        <v>6</v>
      </c>
      <c r="H112" s="59" t="s">
        <v>18</v>
      </c>
      <c r="I112" s="61" t="s">
        <v>14</v>
      </c>
      <c r="J112" s="62">
        <v>5.9169999999999998</v>
      </c>
      <c r="K112" s="63" t="s">
        <v>340</v>
      </c>
      <c r="L112" s="63">
        <v>0.1</v>
      </c>
      <c r="M112" s="63"/>
      <c r="N112" s="63"/>
      <c r="O112" s="63"/>
      <c r="P112" s="63"/>
      <c r="Q112" s="64"/>
    </row>
    <row r="113" spans="1:17" ht="15" customHeight="1" x14ac:dyDescent="0.25">
      <c r="A113" s="59">
        <v>6470</v>
      </c>
      <c r="B113" s="59">
        <v>177</v>
      </c>
      <c r="C113" s="59" t="s">
        <v>361</v>
      </c>
      <c r="D113" s="60" t="s">
        <v>214</v>
      </c>
      <c r="E113" s="59">
        <v>25</v>
      </c>
      <c r="F113" s="59" t="s">
        <v>278</v>
      </c>
      <c r="G113" s="59">
        <v>3595</v>
      </c>
      <c r="H113" s="59" t="s">
        <v>342</v>
      </c>
      <c r="I113" s="61" t="s">
        <v>14</v>
      </c>
      <c r="J113" s="62">
        <v>0.61199999999999999</v>
      </c>
      <c r="K113" s="63" t="s">
        <v>30</v>
      </c>
      <c r="L113" s="63">
        <v>0.1</v>
      </c>
      <c r="M113" s="65" t="s">
        <v>343</v>
      </c>
      <c r="N113" s="63"/>
      <c r="O113" s="63"/>
      <c r="P113" s="63"/>
      <c r="Q113" s="64"/>
    </row>
    <row r="114" spans="1:17" ht="15" customHeight="1" x14ac:dyDescent="0.25">
      <c r="A114" s="59">
        <v>6470</v>
      </c>
      <c r="B114" s="59">
        <v>177</v>
      </c>
      <c r="C114" s="59" t="s">
        <v>361</v>
      </c>
      <c r="D114" s="60" t="s">
        <v>214</v>
      </c>
      <c r="E114" s="59">
        <v>25</v>
      </c>
      <c r="F114" s="59" t="s">
        <v>282</v>
      </c>
      <c r="G114" s="59">
        <v>68</v>
      </c>
      <c r="H114" s="59" t="s">
        <v>63</v>
      </c>
      <c r="I114" s="61" t="s">
        <v>48</v>
      </c>
      <c r="J114" s="62">
        <v>1000</v>
      </c>
      <c r="K114" s="63" t="s">
        <v>344</v>
      </c>
      <c r="L114" s="63">
        <v>0.02</v>
      </c>
      <c r="M114" s="65" t="s">
        <v>345</v>
      </c>
      <c r="N114" s="63"/>
      <c r="O114" s="63"/>
      <c r="P114" s="63"/>
      <c r="Q114" s="64"/>
    </row>
    <row r="115" spans="1:17" ht="15" customHeight="1" x14ac:dyDescent="0.25">
      <c r="A115" s="59">
        <v>6470</v>
      </c>
      <c r="B115" s="59">
        <v>177</v>
      </c>
      <c r="C115" s="59" t="s">
        <v>361</v>
      </c>
      <c r="D115" s="60" t="s">
        <v>214</v>
      </c>
      <c r="E115" s="59">
        <v>25</v>
      </c>
      <c r="F115" s="59" t="s">
        <v>284</v>
      </c>
      <c r="G115" s="59">
        <v>3598</v>
      </c>
      <c r="H115" s="59" t="s">
        <v>77</v>
      </c>
      <c r="I115" s="61" t="s">
        <v>48</v>
      </c>
      <c r="J115" s="62">
        <v>2.976</v>
      </c>
      <c r="K115" s="63" t="s">
        <v>346</v>
      </c>
      <c r="L115" s="63">
        <v>0.1</v>
      </c>
      <c r="M115" s="63"/>
      <c r="N115" s="63"/>
      <c r="O115" s="63"/>
      <c r="P115" s="63"/>
      <c r="Q115" s="64"/>
    </row>
    <row r="116" spans="1:17" ht="15" customHeight="1" x14ac:dyDescent="0.25">
      <c r="A116" s="59">
        <v>6470</v>
      </c>
      <c r="B116" s="59">
        <v>177</v>
      </c>
      <c r="C116" s="59" t="s">
        <v>361</v>
      </c>
      <c r="D116" s="60" t="s">
        <v>214</v>
      </c>
      <c r="E116" s="59">
        <v>25</v>
      </c>
      <c r="F116" s="59" t="s">
        <v>280</v>
      </c>
      <c r="G116" s="59">
        <v>194</v>
      </c>
      <c r="H116" s="59" t="s">
        <v>45</v>
      </c>
      <c r="I116" s="61" t="s">
        <v>14</v>
      </c>
      <c r="J116" s="62">
        <v>6.1539999999999997E-3</v>
      </c>
      <c r="K116" s="63" t="s">
        <v>347</v>
      </c>
      <c r="L116" s="63">
        <v>0.1</v>
      </c>
      <c r="M116" s="63"/>
      <c r="N116" s="63"/>
      <c r="O116" s="63"/>
      <c r="P116" s="63"/>
      <c r="Q116" s="64"/>
    </row>
    <row r="117" spans="1:17" ht="15" customHeight="1" x14ac:dyDescent="0.25">
      <c r="A117" s="59">
        <v>6470</v>
      </c>
      <c r="B117" s="59">
        <v>177</v>
      </c>
      <c r="C117" s="59" t="s">
        <v>361</v>
      </c>
      <c r="D117" s="60" t="s">
        <v>214</v>
      </c>
      <c r="E117" s="59">
        <v>25</v>
      </c>
      <c r="F117" s="59" t="s">
        <v>273</v>
      </c>
      <c r="G117" s="59">
        <v>185</v>
      </c>
      <c r="H117" s="59" t="s">
        <v>25</v>
      </c>
      <c r="I117" s="61" t="s">
        <v>26</v>
      </c>
      <c r="J117" s="62">
        <v>0.29199999999999998</v>
      </c>
      <c r="K117" s="63" t="s">
        <v>23</v>
      </c>
      <c r="L117" s="63">
        <v>0.1</v>
      </c>
      <c r="M117" s="63"/>
      <c r="N117" s="63"/>
      <c r="O117" s="63"/>
      <c r="P117" s="63"/>
      <c r="Q117" s="64"/>
    </row>
    <row r="118" spans="1:17" ht="15" customHeight="1" x14ac:dyDescent="0.25">
      <c r="A118" s="59">
        <v>6470</v>
      </c>
      <c r="B118" s="59">
        <v>177</v>
      </c>
      <c r="C118" s="59" t="s">
        <v>361</v>
      </c>
      <c r="D118" s="60" t="s">
        <v>214</v>
      </c>
      <c r="E118" s="59">
        <v>25</v>
      </c>
      <c r="F118" s="59" t="s">
        <v>285</v>
      </c>
      <c r="G118" s="59">
        <v>3635</v>
      </c>
      <c r="H118" s="59" t="s">
        <v>82</v>
      </c>
      <c r="I118" s="61" t="s">
        <v>48</v>
      </c>
      <c r="J118" s="62">
        <v>7.9000000000000001E-2</v>
      </c>
      <c r="K118" s="63" t="s">
        <v>348</v>
      </c>
      <c r="L118" s="63">
        <v>0.1</v>
      </c>
      <c r="M118" s="63"/>
      <c r="N118" s="63"/>
      <c r="O118" s="63"/>
      <c r="P118" s="63"/>
      <c r="Q118" s="64"/>
    </row>
    <row r="119" spans="1:17" ht="15" customHeight="1" x14ac:dyDescent="0.25">
      <c r="A119" s="59">
        <v>6470</v>
      </c>
      <c r="B119" s="59">
        <v>177</v>
      </c>
      <c r="C119" s="59" t="s">
        <v>361</v>
      </c>
      <c r="D119" s="60" t="s">
        <v>214</v>
      </c>
      <c r="E119" s="59">
        <v>25</v>
      </c>
      <c r="F119" s="59" t="s">
        <v>302</v>
      </c>
      <c r="G119" s="59">
        <v>3754</v>
      </c>
      <c r="H119" s="59" t="s">
        <v>99</v>
      </c>
      <c r="I119" s="61" t="s">
        <v>14</v>
      </c>
      <c r="J119" s="62">
        <v>2.5000000000000001E-2</v>
      </c>
      <c r="K119" s="63" t="s">
        <v>86</v>
      </c>
      <c r="L119" s="63">
        <v>0.1</v>
      </c>
      <c r="M119" s="63"/>
      <c r="N119" s="63"/>
      <c r="O119" s="63"/>
      <c r="P119" s="63"/>
      <c r="Q119" s="64"/>
    </row>
    <row r="120" spans="1:17" ht="15" customHeight="1" x14ac:dyDescent="0.25">
      <c r="A120" s="59">
        <v>6470</v>
      </c>
      <c r="B120" s="59">
        <v>177</v>
      </c>
      <c r="C120" s="59" t="s">
        <v>361</v>
      </c>
      <c r="D120" s="60" t="s">
        <v>214</v>
      </c>
      <c r="E120" s="59">
        <v>25</v>
      </c>
      <c r="F120" s="59" t="s">
        <v>302</v>
      </c>
      <c r="G120" s="59">
        <v>3955</v>
      </c>
      <c r="H120" s="59" t="s">
        <v>104</v>
      </c>
      <c r="I120" s="61" t="s">
        <v>14</v>
      </c>
      <c r="J120" s="62">
        <v>2.5000000000000001E-2</v>
      </c>
      <c r="K120" s="63" t="s">
        <v>86</v>
      </c>
      <c r="L120" s="63">
        <v>0.1</v>
      </c>
      <c r="M120" s="65"/>
      <c r="N120" s="63"/>
      <c r="O120" s="63"/>
      <c r="P120" s="63"/>
      <c r="Q120" s="64"/>
    </row>
    <row r="121" spans="1:17" ht="15" customHeight="1" x14ac:dyDescent="0.25">
      <c r="A121" s="59">
        <v>6506</v>
      </c>
      <c r="B121" s="59">
        <v>179</v>
      </c>
      <c r="C121" s="59" t="s">
        <v>169</v>
      </c>
      <c r="D121" s="60" t="s">
        <v>220</v>
      </c>
      <c r="E121" s="59">
        <v>25</v>
      </c>
      <c r="F121" s="59" t="s">
        <v>266</v>
      </c>
      <c r="G121" s="59">
        <v>6</v>
      </c>
      <c r="H121" s="59" t="s">
        <v>18</v>
      </c>
      <c r="I121" s="61" t="s">
        <v>14</v>
      </c>
      <c r="J121" s="62">
        <v>5.9169999999999998</v>
      </c>
      <c r="K121" s="63" t="s">
        <v>340</v>
      </c>
      <c r="L121" s="63">
        <v>0.1</v>
      </c>
      <c r="M121" s="63"/>
      <c r="N121" s="63"/>
      <c r="O121" s="63"/>
      <c r="P121" s="63"/>
      <c r="Q121" s="64"/>
    </row>
    <row r="122" spans="1:17" ht="15" customHeight="1" x14ac:dyDescent="0.25">
      <c r="A122" s="59">
        <v>6506</v>
      </c>
      <c r="B122" s="59">
        <v>179</v>
      </c>
      <c r="C122" s="59" t="s">
        <v>169</v>
      </c>
      <c r="D122" s="60" t="s">
        <v>220</v>
      </c>
      <c r="E122" s="59">
        <v>25</v>
      </c>
      <c r="F122" s="59" t="s">
        <v>278</v>
      </c>
      <c r="G122" s="59">
        <v>3595</v>
      </c>
      <c r="H122" s="59" t="s">
        <v>342</v>
      </c>
      <c r="I122" s="61" t="s">
        <v>14</v>
      </c>
      <c r="J122" s="62">
        <v>0.61199999999999999</v>
      </c>
      <c r="K122" s="63" t="s">
        <v>30</v>
      </c>
      <c r="L122" s="63">
        <v>0.1</v>
      </c>
      <c r="M122" s="65" t="s">
        <v>343</v>
      </c>
      <c r="N122" s="63"/>
      <c r="O122" s="63"/>
      <c r="P122" s="63"/>
      <c r="Q122" s="64"/>
    </row>
    <row r="123" spans="1:17" ht="15" customHeight="1" x14ac:dyDescent="0.25">
      <c r="A123" s="59">
        <v>6506</v>
      </c>
      <c r="B123" s="59">
        <v>179</v>
      </c>
      <c r="C123" s="59" t="s">
        <v>169</v>
      </c>
      <c r="D123" s="60" t="s">
        <v>220</v>
      </c>
      <c r="E123" s="59">
        <v>25</v>
      </c>
      <c r="F123" s="59" t="s">
        <v>282</v>
      </c>
      <c r="G123" s="59">
        <v>68</v>
      </c>
      <c r="H123" s="59" t="s">
        <v>63</v>
      </c>
      <c r="I123" s="61" t="s">
        <v>48</v>
      </c>
      <c r="J123" s="62">
        <v>1000</v>
      </c>
      <c r="K123" s="63" t="s">
        <v>344</v>
      </c>
      <c r="L123" s="63">
        <v>0.02</v>
      </c>
      <c r="M123" s="65" t="s">
        <v>345</v>
      </c>
      <c r="N123" s="63"/>
      <c r="O123" s="63"/>
      <c r="P123" s="63"/>
      <c r="Q123" s="64"/>
    </row>
    <row r="124" spans="1:17" ht="15" customHeight="1" x14ac:dyDescent="0.25">
      <c r="A124" s="59">
        <v>6506</v>
      </c>
      <c r="B124" s="59">
        <v>179</v>
      </c>
      <c r="C124" s="59" t="s">
        <v>169</v>
      </c>
      <c r="D124" s="60" t="s">
        <v>220</v>
      </c>
      <c r="E124" s="59">
        <v>25</v>
      </c>
      <c r="F124" s="59" t="s">
        <v>284</v>
      </c>
      <c r="G124" s="59">
        <v>3598</v>
      </c>
      <c r="H124" s="59" t="s">
        <v>77</v>
      </c>
      <c r="I124" s="61" t="s">
        <v>48</v>
      </c>
      <c r="J124" s="62">
        <v>2.976</v>
      </c>
      <c r="K124" s="63" t="s">
        <v>346</v>
      </c>
      <c r="L124" s="63">
        <v>0.1</v>
      </c>
      <c r="M124" s="63"/>
      <c r="N124" s="63"/>
      <c r="O124" s="63"/>
      <c r="P124" s="63"/>
      <c r="Q124" s="64"/>
    </row>
    <row r="125" spans="1:17" ht="15" customHeight="1" x14ac:dyDescent="0.25">
      <c r="A125" s="59">
        <v>6506</v>
      </c>
      <c r="B125" s="59">
        <v>179</v>
      </c>
      <c r="C125" s="59" t="s">
        <v>169</v>
      </c>
      <c r="D125" s="60" t="s">
        <v>220</v>
      </c>
      <c r="E125" s="59">
        <v>25</v>
      </c>
      <c r="F125" s="59" t="s">
        <v>280</v>
      </c>
      <c r="G125" s="59">
        <v>194</v>
      </c>
      <c r="H125" s="59" t="s">
        <v>45</v>
      </c>
      <c r="I125" s="61" t="s">
        <v>14</v>
      </c>
      <c r="J125" s="62">
        <v>6.1539999999999997E-3</v>
      </c>
      <c r="K125" s="63" t="s">
        <v>347</v>
      </c>
      <c r="L125" s="63">
        <v>0.1</v>
      </c>
      <c r="M125" s="63"/>
      <c r="N125" s="63"/>
      <c r="O125" s="63"/>
      <c r="P125" s="63"/>
      <c r="Q125" s="64"/>
    </row>
    <row r="126" spans="1:17" ht="15" customHeight="1" x14ac:dyDescent="0.25">
      <c r="A126" s="59">
        <v>6506</v>
      </c>
      <c r="B126" s="59">
        <v>179</v>
      </c>
      <c r="C126" s="59" t="s">
        <v>169</v>
      </c>
      <c r="D126" s="60" t="s">
        <v>220</v>
      </c>
      <c r="E126" s="59">
        <v>25</v>
      </c>
      <c r="F126" s="59" t="s">
        <v>273</v>
      </c>
      <c r="G126" s="59">
        <v>185</v>
      </c>
      <c r="H126" s="59" t="s">
        <v>25</v>
      </c>
      <c r="I126" s="61" t="s">
        <v>26</v>
      </c>
      <c r="J126" s="62">
        <v>0.29199999999999998</v>
      </c>
      <c r="K126" s="63" t="s">
        <v>23</v>
      </c>
      <c r="L126" s="63">
        <v>0.1</v>
      </c>
      <c r="M126" s="63"/>
      <c r="N126" s="63"/>
      <c r="O126" s="63"/>
      <c r="P126" s="63"/>
      <c r="Q126" s="64"/>
    </row>
    <row r="127" spans="1:17" ht="15" customHeight="1" x14ac:dyDescent="0.25">
      <c r="A127" s="59">
        <v>6506</v>
      </c>
      <c r="B127" s="59">
        <v>179</v>
      </c>
      <c r="C127" s="59" t="s">
        <v>169</v>
      </c>
      <c r="D127" s="60" t="s">
        <v>220</v>
      </c>
      <c r="E127" s="59">
        <v>25</v>
      </c>
      <c r="F127" s="59" t="s">
        <v>285</v>
      </c>
      <c r="G127" s="59">
        <v>3635</v>
      </c>
      <c r="H127" s="59" t="s">
        <v>82</v>
      </c>
      <c r="I127" s="61" t="s">
        <v>48</v>
      </c>
      <c r="J127" s="62">
        <v>7.9000000000000001E-2</v>
      </c>
      <c r="K127" s="63" t="s">
        <v>348</v>
      </c>
      <c r="L127" s="63">
        <v>0.1</v>
      </c>
      <c r="M127" s="65"/>
      <c r="N127" s="63"/>
      <c r="O127" s="63"/>
      <c r="P127" s="63"/>
      <c r="Q127" s="64"/>
    </row>
    <row r="128" spans="1:17" ht="15" customHeight="1" x14ac:dyDescent="0.25">
      <c r="A128" s="59">
        <v>6532</v>
      </c>
      <c r="B128" s="59">
        <v>181</v>
      </c>
      <c r="C128" s="59" t="s">
        <v>169</v>
      </c>
      <c r="D128" s="60" t="s">
        <v>215</v>
      </c>
      <c r="E128" s="59">
        <v>25</v>
      </c>
      <c r="F128" s="59" t="s">
        <v>266</v>
      </c>
      <c r="G128" s="59">
        <v>6</v>
      </c>
      <c r="H128" s="59" t="s">
        <v>18</v>
      </c>
      <c r="I128" s="61" t="s">
        <v>14</v>
      </c>
      <c r="J128" s="62">
        <v>5.9169999999999998</v>
      </c>
      <c r="K128" s="63" t="s">
        <v>340</v>
      </c>
      <c r="L128" s="63">
        <v>0.1</v>
      </c>
      <c r="M128" s="63"/>
      <c r="N128" s="63"/>
      <c r="O128" s="63"/>
      <c r="P128" s="63"/>
      <c r="Q128" s="64"/>
    </row>
    <row r="129" spans="1:17" ht="15" customHeight="1" x14ac:dyDescent="0.25">
      <c r="A129" s="59">
        <v>6532</v>
      </c>
      <c r="B129" s="59">
        <v>181</v>
      </c>
      <c r="C129" s="59" t="s">
        <v>169</v>
      </c>
      <c r="D129" s="60" t="s">
        <v>215</v>
      </c>
      <c r="E129" s="59">
        <v>25</v>
      </c>
      <c r="F129" s="59" t="s">
        <v>278</v>
      </c>
      <c r="G129" s="59">
        <v>3595</v>
      </c>
      <c r="H129" s="59" t="s">
        <v>342</v>
      </c>
      <c r="I129" s="61" t="s">
        <v>14</v>
      </c>
      <c r="J129" s="62">
        <v>0.61199999999999999</v>
      </c>
      <c r="K129" s="63" t="s">
        <v>30</v>
      </c>
      <c r="L129" s="63">
        <v>0.1</v>
      </c>
      <c r="M129" s="65" t="s">
        <v>356</v>
      </c>
      <c r="N129" s="63"/>
      <c r="O129" s="63"/>
      <c r="P129" s="63"/>
      <c r="Q129" s="64"/>
    </row>
    <row r="130" spans="1:17" ht="15" customHeight="1" x14ac:dyDescent="0.25">
      <c r="A130" s="59">
        <v>6532</v>
      </c>
      <c r="B130" s="59">
        <v>181</v>
      </c>
      <c r="C130" s="59" t="s">
        <v>169</v>
      </c>
      <c r="D130" s="60" t="s">
        <v>215</v>
      </c>
      <c r="E130" s="59">
        <v>25</v>
      </c>
      <c r="F130" s="59" t="s">
        <v>282</v>
      </c>
      <c r="G130" s="59">
        <v>68</v>
      </c>
      <c r="H130" s="59" t="s">
        <v>63</v>
      </c>
      <c r="I130" s="61" t="s">
        <v>48</v>
      </c>
      <c r="J130" s="62">
        <v>1000</v>
      </c>
      <c r="K130" s="63" t="s">
        <v>344</v>
      </c>
      <c r="L130" s="63">
        <v>0.02</v>
      </c>
      <c r="M130" s="65" t="s">
        <v>345</v>
      </c>
      <c r="N130" s="63"/>
      <c r="O130" s="63"/>
      <c r="P130" s="63"/>
      <c r="Q130" s="64"/>
    </row>
    <row r="131" spans="1:17" ht="15" customHeight="1" x14ac:dyDescent="0.25">
      <c r="A131" s="59">
        <v>6532</v>
      </c>
      <c r="B131" s="59">
        <v>181</v>
      </c>
      <c r="C131" s="59" t="s">
        <v>169</v>
      </c>
      <c r="D131" s="60" t="s">
        <v>215</v>
      </c>
      <c r="E131" s="59">
        <v>25</v>
      </c>
      <c r="F131" s="59" t="s">
        <v>284</v>
      </c>
      <c r="G131" s="59">
        <v>3598</v>
      </c>
      <c r="H131" s="59" t="s">
        <v>77</v>
      </c>
      <c r="I131" s="61" t="s">
        <v>48</v>
      </c>
      <c r="J131" s="62">
        <v>2.976</v>
      </c>
      <c r="K131" s="63" t="s">
        <v>346</v>
      </c>
      <c r="L131" s="63">
        <v>0.1</v>
      </c>
      <c r="M131" s="65" t="s">
        <v>362</v>
      </c>
      <c r="N131" s="63"/>
      <c r="O131" s="63"/>
      <c r="P131" s="63"/>
      <c r="Q131" s="64"/>
    </row>
    <row r="132" spans="1:17" ht="15" customHeight="1" x14ac:dyDescent="0.25">
      <c r="A132" s="59">
        <v>6532</v>
      </c>
      <c r="B132" s="59">
        <v>181</v>
      </c>
      <c r="C132" s="59" t="s">
        <v>169</v>
      </c>
      <c r="D132" s="60" t="s">
        <v>215</v>
      </c>
      <c r="E132" s="59">
        <v>25</v>
      </c>
      <c r="F132" s="59" t="s">
        <v>280</v>
      </c>
      <c r="G132" s="59">
        <v>194</v>
      </c>
      <c r="H132" s="59" t="s">
        <v>45</v>
      </c>
      <c r="I132" s="61" t="s">
        <v>14</v>
      </c>
      <c r="J132" s="62">
        <v>6.1538499999999998E-3</v>
      </c>
      <c r="K132" s="63" t="s">
        <v>347</v>
      </c>
      <c r="L132" s="63">
        <v>0.1</v>
      </c>
      <c r="M132" s="63"/>
      <c r="N132" s="63"/>
      <c r="O132" s="63"/>
      <c r="P132" s="63"/>
      <c r="Q132" s="64"/>
    </row>
    <row r="133" spans="1:17" ht="15" customHeight="1" x14ac:dyDescent="0.25">
      <c r="A133" s="59">
        <v>6532</v>
      </c>
      <c r="B133" s="59">
        <v>181</v>
      </c>
      <c r="C133" s="59" t="s">
        <v>169</v>
      </c>
      <c r="D133" s="60" t="s">
        <v>215</v>
      </c>
      <c r="E133" s="59">
        <v>25</v>
      </c>
      <c r="F133" s="59" t="s">
        <v>273</v>
      </c>
      <c r="G133" s="59">
        <v>185</v>
      </c>
      <c r="H133" s="59" t="s">
        <v>25</v>
      </c>
      <c r="I133" s="61" t="s">
        <v>26</v>
      </c>
      <c r="J133" s="62">
        <v>0.29199999999999998</v>
      </c>
      <c r="K133" s="63" t="s">
        <v>23</v>
      </c>
      <c r="L133" s="63">
        <v>0.1</v>
      </c>
      <c r="M133" s="65" t="s">
        <v>356</v>
      </c>
      <c r="N133" s="63"/>
      <c r="O133" s="63"/>
      <c r="P133" s="63"/>
      <c r="Q133" s="64"/>
    </row>
    <row r="134" spans="1:17" ht="15" customHeight="1" x14ac:dyDescent="0.25">
      <c r="A134" s="59">
        <v>6532</v>
      </c>
      <c r="B134" s="59">
        <v>181</v>
      </c>
      <c r="C134" s="59" t="s">
        <v>169</v>
      </c>
      <c r="D134" s="60" t="s">
        <v>215</v>
      </c>
      <c r="E134" s="59">
        <v>25</v>
      </c>
      <c r="F134" s="59" t="s">
        <v>285</v>
      </c>
      <c r="G134" s="59">
        <v>3635</v>
      </c>
      <c r="H134" s="59" t="s">
        <v>82</v>
      </c>
      <c r="I134" s="61" t="s">
        <v>48</v>
      </c>
      <c r="J134" s="62">
        <v>7.9000000000000001E-2</v>
      </c>
      <c r="K134" s="63" t="s">
        <v>348</v>
      </c>
      <c r="L134" s="63">
        <v>0.1</v>
      </c>
      <c r="M134" s="65"/>
      <c r="N134" s="63"/>
      <c r="O134" s="63"/>
      <c r="P134" s="63"/>
      <c r="Q134" s="64"/>
    </row>
    <row r="135" spans="1:17" ht="15" customHeight="1" x14ac:dyDescent="0.25">
      <c r="A135" s="59">
        <v>6338</v>
      </c>
      <c r="B135" s="59">
        <v>167</v>
      </c>
      <c r="C135" s="59" t="s">
        <v>218</v>
      </c>
      <c r="D135" s="60" t="s">
        <v>219</v>
      </c>
      <c r="E135" s="59">
        <v>25</v>
      </c>
      <c r="F135" s="59" t="s">
        <v>266</v>
      </c>
      <c r="G135" s="59">
        <v>10</v>
      </c>
      <c r="H135" s="59" t="s">
        <v>270</v>
      </c>
      <c r="I135" s="61" t="s">
        <v>14</v>
      </c>
      <c r="J135" s="62">
        <v>5.9169999999999998</v>
      </c>
      <c r="K135" s="63" t="s">
        <v>340</v>
      </c>
      <c r="L135" s="63">
        <v>0.1</v>
      </c>
      <c r="M135" s="63"/>
      <c r="N135" s="63"/>
      <c r="O135" s="63"/>
      <c r="P135" s="63"/>
      <c r="Q135" s="64"/>
    </row>
    <row r="136" spans="1:17" ht="15" customHeight="1" x14ac:dyDescent="0.25">
      <c r="A136" s="59">
        <v>6338</v>
      </c>
      <c r="B136" s="59">
        <v>167</v>
      </c>
      <c r="C136" s="59" t="s">
        <v>218</v>
      </c>
      <c r="D136" s="60" t="s">
        <v>219</v>
      </c>
      <c r="E136" s="59">
        <v>25</v>
      </c>
      <c r="F136" s="59" t="s">
        <v>278</v>
      </c>
      <c r="G136" s="59">
        <v>3595</v>
      </c>
      <c r="H136" s="59" t="s">
        <v>342</v>
      </c>
      <c r="I136" s="61" t="s">
        <v>14</v>
      </c>
      <c r="J136" s="62">
        <v>0.56000000000000005</v>
      </c>
      <c r="K136" s="63" t="s">
        <v>30</v>
      </c>
      <c r="L136" s="63">
        <v>0.1</v>
      </c>
      <c r="M136" s="65" t="s">
        <v>356</v>
      </c>
      <c r="N136" s="63"/>
      <c r="O136" s="63"/>
      <c r="P136" s="63"/>
      <c r="Q136" s="64"/>
    </row>
    <row r="137" spans="1:17" ht="15" customHeight="1" x14ac:dyDescent="0.25">
      <c r="A137" s="59">
        <v>6338</v>
      </c>
      <c r="B137" s="59">
        <v>167</v>
      </c>
      <c r="C137" s="59" t="s">
        <v>218</v>
      </c>
      <c r="D137" s="60" t="s">
        <v>219</v>
      </c>
      <c r="E137" s="59">
        <v>25</v>
      </c>
      <c r="F137" s="59" t="s">
        <v>284</v>
      </c>
      <c r="G137" s="59">
        <v>3598</v>
      </c>
      <c r="H137" s="59" t="s">
        <v>77</v>
      </c>
      <c r="I137" s="61" t="s">
        <v>48</v>
      </c>
      <c r="J137" s="62">
        <v>2.976</v>
      </c>
      <c r="K137" s="63" t="s">
        <v>346</v>
      </c>
      <c r="L137" s="63">
        <v>0.1</v>
      </c>
      <c r="M137" s="65"/>
      <c r="N137" s="63"/>
      <c r="O137" s="63"/>
      <c r="P137" s="63"/>
      <c r="Q137" s="64"/>
    </row>
    <row r="138" spans="1:17" ht="15" customHeight="1" x14ac:dyDescent="0.25">
      <c r="A138" s="59">
        <v>6338</v>
      </c>
      <c r="B138" s="59">
        <v>167</v>
      </c>
      <c r="C138" s="59" t="s">
        <v>218</v>
      </c>
      <c r="D138" s="60" t="s">
        <v>219</v>
      </c>
      <c r="E138" s="59">
        <v>25</v>
      </c>
      <c r="F138" s="59" t="s">
        <v>280</v>
      </c>
      <c r="G138" s="59">
        <v>194</v>
      </c>
      <c r="H138" s="59" t="s">
        <v>45</v>
      </c>
      <c r="I138" s="61" t="s">
        <v>14</v>
      </c>
      <c r="J138" s="62">
        <v>5.8700000000000002E-3</v>
      </c>
      <c r="K138" s="63" t="s">
        <v>347</v>
      </c>
      <c r="L138" s="63">
        <v>0.1</v>
      </c>
      <c r="M138" s="63"/>
      <c r="N138" s="63"/>
      <c r="O138" s="63"/>
      <c r="P138" s="63"/>
      <c r="Q138" s="64"/>
    </row>
    <row r="139" spans="1:17" ht="15" customHeight="1" x14ac:dyDescent="0.25">
      <c r="A139" s="59">
        <v>6338</v>
      </c>
      <c r="B139" s="59">
        <v>167</v>
      </c>
      <c r="C139" s="59" t="s">
        <v>218</v>
      </c>
      <c r="D139" s="60" t="s">
        <v>219</v>
      </c>
      <c r="E139" s="59">
        <v>25</v>
      </c>
      <c r="F139" s="59" t="s">
        <v>273</v>
      </c>
      <c r="G139" s="59">
        <v>185</v>
      </c>
      <c r="H139" s="59" t="s">
        <v>25</v>
      </c>
      <c r="I139" s="61" t="s">
        <v>26</v>
      </c>
      <c r="J139" s="62">
        <v>0.37369999999999998</v>
      </c>
      <c r="K139" s="63" t="s">
        <v>23</v>
      </c>
      <c r="L139" s="63">
        <v>0.1</v>
      </c>
      <c r="M139" s="65" t="s">
        <v>356</v>
      </c>
      <c r="N139" s="63"/>
      <c r="O139" s="63"/>
      <c r="P139" s="63"/>
      <c r="Q139" s="64"/>
    </row>
    <row r="140" spans="1:17" ht="15" customHeight="1" x14ac:dyDescent="0.25">
      <c r="A140" s="59">
        <v>6338</v>
      </c>
      <c r="B140" s="59">
        <v>167</v>
      </c>
      <c r="C140" s="59" t="s">
        <v>218</v>
      </c>
      <c r="D140" s="60" t="s">
        <v>219</v>
      </c>
      <c r="E140" s="59">
        <v>25</v>
      </c>
      <c r="F140" s="59" t="s">
        <v>285</v>
      </c>
      <c r="G140" s="59">
        <v>3635</v>
      </c>
      <c r="H140" s="59" t="s">
        <v>82</v>
      </c>
      <c r="I140" s="61" t="s">
        <v>48</v>
      </c>
      <c r="J140" s="62">
        <v>7.9000000000000008E-3</v>
      </c>
      <c r="K140" s="63" t="s">
        <v>348</v>
      </c>
      <c r="L140" s="63">
        <v>0.1</v>
      </c>
      <c r="M140" s="63"/>
      <c r="N140" s="63"/>
      <c r="O140" s="63"/>
      <c r="P140" s="63"/>
      <c r="Q140" s="64"/>
    </row>
    <row r="141" spans="1:17" ht="15" customHeight="1" x14ac:dyDescent="0.25">
      <c r="A141" s="59">
        <v>6338</v>
      </c>
      <c r="B141" s="59">
        <v>167</v>
      </c>
      <c r="C141" s="59" t="s">
        <v>218</v>
      </c>
      <c r="D141" s="60" t="s">
        <v>219</v>
      </c>
      <c r="E141" s="59">
        <v>25</v>
      </c>
      <c r="F141" s="59" t="s">
        <v>302</v>
      </c>
      <c r="G141" s="59">
        <v>3857</v>
      </c>
      <c r="H141" s="59" t="s">
        <v>102</v>
      </c>
      <c r="I141" s="61" t="s">
        <v>14</v>
      </c>
      <c r="J141" s="62">
        <v>0.33</v>
      </c>
      <c r="K141" s="63" t="s">
        <v>86</v>
      </c>
      <c r="L141" s="63">
        <v>0.1</v>
      </c>
      <c r="M141" s="65"/>
      <c r="N141" s="63"/>
      <c r="O141" s="63"/>
      <c r="P141" s="63"/>
      <c r="Q141" s="64"/>
    </row>
    <row r="142" spans="1:17" ht="15" customHeight="1" x14ac:dyDescent="0.25">
      <c r="A142" s="59">
        <v>6337</v>
      </c>
      <c r="B142" s="59">
        <v>166</v>
      </c>
      <c r="C142" s="59" t="s">
        <v>226</v>
      </c>
      <c r="D142" s="60" t="s">
        <v>228</v>
      </c>
      <c r="E142" s="59">
        <v>30</v>
      </c>
      <c r="F142" s="59" t="s">
        <v>266</v>
      </c>
      <c r="G142" s="59">
        <v>406</v>
      </c>
      <c r="H142" s="59" t="s">
        <v>19</v>
      </c>
      <c r="I142" s="61" t="s">
        <v>14</v>
      </c>
      <c r="J142" s="62">
        <v>8</v>
      </c>
      <c r="K142" s="63" t="s">
        <v>340</v>
      </c>
      <c r="L142" s="63">
        <v>0.1</v>
      </c>
      <c r="M142" s="65" t="s">
        <v>363</v>
      </c>
      <c r="N142" s="63"/>
      <c r="O142" s="63"/>
      <c r="P142" s="63"/>
      <c r="Q142" s="64"/>
    </row>
    <row r="143" spans="1:17" ht="15" customHeight="1" x14ac:dyDescent="0.25">
      <c r="A143" s="59">
        <v>6337</v>
      </c>
      <c r="B143" s="59">
        <v>166</v>
      </c>
      <c r="C143" s="59" t="s">
        <v>226</v>
      </c>
      <c r="D143" s="60" t="s">
        <v>228</v>
      </c>
      <c r="E143" s="59">
        <v>30</v>
      </c>
      <c r="F143" s="59" t="s">
        <v>278</v>
      </c>
      <c r="G143" s="59">
        <v>3595</v>
      </c>
      <c r="H143" s="59" t="s">
        <v>342</v>
      </c>
      <c r="I143" s="61" t="s">
        <v>14</v>
      </c>
      <c r="J143" s="62">
        <v>0.67</v>
      </c>
      <c r="K143" s="63" t="s">
        <v>30</v>
      </c>
      <c r="L143" s="63">
        <v>0.1</v>
      </c>
      <c r="M143" s="65" t="s">
        <v>356</v>
      </c>
      <c r="N143" s="63"/>
      <c r="O143" s="63"/>
      <c r="P143" s="63"/>
      <c r="Q143" s="64"/>
    </row>
    <row r="144" spans="1:17" ht="15" customHeight="1" x14ac:dyDescent="0.25">
      <c r="A144" s="59">
        <v>6337</v>
      </c>
      <c r="B144" s="59">
        <v>166</v>
      </c>
      <c r="C144" s="59" t="s">
        <v>226</v>
      </c>
      <c r="D144" s="60" t="s">
        <v>228</v>
      </c>
      <c r="E144" s="59">
        <v>30</v>
      </c>
      <c r="F144" s="59" t="s">
        <v>279</v>
      </c>
      <c r="G144" s="59">
        <v>186</v>
      </c>
      <c r="H144" s="59" t="s">
        <v>43</v>
      </c>
      <c r="I144" s="61" t="s">
        <v>14</v>
      </c>
      <c r="J144" s="62">
        <v>0.28000000000000003</v>
      </c>
      <c r="K144" s="63" t="s">
        <v>42</v>
      </c>
      <c r="L144" s="63">
        <v>0.1</v>
      </c>
      <c r="M144" s="65"/>
      <c r="N144" s="63"/>
      <c r="O144" s="63"/>
      <c r="P144" s="63"/>
      <c r="Q144" s="64"/>
    </row>
    <row r="145" spans="1:17" ht="15" customHeight="1" x14ac:dyDescent="0.25">
      <c r="A145" s="59">
        <v>6337</v>
      </c>
      <c r="B145" s="59">
        <v>166</v>
      </c>
      <c r="C145" s="59" t="s">
        <v>226</v>
      </c>
      <c r="D145" s="60" t="s">
        <v>228</v>
      </c>
      <c r="E145" s="59">
        <v>30</v>
      </c>
      <c r="F145" s="59" t="s">
        <v>282</v>
      </c>
      <c r="G145" s="59">
        <v>578</v>
      </c>
      <c r="H145" s="59" t="s">
        <v>69</v>
      </c>
      <c r="I145" s="61" t="s">
        <v>48</v>
      </c>
      <c r="J145" s="62">
        <v>1000</v>
      </c>
      <c r="K145" s="63" t="s">
        <v>344</v>
      </c>
      <c r="L145" s="63">
        <v>0.02</v>
      </c>
      <c r="M145" s="65" t="s">
        <v>345</v>
      </c>
      <c r="N145" s="63"/>
      <c r="O145" s="63"/>
      <c r="P145" s="63"/>
      <c r="Q145" s="64"/>
    </row>
    <row r="146" spans="1:17" ht="15" customHeight="1" x14ac:dyDescent="0.25">
      <c r="A146" s="59">
        <v>6337</v>
      </c>
      <c r="B146" s="59">
        <v>166</v>
      </c>
      <c r="C146" s="59" t="s">
        <v>226</v>
      </c>
      <c r="D146" s="60" t="s">
        <v>228</v>
      </c>
      <c r="E146" s="59">
        <v>30</v>
      </c>
      <c r="F146" s="59" t="s">
        <v>284</v>
      </c>
      <c r="G146" s="59">
        <v>45</v>
      </c>
      <c r="H146" s="59" t="s">
        <v>78</v>
      </c>
      <c r="I146" s="61" t="s">
        <v>48</v>
      </c>
      <c r="J146" s="62">
        <v>6.6665999999999999</v>
      </c>
      <c r="K146" s="63" t="s">
        <v>346</v>
      </c>
      <c r="L146" s="63">
        <v>0.1</v>
      </c>
      <c r="M146" s="65"/>
      <c r="N146" s="63"/>
      <c r="O146" s="63"/>
      <c r="P146" s="63"/>
      <c r="Q146" s="64"/>
    </row>
    <row r="147" spans="1:17" ht="15" customHeight="1" x14ac:dyDescent="0.25">
      <c r="A147" s="59">
        <v>6337</v>
      </c>
      <c r="B147" s="59">
        <v>166</v>
      </c>
      <c r="C147" s="59" t="s">
        <v>226</v>
      </c>
      <c r="D147" s="60" t="s">
        <v>228</v>
      </c>
      <c r="E147" s="59">
        <v>30</v>
      </c>
      <c r="F147" s="59" t="s">
        <v>273</v>
      </c>
      <c r="G147" s="59">
        <v>4155</v>
      </c>
      <c r="H147" s="59" t="s">
        <v>277</v>
      </c>
      <c r="I147" s="61" t="s">
        <v>14</v>
      </c>
      <c r="J147" s="62">
        <v>0.28000000000000003</v>
      </c>
      <c r="K147" s="63" t="s">
        <v>23</v>
      </c>
      <c r="L147" s="63">
        <v>0.1</v>
      </c>
      <c r="M147" s="65" t="s">
        <v>356</v>
      </c>
      <c r="N147" s="63"/>
      <c r="O147" s="63"/>
      <c r="P147" s="63"/>
      <c r="Q147" s="64"/>
    </row>
    <row r="148" spans="1:17" ht="15" customHeight="1" x14ac:dyDescent="0.25">
      <c r="A148" s="59">
        <v>6337</v>
      </c>
      <c r="B148" s="59">
        <v>166</v>
      </c>
      <c r="C148" s="59" t="s">
        <v>226</v>
      </c>
      <c r="D148" s="60" t="s">
        <v>228</v>
      </c>
      <c r="E148" s="59">
        <v>30</v>
      </c>
      <c r="F148" s="59" t="s">
        <v>285</v>
      </c>
      <c r="G148" s="59">
        <v>3635</v>
      </c>
      <c r="H148" s="59" t="s">
        <v>82</v>
      </c>
      <c r="I148" s="61" t="s">
        <v>48</v>
      </c>
      <c r="J148" s="62">
        <v>0.156</v>
      </c>
      <c r="K148" s="63" t="s">
        <v>81</v>
      </c>
      <c r="L148" s="63">
        <v>0.1</v>
      </c>
      <c r="M148" s="65"/>
      <c r="N148" s="63"/>
      <c r="O148" s="63"/>
      <c r="P148" s="63"/>
      <c r="Q148" s="64"/>
    </row>
    <row r="149" spans="1:17" ht="15" customHeight="1" x14ac:dyDescent="0.25">
      <c r="A149" s="59">
        <v>6337</v>
      </c>
      <c r="B149" s="59">
        <v>166</v>
      </c>
      <c r="C149" s="59" t="s">
        <v>226</v>
      </c>
      <c r="D149" s="60" t="s">
        <v>228</v>
      </c>
      <c r="E149" s="59">
        <v>30</v>
      </c>
      <c r="F149" s="59" t="s">
        <v>280</v>
      </c>
      <c r="G149" s="59">
        <v>194</v>
      </c>
      <c r="H149" s="59" t="s">
        <v>45</v>
      </c>
      <c r="I149" s="61" t="s">
        <v>14</v>
      </c>
      <c r="J149" s="62">
        <v>8.3199999999999993E-3</v>
      </c>
      <c r="K149" s="63" t="s">
        <v>280</v>
      </c>
      <c r="L149" s="63">
        <v>0.1</v>
      </c>
      <c r="M149" s="65" t="s">
        <v>364</v>
      </c>
      <c r="N149" s="63"/>
      <c r="O149" s="63"/>
      <c r="P149" s="63"/>
      <c r="Q149" s="64"/>
    </row>
    <row r="150" spans="1:17" ht="15" customHeight="1" x14ac:dyDescent="0.25">
      <c r="A150" s="59">
        <v>6416</v>
      </c>
      <c r="B150" s="59">
        <v>171</v>
      </c>
      <c r="C150" s="59" t="s">
        <v>226</v>
      </c>
      <c r="D150" s="60" t="s">
        <v>227</v>
      </c>
      <c r="E150" s="59">
        <v>30</v>
      </c>
      <c r="F150" s="59" t="s">
        <v>266</v>
      </c>
      <c r="G150" s="59">
        <v>406</v>
      </c>
      <c r="H150" s="59" t="s">
        <v>19</v>
      </c>
      <c r="I150" s="61" t="s">
        <v>14</v>
      </c>
      <c r="J150" s="62">
        <v>8</v>
      </c>
      <c r="K150" s="63" t="s">
        <v>340</v>
      </c>
      <c r="L150" s="63">
        <v>0.1</v>
      </c>
      <c r="M150" s="65" t="s">
        <v>363</v>
      </c>
      <c r="N150" s="63"/>
      <c r="O150" s="63"/>
      <c r="P150" s="63"/>
      <c r="Q150" s="64"/>
    </row>
    <row r="151" spans="1:17" ht="15" customHeight="1" x14ac:dyDescent="0.25">
      <c r="A151" s="59">
        <v>6416</v>
      </c>
      <c r="B151" s="59">
        <v>171</v>
      </c>
      <c r="C151" s="59" t="s">
        <v>226</v>
      </c>
      <c r="D151" s="60" t="s">
        <v>227</v>
      </c>
      <c r="E151" s="59">
        <v>30</v>
      </c>
      <c r="F151" s="59" t="s">
        <v>278</v>
      </c>
      <c r="G151" s="59">
        <v>3595</v>
      </c>
      <c r="H151" s="59" t="s">
        <v>342</v>
      </c>
      <c r="I151" s="61" t="s">
        <v>14</v>
      </c>
      <c r="J151" s="62">
        <v>0.67</v>
      </c>
      <c r="K151" s="63" t="s">
        <v>30</v>
      </c>
      <c r="L151" s="63">
        <v>0.1</v>
      </c>
      <c r="M151" s="65" t="s">
        <v>343</v>
      </c>
      <c r="N151" s="63"/>
      <c r="O151" s="63"/>
      <c r="P151" s="63"/>
      <c r="Q151" s="64"/>
    </row>
    <row r="152" spans="1:17" ht="15" customHeight="1" x14ac:dyDescent="0.25">
      <c r="A152" s="59">
        <v>6416</v>
      </c>
      <c r="B152" s="59">
        <v>171</v>
      </c>
      <c r="C152" s="59" t="s">
        <v>226</v>
      </c>
      <c r="D152" s="60" t="s">
        <v>227</v>
      </c>
      <c r="E152" s="59">
        <v>30</v>
      </c>
      <c r="F152" s="59" t="s">
        <v>279</v>
      </c>
      <c r="G152" s="59">
        <v>186</v>
      </c>
      <c r="H152" s="59" t="s">
        <v>43</v>
      </c>
      <c r="I152" s="61" t="s">
        <v>14</v>
      </c>
      <c r="J152" s="62">
        <v>0.28000000000000003</v>
      </c>
      <c r="K152" s="63" t="s">
        <v>42</v>
      </c>
      <c r="L152" s="63">
        <v>0.1</v>
      </c>
      <c r="M152" s="65"/>
      <c r="N152" s="63"/>
      <c r="O152" s="63"/>
      <c r="P152" s="63"/>
      <c r="Q152" s="64"/>
    </row>
    <row r="153" spans="1:17" ht="15" customHeight="1" x14ac:dyDescent="0.25">
      <c r="A153" s="59">
        <v>6416</v>
      </c>
      <c r="B153" s="59">
        <v>171</v>
      </c>
      <c r="C153" s="59" t="s">
        <v>226</v>
      </c>
      <c r="D153" s="60" t="s">
        <v>227</v>
      </c>
      <c r="E153" s="59">
        <v>30</v>
      </c>
      <c r="F153" s="59" t="s">
        <v>282</v>
      </c>
      <c r="G153" s="59">
        <v>578</v>
      </c>
      <c r="H153" s="59" t="s">
        <v>69</v>
      </c>
      <c r="I153" s="61" t="s">
        <v>48</v>
      </c>
      <c r="J153" s="62">
        <v>1000</v>
      </c>
      <c r="K153" s="63" t="s">
        <v>344</v>
      </c>
      <c r="L153" s="63">
        <v>0.02</v>
      </c>
      <c r="M153" s="65" t="s">
        <v>345</v>
      </c>
      <c r="N153" s="63"/>
      <c r="O153" s="63"/>
      <c r="P153" s="63"/>
      <c r="Q153" s="64"/>
    </row>
    <row r="154" spans="1:17" ht="15" customHeight="1" x14ac:dyDescent="0.25">
      <c r="A154" s="59">
        <v>6416</v>
      </c>
      <c r="B154" s="59">
        <v>171</v>
      </c>
      <c r="C154" s="59" t="s">
        <v>226</v>
      </c>
      <c r="D154" s="60" t="s">
        <v>227</v>
      </c>
      <c r="E154" s="59">
        <v>30</v>
      </c>
      <c r="F154" s="59" t="s">
        <v>284</v>
      </c>
      <c r="G154" s="59">
        <v>3598</v>
      </c>
      <c r="H154" s="59" t="s">
        <v>77</v>
      </c>
      <c r="I154" s="61" t="s">
        <v>48</v>
      </c>
      <c r="J154" s="62">
        <v>4.2016</v>
      </c>
      <c r="K154" s="63" t="s">
        <v>346</v>
      </c>
      <c r="L154" s="63">
        <v>0.1</v>
      </c>
      <c r="M154" s="65"/>
      <c r="N154" s="63"/>
      <c r="O154" s="63"/>
      <c r="P154" s="63"/>
      <c r="Q154" s="64"/>
    </row>
    <row r="155" spans="1:17" ht="15" customHeight="1" x14ac:dyDescent="0.25">
      <c r="A155" s="59">
        <v>6416</v>
      </c>
      <c r="B155" s="59">
        <v>171</v>
      </c>
      <c r="C155" s="59" t="s">
        <v>226</v>
      </c>
      <c r="D155" s="60" t="s">
        <v>227</v>
      </c>
      <c r="E155" s="59">
        <v>30</v>
      </c>
      <c r="F155" s="59" t="s">
        <v>273</v>
      </c>
      <c r="G155" s="59">
        <v>4155</v>
      </c>
      <c r="H155" s="59" t="s">
        <v>277</v>
      </c>
      <c r="I155" s="61" t="s">
        <v>14</v>
      </c>
      <c r="J155" s="62">
        <v>0.28000000000000003</v>
      </c>
      <c r="K155" s="63" t="s">
        <v>23</v>
      </c>
      <c r="L155" s="63">
        <v>0.1</v>
      </c>
      <c r="M155" s="65"/>
      <c r="N155" s="63"/>
      <c r="O155" s="63"/>
      <c r="P155" s="63"/>
      <c r="Q155" s="64"/>
    </row>
    <row r="156" spans="1:17" ht="15" customHeight="1" x14ac:dyDescent="0.25">
      <c r="A156" s="59">
        <v>6416</v>
      </c>
      <c r="B156" s="59">
        <v>171</v>
      </c>
      <c r="C156" s="59" t="s">
        <v>226</v>
      </c>
      <c r="D156" s="60" t="s">
        <v>227</v>
      </c>
      <c r="E156" s="59">
        <v>30</v>
      </c>
      <c r="F156" s="59" t="s">
        <v>285</v>
      </c>
      <c r="G156" s="59">
        <v>3635</v>
      </c>
      <c r="H156" s="59" t="s">
        <v>82</v>
      </c>
      <c r="I156" s="61" t="s">
        <v>48</v>
      </c>
      <c r="J156" s="62">
        <v>0.156</v>
      </c>
      <c r="K156" s="63" t="s">
        <v>81</v>
      </c>
      <c r="L156" s="63">
        <v>0.1</v>
      </c>
      <c r="M156" s="65"/>
      <c r="N156" s="63"/>
      <c r="O156" s="63"/>
      <c r="P156" s="63"/>
      <c r="Q156" s="64"/>
    </row>
    <row r="157" spans="1:17" ht="15" customHeight="1" x14ac:dyDescent="0.25">
      <c r="A157" s="59">
        <v>6416</v>
      </c>
      <c r="B157" s="59">
        <v>171</v>
      </c>
      <c r="C157" s="59" t="s">
        <v>226</v>
      </c>
      <c r="D157" s="60" t="s">
        <v>227</v>
      </c>
      <c r="E157" s="59">
        <v>30</v>
      </c>
      <c r="F157" s="59" t="s">
        <v>280</v>
      </c>
      <c r="G157" s="59">
        <v>194</v>
      </c>
      <c r="H157" s="59" t="s">
        <v>45</v>
      </c>
      <c r="I157" s="61" t="s">
        <v>14</v>
      </c>
      <c r="J157" s="62">
        <v>8.3199999999999993E-3</v>
      </c>
      <c r="K157" s="63" t="s">
        <v>280</v>
      </c>
      <c r="L157" s="63">
        <v>0.1</v>
      </c>
      <c r="M157" s="65" t="s">
        <v>364</v>
      </c>
      <c r="N157" s="63"/>
      <c r="O157" s="63"/>
      <c r="P157" s="63"/>
      <c r="Q157" s="64"/>
    </row>
    <row r="158" spans="1:17" ht="15" customHeight="1" x14ac:dyDescent="0.25">
      <c r="A158" s="59">
        <v>6206</v>
      </c>
      <c r="B158" s="59">
        <v>149</v>
      </c>
      <c r="C158" s="59" t="s">
        <v>175</v>
      </c>
      <c r="D158" s="60" t="s">
        <v>176</v>
      </c>
      <c r="E158" s="59">
        <v>30</v>
      </c>
      <c r="F158" s="59" t="s">
        <v>266</v>
      </c>
      <c r="G158" s="59">
        <v>406</v>
      </c>
      <c r="H158" s="59" t="s">
        <v>19</v>
      </c>
      <c r="I158" s="61" t="s">
        <v>14</v>
      </c>
      <c r="J158" s="62">
        <v>8</v>
      </c>
      <c r="K158" s="63" t="s">
        <v>340</v>
      </c>
      <c r="L158" s="63">
        <v>0.1</v>
      </c>
      <c r="M158" s="65" t="s">
        <v>363</v>
      </c>
      <c r="N158" s="63"/>
      <c r="O158" s="63"/>
      <c r="P158" s="63"/>
      <c r="Q158" s="64"/>
    </row>
    <row r="159" spans="1:17" ht="15" customHeight="1" x14ac:dyDescent="0.25">
      <c r="A159" s="59">
        <v>6206</v>
      </c>
      <c r="B159" s="59">
        <v>149</v>
      </c>
      <c r="C159" s="59" t="s">
        <v>175</v>
      </c>
      <c r="D159" s="60" t="s">
        <v>176</v>
      </c>
      <c r="E159" s="59">
        <v>30</v>
      </c>
      <c r="F159" s="59" t="s">
        <v>278</v>
      </c>
      <c r="G159" s="59">
        <v>3595</v>
      </c>
      <c r="H159" s="59" t="s">
        <v>342</v>
      </c>
      <c r="I159" s="61" t="s">
        <v>14</v>
      </c>
      <c r="J159" s="62">
        <v>0.67</v>
      </c>
      <c r="K159" s="63" t="s">
        <v>30</v>
      </c>
      <c r="L159" s="63">
        <v>0.1</v>
      </c>
      <c r="M159" s="65" t="s">
        <v>343</v>
      </c>
      <c r="N159" s="63"/>
      <c r="O159" s="63"/>
      <c r="P159" s="63"/>
      <c r="Q159" s="64"/>
    </row>
    <row r="160" spans="1:17" ht="15" customHeight="1" x14ac:dyDescent="0.25">
      <c r="A160" s="59">
        <v>6206</v>
      </c>
      <c r="B160" s="59">
        <v>149</v>
      </c>
      <c r="C160" s="59" t="s">
        <v>175</v>
      </c>
      <c r="D160" s="60" t="s">
        <v>176</v>
      </c>
      <c r="E160" s="59">
        <v>30</v>
      </c>
      <c r="F160" s="59" t="s">
        <v>279</v>
      </c>
      <c r="G160" s="59">
        <v>186</v>
      </c>
      <c r="H160" s="59" t="s">
        <v>43</v>
      </c>
      <c r="I160" s="61" t="s">
        <v>14</v>
      </c>
      <c r="J160" s="62">
        <v>0.28000000000000003</v>
      </c>
      <c r="K160" s="63" t="s">
        <v>42</v>
      </c>
      <c r="L160" s="63">
        <v>0.1</v>
      </c>
      <c r="M160" s="63"/>
      <c r="N160" s="63"/>
      <c r="O160" s="63"/>
      <c r="P160" s="63"/>
      <c r="Q160" s="64"/>
    </row>
    <row r="161" spans="1:17" ht="15" customHeight="1" x14ac:dyDescent="0.25">
      <c r="A161" s="59">
        <v>6206</v>
      </c>
      <c r="B161" s="59">
        <v>149</v>
      </c>
      <c r="C161" s="59" t="s">
        <v>175</v>
      </c>
      <c r="D161" s="60" t="s">
        <v>176</v>
      </c>
      <c r="E161" s="59">
        <v>30</v>
      </c>
      <c r="F161" s="59" t="s">
        <v>282</v>
      </c>
      <c r="G161" s="59">
        <v>68</v>
      </c>
      <c r="H161" s="59" t="s">
        <v>63</v>
      </c>
      <c r="I161" s="61" t="s">
        <v>48</v>
      </c>
      <c r="J161" s="62">
        <v>1000</v>
      </c>
      <c r="K161" s="63" t="s">
        <v>344</v>
      </c>
      <c r="L161" s="63">
        <v>0.02</v>
      </c>
      <c r="M161" s="65" t="s">
        <v>345</v>
      </c>
      <c r="N161" s="63"/>
      <c r="O161" s="63"/>
      <c r="P161" s="63"/>
      <c r="Q161" s="64"/>
    </row>
    <row r="162" spans="1:17" ht="15" customHeight="1" x14ac:dyDescent="0.25">
      <c r="A162" s="59">
        <v>6206</v>
      </c>
      <c r="B162" s="59">
        <v>149</v>
      </c>
      <c r="C162" s="59" t="s">
        <v>175</v>
      </c>
      <c r="D162" s="60" t="s">
        <v>176</v>
      </c>
      <c r="E162" s="59">
        <v>30</v>
      </c>
      <c r="F162" s="59" t="s">
        <v>284</v>
      </c>
      <c r="G162" s="59">
        <v>3598</v>
      </c>
      <c r="H162" s="59" t="s">
        <v>77</v>
      </c>
      <c r="I162" s="61" t="s">
        <v>48</v>
      </c>
      <c r="J162" s="62">
        <v>4.2016</v>
      </c>
      <c r="K162" s="63" t="s">
        <v>346</v>
      </c>
      <c r="L162" s="63">
        <v>0.1</v>
      </c>
      <c r="M162" s="63"/>
      <c r="N162" s="63"/>
      <c r="O162" s="63"/>
      <c r="P162" s="63"/>
      <c r="Q162" s="64"/>
    </row>
    <row r="163" spans="1:17" ht="15" customHeight="1" x14ac:dyDescent="0.25">
      <c r="A163" s="59">
        <v>6206</v>
      </c>
      <c r="B163" s="59">
        <v>149</v>
      </c>
      <c r="C163" s="59" t="s">
        <v>175</v>
      </c>
      <c r="D163" s="60" t="s">
        <v>176</v>
      </c>
      <c r="E163" s="59">
        <v>30</v>
      </c>
      <c r="F163" s="59" t="s">
        <v>280</v>
      </c>
      <c r="G163" s="59">
        <v>194</v>
      </c>
      <c r="H163" s="59" t="s">
        <v>45</v>
      </c>
      <c r="I163" s="61" t="s">
        <v>14</v>
      </c>
      <c r="J163" s="62">
        <v>8.3199999999999993E-3</v>
      </c>
      <c r="K163" s="63" t="s">
        <v>347</v>
      </c>
      <c r="L163" s="63">
        <v>0.1</v>
      </c>
      <c r="M163" s="63"/>
      <c r="N163" s="63"/>
      <c r="O163" s="63"/>
      <c r="P163" s="63"/>
      <c r="Q163" s="64"/>
    </row>
    <row r="164" spans="1:17" ht="15" customHeight="1" x14ac:dyDescent="0.25">
      <c r="A164" s="59">
        <v>6206</v>
      </c>
      <c r="B164" s="59">
        <v>149</v>
      </c>
      <c r="C164" s="59" t="s">
        <v>175</v>
      </c>
      <c r="D164" s="60" t="s">
        <v>176</v>
      </c>
      <c r="E164" s="59">
        <v>30</v>
      </c>
      <c r="F164" s="59" t="s">
        <v>273</v>
      </c>
      <c r="G164" s="59">
        <v>4155</v>
      </c>
      <c r="H164" s="59" t="s">
        <v>277</v>
      </c>
      <c r="I164" s="61" t="s">
        <v>14</v>
      </c>
      <c r="J164" s="62">
        <v>0.28000000000000003</v>
      </c>
      <c r="K164" s="63" t="s">
        <v>23</v>
      </c>
      <c r="L164" s="63">
        <v>0.1</v>
      </c>
      <c r="M164" s="63"/>
      <c r="N164" s="63"/>
      <c r="O164" s="63"/>
      <c r="P164" s="63"/>
      <c r="Q164" s="64"/>
    </row>
    <row r="165" spans="1:17" ht="15" customHeight="1" x14ac:dyDescent="0.25">
      <c r="A165" s="59">
        <v>6206</v>
      </c>
      <c r="B165" s="59">
        <v>149</v>
      </c>
      <c r="C165" s="59" t="s">
        <v>175</v>
      </c>
      <c r="D165" s="60" t="s">
        <v>176</v>
      </c>
      <c r="E165" s="59">
        <v>30</v>
      </c>
      <c r="F165" s="59" t="s">
        <v>285</v>
      </c>
      <c r="G165" s="59">
        <v>3635</v>
      </c>
      <c r="H165" s="59" t="s">
        <v>82</v>
      </c>
      <c r="I165" s="61" t="s">
        <v>48</v>
      </c>
      <c r="J165" s="62">
        <v>0.156</v>
      </c>
      <c r="K165" s="63" t="s">
        <v>348</v>
      </c>
      <c r="L165" s="63">
        <v>0.1</v>
      </c>
      <c r="M165" s="63"/>
      <c r="N165" s="63"/>
      <c r="O165" s="63"/>
      <c r="P165" s="63"/>
      <c r="Q165" s="64"/>
    </row>
    <row r="166" spans="1:17" ht="15" customHeight="1" x14ac:dyDescent="0.25">
      <c r="A166" s="59">
        <v>6206</v>
      </c>
      <c r="B166" s="59">
        <v>149</v>
      </c>
      <c r="C166" s="59" t="s">
        <v>175</v>
      </c>
      <c r="D166" s="60" t="s">
        <v>176</v>
      </c>
      <c r="E166" s="59">
        <v>30</v>
      </c>
      <c r="F166" s="59" t="s">
        <v>302</v>
      </c>
      <c r="G166" s="59">
        <v>6935</v>
      </c>
      <c r="H166" s="59" t="s">
        <v>111</v>
      </c>
      <c r="I166" s="61" t="s">
        <v>14</v>
      </c>
      <c r="J166" s="62">
        <v>3.3000000000000002E-2</v>
      </c>
      <c r="K166" s="63" t="s">
        <v>86</v>
      </c>
      <c r="L166" s="63">
        <v>0.1</v>
      </c>
      <c r="M166" s="65"/>
      <c r="N166" s="63"/>
      <c r="O166" s="63"/>
      <c r="P166" s="63"/>
      <c r="Q166" s="64"/>
    </row>
    <row r="167" spans="1:17" ht="15" customHeight="1" x14ac:dyDescent="0.25">
      <c r="A167" s="59">
        <v>5814</v>
      </c>
      <c r="B167" s="59">
        <v>95</v>
      </c>
      <c r="C167" s="59" t="s">
        <v>180</v>
      </c>
      <c r="D167" s="60" t="s">
        <v>181</v>
      </c>
      <c r="E167" s="59">
        <v>30</v>
      </c>
      <c r="F167" s="59" t="s">
        <v>266</v>
      </c>
      <c r="G167" s="59">
        <v>406</v>
      </c>
      <c r="H167" s="59" t="s">
        <v>19</v>
      </c>
      <c r="I167" s="61" t="s">
        <v>14</v>
      </c>
      <c r="J167" s="62">
        <v>8</v>
      </c>
      <c r="K167" s="63" t="s">
        <v>340</v>
      </c>
      <c r="L167" s="63">
        <v>0.1</v>
      </c>
      <c r="M167" s="65" t="s">
        <v>363</v>
      </c>
      <c r="N167" s="63"/>
      <c r="O167" s="63"/>
      <c r="P167" s="63"/>
      <c r="Q167" s="64"/>
    </row>
    <row r="168" spans="1:17" ht="15" customHeight="1" x14ac:dyDescent="0.25">
      <c r="A168" s="59">
        <v>5814</v>
      </c>
      <c r="B168" s="59">
        <v>95</v>
      </c>
      <c r="C168" s="59" t="s">
        <v>180</v>
      </c>
      <c r="D168" s="60" t="s">
        <v>181</v>
      </c>
      <c r="E168" s="59">
        <v>30</v>
      </c>
      <c r="F168" s="59" t="s">
        <v>278</v>
      </c>
      <c r="G168" s="59">
        <v>3595</v>
      </c>
      <c r="H168" s="59" t="s">
        <v>342</v>
      </c>
      <c r="I168" s="61" t="s">
        <v>14</v>
      </c>
      <c r="J168" s="62">
        <v>0.66839999999999999</v>
      </c>
      <c r="K168" s="63" t="s">
        <v>30</v>
      </c>
      <c r="L168" s="63">
        <v>0.1</v>
      </c>
      <c r="M168" s="65" t="s">
        <v>356</v>
      </c>
      <c r="N168" s="63"/>
      <c r="O168" s="63"/>
      <c r="P168" s="63"/>
      <c r="Q168" s="64"/>
    </row>
    <row r="169" spans="1:17" ht="15" customHeight="1" x14ac:dyDescent="0.25">
      <c r="A169" s="59">
        <v>5814</v>
      </c>
      <c r="B169" s="59">
        <v>95</v>
      </c>
      <c r="C169" s="59" t="s">
        <v>180</v>
      </c>
      <c r="D169" s="60" t="s">
        <v>181</v>
      </c>
      <c r="E169" s="59">
        <v>30</v>
      </c>
      <c r="F169" s="59" t="s">
        <v>279</v>
      </c>
      <c r="G169" s="59">
        <v>186</v>
      </c>
      <c r="H169" s="59" t="s">
        <v>43</v>
      </c>
      <c r="I169" s="61" t="s">
        <v>14</v>
      </c>
      <c r="J169" s="62">
        <v>0.12</v>
      </c>
      <c r="K169" s="63" t="s">
        <v>42</v>
      </c>
      <c r="L169" s="63">
        <v>0.1</v>
      </c>
      <c r="M169" s="65"/>
      <c r="N169" s="63"/>
      <c r="O169" s="63"/>
      <c r="P169" s="63"/>
      <c r="Q169" s="64"/>
    </row>
    <row r="170" spans="1:17" ht="15" customHeight="1" x14ac:dyDescent="0.25">
      <c r="A170" s="59">
        <v>5814</v>
      </c>
      <c r="B170" s="59">
        <v>95</v>
      </c>
      <c r="C170" s="59" t="s">
        <v>180</v>
      </c>
      <c r="D170" s="60" t="s">
        <v>181</v>
      </c>
      <c r="E170" s="59">
        <v>30</v>
      </c>
      <c r="F170" s="59" t="s">
        <v>282</v>
      </c>
      <c r="G170" s="59">
        <v>578</v>
      </c>
      <c r="H170" s="59" t="s">
        <v>69</v>
      </c>
      <c r="I170" s="61" t="s">
        <v>48</v>
      </c>
      <c r="J170" s="62">
        <v>1000</v>
      </c>
      <c r="K170" s="63" t="s">
        <v>344</v>
      </c>
      <c r="L170" s="63">
        <v>0.02</v>
      </c>
      <c r="M170" s="65" t="s">
        <v>345</v>
      </c>
      <c r="N170" s="63"/>
      <c r="O170" s="63"/>
      <c r="P170" s="63"/>
      <c r="Q170" s="64"/>
    </row>
    <row r="171" spans="1:17" ht="15" customHeight="1" x14ac:dyDescent="0.25">
      <c r="A171" s="59">
        <v>5814</v>
      </c>
      <c r="B171" s="59">
        <v>95</v>
      </c>
      <c r="C171" s="59" t="s">
        <v>180</v>
      </c>
      <c r="D171" s="60" t="s">
        <v>181</v>
      </c>
      <c r="E171" s="59">
        <v>30</v>
      </c>
      <c r="F171" s="59" t="s">
        <v>273</v>
      </c>
      <c r="G171" s="59">
        <v>4155</v>
      </c>
      <c r="H171" s="59" t="s">
        <v>277</v>
      </c>
      <c r="I171" s="61" t="s">
        <v>14</v>
      </c>
      <c r="J171" s="62">
        <v>0.2959</v>
      </c>
      <c r="K171" s="63" t="s">
        <v>23</v>
      </c>
      <c r="L171" s="63">
        <v>0.1</v>
      </c>
      <c r="M171" s="65" t="s">
        <v>356</v>
      </c>
      <c r="N171" s="63"/>
      <c r="O171" s="63"/>
      <c r="P171" s="63"/>
      <c r="Q171" s="64"/>
    </row>
    <row r="172" spans="1:17" ht="15" customHeight="1" x14ac:dyDescent="0.25">
      <c r="A172" s="59">
        <v>5814</v>
      </c>
      <c r="B172" s="59">
        <v>95</v>
      </c>
      <c r="C172" s="59" t="s">
        <v>180</v>
      </c>
      <c r="D172" s="60" t="s">
        <v>181</v>
      </c>
      <c r="E172" s="59">
        <v>30</v>
      </c>
      <c r="F172" s="59" t="s">
        <v>285</v>
      </c>
      <c r="G172" s="59">
        <v>3635</v>
      </c>
      <c r="H172" s="59" t="s">
        <v>82</v>
      </c>
      <c r="I172" s="61" t="s">
        <v>48</v>
      </c>
      <c r="J172" s="62">
        <v>0.156</v>
      </c>
      <c r="K172" s="63" t="s">
        <v>348</v>
      </c>
      <c r="L172" s="63">
        <v>0.1</v>
      </c>
      <c r="M172" s="65"/>
      <c r="N172" s="63"/>
      <c r="O172" s="63"/>
      <c r="P172" s="63"/>
      <c r="Q172" s="64"/>
    </row>
    <row r="173" spans="1:17" ht="15" customHeight="1" x14ac:dyDescent="0.25">
      <c r="A173" s="59">
        <v>4050</v>
      </c>
      <c r="B173" s="59">
        <v>19</v>
      </c>
      <c r="C173" s="59" t="s">
        <v>230</v>
      </c>
      <c r="D173" s="60" t="s">
        <v>231</v>
      </c>
      <c r="E173" s="59">
        <v>30</v>
      </c>
      <c r="F173" s="59" t="s">
        <v>266</v>
      </c>
      <c r="G173" s="59">
        <v>406</v>
      </c>
      <c r="H173" s="59" t="s">
        <v>19</v>
      </c>
      <c r="I173" s="61" t="s">
        <v>14</v>
      </c>
      <c r="J173" s="62">
        <v>8</v>
      </c>
      <c r="K173" s="63" t="s">
        <v>340</v>
      </c>
      <c r="L173" s="63">
        <v>0.1</v>
      </c>
      <c r="M173" s="65" t="s">
        <v>363</v>
      </c>
      <c r="N173" s="63"/>
      <c r="O173" s="63"/>
      <c r="P173" s="63"/>
      <c r="Q173" s="64"/>
    </row>
    <row r="174" spans="1:17" ht="15" customHeight="1" x14ac:dyDescent="0.25">
      <c r="A174" s="59">
        <v>4050</v>
      </c>
      <c r="B174" s="59">
        <v>19</v>
      </c>
      <c r="C174" s="59" t="s">
        <v>230</v>
      </c>
      <c r="D174" s="60" t="s">
        <v>231</v>
      </c>
      <c r="E174" s="59">
        <v>30</v>
      </c>
      <c r="F174" s="59" t="s">
        <v>278</v>
      </c>
      <c r="G174" s="59">
        <v>3595</v>
      </c>
      <c r="H174" s="59" t="s">
        <v>342</v>
      </c>
      <c r="I174" s="61" t="s">
        <v>14</v>
      </c>
      <c r="J174" s="62">
        <v>0.66839999999999999</v>
      </c>
      <c r="K174" s="63" t="s">
        <v>30</v>
      </c>
      <c r="L174" s="63">
        <v>0.1</v>
      </c>
      <c r="M174" s="65" t="s">
        <v>343</v>
      </c>
      <c r="N174" s="63"/>
      <c r="O174" s="63"/>
      <c r="P174" s="63"/>
      <c r="Q174" s="64"/>
    </row>
    <row r="175" spans="1:17" ht="15" customHeight="1" x14ac:dyDescent="0.25">
      <c r="A175" s="59">
        <v>4050</v>
      </c>
      <c r="B175" s="59">
        <v>19</v>
      </c>
      <c r="C175" s="59" t="s">
        <v>230</v>
      </c>
      <c r="D175" s="60" t="s">
        <v>231</v>
      </c>
      <c r="E175" s="59">
        <v>30</v>
      </c>
      <c r="F175" s="59" t="s">
        <v>279</v>
      </c>
      <c r="G175" s="59">
        <v>186</v>
      </c>
      <c r="H175" s="59" t="s">
        <v>43</v>
      </c>
      <c r="I175" s="61" t="s">
        <v>14</v>
      </c>
      <c r="J175" s="62">
        <v>0.12</v>
      </c>
      <c r="K175" s="63" t="s">
        <v>42</v>
      </c>
      <c r="L175" s="63">
        <v>0.1</v>
      </c>
      <c r="M175" s="63"/>
      <c r="N175" s="63"/>
      <c r="O175" s="63"/>
      <c r="P175" s="63"/>
      <c r="Q175" s="64"/>
    </row>
    <row r="176" spans="1:17" ht="15" customHeight="1" x14ac:dyDescent="0.25">
      <c r="A176" s="59">
        <v>4050</v>
      </c>
      <c r="B176" s="59">
        <v>19</v>
      </c>
      <c r="C176" s="59" t="s">
        <v>230</v>
      </c>
      <c r="D176" s="60" t="s">
        <v>231</v>
      </c>
      <c r="E176" s="59">
        <v>30</v>
      </c>
      <c r="F176" s="59" t="s">
        <v>282</v>
      </c>
      <c r="G176" s="59">
        <v>578</v>
      </c>
      <c r="H176" s="59" t="s">
        <v>69</v>
      </c>
      <c r="I176" s="61" t="s">
        <v>48</v>
      </c>
      <c r="J176" s="62">
        <v>1000</v>
      </c>
      <c r="K176" s="63" t="s">
        <v>344</v>
      </c>
      <c r="L176" s="63">
        <v>0.02</v>
      </c>
      <c r="M176" s="65" t="s">
        <v>345</v>
      </c>
      <c r="N176" s="63"/>
      <c r="O176" s="63"/>
      <c r="P176" s="63"/>
      <c r="Q176" s="64"/>
    </row>
    <row r="177" spans="1:17" ht="15" customHeight="1" x14ac:dyDescent="0.25">
      <c r="A177" s="59">
        <v>4050</v>
      </c>
      <c r="B177" s="59">
        <v>19</v>
      </c>
      <c r="C177" s="59" t="s">
        <v>230</v>
      </c>
      <c r="D177" s="60" t="s">
        <v>231</v>
      </c>
      <c r="E177" s="59">
        <v>30</v>
      </c>
      <c r="F177" s="59" t="s">
        <v>284</v>
      </c>
      <c r="G177" s="59">
        <v>45</v>
      </c>
      <c r="H177" s="59" t="s">
        <v>78</v>
      </c>
      <c r="I177" s="61" t="s">
        <v>48</v>
      </c>
      <c r="J177" s="62">
        <v>6.6660000000000004</v>
      </c>
      <c r="K177" s="63" t="s">
        <v>346</v>
      </c>
      <c r="L177" s="63">
        <v>0.1</v>
      </c>
      <c r="M177" s="63"/>
      <c r="N177" s="63"/>
      <c r="O177" s="63"/>
      <c r="P177" s="63"/>
      <c r="Q177" s="64"/>
    </row>
    <row r="178" spans="1:17" ht="15" customHeight="1" x14ac:dyDescent="0.25">
      <c r="A178" s="59">
        <v>4050</v>
      </c>
      <c r="B178" s="59">
        <v>19</v>
      </c>
      <c r="C178" s="59" t="s">
        <v>230</v>
      </c>
      <c r="D178" s="60" t="s">
        <v>231</v>
      </c>
      <c r="E178" s="59">
        <v>30</v>
      </c>
      <c r="F178" s="59" t="s">
        <v>280</v>
      </c>
      <c r="G178" s="59">
        <v>194</v>
      </c>
      <c r="H178" s="59" t="s">
        <v>45</v>
      </c>
      <c r="I178" s="61" t="s">
        <v>14</v>
      </c>
      <c r="J178" s="62">
        <v>8.3199999999999993E-3</v>
      </c>
      <c r="K178" s="63" t="s">
        <v>347</v>
      </c>
      <c r="L178" s="63">
        <v>0.1</v>
      </c>
      <c r="M178" s="63"/>
      <c r="N178" s="63"/>
      <c r="O178" s="63"/>
      <c r="P178" s="63"/>
      <c r="Q178" s="64"/>
    </row>
    <row r="179" spans="1:17" ht="15" customHeight="1" x14ac:dyDescent="0.25">
      <c r="A179" s="59">
        <v>4050</v>
      </c>
      <c r="B179" s="59">
        <v>19</v>
      </c>
      <c r="C179" s="59" t="s">
        <v>230</v>
      </c>
      <c r="D179" s="60" t="s">
        <v>231</v>
      </c>
      <c r="E179" s="59">
        <v>30</v>
      </c>
      <c r="F179" s="59" t="s">
        <v>273</v>
      </c>
      <c r="G179" s="59">
        <v>4155</v>
      </c>
      <c r="H179" s="59" t="s">
        <v>277</v>
      </c>
      <c r="I179" s="61" t="s">
        <v>14</v>
      </c>
      <c r="J179" s="62">
        <v>0.2959</v>
      </c>
      <c r="K179" s="63" t="s">
        <v>23</v>
      </c>
      <c r="L179" s="63">
        <v>0.1</v>
      </c>
      <c r="M179" s="63"/>
      <c r="N179" s="63"/>
      <c r="O179" s="63"/>
      <c r="P179" s="63"/>
      <c r="Q179" s="64"/>
    </row>
    <row r="180" spans="1:17" ht="15" customHeight="1" x14ac:dyDescent="0.25">
      <c r="A180" s="59">
        <v>4050</v>
      </c>
      <c r="B180" s="59">
        <v>19</v>
      </c>
      <c r="C180" s="59" t="s">
        <v>230</v>
      </c>
      <c r="D180" s="60" t="s">
        <v>231</v>
      </c>
      <c r="E180" s="59">
        <v>30</v>
      </c>
      <c r="F180" s="59" t="s">
        <v>285</v>
      </c>
      <c r="G180" s="59">
        <v>3635</v>
      </c>
      <c r="H180" s="59" t="s">
        <v>82</v>
      </c>
      <c r="I180" s="61" t="s">
        <v>48</v>
      </c>
      <c r="J180" s="62">
        <v>0.156</v>
      </c>
      <c r="K180" s="63" t="s">
        <v>348</v>
      </c>
      <c r="L180" s="63">
        <v>0.1</v>
      </c>
      <c r="M180" s="63"/>
      <c r="N180" s="63"/>
      <c r="O180" s="63"/>
      <c r="P180" s="63"/>
      <c r="Q180" s="64"/>
    </row>
    <row r="181" spans="1:17" ht="15" customHeight="1" x14ac:dyDescent="0.25">
      <c r="A181" s="59">
        <v>4050</v>
      </c>
      <c r="B181" s="59">
        <v>19</v>
      </c>
      <c r="C181" s="59" t="s">
        <v>230</v>
      </c>
      <c r="D181" s="60" t="s">
        <v>231</v>
      </c>
      <c r="E181" s="59">
        <v>30</v>
      </c>
      <c r="F181" s="59" t="s">
        <v>349</v>
      </c>
      <c r="G181" s="59">
        <v>57</v>
      </c>
      <c r="H181" s="59" t="s">
        <v>365</v>
      </c>
      <c r="I181" s="61" t="s">
        <v>50</v>
      </c>
      <c r="J181" s="62">
        <v>6.6660000000000004</v>
      </c>
      <c r="K181" s="63" t="s">
        <v>351</v>
      </c>
      <c r="L181" s="63">
        <v>0.1</v>
      </c>
      <c r="M181" s="65"/>
      <c r="N181" s="63"/>
      <c r="O181" s="63"/>
      <c r="P181" s="63"/>
      <c r="Q181" s="64"/>
    </row>
    <row r="182" spans="1:17" ht="15" customHeight="1" x14ac:dyDescent="0.25">
      <c r="A182" s="59">
        <v>6312</v>
      </c>
      <c r="B182" s="59">
        <v>157</v>
      </c>
      <c r="C182" s="59" t="s">
        <v>230</v>
      </c>
      <c r="D182" s="60" t="s">
        <v>232</v>
      </c>
      <c r="E182" s="59">
        <v>30</v>
      </c>
      <c r="F182" s="59" t="s">
        <v>266</v>
      </c>
      <c r="G182" s="59">
        <v>406</v>
      </c>
      <c r="H182" s="59" t="s">
        <v>19</v>
      </c>
      <c r="I182" s="61" t="s">
        <v>14</v>
      </c>
      <c r="J182" s="62">
        <v>8</v>
      </c>
      <c r="K182" s="63" t="s">
        <v>340</v>
      </c>
      <c r="L182" s="63">
        <v>0.1</v>
      </c>
      <c r="M182" s="65" t="s">
        <v>363</v>
      </c>
      <c r="N182" s="63"/>
      <c r="O182" s="63"/>
      <c r="P182" s="63"/>
      <c r="Q182" s="64"/>
    </row>
    <row r="183" spans="1:17" ht="15" customHeight="1" x14ac:dyDescent="0.25">
      <c r="A183" s="59">
        <v>6312</v>
      </c>
      <c r="B183" s="59">
        <v>157</v>
      </c>
      <c r="C183" s="59" t="s">
        <v>230</v>
      </c>
      <c r="D183" s="60" t="s">
        <v>232</v>
      </c>
      <c r="E183" s="59">
        <v>30</v>
      </c>
      <c r="F183" s="59" t="s">
        <v>278</v>
      </c>
      <c r="G183" s="59">
        <v>3595</v>
      </c>
      <c r="H183" s="59" t="s">
        <v>342</v>
      </c>
      <c r="I183" s="61" t="s">
        <v>14</v>
      </c>
      <c r="J183" s="62">
        <v>0.67</v>
      </c>
      <c r="K183" s="63" t="s">
        <v>30</v>
      </c>
      <c r="L183" s="63">
        <v>0.1</v>
      </c>
      <c r="M183" s="65" t="s">
        <v>356</v>
      </c>
      <c r="N183" s="63"/>
      <c r="O183" s="63"/>
      <c r="P183" s="63"/>
      <c r="Q183" s="64"/>
    </row>
    <row r="184" spans="1:17" ht="15" customHeight="1" x14ac:dyDescent="0.25">
      <c r="A184" s="59">
        <v>6312</v>
      </c>
      <c r="B184" s="59">
        <v>157</v>
      </c>
      <c r="C184" s="59" t="s">
        <v>230</v>
      </c>
      <c r="D184" s="60" t="s">
        <v>232</v>
      </c>
      <c r="E184" s="59">
        <v>30</v>
      </c>
      <c r="F184" s="59" t="s">
        <v>284</v>
      </c>
      <c r="G184" s="59">
        <v>45</v>
      </c>
      <c r="H184" s="59" t="s">
        <v>78</v>
      </c>
      <c r="I184" s="61" t="s">
        <v>48</v>
      </c>
      <c r="J184" s="62">
        <v>6.6665999999999999</v>
      </c>
      <c r="K184" s="63" t="s">
        <v>346</v>
      </c>
      <c r="L184" s="63">
        <v>0.1</v>
      </c>
      <c r="M184" s="65"/>
      <c r="N184" s="63"/>
      <c r="O184" s="63"/>
      <c r="P184" s="63"/>
      <c r="Q184" s="64"/>
    </row>
    <row r="185" spans="1:17" ht="15" customHeight="1" x14ac:dyDescent="0.25">
      <c r="A185" s="59">
        <v>6312</v>
      </c>
      <c r="B185" s="59">
        <v>157</v>
      </c>
      <c r="C185" s="59" t="s">
        <v>230</v>
      </c>
      <c r="D185" s="60" t="s">
        <v>232</v>
      </c>
      <c r="E185" s="59">
        <v>30</v>
      </c>
      <c r="F185" s="59" t="s">
        <v>273</v>
      </c>
      <c r="G185" s="59">
        <v>4155</v>
      </c>
      <c r="H185" s="59" t="s">
        <v>277</v>
      </c>
      <c r="I185" s="61" t="s">
        <v>14</v>
      </c>
      <c r="J185" s="62">
        <v>0.28000000000000003</v>
      </c>
      <c r="K185" s="63" t="s">
        <v>23</v>
      </c>
      <c r="L185" s="63">
        <v>0.1</v>
      </c>
      <c r="M185" s="65" t="s">
        <v>356</v>
      </c>
      <c r="N185" s="63"/>
      <c r="O185" s="63"/>
      <c r="P185" s="63"/>
      <c r="Q185" s="64"/>
    </row>
    <row r="186" spans="1:17" ht="15" customHeight="1" x14ac:dyDescent="0.25">
      <c r="A186" s="59">
        <v>6312</v>
      </c>
      <c r="B186" s="59">
        <v>157</v>
      </c>
      <c r="C186" s="59" t="s">
        <v>230</v>
      </c>
      <c r="D186" s="60" t="s">
        <v>232</v>
      </c>
      <c r="E186" s="59">
        <v>30</v>
      </c>
      <c r="F186" s="59" t="s">
        <v>285</v>
      </c>
      <c r="G186" s="59">
        <v>3635</v>
      </c>
      <c r="H186" s="59" t="s">
        <v>82</v>
      </c>
      <c r="I186" s="61" t="s">
        <v>48</v>
      </c>
      <c r="J186" s="62">
        <v>0.156</v>
      </c>
      <c r="K186" s="63" t="s">
        <v>81</v>
      </c>
      <c r="L186" s="63">
        <v>0.1</v>
      </c>
      <c r="M186" s="63"/>
      <c r="N186" s="63"/>
      <c r="O186" s="63"/>
      <c r="P186" s="63"/>
      <c r="Q186" s="64"/>
    </row>
    <row r="187" spans="1:17" ht="15" customHeight="1" x14ac:dyDescent="0.25">
      <c r="A187" s="59">
        <v>6312</v>
      </c>
      <c r="B187" s="59">
        <v>157</v>
      </c>
      <c r="C187" s="59" t="s">
        <v>230</v>
      </c>
      <c r="D187" s="60" t="s">
        <v>232</v>
      </c>
      <c r="E187" s="59">
        <v>30</v>
      </c>
      <c r="F187" s="59" t="s">
        <v>349</v>
      </c>
      <c r="G187" s="59">
        <v>57</v>
      </c>
      <c r="H187" s="59" t="s">
        <v>365</v>
      </c>
      <c r="I187" s="61" t="s">
        <v>50</v>
      </c>
      <c r="J187" s="62">
        <v>6.6665999999999999</v>
      </c>
      <c r="K187" s="63" t="s">
        <v>351</v>
      </c>
      <c r="L187" s="63">
        <v>0.1</v>
      </c>
      <c r="M187" s="65"/>
      <c r="N187" s="63"/>
      <c r="O187" s="63"/>
      <c r="P187" s="63"/>
      <c r="Q187" s="64"/>
    </row>
    <row r="188" spans="1:17" ht="15" customHeight="1" x14ac:dyDescent="0.25">
      <c r="A188" s="59">
        <v>6312</v>
      </c>
      <c r="B188" s="59">
        <v>157</v>
      </c>
      <c r="C188" s="59" t="s">
        <v>230</v>
      </c>
      <c r="D188" s="60" t="s">
        <v>232</v>
      </c>
      <c r="E188" s="59">
        <v>30</v>
      </c>
      <c r="F188" s="59" t="s">
        <v>280</v>
      </c>
      <c r="G188" s="59">
        <v>194</v>
      </c>
      <c r="H188" s="59" t="s">
        <v>45</v>
      </c>
      <c r="I188" s="61" t="s">
        <v>14</v>
      </c>
      <c r="J188" s="62">
        <v>8.3199999999999993E-3</v>
      </c>
      <c r="K188" s="63" t="s">
        <v>280</v>
      </c>
      <c r="L188" s="63">
        <v>0.1</v>
      </c>
      <c r="M188" s="65" t="s">
        <v>364</v>
      </c>
      <c r="N188" s="63"/>
      <c r="O188" s="63"/>
      <c r="P188" s="63"/>
      <c r="Q188" s="64"/>
    </row>
    <row r="189" spans="1:17" ht="15" customHeight="1" x14ac:dyDescent="0.25">
      <c r="A189" s="59">
        <v>6595</v>
      </c>
      <c r="B189" s="59">
        <v>191</v>
      </c>
      <c r="C189" s="59" t="s">
        <v>224</v>
      </c>
      <c r="D189" s="60" t="s">
        <v>225</v>
      </c>
      <c r="E189" s="59">
        <v>30</v>
      </c>
      <c r="F189" s="59" t="s">
        <v>266</v>
      </c>
      <c r="G189" s="59">
        <v>406</v>
      </c>
      <c r="H189" s="59" t="s">
        <v>19</v>
      </c>
      <c r="I189" s="61" t="s">
        <v>14</v>
      </c>
      <c r="J189" s="62">
        <v>8</v>
      </c>
      <c r="K189" s="63" t="s">
        <v>340</v>
      </c>
      <c r="L189" s="63">
        <v>0.1</v>
      </c>
      <c r="M189" s="65" t="s">
        <v>363</v>
      </c>
      <c r="N189" s="63"/>
      <c r="O189" s="63"/>
      <c r="P189" s="63"/>
      <c r="Q189" s="64"/>
    </row>
    <row r="190" spans="1:17" ht="15" customHeight="1" x14ac:dyDescent="0.25">
      <c r="A190" s="59">
        <v>6595</v>
      </c>
      <c r="B190" s="59">
        <v>191</v>
      </c>
      <c r="C190" s="59" t="s">
        <v>224</v>
      </c>
      <c r="D190" s="60" t="s">
        <v>225</v>
      </c>
      <c r="E190" s="59">
        <v>30</v>
      </c>
      <c r="F190" s="59" t="s">
        <v>278</v>
      </c>
      <c r="G190" s="59">
        <v>3595</v>
      </c>
      <c r="H190" s="59" t="s">
        <v>342</v>
      </c>
      <c r="I190" s="61" t="s">
        <v>14</v>
      </c>
      <c r="J190" s="62">
        <v>0.67</v>
      </c>
      <c r="K190" s="63" t="s">
        <v>30</v>
      </c>
      <c r="L190" s="63">
        <v>0.1</v>
      </c>
      <c r="M190" s="65" t="s">
        <v>343</v>
      </c>
      <c r="N190" s="63"/>
      <c r="O190" s="63"/>
      <c r="P190" s="63"/>
      <c r="Q190" s="64"/>
    </row>
    <row r="191" spans="1:17" ht="15" customHeight="1" x14ac:dyDescent="0.25">
      <c r="A191" s="59">
        <v>6595</v>
      </c>
      <c r="B191" s="59">
        <v>191</v>
      </c>
      <c r="C191" s="59" t="s">
        <v>224</v>
      </c>
      <c r="D191" s="60" t="s">
        <v>225</v>
      </c>
      <c r="E191" s="59">
        <v>30</v>
      </c>
      <c r="F191" s="59" t="s">
        <v>279</v>
      </c>
      <c r="G191" s="59">
        <v>186</v>
      </c>
      <c r="H191" s="59" t="s">
        <v>43</v>
      </c>
      <c r="I191" s="61" t="s">
        <v>14</v>
      </c>
      <c r="J191" s="62">
        <v>0.28000000000000003</v>
      </c>
      <c r="K191" s="63" t="s">
        <v>42</v>
      </c>
      <c r="L191" s="63">
        <v>0.1</v>
      </c>
      <c r="M191" s="63"/>
      <c r="N191" s="63"/>
      <c r="O191" s="63"/>
      <c r="P191" s="63"/>
      <c r="Q191" s="64"/>
    </row>
    <row r="192" spans="1:17" ht="15" customHeight="1" x14ac:dyDescent="0.25">
      <c r="A192" s="59">
        <v>6595</v>
      </c>
      <c r="B192" s="59">
        <v>191</v>
      </c>
      <c r="C192" s="59" t="s">
        <v>224</v>
      </c>
      <c r="D192" s="60" t="s">
        <v>225</v>
      </c>
      <c r="E192" s="59">
        <v>30</v>
      </c>
      <c r="F192" s="59" t="s">
        <v>282</v>
      </c>
      <c r="G192" s="59">
        <v>3211</v>
      </c>
      <c r="H192" s="59" t="s">
        <v>56</v>
      </c>
      <c r="I192" s="61" t="s">
        <v>48</v>
      </c>
      <c r="J192" s="62">
        <v>1000</v>
      </c>
      <c r="K192" s="63" t="s">
        <v>344</v>
      </c>
      <c r="L192" s="63">
        <v>0.02</v>
      </c>
      <c r="M192" s="65" t="s">
        <v>345</v>
      </c>
      <c r="N192" s="63"/>
      <c r="O192" s="63"/>
      <c r="P192" s="63"/>
      <c r="Q192" s="64"/>
    </row>
    <row r="193" spans="1:17" ht="15" customHeight="1" x14ac:dyDescent="0.25">
      <c r="A193" s="59">
        <v>6595</v>
      </c>
      <c r="B193" s="59">
        <v>191</v>
      </c>
      <c r="C193" s="59" t="s">
        <v>224</v>
      </c>
      <c r="D193" s="60" t="s">
        <v>225</v>
      </c>
      <c r="E193" s="59">
        <v>30</v>
      </c>
      <c r="F193" s="59" t="s">
        <v>284</v>
      </c>
      <c r="G193" s="59">
        <v>3598</v>
      </c>
      <c r="H193" s="59" t="s">
        <v>77</v>
      </c>
      <c r="I193" s="61" t="s">
        <v>48</v>
      </c>
      <c r="J193" s="62">
        <v>4.2016</v>
      </c>
      <c r="K193" s="63" t="s">
        <v>346</v>
      </c>
      <c r="L193" s="63">
        <v>0.1</v>
      </c>
      <c r="M193" s="63"/>
      <c r="N193" s="63"/>
      <c r="O193" s="63"/>
      <c r="P193" s="63"/>
      <c r="Q193" s="64"/>
    </row>
    <row r="194" spans="1:17" ht="15" customHeight="1" x14ac:dyDescent="0.25">
      <c r="A194" s="59">
        <v>6595</v>
      </c>
      <c r="B194" s="59">
        <v>191</v>
      </c>
      <c r="C194" s="59" t="s">
        <v>224</v>
      </c>
      <c r="D194" s="60" t="s">
        <v>225</v>
      </c>
      <c r="E194" s="59">
        <v>30</v>
      </c>
      <c r="F194" s="59" t="s">
        <v>273</v>
      </c>
      <c r="G194" s="59">
        <v>185</v>
      </c>
      <c r="H194" s="59" t="s">
        <v>25</v>
      </c>
      <c r="I194" s="61" t="s">
        <v>26</v>
      </c>
      <c r="J194" s="62">
        <v>0.28000000000000003</v>
      </c>
      <c r="K194" s="63" t="s">
        <v>23</v>
      </c>
      <c r="L194" s="63">
        <v>0.1</v>
      </c>
      <c r="M194" s="63"/>
      <c r="N194" s="63"/>
      <c r="O194" s="63"/>
      <c r="P194" s="63"/>
      <c r="Q194" s="64"/>
    </row>
    <row r="195" spans="1:17" ht="15" customHeight="1" x14ac:dyDescent="0.25">
      <c r="A195" s="59">
        <v>6595</v>
      </c>
      <c r="B195" s="59">
        <v>191</v>
      </c>
      <c r="C195" s="59" t="s">
        <v>224</v>
      </c>
      <c r="D195" s="60" t="s">
        <v>225</v>
      </c>
      <c r="E195" s="59">
        <v>30</v>
      </c>
      <c r="F195" s="59" t="s">
        <v>280</v>
      </c>
      <c r="G195" s="59">
        <v>194</v>
      </c>
      <c r="H195" s="59" t="s">
        <v>45</v>
      </c>
      <c r="I195" s="61" t="s">
        <v>14</v>
      </c>
      <c r="J195" s="62">
        <v>8.3219999999999995E-3</v>
      </c>
      <c r="K195" s="63" t="s">
        <v>347</v>
      </c>
      <c r="L195" s="63">
        <v>0.1</v>
      </c>
      <c r="M195" s="63"/>
      <c r="N195" s="63"/>
      <c r="O195" s="63"/>
      <c r="P195" s="63"/>
      <c r="Q195" s="64"/>
    </row>
    <row r="196" spans="1:17" ht="15" customHeight="1" x14ac:dyDescent="0.25">
      <c r="A196" s="59">
        <v>6595</v>
      </c>
      <c r="B196" s="59">
        <v>191</v>
      </c>
      <c r="C196" s="59" t="s">
        <v>224</v>
      </c>
      <c r="D196" s="60" t="s">
        <v>225</v>
      </c>
      <c r="E196" s="59">
        <v>30</v>
      </c>
      <c r="F196" s="59" t="s">
        <v>285</v>
      </c>
      <c r="G196" s="59">
        <v>3635</v>
      </c>
      <c r="H196" s="59" t="s">
        <v>82</v>
      </c>
      <c r="I196" s="61" t="s">
        <v>48</v>
      </c>
      <c r="J196" s="62">
        <v>0.156</v>
      </c>
      <c r="K196" s="63" t="s">
        <v>348</v>
      </c>
      <c r="L196" s="63">
        <v>0.1</v>
      </c>
      <c r="M196" s="65"/>
      <c r="N196" s="63"/>
      <c r="O196" s="63"/>
      <c r="P196" s="63"/>
      <c r="Q196" s="64"/>
    </row>
    <row r="197" spans="1:17" ht="15" customHeight="1" x14ac:dyDescent="0.25">
      <c r="A197" s="59">
        <v>5782</v>
      </c>
      <c r="B197" s="59">
        <v>70</v>
      </c>
      <c r="C197" s="59" t="s">
        <v>238</v>
      </c>
      <c r="D197" s="60" t="s">
        <v>239</v>
      </c>
      <c r="E197" s="59">
        <v>32</v>
      </c>
      <c r="F197" s="59" t="s">
        <v>266</v>
      </c>
      <c r="G197" s="59">
        <v>3935</v>
      </c>
      <c r="H197" s="59" t="s">
        <v>20</v>
      </c>
      <c r="I197" s="61" t="s">
        <v>14</v>
      </c>
      <c r="J197" s="62">
        <v>10.863200000000001</v>
      </c>
      <c r="K197" s="63" t="s">
        <v>340</v>
      </c>
      <c r="L197" s="63">
        <v>0.1</v>
      </c>
      <c r="M197" s="63"/>
      <c r="N197" s="63"/>
      <c r="O197" s="63"/>
      <c r="P197" s="63"/>
      <c r="Q197" s="64"/>
    </row>
    <row r="198" spans="1:17" ht="15" customHeight="1" x14ac:dyDescent="0.25">
      <c r="A198" s="59">
        <v>5782</v>
      </c>
      <c r="B198" s="59">
        <v>70</v>
      </c>
      <c r="C198" s="59" t="s">
        <v>238</v>
      </c>
      <c r="D198" s="60" t="s">
        <v>239</v>
      </c>
      <c r="E198" s="59">
        <v>32</v>
      </c>
      <c r="F198" s="59" t="s">
        <v>278</v>
      </c>
      <c r="G198" s="59">
        <v>3595</v>
      </c>
      <c r="H198" s="59" t="s">
        <v>342</v>
      </c>
      <c r="I198" s="61" t="s">
        <v>14</v>
      </c>
      <c r="J198" s="62">
        <v>0.78</v>
      </c>
      <c r="K198" s="63" t="s">
        <v>30</v>
      </c>
      <c r="L198" s="63">
        <v>0.1</v>
      </c>
      <c r="M198" s="65" t="s">
        <v>356</v>
      </c>
      <c r="N198" s="63"/>
      <c r="O198" s="63"/>
      <c r="P198" s="63"/>
      <c r="Q198" s="64"/>
    </row>
    <row r="199" spans="1:17" ht="15" customHeight="1" x14ac:dyDescent="0.25">
      <c r="A199" s="59">
        <v>5782</v>
      </c>
      <c r="B199" s="59">
        <v>70</v>
      </c>
      <c r="C199" s="59" t="s">
        <v>238</v>
      </c>
      <c r="D199" s="60" t="s">
        <v>239</v>
      </c>
      <c r="E199" s="59">
        <v>32</v>
      </c>
      <c r="F199" s="59" t="s">
        <v>279</v>
      </c>
      <c r="G199" s="59">
        <v>186</v>
      </c>
      <c r="H199" s="59" t="s">
        <v>43</v>
      </c>
      <c r="I199" s="61" t="s">
        <v>14</v>
      </c>
      <c r="J199" s="62">
        <v>0.7</v>
      </c>
      <c r="K199" s="63" t="s">
        <v>42</v>
      </c>
      <c r="L199" s="63">
        <v>0.1</v>
      </c>
      <c r="M199" s="63"/>
      <c r="N199" s="63"/>
      <c r="O199" s="63"/>
      <c r="P199" s="63"/>
      <c r="Q199" s="64"/>
    </row>
    <row r="200" spans="1:17" ht="15" customHeight="1" x14ac:dyDescent="0.25">
      <c r="A200" s="59">
        <v>5782</v>
      </c>
      <c r="B200" s="59">
        <v>70</v>
      </c>
      <c r="C200" s="59" t="s">
        <v>238</v>
      </c>
      <c r="D200" s="60" t="s">
        <v>239</v>
      </c>
      <c r="E200" s="59">
        <v>32</v>
      </c>
      <c r="F200" s="59" t="s">
        <v>282</v>
      </c>
      <c r="G200" s="59">
        <v>1285</v>
      </c>
      <c r="H200" s="59" t="s">
        <v>66</v>
      </c>
      <c r="I200" s="61" t="s">
        <v>48</v>
      </c>
      <c r="J200" s="62">
        <v>1000</v>
      </c>
      <c r="K200" s="63" t="s">
        <v>344</v>
      </c>
      <c r="L200" s="63">
        <v>0.02</v>
      </c>
      <c r="M200" s="65" t="s">
        <v>345</v>
      </c>
      <c r="N200" s="63"/>
      <c r="O200" s="63"/>
      <c r="P200" s="63"/>
      <c r="Q200" s="64"/>
    </row>
    <row r="201" spans="1:17" ht="15" customHeight="1" x14ac:dyDescent="0.25">
      <c r="A201" s="59">
        <v>5782</v>
      </c>
      <c r="B201" s="59">
        <v>70</v>
      </c>
      <c r="C201" s="59" t="s">
        <v>238</v>
      </c>
      <c r="D201" s="60" t="s">
        <v>239</v>
      </c>
      <c r="E201" s="59">
        <v>32</v>
      </c>
      <c r="F201" s="59" t="s">
        <v>284</v>
      </c>
      <c r="G201" s="59">
        <v>3988</v>
      </c>
      <c r="H201" s="59" t="s">
        <v>366</v>
      </c>
      <c r="I201" s="61" t="s">
        <v>48</v>
      </c>
      <c r="J201" s="62">
        <v>6.06</v>
      </c>
      <c r="K201" s="63" t="s">
        <v>346</v>
      </c>
      <c r="L201" s="63">
        <v>0.1</v>
      </c>
      <c r="M201" s="65"/>
      <c r="N201" s="63"/>
      <c r="O201" s="63"/>
      <c r="P201" s="63"/>
      <c r="Q201" s="64"/>
    </row>
    <row r="202" spans="1:17" ht="15" customHeight="1" x14ac:dyDescent="0.25">
      <c r="A202" s="59">
        <v>5782</v>
      </c>
      <c r="B202" s="59">
        <v>70</v>
      </c>
      <c r="C202" s="59" t="s">
        <v>238</v>
      </c>
      <c r="D202" s="60" t="s">
        <v>239</v>
      </c>
      <c r="E202" s="59">
        <v>32</v>
      </c>
      <c r="F202" s="59" t="s">
        <v>280</v>
      </c>
      <c r="G202" s="59">
        <v>194</v>
      </c>
      <c r="H202" s="59" t="s">
        <v>45</v>
      </c>
      <c r="I202" s="61" t="s">
        <v>14</v>
      </c>
      <c r="J202" s="62">
        <v>9.5999999999999992E-3</v>
      </c>
      <c r="K202" s="63" t="s">
        <v>347</v>
      </c>
      <c r="L202" s="63">
        <v>0.1</v>
      </c>
      <c r="M202" s="63"/>
      <c r="N202" s="63"/>
      <c r="O202" s="63"/>
      <c r="P202" s="63"/>
      <c r="Q202" s="64"/>
    </row>
    <row r="203" spans="1:17" ht="15" customHeight="1" x14ac:dyDescent="0.25">
      <c r="A203" s="59">
        <v>5782</v>
      </c>
      <c r="B203" s="59">
        <v>70</v>
      </c>
      <c r="C203" s="59" t="s">
        <v>238</v>
      </c>
      <c r="D203" s="60" t="s">
        <v>239</v>
      </c>
      <c r="E203" s="59">
        <v>32</v>
      </c>
      <c r="F203" s="59" t="s">
        <v>273</v>
      </c>
      <c r="G203" s="59">
        <v>185</v>
      </c>
      <c r="H203" s="59" t="s">
        <v>25</v>
      </c>
      <c r="I203" s="61" t="s">
        <v>26</v>
      </c>
      <c r="J203" s="62">
        <v>0.17849999999999999</v>
      </c>
      <c r="K203" s="63" t="s">
        <v>23</v>
      </c>
      <c r="L203" s="63">
        <v>0.1</v>
      </c>
      <c r="M203" s="65" t="s">
        <v>356</v>
      </c>
      <c r="N203" s="63"/>
      <c r="O203" s="63"/>
      <c r="P203" s="63"/>
      <c r="Q203" s="64"/>
    </row>
    <row r="204" spans="1:17" ht="15" customHeight="1" x14ac:dyDescent="0.25">
      <c r="A204" s="59">
        <v>5782</v>
      </c>
      <c r="B204" s="59">
        <v>70</v>
      </c>
      <c r="C204" s="59" t="s">
        <v>238</v>
      </c>
      <c r="D204" s="60" t="s">
        <v>239</v>
      </c>
      <c r="E204" s="59">
        <v>32</v>
      </c>
      <c r="F204" s="59" t="s">
        <v>285</v>
      </c>
      <c r="G204" s="59">
        <v>3635</v>
      </c>
      <c r="H204" s="59" t="s">
        <v>82</v>
      </c>
      <c r="I204" s="61" t="s">
        <v>48</v>
      </c>
      <c r="J204" s="62">
        <v>0.16800000000000001</v>
      </c>
      <c r="K204" s="63" t="s">
        <v>348</v>
      </c>
      <c r="L204" s="63">
        <v>0.1</v>
      </c>
      <c r="M204" s="65"/>
      <c r="N204" s="63"/>
      <c r="O204" s="63"/>
      <c r="P204" s="63"/>
      <c r="Q204" s="64"/>
    </row>
    <row r="205" spans="1:17" ht="15" customHeight="1" x14ac:dyDescent="0.25">
      <c r="A205" s="59">
        <v>6515</v>
      </c>
      <c r="B205" s="59">
        <v>180</v>
      </c>
      <c r="C205" s="59" t="s">
        <v>236</v>
      </c>
      <c r="D205" s="60" t="s">
        <v>237</v>
      </c>
      <c r="E205" s="59">
        <v>32</v>
      </c>
      <c r="F205" s="59" t="s">
        <v>266</v>
      </c>
      <c r="G205" s="59">
        <v>3935</v>
      </c>
      <c r="H205" s="59" t="s">
        <v>20</v>
      </c>
      <c r="I205" s="61" t="s">
        <v>14</v>
      </c>
      <c r="J205" s="62">
        <v>10.863200000000001</v>
      </c>
      <c r="K205" s="63" t="s">
        <v>340</v>
      </c>
      <c r="L205" s="63">
        <v>0.1</v>
      </c>
      <c r="M205" s="63" t="s">
        <v>367</v>
      </c>
      <c r="N205" s="63"/>
      <c r="O205" s="63"/>
      <c r="P205" s="63"/>
      <c r="Q205" s="64"/>
    </row>
    <row r="206" spans="1:17" ht="15" customHeight="1" x14ac:dyDescent="0.25">
      <c r="A206" s="59">
        <v>6515</v>
      </c>
      <c r="B206" s="59">
        <v>180</v>
      </c>
      <c r="C206" s="59" t="s">
        <v>236</v>
      </c>
      <c r="D206" s="60" t="s">
        <v>237</v>
      </c>
      <c r="E206" s="59">
        <v>32</v>
      </c>
      <c r="F206" s="59" t="s">
        <v>278</v>
      </c>
      <c r="G206" s="59">
        <v>3595</v>
      </c>
      <c r="H206" s="59" t="s">
        <v>342</v>
      </c>
      <c r="I206" s="61" t="s">
        <v>14</v>
      </c>
      <c r="J206" s="62">
        <v>0.78</v>
      </c>
      <c r="K206" s="63" t="s">
        <v>30</v>
      </c>
      <c r="L206" s="63">
        <v>0.1</v>
      </c>
      <c r="M206" s="65" t="s">
        <v>343</v>
      </c>
      <c r="N206" s="63"/>
      <c r="O206" s="63"/>
      <c r="P206" s="63"/>
      <c r="Q206" s="64"/>
    </row>
    <row r="207" spans="1:17" ht="15" customHeight="1" x14ac:dyDescent="0.25">
      <c r="A207" s="59">
        <v>6515</v>
      </c>
      <c r="B207" s="59">
        <v>180</v>
      </c>
      <c r="C207" s="59" t="s">
        <v>236</v>
      </c>
      <c r="D207" s="60" t="s">
        <v>237</v>
      </c>
      <c r="E207" s="59">
        <v>32</v>
      </c>
      <c r="F207" s="59" t="s">
        <v>279</v>
      </c>
      <c r="G207" s="59">
        <v>186</v>
      </c>
      <c r="H207" s="59" t="s">
        <v>43</v>
      </c>
      <c r="I207" s="61" t="s">
        <v>14</v>
      </c>
      <c r="J207" s="62">
        <v>0.7</v>
      </c>
      <c r="K207" s="63" t="s">
        <v>42</v>
      </c>
      <c r="L207" s="63">
        <v>0.1</v>
      </c>
      <c r="M207" s="63"/>
      <c r="N207" s="63"/>
      <c r="O207" s="63"/>
      <c r="P207" s="63"/>
      <c r="Q207" s="64"/>
    </row>
    <row r="208" spans="1:17" ht="15" customHeight="1" x14ac:dyDescent="0.25">
      <c r="A208" s="59">
        <v>6515</v>
      </c>
      <c r="B208" s="59">
        <v>180</v>
      </c>
      <c r="C208" s="59" t="s">
        <v>236</v>
      </c>
      <c r="D208" s="60" t="s">
        <v>237</v>
      </c>
      <c r="E208" s="59">
        <v>32</v>
      </c>
      <c r="F208" s="59" t="s">
        <v>282</v>
      </c>
      <c r="G208" s="59">
        <v>1073</v>
      </c>
      <c r="H208" s="59" t="s">
        <v>65</v>
      </c>
      <c r="I208" s="61" t="s">
        <v>48</v>
      </c>
      <c r="J208" s="62">
        <v>1000</v>
      </c>
      <c r="K208" s="63" t="s">
        <v>344</v>
      </c>
      <c r="L208" s="63">
        <v>0.02</v>
      </c>
      <c r="M208" s="65" t="s">
        <v>345</v>
      </c>
      <c r="N208" s="63"/>
      <c r="O208" s="63"/>
      <c r="P208" s="63"/>
      <c r="Q208" s="64"/>
    </row>
    <row r="209" spans="1:17" ht="15" customHeight="1" x14ac:dyDescent="0.25">
      <c r="A209" s="59">
        <v>6515</v>
      </c>
      <c r="B209" s="59">
        <v>180</v>
      </c>
      <c r="C209" s="59" t="s">
        <v>236</v>
      </c>
      <c r="D209" s="60" t="s">
        <v>237</v>
      </c>
      <c r="E209" s="59">
        <v>32</v>
      </c>
      <c r="F209" s="59" t="s">
        <v>284</v>
      </c>
      <c r="G209" s="59">
        <v>3988</v>
      </c>
      <c r="H209" s="59" t="s">
        <v>366</v>
      </c>
      <c r="I209" s="61" t="s">
        <v>48</v>
      </c>
      <c r="J209" s="62">
        <v>6.06</v>
      </c>
      <c r="K209" s="63" t="s">
        <v>346</v>
      </c>
      <c r="L209" s="63">
        <v>0.1</v>
      </c>
      <c r="M209" s="63"/>
      <c r="N209" s="63"/>
      <c r="O209" s="63"/>
      <c r="P209" s="63"/>
      <c r="Q209" s="64"/>
    </row>
    <row r="210" spans="1:17" ht="15" customHeight="1" x14ac:dyDescent="0.25">
      <c r="A210" s="59">
        <v>6515</v>
      </c>
      <c r="B210" s="59">
        <v>180</v>
      </c>
      <c r="C210" s="59" t="s">
        <v>236</v>
      </c>
      <c r="D210" s="60" t="s">
        <v>237</v>
      </c>
      <c r="E210" s="59">
        <v>32</v>
      </c>
      <c r="F210" s="59" t="s">
        <v>280</v>
      </c>
      <c r="G210" s="59">
        <v>194</v>
      </c>
      <c r="H210" s="59" t="s">
        <v>45</v>
      </c>
      <c r="I210" s="61" t="s">
        <v>14</v>
      </c>
      <c r="J210" s="62">
        <v>9.5999999999999992E-3</v>
      </c>
      <c r="K210" s="63" t="s">
        <v>347</v>
      </c>
      <c r="L210" s="63">
        <v>0.1</v>
      </c>
      <c r="M210" s="63"/>
      <c r="N210" s="63"/>
      <c r="O210" s="63"/>
      <c r="P210" s="63"/>
      <c r="Q210" s="64"/>
    </row>
    <row r="211" spans="1:17" ht="15" customHeight="1" x14ac:dyDescent="0.25">
      <c r="A211" s="59">
        <v>6515</v>
      </c>
      <c r="B211" s="59">
        <v>180</v>
      </c>
      <c r="C211" s="59" t="s">
        <v>236</v>
      </c>
      <c r="D211" s="60" t="s">
        <v>237</v>
      </c>
      <c r="E211" s="59">
        <v>32</v>
      </c>
      <c r="F211" s="59" t="s">
        <v>273</v>
      </c>
      <c r="G211" s="59">
        <v>4155</v>
      </c>
      <c r="H211" s="59" t="s">
        <v>277</v>
      </c>
      <c r="I211" s="61" t="s">
        <v>14</v>
      </c>
      <c r="J211" s="62">
        <v>0.17849999999999999</v>
      </c>
      <c r="K211" s="63" t="s">
        <v>23</v>
      </c>
      <c r="L211" s="63">
        <v>0.1</v>
      </c>
      <c r="M211" s="63"/>
      <c r="N211" s="63"/>
      <c r="O211" s="63"/>
      <c r="P211" s="63"/>
      <c r="Q211" s="64"/>
    </row>
    <row r="212" spans="1:17" ht="15" customHeight="1" x14ac:dyDescent="0.25">
      <c r="A212" s="59">
        <v>6515</v>
      </c>
      <c r="B212" s="59">
        <v>180</v>
      </c>
      <c r="C212" s="59" t="s">
        <v>236</v>
      </c>
      <c r="D212" s="60" t="s">
        <v>237</v>
      </c>
      <c r="E212" s="59">
        <v>32</v>
      </c>
      <c r="F212" s="59" t="s">
        <v>285</v>
      </c>
      <c r="G212" s="59">
        <v>3635</v>
      </c>
      <c r="H212" s="59" t="s">
        <v>82</v>
      </c>
      <c r="I212" s="61" t="s">
        <v>48</v>
      </c>
      <c r="J212" s="62">
        <v>0.16800000000000001</v>
      </c>
      <c r="K212" s="63" t="s">
        <v>348</v>
      </c>
      <c r="L212" s="63">
        <v>0.1</v>
      </c>
      <c r="M212" s="65"/>
      <c r="N212" s="63"/>
      <c r="O212" s="63"/>
      <c r="P212" s="63"/>
      <c r="Q212" s="64"/>
    </row>
    <row r="213" spans="1:17" ht="15" customHeight="1" x14ac:dyDescent="0.25">
      <c r="A213" s="59">
        <v>6020</v>
      </c>
      <c r="B213" s="59">
        <v>130</v>
      </c>
      <c r="C213" s="59" t="s">
        <v>182</v>
      </c>
      <c r="D213" s="60" t="s">
        <v>241</v>
      </c>
      <c r="E213" s="59">
        <v>35</v>
      </c>
      <c r="F213" s="59" t="s">
        <v>266</v>
      </c>
      <c r="G213" s="59">
        <v>3503</v>
      </c>
      <c r="H213" s="59" t="s">
        <v>21</v>
      </c>
      <c r="I213" s="61" t="s">
        <v>14</v>
      </c>
      <c r="J213" s="62">
        <v>12.82</v>
      </c>
      <c r="K213" s="63" t="s">
        <v>340</v>
      </c>
      <c r="L213" s="63">
        <v>0.1</v>
      </c>
      <c r="M213" s="63"/>
      <c r="N213" s="63"/>
      <c r="O213" s="63"/>
      <c r="P213" s="63"/>
      <c r="Q213" s="64"/>
    </row>
    <row r="214" spans="1:17" ht="15" customHeight="1" x14ac:dyDescent="0.25">
      <c r="A214" s="59">
        <v>6020</v>
      </c>
      <c r="B214" s="59">
        <v>130</v>
      </c>
      <c r="C214" s="59" t="s">
        <v>182</v>
      </c>
      <c r="D214" s="60" t="s">
        <v>241</v>
      </c>
      <c r="E214" s="59">
        <v>35</v>
      </c>
      <c r="F214" s="59" t="s">
        <v>278</v>
      </c>
      <c r="G214" s="59">
        <v>4156</v>
      </c>
      <c r="H214" s="59" t="s">
        <v>36</v>
      </c>
      <c r="I214" s="61" t="s">
        <v>14</v>
      </c>
      <c r="J214" s="62">
        <v>0.78</v>
      </c>
      <c r="K214" s="63" t="s">
        <v>30</v>
      </c>
      <c r="L214" s="63">
        <v>0.1</v>
      </c>
      <c r="M214" s="65"/>
      <c r="N214" s="63"/>
      <c r="O214" s="63"/>
      <c r="P214" s="63"/>
      <c r="Q214" s="64"/>
    </row>
    <row r="215" spans="1:17" ht="15" customHeight="1" x14ac:dyDescent="0.25">
      <c r="A215" s="59">
        <v>6020</v>
      </c>
      <c r="B215" s="59">
        <v>130</v>
      </c>
      <c r="C215" s="59" t="s">
        <v>182</v>
      </c>
      <c r="D215" s="60" t="s">
        <v>241</v>
      </c>
      <c r="E215" s="59">
        <v>35</v>
      </c>
      <c r="F215" s="59" t="s">
        <v>278</v>
      </c>
      <c r="G215" s="59"/>
      <c r="H215" s="59" t="s">
        <v>368</v>
      </c>
      <c r="I215" s="61" t="s">
        <v>14</v>
      </c>
      <c r="J215" s="62">
        <v>0.78</v>
      </c>
      <c r="K215" s="63" t="s">
        <v>30</v>
      </c>
      <c r="L215" s="63">
        <v>0.1</v>
      </c>
      <c r="M215" s="65" t="s">
        <v>369</v>
      </c>
      <c r="N215" s="63"/>
      <c r="O215" s="63"/>
      <c r="P215" s="63"/>
      <c r="Q215" s="64"/>
    </row>
    <row r="216" spans="1:17" ht="15" customHeight="1" x14ac:dyDescent="0.25">
      <c r="A216" s="59">
        <v>6020</v>
      </c>
      <c r="B216" s="59">
        <v>130</v>
      </c>
      <c r="C216" s="59" t="s">
        <v>182</v>
      </c>
      <c r="D216" s="60" t="s">
        <v>241</v>
      </c>
      <c r="E216" s="59">
        <v>35</v>
      </c>
      <c r="F216" s="59" t="s">
        <v>282</v>
      </c>
      <c r="G216" s="59">
        <v>1073</v>
      </c>
      <c r="H216" s="59" t="s">
        <v>65</v>
      </c>
      <c r="I216" s="61" t="s">
        <v>48</v>
      </c>
      <c r="J216" s="62">
        <v>1000</v>
      </c>
      <c r="K216" s="63" t="s">
        <v>344</v>
      </c>
      <c r="L216" s="63">
        <v>0.02</v>
      </c>
      <c r="M216" s="65" t="s">
        <v>345</v>
      </c>
      <c r="N216" s="63"/>
      <c r="O216" s="63"/>
      <c r="P216" s="63"/>
      <c r="Q216" s="64"/>
    </row>
    <row r="217" spans="1:17" ht="15" customHeight="1" x14ac:dyDescent="0.25">
      <c r="A217" s="59">
        <v>6020</v>
      </c>
      <c r="B217" s="59">
        <v>130</v>
      </c>
      <c r="C217" s="59" t="s">
        <v>182</v>
      </c>
      <c r="D217" s="60" t="s">
        <v>241</v>
      </c>
      <c r="E217" s="59">
        <v>35</v>
      </c>
      <c r="F217" s="59" t="s">
        <v>284</v>
      </c>
      <c r="G217" s="59">
        <v>3988</v>
      </c>
      <c r="H217" s="59" t="s">
        <v>366</v>
      </c>
      <c r="I217" s="61" t="s">
        <v>48</v>
      </c>
      <c r="J217" s="62">
        <v>6.06</v>
      </c>
      <c r="K217" s="63" t="s">
        <v>346</v>
      </c>
      <c r="L217" s="63">
        <v>0.1</v>
      </c>
      <c r="M217" s="63"/>
      <c r="N217" s="63"/>
      <c r="O217" s="63"/>
      <c r="P217" s="63"/>
      <c r="Q217" s="64"/>
    </row>
    <row r="218" spans="1:17" ht="15" customHeight="1" x14ac:dyDescent="0.25">
      <c r="A218" s="59">
        <v>6020</v>
      </c>
      <c r="B218" s="59">
        <v>130</v>
      </c>
      <c r="C218" s="59" t="s">
        <v>182</v>
      </c>
      <c r="D218" s="60" t="s">
        <v>241</v>
      </c>
      <c r="E218" s="59">
        <v>35</v>
      </c>
      <c r="F218" s="59" t="s">
        <v>280</v>
      </c>
      <c r="G218" s="59">
        <v>194</v>
      </c>
      <c r="H218" s="59" t="s">
        <v>45</v>
      </c>
      <c r="I218" s="61" t="s">
        <v>14</v>
      </c>
      <c r="J218" s="62">
        <v>1.333E-2</v>
      </c>
      <c r="K218" s="63" t="s">
        <v>347</v>
      </c>
      <c r="L218" s="63">
        <v>0.1</v>
      </c>
      <c r="M218" s="63"/>
      <c r="N218" s="63"/>
      <c r="O218" s="63"/>
      <c r="P218" s="63"/>
      <c r="Q218" s="64"/>
    </row>
    <row r="219" spans="1:17" ht="15" customHeight="1" x14ac:dyDescent="0.25">
      <c r="A219" s="59">
        <v>6020</v>
      </c>
      <c r="B219" s="59">
        <v>130</v>
      </c>
      <c r="C219" s="59" t="s">
        <v>182</v>
      </c>
      <c r="D219" s="60" t="s">
        <v>241</v>
      </c>
      <c r="E219" s="59">
        <v>35</v>
      </c>
      <c r="F219" s="59" t="s">
        <v>285</v>
      </c>
      <c r="G219" s="59">
        <v>3635</v>
      </c>
      <c r="H219" s="59" t="s">
        <v>82</v>
      </c>
      <c r="I219" s="61" t="s">
        <v>48</v>
      </c>
      <c r="J219" s="62">
        <v>0.16800000000000001</v>
      </c>
      <c r="K219" s="63" t="s">
        <v>348</v>
      </c>
      <c r="L219" s="63">
        <v>0.1</v>
      </c>
      <c r="M219" s="63"/>
      <c r="N219" s="63"/>
      <c r="O219" s="63"/>
      <c r="P219" s="63"/>
      <c r="Q219" s="64"/>
    </row>
    <row r="220" spans="1:17" ht="15" customHeight="1" x14ac:dyDescent="0.25">
      <c r="A220" s="59">
        <v>6020</v>
      </c>
      <c r="B220" s="59">
        <v>130</v>
      </c>
      <c r="C220" s="59" t="s">
        <v>182</v>
      </c>
      <c r="D220" s="60" t="s">
        <v>241</v>
      </c>
      <c r="E220" s="59">
        <v>35</v>
      </c>
      <c r="F220" s="59" t="s">
        <v>273</v>
      </c>
      <c r="G220" s="59">
        <v>4155</v>
      </c>
      <c r="H220" s="59" t="s">
        <v>277</v>
      </c>
      <c r="I220" s="61" t="s">
        <v>14</v>
      </c>
      <c r="J220" s="62">
        <v>0.5</v>
      </c>
      <c r="K220" s="63" t="s">
        <v>23</v>
      </c>
      <c r="L220" s="63">
        <v>0.1</v>
      </c>
      <c r="M220" s="63"/>
      <c r="N220" s="63"/>
      <c r="O220" s="63"/>
      <c r="P220" s="63"/>
      <c r="Q220" s="64"/>
    </row>
    <row r="221" spans="1:17" ht="15" customHeight="1" x14ac:dyDescent="0.25">
      <c r="A221" s="59">
        <v>6020</v>
      </c>
      <c r="B221" s="59">
        <v>130</v>
      </c>
      <c r="C221" s="59" t="s">
        <v>182</v>
      </c>
      <c r="D221" s="60" t="s">
        <v>241</v>
      </c>
      <c r="E221" s="59">
        <v>35</v>
      </c>
      <c r="F221" s="59" t="s">
        <v>279</v>
      </c>
      <c r="G221" s="59">
        <v>186</v>
      </c>
      <c r="H221" s="59" t="s">
        <v>43</v>
      </c>
      <c r="I221" s="61" t="s">
        <v>14</v>
      </c>
      <c r="J221" s="62">
        <v>0.7</v>
      </c>
      <c r="K221" s="63" t="s">
        <v>42</v>
      </c>
      <c r="L221" s="63">
        <v>0.1</v>
      </c>
      <c r="M221" s="63"/>
      <c r="N221" s="63"/>
      <c r="O221" s="63"/>
      <c r="P221" s="63"/>
      <c r="Q221" s="64"/>
    </row>
    <row r="222" spans="1:17" ht="15" customHeight="1" x14ac:dyDescent="0.25">
      <c r="A222" s="59">
        <v>6021</v>
      </c>
      <c r="B222" s="59">
        <v>131</v>
      </c>
      <c r="C222" s="59" t="s">
        <v>182</v>
      </c>
      <c r="D222" s="60" t="s">
        <v>242</v>
      </c>
      <c r="E222" s="59">
        <v>35</v>
      </c>
      <c r="F222" s="59" t="s">
        <v>266</v>
      </c>
      <c r="G222" s="59">
        <v>3503</v>
      </c>
      <c r="H222" s="59" t="s">
        <v>21</v>
      </c>
      <c r="I222" s="61" t="s">
        <v>14</v>
      </c>
      <c r="J222" s="62">
        <v>12.82</v>
      </c>
      <c r="K222" s="63" t="s">
        <v>340</v>
      </c>
      <c r="L222" s="63">
        <v>0.1</v>
      </c>
      <c r="M222" s="65"/>
      <c r="N222" s="63"/>
      <c r="O222" s="63"/>
      <c r="P222" s="63"/>
      <c r="Q222" s="64"/>
    </row>
    <row r="223" spans="1:17" ht="15" customHeight="1" x14ac:dyDescent="0.25">
      <c r="A223" s="59">
        <v>6021</v>
      </c>
      <c r="B223" s="59">
        <v>131</v>
      </c>
      <c r="C223" s="59" t="s">
        <v>182</v>
      </c>
      <c r="D223" s="60" t="s">
        <v>242</v>
      </c>
      <c r="E223" s="59">
        <v>35</v>
      </c>
      <c r="F223" s="59" t="s">
        <v>278</v>
      </c>
      <c r="G223" s="59">
        <v>4156</v>
      </c>
      <c r="H223" s="59" t="s">
        <v>36</v>
      </c>
      <c r="I223" s="61" t="s">
        <v>14</v>
      </c>
      <c r="J223" s="62">
        <v>0.78</v>
      </c>
      <c r="K223" s="63" t="s">
        <v>30</v>
      </c>
      <c r="L223" s="63">
        <v>0.1</v>
      </c>
      <c r="M223" s="63"/>
      <c r="N223" s="63"/>
      <c r="O223" s="63"/>
      <c r="P223" s="63"/>
      <c r="Q223" s="64"/>
    </row>
    <row r="224" spans="1:17" ht="15" customHeight="1" x14ac:dyDescent="0.25">
      <c r="A224" s="59">
        <v>6021</v>
      </c>
      <c r="B224" s="59">
        <v>131</v>
      </c>
      <c r="C224" s="59" t="s">
        <v>182</v>
      </c>
      <c r="D224" s="60" t="s">
        <v>242</v>
      </c>
      <c r="E224" s="59">
        <v>35</v>
      </c>
      <c r="F224" s="59" t="s">
        <v>278</v>
      </c>
      <c r="G224" s="59"/>
      <c r="H224" s="59" t="s">
        <v>368</v>
      </c>
      <c r="I224" s="61" t="s">
        <v>14</v>
      </c>
      <c r="J224" s="62">
        <v>0.78</v>
      </c>
      <c r="K224" s="63" t="s">
        <v>30</v>
      </c>
      <c r="L224" s="63">
        <v>0.1</v>
      </c>
      <c r="M224" s="65" t="s">
        <v>369</v>
      </c>
      <c r="N224" s="63"/>
      <c r="O224" s="63"/>
      <c r="P224" s="63"/>
      <c r="Q224" s="64"/>
    </row>
    <row r="225" spans="1:17" ht="15" customHeight="1" x14ac:dyDescent="0.25">
      <c r="A225" s="59">
        <v>6021</v>
      </c>
      <c r="B225" s="59">
        <v>131</v>
      </c>
      <c r="C225" s="59" t="s">
        <v>182</v>
      </c>
      <c r="D225" s="60" t="s">
        <v>242</v>
      </c>
      <c r="E225" s="59">
        <v>35</v>
      </c>
      <c r="F225" s="59" t="s">
        <v>282</v>
      </c>
      <c r="G225" s="59">
        <v>1073</v>
      </c>
      <c r="H225" s="59" t="s">
        <v>65</v>
      </c>
      <c r="I225" s="61" t="s">
        <v>48</v>
      </c>
      <c r="J225" s="62">
        <v>1000</v>
      </c>
      <c r="K225" s="63" t="s">
        <v>344</v>
      </c>
      <c r="L225" s="63">
        <v>0.02</v>
      </c>
      <c r="M225" s="65" t="s">
        <v>345</v>
      </c>
      <c r="N225" s="63"/>
      <c r="O225" s="63"/>
      <c r="P225" s="63"/>
      <c r="Q225" s="64"/>
    </row>
    <row r="226" spans="1:17" ht="15" customHeight="1" x14ac:dyDescent="0.25">
      <c r="A226" s="59">
        <v>6021</v>
      </c>
      <c r="B226" s="59">
        <v>131</v>
      </c>
      <c r="C226" s="59" t="s">
        <v>182</v>
      </c>
      <c r="D226" s="60" t="s">
        <v>242</v>
      </c>
      <c r="E226" s="59">
        <v>35</v>
      </c>
      <c r="F226" s="59" t="s">
        <v>284</v>
      </c>
      <c r="G226" s="59">
        <v>3988</v>
      </c>
      <c r="H226" s="59" t="s">
        <v>366</v>
      </c>
      <c r="I226" s="61" t="s">
        <v>48</v>
      </c>
      <c r="J226" s="62">
        <v>6.06</v>
      </c>
      <c r="K226" s="63" t="s">
        <v>346</v>
      </c>
      <c r="L226" s="63">
        <v>0.1</v>
      </c>
      <c r="M226" s="63"/>
      <c r="N226" s="63"/>
      <c r="O226" s="63"/>
      <c r="P226" s="63"/>
      <c r="Q226" s="64"/>
    </row>
    <row r="227" spans="1:17" ht="15" customHeight="1" x14ac:dyDescent="0.25">
      <c r="A227" s="59">
        <v>6021</v>
      </c>
      <c r="B227" s="59">
        <v>131</v>
      </c>
      <c r="C227" s="59" t="s">
        <v>182</v>
      </c>
      <c r="D227" s="60" t="s">
        <v>242</v>
      </c>
      <c r="E227" s="59">
        <v>35</v>
      </c>
      <c r="F227" s="59" t="s">
        <v>280</v>
      </c>
      <c r="G227" s="59">
        <v>194</v>
      </c>
      <c r="H227" s="59" t="s">
        <v>45</v>
      </c>
      <c r="I227" s="61" t="s">
        <v>14</v>
      </c>
      <c r="J227" s="62">
        <v>1.333E-2</v>
      </c>
      <c r="K227" s="63" t="s">
        <v>347</v>
      </c>
      <c r="L227" s="63">
        <v>0.1</v>
      </c>
      <c r="M227" s="63"/>
      <c r="N227" s="63"/>
      <c r="O227" s="63"/>
      <c r="P227" s="63"/>
      <c r="Q227" s="64"/>
    </row>
    <row r="228" spans="1:17" ht="15" customHeight="1" x14ac:dyDescent="0.25">
      <c r="A228" s="59">
        <v>6021</v>
      </c>
      <c r="B228" s="59">
        <v>131</v>
      </c>
      <c r="C228" s="59" t="s">
        <v>182</v>
      </c>
      <c r="D228" s="60" t="s">
        <v>242</v>
      </c>
      <c r="E228" s="59">
        <v>35</v>
      </c>
      <c r="F228" s="59" t="s">
        <v>285</v>
      </c>
      <c r="G228" s="59">
        <v>3635</v>
      </c>
      <c r="H228" s="59" t="s">
        <v>82</v>
      </c>
      <c r="I228" s="61" t="s">
        <v>48</v>
      </c>
      <c r="J228" s="62">
        <v>0.16800000000000001</v>
      </c>
      <c r="K228" s="63" t="s">
        <v>348</v>
      </c>
      <c r="L228" s="63">
        <v>0.1</v>
      </c>
      <c r="M228" s="63"/>
      <c r="N228" s="63"/>
      <c r="O228" s="63"/>
      <c r="P228" s="63"/>
      <c r="Q228" s="64"/>
    </row>
    <row r="229" spans="1:17" ht="15" customHeight="1" x14ac:dyDescent="0.25">
      <c r="A229" s="59">
        <v>6021</v>
      </c>
      <c r="B229" s="59">
        <v>131</v>
      </c>
      <c r="C229" s="59" t="s">
        <v>182</v>
      </c>
      <c r="D229" s="60" t="s">
        <v>242</v>
      </c>
      <c r="E229" s="59">
        <v>35</v>
      </c>
      <c r="F229" s="59" t="s">
        <v>273</v>
      </c>
      <c r="G229" s="59">
        <v>4155</v>
      </c>
      <c r="H229" s="59" t="s">
        <v>277</v>
      </c>
      <c r="I229" s="61" t="s">
        <v>14</v>
      </c>
      <c r="J229" s="62">
        <v>0.5</v>
      </c>
      <c r="K229" s="63" t="s">
        <v>23</v>
      </c>
      <c r="L229" s="63">
        <v>0.1</v>
      </c>
      <c r="M229" s="63"/>
      <c r="N229" s="63"/>
      <c r="O229" s="63"/>
      <c r="P229" s="63"/>
      <c r="Q229" s="64"/>
    </row>
    <row r="230" spans="1:17" ht="15" customHeight="1" x14ac:dyDescent="0.25">
      <c r="A230" s="59">
        <v>6021</v>
      </c>
      <c r="B230" s="59">
        <v>131</v>
      </c>
      <c r="C230" s="59" t="s">
        <v>182</v>
      </c>
      <c r="D230" s="60" t="s">
        <v>242</v>
      </c>
      <c r="E230" s="59">
        <v>35</v>
      </c>
      <c r="F230" s="59" t="s">
        <v>279</v>
      </c>
      <c r="G230" s="59">
        <v>186</v>
      </c>
      <c r="H230" s="59" t="s">
        <v>43</v>
      </c>
      <c r="I230" s="61" t="s">
        <v>14</v>
      </c>
      <c r="J230" s="62">
        <v>0.7</v>
      </c>
      <c r="K230" s="63" t="s">
        <v>42</v>
      </c>
      <c r="L230" s="63">
        <v>0.1</v>
      </c>
      <c r="M230" s="65"/>
      <c r="N230" s="63"/>
      <c r="O230" s="63"/>
      <c r="P230" s="63"/>
      <c r="Q230" s="64"/>
    </row>
    <row r="231" spans="1:17" ht="15" customHeight="1" x14ac:dyDescent="0.25">
      <c r="A231" s="59">
        <v>6530</v>
      </c>
      <c r="B231" s="59">
        <v>182</v>
      </c>
      <c r="C231" s="59" t="s">
        <v>182</v>
      </c>
      <c r="D231" s="60" t="s">
        <v>183</v>
      </c>
      <c r="E231" s="59">
        <v>35</v>
      </c>
      <c r="F231" s="59" t="s">
        <v>266</v>
      </c>
      <c r="G231" s="59">
        <v>3503</v>
      </c>
      <c r="H231" s="59" t="s">
        <v>21</v>
      </c>
      <c r="I231" s="61" t="s">
        <v>14</v>
      </c>
      <c r="J231" s="62">
        <v>12.82</v>
      </c>
      <c r="K231" s="63" t="s">
        <v>340</v>
      </c>
      <c r="L231" s="63">
        <v>0.1</v>
      </c>
      <c r="M231" s="63"/>
      <c r="N231" s="63"/>
      <c r="O231" s="63"/>
      <c r="P231" s="63"/>
      <c r="Q231" s="64"/>
    </row>
    <row r="232" spans="1:17" ht="15" customHeight="1" x14ac:dyDescent="0.25">
      <c r="A232" s="59">
        <v>6530</v>
      </c>
      <c r="B232" s="59">
        <v>182</v>
      </c>
      <c r="C232" s="59" t="s">
        <v>182</v>
      </c>
      <c r="D232" s="60" t="s">
        <v>183</v>
      </c>
      <c r="E232" s="59">
        <v>35</v>
      </c>
      <c r="F232" s="59" t="s">
        <v>278</v>
      </c>
      <c r="G232" s="59">
        <v>3595</v>
      </c>
      <c r="H232" s="59" t="s">
        <v>342</v>
      </c>
      <c r="I232" s="61" t="s">
        <v>14</v>
      </c>
      <c r="J232" s="62">
        <v>0.78</v>
      </c>
      <c r="K232" s="63" t="s">
        <v>30</v>
      </c>
      <c r="L232" s="63">
        <v>0.1</v>
      </c>
      <c r="M232" s="65" t="s">
        <v>343</v>
      </c>
      <c r="N232" s="63"/>
      <c r="O232" s="63"/>
      <c r="P232" s="63"/>
      <c r="Q232" s="64"/>
    </row>
    <row r="233" spans="1:17" ht="15" customHeight="1" x14ac:dyDescent="0.25">
      <c r="A233" s="59">
        <v>6530</v>
      </c>
      <c r="B233" s="59">
        <v>182</v>
      </c>
      <c r="C233" s="59" t="s">
        <v>182</v>
      </c>
      <c r="D233" s="60" t="s">
        <v>183</v>
      </c>
      <c r="E233" s="59">
        <v>35</v>
      </c>
      <c r="F233" s="59" t="s">
        <v>282</v>
      </c>
      <c r="G233" s="59">
        <v>578</v>
      </c>
      <c r="H233" s="59" t="s">
        <v>69</v>
      </c>
      <c r="I233" s="61" t="s">
        <v>48</v>
      </c>
      <c r="J233" s="62">
        <v>1000</v>
      </c>
      <c r="K233" s="63" t="s">
        <v>344</v>
      </c>
      <c r="L233" s="63">
        <v>0.02</v>
      </c>
      <c r="M233" s="65" t="s">
        <v>345</v>
      </c>
      <c r="N233" s="63"/>
      <c r="O233" s="63"/>
      <c r="P233" s="63"/>
      <c r="Q233" s="64"/>
    </row>
    <row r="234" spans="1:17" ht="15" customHeight="1" x14ac:dyDescent="0.25">
      <c r="A234" s="59">
        <v>6530</v>
      </c>
      <c r="B234" s="59">
        <v>182</v>
      </c>
      <c r="C234" s="59" t="s">
        <v>182</v>
      </c>
      <c r="D234" s="60" t="s">
        <v>183</v>
      </c>
      <c r="E234" s="59">
        <v>35</v>
      </c>
      <c r="F234" s="59" t="s">
        <v>284</v>
      </c>
      <c r="G234" s="59">
        <v>3988</v>
      </c>
      <c r="H234" s="59" t="s">
        <v>366</v>
      </c>
      <c r="I234" s="61" t="s">
        <v>48</v>
      </c>
      <c r="J234" s="62">
        <v>6.06</v>
      </c>
      <c r="K234" s="63" t="s">
        <v>346</v>
      </c>
      <c r="L234" s="63">
        <v>0.1</v>
      </c>
      <c r="M234" s="63"/>
      <c r="N234" s="63"/>
      <c r="O234" s="63"/>
      <c r="P234" s="63"/>
      <c r="Q234" s="64"/>
    </row>
    <row r="235" spans="1:17" ht="15" customHeight="1" x14ac:dyDescent="0.25">
      <c r="A235" s="59">
        <v>6530</v>
      </c>
      <c r="B235" s="59">
        <v>182</v>
      </c>
      <c r="C235" s="59" t="s">
        <v>182</v>
      </c>
      <c r="D235" s="60" t="s">
        <v>183</v>
      </c>
      <c r="E235" s="59">
        <v>35</v>
      </c>
      <c r="F235" s="59" t="s">
        <v>280</v>
      </c>
      <c r="G235" s="59">
        <v>194</v>
      </c>
      <c r="H235" s="59" t="s">
        <v>45</v>
      </c>
      <c r="I235" s="61" t="s">
        <v>14</v>
      </c>
      <c r="J235" s="62">
        <v>1.3299999999999999E-2</v>
      </c>
      <c r="K235" s="63" t="s">
        <v>347</v>
      </c>
      <c r="L235" s="63">
        <v>0.1</v>
      </c>
      <c r="M235" s="63"/>
      <c r="N235" s="63"/>
      <c r="O235" s="63"/>
      <c r="P235" s="63"/>
      <c r="Q235" s="64"/>
    </row>
    <row r="236" spans="1:17" ht="15" customHeight="1" x14ac:dyDescent="0.25">
      <c r="A236" s="59">
        <v>6530</v>
      </c>
      <c r="B236" s="59">
        <v>182</v>
      </c>
      <c r="C236" s="59" t="s">
        <v>182</v>
      </c>
      <c r="D236" s="60" t="s">
        <v>183</v>
      </c>
      <c r="E236" s="59">
        <v>35</v>
      </c>
      <c r="F236" s="59" t="s">
        <v>273</v>
      </c>
      <c r="G236" s="59">
        <v>4155</v>
      </c>
      <c r="H236" s="59" t="s">
        <v>277</v>
      </c>
      <c r="I236" s="61" t="s">
        <v>14</v>
      </c>
      <c r="J236" s="62">
        <v>0.16</v>
      </c>
      <c r="K236" s="63" t="s">
        <v>23</v>
      </c>
      <c r="L236" s="63">
        <v>0.1</v>
      </c>
      <c r="M236" s="63"/>
      <c r="N236" s="63"/>
      <c r="O236" s="63"/>
      <c r="P236" s="63"/>
      <c r="Q236" s="64"/>
    </row>
    <row r="237" spans="1:17" ht="15" customHeight="1" x14ac:dyDescent="0.25">
      <c r="A237" s="59">
        <v>6530</v>
      </c>
      <c r="B237" s="59">
        <v>182</v>
      </c>
      <c r="C237" s="59" t="s">
        <v>182</v>
      </c>
      <c r="D237" s="60" t="s">
        <v>183</v>
      </c>
      <c r="E237" s="59">
        <v>35</v>
      </c>
      <c r="F237" s="59" t="s">
        <v>358</v>
      </c>
      <c r="G237" s="59">
        <v>495</v>
      </c>
      <c r="H237" s="59" t="s">
        <v>359</v>
      </c>
      <c r="I237" s="61" t="s">
        <v>50</v>
      </c>
      <c r="J237" s="62">
        <v>6.06</v>
      </c>
      <c r="K237" s="63" t="s">
        <v>360</v>
      </c>
      <c r="L237" s="63">
        <v>0.1</v>
      </c>
      <c r="M237" s="63"/>
      <c r="N237" s="63"/>
      <c r="O237" s="63"/>
      <c r="P237" s="63"/>
      <c r="Q237" s="64"/>
    </row>
    <row r="238" spans="1:17" ht="15" customHeight="1" x14ac:dyDescent="0.25">
      <c r="A238" s="59">
        <v>6530</v>
      </c>
      <c r="B238" s="59">
        <v>182</v>
      </c>
      <c r="C238" s="59" t="s">
        <v>182</v>
      </c>
      <c r="D238" s="60" t="s">
        <v>183</v>
      </c>
      <c r="E238" s="59">
        <v>35</v>
      </c>
      <c r="F238" s="59" t="s">
        <v>285</v>
      </c>
      <c r="G238" s="59">
        <v>3635</v>
      </c>
      <c r="H238" s="59" t="s">
        <v>82</v>
      </c>
      <c r="I238" s="61" t="s">
        <v>48</v>
      </c>
      <c r="J238" s="62">
        <v>0.16800000000000001</v>
      </c>
      <c r="K238" s="63" t="s">
        <v>348</v>
      </c>
      <c r="L238" s="63">
        <v>0.1</v>
      </c>
      <c r="M238" s="65"/>
      <c r="N238" s="63"/>
      <c r="O238" s="63"/>
      <c r="P238" s="63"/>
      <c r="Q238" s="64"/>
    </row>
    <row r="239" spans="1:17" ht="15" customHeight="1" x14ac:dyDescent="0.25">
      <c r="A239" s="59">
        <v>6531</v>
      </c>
      <c r="B239" s="59">
        <v>183</v>
      </c>
      <c r="C239" s="59" t="s">
        <v>182</v>
      </c>
      <c r="D239" s="60" t="s">
        <v>240</v>
      </c>
      <c r="E239" s="59">
        <v>35</v>
      </c>
      <c r="F239" s="59" t="s">
        <v>266</v>
      </c>
      <c r="G239" s="59">
        <v>3503</v>
      </c>
      <c r="H239" s="59" t="s">
        <v>21</v>
      </c>
      <c r="I239" s="61" t="s">
        <v>14</v>
      </c>
      <c r="J239" s="62">
        <v>12.82</v>
      </c>
      <c r="K239" s="63" t="s">
        <v>340</v>
      </c>
      <c r="L239" s="63">
        <v>0.1</v>
      </c>
      <c r="M239" s="63"/>
      <c r="N239" s="63"/>
      <c r="O239" s="63"/>
      <c r="P239" s="63"/>
      <c r="Q239" s="64"/>
    </row>
    <row r="240" spans="1:17" ht="15" customHeight="1" x14ac:dyDescent="0.25">
      <c r="A240" s="59">
        <v>6531</v>
      </c>
      <c r="B240" s="59">
        <v>183</v>
      </c>
      <c r="C240" s="59" t="s">
        <v>182</v>
      </c>
      <c r="D240" s="60" t="s">
        <v>240</v>
      </c>
      <c r="E240" s="59">
        <v>35</v>
      </c>
      <c r="F240" s="59" t="s">
        <v>278</v>
      </c>
      <c r="G240" s="59">
        <v>3595</v>
      </c>
      <c r="H240" s="59" t="s">
        <v>342</v>
      </c>
      <c r="I240" s="61" t="s">
        <v>14</v>
      </c>
      <c r="J240" s="62">
        <v>0.78</v>
      </c>
      <c r="K240" s="63" t="s">
        <v>30</v>
      </c>
      <c r="L240" s="63">
        <v>0.1</v>
      </c>
      <c r="M240" s="65" t="s">
        <v>343</v>
      </c>
      <c r="N240" s="63"/>
      <c r="O240" s="63"/>
      <c r="P240" s="63"/>
      <c r="Q240" s="64"/>
    </row>
    <row r="241" spans="1:17" ht="15" customHeight="1" x14ac:dyDescent="0.25">
      <c r="A241" s="59">
        <v>6531</v>
      </c>
      <c r="B241" s="59">
        <v>183</v>
      </c>
      <c r="C241" s="59" t="s">
        <v>182</v>
      </c>
      <c r="D241" s="60" t="s">
        <v>240</v>
      </c>
      <c r="E241" s="59">
        <v>35</v>
      </c>
      <c r="F241" s="59" t="s">
        <v>282</v>
      </c>
      <c r="G241" s="59">
        <v>578</v>
      </c>
      <c r="H241" s="59" t="s">
        <v>69</v>
      </c>
      <c r="I241" s="61" t="s">
        <v>48</v>
      </c>
      <c r="J241" s="62">
        <v>1000</v>
      </c>
      <c r="K241" s="63" t="s">
        <v>344</v>
      </c>
      <c r="L241" s="63">
        <v>0.02</v>
      </c>
      <c r="M241" s="65" t="s">
        <v>345</v>
      </c>
      <c r="N241" s="63"/>
      <c r="O241" s="63"/>
      <c r="P241" s="63"/>
      <c r="Q241" s="64"/>
    </row>
    <row r="242" spans="1:17" ht="15" customHeight="1" x14ac:dyDescent="0.25">
      <c r="A242" s="59">
        <v>6531</v>
      </c>
      <c r="B242" s="59">
        <v>183</v>
      </c>
      <c r="C242" s="59" t="s">
        <v>182</v>
      </c>
      <c r="D242" s="60" t="s">
        <v>240</v>
      </c>
      <c r="E242" s="59">
        <v>35</v>
      </c>
      <c r="F242" s="59" t="s">
        <v>284</v>
      </c>
      <c r="G242" s="59">
        <v>3988</v>
      </c>
      <c r="H242" s="59" t="s">
        <v>366</v>
      </c>
      <c r="I242" s="61" t="s">
        <v>48</v>
      </c>
      <c r="J242" s="62">
        <v>6.06</v>
      </c>
      <c r="K242" s="63" t="s">
        <v>346</v>
      </c>
      <c r="L242" s="63">
        <v>0.1</v>
      </c>
      <c r="M242" s="63"/>
      <c r="N242" s="63"/>
      <c r="O242" s="63"/>
      <c r="P242" s="63"/>
      <c r="Q242" s="64"/>
    </row>
    <row r="243" spans="1:17" ht="15" customHeight="1" x14ac:dyDescent="0.25">
      <c r="A243" s="59">
        <v>6531</v>
      </c>
      <c r="B243" s="59">
        <v>183</v>
      </c>
      <c r="C243" s="59" t="s">
        <v>182</v>
      </c>
      <c r="D243" s="60" t="s">
        <v>240</v>
      </c>
      <c r="E243" s="59">
        <v>35</v>
      </c>
      <c r="F243" s="59" t="s">
        <v>280</v>
      </c>
      <c r="G243" s="59">
        <v>194</v>
      </c>
      <c r="H243" s="59" t="s">
        <v>45</v>
      </c>
      <c r="I243" s="61" t="s">
        <v>14</v>
      </c>
      <c r="J243" s="62">
        <v>1.3299999999999999E-2</v>
      </c>
      <c r="K243" s="63" t="s">
        <v>347</v>
      </c>
      <c r="L243" s="63">
        <v>0.1</v>
      </c>
      <c r="M243" s="63"/>
      <c r="N243" s="63"/>
      <c r="O243" s="63"/>
      <c r="P243" s="63"/>
      <c r="Q243" s="64"/>
    </row>
    <row r="244" spans="1:17" ht="15" customHeight="1" x14ac:dyDescent="0.25">
      <c r="A244" s="59">
        <v>6531</v>
      </c>
      <c r="B244" s="59">
        <v>183</v>
      </c>
      <c r="C244" s="59" t="s">
        <v>182</v>
      </c>
      <c r="D244" s="60" t="s">
        <v>240</v>
      </c>
      <c r="E244" s="59">
        <v>35</v>
      </c>
      <c r="F244" s="59" t="s">
        <v>273</v>
      </c>
      <c r="G244" s="59">
        <v>4155</v>
      </c>
      <c r="H244" s="59" t="s">
        <v>277</v>
      </c>
      <c r="I244" s="61" t="s">
        <v>14</v>
      </c>
      <c r="J244" s="62">
        <v>0.16</v>
      </c>
      <c r="K244" s="63" t="s">
        <v>23</v>
      </c>
      <c r="L244" s="63">
        <v>0.1</v>
      </c>
      <c r="M244" s="63"/>
      <c r="N244" s="63"/>
      <c r="O244" s="63"/>
      <c r="P244" s="63"/>
      <c r="Q244" s="64"/>
    </row>
    <row r="245" spans="1:17" ht="15" customHeight="1" x14ac:dyDescent="0.25">
      <c r="A245" s="59">
        <v>6531</v>
      </c>
      <c r="B245" s="59">
        <v>183</v>
      </c>
      <c r="C245" s="59" t="s">
        <v>182</v>
      </c>
      <c r="D245" s="60" t="s">
        <v>240</v>
      </c>
      <c r="E245" s="59">
        <v>35</v>
      </c>
      <c r="F245" s="59" t="s">
        <v>285</v>
      </c>
      <c r="G245" s="59">
        <v>3635</v>
      </c>
      <c r="H245" s="59" t="s">
        <v>82</v>
      </c>
      <c r="I245" s="61" t="s">
        <v>48</v>
      </c>
      <c r="J245" s="62">
        <v>0.16800000000000001</v>
      </c>
      <c r="K245" s="63" t="s">
        <v>348</v>
      </c>
      <c r="L245" s="63">
        <v>0.1</v>
      </c>
      <c r="M245" s="63"/>
      <c r="N245" s="63"/>
      <c r="O245" s="63"/>
      <c r="P245" s="63"/>
      <c r="Q245" s="64"/>
    </row>
    <row r="246" spans="1:17" ht="15" customHeight="1" x14ac:dyDescent="0.25">
      <c r="A246" s="59">
        <v>6531</v>
      </c>
      <c r="B246" s="59">
        <v>183</v>
      </c>
      <c r="C246" s="59" t="s">
        <v>182</v>
      </c>
      <c r="D246" s="60" t="s">
        <v>240</v>
      </c>
      <c r="E246" s="59">
        <v>35</v>
      </c>
      <c r="F246" s="59" t="s">
        <v>358</v>
      </c>
      <c r="G246" s="59">
        <v>495</v>
      </c>
      <c r="H246" s="59" t="s">
        <v>359</v>
      </c>
      <c r="I246" s="61" t="s">
        <v>50</v>
      </c>
      <c r="J246" s="62">
        <v>6.06</v>
      </c>
      <c r="K246" s="63" t="s">
        <v>360</v>
      </c>
      <c r="L246" s="63">
        <v>0.1</v>
      </c>
      <c r="M246" s="65"/>
      <c r="N246" s="63"/>
      <c r="O246" s="63"/>
      <c r="P246" s="63"/>
      <c r="Q246" s="64"/>
    </row>
    <row r="247" spans="1:17" ht="15" customHeight="1" x14ac:dyDescent="0.25">
      <c r="A247" s="59">
        <v>8001</v>
      </c>
      <c r="B247" s="59">
        <v>800</v>
      </c>
      <c r="C247" s="59" t="s">
        <v>193</v>
      </c>
      <c r="D247" s="60" t="s">
        <v>194</v>
      </c>
      <c r="E247" s="59" t="s">
        <v>195</v>
      </c>
      <c r="F247" s="59" t="s">
        <v>288</v>
      </c>
      <c r="G247" s="59">
        <v>2680</v>
      </c>
      <c r="H247" s="59" t="s">
        <v>118</v>
      </c>
      <c r="I247" s="61" t="s">
        <v>14</v>
      </c>
      <c r="J247" s="62">
        <v>22</v>
      </c>
      <c r="K247" s="63" t="s">
        <v>117</v>
      </c>
      <c r="L247" s="63">
        <v>0.15</v>
      </c>
      <c r="M247" s="65" t="s">
        <v>345</v>
      </c>
      <c r="N247" s="63"/>
      <c r="O247" s="63"/>
      <c r="P247" s="63"/>
      <c r="Q247" s="64"/>
    </row>
    <row r="248" spans="1:17" ht="15" customHeight="1" x14ac:dyDescent="0.25">
      <c r="A248" s="59">
        <v>8001</v>
      </c>
      <c r="B248" s="59">
        <v>800</v>
      </c>
      <c r="C248" s="59" t="s">
        <v>193</v>
      </c>
      <c r="D248" s="60" t="s">
        <v>194</v>
      </c>
      <c r="E248" s="59" t="s">
        <v>195</v>
      </c>
      <c r="F248" s="59" t="s">
        <v>370</v>
      </c>
      <c r="G248" s="59">
        <v>5977</v>
      </c>
      <c r="H248" s="59" t="s">
        <v>80</v>
      </c>
      <c r="I248" s="61" t="s">
        <v>48</v>
      </c>
      <c r="J248" s="62">
        <v>1.087</v>
      </c>
      <c r="K248" s="63" t="s">
        <v>371</v>
      </c>
      <c r="L248" s="63">
        <v>0.15</v>
      </c>
      <c r="M248" s="63"/>
      <c r="N248" s="63"/>
      <c r="O248" s="63"/>
      <c r="P248" s="63"/>
      <c r="Q248" s="64"/>
    </row>
    <row r="249" spans="1:17" ht="15" customHeight="1" x14ac:dyDescent="0.25">
      <c r="A249" s="59">
        <v>8001</v>
      </c>
      <c r="B249" s="59">
        <v>800</v>
      </c>
      <c r="C249" s="59" t="s">
        <v>193</v>
      </c>
      <c r="D249" s="60" t="s">
        <v>194</v>
      </c>
      <c r="E249" s="59" t="s">
        <v>195</v>
      </c>
      <c r="F249" s="59" t="s">
        <v>291</v>
      </c>
      <c r="G249" s="59">
        <v>2267</v>
      </c>
      <c r="H249" s="59" t="s">
        <v>134</v>
      </c>
      <c r="I249" s="61" t="s">
        <v>48</v>
      </c>
      <c r="J249" s="62">
        <v>8.6959999999999997</v>
      </c>
      <c r="K249" s="63" t="s">
        <v>133</v>
      </c>
      <c r="L249" s="63">
        <v>0.15</v>
      </c>
      <c r="M249" s="63"/>
      <c r="N249" s="63"/>
      <c r="O249" s="63"/>
      <c r="P249" s="63"/>
      <c r="Q249" s="64"/>
    </row>
    <row r="250" spans="1:17" ht="15" customHeight="1" x14ac:dyDescent="0.25">
      <c r="A250" s="59">
        <v>8001</v>
      </c>
      <c r="B250" s="59">
        <v>800</v>
      </c>
      <c r="C250" s="59" t="s">
        <v>193</v>
      </c>
      <c r="D250" s="60" t="s">
        <v>194</v>
      </c>
      <c r="E250" s="59" t="s">
        <v>195</v>
      </c>
      <c r="F250" s="59" t="s">
        <v>285</v>
      </c>
      <c r="G250" s="59">
        <v>3635</v>
      </c>
      <c r="H250" s="59" t="s">
        <v>82</v>
      </c>
      <c r="I250" s="61" t="s">
        <v>48</v>
      </c>
      <c r="J250" s="62">
        <v>2.7E-2</v>
      </c>
      <c r="K250" s="63" t="s">
        <v>348</v>
      </c>
      <c r="L250" s="63">
        <v>0.15</v>
      </c>
      <c r="M250" s="63"/>
      <c r="N250" s="63"/>
      <c r="O250" s="63"/>
      <c r="P250" s="63"/>
      <c r="Q250" s="64"/>
    </row>
    <row r="251" spans="1:17" ht="15" customHeight="1" x14ac:dyDescent="0.25">
      <c r="A251" s="59">
        <v>8001</v>
      </c>
      <c r="B251" s="59">
        <v>800</v>
      </c>
      <c r="C251" s="59" t="s">
        <v>193</v>
      </c>
      <c r="D251" s="60" t="s">
        <v>194</v>
      </c>
      <c r="E251" s="59" t="s">
        <v>195</v>
      </c>
      <c r="F251" s="59" t="s">
        <v>137</v>
      </c>
      <c r="G251" s="59">
        <v>3043</v>
      </c>
      <c r="H251" s="59" t="s">
        <v>137</v>
      </c>
      <c r="I251" s="61" t="s">
        <v>138</v>
      </c>
      <c r="J251" s="62">
        <v>5.0000000000000001E-3</v>
      </c>
      <c r="K251" s="63" t="s">
        <v>136</v>
      </c>
      <c r="L251" s="63">
        <v>0.15</v>
      </c>
      <c r="M251" s="63"/>
      <c r="N251" s="63"/>
      <c r="O251" s="63"/>
      <c r="P251" s="63"/>
      <c r="Q251" s="64"/>
    </row>
    <row r="252" spans="1:17" ht="15" customHeight="1" x14ac:dyDescent="0.25">
      <c r="A252" s="59">
        <v>8005</v>
      </c>
      <c r="B252" s="59">
        <v>805</v>
      </c>
      <c r="C252" s="59" t="s">
        <v>169</v>
      </c>
      <c r="D252" s="60" t="s">
        <v>187</v>
      </c>
      <c r="E252" s="59" t="s">
        <v>188</v>
      </c>
      <c r="F252" s="59" t="s">
        <v>288</v>
      </c>
      <c r="G252" s="59">
        <v>2680</v>
      </c>
      <c r="H252" s="59" t="s">
        <v>118</v>
      </c>
      <c r="I252" s="61" t="s">
        <v>14</v>
      </c>
      <c r="J252" s="62">
        <v>17.100000000000001</v>
      </c>
      <c r="K252" s="63" t="s">
        <v>117</v>
      </c>
      <c r="L252" s="63">
        <v>0.15</v>
      </c>
      <c r="M252" s="63"/>
      <c r="N252" s="63"/>
      <c r="O252" s="63"/>
      <c r="P252" s="63"/>
      <c r="Q252" s="64"/>
    </row>
    <row r="253" spans="1:17" ht="15" customHeight="1" x14ac:dyDescent="0.25">
      <c r="A253" s="59">
        <v>8005</v>
      </c>
      <c r="B253" s="59">
        <v>805</v>
      </c>
      <c r="C253" s="59" t="s">
        <v>169</v>
      </c>
      <c r="D253" s="60" t="s">
        <v>187</v>
      </c>
      <c r="E253" s="59" t="s">
        <v>188</v>
      </c>
      <c r="F253" s="59" t="s">
        <v>372</v>
      </c>
      <c r="G253" s="59">
        <v>4070</v>
      </c>
      <c r="H253" s="59" t="s">
        <v>122</v>
      </c>
      <c r="I253" s="61" t="s">
        <v>14</v>
      </c>
      <c r="J253" s="62">
        <v>0.9</v>
      </c>
      <c r="K253" s="63" t="s">
        <v>373</v>
      </c>
      <c r="L253" s="63">
        <v>0.15</v>
      </c>
      <c r="M253" s="63"/>
      <c r="N253" s="63"/>
      <c r="O253" s="63"/>
      <c r="P253" s="63"/>
      <c r="Q253" s="64"/>
    </row>
    <row r="254" spans="1:17" ht="15" customHeight="1" x14ac:dyDescent="0.25">
      <c r="A254" s="59">
        <v>8005</v>
      </c>
      <c r="B254" s="59">
        <v>805</v>
      </c>
      <c r="C254" s="59" t="s">
        <v>169</v>
      </c>
      <c r="D254" s="60" t="s">
        <v>187</v>
      </c>
      <c r="E254" s="59" t="s">
        <v>188</v>
      </c>
      <c r="F254" s="59" t="s">
        <v>291</v>
      </c>
      <c r="G254" s="59">
        <v>2267</v>
      </c>
      <c r="H254" s="59" t="s">
        <v>134</v>
      </c>
      <c r="I254" s="61" t="s">
        <v>48</v>
      </c>
      <c r="J254" s="62">
        <v>8.3330000000000002</v>
      </c>
      <c r="K254" s="63" t="s">
        <v>133</v>
      </c>
      <c r="L254" s="63">
        <v>0.15</v>
      </c>
      <c r="M254" s="63"/>
      <c r="N254" s="63"/>
      <c r="O254" s="63"/>
      <c r="P254" s="63"/>
      <c r="Q254" s="64"/>
    </row>
    <row r="255" spans="1:17" ht="15" customHeight="1" x14ac:dyDescent="0.25">
      <c r="A255" s="59">
        <v>8005</v>
      </c>
      <c r="B255" s="59">
        <v>805</v>
      </c>
      <c r="C255" s="59" t="s">
        <v>169</v>
      </c>
      <c r="D255" s="60" t="s">
        <v>187</v>
      </c>
      <c r="E255" s="59" t="s">
        <v>188</v>
      </c>
      <c r="F255" s="59" t="s">
        <v>137</v>
      </c>
      <c r="G255" s="59">
        <v>3043</v>
      </c>
      <c r="H255" s="59" t="s">
        <v>137</v>
      </c>
      <c r="I255" s="61" t="s">
        <v>138</v>
      </c>
      <c r="J255" s="62">
        <v>5.0000000000000001E-3</v>
      </c>
      <c r="K255" s="63" t="s">
        <v>136</v>
      </c>
      <c r="L255" s="63">
        <v>0.15</v>
      </c>
      <c r="M255" s="65"/>
      <c r="N255" s="63"/>
      <c r="O255" s="63"/>
      <c r="P255" s="63"/>
      <c r="Q255" s="64"/>
    </row>
    <row r="256" spans="1:17" ht="15" customHeight="1" x14ac:dyDescent="0.25">
      <c r="A256" s="59">
        <v>8011</v>
      </c>
      <c r="B256" s="59">
        <v>811</v>
      </c>
      <c r="C256" s="59" t="s">
        <v>169</v>
      </c>
      <c r="D256" s="60" t="s">
        <v>243</v>
      </c>
      <c r="E256" s="59" t="s">
        <v>188</v>
      </c>
      <c r="F256" s="59" t="s">
        <v>288</v>
      </c>
      <c r="G256" s="59">
        <v>2680</v>
      </c>
      <c r="H256" s="59" t="s">
        <v>118</v>
      </c>
      <c r="I256" s="61" t="s">
        <v>14</v>
      </c>
      <c r="J256" s="62">
        <v>17.46</v>
      </c>
      <c r="K256" s="63" t="s">
        <v>117</v>
      </c>
      <c r="L256" s="63">
        <v>0.15</v>
      </c>
      <c r="M256" s="63"/>
      <c r="N256" s="63"/>
      <c r="O256" s="63"/>
      <c r="P256" s="63"/>
      <c r="Q256" s="64"/>
    </row>
    <row r="257" spans="1:17" ht="15" customHeight="1" x14ac:dyDescent="0.25">
      <c r="A257" s="59">
        <v>8011</v>
      </c>
      <c r="B257" s="59">
        <v>811</v>
      </c>
      <c r="C257" s="59" t="s">
        <v>169</v>
      </c>
      <c r="D257" s="60" t="s">
        <v>243</v>
      </c>
      <c r="E257" s="59" t="s">
        <v>188</v>
      </c>
      <c r="F257" s="59" t="s">
        <v>372</v>
      </c>
      <c r="G257" s="59">
        <v>7412</v>
      </c>
      <c r="H257" s="59" t="s">
        <v>128</v>
      </c>
      <c r="I257" s="61" t="s">
        <v>14</v>
      </c>
      <c r="J257" s="62">
        <v>0.54</v>
      </c>
      <c r="K257" s="63" t="s">
        <v>373</v>
      </c>
      <c r="L257" s="63">
        <v>0.15</v>
      </c>
      <c r="M257" s="63"/>
      <c r="N257" s="63"/>
      <c r="O257" s="63"/>
      <c r="P257" s="63"/>
      <c r="Q257" s="64"/>
    </row>
    <row r="258" spans="1:17" ht="15" customHeight="1" x14ac:dyDescent="0.25">
      <c r="A258" s="59">
        <v>8011</v>
      </c>
      <c r="B258" s="59">
        <v>811</v>
      </c>
      <c r="C258" s="59" t="s">
        <v>169</v>
      </c>
      <c r="D258" s="60" t="s">
        <v>243</v>
      </c>
      <c r="E258" s="59" t="s">
        <v>188</v>
      </c>
      <c r="F258" s="59" t="s">
        <v>291</v>
      </c>
      <c r="G258" s="59">
        <v>2267</v>
      </c>
      <c r="H258" s="59" t="s">
        <v>134</v>
      </c>
      <c r="I258" s="61" t="s">
        <v>48</v>
      </c>
      <c r="J258" s="62">
        <v>8.3330000000000002</v>
      </c>
      <c r="K258" s="63" t="s">
        <v>133</v>
      </c>
      <c r="L258" s="63">
        <v>0.15</v>
      </c>
      <c r="M258" s="63"/>
      <c r="N258" s="63"/>
      <c r="O258" s="63"/>
      <c r="P258" s="63"/>
      <c r="Q258" s="64"/>
    </row>
    <row r="259" spans="1:17" ht="15" customHeight="1" x14ac:dyDescent="0.25">
      <c r="A259" s="59">
        <v>8011</v>
      </c>
      <c r="B259" s="59">
        <v>811</v>
      </c>
      <c r="C259" s="59" t="s">
        <v>169</v>
      </c>
      <c r="D259" s="60" t="s">
        <v>243</v>
      </c>
      <c r="E259" s="59" t="s">
        <v>188</v>
      </c>
      <c r="F259" s="59" t="s">
        <v>137</v>
      </c>
      <c r="G259" s="59">
        <v>3043</v>
      </c>
      <c r="H259" s="59" t="s">
        <v>137</v>
      </c>
      <c r="I259" s="61" t="s">
        <v>138</v>
      </c>
      <c r="J259" s="62">
        <v>5.0000000000000001E-3</v>
      </c>
      <c r="K259" s="63" t="s">
        <v>136</v>
      </c>
      <c r="L259" s="63">
        <v>0.15</v>
      </c>
      <c r="M259" s="63"/>
      <c r="N259" s="63"/>
      <c r="O259" s="63"/>
      <c r="P259" s="63"/>
      <c r="Q259" s="64"/>
    </row>
    <row r="260" spans="1:17" ht="15" customHeight="1" x14ac:dyDescent="0.25">
      <c r="A260" s="59">
        <v>8012</v>
      </c>
      <c r="B260" s="59">
        <v>812</v>
      </c>
      <c r="C260" s="59" t="s">
        <v>169</v>
      </c>
      <c r="D260" s="60" t="s">
        <v>244</v>
      </c>
      <c r="E260" s="59" t="s">
        <v>188</v>
      </c>
      <c r="F260" s="59" t="s">
        <v>288</v>
      </c>
      <c r="G260" s="59">
        <v>2680</v>
      </c>
      <c r="H260" s="59" t="s">
        <v>118</v>
      </c>
      <c r="I260" s="61" t="s">
        <v>14</v>
      </c>
      <c r="J260" s="62">
        <v>17.100000000000001</v>
      </c>
      <c r="K260" s="63" t="s">
        <v>117</v>
      </c>
      <c r="L260" s="63">
        <v>0.15</v>
      </c>
      <c r="M260" s="63"/>
      <c r="N260" s="63"/>
      <c r="O260" s="63"/>
      <c r="P260" s="63"/>
      <c r="Q260" s="64"/>
    </row>
    <row r="261" spans="1:17" ht="15" customHeight="1" x14ac:dyDescent="0.25">
      <c r="A261" s="59">
        <v>8012</v>
      </c>
      <c r="B261" s="59">
        <v>812</v>
      </c>
      <c r="C261" s="59" t="s">
        <v>169</v>
      </c>
      <c r="D261" s="60" t="s">
        <v>244</v>
      </c>
      <c r="E261" s="59" t="s">
        <v>188</v>
      </c>
      <c r="F261" s="59" t="s">
        <v>372</v>
      </c>
      <c r="G261" s="59">
        <v>5816</v>
      </c>
      <c r="H261" s="59" t="s">
        <v>125</v>
      </c>
      <c r="I261" s="61" t="s">
        <v>14</v>
      </c>
      <c r="J261" s="62">
        <v>0.9</v>
      </c>
      <c r="K261" s="63" t="s">
        <v>373</v>
      </c>
      <c r="L261" s="63">
        <v>0.15</v>
      </c>
      <c r="M261" s="63"/>
      <c r="N261" s="63"/>
      <c r="O261" s="63"/>
      <c r="P261" s="63"/>
      <c r="Q261" s="64"/>
    </row>
    <row r="262" spans="1:17" ht="15" customHeight="1" x14ac:dyDescent="0.25">
      <c r="A262" s="59">
        <v>8012</v>
      </c>
      <c r="B262" s="59">
        <v>812</v>
      </c>
      <c r="C262" s="59" t="s">
        <v>169</v>
      </c>
      <c r="D262" s="60" t="s">
        <v>244</v>
      </c>
      <c r="E262" s="59" t="s">
        <v>188</v>
      </c>
      <c r="F262" s="59" t="s">
        <v>291</v>
      </c>
      <c r="G262" s="59">
        <v>2267</v>
      </c>
      <c r="H262" s="59" t="s">
        <v>134</v>
      </c>
      <c r="I262" s="61" t="s">
        <v>48</v>
      </c>
      <c r="J262" s="62">
        <v>8.3330000000000002</v>
      </c>
      <c r="K262" s="63" t="s">
        <v>133</v>
      </c>
      <c r="L262" s="63">
        <v>0.15</v>
      </c>
      <c r="M262" s="63"/>
      <c r="N262" s="63"/>
      <c r="O262" s="63"/>
      <c r="P262" s="63"/>
      <c r="Q262" s="64"/>
    </row>
    <row r="263" spans="1:17" ht="15" customHeight="1" x14ac:dyDescent="0.25">
      <c r="A263" s="59">
        <v>8012</v>
      </c>
      <c r="B263" s="59">
        <v>812</v>
      </c>
      <c r="C263" s="59" t="s">
        <v>169</v>
      </c>
      <c r="D263" s="60" t="s">
        <v>244</v>
      </c>
      <c r="E263" s="59" t="s">
        <v>188</v>
      </c>
      <c r="F263" s="59" t="s">
        <v>137</v>
      </c>
      <c r="G263" s="59">
        <v>3043</v>
      </c>
      <c r="H263" s="59" t="s">
        <v>137</v>
      </c>
      <c r="I263" s="61" t="s">
        <v>138</v>
      </c>
      <c r="J263" s="62">
        <v>5.0000000000000001E-3</v>
      </c>
      <c r="K263" s="63" t="s">
        <v>136</v>
      </c>
      <c r="L263" s="63">
        <v>0.15</v>
      </c>
      <c r="M263" s="63"/>
      <c r="N263" s="63"/>
      <c r="O263" s="63"/>
      <c r="P263" s="63"/>
      <c r="Q263" s="64"/>
    </row>
    <row r="264" spans="1:17" ht="15" customHeight="1" x14ac:dyDescent="0.25">
      <c r="A264" s="59">
        <v>8010</v>
      </c>
      <c r="B264" s="59">
        <v>810</v>
      </c>
      <c r="C264" s="59" t="s">
        <v>193</v>
      </c>
      <c r="D264" s="60" t="s">
        <v>245</v>
      </c>
      <c r="E264" s="59" t="s">
        <v>191</v>
      </c>
      <c r="F264" s="59" t="s">
        <v>288</v>
      </c>
      <c r="G264" s="59">
        <v>2680</v>
      </c>
      <c r="H264" s="59" t="s">
        <v>118</v>
      </c>
      <c r="I264" s="61" t="s">
        <v>14</v>
      </c>
      <c r="J264" s="62">
        <v>18</v>
      </c>
      <c r="K264" s="63" t="s">
        <v>117</v>
      </c>
      <c r="L264" s="63">
        <v>0.15</v>
      </c>
      <c r="M264" s="65" t="s">
        <v>345</v>
      </c>
      <c r="N264" s="63"/>
      <c r="O264" s="63"/>
      <c r="P264" s="63"/>
      <c r="Q264" s="64"/>
    </row>
    <row r="265" spans="1:17" ht="15" customHeight="1" x14ac:dyDescent="0.25">
      <c r="A265" s="59">
        <v>8010</v>
      </c>
      <c r="B265" s="59">
        <v>810</v>
      </c>
      <c r="C265" s="59" t="s">
        <v>193</v>
      </c>
      <c r="D265" s="60" t="s">
        <v>245</v>
      </c>
      <c r="E265" s="59" t="s">
        <v>191</v>
      </c>
      <c r="F265" s="59" t="s">
        <v>370</v>
      </c>
      <c r="G265" s="59">
        <v>5977</v>
      </c>
      <c r="H265" s="59" t="s">
        <v>80</v>
      </c>
      <c r="I265" s="61" t="s">
        <v>48</v>
      </c>
      <c r="J265" s="62">
        <v>1.667</v>
      </c>
      <c r="K265" s="63" t="s">
        <v>371</v>
      </c>
      <c r="L265" s="63">
        <v>0.15</v>
      </c>
      <c r="M265" s="63"/>
      <c r="N265" s="63"/>
      <c r="O265" s="63"/>
      <c r="P265" s="63"/>
      <c r="Q265" s="64"/>
    </row>
    <row r="266" spans="1:17" ht="15" customHeight="1" x14ac:dyDescent="0.25">
      <c r="A266" s="59">
        <v>8010</v>
      </c>
      <c r="B266" s="59">
        <v>810</v>
      </c>
      <c r="C266" s="59" t="s">
        <v>193</v>
      </c>
      <c r="D266" s="60" t="s">
        <v>245</v>
      </c>
      <c r="E266" s="59" t="s">
        <v>191</v>
      </c>
      <c r="F266" s="59" t="s">
        <v>291</v>
      </c>
      <c r="G266" s="59">
        <v>2267</v>
      </c>
      <c r="H266" s="59" t="s">
        <v>134</v>
      </c>
      <c r="I266" s="61" t="s">
        <v>48</v>
      </c>
      <c r="J266" s="62">
        <v>10</v>
      </c>
      <c r="K266" s="63" t="s">
        <v>133</v>
      </c>
      <c r="L266" s="63">
        <v>0.15</v>
      </c>
      <c r="M266" s="65" t="s">
        <v>345</v>
      </c>
      <c r="N266" s="63"/>
      <c r="O266" s="63"/>
      <c r="P266" s="63"/>
      <c r="Q266" s="64"/>
    </row>
    <row r="267" spans="1:17" ht="15" customHeight="1" x14ac:dyDescent="0.25">
      <c r="A267" s="59">
        <v>8010</v>
      </c>
      <c r="B267" s="59">
        <v>810</v>
      </c>
      <c r="C267" s="59" t="s">
        <v>193</v>
      </c>
      <c r="D267" s="60" t="s">
        <v>245</v>
      </c>
      <c r="E267" s="59" t="s">
        <v>191</v>
      </c>
      <c r="F267" s="59" t="s">
        <v>285</v>
      </c>
      <c r="G267" s="59">
        <v>3635</v>
      </c>
      <c r="H267" s="59" t="s">
        <v>82</v>
      </c>
      <c r="I267" s="61" t="s">
        <v>48</v>
      </c>
      <c r="J267" s="62">
        <v>4.2000000000000003E-2</v>
      </c>
      <c r="K267" s="63" t="s">
        <v>348</v>
      </c>
      <c r="L267" s="63">
        <v>0.15</v>
      </c>
      <c r="M267" s="63"/>
      <c r="N267" s="63"/>
      <c r="O267" s="63"/>
      <c r="P267" s="63"/>
      <c r="Q267" s="64"/>
    </row>
    <row r="268" spans="1:17" ht="15" customHeight="1" x14ac:dyDescent="0.25">
      <c r="A268" s="59">
        <v>8010</v>
      </c>
      <c r="B268" s="59">
        <v>810</v>
      </c>
      <c r="C268" s="59" t="s">
        <v>193</v>
      </c>
      <c r="D268" s="60" t="s">
        <v>245</v>
      </c>
      <c r="E268" s="59" t="s">
        <v>191</v>
      </c>
      <c r="F268" s="59" t="s">
        <v>137</v>
      </c>
      <c r="G268" s="59">
        <v>3043</v>
      </c>
      <c r="H268" s="59" t="s">
        <v>137</v>
      </c>
      <c r="I268" s="61" t="s">
        <v>138</v>
      </c>
      <c r="J268" s="62">
        <v>5.0000000000000001E-3</v>
      </c>
      <c r="K268" s="63" t="s">
        <v>136</v>
      </c>
      <c r="L268" s="63">
        <v>0.15</v>
      </c>
      <c r="M268" s="63"/>
      <c r="N268" s="63"/>
      <c r="O268" s="63"/>
      <c r="P268" s="63"/>
      <c r="Q268" s="64"/>
    </row>
    <row r="269" spans="1:17" ht="15" customHeight="1" x14ac:dyDescent="0.25">
      <c r="A269" s="59">
        <v>8006</v>
      </c>
      <c r="B269" s="59">
        <v>806</v>
      </c>
      <c r="C269" s="59" t="s">
        <v>169</v>
      </c>
      <c r="D269" s="60" t="s">
        <v>198</v>
      </c>
      <c r="E269" s="59" t="s">
        <v>197</v>
      </c>
      <c r="F269" s="59" t="s">
        <v>288</v>
      </c>
      <c r="G269" s="59">
        <v>2680</v>
      </c>
      <c r="H269" s="59" t="s">
        <v>118</v>
      </c>
      <c r="I269" s="61" t="s">
        <v>14</v>
      </c>
      <c r="J269" s="62">
        <v>23.75</v>
      </c>
      <c r="K269" s="63" t="s">
        <v>117</v>
      </c>
      <c r="L269" s="63">
        <v>0.15</v>
      </c>
      <c r="M269" s="63"/>
      <c r="N269" s="63"/>
      <c r="O269" s="63"/>
      <c r="P269" s="63"/>
      <c r="Q269" s="64"/>
    </row>
    <row r="270" spans="1:17" ht="15" customHeight="1" x14ac:dyDescent="0.25">
      <c r="A270" s="59">
        <v>8006</v>
      </c>
      <c r="B270" s="59">
        <v>806</v>
      </c>
      <c r="C270" s="59" t="s">
        <v>169</v>
      </c>
      <c r="D270" s="60" t="s">
        <v>198</v>
      </c>
      <c r="E270" s="59" t="s">
        <v>197</v>
      </c>
      <c r="F270" s="59" t="s">
        <v>372</v>
      </c>
      <c r="G270" s="59">
        <v>4070</v>
      </c>
      <c r="H270" s="59" t="s">
        <v>122</v>
      </c>
      <c r="I270" s="61" t="s">
        <v>14</v>
      </c>
      <c r="J270" s="62">
        <v>1.25</v>
      </c>
      <c r="K270" s="63" t="s">
        <v>373</v>
      </c>
      <c r="L270" s="63">
        <v>0.15</v>
      </c>
      <c r="M270" s="63"/>
      <c r="N270" s="63"/>
      <c r="O270" s="63"/>
      <c r="P270" s="63"/>
      <c r="Q270" s="64"/>
    </row>
    <row r="271" spans="1:17" ht="15" customHeight="1" x14ac:dyDescent="0.25">
      <c r="A271" s="59">
        <v>8006</v>
      </c>
      <c r="B271" s="59">
        <v>806</v>
      </c>
      <c r="C271" s="59" t="s">
        <v>169</v>
      </c>
      <c r="D271" s="60" t="s">
        <v>198</v>
      </c>
      <c r="E271" s="59" t="s">
        <v>197</v>
      </c>
      <c r="F271" s="59" t="s">
        <v>291</v>
      </c>
      <c r="G271" s="59">
        <v>3006</v>
      </c>
      <c r="H271" s="59" t="s">
        <v>135</v>
      </c>
      <c r="I271" s="61" t="s">
        <v>48</v>
      </c>
      <c r="J271" s="62">
        <v>8.3330000000000002</v>
      </c>
      <c r="K271" s="63" t="s">
        <v>133</v>
      </c>
      <c r="L271" s="63">
        <v>0.15</v>
      </c>
      <c r="M271" s="63"/>
      <c r="N271" s="63"/>
      <c r="O271" s="63"/>
      <c r="P271" s="63"/>
      <c r="Q271" s="64"/>
    </row>
    <row r="272" spans="1:17" ht="15" customHeight="1" x14ac:dyDescent="0.25">
      <c r="A272" s="59">
        <v>8006</v>
      </c>
      <c r="B272" s="59">
        <v>806</v>
      </c>
      <c r="C272" s="59" t="s">
        <v>169</v>
      </c>
      <c r="D272" s="60" t="s">
        <v>198</v>
      </c>
      <c r="E272" s="59" t="s">
        <v>197</v>
      </c>
      <c r="F272" s="59" t="s">
        <v>137</v>
      </c>
      <c r="G272" s="59">
        <v>3043</v>
      </c>
      <c r="H272" s="59" t="s">
        <v>137</v>
      </c>
      <c r="I272" s="61" t="s">
        <v>138</v>
      </c>
      <c r="J272" s="62">
        <v>5.0000000000000001E-3</v>
      </c>
      <c r="K272" s="63" t="s">
        <v>136</v>
      </c>
      <c r="L272" s="63">
        <v>0.15</v>
      </c>
      <c r="M272" s="63"/>
      <c r="N272" s="63"/>
      <c r="O272" s="63"/>
      <c r="P272" s="63"/>
      <c r="Q272" s="64"/>
    </row>
    <row r="273" spans="1:17" ht="15" customHeight="1" x14ac:dyDescent="0.25">
      <c r="A273" s="59">
        <v>8007</v>
      </c>
      <c r="B273" s="59">
        <v>807</v>
      </c>
      <c r="C273" s="59" t="s">
        <v>169</v>
      </c>
      <c r="D273" s="60" t="s">
        <v>196</v>
      </c>
      <c r="E273" s="59" t="s">
        <v>197</v>
      </c>
      <c r="F273" s="59" t="s">
        <v>288</v>
      </c>
      <c r="G273" s="59">
        <v>2680</v>
      </c>
      <c r="H273" s="59" t="s">
        <v>118</v>
      </c>
      <c r="I273" s="61" t="s">
        <v>14</v>
      </c>
      <c r="J273" s="62">
        <v>23.75</v>
      </c>
      <c r="K273" s="63" t="s">
        <v>117</v>
      </c>
      <c r="L273" s="63">
        <v>0.15</v>
      </c>
      <c r="M273" s="63"/>
      <c r="N273" s="63"/>
      <c r="O273" s="63"/>
      <c r="P273" s="63"/>
      <c r="Q273" s="64"/>
    </row>
    <row r="274" spans="1:17" ht="15" customHeight="1" x14ac:dyDescent="0.25">
      <c r="A274" s="59">
        <v>8007</v>
      </c>
      <c r="B274" s="59">
        <v>807</v>
      </c>
      <c r="C274" s="59" t="s">
        <v>169</v>
      </c>
      <c r="D274" s="60" t="s">
        <v>196</v>
      </c>
      <c r="E274" s="59" t="s">
        <v>197</v>
      </c>
      <c r="F274" s="59" t="s">
        <v>372</v>
      </c>
      <c r="G274" s="59">
        <v>5816</v>
      </c>
      <c r="H274" s="59" t="s">
        <v>125</v>
      </c>
      <c r="I274" s="61" t="s">
        <v>14</v>
      </c>
      <c r="J274" s="62">
        <v>1.25</v>
      </c>
      <c r="K274" s="63" t="s">
        <v>373</v>
      </c>
      <c r="L274" s="63">
        <v>0.15</v>
      </c>
      <c r="M274" s="63"/>
      <c r="N274" s="63"/>
      <c r="O274" s="63"/>
      <c r="P274" s="63"/>
      <c r="Q274" s="64"/>
    </row>
    <row r="275" spans="1:17" ht="15" customHeight="1" x14ac:dyDescent="0.25">
      <c r="A275" s="59">
        <v>8007</v>
      </c>
      <c r="B275" s="59">
        <v>807</v>
      </c>
      <c r="C275" s="59" t="s">
        <v>169</v>
      </c>
      <c r="D275" s="60" t="s">
        <v>196</v>
      </c>
      <c r="E275" s="59" t="s">
        <v>197</v>
      </c>
      <c r="F275" s="59" t="s">
        <v>291</v>
      </c>
      <c r="G275" s="59">
        <v>3006</v>
      </c>
      <c r="H275" s="59" t="s">
        <v>135</v>
      </c>
      <c r="I275" s="61" t="s">
        <v>48</v>
      </c>
      <c r="J275" s="62">
        <v>8.3330000000000002</v>
      </c>
      <c r="K275" s="63" t="s">
        <v>133</v>
      </c>
      <c r="L275" s="63">
        <v>0.15</v>
      </c>
      <c r="M275" s="63"/>
      <c r="N275" s="63"/>
      <c r="O275" s="63"/>
      <c r="P275" s="63"/>
      <c r="Q275" s="64"/>
    </row>
    <row r="276" spans="1:17" ht="15" customHeight="1" x14ac:dyDescent="0.25">
      <c r="A276" s="59">
        <v>8007</v>
      </c>
      <c r="B276" s="59">
        <v>807</v>
      </c>
      <c r="C276" s="59" t="s">
        <v>169</v>
      </c>
      <c r="D276" s="60" t="s">
        <v>196</v>
      </c>
      <c r="E276" s="59" t="s">
        <v>197</v>
      </c>
      <c r="F276" s="59" t="s">
        <v>137</v>
      </c>
      <c r="G276" s="59">
        <v>3043</v>
      </c>
      <c r="H276" s="59" t="s">
        <v>137</v>
      </c>
      <c r="I276" s="61" t="s">
        <v>138</v>
      </c>
      <c r="J276" s="62">
        <v>5.0000000000000001E-3</v>
      </c>
      <c r="K276" s="63" t="s">
        <v>136</v>
      </c>
      <c r="L276" s="63">
        <v>0.15</v>
      </c>
      <c r="M276" s="63"/>
      <c r="N276" s="63"/>
      <c r="O276" s="63"/>
      <c r="P276" s="63"/>
      <c r="Q276" s="64"/>
    </row>
    <row r="277" spans="1:17" ht="15" customHeight="1" x14ac:dyDescent="0.25">
      <c r="A277" s="59">
        <v>8008</v>
      </c>
      <c r="B277" s="59">
        <v>808</v>
      </c>
      <c r="C277" s="59" t="s">
        <v>169</v>
      </c>
      <c r="D277" s="60" t="s">
        <v>246</v>
      </c>
      <c r="E277" s="59" t="s">
        <v>197</v>
      </c>
      <c r="F277" s="59" t="s">
        <v>288</v>
      </c>
      <c r="G277" s="59">
        <v>2680</v>
      </c>
      <c r="H277" s="59" t="s">
        <v>118</v>
      </c>
      <c r="I277" s="61" t="s">
        <v>14</v>
      </c>
      <c r="J277" s="62">
        <v>24.25</v>
      </c>
      <c r="K277" s="63" t="s">
        <v>117</v>
      </c>
      <c r="L277" s="63">
        <v>0.15</v>
      </c>
      <c r="M277" s="63"/>
      <c r="N277" s="63"/>
      <c r="O277" s="63"/>
      <c r="P277" s="63"/>
      <c r="Q277" s="64"/>
    </row>
    <row r="278" spans="1:17" ht="15" customHeight="1" x14ac:dyDescent="0.25">
      <c r="A278" s="59">
        <v>8008</v>
      </c>
      <c r="B278" s="59">
        <v>808</v>
      </c>
      <c r="C278" s="59" t="s">
        <v>169</v>
      </c>
      <c r="D278" s="60" t="s">
        <v>246</v>
      </c>
      <c r="E278" s="59" t="s">
        <v>197</v>
      </c>
      <c r="F278" s="59" t="s">
        <v>372</v>
      </c>
      <c r="G278" s="59">
        <v>7412</v>
      </c>
      <c r="H278" s="59" t="s">
        <v>128</v>
      </c>
      <c r="I278" s="61" t="s">
        <v>14</v>
      </c>
      <c r="J278" s="62">
        <v>0.75</v>
      </c>
      <c r="K278" s="63" t="s">
        <v>373</v>
      </c>
      <c r="L278" s="63">
        <v>0.15</v>
      </c>
      <c r="M278" s="63"/>
      <c r="N278" s="63"/>
      <c r="O278" s="63"/>
      <c r="P278" s="63"/>
      <c r="Q278" s="64"/>
    </row>
    <row r="279" spans="1:17" ht="15" customHeight="1" x14ac:dyDescent="0.25">
      <c r="A279" s="59">
        <v>8008</v>
      </c>
      <c r="B279" s="59">
        <v>808</v>
      </c>
      <c r="C279" s="59" t="s">
        <v>169</v>
      </c>
      <c r="D279" s="60" t="s">
        <v>246</v>
      </c>
      <c r="E279" s="59" t="s">
        <v>197</v>
      </c>
      <c r="F279" s="59" t="s">
        <v>291</v>
      </c>
      <c r="G279" s="59">
        <v>3006</v>
      </c>
      <c r="H279" s="59" t="s">
        <v>135</v>
      </c>
      <c r="I279" s="61" t="s">
        <v>48</v>
      </c>
      <c r="J279" s="62">
        <v>8.3330000000000002</v>
      </c>
      <c r="K279" s="63" t="s">
        <v>133</v>
      </c>
      <c r="L279" s="63">
        <v>0.15</v>
      </c>
      <c r="M279" s="63"/>
      <c r="N279" s="63"/>
      <c r="O279" s="63"/>
      <c r="P279" s="63"/>
      <c r="Q279" s="64"/>
    </row>
    <row r="280" spans="1:17" ht="15" customHeight="1" x14ac:dyDescent="0.25">
      <c r="A280" s="59">
        <v>8008</v>
      </c>
      <c r="B280" s="59">
        <v>808</v>
      </c>
      <c r="C280" s="59" t="s">
        <v>169</v>
      </c>
      <c r="D280" s="60" t="s">
        <v>246</v>
      </c>
      <c r="E280" s="59" t="s">
        <v>197</v>
      </c>
      <c r="F280" s="59" t="s">
        <v>137</v>
      </c>
      <c r="G280" s="59">
        <v>3043</v>
      </c>
      <c r="H280" s="59" t="s">
        <v>137</v>
      </c>
      <c r="I280" s="61" t="s">
        <v>138</v>
      </c>
      <c r="J280" s="62">
        <v>5.0000000000000001E-3</v>
      </c>
      <c r="K280" s="63" t="s">
        <v>136</v>
      </c>
      <c r="L280" s="63">
        <v>0.15</v>
      </c>
      <c r="M280" s="63"/>
      <c r="N280" s="63"/>
      <c r="O280" s="63"/>
      <c r="P280" s="63"/>
      <c r="Q280" s="64"/>
    </row>
    <row r="281" spans="1:17" ht="15" customHeight="1" x14ac:dyDescent="0.25">
      <c r="A281" s="59">
        <v>8009</v>
      </c>
      <c r="B281" s="59">
        <v>809</v>
      </c>
      <c r="C281" s="59" t="s">
        <v>180</v>
      </c>
      <c r="D281" s="60" t="s">
        <v>247</v>
      </c>
      <c r="E281" s="59" t="s">
        <v>248</v>
      </c>
      <c r="F281" s="59" t="s">
        <v>288</v>
      </c>
      <c r="G281" s="59">
        <v>2680</v>
      </c>
      <c r="H281" s="59" t="s">
        <v>118</v>
      </c>
      <c r="I281" s="61" t="s">
        <v>14</v>
      </c>
      <c r="J281" s="62">
        <v>25</v>
      </c>
      <c r="K281" s="63" t="s">
        <v>117</v>
      </c>
      <c r="L281" s="63">
        <v>0.15</v>
      </c>
      <c r="M281" s="65" t="s">
        <v>345</v>
      </c>
      <c r="N281" s="63"/>
      <c r="O281" s="63"/>
      <c r="P281" s="63"/>
      <c r="Q281" s="64"/>
    </row>
    <row r="282" spans="1:17" ht="15" customHeight="1" x14ac:dyDescent="0.25">
      <c r="A282" s="59">
        <v>8009</v>
      </c>
      <c r="B282" s="59">
        <v>809</v>
      </c>
      <c r="C282" s="59" t="s">
        <v>180</v>
      </c>
      <c r="D282" s="60" t="s">
        <v>247</v>
      </c>
      <c r="E282" s="59" t="s">
        <v>248</v>
      </c>
      <c r="F282" s="59" t="s">
        <v>370</v>
      </c>
      <c r="G282" s="59">
        <v>3621</v>
      </c>
      <c r="H282" s="59" t="s">
        <v>374</v>
      </c>
      <c r="I282" s="61" t="s">
        <v>48</v>
      </c>
      <c r="J282" s="62">
        <v>7.1429999999999998</v>
      </c>
      <c r="K282" s="63" t="s">
        <v>371</v>
      </c>
      <c r="L282" s="63">
        <v>0.15</v>
      </c>
      <c r="M282" s="63"/>
      <c r="N282" s="63"/>
      <c r="O282" s="63"/>
      <c r="P282" s="63"/>
      <c r="Q282" s="64"/>
    </row>
    <row r="283" spans="1:17" ht="15" customHeight="1" x14ac:dyDescent="0.25">
      <c r="A283" s="59">
        <v>8009</v>
      </c>
      <c r="B283" s="59">
        <v>809</v>
      </c>
      <c r="C283" s="59" t="s">
        <v>180</v>
      </c>
      <c r="D283" s="60" t="s">
        <v>247</v>
      </c>
      <c r="E283" s="59" t="s">
        <v>248</v>
      </c>
      <c r="F283" s="59" t="s">
        <v>291</v>
      </c>
      <c r="G283" s="59">
        <v>3006</v>
      </c>
      <c r="H283" s="59" t="s">
        <v>135</v>
      </c>
      <c r="I283" s="61" t="s">
        <v>48</v>
      </c>
      <c r="J283" s="62">
        <v>11.111000000000001</v>
      </c>
      <c r="K283" s="63" t="s">
        <v>133</v>
      </c>
      <c r="L283" s="63">
        <v>0.15</v>
      </c>
      <c r="M283" s="63"/>
      <c r="N283" s="63"/>
      <c r="O283" s="63"/>
      <c r="P283" s="63"/>
      <c r="Q283" s="64"/>
    </row>
    <row r="284" spans="1:17" ht="15" customHeight="1" x14ac:dyDescent="0.25">
      <c r="A284" s="59">
        <v>8009</v>
      </c>
      <c r="B284" s="59">
        <v>809</v>
      </c>
      <c r="C284" s="59" t="s">
        <v>180</v>
      </c>
      <c r="D284" s="60" t="s">
        <v>247</v>
      </c>
      <c r="E284" s="59" t="s">
        <v>248</v>
      </c>
      <c r="F284" s="59" t="s">
        <v>285</v>
      </c>
      <c r="G284" s="59">
        <v>3635</v>
      </c>
      <c r="H284" s="59" t="s">
        <v>82</v>
      </c>
      <c r="I284" s="61" t="s">
        <v>48</v>
      </c>
      <c r="J284" s="62">
        <v>0.17899999999999999</v>
      </c>
      <c r="K284" s="63" t="s">
        <v>348</v>
      </c>
      <c r="L284" s="63">
        <v>0.15</v>
      </c>
      <c r="M284" s="63"/>
      <c r="N284" s="63"/>
      <c r="O284" s="63"/>
      <c r="P284" s="63"/>
      <c r="Q284" s="64"/>
    </row>
    <row r="285" spans="1:17" ht="15" customHeight="1" x14ac:dyDescent="0.25">
      <c r="A285" s="59">
        <v>8009</v>
      </c>
      <c r="B285" s="59">
        <v>809</v>
      </c>
      <c r="C285" s="59" t="s">
        <v>180</v>
      </c>
      <c r="D285" s="60" t="s">
        <v>247</v>
      </c>
      <c r="E285" s="59" t="s">
        <v>248</v>
      </c>
      <c r="F285" s="59" t="s">
        <v>137</v>
      </c>
      <c r="G285" s="59">
        <v>3043</v>
      </c>
      <c r="H285" s="59" t="s">
        <v>137</v>
      </c>
      <c r="I285" s="61" t="s">
        <v>138</v>
      </c>
      <c r="J285" s="62">
        <v>5.0000000000000001E-3</v>
      </c>
      <c r="K285" s="63" t="s">
        <v>136</v>
      </c>
      <c r="L285" s="63">
        <v>0.15</v>
      </c>
      <c r="M285" s="63"/>
      <c r="N285" s="63"/>
      <c r="O285" s="63"/>
      <c r="P285" s="63"/>
      <c r="Q285" s="64"/>
    </row>
    <row r="286" spans="1:17" ht="15" customHeight="1" x14ac:dyDescent="0.25">
      <c r="A286" s="59">
        <v>8013</v>
      </c>
      <c r="B286" s="59">
        <v>813</v>
      </c>
      <c r="C286" s="59" t="s">
        <v>180</v>
      </c>
      <c r="D286" s="60" t="s">
        <v>249</v>
      </c>
      <c r="E286" s="59" t="s">
        <v>250</v>
      </c>
      <c r="F286" s="59" t="s">
        <v>288</v>
      </c>
      <c r="G286" s="59">
        <v>2680</v>
      </c>
      <c r="H286" s="59" t="s">
        <v>118</v>
      </c>
      <c r="I286" s="61" t="s">
        <v>14</v>
      </c>
      <c r="J286" s="62">
        <v>50</v>
      </c>
      <c r="K286" s="63" t="s">
        <v>117</v>
      </c>
      <c r="L286" s="63">
        <v>0.15</v>
      </c>
      <c r="M286" s="65" t="s">
        <v>345</v>
      </c>
      <c r="N286" s="63"/>
      <c r="O286" s="63"/>
      <c r="P286" s="63"/>
      <c r="Q286" s="64"/>
    </row>
    <row r="287" spans="1:17" ht="15" customHeight="1" x14ac:dyDescent="0.25">
      <c r="A287" s="59">
        <v>8013</v>
      </c>
      <c r="B287" s="59">
        <v>813</v>
      </c>
      <c r="C287" s="59" t="s">
        <v>180</v>
      </c>
      <c r="D287" s="60" t="s">
        <v>249</v>
      </c>
      <c r="E287" s="59" t="s">
        <v>250</v>
      </c>
      <c r="F287" s="59" t="s">
        <v>370</v>
      </c>
      <c r="G287" s="59">
        <v>3621</v>
      </c>
      <c r="H287" s="59" t="s">
        <v>374</v>
      </c>
      <c r="I287" s="61" t="s">
        <v>48</v>
      </c>
      <c r="J287" s="62">
        <v>2.778</v>
      </c>
      <c r="K287" s="63" t="s">
        <v>371</v>
      </c>
      <c r="L287" s="63">
        <v>0.15</v>
      </c>
      <c r="M287" s="63"/>
      <c r="N287" s="63"/>
      <c r="O287" s="63"/>
      <c r="P287" s="63"/>
      <c r="Q287" s="64"/>
    </row>
    <row r="288" spans="1:17" ht="15" customHeight="1" x14ac:dyDescent="0.25">
      <c r="A288" s="59">
        <v>8013</v>
      </c>
      <c r="B288" s="59">
        <v>813</v>
      </c>
      <c r="C288" s="59" t="s">
        <v>180</v>
      </c>
      <c r="D288" s="60" t="s">
        <v>249</v>
      </c>
      <c r="E288" s="59" t="s">
        <v>250</v>
      </c>
      <c r="F288" s="59" t="s">
        <v>291</v>
      </c>
      <c r="G288" s="59">
        <v>3006</v>
      </c>
      <c r="H288" s="59" t="s">
        <v>135</v>
      </c>
      <c r="I288" s="61" t="s">
        <v>48</v>
      </c>
      <c r="J288" s="62">
        <v>16.667000000000002</v>
      </c>
      <c r="K288" s="63" t="s">
        <v>133</v>
      </c>
      <c r="L288" s="63">
        <v>0.15</v>
      </c>
      <c r="M288" s="63"/>
      <c r="N288" s="63"/>
      <c r="O288" s="63"/>
      <c r="P288" s="63"/>
      <c r="Q288" s="64"/>
    </row>
    <row r="289" spans="1:17" ht="15" customHeight="1" x14ac:dyDescent="0.25">
      <c r="A289" s="59">
        <v>8013</v>
      </c>
      <c r="B289" s="59">
        <v>813</v>
      </c>
      <c r="C289" s="59" t="s">
        <v>180</v>
      </c>
      <c r="D289" s="60" t="s">
        <v>249</v>
      </c>
      <c r="E289" s="59" t="s">
        <v>250</v>
      </c>
      <c r="F289" s="59" t="s">
        <v>285</v>
      </c>
      <c r="G289" s="59">
        <v>3635</v>
      </c>
      <c r="H289" s="59" t="s">
        <v>82</v>
      </c>
      <c r="I289" s="61" t="s">
        <v>48</v>
      </c>
      <c r="J289" s="62">
        <v>6.9000000000000006E-2</v>
      </c>
      <c r="K289" s="63" t="s">
        <v>348</v>
      </c>
      <c r="L289" s="63">
        <v>0.15</v>
      </c>
      <c r="M289" s="63"/>
    </row>
    <row r="290" spans="1:17" ht="15" customHeight="1" x14ac:dyDescent="0.25">
      <c r="A290" s="59">
        <v>8013</v>
      </c>
      <c r="B290" s="59">
        <v>813</v>
      </c>
      <c r="C290" s="59" t="s">
        <v>180</v>
      </c>
      <c r="D290" s="60" t="s">
        <v>249</v>
      </c>
      <c r="E290" s="59" t="s">
        <v>250</v>
      </c>
      <c r="F290" s="59" t="s">
        <v>137</v>
      </c>
      <c r="G290" s="59">
        <v>3043</v>
      </c>
      <c r="H290" s="59" t="s">
        <v>137</v>
      </c>
      <c r="I290" s="61" t="s">
        <v>138</v>
      </c>
      <c r="J290" s="62">
        <v>5.0000000000000001E-3</v>
      </c>
      <c r="K290" s="63" t="s">
        <v>136</v>
      </c>
      <c r="L290" s="63">
        <v>0.15</v>
      </c>
      <c r="M290" s="63"/>
    </row>
    <row r="291" spans="1:17" ht="15" customHeight="1" x14ac:dyDescent="0.25">
      <c r="A291" s="59">
        <v>8014</v>
      </c>
      <c r="B291" s="59">
        <v>814</v>
      </c>
      <c r="C291" s="59" t="s">
        <v>169</v>
      </c>
      <c r="D291" s="60" t="s">
        <v>199</v>
      </c>
      <c r="E291" s="59" t="s">
        <v>197</v>
      </c>
      <c r="F291" s="59" t="s">
        <v>288</v>
      </c>
      <c r="G291" s="59">
        <v>2680</v>
      </c>
      <c r="H291" s="59" t="s">
        <v>118</v>
      </c>
      <c r="I291" s="61" t="s">
        <v>14</v>
      </c>
      <c r="J291" s="62">
        <v>23.75</v>
      </c>
      <c r="K291" s="63" t="s">
        <v>117</v>
      </c>
      <c r="L291" s="63">
        <v>0.15</v>
      </c>
      <c r="M291" s="63"/>
      <c r="N291" s="63"/>
      <c r="O291" s="63"/>
      <c r="P291" s="63"/>
      <c r="Q291" s="64"/>
    </row>
    <row r="292" spans="1:17" ht="15" customHeight="1" x14ac:dyDescent="0.25">
      <c r="A292" s="59">
        <v>8014</v>
      </c>
      <c r="B292" s="59">
        <v>814</v>
      </c>
      <c r="C292" s="59" t="s">
        <v>169</v>
      </c>
      <c r="D292" s="60" t="s">
        <v>199</v>
      </c>
      <c r="E292" s="59" t="s">
        <v>197</v>
      </c>
      <c r="F292" s="59" t="s">
        <v>291</v>
      </c>
      <c r="G292" s="59">
        <v>3006</v>
      </c>
      <c r="H292" s="59" t="s">
        <v>135</v>
      </c>
      <c r="I292" s="61" t="s">
        <v>48</v>
      </c>
      <c r="J292" s="62">
        <v>8.3330000000000002</v>
      </c>
      <c r="K292" s="63" t="s">
        <v>133</v>
      </c>
      <c r="L292" s="63">
        <v>0.15</v>
      </c>
      <c r="M292" s="63"/>
      <c r="N292" s="63"/>
      <c r="O292" s="63"/>
      <c r="P292" s="63"/>
      <c r="Q292" s="64"/>
    </row>
    <row r="293" spans="1:17" ht="15" customHeight="1" x14ac:dyDescent="0.25">
      <c r="A293" s="59">
        <v>8014</v>
      </c>
      <c r="B293" s="59">
        <v>814</v>
      </c>
      <c r="C293" s="59" t="s">
        <v>169</v>
      </c>
      <c r="D293" s="60" t="s">
        <v>199</v>
      </c>
      <c r="E293" s="59" t="s">
        <v>197</v>
      </c>
      <c r="F293" s="59" t="s">
        <v>137</v>
      </c>
      <c r="G293" s="59">
        <v>3043</v>
      </c>
      <c r="H293" s="59" t="s">
        <v>137</v>
      </c>
      <c r="I293" s="61" t="s">
        <v>138</v>
      </c>
      <c r="J293" s="62">
        <v>5.0000000000000001E-3</v>
      </c>
      <c r="K293" s="63" t="s">
        <v>136</v>
      </c>
      <c r="L293" s="63">
        <v>0.15</v>
      </c>
      <c r="M293" s="63"/>
      <c r="N293" s="63"/>
      <c r="O293" s="63"/>
      <c r="P293" s="63"/>
      <c r="Q293" s="64"/>
    </row>
    <row r="294" spans="1:17" ht="15" customHeight="1" x14ac:dyDescent="0.25">
      <c r="A294" s="59">
        <v>2909</v>
      </c>
      <c r="B294" s="59">
        <v>56</v>
      </c>
      <c r="C294" s="59" t="s">
        <v>375</v>
      </c>
      <c r="D294" s="60" t="s">
        <v>233</v>
      </c>
      <c r="E294" s="59">
        <v>30</v>
      </c>
      <c r="F294" s="59" t="s">
        <v>266</v>
      </c>
      <c r="G294" s="59">
        <v>2</v>
      </c>
      <c r="H294" s="59" t="s">
        <v>271</v>
      </c>
      <c r="I294" s="61" t="s">
        <v>14</v>
      </c>
      <c r="J294" s="62">
        <v>8</v>
      </c>
      <c r="K294" s="63" t="s">
        <v>266</v>
      </c>
      <c r="L294" s="63">
        <v>0.1</v>
      </c>
      <c r="M294" s="65"/>
      <c r="N294" s="63"/>
      <c r="O294" s="63"/>
      <c r="P294" s="63"/>
      <c r="Q294" s="64"/>
    </row>
    <row r="295" spans="1:17" ht="15" customHeight="1" x14ac:dyDescent="0.25">
      <c r="A295" s="59">
        <v>2909</v>
      </c>
      <c r="B295" s="59">
        <v>56</v>
      </c>
      <c r="C295" s="59" t="s">
        <v>375</v>
      </c>
      <c r="D295" s="60" t="s">
        <v>233</v>
      </c>
      <c r="E295" s="59">
        <v>30</v>
      </c>
      <c r="F295" s="59" t="s">
        <v>278</v>
      </c>
      <c r="G295" s="59">
        <v>170</v>
      </c>
      <c r="H295" s="59" t="s">
        <v>31</v>
      </c>
      <c r="I295" s="61" t="s">
        <v>14</v>
      </c>
      <c r="J295" s="62">
        <v>0.67</v>
      </c>
      <c r="K295" s="63" t="s">
        <v>278</v>
      </c>
      <c r="L295" s="63">
        <v>0.1</v>
      </c>
      <c r="M295" s="65"/>
      <c r="N295" s="63"/>
      <c r="O295" s="63"/>
      <c r="P295" s="63"/>
      <c r="Q295" s="64"/>
    </row>
    <row r="296" spans="1:17" ht="15" customHeight="1" x14ac:dyDescent="0.25">
      <c r="A296" s="59">
        <v>2909</v>
      </c>
      <c r="B296" s="59">
        <v>56</v>
      </c>
      <c r="C296" s="59" t="s">
        <v>375</v>
      </c>
      <c r="D296" s="60" t="s">
        <v>233</v>
      </c>
      <c r="E296" s="59">
        <v>30</v>
      </c>
      <c r="F296" s="59" t="s">
        <v>284</v>
      </c>
      <c r="G296" s="59">
        <v>45</v>
      </c>
      <c r="H296" s="59" t="s">
        <v>376</v>
      </c>
      <c r="I296" s="61" t="s">
        <v>50</v>
      </c>
      <c r="J296" s="62">
        <v>6.6665999999999999</v>
      </c>
      <c r="K296" s="63" t="s">
        <v>284</v>
      </c>
      <c r="L296" s="63">
        <v>0.1</v>
      </c>
      <c r="M296" s="65"/>
      <c r="N296" s="63"/>
      <c r="O296" s="63"/>
      <c r="P296" s="63"/>
      <c r="Q296" s="64"/>
    </row>
    <row r="297" spans="1:17" ht="15" customHeight="1" x14ac:dyDescent="0.25">
      <c r="A297" s="59">
        <v>2909</v>
      </c>
      <c r="B297" s="59">
        <v>56</v>
      </c>
      <c r="C297" s="59" t="s">
        <v>375</v>
      </c>
      <c r="D297" s="60" t="s">
        <v>233</v>
      </c>
      <c r="E297" s="59">
        <v>30</v>
      </c>
      <c r="F297" s="59" t="s">
        <v>280</v>
      </c>
      <c r="G297" s="59">
        <v>4165</v>
      </c>
      <c r="H297" s="59" t="s">
        <v>377</v>
      </c>
      <c r="I297" s="61" t="s">
        <v>14</v>
      </c>
      <c r="J297" s="62">
        <v>8.3199999999999993E-3</v>
      </c>
      <c r="K297" s="63" t="s">
        <v>280</v>
      </c>
      <c r="L297" s="63">
        <v>0.1</v>
      </c>
      <c r="M297" s="65"/>
      <c r="N297" s="63"/>
      <c r="O297" s="63"/>
      <c r="P297" s="63"/>
      <c r="Q297" s="64"/>
    </row>
    <row r="298" spans="1:17" ht="15" customHeight="1" x14ac:dyDescent="0.25">
      <c r="A298" s="59">
        <v>2909</v>
      </c>
      <c r="B298" s="59">
        <v>56</v>
      </c>
      <c r="C298" s="59" t="s">
        <v>375</v>
      </c>
      <c r="D298" s="60" t="s">
        <v>233</v>
      </c>
      <c r="E298" s="59">
        <v>30</v>
      </c>
      <c r="F298" s="59" t="s">
        <v>349</v>
      </c>
      <c r="G298" s="59">
        <v>57</v>
      </c>
      <c r="H298" s="59" t="s">
        <v>365</v>
      </c>
      <c r="I298" s="61" t="s">
        <v>50</v>
      </c>
      <c r="J298" s="62">
        <v>6.6665999999999999</v>
      </c>
      <c r="K298" s="63" t="s">
        <v>349</v>
      </c>
      <c r="L298" s="63">
        <v>0.1</v>
      </c>
      <c r="M298" s="65"/>
      <c r="N298" s="63"/>
      <c r="O298" s="63"/>
      <c r="P298" s="63"/>
      <c r="Q298" s="64"/>
    </row>
    <row r="299" spans="1:17" ht="15" customHeight="1" x14ac:dyDescent="0.25">
      <c r="A299" s="59">
        <v>2909</v>
      </c>
      <c r="B299" s="59">
        <v>56</v>
      </c>
      <c r="C299" s="59" t="s">
        <v>375</v>
      </c>
      <c r="D299" s="60" t="s">
        <v>233</v>
      </c>
      <c r="E299" s="59">
        <v>30</v>
      </c>
      <c r="F299" s="59" t="s">
        <v>273</v>
      </c>
      <c r="G299" s="59">
        <v>1065</v>
      </c>
      <c r="H299" s="59" t="s">
        <v>28</v>
      </c>
      <c r="I299" s="61" t="s">
        <v>14</v>
      </c>
      <c r="J299" s="62">
        <v>0.28000000000000003</v>
      </c>
      <c r="K299" s="63" t="s">
        <v>273</v>
      </c>
      <c r="L299" s="63">
        <v>0.1</v>
      </c>
      <c r="M299" s="65"/>
      <c r="N299" s="63"/>
      <c r="O299" s="63"/>
      <c r="P299" s="63"/>
      <c r="Q299" s="64"/>
    </row>
    <row r="300" spans="1:17" ht="15" customHeight="1" x14ac:dyDescent="0.25">
      <c r="A300" s="59">
        <v>2909</v>
      </c>
      <c r="B300" s="59">
        <v>56</v>
      </c>
      <c r="C300" s="59" t="s">
        <v>375</v>
      </c>
      <c r="D300" s="60" t="s">
        <v>233</v>
      </c>
      <c r="E300" s="59">
        <v>30</v>
      </c>
      <c r="F300" s="59" t="s">
        <v>285</v>
      </c>
      <c r="G300" s="59">
        <v>3635</v>
      </c>
      <c r="H300" s="59" t="s">
        <v>82</v>
      </c>
      <c r="I300" s="61" t="s">
        <v>48</v>
      </c>
      <c r="J300" s="62">
        <v>0.156</v>
      </c>
      <c r="K300" s="63" t="s">
        <v>285</v>
      </c>
      <c r="L300" s="63">
        <v>0.1</v>
      </c>
      <c r="M300" s="65"/>
      <c r="N300" s="63"/>
      <c r="O300" s="63"/>
      <c r="P300" s="63"/>
      <c r="Q300" s="64"/>
    </row>
    <row r="301" spans="1:17" ht="15" customHeight="1" x14ac:dyDescent="0.25">
      <c r="A301" s="59">
        <v>4227</v>
      </c>
      <c r="B301" s="59">
        <v>20</v>
      </c>
      <c r="C301" s="59" t="s">
        <v>222</v>
      </c>
      <c r="D301" s="60" t="s">
        <v>223</v>
      </c>
      <c r="E301" s="59">
        <v>25</v>
      </c>
      <c r="F301" s="59" t="s">
        <v>266</v>
      </c>
      <c r="G301" s="59">
        <v>6</v>
      </c>
      <c r="H301" s="59" t="s">
        <v>18</v>
      </c>
      <c r="I301" s="61" t="s">
        <v>14</v>
      </c>
      <c r="J301" s="62">
        <v>5.9170999999999996</v>
      </c>
      <c r="K301" s="63" t="s">
        <v>266</v>
      </c>
      <c r="L301" s="63">
        <v>0.1</v>
      </c>
      <c r="M301" s="65"/>
      <c r="N301" s="63"/>
      <c r="O301" s="63"/>
      <c r="P301" s="63"/>
      <c r="Q301" s="64"/>
    </row>
    <row r="302" spans="1:17" ht="15" customHeight="1" x14ac:dyDescent="0.25">
      <c r="A302" s="59">
        <v>4227</v>
      </c>
      <c r="B302" s="59">
        <v>20</v>
      </c>
      <c r="C302" s="59" t="s">
        <v>222</v>
      </c>
      <c r="D302" s="60" t="s">
        <v>223</v>
      </c>
      <c r="E302" s="59">
        <v>25</v>
      </c>
      <c r="F302" s="59" t="s">
        <v>279</v>
      </c>
      <c r="G302" s="59">
        <v>186</v>
      </c>
      <c r="H302" s="59" t="s">
        <v>43</v>
      </c>
      <c r="I302" s="61" t="s">
        <v>14</v>
      </c>
      <c r="J302" s="62">
        <v>0.09</v>
      </c>
      <c r="K302" s="63" t="s">
        <v>279</v>
      </c>
      <c r="L302" s="63">
        <v>0.1</v>
      </c>
      <c r="M302" s="65"/>
      <c r="N302" s="63"/>
      <c r="O302" s="63"/>
      <c r="P302" s="63"/>
      <c r="Q302" s="64"/>
    </row>
    <row r="303" spans="1:17" ht="15" customHeight="1" x14ac:dyDescent="0.25">
      <c r="A303" s="59">
        <v>4227</v>
      </c>
      <c r="B303" s="59">
        <v>20</v>
      </c>
      <c r="C303" s="59" t="s">
        <v>222</v>
      </c>
      <c r="D303" s="60" t="s">
        <v>223</v>
      </c>
      <c r="E303" s="59">
        <v>25</v>
      </c>
      <c r="F303" s="59" t="s">
        <v>282</v>
      </c>
      <c r="G303" s="59">
        <v>3522</v>
      </c>
      <c r="H303" s="59" t="s">
        <v>67</v>
      </c>
      <c r="I303" s="61" t="s">
        <v>48</v>
      </c>
      <c r="J303" s="62">
        <v>1000</v>
      </c>
      <c r="K303" s="63" t="s">
        <v>282</v>
      </c>
      <c r="L303" s="63">
        <v>0.02</v>
      </c>
      <c r="M303" s="65"/>
      <c r="N303" s="63"/>
      <c r="O303" s="63"/>
      <c r="P303" s="63"/>
      <c r="Q303" s="64"/>
    </row>
    <row r="304" spans="1:17" ht="15" customHeight="1" x14ac:dyDescent="0.25">
      <c r="A304" s="59">
        <v>4227</v>
      </c>
      <c r="B304" s="59">
        <v>20</v>
      </c>
      <c r="C304" s="59" t="s">
        <v>222</v>
      </c>
      <c r="D304" s="60" t="s">
        <v>223</v>
      </c>
      <c r="E304" s="59">
        <v>25</v>
      </c>
      <c r="F304" s="59" t="s">
        <v>284</v>
      </c>
      <c r="G304" s="59">
        <v>3598</v>
      </c>
      <c r="H304" s="59" t="s">
        <v>378</v>
      </c>
      <c r="I304" s="61" t="s">
        <v>48</v>
      </c>
      <c r="J304" s="62">
        <v>2.9761000000000002</v>
      </c>
      <c r="K304" s="63" t="s">
        <v>284</v>
      </c>
      <c r="L304" s="63">
        <v>0.1</v>
      </c>
      <c r="M304" s="65"/>
      <c r="N304" s="63"/>
      <c r="O304" s="63"/>
      <c r="P304" s="63"/>
      <c r="Q304" s="64"/>
    </row>
    <row r="305" spans="1:17" ht="15" customHeight="1" x14ac:dyDescent="0.25">
      <c r="A305" s="59">
        <v>4227</v>
      </c>
      <c r="B305" s="59">
        <v>20</v>
      </c>
      <c r="C305" s="59" t="s">
        <v>222</v>
      </c>
      <c r="D305" s="60" t="s">
        <v>223</v>
      </c>
      <c r="E305" s="59">
        <v>25</v>
      </c>
      <c r="F305" s="59" t="s">
        <v>280</v>
      </c>
      <c r="G305" s="59">
        <v>194</v>
      </c>
      <c r="H305" s="59" t="s">
        <v>45</v>
      </c>
      <c r="I305" s="61" t="s">
        <v>14</v>
      </c>
      <c r="J305" s="62">
        <v>8.3199999999999993E-3</v>
      </c>
      <c r="K305" s="63" t="s">
        <v>280</v>
      </c>
      <c r="L305" s="63">
        <v>0.1</v>
      </c>
      <c r="M305" s="65"/>
      <c r="N305" s="63"/>
      <c r="O305" s="63"/>
      <c r="P305" s="63"/>
      <c r="Q305" s="64"/>
    </row>
    <row r="306" spans="1:17" ht="15" customHeight="1" x14ac:dyDescent="0.25">
      <c r="A306" s="59">
        <v>4227</v>
      </c>
      <c r="B306" s="59">
        <v>20</v>
      </c>
      <c r="C306" s="59" t="s">
        <v>222</v>
      </c>
      <c r="D306" s="60" t="s">
        <v>223</v>
      </c>
      <c r="E306" s="59">
        <v>25</v>
      </c>
      <c r="F306" s="59" t="s">
        <v>273</v>
      </c>
      <c r="G306" s="59">
        <v>1065</v>
      </c>
      <c r="H306" s="59" t="s">
        <v>28</v>
      </c>
      <c r="I306" s="61" t="s">
        <v>14</v>
      </c>
      <c r="J306" s="62">
        <v>0.42020000000000002</v>
      </c>
      <c r="K306" s="63" t="s">
        <v>273</v>
      </c>
      <c r="L306" s="63">
        <v>0.1</v>
      </c>
      <c r="M306" s="65"/>
      <c r="N306" s="63"/>
      <c r="O306" s="63"/>
      <c r="P306" s="63"/>
      <c r="Q306" s="64"/>
    </row>
    <row r="307" spans="1:17" ht="15" customHeight="1" x14ac:dyDescent="0.25">
      <c r="A307" s="59">
        <v>4227</v>
      </c>
      <c r="B307" s="59">
        <v>20</v>
      </c>
      <c r="C307" s="59" t="s">
        <v>222</v>
      </c>
      <c r="D307" s="60" t="s">
        <v>223</v>
      </c>
      <c r="E307" s="59">
        <v>25</v>
      </c>
      <c r="F307" s="59" t="s">
        <v>285</v>
      </c>
      <c r="G307" s="59">
        <v>3635</v>
      </c>
      <c r="H307" s="59" t="s">
        <v>82</v>
      </c>
      <c r="I307" s="61" t="s">
        <v>48</v>
      </c>
      <c r="J307" s="62">
        <v>7.9000000000000001E-2</v>
      </c>
      <c r="K307" s="63" t="s">
        <v>285</v>
      </c>
      <c r="L307" s="63">
        <v>0.1</v>
      </c>
      <c r="M307" s="65"/>
      <c r="N307" s="63"/>
      <c r="O307" s="63"/>
      <c r="P307" s="63"/>
      <c r="Q307" s="64"/>
    </row>
    <row r="308" spans="1:17" ht="15" customHeight="1" x14ac:dyDescent="0.25">
      <c r="A308" s="59">
        <v>5389</v>
      </c>
      <c r="B308" s="59">
        <v>35</v>
      </c>
      <c r="C308" s="59" t="s">
        <v>169</v>
      </c>
      <c r="D308" s="60" t="s">
        <v>173</v>
      </c>
      <c r="E308" s="59">
        <v>25</v>
      </c>
      <c r="F308" s="59" t="s">
        <v>266</v>
      </c>
      <c r="G308" s="59">
        <v>6</v>
      </c>
      <c r="H308" s="59" t="s">
        <v>18</v>
      </c>
      <c r="I308" s="61" t="s">
        <v>14</v>
      </c>
      <c r="J308" s="62">
        <v>5.9169999999999998</v>
      </c>
      <c r="K308" s="63" t="s">
        <v>340</v>
      </c>
      <c r="L308" s="63">
        <v>0.1</v>
      </c>
      <c r="M308" s="65"/>
      <c r="N308" s="63"/>
      <c r="O308" s="63"/>
      <c r="P308" s="63"/>
      <c r="Q308" s="64"/>
    </row>
    <row r="309" spans="1:17" ht="15" customHeight="1" x14ac:dyDescent="0.25">
      <c r="A309" s="59">
        <v>5389</v>
      </c>
      <c r="B309" s="59">
        <v>35</v>
      </c>
      <c r="C309" s="59" t="s">
        <v>169</v>
      </c>
      <c r="D309" s="60" t="s">
        <v>173</v>
      </c>
      <c r="E309" s="59">
        <v>25</v>
      </c>
      <c r="F309" s="59" t="s">
        <v>278</v>
      </c>
      <c r="G309" s="59">
        <v>3595</v>
      </c>
      <c r="H309" s="59" t="s">
        <v>342</v>
      </c>
      <c r="I309" s="61" t="s">
        <v>14</v>
      </c>
      <c r="J309" s="62">
        <v>0.61199999999999999</v>
      </c>
      <c r="K309" s="63" t="s">
        <v>30</v>
      </c>
      <c r="L309" s="63">
        <v>0.1</v>
      </c>
      <c r="M309" s="65"/>
      <c r="N309" s="63"/>
      <c r="O309" s="63"/>
      <c r="P309" s="63"/>
      <c r="Q309" s="64"/>
    </row>
    <row r="310" spans="1:17" ht="15" customHeight="1" x14ac:dyDescent="0.25">
      <c r="A310" s="59">
        <v>5389</v>
      </c>
      <c r="B310" s="59">
        <v>35</v>
      </c>
      <c r="C310" s="59" t="s">
        <v>169</v>
      </c>
      <c r="D310" s="60" t="s">
        <v>173</v>
      </c>
      <c r="E310" s="59">
        <v>25</v>
      </c>
      <c r="F310" s="59" t="s">
        <v>282</v>
      </c>
      <c r="G310" s="59">
        <v>68</v>
      </c>
      <c r="H310" s="59" t="s">
        <v>63</v>
      </c>
      <c r="I310" s="61" t="s">
        <v>48</v>
      </c>
      <c r="J310" s="62">
        <v>1000</v>
      </c>
      <c r="K310" s="63" t="s">
        <v>344</v>
      </c>
      <c r="L310" s="63">
        <v>0.02</v>
      </c>
      <c r="M310" s="65"/>
      <c r="N310" s="63"/>
      <c r="O310" s="63"/>
      <c r="P310" s="63"/>
      <c r="Q310" s="64"/>
    </row>
    <row r="311" spans="1:17" ht="15" customHeight="1" x14ac:dyDescent="0.25">
      <c r="A311" s="59">
        <v>5389</v>
      </c>
      <c r="B311" s="59">
        <v>35</v>
      </c>
      <c r="C311" s="59" t="s">
        <v>169</v>
      </c>
      <c r="D311" s="60" t="s">
        <v>173</v>
      </c>
      <c r="E311" s="59">
        <v>25</v>
      </c>
      <c r="F311" s="59" t="s">
        <v>284</v>
      </c>
      <c r="G311" s="59">
        <v>3598</v>
      </c>
      <c r="H311" s="59" t="s">
        <v>77</v>
      </c>
      <c r="I311" s="61" t="s">
        <v>48</v>
      </c>
      <c r="J311" s="62">
        <v>2.976</v>
      </c>
      <c r="K311" s="63" t="s">
        <v>346</v>
      </c>
      <c r="L311" s="63">
        <v>0.1</v>
      </c>
      <c r="M311" s="65"/>
      <c r="N311" s="63"/>
      <c r="O311" s="63"/>
      <c r="P311" s="63"/>
      <c r="Q311" s="64"/>
    </row>
    <row r="312" spans="1:17" ht="15" customHeight="1" x14ac:dyDescent="0.25">
      <c r="A312" s="59">
        <v>5389</v>
      </c>
      <c r="B312" s="59">
        <v>35</v>
      </c>
      <c r="C312" s="59" t="s">
        <v>169</v>
      </c>
      <c r="D312" s="60" t="s">
        <v>173</v>
      </c>
      <c r="E312" s="59">
        <v>25</v>
      </c>
      <c r="F312" s="59" t="s">
        <v>280</v>
      </c>
      <c r="G312" s="59">
        <v>194</v>
      </c>
      <c r="H312" s="59" t="s">
        <v>45</v>
      </c>
      <c r="I312" s="61" t="s">
        <v>14</v>
      </c>
      <c r="J312" s="62">
        <v>6.1500000000000001E-3</v>
      </c>
      <c r="K312" s="63" t="s">
        <v>347</v>
      </c>
      <c r="L312" s="63">
        <v>0.1</v>
      </c>
      <c r="M312" s="65"/>
      <c r="N312" s="63"/>
      <c r="O312" s="63"/>
      <c r="P312" s="63"/>
      <c r="Q312" s="64"/>
    </row>
    <row r="313" spans="1:17" ht="15" customHeight="1" x14ac:dyDescent="0.25">
      <c r="A313" s="59">
        <v>5389</v>
      </c>
      <c r="B313" s="59">
        <v>35</v>
      </c>
      <c r="C313" s="59" t="s">
        <v>169</v>
      </c>
      <c r="D313" s="60" t="s">
        <v>173</v>
      </c>
      <c r="E313" s="59">
        <v>25</v>
      </c>
      <c r="F313" s="59" t="s">
        <v>273</v>
      </c>
      <c r="G313" s="59">
        <v>185</v>
      </c>
      <c r="H313" s="59" t="s">
        <v>25</v>
      </c>
      <c r="I313" s="61" t="s">
        <v>26</v>
      </c>
      <c r="J313" s="62">
        <v>0.29199999999999998</v>
      </c>
      <c r="K313" s="63" t="s">
        <v>23</v>
      </c>
      <c r="L313" s="63">
        <v>0.1</v>
      </c>
      <c r="M313" s="65"/>
      <c r="N313" s="63"/>
      <c r="O313" s="63"/>
      <c r="P313" s="63"/>
      <c r="Q313" s="64"/>
    </row>
    <row r="314" spans="1:17" ht="15" customHeight="1" x14ac:dyDescent="0.25">
      <c r="A314" s="59">
        <v>5389</v>
      </c>
      <c r="B314" s="59">
        <v>35</v>
      </c>
      <c r="C314" s="59" t="s">
        <v>169</v>
      </c>
      <c r="D314" s="60" t="s">
        <v>173</v>
      </c>
      <c r="E314" s="59">
        <v>25</v>
      </c>
      <c r="F314" s="59" t="s">
        <v>285</v>
      </c>
      <c r="G314" s="59">
        <v>3635</v>
      </c>
      <c r="H314" s="59" t="s">
        <v>82</v>
      </c>
      <c r="I314" s="61" t="s">
        <v>48</v>
      </c>
      <c r="J314" s="62">
        <v>7.9000000000000001E-2</v>
      </c>
      <c r="K314" s="63" t="s">
        <v>348</v>
      </c>
      <c r="L314" s="63">
        <v>0.1</v>
      </c>
      <c r="M314" s="65"/>
      <c r="N314" s="63"/>
      <c r="O314" s="63"/>
      <c r="P314" s="63"/>
      <c r="Q314" s="64"/>
    </row>
    <row r="315" spans="1:17" ht="15" customHeight="1" x14ac:dyDescent="0.25">
      <c r="A315" s="59">
        <v>6151</v>
      </c>
      <c r="B315" s="59">
        <v>146</v>
      </c>
      <c r="C315" s="59" t="s">
        <v>234</v>
      </c>
      <c r="D315" s="60" t="s">
        <v>235</v>
      </c>
      <c r="E315" s="59">
        <v>30</v>
      </c>
      <c r="F315" s="59" t="s">
        <v>266</v>
      </c>
      <c r="G315" s="59">
        <v>2</v>
      </c>
      <c r="H315" s="59" t="s">
        <v>271</v>
      </c>
      <c r="I315" s="61" t="s">
        <v>14</v>
      </c>
      <c r="J315" s="62">
        <v>8</v>
      </c>
      <c r="K315" s="63" t="s">
        <v>266</v>
      </c>
      <c r="L315" s="63">
        <v>0.1</v>
      </c>
      <c r="M315" s="65"/>
      <c r="N315" s="63"/>
      <c r="O315" s="63"/>
      <c r="P315" s="63"/>
      <c r="Q315" s="64"/>
    </row>
    <row r="316" spans="1:17" ht="15" customHeight="1" x14ac:dyDescent="0.25">
      <c r="A316" s="59">
        <v>6151</v>
      </c>
      <c r="B316" s="59">
        <v>146</v>
      </c>
      <c r="C316" s="59" t="s">
        <v>234</v>
      </c>
      <c r="D316" s="60" t="s">
        <v>235</v>
      </c>
      <c r="E316" s="59">
        <v>30</v>
      </c>
      <c r="F316" s="59" t="s">
        <v>278</v>
      </c>
      <c r="G316" s="59">
        <v>170</v>
      </c>
      <c r="H316" s="59" t="s">
        <v>31</v>
      </c>
      <c r="I316" s="61" t="s">
        <v>14</v>
      </c>
      <c r="J316" s="62">
        <v>0.67</v>
      </c>
      <c r="K316" s="63" t="s">
        <v>278</v>
      </c>
      <c r="L316" s="63">
        <v>0.1</v>
      </c>
      <c r="M316" s="65"/>
      <c r="N316" s="63"/>
      <c r="O316" s="63"/>
      <c r="P316" s="63"/>
      <c r="Q316" s="64"/>
    </row>
    <row r="317" spans="1:17" ht="15" customHeight="1" x14ac:dyDescent="0.25">
      <c r="A317" s="59">
        <v>6151</v>
      </c>
      <c r="B317" s="59">
        <v>146</v>
      </c>
      <c r="C317" s="59" t="s">
        <v>234</v>
      </c>
      <c r="D317" s="60" t="s">
        <v>235</v>
      </c>
      <c r="E317" s="59">
        <v>30</v>
      </c>
      <c r="F317" s="59" t="s">
        <v>279</v>
      </c>
      <c r="G317" s="59">
        <v>186</v>
      </c>
      <c r="H317" s="59" t="s">
        <v>43</v>
      </c>
      <c r="I317" s="61" t="s">
        <v>14</v>
      </c>
      <c r="J317" s="62">
        <v>0.28000000000000003</v>
      </c>
      <c r="K317" s="63" t="s">
        <v>279</v>
      </c>
      <c r="L317" s="63">
        <v>0.1</v>
      </c>
      <c r="M317" s="65"/>
      <c r="N317" s="63"/>
      <c r="O317" s="63"/>
      <c r="P317" s="63"/>
      <c r="Q317" s="64"/>
    </row>
    <row r="318" spans="1:17" ht="15" customHeight="1" x14ac:dyDescent="0.25">
      <c r="A318" s="59">
        <v>6151</v>
      </c>
      <c r="B318" s="59">
        <v>146</v>
      </c>
      <c r="C318" s="59" t="s">
        <v>234</v>
      </c>
      <c r="D318" s="60" t="s">
        <v>235</v>
      </c>
      <c r="E318" s="59">
        <v>30</v>
      </c>
      <c r="F318" s="59" t="s">
        <v>282</v>
      </c>
      <c r="G318" s="59">
        <v>578</v>
      </c>
      <c r="H318" s="59" t="s">
        <v>379</v>
      </c>
      <c r="I318" s="61" t="s">
        <v>50</v>
      </c>
      <c r="J318" s="62">
        <v>1000</v>
      </c>
      <c r="K318" s="63" t="s">
        <v>282</v>
      </c>
      <c r="L318" s="63">
        <v>0.02</v>
      </c>
      <c r="M318" s="65"/>
      <c r="N318" s="63"/>
      <c r="O318" s="63"/>
      <c r="P318" s="63"/>
      <c r="Q318" s="64"/>
    </row>
    <row r="319" spans="1:17" ht="15" customHeight="1" x14ac:dyDescent="0.25">
      <c r="A319" s="59">
        <v>6151</v>
      </c>
      <c r="B319" s="59">
        <v>146</v>
      </c>
      <c r="C319" s="59" t="s">
        <v>234</v>
      </c>
      <c r="D319" s="60" t="s">
        <v>235</v>
      </c>
      <c r="E319" s="59">
        <v>30</v>
      </c>
      <c r="F319" s="59" t="s">
        <v>284</v>
      </c>
      <c r="G319" s="59">
        <v>3988</v>
      </c>
      <c r="H319" s="59" t="s">
        <v>380</v>
      </c>
      <c r="I319" s="61" t="s">
        <v>50</v>
      </c>
      <c r="J319" s="62">
        <v>4.2016</v>
      </c>
      <c r="K319" s="63" t="s">
        <v>284</v>
      </c>
      <c r="L319" s="63">
        <v>0.1</v>
      </c>
      <c r="M319" s="65"/>
      <c r="N319" s="63"/>
      <c r="O319" s="63"/>
      <c r="P319" s="63"/>
      <c r="Q319" s="64"/>
    </row>
    <row r="320" spans="1:17" ht="15" customHeight="1" x14ac:dyDescent="0.25">
      <c r="A320" s="59">
        <v>6151</v>
      </c>
      <c r="B320" s="59">
        <v>146</v>
      </c>
      <c r="C320" s="59" t="s">
        <v>234</v>
      </c>
      <c r="D320" s="60" t="s">
        <v>235</v>
      </c>
      <c r="E320" s="59">
        <v>30</v>
      </c>
      <c r="F320" s="59" t="s">
        <v>280</v>
      </c>
      <c r="G320" s="59">
        <v>4165</v>
      </c>
      <c r="H320" s="59" t="s">
        <v>377</v>
      </c>
      <c r="I320" s="61" t="s">
        <v>14</v>
      </c>
      <c r="J320" s="62">
        <v>8.3199999999999993E-3</v>
      </c>
      <c r="K320" s="63" t="s">
        <v>280</v>
      </c>
      <c r="L320" s="63">
        <v>0.1</v>
      </c>
      <c r="M320" s="65"/>
      <c r="N320" s="63"/>
      <c r="O320" s="63"/>
      <c r="P320" s="63"/>
      <c r="Q320" s="64"/>
    </row>
    <row r="321" spans="1:17" ht="15" customHeight="1" x14ac:dyDescent="0.25">
      <c r="A321" s="59">
        <v>6151</v>
      </c>
      <c r="B321" s="59">
        <v>146</v>
      </c>
      <c r="C321" s="59" t="s">
        <v>234</v>
      </c>
      <c r="D321" s="60" t="s">
        <v>235</v>
      </c>
      <c r="E321" s="59">
        <v>30</v>
      </c>
      <c r="F321" s="59" t="s">
        <v>273</v>
      </c>
      <c r="G321" s="59">
        <v>1065</v>
      </c>
      <c r="H321" s="59" t="s">
        <v>28</v>
      </c>
      <c r="I321" s="61" t="s">
        <v>14</v>
      </c>
      <c r="J321" s="62">
        <v>0.28000000000000003</v>
      </c>
      <c r="K321" s="63" t="s">
        <v>273</v>
      </c>
      <c r="L321" s="63">
        <v>0.1</v>
      </c>
      <c r="M321" s="65"/>
      <c r="N321" s="63"/>
      <c r="O321" s="63"/>
      <c r="P321" s="63"/>
      <c r="Q321" s="64"/>
    </row>
    <row r="322" spans="1:17" ht="15" customHeight="1" x14ac:dyDescent="0.25">
      <c r="A322" s="59">
        <v>6151</v>
      </c>
      <c r="B322" s="59">
        <v>146</v>
      </c>
      <c r="C322" s="59" t="s">
        <v>234</v>
      </c>
      <c r="D322" s="60" t="s">
        <v>235</v>
      </c>
      <c r="E322" s="59">
        <v>30</v>
      </c>
      <c r="F322" s="59" t="s">
        <v>285</v>
      </c>
      <c r="G322" s="59">
        <v>3635</v>
      </c>
      <c r="H322" s="59" t="s">
        <v>82</v>
      </c>
      <c r="I322" s="61" t="s">
        <v>48</v>
      </c>
      <c r="J322" s="62">
        <v>0.156</v>
      </c>
      <c r="K322" s="63" t="s">
        <v>285</v>
      </c>
      <c r="L322" s="63">
        <v>0.1</v>
      </c>
      <c r="M322" s="65"/>
      <c r="N322" s="63"/>
      <c r="O322" s="63"/>
      <c r="P322" s="63"/>
      <c r="Q322" s="64"/>
    </row>
    <row r="323" spans="1:17" ht="15" customHeight="1" x14ac:dyDescent="0.25">
      <c r="A323" s="59">
        <v>6151</v>
      </c>
      <c r="B323" s="59">
        <v>146</v>
      </c>
      <c r="C323" s="59" t="s">
        <v>234</v>
      </c>
      <c r="D323" s="60" t="s">
        <v>235</v>
      </c>
      <c r="E323" s="59">
        <v>30</v>
      </c>
      <c r="F323" s="59" t="s">
        <v>302</v>
      </c>
      <c r="G323" s="59">
        <v>6935</v>
      </c>
      <c r="H323" s="59" t="s">
        <v>111</v>
      </c>
      <c r="I323" s="61" t="s">
        <v>14</v>
      </c>
      <c r="J323" s="62">
        <v>3.3000000000000002E-2</v>
      </c>
      <c r="K323" s="63" t="s">
        <v>302</v>
      </c>
      <c r="L323" s="63">
        <v>0.1</v>
      </c>
      <c r="M323" s="65"/>
      <c r="N323" s="63"/>
      <c r="O323" s="63"/>
      <c r="P323" s="63"/>
      <c r="Q323" s="64"/>
    </row>
    <row r="324" spans="1:17" ht="15" customHeight="1" x14ac:dyDescent="0.25">
      <c r="A324" s="59">
        <v>6623</v>
      </c>
      <c r="B324" s="59">
        <v>193</v>
      </c>
      <c r="C324" s="59" t="s">
        <v>169</v>
      </c>
      <c r="D324" s="60" t="s">
        <v>203</v>
      </c>
      <c r="E324" s="59">
        <v>19</v>
      </c>
      <c r="F324" s="59" t="s">
        <v>266</v>
      </c>
      <c r="G324" s="59">
        <v>19</v>
      </c>
      <c r="H324" s="59" t="s">
        <v>16</v>
      </c>
      <c r="I324" s="61" t="s">
        <v>14</v>
      </c>
      <c r="J324" s="62">
        <v>3.367</v>
      </c>
      <c r="K324" s="63" t="s">
        <v>266</v>
      </c>
      <c r="L324" s="63">
        <v>0.1</v>
      </c>
      <c r="M324" s="65"/>
    </row>
    <row r="325" spans="1:17" ht="15" customHeight="1" x14ac:dyDescent="0.25">
      <c r="A325" s="59">
        <v>6623</v>
      </c>
      <c r="B325" s="59">
        <v>193</v>
      </c>
      <c r="C325" s="59" t="s">
        <v>169</v>
      </c>
      <c r="D325" s="60" t="s">
        <v>203</v>
      </c>
      <c r="E325" s="59">
        <v>19</v>
      </c>
      <c r="F325" s="59" t="s">
        <v>278</v>
      </c>
      <c r="G325" s="59">
        <v>3595</v>
      </c>
      <c r="H325" s="59" t="s">
        <v>381</v>
      </c>
      <c r="I325" s="61" t="s">
        <v>14</v>
      </c>
      <c r="J325" s="62">
        <v>0.31</v>
      </c>
      <c r="K325" s="63" t="s">
        <v>278</v>
      </c>
      <c r="L325" s="63">
        <v>0.1</v>
      </c>
      <c r="M325" s="65"/>
    </row>
    <row r="326" spans="1:17" ht="15" customHeight="1" x14ac:dyDescent="0.25">
      <c r="A326" s="59">
        <v>6623</v>
      </c>
      <c r="B326" s="59">
        <v>193</v>
      </c>
      <c r="C326" s="59" t="s">
        <v>169</v>
      </c>
      <c r="D326" s="60" t="s">
        <v>203</v>
      </c>
      <c r="E326" s="59">
        <v>19</v>
      </c>
      <c r="F326" s="59" t="s">
        <v>282</v>
      </c>
      <c r="G326" s="59">
        <v>80</v>
      </c>
      <c r="H326" s="59" t="s">
        <v>53</v>
      </c>
      <c r="I326" s="61" t="s">
        <v>50</v>
      </c>
      <c r="J326" s="62">
        <v>1000</v>
      </c>
      <c r="K326" s="63" t="s">
        <v>282</v>
      </c>
      <c r="L326" s="63">
        <v>0.02</v>
      </c>
      <c r="M326" s="65"/>
    </row>
    <row r="327" spans="1:17" ht="15" customHeight="1" x14ac:dyDescent="0.25">
      <c r="A327" s="59">
        <v>6623</v>
      </c>
      <c r="B327" s="59">
        <v>193</v>
      </c>
      <c r="C327" s="59" t="s">
        <v>169</v>
      </c>
      <c r="D327" s="60" t="s">
        <v>203</v>
      </c>
      <c r="E327" s="59">
        <v>19</v>
      </c>
      <c r="F327" s="59" t="s">
        <v>284</v>
      </c>
      <c r="G327" s="59">
        <v>3619</v>
      </c>
      <c r="H327" s="59" t="s">
        <v>382</v>
      </c>
      <c r="I327" s="61" t="s">
        <v>50</v>
      </c>
      <c r="J327" s="62">
        <v>1.7</v>
      </c>
      <c r="K327" s="63" t="s">
        <v>284</v>
      </c>
      <c r="L327" s="63">
        <v>0.1</v>
      </c>
      <c r="M327" s="65"/>
    </row>
    <row r="328" spans="1:17" ht="15" customHeight="1" x14ac:dyDescent="0.25">
      <c r="A328" s="59">
        <v>6623</v>
      </c>
      <c r="B328" s="59">
        <v>193</v>
      </c>
      <c r="C328" s="59" t="s">
        <v>169</v>
      </c>
      <c r="D328" s="60" t="s">
        <v>203</v>
      </c>
      <c r="E328" s="59">
        <v>19</v>
      </c>
      <c r="F328" s="59" t="s">
        <v>280</v>
      </c>
      <c r="G328" s="59">
        <v>194</v>
      </c>
      <c r="H328" s="59" t="s">
        <v>45</v>
      </c>
      <c r="I328" s="61" t="s">
        <v>14</v>
      </c>
      <c r="J328" s="62">
        <v>3.3999999999999998E-3</v>
      </c>
      <c r="K328" s="63" t="s">
        <v>280</v>
      </c>
      <c r="L328" s="63">
        <v>0.1</v>
      </c>
      <c r="M328" s="65"/>
    </row>
    <row r="329" spans="1:17" ht="15" customHeight="1" x14ac:dyDescent="0.25">
      <c r="A329" s="59">
        <v>6623</v>
      </c>
      <c r="B329" s="59">
        <v>193</v>
      </c>
      <c r="C329" s="59" t="s">
        <v>169</v>
      </c>
      <c r="D329" s="60" t="s">
        <v>203</v>
      </c>
      <c r="E329" s="59">
        <v>19</v>
      </c>
      <c r="F329" s="59" t="s">
        <v>273</v>
      </c>
      <c r="G329" s="59">
        <v>185</v>
      </c>
      <c r="H329" s="59" t="s">
        <v>25</v>
      </c>
      <c r="I329" s="61" t="s">
        <v>26</v>
      </c>
      <c r="J329" s="62">
        <v>0.1449</v>
      </c>
      <c r="K329" s="63" t="s">
        <v>273</v>
      </c>
      <c r="L329" s="63">
        <v>0.1</v>
      </c>
      <c r="M329" s="65"/>
    </row>
    <row r="330" spans="1:17" ht="15" customHeight="1" x14ac:dyDescent="0.25">
      <c r="A330" s="59">
        <v>6623</v>
      </c>
      <c r="B330" s="59">
        <v>193</v>
      </c>
      <c r="C330" s="59" t="s">
        <v>169</v>
      </c>
      <c r="D330" s="60" t="s">
        <v>203</v>
      </c>
      <c r="E330" s="59">
        <v>19</v>
      </c>
      <c r="F330" s="59" t="s">
        <v>285</v>
      </c>
      <c r="G330" s="59">
        <v>3635</v>
      </c>
      <c r="H330" s="59" t="s">
        <v>82</v>
      </c>
      <c r="I330" s="61" t="s">
        <v>48</v>
      </c>
      <c r="J330" s="62">
        <v>5.8999999999999997E-2</v>
      </c>
      <c r="K330" s="63" t="s">
        <v>285</v>
      </c>
      <c r="L330" s="63">
        <v>0.1</v>
      </c>
      <c r="M330" s="65"/>
    </row>
    <row r="331" spans="1:17" ht="15" customHeight="1" x14ac:dyDescent="0.25">
      <c r="A331" s="59">
        <v>6624</v>
      </c>
      <c r="B331" s="59">
        <v>192</v>
      </c>
      <c r="C331" s="59" t="s">
        <v>169</v>
      </c>
      <c r="D331" s="60" t="s">
        <v>202</v>
      </c>
      <c r="E331" s="59">
        <v>19</v>
      </c>
      <c r="F331" s="59" t="s">
        <v>266</v>
      </c>
      <c r="G331" s="59">
        <v>19</v>
      </c>
      <c r="H331" s="59" t="s">
        <v>16</v>
      </c>
      <c r="I331" s="61" t="s">
        <v>14</v>
      </c>
      <c r="J331" s="62">
        <v>3.367</v>
      </c>
      <c r="K331" s="63" t="s">
        <v>266</v>
      </c>
      <c r="L331" s="63">
        <v>0.1</v>
      </c>
      <c r="M331" s="65"/>
      <c r="N331" s="63"/>
      <c r="O331" s="63"/>
      <c r="P331" s="63"/>
      <c r="Q331" s="64"/>
    </row>
    <row r="332" spans="1:17" ht="15" customHeight="1" x14ac:dyDescent="0.25">
      <c r="A332" s="59">
        <v>6624</v>
      </c>
      <c r="B332" s="59">
        <v>192</v>
      </c>
      <c r="C332" s="59" t="s">
        <v>169</v>
      </c>
      <c r="D332" s="60" t="s">
        <v>202</v>
      </c>
      <c r="E332" s="59">
        <v>19</v>
      </c>
      <c r="F332" s="59" t="s">
        <v>278</v>
      </c>
      <c r="G332" s="59">
        <v>3595</v>
      </c>
      <c r="H332" s="59" t="s">
        <v>381</v>
      </c>
      <c r="I332" s="61" t="s">
        <v>14</v>
      </c>
      <c r="J332" s="62">
        <v>0.31</v>
      </c>
      <c r="K332" s="63" t="s">
        <v>278</v>
      </c>
      <c r="L332" s="63">
        <v>0.1</v>
      </c>
      <c r="M332" s="65"/>
      <c r="N332" s="63"/>
      <c r="O332" s="63"/>
      <c r="P332" s="63"/>
      <c r="Q332" s="64"/>
    </row>
    <row r="333" spans="1:17" ht="15" customHeight="1" x14ac:dyDescent="0.25">
      <c r="A333" s="59">
        <v>6624</v>
      </c>
      <c r="B333" s="59">
        <v>192</v>
      </c>
      <c r="C333" s="59" t="s">
        <v>169</v>
      </c>
      <c r="D333" s="60" t="s">
        <v>202</v>
      </c>
      <c r="E333" s="59">
        <v>19</v>
      </c>
      <c r="F333" s="59" t="s">
        <v>282</v>
      </c>
      <c r="G333" s="59">
        <v>80</v>
      </c>
      <c r="H333" s="59" t="s">
        <v>53</v>
      </c>
      <c r="I333" s="61" t="s">
        <v>50</v>
      </c>
      <c r="J333" s="62">
        <v>1000</v>
      </c>
      <c r="K333" s="63" t="s">
        <v>282</v>
      </c>
      <c r="L333" s="63">
        <v>0.02</v>
      </c>
      <c r="M333" s="65"/>
      <c r="N333" s="63"/>
      <c r="O333" s="63"/>
      <c r="P333" s="63"/>
      <c r="Q333" s="64"/>
    </row>
    <row r="334" spans="1:17" ht="15" customHeight="1" x14ac:dyDescent="0.25">
      <c r="A334" s="59">
        <v>6624</v>
      </c>
      <c r="B334" s="59">
        <v>192</v>
      </c>
      <c r="C334" s="59" t="s">
        <v>169</v>
      </c>
      <c r="D334" s="60" t="s">
        <v>202</v>
      </c>
      <c r="E334" s="59">
        <v>19</v>
      </c>
      <c r="F334" s="59" t="s">
        <v>284</v>
      </c>
      <c r="G334" s="59">
        <v>3619</v>
      </c>
      <c r="H334" s="59" t="s">
        <v>382</v>
      </c>
      <c r="I334" s="61" t="s">
        <v>50</v>
      </c>
      <c r="J334" s="62">
        <v>1.7</v>
      </c>
      <c r="K334" s="63" t="s">
        <v>284</v>
      </c>
      <c r="L334" s="63">
        <v>0.1</v>
      </c>
      <c r="M334" s="65"/>
      <c r="N334" s="63"/>
      <c r="O334" s="63"/>
      <c r="P334" s="63"/>
      <c r="Q334" s="64"/>
    </row>
    <row r="335" spans="1:17" ht="15" customHeight="1" x14ac:dyDescent="0.25">
      <c r="A335" s="59">
        <v>6624</v>
      </c>
      <c r="B335" s="59">
        <v>192</v>
      </c>
      <c r="C335" s="59" t="s">
        <v>169</v>
      </c>
      <c r="D335" s="60" t="s">
        <v>202</v>
      </c>
      <c r="E335" s="59">
        <v>19</v>
      </c>
      <c r="F335" s="59" t="s">
        <v>280</v>
      </c>
      <c r="G335" s="59">
        <v>194</v>
      </c>
      <c r="H335" s="59" t="s">
        <v>45</v>
      </c>
      <c r="I335" s="61" t="s">
        <v>14</v>
      </c>
      <c r="J335" s="62">
        <v>3.3999999999999998E-3</v>
      </c>
      <c r="K335" s="63" t="s">
        <v>280</v>
      </c>
      <c r="L335" s="63">
        <v>0.1</v>
      </c>
      <c r="M335" s="65"/>
      <c r="N335" s="63"/>
      <c r="O335" s="63"/>
      <c r="P335" s="63"/>
      <c r="Q335" s="64"/>
    </row>
    <row r="336" spans="1:17" ht="15" customHeight="1" x14ac:dyDescent="0.25">
      <c r="A336" s="59">
        <v>6624</v>
      </c>
      <c r="B336" s="59">
        <v>192</v>
      </c>
      <c r="C336" s="59" t="s">
        <v>169</v>
      </c>
      <c r="D336" s="60" t="s">
        <v>202</v>
      </c>
      <c r="E336" s="59">
        <v>19</v>
      </c>
      <c r="F336" s="59" t="s">
        <v>273</v>
      </c>
      <c r="G336" s="59">
        <v>185</v>
      </c>
      <c r="H336" s="59" t="s">
        <v>25</v>
      </c>
      <c r="I336" s="61" t="s">
        <v>26</v>
      </c>
      <c r="J336" s="62">
        <v>0.1449</v>
      </c>
      <c r="K336" s="63" t="s">
        <v>273</v>
      </c>
      <c r="L336" s="63">
        <v>0.1</v>
      </c>
      <c r="M336" s="65"/>
      <c r="N336" s="63"/>
      <c r="O336" s="63"/>
      <c r="P336" s="63"/>
      <c r="Q336" s="64"/>
    </row>
    <row r="337" spans="1:17" ht="15" customHeight="1" x14ac:dyDescent="0.25">
      <c r="A337" s="59">
        <v>6624</v>
      </c>
      <c r="B337" s="59">
        <v>192</v>
      </c>
      <c r="C337" s="59" t="s">
        <v>169</v>
      </c>
      <c r="D337" s="60" t="s">
        <v>202</v>
      </c>
      <c r="E337" s="59">
        <v>19</v>
      </c>
      <c r="F337" s="59" t="s">
        <v>285</v>
      </c>
      <c r="G337" s="59">
        <v>3635</v>
      </c>
      <c r="H337" s="59" t="s">
        <v>82</v>
      </c>
      <c r="I337" s="61" t="s">
        <v>48</v>
      </c>
      <c r="J337" s="62">
        <v>5.8999999999999997E-2</v>
      </c>
      <c r="K337" s="63" t="s">
        <v>285</v>
      </c>
      <c r="L337" s="63">
        <v>0.1</v>
      </c>
      <c r="M337" s="65"/>
      <c r="N337" s="63"/>
      <c r="O337" s="63"/>
      <c r="P337" s="63"/>
      <c r="Q337" s="64"/>
    </row>
    <row r="338" spans="1:17" ht="15" hidden="1" customHeight="1" x14ac:dyDescent="0.25">
      <c r="A338">
        <v>8015</v>
      </c>
      <c r="C338" t="s">
        <v>180</v>
      </c>
      <c r="D338" t="s">
        <v>190</v>
      </c>
      <c r="E338" t="s">
        <v>191</v>
      </c>
      <c r="F338" t="s">
        <v>288</v>
      </c>
      <c r="G338">
        <v>2680</v>
      </c>
      <c r="H338" t="s">
        <v>118</v>
      </c>
      <c r="I338" t="s">
        <v>14</v>
      </c>
      <c r="J338">
        <v>17.100000000000001</v>
      </c>
      <c r="K338" t="s">
        <v>117</v>
      </c>
      <c r="L338">
        <v>0.15</v>
      </c>
    </row>
    <row r="339" spans="1:17" ht="15" customHeight="1" x14ac:dyDescent="0.25">
      <c r="A339" s="59">
        <v>8015</v>
      </c>
      <c r="B339" s="59"/>
      <c r="C339" s="59" t="s">
        <v>180</v>
      </c>
      <c r="D339" s="60" t="s">
        <v>190</v>
      </c>
      <c r="E339" s="59" t="s">
        <v>191</v>
      </c>
      <c r="F339" s="59" t="s">
        <v>372</v>
      </c>
      <c r="G339" s="59">
        <v>5816</v>
      </c>
      <c r="H339" s="59" t="s">
        <v>125</v>
      </c>
      <c r="I339" s="61" t="s">
        <v>14</v>
      </c>
      <c r="J339" s="62">
        <v>0.9</v>
      </c>
      <c r="K339" s="63" t="s">
        <v>119</v>
      </c>
      <c r="L339" s="63">
        <v>0.15</v>
      </c>
      <c r="M339" s="65"/>
      <c r="N339" s="63"/>
      <c r="O339" s="63"/>
      <c r="P339" s="63"/>
      <c r="Q339" s="64"/>
    </row>
    <row r="340" spans="1:17" ht="15" customHeight="1" x14ac:dyDescent="0.25">
      <c r="A340" s="59">
        <v>8015</v>
      </c>
      <c r="B340" s="59"/>
      <c r="C340" s="59" t="s">
        <v>180</v>
      </c>
      <c r="D340" s="60" t="s">
        <v>190</v>
      </c>
      <c r="E340" s="59" t="s">
        <v>191</v>
      </c>
      <c r="F340" s="59" t="s">
        <v>370</v>
      </c>
      <c r="G340" s="59">
        <v>5977</v>
      </c>
      <c r="H340" s="59" t="s">
        <v>80</v>
      </c>
      <c r="I340" s="61" t="s">
        <v>48</v>
      </c>
      <c r="J340" s="62">
        <v>1.667</v>
      </c>
      <c r="K340" s="63" t="s">
        <v>371</v>
      </c>
      <c r="L340" s="63">
        <v>0.15</v>
      </c>
      <c r="M340" s="65"/>
      <c r="N340" s="63"/>
      <c r="O340" s="63"/>
      <c r="P340" s="63"/>
      <c r="Q340" s="64"/>
    </row>
    <row r="341" spans="1:17" ht="15" customHeight="1" x14ac:dyDescent="0.25">
      <c r="A341" s="59">
        <v>8015</v>
      </c>
      <c r="B341" s="59"/>
      <c r="C341" s="59" t="s">
        <v>180</v>
      </c>
      <c r="D341" s="60" t="s">
        <v>190</v>
      </c>
      <c r="E341" s="59" t="s">
        <v>191</v>
      </c>
      <c r="F341" s="59" t="s">
        <v>291</v>
      </c>
      <c r="G341" s="59">
        <v>2267</v>
      </c>
      <c r="H341" s="59" t="s">
        <v>134</v>
      </c>
      <c r="I341" s="61" t="s">
        <v>48</v>
      </c>
      <c r="J341" s="62">
        <v>10</v>
      </c>
      <c r="K341" s="63" t="s">
        <v>133</v>
      </c>
      <c r="L341" s="63">
        <v>0.15</v>
      </c>
      <c r="M341" s="65"/>
      <c r="N341" s="63"/>
      <c r="O341" s="63"/>
      <c r="P341" s="63"/>
      <c r="Q341" s="64"/>
    </row>
    <row r="342" spans="1:17" ht="15" customHeight="1" x14ac:dyDescent="0.25">
      <c r="A342" s="59">
        <v>8015</v>
      </c>
      <c r="B342" s="59"/>
      <c r="C342" s="59" t="s">
        <v>180</v>
      </c>
      <c r="D342" s="60" t="s">
        <v>190</v>
      </c>
      <c r="E342" s="59" t="s">
        <v>191</v>
      </c>
      <c r="F342" s="59" t="s">
        <v>285</v>
      </c>
      <c r="G342" s="59">
        <v>3635</v>
      </c>
      <c r="H342" s="59" t="s">
        <v>82</v>
      </c>
      <c r="I342" s="61" t="s">
        <v>48</v>
      </c>
      <c r="J342" s="62">
        <v>4.2000000000000003E-2</v>
      </c>
      <c r="K342" s="63" t="s">
        <v>348</v>
      </c>
      <c r="L342" s="63">
        <v>0.15</v>
      </c>
      <c r="M342" s="65"/>
      <c r="N342" s="63"/>
      <c r="O342" s="63"/>
      <c r="P342" s="63"/>
      <c r="Q342" s="64"/>
    </row>
    <row r="343" spans="1:17" ht="15" customHeight="1" x14ac:dyDescent="0.25">
      <c r="A343" s="59">
        <v>8015</v>
      </c>
      <c r="B343" s="59"/>
      <c r="C343" s="59" t="s">
        <v>180</v>
      </c>
      <c r="D343" s="60" t="s">
        <v>190</v>
      </c>
      <c r="E343" s="59" t="s">
        <v>191</v>
      </c>
      <c r="F343" s="59" t="s">
        <v>137</v>
      </c>
      <c r="G343" s="59">
        <v>3043</v>
      </c>
      <c r="H343" s="59" t="s">
        <v>137</v>
      </c>
      <c r="I343" s="61" t="s">
        <v>138</v>
      </c>
      <c r="J343" s="62">
        <v>5.0000000000000001E-3</v>
      </c>
      <c r="K343" s="63" t="s">
        <v>136</v>
      </c>
      <c r="L343" s="63">
        <v>0.15</v>
      </c>
      <c r="M343" s="65"/>
      <c r="N343" s="63"/>
      <c r="O343" s="63"/>
      <c r="P343" s="63"/>
      <c r="Q343" s="64"/>
    </row>
    <row r="344" spans="1:17" ht="15" customHeight="1" x14ac:dyDescent="0.25">
      <c r="A344">
        <v>8016</v>
      </c>
      <c r="C344" t="s">
        <v>383</v>
      </c>
      <c r="D344" t="s">
        <v>384</v>
      </c>
    </row>
    <row r="345" spans="1:17" ht="15" customHeight="1" x14ac:dyDescent="0.25">
      <c r="A345">
        <v>8017</v>
      </c>
      <c r="C345" t="s">
        <v>385</v>
      </c>
      <c r="D345" t="s">
        <v>386</v>
      </c>
    </row>
    <row r="346" spans="1:17" x14ac:dyDescent="0.25">
      <c r="A346">
        <v>8018</v>
      </c>
      <c r="C346" t="s">
        <v>383</v>
      </c>
      <c r="D346" t="s">
        <v>387</v>
      </c>
    </row>
    <row r="347" spans="1:17" x14ac:dyDescent="0.25">
      <c r="A347">
        <v>8019</v>
      </c>
      <c r="C347" t="s">
        <v>383</v>
      </c>
      <c r="D347" t="s">
        <v>388</v>
      </c>
    </row>
    <row r="348" spans="1:17" x14ac:dyDescent="0.25">
      <c r="A348">
        <v>8020</v>
      </c>
      <c r="C348" t="s">
        <v>389</v>
      </c>
      <c r="D348" t="s">
        <v>390</v>
      </c>
    </row>
    <row r="349" spans="1:17" x14ac:dyDescent="0.25">
      <c r="A349">
        <v>8021</v>
      </c>
      <c r="C349" t="s">
        <v>385</v>
      </c>
      <c r="D349" t="s">
        <v>391</v>
      </c>
    </row>
    <row r="350" spans="1:17" x14ac:dyDescent="0.25">
      <c r="A350">
        <v>8022</v>
      </c>
      <c r="C350" t="s">
        <v>385</v>
      </c>
      <c r="D350" t="s">
        <v>392</v>
      </c>
    </row>
    <row r="351" spans="1:17" x14ac:dyDescent="0.25">
      <c r="A351">
        <v>8023</v>
      </c>
      <c r="C351" t="s">
        <v>385</v>
      </c>
      <c r="D351" t="s">
        <v>393</v>
      </c>
    </row>
    <row r="352" spans="1:17" x14ac:dyDescent="0.25">
      <c r="A352">
        <v>8024</v>
      </c>
      <c r="C352" t="s">
        <v>389</v>
      </c>
      <c r="D352" t="s">
        <v>394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1"/>
  <sheetViews>
    <sheetView topLeftCell="A58" zoomScale="130" zoomScaleNormal="130" workbookViewId="0">
      <selection activeCell="A12" sqref="A12:J63"/>
    </sheetView>
  </sheetViews>
  <sheetFormatPr defaultColWidth="8.7109375" defaultRowHeight="15" x14ac:dyDescent="0.25"/>
  <cols>
    <col min="1" max="1" width="10" customWidth="1"/>
    <col min="2" max="2" width="15.28515625" customWidth="1"/>
    <col min="3" max="3" width="34.5703125" customWidth="1"/>
    <col min="4" max="4" width="6" customWidth="1"/>
    <col min="5" max="5" width="8.5703125" style="66" customWidth="1"/>
    <col min="6" max="6" width="8.85546875" style="66" customWidth="1"/>
    <col min="7" max="7" width="11.140625" style="66" customWidth="1"/>
    <col min="8" max="8" width="8.5703125" style="67" customWidth="1"/>
    <col min="9" max="9" width="7.7109375" style="66" hidden="1" customWidth="1"/>
    <col min="10" max="10" width="16.140625" style="66" customWidth="1"/>
    <col min="11" max="11" width="18" customWidth="1"/>
  </cols>
  <sheetData>
    <row r="1" spans="1:10" ht="19.5" customHeight="1" x14ac:dyDescent="0.35">
      <c r="A1" s="238" t="s">
        <v>0</v>
      </c>
      <c r="B1" s="239"/>
      <c r="C1" s="239"/>
      <c r="D1" s="239"/>
      <c r="E1" s="239"/>
      <c r="F1" s="239"/>
      <c r="G1" s="239"/>
      <c r="H1" s="239"/>
      <c r="I1" s="68" t="s">
        <v>1</v>
      </c>
      <c r="J1" s="69">
        <f ca="1">TODAY()</f>
        <v>46210</v>
      </c>
    </row>
    <row r="2" spans="1:10" s="70" customFormat="1" ht="37.5" customHeight="1" x14ac:dyDescent="0.25">
      <c r="A2" s="12" t="s">
        <v>2</v>
      </c>
      <c r="B2" s="12" t="s">
        <v>3</v>
      </c>
      <c r="C2" s="12" t="s">
        <v>4</v>
      </c>
      <c r="D2" s="12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</row>
    <row r="3" spans="1:10" ht="15" customHeight="1" x14ac:dyDescent="0.25">
      <c r="A3" s="35">
        <v>31</v>
      </c>
      <c r="B3" s="35" t="s">
        <v>12</v>
      </c>
      <c r="C3" s="36" t="s">
        <v>13</v>
      </c>
      <c r="D3" s="35" t="s">
        <v>14</v>
      </c>
      <c r="E3" s="37">
        <v>71.5</v>
      </c>
      <c r="F3" s="37">
        <v>0</v>
      </c>
      <c r="G3" s="37">
        <v>0</v>
      </c>
      <c r="H3" s="38">
        <f t="shared" ref="H3:H10" si="0">E3+F3-G3</f>
        <v>71.5</v>
      </c>
      <c r="I3" s="37"/>
      <c r="J3" s="37" t="str">
        <f>IFERROR(IF(AVERAGEIF(TableBOM[Item ID],A3,TableBOM[Per 1000 Units])=0,"-",ROUND((H3+I3)/(AVERAGEIF(TableBOM[Item ID],A3,TableBOM[Per 1000 Units])/1000),0)),"-")</f>
        <v>-</v>
      </c>
    </row>
    <row r="4" spans="1:10" ht="15" customHeight="1" x14ac:dyDescent="0.25">
      <c r="A4" s="35">
        <v>2799</v>
      </c>
      <c r="B4" s="35" t="s">
        <v>12</v>
      </c>
      <c r="C4" s="36" t="s">
        <v>15</v>
      </c>
      <c r="D4" s="35" t="s">
        <v>14</v>
      </c>
      <c r="E4" s="37">
        <v>88</v>
      </c>
      <c r="F4" s="37">
        <v>0</v>
      </c>
      <c r="G4" s="37">
        <v>0</v>
      </c>
      <c r="H4" s="38">
        <f t="shared" si="0"/>
        <v>88</v>
      </c>
      <c r="I4" s="37"/>
      <c r="J4" s="37">
        <f>IFERROR(IF(AVERAGEIF(TableBOM[Item ID],A4,TableBOM[Per 1000 Units])=0,"-",ROUND((H4+I4)/(AVERAGEIF(TableBOM[Item ID],A4,TableBOM[Per 1000 Units])/1000),0)),"-")</f>
        <v>34936</v>
      </c>
    </row>
    <row r="5" spans="1:10" s="71" customFormat="1" ht="15" customHeight="1" x14ac:dyDescent="0.25">
      <c r="A5" s="35">
        <v>19</v>
      </c>
      <c r="B5" s="35" t="s">
        <v>12</v>
      </c>
      <c r="C5" s="36" t="s">
        <v>16</v>
      </c>
      <c r="D5" s="35" t="s">
        <v>14</v>
      </c>
      <c r="E5" s="37">
        <v>425</v>
      </c>
      <c r="F5" s="37">
        <v>0</v>
      </c>
      <c r="G5" s="37">
        <v>0</v>
      </c>
      <c r="H5" s="38">
        <f t="shared" si="0"/>
        <v>425</v>
      </c>
      <c r="I5" s="37"/>
      <c r="J5" s="37">
        <f>IFERROR(IF(AVERAGEIF(TableBOM[Item ID],A5,TableBOM[Per 1000 Units])=0,"-",ROUND((H5+I5)/(AVERAGEIF(TableBOM[Item ID],A5,TableBOM[Per 1000 Units])/1000),0)),"-")</f>
        <v>126225</v>
      </c>
    </row>
    <row r="6" spans="1:10" ht="15" customHeight="1" x14ac:dyDescent="0.25">
      <c r="A6" s="35">
        <v>4179</v>
      </c>
      <c r="B6" s="35" t="s">
        <v>12</v>
      </c>
      <c r="C6" s="36" t="s">
        <v>17</v>
      </c>
      <c r="D6" s="35" t="s">
        <v>14</v>
      </c>
      <c r="E6" s="37">
        <v>132</v>
      </c>
      <c r="F6" s="37">
        <v>0</v>
      </c>
      <c r="G6" s="37">
        <v>0</v>
      </c>
      <c r="H6" s="38">
        <f t="shared" si="0"/>
        <v>132</v>
      </c>
      <c r="I6" s="37"/>
      <c r="J6" s="37">
        <f>IFERROR(IF(AVERAGEIF(TableBOM[Item ID],A6,TableBOM[Per 1000 Units])=0,"-",ROUND((H6+I6)/(AVERAGEIF(TableBOM[Item ID],A6,TableBOM[Per 1000 Units])/1000),0)),"-")</f>
        <v>33528</v>
      </c>
    </row>
    <row r="7" spans="1:10" ht="15" customHeight="1" x14ac:dyDescent="0.25">
      <c r="A7" s="35">
        <v>6</v>
      </c>
      <c r="B7" s="35" t="s">
        <v>12</v>
      </c>
      <c r="C7" s="36" t="s">
        <v>18</v>
      </c>
      <c r="D7" s="35" t="s">
        <v>14</v>
      </c>
      <c r="E7" s="37">
        <v>325</v>
      </c>
      <c r="F7" s="37">
        <v>165</v>
      </c>
      <c r="G7" s="37">
        <v>200</v>
      </c>
      <c r="H7" s="38">
        <f t="shared" si="0"/>
        <v>290</v>
      </c>
      <c r="I7" s="37">
        <v>35</v>
      </c>
      <c r="J7" s="37">
        <f>IFERROR(IF(AVERAGEIF(TableBOM[Item ID],A7,TableBOM[Per 1000 Units])=0,"-",ROUND((H7+I7)/(AVERAGEIF(TableBOM[Item ID],A7,TableBOM[Per 1000 Units])/1000),0)),"-")</f>
        <v>54865</v>
      </c>
    </row>
    <row r="8" spans="1:10" ht="15" customHeight="1" x14ac:dyDescent="0.25">
      <c r="A8" s="35">
        <v>406</v>
      </c>
      <c r="B8" s="35" t="s">
        <v>12</v>
      </c>
      <c r="C8" s="36" t="s">
        <v>19</v>
      </c>
      <c r="D8" s="35" t="s">
        <v>14</v>
      </c>
      <c r="E8" s="37">
        <v>275</v>
      </c>
      <c r="F8" s="37">
        <v>373</v>
      </c>
      <c r="G8" s="37">
        <v>400</v>
      </c>
      <c r="H8" s="38">
        <f t="shared" si="0"/>
        <v>248</v>
      </c>
      <c r="I8" s="37">
        <v>50</v>
      </c>
      <c r="J8" s="37">
        <f>IFERROR(IF(AVERAGEIF(TableBOM[Item ID],A8,TableBOM[Per 1000 Units])=0,"-",ROUND((H8+I8)/(AVERAGEIF(TableBOM[Item ID],A8,TableBOM[Per 1000 Units])/1000),0)),"-")</f>
        <v>37250</v>
      </c>
    </row>
    <row r="9" spans="1:10" ht="15" customHeight="1" x14ac:dyDescent="0.25">
      <c r="A9" s="35">
        <v>3935</v>
      </c>
      <c r="B9" s="35" t="s">
        <v>12</v>
      </c>
      <c r="C9" s="36" t="s">
        <v>20</v>
      </c>
      <c r="D9" s="35" t="s">
        <v>14</v>
      </c>
      <c r="E9" s="37">
        <v>444</v>
      </c>
      <c r="F9" s="37">
        <v>0</v>
      </c>
      <c r="G9" s="37">
        <v>0</v>
      </c>
      <c r="H9" s="38">
        <f t="shared" si="0"/>
        <v>444</v>
      </c>
      <c r="I9" s="37"/>
      <c r="J9" s="37">
        <f>IFERROR(IF(AVERAGEIF(TableBOM[Item ID],A9,TableBOM[Per 1000 Units])=0,"-",ROUND((H9+I9)/(AVERAGEIF(TableBOM[Item ID],A9,TableBOM[Per 1000 Units])/1000),0)),"-")</f>
        <v>40872</v>
      </c>
    </row>
    <row r="10" spans="1:10" ht="15" customHeight="1" x14ac:dyDescent="0.25">
      <c r="A10" s="35">
        <v>3503</v>
      </c>
      <c r="B10" s="35" t="s">
        <v>12</v>
      </c>
      <c r="C10" s="36" t="s">
        <v>21</v>
      </c>
      <c r="D10" s="35" t="s">
        <v>14</v>
      </c>
      <c r="E10" s="37">
        <v>328</v>
      </c>
      <c r="F10" s="37">
        <v>0</v>
      </c>
      <c r="G10" s="37">
        <v>0</v>
      </c>
      <c r="H10" s="38">
        <f t="shared" si="0"/>
        <v>328</v>
      </c>
      <c r="I10" s="37"/>
      <c r="J10" s="37">
        <f>IFERROR(IF(AVERAGEIF(TableBOM[Item ID],A10,TableBOM[Per 1000 Units])=0,"-",ROUND((H10+I10)/(AVERAGEIF(TableBOM[Item ID],A10,TableBOM[Per 1000 Units])/1000),0)),"-")</f>
        <v>25585</v>
      </c>
    </row>
    <row r="11" spans="1:10" ht="15" customHeight="1" x14ac:dyDescent="0.25"/>
    <row r="12" spans="1:10" ht="18.75" customHeight="1" x14ac:dyDescent="0.35">
      <c r="A12" s="72" t="s">
        <v>22</v>
      </c>
      <c r="B12" s="73"/>
      <c r="C12" s="73"/>
      <c r="D12" s="73"/>
      <c r="E12" s="73"/>
      <c r="F12" s="73"/>
      <c r="G12" s="73"/>
      <c r="H12" s="68" t="s">
        <v>1</v>
      </c>
      <c r="I12" s="73"/>
      <c r="J12" s="69">
        <f ca="1">TODAY()</f>
        <v>46210</v>
      </c>
    </row>
    <row r="13" spans="1:10" ht="36" customHeight="1" x14ac:dyDescent="0.25">
      <c r="A13" s="12" t="s">
        <v>2</v>
      </c>
      <c r="B13" s="12" t="s">
        <v>3</v>
      </c>
      <c r="C13" s="12" t="s">
        <v>4</v>
      </c>
      <c r="D13" s="12" t="s">
        <v>5</v>
      </c>
      <c r="E13" s="12" t="s">
        <v>6</v>
      </c>
      <c r="F13" s="12" t="s">
        <v>7</v>
      </c>
      <c r="G13" s="12" t="s">
        <v>8</v>
      </c>
      <c r="H13" s="12" t="s">
        <v>9</v>
      </c>
      <c r="I13" s="12" t="s">
        <v>10</v>
      </c>
      <c r="J13" s="12" t="s">
        <v>11</v>
      </c>
    </row>
    <row r="14" spans="1:10" s="267" customFormat="1" ht="15" customHeight="1" x14ac:dyDescent="0.25">
      <c r="A14" s="263">
        <v>184</v>
      </c>
      <c r="B14" s="263" t="s">
        <v>23</v>
      </c>
      <c r="C14" s="264" t="s">
        <v>24</v>
      </c>
      <c r="D14" s="263" t="s">
        <v>14</v>
      </c>
      <c r="E14" s="265">
        <v>0</v>
      </c>
      <c r="F14" s="265">
        <v>0</v>
      </c>
      <c r="G14" s="265">
        <v>0</v>
      </c>
      <c r="H14" s="266">
        <f t="shared" ref="H14:H45" si="1">E14+F14-G14</f>
        <v>0</v>
      </c>
      <c r="I14" s="265"/>
      <c r="J14" s="265" t="str">
        <f>IFERROR(IF(AVERAGEIF(TableBOM[Item ID],A14,TableBOM[Per 1000 Units])=0,"-",ROUND((H14+I14)/(AVERAGEIF(TableBOM[Item ID],A14,TableBOM[Per 1000 Units])/1000),0)),"-")</f>
        <v>-</v>
      </c>
    </row>
    <row r="15" spans="1:10" s="267" customFormat="1" ht="15" customHeight="1" x14ac:dyDescent="0.25">
      <c r="A15" s="268">
        <v>185</v>
      </c>
      <c r="B15" s="268" t="s">
        <v>23</v>
      </c>
      <c r="C15" s="269" t="s">
        <v>25</v>
      </c>
      <c r="D15" s="268" t="s">
        <v>26</v>
      </c>
      <c r="E15" s="270">
        <v>100</v>
      </c>
      <c r="F15" s="270">
        <v>0</v>
      </c>
      <c r="G15" s="270">
        <v>50</v>
      </c>
      <c r="H15" s="271">
        <f t="shared" si="1"/>
        <v>50</v>
      </c>
      <c r="I15" s="270"/>
      <c r="J15" s="270">
        <f>IFERROR(IF(AVERAGEIF(TableBOM[Item ID],A15,TableBOM[Per 1000 Units])=0,"-",ROUND((H15+I15)/(AVERAGEIF(TableBOM[Item ID],A15,TableBOM[Per 1000 Units])/1000),0)),"-")</f>
        <v>209983</v>
      </c>
    </row>
    <row r="16" spans="1:10" s="267" customFormat="1" ht="15" customHeight="1" x14ac:dyDescent="0.25">
      <c r="A16" s="268">
        <v>188</v>
      </c>
      <c r="B16" s="268" t="s">
        <v>23</v>
      </c>
      <c r="C16" s="269" t="s">
        <v>27</v>
      </c>
      <c r="D16" s="268" t="s">
        <v>14</v>
      </c>
      <c r="E16" s="270">
        <v>91</v>
      </c>
      <c r="F16" s="270">
        <v>0</v>
      </c>
      <c r="G16" s="270">
        <v>0</v>
      </c>
      <c r="H16" s="271">
        <f t="shared" si="1"/>
        <v>91</v>
      </c>
      <c r="I16" s="270">
        <v>0</v>
      </c>
      <c r="J16" s="270" t="str">
        <f>IFERROR(IF(AVERAGEIF(TableBOM[Item ID],A16,TableBOM[Per 1000 Units])=0,"-",ROUND((H16+I16)/(AVERAGEIF(TableBOM[Item ID],A16,TableBOM[Per 1000 Units])/1000),0)),"-")</f>
        <v>-</v>
      </c>
    </row>
    <row r="17" spans="1:16" s="267" customFormat="1" ht="15" customHeight="1" x14ac:dyDescent="0.25">
      <c r="A17" s="263">
        <v>1065</v>
      </c>
      <c r="B17" s="263" t="s">
        <v>23</v>
      </c>
      <c r="C17" s="264" t="s">
        <v>28</v>
      </c>
      <c r="D17" s="263" t="s">
        <v>14</v>
      </c>
      <c r="E17" s="265">
        <v>0</v>
      </c>
      <c r="F17" s="265">
        <v>0</v>
      </c>
      <c r="G17" s="265">
        <v>0</v>
      </c>
      <c r="H17" s="266">
        <f t="shared" si="1"/>
        <v>0</v>
      </c>
      <c r="I17" s="265"/>
      <c r="J17" s="265">
        <f>IFERROR(IF(AVERAGEIF(TableBOM[Item ID],A17,TableBOM[Per 1000 Units])=0,"-",ROUND((H17+I17)/(AVERAGEIF(TableBOM[Item ID],A17,TableBOM[Per 1000 Units])/1000),0)),"-")</f>
        <v>0</v>
      </c>
    </row>
    <row r="18" spans="1:16" s="267" customFormat="1" ht="15" customHeight="1" x14ac:dyDescent="0.25">
      <c r="A18" s="268">
        <v>4155</v>
      </c>
      <c r="B18" s="268" t="s">
        <v>23</v>
      </c>
      <c r="C18" s="269" t="s">
        <v>29</v>
      </c>
      <c r="D18" s="268" t="s">
        <v>14</v>
      </c>
      <c r="E18" s="270">
        <v>175</v>
      </c>
      <c r="F18" s="270">
        <v>0</v>
      </c>
      <c r="G18" s="270">
        <v>50</v>
      </c>
      <c r="H18" s="271">
        <f t="shared" si="1"/>
        <v>125</v>
      </c>
      <c r="I18" s="270"/>
      <c r="J18" s="270">
        <f>IFERROR(IF(AVERAGEIF(TableBOM[Item ID],A18,TableBOM[Per 1000 Units])=0,"-",ROUND((H18+I18)/(AVERAGEIF(TableBOM[Item ID],A18,TableBOM[Per 1000 Units])/1000),0)),"-")</f>
        <v>445547</v>
      </c>
    </row>
    <row r="19" spans="1:16" s="267" customFormat="1" ht="15" customHeight="1" x14ac:dyDescent="0.25">
      <c r="A19" s="263">
        <v>170</v>
      </c>
      <c r="B19" s="263" t="s">
        <v>30</v>
      </c>
      <c r="C19" s="264" t="s">
        <v>31</v>
      </c>
      <c r="D19" s="263" t="s">
        <v>14</v>
      </c>
      <c r="E19" s="265">
        <v>0</v>
      </c>
      <c r="F19" s="265">
        <v>0</v>
      </c>
      <c r="G19" s="265">
        <v>0</v>
      </c>
      <c r="H19" s="266">
        <f t="shared" si="1"/>
        <v>0</v>
      </c>
      <c r="I19" s="265"/>
      <c r="J19" s="265">
        <f>IFERROR(IF(AVERAGEIF(TableBOM[Item ID],A19,TableBOM[Per 1000 Units])=0,"-",ROUND((H19+I19)/(AVERAGEIF(TableBOM[Item ID],A19,TableBOM[Per 1000 Units])/1000),0)),"-")</f>
        <v>0</v>
      </c>
    </row>
    <row r="20" spans="1:16" s="267" customFormat="1" ht="15" customHeight="1" x14ac:dyDescent="0.25">
      <c r="A20" s="268">
        <v>175</v>
      </c>
      <c r="B20" s="268" t="s">
        <v>30</v>
      </c>
      <c r="C20" s="269" t="s">
        <v>32</v>
      </c>
      <c r="D20" s="268" t="s">
        <v>14</v>
      </c>
      <c r="E20" s="270">
        <v>30</v>
      </c>
      <c r="F20" s="270">
        <v>0</v>
      </c>
      <c r="G20" s="270">
        <v>0</v>
      </c>
      <c r="H20" s="271">
        <f t="shared" si="1"/>
        <v>30</v>
      </c>
      <c r="I20" s="270">
        <v>0</v>
      </c>
      <c r="J20" s="270" t="str">
        <f>IFERROR(IF(AVERAGEIF(TableBOM[Item ID],A20,TableBOM[Per 1000 Units])=0,"-",ROUND((H20+I20)/(AVERAGEIF(TableBOM[Item ID],A20,TableBOM[Per 1000 Units])/1000),0)),"-")</f>
        <v>-</v>
      </c>
    </row>
    <row r="21" spans="1:16" s="267" customFormat="1" ht="15" customHeight="1" x14ac:dyDescent="0.25">
      <c r="A21" s="268">
        <v>192</v>
      </c>
      <c r="B21" s="268" t="s">
        <v>30</v>
      </c>
      <c r="C21" s="269" t="s">
        <v>33</v>
      </c>
      <c r="D21" s="268" t="s">
        <v>14</v>
      </c>
      <c r="E21" s="270">
        <v>50</v>
      </c>
      <c r="F21" s="270">
        <v>0</v>
      </c>
      <c r="G21" s="270">
        <v>0</v>
      </c>
      <c r="H21" s="271">
        <f t="shared" si="1"/>
        <v>50</v>
      </c>
      <c r="I21" s="270">
        <v>0</v>
      </c>
      <c r="J21" s="270" t="str">
        <f>IFERROR(IF(AVERAGEIF(TableBOM[Item ID],A21,TableBOM[Per 1000 Units])=0,"-",ROUND((H21+I21)/(AVERAGEIF(TableBOM[Item ID],A21,TableBOM[Per 1000 Units])/1000),0)),"-")</f>
        <v>-</v>
      </c>
    </row>
    <row r="22" spans="1:16" s="267" customFormat="1" ht="15" customHeight="1" x14ac:dyDescent="0.25">
      <c r="A22" s="268">
        <v>3595</v>
      </c>
      <c r="B22" s="268" t="s">
        <v>30</v>
      </c>
      <c r="C22" s="269" t="s">
        <v>34</v>
      </c>
      <c r="D22" s="268" t="s">
        <v>14</v>
      </c>
      <c r="E22" s="270">
        <v>60</v>
      </c>
      <c r="F22" s="270">
        <v>180</v>
      </c>
      <c r="G22" s="270">
        <v>90</v>
      </c>
      <c r="H22" s="271">
        <f t="shared" si="1"/>
        <v>150</v>
      </c>
      <c r="I22" s="270"/>
      <c r="J22" s="270">
        <f>IFERROR(IF(AVERAGEIF(TableBOM[Item ID],A22,TableBOM[Per 1000 Units])=0,"-",ROUND((H22+I22)/(AVERAGEIF(TableBOM[Item ID],A22,TableBOM[Per 1000 Units])/1000),0)),"-")</f>
        <v>280557</v>
      </c>
    </row>
    <row r="23" spans="1:16" s="267" customFormat="1" ht="15" customHeight="1" x14ac:dyDescent="0.25">
      <c r="A23" s="268">
        <v>3869</v>
      </c>
      <c r="B23" s="268" t="s">
        <v>30</v>
      </c>
      <c r="C23" s="269" t="s">
        <v>35</v>
      </c>
      <c r="D23" s="268" t="s">
        <v>14</v>
      </c>
      <c r="E23" s="270">
        <v>60</v>
      </c>
      <c r="F23" s="270">
        <v>0</v>
      </c>
      <c r="G23" s="270">
        <v>0</v>
      </c>
      <c r="H23" s="271">
        <f t="shared" si="1"/>
        <v>60</v>
      </c>
      <c r="I23" s="270">
        <v>0</v>
      </c>
      <c r="J23" s="270" t="str">
        <f>IFERROR(IF(AVERAGEIF(TableBOM[Item ID],A23,TableBOM[Per 1000 Units])=0,"-",ROUND((H23+I23)/(AVERAGEIF(TableBOM[Item ID],A23,TableBOM[Per 1000 Units])/1000),0)),"-")</f>
        <v>-</v>
      </c>
    </row>
    <row r="24" spans="1:16" s="267" customFormat="1" ht="15" customHeight="1" x14ac:dyDescent="0.25">
      <c r="A24" s="263">
        <v>4156</v>
      </c>
      <c r="B24" s="263" t="s">
        <v>30</v>
      </c>
      <c r="C24" s="264" t="s">
        <v>36</v>
      </c>
      <c r="D24" s="263" t="s">
        <v>14</v>
      </c>
      <c r="E24" s="265">
        <v>0</v>
      </c>
      <c r="F24" s="265">
        <v>0</v>
      </c>
      <c r="G24" s="265">
        <v>0</v>
      </c>
      <c r="H24" s="266">
        <f t="shared" si="1"/>
        <v>0</v>
      </c>
      <c r="I24" s="265"/>
      <c r="J24" s="265">
        <f>IFERROR(IF(AVERAGEIF(TableBOM[Item ID],A24,TableBOM[Per 1000 Units])=0,"-",ROUND((H24+I24)/(AVERAGEIF(TableBOM[Item ID],A24,TableBOM[Per 1000 Units])/1000),0)),"-")</f>
        <v>0</v>
      </c>
    </row>
    <row r="25" spans="1:16" s="267" customFormat="1" ht="15" customHeight="1" x14ac:dyDescent="0.25">
      <c r="A25" s="268">
        <v>4157</v>
      </c>
      <c r="B25" s="268" t="s">
        <v>30</v>
      </c>
      <c r="C25" s="269" t="s">
        <v>37</v>
      </c>
      <c r="D25" s="268" t="s">
        <v>14</v>
      </c>
      <c r="E25" s="270">
        <v>240</v>
      </c>
      <c r="F25" s="270">
        <v>0</v>
      </c>
      <c r="G25" s="270">
        <v>0</v>
      </c>
      <c r="H25" s="271">
        <f t="shared" si="1"/>
        <v>240</v>
      </c>
      <c r="I25" s="270">
        <v>0</v>
      </c>
      <c r="J25" s="270" t="str">
        <f>IFERROR(IF(AVERAGEIF(TableBOM[Item ID],A25,TableBOM[Per 1000 Units])=0,"-",ROUND((H25+I25)/(AVERAGEIF(TableBOM[Item ID],A25,TableBOM[Per 1000 Units])/1000),0)),"-")</f>
        <v>-</v>
      </c>
    </row>
    <row r="26" spans="1:16" s="267" customFormat="1" ht="15" customHeight="1" x14ac:dyDescent="0.25">
      <c r="A26" s="268">
        <v>5895</v>
      </c>
      <c r="B26" s="268" t="s">
        <v>30</v>
      </c>
      <c r="C26" s="269" t="s">
        <v>38</v>
      </c>
      <c r="D26" s="268" t="s">
        <v>14</v>
      </c>
      <c r="E26" s="270">
        <v>50</v>
      </c>
      <c r="F26" s="270">
        <v>0</v>
      </c>
      <c r="G26" s="270">
        <v>0</v>
      </c>
      <c r="H26" s="271">
        <f t="shared" si="1"/>
        <v>50</v>
      </c>
      <c r="I26" s="270">
        <v>0</v>
      </c>
      <c r="J26" s="270" t="str">
        <f>IFERROR(IF(AVERAGEIF(TableBOM[Item ID],A26,TableBOM[Per 1000 Units])=0,"-",ROUND((H26+I26)/(AVERAGEIF(TableBOM[Item ID],A26,TableBOM[Per 1000 Units])/1000),0)),"-")</f>
        <v>-</v>
      </c>
    </row>
    <row r="27" spans="1:16" s="267" customFormat="1" ht="15" customHeight="1" x14ac:dyDescent="0.25">
      <c r="A27" s="268">
        <v>5974</v>
      </c>
      <c r="B27" s="268" t="s">
        <v>30</v>
      </c>
      <c r="C27" s="269" t="s">
        <v>39</v>
      </c>
      <c r="D27" s="268" t="s">
        <v>26</v>
      </c>
      <c r="E27" s="270">
        <v>50</v>
      </c>
      <c r="F27" s="270">
        <v>0</v>
      </c>
      <c r="G27" s="270">
        <v>0</v>
      </c>
      <c r="H27" s="271">
        <f t="shared" si="1"/>
        <v>50</v>
      </c>
      <c r="I27" s="270">
        <v>0</v>
      </c>
      <c r="J27" s="270" t="str">
        <f>IFERROR(IF(AVERAGEIF(TableBOM[Item ID],A27,TableBOM[Per 1000 Units])=0,"-",ROUND((H27+I27)/(AVERAGEIF(TableBOM[Item ID],A27,TableBOM[Per 1000 Units])/1000),0)),"-")</f>
        <v>-</v>
      </c>
      <c r="K27" s="272"/>
      <c r="L27" s="272"/>
      <c r="M27" s="272"/>
      <c r="N27" s="272"/>
      <c r="O27" s="272"/>
      <c r="P27" s="272"/>
    </row>
    <row r="28" spans="1:16" s="267" customFormat="1" ht="15" customHeight="1" x14ac:dyDescent="0.25">
      <c r="A28" s="268">
        <v>177</v>
      </c>
      <c r="B28" s="268" t="s">
        <v>30</v>
      </c>
      <c r="C28" s="269" t="s">
        <v>40</v>
      </c>
      <c r="D28" s="268" t="s">
        <v>14</v>
      </c>
      <c r="E28" s="270">
        <v>450</v>
      </c>
      <c r="F28" s="270">
        <v>0</v>
      </c>
      <c r="G28" s="270">
        <v>0</v>
      </c>
      <c r="H28" s="271">
        <f t="shared" si="1"/>
        <v>450</v>
      </c>
      <c r="I28" s="270"/>
      <c r="J28" s="270" t="str">
        <f>IFERROR(IF(AVERAGEIF(TableBOM[Item ID],A28,TableBOM[Per 1000 Units])=0,"-",ROUND((H28+I28)/(AVERAGEIF(TableBOM[Item ID],A28,TableBOM[Per 1000 Units])/1000),0)),"-")</f>
        <v>-</v>
      </c>
      <c r="K28" s="272"/>
      <c r="L28" s="272"/>
      <c r="M28" s="272"/>
      <c r="N28" s="272"/>
      <c r="O28" s="272"/>
      <c r="P28" s="272"/>
    </row>
    <row r="29" spans="1:16" s="267" customFormat="1" ht="15" customHeight="1" x14ac:dyDescent="0.25">
      <c r="A29" s="268">
        <v>6132</v>
      </c>
      <c r="B29" s="268" t="s">
        <v>30</v>
      </c>
      <c r="C29" s="269" t="s">
        <v>41</v>
      </c>
      <c r="D29" s="268" t="s">
        <v>14</v>
      </c>
      <c r="E29" s="270">
        <v>60</v>
      </c>
      <c r="F29" s="270">
        <v>0</v>
      </c>
      <c r="G29" s="270">
        <v>0</v>
      </c>
      <c r="H29" s="271">
        <f t="shared" si="1"/>
        <v>60</v>
      </c>
      <c r="I29" s="270"/>
      <c r="J29" s="270" t="str">
        <f>IFERROR(IF(AVERAGEIF(TableBOM[Item ID],A29,TableBOM[Per 1000 Units])=0,"-",ROUND((H29+I29)/(AVERAGEIF(TableBOM[Item ID],A29,TableBOM[Per 1000 Units])/1000),0)),"-")</f>
        <v>-</v>
      </c>
      <c r="K29" s="273"/>
      <c r="L29" s="273"/>
      <c r="M29" s="273"/>
      <c r="N29" s="273"/>
      <c r="O29" s="273"/>
      <c r="P29" s="273"/>
    </row>
    <row r="30" spans="1:16" s="267" customFormat="1" ht="15" customHeight="1" x14ac:dyDescent="0.25">
      <c r="A30" s="268">
        <v>186</v>
      </c>
      <c r="B30" s="268" t="s">
        <v>42</v>
      </c>
      <c r="C30" s="269" t="s">
        <v>43</v>
      </c>
      <c r="D30" s="268" t="s">
        <v>14</v>
      </c>
      <c r="E30" s="270">
        <v>75</v>
      </c>
      <c r="F30" s="270">
        <v>0</v>
      </c>
      <c r="G30" s="270">
        <v>0</v>
      </c>
      <c r="H30" s="271">
        <f t="shared" si="1"/>
        <v>75</v>
      </c>
      <c r="I30" s="270"/>
      <c r="J30" s="270">
        <f>IFERROR(IF(AVERAGEIF(TableBOM[Item ID],A30,TableBOM[Per 1000 Units])=0,"-",ROUND((H30+I30)/(AVERAGEIF(TableBOM[Item ID],A30,TableBOM[Per 1000 Units])/1000),0)),"-")</f>
        <v>203975</v>
      </c>
      <c r="K30" s="272"/>
      <c r="L30" s="272"/>
      <c r="M30" s="272"/>
      <c r="N30" s="272"/>
      <c r="O30" s="272"/>
      <c r="P30" s="272"/>
    </row>
    <row r="31" spans="1:16" s="267" customFormat="1" ht="15" customHeight="1" x14ac:dyDescent="0.25">
      <c r="A31" s="268">
        <v>194</v>
      </c>
      <c r="B31" s="268" t="s">
        <v>44</v>
      </c>
      <c r="C31" s="269" t="s">
        <v>45</v>
      </c>
      <c r="D31" s="268" t="s">
        <v>14</v>
      </c>
      <c r="E31" s="270">
        <v>20</v>
      </c>
      <c r="F31" s="270">
        <v>0</v>
      </c>
      <c r="G31" s="270">
        <v>0</v>
      </c>
      <c r="H31" s="271">
        <f t="shared" si="1"/>
        <v>20</v>
      </c>
      <c r="I31" s="270"/>
      <c r="J31" s="270">
        <f>IFERROR(IF(AVERAGEIF(TableBOM[Item ID],A31,TableBOM[Per 1000 Units])=0,"-",ROUND((H31+I31)/(AVERAGEIF(TableBOM[Item ID],A31,TableBOM[Per 1000 Units])/1000),0)),"-")</f>
        <v>2992940</v>
      </c>
      <c r="K31" s="272"/>
      <c r="L31" s="272"/>
      <c r="M31" s="272"/>
      <c r="N31" s="272"/>
      <c r="O31" s="272"/>
      <c r="P31" s="272"/>
    </row>
    <row r="32" spans="1:16" s="267" customFormat="1" ht="15" customHeight="1" x14ac:dyDescent="0.25">
      <c r="A32" s="263">
        <v>69</v>
      </c>
      <c r="B32" s="263" t="s">
        <v>46</v>
      </c>
      <c r="C32" s="264" t="s">
        <v>47</v>
      </c>
      <c r="D32" s="263" t="s">
        <v>48</v>
      </c>
      <c r="E32" s="265">
        <v>0</v>
      </c>
      <c r="F32" s="265">
        <v>0</v>
      </c>
      <c r="G32" s="265">
        <v>0</v>
      </c>
      <c r="H32" s="266">
        <f t="shared" si="1"/>
        <v>0</v>
      </c>
      <c r="I32" s="265"/>
      <c r="J32" s="265">
        <f>IFERROR(IF(AVERAGEIF(TableBOM[Item ID],A32,TableBOM[Per 1000 Units])=0,"-",ROUND((H32+I32)/(AVERAGEIF(TableBOM[Item ID],A32,TableBOM[Per 1000 Units])/1000),0)),"-")</f>
        <v>0</v>
      </c>
      <c r="K32" s="272"/>
      <c r="L32" s="272"/>
      <c r="M32" s="272"/>
      <c r="N32" s="272"/>
      <c r="O32" s="272"/>
      <c r="P32" s="272"/>
    </row>
    <row r="33" spans="1:16" s="267" customFormat="1" ht="15" customHeight="1" x14ac:dyDescent="0.25">
      <c r="A33" s="268">
        <v>99</v>
      </c>
      <c r="B33" s="268" t="s">
        <v>46</v>
      </c>
      <c r="C33" s="269" t="s">
        <v>49</v>
      </c>
      <c r="D33" s="268" t="s">
        <v>50</v>
      </c>
      <c r="E33" s="270">
        <v>10000</v>
      </c>
      <c r="F33" s="270">
        <v>0</v>
      </c>
      <c r="G33" s="270">
        <v>0</v>
      </c>
      <c r="H33" s="271">
        <f t="shared" si="1"/>
        <v>10000</v>
      </c>
      <c r="I33" s="270"/>
      <c r="J33" s="270" t="str">
        <f>IFERROR(IF(AVERAGEIF(TableBOM[Item ID],A33,TableBOM[Per 1000 Units])=0,"-",ROUND((H33+I33)/(AVERAGEIF(TableBOM[Item ID],A33,TableBOM[Per 1000 Units])/1000),0)),"-")</f>
        <v>-</v>
      </c>
      <c r="K33" s="273"/>
      <c r="L33" s="273"/>
      <c r="M33" s="273"/>
      <c r="N33" s="273"/>
      <c r="O33" s="273"/>
      <c r="P33" s="273"/>
    </row>
    <row r="34" spans="1:16" s="267" customFormat="1" ht="15" customHeight="1" x14ac:dyDescent="0.25">
      <c r="A34" s="268">
        <v>72</v>
      </c>
      <c r="B34" s="268" t="s">
        <v>46</v>
      </c>
      <c r="C34" s="269" t="s">
        <v>51</v>
      </c>
      <c r="D34" s="268" t="s">
        <v>50</v>
      </c>
      <c r="E34" s="270">
        <v>23741</v>
      </c>
      <c r="F34" s="270">
        <v>0</v>
      </c>
      <c r="G34" s="270">
        <v>0</v>
      </c>
      <c r="H34" s="271">
        <f t="shared" si="1"/>
        <v>23741</v>
      </c>
      <c r="I34" s="270"/>
      <c r="J34" s="270" t="str">
        <f>IFERROR(IF(AVERAGEIF(TableBOM[Item ID],A34,TableBOM[Per 1000 Units])=0,"-",ROUND((H34+I34)/(AVERAGEIF(TableBOM[Item ID],A34,TableBOM[Per 1000 Units])/1000),0)),"-")</f>
        <v>-</v>
      </c>
      <c r="K34" s="272"/>
      <c r="L34" s="272"/>
      <c r="M34" s="272"/>
      <c r="N34" s="272"/>
      <c r="O34" s="272"/>
      <c r="P34" s="272"/>
    </row>
    <row r="35" spans="1:16" s="267" customFormat="1" ht="15" customHeight="1" x14ac:dyDescent="0.25">
      <c r="A35" s="268">
        <v>79</v>
      </c>
      <c r="B35" s="268" t="s">
        <v>46</v>
      </c>
      <c r="C35" s="269" t="s">
        <v>52</v>
      </c>
      <c r="D35" s="268" t="s">
        <v>50</v>
      </c>
      <c r="E35" s="270">
        <v>83600</v>
      </c>
      <c r="F35" s="270">
        <v>0</v>
      </c>
      <c r="G35" s="270">
        <v>0</v>
      </c>
      <c r="H35" s="271">
        <f t="shared" si="1"/>
        <v>83600</v>
      </c>
      <c r="I35" s="270"/>
      <c r="J35" s="270" t="str">
        <f>IFERROR(IF(AVERAGEIF(TableBOM[Item ID],A35,TableBOM[Per 1000 Units])=0,"-",ROUND((H35+I35)/(AVERAGEIF(TableBOM[Item ID],A35,TableBOM[Per 1000 Units])/1000),0)),"-")</f>
        <v>-</v>
      </c>
      <c r="K35" s="272"/>
      <c r="L35" s="272"/>
      <c r="M35" s="272"/>
      <c r="N35" s="272"/>
      <c r="O35" s="272"/>
      <c r="P35" s="272"/>
    </row>
    <row r="36" spans="1:16" s="267" customFormat="1" ht="15" customHeight="1" x14ac:dyDescent="0.25">
      <c r="A36" s="268">
        <v>80</v>
      </c>
      <c r="B36" s="268" t="s">
        <v>46</v>
      </c>
      <c r="C36" s="269" t="s">
        <v>53</v>
      </c>
      <c r="D36" s="268" t="s">
        <v>48</v>
      </c>
      <c r="E36" s="270">
        <v>100000</v>
      </c>
      <c r="F36" s="270">
        <v>0</v>
      </c>
      <c r="G36" s="270">
        <v>0</v>
      </c>
      <c r="H36" s="271">
        <f t="shared" si="1"/>
        <v>100000</v>
      </c>
      <c r="I36" s="270">
        <v>0</v>
      </c>
      <c r="J36" s="270">
        <f>IFERROR(IF(AVERAGEIF(TableBOM[Item ID],A36,TableBOM[Per 1000 Units])=0,"-",ROUND((H36+I36)/(AVERAGEIF(TableBOM[Item ID],A36,TableBOM[Per 1000 Units])/1000),0)),"-")</f>
        <v>100000</v>
      </c>
      <c r="K36" s="273"/>
      <c r="L36" s="273"/>
      <c r="M36" s="273"/>
      <c r="N36" s="273"/>
      <c r="O36" s="273"/>
      <c r="P36" s="273"/>
    </row>
    <row r="37" spans="1:16" s="267" customFormat="1" ht="15" customHeight="1" x14ac:dyDescent="0.25">
      <c r="A37" s="268">
        <v>81</v>
      </c>
      <c r="B37" s="268" t="s">
        <v>46</v>
      </c>
      <c r="C37" s="269" t="s">
        <v>54</v>
      </c>
      <c r="D37" s="268" t="s">
        <v>48</v>
      </c>
      <c r="E37" s="270">
        <v>553124</v>
      </c>
      <c r="F37" s="270">
        <v>0</v>
      </c>
      <c r="G37" s="270">
        <v>0</v>
      </c>
      <c r="H37" s="271">
        <f t="shared" si="1"/>
        <v>553124</v>
      </c>
      <c r="I37" s="270"/>
      <c r="J37" s="270">
        <f>IFERROR(IF(AVERAGEIF(TableBOM[Item ID],A37,TableBOM[Per 1000 Units])=0,"-",ROUND((H37+I37)/(AVERAGEIF(TableBOM[Item ID],A37,TableBOM[Per 1000 Units])/1000),0)),"-")</f>
        <v>553124</v>
      </c>
      <c r="K37" s="273"/>
      <c r="L37" s="273"/>
      <c r="M37" s="273"/>
      <c r="N37" s="273"/>
      <c r="O37" s="273"/>
      <c r="P37" s="273"/>
    </row>
    <row r="38" spans="1:16" s="267" customFormat="1" ht="15" customHeight="1" x14ac:dyDescent="0.25">
      <c r="A38" s="263">
        <v>1800</v>
      </c>
      <c r="B38" s="263" t="s">
        <v>46</v>
      </c>
      <c r="C38" s="264" t="s">
        <v>55</v>
      </c>
      <c r="D38" s="263" t="s">
        <v>48</v>
      </c>
      <c r="E38" s="265">
        <v>0</v>
      </c>
      <c r="F38" s="265">
        <v>0</v>
      </c>
      <c r="G38" s="265">
        <v>0</v>
      </c>
      <c r="H38" s="266">
        <f t="shared" si="1"/>
        <v>0</v>
      </c>
      <c r="I38" s="265"/>
      <c r="J38" s="265" t="str">
        <f>IFERROR(IF(AVERAGEIF(TableBOM[Item ID],A38,TableBOM[Per 1000 Units])=0,"-",ROUND((H38+I38)/(AVERAGEIF(TableBOM[Item ID],A38,TableBOM[Per 1000 Units])/1000),0)),"-")</f>
        <v>-</v>
      </c>
      <c r="K38" s="273"/>
      <c r="L38" s="273"/>
      <c r="M38" s="273"/>
      <c r="N38" s="273"/>
      <c r="O38" s="273"/>
      <c r="P38" s="273"/>
    </row>
    <row r="39" spans="1:16" s="267" customFormat="1" ht="15" customHeight="1" x14ac:dyDescent="0.25">
      <c r="A39" s="268">
        <v>3211</v>
      </c>
      <c r="B39" s="268" t="s">
        <v>46</v>
      </c>
      <c r="C39" s="269" t="s">
        <v>56</v>
      </c>
      <c r="D39" s="268" t="s">
        <v>48</v>
      </c>
      <c r="E39" s="270">
        <v>4000</v>
      </c>
      <c r="F39" s="270">
        <v>0</v>
      </c>
      <c r="G39" s="270">
        <v>0</v>
      </c>
      <c r="H39" s="271">
        <f t="shared" si="1"/>
        <v>4000</v>
      </c>
      <c r="I39" s="270"/>
      <c r="J39" s="270">
        <f>IFERROR(IF(AVERAGEIF(TableBOM[Item ID],A39,TableBOM[Per 1000 Units])=0,"-",ROUND((H39+I39)/(AVERAGEIF(TableBOM[Item ID],A39,TableBOM[Per 1000 Units])/1000),0)),"-")</f>
        <v>4000</v>
      </c>
    </row>
    <row r="40" spans="1:16" s="267" customFormat="1" ht="15" customHeight="1" x14ac:dyDescent="0.25">
      <c r="A40" s="268">
        <v>4015</v>
      </c>
      <c r="B40" s="268" t="s">
        <v>46</v>
      </c>
      <c r="C40" s="269" t="s">
        <v>57</v>
      </c>
      <c r="D40" s="268" t="s">
        <v>48</v>
      </c>
      <c r="E40" s="270">
        <v>475000</v>
      </c>
      <c r="F40" s="270">
        <v>0</v>
      </c>
      <c r="G40" s="270">
        <v>0</v>
      </c>
      <c r="H40" s="271">
        <f t="shared" si="1"/>
        <v>475000</v>
      </c>
      <c r="I40" s="270"/>
      <c r="J40" s="270" t="str">
        <f>IFERROR(IF(AVERAGEIF(TableBOM[Item ID],A40,TableBOM[Per 1000 Units])=0,"-",ROUND((H40+I40)/(AVERAGEIF(TableBOM[Item ID],A40,TableBOM[Per 1000 Units])/1000),0)),"-")</f>
        <v>-</v>
      </c>
    </row>
    <row r="41" spans="1:16" s="267" customFormat="1" ht="15" customHeight="1" x14ac:dyDescent="0.25">
      <c r="A41" s="263">
        <v>4044</v>
      </c>
      <c r="B41" s="263" t="s">
        <v>46</v>
      </c>
      <c r="C41" s="264" t="s">
        <v>58</v>
      </c>
      <c r="D41" s="263" t="s">
        <v>48</v>
      </c>
      <c r="E41" s="265">
        <v>0</v>
      </c>
      <c r="F41" s="265">
        <v>0</v>
      </c>
      <c r="G41" s="265">
        <v>0</v>
      </c>
      <c r="H41" s="266">
        <f t="shared" si="1"/>
        <v>0</v>
      </c>
      <c r="I41" s="265"/>
      <c r="J41" s="265" t="str">
        <f>IFERROR(IF(AVERAGEIF(TableBOM[Item ID],A41,TableBOM[Per 1000 Units])=0,"-",ROUND((H41+I41)/(AVERAGEIF(TableBOM[Item ID],A41,TableBOM[Per 1000 Units])/1000),0)),"-")</f>
        <v>-</v>
      </c>
    </row>
    <row r="42" spans="1:16" s="267" customFormat="1" ht="15" customHeight="1" x14ac:dyDescent="0.25">
      <c r="A42" s="268">
        <v>4088</v>
      </c>
      <c r="B42" s="268" t="s">
        <v>46</v>
      </c>
      <c r="C42" s="269" t="s">
        <v>59</v>
      </c>
      <c r="D42" s="268" t="s">
        <v>48</v>
      </c>
      <c r="E42" s="270">
        <v>60000</v>
      </c>
      <c r="F42" s="270">
        <v>0</v>
      </c>
      <c r="G42" s="270">
        <v>0</v>
      </c>
      <c r="H42" s="271">
        <f t="shared" si="1"/>
        <v>60000</v>
      </c>
      <c r="I42" s="270"/>
      <c r="J42" s="270" t="str">
        <f>IFERROR(IF(AVERAGEIF(TableBOM[Item ID],A42,TableBOM[Per 1000 Units])=0,"-",ROUND((H42+I42)/(AVERAGEIF(TableBOM[Item ID],A42,TableBOM[Per 1000 Units])/1000),0)),"-")</f>
        <v>-</v>
      </c>
    </row>
    <row r="43" spans="1:16" s="267" customFormat="1" ht="15" customHeight="1" x14ac:dyDescent="0.25">
      <c r="A43" s="268">
        <v>4143</v>
      </c>
      <c r="B43" s="268" t="s">
        <v>46</v>
      </c>
      <c r="C43" s="269" t="s">
        <v>60</v>
      </c>
      <c r="D43" s="268" t="s">
        <v>48</v>
      </c>
      <c r="E43" s="270">
        <v>65000</v>
      </c>
      <c r="F43" s="270">
        <v>0</v>
      </c>
      <c r="G43" s="270">
        <v>0</v>
      </c>
      <c r="H43" s="271">
        <f t="shared" si="1"/>
        <v>65000</v>
      </c>
      <c r="I43" s="270">
        <v>0</v>
      </c>
      <c r="J43" s="270" t="str">
        <f>IFERROR(IF(AVERAGEIF(TableBOM[Item ID],A43,TableBOM[Per 1000 Units])=0,"-",ROUND((H43+I43)/(AVERAGEIF(TableBOM[Item ID],A43,TableBOM[Per 1000 Units])/1000),0)),"-")</f>
        <v>-</v>
      </c>
    </row>
    <row r="44" spans="1:16" s="267" customFormat="1" ht="15" customHeight="1" x14ac:dyDescent="0.25">
      <c r="A44" s="263">
        <v>6971</v>
      </c>
      <c r="B44" s="263" t="s">
        <v>46</v>
      </c>
      <c r="C44" s="264" t="s">
        <v>61</v>
      </c>
      <c r="D44" s="263" t="s">
        <v>48</v>
      </c>
      <c r="E44" s="265">
        <v>0</v>
      </c>
      <c r="F44" s="265">
        <v>0</v>
      </c>
      <c r="G44" s="265">
        <v>0</v>
      </c>
      <c r="H44" s="266">
        <f t="shared" si="1"/>
        <v>0</v>
      </c>
      <c r="I44" s="265"/>
      <c r="J44" s="265">
        <f>IFERROR(IF(AVERAGEIF(TableBOM[Item ID],A44,TableBOM[Per 1000 Units])=0,"-",ROUND((H44+I44)/(AVERAGEIF(TableBOM[Item ID],A44,TableBOM[Per 1000 Units])/1000),0)),"-")</f>
        <v>0</v>
      </c>
      <c r="K44" s="272"/>
      <c r="L44" s="272"/>
      <c r="M44" s="272"/>
      <c r="N44" s="272"/>
      <c r="O44" s="272"/>
      <c r="P44" s="272"/>
    </row>
    <row r="45" spans="1:16" s="267" customFormat="1" ht="15" customHeight="1" x14ac:dyDescent="0.25">
      <c r="A45" s="268">
        <v>7370</v>
      </c>
      <c r="B45" s="268" t="s">
        <v>46</v>
      </c>
      <c r="C45" s="269" t="s">
        <v>62</v>
      </c>
      <c r="D45" s="268" t="s">
        <v>48</v>
      </c>
      <c r="E45" s="270">
        <v>47000</v>
      </c>
      <c r="F45" s="270">
        <v>0</v>
      </c>
      <c r="G45" s="270">
        <v>0</v>
      </c>
      <c r="H45" s="271">
        <f t="shared" si="1"/>
        <v>47000</v>
      </c>
      <c r="I45" s="270">
        <v>0</v>
      </c>
      <c r="J45" s="270">
        <f>IFERROR(IF(AVERAGEIF(TableBOM[Item ID],A45,TableBOM[Per 1000 Units])=0,"-",ROUND((H45+I45)/(AVERAGEIF(TableBOM[Item ID],A45,TableBOM[Per 1000 Units])/1000),0)),"-")</f>
        <v>47000</v>
      </c>
      <c r="K45" s="273"/>
      <c r="L45" s="273"/>
      <c r="M45" s="273"/>
      <c r="N45" s="273"/>
      <c r="O45" s="273"/>
      <c r="P45" s="273"/>
    </row>
    <row r="46" spans="1:16" s="267" customFormat="1" ht="15" customHeight="1" x14ac:dyDescent="0.25">
      <c r="A46" s="268">
        <v>68</v>
      </c>
      <c r="B46" s="268" t="s">
        <v>46</v>
      </c>
      <c r="C46" s="269" t="s">
        <v>63</v>
      </c>
      <c r="D46" s="268" t="s">
        <v>48</v>
      </c>
      <c r="E46" s="270">
        <v>270000</v>
      </c>
      <c r="F46" s="270">
        <v>0</v>
      </c>
      <c r="G46" s="270">
        <v>40000</v>
      </c>
      <c r="H46" s="271">
        <f t="shared" ref="H46:H75" si="2">E46+F46-G46</f>
        <v>230000</v>
      </c>
      <c r="I46" s="270"/>
      <c r="J46" s="270">
        <f>IFERROR(IF(AVERAGEIF(TableBOM[Item ID],A46,TableBOM[Per 1000 Units])=0,"-",ROUND((H46+I46)/(AVERAGEIF(TableBOM[Item ID],A46,TableBOM[Per 1000 Units])/1000),0)),"-")</f>
        <v>230000</v>
      </c>
      <c r="K46" s="272"/>
      <c r="L46" s="272"/>
      <c r="M46" s="272"/>
      <c r="N46" s="272"/>
      <c r="O46" s="272"/>
      <c r="P46" s="272"/>
    </row>
    <row r="47" spans="1:16" s="267" customFormat="1" ht="15" customHeight="1" x14ac:dyDescent="0.25">
      <c r="A47" s="268">
        <v>102</v>
      </c>
      <c r="B47" s="268" t="s">
        <v>46</v>
      </c>
      <c r="C47" s="269" t="s">
        <v>64</v>
      </c>
      <c r="D47" s="268" t="s">
        <v>50</v>
      </c>
      <c r="E47" s="270">
        <v>30000</v>
      </c>
      <c r="F47" s="270">
        <v>0</v>
      </c>
      <c r="G47" s="270">
        <v>0</v>
      </c>
      <c r="H47" s="271">
        <f t="shared" si="2"/>
        <v>30000</v>
      </c>
      <c r="I47" s="270"/>
      <c r="J47" s="270" t="str">
        <f>IFERROR(IF(AVERAGEIF(TableBOM[Item ID],A47,TableBOM[Per 1000 Units])=0,"-",ROUND((H47+I47)/(AVERAGEIF(TableBOM[Item ID],A47,TableBOM[Per 1000 Units])/1000),0)),"-")</f>
        <v>-</v>
      </c>
      <c r="K47" s="272"/>
      <c r="L47" s="272"/>
      <c r="M47" s="272"/>
      <c r="N47" s="272"/>
      <c r="O47" s="272"/>
      <c r="P47" s="272"/>
    </row>
    <row r="48" spans="1:16" s="267" customFormat="1" ht="15" customHeight="1" x14ac:dyDescent="0.25">
      <c r="A48" s="268">
        <v>1073</v>
      </c>
      <c r="B48" s="268" t="s">
        <v>46</v>
      </c>
      <c r="C48" s="269" t="s">
        <v>65</v>
      </c>
      <c r="D48" s="268" t="s">
        <v>48</v>
      </c>
      <c r="E48" s="270">
        <v>95000</v>
      </c>
      <c r="F48" s="270">
        <v>0</v>
      </c>
      <c r="G48" s="270">
        <v>0</v>
      </c>
      <c r="H48" s="271">
        <f t="shared" si="2"/>
        <v>95000</v>
      </c>
      <c r="I48" s="270"/>
      <c r="J48" s="270">
        <f>IFERROR(IF(AVERAGEIF(TableBOM[Item ID],A48,TableBOM[Per 1000 Units])=0,"-",ROUND((H48+I48)/(AVERAGEIF(TableBOM[Item ID],A48,TableBOM[Per 1000 Units])/1000),0)),"-")</f>
        <v>95000</v>
      </c>
      <c r="K48" s="272"/>
      <c r="L48" s="272"/>
      <c r="M48" s="272"/>
      <c r="N48" s="272"/>
      <c r="O48" s="272"/>
      <c r="P48" s="272"/>
    </row>
    <row r="49" spans="1:16" s="267" customFormat="1" ht="15" customHeight="1" x14ac:dyDescent="0.25">
      <c r="A49" s="268">
        <v>1285</v>
      </c>
      <c r="B49" s="268" t="s">
        <v>46</v>
      </c>
      <c r="C49" s="269" t="s">
        <v>66</v>
      </c>
      <c r="D49" s="268" t="s">
        <v>48</v>
      </c>
      <c r="E49" s="270">
        <v>50000</v>
      </c>
      <c r="F49" s="270">
        <v>0</v>
      </c>
      <c r="G49" s="270">
        <v>12000</v>
      </c>
      <c r="H49" s="271">
        <f t="shared" si="2"/>
        <v>38000</v>
      </c>
      <c r="I49" s="270"/>
      <c r="J49" s="270">
        <f>IFERROR(IF(AVERAGEIF(TableBOM[Item ID],A49,TableBOM[Per 1000 Units])=0,"-",ROUND((H49+I49)/(AVERAGEIF(TableBOM[Item ID],A49,TableBOM[Per 1000 Units])/1000),0)),"-")</f>
        <v>38000</v>
      </c>
      <c r="K49" s="273"/>
      <c r="L49" s="273"/>
      <c r="M49" s="273"/>
      <c r="N49" s="273"/>
      <c r="O49" s="273"/>
      <c r="P49" s="273"/>
    </row>
    <row r="50" spans="1:16" s="267" customFormat="1" ht="15" customHeight="1" x14ac:dyDescent="0.25">
      <c r="A50" s="268">
        <v>3522</v>
      </c>
      <c r="B50" s="268" t="s">
        <v>46</v>
      </c>
      <c r="C50" s="269" t="s">
        <v>67</v>
      </c>
      <c r="D50" s="268" t="s">
        <v>48</v>
      </c>
      <c r="E50" s="270">
        <v>75000</v>
      </c>
      <c r="F50" s="270">
        <v>0</v>
      </c>
      <c r="G50" s="270">
        <v>0</v>
      </c>
      <c r="H50" s="271">
        <f t="shared" si="2"/>
        <v>75000</v>
      </c>
      <c r="I50" s="270">
        <v>0</v>
      </c>
      <c r="J50" s="270">
        <f>IFERROR(IF(AVERAGEIF(TableBOM[Item ID],A50,TableBOM[Per 1000 Units])=0,"-",ROUND((H50+I50)/(AVERAGEIF(TableBOM[Item ID],A50,TableBOM[Per 1000 Units])/1000),0)),"-")</f>
        <v>75000</v>
      </c>
      <c r="K50" s="273"/>
      <c r="L50" s="273"/>
      <c r="M50" s="273"/>
      <c r="N50" s="273"/>
      <c r="O50" s="273"/>
      <c r="P50" s="273"/>
    </row>
    <row r="51" spans="1:16" s="267" customFormat="1" ht="15" customHeight="1" x14ac:dyDescent="0.25">
      <c r="A51" s="263">
        <v>3866</v>
      </c>
      <c r="B51" s="263" t="s">
        <v>46</v>
      </c>
      <c r="C51" s="264" t="s">
        <v>68</v>
      </c>
      <c r="D51" s="263" t="s">
        <v>48</v>
      </c>
      <c r="E51" s="265">
        <v>0</v>
      </c>
      <c r="F51" s="265">
        <v>0</v>
      </c>
      <c r="G51" s="265">
        <v>0</v>
      </c>
      <c r="H51" s="266">
        <f t="shared" si="2"/>
        <v>0</v>
      </c>
      <c r="I51" s="265"/>
      <c r="J51" s="265" t="str">
        <f>IFERROR(IF(AVERAGEIF(TableBOM[Item ID],A51,TableBOM[Per 1000 Units])=0,"-",ROUND((H51+I51)/(AVERAGEIF(TableBOM[Item ID],A51,TableBOM[Per 1000 Units])/1000),0)),"-")</f>
        <v>-</v>
      </c>
      <c r="K51" s="273"/>
      <c r="L51" s="273"/>
      <c r="M51" s="273"/>
      <c r="N51" s="273"/>
      <c r="O51" s="273"/>
      <c r="P51" s="273"/>
    </row>
    <row r="52" spans="1:16" s="267" customFormat="1" ht="15" customHeight="1" x14ac:dyDescent="0.25">
      <c r="A52" s="263">
        <v>578</v>
      </c>
      <c r="B52" s="263" t="s">
        <v>46</v>
      </c>
      <c r="C52" s="264" t="s">
        <v>69</v>
      </c>
      <c r="D52" s="263" t="s">
        <v>48</v>
      </c>
      <c r="E52" s="265">
        <v>0</v>
      </c>
      <c r="F52" s="265">
        <v>0</v>
      </c>
      <c r="G52" s="265">
        <v>0</v>
      </c>
      <c r="H52" s="266">
        <f t="shared" si="2"/>
        <v>0</v>
      </c>
      <c r="I52" s="265"/>
      <c r="J52" s="265">
        <f>IFERROR(IF(AVERAGEIF(TableBOM[Item ID],A52,TableBOM[Per 1000 Units])=0,"-",ROUND((H52+I52)/(AVERAGEIF(TableBOM[Item ID],A52,TableBOM[Per 1000 Units])/1000),0)),"-")</f>
        <v>0</v>
      </c>
      <c r="K52" s="272"/>
      <c r="L52" s="272"/>
      <c r="M52" s="272"/>
      <c r="N52" s="272"/>
      <c r="O52" s="272"/>
      <c r="P52" s="272"/>
    </row>
    <row r="53" spans="1:16" s="267" customFormat="1" ht="15" customHeight="1" x14ac:dyDescent="0.25">
      <c r="A53" s="263">
        <v>36</v>
      </c>
      <c r="B53" s="263" t="s">
        <v>71</v>
      </c>
      <c r="C53" s="264" t="s">
        <v>73</v>
      </c>
      <c r="D53" s="263" t="s">
        <v>48</v>
      </c>
      <c r="E53" s="265">
        <v>0</v>
      </c>
      <c r="F53" s="265">
        <v>0</v>
      </c>
      <c r="G53" s="265">
        <v>0</v>
      </c>
      <c r="H53" s="266">
        <f t="shared" si="2"/>
        <v>0</v>
      </c>
      <c r="I53" s="265"/>
      <c r="J53" s="265">
        <f>IFERROR(IF(AVERAGEIF(TableBOM[Item ID],A53,TableBOM[Per 1000 Units])=0,"-",ROUND((H53+I53)/(AVERAGEIF(TableBOM[Item ID],A53,TableBOM[Per 1000 Units])/1000),0)),"-")</f>
        <v>0</v>
      </c>
      <c r="K53" s="272"/>
      <c r="L53" s="272"/>
      <c r="M53" s="272"/>
      <c r="N53" s="272"/>
      <c r="O53" s="272"/>
      <c r="P53" s="272"/>
    </row>
    <row r="54" spans="1:16" s="267" customFormat="1" ht="15" customHeight="1" x14ac:dyDescent="0.25">
      <c r="A54" s="263">
        <v>200</v>
      </c>
      <c r="B54" s="263" t="s">
        <v>71</v>
      </c>
      <c r="C54" s="264" t="s">
        <v>74</v>
      </c>
      <c r="D54" s="263" t="s">
        <v>48</v>
      </c>
      <c r="E54" s="265">
        <v>0</v>
      </c>
      <c r="F54" s="265">
        <v>0</v>
      </c>
      <c r="G54" s="265">
        <v>0</v>
      </c>
      <c r="H54" s="266">
        <f t="shared" si="2"/>
        <v>0</v>
      </c>
      <c r="I54" s="265"/>
      <c r="J54" s="265">
        <f>IFERROR(IF(AVERAGEIF(TableBOM[Item ID],A54,TableBOM[Per 1000 Units])=0,"-",ROUND((H54+I54)/(AVERAGEIF(TableBOM[Item ID],A54,TableBOM[Per 1000 Units])/1000),0)),"-")</f>
        <v>0</v>
      </c>
      <c r="K54" s="272"/>
      <c r="L54" s="272"/>
      <c r="M54" s="272"/>
      <c r="N54" s="272"/>
      <c r="O54" s="272"/>
      <c r="P54" s="272"/>
    </row>
    <row r="55" spans="1:16" s="267" customFormat="1" ht="15" customHeight="1" x14ac:dyDescent="0.25">
      <c r="A55" s="263">
        <v>39</v>
      </c>
      <c r="B55" s="263" t="s">
        <v>71</v>
      </c>
      <c r="C55" s="264" t="s">
        <v>75</v>
      </c>
      <c r="D55" s="263" t="s">
        <v>48</v>
      </c>
      <c r="E55" s="265">
        <v>0</v>
      </c>
      <c r="F55" s="265">
        <v>0</v>
      </c>
      <c r="G55" s="265">
        <v>0</v>
      </c>
      <c r="H55" s="266">
        <f t="shared" si="2"/>
        <v>0</v>
      </c>
      <c r="I55" s="265"/>
      <c r="J55" s="265">
        <f>IFERROR(IF(AVERAGEIF(TableBOM[Item ID],A55,TableBOM[Per 1000 Units])=0,"-",ROUND((H55+I55)/(AVERAGEIF(TableBOM[Item ID],A55,TableBOM[Per 1000 Units])/1000),0)),"-")</f>
        <v>0</v>
      </c>
      <c r="K55" s="273"/>
      <c r="L55" s="273"/>
      <c r="M55" s="273"/>
      <c r="N55" s="273"/>
      <c r="O55" s="273"/>
      <c r="P55" s="273"/>
    </row>
    <row r="56" spans="1:16" s="267" customFormat="1" ht="15" customHeight="1" x14ac:dyDescent="0.25">
      <c r="A56" s="268">
        <v>3619</v>
      </c>
      <c r="B56" s="268" t="s">
        <v>71</v>
      </c>
      <c r="C56" s="269" t="s">
        <v>76</v>
      </c>
      <c r="D56" s="268" t="s">
        <v>48</v>
      </c>
      <c r="E56" s="270">
        <v>280</v>
      </c>
      <c r="F56" s="270">
        <v>0</v>
      </c>
      <c r="G56" s="270">
        <v>0</v>
      </c>
      <c r="H56" s="271">
        <f t="shared" si="2"/>
        <v>280</v>
      </c>
      <c r="I56" s="270"/>
      <c r="J56" s="270">
        <f>IFERROR(IF(AVERAGEIF(TableBOM[Item ID],A56,TableBOM[Per 1000 Units])=0,"-",ROUND((H56+I56)/(AVERAGEIF(TableBOM[Item ID],A56,TableBOM[Per 1000 Units])/1000),0)),"-")</f>
        <v>140955</v>
      </c>
      <c r="K56" s="272"/>
      <c r="L56" s="272"/>
      <c r="M56" s="272"/>
      <c r="N56" s="272"/>
      <c r="O56" s="272"/>
      <c r="P56" s="272"/>
    </row>
    <row r="57" spans="1:16" s="267" customFormat="1" ht="15" customHeight="1" x14ac:dyDescent="0.25">
      <c r="A57" s="268">
        <v>3598</v>
      </c>
      <c r="B57" s="268" t="s">
        <v>71</v>
      </c>
      <c r="C57" s="269" t="s">
        <v>77</v>
      </c>
      <c r="D57" s="268" t="s">
        <v>48</v>
      </c>
      <c r="E57" s="270">
        <v>360</v>
      </c>
      <c r="F57" s="270">
        <v>0</v>
      </c>
      <c r="G57" s="270">
        <v>0</v>
      </c>
      <c r="H57" s="271">
        <f t="shared" si="2"/>
        <v>360</v>
      </c>
      <c r="I57" s="270"/>
      <c r="J57" s="270">
        <f>IFERROR(IF(AVERAGEIF(TableBOM[Item ID],A57,TableBOM[Per 1000 Units])=0,"-",ROUND((H57+I57)/(AVERAGEIF(TableBOM[Item ID],A57,TableBOM[Per 1000 Units])/1000),0)),"-")</f>
        <v>109676</v>
      </c>
      <c r="K57" s="272"/>
      <c r="L57" s="272"/>
      <c r="M57" s="272"/>
      <c r="N57" s="272"/>
      <c r="O57" s="272"/>
      <c r="P57" s="272"/>
    </row>
    <row r="58" spans="1:16" s="267" customFormat="1" ht="15" customHeight="1" x14ac:dyDescent="0.25">
      <c r="A58" s="268">
        <v>45</v>
      </c>
      <c r="B58" s="268" t="s">
        <v>71</v>
      </c>
      <c r="C58" s="269" t="s">
        <v>78</v>
      </c>
      <c r="D58" s="268" t="s">
        <v>48</v>
      </c>
      <c r="E58" s="270">
        <v>460</v>
      </c>
      <c r="F58" s="270">
        <v>0</v>
      </c>
      <c r="G58" s="270">
        <v>0</v>
      </c>
      <c r="H58" s="271">
        <f t="shared" si="2"/>
        <v>460</v>
      </c>
      <c r="I58" s="270"/>
      <c r="J58" s="270">
        <f>IFERROR(IF(AVERAGEIF(TableBOM[Item ID],A58,TableBOM[Per 1000 Units])=0,"-",ROUND((H58+I58)/(AVERAGEIF(TableBOM[Item ID],A58,TableBOM[Per 1000 Units])/1000),0)),"-")</f>
        <v>69002</v>
      </c>
      <c r="K58" s="272"/>
      <c r="L58" s="272"/>
      <c r="M58" s="272"/>
      <c r="N58" s="272"/>
      <c r="O58" s="272"/>
      <c r="P58" s="272"/>
    </row>
    <row r="59" spans="1:16" s="267" customFormat="1" ht="15" customHeight="1" x14ac:dyDescent="0.25">
      <c r="A59" s="268">
        <v>3988</v>
      </c>
      <c r="B59" s="268" t="s">
        <v>71</v>
      </c>
      <c r="C59" s="269" t="s">
        <v>79</v>
      </c>
      <c r="D59" s="268" t="s">
        <v>48</v>
      </c>
      <c r="E59" s="270">
        <v>349</v>
      </c>
      <c r="F59" s="270">
        <v>0</v>
      </c>
      <c r="G59" s="270">
        <v>0</v>
      </c>
      <c r="H59" s="271">
        <f t="shared" si="2"/>
        <v>349</v>
      </c>
      <c r="I59" s="270"/>
      <c r="J59" s="270">
        <f>IFERROR(IF(AVERAGEIF(TableBOM[Item ID],A59,TableBOM[Per 1000 Units])=0,"-",ROUND((H59+I59)/(AVERAGEIF(TableBOM[Item ID],A59,TableBOM[Per 1000 Units])/1000),0)),"-")</f>
        <v>60229</v>
      </c>
      <c r="K59" s="273"/>
      <c r="L59" s="273"/>
      <c r="M59" s="273"/>
      <c r="N59" s="273"/>
      <c r="O59" s="273"/>
      <c r="P59" s="273"/>
    </row>
    <row r="60" spans="1:16" s="267" customFormat="1" ht="15" customHeight="1" x14ac:dyDescent="0.25">
      <c r="A60" s="268">
        <v>5977</v>
      </c>
      <c r="B60" s="268" t="s">
        <v>71</v>
      </c>
      <c r="C60" s="269" t="s">
        <v>80</v>
      </c>
      <c r="D60" s="268" t="s">
        <v>48</v>
      </c>
      <c r="E60" s="270">
        <v>0</v>
      </c>
      <c r="F60" s="270">
        <v>91</v>
      </c>
      <c r="G60" s="270">
        <v>30</v>
      </c>
      <c r="H60" s="271">
        <f t="shared" si="2"/>
        <v>61</v>
      </c>
      <c r="I60" s="270"/>
      <c r="J60" s="270">
        <f>IFERROR(IF(AVERAGEIF(TableBOM[Item ID],A60,TableBOM[Per 1000 Units])=0,"-",ROUND((H60+I60)/(AVERAGEIF(TableBOM[Item ID],A60,TableBOM[Per 1000 Units])/1000),0)),"-")</f>
        <v>44299</v>
      </c>
      <c r="K60" s="273"/>
      <c r="L60" s="273"/>
      <c r="M60" s="273"/>
      <c r="N60" s="273"/>
      <c r="O60" s="273"/>
      <c r="P60" s="273"/>
    </row>
    <row r="61" spans="1:16" s="267" customFormat="1" ht="15" customHeight="1" x14ac:dyDescent="0.25">
      <c r="A61" s="268">
        <v>3635</v>
      </c>
      <c r="B61" s="268" t="s">
        <v>81</v>
      </c>
      <c r="C61" s="269" t="s">
        <v>82</v>
      </c>
      <c r="D61" s="268" t="s">
        <v>48</v>
      </c>
      <c r="E61" s="270">
        <v>525</v>
      </c>
      <c r="F61" s="270">
        <v>0</v>
      </c>
      <c r="G61" s="270">
        <v>12</v>
      </c>
      <c r="H61" s="271">
        <f t="shared" si="2"/>
        <v>513</v>
      </c>
      <c r="I61" s="270"/>
      <c r="J61" s="270">
        <f>IFERROR(IF(AVERAGEIF(TableBOM[Item ID],A61,TableBOM[Per 1000 Units])=0,"-",ROUND((H61+I61)/(AVERAGEIF(TableBOM[Item ID],A61,TableBOM[Per 1000 Units])/1000),0)),"-")</f>
        <v>1407841</v>
      </c>
      <c r="K61" s="273"/>
      <c r="L61" s="273"/>
      <c r="M61" s="273"/>
      <c r="N61" s="273"/>
      <c r="O61" s="273"/>
      <c r="P61" s="273"/>
    </row>
    <row r="62" spans="1:16" s="267" customFormat="1" ht="15" customHeight="1" x14ac:dyDescent="0.25">
      <c r="A62" s="268">
        <v>190</v>
      </c>
      <c r="B62" s="268" t="s">
        <v>83</v>
      </c>
      <c r="C62" s="269" t="s">
        <v>84</v>
      </c>
      <c r="D62" s="268" t="s">
        <v>26</v>
      </c>
      <c r="E62" s="270">
        <v>175</v>
      </c>
      <c r="F62" s="270">
        <v>0</v>
      </c>
      <c r="G62" s="270">
        <v>25</v>
      </c>
      <c r="H62" s="271">
        <f t="shared" si="2"/>
        <v>150</v>
      </c>
      <c r="I62" s="270"/>
      <c r="J62" s="270">
        <f>IFERROR(IF(AVERAGEIF(TableBOM[Item ID],A62,TableBOM[Per 1000 Units])=0,"-",ROUND((H62+I62)/(AVERAGEIF(TableBOM[Item ID],A62,TableBOM[Per 1000 Units])/1000),0)),"-")</f>
        <v>2500000</v>
      </c>
      <c r="K62" s="273"/>
      <c r="L62" s="273"/>
      <c r="M62" s="273"/>
      <c r="N62" s="273"/>
      <c r="O62" s="273"/>
      <c r="P62" s="273"/>
    </row>
    <row r="63" spans="1:16" s="267" customFormat="1" ht="15" customHeight="1" x14ac:dyDescent="0.25">
      <c r="A63" s="268">
        <v>191</v>
      </c>
      <c r="B63" s="268" t="s">
        <v>83</v>
      </c>
      <c r="C63" s="269" t="s">
        <v>85</v>
      </c>
      <c r="D63" s="268" t="s">
        <v>26</v>
      </c>
      <c r="E63" s="270">
        <v>100</v>
      </c>
      <c r="F63" s="270">
        <v>0</v>
      </c>
      <c r="G63" s="270">
        <v>25</v>
      </c>
      <c r="H63" s="271">
        <f t="shared" si="2"/>
        <v>75</v>
      </c>
      <c r="I63" s="270">
        <v>0</v>
      </c>
      <c r="J63" s="270">
        <f>IFERROR(IF(AVERAGEIF(TableBOM[Item ID],A62,TableBOM[Per 1000 Units])=0,"-",ROUND((H63+I63)/(AVERAGEIF(TableBOM[Item ID],A62,TableBOM[Per 1000 Units])/1000),0)),"-")</f>
        <v>1250000</v>
      </c>
      <c r="K63" s="272"/>
      <c r="L63" s="272"/>
      <c r="M63" s="272"/>
      <c r="N63" s="272"/>
      <c r="O63" s="272"/>
      <c r="P63" s="272"/>
    </row>
    <row r="64" spans="1:16" ht="15" customHeight="1" x14ac:dyDescent="0.25">
      <c r="A64" s="35">
        <v>104</v>
      </c>
      <c r="B64" s="35" t="s">
        <v>86</v>
      </c>
      <c r="C64" s="36" t="s">
        <v>87</v>
      </c>
      <c r="D64" s="35" t="s">
        <v>14</v>
      </c>
      <c r="E64" s="37">
        <v>2</v>
      </c>
      <c r="F64" s="37">
        <v>0</v>
      </c>
      <c r="G64" s="37">
        <v>0</v>
      </c>
      <c r="H64" s="38">
        <f t="shared" si="2"/>
        <v>2</v>
      </c>
      <c r="I64" s="37"/>
      <c r="J64" s="37" t="str">
        <f>IFERROR(IF(AVERAGEIF(TableBOM[Item ID],A64,TableBOM[Per 1000 Units])=0,"-",ROUND((H64+I64)/(AVERAGEIF(TableBOM[Item ID],A64,TableBOM[Per 1000 Units])/1000),0)),"-")</f>
        <v>-</v>
      </c>
      <c r="K64" s="75"/>
      <c r="L64" s="75"/>
      <c r="M64" s="75"/>
      <c r="N64" s="75"/>
      <c r="O64" s="75"/>
      <c r="P64" s="75"/>
    </row>
    <row r="65" spans="1:16" ht="15" customHeight="1" x14ac:dyDescent="0.25">
      <c r="A65" s="35">
        <v>105</v>
      </c>
      <c r="B65" s="35" t="s">
        <v>86</v>
      </c>
      <c r="C65" s="36" t="s">
        <v>88</v>
      </c>
      <c r="D65" s="35" t="s">
        <v>14</v>
      </c>
      <c r="E65" s="37">
        <v>1</v>
      </c>
      <c r="F65" s="37">
        <v>0</v>
      </c>
      <c r="G65" s="37">
        <v>0</v>
      </c>
      <c r="H65" s="38">
        <f t="shared" si="2"/>
        <v>1</v>
      </c>
      <c r="I65" s="37"/>
      <c r="J65" s="37" t="str">
        <f>IFERROR(IF(AVERAGEIF(TableBOM[Item ID],A65,TableBOM[Per 1000 Units])=0,"-",ROUND((H65+I65)/(AVERAGEIF(TableBOM[Item ID],A65,TableBOM[Per 1000 Units])/1000),0)),"-")</f>
        <v>-</v>
      </c>
      <c r="K65" s="75"/>
      <c r="L65" s="75"/>
      <c r="M65" s="75"/>
      <c r="N65" s="75"/>
      <c r="O65" s="75"/>
      <c r="P65" s="75"/>
    </row>
    <row r="66" spans="1:16" ht="15" customHeight="1" x14ac:dyDescent="0.25">
      <c r="A66" s="35">
        <v>110</v>
      </c>
      <c r="B66" s="35" t="s">
        <v>86</v>
      </c>
      <c r="C66" s="36" t="s">
        <v>89</v>
      </c>
      <c r="D66" s="35" t="s">
        <v>14</v>
      </c>
      <c r="E66" s="37">
        <v>2</v>
      </c>
      <c r="F66" s="37">
        <v>0</v>
      </c>
      <c r="G66" s="37">
        <v>0</v>
      </c>
      <c r="H66" s="38">
        <f t="shared" si="2"/>
        <v>2</v>
      </c>
      <c r="I66" s="37"/>
      <c r="J66" s="37" t="str">
        <f>IFERROR(IF(AVERAGEIF(TableBOM[Item ID],A66,TableBOM[Per 1000 Units])=0,"-",ROUND((H66+I66)/(AVERAGEIF(TableBOM[Item ID],A66,TableBOM[Per 1000 Units])/1000),0)),"-")</f>
        <v>-</v>
      </c>
      <c r="K66" s="74"/>
      <c r="L66" s="74"/>
      <c r="M66" s="74"/>
      <c r="N66" s="74"/>
      <c r="O66" s="74"/>
      <c r="P66" s="74"/>
    </row>
    <row r="67" spans="1:16" ht="15" customHeight="1" x14ac:dyDescent="0.25">
      <c r="A67" s="221">
        <v>124</v>
      </c>
      <c r="B67" s="221" t="s">
        <v>86</v>
      </c>
      <c r="C67" s="222" t="s">
        <v>90</v>
      </c>
      <c r="D67" s="221" t="s">
        <v>14</v>
      </c>
      <c r="E67" s="223">
        <v>0</v>
      </c>
      <c r="F67" s="223">
        <v>0</v>
      </c>
      <c r="G67" s="223">
        <v>0</v>
      </c>
      <c r="H67" s="224">
        <f t="shared" si="2"/>
        <v>0</v>
      </c>
      <c r="I67" s="223"/>
      <c r="J67" s="223" t="str">
        <f>IFERROR(IF(AVERAGEIF(TableBOM[Item ID],A67,TableBOM[Per 1000 Units])=0,"-",ROUND((H67+I67)/(AVERAGEIF(TableBOM[Item ID],A67,TableBOM[Per 1000 Units])/1000),0)),"-")</f>
        <v>-</v>
      </c>
      <c r="K67" s="75"/>
      <c r="L67" s="75"/>
      <c r="M67" s="75"/>
      <c r="N67" s="75"/>
      <c r="O67" s="75"/>
      <c r="P67" s="75"/>
    </row>
    <row r="68" spans="1:16" ht="15" customHeight="1" x14ac:dyDescent="0.25">
      <c r="A68" s="35">
        <v>127</v>
      </c>
      <c r="B68" s="35" t="s">
        <v>86</v>
      </c>
      <c r="C68" s="36" t="s">
        <v>91</v>
      </c>
      <c r="D68" s="35" t="s">
        <v>14</v>
      </c>
      <c r="E68" s="37">
        <v>2</v>
      </c>
      <c r="F68" s="37">
        <v>0</v>
      </c>
      <c r="G68" s="37">
        <v>0</v>
      </c>
      <c r="H68" s="38">
        <f t="shared" si="2"/>
        <v>2</v>
      </c>
      <c r="I68" s="37"/>
      <c r="J68" s="37" t="str">
        <f>IFERROR(IF(AVERAGEIF(TableBOM[Item ID],A68,TableBOM[Per 1000 Units])=0,"-",ROUND((H68+I68)/(AVERAGEIF(TableBOM[Item ID],A68,TableBOM[Per 1000 Units])/1000),0)),"-")</f>
        <v>-</v>
      </c>
      <c r="K68" s="75"/>
      <c r="L68" s="75"/>
      <c r="M68" s="75"/>
      <c r="N68" s="75"/>
      <c r="O68" s="75"/>
      <c r="P68" s="75"/>
    </row>
    <row r="69" spans="1:16" ht="15" customHeight="1" x14ac:dyDescent="0.25">
      <c r="A69" s="35">
        <v>129</v>
      </c>
      <c r="B69" s="35" t="s">
        <v>86</v>
      </c>
      <c r="C69" s="36" t="s">
        <v>92</v>
      </c>
      <c r="D69" s="35" t="s">
        <v>14</v>
      </c>
      <c r="E69" s="37">
        <v>2</v>
      </c>
      <c r="F69" s="37">
        <v>0</v>
      </c>
      <c r="G69" s="37">
        <v>0</v>
      </c>
      <c r="H69" s="38">
        <f t="shared" si="2"/>
        <v>2</v>
      </c>
      <c r="I69" s="37"/>
      <c r="J69" s="37" t="str">
        <f>IFERROR(IF(AVERAGEIF(TableBOM[Item ID],A69,TableBOM[Per 1000 Units])=0,"-",ROUND((H69+I69)/(AVERAGEIF(TableBOM[Item ID],A69,TableBOM[Per 1000 Units])/1000),0)),"-")</f>
        <v>-</v>
      </c>
      <c r="K69" s="75"/>
      <c r="L69" s="75"/>
      <c r="M69" s="75"/>
      <c r="N69" s="75"/>
      <c r="O69" s="75"/>
      <c r="P69" s="75"/>
    </row>
    <row r="70" spans="1:16" ht="15" customHeight="1" x14ac:dyDescent="0.25">
      <c r="A70" s="35">
        <v>130</v>
      </c>
      <c r="B70" s="35" t="s">
        <v>86</v>
      </c>
      <c r="C70" s="36" t="s">
        <v>93</v>
      </c>
      <c r="D70" s="35" t="s">
        <v>14</v>
      </c>
      <c r="E70" s="37">
        <v>1</v>
      </c>
      <c r="F70" s="37">
        <v>0</v>
      </c>
      <c r="G70" s="37">
        <v>0</v>
      </c>
      <c r="H70" s="38">
        <f t="shared" si="2"/>
        <v>1</v>
      </c>
      <c r="I70" s="37"/>
      <c r="J70" s="37" t="str">
        <f>IFERROR(IF(AVERAGEIF(TableBOM[Item ID],A70,TableBOM[Per 1000 Units])=0,"-",ROUND((H70+I70)/(AVERAGEIF(TableBOM[Item ID],A70,TableBOM[Per 1000 Units])/1000),0)),"-")</f>
        <v>-</v>
      </c>
      <c r="K70" s="74"/>
      <c r="L70" s="74"/>
      <c r="M70" s="74"/>
      <c r="N70" s="74"/>
      <c r="O70" s="74"/>
      <c r="P70" s="74"/>
    </row>
    <row r="71" spans="1:16" ht="15" customHeight="1" x14ac:dyDescent="0.25">
      <c r="A71" s="221">
        <v>1928</v>
      </c>
      <c r="B71" s="221" t="s">
        <v>86</v>
      </c>
      <c r="C71" s="222" t="s">
        <v>94</v>
      </c>
      <c r="D71" s="221" t="s">
        <v>14</v>
      </c>
      <c r="E71" s="223">
        <v>0</v>
      </c>
      <c r="F71" s="223">
        <v>0</v>
      </c>
      <c r="G71" s="223">
        <v>0</v>
      </c>
      <c r="H71" s="224">
        <f t="shared" si="2"/>
        <v>0</v>
      </c>
      <c r="I71" s="223"/>
      <c r="J71" s="223" t="str">
        <f>IFERROR(IF(AVERAGEIF(TableBOM[Item ID],A71,TableBOM[Per 1000 Units])=0,"-",ROUND((H71+I71)/(AVERAGEIF(TableBOM[Item ID],A71,TableBOM[Per 1000 Units])/1000),0)),"-")</f>
        <v>-</v>
      </c>
      <c r="K71" s="75"/>
      <c r="L71" s="75"/>
      <c r="M71" s="75"/>
      <c r="N71" s="75"/>
      <c r="O71" s="75"/>
      <c r="P71" s="75"/>
    </row>
    <row r="72" spans="1:16" ht="15" customHeight="1" x14ac:dyDescent="0.25">
      <c r="A72" s="221">
        <v>2284</v>
      </c>
      <c r="B72" s="221" t="s">
        <v>86</v>
      </c>
      <c r="C72" s="222" t="s">
        <v>95</v>
      </c>
      <c r="D72" s="221" t="s">
        <v>14</v>
      </c>
      <c r="E72" s="223">
        <v>0</v>
      </c>
      <c r="F72" s="223">
        <v>0</v>
      </c>
      <c r="G72" s="223">
        <v>0</v>
      </c>
      <c r="H72" s="224">
        <f t="shared" si="2"/>
        <v>0</v>
      </c>
      <c r="I72" s="223"/>
      <c r="J72" s="223" t="str">
        <f>IFERROR(IF(AVERAGEIF(TableBOM[Item ID],A72,TableBOM[Per 1000 Units])=0,"-",ROUND((H72+I72)/(AVERAGEIF(TableBOM[Item ID],A72,TableBOM[Per 1000 Units])/1000),0)),"-")</f>
        <v>-</v>
      </c>
      <c r="K72" s="74"/>
      <c r="L72" s="74"/>
      <c r="M72" s="74"/>
      <c r="N72" s="74"/>
      <c r="O72" s="74"/>
      <c r="P72" s="74"/>
    </row>
    <row r="73" spans="1:16" ht="15" customHeight="1" x14ac:dyDescent="0.25">
      <c r="A73" s="221">
        <v>3642</v>
      </c>
      <c r="B73" s="221" t="s">
        <v>86</v>
      </c>
      <c r="C73" s="222" t="s">
        <v>96</v>
      </c>
      <c r="D73" s="221" t="s">
        <v>14</v>
      </c>
      <c r="E73" s="223">
        <v>0</v>
      </c>
      <c r="F73" s="223">
        <v>0</v>
      </c>
      <c r="G73" s="223">
        <v>0</v>
      </c>
      <c r="H73" s="224">
        <f t="shared" si="2"/>
        <v>0</v>
      </c>
      <c r="I73" s="223"/>
      <c r="J73" s="223" t="str">
        <f>IFERROR(IF(AVERAGEIF(TableBOM[Item ID],A73,TableBOM[Per 1000 Units])=0,"-",ROUND((H73+I73)/(AVERAGEIF(TableBOM[Item ID],A73,TableBOM[Per 1000 Units])/1000),0)),"-")</f>
        <v>-</v>
      </c>
      <c r="K73" s="75"/>
      <c r="L73" s="75"/>
      <c r="M73" s="75"/>
      <c r="N73" s="75"/>
      <c r="O73" s="75"/>
      <c r="P73" s="75"/>
    </row>
    <row r="74" spans="1:16" ht="15" customHeight="1" x14ac:dyDescent="0.25">
      <c r="A74" s="35">
        <v>3734</v>
      </c>
      <c r="B74" s="35" t="s">
        <v>86</v>
      </c>
      <c r="C74" s="36" t="s">
        <v>97</v>
      </c>
      <c r="D74" s="35" t="s">
        <v>14</v>
      </c>
      <c r="E74" s="37">
        <v>1</v>
      </c>
      <c r="F74" s="37">
        <v>0</v>
      </c>
      <c r="G74" s="37">
        <v>0</v>
      </c>
      <c r="H74" s="38">
        <f t="shared" si="2"/>
        <v>1</v>
      </c>
      <c r="I74" s="37"/>
      <c r="J74" s="37" t="str">
        <f>IFERROR(IF(AVERAGEIF(TableBOM[Item ID],A74,TableBOM[Per 1000 Units])=0,"-",ROUND((H74+I74)/(AVERAGEIF(TableBOM[Item ID],A74,TableBOM[Per 1000 Units])/1000),0)),"-")</f>
        <v>-</v>
      </c>
      <c r="K74" s="75"/>
      <c r="L74" s="75"/>
      <c r="M74" s="75"/>
      <c r="N74" s="75"/>
      <c r="O74" s="75"/>
      <c r="P74" s="75"/>
    </row>
    <row r="75" spans="1:16" ht="15" customHeight="1" x14ac:dyDescent="0.25">
      <c r="A75" s="35">
        <v>3736</v>
      </c>
      <c r="B75" s="35" t="s">
        <v>86</v>
      </c>
      <c r="C75" s="36" t="s">
        <v>98</v>
      </c>
      <c r="D75" s="35" t="s">
        <v>14</v>
      </c>
      <c r="E75" s="37">
        <v>3.6</v>
      </c>
      <c r="F75" s="37">
        <v>0</v>
      </c>
      <c r="G75" s="37">
        <v>0</v>
      </c>
      <c r="H75" s="38">
        <f t="shared" si="2"/>
        <v>3.6</v>
      </c>
      <c r="I75" s="37"/>
      <c r="J75" s="37" t="str">
        <f>IFERROR(IF(AVERAGEIF(TableBOM[Item ID],A75,TableBOM[Per 1000 Units])=0,"-",ROUND((H75+I75)/(AVERAGEIF(TableBOM[Item ID],A75,TableBOM[Per 1000 Units])/1000),0)),"-")</f>
        <v>-</v>
      </c>
      <c r="K75" s="74"/>
      <c r="L75" s="74"/>
      <c r="M75" s="74"/>
      <c r="N75" s="74"/>
      <c r="O75" s="74"/>
      <c r="P75" s="74"/>
    </row>
    <row r="76" spans="1:16" ht="15" customHeight="1" x14ac:dyDescent="0.25">
      <c r="A76" s="35">
        <v>3754</v>
      </c>
      <c r="B76" s="35" t="s">
        <v>86</v>
      </c>
      <c r="C76" s="36" t="s">
        <v>99</v>
      </c>
      <c r="D76" s="35" t="s">
        <v>14</v>
      </c>
      <c r="E76" s="37">
        <v>3</v>
      </c>
      <c r="F76" s="37">
        <v>0</v>
      </c>
      <c r="G76" s="37">
        <v>0</v>
      </c>
      <c r="H76" s="38">
        <f t="shared" ref="H76:H92" si="3">E76+F76-G76</f>
        <v>3</v>
      </c>
      <c r="I76" s="37"/>
      <c r="J76" s="37">
        <f>IFERROR(IF(AVERAGEIF(TableBOM[Item ID],A76,TableBOM[Per 1000 Units])=0,"-",ROUND((H76+I76)/(AVERAGEIF(TableBOM[Item ID],A76,TableBOM[Per 1000 Units])/1000),0)),"-")</f>
        <v>120000</v>
      </c>
      <c r="K76" s="74"/>
      <c r="L76" s="74"/>
      <c r="M76" s="74"/>
      <c r="N76" s="74"/>
      <c r="O76" s="74"/>
      <c r="P76" s="74"/>
    </row>
    <row r="77" spans="1:16" ht="15" customHeight="1" x14ac:dyDescent="0.25">
      <c r="A77" s="221">
        <v>3755</v>
      </c>
      <c r="B77" s="221" t="s">
        <v>86</v>
      </c>
      <c r="C77" s="222" t="s">
        <v>100</v>
      </c>
      <c r="D77" s="221" t="s">
        <v>14</v>
      </c>
      <c r="E77" s="223">
        <v>0</v>
      </c>
      <c r="F77" s="223">
        <v>0</v>
      </c>
      <c r="G77" s="223">
        <v>0</v>
      </c>
      <c r="H77" s="224">
        <f t="shared" si="3"/>
        <v>0</v>
      </c>
      <c r="I77" s="223"/>
      <c r="J77" s="223" t="str">
        <f>IFERROR(IF(AVERAGEIF(TableBOM[Item ID],A77,TableBOM[Per 1000 Units])=0,"-",ROUND((H77+I77)/(AVERAGEIF(TableBOM[Item ID],A77,TableBOM[Per 1000 Units])/1000),0)),"-")</f>
        <v>-</v>
      </c>
      <c r="K77" s="74"/>
      <c r="L77" s="74"/>
      <c r="M77" s="74"/>
      <c r="N77" s="74"/>
      <c r="O77" s="74"/>
      <c r="P77" s="74"/>
    </row>
    <row r="78" spans="1:16" ht="15" customHeight="1" x14ac:dyDescent="0.25">
      <c r="A78" s="35">
        <v>3800</v>
      </c>
      <c r="B78" s="35" t="s">
        <v>86</v>
      </c>
      <c r="C78" s="36" t="s">
        <v>101</v>
      </c>
      <c r="D78" s="35" t="s">
        <v>14</v>
      </c>
      <c r="E78" s="37">
        <v>1</v>
      </c>
      <c r="F78" s="37">
        <v>0</v>
      </c>
      <c r="G78" s="37">
        <v>0</v>
      </c>
      <c r="H78" s="38">
        <f t="shared" si="3"/>
        <v>1</v>
      </c>
      <c r="I78" s="37"/>
      <c r="J78" s="37" t="str">
        <f>IFERROR(IF(AVERAGEIF(TableBOM[Item ID],A78,TableBOM[Per 1000 Units])=0,"-",ROUND((H78+I78)/(AVERAGEIF(TableBOM[Item ID],A78,TableBOM[Per 1000 Units])/1000),0)),"-")</f>
        <v>-</v>
      </c>
      <c r="K78" s="75"/>
      <c r="L78" s="75"/>
      <c r="M78" s="75"/>
      <c r="N78" s="75"/>
      <c r="O78" s="75"/>
      <c r="P78" s="75"/>
    </row>
    <row r="79" spans="1:16" ht="15" customHeight="1" x14ac:dyDescent="0.25">
      <c r="A79" s="221">
        <v>3857</v>
      </c>
      <c r="B79" s="221" t="s">
        <v>86</v>
      </c>
      <c r="C79" s="222" t="s">
        <v>102</v>
      </c>
      <c r="D79" s="221" t="s">
        <v>14</v>
      </c>
      <c r="E79" s="223">
        <v>0</v>
      </c>
      <c r="F79" s="223">
        <v>0</v>
      </c>
      <c r="G79" s="223">
        <v>0</v>
      </c>
      <c r="H79" s="224">
        <f t="shared" si="3"/>
        <v>0</v>
      </c>
      <c r="I79" s="223"/>
      <c r="J79" s="223">
        <f>IFERROR(IF(AVERAGEIF(TableBOM[Item ID],A79,TableBOM[Per 1000 Units])=0,"-",ROUND((H79+I79)/(AVERAGEIF(TableBOM[Item ID],A79,TableBOM[Per 1000 Units])/1000),0)),"-")</f>
        <v>0</v>
      </c>
    </row>
    <row r="80" spans="1:16" ht="15" customHeight="1" x14ac:dyDescent="0.25">
      <c r="A80" s="221">
        <v>3858</v>
      </c>
      <c r="B80" s="221" t="s">
        <v>86</v>
      </c>
      <c r="C80" s="222" t="s">
        <v>103</v>
      </c>
      <c r="D80" s="221" t="s">
        <v>14</v>
      </c>
      <c r="E80" s="223">
        <v>0</v>
      </c>
      <c r="F80" s="223">
        <v>0</v>
      </c>
      <c r="G80" s="223">
        <v>0</v>
      </c>
      <c r="H80" s="224">
        <f t="shared" si="3"/>
        <v>0</v>
      </c>
      <c r="I80" s="223"/>
      <c r="J80" s="223" t="str">
        <f>IFERROR(IF(AVERAGEIF(TableBOM[Item ID],A80,TableBOM[Per 1000 Units])=0,"-",ROUND((H80+I80)/(AVERAGEIF(TableBOM[Item ID],A80,TableBOM[Per 1000 Units])/1000),0)),"-")</f>
        <v>-</v>
      </c>
    </row>
    <row r="81" spans="1:10" ht="15" customHeight="1" x14ac:dyDescent="0.25">
      <c r="A81" s="35">
        <v>3955</v>
      </c>
      <c r="B81" s="35" t="s">
        <v>86</v>
      </c>
      <c r="C81" s="36" t="s">
        <v>104</v>
      </c>
      <c r="D81" s="35" t="s">
        <v>14</v>
      </c>
      <c r="E81" s="37">
        <v>1</v>
      </c>
      <c r="F81" s="37">
        <v>0</v>
      </c>
      <c r="G81" s="37">
        <v>0</v>
      </c>
      <c r="H81" s="38">
        <f t="shared" si="3"/>
        <v>1</v>
      </c>
      <c r="I81" s="37"/>
      <c r="J81" s="37">
        <f>IFERROR(IF(AVERAGEIF(TableBOM[Item ID],A81,TableBOM[Per 1000 Units])=0,"-",ROUND((H81+I81)/(AVERAGEIF(TableBOM[Item ID],A81,TableBOM[Per 1000 Units])/1000),0)),"-")</f>
        <v>40000</v>
      </c>
    </row>
    <row r="82" spans="1:10" ht="15" customHeight="1" x14ac:dyDescent="0.25">
      <c r="A82" s="35">
        <v>3968</v>
      </c>
      <c r="B82" s="35" t="s">
        <v>86</v>
      </c>
      <c r="C82" s="36" t="s">
        <v>105</v>
      </c>
      <c r="D82" s="35" t="s">
        <v>14</v>
      </c>
      <c r="E82" s="37">
        <v>4</v>
      </c>
      <c r="F82" s="37">
        <v>0</v>
      </c>
      <c r="G82" s="37">
        <v>0</v>
      </c>
      <c r="H82" s="38">
        <f t="shared" si="3"/>
        <v>4</v>
      </c>
      <c r="I82" s="37"/>
      <c r="J82" s="37" t="str">
        <f>IFERROR(IF(AVERAGEIF(TableBOM[Item ID],A82,TableBOM[Per 1000 Units])=0,"-",ROUND((H82+I82)/(AVERAGEIF(TableBOM[Item ID],A82,TableBOM[Per 1000 Units])/1000),0)),"-")</f>
        <v>-</v>
      </c>
    </row>
    <row r="83" spans="1:10" ht="15" customHeight="1" x14ac:dyDescent="0.25">
      <c r="A83" s="35">
        <v>4216</v>
      </c>
      <c r="B83" s="35" t="s">
        <v>86</v>
      </c>
      <c r="C83" s="36" t="s">
        <v>106</v>
      </c>
      <c r="D83" s="35" t="s">
        <v>14</v>
      </c>
      <c r="E83" s="37">
        <v>1</v>
      </c>
      <c r="F83" s="37">
        <v>0</v>
      </c>
      <c r="G83" s="37">
        <v>0</v>
      </c>
      <c r="H83" s="38">
        <f t="shared" si="3"/>
        <v>1</v>
      </c>
      <c r="I83" s="37"/>
      <c r="J83" s="37" t="str">
        <f>IFERROR(IF(AVERAGEIF(TableBOM[Item ID],A83,TableBOM[Per 1000 Units])=0,"-",ROUND((H83+I83)/(AVERAGEIF(TableBOM[Item ID],A83,TableBOM[Per 1000 Units])/1000),0)),"-")</f>
        <v>-</v>
      </c>
    </row>
    <row r="84" spans="1:10" ht="15" customHeight="1" x14ac:dyDescent="0.25">
      <c r="A84" s="35">
        <v>4306</v>
      </c>
      <c r="B84" s="35" t="s">
        <v>86</v>
      </c>
      <c r="C84" s="36" t="s">
        <v>107</v>
      </c>
      <c r="D84" s="35" t="s">
        <v>14</v>
      </c>
      <c r="E84" s="37">
        <v>3</v>
      </c>
      <c r="F84" s="37">
        <v>0</v>
      </c>
      <c r="G84" s="37">
        <v>0</v>
      </c>
      <c r="H84" s="38">
        <f t="shared" si="3"/>
        <v>3</v>
      </c>
      <c r="I84" s="37"/>
      <c r="J84" s="37" t="str">
        <f>IFERROR(IF(AVERAGEIF(TableBOM[Item ID],A84,TableBOM[Per 1000 Units])=0,"-",ROUND((H84+I84)/(AVERAGEIF(TableBOM[Item ID],A84,TableBOM[Per 1000 Units])/1000),0)),"-")</f>
        <v>-</v>
      </c>
    </row>
    <row r="85" spans="1:10" ht="15" customHeight="1" x14ac:dyDescent="0.25">
      <c r="A85" s="35">
        <v>5107</v>
      </c>
      <c r="B85" s="35" t="s">
        <v>86</v>
      </c>
      <c r="C85" s="36" t="s">
        <v>108</v>
      </c>
      <c r="D85" s="35" t="s">
        <v>14</v>
      </c>
      <c r="E85" s="37">
        <v>2</v>
      </c>
      <c r="F85" s="37">
        <v>0</v>
      </c>
      <c r="G85" s="37">
        <v>0</v>
      </c>
      <c r="H85" s="38">
        <f t="shared" si="3"/>
        <v>2</v>
      </c>
      <c r="I85" s="37"/>
      <c r="J85" s="37" t="str">
        <f>IFERROR(IF(AVERAGEIF(TableBOM[Item ID],A85,TableBOM[Per 1000 Units])=0,"-",ROUND((H85+I85)/(AVERAGEIF(TableBOM[Item ID],A85,TableBOM[Per 1000 Units])/1000),0)),"-")</f>
        <v>-</v>
      </c>
    </row>
    <row r="86" spans="1:10" ht="15" customHeight="1" x14ac:dyDescent="0.25">
      <c r="A86" s="221">
        <v>6038</v>
      </c>
      <c r="B86" s="221" t="s">
        <v>86</v>
      </c>
      <c r="C86" s="222" t="s">
        <v>109</v>
      </c>
      <c r="D86" s="221" t="s">
        <v>14</v>
      </c>
      <c r="E86" s="223">
        <v>0</v>
      </c>
      <c r="F86" s="223">
        <v>0</v>
      </c>
      <c r="G86" s="223">
        <v>0</v>
      </c>
      <c r="H86" s="224">
        <f t="shared" si="3"/>
        <v>0</v>
      </c>
      <c r="I86" s="223"/>
      <c r="J86" s="223" t="str">
        <f>IFERROR(IF(AVERAGEIF(TableBOM[Item ID],A86,TableBOM[Per 1000 Units])=0,"-",ROUND((H86+I86)/(AVERAGEIF(TableBOM[Item ID],A86,TableBOM[Per 1000 Units])/1000),0)),"-")</f>
        <v>-</v>
      </c>
    </row>
    <row r="87" spans="1:10" ht="15" customHeight="1" x14ac:dyDescent="0.25">
      <c r="A87" s="35">
        <v>6040</v>
      </c>
      <c r="B87" s="35" t="s">
        <v>86</v>
      </c>
      <c r="C87" s="36" t="s">
        <v>110</v>
      </c>
      <c r="D87" s="35" t="s">
        <v>14</v>
      </c>
      <c r="E87" s="37">
        <v>2</v>
      </c>
      <c r="F87" s="37">
        <v>0</v>
      </c>
      <c r="G87" s="37">
        <v>0</v>
      </c>
      <c r="H87" s="38">
        <f t="shared" si="3"/>
        <v>2</v>
      </c>
      <c r="I87" s="37"/>
      <c r="J87" s="37" t="str">
        <f>IFERROR(IF(AVERAGEIF(TableBOM[Item ID],A87,TableBOM[Per 1000 Units])=0,"-",ROUND((H87+I87)/(AVERAGEIF(TableBOM[Item ID],A87,TableBOM[Per 1000 Units])/1000),0)),"-")</f>
        <v>-</v>
      </c>
    </row>
    <row r="88" spans="1:10" ht="15" customHeight="1" x14ac:dyDescent="0.25">
      <c r="A88" s="221">
        <v>6935</v>
      </c>
      <c r="B88" s="221" t="s">
        <v>86</v>
      </c>
      <c r="C88" s="222" t="s">
        <v>111</v>
      </c>
      <c r="D88" s="221" t="s">
        <v>14</v>
      </c>
      <c r="E88" s="223">
        <v>0</v>
      </c>
      <c r="F88" s="223">
        <v>0</v>
      </c>
      <c r="G88" s="223">
        <v>0</v>
      </c>
      <c r="H88" s="224">
        <f t="shared" si="3"/>
        <v>0</v>
      </c>
      <c r="I88" s="223"/>
      <c r="J88" s="223">
        <f>IFERROR(IF(AVERAGEIF(TableBOM[Item ID],A88,TableBOM[Per 1000 Units])=0,"-",ROUND((H88+I88)/(AVERAGEIF(TableBOM[Item ID],A88,TableBOM[Per 1000 Units])/1000),0)),"-")</f>
        <v>0</v>
      </c>
    </row>
    <row r="89" spans="1:10" ht="15" customHeight="1" x14ac:dyDescent="0.25">
      <c r="A89" s="221">
        <v>7094</v>
      </c>
      <c r="B89" s="221" t="s">
        <v>86</v>
      </c>
      <c r="C89" s="222" t="s">
        <v>112</v>
      </c>
      <c r="D89" s="221" t="s">
        <v>14</v>
      </c>
      <c r="E89" s="223">
        <v>0</v>
      </c>
      <c r="F89" s="223">
        <v>0</v>
      </c>
      <c r="G89" s="223">
        <v>0</v>
      </c>
      <c r="H89" s="224">
        <f t="shared" si="3"/>
        <v>0</v>
      </c>
      <c r="I89" s="223"/>
      <c r="J89" s="223" t="str">
        <f>IFERROR(IF(AVERAGEIF(TableBOM[Item ID],A89,TableBOM[Per 1000 Units])=0,"-",ROUND((H89+I89)/(AVERAGEIF(TableBOM[Item ID],A89,TableBOM[Per 1000 Units])/1000),0)),"-")</f>
        <v>-</v>
      </c>
    </row>
    <row r="90" spans="1:10" ht="15" customHeight="1" x14ac:dyDescent="0.25">
      <c r="A90" s="221">
        <v>7095</v>
      </c>
      <c r="B90" s="221" t="s">
        <v>86</v>
      </c>
      <c r="C90" s="222" t="s">
        <v>113</v>
      </c>
      <c r="D90" s="221" t="s">
        <v>14</v>
      </c>
      <c r="E90" s="223">
        <v>0</v>
      </c>
      <c r="F90" s="223">
        <v>0</v>
      </c>
      <c r="G90" s="223">
        <v>0</v>
      </c>
      <c r="H90" s="224">
        <f t="shared" si="3"/>
        <v>0</v>
      </c>
      <c r="I90" s="223"/>
      <c r="J90" s="223" t="str">
        <f>IFERROR(IF(AVERAGEIF(TableBOM[Item ID],A90,TableBOM[Per 1000 Units])=0,"-",ROUND((H90+I90)/(AVERAGEIF(TableBOM[Item ID],A90,TableBOM[Per 1000 Units])/1000),0)),"-")</f>
        <v>-</v>
      </c>
    </row>
    <row r="91" spans="1:10" ht="15" customHeight="1" x14ac:dyDescent="0.25">
      <c r="A91" s="35">
        <v>7152</v>
      </c>
      <c r="B91" s="35" t="s">
        <v>86</v>
      </c>
      <c r="C91" s="36" t="s">
        <v>114</v>
      </c>
      <c r="D91" s="35" t="s">
        <v>14</v>
      </c>
      <c r="E91" s="37">
        <v>2</v>
      </c>
      <c r="F91" s="37">
        <v>0</v>
      </c>
      <c r="G91" s="37">
        <v>0</v>
      </c>
      <c r="H91" s="38">
        <f t="shared" si="3"/>
        <v>2</v>
      </c>
      <c r="I91" s="37"/>
      <c r="J91" s="37" t="str">
        <f>IFERROR(IF(AVERAGEIF(TableBOM[Item ID],A91,TableBOM[Per 1000 Units])=0,"-",ROUND((H91+I91)/(AVERAGEIF(TableBOM[Item ID],A91,TableBOM[Per 1000 Units])/1000),0)),"-")</f>
        <v>-</v>
      </c>
    </row>
    <row r="92" spans="1:10" ht="15" customHeight="1" x14ac:dyDescent="0.25">
      <c r="A92" s="35">
        <v>7398</v>
      </c>
      <c r="B92" s="35" t="s">
        <v>86</v>
      </c>
      <c r="C92" s="36" t="s">
        <v>115</v>
      </c>
      <c r="D92" s="35" t="s">
        <v>14</v>
      </c>
      <c r="E92" s="37">
        <v>4</v>
      </c>
      <c r="F92" s="37">
        <v>0</v>
      </c>
      <c r="G92" s="37">
        <v>0</v>
      </c>
      <c r="H92" s="38">
        <f t="shared" si="3"/>
        <v>4</v>
      </c>
      <c r="I92" s="37"/>
      <c r="J92" s="37" t="str">
        <f>IFERROR(IF(AVERAGEIF(TableBOM[Item ID],A92,TableBOM[Per 1000 Units])=0,"-",ROUND((H92+I92)/(AVERAGEIF(TableBOM[Item ID],A92,TableBOM[Per 1000 Units])/1000),0)),"-")</f>
        <v>-</v>
      </c>
    </row>
    <row r="93" spans="1:10" ht="15" customHeight="1" x14ac:dyDescent="0.25"/>
    <row r="94" spans="1:10" ht="15" customHeight="1" x14ac:dyDescent="0.35">
      <c r="A94" s="72" t="s">
        <v>116</v>
      </c>
      <c r="B94" s="73"/>
      <c r="C94" s="73"/>
      <c r="D94" s="73"/>
      <c r="E94" s="73"/>
      <c r="F94" s="73"/>
      <c r="G94" s="73"/>
      <c r="H94" s="73"/>
      <c r="I94" s="73"/>
      <c r="J94" s="73"/>
    </row>
    <row r="95" spans="1:10" ht="36" customHeight="1" x14ac:dyDescent="0.25">
      <c r="A95" s="12" t="s">
        <v>2</v>
      </c>
      <c r="B95" s="12" t="s">
        <v>3</v>
      </c>
      <c r="C95" s="12" t="s">
        <v>4</v>
      </c>
      <c r="D95" s="12" t="s">
        <v>5</v>
      </c>
      <c r="E95" s="12" t="s">
        <v>6</v>
      </c>
      <c r="F95" s="12" t="s">
        <v>7</v>
      </c>
      <c r="G95" s="12" t="s">
        <v>8</v>
      </c>
      <c r="H95" s="12"/>
      <c r="I95" s="12" t="s">
        <v>10</v>
      </c>
      <c r="J95" s="12"/>
    </row>
    <row r="96" spans="1:10" ht="15" customHeight="1" x14ac:dyDescent="0.25">
      <c r="A96" s="35">
        <v>2680</v>
      </c>
      <c r="B96" s="35" t="s">
        <v>117</v>
      </c>
      <c r="C96" s="36" t="s">
        <v>118</v>
      </c>
      <c r="D96" s="35" t="s">
        <v>14</v>
      </c>
      <c r="E96" s="37">
        <v>1750</v>
      </c>
      <c r="F96" s="37">
        <v>0</v>
      </c>
      <c r="G96" s="37">
        <v>0</v>
      </c>
      <c r="H96" s="38">
        <f t="shared" ref="H96:H111" si="4">E96+F96-G96</f>
        <v>1750</v>
      </c>
      <c r="I96" s="37">
        <v>250</v>
      </c>
      <c r="J96" s="37">
        <f>IFERROR(IF(AVERAGEIF(TableBOM[Item ID],A96,TableBOM[Per 1000 Units])=0,"-",ROUND((H96+I96)/(AVERAGEIF(TableBOM[Item ID],A96,TableBOM[Per 1000 Units])/1000),0)),"-")</f>
        <v>83918</v>
      </c>
    </row>
    <row r="97" spans="1:10" ht="15" customHeight="1" x14ac:dyDescent="0.25">
      <c r="A97" s="35">
        <v>3492</v>
      </c>
      <c r="B97" s="35" t="s">
        <v>119</v>
      </c>
      <c r="C97" s="36" t="s">
        <v>120</v>
      </c>
      <c r="D97" s="35" t="s">
        <v>14</v>
      </c>
      <c r="E97" s="37">
        <v>75</v>
      </c>
      <c r="F97" s="37">
        <v>0</v>
      </c>
      <c r="G97" s="37">
        <v>0</v>
      </c>
      <c r="H97" s="38">
        <f t="shared" si="4"/>
        <v>75</v>
      </c>
      <c r="I97" s="37">
        <v>0</v>
      </c>
      <c r="J97" s="37" t="str">
        <f>IFERROR(IF(AVERAGEIF(TableBOM[Item ID],A97,TableBOM[Per 1000 Units])=0,"-",ROUND((H97+I97)/(AVERAGEIF(TableBOM[Item ID],A97,TableBOM[Per 1000 Units])/1000),0)),"-")</f>
        <v>-</v>
      </c>
    </row>
    <row r="98" spans="1:10" ht="15" customHeight="1" x14ac:dyDescent="0.25">
      <c r="A98" s="35">
        <v>4002</v>
      </c>
      <c r="B98" s="35" t="s">
        <v>119</v>
      </c>
      <c r="C98" s="36" t="s">
        <v>121</v>
      </c>
      <c r="D98" s="35" t="s">
        <v>14</v>
      </c>
      <c r="E98" s="37">
        <v>25</v>
      </c>
      <c r="F98" s="37">
        <v>75</v>
      </c>
      <c r="G98" s="37">
        <v>0</v>
      </c>
      <c r="H98" s="38">
        <f t="shared" si="4"/>
        <v>100</v>
      </c>
      <c r="I98" s="37">
        <v>0</v>
      </c>
      <c r="J98" s="37" t="str">
        <f>IFERROR(IF(AVERAGEIF(TableBOM[Item ID],A98,TableBOM[Per 1000 Units])=0,"-",ROUND((H98+I98)/(AVERAGEIF(TableBOM[Item ID],A98,TableBOM[Per 1000 Units])/1000),0)),"-")</f>
        <v>-</v>
      </c>
    </row>
    <row r="99" spans="1:10" ht="15" customHeight="1" x14ac:dyDescent="0.25">
      <c r="A99" s="221">
        <v>4070</v>
      </c>
      <c r="B99" s="221" t="s">
        <v>119</v>
      </c>
      <c r="C99" s="222" t="s">
        <v>122</v>
      </c>
      <c r="D99" s="221" t="s">
        <v>14</v>
      </c>
      <c r="E99" s="223">
        <v>0</v>
      </c>
      <c r="F99" s="223">
        <v>0</v>
      </c>
      <c r="G99" s="223">
        <v>0</v>
      </c>
      <c r="H99" s="224">
        <f t="shared" si="4"/>
        <v>0</v>
      </c>
      <c r="I99" s="223">
        <v>0</v>
      </c>
      <c r="J99" s="223">
        <f>IFERROR(IF(AVERAGEIF(TableBOM[Item ID],A99,TableBOM[Per 1000 Units])=0,"-",ROUND((H99+I99)/(AVERAGEIF(TableBOM[Item ID],A99,TableBOM[Per 1000 Units])/1000),0)),"-")</f>
        <v>0</v>
      </c>
    </row>
    <row r="100" spans="1:10" ht="15" customHeight="1" x14ac:dyDescent="0.25">
      <c r="A100" s="35">
        <v>4310</v>
      </c>
      <c r="B100" s="35" t="s">
        <v>119</v>
      </c>
      <c r="C100" s="36" t="s">
        <v>123</v>
      </c>
      <c r="D100" s="35" t="s">
        <v>14</v>
      </c>
      <c r="E100" s="37">
        <v>36.229999999999997</v>
      </c>
      <c r="F100" s="37">
        <v>0</v>
      </c>
      <c r="G100" s="37">
        <v>0</v>
      </c>
      <c r="H100" s="38">
        <f t="shared" si="4"/>
        <v>36.229999999999997</v>
      </c>
      <c r="I100" s="37">
        <v>0</v>
      </c>
      <c r="J100" s="37" t="str">
        <f>IFERROR(IF(AVERAGEIF(TableBOM[Item ID],A100,TableBOM[Per 1000 Units])=0,"-",ROUND((H100+I100)/(AVERAGEIF(TableBOM[Item ID],A100,TableBOM[Per 1000 Units])/1000),0)),"-")</f>
        <v>-</v>
      </c>
    </row>
    <row r="101" spans="1:10" ht="15" customHeight="1" x14ac:dyDescent="0.25">
      <c r="A101" s="35">
        <v>5625</v>
      </c>
      <c r="B101" s="35" t="s">
        <v>119</v>
      </c>
      <c r="C101" s="36" t="s">
        <v>124</v>
      </c>
      <c r="D101" s="35" t="s">
        <v>14</v>
      </c>
      <c r="E101" s="37">
        <v>48.5</v>
      </c>
      <c r="F101" s="37">
        <v>0</v>
      </c>
      <c r="G101" s="37">
        <v>0</v>
      </c>
      <c r="H101" s="38">
        <f t="shared" si="4"/>
        <v>48.5</v>
      </c>
      <c r="I101" s="37">
        <v>0</v>
      </c>
      <c r="J101" s="37" t="str">
        <f>IFERROR(IF(AVERAGEIF(TableBOM[Item ID],A101,TableBOM[Per 1000 Units])=0,"-",ROUND((H101+I101)/(AVERAGEIF(TableBOM[Item ID],A101,TableBOM[Per 1000 Units])/1000),0)),"-")</f>
        <v>-</v>
      </c>
    </row>
    <row r="102" spans="1:10" ht="15" customHeight="1" x14ac:dyDescent="0.25">
      <c r="A102" s="221">
        <v>5816</v>
      </c>
      <c r="B102" s="221" t="s">
        <v>119</v>
      </c>
      <c r="C102" s="222" t="s">
        <v>125</v>
      </c>
      <c r="D102" s="221" t="s">
        <v>14</v>
      </c>
      <c r="E102" s="223">
        <v>0</v>
      </c>
      <c r="F102" s="223">
        <v>0</v>
      </c>
      <c r="G102" s="223">
        <v>0</v>
      </c>
      <c r="H102" s="224">
        <f t="shared" si="4"/>
        <v>0</v>
      </c>
      <c r="I102" s="223">
        <v>0</v>
      </c>
      <c r="J102" s="223">
        <f>IFERROR(IF(AVERAGEIF(TableBOM[Item ID],A102,TableBOM[Per 1000 Units])=0,"-",ROUND((H102+I102)/(AVERAGEIF(TableBOM[Item ID],A102,TableBOM[Per 1000 Units])/1000),0)),"-")</f>
        <v>0</v>
      </c>
    </row>
    <row r="103" spans="1:10" ht="15" customHeight="1" x14ac:dyDescent="0.25">
      <c r="A103" s="35">
        <v>6135</v>
      </c>
      <c r="B103" s="35" t="s">
        <v>119</v>
      </c>
      <c r="C103" s="36" t="s">
        <v>126</v>
      </c>
      <c r="D103" s="35" t="s">
        <v>14</v>
      </c>
      <c r="E103" s="37">
        <v>200</v>
      </c>
      <c r="F103" s="37">
        <v>0</v>
      </c>
      <c r="G103" s="37">
        <v>0</v>
      </c>
      <c r="H103" s="38">
        <f t="shared" si="4"/>
        <v>200</v>
      </c>
      <c r="I103" s="37">
        <v>0</v>
      </c>
      <c r="J103" s="37" t="str">
        <f>IFERROR(IF(AVERAGEIF(TableBOM[Item ID],A103,TableBOM[Per 1000 Units])=0,"-",ROUND((H103+I103)/(AVERAGEIF(TableBOM[Item ID],A103,TableBOM[Per 1000 Units])/1000),0)),"-")</f>
        <v>-</v>
      </c>
    </row>
    <row r="104" spans="1:10" ht="15" customHeight="1" x14ac:dyDescent="0.25">
      <c r="A104" s="35">
        <v>7133</v>
      </c>
      <c r="B104" s="35" t="s">
        <v>119</v>
      </c>
      <c r="C104" s="36" t="s">
        <v>127</v>
      </c>
      <c r="D104" s="35" t="s">
        <v>14</v>
      </c>
      <c r="E104" s="37">
        <v>20</v>
      </c>
      <c r="F104" s="37">
        <v>0</v>
      </c>
      <c r="G104" s="37">
        <v>0</v>
      </c>
      <c r="H104" s="38">
        <f t="shared" si="4"/>
        <v>20</v>
      </c>
      <c r="I104" s="37">
        <v>0</v>
      </c>
      <c r="J104" s="37" t="str">
        <f>IFERROR(IF(AVERAGEIF(TableBOM[Item ID],A104,TableBOM[Per 1000 Units])=0,"-",ROUND((H104+I104)/(AVERAGEIF(TableBOM[Item ID],A104,TableBOM[Per 1000 Units])/1000),0)),"-")</f>
        <v>-</v>
      </c>
    </row>
    <row r="105" spans="1:10" ht="15" customHeight="1" x14ac:dyDescent="0.25">
      <c r="A105" s="35">
        <v>7412</v>
      </c>
      <c r="B105" s="35" t="s">
        <v>119</v>
      </c>
      <c r="C105" s="36" t="s">
        <v>128</v>
      </c>
      <c r="D105" s="35" t="s">
        <v>14</v>
      </c>
      <c r="E105" s="37">
        <v>25</v>
      </c>
      <c r="F105" s="37">
        <v>0</v>
      </c>
      <c r="G105" s="37">
        <v>0</v>
      </c>
      <c r="H105" s="38">
        <f t="shared" si="4"/>
        <v>25</v>
      </c>
      <c r="I105" s="37">
        <v>0</v>
      </c>
      <c r="J105" s="37">
        <f>IFERROR(IF(AVERAGEIF(TableBOM[Item ID],A105,TableBOM[Per 1000 Units])=0,"-",ROUND((H105+I105)/(AVERAGEIF(TableBOM[Item ID],A105,TableBOM[Per 1000 Units])/1000),0)),"-")</f>
        <v>38760</v>
      </c>
    </row>
    <row r="106" spans="1:10" ht="15" customHeight="1" x14ac:dyDescent="0.25">
      <c r="A106" s="35">
        <v>3752</v>
      </c>
      <c r="B106" s="35" t="s">
        <v>129</v>
      </c>
      <c r="C106" s="36" t="s">
        <v>130</v>
      </c>
      <c r="D106" s="35" t="s">
        <v>14</v>
      </c>
      <c r="E106" s="37">
        <v>56</v>
      </c>
      <c r="F106" s="37">
        <v>0</v>
      </c>
      <c r="G106" s="37">
        <v>0</v>
      </c>
      <c r="H106" s="38">
        <f t="shared" si="4"/>
        <v>56</v>
      </c>
      <c r="I106" s="37"/>
      <c r="J106" s="37" t="str">
        <f>IFERROR(IF(AVERAGEIF(TableBOM[Item ID],A106,TableBOM[Per 1000 Units])=0,"-",ROUND((H106+I106)/(AVERAGEIF(TableBOM[Item ID],A106,TableBOM[Per 1000 Units])/1000),0)),"-")</f>
        <v>-</v>
      </c>
    </row>
    <row r="107" spans="1:10" ht="15" customHeight="1" x14ac:dyDescent="0.25">
      <c r="A107" s="35">
        <v>4248</v>
      </c>
      <c r="B107" s="35" t="s">
        <v>129</v>
      </c>
      <c r="C107" s="36" t="s">
        <v>131</v>
      </c>
      <c r="D107" s="35" t="s">
        <v>14</v>
      </c>
      <c r="E107" s="37">
        <v>250</v>
      </c>
      <c r="F107" s="37">
        <v>0</v>
      </c>
      <c r="G107" s="37">
        <v>0</v>
      </c>
      <c r="H107" s="38">
        <f t="shared" si="4"/>
        <v>250</v>
      </c>
      <c r="I107" s="37"/>
      <c r="J107" s="37" t="str">
        <f>IFERROR(IF(AVERAGEIF(TableBOM[Item ID],A107,TableBOM[Per 1000 Units])=0,"-",ROUND((H107+I107)/(AVERAGEIF(TableBOM[Item ID],A107,TableBOM[Per 1000 Units])/1000),0)),"-")</f>
        <v>-</v>
      </c>
    </row>
    <row r="108" spans="1:10" ht="15" customHeight="1" x14ac:dyDescent="0.25">
      <c r="A108" s="35">
        <v>6042</v>
      </c>
      <c r="B108" s="35" t="s">
        <v>129</v>
      </c>
      <c r="C108" s="36" t="s">
        <v>132</v>
      </c>
      <c r="D108" s="35" t="s">
        <v>14</v>
      </c>
      <c r="E108" s="37">
        <v>25</v>
      </c>
      <c r="F108" s="37">
        <v>0</v>
      </c>
      <c r="G108" s="37">
        <v>0</v>
      </c>
      <c r="H108" s="38">
        <f t="shared" si="4"/>
        <v>25</v>
      </c>
      <c r="I108" s="37"/>
      <c r="J108" s="37" t="str">
        <f>IFERROR(IF(AVERAGEIF(TableBOM[Item ID],A108,TableBOM[Per 1000 Units])=0,"-",ROUND((H108+I108)/(AVERAGEIF(TableBOM[Item ID],A108,TableBOM[Per 1000 Units])/1000),0)),"-")</f>
        <v>-</v>
      </c>
    </row>
    <row r="109" spans="1:10" ht="15" customHeight="1" x14ac:dyDescent="0.25">
      <c r="A109" s="35">
        <v>2267</v>
      </c>
      <c r="B109" s="35" t="s">
        <v>133</v>
      </c>
      <c r="C109" s="36" t="s">
        <v>134</v>
      </c>
      <c r="D109" s="35" t="s">
        <v>48</v>
      </c>
      <c r="E109" s="37">
        <v>75</v>
      </c>
      <c r="F109" s="37">
        <v>0</v>
      </c>
      <c r="G109" s="37">
        <v>0</v>
      </c>
      <c r="H109" s="38">
        <f t="shared" si="4"/>
        <v>75</v>
      </c>
      <c r="I109" s="37"/>
      <c r="J109" s="37">
        <f>IFERROR(IF(AVERAGEIF(TableBOM[Item ID],A109,TableBOM[Per 1000 Units])=0,"-",ROUND((H109+I109)/(AVERAGEIF(TableBOM[Item ID],A109,TableBOM[Per 1000 Units])/1000),0)),"-")</f>
        <v>8582</v>
      </c>
    </row>
    <row r="110" spans="1:10" ht="15" customHeight="1" x14ac:dyDescent="0.25">
      <c r="A110" s="35">
        <v>3006</v>
      </c>
      <c r="B110" s="35" t="s">
        <v>133</v>
      </c>
      <c r="C110" s="36" t="s">
        <v>135</v>
      </c>
      <c r="D110" s="35" t="s">
        <v>48</v>
      </c>
      <c r="E110" s="37">
        <v>201</v>
      </c>
      <c r="F110" s="37">
        <v>0</v>
      </c>
      <c r="G110" s="37">
        <v>0</v>
      </c>
      <c r="H110" s="38">
        <f t="shared" si="4"/>
        <v>201</v>
      </c>
      <c r="I110" s="37"/>
      <c r="J110" s="37">
        <f>IFERROR(IF(AVERAGEIF(TableBOM[Item ID],A110,TableBOM[Per 1000 Units])=0,"-",ROUND((H110+I110)/(AVERAGEIF(TableBOM[Item ID],A110,TableBOM[Per 1000 Units])/1000),0)),"-")</f>
        <v>19735</v>
      </c>
    </row>
    <row r="111" spans="1:10" ht="15" customHeight="1" x14ac:dyDescent="0.25">
      <c r="A111" s="35">
        <v>3043</v>
      </c>
      <c r="B111" s="35" t="s">
        <v>136</v>
      </c>
      <c r="C111" s="36" t="s">
        <v>137</v>
      </c>
      <c r="D111" s="35" t="s">
        <v>138</v>
      </c>
      <c r="E111" s="37">
        <v>3</v>
      </c>
      <c r="F111" s="37">
        <v>0</v>
      </c>
      <c r="G111" s="37">
        <v>3</v>
      </c>
      <c r="H111" s="38">
        <f t="shared" si="4"/>
        <v>0</v>
      </c>
      <c r="I111" s="37"/>
      <c r="J111" s="37">
        <f>IFERROR(IF(AVERAGEIF(TableBOM[Item ID],A111,TableBOM[Per 1000 Units])=0,"-",ROUND((H111+I111)/(AVERAGEIF(TableBOM[Item ID],A111,TableBOM[Per 1000 Units])/1000),0)),"-")</f>
        <v>0</v>
      </c>
    </row>
  </sheetData>
  <mergeCells count="1">
    <mergeCell ref="A1:H1"/>
  </mergeCells>
  <conditionalFormatting sqref="J3:J11 J13:J82">
    <cfRule type="containsText" dxfId="2" priority="2" operator="containsText" text="BOM Missing">
      <formula>NOT(ISERROR(SEARCH("BOM Missing",J3)))</formula>
    </cfRule>
  </conditionalFormatting>
  <conditionalFormatting sqref="K3:K12">
    <cfRule type="cellIs" dxfId="1" priority="3" operator="equal">
      <formula>"CRITICAL - ORDER NOW"</formula>
    </cfRule>
    <cfRule type="cellIs" dxfId="0" priority="4" operator="equal">
      <formula>"Healthy"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S65"/>
  <sheetViews>
    <sheetView tabSelected="1" zoomScaleNormal="100" workbookViewId="0">
      <pane ySplit="2" topLeftCell="A39" activePane="bottomLeft" state="frozen"/>
      <selection activeCell="D1" sqref="D1"/>
      <selection pane="bottomLeft" activeCell="F55" sqref="F55"/>
    </sheetView>
  </sheetViews>
  <sheetFormatPr defaultColWidth="8.7109375" defaultRowHeight="15" x14ac:dyDescent="0.25"/>
  <cols>
    <col min="1" max="1" width="10" customWidth="1"/>
    <col min="2" max="2" width="36.85546875" customWidth="1"/>
    <col min="3" max="3" width="37.7109375" customWidth="1"/>
    <col min="4" max="4" width="40" customWidth="1"/>
    <col min="5" max="5" width="10" customWidth="1"/>
    <col min="6" max="6" width="11.42578125" customWidth="1"/>
    <col min="7" max="7" width="8" customWidth="1"/>
    <col min="8" max="19" width="12" customWidth="1"/>
  </cols>
  <sheetData>
    <row r="1" spans="1:19" ht="20.25" customHeight="1" x14ac:dyDescent="0.25">
      <c r="A1" s="76" t="s">
        <v>395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spans="1:19" ht="15" customHeight="1" x14ac:dyDescent="0.25">
      <c r="A2" s="40" t="s">
        <v>252</v>
      </c>
      <c r="B2" s="40" t="s">
        <v>334</v>
      </c>
      <c r="C2" s="40" t="s">
        <v>154</v>
      </c>
      <c r="D2" s="40" t="s">
        <v>155</v>
      </c>
      <c r="E2" s="40" t="s">
        <v>396</v>
      </c>
      <c r="F2" s="40" t="s">
        <v>397</v>
      </c>
      <c r="G2" s="40" t="s">
        <v>42</v>
      </c>
      <c r="H2" s="40" t="s">
        <v>398</v>
      </c>
      <c r="I2" s="77" t="s">
        <v>399</v>
      </c>
      <c r="J2" s="77" t="s">
        <v>400</v>
      </c>
      <c r="K2" s="77" t="s">
        <v>401</v>
      </c>
      <c r="L2" s="77" t="s">
        <v>402</v>
      </c>
      <c r="M2" s="77" t="s">
        <v>403</v>
      </c>
      <c r="N2" s="77" t="s">
        <v>404</v>
      </c>
      <c r="O2" s="77" t="s">
        <v>405</v>
      </c>
      <c r="P2" s="77" t="s">
        <v>406</v>
      </c>
      <c r="Q2" s="77" t="s">
        <v>407</v>
      </c>
      <c r="R2" s="77" t="s">
        <v>407</v>
      </c>
      <c r="S2" s="77" t="s">
        <v>407</v>
      </c>
    </row>
    <row r="3" spans="1:19" ht="15" hidden="1" customHeight="1" x14ac:dyDescent="0.25">
      <c r="A3" s="59">
        <v>9004</v>
      </c>
      <c r="B3" s="59">
        <v>904</v>
      </c>
      <c r="C3" s="59" t="s">
        <v>200</v>
      </c>
      <c r="D3" s="60" t="s">
        <v>201</v>
      </c>
      <c r="E3" s="59">
        <v>12.5</v>
      </c>
      <c r="F3" s="59">
        <v>0</v>
      </c>
      <c r="G3" s="59" t="s">
        <v>408</v>
      </c>
      <c r="H3" s="59">
        <v>0</v>
      </c>
      <c r="I3" s="78"/>
      <c r="J3" s="63" t="str">
        <f>IF(I3="","",IFERROR(SUMPRODUCT((TableBOM[Product ID]=A3)*(TableBOM[Material Category]="SLUG")*TableBOM[Per 1000 Units]*(1+TableBOM[Scrap %]))*I3/1000,0))</f>
        <v/>
      </c>
      <c r="K3" s="63" t="str">
        <f>IF(I3="","",IFERROR(SUMPRODUCT((TableBOM[Product ID]=A3)*(TableBOM[Material Category]="BASE COAT")*TableBOM[Per 1000 Units]*(1+TableBOM[Scrap %]))*I3/1000,0))</f>
        <v/>
      </c>
      <c r="L3" s="63" t="str">
        <f>IF(I3="","",IFERROR(SUMPRODUCT((TableBOM[Product ID]=A3)*(TableBOM[Material Category]="LACQUER")*TableBOM[Per 1000 Units]*(1+TableBOM[Scrap %]))*I3/1000,0))</f>
        <v/>
      </c>
      <c r="M3" s="63" t="str">
        <f>IF(I3="","",IFERROR(SUMPRODUCT((TableBOM[Product ID]=A3)*(TableBOM[Material Category]="LATEX")*TableBOM[Per 1000 Units]*(1+TableBOM[Scrap %]))*I3/1000,0))</f>
        <v/>
      </c>
      <c r="N3" s="63" t="str">
        <f>IF(I3="","",IFERROR(SUMPRODUCT((TableBOM[Product ID]=A3)*(TableBOM[Material Category]="ZINC POWDER")*TableBOM[Per 1000 Units]*(1+TableBOM[Scrap %]))*I3/1000,0))</f>
        <v/>
      </c>
      <c r="O3" s="63" t="str">
        <f>IF(I3="","",IFERROR(SUMPRODUCT((TableBOM[Product ID]=A3)*(TableBOM[Material Category]="CAP")*TableBOM[Per 1000 Units]*(1+TableBOM[Scrap %]))*I3/1000,0))</f>
        <v/>
      </c>
      <c r="P3" s="63" t="str">
        <f>IF(I3="","",IFERROR(SUMPRODUCT((TableBOM[Product ID]=A3)*(TableBOM[Material Category]="CARTON")*TableBOM[Per 1000 Units]*(1+TableBOM[Scrap %]))*I3/1000,0))</f>
        <v/>
      </c>
      <c r="Q3" s="63"/>
      <c r="R3" s="63"/>
      <c r="S3" s="63"/>
    </row>
    <row r="4" spans="1:19" ht="15" hidden="1" customHeight="1" x14ac:dyDescent="0.25">
      <c r="A4" s="59">
        <v>6561</v>
      </c>
      <c r="B4" s="59">
        <v>190</v>
      </c>
      <c r="C4" s="59" t="s">
        <v>166</v>
      </c>
      <c r="D4" s="60" t="s">
        <v>167</v>
      </c>
      <c r="E4" s="59">
        <v>16</v>
      </c>
      <c r="F4" s="59">
        <v>100</v>
      </c>
      <c r="G4" s="59" t="s">
        <v>408</v>
      </c>
      <c r="H4" s="59">
        <v>588</v>
      </c>
      <c r="I4" s="78"/>
      <c r="J4" s="63" t="str">
        <f>IF(I4="","",IFERROR(SUMPRODUCT((TableBOM[Product ID]=A4)*(TableBOM[Material Category]="SLUG")*TableBOM[Per 1000 Units]*(1+TableBOM[Scrap %]))*I4/1000,0))</f>
        <v/>
      </c>
      <c r="K4" s="63" t="str">
        <f>IF(I4="","",IFERROR(SUMPRODUCT((TableBOM[Product ID]=A4)*(TableBOM[Material Category]="BASE COAT")*TableBOM[Per 1000 Units]*(1+TableBOM[Scrap %]))*I4/1000,0))</f>
        <v/>
      </c>
      <c r="L4" s="63" t="str">
        <f>IF(I4="","",IFERROR(SUMPRODUCT((TableBOM[Product ID]=A4)*(TableBOM[Material Category]="LACQUER")*TableBOM[Per 1000 Units]*(1+TableBOM[Scrap %]))*I4/1000,0))</f>
        <v/>
      </c>
      <c r="M4" s="63" t="str">
        <f>IF(I4="","",IFERROR(SUMPRODUCT((TableBOM[Product ID]=A4)*(TableBOM[Material Category]="LATEX")*TableBOM[Per 1000 Units]*(1+TableBOM[Scrap %]))*I4/1000,0))</f>
        <v/>
      </c>
      <c r="N4" s="63" t="str">
        <f>IF(I4="","",IFERROR(SUMPRODUCT((TableBOM[Product ID]=A4)*(TableBOM[Material Category]="ZINC POWDER")*TableBOM[Per 1000 Units]*(1+TableBOM[Scrap %]))*I4/1000,0))</f>
        <v/>
      </c>
      <c r="O4" s="63" t="str">
        <f>IF(I4="","",IFERROR(SUMPRODUCT((TableBOM[Product ID]=A4)*(TableBOM[Material Category]="CAP")*TableBOM[Per 1000 Units]*(1+TableBOM[Scrap %]))*I4/1000,0))</f>
        <v/>
      </c>
      <c r="P4" s="63" t="str">
        <f>IF(I4="","",IFERROR(SUMPRODUCT((TableBOM[Product ID]=A4)*(TableBOM[Material Category]="CARTON")*TableBOM[Per 1000 Units]*(1+TableBOM[Scrap %]))*I4/1000,0))</f>
        <v/>
      </c>
      <c r="Q4" s="63"/>
      <c r="R4" s="63"/>
      <c r="S4" s="63"/>
    </row>
    <row r="5" spans="1:19" ht="15" hidden="1" customHeight="1" x14ac:dyDescent="0.25">
      <c r="A5" s="59">
        <v>1085</v>
      </c>
      <c r="B5" s="59">
        <v>187</v>
      </c>
      <c r="C5" s="59" t="s">
        <v>166</v>
      </c>
      <c r="D5" s="60" t="s">
        <v>205</v>
      </c>
      <c r="E5" s="59">
        <v>19</v>
      </c>
      <c r="F5" s="59">
        <v>106</v>
      </c>
      <c r="G5" s="59" t="s">
        <v>408</v>
      </c>
      <c r="H5" s="59">
        <v>588</v>
      </c>
      <c r="I5" s="78"/>
      <c r="J5" s="63" t="str">
        <f>IF(I5="","",IFERROR(SUMPRODUCT((TableBOM[Product ID]=A5)*(TableBOM[Material Category]="SLUG")*TableBOM[Per 1000 Units]*(1+TableBOM[Scrap %]))*I5/1000,0))</f>
        <v/>
      </c>
      <c r="K5" s="63" t="str">
        <f>IF(I5="","",IFERROR(SUMPRODUCT((TableBOM[Product ID]=A5)*(TableBOM[Material Category]="BASE COAT")*TableBOM[Per 1000 Units]*(1+TableBOM[Scrap %]))*I5/1000,0))</f>
        <v/>
      </c>
      <c r="L5" s="63" t="str">
        <f>IF(I5="","",IFERROR(SUMPRODUCT((TableBOM[Product ID]=A5)*(TableBOM[Material Category]="LACQUER")*TableBOM[Per 1000 Units]*(1+TableBOM[Scrap %]))*I5/1000,0))</f>
        <v/>
      </c>
      <c r="M5" s="63" t="str">
        <f>IF(I5="","",IFERROR(SUMPRODUCT((TableBOM[Product ID]=A5)*(TableBOM[Material Category]="LATEX")*TableBOM[Per 1000 Units]*(1+TableBOM[Scrap %]))*I5/1000,0))</f>
        <v/>
      </c>
      <c r="N5" s="63" t="str">
        <f>IF(I5="","",IFERROR(SUMPRODUCT((TableBOM[Product ID]=A5)*(TableBOM[Material Category]="ZINC POWDER")*TableBOM[Per 1000 Units]*(1+TableBOM[Scrap %]))*I5/1000,0))</f>
        <v/>
      </c>
      <c r="O5" s="63" t="str">
        <f>IF(I5="","",IFERROR(SUMPRODUCT((TableBOM[Product ID]=A5)*(TableBOM[Material Category]="CAP")*TableBOM[Per 1000 Units]*(1+TableBOM[Scrap %]))*I5/1000,0))</f>
        <v/>
      </c>
      <c r="P5" s="63" t="str">
        <f>IF(I5="","",IFERROR(SUMPRODUCT((TableBOM[Product ID]=A5)*(TableBOM[Material Category]="CARTON")*TableBOM[Per 1000 Units]*(1+TableBOM[Scrap %]))*I5/1000,0))</f>
        <v/>
      </c>
      <c r="Q5" s="63"/>
      <c r="R5" s="63"/>
      <c r="S5" s="63"/>
    </row>
    <row r="6" spans="1:19" ht="15" hidden="1" customHeight="1" x14ac:dyDescent="0.25">
      <c r="A6" s="59">
        <v>6559</v>
      </c>
      <c r="B6" s="59">
        <v>188</v>
      </c>
      <c r="C6" s="59" t="s">
        <v>166</v>
      </c>
      <c r="D6" s="60" t="s">
        <v>204</v>
      </c>
      <c r="E6" s="59">
        <v>19</v>
      </c>
      <c r="F6" s="59">
        <v>106</v>
      </c>
      <c r="G6" s="59" t="s">
        <v>408</v>
      </c>
      <c r="H6" s="59">
        <v>588</v>
      </c>
      <c r="I6" s="78"/>
      <c r="J6" s="63" t="str">
        <f>IF(I6="","",IFERROR(SUMPRODUCT((TableBOM[Product ID]=A6)*(TableBOM[Material Category]="SLUG")*TableBOM[Per 1000 Units]*(1+TableBOM[Scrap %]))*I6/1000,0))</f>
        <v/>
      </c>
      <c r="K6" s="63" t="str">
        <f>IF(I6="","",IFERROR(SUMPRODUCT((TableBOM[Product ID]=A6)*(TableBOM[Material Category]="BASE COAT")*TableBOM[Per 1000 Units]*(1+TableBOM[Scrap %]))*I6/1000,0))</f>
        <v/>
      </c>
      <c r="L6" s="63" t="str">
        <f>IF(I6="","",IFERROR(SUMPRODUCT((TableBOM[Product ID]=A6)*(TableBOM[Material Category]="LACQUER")*TableBOM[Per 1000 Units]*(1+TableBOM[Scrap %]))*I6/1000,0))</f>
        <v/>
      </c>
      <c r="M6" s="63" t="str">
        <f>IF(I6="","",IFERROR(SUMPRODUCT((TableBOM[Product ID]=A6)*(TableBOM[Material Category]="LATEX")*TableBOM[Per 1000 Units]*(1+TableBOM[Scrap %]))*I6/1000,0))</f>
        <v/>
      </c>
      <c r="N6" s="63" t="str">
        <f>IF(I6="","",IFERROR(SUMPRODUCT((TableBOM[Product ID]=A6)*(TableBOM[Material Category]="ZINC POWDER")*TableBOM[Per 1000 Units]*(1+TableBOM[Scrap %]))*I6/1000,0))</f>
        <v/>
      </c>
      <c r="O6" s="63" t="str">
        <f>IF(I6="","",IFERROR(SUMPRODUCT((TableBOM[Product ID]=A6)*(TableBOM[Material Category]="CAP")*TableBOM[Per 1000 Units]*(1+TableBOM[Scrap %]))*I6/1000,0))</f>
        <v/>
      </c>
      <c r="P6" s="63" t="str">
        <f>IF(I6="","",IFERROR(SUMPRODUCT((TableBOM[Product ID]=A6)*(TableBOM[Material Category]="CARTON")*TableBOM[Per 1000 Units]*(1+TableBOM[Scrap %]))*I6/1000,0))</f>
        <v/>
      </c>
      <c r="Q6" s="63"/>
      <c r="R6" s="63"/>
      <c r="S6" s="63"/>
    </row>
    <row r="7" spans="1:19" ht="15" hidden="1" customHeight="1" x14ac:dyDescent="0.25">
      <c r="A7" s="59">
        <v>6560</v>
      </c>
      <c r="B7" s="59">
        <v>189</v>
      </c>
      <c r="C7" s="59" t="s">
        <v>166</v>
      </c>
      <c r="D7" s="60" t="s">
        <v>206</v>
      </c>
      <c r="E7" s="59">
        <v>19</v>
      </c>
      <c r="F7" s="59">
        <v>106</v>
      </c>
      <c r="G7" s="59" t="s">
        <v>408</v>
      </c>
      <c r="H7" s="59">
        <v>588</v>
      </c>
      <c r="I7" s="78"/>
      <c r="J7" s="63" t="str">
        <f>IF(I7="","",IFERROR(SUMPRODUCT((TableBOM[Product ID]=A7)*(TableBOM[Material Category]="SLUG")*TableBOM[Per 1000 Units]*(1+TableBOM[Scrap %]))*I7/1000,0))</f>
        <v/>
      </c>
      <c r="K7" s="63" t="str">
        <f>IF(I7="","",IFERROR(SUMPRODUCT((TableBOM[Product ID]=A7)*(TableBOM[Material Category]="BASE COAT")*TableBOM[Per 1000 Units]*(1+TableBOM[Scrap %]))*I7/1000,0))</f>
        <v/>
      </c>
      <c r="L7" s="63" t="str">
        <f>IF(I7="","",IFERROR(SUMPRODUCT((TableBOM[Product ID]=A7)*(TableBOM[Material Category]="LACQUER")*TableBOM[Per 1000 Units]*(1+TableBOM[Scrap %]))*I7/1000,0))</f>
        <v/>
      </c>
      <c r="M7" s="63" t="str">
        <f>IF(I7="","",IFERROR(SUMPRODUCT((TableBOM[Product ID]=A7)*(TableBOM[Material Category]="LATEX")*TableBOM[Per 1000 Units]*(1+TableBOM[Scrap %]))*I7/1000,0))</f>
        <v/>
      </c>
      <c r="N7" s="63" t="str">
        <f>IF(I7="","",IFERROR(SUMPRODUCT((TableBOM[Product ID]=A7)*(TableBOM[Material Category]="ZINC POWDER")*TableBOM[Per 1000 Units]*(1+TableBOM[Scrap %]))*I7/1000,0))</f>
        <v/>
      </c>
      <c r="O7" s="63" t="str">
        <f>IF(I7="","",IFERROR(SUMPRODUCT((TableBOM[Product ID]=A7)*(TableBOM[Material Category]="CAP")*TableBOM[Per 1000 Units]*(1+TableBOM[Scrap %]))*I7/1000,0))</f>
        <v/>
      </c>
      <c r="P7" s="63" t="str">
        <f>IF(I7="","",IFERROR(SUMPRODUCT((TableBOM[Product ID]=A7)*(TableBOM[Material Category]="CARTON")*TableBOM[Per 1000 Units]*(1+TableBOM[Scrap %]))*I7/1000,0))</f>
        <v/>
      </c>
      <c r="Q7" s="63"/>
      <c r="R7" s="63"/>
      <c r="S7" s="63"/>
    </row>
    <row r="8" spans="1:19" ht="15" hidden="1" customHeight="1" x14ac:dyDescent="0.25">
      <c r="A8" s="59">
        <v>6623</v>
      </c>
      <c r="B8" s="59">
        <v>193</v>
      </c>
      <c r="C8" s="59" t="s">
        <v>169</v>
      </c>
      <c r="D8" s="60" t="s">
        <v>203</v>
      </c>
      <c r="E8" s="59">
        <v>19</v>
      </c>
      <c r="F8" s="59">
        <v>120</v>
      </c>
      <c r="G8" s="59" t="s">
        <v>408</v>
      </c>
      <c r="H8" s="59">
        <v>510</v>
      </c>
      <c r="J8" t="str">
        <f>IF(I8="","",IFERROR(SUMPRODUCT((TableBOM[Product ID]=A8)*(TableBOM[Material Category]="SLUG")*TableBOM[Per 1000 Units]*(1+TableBOM[Scrap %]))*I8/1000,0))</f>
        <v/>
      </c>
      <c r="K8" t="str">
        <f>IF(I8="","",IFERROR(SUMPRODUCT((TableBOM[Product ID]=A8)*(TableBOM[Material Category]="BASE COAT")*TableBOM[Per 1000 Units]*(1+TableBOM[Scrap %]))*I8/1000,0))</f>
        <v/>
      </c>
      <c r="L8" t="str">
        <f>IF(I8="","",IFERROR(SUMPRODUCT((TableBOM[Product ID]=A8)*(TableBOM[Material Category]="LACQUER")*TableBOM[Per 1000 Units]*(1+TableBOM[Scrap %]))*I8/1000,0))</f>
        <v/>
      </c>
      <c r="M8" t="str">
        <f>IF(I8="","",IFERROR(SUMPRODUCT((TableBOM[Product ID]=A8)*(TableBOM[Material Category]="LATEX")*TableBOM[Per 1000 Units]*(1+TableBOM[Scrap %]))*I8/1000,0))</f>
        <v/>
      </c>
      <c r="N8" t="str">
        <f>IF(I8="","",IFERROR(SUMPRODUCT((TableBOM[Product ID]=A8)*(TableBOM[Material Category]="ZINC POWDER")*TableBOM[Per 1000 Units]*(1+TableBOM[Scrap %]))*I8/1000,0))</f>
        <v/>
      </c>
      <c r="O8" t="str">
        <f>IF(I8="","",IFERROR(SUMPRODUCT((TableBOM[Product ID]=A8)*(TableBOM[Material Category]="CAP")*TableBOM[Per 1000 Units]*(1+TableBOM[Scrap %]))*I8/1000,0))</f>
        <v/>
      </c>
      <c r="P8" t="str">
        <f>IF(I8="","",IFERROR(SUMPRODUCT((TableBOM[Product ID]=A8)*(TableBOM[Material Category]="CARTON")*TableBOM[Per 1000 Units]*(1+TableBOM[Scrap %]))*I8/1000,0))</f>
        <v/>
      </c>
    </row>
    <row r="9" spans="1:19" ht="15" hidden="1" customHeight="1" x14ac:dyDescent="0.25">
      <c r="A9" s="59">
        <v>6624</v>
      </c>
      <c r="B9" s="59">
        <v>192</v>
      </c>
      <c r="C9" s="59" t="s">
        <v>169</v>
      </c>
      <c r="D9" s="60" t="s">
        <v>202</v>
      </c>
      <c r="E9" s="59">
        <v>19</v>
      </c>
      <c r="F9" s="59">
        <v>120</v>
      </c>
      <c r="G9" s="59" t="s">
        <v>408</v>
      </c>
      <c r="H9" s="59">
        <v>510</v>
      </c>
      <c r="I9" s="78"/>
      <c r="J9" s="63" t="str">
        <f>IF(I9="","",IFERROR(SUMPRODUCT((TableBOM[Product ID]=A9)*(TableBOM[Material Category]="SLUG")*TableBOM[Per 1000 Units]*(1+TableBOM[Scrap %]))*I9/1000,0))</f>
        <v/>
      </c>
      <c r="K9" s="63" t="str">
        <f>IF(I9="","",IFERROR(SUMPRODUCT((TableBOM[Product ID]=A9)*(TableBOM[Material Category]="BASE COAT")*TableBOM[Per 1000 Units]*(1+TableBOM[Scrap %]))*I9/1000,0))</f>
        <v/>
      </c>
      <c r="L9" s="63" t="str">
        <f>IF(I9="","",IFERROR(SUMPRODUCT((TableBOM[Product ID]=A9)*(TableBOM[Material Category]="LACQUER")*TableBOM[Per 1000 Units]*(1+TableBOM[Scrap %]))*I9/1000,0))</f>
        <v/>
      </c>
      <c r="M9" s="63" t="str">
        <f>IF(I9="","",IFERROR(SUMPRODUCT((TableBOM[Product ID]=A9)*(TableBOM[Material Category]="LATEX")*TableBOM[Per 1000 Units]*(1+TableBOM[Scrap %]))*I9/1000,0))</f>
        <v/>
      </c>
      <c r="N9" s="63" t="str">
        <f>IF(I9="","",IFERROR(SUMPRODUCT((TableBOM[Product ID]=A9)*(TableBOM[Material Category]="ZINC POWDER")*TableBOM[Per 1000 Units]*(1+TableBOM[Scrap %]))*I9/1000,0))</f>
        <v/>
      </c>
      <c r="O9" s="63" t="str">
        <f>IF(I9="","",IFERROR(SUMPRODUCT((TableBOM[Product ID]=A9)*(TableBOM[Material Category]="CAP")*TableBOM[Per 1000 Units]*(1+TableBOM[Scrap %]))*I9/1000,0))</f>
        <v/>
      </c>
      <c r="P9" s="63" t="str">
        <f>IF(I9="","",IFERROR(SUMPRODUCT((TableBOM[Product ID]=A9)*(TableBOM[Material Category]="CARTON")*TableBOM[Per 1000 Units]*(1+TableBOM[Scrap %]))*I9/1000,0))</f>
        <v/>
      </c>
      <c r="Q9" s="63"/>
      <c r="R9" s="63"/>
      <c r="S9" s="63"/>
    </row>
    <row r="10" spans="1:19" ht="15" hidden="1" customHeight="1" x14ac:dyDescent="0.25">
      <c r="A10" s="59">
        <v>6077</v>
      </c>
      <c r="B10" s="59">
        <v>138</v>
      </c>
      <c r="C10" s="59" t="s">
        <v>180</v>
      </c>
      <c r="D10" s="60" t="s">
        <v>208</v>
      </c>
      <c r="E10" s="59">
        <v>20.5</v>
      </c>
      <c r="F10" s="59">
        <v>120</v>
      </c>
      <c r="G10" s="59" t="s">
        <v>409</v>
      </c>
      <c r="H10" s="59">
        <v>200</v>
      </c>
      <c r="I10" s="78"/>
      <c r="J10" s="63" t="str">
        <f>IF(I10="","",IFERROR(SUMPRODUCT((TableBOM[Product ID]=A10)*(TableBOM[Material Category]="SLUG")*TableBOM[Per 1000 Units]*(1+TableBOM[Scrap %]))*I10/1000,0))</f>
        <v/>
      </c>
      <c r="K10" s="63" t="str">
        <f>IF(I10="","",IFERROR(SUMPRODUCT((TableBOM[Product ID]=A10)*(TableBOM[Material Category]="BASE COAT")*TableBOM[Per 1000 Units]*(1+TableBOM[Scrap %]))*I10/1000,0))</f>
        <v/>
      </c>
      <c r="L10" s="63" t="str">
        <f>IF(I10="","",IFERROR(SUMPRODUCT((TableBOM[Product ID]=A10)*(TableBOM[Material Category]="LACQUER")*TableBOM[Per 1000 Units]*(1+TableBOM[Scrap %]))*I10/1000,0))</f>
        <v/>
      </c>
      <c r="M10" s="63" t="str">
        <f>IF(I10="","",IFERROR(SUMPRODUCT((TableBOM[Product ID]=A10)*(TableBOM[Material Category]="LATEX")*TableBOM[Per 1000 Units]*(1+TableBOM[Scrap %]))*I10/1000,0))</f>
        <v/>
      </c>
      <c r="N10" s="63" t="str">
        <f>IF(I10="","",IFERROR(SUMPRODUCT((TableBOM[Product ID]=A10)*(TableBOM[Material Category]="ZINC POWDER")*TableBOM[Per 1000 Units]*(1+TableBOM[Scrap %]))*I10/1000,0))</f>
        <v/>
      </c>
      <c r="O10" s="63" t="str">
        <f>IF(I10="","",IFERROR(SUMPRODUCT((TableBOM[Product ID]=A10)*(TableBOM[Material Category]="CAP")*TableBOM[Per 1000 Units]*(1+TableBOM[Scrap %]))*I10/1000,0))</f>
        <v/>
      </c>
      <c r="P10" s="63" t="str">
        <f>IF(I10="","",IFERROR(SUMPRODUCT((TableBOM[Product ID]=A10)*(TableBOM[Material Category]="CARTON")*TableBOM[Per 1000 Units]*(1+TableBOM[Scrap %]))*I10/1000,0))</f>
        <v/>
      </c>
      <c r="Q10" s="63"/>
      <c r="R10" s="63"/>
      <c r="S10" s="63"/>
    </row>
    <row r="11" spans="1:19" ht="15" hidden="1" customHeight="1" x14ac:dyDescent="0.25">
      <c r="A11" s="59">
        <v>5698</v>
      </c>
      <c r="B11" s="59">
        <v>22</v>
      </c>
      <c r="C11" s="59" t="s">
        <v>169</v>
      </c>
      <c r="D11" s="60" t="s">
        <v>209</v>
      </c>
      <c r="E11" s="59">
        <v>20.5</v>
      </c>
      <c r="F11" s="59">
        <v>120</v>
      </c>
      <c r="G11" s="59" t="s">
        <v>408</v>
      </c>
      <c r="H11" s="59">
        <v>336</v>
      </c>
      <c r="I11" s="78"/>
      <c r="J11" s="63" t="str">
        <f>IF(I11="","",IFERROR(SUMPRODUCT((TableBOM[Product ID]=A11)*(TableBOM[Material Category]="SLUG")*TableBOM[Per 1000 Units]*(1+TableBOM[Scrap %]))*I11/1000,0))</f>
        <v/>
      </c>
      <c r="K11" s="63" t="str">
        <f>IF(I11="","",IFERROR(SUMPRODUCT((TableBOM[Product ID]=A11)*(TableBOM[Material Category]="BASE COAT")*TableBOM[Per 1000 Units]*(1+TableBOM[Scrap %]))*I11/1000,0))</f>
        <v/>
      </c>
      <c r="L11" s="63" t="str">
        <f>IF(I11="","",IFERROR(SUMPRODUCT((TableBOM[Product ID]=A11)*(TableBOM[Material Category]="LACQUER")*TableBOM[Per 1000 Units]*(1+TableBOM[Scrap %]))*I11/1000,0))</f>
        <v/>
      </c>
      <c r="M11" s="63" t="str">
        <f>IF(I11="","",IFERROR(SUMPRODUCT((TableBOM[Product ID]=A11)*(TableBOM[Material Category]="LATEX")*TableBOM[Per 1000 Units]*(1+TableBOM[Scrap %]))*I11/1000,0))</f>
        <v/>
      </c>
      <c r="N11" s="63" t="str">
        <f>IF(I11="","",IFERROR(SUMPRODUCT((TableBOM[Product ID]=A11)*(TableBOM[Material Category]="ZINC POWDER")*TableBOM[Per 1000 Units]*(1+TableBOM[Scrap %]))*I11/1000,0))</f>
        <v/>
      </c>
      <c r="O11" s="63" t="str">
        <f>IF(I11="","",IFERROR(SUMPRODUCT((TableBOM[Product ID]=A11)*(TableBOM[Material Category]="CAP")*TableBOM[Per 1000 Units]*(1+TableBOM[Scrap %]))*I11/1000,0))</f>
        <v/>
      </c>
      <c r="P11" s="63" t="str">
        <f>IF(I11="","",IFERROR(SUMPRODUCT((TableBOM[Product ID]=A11)*(TableBOM[Material Category]="CARTON")*TableBOM[Per 1000 Units]*(1+TableBOM[Scrap %]))*I11/1000,0))</f>
        <v/>
      </c>
      <c r="Q11" s="63"/>
      <c r="R11" s="63"/>
      <c r="S11" s="63"/>
    </row>
    <row r="12" spans="1:19" ht="15" hidden="1" customHeight="1" x14ac:dyDescent="0.25">
      <c r="A12" s="59">
        <v>5699</v>
      </c>
      <c r="B12" s="59">
        <v>21</v>
      </c>
      <c r="C12" s="59" t="s">
        <v>169</v>
      </c>
      <c r="D12" s="60" t="s">
        <v>207</v>
      </c>
      <c r="E12" s="59">
        <v>20.5</v>
      </c>
      <c r="F12" s="59">
        <v>120</v>
      </c>
      <c r="G12" s="59" t="s">
        <v>408</v>
      </c>
      <c r="H12" s="59">
        <v>336</v>
      </c>
      <c r="I12" s="78"/>
      <c r="J12" s="63" t="str">
        <f>IF(I12="","",IFERROR(SUMPRODUCT((TableBOM[Product ID]=A12)*(TableBOM[Material Category]="SLUG")*TableBOM[Per 1000 Units]*(1+TableBOM[Scrap %]))*I12/1000,0))</f>
        <v/>
      </c>
      <c r="K12" s="63" t="str">
        <f>IF(I12="","",IFERROR(SUMPRODUCT((TableBOM[Product ID]=A12)*(TableBOM[Material Category]="BASE COAT")*TableBOM[Per 1000 Units]*(1+TableBOM[Scrap %]))*I12/1000,0))</f>
        <v/>
      </c>
      <c r="L12" s="63" t="str">
        <f>IF(I12="","",IFERROR(SUMPRODUCT((TableBOM[Product ID]=A12)*(TableBOM[Material Category]="LACQUER")*TableBOM[Per 1000 Units]*(1+TableBOM[Scrap %]))*I12/1000,0))</f>
        <v/>
      </c>
      <c r="M12" s="63" t="str">
        <f>IF(I12="","",IFERROR(SUMPRODUCT((TableBOM[Product ID]=A12)*(TableBOM[Material Category]="LATEX")*TableBOM[Per 1000 Units]*(1+TableBOM[Scrap %]))*I12/1000,0))</f>
        <v/>
      </c>
      <c r="N12" s="63" t="str">
        <f>IF(I12="","",IFERROR(SUMPRODUCT((TableBOM[Product ID]=A12)*(TableBOM[Material Category]="ZINC POWDER")*TableBOM[Per 1000 Units]*(1+TableBOM[Scrap %]))*I12/1000,0))</f>
        <v/>
      </c>
      <c r="O12" s="63" t="str">
        <f>IF(I12="","",IFERROR(SUMPRODUCT((TableBOM[Product ID]=A12)*(TableBOM[Material Category]="CAP")*TableBOM[Per 1000 Units]*(1+TableBOM[Scrap %]))*I12/1000,0))</f>
        <v/>
      </c>
      <c r="P12" s="63" t="str">
        <f>IF(I12="","",IFERROR(SUMPRODUCT((TableBOM[Product ID]=A12)*(TableBOM[Material Category]="CARTON")*TableBOM[Per 1000 Units]*(1+TableBOM[Scrap %]))*I12/1000,0))</f>
        <v/>
      </c>
      <c r="Q12" s="63"/>
      <c r="R12" s="63"/>
      <c r="S12" s="63"/>
    </row>
    <row r="13" spans="1:19" ht="15" hidden="1" customHeight="1" x14ac:dyDescent="0.25">
      <c r="A13" s="59">
        <v>5731</v>
      </c>
      <c r="B13" s="59">
        <v>32</v>
      </c>
      <c r="C13" s="59" t="s">
        <v>169</v>
      </c>
      <c r="D13" s="60" t="s">
        <v>210</v>
      </c>
      <c r="E13" s="59">
        <v>20.5</v>
      </c>
      <c r="F13" s="59">
        <v>120</v>
      </c>
      <c r="G13" s="59" t="s">
        <v>408</v>
      </c>
      <c r="H13" s="59">
        <v>510</v>
      </c>
      <c r="I13" s="78"/>
      <c r="J13" s="63" t="str">
        <f>IF(I13="","",IFERROR(SUMPRODUCT((TableBOM[Product ID]=A13)*(TableBOM[Material Category]="SLUG")*TableBOM[Per 1000 Units]*(1+TableBOM[Scrap %]))*I13/1000,0))</f>
        <v/>
      </c>
      <c r="K13" s="63" t="str">
        <f>IF(I13="","",IFERROR(SUMPRODUCT((TableBOM[Product ID]=A13)*(TableBOM[Material Category]="BASE COAT")*TableBOM[Per 1000 Units]*(1+TableBOM[Scrap %]))*I13/1000,0))</f>
        <v/>
      </c>
      <c r="L13" s="63" t="str">
        <f>IF(I13="","",IFERROR(SUMPRODUCT((TableBOM[Product ID]=A13)*(TableBOM[Material Category]="LACQUER")*TableBOM[Per 1000 Units]*(1+TableBOM[Scrap %]))*I13/1000,0))</f>
        <v/>
      </c>
      <c r="M13" s="63" t="str">
        <f>IF(I13="","",IFERROR(SUMPRODUCT((TableBOM[Product ID]=A13)*(TableBOM[Material Category]="LATEX")*TableBOM[Per 1000 Units]*(1+TableBOM[Scrap %]))*I13/1000,0))</f>
        <v/>
      </c>
      <c r="N13" s="63" t="str">
        <f>IF(I13="","",IFERROR(SUMPRODUCT((TableBOM[Product ID]=A13)*(TableBOM[Material Category]="ZINC POWDER")*TableBOM[Per 1000 Units]*(1+TableBOM[Scrap %]))*I13/1000,0))</f>
        <v/>
      </c>
      <c r="O13" s="63" t="str">
        <f>IF(I13="","",IFERROR(SUMPRODUCT((TableBOM[Product ID]=A13)*(TableBOM[Material Category]="CAP")*TableBOM[Per 1000 Units]*(1+TableBOM[Scrap %]))*I13/1000,0))</f>
        <v/>
      </c>
      <c r="P13" s="63" t="str">
        <f>IF(I13="","",IFERROR(SUMPRODUCT((TableBOM[Product ID]=A13)*(TableBOM[Material Category]="CARTON")*TableBOM[Per 1000 Units]*(1+TableBOM[Scrap %]))*I13/1000,0))</f>
        <v/>
      </c>
      <c r="Q13" s="63"/>
      <c r="R13" s="63"/>
      <c r="S13" s="63"/>
    </row>
    <row r="14" spans="1:19" ht="15" hidden="1" customHeight="1" x14ac:dyDescent="0.25">
      <c r="A14" s="59">
        <v>5732</v>
      </c>
      <c r="B14" s="59">
        <v>33</v>
      </c>
      <c r="C14" s="59" t="s">
        <v>169</v>
      </c>
      <c r="D14" s="60" t="s">
        <v>211</v>
      </c>
      <c r="E14" s="59">
        <v>20.5</v>
      </c>
      <c r="F14" s="59">
        <v>120</v>
      </c>
      <c r="G14" s="59" t="s">
        <v>408</v>
      </c>
      <c r="H14" s="59">
        <v>510</v>
      </c>
      <c r="I14" s="78"/>
      <c r="J14" s="63" t="str">
        <f>IF(I14="","",IFERROR(SUMPRODUCT((TableBOM[Product ID]=A14)*(TableBOM[Material Category]="SLUG")*TableBOM[Per 1000 Units]*(1+TableBOM[Scrap %]))*I14/1000,0))</f>
        <v/>
      </c>
      <c r="K14" s="63" t="str">
        <f>IF(I14="","",IFERROR(SUMPRODUCT((TableBOM[Product ID]=A14)*(TableBOM[Material Category]="BASE COAT")*TableBOM[Per 1000 Units]*(1+TableBOM[Scrap %]))*I14/1000,0))</f>
        <v/>
      </c>
      <c r="L14" s="63" t="str">
        <f>IF(I14="","",IFERROR(SUMPRODUCT((TableBOM[Product ID]=A14)*(TableBOM[Material Category]="LACQUER")*TableBOM[Per 1000 Units]*(1+TableBOM[Scrap %]))*I14/1000,0))</f>
        <v/>
      </c>
      <c r="M14" s="63" t="str">
        <f>IF(I14="","",IFERROR(SUMPRODUCT((TableBOM[Product ID]=A14)*(TableBOM[Material Category]="LATEX")*TableBOM[Per 1000 Units]*(1+TableBOM[Scrap %]))*I14/1000,0))</f>
        <v/>
      </c>
      <c r="N14" s="63" t="str">
        <f>IF(I14="","",IFERROR(SUMPRODUCT((TableBOM[Product ID]=A14)*(TableBOM[Material Category]="ZINC POWDER")*TableBOM[Per 1000 Units]*(1+TableBOM[Scrap %]))*I14/1000,0))</f>
        <v/>
      </c>
      <c r="O14" s="63" t="str">
        <f>IF(I14="","",IFERROR(SUMPRODUCT((TableBOM[Product ID]=A14)*(TableBOM[Material Category]="CAP")*TableBOM[Per 1000 Units]*(1+TableBOM[Scrap %]))*I14/1000,0))</f>
        <v/>
      </c>
      <c r="P14" s="63" t="str">
        <f>IF(I14="","",IFERROR(SUMPRODUCT((TableBOM[Product ID]=A14)*(TableBOM[Material Category]="CARTON")*TableBOM[Per 1000 Units]*(1+TableBOM[Scrap %]))*I14/1000,0))</f>
        <v/>
      </c>
      <c r="Q14" s="63"/>
      <c r="R14" s="63"/>
      <c r="S14" s="63"/>
    </row>
    <row r="15" spans="1:19" ht="15" hidden="1" customHeight="1" x14ac:dyDescent="0.25">
      <c r="A15" s="59">
        <v>6556</v>
      </c>
      <c r="B15" s="59">
        <v>186</v>
      </c>
      <c r="C15" s="59" t="s">
        <v>169</v>
      </c>
      <c r="D15" s="60" t="s">
        <v>212</v>
      </c>
      <c r="E15" s="59">
        <v>20.5</v>
      </c>
      <c r="F15" s="59">
        <v>120</v>
      </c>
      <c r="G15" s="59" t="s">
        <v>408</v>
      </c>
      <c r="H15" s="59">
        <v>510</v>
      </c>
      <c r="I15" s="78"/>
      <c r="J15" s="63" t="str">
        <f>IF(I15="","",IFERROR(SUMPRODUCT((TableBOM[Product ID]=A15)*(TableBOM[Material Category]="SLUG")*TableBOM[Per 1000 Units]*(1+TableBOM[Scrap %]))*I15/1000,0))</f>
        <v/>
      </c>
      <c r="K15" s="63" t="str">
        <f>IF(I15="","",IFERROR(SUMPRODUCT((TableBOM[Product ID]=A15)*(TableBOM[Material Category]="BASE COAT")*TableBOM[Per 1000 Units]*(1+TableBOM[Scrap %]))*I15/1000,0))</f>
        <v/>
      </c>
      <c r="L15" s="63" t="str">
        <f>IF(I15="","",IFERROR(SUMPRODUCT((TableBOM[Product ID]=A15)*(TableBOM[Material Category]="LACQUER")*TableBOM[Per 1000 Units]*(1+TableBOM[Scrap %]))*I15/1000,0))</f>
        <v/>
      </c>
      <c r="M15" s="63" t="str">
        <f>IF(I15="","",IFERROR(SUMPRODUCT((TableBOM[Product ID]=A15)*(TableBOM[Material Category]="LATEX")*TableBOM[Per 1000 Units]*(1+TableBOM[Scrap %]))*I15/1000,0))</f>
        <v/>
      </c>
      <c r="N15" s="63" t="str">
        <f>IF(I15="","",IFERROR(SUMPRODUCT((TableBOM[Product ID]=A15)*(TableBOM[Material Category]="ZINC POWDER")*TableBOM[Per 1000 Units]*(1+TableBOM[Scrap %]))*I15/1000,0))</f>
        <v/>
      </c>
      <c r="O15" s="63" t="str">
        <f>IF(I15="","",IFERROR(SUMPRODUCT((TableBOM[Product ID]=A15)*(TableBOM[Material Category]="CAP")*TableBOM[Per 1000 Units]*(1+TableBOM[Scrap %]))*I15/1000,0))</f>
        <v/>
      </c>
      <c r="P15" s="63" t="str">
        <f>IF(I15="","",IFERROR(SUMPRODUCT((TableBOM[Product ID]=A15)*(TableBOM[Material Category]="CARTON")*TableBOM[Per 1000 Units]*(1+TableBOM[Scrap %]))*I15/1000,0))</f>
        <v/>
      </c>
      <c r="Q15" s="63"/>
      <c r="R15" s="63"/>
      <c r="S15" s="63"/>
    </row>
    <row r="16" spans="1:19" ht="15" hidden="1" customHeight="1" x14ac:dyDescent="0.25">
      <c r="A16" s="59">
        <v>6557</v>
      </c>
      <c r="B16" s="59">
        <v>185</v>
      </c>
      <c r="C16" s="59" t="s">
        <v>169</v>
      </c>
      <c r="D16" s="60" t="s">
        <v>213</v>
      </c>
      <c r="E16" s="59">
        <v>20.5</v>
      </c>
      <c r="F16" s="59">
        <v>120</v>
      </c>
      <c r="G16" s="59" t="s">
        <v>408</v>
      </c>
      <c r="H16" s="59">
        <v>510</v>
      </c>
      <c r="I16" s="78"/>
      <c r="J16" s="63" t="str">
        <f>IF(I16="","",IFERROR(SUMPRODUCT((TableBOM[Product ID]=A16)*(TableBOM[Material Category]="SLUG")*TableBOM[Per 1000 Units]*(1+TableBOM[Scrap %]))*I16/1000,0))</f>
        <v/>
      </c>
      <c r="K16" s="63" t="str">
        <f>IF(I16="","",IFERROR(SUMPRODUCT((TableBOM[Product ID]=A16)*(TableBOM[Material Category]="BASE COAT")*TableBOM[Per 1000 Units]*(1+TableBOM[Scrap %]))*I16/1000,0))</f>
        <v/>
      </c>
      <c r="L16" s="63" t="str">
        <f>IF(I16="","",IFERROR(SUMPRODUCT((TableBOM[Product ID]=A16)*(TableBOM[Material Category]="LACQUER")*TableBOM[Per 1000 Units]*(1+TableBOM[Scrap %]))*I16/1000,0))</f>
        <v/>
      </c>
      <c r="M16" s="63" t="str">
        <f>IF(I16="","",IFERROR(SUMPRODUCT((TableBOM[Product ID]=A16)*(TableBOM[Material Category]="LATEX")*TableBOM[Per 1000 Units]*(1+TableBOM[Scrap %]))*I16/1000,0))</f>
        <v/>
      </c>
      <c r="N16" s="63" t="str">
        <f>IF(I16="","",IFERROR(SUMPRODUCT((TableBOM[Product ID]=A16)*(TableBOM[Material Category]="ZINC POWDER")*TableBOM[Per 1000 Units]*(1+TableBOM[Scrap %]))*I16/1000,0))</f>
        <v/>
      </c>
      <c r="O16" s="63" t="str">
        <f>IF(I16="","",IFERROR(SUMPRODUCT((TableBOM[Product ID]=A16)*(TableBOM[Material Category]="CAP")*TableBOM[Per 1000 Units]*(1+TableBOM[Scrap %]))*I16/1000,0))</f>
        <v/>
      </c>
      <c r="P16" s="63" t="str">
        <f>IF(I16="","",IFERROR(SUMPRODUCT((TableBOM[Product ID]=A16)*(TableBOM[Material Category]="CARTON")*TableBOM[Per 1000 Units]*(1+TableBOM[Scrap %]))*I16/1000,0))</f>
        <v/>
      </c>
      <c r="Q16" s="63"/>
      <c r="R16" s="63"/>
      <c r="S16" s="63"/>
    </row>
    <row r="17" spans="1:19" ht="15" hidden="1" customHeight="1" x14ac:dyDescent="0.25">
      <c r="A17" s="59">
        <v>6228</v>
      </c>
      <c r="B17" s="59">
        <v>150</v>
      </c>
      <c r="C17" s="59" t="s">
        <v>180</v>
      </c>
      <c r="D17" s="60" t="s">
        <v>217</v>
      </c>
      <c r="E17" s="59">
        <v>25</v>
      </c>
      <c r="F17" s="59">
        <v>130</v>
      </c>
      <c r="G17" s="59" t="s">
        <v>409</v>
      </c>
      <c r="H17" s="59">
        <v>336</v>
      </c>
      <c r="I17" s="78"/>
      <c r="J17" s="63" t="str">
        <f>IF(I17="","",IFERROR(SUMPRODUCT((TableBOM[Product ID]=A17)*(TableBOM[Material Category]="SLUG")*TableBOM[Per 1000 Units]*(1+TableBOM[Scrap %]))*I17/1000,0))</f>
        <v/>
      </c>
      <c r="K17" s="63" t="str">
        <f>IF(I17="","",IFERROR(SUMPRODUCT((TableBOM[Product ID]=A17)*(TableBOM[Material Category]="BASE COAT")*TableBOM[Per 1000 Units]*(1+TableBOM[Scrap %]))*I17/1000,0))</f>
        <v/>
      </c>
      <c r="L17" s="63" t="str">
        <f>IF(I17="","",IFERROR(SUMPRODUCT((TableBOM[Product ID]=A17)*(TableBOM[Material Category]="LACQUER")*TableBOM[Per 1000 Units]*(1+TableBOM[Scrap %]))*I17/1000,0))</f>
        <v/>
      </c>
      <c r="M17" s="63" t="str">
        <f>IF(I17="","",IFERROR(SUMPRODUCT((TableBOM[Product ID]=A17)*(TableBOM[Material Category]="LATEX")*TableBOM[Per 1000 Units]*(1+TableBOM[Scrap %]))*I17/1000,0))</f>
        <v/>
      </c>
      <c r="N17" s="63" t="str">
        <f>IF(I17="","",IFERROR(SUMPRODUCT((TableBOM[Product ID]=A17)*(TableBOM[Material Category]="ZINC POWDER")*TableBOM[Per 1000 Units]*(1+TableBOM[Scrap %]))*I17/1000,0))</f>
        <v/>
      </c>
      <c r="O17" s="63" t="str">
        <f>IF(I17="","",IFERROR(SUMPRODUCT((TableBOM[Product ID]=A17)*(TableBOM[Material Category]="CAP")*TableBOM[Per 1000 Units]*(1+TableBOM[Scrap %]))*I17/1000,0))</f>
        <v/>
      </c>
      <c r="P17" s="63" t="str">
        <f>IF(I17="","",IFERROR(SUMPRODUCT((TableBOM[Product ID]=A17)*(TableBOM[Material Category]="CARTON")*TableBOM[Per 1000 Units]*(1+TableBOM[Scrap %]))*I17/1000,0))</f>
        <v/>
      </c>
      <c r="Q17" s="63"/>
      <c r="R17" s="63"/>
      <c r="S17" s="63"/>
    </row>
    <row r="18" spans="1:19" ht="15" hidden="1" customHeight="1" x14ac:dyDescent="0.25">
      <c r="A18" s="59">
        <v>3447</v>
      </c>
      <c r="B18" s="59">
        <v>34</v>
      </c>
      <c r="C18" s="59" t="s">
        <v>169</v>
      </c>
      <c r="D18" s="60" t="s">
        <v>170</v>
      </c>
      <c r="E18" s="59">
        <v>25</v>
      </c>
      <c r="F18" s="59">
        <v>150</v>
      </c>
      <c r="G18" s="59" t="s">
        <v>408</v>
      </c>
      <c r="H18" s="59">
        <v>336</v>
      </c>
      <c r="I18" s="78"/>
      <c r="J18" s="63" t="str">
        <f>IF(I18="","",IFERROR(SUMPRODUCT((TableBOM[Product ID]=A18)*(TableBOM[Material Category]="SLUG")*TableBOM[Per 1000 Units]*(1+TableBOM[Scrap %]))*I18/1000,0))</f>
        <v/>
      </c>
      <c r="K18" s="63" t="str">
        <f>IF(I18="","",IFERROR(SUMPRODUCT((TableBOM[Product ID]=A18)*(TableBOM[Material Category]="BASE COAT")*TableBOM[Per 1000 Units]*(1+TableBOM[Scrap %]))*I18/1000,0))</f>
        <v/>
      </c>
      <c r="L18" s="63" t="str">
        <f>IF(I18="","",IFERROR(SUMPRODUCT((TableBOM[Product ID]=A18)*(TableBOM[Material Category]="LACQUER")*TableBOM[Per 1000 Units]*(1+TableBOM[Scrap %]))*I18/1000,0))</f>
        <v/>
      </c>
      <c r="M18" s="63" t="str">
        <f>IF(I18="","",IFERROR(SUMPRODUCT((TableBOM[Product ID]=A18)*(TableBOM[Material Category]="LATEX")*TableBOM[Per 1000 Units]*(1+TableBOM[Scrap %]))*I18/1000,0))</f>
        <v/>
      </c>
      <c r="N18" s="63" t="str">
        <f>IF(I18="","",IFERROR(SUMPRODUCT((TableBOM[Product ID]=A18)*(TableBOM[Material Category]="ZINC POWDER")*TableBOM[Per 1000 Units]*(1+TableBOM[Scrap %]))*I18/1000,0))</f>
        <v/>
      </c>
      <c r="O18" s="63" t="str">
        <f>IF(I18="","",IFERROR(SUMPRODUCT((TableBOM[Product ID]=A18)*(TableBOM[Material Category]="CAP")*TableBOM[Per 1000 Units]*(1+TableBOM[Scrap %]))*I18/1000,0))</f>
        <v/>
      </c>
      <c r="P18" s="63" t="str">
        <f>IF(I18="","",IFERROR(SUMPRODUCT((TableBOM[Product ID]=A18)*(TableBOM[Material Category]="CARTON")*TableBOM[Per 1000 Units]*(1+TableBOM[Scrap %]))*I18/1000,0))</f>
        <v/>
      </c>
      <c r="Q18" s="63"/>
      <c r="R18" s="63"/>
      <c r="S18" s="63"/>
    </row>
    <row r="19" spans="1:19" ht="15" hidden="1" customHeight="1" x14ac:dyDescent="0.25">
      <c r="A19" s="59">
        <v>3726</v>
      </c>
      <c r="B19" s="59">
        <v>9</v>
      </c>
      <c r="C19" s="59" t="s">
        <v>169</v>
      </c>
      <c r="D19" s="60" t="s">
        <v>216</v>
      </c>
      <c r="E19" s="59">
        <v>25</v>
      </c>
      <c r="F19" s="59">
        <v>150</v>
      </c>
      <c r="G19" s="59" t="s">
        <v>408</v>
      </c>
      <c r="H19" s="59">
        <v>336</v>
      </c>
      <c r="I19" s="78"/>
      <c r="J19" s="63" t="str">
        <f>IF(I19="","",IFERROR(SUMPRODUCT((TableBOM[Product ID]=A19)*(TableBOM[Material Category]="SLUG")*TableBOM[Per 1000 Units]*(1+TableBOM[Scrap %]))*I19/1000,0))</f>
        <v/>
      </c>
      <c r="K19" s="63" t="str">
        <f>IF(I19="","",IFERROR(SUMPRODUCT((TableBOM[Product ID]=A19)*(TableBOM[Material Category]="BASE COAT")*TableBOM[Per 1000 Units]*(1+TableBOM[Scrap %]))*I19/1000,0))</f>
        <v/>
      </c>
      <c r="L19" s="63" t="str">
        <f>IF(I19="","",IFERROR(SUMPRODUCT((TableBOM[Product ID]=A19)*(TableBOM[Material Category]="LACQUER")*TableBOM[Per 1000 Units]*(1+TableBOM[Scrap %]))*I19/1000,0))</f>
        <v/>
      </c>
      <c r="M19" s="63" t="str">
        <f>IF(I19="","",IFERROR(SUMPRODUCT((TableBOM[Product ID]=A19)*(TableBOM[Material Category]="LATEX")*TableBOM[Per 1000 Units]*(1+TableBOM[Scrap %]))*I19/1000,0))</f>
        <v/>
      </c>
      <c r="N19" s="63" t="str">
        <f>IF(I19="","",IFERROR(SUMPRODUCT((TableBOM[Product ID]=A19)*(TableBOM[Material Category]="ZINC POWDER")*TableBOM[Per 1000 Units]*(1+TableBOM[Scrap %]))*I19/1000,0))</f>
        <v/>
      </c>
      <c r="O19" s="63" t="str">
        <f>IF(I19="","",IFERROR(SUMPRODUCT((TableBOM[Product ID]=A19)*(TableBOM[Material Category]="CAP")*TableBOM[Per 1000 Units]*(1+TableBOM[Scrap %]))*I19/1000,0))</f>
        <v/>
      </c>
      <c r="P19" s="63" t="str">
        <f>IF(I19="","",IFERROR(SUMPRODUCT((TableBOM[Product ID]=A19)*(TableBOM[Material Category]="CARTON")*TableBOM[Per 1000 Units]*(1+TableBOM[Scrap %]))*I19/1000,0))</f>
        <v/>
      </c>
      <c r="Q19" s="63"/>
      <c r="R19" s="63"/>
      <c r="S19" s="63"/>
    </row>
    <row r="20" spans="1:19" ht="15" hidden="1" customHeight="1" x14ac:dyDescent="0.25">
      <c r="A20" s="59">
        <v>6470</v>
      </c>
      <c r="B20" s="59">
        <v>177</v>
      </c>
      <c r="C20" s="59" t="s">
        <v>169</v>
      </c>
      <c r="D20" s="60" t="s">
        <v>214</v>
      </c>
      <c r="E20" s="59">
        <v>25</v>
      </c>
      <c r="F20" s="59">
        <v>150</v>
      </c>
      <c r="G20" s="59" t="s">
        <v>408</v>
      </c>
      <c r="H20" s="59">
        <v>336</v>
      </c>
      <c r="I20" s="78"/>
      <c r="J20" s="63" t="str">
        <f>IF(I20="","",IFERROR(SUMPRODUCT((TableBOM[Product ID]=A20)*(TableBOM[Material Category]="SLUG")*TableBOM[Per 1000 Units]*(1+TableBOM[Scrap %]))*I20/1000,0))</f>
        <v/>
      </c>
      <c r="K20" s="63" t="str">
        <f>IF(I20="","",IFERROR(SUMPRODUCT((TableBOM[Product ID]=A20)*(TableBOM[Material Category]="BASE COAT")*TableBOM[Per 1000 Units]*(1+TableBOM[Scrap %]))*I20/1000,0))</f>
        <v/>
      </c>
      <c r="L20" s="63" t="str">
        <f>IF(I20="","",IFERROR(SUMPRODUCT((TableBOM[Product ID]=A20)*(TableBOM[Material Category]="LACQUER")*TableBOM[Per 1000 Units]*(1+TableBOM[Scrap %]))*I20/1000,0))</f>
        <v/>
      </c>
      <c r="M20" s="63" t="str">
        <f>IF(I20="","",IFERROR(SUMPRODUCT((TableBOM[Product ID]=A20)*(TableBOM[Material Category]="LATEX")*TableBOM[Per 1000 Units]*(1+TableBOM[Scrap %]))*I20/1000,0))</f>
        <v/>
      </c>
      <c r="N20" s="63" t="str">
        <f>IF(I20="","",IFERROR(SUMPRODUCT((TableBOM[Product ID]=A20)*(TableBOM[Material Category]="ZINC POWDER")*TableBOM[Per 1000 Units]*(1+TableBOM[Scrap %]))*I20/1000,0))</f>
        <v/>
      </c>
      <c r="O20" s="63" t="str">
        <f>IF(I20="","",IFERROR(SUMPRODUCT((TableBOM[Product ID]=A20)*(TableBOM[Material Category]="CAP")*TableBOM[Per 1000 Units]*(1+TableBOM[Scrap %]))*I20/1000,0))</f>
        <v/>
      </c>
      <c r="P20" s="63" t="str">
        <f>IF(I20="","",IFERROR(SUMPRODUCT((TableBOM[Product ID]=A20)*(TableBOM[Material Category]="CARTON")*TableBOM[Per 1000 Units]*(1+TableBOM[Scrap %]))*I20/1000,0))</f>
        <v/>
      </c>
      <c r="Q20" s="63"/>
      <c r="R20" s="63"/>
      <c r="S20" s="63"/>
    </row>
    <row r="21" spans="1:19" ht="15" hidden="1" customHeight="1" x14ac:dyDescent="0.25">
      <c r="A21" s="59">
        <v>6506</v>
      </c>
      <c r="B21" s="59">
        <v>179</v>
      </c>
      <c r="C21" s="59" t="s">
        <v>169</v>
      </c>
      <c r="D21" s="60" t="s">
        <v>220</v>
      </c>
      <c r="E21" s="59">
        <v>25</v>
      </c>
      <c r="F21" s="59">
        <v>150</v>
      </c>
      <c r="G21" s="59" t="s">
        <v>408</v>
      </c>
      <c r="H21" s="59">
        <v>336</v>
      </c>
      <c r="I21" s="78"/>
      <c r="J21" s="63" t="str">
        <f>IF(I21="","",IFERROR(SUMPRODUCT((TableBOM[Product ID]=A21)*(TableBOM[Material Category]="SLUG")*TableBOM[Per 1000 Units]*(1+TableBOM[Scrap %]))*I21/1000,0))</f>
        <v/>
      </c>
      <c r="K21" s="63" t="str">
        <f>IF(I21="","",IFERROR(SUMPRODUCT((TableBOM[Product ID]=A21)*(TableBOM[Material Category]="BASE COAT")*TableBOM[Per 1000 Units]*(1+TableBOM[Scrap %]))*I21/1000,0))</f>
        <v/>
      </c>
      <c r="L21" s="63" t="str">
        <f>IF(I21="","",IFERROR(SUMPRODUCT((TableBOM[Product ID]=A21)*(TableBOM[Material Category]="LACQUER")*TableBOM[Per 1000 Units]*(1+TableBOM[Scrap %]))*I21/1000,0))</f>
        <v/>
      </c>
      <c r="M21" s="63" t="str">
        <f>IF(I21="","",IFERROR(SUMPRODUCT((TableBOM[Product ID]=A21)*(TableBOM[Material Category]="LATEX")*TableBOM[Per 1000 Units]*(1+TableBOM[Scrap %]))*I21/1000,0))</f>
        <v/>
      </c>
      <c r="N21" s="63" t="str">
        <f>IF(I21="","",IFERROR(SUMPRODUCT((TableBOM[Product ID]=A21)*(TableBOM[Material Category]="ZINC POWDER")*TableBOM[Per 1000 Units]*(1+TableBOM[Scrap %]))*I21/1000,0))</f>
        <v/>
      </c>
      <c r="O21" s="63" t="str">
        <f>IF(I21="","",IFERROR(SUMPRODUCT((TableBOM[Product ID]=A21)*(TableBOM[Material Category]="CAP")*TableBOM[Per 1000 Units]*(1+TableBOM[Scrap %]))*I21/1000,0))</f>
        <v/>
      </c>
      <c r="P21" s="63" t="str">
        <f>IF(I21="","",IFERROR(SUMPRODUCT((TableBOM[Product ID]=A21)*(TableBOM[Material Category]="CARTON")*TableBOM[Per 1000 Units]*(1+TableBOM[Scrap %]))*I21/1000,0))</f>
        <v/>
      </c>
      <c r="Q21" s="63"/>
      <c r="R21" s="63"/>
      <c r="S21" s="63"/>
    </row>
    <row r="22" spans="1:19" ht="15" hidden="1" customHeight="1" x14ac:dyDescent="0.25">
      <c r="A22" s="59">
        <v>6532</v>
      </c>
      <c r="B22" s="59">
        <v>181</v>
      </c>
      <c r="C22" s="59" t="s">
        <v>169</v>
      </c>
      <c r="D22" s="60" t="s">
        <v>215</v>
      </c>
      <c r="E22" s="59">
        <v>25</v>
      </c>
      <c r="F22" s="59">
        <v>150</v>
      </c>
      <c r="G22" s="59" t="s">
        <v>408</v>
      </c>
      <c r="H22" s="59">
        <v>336</v>
      </c>
      <c r="I22" s="78">
        <v>17472</v>
      </c>
      <c r="J22" s="63">
        <f>IF(I22="","",IFERROR(SUMPRODUCT((TableBOM[Product ID]=A22)*(TableBOM[Material Category]="SLUG")*TableBOM[Per 1000 Units]*(1+TableBOM[Scrap %]))*I22/1000,0))</f>
        <v>113.7200064</v>
      </c>
      <c r="K22" s="63">
        <f>IF(I22="","",IFERROR(SUMPRODUCT((TableBOM[Product ID]=A22)*(TableBOM[Material Category]="BASE COAT")*TableBOM[Per 1000 Units]*(1+TableBOM[Scrap %]))*I22/1000,0))</f>
        <v>11.762150400000001</v>
      </c>
      <c r="L22" s="63">
        <f>IF(I22="","",IFERROR(SUMPRODUCT((TableBOM[Product ID]=A22)*(TableBOM[Material Category]="LACQUER")*TableBOM[Per 1000 Units]*(1+TableBOM[Scrap %]))*I22/1000,0))</f>
        <v>5.6120063999999994</v>
      </c>
      <c r="M22" s="63">
        <f>IF(I22="","",IFERROR(SUMPRODUCT((TableBOM[Product ID]=A22)*(TableBOM[Material Category]="LATEX")*TableBOM[Per 1000 Units]*(1+TableBOM[Scrap %]))*I22/1000,0))</f>
        <v>0</v>
      </c>
      <c r="N22" s="63">
        <f>IF(I22="","",IFERROR(SUMPRODUCT((TableBOM[Product ID]=A22)*(TableBOM[Material Category]="ZINC POWDER")*TableBOM[Per 1000 Units]*(1+TableBOM[Scrap %]))*I22/1000,0))</f>
        <v>0.11827207392</v>
      </c>
      <c r="O22" s="63">
        <f>IF(I22="","",IFERROR(SUMPRODUCT((TableBOM[Product ID]=A22)*(TableBOM[Material Category]="CAP")*TableBOM[Per 1000 Units]*(1+TableBOM[Scrap %]))*I22/1000,0))</f>
        <v>17821.439999999999</v>
      </c>
      <c r="P22" s="63">
        <f>IF(I22="","",IFERROR(SUMPRODUCT((TableBOM[Product ID]=A22)*(TableBOM[Material Category]="CARTON")*TableBOM[Per 1000 Units]*(1+TableBOM[Scrap %]))*I22/1000,0))</f>
        <v>57.196339200000004</v>
      </c>
      <c r="Q22" s="63"/>
      <c r="R22" s="63"/>
      <c r="S22" s="63"/>
    </row>
    <row r="23" spans="1:19" ht="15" hidden="1" customHeight="1" x14ac:dyDescent="0.25">
      <c r="A23" s="59">
        <v>9006</v>
      </c>
      <c r="B23" s="59">
        <v>906</v>
      </c>
      <c r="C23" s="59" t="s">
        <v>169</v>
      </c>
      <c r="D23" s="60" t="s">
        <v>221</v>
      </c>
      <c r="E23" s="59">
        <v>25</v>
      </c>
      <c r="F23" s="59">
        <v>150</v>
      </c>
      <c r="G23" s="59" t="s">
        <v>408</v>
      </c>
      <c r="H23" s="59">
        <v>336</v>
      </c>
      <c r="I23" s="78"/>
      <c r="J23" s="63" t="str">
        <f>IF(I23="","",IFERROR(SUMPRODUCT((TableBOM[Product ID]=A23)*(TableBOM[Material Category]="SLUG")*TableBOM[Per 1000 Units]*(1+TableBOM[Scrap %]))*I23/1000,0))</f>
        <v/>
      </c>
      <c r="K23" s="63" t="str">
        <f>IF(I23="","",IFERROR(SUMPRODUCT((TableBOM[Product ID]=A23)*(TableBOM[Material Category]="BASE COAT")*TableBOM[Per 1000 Units]*(1+TableBOM[Scrap %]))*I23/1000,0))</f>
        <v/>
      </c>
      <c r="L23" s="63" t="str">
        <f>IF(I23="","",IFERROR(SUMPRODUCT((TableBOM[Product ID]=A23)*(TableBOM[Material Category]="LACQUER")*TableBOM[Per 1000 Units]*(1+TableBOM[Scrap %]))*I23/1000,0))</f>
        <v/>
      </c>
      <c r="M23" s="63" t="str">
        <f>IF(I23="","",IFERROR(SUMPRODUCT((TableBOM[Product ID]=A23)*(TableBOM[Material Category]="LATEX")*TableBOM[Per 1000 Units]*(1+TableBOM[Scrap %]))*I23/1000,0))</f>
        <v/>
      </c>
      <c r="N23" s="63" t="str">
        <f>IF(I23="","",IFERROR(SUMPRODUCT((TableBOM[Product ID]=A23)*(TableBOM[Material Category]="ZINC POWDER")*TableBOM[Per 1000 Units]*(1+TableBOM[Scrap %]))*I23/1000,0))</f>
        <v/>
      </c>
      <c r="O23" s="63" t="str">
        <f>IF(I23="","",IFERROR(SUMPRODUCT((TableBOM[Product ID]=A23)*(TableBOM[Material Category]="CAP")*TableBOM[Per 1000 Units]*(1+TableBOM[Scrap %]))*I23/1000,0))</f>
        <v/>
      </c>
      <c r="P23" s="63" t="str">
        <f>IF(I23="","",IFERROR(SUMPRODUCT((TableBOM[Product ID]=A23)*(TableBOM[Material Category]="CARTON")*TableBOM[Per 1000 Units]*(1+TableBOM[Scrap %]))*I23/1000,0))</f>
        <v/>
      </c>
      <c r="Q23" s="63"/>
      <c r="R23" s="63"/>
      <c r="S23" s="63"/>
    </row>
    <row r="24" spans="1:19" ht="15" hidden="1" customHeight="1" x14ac:dyDescent="0.25">
      <c r="A24" s="59">
        <v>6338</v>
      </c>
      <c r="B24" s="59">
        <v>167</v>
      </c>
      <c r="C24" s="59" t="s">
        <v>218</v>
      </c>
      <c r="D24" s="60" t="s">
        <v>219</v>
      </c>
      <c r="E24" s="59">
        <v>25</v>
      </c>
      <c r="F24" s="59">
        <v>155</v>
      </c>
      <c r="G24" s="59" t="s">
        <v>408</v>
      </c>
      <c r="H24" s="59">
        <v>336</v>
      </c>
      <c r="I24" s="78"/>
      <c r="J24" s="63" t="str">
        <f>IF(I24="","",IFERROR(SUMPRODUCT((TableBOM[Product ID]=A24)*(TableBOM[Material Category]="SLUG")*TableBOM[Per 1000 Units]*(1+TableBOM[Scrap %]))*I24/1000,0))</f>
        <v/>
      </c>
      <c r="K24" s="63" t="str">
        <f>IF(I24="","",IFERROR(SUMPRODUCT((TableBOM[Product ID]=A24)*(TableBOM[Material Category]="BASE COAT")*TableBOM[Per 1000 Units]*(1+TableBOM[Scrap %]))*I24/1000,0))</f>
        <v/>
      </c>
      <c r="L24" s="63" t="str">
        <f>IF(I24="","",IFERROR(SUMPRODUCT((TableBOM[Product ID]=A24)*(TableBOM[Material Category]="LACQUER")*TableBOM[Per 1000 Units]*(1+TableBOM[Scrap %]))*I24/1000,0))</f>
        <v/>
      </c>
      <c r="M24" s="63" t="str">
        <f>IF(I24="","",IFERROR(SUMPRODUCT((TableBOM[Product ID]=A24)*(TableBOM[Material Category]="LATEX")*TableBOM[Per 1000 Units]*(1+TableBOM[Scrap %]))*I24/1000,0))</f>
        <v/>
      </c>
      <c r="N24" s="63" t="str">
        <f>IF(I24="","",IFERROR(SUMPRODUCT((TableBOM[Product ID]=A24)*(TableBOM[Material Category]="ZINC POWDER")*TableBOM[Per 1000 Units]*(1+TableBOM[Scrap %]))*I24/1000,0))</f>
        <v/>
      </c>
      <c r="O24" s="63" t="str">
        <f>IF(I24="","",IFERROR(SUMPRODUCT((TableBOM[Product ID]=A24)*(TableBOM[Material Category]="CAP")*TableBOM[Per 1000 Units]*(1+TableBOM[Scrap %]))*I24/1000,0))</f>
        <v/>
      </c>
      <c r="P24" s="63" t="str">
        <f>IF(I24="","",IFERROR(SUMPRODUCT((TableBOM[Product ID]=A24)*(TableBOM[Material Category]="CARTON")*TableBOM[Per 1000 Units]*(1+TableBOM[Scrap %]))*I24/1000,0))</f>
        <v/>
      </c>
      <c r="Q24" s="63"/>
      <c r="R24" s="63"/>
      <c r="S24" s="63"/>
    </row>
    <row r="25" spans="1:19" ht="15" hidden="1" customHeight="1" x14ac:dyDescent="0.25">
      <c r="A25" s="59">
        <v>6337</v>
      </c>
      <c r="B25" s="59">
        <v>166</v>
      </c>
      <c r="C25" s="59" t="s">
        <v>226</v>
      </c>
      <c r="D25" s="60" t="s">
        <v>228</v>
      </c>
      <c r="E25" s="59">
        <v>30</v>
      </c>
      <c r="F25" s="59">
        <v>130</v>
      </c>
      <c r="G25" s="59" t="s">
        <v>409</v>
      </c>
      <c r="H25" s="59">
        <v>150</v>
      </c>
      <c r="I25" s="78"/>
      <c r="J25" s="63" t="str">
        <f>IF(I25="","",IFERROR(SUMPRODUCT((TableBOM[Product ID]=A25)*(TableBOM[Material Category]="SLUG")*TableBOM[Per 1000 Units]*(1+TableBOM[Scrap %]))*I25/1000,0))</f>
        <v/>
      </c>
      <c r="K25" s="63" t="str">
        <f>IF(I25="","",IFERROR(SUMPRODUCT((TableBOM[Product ID]=A25)*(TableBOM[Material Category]="BASE COAT")*TableBOM[Per 1000 Units]*(1+TableBOM[Scrap %]))*I25/1000,0))</f>
        <v/>
      </c>
      <c r="L25" s="63" t="str">
        <f>IF(I25="","",IFERROR(SUMPRODUCT((TableBOM[Product ID]=A25)*(TableBOM[Material Category]="LACQUER")*TableBOM[Per 1000 Units]*(1+TableBOM[Scrap %]))*I25/1000,0))</f>
        <v/>
      </c>
      <c r="M25" s="63" t="str">
        <f>IF(I25="","",IFERROR(SUMPRODUCT((TableBOM[Product ID]=A25)*(TableBOM[Material Category]="LATEX")*TableBOM[Per 1000 Units]*(1+TableBOM[Scrap %]))*I25/1000,0))</f>
        <v/>
      </c>
      <c r="N25" s="63" t="str">
        <f>IF(I25="","",IFERROR(SUMPRODUCT((TableBOM[Product ID]=A25)*(TableBOM[Material Category]="ZINC POWDER")*TableBOM[Per 1000 Units]*(1+TableBOM[Scrap %]))*I25/1000,0))</f>
        <v/>
      </c>
      <c r="O25" s="63" t="str">
        <f>IF(I25="","",IFERROR(SUMPRODUCT((TableBOM[Product ID]=A25)*(TableBOM[Material Category]="CAP")*TableBOM[Per 1000 Units]*(1+TableBOM[Scrap %]))*I25/1000,0))</f>
        <v/>
      </c>
      <c r="P25" s="63" t="str">
        <f>IF(I25="","",IFERROR(SUMPRODUCT((TableBOM[Product ID]=A25)*(TableBOM[Material Category]="CARTON")*TableBOM[Per 1000 Units]*(1+TableBOM[Scrap %]))*I25/1000,0))</f>
        <v/>
      </c>
      <c r="Q25" s="63"/>
      <c r="R25" s="63"/>
      <c r="S25" s="63"/>
    </row>
    <row r="26" spans="1:19" ht="15" hidden="1" customHeight="1" x14ac:dyDescent="0.25">
      <c r="A26" s="59">
        <v>6416</v>
      </c>
      <c r="B26" s="59">
        <v>171</v>
      </c>
      <c r="C26" s="59" t="s">
        <v>226</v>
      </c>
      <c r="D26" s="60" t="s">
        <v>227</v>
      </c>
      <c r="E26" s="59">
        <v>30</v>
      </c>
      <c r="F26" s="59">
        <v>130</v>
      </c>
      <c r="G26" s="59" t="s">
        <v>409</v>
      </c>
      <c r="H26" s="59">
        <v>150</v>
      </c>
      <c r="I26" s="78"/>
      <c r="J26" s="63" t="str">
        <f>IF(I26="","",IFERROR(SUMPRODUCT((TableBOM[Product ID]=A26)*(TableBOM[Material Category]="SLUG")*TableBOM[Per 1000 Units]*(1+TableBOM[Scrap %]))*I26/1000,0))</f>
        <v/>
      </c>
      <c r="K26" s="63" t="str">
        <f>IF(I26="","",IFERROR(SUMPRODUCT((TableBOM[Product ID]=A26)*(TableBOM[Material Category]="BASE COAT")*TableBOM[Per 1000 Units]*(1+TableBOM[Scrap %]))*I26/1000,0))</f>
        <v/>
      </c>
      <c r="L26" s="63" t="str">
        <f>IF(I26="","",IFERROR(SUMPRODUCT((TableBOM[Product ID]=A26)*(TableBOM[Material Category]="LACQUER")*TableBOM[Per 1000 Units]*(1+TableBOM[Scrap %]))*I26/1000,0))</f>
        <v/>
      </c>
      <c r="M26" s="63" t="str">
        <f>IF(I26="","",IFERROR(SUMPRODUCT((TableBOM[Product ID]=A26)*(TableBOM[Material Category]="LATEX")*TableBOM[Per 1000 Units]*(1+TableBOM[Scrap %]))*I26/1000,0))</f>
        <v/>
      </c>
      <c r="N26" s="63" t="str">
        <f>IF(I26="","",IFERROR(SUMPRODUCT((TableBOM[Product ID]=A26)*(TableBOM[Material Category]="ZINC POWDER")*TableBOM[Per 1000 Units]*(1+TableBOM[Scrap %]))*I26/1000,0))</f>
        <v/>
      </c>
      <c r="O26" s="63" t="str">
        <f>IF(I26="","",IFERROR(SUMPRODUCT((TableBOM[Product ID]=A26)*(TableBOM[Material Category]="CAP")*TableBOM[Per 1000 Units]*(1+TableBOM[Scrap %]))*I26/1000,0))</f>
        <v/>
      </c>
      <c r="P26" s="63" t="str">
        <f>IF(I26="","",IFERROR(SUMPRODUCT((TableBOM[Product ID]=A26)*(TableBOM[Material Category]="CARTON")*TableBOM[Per 1000 Units]*(1+TableBOM[Scrap %]))*I26/1000,0))</f>
        <v/>
      </c>
      <c r="Q26" s="63"/>
      <c r="R26" s="63"/>
      <c r="S26" s="63"/>
    </row>
    <row r="27" spans="1:19" ht="15" hidden="1" customHeight="1" x14ac:dyDescent="0.25">
      <c r="A27" s="59">
        <v>6206</v>
      </c>
      <c r="B27" s="59">
        <v>149</v>
      </c>
      <c r="C27" s="59" t="s">
        <v>175</v>
      </c>
      <c r="D27" s="60" t="s">
        <v>176</v>
      </c>
      <c r="E27" s="59">
        <v>30</v>
      </c>
      <c r="F27" s="59">
        <v>130</v>
      </c>
      <c r="G27" s="59" t="s">
        <v>409</v>
      </c>
      <c r="H27" s="59">
        <v>245</v>
      </c>
      <c r="I27" s="78"/>
      <c r="J27" s="63" t="str">
        <f>IF(I27="","",IFERROR(SUMPRODUCT((TableBOM[Product ID]=A27)*(TableBOM[Material Category]="SLUG")*TableBOM[Per 1000 Units]*(1+TableBOM[Scrap %]))*I27/1000,0))</f>
        <v/>
      </c>
      <c r="K27" s="63" t="str">
        <f>IF(I27="","",IFERROR(SUMPRODUCT((TableBOM[Product ID]=A27)*(TableBOM[Material Category]="BASE COAT")*TableBOM[Per 1000 Units]*(1+TableBOM[Scrap %]))*I27/1000,0))</f>
        <v/>
      </c>
      <c r="L27" s="63" t="str">
        <f>IF(I27="","",IFERROR(SUMPRODUCT((TableBOM[Product ID]=A27)*(TableBOM[Material Category]="LACQUER")*TableBOM[Per 1000 Units]*(1+TableBOM[Scrap %]))*I27/1000,0))</f>
        <v/>
      </c>
      <c r="M27" s="63" t="str">
        <f>IF(I27="","",IFERROR(SUMPRODUCT((TableBOM[Product ID]=A27)*(TableBOM[Material Category]="LATEX")*TableBOM[Per 1000 Units]*(1+TableBOM[Scrap %]))*I27/1000,0))</f>
        <v/>
      </c>
      <c r="N27" s="63" t="str">
        <f>IF(I27="","",IFERROR(SUMPRODUCT((TableBOM[Product ID]=A27)*(TableBOM[Material Category]="ZINC POWDER")*TableBOM[Per 1000 Units]*(1+TableBOM[Scrap %]))*I27/1000,0))</f>
        <v/>
      </c>
      <c r="O27" s="63" t="str">
        <f>IF(I27="","",IFERROR(SUMPRODUCT((TableBOM[Product ID]=A27)*(TableBOM[Material Category]="CAP")*TableBOM[Per 1000 Units]*(1+TableBOM[Scrap %]))*I27/1000,0))</f>
        <v/>
      </c>
      <c r="P27" s="63" t="str">
        <f>IF(I27="","",IFERROR(SUMPRODUCT((TableBOM[Product ID]=A27)*(TableBOM[Material Category]="CARTON")*TableBOM[Per 1000 Units]*(1+TableBOM[Scrap %]))*I27/1000,0))</f>
        <v/>
      </c>
      <c r="Q27" s="63"/>
      <c r="R27" s="63"/>
      <c r="S27" s="63"/>
    </row>
    <row r="28" spans="1:19" ht="15" hidden="1" customHeight="1" x14ac:dyDescent="0.25">
      <c r="A28" s="59">
        <v>5814</v>
      </c>
      <c r="B28" s="59">
        <v>95</v>
      </c>
      <c r="C28" s="59" t="s">
        <v>180</v>
      </c>
      <c r="D28" s="60" t="s">
        <v>181</v>
      </c>
      <c r="E28" s="59">
        <v>30</v>
      </c>
      <c r="F28" s="59">
        <v>130</v>
      </c>
      <c r="G28" s="59" t="s">
        <v>409</v>
      </c>
      <c r="H28" s="59">
        <v>150</v>
      </c>
      <c r="I28" s="78"/>
      <c r="J28" s="63" t="str">
        <f>IF(I28="","",IFERROR(SUMPRODUCT((TableBOM[Product ID]=A28)*(TableBOM[Material Category]="SLUG")*TableBOM[Per 1000 Units]*(1+TableBOM[Scrap %]))*I28/1000,0))</f>
        <v/>
      </c>
      <c r="K28" s="63" t="str">
        <f>IF(I28="","",IFERROR(SUMPRODUCT((TableBOM[Product ID]=A28)*(TableBOM[Material Category]="BASE COAT")*TableBOM[Per 1000 Units]*(1+TableBOM[Scrap %]))*I28/1000,0))</f>
        <v/>
      </c>
      <c r="L28" s="63" t="str">
        <f>IF(I28="","",IFERROR(SUMPRODUCT((TableBOM[Product ID]=A28)*(TableBOM[Material Category]="LACQUER")*TableBOM[Per 1000 Units]*(1+TableBOM[Scrap %]))*I28/1000,0))</f>
        <v/>
      </c>
      <c r="M28" s="63" t="str">
        <f>IF(I28="","",IFERROR(SUMPRODUCT((TableBOM[Product ID]=A28)*(TableBOM[Material Category]="LATEX")*TableBOM[Per 1000 Units]*(1+TableBOM[Scrap %]))*I28/1000,0))</f>
        <v/>
      </c>
      <c r="N28" s="63" t="str">
        <f>IF(I28="","",IFERROR(SUMPRODUCT((TableBOM[Product ID]=A28)*(TableBOM[Material Category]="ZINC POWDER")*TableBOM[Per 1000 Units]*(1+TableBOM[Scrap %]))*I28/1000,0))</f>
        <v/>
      </c>
      <c r="O28" s="63" t="str">
        <f>IF(I28="","",IFERROR(SUMPRODUCT((TableBOM[Product ID]=A28)*(TableBOM[Material Category]="CAP")*TableBOM[Per 1000 Units]*(1+TableBOM[Scrap %]))*I28/1000,0))</f>
        <v/>
      </c>
      <c r="P28" s="63" t="str">
        <f>IF(I28="","",IFERROR(SUMPRODUCT((TableBOM[Product ID]=A28)*(TableBOM[Material Category]="CARTON")*TableBOM[Per 1000 Units]*(1+TableBOM[Scrap %]))*I28/1000,0))</f>
        <v/>
      </c>
      <c r="Q28" s="63"/>
      <c r="R28" s="63"/>
      <c r="S28" s="63"/>
    </row>
    <row r="29" spans="1:19" ht="15" hidden="1" customHeight="1" x14ac:dyDescent="0.25">
      <c r="A29" s="59">
        <v>9002</v>
      </c>
      <c r="B29" s="59">
        <v>901</v>
      </c>
      <c r="C29" s="59" t="s">
        <v>180</v>
      </c>
      <c r="D29" s="60" t="s">
        <v>229</v>
      </c>
      <c r="E29" s="59">
        <v>30</v>
      </c>
      <c r="F29" s="59">
        <v>130</v>
      </c>
      <c r="G29" s="59" t="s">
        <v>408</v>
      </c>
      <c r="H29" s="59">
        <v>245</v>
      </c>
      <c r="I29" s="78"/>
      <c r="J29" s="63" t="str">
        <f>IF(I29="","",IFERROR(SUMPRODUCT((TableBOM[Product ID]=A29)*(TableBOM[Material Category]="SLUG")*TableBOM[Per 1000 Units]*(1+TableBOM[Scrap %]))*I29/1000,0))</f>
        <v/>
      </c>
      <c r="K29" s="63" t="str">
        <f>IF(I29="","",IFERROR(SUMPRODUCT((TableBOM[Product ID]=A29)*(TableBOM[Material Category]="BASE COAT")*TableBOM[Per 1000 Units]*(1+TableBOM[Scrap %]))*I29/1000,0))</f>
        <v/>
      </c>
      <c r="L29" s="63" t="str">
        <f>IF(I29="","",IFERROR(SUMPRODUCT((TableBOM[Product ID]=A29)*(TableBOM[Material Category]="LACQUER")*TableBOM[Per 1000 Units]*(1+TableBOM[Scrap %]))*I29/1000,0))</f>
        <v/>
      </c>
      <c r="M29" s="63" t="str">
        <f>IF(I29="","",IFERROR(SUMPRODUCT((TableBOM[Product ID]=A29)*(TableBOM[Material Category]="LATEX")*TableBOM[Per 1000 Units]*(1+TableBOM[Scrap %]))*I29/1000,0))</f>
        <v/>
      </c>
      <c r="N29" s="63" t="str">
        <f>IF(I29="","",IFERROR(SUMPRODUCT((TableBOM[Product ID]=A29)*(TableBOM[Material Category]="ZINC POWDER")*TableBOM[Per 1000 Units]*(1+TableBOM[Scrap %]))*I29/1000,0))</f>
        <v/>
      </c>
      <c r="O29" s="63" t="str">
        <f>IF(I29="","",IFERROR(SUMPRODUCT((TableBOM[Product ID]=A29)*(TableBOM[Material Category]="CAP")*TableBOM[Per 1000 Units]*(1+TableBOM[Scrap %]))*I29/1000,0))</f>
        <v/>
      </c>
      <c r="P29" s="63" t="str">
        <f>IF(I29="","",IFERROR(SUMPRODUCT((TableBOM[Product ID]=A29)*(TableBOM[Material Category]="CARTON")*TableBOM[Per 1000 Units]*(1+TableBOM[Scrap %]))*I29/1000,0))</f>
        <v/>
      </c>
      <c r="Q29" s="63"/>
      <c r="R29" s="63"/>
      <c r="S29" s="63"/>
    </row>
    <row r="30" spans="1:19" ht="15" hidden="1" customHeight="1" x14ac:dyDescent="0.25">
      <c r="A30" s="59">
        <v>4050</v>
      </c>
      <c r="B30" s="59">
        <v>19</v>
      </c>
      <c r="C30" s="59" t="s">
        <v>230</v>
      </c>
      <c r="D30" s="60" t="s">
        <v>231</v>
      </c>
      <c r="E30" s="59">
        <v>30</v>
      </c>
      <c r="F30" s="59">
        <v>130</v>
      </c>
      <c r="G30" s="59" t="s">
        <v>409</v>
      </c>
      <c r="H30" s="59">
        <v>150</v>
      </c>
      <c r="I30" s="78"/>
      <c r="J30" s="63" t="str">
        <f>IF(I30="","",IFERROR(SUMPRODUCT((TableBOM[Product ID]=A30)*(TableBOM[Material Category]="SLUG")*TableBOM[Per 1000 Units]*(1+TableBOM[Scrap %]))*I30/1000,0))</f>
        <v/>
      </c>
      <c r="K30" s="63" t="str">
        <f>IF(I30="","",IFERROR(SUMPRODUCT((TableBOM[Product ID]=A30)*(TableBOM[Material Category]="BASE COAT")*TableBOM[Per 1000 Units]*(1+TableBOM[Scrap %]))*I30/1000,0))</f>
        <v/>
      </c>
      <c r="L30" s="63" t="str">
        <f>IF(I30="","",IFERROR(SUMPRODUCT((TableBOM[Product ID]=A30)*(TableBOM[Material Category]="LACQUER")*TableBOM[Per 1000 Units]*(1+TableBOM[Scrap %]))*I30/1000,0))</f>
        <v/>
      </c>
      <c r="M30" s="63" t="str">
        <f>IF(I30="","",IFERROR(SUMPRODUCT((TableBOM[Product ID]=A30)*(TableBOM[Material Category]="LATEX")*TableBOM[Per 1000 Units]*(1+TableBOM[Scrap %]))*I30/1000,0))</f>
        <v/>
      </c>
      <c r="N30" s="63" t="str">
        <f>IF(I30="","",IFERROR(SUMPRODUCT((TableBOM[Product ID]=A30)*(TableBOM[Material Category]="ZINC POWDER")*TableBOM[Per 1000 Units]*(1+TableBOM[Scrap %]))*I30/1000,0))</f>
        <v/>
      </c>
      <c r="O30" s="63" t="str">
        <f>IF(I30="","",IFERROR(SUMPRODUCT((TableBOM[Product ID]=A30)*(TableBOM[Material Category]="CAP")*TableBOM[Per 1000 Units]*(1+TableBOM[Scrap %]))*I30/1000,0))</f>
        <v/>
      </c>
      <c r="P30" s="63" t="str">
        <f>IF(I30="","",IFERROR(SUMPRODUCT((TableBOM[Product ID]=A30)*(TableBOM[Material Category]="CARTON")*TableBOM[Per 1000 Units]*(1+TableBOM[Scrap %]))*I30/1000,0))</f>
        <v/>
      </c>
      <c r="Q30" s="63"/>
      <c r="R30" s="63"/>
      <c r="S30" s="63"/>
    </row>
    <row r="31" spans="1:19" ht="15" hidden="1" customHeight="1" x14ac:dyDescent="0.25">
      <c r="A31" s="59">
        <v>6312</v>
      </c>
      <c r="B31" s="59">
        <v>157</v>
      </c>
      <c r="C31" s="59" t="s">
        <v>230</v>
      </c>
      <c r="D31" s="60" t="s">
        <v>232</v>
      </c>
      <c r="E31" s="59">
        <v>30</v>
      </c>
      <c r="F31" s="59">
        <v>130</v>
      </c>
      <c r="G31" s="59" t="s">
        <v>408</v>
      </c>
      <c r="H31" s="59">
        <v>150</v>
      </c>
      <c r="I31" s="78"/>
      <c r="J31" s="63" t="str">
        <f>IF(I31="","",IFERROR(SUMPRODUCT((TableBOM[Product ID]=A31)*(TableBOM[Material Category]="SLUG")*TableBOM[Per 1000 Units]*(1+TableBOM[Scrap %]))*I31/1000,0))</f>
        <v/>
      </c>
      <c r="K31" s="63" t="str">
        <f>IF(I31="","",IFERROR(SUMPRODUCT((TableBOM[Product ID]=A31)*(TableBOM[Material Category]="BASE COAT")*TableBOM[Per 1000 Units]*(1+TableBOM[Scrap %]))*I31/1000,0))</f>
        <v/>
      </c>
      <c r="L31" s="63" t="str">
        <f>IF(I31="","",IFERROR(SUMPRODUCT((TableBOM[Product ID]=A31)*(TableBOM[Material Category]="LACQUER")*TableBOM[Per 1000 Units]*(1+TableBOM[Scrap %]))*I31/1000,0))</f>
        <v/>
      </c>
      <c r="M31" s="63" t="str">
        <f>IF(I31="","",IFERROR(SUMPRODUCT((TableBOM[Product ID]=A31)*(TableBOM[Material Category]="LATEX")*TableBOM[Per 1000 Units]*(1+TableBOM[Scrap %]))*I31/1000,0))</f>
        <v/>
      </c>
      <c r="N31" s="63" t="str">
        <f>IF(I31="","",IFERROR(SUMPRODUCT((TableBOM[Product ID]=A31)*(TableBOM[Material Category]="ZINC POWDER")*TableBOM[Per 1000 Units]*(1+TableBOM[Scrap %]))*I31/1000,0))</f>
        <v/>
      </c>
      <c r="O31" s="63" t="str">
        <f>IF(I31="","",IFERROR(SUMPRODUCT((TableBOM[Product ID]=A31)*(TableBOM[Material Category]="CAP")*TableBOM[Per 1000 Units]*(1+TableBOM[Scrap %]))*I31/1000,0))</f>
        <v/>
      </c>
      <c r="P31" s="63" t="str">
        <f>IF(I31="","",IFERROR(SUMPRODUCT((TableBOM[Product ID]=A31)*(TableBOM[Material Category]="CARTON")*TableBOM[Per 1000 Units]*(1+TableBOM[Scrap %]))*I31/1000,0))</f>
        <v/>
      </c>
      <c r="Q31" s="63"/>
      <c r="R31" s="63"/>
      <c r="S31" s="63"/>
    </row>
    <row r="32" spans="1:19" ht="15" hidden="1" customHeight="1" x14ac:dyDescent="0.25">
      <c r="A32" s="59">
        <v>6595</v>
      </c>
      <c r="B32" s="59">
        <v>191</v>
      </c>
      <c r="C32" s="59" t="s">
        <v>224</v>
      </c>
      <c r="D32" s="60" t="s">
        <v>225</v>
      </c>
      <c r="E32" s="59">
        <v>30</v>
      </c>
      <c r="F32" s="59">
        <v>130</v>
      </c>
      <c r="G32" s="59" t="s">
        <v>409</v>
      </c>
      <c r="H32" s="59">
        <v>245</v>
      </c>
      <c r="I32" s="78"/>
      <c r="J32" s="63" t="str">
        <f>IF(I32="","",IFERROR(SUMPRODUCT((TableBOM[Product ID]=A32)*(TableBOM[Material Category]="SLUG")*TableBOM[Per 1000 Units]*(1+TableBOM[Scrap %]))*I32/1000,0))</f>
        <v/>
      </c>
      <c r="K32" s="63" t="str">
        <f>IF(I32="","",IFERROR(SUMPRODUCT((TableBOM[Product ID]=A32)*(TableBOM[Material Category]="BASE COAT")*TableBOM[Per 1000 Units]*(1+TableBOM[Scrap %]))*I32/1000,0))</f>
        <v/>
      </c>
      <c r="L32" s="63" t="str">
        <f>IF(I32="","",IFERROR(SUMPRODUCT((TableBOM[Product ID]=A32)*(TableBOM[Material Category]="LACQUER")*TableBOM[Per 1000 Units]*(1+TableBOM[Scrap %]))*I32/1000,0))</f>
        <v/>
      </c>
      <c r="M32" s="63" t="str">
        <f>IF(I32="","",IFERROR(SUMPRODUCT((TableBOM[Product ID]=A32)*(TableBOM[Material Category]="LATEX")*TableBOM[Per 1000 Units]*(1+TableBOM[Scrap %]))*I32/1000,0))</f>
        <v/>
      </c>
      <c r="N32" s="63" t="str">
        <f>IF(I32="","",IFERROR(SUMPRODUCT((TableBOM[Product ID]=A32)*(TableBOM[Material Category]="ZINC POWDER")*TableBOM[Per 1000 Units]*(1+TableBOM[Scrap %]))*I32/1000,0))</f>
        <v/>
      </c>
      <c r="O32" s="63" t="str">
        <f>IF(I32="","",IFERROR(SUMPRODUCT((TableBOM[Product ID]=A32)*(TableBOM[Material Category]="CAP")*TableBOM[Per 1000 Units]*(1+TableBOM[Scrap %]))*I32/1000,0))</f>
        <v/>
      </c>
      <c r="P32" s="63" t="str">
        <f>IF(I32="","",IFERROR(SUMPRODUCT((TableBOM[Product ID]=A32)*(TableBOM[Material Category]="CARTON")*TableBOM[Per 1000 Units]*(1+TableBOM[Scrap %]))*I32/1000,0))</f>
        <v/>
      </c>
      <c r="Q32" s="63"/>
      <c r="R32" s="63"/>
      <c r="S32" s="63"/>
    </row>
    <row r="33" spans="1:19" ht="15" hidden="1" customHeight="1" x14ac:dyDescent="0.25">
      <c r="A33" s="59">
        <v>5782</v>
      </c>
      <c r="B33" s="59">
        <v>70</v>
      </c>
      <c r="C33" s="59" t="s">
        <v>238</v>
      </c>
      <c r="D33" s="60" t="s">
        <v>239</v>
      </c>
      <c r="E33" s="59">
        <v>32</v>
      </c>
      <c r="F33" s="59">
        <v>155</v>
      </c>
      <c r="G33" s="59" t="s">
        <v>409</v>
      </c>
      <c r="H33" s="59">
        <v>230</v>
      </c>
      <c r="I33" s="78"/>
      <c r="J33" s="63" t="str">
        <f>IF(I33="","",IFERROR(SUMPRODUCT((TableBOM[Product ID]=A33)*(TableBOM[Material Category]="SLUG")*TableBOM[Per 1000 Units]*(1+TableBOM[Scrap %]))*I33/1000,0))</f>
        <v/>
      </c>
      <c r="K33" s="63" t="str">
        <f>IF(I33="","",IFERROR(SUMPRODUCT((TableBOM[Product ID]=A33)*(TableBOM[Material Category]="BASE COAT")*TableBOM[Per 1000 Units]*(1+TableBOM[Scrap %]))*I33/1000,0))</f>
        <v/>
      </c>
      <c r="L33" s="63" t="str">
        <f>IF(I33="","",IFERROR(SUMPRODUCT((TableBOM[Product ID]=A33)*(TableBOM[Material Category]="LACQUER")*TableBOM[Per 1000 Units]*(1+TableBOM[Scrap %]))*I33/1000,0))</f>
        <v/>
      </c>
      <c r="M33" s="63" t="str">
        <f>IF(I33="","",IFERROR(SUMPRODUCT((TableBOM[Product ID]=A33)*(TableBOM[Material Category]="LATEX")*TableBOM[Per 1000 Units]*(1+TableBOM[Scrap %]))*I33/1000,0))</f>
        <v/>
      </c>
      <c r="N33" s="63" t="str">
        <f>IF(I33="","",IFERROR(SUMPRODUCT((TableBOM[Product ID]=A33)*(TableBOM[Material Category]="ZINC POWDER")*TableBOM[Per 1000 Units]*(1+TableBOM[Scrap %]))*I33/1000,0))</f>
        <v/>
      </c>
      <c r="O33" s="63" t="str">
        <f>IF(I33="","",IFERROR(SUMPRODUCT((TableBOM[Product ID]=A33)*(TableBOM[Material Category]="CAP")*TableBOM[Per 1000 Units]*(1+TableBOM[Scrap %]))*I33/1000,0))</f>
        <v/>
      </c>
      <c r="P33" s="63" t="str">
        <f>IF(I33="","",IFERROR(SUMPRODUCT((TableBOM[Product ID]=A33)*(TableBOM[Material Category]="CARTON")*TableBOM[Per 1000 Units]*(1+TableBOM[Scrap %]))*I33/1000,0))</f>
        <v/>
      </c>
      <c r="Q33" s="63"/>
      <c r="R33" s="63"/>
      <c r="S33" s="63"/>
    </row>
    <row r="34" spans="1:19" ht="15" hidden="1" customHeight="1" x14ac:dyDescent="0.25">
      <c r="A34" s="59">
        <v>6515</v>
      </c>
      <c r="B34" s="59">
        <v>180</v>
      </c>
      <c r="C34" s="59" t="s">
        <v>236</v>
      </c>
      <c r="D34" s="60" t="s">
        <v>237</v>
      </c>
      <c r="E34" s="59">
        <v>32</v>
      </c>
      <c r="F34" s="59">
        <v>180</v>
      </c>
      <c r="G34" s="59" t="s">
        <v>409</v>
      </c>
      <c r="H34" s="59">
        <v>336</v>
      </c>
      <c r="I34" s="78"/>
      <c r="J34" s="63" t="str">
        <f>IF(I34="","",IFERROR(SUMPRODUCT((TableBOM[Product ID]=A34)*(TableBOM[Material Category]="SLUG")*TableBOM[Per 1000 Units]*(1+TableBOM[Scrap %]))*I34/1000,0))</f>
        <v/>
      </c>
      <c r="K34" s="63" t="str">
        <f>IF(I34="","",IFERROR(SUMPRODUCT((TableBOM[Product ID]=A34)*(TableBOM[Material Category]="BASE COAT")*TableBOM[Per 1000 Units]*(1+TableBOM[Scrap %]))*I34/1000,0))</f>
        <v/>
      </c>
      <c r="L34" s="63" t="str">
        <f>IF(I34="","",IFERROR(SUMPRODUCT((TableBOM[Product ID]=A34)*(TableBOM[Material Category]="LACQUER")*TableBOM[Per 1000 Units]*(1+TableBOM[Scrap %]))*I34/1000,0))</f>
        <v/>
      </c>
      <c r="M34" s="63" t="str">
        <f>IF(I34="","",IFERROR(SUMPRODUCT((TableBOM[Product ID]=A34)*(TableBOM[Material Category]="LATEX")*TableBOM[Per 1000 Units]*(1+TableBOM[Scrap %]))*I34/1000,0))</f>
        <v/>
      </c>
      <c r="N34" s="63" t="str">
        <f>IF(I34="","",IFERROR(SUMPRODUCT((TableBOM[Product ID]=A34)*(TableBOM[Material Category]="ZINC POWDER")*TableBOM[Per 1000 Units]*(1+TableBOM[Scrap %]))*I34/1000,0))</f>
        <v/>
      </c>
      <c r="O34" s="63" t="str">
        <f>IF(I34="","",IFERROR(SUMPRODUCT((TableBOM[Product ID]=A34)*(TableBOM[Material Category]="CAP")*TableBOM[Per 1000 Units]*(1+TableBOM[Scrap %]))*I34/1000,0))</f>
        <v/>
      </c>
      <c r="P34" s="63" t="str">
        <f>IF(I34="","",IFERROR(SUMPRODUCT((TableBOM[Product ID]=A34)*(TableBOM[Material Category]="CARTON")*TableBOM[Per 1000 Units]*(1+TableBOM[Scrap %]))*I34/1000,0))</f>
        <v/>
      </c>
      <c r="Q34" s="63"/>
      <c r="R34" s="63"/>
      <c r="S34" s="63"/>
    </row>
    <row r="35" spans="1:19" ht="15" hidden="1" customHeight="1" x14ac:dyDescent="0.25">
      <c r="A35" s="59">
        <v>6020</v>
      </c>
      <c r="B35" s="59">
        <v>130</v>
      </c>
      <c r="C35" s="59" t="s">
        <v>182</v>
      </c>
      <c r="D35" s="60" t="s">
        <v>241</v>
      </c>
      <c r="E35" s="59">
        <v>35</v>
      </c>
      <c r="F35" s="59">
        <v>165</v>
      </c>
      <c r="G35" s="59" t="s">
        <v>409</v>
      </c>
      <c r="H35" s="59">
        <v>180</v>
      </c>
      <c r="I35" s="78"/>
      <c r="J35" s="63" t="str">
        <f>IF(I35="","",IFERROR(SUMPRODUCT((TableBOM[Product ID]=A35)*(TableBOM[Material Category]="SLUG")*TableBOM[Per 1000 Units]*(1+TableBOM[Scrap %]))*I35/1000,0))</f>
        <v/>
      </c>
      <c r="K35" s="63" t="str">
        <f>IF(I35="","",IFERROR(SUMPRODUCT((TableBOM[Product ID]=A35)*(TableBOM[Material Category]="BASE COAT")*TableBOM[Per 1000 Units]*(1+TableBOM[Scrap %]))*I35/1000,0))</f>
        <v/>
      </c>
      <c r="L35" s="63" t="str">
        <f>IF(I35="","",IFERROR(SUMPRODUCT((TableBOM[Product ID]=A35)*(TableBOM[Material Category]="LACQUER")*TableBOM[Per 1000 Units]*(1+TableBOM[Scrap %]))*I35/1000,0))</f>
        <v/>
      </c>
      <c r="M35" s="63" t="str">
        <f>IF(I35="","",IFERROR(SUMPRODUCT((TableBOM[Product ID]=A35)*(TableBOM[Material Category]="LATEX")*TableBOM[Per 1000 Units]*(1+TableBOM[Scrap %]))*I35/1000,0))</f>
        <v/>
      </c>
      <c r="N35" s="63" t="str">
        <f>IF(I35="","",IFERROR(SUMPRODUCT((TableBOM[Product ID]=A35)*(TableBOM[Material Category]="ZINC POWDER")*TableBOM[Per 1000 Units]*(1+TableBOM[Scrap %]))*I35/1000,0))</f>
        <v/>
      </c>
      <c r="O35" s="63" t="str">
        <f>IF(I35="","",IFERROR(SUMPRODUCT((TableBOM[Product ID]=A35)*(TableBOM[Material Category]="CAP")*TableBOM[Per 1000 Units]*(1+TableBOM[Scrap %]))*I35/1000,0))</f>
        <v/>
      </c>
      <c r="P35" s="63" t="str">
        <f>IF(I35="","",IFERROR(SUMPRODUCT((TableBOM[Product ID]=A35)*(TableBOM[Material Category]="CARTON")*TableBOM[Per 1000 Units]*(1+TableBOM[Scrap %]))*I35/1000,0))</f>
        <v/>
      </c>
      <c r="Q35" s="63"/>
      <c r="R35" s="63"/>
      <c r="S35" s="63"/>
    </row>
    <row r="36" spans="1:19" ht="15" hidden="1" customHeight="1" x14ac:dyDescent="0.25">
      <c r="A36" s="59">
        <v>6021</v>
      </c>
      <c r="B36" s="59">
        <v>131</v>
      </c>
      <c r="C36" s="59" t="s">
        <v>182</v>
      </c>
      <c r="D36" s="60" t="s">
        <v>242</v>
      </c>
      <c r="E36" s="59">
        <v>35</v>
      </c>
      <c r="F36" s="59">
        <v>165</v>
      </c>
      <c r="G36" s="59" t="s">
        <v>409</v>
      </c>
      <c r="H36" s="59">
        <v>180</v>
      </c>
      <c r="I36" s="78"/>
      <c r="J36" s="63" t="str">
        <f>IF(I36="","",IFERROR(SUMPRODUCT((TableBOM[Product ID]=A36)*(TableBOM[Material Category]="SLUG")*TableBOM[Per 1000 Units]*(1+TableBOM[Scrap %]))*I36/1000,0))</f>
        <v/>
      </c>
      <c r="K36" s="63" t="str">
        <f>IF(I36="","",IFERROR(SUMPRODUCT((TableBOM[Product ID]=A36)*(TableBOM[Material Category]="BASE COAT")*TableBOM[Per 1000 Units]*(1+TableBOM[Scrap %]))*I36/1000,0))</f>
        <v/>
      </c>
      <c r="L36" s="63" t="str">
        <f>IF(I36="","",IFERROR(SUMPRODUCT((TableBOM[Product ID]=A36)*(TableBOM[Material Category]="LACQUER")*TableBOM[Per 1000 Units]*(1+TableBOM[Scrap %]))*I36/1000,0))</f>
        <v/>
      </c>
      <c r="M36" s="63" t="str">
        <f>IF(I36="","",IFERROR(SUMPRODUCT((TableBOM[Product ID]=A36)*(TableBOM[Material Category]="LATEX")*TableBOM[Per 1000 Units]*(1+TableBOM[Scrap %]))*I36/1000,0))</f>
        <v/>
      </c>
      <c r="N36" s="63" t="str">
        <f>IF(I36="","",IFERROR(SUMPRODUCT((TableBOM[Product ID]=A36)*(TableBOM[Material Category]="ZINC POWDER")*TableBOM[Per 1000 Units]*(1+TableBOM[Scrap %]))*I36/1000,0))</f>
        <v/>
      </c>
      <c r="O36" s="63" t="str">
        <f>IF(I36="","",IFERROR(SUMPRODUCT((TableBOM[Product ID]=A36)*(TableBOM[Material Category]="CAP")*TableBOM[Per 1000 Units]*(1+TableBOM[Scrap %]))*I36/1000,0))</f>
        <v/>
      </c>
      <c r="P36" s="63" t="str">
        <f>IF(I36="","",IFERROR(SUMPRODUCT((TableBOM[Product ID]=A36)*(TableBOM[Material Category]="CARTON")*TableBOM[Per 1000 Units]*(1+TableBOM[Scrap %]))*I36/1000,0))</f>
        <v/>
      </c>
      <c r="Q36" s="63"/>
      <c r="R36" s="63"/>
      <c r="S36" s="63"/>
    </row>
    <row r="37" spans="1:19" ht="15" hidden="1" customHeight="1" x14ac:dyDescent="0.25">
      <c r="A37" s="59">
        <v>6530</v>
      </c>
      <c r="B37" s="59">
        <v>182</v>
      </c>
      <c r="C37" s="59" t="s">
        <v>182</v>
      </c>
      <c r="D37" s="60" t="s">
        <v>183</v>
      </c>
      <c r="E37" s="59">
        <v>35</v>
      </c>
      <c r="F37" s="59">
        <v>170</v>
      </c>
      <c r="G37" s="59" t="s">
        <v>409</v>
      </c>
      <c r="H37" s="59">
        <v>336</v>
      </c>
      <c r="I37" s="78"/>
      <c r="J37" s="63" t="str">
        <f>IF(I37="","",IFERROR(SUMPRODUCT((TableBOM[Product ID]=A37)*(TableBOM[Material Category]="SLUG")*TableBOM[Per 1000 Units]*(1+TableBOM[Scrap %]))*I37/1000,0))</f>
        <v/>
      </c>
      <c r="K37" s="63" t="str">
        <f>IF(I37="","",IFERROR(SUMPRODUCT((TableBOM[Product ID]=A37)*(TableBOM[Material Category]="BASE COAT")*TableBOM[Per 1000 Units]*(1+TableBOM[Scrap %]))*I37/1000,0))</f>
        <v/>
      </c>
      <c r="L37" s="63" t="str">
        <f>IF(I37="","",IFERROR(SUMPRODUCT((TableBOM[Product ID]=A37)*(TableBOM[Material Category]="LACQUER")*TableBOM[Per 1000 Units]*(1+TableBOM[Scrap %]))*I37/1000,0))</f>
        <v/>
      </c>
      <c r="M37" s="63" t="str">
        <f>IF(I37="","",IFERROR(SUMPRODUCT((TableBOM[Product ID]=A37)*(TableBOM[Material Category]="LATEX")*TableBOM[Per 1000 Units]*(1+TableBOM[Scrap %]))*I37/1000,0))</f>
        <v/>
      </c>
      <c r="N37" s="63" t="str">
        <f>IF(I37="","",IFERROR(SUMPRODUCT((TableBOM[Product ID]=A37)*(TableBOM[Material Category]="ZINC POWDER")*TableBOM[Per 1000 Units]*(1+TableBOM[Scrap %]))*I37/1000,0))</f>
        <v/>
      </c>
      <c r="O37" s="63" t="str">
        <f>IF(I37="","",IFERROR(SUMPRODUCT((TableBOM[Product ID]=A37)*(TableBOM[Material Category]="CAP")*TableBOM[Per 1000 Units]*(1+TableBOM[Scrap %]))*I37/1000,0))</f>
        <v/>
      </c>
      <c r="P37" s="63" t="str">
        <f>IF(I37="","",IFERROR(SUMPRODUCT((TableBOM[Product ID]=A37)*(TableBOM[Material Category]="CARTON")*TableBOM[Per 1000 Units]*(1+TableBOM[Scrap %]))*I37/1000,0))</f>
        <v/>
      </c>
      <c r="Q37" s="63"/>
      <c r="R37" s="63"/>
      <c r="S37" s="63"/>
    </row>
    <row r="38" spans="1:19" ht="15" hidden="1" customHeight="1" x14ac:dyDescent="0.25">
      <c r="A38" s="59">
        <v>6531</v>
      </c>
      <c r="B38" s="59">
        <v>183</v>
      </c>
      <c r="C38" s="59" t="s">
        <v>182</v>
      </c>
      <c r="D38" s="60" t="s">
        <v>240</v>
      </c>
      <c r="E38" s="59">
        <v>35</v>
      </c>
      <c r="F38" s="59">
        <v>170</v>
      </c>
      <c r="G38" s="59" t="s">
        <v>409</v>
      </c>
      <c r="H38" s="59">
        <v>180</v>
      </c>
      <c r="I38" s="78">
        <v>22000</v>
      </c>
      <c r="J38" s="63">
        <f>IF(I38="","",IFERROR(SUMPRODUCT((TableBOM[Product ID]=A38)*(TableBOM[Material Category]="SLUG")*TableBOM[Per 1000 Units]*(1+TableBOM[Scrap %]))*I38/1000,0))</f>
        <v>310.24400000000009</v>
      </c>
      <c r="K38" s="63">
        <f>IF(I38="","",IFERROR(SUMPRODUCT((TableBOM[Product ID]=A38)*(TableBOM[Material Category]="BASE COAT")*TableBOM[Per 1000 Units]*(1+TableBOM[Scrap %]))*I38/1000,0))</f>
        <v>18.876000000000005</v>
      </c>
      <c r="L38" s="63">
        <f>IF(I38="","",IFERROR(SUMPRODUCT((TableBOM[Product ID]=A38)*(TableBOM[Material Category]="LACQUER")*TableBOM[Per 1000 Units]*(1+TableBOM[Scrap %]))*I38/1000,0))</f>
        <v>3.8720000000000003</v>
      </c>
      <c r="M38" s="63">
        <f>IF(I38="","",IFERROR(SUMPRODUCT((TableBOM[Product ID]=A38)*(TableBOM[Material Category]="LATEX")*TableBOM[Per 1000 Units]*(1+TableBOM[Scrap %]))*I38/1000,0))</f>
        <v>0</v>
      </c>
      <c r="N38" s="63">
        <f>IF(I38="","",IFERROR(SUMPRODUCT((TableBOM[Product ID]=A38)*(TableBOM[Material Category]="ZINC POWDER")*TableBOM[Per 1000 Units]*(1+TableBOM[Scrap %]))*I38/1000,0))</f>
        <v>0.32186000000000003</v>
      </c>
      <c r="O38" s="63">
        <f>IF(I38="","",IFERROR(SUMPRODUCT((TableBOM[Product ID]=A38)*(TableBOM[Material Category]="CAP")*TableBOM[Per 1000 Units]*(1+TableBOM[Scrap %]))*I38/1000,0))</f>
        <v>22440</v>
      </c>
      <c r="P38" s="63">
        <f>IF(I38="","",IFERROR(SUMPRODUCT((TableBOM[Product ID]=A38)*(TableBOM[Material Category]="CARTON")*TableBOM[Per 1000 Units]*(1+TableBOM[Scrap %]))*I38/1000,0))</f>
        <v>146.65199999999999</v>
      </c>
      <c r="Q38" s="63"/>
      <c r="R38" s="63"/>
      <c r="S38" s="63"/>
    </row>
    <row r="39" spans="1:19" ht="15" customHeight="1" x14ac:dyDescent="0.25">
      <c r="A39" s="59">
        <v>8005</v>
      </c>
      <c r="B39" s="59">
        <v>805</v>
      </c>
      <c r="C39" s="59" t="s">
        <v>169</v>
      </c>
      <c r="D39" s="60" t="s">
        <v>187</v>
      </c>
      <c r="E39" s="59" t="s">
        <v>188</v>
      </c>
      <c r="F39" s="59">
        <v>0</v>
      </c>
      <c r="G39" s="59" t="s">
        <v>408</v>
      </c>
      <c r="H39" s="59">
        <v>0</v>
      </c>
      <c r="I39" s="78"/>
      <c r="J39" s="63" t="str">
        <f>IF(I39="","",IFERROR(SUMPRODUCT((TableBOM[Product ID]=A39)*(TableBOM[Material Category]="SLUG")*TableBOM[Per 1000 Units]*(1+TableBOM[Scrap %]))*I39/1000,0))</f>
        <v/>
      </c>
      <c r="K39" s="63" t="str">
        <f>IF(I39="","",IFERROR(SUMPRODUCT((TableBOM[Product ID]=A39)*(TableBOM[Material Category]="BASE COAT")*TableBOM[Per 1000 Units]*(1+TableBOM[Scrap %]))*I39/1000,0))</f>
        <v/>
      </c>
      <c r="L39" s="63" t="str">
        <f>IF(I39="","",IFERROR(SUMPRODUCT((TableBOM[Product ID]=A39)*(TableBOM[Material Category]="LACQUER")*TableBOM[Per 1000 Units]*(1+TableBOM[Scrap %]))*I39/1000,0))</f>
        <v/>
      </c>
      <c r="M39" s="63" t="str">
        <f>IF(I39="","",IFERROR(SUMPRODUCT((TableBOM[Product ID]=A39)*(TableBOM[Material Category]="LATEX")*TableBOM[Per 1000 Units]*(1+TableBOM[Scrap %]))*I39/1000,0))</f>
        <v/>
      </c>
      <c r="N39" s="63" t="str">
        <f>IF(I39="","",IFERROR(SUMPRODUCT((TableBOM[Product ID]=A39)*(TableBOM[Material Category]="ZINC POWDER")*TableBOM[Per 1000 Units]*(1+TableBOM[Scrap %]))*I39/1000,0))</f>
        <v/>
      </c>
      <c r="O39" s="63" t="str">
        <f>IF(I39="","",IFERROR(SUMPRODUCT((TableBOM[Product ID]=A39)*(TableBOM[Material Category]="CAP")*TableBOM[Per 1000 Units]*(1+TableBOM[Scrap %]))*I39/1000,0))</f>
        <v/>
      </c>
      <c r="P39" s="63" t="str">
        <f>IF(I39="","",IFERROR(SUMPRODUCT((TableBOM[Product ID]=A39)*(TableBOM[Material Category]="CARTON")*TableBOM[Per 1000 Units]*(1+TableBOM[Scrap %]))*I39/1000,0))</f>
        <v/>
      </c>
      <c r="Q39" s="63"/>
      <c r="R39" s="63"/>
      <c r="S39" s="63"/>
    </row>
    <row r="40" spans="1:19" ht="15" customHeight="1" x14ac:dyDescent="0.25">
      <c r="A40" s="59">
        <v>8011</v>
      </c>
      <c r="B40" s="59">
        <v>811</v>
      </c>
      <c r="C40" s="59" t="s">
        <v>169</v>
      </c>
      <c r="D40" s="60" t="s">
        <v>243</v>
      </c>
      <c r="E40" s="59" t="s">
        <v>188</v>
      </c>
      <c r="F40" s="59">
        <v>0</v>
      </c>
      <c r="G40" s="59" t="s">
        <v>408</v>
      </c>
      <c r="H40" s="59">
        <v>0</v>
      </c>
      <c r="I40" s="78"/>
      <c r="J40" s="63" t="str">
        <f>IF(I40="","",IFERROR(SUMPRODUCT((TableBOM[Product ID]=A40)*(TableBOM[Material Category]="SLUG")*TableBOM[Per 1000 Units]*(1+TableBOM[Scrap %]))*I40/1000,0))</f>
        <v/>
      </c>
      <c r="K40" s="63" t="str">
        <f>IF(I40="","",IFERROR(SUMPRODUCT((TableBOM[Product ID]=A40)*(TableBOM[Material Category]="BASE COAT")*TableBOM[Per 1000 Units]*(1+TableBOM[Scrap %]))*I40/1000,0))</f>
        <v/>
      </c>
      <c r="L40" s="63" t="str">
        <f>IF(I40="","",IFERROR(SUMPRODUCT((TableBOM[Product ID]=A40)*(TableBOM[Material Category]="LACQUER")*TableBOM[Per 1000 Units]*(1+TableBOM[Scrap %]))*I40/1000,0))</f>
        <v/>
      </c>
      <c r="M40" s="63" t="str">
        <f>IF(I40="","",IFERROR(SUMPRODUCT((TableBOM[Product ID]=A40)*(TableBOM[Material Category]="LATEX")*TableBOM[Per 1000 Units]*(1+TableBOM[Scrap %]))*I40/1000,0))</f>
        <v/>
      </c>
      <c r="N40" s="63" t="str">
        <f>IF(I40="","",IFERROR(SUMPRODUCT((TableBOM[Product ID]=A40)*(TableBOM[Material Category]="ZINC POWDER")*TableBOM[Per 1000 Units]*(1+TableBOM[Scrap %]))*I40/1000,0))</f>
        <v/>
      </c>
      <c r="O40" s="63" t="str">
        <f>IF(I40="","",IFERROR(SUMPRODUCT((TableBOM[Product ID]=A40)*(TableBOM[Material Category]="CAP")*TableBOM[Per 1000 Units]*(1+TableBOM[Scrap %]))*I40/1000,0))</f>
        <v/>
      </c>
      <c r="P40" s="63" t="str">
        <f>IF(I40="","",IFERROR(SUMPRODUCT((TableBOM[Product ID]=A40)*(TableBOM[Material Category]="CARTON")*TableBOM[Per 1000 Units]*(1+TableBOM[Scrap %]))*I40/1000,0))</f>
        <v/>
      </c>
      <c r="Q40" s="63"/>
      <c r="R40" s="63"/>
      <c r="S40" s="63"/>
    </row>
    <row r="41" spans="1:19" ht="15" customHeight="1" x14ac:dyDescent="0.25">
      <c r="A41" s="59">
        <v>8012</v>
      </c>
      <c r="B41" s="59">
        <v>812</v>
      </c>
      <c r="C41" s="59" t="s">
        <v>169</v>
      </c>
      <c r="D41" s="60" t="s">
        <v>244</v>
      </c>
      <c r="E41" s="59" t="s">
        <v>188</v>
      </c>
      <c r="F41" s="59">
        <v>0</v>
      </c>
      <c r="G41" s="59" t="s">
        <v>408</v>
      </c>
      <c r="H41" s="59">
        <v>0</v>
      </c>
      <c r="I41" s="78"/>
      <c r="J41" s="63" t="str">
        <f>IF(I41="","",IFERROR(SUMPRODUCT((TableBOM[Product ID]=A41)*(TableBOM[Material Category]="SLUG")*TableBOM[Per 1000 Units]*(1+TableBOM[Scrap %]))*I41/1000,0))</f>
        <v/>
      </c>
      <c r="K41" s="63" t="str">
        <f>IF(I41="","",IFERROR(SUMPRODUCT((TableBOM[Product ID]=A41)*(TableBOM[Material Category]="BASE COAT")*TableBOM[Per 1000 Units]*(1+TableBOM[Scrap %]))*I41/1000,0))</f>
        <v/>
      </c>
      <c r="L41" s="63" t="str">
        <f>IF(I41="","",IFERROR(SUMPRODUCT((TableBOM[Product ID]=A41)*(TableBOM[Material Category]="LACQUER")*TableBOM[Per 1000 Units]*(1+TableBOM[Scrap %]))*I41/1000,0))</f>
        <v/>
      </c>
      <c r="M41" s="63" t="str">
        <f>IF(I41="","",IFERROR(SUMPRODUCT((TableBOM[Product ID]=A41)*(TableBOM[Material Category]="LATEX")*TableBOM[Per 1000 Units]*(1+TableBOM[Scrap %]))*I41/1000,0))</f>
        <v/>
      </c>
      <c r="N41" s="63" t="str">
        <f>IF(I41="","",IFERROR(SUMPRODUCT((TableBOM[Product ID]=A41)*(TableBOM[Material Category]="ZINC POWDER")*TableBOM[Per 1000 Units]*(1+TableBOM[Scrap %]))*I41/1000,0))</f>
        <v/>
      </c>
      <c r="O41" s="63" t="str">
        <f>IF(I41="","",IFERROR(SUMPRODUCT((TableBOM[Product ID]=A41)*(TableBOM[Material Category]="CAP")*TableBOM[Per 1000 Units]*(1+TableBOM[Scrap %]))*I41/1000,0))</f>
        <v/>
      </c>
      <c r="P41" s="63" t="str">
        <f>IF(I41="","",IFERROR(SUMPRODUCT((TableBOM[Product ID]=A41)*(TableBOM[Material Category]="CARTON")*TableBOM[Per 1000 Units]*(1+TableBOM[Scrap %]))*I41/1000,0))</f>
        <v/>
      </c>
      <c r="Q41" s="63"/>
      <c r="R41" s="63"/>
      <c r="S41" s="63"/>
    </row>
    <row r="42" spans="1:19" ht="15" customHeight="1" x14ac:dyDescent="0.25">
      <c r="A42" s="59">
        <v>8010</v>
      </c>
      <c r="B42" s="59">
        <v>810</v>
      </c>
      <c r="C42" s="59" t="s">
        <v>180</v>
      </c>
      <c r="D42" t="s">
        <v>245</v>
      </c>
      <c r="E42" s="59" t="s">
        <v>191</v>
      </c>
      <c r="F42" s="59">
        <v>0</v>
      </c>
      <c r="G42" s="59" t="s">
        <v>408</v>
      </c>
      <c r="H42" s="59">
        <v>0</v>
      </c>
      <c r="I42" s="78"/>
      <c r="J42" s="63" t="str">
        <f>IF(I42="","",IFERROR(SUMPRODUCT((TableBOM[Product ID]=A42)*(TableBOM[Material Category]="SLUG")*TableBOM[Per 1000 Units]*(1+TableBOM[Scrap %]))*I42/1000,0))</f>
        <v/>
      </c>
      <c r="K42" s="63" t="str">
        <f>IF(I42="","",IFERROR(SUMPRODUCT((TableBOM[Product ID]=A42)*(TableBOM[Material Category]="BASE COAT")*TableBOM[Per 1000 Units]*(1+TableBOM[Scrap %]))*I42/1000,0))</f>
        <v/>
      </c>
      <c r="L42" s="63" t="str">
        <f>IF(I42="","",IFERROR(SUMPRODUCT((TableBOM[Product ID]=A42)*(TableBOM[Material Category]="LACQUER")*TableBOM[Per 1000 Units]*(1+TableBOM[Scrap %]))*I42/1000,0))</f>
        <v/>
      </c>
      <c r="M42" s="63" t="str">
        <f>IF(I42="","",IFERROR(SUMPRODUCT((TableBOM[Product ID]=A42)*(TableBOM[Material Category]="LATEX")*TableBOM[Per 1000 Units]*(1+TableBOM[Scrap %]))*I42/1000,0))</f>
        <v/>
      </c>
      <c r="N42" s="63" t="str">
        <f>IF(I42="","",IFERROR(SUMPRODUCT((TableBOM[Product ID]=A42)*(TableBOM[Material Category]="ZINC POWDER")*TableBOM[Per 1000 Units]*(1+TableBOM[Scrap %]))*I42/1000,0))</f>
        <v/>
      </c>
      <c r="O42" s="63" t="str">
        <f>IF(I42="","",IFERROR(SUMPRODUCT((TableBOM[Product ID]=A42)*(TableBOM[Material Category]="CAP")*TableBOM[Per 1000 Units]*(1+TableBOM[Scrap %]))*I42/1000,0))</f>
        <v/>
      </c>
      <c r="P42" s="63" t="str">
        <f>IF(I42="","",IFERROR(SUMPRODUCT((TableBOM[Product ID]=A42)*(TableBOM[Material Category]="CARTON")*TableBOM[Per 1000 Units]*(1+TableBOM[Scrap %]))*I42/1000,0))</f>
        <v/>
      </c>
      <c r="Q42" s="63"/>
      <c r="R42" s="63"/>
      <c r="S42" s="63"/>
    </row>
    <row r="43" spans="1:19" x14ac:dyDescent="0.25">
      <c r="A43" s="59">
        <v>8015</v>
      </c>
      <c r="B43" s="59"/>
      <c r="C43" s="59" t="s">
        <v>180</v>
      </c>
      <c r="D43" s="60" t="s">
        <v>190</v>
      </c>
      <c r="E43" s="59" t="s">
        <v>191</v>
      </c>
      <c r="F43" s="59"/>
      <c r="G43" s="59"/>
      <c r="H43" s="59"/>
      <c r="I43" s="78"/>
      <c r="J43" s="63"/>
      <c r="K43" s="63"/>
      <c r="L43" s="63"/>
      <c r="M43" s="63"/>
      <c r="N43" s="63"/>
      <c r="O43" s="63"/>
      <c r="P43" s="63"/>
      <c r="Q43" s="63"/>
      <c r="R43" s="63"/>
      <c r="S43" s="63"/>
    </row>
    <row r="44" spans="1:19" ht="15" customHeight="1" x14ac:dyDescent="0.25">
      <c r="A44" s="59">
        <v>8001</v>
      </c>
      <c r="B44" s="59">
        <v>800</v>
      </c>
      <c r="C44" s="59" t="s">
        <v>193</v>
      </c>
      <c r="D44" s="60" t="s">
        <v>194</v>
      </c>
      <c r="E44" s="59" t="s">
        <v>195</v>
      </c>
      <c r="F44" s="59">
        <v>0</v>
      </c>
      <c r="G44" s="59" t="s">
        <v>408</v>
      </c>
      <c r="H44" s="59">
        <v>0</v>
      </c>
      <c r="I44" s="78"/>
      <c r="J44" s="63" t="str">
        <f>IF(I44="","",IFERROR(SUMPRODUCT((TableBOM[Product ID]=A44)*(TableBOM[Material Category]="SLUG")*TableBOM[Per 1000 Units]*(1+TableBOM[Scrap %]))*I44/1000,0))</f>
        <v/>
      </c>
      <c r="K44" s="63" t="str">
        <f>IF(I44="","",IFERROR(SUMPRODUCT((TableBOM[Product ID]=A44)*(TableBOM[Material Category]="BASE COAT")*TableBOM[Per 1000 Units]*(1+TableBOM[Scrap %]))*I44/1000,0))</f>
        <v/>
      </c>
      <c r="L44" s="63" t="str">
        <f>IF(I44="","",IFERROR(SUMPRODUCT((TableBOM[Product ID]=A44)*(TableBOM[Material Category]="LACQUER")*TableBOM[Per 1000 Units]*(1+TableBOM[Scrap %]))*I44/1000,0))</f>
        <v/>
      </c>
      <c r="M44" s="63" t="str">
        <f>IF(I44="","",IFERROR(SUMPRODUCT((TableBOM[Product ID]=A44)*(TableBOM[Material Category]="LATEX")*TableBOM[Per 1000 Units]*(1+TableBOM[Scrap %]))*I44/1000,0))</f>
        <v/>
      </c>
      <c r="N44" s="63" t="str">
        <f>IF(I44="","",IFERROR(SUMPRODUCT((TableBOM[Product ID]=A44)*(TableBOM[Material Category]="ZINC POWDER")*TableBOM[Per 1000 Units]*(1+TableBOM[Scrap %]))*I44/1000,0))</f>
        <v/>
      </c>
      <c r="O44" s="63" t="str">
        <f>IF(I44="","",IFERROR(SUMPRODUCT((TableBOM[Product ID]=A44)*(TableBOM[Material Category]="CAP")*TableBOM[Per 1000 Units]*(1+TableBOM[Scrap %]))*I44/1000,0))</f>
        <v/>
      </c>
      <c r="P44" s="63" t="str">
        <f>IF(I44="","",IFERROR(SUMPRODUCT((TableBOM[Product ID]=A44)*(TableBOM[Material Category]="CARTON")*TableBOM[Per 1000 Units]*(1+TableBOM[Scrap %]))*I44/1000,0))</f>
        <v/>
      </c>
      <c r="Q44" s="63"/>
      <c r="R44" s="63"/>
      <c r="S44" s="63"/>
    </row>
    <row r="45" spans="1:19" ht="15" customHeight="1" x14ac:dyDescent="0.25">
      <c r="A45" s="59">
        <v>8006</v>
      </c>
      <c r="B45" s="59">
        <v>806</v>
      </c>
      <c r="C45" s="59" t="s">
        <v>169</v>
      </c>
      <c r="D45" s="60" t="s">
        <v>198</v>
      </c>
      <c r="E45" s="59" t="s">
        <v>197</v>
      </c>
      <c r="F45" s="59">
        <v>0</v>
      </c>
      <c r="G45" s="59" t="s">
        <v>408</v>
      </c>
      <c r="H45" s="59">
        <v>0</v>
      </c>
      <c r="I45" s="78"/>
      <c r="J45" s="63" t="str">
        <f>IF(I45="","",IFERROR(SUMPRODUCT((TableBOM[Product ID]=A45)*(TableBOM[Material Category]="SLUG")*TableBOM[Per 1000 Units]*(1+TableBOM[Scrap %]))*I45/1000,0))</f>
        <v/>
      </c>
      <c r="K45" s="63" t="str">
        <f>IF(I45="","",IFERROR(SUMPRODUCT((TableBOM[Product ID]=A45)*(TableBOM[Material Category]="BASE COAT")*TableBOM[Per 1000 Units]*(1+TableBOM[Scrap %]))*I45/1000,0))</f>
        <v/>
      </c>
      <c r="L45" s="63" t="str">
        <f>IF(I45="","",IFERROR(SUMPRODUCT((TableBOM[Product ID]=A45)*(TableBOM[Material Category]="LACQUER")*TableBOM[Per 1000 Units]*(1+TableBOM[Scrap %]))*I45/1000,0))</f>
        <v/>
      </c>
      <c r="M45" s="63" t="str">
        <f>IF(I45="","",IFERROR(SUMPRODUCT((TableBOM[Product ID]=A45)*(TableBOM[Material Category]="LATEX")*TableBOM[Per 1000 Units]*(1+TableBOM[Scrap %]))*I45/1000,0))</f>
        <v/>
      </c>
      <c r="N45" s="63" t="str">
        <f>IF(I45="","",IFERROR(SUMPRODUCT((TableBOM[Product ID]=A45)*(TableBOM[Material Category]="ZINC POWDER")*TableBOM[Per 1000 Units]*(1+TableBOM[Scrap %]))*I45/1000,0))</f>
        <v/>
      </c>
      <c r="O45" s="63" t="str">
        <f>IF(I45="","",IFERROR(SUMPRODUCT((TableBOM[Product ID]=A45)*(TableBOM[Material Category]="CAP")*TableBOM[Per 1000 Units]*(1+TableBOM[Scrap %]))*I45/1000,0))</f>
        <v/>
      </c>
      <c r="P45" s="63" t="str">
        <f>IF(I45="","",IFERROR(SUMPRODUCT((TableBOM[Product ID]=A45)*(TableBOM[Material Category]="CARTON")*TableBOM[Per 1000 Units]*(1+TableBOM[Scrap %]))*I45/1000,0))</f>
        <v/>
      </c>
      <c r="Q45" s="63"/>
      <c r="R45" s="63"/>
      <c r="S45" s="63"/>
    </row>
    <row r="46" spans="1:19" ht="15" customHeight="1" x14ac:dyDescent="0.25">
      <c r="A46" s="59">
        <v>8007</v>
      </c>
      <c r="B46" s="59">
        <v>807</v>
      </c>
      <c r="C46" s="59" t="s">
        <v>169</v>
      </c>
      <c r="D46" s="60" t="s">
        <v>196</v>
      </c>
      <c r="E46" s="59" t="s">
        <v>197</v>
      </c>
      <c r="F46" s="59">
        <v>0</v>
      </c>
      <c r="G46" s="59" t="s">
        <v>408</v>
      </c>
      <c r="H46" s="59">
        <v>0</v>
      </c>
      <c r="I46" s="78"/>
      <c r="J46" s="63" t="str">
        <f>IF(I46="","",IFERROR(SUMPRODUCT((TableBOM[Product ID]=A46)*(TableBOM[Material Category]="SLUG")*TableBOM[Per 1000 Units]*(1+TableBOM[Scrap %]))*I46/1000,0))</f>
        <v/>
      </c>
      <c r="K46" s="63" t="str">
        <f>IF(I46="","",IFERROR(SUMPRODUCT((TableBOM[Product ID]=A46)*(TableBOM[Material Category]="BASE COAT")*TableBOM[Per 1000 Units]*(1+TableBOM[Scrap %]))*I46/1000,0))</f>
        <v/>
      </c>
      <c r="L46" s="63" t="str">
        <f>IF(I46="","",IFERROR(SUMPRODUCT((TableBOM[Product ID]=A46)*(TableBOM[Material Category]="LACQUER")*TableBOM[Per 1000 Units]*(1+TableBOM[Scrap %]))*I46/1000,0))</f>
        <v/>
      </c>
      <c r="M46" s="63" t="str">
        <f>IF(I46="","",IFERROR(SUMPRODUCT((TableBOM[Product ID]=A46)*(TableBOM[Material Category]="LATEX")*TableBOM[Per 1000 Units]*(1+TableBOM[Scrap %]))*I46/1000,0))</f>
        <v/>
      </c>
      <c r="N46" s="63" t="str">
        <f>IF(I46="","",IFERROR(SUMPRODUCT((TableBOM[Product ID]=A46)*(TableBOM[Material Category]="ZINC POWDER")*TableBOM[Per 1000 Units]*(1+TableBOM[Scrap %]))*I46/1000,0))</f>
        <v/>
      </c>
      <c r="O46" s="63" t="str">
        <f>IF(I46="","",IFERROR(SUMPRODUCT((TableBOM[Product ID]=A46)*(TableBOM[Material Category]="CAP")*TableBOM[Per 1000 Units]*(1+TableBOM[Scrap %]))*I46/1000,0))</f>
        <v/>
      </c>
      <c r="P46" s="63" t="str">
        <f>IF(I46="","",IFERROR(SUMPRODUCT((TableBOM[Product ID]=A46)*(TableBOM[Material Category]="CARTON")*TableBOM[Per 1000 Units]*(1+TableBOM[Scrap %]))*I46/1000,0))</f>
        <v/>
      </c>
      <c r="Q46" s="63"/>
      <c r="R46" s="63"/>
      <c r="S46" s="63"/>
    </row>
    <row r="47" spans="1:19" ht="15" customHeight="1" x14ac:dyDescent="0.25">
      <c r="A47" s="59">
        <v>8008</v>
      </c>
      <c r="B47" s="59">
        <v>808</v>
      </c>
      <c r="C47" s="59" t="s">
        <v>169</v>
      </c>
      <c r="D47" s="60" t="s">
        <v>246</v>
      </c>
      <c r="E47" s="59" t="s">
        <v>197</v>
      </c>
      <c r="F47" s="59">
        <v>0</v>
      </c>
      <c r="G47" s="59" t="s">
        <v>408</v>
      </c>
      <c r="H47" s="59">
        <v>0</v>
      </c>
      <c r="I47" s="78"/>
      <c r="J47" s="63" t="str">
        <f>IF(I47="","",IFERROR(SUMPRODUCT((TableBOM[Product ID]=A47)*(TableBOM[Material Category]="SLUG")*TableBOM[Per 1000 Units]*(1+TableBOM[Scrap %]))*I47/1000,0))</f>
        <v/>
      </c>
      <c r="K47" s="63" t="str">
        <f>IF(I47="","",IFERROR(SUMPRODUCT((TableBOM[Product ID]=A47)*(TableBOM[Material Category]="BASE COAT")*TableBOM[Per 1000 Units]*(1+TableBOM[Scrap %]))*I47/1000,0))</f>
        <v/>
      </c>
      <c r="L47" s="63" t="str">
        <f>IF(I47="","",IFERROR(SUMPRODUCT((TableBOM[Product ID]=A47)*(TableBOM[Material Category]="LACQUER")*TableBOM[Per 1000 Units]*(1+TableBOM[Scrap %]))*I47/1000,0))</f>
        <v/>
      </c>
      <c r="M47" s="63" t="str">
        <f>IF(I47="","",IFERROR(SUMPRODUCT((TableBOM[Product ID]=A47)*(TableBOM[Material Category]="LATEX")*TableBOM[Per 1000 Units]*(1+TableBOM[Scrap %]))*I47/1000,0))</f>
        <v/>
      </c>
      <c r="N47" s="63" t="str">
        <f>IF(I47="","",IFERROR(SUMPRODUCT((TableBOM[Product ID]=A47)*(TableBOM[Material Category]="ZINC POWDER")*TableBOM[Per 1000 Units]*(1+TableBOM[Scrap %]))*I47/1000,0))</f>
        <v/>
      </c>
      <c r="O47" s="63" t="str">
        <f>IF(I47="","",IFERROR(SUMPRODUCT((TableBOM[Product ID]=A47)*(TableBOM[Material Category]="CAP")*TableBOM[Per 1000 Units]*(1+TableBOM[Scrap %]))*I47/1000,0))</f>
        <v/>
      </c>
      <c r="P47" s="63" t="str">
        <f>IF(I47="","",IFERROR(SUMPRODUCT((TableBOM[Product ID]=A47)*(TableBOM[Material Category]="CARTON")*TableBOM[Per 1000 Units]*(1+TableBOM[Scrap %]))*I47/1000,0))</f>
        <v/>
      </c>
      <c r="Q47" s="63"/>
      <c r="R47" s="63"/>
      <c r="S47" s="63"/>
    </row>
    <row r="48" spans="1:19" ht="15" customHeight="1" x14ac:dyDescent="0.25">
      <c r="A48" s="59">
        <v>8014</v>
      </c>
      <c r="B48" s="59">
        <v>814</v>
      </c>
      <c r="C48" s="59" t="s">
        <v>169</v>
      </c>
      <c r="D48" s="60" t="s">
        <v>199</v>
      </c>
      <c r="E48" s="59" t="s">
        <v>197</v>
      </c>
      <c r="F48" s="59">
        <v>0</v>
      </c>
      <c r="G48" s="59" t="s">
        <v>408</v>
      </c>
      <c r="H48" s="59">
        <v>0</v>
      </c>
      <c r="I48" s="78"/>
      <c r="J48" s="63" t="str">
        <f>IF(I48="","",IFERROR(SUMPRODUCT((TableBOM[Product ID]=A48)*(TableBOM[Material Category]="SLUG")*TableBOM[Per 1000 Units]*(1+TableBOM[Scrap %]))*I48/1000,0))</f>
        <v/>
      </c>
      <c r="K48" s="63" t="str">
        <f>IF(I48="","",IFERROR(SUMPRODUCT((TableBOM[Product ID]=A48)*(TableBOM[Material Category]="BASE COAT")*TableBOM[Per 1000 Units]*(1+TableBOM[Scrap %]))*I48/1000,0))</f>
        <v/>
      </c>
      <c r="L48" s="63" t="str">
        <f>IF(I48="","",IFERROR(SUMPRODUCT((TableBOM[Product ID]=A48)*(TableBOM[Material Category]="LACQUER")*TableBOM[Per 1000 Units]*(1+TableBOM[Scrap %]))*I48/1000,0))</f>
        <v/>
      </c>
      <c r="M48" s="63" t="str">
        <f>IF(I48="","",IFERROR(SUMPRODUCT((TableBOM[Product ID]=A48)*(TableBOM[Material Category]="LATEX")*TableBOM[Per 1000 Units]*(1+TableBOM[Scrap %]))*I48/1000,0))</f>
        <v/>
      </c>
      <c r="N48" s="63" t="str">
        <f>IF(I48="","",IFERROR(SUMPRODUCT((TableBOM[Product ID]=A48)*(TableBOM[Material Category]="ZINC POWDER")*TableBOM[Per 1000 Units]*(1+TableBOM[Scrap %]))*I48/1000,0))</f>
        <v/>
      </c>
      <c r="O48" s="63" t="str">
        <f>IF(I48="","",IFERROR(SUMPRODUCT((TableBOM[Product ID]=A48)*(TableBOM[Material Category]="CAP")*TableBOM[Per 1000 Units]*(1+TableBOM[Scrap %]))*I48/1000,0))</f>
        <v/>
      </c>
      <c r="P48" s="63" t="str">
        <f>IF(I48="","",IFERROR(SUMPRODUCT((TableBOM[Product ID]=A48)*(TableBOM[Material Category]="CARTON")*TableBOM[Per 1000 Units]*(1+TableBOM[Scrap %]))*I48/1000,0))</f>
        <v/>
      </c>
      <c r="Q48" s="63"/>
      <c r="R48" s="63"/>
      <c r="S48" s="63"/>
    </row>
    <row r="49" spans="1:19" ht="15" customHeight="1" x14ac:dyDescent="0.25">
      <c r="A49" s="59">
        <v>8009</v>
      </c>
      <c r="B49" s="59">
        <v>809</v>
      </c>
      <c r="C49" s="59" t="s">
        <v>180</v>
      </c>
      <c r="D49" s="60" t="s">
        <v>247</v>
      </c>
      <c r="E49" s="59" t="s">
        <v>248</v>
      </c>
      <c r="F49" s="59">
        <v>0</v>
      </c>
      <c r="G49" s="59" t="s">
        <v>408</v>
      </c>
      <c r="H49" s="59">
        <v>0</v>
      </c>
      <c r="I49" s="78"/>
      <c r="J49" s="63" t="str">
        <f>IF(I49="","",IFERROR(SUMPRODUCT((TableBOM[Product ID]=A49)*(TableBOM[Material Category]="SLUG")*TableBOM[Per 1000 Units]*(1+TableBOM[Scrap %]))*I49/1000,0))</f>
        <v/>
      </c>
      <c r="K49" s="63" t="str">
        <f>IF(I49="","",IFERROR(SUMPRODUCT((TableBOM[Product ID]=A49)*(TableBOM[Material Category]="BASE COAT")*TableBOM[Per 1000 Units]*(1+TableBOM[Scrap %]))*I49/1000,0))</f>
        <v/>
      </c>
      <c r="L49" s="63" t="str">
        <f>IF(I49="","",IFERROR(SUMPRODUCT((TableBOM[Product ID]=A49)*(TableBOM[Material Category]="LACQUER")*TableBOM[Per 1000 Units]*(1+TableBOM[Scrap %]))*I49/1000,0))</f>
        <v/>
      </c>
      <c r="M49" s="63" t="str">
        <f>IF(I49="","",IFERROR(SUMPRODUCT((TableBOM[Product ID]=A49)*(TableBOM[Material Category]="LATEX")*TableBOM[Per 1000 Units]*(1+TableBOM[Scrap %]))*I49/1000,0))</f>
        <v/>
      </c>
      <c r="N49" s="63" t="str">
        <f>IF(I49="","",IFERROR(SUMPRODUCT((TableBOM[Product ID]=A49)*(TableBOM[Material Category]="ZINC POWDER")*TableBOM[Per 1000 Units]*(1+TableBOM[Scrap %]))*I49/1000,0))</f>
        <v/>
      </c>
      <c r="O49" s="63" t="str">
        <f>IF(I49="","",IFERROR(SUMPRODUCT((TableBOM[Product ID]=A49)*(TableBOM[Material Category]="CAP")*TableBOM[Per 1000 Units]*(1+TableBOM[Scrap %]))*I49/1000,0))</f>
        <v/>
      </c>
      <c r="P49" s="63" t="str">
        <f>IF(I49="","",IFERROR(SUMPRODUCT((TableBOM[Product ID]=A49)*(TableBOM[Material Category]="CARTON")*TableBOM[Per 1000 Units]*(1+TableBOM[Scrap %]))*I49/1000,0))</f>
        <v/>
      </c>
      <c r="Q49" s="63"/>
      <c r="R49" s="63"/>
      <c r="S49" s="63"/>
    </row>
    <row r="50" spans="1:19" ht="15" customHeight="1" x14ac:dyDescent="0.25">
      <c r="A50" s="59">
        <v>8013</v>
      </c>
      <c r="B50" s="59">
        <v>813</v>
      </c>
      <c r="C50" s="59" t="s">
        <v>180</v>
      </c>
      <c r="D50" s="60" t="s">
        <v>249</v>
      </c>
      <c r="E50" s="59" t="s">
        <v>250</v>
      </c>
      <c r="F50" s="59">
        <v>0</v>
      </c>
      <c r="G50" s="59" t="s">
        <v>408</v>
      </c>
      <c r="H50" s="59">
        <v>0</v>
      </c>
      <c r="I50" s="78"/>
      <c r="J50" s="63" t="str">
        <f>IF(I50="","",IFERROR(SUMPRODUCT((TableBOM[Product ID]=A50)*(TableBOM[Material Category]="SLUG")*TableBOM[Per 1000 Units]*(1+TableBOM[Scrap %]))*I50/1000,0))</f>
        <v/>
      </c>
      <c r="K50" s="63" t="str">
        <f>IF(I50="","",IFERROR(SUMPRODUCT((TableBOM[Product ID]=A50)*(TableBOM[Material Category]="BASE COAT")*TableBOM[Per 1000 Units]*(1+TableBOM[Scrap %]))*I50/1000,0))</f>
        <v/>
      </c>
      <c r="L50" s="63" t="str">
        <f>IF(I50="","",IFERROR(SUMPRODUCT((TableBOM[Product ID]=A50)*(TableBOM[Material Category]="LACQUER")*TableBOM[Per 1000 Units]*(1+TableBOM[Scrap %]))*I50/1000,0))</f>
        <v/>
      </c>
      <c r="M50" s="63" t="str">
        <f>IF(I50="","",IFERROR(SUMPRODUCT((TableBOM[Product ID]=A50)*(TableBOM[Material Category]="LATEX")*TableBOM[Per 1000 Units]*(1+TableBOM[Scrap %]))*I50/1000,0))</f>
        <v/>
      </c>
      <c r="N50" s="63" t="str">
        <f>IF(I50="","",IFERROR(SUMPRODUCT((TableBOM[Product ID]=A50)*(TableBOM[Material Category]="ZINC POWDER")*TableBOM[Per 1000 Units]*(1+TableBOM[Scrap %]))*I50/1000,0))</f>
        <v/>
      </c>
      <c r="O50" s="63" t="str">
        <f>IF(I50="","",IFERROR(SUMPRODUCT((TableBOM[Product ID]=A50)*(TableBOM[Material Category]="CAP")*TableBOM[Per 1000 Units]*(1+TableBOM[Scrap %]))*I50/1000,0))</f>
        <v/>
      </c>
      <c r="P50" s="63" t="str">
        <f>IF(I50="","",IFERROR(SUMPRODUCT((TableBOM[Product ID]=A50)*(TableBOM[Material Category]="CARTON")*TableBOM[Per 1000 Units]*(1+TableBOM[Scrap %]))*I50/1000,0))</f>
        <v/>
      </c>
      <c r="Q50" s="63"/>
      <c r="R50" s="63"/>
      <c r="S50" s="63"/>
    </row>
    <row r="51" spans="1:19" ht="15" hidden="1" customHeight="1" x14ac:dyDescent="0.25">
      <c r="A51" s="59">
        <v>2909</v>
      </c>
      <c r="B51" s="59">
        <v>56</v>
      </c>
      <c r="C51" s="59" t="s">
        <v>230</v>
      </c>
      <c r="D51" s="60" t="s">
        <v>233</v>
      </c>
      <c r="E51" s="59">
        <v>30</v>
      </c>
      <c r="F51" s="59">
        <v>130</v>
      </c>
      <c r="G51" s="59" t="s">
        <v>408</v>
      </c>
      <c r="H51" s="59">
        <v>150</v>
      </c>
      <c r="I51" s="78"/>
      <c r="J51" s="63" t="str">
        <f>IF(I50="","",IFERROR(SUMPRODUCT((TableBOM[Product ID]=A50)*(TableBOM[Material Category]="SLUG")*TableBOM[Per 1000 Units]*(1+TableBOM[Scrap %]))*I50/1000,0))</f>
        <v/>
      </c>
      <c r="K51" s="63" t="str">
        <f>IF(I50="","",IFERROR(SUMPRODUCT((TableBOM[Product ID]=A50)*(TableBOM[Material Category]="BASE COAT")*TableBOM[Per 1000 Units]*(1+TableBOM[Scrap %]))*I50/1000,0))</f>
        <v/>
      </c>
      <c r="L51" s="63" t="str">
        <f>IF(I50="","",IFERROR(SUMPRODUCT((TableBOM[Product ID]=A50)*(TableBOM[Material Category]="LACQUER")*TableBOM[Per 1000 Units]*(1+TableBOM[Scrap %]))*I50/1000,0))</f>
        <v/>
      </c>
      <c r="M51" s="63" t="str">
        <f>IF(I50="","",IFERROR(SUMPRODUCT((TableBOM[Product ID]=A50)*(TableBOM[Material Category]="LATEX")*TableBOM[Per 1000 Units]*(1+TableBOM[Scrap %]))*I50/1000,0))</f>
        <v/>
      </c>
      <c r="N51" s="63" t="str">
        <f>IF(I50="","",IFERROR(SUMPRODUCT((TableBOM[Product ID]=A50)*(TableBOM[Material Category]="ZINC POWDER")*TableBOM[Per 1000 Units]*(1+TableBOM[Scrap %]))*I50/1000,0))</f>
        <v/>
      </c>
      <c r="O51" s="63" t="str">
        <f>IF(I50="","",IFERROR(SUMPRODUCT((TableBOM[Product ID]=A50)*(TableBOM[Material Category]="CAP")*TableBOM[Per 1000 Units]*(1+TableBOM[Scrap %]))*I50/1000,0))</f>
        <v/>
      </c>
      <c r="P51" s="63" t="str">
        <f>IF(I50="","",IFERROR(SUMPRODUCT((TableBOM[Product ID]=A50)*(TableBOM[Material Category]="CARTON")*TableBOM[Per 1000 Units]*(1+TableBOM[Scrap %]))*I50/1000,0))</f>
        <v/>
      </c>
      <c r="Q51" s="63"/>
      <c r="R51" s="63"/>
      <c r="S51" s="63"/>
    </row>
    <row r="52" spans="1:19" ht="15" hidden="1" customHeight="1" x14ac:dyDescent="0.25">
      <c r="A52" s="59">
        <v>4227</v>
      </c>
      <c r="B52" s="59">
        <v>20</v>
      </c>
      <c r="C52" s="59" t="s">
        <v>222</v>
      </c>
      <c r="D52" s="60" t="s">
        <v>223</v>
      </c>
      <c r="E52" s="59">
        <v>25</v>
      </c>
      <c r="F52" s="59">
        <v>150</v>
      </c>
      <c r="G52" s="59" t="s">
        <v>409</v>
      </c>
      <c r="H52" s="59">
        <v>336</v>
      </c>
      <c r="I52" s="78"/>
      <c r="J52" s="63" t="str">
        <f>IF(I51="","",IFERROR(SUMPRODUCT((TableBOM[Product ID]=A51)*(TableBOM[Material Category]="SLUG")*TableBOM[Per 1000 Units]*(1+TableBOM[Scrap %]))*I51/1000,0))</f>
        <v/>
      </c>
      <c r="K52" s="63" t="str">
        <f>IF(I51="","",IFERROR(SUMPRODUCT((TableBOM[Product ID]=A51)*(TableBOM[Material Category]="BASE COAT")*TableBOM[Per 1000 Units]*(1+TableBOM[Scrap %]))*I51/1000,0))</f>
        <v/>
      </c>
      <c r="L52" s="63" t="str">
        <f>IF(I51="","",IFERROR(SUMPRODUCT((TableBOM[Product ID]=A51)*(TableBOM[Material Category]="LACQUER")*TableBOM[Per 1000 Units]*(1+TableBOM[Scrap %]))*I51/1000,0))</f>
        <v/>
      </c>
      <c r="M52" s="63" t="str">
        <f>IF(I51="","",IFERROR(SUMPRODUCT((TableBOM[Product ID]=A51)*(TableBOM[Material Category]="LATEX")*TableBOM[Per 1000 Units]*(1+TableBOM[Scrap %]))*I51/1000,0))</f>
        <v/>
      </c>
      <c r="N52" s="63" t="str">
        <f>IF(I51="","",IFERROR(SUMPRODUCT((TableBOM[Product ID]=A51)*(TableBOM[Material Category]="ZINC POWDER")*TableBOM[Per 1000 Units]*(1+TableBOM[Scrap %]))*I51/1000,0))</f>
        <v/>
      </c>
      <c r="O52" s="63" t="str">
        <f>IF(I51="","",IFERROR(SUMPRODUCT((TableBOM[Product ID]=A51)*(TableBOM[Material Category]="CAP")*TableBOM[Per 1000 Units]*(1+TableBOM[Scrap %]))*I51/1000,0))</f>
        <v/>
      </c>
      <c r="P52" s="63" t="str">
        <f>IF(I51="","",IFERROR(SUMPRODUCT((TableBOM[Product ID]=A51)*(TableBOM[Material Category]="CARTON")*TableBOM[Per 1000 Units]*(1+TableBOM[Scrap %]))*I51/1000,0))</f>
        <v/>
      </c>
      <c r="Q52" s="63"/>
      <c r="R52" s="63"/>
      <c r="S52" s="63"/>
    </row>
    <row r="53" spans="1:19" ht="15" hidden="1" customHeight="1" x14ac:dyDescent="0.25">
      <c r="A53" s="59">
        <v>5389</v>
      </c>
      <c r="B53" s="59">
        <v>35</v>
      </c>
      <c r="C53" s="59" t="s">
        <v>169</v>
      </c>
      <c r="D53" s="60" t="s">
        <v>173</v>
      </c>
      <c r="E53" s="59">
        <v>25</v>
      </c>
      <c r="F53" s="59">
        <v>150</v>
      </c>
      <c r="G53" s="59" t="s">
        <v>408</v>
      </c>
      <c r="H53" s="59">
        <v>336</v>
      </c>
      <c r="I53" s="78"/>
      <c r="J53" s="63" t="str">
        <f>IF(I52="","",IFERROR(SUMPRODUCT((TableBOM[Product ID]=A52)*(TableBOM[Material Category]="SLUG")*TableBOM[Per 1000 Units]*(1+TableBOM[Scrap %]))*I52/1000,0))</f>
        <v/>
      </c>
      <c r="K53" s="63" t="str">
        <f>IF(I52="","",IFERROR(SUMPRODUCT((TableBOM[Product ID]=A52)*(TableBOM[Material Category]="BASE COAT")*TableBOM[Per 1000 Units]*(1+TableBOM[Scrap %]))*I52/1000,0))</f>
        <v/>
      </c>
      <c r="L53" s="63" t="str">
        <f>IF(I52="","",IFERROR(SUMPRODUCT((TableBOM[Product ID]=A52)*(TableBOM[Material Category]="LACQUER")*TableBOM[Per 1000 Units]*(1+TableBOM[Scrap %]))*I52/1000,0))</f>
        <v/>
      </c>
      <c r="M53" s="63" t="str">
        <f>IF(I52="","",IFERROR(SUMPRODUCT((TableBOM[Product ID]=A52)*(TableBOM[Material Category]="LATEX")*TableBOM[Per 1000 Units]*(1+TableBOM[Scrap %]))*I52/1000,0))</f>
        <v/>
      </c>
      <c r="N53" s="63" t="str">
        <f>IF(I52="","",IFERROR(SUMPRODUCT((TableBOM[Product ID]=A52)*(TableBOM[Material Category]="ZINC POWDER")*TableBOM[Per 1000 Units]*(1+TableBOM[Scrap %]))*I52/1000,0))</f>
        <v/>
      </c>
      <c r="O53" s="63" t="str">
        <f>IF(I52="","",IFERROR(SUMPRODUCT((TableBOM[Product ID]=A52)*(TableBOM[Material Category]="CAP")*TableBOM[Per 1000 Units]*(1+TableBOM[Scrap %]))*I52/1000,0))</f>
        <v/>
      </c>
      <c r="P53" s="63" t="str">
        <f>IF(I52="","",IFERROR(SUMPRODUCT((TableBOM[Product ID]=A52)*(TableBOM[Material Category]="CARTON")*TableBOM[Per 1000 Units]*(1+TableBOM[Scrap %]))*I52/1000,0))</f>
        <v/>
      </c>
      <c r="Q53" s="63"/>
      <c r="R53" s="63"/>
      <c r="S53" s="63"/>
    </row>
    <row r="54" spans="1:19" ht="15" hidden="1" customHeight="1" x14ac:dyDescent="0.25">
      <c r="A54" s="59">
        <v>6151</v>
      </c>
      <c r="B54" s="59">
        <v>146</v>
      </c>
      <c r="C54" s="59" t="s">
        <v>234</v>
      </c>
      <c r="D54" s="60" t="s">
        <v>235</v>
      </c>
      <c r="E54" s="59">
        <v>30</v>
      </c>
      <c r="F54" s="59">
        <v>130</v>
      </c>
      <c r="G54" s="59" t="s">
        <v>409</v>
      </c>
      <c r="H54" s="59">
        <v>238</v>
      </c>
      <c r="I54" s="78"/>
      <c r="J54" s="63" t="str">
        <f>IF(I53="","",IFERROR(SUMPRODUCT((TableBOM[Product ID]=A53)*(TableBOM[Material Category]="SLUG")*TableBOM[Per 1000 Units]*(1+TableBOM[Scrap %]))*I53/1000,0))</f>
        <v/>
      </c>
      <c r="K54" s="63" t="str">
        <f>IF(I53="","",IFERROR(SUMPRODUCT((TableBOM[Product ID]=A53)*(TableBOM[Material Category]="BASE COAT")*TableBOM[Per 1000 Units]*(1+TableBOM[Scrap %]))*I53/1000,0))</f>
        <v/>
      </c>
      <c r="L54" s="63" t="str">
        <f>IF(I53="","",IFERROR(SUMPRODUCT((TableBOM[Product ID]=A53)*(TableBOM[Material Category]="LACQUER")*TableBOM[Per 1000 Units]*(1+TableBOM[Scrap %]))*I53/1000,0))</f>
        <v/>
      </c>
      <c r="M54" s="63" t="str">
        <f>IF(I53="","",IFERROR(SUMPRODUCT((TableBOM[Product ID]=A53)*(TableBOM[Material Category]="LATEX")*TableBOM[Per 1000 Units]*(1+TableBOM[Scrap %]))*I53/1000,0))</f>
        <v/>
      </c>
      <c r="N54" s="63" t="str">
        <f>IF(I53="","",IFERROR(SUMPRODUCT((TableBOM[Product ID]=A53)*(TableBOM[Material Category]="ZINC POWDER")*TableBOM[Per 1000 Units]*(1+TableBOM[Scrap %]))*I53/1000,0))</f>
        <v/>
      </c>
      <c r="O54" s="63" t="str">
        <f>IF(I53="","",IFERROR(SUMPRODUCT((TableBOM[Product ID]=A53)*(TableBOM[Material Category]="CAP")*TableBOM[Per 1000 Units]*(1+TableBOM[Scrap %]))*I53/1000,0))</f>
        <v/>
      </c>
      <c r="P54" s="63" t="str">
        <f>IF(I53="","",IFERROR(SUMPRODUCT((TableBOM[Product ID]=A53)*(TableBOM[Material Category]="CARTON")*TableBOM[Per 1000 Units]*(1+TableBOM[Scrap %]))*I53/1000,0))</f>
        <v/>
      </c>
      <c r="Q54" s="63"/>
      <c r="R54" s="63"/>
      <c r="S54" s="63"/>
    </row>
    <row r="55" spans="1:19" x14ac:dyDescent="0.25">
      <c r="A55" s="59">
        <v>8016</v>
      </c>
      <c r="B55" s="59"/>
      <c r="C55" s="59" t="s">
        <v>383</v>
      </c>
      <c r="D55" s="60" t="s">
        <v>384</v>
      </c>
      <c r="E55" s="59"/>
      <c r="F55" s="59"/>
      <c r="G55" s="59"/>
      <c r="H55" s="59"/>
      <c r="I55" s="78"/>
      <c r="J55" s="63"/>
      <c r="K55" s="63"/>
      <c r="L55" s="63"/>
      <c r="M55" s="63"/>
      <c r="N55" s="63"/>
      <c r="O55" s="63"/>
      <c r="P55" s="63"/>
      <c r="Q55" s="63"/>
      <c r="R55" s="63"/>
      <c r="S55" s="63"/>
    </row>
    <row r="56" spans="1:19" x14ac:dyDescent="0.25">
      <c r="A56" s="59">
        <v>8017</v>
      </c>
      <c r="B56" s="59"/>
      <c r="C56" s="59" t="s">
        <v>385</v>
      </c>
      <c r="D56" s="60" t="s">
        <v>386</v>
      </c>
      <c r="E56" s="59"/>
      <c r="F56" s="59"/>
      <c r="G56" s="59"/>
      <c r="H56" s="59"/>
      <c r="I56" s="78"/>
      <c r="J56" s="63"/>
      <c r="K56" s="63"/>
      <c r="L56" s="63"/>
      <c r="M56" s="63"/>
      <c r="N56" s="63"/>
      <c r="O56" s="63"/>
      <c r="P56" s="63"/>
      <c r="Q56" s="63"/>
      <c r="R56" s="63"/>
      <c r="S56" s="63"/>
    </row>
    <row r="57" spans="1:19" x14ac:dyDescent="0.25">
      <c r="A57" s="59">
        <v>8018</v>
      </c>
      <c r="B57" s="59"/>
      <c r="C57" s="59" t="s">
        <v>383</v>
      </c>
      <c r="D57" s="60" t="s">
        <v>387</v>
      </c>
      <c r="E57" s="59"/>
      <c r="F57" s="59"/>
      <c r="G57" s="59"/>
      <c r="H57" s="59"/>
      <c r="I57" s="78"/>
      <c r="J57" s="63"/>
      <c r="K57" s="63"/>
      <c r="L57" s="63"/>
      <c r="M57" s="63"/>
      <c r="N57" s="63"/>
      <c r="O57" s="63"/>
      <c r="P57" s="63"/>
      <c r="Q57" s="63"/>
      <c r="R57" s="63"/>
      <c r="S57" s="63"/>
    </row>
    <row r="58" spans="1:19" x14ac:dyDescent="0.25">
      <c r="A58" s="59">
        <v>8019</v>
      </c>
      <c r="B58" s="59"/>
      <c r="C58" s="59" t="s">
        <v>383</v>
      </c>
      <c r="D58" s="60" t="s">
        <v>388</v>
      </c>
      <c r="E58" s="59"/>
      <c r="F58" s="59"/>
      <c r="G58" s="59"/>
      <c r="H58" s="59"/>
      <c r="I58" s="78"/>
      <c r="J58" s="63"/>
      <c r="K58" s="63"/>
      <c r="L58" s="63"/>
      <c r="M58" s="63"/>
      <c r="N58" s="63"/>
      <c r="O58" s="63"/>
      <c r="P58" s="63"/>
      <c r="Q58" s="63"/>
      <c r="R58" s="63"/>
      <c r="S58" s="63"/>
    </row>
    <row r="59" spans="1:19" x14ac:dyDescent="0.25">
      <c r="A59" s="59">
        <v>8020</v>
      </c>
      <c r="B59" s="59"/>
      <c r="C59" s="59" t="s">
        <v>389</v>
      </c>
      <c r="D59" s="60" t="s">
        <v>390</v>
      </c>
      <c r="E59" s="59"/>
      <c r="F59" s="59"/>
      <c r="G59" s="59"/>
      <c r="H59" s="59"/>
      <c r="I59" s="78"/>
      <c r="J59" s="63"/>
      <c r="K59" s="63"/>
      <c r="L59" s="63"/>
      <c r="M59" s="63"/>
      <c r="N59" s="63"/>
      <c r="O59" s="63"/>
      <c r="P59" s="63"/>
      <c r="Q59" s="63"/>
      <c r="R59" s="63"/>
      <c r="S59" s="63"/>
    </row>
    <row r="60" spans="1:19" x14ac:dyDescent="0.25">
      <c r="A60" s="59">
        <v>8021</v>
      </c>
      <c r="B60" s="59"/>
      <c r="C60" s="59" t="s">
        <v>385</v>
      </c>
      <c r="D60" s="60" t="s">
        <v>391</v>
      </c>
      <c r="E60" s="59"/>
      <c r="F60" s="59"/>
      <c r="G60" s="59"/>
      <c r="H60" s="59"/>
      <c r="I60" s="78"/>
      <c r="J60" s="63"/>
      <c r="K60" s="63"/>
      <c r="L60" s="63"/>
      <c r="M60" s="63"/>
      <c r="N60" s="63"/>
      <c r="O60" s="63"/>
      <c r="P60" s="63"/>
      <c r="Q60" s="63"/>
      <c r="R60" s="63"/>
      <c r="S60" s="63"/>
    </row>
    <row r="61" spans="1:19" x14ac:dyDescent="0.25">
      <c r="A61" s="59">
        <v>8022</v>
      </c>
      <c r="B61" s="59"/>
      <c r="C61" s="59" t="s">
        <v>385</v>
      </c>
      <c r="D61" s="60" t="s">
        <v>392</v>
      </c>
      <c r="E61" s="59"/>
      <c r="F61" s="59"/>
      <c r="G61" s="59"/>
      <c r="H61" s="59"/>
      <c r="I61" s="78"/>
      <c r="J61" s="63"/>
      <c r="K61" s="63"/>
      <c r="L61" s="63"/>
      <c r="M61" s="63"/>
      <c r="N61" s="63"/>
      <c r="O61" s="63"/>
      <c r="P61" s="63"/>
      <c r="Q61" s="63"/>
      <c r="R61" s="63"/>
      <c r="S61" s="63"/>
    </row>
    <row r="62" spans="1:19" x14ac:dyDescent="0.25">
      <c r="A62" s="59">
        <v>8023</v>
      </c>
      <c r="B62" s="59"/>
      <c r="C62" s="59" t="s">
        <v>385</v>
      </c>
      <c r="D62" s="60" t="s">
        <v>393</v>
      </c>
      <c r="E62" s="59"/>
      <c r="F62" s="59"/>
      <c r="G62" s="59"/>
      <c r="H62" s="59"/>
      <c r="I62" s="78"/>
      <c r="J62" s="63"/>
      <c r="K62" s="63"/>
      <c r="L62" s="63"/>
      <c r="M62" s="63"/>
      <c r="N62" s="63"/>
      <c r="O62" s="63"/>
      <c r="P62" s="63"/>
      <c r="Q62" s="63"/>
      <c r="R62" s="63"/>
      <c r="S62" s="63"/>
    </row>
    <row r="63" spans="1:19" x14ac:dyDescent="0.25">
      <c r="A63" s="59">
        <v>8024</v>
      </c>
      <c r="B63" s="59"/>
      <c r="C63" s="59" t="s">
        <v>389</v>
      </c>
      <c r="D63" s="60" t="s">
        <v>394</v>
      </c>
      <c r="E63" s="59"/>
      <c r="F63" s="59"/>
      <c r="G63" s="59"/>
      <c r="H63" s="59"/>
      <c r="I63" s="78"/>
      <c r="J63" s="63"/>
      <c r="K63" s="63"/>
      <c r="L63" s="63"/>
      <c r="M63" s="63"/>
      <c r="N63" s="63"/>
      <c r="O63" s="63"/>
      <c r="P63" s="63"/>
      <c r="Q63" s="63"/>
      <c r="R63" s="63"/>
      <c r="S63" s="63"/>
    </row>
    <row r="64" spans="1:19" x14ac:dyDescent="0.25">
      <c r="A64" s="59"/>
      <c r="B64" s="59"/>
      <c r="C64" s="59"/>
      <c r="D64" s="60"/>
      <c r="E64" s="59"/>
      <c r="F64" s="59"/>
      <c r="G64" s="59"/>
      <c r="H64" s="59"/>
      <c r="I64" s="78"/>
      <c r="J64" s="63"/>
      <c r="K64" s="63"/>
      <c r="L64" s="63"/>
      <c r="M64" s="63"/>
      <c r="N64" s="63"/>
      <c r="O64" s="63"/>
      <c r="P64" s="63"/>
      <c r="Q64" s="63"/>
      <c r="R64" s="63"/>
      <c r="S64" s="63"/>
    </row>
    <row r="65" spans="1:19" x14ac:dyDescent="0.25">
      <c r="A65" s="59"/>
      <c r="B65" s="59"/>
      <c r="C65" s="59"/>
      <c r="D65" s="60"/>
      <c r="E65" s="59"/>
      <c r="F65" s="59"/>
      <c r="G65" s="59"/>
      <c r="H65" s="59"/>
      <c r="I65" s="78"/>
      <c r="J65" s="63"/>
      <c r="K65" s="63"/>
      <c r="L65" s="63"/>
      <c r="M65" s="63"/>
      <c r="N65" s="63"/>
      <c r="O65" s="63"/>
      <c r="P65" s="63"/>
      <c r="Q65" s="63"/>
      <c r="R65" s="63"/>
      <c r="S65" s="63"/>
    </row>
  </sheetData>
  <autoFilter ref="A2:S54" xr:uid="{00000000-0009-0000-0000-000005000000}">
    <filterColumn colId="0">
      <filters>
        <filter val="8001"/>
        <filter val="8005"/>
        <filter val="8006"/>
        <filter val="8007"/>
        <filter val="8008"/>
        <filter val="8009"/>
        <filter val="8010"/>
        <filter val="8011"/>
        <filter val="8012"/>
        <filter val="8013"/>
        <filter val="8014"/>
        <filter val="8015"/>
      </filters>
    </filterColumn>
    <sortState xmlns:xlrd2="http://schemas.microsoft.com/office/spreadsheetml/2017/richdata2" ref="A39:S50">
      <sortCondition ref="E2:E54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4"/>
  <sheetViews>
    <sheetView showGridLines="0" zoomScaleNormal="100" workbookViewId="0">
      <pane ySplit="1" topLeftCell="A2" activePane="bottomLeft" state="frozen"/>
      <selection pane="bottomLeft" activeCell="C13" sqref="C13"/>
    </sheetView>
  </sheetViews>
  <sheetFormatPr defaultColWidth="8.7109375" defaultRowHeight="15" x14ac:dyDescent="0.25"/>
  <cols>
    <col min="1" max="2" width="8" customWidth="1"/>
    <col min="3" max="3" width="35" customWidth="1"/>
    <col min="4" max="4" width="15" customWidth="1"/>
    <col min="5" max="5" width="10" customWidth="1"/>
    <col min="6" max="6" width="30" customWidth="1"/>
    <col min="7" max="7" width="10" customWidth="1"/>
    <col min="8" max="8" width="30" customWidth="1"/>
    <col min="9" max="15" width="12" customWidth="1"/>
  </cols>
  <sheetData>
    <row r="1" spans="1:11" ht="21.95" customHeight="1" x14ac:dyDescent="0.25">
      <c r="A1" s="256" t="s">
        <v>410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</row>
    <row r="2" spans="1:11" x14ac:dyDescent="0.25">
      <c r="A2" s="95" t="s">
        <v>411</v>
      </c>
      <c r="B2" s="96"/>
      <c r="C2" s="97"/>
      <c r="D2" s="97"/>
      <c r="E2" s="97"/>
      <c r="F2" s="97"/>
      <c r="G2" s="97"/>
      <c r="H2" s="97"/>
      <c r="I2" s="97"/>
      <c r="J2" s="97"/>
      <c r="K2" s="97"/>
    </row>
    <row r="3" spans="1:11" ht="6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</row>
    <row r="4" spans="1:11" ht="21.95" customHeight="1" x14ac:dyDescent="0.25">
      <c r="A4" s="256" t="s">
        <v>412</v>
      </c>
      <c r="B4" s="252"/>
      <c r="C4" s="252"/>
      <c r="D4" s="252"/>
      <c r="E4" s="252"/>
      <c r="F4" s="252"/>
      <c r="G4" s="252"/>
      <c r="H4" s="252"/>
      <c r="I4" s="252"/>
      <c r="J4" s="252"/>
      <c r="K4" s="252"/>
    </row>
    <row r="5" spans="1:11" ht="18" customHeight="1" x14ac:dyDescent="0.25">
      <c r="A5" s="99" t="s">
        <v>413</v>
      </c>
      <c r="B5" s="99" t="s">
        <v>414</v>
      </c>
      <c r="C5" s="100" t="s">
        <v>154</v>
      </c>
      <c r="D5" s="100" t="s">
        <v>415</v>
      </c>
      <c r="E5" s="100" t="s">
        <v>156</v>
      </c>
      <c r="F5" s="100" t="s">
        <v>416</v>
      </c>
      <c r="G5" s="100" t="s">
        <v>417</v>
      </c>
      <c r="H5" s="100" t="s">
        <v>294</v>
      </c>
      <c r="I5" s="100" t="s">
        <v>265</v>
      </c>
      <c r="J5" s="100"/>
      <c r="K5" s="100"/>
    </row>
    <row r="6" spans="1:11" ht="108" customHeight="1" x14ac:dyDescent="0.25">
      <c r="A6" s="96">
        <v>9002</v>
      </c>
      <c r="B6" s="96">
        <v>901</v>
      </c>
      <c r="C6" s="97" t="s">
        <v>180</v>
      </c>
      <c r="D6" s="97" t="s">
        <v>229</v>
      </c>
      <c r="E6" s="97">
        <v>30</v>
      </c>
      <c r="F6" s="97" t="s">
        <v>418</v>
      </c>
      <c r="G6" s="97" t="s">
        <v>419</v>
      </c>
      <c r="H6" s="101" t="s">
        <v>420</v>
      </c>
      <c r="I6" s="102" t="s">
        <v>421</v>
      </c>
      <c r="J6" s="97"/>
      <c r="K6" s="97"/>
    </row>
    <row r="7" spans="1:11" ht="132" customHeight="1" x14ac:dyDescent="0.25">
      <c r="A7" s="103">
        <v>6624</v>
      </c>
      <c r="B7" s="103" t="s">
        <v>422</v>
      </c>
      <c r="C7" s="104" t="s">
        <v>423</v>
      </c>
      <c r="D7" s="104" t="s">
        <v>424</v>
      </c>
      <c r="E7" s="104">
        <v>19</v>
      </c>
      <c r="F7" s="104" t="s">
        <v>425</v>
      </c>
      <c r="G7" s="104" t="s">
        <v>426</v>
      </c>
      <c r="H7" s="105" t="s">
        <v>420</v>
      </c>
      <c r="I7" s="106" t="s">
        <v>421</v>
      </c>
      <c r="J7" s="104"/>
      <c r="K7" s="104"/>
    </row>
    <row r="8" spans="1:11" ht="132" customHeight="1" x14ac:dyDescent="0.25">
      <c r="A8" s="96">
        <v>9004</v>
      </c>
      <c r="B8" s="96">
        <v>904</v>
      </c>
      <c r="C8" s="97" t="s">
        <v>200</v>
      </c>
      <c r="D8" s="97" t="s">
        <v>201</v>
      </c>
      <c r="E8" s="97">
        <v>12.5</v>
      </c>
      <c r="F8" s="97" t="s">
        <v>427</v>
      </c>
      <c r="G8" s="97" t="s">
        <v>428</v>
      </c>
      <c r="H8" s="101" t="s">
        <v>420</v>
      </c>
      <c r="I8" s="102" t="s">
        <v>421</v>
      </c>
      <c r="J8" s="97"/>
      <c r="K8" s="97"/>
    </row>
    <row r="9" spans="1:11" ht="108" customHeight="1" x14ac:dyDescent="0.25">
      <c r="A9" s="103">
        <v>9006</v>
      </c>
      <c r="B9" s="103">
        <v>906</v>
      </c>
      <c r="C9" s="104" t="s">
        <v>423</v>
      </c>
      <c r="D9" s="104" t="s">
        <v>221</v>
      </c>
      <c r="E9" s="104">
        <v>25</v>
      </c>
      <c r="F9" s="104" t="s">
        <v>429</v>
      </c>
      <c r="G9" s="104" t="s">
        <v>430</v>
      </c>
      <c r="H9" s="105" t="s">
        <v>420</v>
      </c>
      <c r="I9" s="106" t="s">
        <v>421</v>
      </c>
      <c r="J9" s="104"/>
      <c r="K9" s="104"/>
    </row>
    <row r="10" spans="1:11" ht="6" customHeight="1" x14ac:dyDescent="0.25">
      <c r="A10" s="107"/>
      <c r="B10" s="107"/>
      <c r="C10" s="98"/>
      <c r="D10" s="107"/>
      <c r="E10" s="107"/>
      <c r="F10" s="107"/>
      <c r="G10" s="108"/>
      <c r="H10" s="107"/>
      <c r="I10" s="107"/>
      <c r="J10" s="98"/>
      <c r="K10" s="107"/>
    </row>
    <row r="11" spans="1:11" ht="6" customHeight="1" x14ac:dyDescent="0.25">
      <c r="A11" s="109"/>
      <c r="B11" s="98"/>
      <c r="C11" s="98"/>
      <c r="D11" s="98"/>
      <c r="E11" s="98"/>
      <c r="F11" s="98"/>
      <c r="G11" s="98"/>
      <c r="H11" s="98"/>
      <c r="I11" s="98"/>
      <c r="J11" s="98"/>
      <c r="K11" s="107"/>
    </row>
    <row r="12" spans="1:11" ht="21.95" customHeight="1" x14ac:dyDescent="0.25">
      <c r="A12" s="256" t="s">
        <v>431</v>
      </c>
      <c r="B12" s="252"/>
      <c r="C12" s="252"/>
      <c r="D12" s="252"/>
      <c r="E12" s="252"/>
      <c r="F12" s="252"/>
      <c r="G12" s="252"/>
      <c r="H12" s="252"/>
      <c r="I12" s="252"/>
      <c r="J12" s="252"/>
      <c r="K12" s="252"/>
    </row>
    <row r="13" spans="1:11" ht="18" customHeight="1" x14ac:dyDescent="0.25">
      <c r="A13" s="99" t="s">
        <v>413</v>
      </c>
      <c r="B13" s="99" t="s">
        <v>415</v>
      </c>
      <c r="C13" s="100"/>
      <c r="D13" s="100" t="s">
        <v>432</v>
      </c>
      <c r="E13" s="100" t="s">
        <v>2</v>
      </c>
      <c r="F13" s="100" t="s">
        <v>433</v>
      </c>
      <c r="G13" s="100" t="s">
        <v>434</v>
      </c>
      <c r="H13" s="100" t="s">
        <v>294</v>
      </c>
      <c r="I13" s="100" t="s">
        <v>435</v>
      </c>
      <c r="J13" s="100"/>
      <c r="K13" s="100"/>
    </row>
    <row r="14" spans="1:11" ht="60" customHeight="1" x14ac:dyDescent="0.25">
      <c r="A14" s="96">
        <v>6020</v>
      </c>
      <c r="B14" s="96" t="s">
        <v>241</v>
      </c>
      <c r="C14" s="97"/>
      <c r="D14" s="97" t="s">
        <v>273</v>
      </c>
      <c r="E14" s="97" t="s">
        <v>436</v>
      </c>
      <c r="F14" s="97" t="s">
        <v>437</v>
      </c>
      <c r="G14" s="97" t="s">
        <v>438</v>
      </c>
      <c r="H14" s="101" t="s">
        <v>439</v>
      </c>
      <c r="I14" s="97" t="s">
        <v>440</v>
      </c>
      <c r="J14" s="97"/>
      <c r="K14" s="97"/>
    </row>
    <row r="15" spans="1:11" ht="24" customHeight="1" x14ac:dyDescent="0.25">
      <c r="A15" s="103">
        <v>6021</v>
      </c>
      <c r="B15" s="103" t="s">
        <v>242</v>
      </c>
      <c r="C15" s="104"/>
      <c r="D15" s="104" t="s">
        <v>273</v>
      </c>
      <c r="E15" s="104" t="s">
        <v>436</v>
      </c>
      <c r="F15" s="104" t="s">
        <v>437</v>
      </c>
      <c r="G15" s="104" t="s">
        <v>438</v>
      </c>
      <c r="H15" s="105" t="s">
        <v>439</v>
      </c>
      <c r="I15" s="104" t="s">
        <v>441</v>
      </c>
      <c r="J15" s="104"/>
      <c r="K15" s="104"/>
    </row>
    <row r="16" spans="1:11" ht="24" customHeight="1" x14ac:dyDescent="0.25">
      <c r="A16" s="96">
        <v>6020</v>
      </c>
      <c r="B16" s="96" t="s">
        <v>241</v>
      </c>
      <c r="C16" s="97"/>
      <c r="D16" s="97" t="s">
        <v>278</v>
      </c>
      <c r="E16" s="97" t="s">
        <v>442</v>
      </c>
      <c r="F16" s="97" t="s">
        <v>443</v>
      </c>
      <c r="G16" s="97" t="s">
        <v>444</v>
      </c>
      <c r="H16" s="101" t="s">
        <v>420</v>
      </c>
      <c r="I16" s="97" t="s">
        <v>445</v>
      </c>
      <c r="J16" s="97"/>
      <c r="K16" s="97"/>
    </row>
    <row r="17" spans="1:11" ht="24" customHeight="1" x14ac:dyDescent="0.25">
      <c r="A17" s="103">
        <v>6021</v>
      </c>
      <c r="B17" s="103" t="s">
        <v>242</v>
      </c>
      <c r="C17" s="104"/>
      <c r="D17" s="104" t="s">
        <v>278</v>
      </c>
      <c r="E17" s="104" t="s">
        <v>442</v>
      </c>
      <c r="F17" s="104" t="s">
        <v>443</v>
      </c>
      <c r="G17" s="104" t="s">
        <v>444</v>
      </c>
      <c r="H17" s="105" t="s">
        <v>420</v>
      </c>
      <c r="I17" s="104" t="s">
        <v>441</v>
      </c>
      <c r="J17" s="104"/>
      <c r="K17" s="104"/>
    </row>
    <row r="18" spans="1:11" ht="24" customHeight="1" x14ac:dyDescent="0.25">
      <c r="A18" s="96">
        <v>5731</v>
      </c>
      <c r="B18" s="96" t="s">
        <v>446</v>
      </c>
      <c r="C18" s="97"/>
      <c r="D18" s="97" t="s">
        <v>285</v>
      </c>
      <c r="E18" s="97" t="s">
        <v>447</v>
      </c>
      <c r="F18" s="97" t="s">
        <v>448</v>
      </c>
      <c r="G18" s="97" t="s">
        <v>449</v>
      </c>
      <c r="H18" s="101" t="s">
        <v>420</v>
      </c>
      <c r="I18" s="97" t="s">
        <v>450</v>
      </c>
      <c r="J18" s="97"/>
      <c r="K18" s="97"/>
    </row>
    <row r="19" spans="1:11" ht="24" customHeight="1" x14ac:dyDescent="0.25">
      <c r="A19" s="103">
        <v>5732</v>
      </c>
      <c r="B19" s="103" t="s">
        <v>451</v>
      </c>
      <c r="C19" s="104"/>
      <c r="D19" s="104" t="s">
        <v>285</v>
      </c>
      <c r="E19" s="104" t="s">
        <v>447</v>
      </c>
      <c r="F19" s="104" t="s">
        <v>448</v>
      </c>
      <c r="G19" s="104" t="s">
        <v>449</v>
      </c>
      <c r="H19" s="105" t="s">
        <v>420</v>
      </c>
      <c r="I19" s="104" t="s">
        <v>450</v>
      </c>
      <c r="J19" s="104"/>
      <c r="K19" s="104"/>
    </row>
    <row r="20" spans="1:11" ht="48" customHeight="1" x14ac:dyDescent="0.25">
      <c r="A20" s="96">
        <v>6338</v>
      </c>
      <c r="B20" s="96" t="s">
        <v>219</v>
      </c>
      <c r="C20" s="97"/>
      <c r="D20" s="97" t="s">
        <v>278</v>
      </c>
      <c r="E20" s="97" t="s">
        <v>452</v>
      </c>
      <c r="F20" s="97" t="s">
        <v>453</v>
      </c>
      <c r="G20" s="97" t="s">
        <v>454</v>
      </c>
      <c r="H20" s="101" t="s">
        <v>420</v>
      </c>
      <c r="I20" s="97" t="s">
        <v>455</v>
      </c>
      <c r="J20" s="97"/>
      <c r="K20" s="97"/>
    </row>
    <row r="21" spans="1:11" ht="24" customHeight="1" x14ac:dyDescent="0.25">
      <c r="A21" s="103">
        <v>6531</v>
      </c>
      <c r="B21" s="103" t="s">
        <v>240</v>
      </c>
      <c r="C21" s="104"/>
      <c r="D21" s="104" t="s">
        <v>273</v>
      </c>
      <c r="E21" s="104" t="s">
        <v>436</v>
      </c>
      <c r="F21" s="104" t="s">
        <v>456</v>
      </c>
      <c r="G21" s="104" t="s">
        <v>457</v>
      </c>
      <c r="H21" s="110" t="s">
        <v>458</v>
      </c>
      <c r="I21" s="104" t="s">
        <v>459</v>
      </c>
      <c r="J21" s="104"/>
      <c r="K21" s="104"/>
    </row>
    <row r="22" spans="1:11" ht="6" customHeight="1" x14ac:dyDescent="0.25">
      <c r="A22" s="109"/>
      <c r="B22" s="98"/>
      <c r="C22" s="98"/>
      <c r="D22" s="98"/>
      <c r="E22" s="98"/>
      <c r="F22" s="98"/>
      <c r="G22" s="98"/>
      <c r="H22" s="98"/>
      <c r="I22" s="98"/>
      <c r="J22" s="98"/>
      <c r="K22" s="108"/>
    </row>
    <row r="23" spans="1:11" ht="21.95" customHeight="1" x14ac:dyDescent="0.25">
      <c r="A23" s="256" t="s">
        <v>460</v>
      </c>
      <c r="B23" s="252"/>
      <c r="C23" s="252"/>
      <c r="D23" s="252"/>
      <c r="E23" s="252"/>
      <c r="F23" s="252"/>
      <c r="G23" s="252"/>
      <c r="H23" s="252"/>
      <c r="I23" s="252"/>
      <c r="J23" s="252"/>
      <c r="K23" s="252"/>
    </row>
    <row r="24" spans="1:11" ht="18" customHeight="1" x14ac:dyDescent="0.25">
      <c r="A24" s="99" t="s">
        <v>413</v>
      </c>
      <c r="B24" s="99" t="s">
        <v>415</v>
      </c>
      <c r="C24" s="100"/>
      <c r="D24" s="100" t="s">
        <v>461</v>
      </c>
      <c r="E24" s="100" t="s">
        <v>2</v>
      </c>
      <c r="F24" s="100" t="s">
        <v>462</v>
      </c>
      <c r="G24" s="100" t="s">
        <v>463</v>
      </c>
      <c r="H24" s="100" t="s">
        <v>294</v>
      </c>
      <c r="I24" s="100"/>
      <c r="J24" s="100"/>
      <c r="K24" s="100"/>
    </row>
    <row r="25" spans="1:11" ht="96" customHeight="1" x14ac:dyDescent="0.25">
      <c r="A25" s="96" t="s">
        <v>464</v>
      </c>
      <c r="B25" s="96" t="s">
        <v>465</v>
      </c>
      <c r="C25" s="97"/>
      <c r="D25" s="97" t="s">
        <v>466</v>
      </c>
      <c r="E25" s="97">
        <v>177</v>
      </c>
      <c r="F25" s="97" t="s">
        <v>467</v>
      </c>
      <c r="G25" s="97" t="s">
        <v>468</v>
      </c>
      <c r="H25" s="101" t="s">
        <v>439</v>
      </c>
      <c r="I25" s="97"/>
      <c r="J25" s="97"/>
      <c r="K25" s="97"/>
    </row>
    <row r="26" spans="1:11" ht="18" customHeight="1" x14ac:dyDescent="0.25">
      <c r="A26" s="99">
        <v>6312</v>
      </c>
      <c r="B26" s="99" t="s">
        <v>232</v>
      </c>
      <c r="C26" s="100"/>
      <c r="D26" s="100" t="s">
        <v>282</v>
      </c>
      <c r="E26" s="100">
        <v>578</v>
      </c>
      <c r="F26" s="100" t="s">
        <v>469</v>
      </c>
      <c r="G26" s="100" t="s">
        <v>470</v>
      </c>
      <c r="H26" s="100" t="s">
        <v>420</v>
      </c>
      <c r="I26" s="100"/>
      <c r="J26" s="100"/>
      <c r="K26" s="100"/>
    </row>
    <row r="27" spans="1:11" ht="72" customHeight="1" x14ac:dyDescent="0.25">
      <c r="A27" s="96">
        <v>6338</v>
      </c>
      <c r="B27" s="96" t="s">
        <v>219</v>
      </c>
      <c r="C27" s="97"/>
      <c r="D27" s="97" t="s">
        <v>282</v>
      </c>
      <c r="E27" s="97" t="s">
        <v>471</v>
      </c>
      <c r="F27" s="97" t="s">
        <v>472</v>
      </c>
      <c r="G27" s="97" t="s">
        <v>473</v>
      </c>
      <c r="H27" s="101" t="s">
        <v>420</v>
      </c>
      <c r="I27" s="97"/>
      <c r="J27" s="97"/>
      <c r="K27" s="97"/>
    </row>
    <row r="28" spans="1:11" ht="108" customHeight="1" x14ac:dyDescent="0.25">
      <c r="A28" s="103">
        <v>5814</v>
      </c>
      <c r="B28" s="103" t="s">
        <v>181</v>
      </c>
      <c r="C28" s="104"/>
      <c r="D28" s="104" t="s">
        <v>284</v>
      </c>
      <c r="E28" s="104" t="s">
        <v>471</v>
      </c>
      <c r="F28" s="104" t="s">
        <v>472</v>
      </c>
      <c r="G28" s="104" t="s">
        <v>474</v>
      </c>
      <c r="H28" s="105" t="s">
        <v>420</v>
      </c>
      <c r="I28" s="104"/>
      <c r="J28" s="104"/>
      <c r="K28" s="104"/>
    </row>
    <row r="29" spans="1:11" ht="18" customHeight="1" x14ac:dyDescent="0.25">
      <c r="A29" s="99">
        <v>6312</v>
      </c>
      <c r="B29" s="99" t="s">
        <v>232</v>
      </c>
      <c r="C29" s="100"/>
      <c r="D29" s="100" t="s">
        <v>279</v>
      </c>
      <c r="E29" s="100">
        <v>186</v>
      </c>
      <c r="F29" s="100" t="s">
        <v>475</v>
      </c>
      <c r="G29" s="100" t="s">
        <v>476</v>
      </c>
      <c r="H29" s="100" t="s">
        <v>458</v>
      </c>
      <c r="I29" s="100"/>
      <c r="J29" s="100"/>
      <c r="K29" s="100"/>
    </row>
    <row r="30" spans="1:11" ht="18" customHeight="1" x14ac:dyDescent="0.25">
      <c r="A30" s="99">
        <v>6077</v>
      </c>
      <c r="B30" s="99" t="s">
        <v>477</v>
      </c>
      <c r="C30" s="100"/>
      <c r="D30" s="100" t="s">
        <v>279</v>
      </c>
      <c r="E30" s="100">
        <v>186</v>
      </c>
      <c r="F30" s="100" t="s">
        <v>475</v>
      </c>
      <c r="G30" s="100" t="s">
        <v>478</v>
      </c>
      <c r="H30" s="100" t="s">
        <v>458</v>
      </c>
      <c r="I30" s="100"/>
      <c r="J30" s="100"/>
      <c r="K30" s="100"/>
    </row>
    <row r="31" spans="1:11" ht="72" customHeight="1" x14ac:dyDescent="0.25">
      <c r="A31" s="96">
        <v>6530</v>
      </c>
      <c r="B31" s="96" t="s">
        <v>183</v>
      </c>
      <c r="C31" s="97"/>
      <c r="D31" s="97" t="s">
        <v>279</v>
      </c>
      <c r="E31" s="97">
        <v>186</v>
      </c>
      <c r="F31" s="97" t="s">
        <v>475</v>
      </c>
      <c r="G31" s="97" t="s">
        <v>479</v>
      </c>
      <c r="H31" s="111" t="s">
        <v>458</v>
      </c>
      <c r="I31" s="97"/>
      <c r="J31" s="97"/>
      <c r="K31" s="97"/>
    </row>
    <row r="32" spans="1:11" ht="18" customHeight="1" x14ac:dyDescent="0.25">
      <c r="A32" s="99">
        <v>6531</v>
      </c>
      <c r="B32" s="99" t="s">
        <v>240</v>
      </c>
      <c r="C32" s="100"/>
      <c r="D32" s="100" t="s">
        <v>279</v>
      </c>
      <c r="E32" s="100">
        <v>186</v>
      </c>
      <c r="F32" s="100" t="s">
        <v>475</v>
      </c>
      <c r="G32" s="100" t="s">
        <v>480</v>
      </c>
      <c r="H32" s="100" t="s">
        <v>458</v>
      </c>
      <c r="I32" s="100"/>
      <c r="J32" s="100"/>
      <c r="K32" s="100"/>
    </row>
    <row r="33" spans="1:11" ht="6" customHeight="1" x14ac:dyDescent="0.25">
      <c r="A33" s="109"/>
      <c r="B33" s="98"/>
      <c r="C33" s="98"/>
      <c r="D33" s="98"/>
      <c r="E33" s="98"/>
      <c r="F33" s="98"/>
      <c r="G33" s="98"/>
      <c r="H33" s="98"/>
      <c r="I33" s="98"/>
      <c r="J33" s="98"/>
      <c r="K33" s="107"/>
    </row>
    <row r="34" spans="1:11" ht="21.95" customHeight="1" x14ac:dyDescent="0.25">
      <c r="A34" s="256" t="s">
        <v>481</v>
      </c>
      <c r="B34" s="252"/>
      <c r="C34" s="252"/>
      <c r="D34" s="252"/>
      <c r="E34" s="252"/>
      <c r="F34" s="252"/>
      <c r="G34" s="252"/>
      <c r="H34" s="252"/>
      <c r="I34" s="252"/>
      <c r="J34" s="252"/>
      <c r="K34" s="252"/>
    </row>
    <row r="35" spans="1:11" ht="18" customHeight="1" x14ac:dyDescent="0.25">
      <c r="A35" s="99" t="s">
        <v>413</v>
      </c>
      <c r="B35" s="99" t="s">
        <v>414</v>
      </c>
      <c r="C35" s="100" t="s">
        <v>415</v>
      </c>
      <c r="D35" s="100" t="s">
        <v>432</v>
      </c>
      <c r="E35" s="100" t="s">
        <v>482</v>
      </c>
      <c r="F35" s="100" t="s">
        <v>483</v>
      </c>
      <c r="G35" s="100" t="s">
        <v>484</v>
      </c>
      <c r="H35" s="100" t="s">
        <v>485</v>
      </c>
      <c r="I35" s="100" t="s">
        <v>462</v>
      </c>
      <c r="J35" s="100"/>
      <c r="K35" s="100"/>
    </row>
    <row r="36" spans="1:11" x14ac:dyDescent="0.25">
      <c r="A36" s="96">
        <v>6337</v>
      </c>
      <c r="B36" s="96">
        <v>166</v>
      </c>
      <c r="C36" s="97" t="s">
        <v>486</v>
      </c>
      <c r="D36" s="97" t="s">
        <v>278</v>
      </c>
      <c r="E36" s="97">
        <v>170</v>
      </c>
      <c r="F36" s="97" t="s">
        <v>31</v>
      </c>
      <c r="G36" s="97">
        <v>3595</v>
      </c>
      <c r="H36" s="97" t="s">
        <v>342</v>
      </c>
      <c r="I36" s="97" t="s">
        <v>487</v>
      </c>
      <c r="J36" s="97"/>
      <c r="K36" s="97"/>
    </row>
    <row r="37" spans="1:11" x14ac:dyDescent="0.25">
      <c r="A37" s="103">
        <v>6337</v>
      </c>
      <c r="B37" s="103">
        <v>166</v>
      </c>
      <c r="C37" s="104" t="s">
        <v>486</v>
      </c>
      <c r="D37" s="104" t="s">
        <v>273</v>
      </c>
      <c r="E37" s="104">
        <v>1065</v>
      </c>
      <c r="F37" s="104" t="s">
        <v>276</v>
      </c>
      <c r="G37" s="104">
        <v>4155</v>
      </c>
      <c r="H37" s="104" t="s">
        <v>277</v>
      </c>
      <c r="I37" s="104" t="s">
        <v>456</v>
      </c>
      <c r="J37" s="104"/>
      <c r="K37" s="104"/>
    </row>
    <row r="38" spans="1:11" x14ac:dyDescent="0.25">
      <c r="A38" s="96">
        <v>6338</v>
      </c>
      <c r="B38" s="96">
        <v>167</v>
      </c>
      <c r="C38" s="97" t="s">
        <v>219</v>
      </c>
      <c r="D38" s="97" t="s">
        <v>278</v>
      </c>
      <c r="E38" s="97">
        <v>170</v>
      </c>
      <c r="F38" s="97" t="s">
        <v>31</v>
      </c>
      <c r="G38" s="97">
        <v>3595</v>
      </c>
      <c r="H38" s="97" t="s">
        <v>342</v>
      </c>
      <c r="I38" s="97" t="s">
        <v>488</v>
      </c>
      <c r="J38" s="97"/>
      <c r="K38" s="97"/>
    </row>
    <row r="39" spans="1:11" x14ac:dyDescent="0.25">
      <c r="A39" s="103">
        <v>6338</v>
      </c>
      <c r="B39" s="103">
        <v>167</v>
      </c>
      <c r="C39" s="104" t="s">
        <v>219</v>
      </c>
      <c r="D39" s="104" t="s">
        <v>273</v>
      </c>
      <c r="E39" s="104">
        <v>184</v>
      </c>
      <c r="F39" s="104" t="s">
        <v>274</v>
      </c>
      <c r="G39" s="104">
        <v>185</v>
      </c>
      <c r="H39" s="104" t="s">
        <v>25</v>
      </c>
      <c r="I39" s="104" t="s">
        <v>489</v>
      </c>
      <c r="J39" s="104"/>
      <c r="K39" s="104"/>
    </row>
    <row r="40" spans="1:11" x14ac:dyDescent="0.25">
      <c r="A40" s="96">
        <v>6312</v>
      </c>
      <c r="B40" s="96">
        <v>157</v>
      </c>
      <c r="C40" s="97" t="s">
        <v>490</v>
      </c>
      <c r="D40" s="97" t="s">
        <v>278</v>
      </c>
      <c r="E40" s="97">
        <v>170</v>
      </c>
      <c r="F40" s="97" t="s">
        <v>31</v>
      </c>
      <c r="G40" s="97">
        <v>3595</v>
      </c>
      <c r="H40" s="97" t="s">
        <v>342</v>
      </c>
      <c r="I40" s="97" t="s">
        <v>487</v>
      </c>
      <c r="J40" s="97"/>
      <c r="K40" s="97"/>
    </row>
    <row r="41" spans="1:11" x14ac:dyDescent="0.25">
      <c r="A41" s="103">
        <v>6312</v>
      </c>
      <c r="B41" s="103">
        <v>157</v>
      </c>
      <c r="C41" s="104" t="s">
        <v>490</v>
      </c>
      <c r="D41" s="104" t="s">
        <v>273</v>
      </c>
      <c r="E41" s="104">
        <v>1065</v>
      </c>
      <c r="F41" s="104" t="s">
        <v>276</v>
      </c>
      <c r="G41" s="104">
        <v>4155</v>
      </c>
      <c r="H41" s="104" t="s">
        <v>277</v>
      </c>
      <c r="I41" s="104" t="s">
        <v>456</v>
      </c>
      <c r="J41" s="104"/>
      <c r="K41" s="104"/>
    </row>
    <row r="42" spans="1:11" x14ac:dyDescent="0.25">
      <c r="A42" s="96">
        <v>6228</v>
      </c>
      <c r="B42" s="96">
        <v>150</v>
      </c>
      <c r="C42" s="97" t="s">
        <v>491</v>
      </c>
      <c r="D42" s="97" t="s">
        <v>278</v>
      </c>
      <c r="E42" s="97">
        <v>170</v>
      </c>
      <c r="F42" s="97" t="s">
        <v>31</v>
      </c>
      <c r="G42" s="97">
        <v>3595</v>
      </c>
      <c r="H42" s="97" t="s">
        <v>342</v>
      </c>
      <c r="I42" s="97" t="s">
        <v>492</v>
      </c>
      <c r="J42" s="97"/>
      <c r="K42" s="97"/>
    </row>
    <row r="43" spans="1:11" x14ac:dyDescent="0.25">
      <c r="A43" s="103">
        <v>5782</v>
      </c>
      <c r="B43" s="103">
        <v>70</v>
      </c>
      <c r="C43" s="104" t="s">
        <v>239</v>
      </c>
      <c r="D43" s="104" t="s">
        <v>278</v>
      </c>
      <c r="E43" s="104">
        <v>170</v>
      </c>
      <c r="F43" s="104" t="s">
        <v>31</v>
      </c>
      <c r="G43" s="104">
        <v>3595</v>
      </c>
      <c r="H43" s="104" t="s">
        <v>342</v>
      </c>
      <c r="I43" s="104" t="s">
        <v>443</v>
      </c>
      <c r="J43" s="104"/>
      <c r="K43" s="104"/>
    </row>
    <row r="44" spans="1:11" x14ac:dyDescent="0.25">
      <c r="A44" s="96">
        <v>5782</v>
      </c>
      <c r="B44" s="96">
        <v>70</v>
      </c>
      <c r="C44" s="97" t="s">
        <v>239</v>
      </c>
      <c r="D44" s="97" t="s">
        <v>273</v>
      </c>
      <c r="E44" s="97">
        <v>184</v>
      </c>
      <c r="F44" s="97" t="s">
        <v>274</v>
      </c>
      <c r="G44" s="97">
        <v>185</v>
      </c>
      <c r="H44" s="97" t="s">
        <v>25</v>
      </c>
      <c r="I44" s="97" t="s">
        <v>493</v>
      </c>
      <c r="J44" s="97"/>
      <c r="K44" s="97"/>
    </row>
    <row r="45" spans="1:11" x14ac:dyDescent="0.25">
      <c r="A45" s="103">
        <v>3447</v>
      </c>
      <c r="B45" s="103">
        <v>34</v>
      </c>
      <c r="C45" s="104" t="s">
        <v>170</v>
      </c>
      <c r="D45" s="104" t="s">
        <v>278</v>
      </c>
      <c r="E45" s="104">
        <v>4156</v>
      </c>
      <c r="F45" s="104" t="s">
        <v>36</v>
      </c>
      <c r="G45" s="104">
        <v>3595</v>
      </c>
      <c r="H45" s="104" t="s">
        <v>342</v>
      </c>
      <c r="I45" s="104" t="s">
        <v>494</v>
      </c>
      <c r="J45" s="104"/>
      <c r="K45" s="104"/>
    </row>
    <row r="46" spans="1:11" x14ac:dyDescent="0.25">
      <c r="A46" s="96">
        <v>3447</v>
      </c>
      <c r="B46" s="96">
        <v>34</v>
      </c>
      <c r="C46" s="97" t="s">
        <v>170</v>
      </c>
      <c r="D46" s="97" t="s">
        <v>282</v>
      </c>
      <c r="E46" s="97">
        <v>3866</v>
      </c>
      <c r="F46" s="97" t="s">
        <v>495</v>
      </c>
      <c r="G46" s="97">
        <v>68</v>
      </c>
      <c r="H46" s="97" t="s">
        <v>496</v>
      </c>
      <c r="I46" s="97" t="s">
        <v>469</v>
      </c>
      <c r="J46" s="97"/>
      <c r="K46" s="97"/>
    </row>
    <row r="47" spans="1:11" x14ac:dyDescent="0.25">
      <c r="A47" s="103">
        <v>3447</v>
      </c>
      <c r="B47" s="103">
        <v>34</v>
      </c>
      <c r="C47" s="104" t="s">
        <v>170</v>
      </c>
      <c r="D47" s="104" t="s">
        <v>273</v>
      </c>
      <c r="E47" s="104">
        <v>184</v>
      </c>
      <c r="F47" s="104" t="s">
        <v>274</v>
      </c>
      <c r="G47" s="104">
        <v>185</v>
      </c>
      <c r="H47" s="104" t="s">
        <v>25</v>
      </c>
      <c r="I47" s="104" t="s">
        <v>489</v>
      </c>
      <c r="J47" s="104"/>
      <c r="K47" s="104"/>
    </row>
    <row r="48" spans="1:11" x14ac:dyDescent="0.25">
      <c r="A48" s="96">
        <v>5732</v>
      </c>
      <c r="B48" s="96">
        <v>33</v>
      </c>
      <c r="C48" s="97" t="s">
        <v>451</v>
      </c>
      <c r="D48" s="97" t="s">
        <v>278</v>
      </c>
      <c r="E48" s="97">
        <v>4156</v>
      </c>
      <c r="F48" s="97" t="s">
        <v>36</v>
      </c>
      <c r="G48" s="97">
        <v>3595</v>
      </c>
      <c r="H48" s="97" t="s">
        <v>342</v>
      </c>
      <c r="I48" s="97" t="s">
        <v>497</v>
      </c>
      <c r="J48" s="97"/>
      <c r="K48" s="97"/>
    </row>
    <row r="49" spans="1:11" x14ac:dyDescent="0.25">
      <c r="A49" s="103">
        <v>5732</v>
      </c>
      <c r="B49" s="103">
        <v>33</v>
      </c>
      <c r="C49" s="104" t="s">
        <v>451</v>
      </c>
      <c r="D49" s="104" t="s">
        <v>282</v>
      </c>
      <c r="E49" s="104">
        <v>4044</v>
      </c>
      <c r="F49" s="104" t="s">
        <v>498</v>
      </c>
      <c r="G49" s="104">
        <v>6971</v>
      </c>
      <c r="H49" s="104" t="s">
        <v>499</v>
      </c>
      <c r="I49" s="104" t="s">
        <v>469</v>
      </c>
      <c r="J49" s="104"/>
      <c r="K49" s="104"/>
    </row>
    <row r="50" spans="1:11" x14ac:dyDescent="0.25">
      <c r="A50" s="96">
        <v>5732</v>
      </c>
      <c r="B50" s="96">
        <v>33</v>
      </c>
      <c r="C50" s="97" t="s">
        <v>451</v>
      </c>
      <c r="D50" s="97" t="s">
        <v>273</v>
      </c>
      <c r="E50" s="97">
        <v>184</v>
      </c>
      <c r="F50" s="97" t="s">
        <v>274</v>
      </c>
      <c r="G50" s="97">
        <v>185</v>
      </c>
      <c r="H50" s="97" t="s">
        <v>25</v>
      </c>
      <c r="I50" s="97" t="s">
        <v>500</v>
      </c>
      <c r="J50" s="97"/>
      <c r="K50" s="97"/>
    </row>
    <row r="51" spans="1:11" x14ac:dyDescent="0.25">
      <c r="A51" s="103">
        <v>5731</v>
      </c>
      <c r="B51" s="103">
        <v>32</v>
      </c>
      <c r="C51" s="104" t="s">
        <v>446</v>
      </c>
      <c r="D51" s="104" t="s">
        <v>278</v>
      </c>
      <c r="E51" s="104">
        <v>4156</v>
      </c>
      <c r="F51" s="104" t="s">
        <v>36</v>
      </c>
      <c r="G51" s="104">
        <v>3595</v>
      </c>
      <c r="H51" s="104" t="s">
        <v>342</v>
      </c>
      <c r="I51" s="104" t="s">
        <v>497</v>
      </c>
      <c r="J51" s="104"/>
      <c r="K51" s="104"/>
    </row>
    <row r="52" spans="1:11" x14ac:dyDescent="0.25">
      <c r="A52" s="96">
        <v>5731</v>
      </c>
      <c r="B52" s="96">
        <v>32</v>
      </c>
      <c r="C52" s="97" t="s">
        <v>446</v>
      </c>
      <c r="D52" s="97" t="s">
        <v>282</v>
      </c>
      <c r="E52" s="97">
        <v>4044</v>
      </c>
      <c r="F52" s="97" t="s">
        <v>498</v>
      </c>
      <c r="G52" s="97">
        <v>6971</v>
      </c>
      <c r="H52" s="97" t="s">
        <v>499</v>
      </c>
      <c r="I52" s="97" t="s">
        <v>469</v>
      </c>
      <c r="J52" s="97"/>
      <c r="K52" s="97"/>
    </row>
    <row r="53" spans="1:11" x14ac:dyDescent="0.25">
      <c r="A53" s="103">
        <v>5731</v>
      </c>
      <c r="B53" s="103">
        <v>32</v>
      </c>
      <c r="C53" s="104" t="s">
        <v>446</v>
      </c>
      <c r="D53" s="104" t="s">
        <v>273</v>
      </c>
      <c r="E53" s="104">
        <v>184</v>
      </c>
      <c r="F53" s="104" t="s">
        <v>274</v>
      </c>
      <c r="G53" s="104">
        <v>185</v>
      </c>
      <c r="H53" s="104" t="s">
        <v>25</v>
      </c>
      <c r="I53" s="104" t="s">
        <v>500</v>
      </c>
      <c r="J53" s="104"/>
      <c r="K53" s="104"/>
    </row>
    <row r="54" spans="1:11" x14ac:dyDescent="0.25">
      <c r="A54" s="96">
        <v>6532</v>
      </c>
      <c r="B54" s="96">
        <v>181</v>
      </c>
      <c r="C54" s="97" t="s">
        <v>215</v>
      </c>
      <c r="D54" s="97" t="s">
        <v>278</v>
      </c>
      <c r="E54" s="97">
        <v>170</v>
      </c>
      <c r="F54" s="97" t="s">
        <v>31</v>
      </c>
      <c r="G54" s="97">
        <v>3595</v>
      </c>
      <c r="H54" s="97" t="s">
        <v>342</v>
      </c>
      <c r="I54" s="97" t="s">
        <v>492</v>
      </c>
      <c r="J54" s="97"/>
      <c r="K54" s="97"/>
    </row>
    <row r="55" spans="1:11" x14ac:dyDescent="0.25">
      <c r="A55" s="103">
        <v>6532</v>
      </c>
      <c r="B55" s="103">
        <v>181</v>
      </c>
      <c r="C55" s="104" t="s">
        <v>215</v>
      </c>
      <c r="D55" s="104" t="s">
        <v>273</v>
      </c>
      <c r="E55" s="104">
        <v>184</v>
      </c>
      <c r="F55" s="104" t="s">
        <v>274</v>
      </c>
      <c r="G55" s="104">
        <v>185</v>
      </c>
      <c r="H55" s="104" t="s">
        <v>25</v>
      </c>
      <c r="I55" s="104" t="s">
        <v>501</v>
      </c>
      <c r="J55" s="104"/>
      <c r="K55" s="104"/>
    </row>
    <row r="56" spans="1:11" x14ac:dyDescent="0.25">
      <c r="A56" s="96">
        <v>3726</v>
      </c>
      <c r="B56" s="96">
        <v>9</v>
      </c>
      <c r="C56" s="97" t="s">
        <v>216</v>
      </c>
      <c r="D56" s="97" t="s">
        <v>278</v>
      </c>
      <c r="E56" s="97">
        <v>170</v>
      </c>
      <c r="F56" s="97" t="s">
        <v>31</v>
      </c>
      <c r="G56" s="97">
        <v>3595</v>
      </c>
      <c r="H56" s="97" t="s">
        <v>342</v>
      </c>
      <c r="I56" s="97" t="s">
        <v>492</v>
      </c>
      <c r="J56" s="97"/>
      <c r="K56" s="97"/>
    </row>
    <row r="57" spans="1:11" x14ac:dyDescent="0.25">
      <c r="A57" s="103">
        <v>3726</v>
      </c>
      <c r="B57" s="103">
        <v>9</v>
      </c>
      <c r="C57" s="104" t="s">
        <v>216</v>
      </c>
      <c r="D57" s="104" t="s">
        <v>273</v>
      </c>
      <c r="E57" s="104">
        <v>184</v>
      </c>
      <c r="F57" s="104" t="s">
        <v>274</v>
      </c>
      <c r="G57" s="104">
        <v>185</v>
      </c>
      <c r="H57" s="104" t="s">
        <v>25</v>
      </c>
      <c r="I57" s="104" t="s">
        <v>501</v>
      </c>
      <c r="J57" s="104"/>
      <c r="K57" s="104"/>
    </row>
    <row r="58" spans="1:11" x14ac:dyDescent="0.25">
      <c r="A58" s="96">
        <v>6077</v>
      </c>
      <c r="B58" s="96">
        <v>138</v>
      </c>
      <c r="C58" s="97" t="s">
        <v>477</v>
      </c>
      <c r="D58" s="97" t="s">
        <v>278</v>
      </c>
      <c r="E58" s="97">
        <v>170</v>
      </c>
      <c r="F58" s="97" t="s">
        <v>31</v>
      </c>
      <c r="G58" s="97">
        <v>3595</v>
      </c>
      <c r="H58" s="97" t="s">
        <v>342</v>
      </c>
      <c r="I58" s="97" t="s">
        <v>502</v>
      </c>
      <c r="J58" s="97"/>
      <c r="K58" s="97"/>
    </row>
    <row r="59" spans="1:11" x14ac:dyDescent="0.25">
      <c r="A59" s="103">
        <v>5814</v>
      </c>
      <c r="B59" s="103">
        <v>95</v>
      </c>
      <c r="C59" s="104" t="s">
        <v>181</v>
      </c>
      <c r="D59" s="104" t="s">
        <v>278</v>
      </c>
      <c r="E59" s="104">
        <v>170</v>
      </c>
      <c r="F59" s="104" t="s">
        <v>31</v>
      </c>
      <c r="G59" s="104">
        <v>3595</v>
      </c>
      <c r="H59" s="104" t="s">
        <v>342</v>
      </c>
      <c r="I59" s="104" t="s">
        <v>503</v>
      </c>
      <c r="J59" s="104"/>
      <c r="K59" s="104"/>
    </row>
    <row r="60" spans="1:11" x14ac:dyDescent="0.25">
      <c r="A60" s="96">
        <v>5814</v>
      </c>
      <c r="B60" s="96">
        <v>95</v>
      </c>
      <c r="C60" s="97" t="s">
        <v>181</v>
      </c>
      <c r="D60" s="97" t="s">
        <v>273</v>
      </c>
      <c r="E60" s="97">
        <v>1065</v>
      </c>
      <c r="F60" s="97" t="s">
        <v>276</v>
      </c>
      <c r="G60" s="97">
        <v>4155</v>
      </c>
      <c r="H60" s="97" t="s">
        <v>277</v>
      </c>
      <c r="I60" s="97" t="s">
        <v>504</v>
      </c>
      <c r="J60" s="97"/>
      <c r="K60" s="97"/>
    </row>
    <row r="61" spans="1:11" x14ac:dyDescent="0.25">
      <c r="A61" s="103">
        <v>9002</v>
      </c>
      <c r="B61" s="103">
        <v>901</v>
      </c>
      <c r="C61" s="104" t="s">
        <v>229</v>
      </c>
      <c r="D61" s="104" t="s">
        <v>278</v>
      </c>
      <c r="E61" s="104">
        <v>170</v>
      </c>
      <c r="F61" s="104" t="s">
        <v>31</v>
      </c>
      <c r="G61" s="104">
        <v>3595</v>
      </c>
      <c r="H61" s="104" t="s">
        <v>342</v>
      </c>
      <c r="I61" s="104" t="s">
        <v>487</v>
      </c>
      <c r="J61" s="104"/>
      <c r="K61" s="104"/>
    </row>
    <row r="62" spans="1:11" x14ac:dyDescent="0.25">
      <c r="A62" s="96">
        <v>9002</v>
      </c>
      <c r="B62" s="96">
        <v>901</v>
      </c>
      <c r="C62" s="97" t="s">
        <v>229</v>
      </c>
      <c r="D62" s="97" t="s">
        <v>273</v>
      </c>
      <c r="E62" s="97">
        <v>1065</v>
      </c>
      <c r="F62" s="97" t="s">
        <v>276</v>
      </c>
      <c r="G62" s="97">
        <v>4155</v>
      </c>
      <c r="H62" s="97" t="s">
        <v>277</v>
      </c>
      <c r="I62" s="97" t="s">
        <v>456</v>
      </c>
      <c r="J62" s="97"/>
      <c r="K62" s="97"/>
    </row>
    <row r="63" spans="1:11" x14ac:dyDescent="0.25">
      <c r="A63" s="103">
        <v>9002</v>
      </c>
      <c r="B63" s="103">
        <v>901</v>
      </c>
      <c r="C63" s="104" t="s">
        <v>229</v>
      </c>
      <c r="D63" s="104" t="s">
        <v>284</v>
      </c>
      <c r="E63" s="104">
        <v>3988</v>
      </c>
      <c r="F63" s="104" t="s">
        <v>366</v>
      </c>
      <c r="G63" s="104">
        <v>3598</v>
      </c>
      <c r="H63" s="104" t="s">
        <v>77</v>
      </c>
      <c r="I63" s="104" t="s">
        <v>505</v>
      </c>
      <c r="J63" s="104"/>
      <c r="K63" s="104"/>
    </row>
    <row r="64" spans="1:11" ht="6" customHeight="1" x14ac:dyDescent="0.25">
      <c r="A64" s="112"/>
      <c r="B64" s="98"/>
      <c r="C64" s="98"/>
      <c r="D64" s="98"/>
      <c r="E64" s="98"/>
      <c r="F64" s="98"/>
      <c r="G64" s="98"/>
      <c r="H64" s="98"/>
      <c r="I64" s="98"/>
      <c r="J64" s="113"/>
      <c r="K64" s="113"/>
    </row>
    <row r="65" spans="1:11" ht="21.95" customHeight="1" x14ac:dyDescent="0.25">
      <c r="A65" s="256" t="s">
        <v>506</v>
      </c>
      <c r="B65" s="252"/>
      <c r="C65" s="252"/>
      <c r="D65" s="252"/>
      <c r="E65" s="252"/>
      <c r="F65" s="252"/>
      <c r="G65" s="252"/>
      <c r="H65" s="252"/>
      <c r="I65" s="252"/>
      <c r="J65" s="252"/>
      <c r="K65" s="252"/>
    </row>
    <row r="66" spans="1:11" ht="18" customHeight="1" x14ac:dyDescent="0.25">
      <c r="A66" s="99" t="s">
        <v>3</v>
      </c>
      <c r="B66" s="99" t="s">
        <v>507</v>
      </c>
      <c r="C66" s="100" t="s">
        <v>508</v>
      </c>
      <c r="D66" s="100" t="s">
        <v>509</v>
      </c>
      <c r="E66" s="100" t="s">
        <v>510</v>
      </c>
      <c r="F66" s="100" t="s">
        <v>265</v>
      </c>
      <c r="G66" s="100" t="s">
        <v>294</v>
      </c>
      <c r="H66" s="100"/>
      <c r="I66" s="100"/>
      <c r="J66" s="100"/>
      <c r="K66" s="100"/>
    </row>
    <row r="67" spans="1:11" ht="18" customHeight="1" x14ac:dyDescent="0.25">
      <c r="A67" s="99" t="s">
        <v>511</v>
      </c>
      <c r="B67" s="99" t="s">
        <v>512</v>
      </c>
      <c r="C67" s="100" t="s">
        <v>513</v>
      </c>
      <c r="D67" s="100" t="s">
        <v>514</v>
      </c>
      <c r="E67" s="100" t="s">
        <v>515</v>
      </c>
      <c r="F67" s="100" t="s">
        <v>421</v>
      </c>
      <c r="G67" s="100" t="s">
        <v>420</v>
      </c>
      <c r="H67" s="100"/>
      <c r="I67" s="100"/>
      <c r="J67" s="100"/>
      <c r="K67" s="100"/>
    </row>
    <row r="68" spans="1:11" ht="120" customHeight="1" x14ac:dyDescent="0.25">
      <c r="A68" s="96" t="s">
        <v>516</v>
      </c>
      <c r="B68" s="96" t="s">
        <v>517</v>
      </c>
      <c r="C68" s="97" t="s">
        <v>518</v>
      </c>
      <c r="D68" s="97" t="s">
        <v>519</v>
      </c>
      <c r="E68" s="97" t="s">
        <v>520</v>
      </c>
      <c r="F68" s="97" t="s">
        <v>521</v>
      </c>
      <c r="G68" s="97" t="s">
        <v>522</v>
      </c>
      <c r="H68" s="97"/>
      <c r="I68" s="97"/>
      <c r="J68" s="97"/>
      <c r="K68" s="97"/>
    </row>
    <row r="69" spans="1:11" ht="72" customHeight="1" x14ac:dyDescent="0.25">
      <c r="A69" s="103" t="s">
        <v>523</v>
      </c>
      <c r="B69" s="103" t="s">
        <v>524</v>
      </c>
      <c r="C69" s="104" t="s">
        <v>525</v>
      </c>
      <c r="D69" s="104" t="s">
        <v>526</v>
      </c>
      <c r="E69" s="104" t="s">
        <v>527</v>
      </c>
      <c r="F69" s="104" t="s">
        <v>528</v>
      </c>
      <c r="G69" s="110" t="s">
        <v>458</v>
      </c>
      <c r="H69" s="104"/>
      <c r="I69" s="104"/>
      <c r="J69" s="104"/>
      <c r="K69" s="104"/>
    </row>
    <row r="70" spans="1:11" ht="72" customHeight="1" x14ac:dyDescent="0.25">
      <c r="A70" s="96" t="s">
        <v>529</v>
      </c>
      <c r="B70" s="96" t="s">
        <v>530</v>
      </c>
      <c r="C70" s="97" t="s">
        <v>531</v>
      </c>
      <c r="D70" s="97" t="s">
        <v>422</v>
      </c>
      <c r="E70" s="97" t="s">
        <v>532</v>
      </c>
      <c r="F70" s="97" t="s">
        <v>528</v>
      </c>
      <c r="G70" s="111" t="s">
        <v>458</v>
      </c>
      <c r="H70" s="97"/>
      <c r="I70" s="97"/>
      <c r="J70" s="97"/>
      <c r="K70" s="97"/>
    </row>
    <row r="71" spans="1:11" ht="132" customHeight="1" x14ac:dyDescent="0.25">
      <c r="A71" s="103" t="s">
        <v>533</v>
      </c>
      <c r="B71" s="103" t="s">
        <v>534</v>
      </c>
      <c r="C71" s="104" t="s">
        <v>535</v>
      </c>
      <c r="D71" s="104" t="s">
        <v>536</v>
      </c>
      <c r="E71" s="104" t="s">
        <v>537</v>
      </c>
      <c r="F71" s="104" t="s">
        <v>538</v>
      </c>
      <c r="G71" s="110" t="s">
        <v>458</v>
      </c>
      <c r="H71" s="104"/>
      <c r="I71" s="104"/>
      <c r="J71" s="104"/>
      <c r="K71" s="104"/>
    </row>
    <row r="72" spans="1:11" ht="108" customHeight="1" x14ac:dyDescent="0.25">
      <c r="A72" s="96" t="s">
        <v>539</v>
      </c>
      <c r="B72" s="96" t="s">
        <v>540</v>
      </c>
      <c r="C72" s="97" t="s">
        <v>541</v>
      </c>
      <c r="D72" s="97" t="s">
        <v>422</v>
      </c>
      <c r="E72" s="97" t="s">
        <v>542</v>
      </c>
      <c r="F72" s="102" t="s">
        <v>421</v>
      </c>
      <c r="G72" s="101" t="s">
        <v>439</v>
      </c>
      <c r="H72" s="97"/>
      <c r="I72" s="97"/>
      <c r="J72" s="97"/>
      <c r="K72" s="97"/>
    </row>
    <row r="73" spans="1:11" ht="132" customHeight="1" x14ac:dyDescent="0.25">
      <c r="A73" s="103" t="s">
        <v>543</v>
      </c>
      <c r="B73" s="103" t="s">
        <v>544</v>
      </c>
      <c r="C73" s="104" t="s">
        <v>545</v>
      </c>
      <c r="D73" s="104" t="s">
        <v>422</v>
      </c>
      <c r="E73" s="104" t="s">
        <v>546</v>
      </c>
      <c r="F73" s="104" t="s">
        <v>538</v>
      </c>
      <c r="G73" s="110" t="s">
        <v>458</v>
      </c>
      <c r="H73" s="104"/>
      <c r="I73" s="104"/>
      <c r="J73" s="104"/>
      <c r="K73" s="104"/>
    </row>
    <row r="74" spans="1:11" ht="6" customHeight="1" x14ac:dyDescent="0.25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</row>
    <row r="75" spans="1:11" ht="21.95" customHeight="1" x14ac:dyDescent="0.25">
      <c r="A75" s="256" t="s">
        <v>547</v>
      </c>
      <c r="B75" s="252"/>
      <c r="C75" s="252"/>
      <c r="D75" s="252"/>
      <c r="E75" s="252"/>
      <c r="F75" s="252"/>
      <c r="G75" s="252"/>
      <c r="H75" s="252"/>
      <c r="I75" s="252"/>
      <c r="J75" s="252"/>
      <c r="K75" s="252"/>
    </row>
    <row r="76" spans="1:11" ht="18" customHeight="1" x14ac:dyDescent="0.25">
      <c r="A76" s="99" t="s">
        <v>2</v>
      </c>
      <c r="B76" s="99" t="s">
        <v>548</v>
      </c>
      <c r="C76" s="100"/>
      <c r="D76" s="100" t="s">
        <v>549</v>
      </c>
      <c r="E76" s="100" t="s">
        <v>550</v>
      </c>
      <c r="F76" s="100"/>
      <c r="G76" s="100"/>
      <c r="H76" s="100" t="s">
        <v>294</v>
      </c>
      <c r="I76" s="100"/>
      <c r="J76" s="100"/>
      <c r="K76" s="100"/>
    </row>
    <row r="77" spans="1:11" ht="132" customHeight="1" x14ac:dyDescent="0.25">
      <c r="A77" s="96">
        <v>4155</v>
      </c>
      <c r="B77" s="96" t="s">
        <v>29</v>
      </c>
      <c r="C77" s="97" t="s">
        <v>551</v>
      </c>
      <c r="D77" s="97" t="s">
        <v>277</v>
      </c>
      <c r="E77" s="97" t="s">
        <v>552</v>
      </c>
      <c r="F77" s="97"/>
      <c r="G77" s="97"/>
      <c r="H77" s="101" t="s">
        <v>420</v>
      </c>
      <c r="I77" s="97"/>
      <c r="J77" s="97"/>
      <c r="K77" s="97"/>
    </row>
    <row r="78" spans="1:11" ht="96" customHeight="1" x14ac:dyDescent="0.25">
      <c r="A78" s="103">
        <v>1065</v>
      </c>
      <c r="B78" s="103" t="s">
        <v>28</v>
      </c>
      <c r="C78" s="104" t="s">
        <v>551</v>
      </c>
      <c r="D78" s="104" t="s">
        <v>276</v>
      </c>
      <c r="E78" s="104" t="s">
        <v>553</v>
      </c>
      <c r="F78" s="104"/>
      <c r="G78" s="104"/>
      <c r="H78" s="110" t="s">
        <v>458</v>
      </c>
      <c r="I78" s="104"/>
      <c r="J78" s="104"/>
      <c r="K78" s="104"/>
    </row>
    <row r="79" spans="1:11" ht="96" customHeight="1" x14ac:dyDescent="0.25">
      <c r="A79" s="96">
        <v>184</v>
      </c>
      <c r="B79" s="96" t="s">
        <v>24</v>
      </c>
      <c r="C79" s="97" t="s">
        <v>551</v>
      </c>
      <c r="D79" s="97" t="s">
        <v>274</v>
      </c>
      <c r="E79" s="97" t="s">
        <v>554</v>
      </c>
      <c r="F79" s="97"/>
      <c r="G79" s="97"/>
      <c r="H79" s="111" t="s">
        <v>458</v>
      </c>
      <c r="I79" s="97"/>
      <c r="J79" s="97"/>
      <c r="K79" s="97"/>
    </row>
    <row r="80" spans="1:11" ht="6" customHeight="1" x14ac:dyDescent="0.25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</row>
    <row r="81" spans="1:11" ht="21.95" customHeight="1" x14ac:dyDescent="0.25">
      <c r="A81" s="256" t="s">
        <v>555</v>
      </c>
      <c r="B81" s="252"/>
      <c r="C81" s="252"/>
      <c r="D81" s="252"/>
      <c r="E81" s="252"/>
      <c r="F81" s="252"/>
      <c r="G81" s="252"/>
      <c r="H81" s="252"/>
      <c r="I81" s="252"/>
      <c r="J81" s="252"/>
      <c r="K81" s="252"/>
    </row>
    <row r="82" spans="1:11" ht="18" customHeight="1" x14ac:dyDescent="0.25">
      <c r="A82" s="99" t="s">
        <v>413</v>
      </c>
      <c r="B82" s="99" t="s">
        <v>414</v>
      </c>
      <c r="C82" s="100" t="s">
        <v>415</v>
      </c>
      <c r="D82" s="100" t="s">
        <v>556</v>
      </c>
      <c r="E82" s="100" t="s">
        <v>557</v>
      </c>
      <c r="F82" s="100" t="s">
        <v>417</v>
      </c>
      <c r="G82" s="100"/>
      <c r="H82" s="100" t="s">
        <v>294</v>
      </c>
      <c r="I82" s="100"/>
      <c r="J82" s="100"/>
      <c r="K82" s="100"/>
    </row>
    <row r="83" spans="1:11" ht="24" customHeight="1" x14ac:dyDescent="0.25">
      <c r="A83" s="96">
        <v>6337</v>
      </c>
      <c r="B83" s="96">
        <v>166</v>
      </c>
      <c r="C83" s="97" t="s">
        <v>228</v>
      </c>
      <c r="D83" s="97" t="s">
        <v>558</v>
      </c>
      <c r="E83" s="97" t="s">
        <v>559</v>
      </c>
      <c r="F83" s="97" t="s">
        <v>560</v>
      </c>
      <c r="G83" s="97"/>
      <c r="H83" s="101" t="s">
        <v>420</v>
      </c>
      <c r="I83" s="97"/>
      <c r="J83" s="97"/>
      <c r="K83" s="97"/>
    </row>
    <row r="84" spans="1:11" ht="24" customHeight="1" x14ac:dyDescent="0.25">
      <c r="A84" s="103">
        <v>6416</v>
      </c>
      <c r="B84" s="103">
        <v>171</v>
      </c>
      <c r="C84" s="104" t="s">
        <v>227</v>
      </c>
      <c r="D84" s="104" t="s">
        <v>558</v>
      </c>
      <c r="E84" s="104" t="s">
        <v>559</v>
      </c>
      <c r="F84" s="104" t="s">
        <v>560</v>
      </c>
      <c r="G84" s="104"/>
      <c r="H84" s="105" t="s">
        <v>420</v>
      </c>
      <c r="I84" s="104"/>
      <c r="J84" s="104"/>
      <c r="K84" s="104"/>
    </row>
    <row r="85" spans="1:11" ht="24" customHeight="1" x14ac:dyDescent="0.25">
      <c r="A85" s="96">
        <v>6206</v>
      </c>
      <c r="B85" s="96">
        <v>120</v>
      </c>
      <c r="C85" s="97" t="s">
        <v>176</v>
      </c>
      <c r="D85" s="97" t="s">
        <v>558</v>
      </c>
      <c r="E85" s="97" t="s">
        <v>559</v>
      </c>
      <c r="F85" s="97" t="s">
        <v>560</v>
      </c>
      <c r="G85" s="97"/>
      <c r="H85" s="101" t="s">
        <v>420</v>
      </c>
      <c r="I85" s="97"/>
      <c r="J85" s="97"/>
      <c r="K85" s="97"/>
    </row>
    <row r="86" spans="1:11" ht="24" customHeight="1" x14ac:dyDescent="0.25">
      <c r="A86" s="103">
        <v>5814</v>
      </c>
      <c r="B86" s="103">
        <v>95</v>
      </c>
      <c r="C86" s="104" t="s">
        <v>181</v>
      </c>
      <c r="D86" s="104" t="s">
        <v>558</v>
      </c>
      <c r="E86" s="104" t="s">
        <v>559</v>
      </c>
      <c r="F86" s="104" t="s">
        <v>560</v>
      </c>
      <c r="G86" s="104"/>
      <c r="H86" s="105" t="s">
        <v>420</v>
      </c>
      <c r="I86" s="104"/>
      <c r="J86" s="104"/>
      <c r="K86" s="104"/>
    </row>
    <row r="87" spans="1:11" ht="24" customHeight="1" x14ac:dyDescent="0.25">
      <c r="A87" s="96">
        <v>9002</v>
      </c>
      <c r="B87" s="96">
        <v>901</v>
      </c>
      <c r="C87" s="97" t="s">
        <v>229</v>
      </c>
      <c r="D87" s="97" t="s">
        <v>558</v>
      </c>
      <c r="E87" s="97" t="s">
        <v>559</v>
      </c>
      <c r="F87" s="97" t="s">
        <v>560</v>
      </c>
      <c r="G87" s="97"/>
      <c r="H87" s="101" t="s">
        <v>420</v>
      </c>
      <c r="I87" s="97"/>
      <c r="J87" s="97"/>
      <c r="K87" s="97"/>
    </row>
    <row r="88" spans="1:11" ht="24" customHeight="1" x14ac:dyDescent="0.25">
      <c r="A88" s="103">
        <v>4050</v>
      </c>
      <c r="B88" s="103">
        <v>142</v>
      </c>
      <c r="C88" s="104" t="s">
        <v>231</v>
      </c>
      <c r="D88" s="104" t="s">
        <v>558</v>
      </c>
      <c r="E88" s="104" t="s">
        <v>559</v>
      </c>
      <c r="F88" s="104" t="s">
        <v>560</v>
      </c>
      <c r="G88" s="104"/>
      <c r="H88" s="105" t="s">
        <v>420</v>
      </c>
      <c r="I88" s="104"/>
      <c r="J88" s="104"/>
      <c r="K88" s="104"/>
    </row>
    <row r="89" spans="1:11" ht="24" customHeight="1" x14ac:dyDescent="0.25">
      <c r="A89" s="96">
        <v>6312</v>
      </c>
      <c r="B89" s="96">
        <v>157</v>
      </c>
      <c r="C89" s="97" t="s">
        <v>232</v>
      </c>
      <c r="D89" s="97" t="s">
        <v>558</v>
      </c>
      <c r="E89" s="97" t="s">
        <v>559</v>
      </c>
      <c r="F89" s="97" t="s">
        <v>560</v>
      </c>
      <c r="G89" s="97"/>
      <c r="H89" s="101" t="s">
        <v>420</v>
      </c>
      <c r="I89" s="97"/>
      <c r="J89" s="97"/>
      <c r="K89" s="97"/>
    </row>
    <row r="90" spans="1:11" ht="24" customHeight="1" x14ac:dyDescent="0.25">
      <c r="A90" s="103">
        <v>6595</v>
      </c>
      <c r="B90" s="103">
        <v>192</v>
      </c>
      <c r="C90" s="104" t="s">
        <v>225</v>
      </c>
      <c r="D90" s="104" t="s">
        <v>558</v>
      </c>
      <c r="E90" s="104" t="s">
        <v>559</v>
      </c>
      <c r="F90" s="104" t="s">
        <v>560</v>
      </c>
      <c r="G90" s="104"/>
      <c r="H90" s="105" t="s">
        <v>420</v>
      </c>
      <c r="I90" s="104"/>
      <c r="J90" s="104"/>
      <c r="K90" s="104"/>
    </row>
    <row r="91" spans="1:11" ht="6" customHeight="1" x14ac:dyDescent="0.25">
      <c r="A91" s="107"/>
      <c r="B91" s="98"/>
      <c r="C91" s="98"/>
      <c r="D91" s="98"/>
      <c r="E91" s="98"/>
      <c r="F91" s="98"/>
      <c r="G91" s="98"/>
      <c r="H91" s="98"/>
      <c r="I91" s="98"/>
      <c r="J91" s="98"/>
      <c r="K91" s="98"/>
    </row>
    <row r="92" spans="1:11" ht="21.95" customHeight="1" x14ac:dyDescent="0.25">
      <c r="A92" s="256" t="s">
        <v>561</v>
      </c>
      <c r="B92" s="252"/>
      <c r="C92" s="252"/>
      <c r="D92" s="252"/>
      <c r="E92" s="252"/>
      <c r="F92" s="252"/>
      <c r="G92" s="252"/>
      <c r="H92" s="252"/>
      <c r="I92" s="252"/>
      <c r="J92" s="252"/>
      <c r="K92" s="252"/>
    </row>
    <row r="93" spans="1:11" x14ac:dyDescent="0.25">
      <c r="A93" s="96" t="s">
        <v>562</v>
      </c>
      <c r="B93" s="96"/>
      <c r="C93" s="97"/>
      <c r="D93" s="97"/>
      <c r="E93" s="97"/>
      <c r="F93" s="97"/>
      <c r="G93" s="97"/>
      <c r="H93" s="97"/>
      <c r="I93" s="97"/>
      <c r="J93" s="97"/>
      <c r="K93" s="97"/>
    </row>
    <row r="94" spans="1:11" ht="18" customHeight="1" x14ac:dyDescent="0.25">
      <c r="A94" s="99" t="s">
        <v>563</v>
      </c>
      <c r="B94" s="99"/>
      <c r="C94" s="100" t="s">
        <v>507</v>
      </c>
      <c r="D94" s="100"/>
      <c r="E94" s="100"/>
      <c r="F94" s="100"/>
      <c r="G94" s="100"/>
      <c r="H94" s="100"/>
      <c r="I94" s="100"/>
      <c r="J94" s="100"/>
      <c r="K94" s="100"/>
    </row>
    <row r="95" spans="1:11" ht="24" customHeight="1" x14ac:dyDescent="0.25">
      <c r="A95" s="96" t="s">
        <v>564</v>
      </c>
      <c r="B95" s="96"/>
      <c r="C95" s="97" t="s">
        <v>565</v>
      </c>
      <c r="D95" s="97"/>
      <c r="E95" s="97"/>
      <c r="F95" s="97"/>
      <c r="G95" s="97"/>
      <c r="H95" s="97"/>
      <c r="I95" s="97"/>
      <c r="J95" s="97"/>
      <c r="K95" s="97"/>
    </row>
    <row r="96" spans="1:11" ht="24" customHeight="1" x14ac:dyDescent="0.25">
      <c r="A96" s="103" t="s">
        <v>566</v>
      </c>
      <c r="B96" s="103"/>
      <c r="C96" s="104" t="s">
        <v>567</v>
      </c>
      <c r="D96" s="104"/>
      <c r="E96" s="104"/>
      <c r="F96" s="104"/>
      <c r="G96" s="104"/>
      <c r="H96" s="104"/>
      <c r="I96" s="104"/>
      <c r="J96" s="104"/>
      <c r="K96" s="104"/>
    </row>
    <row r="97" spans="1:11" x14ac:dyDescent="0.25">
      <c r="A97" s="96" t="s">
        <v>568</v>
      </c>
      <c r="B97" s="96"/>
      <c r="C97" s="97" t="s">
        <v>569</v>
      </c>
      <c r="D97" s="97"/>
      <c r="E97" s="97"/>
      <c r="F97" s="97"/>
      <c r="G97" s="97"/>
      <c r="H97" s="97"/>
      <c r="I97" s="97"/>
      <c r="J97" s="97"/>
      <c r="K97" s="97"/>
    </row>
    <row r="98" spans="1:11" ht="24" customHeight="1" x14ac:dyDescent="0.25">
      <c r="A98" s="103" t="s">
        <v>570</v>
      </c>
      <c r="B98" s="103"/>
      <c r="C98" s="104" t="s">
        <v>571</v>
      </c>
      <c r="D98" s="104"/>
      <c r="E98" s="104"/>
      <c r="F98" s="104"/>
      <c r="G98" s="104"/>
      <c r="H98" s="104"/>
      <c r="I98" s="104"/>
      <c r="J98" s="104"/>
      <c r="K98" s="104"/>
    </row>
    <row r="99" spans="1:11" ht="24" customHeight="1" x14ac:dyDescent="0.25">
      <c r="A99" s="96" t="s">
        <v>572</v>
      </c>
      <c r="B99" s="96"/>
      <c r="C99" s="97" t="s">
        <v>573</v>
      </c>
      <c r="D99" s="97"/>
      <c r="E99" s="97"/>
      <c r="F99" s="97"/>
      <c r="G99" s="97"/>
      <c r="H99" s="97"/>
      <c r="I99" s="97"/>
      <c r="J99" s="97"/>
      <c r="K99" s="97"/>
    </row>
    <row r="100" spans="1:11" ht="36" customHeight="1" x14ac:dyDescent="0.25">
      <c r="A100" s="103" t="s">
        <v>574</v>
      </c>
      <c r="B100" s="103"/>
      <c r="C100" s="104" t="s">
        <v>575</v>
      </c>
      <c r="D100" s="104"/>
      <c r="E100" s="104"/>
      <c r="F100" s="104"/>
      <c r="G100" s="104"/>
      <c r="H100" s="104"/>
      <c r="I100" s="104"/>
      <c r="J100" s="104"/>
      <c r="K100" s="104"/>
    </row>
    <row r="101" spans="1:11" ht="6" customHeight="1" x14ac:dyDescent="0.25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</row>
    <row r="102" spans="1:11" ht="18" customHeight="1" x14ac:dyDescent="0.25">
      <c r="A102" s="99" t="s">
        <v>576</v>
      </c>
      <c r="B102" s="99" t="s">
        <v>577</v>
      </c>
      <c r="C102" s="100" t="s">
        <v>578</v>
      </c>
      <c r="D102" s="100"/>
      <c r="E102" s="100"/>
      <c r="F102" s="100"/>
      <c r="G102" s="100"/>
      <c r="H102" s="100" t="s">
        <v>294</v>
      </c>
      <c r="I102" s="100"/>
      <c r="J102" s="100"/>
      <c r="K102" s="100"/>
    </row>
    <row r="103" spans="1:11" ht="36" customHeight="1" x14ac:dyDescent="0.25">
      <c r="A103" s="96" t="s">
        <v>516</v>
      </c>
      <c r="B103" s="96" t="s">
        <v>579</v>
      </c>
      <c r="C103" s="97" t="s">
        <v>580</v>
      </c>
      <c r="D103" s="97"/>
      <c r="E103" s="97"/>
      <c r="F103" s="97"/>
      <c r="G103" s="97"/>
      <c r="H103" s="101" t="s">
        <v>420</v>
      </c>
      <c r="I103" s="97"/>
      <c r="J103" s="97"/>
      <c r="K103" s="97"/>
    </row>
    <row r="104" spans="1:11" ht="24" customHeight="1" x14ac:dyDescent="0.25">
      <c r="A104" s="103" t="s">
        <v>581</v>
      </c>
      <c r="B104" s="103" t="s">
        <v>582</v>
      </c>
      <c r="C104" s="104" t="s">
        <v>583</v>
      </c>
      <c r="D104" s="104"/>
      <c r="E104" s="104"/>
      <c r="F104" s="104"/>
      <c r="G104" s="104"/>
      <c r="H104" s="110" t="s">
        <v>458</v>
      </c>
      <c r="I104" s="104"/>
      <c r="J104" s="104"/>
      <c r="K104" s="104"/>
    </row>
    <row r="105" spans="1:11" ht="24" customHeight="1" x14ac:dyDescent="0.25">
      <c r="A105" s="96" t="s">
        <v>584</v>
      </c>
      <c r="B105" s="96" t="s">
        <v>585</v>
      </c>
      <c r="C105" s="97" t="s">
        <v>586</v>
      </c>
      <c r="D105" s="97"/>
      <c r="E105" s="97"/>
      <c r="F105" s="97"/>
      <c r="G105" s="97"/>
      <c r="H105" s="111" t="s">
        <v>458</v>
      </c>
      <c r="I105" s="97"/>
      <c r="J105" s="97"/>
      <c r="K105" s="97"/>
    </row>
    <row r="106" spans="1:11" ht="24" customHeight="1" x14ac:dyDescent="0.25">
      <c r="A106" s="103" t="s">
        <v>587</v>
      </c>
      <c r="B106" s="103" t="s">
        <v>588</v>
      </c>
      <c r="C106" s="104" t="s">
        <v>589</v>
      </c>
      <c r="D106" s="104"/>
      <c r="E106" s="104"/>
      <c r="F106" s="104"/>
      <c r="G106" s="104"/>
      <c r="H106" s="104" t="s">
        <v>522</v>
      </c>
      <c r="I106" s="104"/>
      <c r="J106" s="104"/>
      <c r="K106" s="104"/>
    </row>
    <row r="107" spans="1:11" ht="6" customHeight="1" x14ac:dyDescent="0.25">
      <c r="A107" s="107"/>
      <c r="B107" s="98"/>
      <c r="C107" s="107"/>
      <c r="D107" s="98"/>
      <c r="E107" s="107"/>
      <c r="F107" s="98"/>
      <c r="G107" s="107"/>
      <c r="H107" s="98"/>
      <c r="I107" s="107"/>
      <c r="J107" s="107"/>
      <c r="K107" s="98"/>
    </row>
    <row r="108" spans="1:11" ht="18" customHeight="1" x14ac:dyDescent="0.25">
      <c r="A108" s="99" t="s">
        <v>590</v>
      </c>
      <c r="B108" s="99" t="s">
        <v>2</v>
      </c>
      <c r="C108" s="100" t="s">
        <v>591</v>
      </c>
      <c r="D108" s="100"/>
      <c r="E108" s="100" t="s">
        <v>592</v>
      </c>
      <c r="F108" s="100"/>
      <c r="G108" s="100" t="s">
        <v>593</v>
      </c>
      <c r="H108" s="100" t="s">
        <v>594</v>
      </c>
      <c r="I108" s="100" t="s">
        <v>595</v>
      </c>
      <c r="J108" s="100"/>
      <c r="K108" s="100"/>
    </row>
    <row r="109" spans="1:11" x14ac:dyDescent="0.25">
      <c r="A109" s="96">
        <v>1</v>
      </c>
      <c r="B109" s="96">
        <v>3734</v>
      </c>
      <c r="C109" s="97" t="s">
        <v>97</v>
      </c>
      <c r="D109" s="97"/>
      <c r="E109" s="97">
        <v>55</v>
      </c>
      <c r="F109" s="97"/>
      <c r="G109" s="97">
        <v>4.58</v>
      </c>
      <c r="H109" s="97">
        <v>6.38</v>
      </c>
      <c r="I109" s="97" t="s">
        <v>596</v>
      </c>
      <c r="J109" s="97"/>
      <c r="K109" s="97"/>
    </row>
    <row r="110" spans="1:11" x14ac:dyDescent="0.25">
      <c r="A110" s="103">
        <v>2</v>
      </c>
      <c r="B110" s="103">
        <v>6038</v>
      </c>
      <c r="C110" s="104" t="s">
        <v>109</v>
      </c>
      <c r="D110" s="104"/>
      <c r="E110" s="104">
        <v>25</v>
      </c>
      <c r="F110" s="104"/>
      <c r="G110" s="104">
        <v>2.08</v>
      </c>
      <c r="H110" s="104">
        <v>2.9</v>
      </c>
      <c r="I110" s="104" t="s">
        <v>597</v>
      </c>
      <c r="J110" s="104"/>
      <c r="K110" s="104"/>
    </row>
    <row r="111" spans="1:11" x14ac:dyDescent="0.25">
      <c r="A111" s="96">
        <v>3</v>
      </c>
      <c r="B111" s="96">
        <v>3858</v>
      </c>
      <c r="C111" s="97" t="s">
        <v>103</v>
      </c>
      <c r="D111" s="97"/>
      <c r="E111" s="114">
        <v>24.1</v>
      </c>
      <c r="F111" s="97"/>
      <c r="G111" s="114">
        <v>2.0099999999999998</v>
      </c>
      <c r="H111" s="97">
        <v>2.8</v>
      </c>
      <c r="I111" s="97" t="s">
        <v>598</v>
      </c>
      <c r="J111" s="97"/>
      <c r="K111" s="97"/>
    </row>
    <row r="112" spans="1:11" x14ac:dyDescent="0.25">
      <c r="A112" s="103">
        <v>4</v>
      </c>
      <c r="B112" s="103">
        <v>3754</v>
      </c>
      <c r="C112" s="104" t="s">
        <v>99</v>
      </c>
      <c r="D112" s="104"/>
      <c r="E112" s="115">
        <v>23</v>
      </c>
      <c r="F112" s="104"/>
      <c r="G112" s="115">
        <v>1.92</v>
      </c>
      <c r="H112" s="104">
        <v>2.67</v>
      </c>
      <c r="I112" s="104" t="s">
        <v>599</v>
      </c>
      <c r="J112" s="104"/>
      <c r="K112" s="104"/>
    </row>
    <row r="113" spans="1:11" x14ac:dyDescent="0.25">
      <c r="A113" s="96">
        <v>5</v>
      </c>
      <c r="B113" s="96">
        <v>3755</v>
      </c>
      <c r="C113" s="97" t="s">
        <v>100</v>
      </c>
      <c r="D113" s="97"/>
      <c r="E113" s="114">
        <v>21</v>
      </c>
      <c r="F113" s="97"/>
      <c r="G113" s="114">
        <v>1.75</v>
      </c>
      <c r="H113" s="97">
        <v>2.44</v>
      </c>
      <c r="I113" s="97" t="s">
        <v>600</v>
      </c>
      <c r="J113" s="97"/>
      <c r="K113" s="97"/>
    </row>
    <row r="114" spans="1:11" x14ac:dyDescent="0.25">
      <c r="A114" s="103">
        <v>6</v>
      </c>
      <c r="B114" s="103">
        <v>1928</v>
      </c>
      <c r="C114" s="104" t="s">
        <v>303</v>
      </c>
      <c r="D114" s="104"/>
      <c r="E114" s="115">
        <v>20</v>
      </c>
      <c r="F114" s="104"/>
      <c r="G114" s="115">
        <v>1.67</v>
      </c>
      <c r="H114" s="104">
        <v>2.3199999999999998</v>
      </c>
      <c r="I114" s="104" t="s">
        <v>601</v>
      </c>
      <c r="J114" s="104"/>
      <c r="K114" s="104"/>
    </row>
    <row r="115" spans="1:11" x14ac:dyDescent="0.25">
      <c r="A115" s="96">
        <v>7</v>
      </c>
      <c r="B115" s="96">
        <v>7094</v>
      </c>
      <c r="C115" s="97" t="s">
        <v>602</v>
      </c>
      <c r="D115" s="97"/>
      <c r="E115" s="114">
        <v>20</v>
      </c>
      <c r="F115" s="97"/>
      <c r="G115" s="114">
        <v>1.67</v>
      </c>
      <c r="H115" s="97">
        <v>2.3199999999999998</v>
      </c>
      <c r="I115" s="97" t="s">
        <v>601</v>
      </c>
      <c r="J115" s="97"/>
      <c r="K115" s="97"/>
    </row>
    <row r="116" spans="1:11" x14ac:dyDescent="0.25">
      <c r="A116" s="103">
        <v>8</v>
      </c>
      <c r="B116" s="103">
        <v>3736</v>
      </c>
      <c r="C116" s="104" t="s">
        <v>98</v>
      </c>
      <c r="D116" s="104"/>
      <c r="E116" s="115">
        <v>13.8</v>
      </c>
      <c r="F116" s="104"/>
      <c r="G116" s="115">
        <v>1.1499999999999999</v>
      </c>
      <c r="H116" s="104">
        <v>1.6</v>
      </c>
      <c r="I116" s="104" t="s">
        <v>603</v>
      </c>
      <c r="J116" s="104"/>
      <c r="K116" s="104"/>
    </row>
    <row r="117" spans="1:11" x14ac:dyDescent="0.25">
      <c r="A117" s="96">
        <v>9</v>
      </c>
      <c r="B117" s="96">
        <v>3955</v>
      </c>
      <c r="C117" s="97" t="s">
        <v>104</v>
      </c>
      <c r="D117" s="97"/>
      <c r="E117" s="114">
        <v>11</v>
      </c>
      <c r="F117" s="97"/>
      <c r="G117" s="114">
        <v>0.92</v>
      </c>
      <c r="H117" s="97">
        <v>1.28</v>
      </c>
      <c r="I117" s="97" t="s">
        <v>604</v>
      </c>
      <c r="J117" s="97"/>
      <c r="K117" s="97"/>
    </row>
    <row r="118" spans="1:11" x14ac:dyDescent="0.25">
      <c r="A118" s="103">
        <v>10</v>
      </c>
      <c r="B118" s="103">
        <v>7398</v>
      </c>
      <c r="C118" s="104" t="s">
        <v>115</v>
      </c>
      <c r="D118" s="104"/>
      <c r="E118" s="115">
        <v>9</v>
      </c>
      <c r="F118" s="104"/>
      <c r="G118" s="115">
        <v>0.75</v>
      </c>
      <c r="H118" s="104">
        <v>1.04</v>
      </c>
      <c r="I118" s="104" t="s">
        <v>605</v>
      </c>
      <c r="J118" s="104"/>
      <c r="K118" s="104"/>
    </row>
    <row r="119" spans="1:11" x14ac:dyDescent="0.25">
      <c r="A119" s="96" t="s">
        <v>606</v>
      </c>
      <c r="B119" s="96"/>
      <c r="C119" s="97"/>
      <c r="D119" s="97"/>
      <c r="E119" s="114"/>
      <c r="F119" s="97"/>
      <c r="G119" s="114"/>
      <c r="H119" s="97"/>
      <c r="I119" s="97"/>
      <c r="J119" s="97"/>
      <c r="K119" s="97"/>
    </row>
    <row r="120" spans="1:11" ht="6" customHeight="1" x14ac:dyDescent="0.25">
      <c r="A120" s="107"/>
      <c r="B120" s="107"/>
      <c r="C120" s="107"/>
      <c r="D120" s="98"/>
      <c r="E120" s="116"/>
      <c r="F120" s="98"/>
      <c r="G120" s="116"/>
      <c r="H120" s="98"/>
      <c r="I120" s="107"/>
      <c r="J120" s="107"/>
      <c r="K120" s="98"/>
    </row>
    <row r="121" spans="1:11" ht="6" customHeight="1" x14ac:dyDescent="0.25">
      <c r="A121" s="107"/>
      <c r="B121" s="107"/>
      <c r="C121" s="107"/>
      <c r="D121" s="98"/>
      <c r="E121" s="116"/>
      <c r="F121" s="98"/>
      <c r="G121" s="116"/>
      <c r="H121" s="98"/>
      <c r="I121" s="107"/>
      <c r="J121" s="107"/>
      <c r="K121" s="98"/>
    </row>
    <row r="122" spans="1:11" ht="6" customHeight="1" x14ac:dyDescent="0.25">
      <c r="A122" s="107"/>
      <c r="B122" s="107"/>
      <c r="C122" s="107"/>
      <c r="D122" s="98"/>
      <c r="E122" s="116"/>
      <c r="F122" s="98"/>
      <c r="G122" s="116"/>
      <c r="H122" s="98"/>
      <c r="I122" s="107"/>
      <c r="J122" s="107"/>
      <c r="K122" s="98"/>
    </row>
    <row r="123" spans="1:11" ht="6" customHeight="1" x14ac:dyDescent="0.25">
      <c r="A123" s="107"/>
      <c r="B123" s="107"/>
      <c r="C123" s="107"/>
      <c r="D123" s="98"/>
      <c r="E123" s="116"/>
      <c r="F123" s="98"/>
      <c r="G123" s="116"/>
      <c r="H123" s="98"/>
      <c r="I123" s="107"/>
      <c r="J123" s="107"/>
      <c r="K123" s="98"/>
    </row>
    <row r="124" spans="1:11" ht="6" customHeight="1" x14ac:dyDescent="0.25">
      <c r="A124" s="107"/>
      <c r="B124" s="107"/>
      <c r="C124" s="107"/>
      <c r="D124" s="98"/>
      <c r="E124" s="116"/>
      <c r="F124" s="98"/>
      <c r="G124" s="116"/>
      <c r="H124" s="98"/>
      <c r="I124" s="107"/>
      <c r="J124" s="107"/>
      <c r="K124" s="98"/>
    </row>
    <row r="125" spans="1:11" ht="6" customHeight="1" x14ac:dyDescent="0.25">
      <c r="A125" s="117"/>
      <c r="B125" s="98"/>
      <c r="C125" s="98"/>
      <c r="D125" s="98"/>
      <c r="E125" s="98"/>
      <c r="F125" s="98"/>
      <c r="G125" s="98"/>
      <c r="H125" s="98"/>
      <c r="I125" s="98"/>
      <c r="J125" s="98"/>
      <c r="K125" s="98"/>
    </row>
    <row r="126" spans="1:11" ht="6" customHeight="1" x14ac:dyDescent="0.25">
      <c r="A126" s="117"/>
      <c r="B126" s="98"/>
      <c r="C126" s="107"/>
      <c r="D126" s="98"/>
      <c r="E126" s="98"/>
      <c r="F126" s="98"/>
      <c r="G126" s="98"/>
      <c r="H126" s="98"/>
      <c r="I126" s="98"/>
      <c r="J126" s="98"/>
      <c r="K126" s="98"/>
    </row>
    <row r="127" spans="1:11" ht="6" customHeight="1" x14ac:dyDescent="0.25">
      <c r="A127" s="117"/>
      <c r="B127" s="98"/>
      <c r="C127" s="107"/>
      <c r="D127" s="98"/>
      <c r="E127" s="98"/>
      <c r="F127" s="98"/>
      <c r="G127" s="98"/>
      <c r="H127" s="98"/>
      <c r="I127" s="98"/>
      <c r="J127" s="98"/>
      <c r="K127" s="98"/>
    </row>
    <row r="128" spans="1:11" ht="6" customHeight="1" x14ac:dyDescent="0.25">
      <c r="A128" s="117"/>
      <c r="B128" s="98"/>
      <c r="C128" s="107"/>
      <c r="D128" s="98"/>
      <c r="E128" s="98"/>
      <c r="F128" s="98"/>
      <c r="G128" s="98"/>
      <c r="H128" s="98"/>
      <c r="I128" s="98"/>
      <c r="J128" s="98"/>
      <c r="K128" s="98"/>
    </row>
    <row r="129" spans="1:11" ht="6" customHeight="1" x14ac:dyDescent="0.25">
      <c r="A129" s="117"/>
      <c r="B129" s="98"/>
      <c r="C129" s="107"/>
      <c r="D129" s="98"/>
      <c r="E129" s="98"/>
      <c r="F129" s="98"/>
      <c r="G129" s="98"/>
      <c r="H129" s="98"/>
      <c r="I129" s="98"/>
      <c r="J129" s="98"/>
      <c r="K129" s="98"/>
    </row>
    <row r="130" spans="1:11" ht="6" customHeight="1" x14ac:dyDescent="0.25">
      <c r="A130" s="117"/>
      <c r="B130" s="98"/>
      <c r="C130" s="107"/>
      <c r="D130" s="98"/>
      <c r="E130" s="98"/>
      <c r="F130" s="98"/>
      <c r="G130" s="98"/>
      <c r="H130" s="98"/>
      <c r="I130" s="98"/>
      <c r="J130" s="98"/>
      <c r="K130" s="98"/>
    </row>
    <row r="131" spans="1:11" ht="6" customHeight="1" x14ac:dyDescent="0.25">
      <c r="A131" s="117"/>
      <c r="B131" s="98"/>
      <c r="C131" s="98"/>
      <c r="D131" s="98"/>
      <c r="E131" s="98"/>
      <c r="F131" s="98"/>
      <c r="G131" s="98"/>
      <c r="H131" s="98"/>
      <c r="I131" s="98"/>
      <c r="J131" s="98"/>
      <c r="K131" s="98"/>
    </row>
    <row r="132" spans="1:11" ht="6" customHeight="1" x14ac:dyDescent="0.25">
      <c r="A132" s="118"/>
      <c r="B132" s="118"/>
      <c r="C132" s="118"/>
      <c r="D132" s="98"/>
      <c r="E132" s="98"/>
      <c r="F132" s="98"/>
      <c r="G132" s="98"/>
      <c r="H132" s="98"/>
      <c r="I132" s="118"/>
      <c r="J132" s="98"/>
      <c r="K132" s="98"/>
    </row>
    <row r="133" spans="1:11" ht="6" customHeight="1" x14ac:dyDescent="0.25">
      <c r="A133" s="117"/>
      <c r="B133" s="118"/>
      <c r="C133" s="107"/>
      <c r="D133" s="98"/>
      <c r="E133" s="98"/>
      <c r="F133" s="98"/>
      <c r="G133" s="98"/>
      <c r="H133" s="98"/>
      <c r="I133" s="118"/>
      <c r="J133" s="98"/>
      <c r="K133" s="98"/>
    </row>
    <row r="134" spans="1:11" ht="6" customHeight="1" x14ac:dyDescent="0.25">
      <c r="A134" s="117"/>
      <c r="B134" s="118"/>
      <c r="C134" s="107"/>
      <c r="D134" s="98"/>
      <c r="E134" s="98"/>
      <c r="F134" s="98"/>
      <c r="G134" s="98"/>
      <c r="H134" s="98"/>
      <c r="I134" s="118"/>
      <c r="J134" s="98"/>
      <c r="K134" s="98"/>
    </row>
    <row r="135" spans="1:11" ht="6" customHeight="1" x14ac:dyDescent="0.25">
      <c r="A135" s="117"/>
      <c r="B135" s="118"/>
      <c r="C135" s="107"/>
      <c r="D135" s="98"/>
      <c r="E135" s="98"/>
      <c r="F135" s="98"/>
      <c r="G135" s="98"/>
      <c r="H135" s="98"/>
      <c r="I135" s="118"/>
      <c r="J135" s="98"/>
      <c r="K135" s="98"/>
    </row>
    <row r="136" spans="1:11" ht="6" customHeight="1" x14ac:dyDescent="0.25">
      <c r="A136" s="117"/>
      <c r="B136" s="118"/>
      <c r="C136" s="107"/>
      <c r="D136" s="98"/>
      <c r="E136" s="98"/>
      <c r="F136" s="98"/>
      <c r="G136" s="98"/>
      <c r="H136" s="98"/>
      <c r="I136" s="118"/>
      <c r="J136" s="98"/>
      <c r="K136" s="98"/>
    </row>
    <row r="137" spans="1:11" ht="6" customHeight="1" x14ac:dyDescent="0.25">
      <c r="A137" s="117"/>
      <c r="B137" s="118"/>
      <c r="C137" s="107"/>
      <c r="D137" s="98"/>
      <c r="E137" s="98"/>
      <c r="F137" s="98"/>
      <c r="G137" s="98"/>
      <c r="H137" s="98"/>
      <c r="I137" s="118"/>
      <c r="J137" s="98"/>
      <c r="K137" s="98"/>
    </row>
    <row r="138" spans="1:11" ht="6" customHeight="1" x14ac:dyDescent="0.25">
      <c r="A138" s="117"/>
      <c r="B138" s="98"/>
      <c r="C138" s="98"/>
      <c r="D138" s="98"/>
      <c r="E138" s="98"/>
      <c r="F138" s="98"/>
      <c r="G138" s="98"/>
      <c r="H138" s="98"/>
      <c r="I138" s="98"/>
      <c r="J138" s="98"/>
      <c r="K138" s="98"/>
    </row>
    <row r="139" spans="1:11" ht="6" customHeight="1" x14ac:dyDescent="0.25">
      <c r="A139" s="118"/>
      <c r="B139" s="118"/>
      <c r="C139" s="118"/>
      <c r="D139" s="98"/>
      <c r="E139" s="118"/>
      <c r="F139" s="98"/>
      <c r="G139" s="118"/>
      <c r="H139" s="98"/>
      <c r="I139" s="118"/>
      <c r="J139" s="98"/>
      <c r="K139" s="118"/>
    </row>
    <row r="140" spans="1:11" ht="6" customHeight="1" x14ac:dyDescent="0.25">
      <c r="A140" s="118"/>
      <c r="B140" s="118"/>
      <c r="C140" s="118"/>
      <c r="D140" s="98"/>
      <c r="E140" s="119"/>
      <c r="F140" s="98"/>
      <c r="G140" s="120"/>
      <c r="H140" s="98"/>
      <c r="I140" s="120"/>
      <c r="J140" s="98"/>
      <c r="K140" s="118"/>
    </row>
    <row r="141" spans="1:11" ht="6" customHeight="1" x14ac:dyDescent="0.25">
      <c r="A141" s="118"/>
      <c r="B141" s="118"/>
      <c r="C141" s="118"/>
      <c r="D141" s="98"/>
      <c r="E141" s="119"/>
      <c r="F141" s="98"/>
      <c r="G141" s="120"/>
      <c r="H141" s="98"/>
      <c r="I141" s="120"/>
      <c r="J141" s="98"/>
      <c r="K141" s="118"/>
    </row>
    <row r="142" spans="1:11" ht="6" customHeight="1" x14ac:dyDescent="0.25">
      <c r="A142" s="118"/>
      <c r="B142" s="118"/>
      <c r="C142" s="118"/>
      <c r="D142" s="98"/>
      <c r="E142" s="119"/>
      <c r="F142" s="98"/>
      <c r="G142" s="120"/>
      <c r="H142" s="98"/>
      <c r="I142" s="120"/>
      <c r="J142" s="98"/>
      <c r="K142" s="118"/>
    </row>
    <row r="143" spans="1:11" ht="6" customHeight="1" x14ac:dyDescent="0.25">
      <c r="A143" s="118"/>
      <c r="B143" s="118"/>
      <c r="C143" s="118"/>
      <c r="D143" s="98"/>
      <c r="E143" s="119"/>
      <c r="F143" s="98"/>
      <c r="G143" s="120"/>
      <c r="H143" s="98"/>
      <c r="I143" s="120"/>
      <c r="J143" s="98"/>
      <c r="K143" s="118"/>
    </row>
    <row r="144" spans="1:11" ht="6" customHeight="1" x14ac:dyDescent="0.25">
      <c r="A144" s="118"/>
      <c r="B144" s="118"/>
      <c r="C144" s="118"/>
      <c r="D144" s="98"/>
      <c r="E144" s="119"/>
      <c r="F144" s="98"/>
      <c r="G144" s="120"/>
      <c r="H144" s="98"/>
      <c r="I144" s="120"/>
      <c r="J144" s="98"/>
      <c r="K144" s="118"/>
    </row>
    <row r="145" spans="1:11" ht="6" customHeight="1" x14ac:dyDescent="0.25">
      <c r="A145" s="118"/>
      <c r="B145" s="118"/>
      <c r="C145" s="118"/>
      <c r="D145" s="98"/>
      <c r="E145" s="119"/>
      <c r="F145" s="98"/>
      <c r="G145" s="120"/>
      <c r="H145" s="98"/>
      <c r="I145" s="120"/>
      <c r="J145" s="98"/>
      <c r="K145" s="118"/>
    </row>
    <row r="146" spans="1:11" ht="6" customHeight="1" x14ac:dyDescent="0.25">
      <c r="A146" s="118"/>
      <c r="B146" s="118"/>
      <c r="C146" s="118"/>
      <c r="D146" s="98"/>
      <c r="E146" s="119"/>
      <c r="F146" s="98"/>
      <c r="G146" s="120"/>
      <c r="H146" s="98"/>
      <c r="I146" s="120"/>
      <c r="J146" s="98"/>
      <c r="K146" s="118"/>
    </row>
    <row r="147" spans="1:11" ht="6" customHeight="1" x14ac:dyDescent="0.25">
      <c r="A147" s="118"/>
      <c r="B147" s="118"/>
      <c r="C147" s="118"/>
      <c r="D147" s="98"/>
      <c r="E147" s="119"/>
      <c r="F147" s="98"/>
      <c r="G147" s="120"/>
      <c r="H147" s="98"/>
      <c r="I147" s="120"/>
      <c r="J147" s="98"/>
      <c r="K147" s="118"/>
    </row>
    <row r="148" spans="1:11" ht="6" customHeight="1" x14ac:dyDescent="0.25">
      <c r="A148" s="118"/>
      <c r="B148" s="118"/>
      <c r="C148" s="118"/>
      <c r="D148" s="98"/>
      <c r="E148" s="119"/>
      <c r="F148" s="98"/>
      <c r="G148" s="120"/>
      <c r="H148" s="98"/>
      <c r="I148" s="120"/>
      <c r="J148" s="98"/>
      <c r="K148" s="118"/>
    </row>
    <row r="149" spans="1:11" ht="6" customHeight="1" x14ac:dyDescent="0.25">
      <c r="A149" s="118"/>
      <c r="B149" s="118"/>
      <c r="C149" s="118"/>
      <c r="D149" s="98"/>
      <c r="E149" s="119"/>
      <c r="F149" s="98"/>
      <c r="G149" s="120"/>
      <c r="H149" s="98"/>
      <c r="I149" s="120"/>
      <c r="J149" s="98"/>
      <c r="K149" s="118"/>
    </row>
    <row r="150" spans="1:11" ht="6" customHeight="1" x14ac:dyDescent="0.25">
      <c r="A150" s="107"/>
      <c r="B150" s="98"/>
      <c r="C150" s="98"/>
      <c r="D150" s="98"/>
      <c r="E150" s="98"/>
      <c r="F150" s="98"/>
      <c r="G150" s="98"/>
      <c r="H150" s="98"/>
      <c r="I150" s="98"/>
      <c r="J150" s="98"/>
      <c r="K150" s="98"/>
    </row>
    <row r="151" spans="1:11" ht="6" customHeight="1" x14ac:dyDescent="0.25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</row>
    <row r="152" spans="1:11" ht="6" customHeight="1" x14ac:dyDescent="0.25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</row>
    <row r="153" spans="1:11" ht="6" customHeight="1" x14ac:dyDescent="0.25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</row>
    <row r="154" spans="1:11" ht="6" customHeight="1" x14ac:dyDescent="0.25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</row>
    <row r="155" spans="1:11" ht="6" customHeight="1" x14ac:dyDescent="0.25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</row>
    <row r="156" spans="1:11" ht="6" customHeight="1" x14ac:dyDescent="0.25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</row>
    <row r="157" spans="1:11" ht="6" customHeight="1" x14ac:dyDescent="0.25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</row>
    <row r="158" spans="1:11" ht="6" customHeight="1" x14ac:dyDescent="0.25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</row>
    <row r="159" spans="1:11" ht="6" customHeight="1" x14ac:dyDescent="0.25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</row>
    <row r="160" spans="1:11" ht="3.75" customHeight="1" x14ac:dyDescent="0.25"/>
    <row r="161" ht="15.75" customHeight="1" x14ac:dyDescent="0.25"/>
    <row r="162" ht="30" customHeight="1" x14ac:dyDescent="0.25"/>
    <row r="163" ht="30" customHeight="1" x14ac:dyDescent="0.25"/>
    <row r="164" ht="30" customHeight="1" x14ac:dyDescent="0.25"/>
  </sheetData>
  <autoFilter ref="A52:J64" xr:uid="{00000000-0009-0000-0000-000006000000}">
    <sortState xmlns:xlrd2="http://schemas.microsoft.com/office/spreadsheetml/2017/richdata2" ref="A53:J64">
      <sortCondition ref="A53:A64"/>
    </sortState>
  </autoFilter>
  <mergeCells count="9">
    <mergeCell ref="A92:K92"/>
    <mergeCell ref="A65:K65"/>
    <mergeCell ref="A81:K81"/>
    <mergeCell ref="A75:K75"/>
    <mergeCell ref="A1:K1"/>
    <mergeCell ref="A23:K23"/>
    <mergeCell ref="A34:K34"/>
    <mergeCell ref="A12:K12"/>
    <mergeCell ref="A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9"/>
  <sheetViews>
    <sheetView showGridLines="0" topLeftCell="C1" zoomScaleNormal="100" workbookViewId="0">
      <pane ySplit="3" topLeftCell="A4" activePane="bottomLeft" state="frozen"/>
      <selection pane="bottomLeft" activeCell="F13" sqref="F13"/>
    </sheetView>
  </sheetViews>
  <sheetFormatPr defaultColWidth="8.7109375" defaultRowHeight="15" x14ac:dyDescent="0.25"/>
  <cols>
    <col min="1" max="1" width="5" customWidth="1"/>
    <col min="2" max="2" width="8" customWidth="1"/>
    <col min="3" max="3" width="38.140625" customWidth="1"/>
    <col min="4" max="4" width="38" customWidth="1"/>
    <col min="5" max="5" width="10" customWidth="1"/>
    <col min="6" max="7" width="14" customWidth="1"/>
    <col min="8" max="8" width="36" customWidth="1"/>
    <col min="9" max="9" width="36" style="1" customWidth="1"/>
  </cols>
  <sheetData>
    <row r="1" spans="1:9" ht="30" customHeight="1" x14ac:dyDescent="0.25">
      <c r="A1" s="258" t="s">
        <v>607</v>
      </c>
      <c r="B1" s="252"/>
      <c r="C1" s="252"/>
      <c r="D1" s="252"/>
      <c r="E1" s="252"/>
      <c r="F1" s="252"/>
      <c r="G1" s="252"/>
      <c r="H1" s="252"/>
    </row>
    <row r="2" spans="1:9" ht="15.75" customHeight="1" x14ac:dyDescent="0.25">
      <c r="A2" s="257" t="s">
        <v>608</v>
      </c>
      <c r="B2" s="252"/>
      <c r="C2" s="252"/>
      <c r="D2" s="252"/>
      <c r="E2" s="252"/>
      <c r="F2" s="252"/>
      <c r="G2" s="252"/>
      <c r="H2" s="252"/>
    </row>
    <row r="3" spans="1:9" ht="19.5" customHeight="1" x14ac:dyDescent="0.25">
      <c r="A3" s="89" t="s">
        <v>609</v>
      </c>
      <c r="B3" s="89" t="s">
        <v>413</v>
      </c>
      <c r="C3" s="89" t="s">
        <v>154</v>
      </c>
      <c r="D3" s="89" t="s">
        <v>610</v>
      </c>
      <c r="E3" s="89" t="s">
        <v>611</v>
      </c>
      <c r="F3" s="89" t="s">
        <v>612</v>
      </c>
      <c r="G3" s="89" t="s">
        <v>265</v>
      </c>
      <c r="H3" s="89" t="s">
        <v>613</v>
      </c>
      <c r="I3" s="89" t="s">
        <v>614</v>
      </c>
    </row>
    <row r="4" spans="1:9" ht="15" customHeight="1" x14ac:dyDescent="0.25">
      <c r="A4" s="208">
        <v>1</v>
      </c>
      <c r="B4" s="208">
        <v>8010</v>
      </c>
      <c r="C4" s="209" t="s">
        <v>180</v>
      </c>
      <c r="D4" s="209" t="s">
        <v>245</v>
      </c>
      <c r="E4" s="208" t="s">
        <v>615</v>
      </c>
      <c r="F4" s="210">
        <v>12420</v>
      </c>
      <c r="G4" s="208" t="s">
        <v>616</v>
      </c>
      <c r="H4" s="211" t="s">
        <v>617</v>
      </c>
      <c r="I4" s="91">
        <f>IFERROR(SUMPRODUCT((TableBOM[Product ID]=B4)*(TableBOM[Material Category]="CAP")*TableBOM[Item ID]),0)</f>
        <v>0</v>
      </c>
    </row>
    <row r="5" spans="1:9" ht="15" customHeight="1" x14ac:dyDescent="0.25">
      <c r="A5" s="208">
        <v>2</v>
      </c>
      <c r="B5" s="208"/>
      <c r="C5" s="209" t="s">
        <v>169</v>
      </c>
      <c r="D5" s="209" t="s">
        <v>331</v>
      </c>
      <c r="E5" s="208" t="s">
        <v>618</v>
      </c>
      <c r="F5" s="210">
        <v>5400</v>
      </c>
      <c r="G5" s="208" t="s">
        <v>616</v>
      </c>
      <c r="H5" s="211" t="s">
        <v>617</v>
      </c>
      <c r="I5" s="91">
        <f>IFERROR(SUMPRODUCT((TableBOM[Product ID]=B5)*(TableBOM[Material Category]="CAP")*TableBOM[Item ID]),0)</f>
        <v>0</v>
      </c>
    </row>
    <row r="6" spans="1:9" ht="15" customHeight="1" x14ac:dyDescent="0.25">
      <c r="A6" s="208">
        <v>3</v>
      </c>
      <c r="B6" s="208">
        <v>5699</v>
      </c>
      <c r="C6" s="209" t="s">
        <v>169</v>
      </c>
      <c r="D6" s="209" t="s">
        <v>207</v>
      </c>
      <c r="E6" s="208" t="s">
        <v>619</v>
      </c>
      <c r="F6" s="210">
        <v>14790</v>
      </c>
      <c r="G6" s="208" t="s">
        <v>616</v>
      </c>
      <c r="H6" s="211" t="s">
        <v>620</v>
      </c>
      <c r="I6" s="91">
        <f>IFERROR(SUMPRODUCT((TableBOM[Product ID]=B6)*(TableBOM[Material Category]="CAP")*TableBOM[Item ID]),0)</f>
        <v>6971</v>
      </c>
    </row>
    <row r="7" spans="1:9" ht="15" customHeight="1" x14ac:dyDescent="0.25">
      <c r="A7" s="208">
        <v>4</v>
      </c>
      <c r="B7" s="208">
        <v>5731</v>
      </c>
      <c r="C7" s="209" t="s">
        <v>169</v>
      </c>
      <c r="D7" s="209" t="s">
        <v>210</v>
      </c>
      <c r="E7" s="208" t="s">
        <v>619</v>
      </c>
      <c r="F7" s="210">
        <v>13770</v>
      </c>
      <c r="G7" s="208" t="s">
        <v>616</v>
      </c>
      <c r="H7" s="211" t="s">
        <v>620</v>
      </c>
      <c r="I7" s="91">
        <f>IFERROR(SUMPRODUCT((TableBOM[Product ID]=B7)*(TableBOM[Material Category]="CAP")*TableBOM[Item ID]),0)</f>
        <v>6971</v>
      </c>
    </row>
    <row r="8" spans="1:9" ht="15" customHeight="1" x14ac:dyDescent="0.25">
      <c r="A8" s="208">
        <v>5</v>
      </c>
      <c r="B8" s="208">
        <v>3447</v>
      </c>
      <c r="C8" s="209" t="s">
        <v>169</v>
      </c>
      <c r="D8" s="209" t="s">
        <v>170</v>
      </c>
      <c r="E8" s="208" t="s">
        <v>621</v>
      </c>
      <c r="F8" s="210">
        <v>45952</v>
      </c>
      <c r="G8" s="208" t="s">
        <v>616</v>
      </c>
      <c r="H8" s="211" t="s">
        <v>617</v>
      </c>
      <c r="I8" s="91">
        <f>IFERROR(SUMPRODUCT((TableBOM[Product ID]=B8)*(TableBOM[Material Category]="CAP")*TableBOM[Item ID]),0)</f>
        <v>68</v>
      </c>
    </row>
    <row r="9" spans="1:9" ht="15" customHeight="1" x14ac:dyDescent="0.25">
      <c r="A9" s="208">
        <v>6</v>
      </c>
      <c r="B9" s="208">
        <v>6206</v>
      </c>
      <c r="C9" s="209" t="s">
        <v>175</v>
      </c>
      <c r="D9" s="209" t="s">
        <v>176</v>
      </c>
      <c r="E9" s="208" t="s">
        <v>622</v>
      </c>
      <c r="F9" s="210">
        <v>20000</v>
      </c>
      <c r="G9" s="208" t="s">
        <v>616</v>
      </c>
      <c r="H9" s="211" t="s">
        <v>617</v>
      </c>
      <c r="I9" s="91">
        <f>IFERROR(SUMPRODUCT((TableBOM[Product ID]=B9)*(TableBOM[Material Category]="CAP")*TableBOM[Item ID]),0)</f>
        <v>68</v>
      </c>
    </row>
    <row r="10" spans="1:9" ht="15" customHeight="1" x14ac:dyDescent="0.25">
      <c r="A10" s="208">
        <v>7</v>
      </c>
      <c r="B10" s="208">
        <v>6515</v>
      </c>
      <c r="C10" s="209" t="s">
        <v>169</v>
      </c>
      <c r="D10" s="209" t="s">
        <v>237</v>
      </c>
      <c r="E10" s="208" t="s">
        <v>623</v>
      </c>
      <c r="F10" s="210">
        <v>36192</v>
      </c>
      <c r="G10" s="208" t="s">
        <v>616</v>
      </c>
      <c r="H10" s="211" t="s">
        <v>617</v>
      </c>
      <c r="I10" s="91">
        <f>IFERROR(SUMPRODUCT((TableBOM[Product ID]=B10)*(TableBOM[Material Category]="CAP")*TableBOM[Item ID]),0)</f>
        <v>1073</v>
      </c>
    </row>
    <row r="11" spans="1:9" ht="15" customHeight="1" x14ac:dyDescent="0.25">
      <c r="A11" s="208">
        <v>8</v>
      </c>
      <c r="B11" s="208">
        <v>4050</v>
      </c>
      <c r="C11" s="209" t="s">
        <v>230</v>
      </c>
      <c r="D11" s="209" t="s">
        <v>231</v>
      </c>
      <c r="E11" s="208" t="s">
        <v>622</v>
      </c>
      <c r="F11" s="210">
        <v>9450</v>
      </c>
      <c r="G11" s="208" t="s">
        <v>616</v>
      </c>
      <c r="H11" s="211" t="s">
        <v>617</v>
      </c>
      <c r="I11" s="91">
        <f>IFERROR(SUMPRODUCT((TableBOM[Product ID]=B11)*(TableBOM[Material Category]="CAP")*TableBOM[Item ID]),0)</f>
        <v>578</v>
      </c>
    </row>
    <row r="12" spans="1:9" ht="15" customHeight="1" x14ac:dyDescent="0.25">
      <c r="A12" s="208">
        <v>9</v>
      </c>
      <c r="B12" s="208">
        <v>6337</v>
      </c>
      <c r="C12" s="209" t="s">
        <v>226</v>
      </c>
      <c r="D12" s="209" t="s">
        <v>228</v>
      </c>
      <c r="E12" s="208" t="s">
        <v>622</v>
      </c>
      <c r="F12" s="210">
        <v>15680</v>
      </c>
      <c r="G12" s="208" t="s">
        <v>616</v>
      </c>
      <c r="H12" s="211" t="s">
        <v>617</v>
      </c>
      <c r="I12" s="91">
        <f>IFERROR(SUMPRODUCT((TableBOM[Product ID]=B12)*(TableBOM[Material Category]="CAP")*TableBOM[Item ID]),0)</f>
        <v>578</v>
      </c>
    </row>
    <row r="13" spans="1:9" ht="15" customHeight="1" x14ac:dyDescent="0.25">
      <c r="A13" s="208">
        <v>10</v>
      </c>
      <c r="B13" s="208">
        <v>6416</v>
      </c>
      <c r="C13" s="209" t="s">
        <v>226</v>
      </c>
      <c r="D13" s="209" t="s">
        <v>227</v>
      </c>
      <c r="E13" s="208" t="s">
        <v>622</v>
      </c>
      <c r="F13" s="210">
        <v>15435</v>
      </c>
      <c r="G13" s="208" t="s">
        <v>616</v>
      </c>
      <c r="H13" s="211" t="s">
        <v>617</v>
      </c>
      <c r="I13" s="91">
        <f>IFERROR(SUMPRODUCT((TableBOM[Product ID]=B13)*(TableBOM[Material Category]="CAP")*TableBOM[Item ID]),0)</f>
        <v>578</v>
      </c>
    </row>
    <row r="14" spans="1:9" ht="15" customHeight="1" x14ac:dyDescent="0.25">
      <c r="A14" s="208">
        <v>11</v>
      </c>
      <c r="B14" s="208">
        <v>5782</v>
      </c>
      <c r="C14" s="209" t="s">
        <v>238</v>
      </c>
      <c r="D14" s="209" t="s">
        <v>239</v>
      </c>
      <c r="E14" s="208" t="s">
        <v>623</v>
      </c>
      <c r="F14" s="210">
        <v>74464</v>
      </c>
      <c r="G14" s="208" t="s">
        <v>616</v>
      </c>
      <c r="H14" s="211" t="s">
        <v>617</v>
      </c>
      <c r="I14" s="92">
        <f>IFERROR(SUMPRODUCT((TableBOM[Product ID]=B14)*(TableBOM[Material Category]="CAP")*TableBOM[Item ID]),0)</f>
        <v>1285</v>
      </c>
    </row>
    <row r="15" spans="1:9" ht="15" customHeight="1" x14ac:dyDescent="0.25">
      <c r="A15" s="208">
        <v>12</v>
      </c>
      <c r="B15" s="208">
        <v>6531</v>
      </c>
      <c r="C15" s="209" t="s">
        <v>182</v>
      </c>
      <c r="D15" s="209" t="s">
        <v>240</v>
      </c>
      <c r="E15" s="208" t="s">
        <v>624</v>
      </c>
      <c r="F15" s="210">
        <v>4320</v>
      </c>
      <c r="G15" s="208" t="s">
        <v>616</v>
      </c>
      <c r="H15" s="211" t="s">
        <v>617</v>
      </c>
      <c r="I15" s="92">
        <f>IFERROR(SUMPRODUCT((TableBOM[Product ID]=B15)*(TableBOM[Material Category]="CAP")*TableBOM[Item ID]),0)</f>
        <v>578</v>
      </c>
    </row>
    <row r="16" spans="1:9" ht="15" customHeight="1" x14ac:dyDescent="0.25">
      <c r="A16" s="208">
        <v>13</v>
      </c>
      <c r="B16" s="208">
        <v>6530</v>
      </c>
      <c r="C16" s="209" t="s">
        <v>182</v>
      </c>
      <c r="D16" s="209" t="s">
        <v>183</v>
      </c>
      <c r="E16" s="208" t="s">
        <v>624</v>
      </c>
      <c r="F16" s="210">
        <v>4500</v>
      </c>
      <c r="G16" s="208" t="s">
        <v>616</v>
      </c>
      <c r="H16" s="211" t="s">
        <v>617</v>
      </c>
      <c r="I16" s="92">
        <f>IFERROR(SUMPRODUCT((TableBOM[Product ID]=B16)*(TableBOM[Material Category]="CAP")*TableBOM[Item ID]),0)</f>
        <v>578</v>
      </c>
    </row>
    <row r="17" spans="1:9" ht="15" customHeight="1" x14ac:dyDescent="0.25">
      <c r="A17" s="212">
        <v>14</v>
      </c>
      <c r="B17" s="212">
        <v>6206</v>
      </c>
      <c r="C17" s="213" t="s">
        <v>175</v>
      </c>
      <c r="D17" s="213" t="s">
        <v>176</v>
      </c>
      <c r="E17" s="212" t="s">
        <v>622</v>
      </c>
      <c r="F17" s="214">
        <v>22134</v>
      </c>
      <c r="G17" s="212" t="s">
        <v>625</v>
      </c>
      <c r="H17" s="215" t="s">
        <v>626</v>
      </c>
      <c r="I17" s="92">
        <f>IFERROR(SUMPRODUCT((TableBOM[Product ID]=B17)*(TableBOM[Material Category]="CAP")*TableBOM[Item ID]),0)</f>
        <v>68</v>
      </c>
    </row>
    <row r="18" spans="1:9" ht="15" customHeight="1" x14ac:dyDescent="0.25">
      <c r="A18" s="212">
        <v>15</v>
      </c>
      <c r="B18" s="212">
        <v>6530</v>
      </c>
      <c r="C18" s="213" t="s">
        <v>182</v>
      </c>
      <c r="D18" s="213" t="s">
        <v>183</v>
      </c>
      <c r="E18" s="212" t="s">
        <v>624</v>
      </c>
      <c r="F18" s="214">
        <v>11340</v>
      </c>
      <c r="G18" s="212" t="s">
        <v>625</v>
      </c>
      <c r="H18" s="215" t="s">
        <v>627</v>
      </c>
      <c r="I18" s="92">
        <f>IFERROR(SUMPRODUCT((TableBOM[Product ID]=B18)*(TableBOM[Material Category]="CAP")*TableBOM[Item ID]),0)</f>
        <v>578</v>
      </c>
    </row>
    <row r="19" spans="1:9" ht="15" customHeight="1" x14ac:dyDescent="0.25">
      <c r="A19" s="212">
        <v>16</v>
      </c>
      <c r="B19" s="212">
        <v>6624</v>
      </c>
      <c r="C19" s="213" t="s">
        <v>169</v>
      </c>
      <c r="D19" s="213" t="s">
        <v>202</v>
      </c>
      <c r="E19" s="212" t="s">
        <v>628</v>
      </c>
      <c r="F19" s="214">
        <v>15876</v>
      </c>
      <c r="G19" s="212" t="s">
        <v>625</v>
      </c>
      <c r="H19" s="215" t="s">
        <v>620</v>
      </c>
      <c r="I19" s="92">
        <f>IFERROR(SUMPRODUCT((TableBOM[Product ID]=B19)*(TableBOM[Material Category]="CAP")*TableBOM[Item ID]),0)</f>
        <v>80</v>
      </c>
    </row>
    <row r="20" spans="1:9" ht="15" customHeight="1" x14ac:dyDescent="0.25">
      <c r="A20" s="212">
        <v>17</v>
      </c>
      <c r="B20" s="212">
        <v>5731</v>
      </c>
      <c r="C20" s="213" t="s">
        <v>169</v>
      </c>
      <c r="D20" s="213" t="s">
        <v>210</v>
      </c>
      <c r="E20" s="212" t="s">
        <v>619</v>
      </c>
      <c r="F20" s="214">
        <v>33660</v>
      </c>
      <c r="G20" s="212" t="s">
        <v>625</v>
      </c>
      <c r="H20" s="215" t="s">
        <v>620</v>
      </c>
      <c r="I20" s="92">
        <f>IFERROR(SUMPRODUCT((TableBOM[Product ID]=B20)*(TableBOM[Material Category]="CAP")*TableBOM[Item ID]),0)</f>
        <v>6971</v>
      </c>
    </row>
    <row r="21" spans="1:9" ht="15" customHeight="1" x14ac:dyDescent="0.25">
      <c r="A21" s="216"/>
      <c r="B21" s="216"/>
      <c r="C21" s="217"/>
      <c r="D21" s="217"/>
      <c r="E21" s="216"/>
      <c r="F21" s="218"/>
      <c r="G21" s="216"/>
      <c r="H21" s="219"/>
      <c r="I21" s="92">
        <f>IFERROR(SUMPRODUCT((TableBOM[Product ID]=B21)*(TableBOM[Material Category]="CAP")*TableBOM[Item ID]),0)</f>
        <v>0</v>
      </c>
    </row>
    <row r="22" spans="1:9" ht="15" customHeight="1" x14ac:dyDescent="0.25">
      <c r="A22" s="216"/>
      <c r="B22" s="216"/>
      <c r="C22" s="217"/>
      <c r="D22" s="217"/>
      <c r="E22" s="216"/>
      <c r="F22" s="218"/>
      <c r="G22" s="216"/>
      <c r="H22" s="219"/>
      <c r="I22" s="92">
        <f>IFERROR(SUMPRODUCT((TableBOM[Product ID]=B22)*(TableBOM[Material Category]="CAP")*TableBOM[Item ID]),0)</f>
        <v>0</v>
      </c>
    </row>
    <row r="23" spans="1:9" ht="15" customHeight="1" x14ac:dyDescent="0.25">
      <c r="A23" s="216"/>
      <c r="B23" s="216"/>
      <c r="C23" s="217"/>
      <c r="D23" s="217"/>
      <c r="E23" s="216"/>
      <c r="F23" s="218"/>
      <c r="G23" s="216"/>
      <c r="H23" s="219"/>
      <c r="I23" s="92">
        <f>IFERROR(SUMPRODUCT((TableBOM[Product ID]=B23)*(TableBOM[Material Category]="CAP")*TableBOM[Item ID]),0)</f>
        <v>0</v>
      </c>
    </row>
    <row r="24" spans="1:9" ht="15" customHeight="1" x14ac:dyDescent="0.25">
      <c r="A24" s="216"/>
      <c r="B24" s="216"/>
      <c r="C24" s="217"/>
      <c r="D24" s="217"/>
      <c r="E24" s="216"/>
      <c r="F24" s="218"/>
      <c r="G24" s="216"/>
      <c r="H24" s="219"/>
      <c r="I24" s="92">
        <f>IFERROR(SUMPRODUCT((TableBOM[Product ID]=B24)*(TableBOM[Material Category]="CAP")*TableBOM[Item ID]),0)</f>
        <v>0</v>
      </c>
    </row>
    <row r="25" spans="1:9" ht="15" customHeight="1" x14ac:dyDescent="0.25">
      <c r="A25" s="216"/>
      <c r="B25" s="216"/>
      <c r="C25" s="217"/>
      <c r="D25" s="217"/>
      <c r="E25" s="216"/>
      <c r="F25" s="218"/>
      <c r="G25" s="216"/>
      <c r="H25" s="219"/>
      <c r="I25" s="92">
        <f>IFERROR(SUMPRODUCT((TableBOM[Product ID]=B25)*(TableBOM[Material Category]="CAP")*TableBOM[Item ID]),0)</f>
        <v>0</v>
      </c>
    </row>
    <row r="26" spans="1:9" ht="15" customHeight="1" x14ac:dyDescent="0.25">
      <c r="A26" s="216"/>
      <c r="B26" s="216"/>
      <c r="C26" s="217"/>
      <c r="D26" s="217"/>
      <c r="E26" s="216"/>
      <c r="F26" s="218"/>
      <c r="G26" s="216"/>
      <c r="H26" s="219"/>
      <c r="I26" s="92">
        <f>IFERROR(SUMPRODUCT((TableBOM[Product ID]=B26)*(TableBOM[Material Category]="CAP")*TableBOM[Item ID]),0)</f>
        <v>0</v>
      </c>
    </row>
    <row r="27" spans="1:9" ht="15" customHeight="1" x14ac:dyDescent="0.25">
      <c r="A27" s="216"/>
      <c r="B27" s="216"/>
      <c r="C27" s="217"/>
      <c r="D27" s="217"/>
      <c r="E27" s="216"/>
      <c r="F27" s="218"/>
      <c r="G27" s="216"/>
      <c r="H27" s="219"/>
      <c r="I27" s="93">
        <f>IFERROR(SUMPRODUCT((TableBOM[Product ID]=B27)*(TableBOM[Material Category]="CAP")*TableBOM[Item ID]),0)</f>
        <v>0</v>
      </c>
    </row>
    <row r="28" spans="1:9" ht="15" customHeight="1" x14ac:dyDescent="0.25">
      <c r="A28" s="220"/>
      <c r="B28" s="220"/>
      <c r="C28" s="220"/>
      <c r="D28" s="220"/>
      <c r="E28" s="220"/>
      <c r="F28" s="220"/>
      <c r="G28" s="220"/>
      <c r="H28" s="220"/>
      <c r="I28" s="94">
        <f>IFERROR(SUMPRODUCT((TableBOM[Product ID]=B28)*(TableBOM[Material Category]="CAP")*TableBOM[Item ID]),0)</f>
        <v>0</v>
      </c>
    </row>
    <row r="29" spans="1:9" ht="15" customHeight="1" x14ac:dyDescent="0.25">
      <c r="A29" s="220"/>
      <c r="B29" s="220"/>
      <c r="C29" s="220"/>
      <c r="D29" s="220"/>
      <c r="E29" s="220"/>
      <c r="F29" s="220"/>
      <c r="G29" s="220"/>
      <c r="H29" s="220"/>
      <c r="I29" s="94">
        <f>IFERROR(SUMPRODUCT((TableBOM[Product ID]=B29)*(TableBOM[Material Category]="CAP")*TableBOM[Item ID]),0)</f>
        <v>0</v>
      </c>
    </row>
    <row r="30" spans="1:9" ht="15" customHeight="1" x14ac:dyDescent="0.25">
      <c r="A30" s="220"/>
      <c r="B30" s="220"/>
      <c r="C30" s="220"/>
      <c r="D30" s="220"/>
      <c r="E30" s="220"/>
      <c r="F30" s="220"/>
      <c r="G30" s="220"/>
      <c r="H30" s="220"/>
      <c r="I30" s="94">
        <f>IFERROR(SUMPRODUCT((TableBOM[Product ID]=B30)*(TableBOM[Material Category]="CAP")*TableBOM[Item ID]),0)</f>
        <v>0</v>
      </c>
    </row>
    <row r="31" spans="1:9" ht="15" customHeight="1" x14ac:dyDescent="0.25">
      <c r="A31" s="220"/>
      <c r="B31" s="220"/>
      <c r="C31" s="220"/>
      <c r="D31" s="220"/>
      <c r="E31" s="220"/>
      <c r="F31" s="220"/>
      <c r="G31" s="220"/>
      <c r="H31" s="220"/>
      <c r="I31" s="94">
        <f>IFERROR(SUMPRODUCT((TableBOM[Product ID]=B31)*(TableBOM[Material Category]="CAP")*TableBOM[Item ID]),0)</f>
        <v>0</v>
      </c>
    </row>
    <row r="32" spans="1:9" ht="15" customHeight="1" x14ac:dyDescent="0.25">
      <c r="A32" s="220"/>
      <c r="B32" s="220"/>
      <c r="C32" s="220"/>
      <c r="D32" s="220"/>
      <c r="E32" s="220"/>
      <c r="F32" s="220"/>
      <c r="G32" s="220"/>
      <c r="H32" s="220"/>
      <c r="I32" s="94">
        <f>IFERROR(SUMPRODUCT((TableBOM[Product ID]=B32)*(TableBOM[Material Category]="CAP")*TableBOM[Item ID]),0)</f>
        <v>0</v>
      </c>
    </row>
    <row r="33" spans="1:9" ht="15" customHeight="1" x14ac:dyDescent="0.25">
      <c r="A33" s="220"/>
      <c r="B33" s="220"/>
      <c r="C33" s="220"/>
      <c r="D33" s="220"/>
      <c r="E33" s="220"/>
      <c r="F33" s="220"/>
      <c r="G33" s="220"/>
      <c r="H33" s="220"/>
      <c r="I33" s="94">
        <f>IFERROR(SUMPRODUCT((TableBOM[Product ID]=B33)*(TableBOM[Material Category]="CAP")*TableBOM[Item ID]),0)</f>
        <v>0</v>
      </c>
    </row>
    <row r="34" spans="1:9" ht="15" customHeight="1" x14ac:dyDescent="0.25">
      <c r="A34" s="220"/>
      <c r="B34" s="220"/>
      <c r="C34" s="220"/>
      <c r="D34" s="220"/>
      <c r="E34" s="220"/>
      <c r="F34" s="220"/>
      <c r="G34" s="220"/>
      <c r="H34" s="220"/>
      <c r="I34" s="94">
        <f>IFERROR(SUMPRODUCT((TableBOM[Product ID]=B34)*(TableBOM[Material Category]="CAP")*TableBOM[Item ID]),0)</f>
        <v>0</v>
      </c>
    </row>
    <row r="35" spans="1:9" ht="15" customHeight="1" x14ac:dyDescent="0.25">
      <c r="A35" s="220"/>
      <c r="B35" s="220"/>
      <c r="C35" s="220"/>
      <c r="D35" s="220"/>
      <c r="E35" s="220"/>
      <c r="F35" s="220"/>
      <c r="G35" s="220"/>
      <c r="H35" s="220"/>
      <c r="I35" s="94">
        <f>IFERROR(SUMPRODUCT((TableBOM[Product ID]=B35)*(TableBOM[Material Category]="CAP")*TableBOM[Item ID]),0)</f>
        <v>0</v>
      </c>
    </row>
    <row r="36" spans="1:9" ht="15" customHeight="1" x14ac:dyDescent="0.25">
      <c r="A36" s="220"/>
      <c r="B36" s="220"/>
      <c r="C36" s="220"/>
      <c r="D36" s="220"/>
      <c r="E36" s="220"/>
      <c r="F36" s="220"/>
      <c r="G36" s="220"/>
      <c r="H36" s="220"/>
      <c r="I36" s="94">
        <f>IFERROR(SUMPRODUCT((TableBOM[Product ID]=B36)*(TableBOM[Material Category]="CAP")*TableBOM[Item ID]),0)</f>
        <v>0</v>
      </c>
    </row>
    <row r="37" spans="1:9" ht="15" customHeight="1" x14ac:dyDescent="0.25">
      <c r="A37" s="220"/>
      <c r="B37" s="220"/>
      <c r="C37" s="220"/>
      <c r="D37" s="220"/>
      <c r="E37" s="220"/>
      <c r="F37" s="220"/>
      <c r="G37" s="220"/>
      <c r="H37" s="220"/>
      <c r="I37" s="94">
        <f>IFERROR(SUMPRODUCT((TableBOM[Product ID]=B37)*(TableBOM[Material Category]="CAP")*TableBOM[Item ID]),0)</f>
        <v>0</v>
      </c>
    </row>
    <row r="38" spans="1:9" ht="15" customHeight="1" x14ac:dyDescent="0.25">
      <c r="A38" s="220"/>
      <c r="B38" s="220"/>
      <c r="C38" s="220"/>
      <c r="D38" s="220"/>
      <c r="E38" s="220"/>
      <c r="F38" s="220"/>
      <c r="G38" s="220"/>
      <c r="H38" s="220"/>
      <c r="I38" s="94">
        <f>IFERROR(SUMPRODUCT((TableBOM[Product ID]=B38)*(TableBOM[Material Category]="CAP")*TableBOM[Item ID]),0)</f>
        <v>0</v>
      </c>
    </row>
    <row r="39" spans="1:9" ht="15" customHeight="1" x14ac:dyDescent="0.25">
      <c r="A39" s="220"/>
      <c r="B39" s="220"/>
      <c r="C39" s="220"/>
      <c r="D39" s="220"/>
      <c r="E39" s="220"/>
      <c r="F39" s="220"/>
      <c r="G39" s="220"/>
      <c r="H39" s="220"/>
      <c r="I39" s="94">
        <f>IFERROR(SUMPRODUCT((TableBOM[Product ID]=B39)*(TableBOM[Material Category]="CAP")*TableBOM[Item ID]),0)</f>
        <v>0</v>
      </c>
    </row>
    <row r="40" spans="1:9" ht="15" customHeight="1" x14ac:dyDescent="0.25">
      <c r="A40" s="220"/>
      <c r="B40" s="220"/>
      <c r="C40" s="220"/>
      <c r="D40" s="220"/>
      <c r="E40" s="220"/>
      <c r="F40" s="220"/>
      <c r="G40" s="220"/>
      <c r="H40" s="220"/>
      <c r="I40" s="94">
        <f>IFERROR(SUMPRODUCT((TableBOM[Product ID]=B40)*(TableBOM[Material Category]="CAP")*TableBOM[Item ID]),0)</f>
        <v>0</v>
      </c>
    </row>
    <row r="41" spans="1:9" ht="15" customHeight="1" x14ac:dyDescent="0.25">
      <c r="A41" s="220"/>
      <c r="B41" s="220"/>
      <c r="C41" s="220"/>
      <c r="D41" s="220"/>
      <c r="E41" s="220"/>
      <c r="F41" s="220"/>
      <c r="G41" s="220"/>
      <c r="H41" s="220"/>
      <c r="I41" s="94">
        <f>IFERROR(SUMPRODUCT((TableBOM[Product ID]=B41)*(TableBOM[Material Category]="CAP")*TableBOM[Item ID]),0)</f>
        <v>0</v>
      </c>
    </row>
    <row r="42" spans="1:9" ht="15" customHeight="1" x14ac:dyDescent="0.25">
      <c r="A42" s="220"/>
      <c r="B42" s="220"/>
      <c r="C42" s="220"/>
      <c r="D42" s="220"/>
      <c r="E42" s="220"/>
      <c r="F42" s="220"/>
      <c r="G42" s="220"/>
      <c r="H42" s="220"/>
      <c r="I42" s="94">
        <f>IFERROR(SUMPRODUCT((TableBOM[Product ID]=B42)*(TableBOM[Material Category]="CAP")*TableBOM[Item ID]),0)</f>
        <v>0</v>
      </c>
    </row>
    <row r="43" spans="1:9" ht="15" customHeight="1" x14ac:dyDescent="0.25">
      <c r="A43" s="220"/>
      <c r="B43" s="220"/>
      <c r="C43" s="220"/>
      <c r="D43" s="220"/>
      <c r="E43" s="220"/>
      <c r="F43" s="220"/>
      <c r="G43" s="220"/>
      <c r="H43" s="220"/>
      <c r="I43" s="94">
        <f>IFERROR(SUMPRODUCT((TableBOM[Product ID]=B43)*(TableBOM[Material Category]="CAP")*TableBOM[Item ID]),0)</f>
        <v>0</v>
      </c>
    </row>
    <row r="44" spans="1:9" ht="15" customHeight="1" x14ac:dyDescent="0.25">
      <c r="A44" s="220"/>
      <c r="B44" s="220"/>
      <c r="C44" s="220"/>
      <c r="D44" s="220"/>
      <c r="E44" s="220"/>
      <c r="F44" s="220"/>
      <c r="G44" s="220"/>
      <c r="H44" s="220"/>
      <c r="I44" s="94">
        <f>IFERROR(SUMPRODUCT((TableBOM[Product ID]=B44)*(TableBOM[Material Category]="CAP")*TableBOM[Item ID]),0)</f>
        <v>0</v>
      </c>
    </row>
    <row r="45" spans="1:9" ht="15" customHeight="1" x14ac:dyDescent="0.25">
      <c r="A45" s="220"/>
      <c r="B45" s="220"/>
      <c r="C45" s="220"/>
      <c r="D45" s="220"/>
      <c r="E45" s="220"/>
      <c r="F45" s="220"/>
      <c r="G45" s="220"/>
      <c r="H45" s="220"/>
      <c r="I45" s="94">
        <f>IFERROR(SUMPRODUCT((TableBOM[Product ID]=B45)*(TableBOM[Material Category]="CAP")*TableBOM[Item ID]),0)</f>
        <v>0</v>
      </c>
    </row>
    <row r="46" spans="1:9" ht="15" customHeight="1" x14ac:dyDescent="0.25">
      <c r="A46" s="220"/>
      <c r="B46" s="220"/>
      <c r="C46" s="220"/>
      <c r="D46" s="220"/>
      <c r="E46" s="220"/>
      <c r="F46" s="220"/>
      <c r="G46" s="220"/>
      <c r="H46" s="220"/>
      <c r="I46" s="94">
        <f>IFERROR(SUMPRODUCT((TableBOM[Product ID]=B46)*(TableBOM[Material Category]="CAP")*TableBOM[Item ID]),0)</f>
        <v>0</v>
      </c>
    </row>
    <row r="47" spans="1:9" ht="15" customHeight="1" x14ac:dyDescent="0.25">
      <c r="A47" s="220"/>
      <c r="B47" s="220"/>
      <c r="C47" s="220"/>
      <c r="D47" s="220"/>
      <c r="E47" s="220"/>
      <c r="F47" s="220"/>
      <c r="G47" s="220"/>
      <c r="H47" s="220"/>
      <c r="I47" s="94">
        <f>IFERROR(SUMPRODUCT((TableBOM[Product ID]=B47)*(TableBOM[Material Category]="CAP")*TableBOM[Item ID]),0)</f>
        <v>0</v>
      </c>
    </row>
    <row r="48" spans="1:9" ht="15" customHeight="1" x14ac:dyDescent="0.25">
      <c r="A48" s="220"/>
      <c r="B48" s="220"/>
      <c r="C48" s="220"/>
      <c r="D48" s="220"/>
      <c r="E48" s="220"/>
      <c r="F48" s="220"/>
      <c r="G48" s="220"/>
      <c r="H48" s="220"/>
      <c r="I48" s="94">
        <f>IFERROR(SUMPRODUCT((TableBOM[Product ID]=B48)*(TableBOM[Material Category]="CAP")*TableBOM[Item ID]),0)</f>
        <v>0</v>
      </c>
    </row>
    <row r="49" spans="1:9" ht="15" customHeight="1" x14ac:dyDescent="0.25">
      <c r="A49" s="220"/>
      <c r="B49" s="220"/>
      <c r="C49" s="220"/>
      <c r="D49" s="220"/>
      <c r="E49" s="220"/>
      <c r="F49" s="220"/>
      <c r="G49" s="220"/>
      <c r="H49" s="220"/>
      <c r="I49" s="94">
        <f>IFERROR(SUMPRODUCT((TableBOM[Product ID]=B49)*(TableBOM[Material Category]="CAP")*TableBOM[Item ID]),0)</f>
        <v>0</v>
      </c>
    </row>
    <row r="50" spans="1:9" ht="15" customHeight="1" x14ac:dyDescent="0.25">
      <c r="A50" s="220"/>
      <c r="B50" s="220"/>
      <c r="C50" s="220"/>
      <c r="D50" s="220"/>
      <c r="E50" s="220"/>
      <c r="F50" s="220"/>
      <c r="G50" s="220"/>
      <c r="H50" s="220"/>
      <c r="I50" s="94">
        <f>IFERROR(SUMPRODUCT((TableBOM[Product ID]=B50)*(TableBOM[Material Category]="CAP")*TableBOM[Item ID]),0)</f>
        <v>0</v>
      </c>
    </row>
    <row r="51" spans="1:9" ht="15" customHeight="1" x14ac:dyDescent="0.25">
      <c r="A51" s="220"/>
      <c r="B51" s="220"/>
      <c r="C51" s="220"/>
      <c r="D51" s="220"/>
      <c r="E51" s="220"/>
      <c r="F51" s="220"/>
      <c r="G51" s="220"/>
      <c r="H51" s="220"/>
      <c r="I51" s="94">
        <f>IFERROR(SUMPRODUCT((TableBOM[Product ID]=B51)*(TableBOM[Material Category]="CAP")*TableBOM[Item ID]),0)</f>
        <v>0</v>
      </c>
    </row>
    <row r="52" spans="1:9" ht="15" customHeight="1" x14ac:dyDescent="0.25">
      <c r="A52" s="220"/>
      <c r="B52" s="220"/>
      <c r="C52" s="220"/>
      <c r="D52" s="220"/>
      <c r="E52" s="220"/>
      <c r="F52" s="220"/>
      <c r="G52" s="220"/>
      <c r="H52" s="220"/>
      <c r="I52" s="94">
        <f>IFERROR(SUMPRODUCT((TableBOM[Product ID]=B52)*(TableBOM[Material Category]="CAP")*TableBOM[Item ID]),0)</f>
        <v>0</v>
      </c>
    </row>
    <row r="53" spans="1:9" ht="15" customHeight="1" x14ac:dyDescent="0.25">
      <c r="A53" s="220"/>
      <c r="B53" s="220"/>
      <c r="C53" s="220"/>
      <c r="D53" s="220"/>
      <c r="E53" s="220"/>
      <c r="F53" s="220"/>
      <c r="G53" s="220"/>
      <c r="H53" s="220"/>
      <c r="I53" s="94">
        <f>IFERROR(SUMPRODUCT((TableBOM[Product ID]=B53)*(TableBOM[Material Category]="CAP")*TableBOM[Item ID]),0)</f>
        <v>0</v>
      </c>
    </row>
    <row r="54" spans="1:9" ht="15" customHeight="1" x14ac:dyDescent="0.25">
      <c r="A54" s="220"/>
      <c r="B54" s="220"/>
      <c r="C54" s="220"/>
      <c r="D54" s="220"/>
      <c r="E54" s="220"/>
      <c r="F54" s="220"/>
      <c r="G54" s="220"/>
      <c r="H54" s="220"/>
      <c r="I54" s="94">
        <f>IFERROR(SUMPRODUCT((TableBOM[Product ID]=B54)*(TableBOM[Material Category]="CAP")*TableBOM[Item ID]),0)</f>
        <v>0</v>
      </c>
    </row>
    <row r="55" spans="1:9" ht="15" customHeight="1" x14ac:dyDescent="0.25">
      <c r="A55" s="220"/>
      <c r="B55" s="220"/>
      <c r="C55" s="220"/>
      <c r="D55" s="220"/>
      <c r="E55" s="220"/>
      <c r="F55" s="220"/>
      <c r="G55" s="220"/>
      <c r="H55" s="220"/>
      <c r="I55" s="94">
        <f>IFERROR(SUMPRODUCT((TableBOM[Product ID]=B55)*(TableBOM[Material Category]="CAP")*TableBOM[Item ID]),0)</f>
        <v>0</v>
      </c>
    </row>
    <row r="56" spans="1:9" ht="15" customHeight="1" x14ac:dyDescent="0.25">
      <c r="A56" s="220"/>
      <c r="B56" s="220"/>
      <c r="C56" s="220"/>
      <c r="D56" s="220"/>
      <c r="E56" s="220"/>
      <c r="F56" s="220"/>
      <c r="G56" s="220"/>
      <c r="H56" s="220"/>
      <c r="I56" s="94">
        <f>IFERROR(SUMPRODUCT((TableBOM[Product ID]=B56)*(TableBOM[Material Category]="CAP")*TableBOM[Item ID]),0)</f>
        <v>0</v>
      </c>
    </row>
    <row r="57" spans="1:9" ht="15" customHeight="1" x14ac:dyDescent="0.25">
      <c r="A57" s="220"/>
      <c r="B57" s="220"/>
      <c r="C57" s="220"/>
      <c r="D57" s="220"/>
      <c r="E57" s="220"/>
      <c r="F57" s="220"/>
      <c r="G57" s="220"/>
      <c r="H57" s="220"/>
      <c r="I57" s="94">
        <f>IFERROR(SUMPRODUCT((TableBOM[Product ID]=B57)*(TableBOM[Material Category]="CAP")*TableBOM[Item ID]),0)</f>
        <v>0</v>
      </c>
    </row>
    <row r="58" spans="1:9" ht="15" customHeight="1" x14ac:dyDescent="0.25">
      <c r="A58" s="220"/>
      <c r="B58" s="220"/>
      <c r="C58" s="220"/>
      <c r="D58" s="220"/>
      <c r="E58" s="220"/>
      <c r="F58" s="220"/>
      <c r="G58" s="220"/>
      <c r="H58" s="220"/>
      <c r="I58" s="94">
        <f>IFERROR(SUMPRODUCT((TableBOM[Product ID]=B58)*(TableBOM[Material Category]="CAP")*TableBOM[Item ID]),0)</f>
        <v>0</v>
      </c>
    </row>
    <row r="59" spans="1:9" ht="15" customHeight="1" x14ac:dyDescent="0.25">
      <c r="A59" s="220"/>
      <c r="B59" s="220"/>
      <c r="C59" s="220"/>
      <c r="D59" s="220"/>
      <c r="E59" s="220"/>
      <c r="F59" s="220"/>
      <c r="G59" s="220"/>
      <c r="H59" s="220"/>
      <c r="I59" s="94">
        <f>IFERROR(SUMPRODUCT((TableBOM[Product ID]=B59)*(TableBOM[Material Category]="CAP")*TableBOM[Item ID]),0)</f>
        <v>0</v>
      </c>
    </row>
    <row r="60" spans="1:9" ht="15" customHeight="1" x14ac:dyDescent="0.25">
      <c r="A60" s="220"/>
      <c r="B60" s="220"/>
      <c r="C60" s="220"/>
      <c r="D60" s="220"/>
      <c r="E60" s="220"/>
      <c r="F60" s="220"/>
      <c r="G60" s="220"/>
      <c r="H60" s="220"/>
      <c r="I60" s="94">
        <f>IFERROR(SUMPRODUCT((TableBOM[Product ID]=B60)*(TableBOM[Material Category]="CAP")*TableBOM[Item ID]),0)</f>
        <v>0</v>
      </c>
    </row>
    <row r="61" spans="1:9" ht="15" customHeight="1" x14ac:dyDescent="0.25">
      <c r="A61" s="220"/>
      <c r="B61" s="220"/>
      <c r="C61" s="220"/>
      <c r="D61" s="220"/>
      <c r="E61" s="220"/>
      <c r="F61" s="220"/>
      <c r="G61" s="220"/>
      <c r="H61" s="220"/>
      <c r="I61" s="94">
        <f>IFERROR(SUMPRODUCT((TableBOM[Product ID]=B61)*(TableBOM[Material Category]="CAP")*TableBOM[Item ID]),0)</f>
        <v>0</v>
      </c>
    </row>
    <row r="62" spans="1:9" ht="15" customHeight="1" x14ac:dyDescent="0.25">
      <c r="A62" s="220"/>
      <c r="B62" s="220"/>
      <c r="C62" s="220"/>
      <c r="D62" s="220"/>
      <c r="E62" s="220"/>
      <c r="F62" s="220"/>
      <c r="G62" s="220"/>
      <c r="H62" s="220"/>
      <c r="I62" s="94">
        <f>IFERROR(SUMPRODUCT((TableBOM[Product ID]=B62)*(TableBOM[Material Category]="CAP")*TableBOM[Item ID]),0)</f>
        <v>0</v>
      </c>
    </row>
    <row r="63" spans="1:9" ht="15" customHeight="1" x14ac:dyDescent="0.25">
      <c r="A63" s="220"/>
      <c r="B63" s="220"/>
      <c r="C63" s="220"/>
      <c r="D63" s="220"/>
      <c r="E63" s="220"/>
      <c r="F63" s="220"/>
      <c r="G63" s="220"/>
      <c r="H63" s="220"/>
      <c r="I63" s="94">
        <f>IFERROR(SUMPRODUCT((TableBOM[Product ID]=B63)*(TableBOM[Material Category]="CAP")*TableBOM[Item ID]),0)</f>
        <v>0</v>
      </c>
    </row>
    <row r="64" spans="1:9" ht="15" customHeight="1" x14ac:dyDescent="0.25">
      <c r="A64" s="220"/>
      <c r="B64" s="220"/>
      <c r="C64" s="220"/>
      <c r="D64" s="220"/>
      <c r="E64" s="220"/>
      <c r="F64" s="220"/>
      <c r="G64" s="220"/>
      <c r="H64" s="220"/>
      <c r="I64" s="94">
        <f>IFERROR(SUMPRODUCT((TableBOM[Product ID]=B64)*(TableBOM[Material Category]="CAP")*TableBOM[Item ID]),0)</f>
        <v>0</v>
      </c>
    </row>
    <row r="65" spans="1:9" ht="15" customHeight="1" x14ac:dyDescent="0.25">
      <c r="A65" s="220"/>
      <c r="B65" s="220"/>
      <c r="C65" s="220"/>
      <c r="D65" s="220"/>
      <c r="E65" s="220"/>
      <c r="F65" s="220"/>
      <c r="G65" s="220"/>
      <c r="H65" s="220"/>
      <c r="I65" s="94">
        <f>IFERROR(SUMPRODUCT((TableBOM[Product ID]=B65)*(TableBOM[Material Category]="CAP")*TableBOM[Item ID]),0)</f>
        <v>0</v>
      </c>
    </row>
    <row r="66" spans="1:9" ht="15" customHeight="1" x14ac:dyDescent="0.25">
      <c r="A66" s="220"/>
      <c r="B66" s="220"/>
      <c r="C66" s="220"/>
      <c r="D66" s="220"/>
      <c r="E66" s="220"/>
      <c r="F66" s="220"/>
      <c r="G66" s="220"/>
      <c r="H66" s="220"/>
      <c r="I66" s="94">
        <f>IFERROR(SUMPRODUCT((TableBOM[Product ID]=B66)*(TableBOM[Material Category]="CAP")*TableBOM[Item ID]),0)</f>
        <v>0</v>
      </c>
    </row>
    <row r="67" spans="1:9" ht="15" customHeight="1" x14ac:dyDescent="0.25">
      <c r="A67" s="220"/>
      <c r="B67" s="220"/>
      <c r="C67" s="220"/>
      <c r="D67" s="220"/>
      <c r="E67" s="220"/>
      <c r="F67" s="220"/>
      <c r="G67" s="220"/>
      <c r="H67" s="220"/>
      <c r="I67" s="94">
        <f>IFERROR(SUMPRODUCT((TableBOM[Product ID]=B67)*(TableBOM[Material Category]="CAP")*TableBOM[Item ID]),0)</f>
        <v>0</v>
      </c>
    </row>
    <row r="68" spans="1:9" ht="15" customHeight="1" x14ac:dyDescent="0.25">
      <c r="A68" s="220"/>
      <c r="B68" s="220"/>
      <c r="C68" s="220"/>
      <c r="D68" s="220"/>
      <c r="E68" s="220"/>
      <c r="F68" s="220"/>
      <c r="G68" s="220"/>
      <c r="H68" s="220"/>
      <c r="I68" s="94">
        <f>IFERROR(SUMPRODUCT((TableBOM[Product ID]=B68)*(TableBOM[Material Category]="CAP")*TableBOM[Item ID]),0)</f>
        <v>0</v>
      </c>
    </row>
    <row r="69" spans="1:9" ht="15" customHeight="1" x14ac:dyDescent="0.25">
      <c r="A69" s="220"/>
      <c r="B69" s="220"/>
      <c r="C69" s="220"/>
      <c r="D69" s="220"/>
      <c r="E69" s="220"/>
      <c r="F69" s="220"/>
      <c r="G69" s="220"/>
      <c r="H69" s="220"/>
      <c r="I69" s="94">
        <f>IFERROR(SUMPRODUCT((TableBOM[Product ID]=B69)*(TableBOM[Material Category]="CAP")*TableBOM[Item ID]),0)</f>
        <v>0</v>
      </c>
    </row>
    <row r="70" spans="1:9" ht="15" customHeight="1" x14ac:dyDescent="0.25">
      <c r="A70" s="220"/>
      <c r="B70" s="220"/>
      <c r="C70" s="220"/>
      <c r="D70" s="220"/>
      <c r="E70" s="220"/>
      <c r="F70" s="220"/>
      <c r="G70" s="220"/>
      <c r="H70" s="220"/>
      <c r="I70" s="94">
        <f>IFERROR(SUMPRODUCT((TableBOM[Product ID]=B70)*(TableBOM[Material Category]="CAP")*TableBOM[Item ID]),0)</f>
        <v>0</v>
      </c>
    </row>
    <row r="71" spans="1:9" ht="15" customHeight="1" x14ac:dyDescent="0.25">
      <c r="A71" s="220"/>
      <c r="B71" s="220"/>
      <c r="C71" s="220"/>
      <c r="D71" s="220"/>
      <c r="E71" s="220"/>
      <c r="F71" s="220"/>
      <c r="G71" s="220"/>
      <c r="H71" s="220"/>
      <c r="I71" s="94">
        <f>IFERROR(SUMPRODUCT((TableBOM[Product ID]=B71)*(TableBOM[Material Category]="CAP")*TableBOM[Item ID]),0)</f>
        <v>0</v>
      </c>
    </row>
    <row r="72" spans="1:9" ht="15" customHeight="1" x14ac:dyDescent="0.25">
      <c r="A72" s="220"/>
      <c r="B72" s="220"/>
      <c r="C72" s="220"/>
      <c r="D72" s="220"/>
      <c r="E72" s="220"/>
      <c r="F72" s="220"/>
      <c r="G72" s="220"/>
      <c r="H72" s="220"/>
      <c r="I72" s="94">
        <f>IFERROR(SUMPRODUCT((TableBOM[Product ID]=B72)*(TableBOM[Material Category]="CAP")*TableBOM[Item ID]),0)</f>
        <v>0</v>
      </c>
    </row>
    <row r="73" spans="1:9" ht="15" customHeight="1" x14ac:dyDescent="0.25">
      <c r="A73" s="220"/>
      <c r="B73" s="220"/>
      <c r="C73" s="220"/>
      <c r="D73" s="220"/>
      <c r="E73" s="220"/>
      <c r="F73" s="220"/>
      <c r="G73" s="220"/>
      <c r="H73" s="220"/>
      <c r="I73" s="94">
        <f>IFERROR(SUMPRODUCT((TableBOM[Product ID]=B73)*(TableBOM[Material Category]="CAP")*TableBOM[Item ID]),0)</f>
        <v>0</v>
      </c>
    </row>
    <row r="74" spans="1:9" ht="15" customHeight="1" x14ac:dyDescent="0.25">
      <c r="A74" s="220"/>
      <c r="B74" s="220"/>
      <c r="C74" s="220"/>
      <c r="D74" s="220"/>
      <c r="E74" s="220"/>
      <c r="F74" s="220"/>
      <c r="G74" s="220"/>
      <c r="H74" s="220"/>
      <c r="I74" s="94">
        <f>IFERROR(SUMPRODUCT((TableBOM[Product ID]=B74)*(TableBOM[Material Category]="CAP")*TableBOM[Item ID]),0)</f>
        <v>0</v>
      </c>
    </row>
    <row r="75" spans="1:9" ht="15" customHeight="1" x14ac:dyDescent="0.25">
      <c r="A75" s="220"/>
      <c r="B75" s="220"/>
      <c r="C75" s="220"/>
      <c r="D75" s="220"/>
      <c r="E75" s="220"/>
      <c r="F75" s="220"/>
      <c r="G75" s="220"/>
      <c r="H75" s="220"/>
      <c r="I75" s="94">
        <f>IFERROR(SUMPRODUCT((TableBOM[Product ID]=B75)*(TableBOM[Material Category]="CAP")*TableBOM[Item ID]),0)</f>
        <v>0</v>
      </c>
    </row>
    <row r="76" spans="1:9" ht="15" customHeight="1" x14ac:dyDescent="0.25">
      <c r="A76" s="220"/>
      <c r="B76" s="220"/>
      <c r="C76" s="220"/>
      <c r="D76" s="220"/>
      <c r="E76" s="220"/>
      <c r="F76" s="220"/>
      <c r="G76" s="220"/>
      <c r="H76" s="220"/>
      <c r="I76" s="94">
        <f>IFERROR(SUMPRODUCT((TableBOM[Product ID]=B76)*(TableBOM[Material Category]="CAP")*TableBOM[Item ID]),0)</f>
        <v>0</v>
      </c>
    </row>
    <row r="77" spans="1:9" ht="15" customHeight="1" x14ac:dyDescent="0.25">
      <c r="A77" s="220"/>
      <c r="B77" s="220"/>
      <c r="C77" s="220"/>
      <c r="D77" s="220"/>
      <c r="E77" s="220"/>
      <c r="F77" s="220"/>
      <c r="G77" s="220"/>
      <c r="H77" s="220"/>
      <c r="I77" s="94">
        <f>IFERROR(SUMPRODUCT((TableBOM[Product ID]=B77)*(TableBOM[Material Category]="CAP")*TableBOM[Item ID]),0)</f>
        <v>0</v>
      </c>
    </row>
    <row r="78" spans="1:9" ht="15" customHeight="1" x14ac:dyDescent="0.25">
      <c r="A78" s="220"/>
      <c r="B78" s="220"/>
      <c r="C78" s="220"/>
      <c r="D78" s="220"/>
      <c r="E78" s="220"/>
      <c r="F78" s="220"/>
      <c r="G78" s="220"/>
      <c r="H78" s="220"/>
      <c r="I78" s="94">
        <f>IFERROR(SUMPRODUCT((TableBOM[Product ID]=B78)*(TableBOM[Material Category]="CAP")*TableBOM[Item ID]),0)</f>
        <v>0</v>
      </c>
    </row>
    <row r="79" spans="1:9" ht="15" customHeight="1" x14ac:dyDescent="0.25">
      <c r="A79" s="220"/>
      <c r="B79" s="220"/>
      <c r="C79" s="220"/>
      <c r="D79" s="220"/>
      <c r="E79" s="220"/>
      <c r="F79" s="220"/>
      <c r="G79" s="220"/>
      <c r="H79" s="220"/>
      <c r="I79" s="94">
        <f>IFERROR(SUMPRODUCT((TableBOM[Product ID]=B79)*(TableBOM[Material Category]="CAP")*TableBOM[Item ID]),0)</f>
        <v>0</v>
      </c>
    </row>
    <row r="80" spans="1:9" ht="15" customHeight="1" x14ac:dyDescent="0.25">
      <c r="A80" s="220"/>
      <c r="B80" s="220"/>
      <c r="C80" s="220"/>
      <c r="D80" s="220"/>
      <c r="E80" s="220"/>
      <c r="F80" s="220"/>
      <c r="G80" s="220"/>
      <c r="H80" s="220"/>
      <c r="I80" s="94">
        <f>IFERROR(SUMPRODUCT((TableBOM[Product ID]=B80)*(TableBOM[Material Category]="CAP")*TableBOM[Item ID]),0)</f>
        <v>0</v>
      </c>
    </row>
    <row r="81" spans="1:9" ht="15" customHeight="1" x14ac:dyDescent="0.25">
      <c r="A81" s="220"/>
      <c r="B81" s="220"/>
      <c r="C81" s="220"/>
      <c r="D81" s="220"/>
      <c r="E81" s="220"/>
      <c r="F81" s="220"/>
      <c r="G81" s="220"/>
      <c r="H81" s="220"/>
      <c r="I81" s="94">
        <f>IFERROR(SUMPRODUCT((TableBOM[Product ID]=B81)*(TableBOM[Material Category]="CAP")*TableBOM[Item ID]),0)</f>
        <v>0</v>
      </c>
    </row>
    <row r="82" spans="1:9" ht="15" customHeight="1" x14ac:dyDescent="0.25">
      <c r="A82" s="220"/>
      <c r="B82" s="220"/>
      <c r="C82" s="220"/>
      <c r="D82" s="220"/>
      <c r="E82" s="220"/>
      <c r="F82" s="220"/>
      <c r="G82" s="220"/>
      <c r="H82" s="220"/>
      <c r="I82" s="94">
        <f>IFERROR(SUMPRODUCT((TableBOM[Product ID]=B82)*(TableBOM[Material Category]="CAP")*TableBOM[Item ID]),0)</f>
        <v>0</v>
      </c>
    </row>
    <row r="83" spans="1:9" ht="15" customHeight="1" x14ac:dyDescent="0.25">
      <c r="A83" s="220"/>
      <c r="B83" s="220"/>
      <c r="C83" s="220"/>
      <c r="D83" s="220"/>
      <c r="E83" s="220"/>
      <c r="F83" s="220"/>
      <c r="G83" s="220"/>
      <c r="H83" s="220"/>
      <c r="I83" s="94">
        <f>IFERROR(SUMPRODUCT((TableBOM[Product ID]=B83)*(TableBOM[Material Category]="CAP")*TableBOM[Item ID]),0)</f>
        <v>0</v>
      </c>
    </row>
    <row r="84" spans="1:9" ht="15" customHeight="1" x14ac:dyDescent="0.25">
      <c r="A84" s="220"/>
      <c r="B84" s="220"/>
      <c r="C84" s="220"/>
      <c r="D84" s="220"/>
      <c r="E84" s="220"/>
      <c r="F84" s="220"/>
      <c r="G84" s="220"/>
      <c r="H84" s="220"/>
      <c r="I84" s="94">
        <f>IFERROR(SUMPRODUCT((TableBOM[Product ID]=B84)*(TableBOM[Material Category]="CAP")*TableBOM[Item ID]),0)</f>
        <v>0</v>
      </c>
    </row>
    <row r="85" spans="1:9" ht="15" customHeight="1" x14ac:dyDescent="0.25">
      <c r="A85" s="220"/>
      <c r="B85" s="220"/>
      <c r="C85" s="220"/>
      <c r="D85" s="220"/>
      <c r="E85" s="220"/>
      <c r="F85" s="220"/>
      <c r="G85" s="220"/>
      <c r="H85" s="220"/>
      <c r="I85" s="94">
        <f>IFERROR(SUMPRODUCT((TableBOM[Product ID]=B85)*(TableBOM[Material Category]="CAP")*TableBOM[Item ID]),0)</f>
        <v>0</v>
      </c>
    </row>
    <row r="86" spans="1:9" ht="15" customHeight="1" x14ac:dyDescent="0.25">
      <c r="A86" s="220"/>
      <c r="B86" s="220"/>
      <c r="C86" s="220"/>
      <c r="D86" s="220"/>
      <c r="E86" s="220"/>
      <c r="F86" s="220"/>
      <c r="G86" s="220"/>
      <c r="H86" s="220"/>
      <c r="I86" s="94">
        <f>IFERROR(SUMPRODUCT((TableBOM[Product ID]=B86)*(TableBOM[Material Category]="CAP")*TableBOM[Item ID]),0)</f>
        <v>0</v>
      </c>
    </row>
    <row r="87" spans="1:9" ht="15" customHeight="1" x14ac:dyDescent="0.25">
      <c r="A87" s="220"/>
      <c r="B87" s="220"/>
      <c r="C87" s="220"/>
      <c r="D87" s="220"/>
      <c r="E87" s="220"/>
      <c r="F87" s="220"/>
      <c r="G87" s="220"/>
      <c r="H87" s="220"/>
      <c r="I87" s="94">
        <f>IFERROR(SUMPRODUCT((TableBOM[Product ID]=B87)*(TableBOM[Material Category]="CAP")*TableBOM[Item ID]),0)</f>
        <v>0</v>
      </c>
    </row>
    <row r="88" spans="1:9" ht="15" customHeight="1" x14ac:dyDescent="0.25">
      <c r="A88" s="220"/>
      <c r="B88" s="220"/>
      <c r="C88" s="220"/>
      <c r="D88" s="220"/>
      <c r="E88" s="220"/>
      <c r="F88" s="220"/>
      <c r="G88" s="220"/>
      <c r="H88" s="220"/>
      <c r="I88" s="94">
        <f>IFERROR(SUMPRODUCT((TableBOM[Product ID]=B88)*(TableBOM[Material Category]="CAP")*TableBOM[Item ID]),0)</f>
        <v>0</v>
      </c>
    </row>
    <row r="89" spans="1:9" ht="15" customHeight="1" x14ac:dyDescent="0.25">
      <c r="A89" s="220"/>
      <c r="B89" s="220"/>
      <c r="C89" s="220"/>
      <c r="D89" s="220"/>
      <c r="E89" s="220"/>
      <c r="F89" s="220"/>
      <c r="G89" s="220"/>
      <c r="H89" s="220"/>
      <c r="I89" s="94">
        <f>IFERROR(SUMPRODUCT((TableBOM[Product ID]=B89)*(TableBOM[Material Category]="CAP")*TableBOM[Item ID]),0)</f>
        <v>0</v>
      </c>
    </row>
    <row r="90" spans="1:9" ht="15" customHeight="1" x14ac:dyDescent="0.25">
      <c r="A90" s="220"/>
      <c r="B90" s="220"/>
      <c r="C90" s="220"/>
      <c r="D90" s="220"/>
      <c r="E90" s="220"/>
      <c r="F90" s="220"/>
      <c r="G90" s="220"/>
      <c r="H90" s="220"/>
      <c r="I90" s="94">
        <f>IFERROR(SUMPRODUCT((TableBOM[Product ID]=B90)*(TableBOM[Material Category]="CAP")*TableBOM[Item ID]),0)</f>
        <v>0</v>
      </c>
    </row>
    <row r="91" spans="1:9" ht="15" customHeight="1" x14ac:dyDescent="0.25">
      <c r="A91" s="220"/>
      <c r="B91" s="220"/>
      <c r="C91" s="220"/>
      <c r="D91" s="220"/>
      <c r="E91" s="220"/>
      <c r="F91" s="220"/>
      <c r="G91" s="220"/>
      <c r="H91" s="220"/>
      <c r="I91" s="94">
        <f>IFERROR(SUMPRODUCT((TableBOM[Product ID]=B91)*(TableBOM[Material Category]="CAP")*TableBOM[Item ID]),0)</f>
        <v>0</v>
      </c>
    </row>
    <row r="92" spans="1:9" ht="15" customHeight="1" x14ac:dyDescent="0.25">
      <c r="A92" s="220"/>
      <c r="B92" s="220"/>
      <c r="C92" s="220"/>
      <c r="D92" s="220"/>
      <c r="E92" s="220"/>
      <c r="F92" s="220"/>
      <c r="G92" s="220"/>
      <c r="H92" s="220"/>
      <c r="I92" s="94">
        <f>IFERROR(SUMPRODUCT((TableBOM[Product ID]=B92)*(TableBOM[Material Category]="CAP")*TableBOM[Item ID]),0)</f>
        <v>0</v>
      </c>
    </row>
    <row r="93" spans="1:9" ht="15" customHeight="1" x14ac:dyDescent="0.25">
      <c r="A93" s="220"/>
      <c r="B93" s="220"/>
      <c r="C93" s="220"/>
      <c r="D93" s="220"/>
      <c r="E93" s="220"/>
      <c r="F93" s="220"/>
      <c r="G93" s="220"/>
      <c r="H93" s="220"/>
      <c r="I93" s="94">
        <f>IFERROR(SUMPRODUCT((TableBOM[Product ID]=B93)*(TableBOM[Material Category]="CAP")*TableBOM[Item ID]),0)</f>
        <v>0</v>
      </c>
    </row>
    <row r="94" spans="1:9" ht="15" customHeight="1" x14ac:dyDescent="0.25">
      <c r="A94" s="220"/>
      <c r="B94" s="220"/>
      <c r="C94" s="220"/>
      <c r="D94" s="220"/>
      <c r="E94" s="220"/>
      <c r="F94" s="220"/>
      <c r="G94" s="220"/>
      <c r="H94" s="220"/>
      <c r="I94" s="94">
        <f>IFERROR(SUMPRODUCT((TableBOM[Product ID]=B94)*(TableBOM[Material Category]="CAP")*TableBOM[Item ID]),0)</f>
        <v>0</v>
      </c>
    </row>
    <row r="95" spans="1:9" ht="15" customHeight="1" x14ac:dyDescent="0.25">
      <c r="A95" s="220"/>
      <c r="B95" s="220"/>
      <c r="C95" s="220"/>
      <c r="D95" s="220"/>
      <c r="E95" s="220"/>
      <c r="F95" s="220"/>
      <c r="G95" s="220"/>
      <c r="H95" s="220"/>
      <c r="I95" s="94">
        <f>IFERROR(SUMPRODUCT((TableBOM[Product ID]=B95)*(TableBOM[Material Category]="CAP")*TableBOM[Item ID]),0)</f>
        <v>0</v>
      </c>
    </row>
    <row r="96" spans="1:9" ht="15" customHeight="1" x14ac:dyDescent="0.25">
      <c r="A96" s="220"/>
      <c r="B96" s="220"/>
      <c r="C96" s="220"/>
      <c r="D96" s="220"/>
      <c r="E96" s="220"/>
      <c r="F96" s="220"/>
      <c r="G96" s="220"/>
      <c r="H96" s="220"/>
      <c r="I96" s="94">
        <f>IFERROR(SUMPRODUCT((TableBOM[Product ID]=B96)*(TableBOM[Material Category]="CAP")*TableBOM[Item ID]),0)</f>
        <v>0</v>
      </c>
    </row>
    <row r="97" spans="1:9" ht="15" customHeight="1" x14ac:dyDescent="0.25">
      <c r="A97" s="220"/>
      <c r="B97" s="220"/>
      <c r="C97" s="220"/>
      <c r="D97" s="220"/>
      <c r="E97" s="220"/>
      <c r="F97" s="220"/>
      <c r="G97" s="220"/>
      <c r="H97" s="220"/>
      <c r="I97" s="94">
        <f>IFERROR(SUMPRODUCT((TableBOM[Product ID]=B97)*(TableBOM[Material Category]="CAP")*TableBOM[Item ID]),0)</f>
        <v>0</v>
      </c>
    </row>
    <row r="98" spans="1:9" ht="15" customHeight="1" x14ac:dyDescent="0.25">
      <c r="A98" s="220"/>
      <c r="B98" s="220"/>
      <c r="C98" s="220"/>
      <c r="D98" s="220"/>
      <c r="E98" s="220"/>
      <c r="F98" s="220"/>
      <c r="G98" s="220"/>
      <c r="H98" s="220"/>
      <c r="I98" s="94">
        <f>IFERROR(SUMPRODUCT((TableBOM[Product ID]=B98)*(TableBOM[Material Category]="CAP")*TableBOM[Item ID]),0)</f>
        <v>0</v>
      </c>
    </row>
    <row r="99" spans="1:9" ht="15" customHeight="1" x14ac:dyDescent="0.25">
      <c r="A99" s="220"/>
      <c r="B99" s="220"/>
      <c r="C99" s="220"/>
      <c r="D99" s="220"/>
      <c r="E99" s="220"/>
      <c r="F99" s="220"/>
      <c r="G99" s="220"/>
      <c r="H99" s="220"/>
      <c r="I99" s="94">
        <f>IFERROR(SUMPRODUCT((TableBOM[Product ID]=B99)*(TableBOM[Material Category]="CAP")*TableBOM[Item ID]),0)</f>
        <v>0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2"/>
  <sheetViews>
    <sheetView showGridLines="0" topLeftCell="A34" zoomScaleNormal="100" workbookViewId="0">
      <pane ySplit="2" topLeftCell="A48" activePane="bottomLeft" state="frozen"/>
      <selection pane="bottomLeft" activeCell="A80" sqref="A80:F80"/>
    </sheetView>
  </sheetViews>
  <sheetFormatPr defaultColWidth="8.7109375" defaultRowHeight="15" x14ac:dyDescent="0.25"/>
  <cols>
    <col min="1" max="1" width="35.5703125" bestFit="1" customWidth="1"/>
    <col min="2" max="2" width="38" customWidth="1"/>
    <col min="3" max="4" width="50" customWidth="1"/>
    <col min="5" max="5" width="28" customWidth="1"/>
    <col min="6" max="10" width="40" customWidth="1"/>
  </cols>
  <sheetData>
    <row r="1" spans="1:6" ht="32.1" customHeight="1" x14ac:dyDescent="0.25">
      <c r="A1" s="259" t="s">
        <v>629</v>
      </c>
      <c r="B1" s="252"/>
      <c r="C1" s="252"/>
      <c r="D1" s="252"/>
      <c r="E1" s="252"/>
      <c r="F1" s="252"/>
    </row>
    <row r="2" spans="1:6" ht="18" customHeight="1" x14ac:dyDescent="0.25">
      <c r="A2" s="262" t="s">
        <v>630</v>
      </c>
      <c r="B2" s="252"/>
      <c r="C2" s="252"/>
      <c r="D2" s="252"/>
      <c r="E2" s="252"/>
      <c r="F2" s="252"/>
    </row>
    <row r="3" spans="1:6" ht="8.1" customHeight="1" x14ac:dyDescent="0.25">
      <c r="A3" s="121"/>
      <c r="B3" s="121"/>
      <c r="C3" s="122"/>
      <c r="D3" s="122"/>
      <c r="E3" s="122"/>
      <c r="F3" s="122"/>
    </row>
    <row r="4" spans="1:6" ht="24" customHeight="1" x14ac:dyDescent="0.25">
      <c r="A4" s="256" t="s">
        <v>631</v>
      </c>
      <c r="B4" s="252"/>
      <c r="C4" s="252"/>
      <c r="D4" s="252"/>
      <c r="E4" s="252"/>
      <c r="F4" s="252"/>
    </row>
    <row r="5" spans="1:6" ht="15.95" customHeight="1" x14ac:dyDescent="0.25">
      <c r="A5" s="260" t="s">
        <v>632</v>
      </c>
      <c r="B5" s="252"/>
      <c r="C5" s="252"/>
      <c r="D5" s="252"/>
      <c r="E5" s="252"/>
      <c r="F5" s="252"/>
    </row>
    <row r="6" spans="1:6" ht="18" customHeight="1" x14ac:dyDescent="0.25">
      <c r="A6" s="99" t="s">
        <v>633</v>
      </c>
      <c r="B6" s="100" t="s">
        <v>634</v>
      </c>
      <c r="C6" s="100" t="s">
        <v>635</v>
      </c>
      <c r="D6" s="100" t="s">
        <v>636</v>
      </c>
      <c r="E6" s="100" t="s">
        <v>637</v>
      </c>
      <c r="F6" s="100" t="s">
        <v>435</v>
      </c>
    </row>
    <row r="7" spans="1:6" ht="24" customHeight="1" x14ac:dyDescent="0.25">
      <c r="A7" s="123" t="s">
        <v>638</v>
      </c>
      <c r="B7" s="97" t="s">
        <v>639</v>
      </c>
      <c r="C7" s="97" t="s">
        <v>640</v>
      </c>
      <c r="D7" s="97" t="s">
        <v>641</v>
      </c>
      <c r="E7" s="97" t="s">
        <v>642</v>
      </c>
      <c r="F7" s="97" t="s">
        <v>643</v>
      </c>
    </row>
    <row r="8" spans="1:6" s="90" customFormat="1" x14ac:dyDescent="0.25">
      <c r="A8" s="124" t="s">
        <v>644</v>
      </c>
      <c r="B8" s="104" t="s">
        <v>645</v>
      </c>
      <c r="C8" s="104" t="s">
        <v>640</v>
      </c>
      <c r="D8" s="104" t="s">
        <v>646</v>
      </c>
      <c r="E8" s="104" t="s">
        <v>647</v>
      </c>
      <c r="F8" s="104" t="s">
        <v>648</v>
      </c>
    </row>
    <row r="9" spans="1:6" s="90" customFormat="1" x14ac:dyDescent="0.25">
      <c r="A9" s="123" t="s">
        <v>649</v>
      </c>
      <c r="B9" s="97" t="s">
        <v>650</v>
      </c>
      <c r="C9" s="97" t="s">
        <v>651</v>
      </c>
      <c r="D9" s="97" t="s">
        <v>652</v>
      </c>
      <c r="E9" s="97" t="s">
        <v>653</v>
      </c>
      <c r="F9" s="97" t="s">
        <v>654</v>
      </c>
    </row>
    <row r="10" spans="1:6" s="90" customFormat="1" ht="24" customHeight="1" x14ac:dyDescent="0.25">
      <c r="A10" s="103"/>
      <c r="B10" s="104" t="s">
        <v>655</v>
      </c>
      <c r="C10" s="104" t="s">
        <v>656</v>
      </c>
      <c r="D10" s="104" t="s">
        <v>647</v>
      </c>
      <c r="E10" s="104" t="s">
        <v>657</v>
      </c>
      <c r="F10" s="104" t="s">
        <v>658</v>
      </c>
    </row>
    <row r="11" spans="1:6" x14ac:dyDescent="0.25">
      <c r="A11" s="96"/>
      <c r="B11" s="97" t="s">
        <v>659</v>
      </c>
      <c r="C11" s="97" t="s">
        <v>660</v>
      </c>
      <c r="D11" s="97" t="s">
        <v>661</v>
      </c>
      <c r="E11" s="97" t="s">
        <v>662</v>
      </c>
      <c r="F11" s="97" t="s">
        <v>663</v>
      </c>
    </row>
    <row r="12" spans="1:6" x14ac:dyDescent="0.25">
      <c r="A12" s="103"/>
      <c r="B12" s="104" t="s">
        <v>664</v>
      </c>
      <c r="C12" s="104" t="s">
        <v>665</v>
      </c>
      <c r="D12" s="104" t="s">
        <v>666</v>
      </c>
      <c r="E12" s="104" t="s">
        <v>667</v>
      </c>
      <c r="F12" s="104" t="s">
        <v>668</v>
      </c>
    </row>
    <row r="13" spans="1:6" ht="24" customHeight="1" x14ac:dyDescent="0.25">
      <c r="A13" s="96"/>
      <c r="B13" s="97" t="s">
        <v>669</v>
      </c>
      <c r="C13" s="97" t="s">
        <v>670</v>
      </c>
      <c r="D13" s="97" t="s">
        <v>671</v>
      </c>
      <c r="E13" s="97" t="s">
        <v>672</v>
      </c>
      <c r="F13" s="97" t="s">
        <v>673</v>
      </c>
    </row>
    <row r="14" spans="1:6" x14ac:dyDescent="0.25">
      <c r="A14" s="103"/>
      <c r="B14" s="104" t="s">
        <v>674</v>
      </c>
      <c r="C14" s="104" t="s">
        <v>675</v>
      </c>
      <c r="D14" s="104" t="s">
        <v>676</v>
      </c>
      <c r="E14" s="104" t="s">
        <v>677</v>
      </c>
      <c r="F14" s="104" t="s">
        <v>678</v>
      </c>
    </row>
    <row r="15" spans="1:6" s="90" customFormat="1" ht="24" customHeight="1" x14ac:dyDescent="0.25">
      <c r="A15" s="123" t="s">
        <v>679</v>
      </c>
      <c r="B15" s="97" t="s">
        <v>680</v>
      </c>
      <c r="C15" s="97" t="s">
        <v>681</v>
      </c>
      <c r="D15" s="97"/>
      <c r="E15" s="97" t="s">
        <v>682</v>
      </c>
      <c r="F15" s="97" t="s">
        <v>683</v>
      </c>
    </row>
    <row r="16" spans="1:6" ht="24" customHeight="1" x14ac:dyDescent="0.25">
      <c r="A16" s="124" t="s">
        <v>684</v>
      </c>
      <c r="B16" s="104" t="s">
        <v>685</v>
      </c>
      <c r="C16" s="104" t="s">
        <v>640</v>
      </c>
      <c r="D16" s="104" t="s">
        <v>686</v>
      </c>
      <c r="E16" s="104" t="s">
        <v>687</v>
      </c>
      <c r="F16" s="104" t="s">
        <v>688</v>
      </c>
    </row>
    <row r="17" spans="1:6" s="90" customFormat="1" ht="8.1" customHeight="1" x14ac:dyDescent="0.2">
      <c r="A17" s="125"/>
      <c r="B17" s="126"/>
      <c r="C17" s="126"/>
      <c r="D17" s="126"/>
      <c r="E17" s="122"/>
      <c r="F17" s="122"/>
    </row>
    <row r="18" spans="1:6" s="90" customFormat="1" ht="15.95" customHeight="1" x14ac:dyDescent="0.25">
      <c r="A18" s="260" t="s">
        <v>689</v>
      </c>
      <c r="B18" s="261"/>
      <c r="C18" s="261"/>
      <c r="D18" s="261"/>
      <c r="E18" s="261"/>
      <c r="F18" s="261"/>
    </row>
    <row r="19" spans="1:6" s="90" customFormat="1" ht="15.95" customHeight="1" x14ac:dyDescent="0.25">
      <c r="A19" s="260" t="s">
        <v>690</v>
      </c>
      <c r="B19" s="261"/>
      <c r="C19" s="261"/>
      <c r="D19" s="261"/>
      <c r="E19" s="261"/>
      <c r="F19" s="261"/>
    </row>
    <row r="20" spans="1:6" s="90" customFormat="1" ht="15.95" customHeight="1" x14ac:dyDescent="0.25">
      <c r="A20" s="260" t="s">
        <v>691</v>
      </c>
      <c r="B20" s="261"/>
      <c r="C20" s="261"/>
      <c r="D20" s="261"/>
      <c r="E20" s="261"/>
      <c r="F20" s="261"/>
    </row>
    <row r="21" spans="1:6" ht="8.1" customHeight="1" x14ac:dyDescent="0.25">
      <c r="A21" s="127"/>
      <c r="B21" s="127"/>
      <c r="C21" s="127"/>
      <c r="D21" s="125"/>
      <c r="E21" s="122"/>
      <c r="F21" s="122"/>
    </row>
    <row r="22" spans="1:6" ht="24" customHeight="1" x14ac:dyDescent="0.25">
      <c r="A22" s="256" t="s">
        <v>692</v>
      </c>
      <c r="B22" s="252"/>
      <c r="C22" s="252"/>
      <c r="D22" s="252"/>
      <c r="E22" s="252"/>
      <c r="F22" s="252"/>
    </row>
    <row r="23" spans="1:6" ht="18" customHeight="1" x14ac:dyDescent="0.25">
      <c r="A23" s="99" t="s">
        <v>693</v>
      </c>
      <c r="B23" s="100" t="s">
        <v>694</v>
      </c>
      <c r="C23" s="100" t="s">
        <v>435</v>
      </c>
      <c r="D23" s="100" t="s">
        <v>695</v>
      </c>
      <c r="E23" s="100"/>
      <c r="F23" s="100"/>
    </row>
    <row r="24" spans="1:6" ht="24" customHeight="1" x14ac:dyDescent="0.25">
      <c r="A24" s="96" t="s">
        <v>696</v>
      </c>
      <c r="B24" s="97" t="s">
        <v>697</v>
      </c>
      <c r="C24" s="97" t="s">
        <v>698</v>
      </c>
      <c r="D24" s="97" t="s">
        <v>699</v>
      </c>
      <c r="E24" s="97"/>
      <c r="F24" s="97"/>
    </row>
    <row r="25" spans="1:6" ht="24" customHeight="1" x14ac:dyDescent="0.25">
      <c r="A25" s="103" t="s">
        <v>700</v>
      </c>
      <c r="B25" s="104" t="s">
        <v>701</v>
      </c>
      <c r="C25" s="104" t="s">
        <v>702</v>
      </c>
      <c r="D25" s="104" t="s">
        <v>703</v>
      </c>
      <c r="E25" s="104"/>
      <c r="F25" s="104"/>
    </row>
    <row r="26" spans="1:6" x14ac:dyDescent="0.25">
      <c r="A26" s="96" t="s">
        <v>704</v>
      </c>
      <c r="B26" s="97" t="s">
        <v>705</v>
      </c>
      <c r="C26" s="97" t="s">
        <v>706</v>
      </c>
      <c r="D26" s="97" t="s">
        <v>703</v>
      </c>
      <c r="E26" s="97"/>
      <c r="F26" s="97"/>
    </row>
    <row r="27" spans="1:6" ht="24" customHeight="1" x14ac:dyDescent="0.25">
      <c r="A27" s="103" t="s">
        <v>707</v>
      </c>
      <c r="B27" s="104" t="s">
        <v>708</v>
      </c>
      <c r="C27" s="104" t="s">
        <v>709</v>
      </c>
      <c r="D27" s="104" t="s">
        <v>703</v>
      </c>
      <c r="E27" s="104"/>
      <c r="F27" s="104"/>
    </row>
    <row r="28" spans="1:6" x14ac:dyDescent="0.25">
      <c r="A28" s="96" t="s">
        <v>710</v>
      </c>
      <c r="B28" s="97" t="s">
        <v>711</v>
      </c>
      <c r="C28" s="97" t="s">
        <v>712</v>
      </c>
      <c r="D28" s="97" t="s">
        <v>703</v>
      </c>
      <c r="E28" s="97"/>
      <c r="F28" s="97"/>
    </row>
    <row r="29" spans="1:6" x14ac:dyDescent="0.25">
      <c r="A29" s="103" t="s">
        <v>713</v>
      </c>
      <c r="B29" s="104" t="s">
        <v>714</v>
      </c>
      <c r="C29" s="104" t="s">
        <v>715</v>
      </c>
      <c r="D29" s="104"/>
      <c r="E29" s="104"/>
      <c r="F29" s="104"/>
    </row>
    <row r="30" spans="1:6" ht="8.1" customHeight="1" x14ac:dyDescent="0.25">
      <c r="A30" s="127"/>
      <c r="B30" s="127"/>
      <c r="C30" s="127"/>
      <c r="D30" s="125"/>
      <c r="E30" s="122"/>
      <c r="F30" s="122"/>
    </row>
    <row r="31" spans="1:6" ht="24" customHeight="1" x14ac:dyDescent="0.25">
      <c r="A31" s="256" t="s">
        <v>716</v>
      </c>
      <c r="B31" s="252"/>
      <c r="C31" s="252"/>
      <c r="D31" s="252"/>
      <c r="E31" s="252"/>
      <c r="F31" s="252"/>
    </row>
    <row r="32" spans="1:6" ht="18" customHeight="1" x14ac:dyDescent="0.25">
      <c r="A32" s="99" t="s">
        <v>717</v>
      </c>
      <c r="B32" s="100" t="s">
        <v>265</v>
      </c>
      <c r="C32" s="100" t="s">
        <v>718</v>
      </c>
      <c r="D32" s="100"/>
      <c r="E32" s="100"/>
      <c r="F32" s="100"/>
    </row>
    <row r="33" spans="1:6" ht="24" customHeight="1" x14ac:dyDescent="0.25">
      <c r="A33" s="96" t="s">
        <v>703</v>
      </c>
      <c r="B33" s="97" t="s">
        <v>719</v>
      </c>
      <c r="C33" s="97" t="s">
        <v>720</v>
      </c>
      <c r="D33" s="97"/>
      <c r="E33" s="97"/>
      <c r="F33" s="97"/>
    </row>
    <row r="34" spans="1:6" x14ac:dyDescent="0.25">
      <c r="A34" s="103" t="s">
        <v>721</v>
      </c>
      <c r="B34" s="104" t="s">
        <v>722</v>
      </c>
      <c r="C34" s="104" t="s">
        <v>723</v>
      </c>
      <c r="D34" s="104"/>
      <c r="E34" s="104"/>
      <c r="F34" s="104"/>
    </row>
    <row r="35" spans="1:6" x14ac:dyDescent="0.25">
      <c r="A35" s="96" t="s">
        <v>724</v>
      </c>
      <c r="B35" s="97" t="s">
        <v>725</v>
      </c>
      <c r="C35" s="97" t="s">
        <v>726</v>
      </c>
      <c r="D35" s="97"/>
      <c r="E35" s="97"/>
      <c r="F35" s="97"/>
    </row>
    <row r="36" spans="1:6" ht="8.1" customHeight="1" x14ac:dyDescent="0.25">
      <c r="A36" s="127"/>
      <c r="B36" s="127"/>
      <c r="C36" s="127"/>
      <c r="D36" s="125"/>
      <c r="E36" s="122"/>
      <c r="F36" s="122"/>
    </row>
    <row r="37" spans="1:6" ht="18" customHeight="1" x14ac:dyDescent="0.25">
      <c r="A37" s="99" t="s">
        <v>563</v>
      </c>
      <c r="B37" s="100" t="s">
        <v>507</v>
      </c>
      <c r="C37" s="100"/>
      <c r="D37" s="100"/>
      <c r="E37" s="100"/>
      <c r="F37" s="100"/>
    </row>
    <row r="38" spans="1:6" ht="24" customHeight="1" x14ac:dyDescent="0.25">
      <c r="A38" s="96" t="s">
        <v>727</v>
      </c>
      <c r="B38" s="97" t="s">
        <v>728</v>
      </c>
      <c r="C38" s="97"/>
      <c r="D38" s="97"/>
      <c r="E38" s="97"/>
      <c r="F38" s="97"/>
    </row>
    <row r="39" spans="1:6" ht="36" customHeight="1" x14ac:dyDescent="0.25">
      <c r="A39" s="103" t="s">
        <v>729</v>
      </c>
      <c r="B39" s="104" t="s">
        <v>730</v>
      </c>
      <c r="C39" s="104"/>
      <c r="D39" s="104"/>
      <c r="E39" s="104"/>
      <c r="F39" s="104"/>
    </row>
    <row r="40" spans="1:6" ht="24" customHeight="1" x14ac:dyDescent="0.25">
      <c r="A40" s="96" t="s">
        <v>731</v>
      </c>
      <c r="B40" s="97" t="s">
        <v>732</v>
      </c>
      <c r="C40" s="97"/>
      <c r="D40" s="97"/>
      <c r="E40" s="97"/>
      <c r="F40" s="97"/>
    </row>
    <row r="41" spans="1:6" ht="24" customHeight="1" x14ac:dyDescent="0.25">
      <c r="A41" s="103" t="s">
        <v>294</v>
      </c>
      <c r="B41" s="104" t="s">
        <v>733</v>
      </c>
      <c r="C41" s="104"/>
      <c r="D41" s="104"/>
      <c r="E41" s="104"/>
      <c r="F41" s="104"/>
    </row>
    <row r="42" spans="1:6" ht="24" customHeight="1" x14ac:dyDescent="0.25">
      <c r="A42" s="96" t="s">
        <v>734</v>
      </c>
      <c r="B42" s="97" t="s">
        <v>735</v>
      </c>
      <c r="C42" s="97"/>
      <c r="D42" s="97"/>
      <c r="E42" s="97"/>
      <c r="F42" s="97"/>
    </row>
    <row r="43" spans="1:6" ht="8.1" customHeight="1" x14ac:dyDescent="0.25">
      <c r="A43" s="127"/>
      <c r="B43" s="127"/>
      <c r="C43" s="127"/>
      <c r="D43" s="125"/>
      <c r="E43" s="122"/>
      <c r="F43" s="122"/>
    </row>
    <row r="44" spans="1:6" ht="24" customHeight="1" x14ac:dyDescent="0.25">
      <c r="A44" s="256" t="s">
        <v>736</v>
      </c>
      <c r="B44" s="252"/>
      <c r="C44" s="252"/>
      <c r="D44" s="252"/>
      <c r="E44" s="252"/>
      <c r="F44" s="252"/>
    </row>
    <row r="45" spans="1:6" ht="18" customHeight="1" x14ac:dyDescent="0.25">
      <c r="A45" s="99" t="s">
        <v>737</v>
      </c>
      <c r="B45" s="100" t="s">
        <v>738</v>
      </c>
      <c r="C45" s="100" t="s">
        <v>739</v>
      </c>
      <c r="D45" s="100"/>
      <c r="E45" s="100"/>
      <c r="F45" s="100"/>
    </row>
    <row r="46" spans="1:6" ht="36" customHeight="1" x14ac:dyDescent="0.25">
      <c r="A46" s="96" t="s">
        <v>740</v>
      </c>
      <c r="B46" s="97" t="s">
        <v>741</v>
      </c>
      <c r="C46" s="97" t="s">
        <v>742</v>
      </c>
      <c r="D46" s="97"/>
      <c r="E46" s="97"/>
      <c r="F46" s="97"/>
    </row>
    <row r="47" spans="1:6" ht="36" customHeight="1" x14ac:dyDescent="0.25">
      <c r="A47" s="103" t="s">
        <v>743</v>
      </c>
      <c r="B47" s="104" t="s">
        <v>744</v>
      </c>
      <c r="C47" s="104" t="s">
        <v>745</v>
      </c>
      <c r="D47" s="104"/>
      <c r="E47" s="104"/>
      <c r="F47" s="104"/>
    </row>
    <row r="48" spans="1:6" ht="48" customHeight="1" x14ac:dyDescent="0.25">
      <c r="A48" s="96" t="s">
        <v>746</v>
      </c>
      <c r="B48" s="97" t="s">
        <v>747</v>
      </c>
      <c r="C48" s="97"/>
      <c r="D48" s="97"/>
      <c r="E48" s="97"/>
      <c r="F48" s="97"/>
    </row>
    <row r="49" spans="1:6" ht="24" customHeight="1" x14ac:dyDescent="0.25">
      <c r="A49" s="103" t="s">
        <v>748</v>
      </c>
      <c r="B49" s="104" t="s">
        <v>749</v>
      </c>
      <c r="C49" s="104"/>
      <c r="D49" s="104"/>
      <c r="E49" s="104"/>
      <c r="F49" s="104"/>
    </row>
    <row r="50" spans="1:6" ht="24" customHeight="1" x14ac:dyDescent="0.25">
      <c r="A50" s="96" t="s">
        <v>750</v>
      </c>
      <c r="B50" s="97" t="s">
        <v>751</v>
      </c>
      <c r="C50" s="97"/>
      <c r="D50" s="97"/>
      <c r="E50" s="97"/>
      <c r="F50" s="97"/>
    </row>
    <row r="51" spans="1:6" ht="24" customHeight="1" x14ac:dyDescent="0.25">
      <c r="A51" s="103" t="s">
        <v>752</v>
      </c>
      <c r="B51" s="104" t="s">
        <v>753</v>
      </c>
      <c r="C51" s="104" t="s">
        <v>754</v>
      </c>
      <c r="D51" s="104"/>
      <c r="E51" s="104"/>
      <c r="F51" s="104"/>
    </row>
    <row r="52" spans="1:6" ht="24" customHeight="1" x14ac:dyDescent="0.25">
      <c r="A52" s="96" t="s">
        <v>755</v>
      </c>
      <c r="B52" s="97" t="s">
        <v>756</v>
      </c>
      <c r="C52" s="97" t="s">
        <v>757</v>
      </c>
      <c r="D52" s="97"/>
      <c r="E52" s="97"/>
      <c r="F52" s="97"/>
    </row>
    <row r="53" spans="1:6" ht="36" customHeight="1" x14ac:dyDescent="0.25">
      <c r="A53" s="103" t="s">
        <v>758</v>
      </c>
      <c r="B53" s="104" t="s">
        <v>759</v>
      </c>
      <c r="C53" s="104"/>
      <c r="D53" s="104"/>
      <c r="E53" s="104"/>
      <c r="F53" s="104"/>
    </row>
    <row r="54" spans="1:6" ht="24" customHeight="1" x14ac:dyDescent="0.25">
      <c r="A54" s="96" t="s">
        <v>760</v>
      </c>
      <c r="B54" s="97" t="s">
        <v>761</v>
      </c>
      <c r="C54" s="97"/>
      <c r="D54" s="97"/>
      <c r="E54" s="97"/>
      <c r="F54" s="97"/>
    </row>
    <row r="55" spans="1:6" ht="8.1" customHeight="1" x14ac:dyDescent="0.25">
      <c r="A55" s="127"/>
      <c r="B55" s="127"/>
      <c r="C55" s="127"/>
      <c r="D55" s="125"/>
      <c r="E55" s="122"/>
      <c r="F55" s="122"/>
    </row>
    <row r="56" spans="1:6" ht="24" customHeight="1" x14ac:dyDescent="0.25">
      <c r="A56" s="256" t="s">
        <v>762</v>
      </c>
      <c r="B56" s="252"/>
      <c r="C56" s="252"/>
      <c r="D56" s="252"/>
      <c r="E56" s="252"/>
      <c r="F56" s="252"/>
    </row>
    <row r="57" spans="1:6" ht="18" customHeight="1" x14ac:dyDescent="0.25">
      <c r="A57" s="99" t="s">
        <v>635</v>
      </c>
      <c r="B57" s="100" t="s">
        <v>763</v>
      </c>
      <c r="C57" s="100" t="s">
        <v>738</v>
      </c>
      <c r="D57" s="100" t="s">
        <v>764</v>
      </c>
      <c r="E57" s="100"/>
      <c r="F57" s="100"/>
    </row>
    <row r="58" spans="1:6" ht="24" customHeight="1" x14ac:dyDescent="0.25">
      <c r="A58" s="96" t="s">
        <v>656</v>
      </c>
      <c r="B58" s="97" t="s">
        <v>765</v>
      </c>
      <c r="C58" s="97" t="s">
        <v>766</v>
      </c>
      <c r="D58" s="97" t="s">
        <v>767</v>
      </c>
      <c r="E58" s="97"/>
      <c r="F58" s="97"/>
    </row>
    <row r="59" spans="1:6" ht="24" customHeight="1" x14ac:dyDescent="0.25">
      <c r="A59" s="103" t="s">
        <v>660</v>
      </c>
      <c r="B59" s="104" t="s">
        <v>765</v>
      </c>
      <c r="C59" s="104" t="s">
        <v>768</v>
      </c>
      <c r="D59" s="104" t="s">
        <v>767</v>
      </c>
      <c r="E59" s="104"/>
      <c r="F59" s="104"/>
    </row>
    <row r="60" spans="1:6" x14ac:dyDescent="0.25">
      <c r="A60" s="96" t="s">
        <v>665</v>
      </c>
      <c r="B60" s="97" t="s">
        <v>765</v>
      </c>
      <c r="C60" s="97" t="s">
        <v>769</v>
      </c>
      <c r="D60" s="97" t="s">
        <v>767</v>
      </c>
      <c r="E60" s="97"/>
      <c r="F60" s="97"/>
    </row>
    <row r="61" spans="1:6" ht="24" customHeight="1" x14ac:dyDescent="0.25">
      <c r="A61" s="103" t="s">
        <v>670</v>
      </c>
      <c r="B61" s="104" t="s">
        <v>765</v>
      </c>
      <c r="C61" s="104" t="s">
        <v>770</v>
      </c>
      <c r="D61" s="104" t="s">
        <v>771</v>
      </c>
      <c r="E61" s="104"/>
      <c r="F61" s="104"/>
    </row>
    <row r="62" spans="1:6" ht="24" customHeight="1" x14ac:dyDescent="0.25">
      <c r="A62" s="96" t="s">
        <v>675</v>
      </c>
      <c r="B62" s="97" t="s">
        <v>765</v>
      </c>
      <c r="C62" s="97" t="s">
        <v>772</v>
      </c>
      <c r="D62" s="97" t="s">
        <v>771</v>
      </c>
      <c r="E62" s="97"/>
      <c r="F62" s="97"/>
    </row>
    <row r="63" spans="1:6" ht="24" customHeight="1" x14ac:dyDescent="0.25">
      <c r="A63" s="103" t="s">
        <v>773</v>
      </c>
      <c r="B63" s="104" t="s">
        <v>765</v>
      </c>
      <c r="C63" s="104" t="s">
        <v>774</v>
      </c>
      <c r="D63" s="104" t="s">
        <v>771</v>
      </c>
      <c r="E63" s="104"/>
      <c r="F63" s="104"/>
    </row>
    <row r="64" spans="1:6" x14ac:dyDescent="0.25">
      <c r="A64" s="96" t="s">
        <v>651</v>
      </c>
      <c r="B64" s="97" t="s">
        <v>765</v>
      </c>
      <c r="C64" s="97" t="s">
        <v>775</v>
      </c>
      <c r="D64" s="97"/>
      <c r="E64" s="97"/>
      <c r="F64" s="97"/>
    </row>
    <row r="65" spans="1:6" ht="24" customHeight="1" x14ac:dyDescent="0.25">
      <c r="A65" s="103" t="s">
        <v>776</v>
      </c>
      <c r="B65" s="104" t="s">
        <v>765</v>
      </c>
      <c r="C65" s="104" t="s">
        <v>777</v>
      </c>
      <c r="D65" s="104"/>
      <c r="E65" s="104"/>
      <c r="F65" s="104"/>
    </row>
    <row r="66" spans="1:6" x14ac:dyDescent="0.25">
      <c r="A66" s="96" t="s">
        <v>778</v>
      </c>
      <c r="B66" s="97" t="s">
        <v>765</v>
      </c>
      <c r="C66" s="97" t="s">
        <v>779</v>
      </c>
      <c r="D66" s="97"/>
      <c r="E66" s="97"/>
      <c r="F66" s="97"/>
    </row>
    <row r="67" spans="1:6" ht="8.1" customHeight="1" x14ac:dyDescent="0.25">
      <c r="A67" s="127"/>
      <c r="B67" s="127"/>
      <c r="C67" s="127"/>
      <c r="D67" s="125"/>
      <c r="E67" s="122"/>
      <c r="F67" s="122"/>
    </row>
    <row r="68" spans="1:6" ht="24" customHeight="1" x14ac:dyDescent="0.25">
      <c r="A68" s="256" t="s">
        <v>780</v>
      </c>
      <c r="B68" s="252"/>
      <c r="C68" s="252"/>
      <c r="D68" s="252"/>
      <c r="E68" s="252"/>
      <c r="F68" s="252"/>
    </row>
    <row r="69" spans="1:6" ht="18" customHeight="1" x14ac:dyDescent="0.25">
      <c r="A69" s="99" t="s">
        <v>563</v>
      </c>
      <c r="B69" s="100" t="s">
        <v>507</v>
      </c>
      <c r="C69" s="100"/>
      <c r="D69" s="100"/>
      <c r="E69" s="100"/>
      <c r="F69" s="100"/>
    </row>
    <row r="70" spans="1:6" ht="24" customHeight="1" x14ac:dyDescent="0.25">
      <c r="A70" s="96" t="s">
        <v>781</v>
      </c>
      <c r="B70" s="97" t="s">
        <v>782</v>
      </c>
      <c r="C70" s="97"/>
      <c r="D70" s="97"/>
      <c r="E70" s="97"/>
      <c r="F70" s="97"/>
    </row>
    <row r="71" spans="1:6" ht="36" customHeight="1" x14ac:dyDescent="0.25">
      <c r="A71" s="103" t="s">
        <v>783</v>
      </c>
      <c r="B71" s="104" t="s">
        <v>784</v>
      </c>
      <c r="C71" s="104"/>
      <c r="D71" s="104"/>
      <c r="E71" s="104"/>
      <c r="F71" s="104"/>
    </row>
    <row r="72" spans="1:6" ht="36" customHeight="1" x14ac:dyDescent="0.25">
      <c r="A72" s="96" t="s">
        <v>785</v>
      </c>
      <c r="B72" s="97" t="s">
        <v>786</v>
      </c>
      <c r="C72" s="97"/>
      <c r="D72" s="97"/>
      <c r="E72" s="97"/>
      <c r="F72" s="97"/>
    </row>
    <row r="73" spans="1:6" ht="36" customHeight="1" x14ac:dyDescent="0.25">
      <c r="A73" s="103" t="s">
        <v>787</v>
      </c>
      <c r="B73" s="104" t="s">
        <v>788</v>
      </c>
      <c r="C73" s="104"/>
      <c r="D73" s="104"/>
      <c r="E73" s="104"/>
      <c r="F73" s="104"/>
    </row>
    <row r="74" spans="1:6" ht="36" customHeight="1" x14ac:dyDescent="0.25">
      <c r="A74" s="96" t="s">
        <v>789</v>
      </c>
      <c r="B74" s="97" t="s">
        <v>790</v>
      </c>
      <c r="C74" s="97"/>
      <c r="D74" s="97"/>
      <c r="E74" s="97"/>
      <c r="F74" s="97"/>
    </row>
    <row r="75" spans="1:6" ht="24" customHeight="1" x14ac:dyDescent="0.25">
      <c r="A75" s="103" t="s">
        <v>791</v>
      </c>
      <c r="B75" s="104" t="s">
        <v>792</v>
      </c>
      <c r="C75" s="104"/>
      <c r="D75" s="104"/>
      <c r="E75" s="104"/>
      <c r="F75" s="104"/>
    </row>
    <row r="76" spans="1:6" ht="24" customHeight="1" x14ac:dyDescent="0.25">
      <c r="A76" s="96" t="s">
        <v>793</v>
      </c>
      <c r="B76" s="97" t="s">
        <v>794</v>
      </c>
      <c r="C76" s="97"/>
      <c r="D76" s="97"/>
      <c r="E76" s="97"/>
      <c r="F76" s="97"/>
    </row>
    <row r="77" spans="1:6" ht="24" customHeight="1" x14ac:dyDescent="0.25">
      <c r="A77" s="103" t="s">
        <v>795</v>
      </c>
      <c r="B77" s="104" t="s">
        <v>796</v>
      </c>
      <c r="C77" s="104"/>
      <c r="D77" s="104"/>
      <c r="E77" s="104"/>
      <c r="F77" s="104"/>
    </row>
    <row r="78" spans="1:6" ht="24" customHeight="1" x14ac:dyDescent="0.25">
      <c r="A78" s="96" t="s">
        <v>797</v>
      </c>
      <c r="B78" s="97" t="s">
        <v>798</v>
      </c>
      <c r="C78" s="97"/>
      <c r="D78" s="97"/>
      <c r="E78" s="97"/>
      <c r="F78" s="97"/>
    </row>
    <row r="79" spans="1:6" ht="8.1" customHeight="1" x14ac:dyDescent="0.25">
      <c r="A79" s="127"/>
      <c r="B79" s="127"/>
      <c r="C79" s="127"/>
      <c r="D79" s="125"/>
      <c r="E79" s="122"/>
      <c r="F79" s="122"/>
    </row>
    <row r="80" spans="1:6" ht="24" customHeight="1" x14ac:dyDescent="0.25">
      <c r="A80" s="256" t="s">
        <v>799</v>
      </c>
      <c r="B80" s="252"/>
      <c r="C80" s="252"/>
      <c r="D80" s="252"/>
      <c r="E80" s="252"/>
      <c r="F80" s="252"/>
    </row>
    <row r="81" spans="1:6" ht="18" customHeight="1" x14ac:dyDescent="0.25">
      <c r="A81" s="99" t="s">
        <v>563</v>
      </c>
      <c r="B81" s="100" t="s">
        <v>507</v>
      </c>
      <c r="C81" s="100"/>
      <c r="D81" s="100"/>
      <c r="E81" s="100"/>
      <c r="F81" s="100"/>
    </row>
    <row r="82" spans="1:6" ht="36" customHeight="1" x14ac:dyDescent="0.25">
      <c r="A82" s="96" t="s">
        <v>800</v>
      </c>
      <c r="B82" s="97" t="s">
        <v>801</v>
      </c>
      <c r="C82" s="97"/>
      <c r="D82" s="97"/>
      <c r="E82" s="97"/>
      <c r="F82" s="97"/>
    </row>
    <row r="83" spans="1:6" ht="24" customHeight="1" x14ac:dyDescent="0.25">
      <c r="A83" s="103" t="s">
        <v>802</v>
      </c>
      <c r="B83" s="104" t="s">
        <v>803</v>
      </c>
      <c r="C83" s="104"/>
      <c r="D83" s="104"/>
      <c r="E83" s="104"/>
      <c r="F83" s="104"/>
    </row>
    <row r="84" spans="1:6" ht="36" customHeight="1" x14ac:dyDescent="0.25">
      <c r="A84" s="96" t="s">
        <v>804</v>
      </c>
      <c r="B84" s="97" t="s">
        <v>805</v>
      </c>
      <c r="C84" s="97"/>
      <c r="D84" s="97"/>
      <c r="E84" s="97"/>
      <c r="F84" s="97"/>
    </row>
    <row r="85" spans="1:6" ht="36" customHeight="1" x14ac:dyDescent="0.25">
      <c r="A85" s="103" t="s">
        <v>806</v>
      </c>
      <c r="B85" s="104" t="s">
        <v>807</v>
      </c>
      <c r="C85" s="104"/>
      <c r="D85" s="104"/>
      <c r="E85" s="104"/>
      <c r="F85" s="104"/>
    </row>
    <row r="86" spans="1:6" ht="36" customHeight="1" x14ac:dyDescent="0.25">
      <c r="A86" s="96" t="s">
        <v>808</v>
      </c>
      <c r="B86" s="97" t="s">
        <v>809</v>
      </c>
      <c r="C86" s="97"/>
      <c r="D86" s="97"/>
      <c r="E86" s="97"/>
      <c r="F86" s="97"/>
    </row>
    <row r="87" spans="1:6" ht="24" customHeight="1" x14ac:dyDescent="0.25">
      <c r="A87" s="103" t="s">
        <v>810</v>
      </c>
      <c r="B87" s="104" t="s">
        <v>811</v>
      </c>
      <c r="C87" s="104"/>
      <c r="D87" s="104"/>
      <c r="E87" s="104"/>
      <c r="F87" s="104"/>
    </row>
    <row r="88" spans="1:6" ht="36" customHeight="1" x14ac:dyDescent="0.25">
      <c r="A88" s="96" t="s">
        <v>812</v>
      </c>
      <c r="B88" s="97" t="s">
        <v>813</v>
      </c>
      <c r="C88" s="97"/>
      <c r="D88" s="97"/>
      <c r="E88" s="97"/>
      <c r="F88" s="97"/>
    </row>
    <row r="89" spans="1:6" ht="36" customHeight="1" x14ac:dyDescent="0.25">
      <c r="A89" s="103" t="s">
        <v>814</v>
      </c>
      <c r="B89" s="104" t="s">
        <v>815</v>
      </c>
      <c r="C89" s="104"/>
      <c r="D89" s="104"/>
      <c r="E89" s="104"/>
      <c r="F89" s="104"/>
    </row>
    <row r="90" spans="1:6" ht="24" customHeight="1" x14ac:dyDescent="0.25">
      <c r="A90" s="96" t="s">
        <v>816</v>
      </c>
      <c r="B90" s="97" t="s">
        <v>817</v>
      </c>
      <c r="C90" s="97"/>
      <c r="D90" s="97"/>
      <c r="E90" s="97"/>
      <c r="F90" s="97"/>
    </row>
    <row r="91" spans="1:6" ht="36" customHeight="1" x14ac:dyDescent="0.25">
      <c r="A91" s="103" t="s">
        <v>818</v>
      </c>
      <c r="B91" s="104" t="s">
        <v>819</v>
      </c>
      <c r="C91" s="104"/>
      <c r="D91" s="104"/>
      <c r="E91" s="104"/>
      <c r="F91" s="104"/>
    </row>
    <row r="92" spans="1:6" ht="24" customHeight="1" x14ac:dyDescent="0.25">
      <c r="A92" s="96" t="s">
        <v>820</v>
      </c>
      <c r="B92" s="97" t="s">
        <v>821</v>
      </c>
      <c r="C92" s="97"/>
      <c r="D92" s="97"/>
      <c r="E92" s="97"/>
      <c r="F92" s="97"/>
    </row>
    <row r="93" spans="1:6" ht="8.1" customHeight="1" x14ac:dyDescent="0.25">
      <c r="A93" s="121"/>
      <c r="B93" s="126"/>
      <c r="C93" s="126"/>
      <c r="D93" s="126"/>
      <c r="E93" s="122"/>
      <c r="F93" s="122"/>
    </row>
    <row r="94" spans="1:6" ht="24" customHeight="1" x14ac:dyDescent="0.25">
      <c r="A94" s="256" t="s">
        <v>822</v>
      </c>
      <c r="B94" s="252"/>
      <c r="C94" s="252"/>
      <c r="D94" s="252"/>
      <c r="E94" s="252"/>
      <c r="F94" s="252"/>
    </row>
    <row r="95" spans="1:6" ht="18" customHeight="1" x14ac:dyDescent="0.25">
      <c r="A95" s="99" t="s">
        <v>823</v>
      </c>
      <c r="B95" s="100" t="s">
        <v>507</v>
      </c>
      <c r="C95" s="100" t="s">
        <v>435</v>
      </c>
      <c r="D95" s="100"/>
      <c r="E95" s="100"/>
      <c r="F95" s="100"/>
    </row>
    <row r="96" spans="1:6" x14ac:dyDescent="0.25">
      <c r="A96" s="96" t="s">
        <v>824</v>
      </c>
      <c r="B96" s="97" t="s">
        <v>169</v>
      </c>
      <c r="C96" s="97" t="s">
        <v>825</v>
      </c>
      <c r="D96" s="97"/>
      <c r="E96" s="97"/>
      <c r="F96" s="97"/>
    </row>
    <row r="97" spans="1:6" x14ac:dyDescent="0.25">
      <c r="A97" s="103" t="s">
        <v>826</v>
      </c>
      <c r="B97" s="104" t="s">
        <v>182</v>
      </c>
      <c r="C97" s="104"/>
      <c r="D97" s="104"/>
      <c r="E97" s="104"/>
      <c r="F97" s="104"/>
    </row>
    <row r="98" spans="1:6" x14ac:dyDescent="0.25">
      <c r="A98" s="96" t="s">
        <v>827</v>
      </c>
      <c r="B98" s="97" t="s">
        <v>238</v>
      </c>
      <c r="C98" s="97"/>
      <c r="D98" s="97"/>
      <c r="E98" s="97"/>
      <c r="F98" s="97"/>
    </row>
    <row r="99" spans="1:6" x14ac:dyDescent="0.25">
      <c r="A99" s="103" t="s">
        <v>828</v>
      </c>
      <c r="B99" s="104" t="s">
        <v>218</v>
      </c>
      <c r="C99" s="104"/>
      <c r="D99" s="104"/>
      <c r="E99" s="104"/>
      <c r="F99" s="104"/>
    </row>
    <row r="100" spans="1:6" x14ac:dyDescent="0.25">
      <c r="A100" s="96" t="s">
        <v>829</v>
      </c>
      <c r="B100" s="97" t="s">
        <v>830</v>
      </c>
      <c r="C100" s="97"/>
      <c r="D100" s="97"/>
      <c r="E100" s="97"/>
      <c r="F100" s="97"/>
    </row>
    <row r="101" spans="1:6" ht="24" customHeight="1" x14ac:dyDescent="0.25">
      <c r="A101" s="103" t="s">
        <v>831</v>
      </c>
      <c r="B101" s="104" t="s">
        <v>832</v>
      </c>
      <c r="C101" s="104" t="s">
        <v>833</v>
      </c>
      <c r="D101" s="104"/>
      <c r="E101" s="104"/>
      <c r="F101" s="104"/>
    </row>
    <row r="102" spans="1:6" ht="24" customHeight="1" x14ac:dyDescent="0.25">
      <c r="A102" s="96" t="s">
        <v>834</v>
      </c>
      <c r="B102" s="97" t="s">
        <v>835</v>
      </c>
      <c r="C102" s="97"/>
      <c r="D102" s="97"/>
      <c r="E102" s="97"/>
      <c r="F102" s="97"/>
    </row>
    <row r="103" spans="1:6" ht="24" customHeight="1" x14ac:dyDescent="0.25">
      <c r="A103" s="96" t="s">
        <v>836</v>
      </c>
      <c r="B103" s="97"/>
      <c r="C103" s="97"/>
      <c r="D103" s="97"/>
      <c r="E103" s="97"/>
      <c r="F103" s="97"/>
    </row>
    <row r="104" spans="1:6" ht="24" customHeight="1" x14ac:dyDescent="0.25">
      <c r="A104" s="96" t="s">
        <v>837</v>
      </c>
      <c r="B104" s="97"/>
      <c r="C104" s="97"/>
      <c r="D104" s="97"/>
      <c r="E104" s="97"/>
      <c r="F104" s="97"/>
    </row>
    <row r="105" spans="1:6" ht="36" customHeight="1" x14ac:dyDescent="0.25">
      <c r="A105" s="96" t="s">
        <v>838</v>
      </c>
      <c r="B105" s="97" t="s">
        <v>839</v>
      </c>
      <c r="C105" s="97"/>
      <c r="D105" s="97"/>
      <c r="E105" s="97"/>
      <c r="F105" s="97"/>
    </row>
    <row r="106" spans="1:6" x14ac:dyDescent="0.25">
      <c r="A106" s="103" t="s">
        <v>117</v>
      </c>
      <c r="B106" s="104" t="s">
        <v>840</v>
      </c>
      <c r="C106" s="104"/>
      <c r="D106" s="104"/>
      <c r="E106" s="104"/>
      <c r="F106" s="104"/>
    </row>
    <row r="107" spans="1:6" ht="24" customHeight="1" x14ac:dyDescent="0.25">
      <c r="A107" s="96" t="s">
        <v>841</v>
      </c>
      <c r="B107" s="97" t="s">
        <v>842</v>
      </c>
      <c r="C107" s="97" t="s">
        <v>843</v>
      </c>
      <c r="D107" s="97"/>
      <c r="E107" s="97"/>
      <c r="F107" s="97"/>
    </row>
    <row r="108" spans="1:6" ht="36" customHeight="1" x14ac:dyDescent="0.25">
      <c r="A108" s="103" t="s">
        <v>844</v>
      </c>
      <c r="B108" s="104" t="s">
        <v>845</v>
      </c>
      <c r="C108" s="104"/>
      <c r="D108" s="104"/>
      <c r="E108" s="104"/>
      <c r="F108" s="104"/>
    </row>
    <row r="109" spans="1:6" ht="8.1" customHeight="1" x14ac:dyDescent="0.25">
      <c r="A109" s="127"/>
      <c r="B109" s="127"/>
      <c r="C109" s="127"/>
      <c r="D109" s="125"/>
      <c r="E109" s="122"/>
      <c r="F109" s="122"/>
    </row>
    <row r="110" spans="1:6" ht="24" customHeight="1" x14ac:dyDescent="0.25">
      <c r="A110" s="256" t="s">
        <v>846</v>
      </c>
      <c r="B110" s="252"/>
      <c r="C110" s="252"/>
      <c r="D110" s="252"/>
      <c r="E110" s="252"/>
      <c r="F110" s="252"/>
    </row>
    <row r="111" spans="1:6" ht="18" customHeight="1" x14ac:dyDescent="0.25">
      <c r="A111" s="99" t="s">
        <v>847</v>
      </c>
      <c r="B111" s="100" t="s">
        <v>507</v>
      </c>
      <c r="C111" s="100" t="s">
        <v>435</v>
      </c>
      <c r="D111" s="100"/>
      <c r="E111" s="100"/>
      <c r="F111" s="100"/>
    </row>
    <row r="112" spans="1:6" ht="24" customHeight="1" x14ac:dyDescent="0.25">
      <c r="A112" s="96" t="s">
        <v>848</v>
      </c>
      <c r="B112" s="97" t="s">
        <v>849</v>
      </c>
      <c r="C112" s="97"/>
      <c r="D112" s="97"/>
      <c r="E112" s="97"/>
      <c r="F112" s="97"/>
    </row>
    <row r="113" spans="1:6" ht="48" customHeight="1" x14ac:dyDescent="0.25">
      <c r="A113" s="103" t="s">
        <v>850</v>
      </c>
      <c r="B113" s="104" t="s">
        <v>851</v>
      </c>
      <c r="C113" s="104" t="s">
        <v>852</v>
      </c>
      <c r="D113" s="104"/>
      <c r="E113" s="104"/>
      <c r="F113" s="104"/>
    </row>
    <row r="114" spans="1:6" ht="24" customHeight="1" x14ac:dyDescent="0.25">
      <c r="A114" s="96" t="s">
        <v>853</v>
      </c>
      <c r="B114" s="97" t="s">
        <v>854</v>
      </c>
      <c r="C114" s="97"/>
      <c r="D114" s="97"/>
      <c r="E114" s="97"/>
      <c r="F114" s="97"/>
    </row>
    <row r="115" spans="1:6" ht="24" customHeight="1" x14ac:dyDescent="0.25">
      <c r="A115" s="103" t="s">
        <v>855</v>
      </c>
      <c r="B115" s="104" t="s">
        <v>856</v>
      </c>
      <c r="C115" s="104" t="s">
        <v>857</v>
      </c>
      <c r="D115" s="104"/>
      <c r="E115" s="104"/>
      <c r="F115" s="104"/>
    </row>
    <row r="116" spans="1:6" ht="36" customHeight="1" x14ac:dyDescent="0.25">
      <c r="A116" s="96" t="s">
        <v>858</v>
      </c>
      <c r="B116" s="97" t="s">
        <v>859</v>
      </c>
      <c r="C116" s="97"/>
      <c r="D116" s="97"/>
      <c r="E116" s="97"/>
      <c r="F116" s="97"/>
    </row>
    <row r="117" spans="1:6" ht="8.1" customHeight="1" x14ac:dyDescent="0.25">
      <c r="A117" s="127"/>
      <c r="B117" s="127"/>
      <c r="C117" s="127"/>
      <c r="D117" s="125"/>
      <c r="E117" s="122"/>
      <c r="F117" s="122"/>
    </row>
    <row r="118" spans="1:6" ht="24" customHeight="1" x14ac:dyDescent="0.25">
      <c r="A118" s="256" t="s">
        <v>860</v>
      </c>
      <c r="B118" s="252"/>
      <c r="C118" s="252"/>
      <c r="D118" s="252"/>
      <c r="E118" s="252"/>
      <c r="F118" s="252"/>
    </row>
    <row r="119" spans="1:6" ht="15.95" customHeight="1" x14ac:dyDescent="0.25">
      <c r="A119" s="260" t="s">
        <v>861</v>
      </c>
      <c r="B119" s="252"/>
      <c r="C119" s="252"/>
      <c r="D119" s="252"/>
      <c r="E119" s="252"/>
      <c r="F119" s="252"/>
    </row>
    <row r="120" spans="1:6" ht="18" customHeight="1" x14ac:dyDescent="0.25">
      <c r="A120" s="99" t="s">
        <v>563</v>
      </c>
      <c r="B120" s="100" t="s">
        <v>507</v>
      </c>
      <c r="C120" s="100"/>
      <c r="D120" s="100"/>
      <c r="E120" s="100"/>
      <c r="F120" s="100"/>
    </row>
    <row r="121" spans="1:6" ht="24" customHeight="1" x14ac:dyDescent="0.25">
      <c r="A121" s="96" t="s">
        <v>564</v>
      </c>
      <c r="B121" s="97" t="s">
        <v>565</v>
      </c>
      <c r="C121" s="97"/>
      <c r="D121" s="97"/>
      <c r="E121" s="97"/>
      <c r="F121" s="97"/>
    </row>
    <row r="122" spans="1:6" ht="24" customHeight="1" x14ac:dyDescent="0.25">
      <c r="A122" s="103" t="s">
        <v>566</v>
      </c>
      <c r="B122" s="104" t="s">
        <v>862</v>
      </c>
      <c r="C122" s="104"/>
      <c r="D122" s="104"/>
      <c r="E122" s="104"/>
      <c r="F122" s="104"/>
    </row>
    <row r="123" spans="1:6" x14ac:dyDescent="0.25">
      <c r="A123" s="96" t="s">
        <v>568</v>
      </c>
      <c r="B123" s="97" t="s">
        <v>569</v>
      </c>
      <c r="C123" s="97"/>
      <c r="D123" s="97"/>
      <c r="E123" s="97"/>
      <c r="F123" s="97"/>
    </row>
    <row r="124" spans="1:6" ht="24" customHeight="1" x14ac:dyDescent="0.25">
      <c r="A124" s="103" t="s">
        <v>570</v>
      </c>
      <c r="B124" s="104" t="s">
        <v>863</v>
      </c>
      <c r="C124" s="104"/>
      <c r="D124" s="104"/>
      <c r="E124" s="104"/>
      <c r="F124" s="104"/>
    </row>
    <row r="125" spans="1:6" ht="24" customHeight="1" x14ac:dyDescent="0.25">
      <c r="A125" s="96" t="s">
        <v>572</v>
      </c>
      <c r="B125" s="97" t="s">
        <v>573</v>
      </c>
      <c r="C125" s="97"/>
      <c r="D125" s="97"/>
      <c r="E125" s="97"/>
      <c r="F125" s="97"/>
    </row>
    <row r="126" spans="1:6" ht="24" customHeight="1" x14ac:dyDescent="0.25">
      <c r="A126" s="103" t="s">
        <v>574</v>
      </c>
      <c r="B126" s="104" t="s">
        <v>864</v>
      </c>
      <c r="C126" s="104"/>
      <c r="D126" s="104"/>
      <c r="E126" s="104"/>
      <c r="F126" s="104"/>
    </row>
    <row r="127" spans="1:6" ht="8.1" customHeight="1" x14ac:dyDescent="0.25">
      <c r="A127" s="122"/>
      <c r="B127" s="122"/>
      <c r="C127" s="122"/>
      <c r="D127" s="122"/>
      <c r="E127" s="122"/>
      <c r="F127" s="122"/>
    </row>
    <row r="128" spans="1:6" ht="24" customHeight="1" x14ac:dyDescent="0.25">
      <c r="A128" s="256" t="s">
        <v>865</v>
      </c>
      <c r="B128" s="252"/>
      <c r="C128" s="252"/>
      <c r="D128" s="252"/>
      <c r="E128" s="252"/>
      <c r="F128" s="252"/>
    </row>
    <row r="129" spans="1:6" ht="18" customHeight="1" x14ac:dyDescent="0.25">
      <c r="A129" s="99" t="s">
        <v>633</v>
      </c>
      <c r="B129" s="100" t="s">
        <v>866</v>
      </c>
      <c r="C129" s="100" t="s">
        <v>867</v>
      </c>
      <c r="D129" s="100" t="s">
        <v>294</v>
      </c>
      <c r="E129" s="100"/>
      <c r="F129" s="100"/>
    </row>
    <row r="130" spans="1:6" ht="24" customHeight="1" x14ac:dyDescent="0.25">
      <c r="A130" s="123" t="s">
        <v>638</v>
      </c>
      <c r="B130" s="97" t="s">
        <v>868</v>
      </c>
      <c r="C130" s="97" t="s">
        <v>869</v>
      </c>
      <c r="D130" s="101" t="s">
        <v>420</v>
      </c>
      <c r="E130" s="97"/>
      <c r="F130" s="97"/>
    </row>
    <row r="131" spans="1:6" ht="24" customHeight="1" x14ac:dyDescent="0.25">
      <c r="A131" s="124" t="s">
        <v>644</v>
      </c>
      <c r="B131" s="104" t="s">
        <v>870</v>
      </c>
      <c r="C131" s="104" t="s">
        <v>707</v>
      </c>
      <c r="D131" s="105" t="s">
        <v>439</v>
      </c>
      <c r="E131" s="104"/>
      <c r="F131" s="104"/>
    </row>
    <row r="132" spans="1:6" ht="24" customHeight="1" x14ac:dyDescent="0.25">
      <c r="A132" s="123" t="s">
        <v>649</v>
      </c>
      <c r="B132" s="97" t="s">
        <v>871</v>
      </c>
      <c r="C132" s="97" t="s">
        <v>869</v>
      </c>
      <c r="D132" s="101" t="s">
        <v>420</v>
      </c>
      <c r="E132" s="97"/>
      <c r="F132" s="97"/>
    </row>
    <row r="133" spans="1:6" ht="24" customHeight="1" x14ac:dyDescent="0.25">
      <c r="A133" s="124" t="s">
        <v>679</v>
      </c>
      <c r="B133" s="104" t="s">
        <v>872</v>
      </c>
      <c r="C133" s="104" t="s">
        <v>869</v>
      </c>
      <c r="D133" s="105" t="s">
        <v>420</v>
      </c>
      <c r="E133" s="104"/>
      <c r="F133" s="104"/>
    </row>
    <row r="134" spans="1:6" ht="24" customHeight="1" x14ac:dyDescent="0.25">
      <c r="A134" s="123" t="s">
        <v>684</v>
      </c>
      <c r="B134" s="97" t="s">
        <v>873</v>
      </c>
      <c r="C134" s="97" t="s">
        <v>707</v>
      </c>
      <c r="D134" s="101" t="s">
        <v>420</v>
      </c>
      <c r="E134" s="97"/>
      <c r="F134" s="97"/>
    </row>
    <row r="135" spans="1:6" ht="24" customHeight="1" x14ac:dyDescent="0.25">
      <c r="A135" s="124" t="s">
        <v>874</v>
      </c>
      <c r="B135" s="104" t="s">
        <v>875</v>
      </c>
      <c r="C135" s="104" t="s">
        <v>707</v>
      </c>
      <c r="D135" s="110" t="s">
        <v>458</v>
      </c>
      <c r="E135" s="104"/>
      <c r="F135" s="104"/>
    </row>
    <row r="136" spans="1:6" ht="36" customHeight="1" x14ac:dyDescent="0.25">
      <c r="A136" s="123" t="s">
        <v>876</v>
      </c>
      <c r="B136" s="97" t="s">
        <v>877</v>
      </c>
      <c r="C136" s="97" t="s">
        <v>707</v>
      </c>
      <c r="D136" s="111" t="s">
        <v>458</v>
      </c>
      <c r="E136" s="97"/>
      <c r="F136" s="97"/>
    </row>
    <row r="137" spans="1:6" ht="24" customHeight="1" x14ac:dyDescent="0.25">
      <c r="A137" s="124" t="s">
        <v>878</v>
      </c>
      <c r="B137" s="104" t="s">
        <v>879</v>
      </c>
      <c r="C137" s="104" t="s">
        <v>707</v>
      </c>
      <c r="D137" s="105" t="s">
        <v>420</v>
      </c>
      <c r="E137" s="104"/>
      <c r="F137" s="104"/>
    </row>
    <row r="138" spans="1:6" ht="24" customHeight="1" x14ac:dyDescent="0.25">
      <c r="A138" s="123" t="s">
        <v>880</v>
      </c>
      <c r="B138" s="97" t="s">
        <v>881</v>
      </c>
      <c r="C138" s="97" t="s">
        <v>707</v>
      </c>
      <c r="D138" s="101" t="s">
        <v>420</v>
      </c>
      <c r="E138" s="97"/>
      <c r="F138" s="97"/>
    </row>
    <row r="139" spans="1:6" ht="24" customHeight="1" x14ac:dyDescent="0.25">
      <c r="A139" s="124" t="s">
        <v>882</v>
      </c>
      <c r="B139" s="104" t="s">
        <v>883</v>
      </c>
      <c r="C139" s="104" t="s">
        <v>696</v>
      </c>
      <c r="D139" s="104" t="s">
        <v>522</v>
      </c>
      <c r="E139" s="104"/>
      <c r="F139" s="104"/>
    </row>
    <row r="140" spans="1:6" ht="24" customHeight="1" x14ac:dyDescent="0.25">
      <c r="A140" s="123" t="s">
        <v>884</v>
      </c>
      <c r="B140" s="97" t="s">
        <v>885</v>
      </c>
      <c r="C140" s="97" t="s">
        <v>869</v>
      </c>
      <c r="D140" s="101" t="s">
        <v>420</v>
      </c>
      <c r="E140" s="97"/>
      <c r="F140" s="97"/>
    </row>
    <row r="141" spans="1:6" ht="24" customHeight="1" x14ac:dyDescent="0.25">
      <c r="A141" s="124" t="s">
        <v>886</v>
      </c>
      <c r="B141" s="104" t="s">
        <v>887</v>
      </c>
      <c r="C141" s="104" t="s">
        <v>707</v>
      </c>
      <c r="D141" s="110" t="s">
        <v>458</v>
      </c>
      <c r="E141" s="104"/>
      <c r="F141" s="104"/>
    </row>
    <row r="142" spans="1:6" ht="24" customHeight="1" x14ac:dyDescent="0.25">
      <c r="A142" s="123" t="s">
        <v>888</v>
      </c>
      <c r="B142" s="97" t="s">
        <v>889</v>
      </c>
      <c r="C142" s="97" t="s">
        <v>707</v>
      </c>
      <c r="D142" s="111" t="s">
        <v>458</v>
      </c>
      <c r="E142" s="97"/>
      <c r="F142" s="97"/>
    </row>
    <row r="143" spans="1:6" ht="24" customHeight="1" x14ac:dyDescent="0.25">
      <c r="A143" s="124" t="s">
        <v>890</v>
      </c>
      <c r="B143" s="104" t="s">
        <v>891</v>
      </c>
      <c r="C143" s="104" t="s">
        <v>869</v>
      </c>
      <c r="D143" s="110" t="s">
        <v>458</v>
      </c>
      <c r="E143" s="104"/>
      <c r="F143" s="104"/>
    </row>
    <row r="144" spans="1:6" ht="24" customHeight="1" x14ac:dyDescent="0.25">
      <c r="A144" s="123" t="s">
        <v>892</v>
      </c>
      <c r="B144" s="97" t="s">
        <v>893</v>
      </c>
      <c r="C144" s="97" t="s">
        <v>869</v>
      </c>
      <c r="D144" s="111" t="s">
        <v>458</v>
      </c>
      <c r="E144" s="97"/>
      <c r="F144" s="97"/>
    </row>
    <row r="145" spans="1:6" ht="24" customHeight="1" x14ac:dyDescent="0.25">
      <c r="A145" s="124" t="s">
        <v>894</v>
      </c>
      <c r="B145" s="104" t="s">
        <v>895</v>
      </c>
      <c r="C145" s="104" t="s">
        <v>707</v>
      </c>
      <c r="D145" s="105" t="s">
        <v>420</v>
      </c>
      <c r="E145" s="104"/>
      <c r="F145" s="104"/>
    </row>
    <row r="146" spans="1:6" ht="36" customHeight="1" x14ac:dyDescent="0.25">
      <c r="A146" s="123" t="s">
        <v>896</v>
      </c>
      <c r="B146" s="97" t="s">
        <v>897</v>
      </c>
      <c r="C146" s="97" t="s">
        <v>707</v>
      </c>
      <c r="D146" s="97" t="s">
        <v>522</v>
      </c>
      <c r="E146" s="97"/>
      <c r="F146" s="97"/>
    </row>
    <row r="147" spans="1:6" ht="36" customHeight="1" x14ac:dyDescent="0.25">
      <c r="A147" s="124" t="s">
        <v>898</v>
      </c>
      <c r="B147" s="104" t="s">
        <v>899</v>
      </c>
      <c r="C147" s="104" t="s">
        <v>696</v>
      </c>
      <c r="D147" s="104" t="s">
        <v>522</v>
      </c>
      <c r="E147" s="104"/>
      <c r="F147" s="104"/>
    </row>
    <row r="148" spans="1:6" ht="24" customHeight="1" x14ac:dyDescent="0.25">
      <c r="A148" s="123" t="s">
        <v>628</v>
      </c>
      <c r="B148" s="97" t="s">
        <v>900</v>
      </c>
      <c r="C148" s="97" t="s">
        <v>704</v>
      </c>
      <c r="D148" s="111" t="s">
        <v>458</v>
      </c>
      <c r="E148" s="97"/>
      <c r="F148" s="97"/>
    </row>
    <row r="149" spans="1:6" ht="24" customHeight="1" x14ac:dyDescent="0.25">
      <c r="A149" s="124" t="s">
        <v>901</v>
      </c>
      <c r="B149" s="104" t="s">
        <v>902</v>
      </c>
      <c r="C149" s="104" t="s">
        <v>707</v>
      </c>
      <c r="D149" s="110" t="s">
        <v>458</v>
      </c>
      <c r="E149" s="104"/>
      <c r="F149" s="104"/>
    </row>
    <row r="150" spans="1:6" ht="24" customHeight="1" x14ac:dyDescent="0.25">
      <c r="A150" s="123" t="s">
        <v>903</v>
      </c>
      <c r="B150" s="97" t="s">
        <v>904</v>
      </c>
      <c r="C150" s="97" t="s">
        <v>707</v>
      </c>
      <c r="D150" s="101" t="s">
        <v>420</v>
      </c>
      <c r="E150" s="97"/>
      <c r="F150" s="97"/>
    </row>
    <row r="151" spans="1:6" ht="8.1" customHeight="1" x14ac:dyDescent="0.25">
      <c r="A151" s="122"/>
      <c r="B151" s="122"/>
      <c r="C151" s="122"/>
      <c r="D151" s="122"/>
      <c r="E151" s="122"/>
      <c r="F151" s="122"/>
    </row>
    <row r="152" spans="1:6" ht="24" customHeight="1" x14ac:dyDescent="0.25">
      <c r="A152" s="256" t="s">
        <v>905</v>
      </c>
      <c r="B152" s="252"/>
      <c r="C152" s="252"/>
      <c r="D152" s="252"/>
      <c r="E152" s="252"/>
      <c r="F152" s="252"/>
    </row>
    <row r="153" spans="1:6" ht="18" customHeight="1" x14ac:dyDescent="0.25">
      <c r="A153" s="99" t="s">
        <v>633</v>
      </c>
      <c r="B153" s="100" t="s">
        <v>866</v>
      </c>
      <c r="C153" s="100" t="s">
        <v>507</v>
      </c>
      <c r="D153" s="100" t="s">
        <v>294</v>
      </c>
      <c r="E153" s="100"/>
      <c r="F153" s="100"/>
    </row>
    <row r="154" spans="1:6" ht="48" customHeight="1" x14ac:dyDescent="0.25">
      <c r="A154" s="128" t="s">
        <v>638</v>
      </c>
      <c r="B154" s="129" t="s">
        <v>906</v>
      </c>
      <c r="C154" s="129" t="s">
        <v>907</v>
      </c>
      <c r="D154" s="130" t="s">
        <v>420</v>
      </c>
      <c r="E154" s="129"/>
      <c r="F154" s="129"/>
    </row>
    <row r="155" spans="1:6" ht="48" customHeight="1" x14ac:dyDescent="0.25">
      <c r="A155" s="128" t="s">
        <v>644</v>
      </c>
      <c r="B155" s="129" t="s">
        <v>908</v>
      </c>
      <c r="C155" s="129" t="s">
        <v>909</v>
      </c>
      <c r="D155" s="130" t="s">
        <v>420</v>
      </c>
      <c r="E155" s="129"/>
      <c r="F155" s="129"/>
    </row>
    <row r="156" spans="1:6" ht="24" customHeight="1" x14ac:dyDescent="0.25">
      <c r="A156" s="256" t="s">
        <v>910</v>
      </c>
      <c r="B156" s="252"/>
      <c r="C156" s="252"/>
      <c r="D156" s="252"/>
      <c r="E156" s="252"/>
      <c r="F156" s="252"/>
    </row>
    <row r="157" spans="1:6" ht="18" customHeight="1" x14ac:dyDescent="0.25">
      <c r="A157" s="99" t="s">
        <v>847</v>
      </c>
      <c r="B157" s="100" t="s">
        <v>911</v>
      </c>
      <c r="C157" s="100" t="s">
        <v>309</v>
      </c>
      <c r="D157" s="100"/>
      <c r="E157" s="100"/>
      <c r="F157" s="100"/>
    </row>
    <row r="158" spans="1:6" ht="36" customHeight="1" x14ac:dyDescent="0.25">
      <c r="A158" s="131" t="s">
        <v>912</v>
      </c>
      <c r="B158" s="132" t="s">
        <v>913</v>
      </c>
      <c r="C158" s="132" t="s">
        <v>914</v>
      </c>
      <c r="D158" s="132"/>
      <c r="E158" s="132"/>
      <c r="F158" s="132"/>
    </row>
    <row r="159" spans="1:6" ht="36" customHeight="1" x14ac:dyDescent="0.25">
      <c r="A159" s="131" t="s">
        <v>915</v>
      </c>
      <c r="B159" s="132" t="s">
        <v>916</v>
      </c>
      <c r="C159" s="132" t="s">
        <v>914</v>
      </c>
      <c r="D159" s="132"/>
      <c r="E159" s="132"/>
      <c r="F159" s="132"/>
    </row>
    <row r="160" spans="1:6" ht="48" customHeight="1" x14ac:dyDescent="0.25">
      <c r="A160" s="131" t="s">
        <v>917</v>
      </c>
      <c r="B160" s="132" t="s">
        <v>918</v>
      </c>
      <c r="C160" s="132" t="s">
        <v>914</v>
      </c>
      <c r="D160" s="132"/>
      <c r="E160" s="132"/>
      <c r="F160" s="132"/>
    </row>
    <row r="161" spans="1:6" ht="36" customHeight="1" x14ac:dyDescent="0.25">
      <c r="A161" s="103" t="s">
        <v>919</v>
      </c>
      <c r="B161" s="104" t="s">
        <v>920</v>
      </c>
      <c r="C161" s="104" t="s">
        <v>914</v>
      </c>
      <c r="D161" s="104"/>
      <c r="E161" s="104"/>
      <c r="F161" s="104"/>
    </row>
    <row r="162" spans="1:6" ht="36" customHeight="1" x14ac:dyDescent="0.25">
      <c r="A162" s="96" t="s">
        <v>921</v>
      </c>
      <c r="B162" s="97" t="s">
        <v>922</v>
      </c>
      <c r="C162" s="97" t="s">
        <v>923</v>
      </c>
      <c r="D162" s="97"/>
      <c r="E162" s="97"/>
      <c r="F162" s="97"/>
    </row>
  </sheetData>
  <mergeCells count="20">
    <mergeCell ref="A80:F80"/>
    <mergeCell ref="A118:F118"/>
    <mergeCell ref="A56:F56"/>
    <mergeCell ref="A18:F18"/>
    <mergeCell ref="A1:F1"/>
    <mergeCell ref="A94:F94"/>
    <mergeCell ref="A110:F110"/>
    <mergeCell ref="A119:F119"/>
    <mergeCell ref="A156:F156"/>
    <mergeCell ref="A152:F152"/>
    <mergeCell ref="A19:F19"/>
    <mergeCell ref="A68:F68"/>
    <mergeCell ref="A44:F44"/>
    <mergeCell ref="A31:F31"/>
    <mergeCell ref="A2:F2"/>
    <mergeCell ref="A5:F5"/>
    <mergeCell ref="A22:F22"/>
    <mergeCell ref="A4:F4"/>
    <mergeCell ref="A20:F20"/>
    <mergeCell ref="A128:F1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Tubex_Dashboard</vt:lpstr>
      <vt:lpstr>MRP</vt:lpstr>
      <vt:lpstr>Production_Log</vt:lpstr>
      <vt:lpstr>BOM</vt:lpstr>
      <vt:lpstr>Inventory</vt:lpstr>
      <vt:lpstr>Product_Catalog</vt:lpstr>
      <vt:lpstr>BOM Issues</vt:lpstr>
      <vt:lpstr>FG Stock</vt:lpstr>
      <vt:lpstr>Notes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Alpha Containers Planning System v7.2</dc:title>
  <dc:subject>Planning &amp; Supply Chain — Tubex / Aerosol Plants</dc:subject>
  <dc:creator>Muhammad Sikander</dc:creator>
  <cp:keywords>production inventory planning procurement</cp:keywords>
  <dc:description>Production &amp; Inventory Planning System — Alpha Containers (Pvt.) Ltd</dc:description>
  <cp:lastModifiedBy>Sikander Shahjahan</cp:lastModifiedBy>
  <cp:revision>37</cp:revision>
  <dcterms:created xsi:type="dcterms:W3CDTF">2026-03-01T07:48:13Z</dcterms:created>
  <dcterms:modified xsi:type="dcterms:W3CDTF">2026-07-07T07:54:13Z</dcterms:modified>
  <cp:category>Operations</cp:category>
  <dc:language>en-US</dc:language>
</cp:coreProperties>
</file>