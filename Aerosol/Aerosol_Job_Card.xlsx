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ob Card" sheetId="1" state="visible" r:id="rId1"/>
    <sheet xmlns:r="http://schemas.openxmlformats.org/officeDocument/2006/relationships" name="Aerosol_BOM" sheetId="2" state="visible" r:id="rId2"/>
    <sheet xmlns:r="http://schemas.openxmlformats.org/officeDocument/2006/relationships" name="Products_D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4"/>
    </font>
    <font>
      <name val="Calibri"/>
      <family val="2"/>
      <b val="1"/>
      <color rgb="FF0056C1"/>
      <sz val="20"/>
    </font>
    <font>
      <name val="Calibri"/>
      <family val="2"/>
      <color theme="1"/>
      <sz val="20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1F4E78"/>
        <bgColor rgb="FF1F4E78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pivotButton="0" quotePrefix="0" xfId="0"/>
    <xf numFmtId="0" fontId="0" fillId="0" borderId="7" pivotButton="0" quotePrefix="0" xfId="0"/>
    <xf numFmtId="0" fontId="0" fillId="0" borderId="1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tabSelected="1" topLeftCell="A9" workbookViewId="0">
      <selection activeCell="C13" sqref="C13"/>
    </sheetView>
  </sheetViews>
  <sheetFormatPr baseColWidth="8" defaultRowHeight="15"/>
  <cols>
    <col width="20" customWidth="1" style="12" min="1" max="1"/>
    <col width="25" customWidth="1" style="12" min="2" max="2"/>
    <col width="48.7109375" customWidth="1" style="12" min="3" max="3"/>
    <col width="11" customWidth="1" style="12" min="4" max="4"/>
    <col width="20" customWidth="1" style="12" min="5" max="5"/>
    <col width="15" customWidth="1" style="12" min="6" max="6"/>
  </cols>
  <sheetData>
    <row r="1">
      <c r="B1" s="13" t="inlineStr">
        <is>
          <t>ALPHA AEROSOLS PRODUCTION JOB CARD</t>
        </is>
      </c>
      <c r="E1" t="inlineStr">
        <is>
          <t>Doc #: AER-JC-001</t>
        </is>
      </c>
    </row>
    <row r="2">
      <c r="E2" t="inlineStr">
        <is>
          <t>Date: ____________</t>
        </is>
      </c>
    </row>
    <row r="3">
      <c r="E3" t="inlineStr">
        <is>
          <t>Revision: 00</t>
        </is>
      </c>
    </row>
    <row r="5" ht="18.75" customHeight="1" s="12">
      <c r="A5" s="11" t="inlineStr">
        <is>
          <t>1. JOB / ORDER DETAILS</t>
        </is>
      </c>
    </row>
    <row r="6">
      <c r="A6" s="1" t="inlineStr">
        <is>
          <t>POF #</t>
        </is>
      </c>
      <c r="B6" s="6" t="n"/>
      <c r="C6" s="7" t="inlineStr">
        <is>
          <t>Date</t>
        </is>
      </c>
      <c r="D6" s="6" t="n"/>
      <c r="E6" s="7" t="inlineStr">
        <is>
          <t>Customer</t>
        </is>
      </c>
      <c r="F6" s="6">
        <f>IFERROR(VLOOKUP(B7, Products_DB!A:C, 3, FALSE), "")</f>
        <v/>
      </c>
    </row>
    <row r="7">
      <c r="A7" s="1" t="inlineStr">
        <is>
          <t>Product Name</t>
        </is>
      </c>
      <c r="B7" s="6" t="inlineStr">
        <is>
          <t>Aerosol Can 45mm</t>
        </is>
      </c>
      <c r="C7" s="7" t="inlineStr">
        <is>
          <t>Product ID</t>
        </is>
      </c>
      <c r="D7" s="6">
        <f>IFERROR(VLOOKUP(B7, Products_DB!A:C, 2, FALSE), "")</f>
        <v/>
      </c>
      <c r="E7" s="7" t="inlineStr">
        <is>
          <t>Artwork Ref</t>
        </is>
      </c>
      <c r="F7" s="6" t="n"/>
    </row>
    <row r="8">
      <c r="A8" s="1" t="inlineStr">
        <is>
          <t>Order Qty (Cans)</t>
        </is>
      </c>
      <c r="B8" s="6" t="n">
        <v>50000</v>
      </c>
      <c r="C8" s="7" t="inlineStr">
        <is>
          <t>Tolerance %</t>
        </is>
      </c>
      <c r="D8" s="8" t="n">
        <v>0.05</v>
      </c>
      <c r="E8" s="7" t="inlineStr">
        <is>
          <t>Special Instructions</t>
        </is>
      </c>
      <c r="F8" s="6" t="n"/>
    </row>
    <row r="10" ht="18.75" customHeight="1" s="12">
      <c r="A10" s="11" t="inlineStr">
        <is>
          <t>2. MATERIAL REQUIRED</t>
        </is>
      </c>
    </row>
    <row r="11">
      <c r="A11" s="3" t="inlineStr">
        <is>
          <t>S#</t>
        </is>
      </c>
      <c r="B11" s="3" t="inlineStr">
        <is>
          <t>Material Description</t>
        </is>
      </c>
      <c r="C11" s="3" t="inlineStr">
        <is>
          <t>Item Name</t>
        </is>
      </c>
      <c r="D11" s="3" t="inlineStr">
        <is>
          <t>Item Code</t>
        </is>
      </c>
      <c r="E11" s="3" t="inlineStr">
        <is>
          <t>Total Required Qty</t>
        </is>
      </c>
      <c r="F11" s="3" t="inlineStr">
        <is>
          <t>Unit</t>
        </is>
      </c>
    </row>
    <row r="12">
      <c r="A12" s="4" t="n">
        <v>1</v>
      </c>
      <c r="B12" s="6">
        <f>IFERROR(VLOOKUP($B$7&amp;"_"&amp;$A12, Aerosol_BOM!$A:$O, 7, FALSE), "")</f>
        <v/>
      </c>
      <c r="C12" s="15">
        <f>IFERROR(VLOOKUP($B$7&amp;"_"&amp;$A12, Aerosol_BOM!$A:$O, 9, FALSE), "")</f>
        <v/>
      </c>
      <c r="D12" s="6">
        <f>IFERROR(VLOOKUP($B$7&amp;"_"&amp;$A12, Aerosol_BOM!$A:$O, 8, FALSE), "")</f>
        <v/>
      </c>
      <c r="E12" s="9">
        <f>IFERROR(VLOOKUP($B$7&amp;"_"&amp;$A12, Aerosol_BOM!$A:$O, 13, FALSE) * $B$8 / 1000, "")</f>
        <v/>
      </c>
      <c r="F12" s="15">
        <f>IFERROR(VLOOKUP($B$7&amp;"_"&amp;$A12, Aerosol_BOM!$A:$O, 10, FALSE), "")</f>
        <v/>
      </c>
    </row>
    <row r="13">
      <c r="A13" s="4" t="n">
        <v>2</v>
      </c>
      <c r="B13" s="6">
        <f>IFERROR(VLOOKUP($B$7&amp;"_"&amp;$A13, Aerosol_BOM!$A:$O, 7, FALSE), "")</f>
        <v/>
      </c>
      <c r="C13" s="15">
        <f>IFERROR(VLOOKUP($B$7&amp;"_"&amp;$A13, Aerosol_BOM!$A:$O, 9, FALSE), "")</f>
        <v/>
      </c>
      <c r="D13" s="6">
        <f>IFERROR(VLOOKUP($B$7&amp;"_"&amp;$A13, Aerosol_BOM!$A:$O, 8, FALSE), "")</f>
        <v/>
      </c>
      <c r="E13" s="9">
        <f>IFERROR(VLOOKUP($B$7&amp;"_"&amp;$A13, Aerosol_BOM!$A:$O, 13, FALSE) * $B$8 / 1000, "")</f>
        <v/>
      </c>
      <c r="F13" s="15">
        <f>IFERROR(VLOOKUP($B$7&amp;"_"&amp;$A13, Aerosol_BOM!$A:$O, 10, FALSE), "")</f>
        <v/>
      </c>
    </row>
    <row r="14">
      <c r="A14" s="4" t="n">
        <v>3</v>
      </c>
      <c r="B14" s="6">
        <f>IFERROR(VLOOKUP($B$7&amp;"_"&amp;$A14, Aerosol_BOM!$A:$O, 7, FALSE), "")</f>
        <v/>
      </c>
      <c r="C14" s="15">
        <f>IFERROR(VLOOKUP($B$7&amp;"_"&amp;$A14, Aerosol_BOM!$A:$O, 9, FALSE), "")</f>
        <v/>
      </c>
      <c r="D14" s="6">
        <f>IFERROR(VLOOKUP($B$7&amp;"_"&amp;$A14, Aerosol_BOM!$A:$O, 8, FALSE), "")</f>
        <v/>
      </c>
      <c r="E14" s="9">
        <f>IFERROR(VLOOKUP($B$7&amp;"_"&amp;$A14, Aerosol_BOM!$A:$O, 13, FALSE) * $B$8 / 1000, "")</f>
        <v/>
      </c>
      <c r="F14" s="15">
        <f>IFERROR(VLOOKUP($B$7&amp;"_"&amp;$A14, Aerosol_BOM!$A:$O, 10, FALSE), "")</f>
        <v/>
      </c>
    </row>
    <row r="15">
      <c r="A15" s="4" t="n">
        <v>4</v>
      </c>
      <c r="B15" s="6">
        <f>IFERROR(VLOOKUP($B$7&amp;"_"&amp;$A15, Aerosol_BOM!$A:$O, 7, FALSE), "")</f>
        <v/>
      </c>
      <c r="C15" s="15">
        <f>IFERROR(VLOOKUP($B$7&amp;"_"&amp;$A15, Aerosol_BOM!$A:$O, 9, FALSE), "")</f>
        <v/>
      </c>
      <c r="D15" s="6">
        <f>IFERROR(VLOOKUP($B$7&amp;"_"&amp;$A15, Aerosol_BOM!$A:$O, 8, FALSE), "")</f>
        <v/>
      </c>
      <c r="E15" s="9">
        <f>IFERROR(VLOOKUP($B$7&amp;"_"&amp;$A15, Aerosol_BOM!$A:$O, 13, FALSE) * $B$8 / 1000, "")</f>
        <v/>
      </c>
      <c r="F15" s="15">
        <f>IFERROR(VLOOKUP($B$7&amp;"_"&amp;$A15, Aerosol_BOM!$A:$O, 10, FALSE), "")</f>
        <v/>
      </c>
    </row>
    <row r="16">
      <c r="A16" s="4" t="n">
        <v>5</v>
      </c>
      <c r="B16" s="6">
        <f>IFERROR(VLOOKUP($B$7&amp;"_"&amp;$A16, Aerosol_BOM!$A:$O, 7, FALSE), "")</f>
        <v/>
      </c>
      <c r="C16" s="15">
        <f>IFERROR(VLOOKUP($B$7&amp;"_"&amp;$A16, Aerosol_BOM!$A:$O, 9, FALSE), "")</f>
        <v/>
      </c>
      <c r="D16" s="6">
        <f>IFERROR(VLOOKUP($B$7&amp;"_"&amp;$A16, Aerosol_BOM!$A:$O, 8, FALSE), "")</f>
        <v/>
      </c>
      <c r="E16" s="9">
        <f>IFERROR(VLOOKUP($B$7&amp;"_"&amp;$A16, Aerosol_BOM!$A:$O, 13, FALSE) * $B$8 / 1000, "")</f>
        <v/>
      </c>
      <c r="F16" s="15">
        <f>IFERROR(VLOOKUP($B$7&amp;"_"&amp;$A16, Aerosol_BOM!$A:$O, 10, FALSE), "")</f>
        <v/>
      </c>
    </row>
    <row r="17">
      <c r="A17" s="4" t="n">
        <v>6</v>
      </c>
      <c r="B17" s="6">
        <f>IFERROR(VLOOKUP($B$7&amp;"_"&amp;$A17, Aerosol_BOM!$A:$O, 7, FALSE), "")</f>
        <v/>
      </c>
      <c r="C17" s="15">
        <f>IFERROR(VLOOKUP($B$7&amp;"_"&amp;$A17, Aerosol_BOM!$A:$O, 9, FALSE), "")</f>
        <v/>
      </c>
      <c r="D17" s="6">
        <f>IFERROR(VLOOKUP($B$7&amp;"_"&amp;$A17, Aerosol_BOM!$A:$O, 8, FALSE), "")</f>
        <v/>
      </c>
      <c r="E17" s="9">
        <f>IFERROR(VLOOKUP($B$7&amp;"_"&amp;$A17, Aerosol_BOM!$A:$O, 13, FALSE) * $B$8 / 1000, "")</f>
        <v/>
      </c>
      <c r="F17" s="15">
        <f>IFERROR(VLOOKUP($B$7&amp;"_"&amp;$A17, Aerosol_BOM!$A:$O, 10, FALSE), "")</f>
        <v/>
      </c>
    </row>
    <row r="18">
      <c r="A18" s="4" t="n">
        <v>7</v>
      </c>
      <c r="B18" s="6">
        <f>IFERROR(VLOOKUP($B$7&amp;"_"&amp;$A18, Aerosol_BOM!$A:$O, 7, FALSE), "")</f>
        <v/>
      </c>
      <c r="C18" s="15">
        <f>IFERROR(VLOOKUP($B$7&amp;"_"&amp;$A18, Aerosol_BOM!$A:$O, 9, FALSE), "")</f>
        <v/>
      </c>
      <c r="D18" s="6">
        <f>IFERROR(VLOOKUP($B$7&amp;"_"&amp;$A18, Aerosol_BOM!$A:$O, 8, FALSE), "")</f>
        <v/>
      </c>
      <c r="E18" s="9">
        <f>IFERROR(VLOOKUP($B$7&amp;"_"&amp;$A18, Aerosol_BOM!$A:$O, 13, FALSE) * $B$8 / 1000, "")</f>
        <v/>
      </c>
      <c r="F18" s="15">
        <f>IFERROR(VLOOKUP($B$7&amp;"_"&amp;$A18, Aerosol_BOM!$A:$O, 10, FALSE), "")</f>
        <v/>
      </c>
    </row>
    <row r="19">
      <c r="A19" s="4" t="n">
        <v>8</v>
      </c>
      <c r="B19" s="6">
        <f>IFERROR(VLOOKUP($B$7&amp;"_"&amp;$A19, Aerosol_BOM!$A:$O, 7, FALSE), "")</f>
        <v/>
      </c>
      <c r="C19" s="15">
        <f>IFERROR(VLOOKUP($B$7&amp;"_"&amp;$A19, Aerosol_BOM!$A:$O, 9, FALSE), "")</f>
        <v/>
      </c>
      <c r="D19" s="6">
        <f>IFERROR(VLOOKUP($B$7&amp;"_"&amp;$A19, Aerosol_BOM!$A:$O, 8, FALSE), "")</f>
        <v/>
      </c>
      <c r="E19" s="9">
        <f>IFERROR(VLOOKUP($B$7&amp;"_"&amp;$A19, Aerosol_BOM!$A:$O, 13, FALSE) * $B$8 / 1000, "")</f>
        <v/>
      </c>
      <c r="F19" s="15">
        <f>IFERROR(VLOOKUP($B$7&amp;"_"&amp;$A19, Aerosol_BOM!$A:$O, 10, FALSE), "")</f>
        <v/>
      </c>
    </row>
    <row r="20">
      <c r="A20" s="4" t="n">
        <v>9</v>
      </c>
      <c r="B20" s="6">
        <f>IFERROR(VLOOKUP($B$7&amp;"_"&amp;$A20, Aerosol_BOM!$A:$O, 7, FALSE), "")</f>
        <v/>
      </c>
      <c r="C20" s="15">
        <f>IFERROR(VLOOKUP($B$7&amp;"_"&amp;$A20, Aerosol_BOM!$A:$O, 9, FALSE), "")</f>
        <v/>
      </c>
      <c r="D20" s="6">
        <f>IFERROR(VLOOKUP($B$7&amp;"_"&amp;$A20, Aerosol_BOM!$A:$O, 8, FALSE), "")</f>
        <v/>
      </c>
      <c r="E20" s="9">
        <f>IFERROR(VLOOKUP($B$7&amp;"_"&amp;$A20, Aerosol_BOM!$A:$O, 13, FALSE) * $B$8 / 1000, "")</f>
        <v/>
      </c>
      <c r="F20" s="15">
        <f>IFERROR(VLOOKUP($B$7&amp;"_"&amp;$A20, Aerosol_BOM!$A:$O, 10, FALSE), "")</f>
        <v/>
      </c>
    </row>
    <row r="21">
      <c r="A21" s="4" t="n">
        <v>10</v>
      </c>
      <c r="B21" s="6">
        <f>IFERROR(VLOOKUP($B$7&amp;"_"&amp;$A21, Aerosol_BOM!$A:$O, 7, FALSE), "")</f>
        <v/>
      </c>
      <c r="C21" s="15">
        <f>IFERROR(VLOOKUP($B$7&amp;"_"&amp;$A21, Aerosol_BOM!$A:$O, 9, FALSE), "")</f>
        <v/>
      </c>
      <c r="D21" s="6">
        <f>IFERROR(VLOOKUP($B$7&amp;"_"&amp;$A21, Aerosol_BOM!$A:$O, 8, FALSE), "")</f>
        <v/>
      </c>
      <c r="E21" s="9">
        <f>IFERROR(VLOOKUP($B$7&amp;"_"&amp;$A21, Aerosol_BOM!$A:$O, 13, FALSE) * $B$8 / 1000, "")</f>
        <v/>
      </c>
      <c r="F21" s="15">
        <f>IFERROR(VLOOKUP($B$7&amp;"_"&amp;$A21, Aerosol_BOM!$A:$O, 10, FALSE), "")</f>
        <v/>
      </c>
    </row>
    <row r="22">
      <c r="A22" s="4" t="n">
        <v>11</v>
      </c>
      <c r="B22" s="6">
        <f>IFERROR(VLOOKUP($B$7&amp;"_"&amp;$A22, Aerosol_BOM!$A:$O, 7, FALSE), "")</f>
        <v/>
      </c>
      <c r="C22" s="15">
        <f>IFERROR(VLOOKUP($B$7&amp;"_"&amp;$A22, Aerosol_BOM!$A:$O, 9, FALSE), "")</f>
        <v/>
      </c>
      <c r="D22" s="6">
        <f>IFERROR(VLOOKUP($B$7&amp;"_"&amp;$A22, Aerosol_BOM!$A:$O, 8, FALSE), "")</f>
        <v/>
      </c>
      <c r="E22" s="9">
        <f>IFERROR(VLOOKUP($B$7&amp;"_"&amp;$A22, Aerosol_BOM!$A:$O, 13, FALSE) * $B$8 / 1000, "")</f>
        <v/>
      </c>
      <c r="F22" s="15">
        <f>IFERROR(VLOOKUP($B$7&amp;"_"&amp;$A22, Aerosol_BOM!$A:$O, 10, FALSE), "")</f>
        <v/>
      </c>
    </row>
    <row r="23">
      <c r="A23" s="4" t="n">
        <v>12</v>
      </c>
      <c r="B23" s="6">
        <f>IFERROR(VLOOKUP($B$7&amp;"_"&amp;$A23, Aerosol_BOM!$A:$O, 7, FALSE), "")</f>
        <v/>
      </c>
      <c r="C23" s="15">
        <f>IFERROR(VLOOKUP($B$7&amp;"_"&amp;$A23, Aerosol_BOM!$A:$O, 9, FALSE), "")</f>
        <v/>
      </c>
      <c r="D23" s="6">
        <f>IFERROR(VLOOKUP($B$7&amp;"_"&amp;$A23, Aerosol_BOM!$A:$O, 8, FALSE), "")</f>
        <v/>
      </c>
      <c r="E23" s="9">
        <f>IFERROR(VLOOKUP($B$7&amp;"_"&amp;$A23, Aerosol_BOM!$A:$O, 13, FALSE) * $B$8 / 1000, "")</f>
        <v/>
      </c>
      <c r="F23" s="15">
        <f>IFERROR(VLOOKUP($B$7&amp;"_"&amp;$A23, Aerosol_BOM!$A:$O, 10, FALSE), "")</f>
        <v/>
      </c>
    </row>
    <row r="24">
      <c r="A24" s="4" t="n">
        <v>13</v>
      </c>
      <c r="B24" s="6">
        <f>IFERROR(VLOOKUP($B$7&amp;"_"&amp;$A24, Aerosol_BOM!$A:$O, 7, FALSE), "")</f>
        <v/>
      </c>
      <c r="C24" s="15">
        <f>IFERROR(VLOOKUP($B$7&amp;"_"&amp;$A24, Aerosol_BOM!$A:$O, 9, FALSE), "")</f>
        <v/>
      </c>
      <c r="D24" s="6">
        <f>IFERROR(VLOOKUP($B$7&amp;"_"&amp;$A24, Aerosol_BOM!$A:$O, 8, FALSE), "")</f>
        <v/>
      </c>
      <c r="E24" s="9">
        <f>IFERROR(VLOOKUP($B$7&amp;"_"&amp;$A24, Aerosol_BOM!$A:$O, 13, FALSE) * $B$8 / 1000, "")</f>
        <v/>
      </c>
      <c r="F24" s="15">
        <f>IFERROR(VLOOKUP($B$7&amp;"_"&amp;$A24, Aerosol_BOM!$A:$O, 10, FALSE), "")</f>
        <v/>
      </c>
    </row>
    <row r="25">
      <c r="A25" s="4" t="n">
        <v>14</v>
      </c>
      <c r="B25" s="6">
        <f>IFERROR(VLOOKUP($B$7&amp;"_"&amp;$A25, Aerosol_BOM!$A:$O, 7, FALSE), "")</f>
        <v/>
      </c>
      <c r="C25" s="15">
        <f>IFERROR(VLOOKUP($B$7&amp;"_"&amp;$A25, Aerosol_BOM!$A:$O, 9, FALSE), "")</f>
        <v/>
      </c>
      <c r="D25" s="6">
        <f>IFERROR(VLOOKUP($B$7&amp;"_"&amp;$A25, Aerosol_BOM!$A:$O, 8, FALSE), "")</f>
        <v/>
      </c>
      <c r="E25" s="9">
        <f>IFERROR(VLOOKUP($B$7&amp;"_"&amp;$A25, Aerosol_BOM!$A:$O, 13, FALSE) * $B$8 / 1000, "")</f>
        <v/>
      </c>
      <c r="F25" s="15">
        <f>IFERROR(VLOOKUP($B$7&amp;"_"&amp;$A25, Aerosol_BOM!$A:$O, 10, FALSE), "")</f>
        <v/>
      </c>
    </row>
    <row r="26">
      <c r="A26" s="4" t="n">
        <v>15</v>
      </c>
      <c r="B26" s="6">
        <f>IFERROR(VLOOKUP($B$7&amp;"_"&amp;$A26, Aerosol_BOM!$A:$O, 7, FALSE), "")</f>
        <v/>
      </c>
      <c r="C26" s="15">
        <f>IFERROR(VLOOKUP($B$7&amp;"_"&amp;$A26, Aerosol_BOM!$A:$O, 9, FALSE), "")</f>
        <v/>
      </c>
      <c r="D26" s="6">
        <f>IFERROR(VLOOKUP($B$7&amp;"_"&amp;$A26, Aerosol_BOM!$A:$O, 8, FALSE), "")</f>
        <v/>
      </c>
      <c r="E26" s="9">
        <f>IFERROR(VLOOKUP($B$7&amp;"_"&amp;$A26, Aerosol_BOM!$A:$O, 13, FALSE) * $B$8 / 1000, "")</f>
        <v/>
      </c>
      <c r="F26" s="15">
        <f>IFERROR(VLOOKUP($B$7&amp;"_"&amp;$A26, Aerosol_BOM!$A:$O, 10, FALSE), "")</f>
        <v/>
      </c>
    </row>
    <row r="27">
      <c r="A27" s="4" t="n">
        <v>16</v>
      </c>
      <c r="B27" s="6">
        <f>IFERROR(VLOOKUP($B$7&amp;"_"&amp;$A27, Aerosol_BOM!$A:$O, 7, FALSE), "")</f>
        <v/>
      </c>
      <c r="C27" s="15">
        <f>IFERROR(VLOOKUP($B$7&amp;"_"&amp;$A27, Aerosol_BOM!$A:$O, 9, FALSE), "")</f>
        <v/>
      </c>
      <c r="D27" s="6">
        <f>IFERROR(VLOOKUP($B$7&amp;"_"&amp;$A27, Aerosol_BOM!$A:$O, 8, FALSE), "")</f>
        <v/>
      </c>
      <c r="E27" s="9">
        <f>IFERROR(VLOOKUP($B$7&amp;"_"&amp;$A27, Aerosol_BOM!$A:$O, 13, FALSE) * $B$8 / 1000, "")</f>
        <v/>
      </c>
      <c r="F27" s="15">
        <f>IFERROR(VLOOKUP($B$7&amp;"_"&amp;$A27, Aerosol_BOM!$A:$O, 10, FALSE), "")</f>
        <v/>
      </c>
    </row>
    <row r="28">
      <c r="A28" s="4" t="n">
        <v>17</v>
      </c>
      <c r="B28" s="6">
        <f>IFERROR(VLOOKUP($B$7&amp;"_"&amp;$A28, Aerosol_BOM!$A:$O, 7, FALSE), "")</f>
        <v/>
      </c>
      <c r="C28" s="15">
        <f>IFERROR(VLOOKUP($B$7&amp;"_"&amp;$A28, Aerosol_BOM!$A:$O, 9, FALSE), "")</f>
        <v/>
      </c>
      <c r="D28" s="6">
        <f>IFERROR(VLOOKUP($B$7&amp;"_"&amp;$A28, Aerosol_BOM!$A:$O, 8, FALSE), "")</f>
        <v/>
      </c>
      <c r="E28" s="9">
        <f>IFERROR(VLOOKUP($B$7&amp;"_"&amp;$A28, Aerosol_BOM!$A:$O, 13, FALSE) * $B$8 / 1000, "")</f>
        <v/>
      </c>
      <c r="F28" s="15">
        <f>IFERROR(VLOOKUP($B$7&amp;"_"&amp;$A28, Aerosol_BOM!$A:$O, 10, FALSE), "")</f>
        <v/>
      </c>
    </row>
    <row r="29">
      <c r="A29" s="4" t="n">
        <v>18</v>
      </c>
      <c r="B29" s="6">
        <f>IFERROR(VLOOKUP($B$7&amp;"_"&amp;$A29, Aerosol_BOM!$A:$O, 7, FALSE), "")</f>
        <v/>
      </c>
      <c r="C29" s="15">
        <f>IFERROR(VLOOKUP($B$7&amp;"_"&amp;$A29, Aerosol_BOM!$A:$O, 9, FALSE), "")</f>
        <v/>
      </c>
      <c r="D29" s="6">
        <f>IFERROR(VLOOKUP($B$7&amp;"_"&amp;$A29, Aerosol_BOM!$A:$O, 8, FALSE), "")</f>
        <v/>
      </c>
      <c r="E29" s="9">
        <f>IFERROR(VLOOKUP($B$7&amp;"_"&amp;$A29, Aerosol_BOM!$A:$O, 13, FALSE) * $B$8 / 1000, "")</f>
        <v/>
      </c>
      <c r="F29" s="15">
        <f>IFERROR(VLOOKUP($B$7&amp;"_"&amp;$A29, Aerosol_BOM!$A:$O, 10, FALSE), "")</f>
        <v/>
      </c>
    </row>
    <row r="30">
      <c r="A30" s="4" t="n">
        <v>19</v>
      </c>
      <c r="B30" s="6">
        <f>IFERROR(VLOOKUP($B$7&amp;"_"&amp;$A30, Aerosol_BOM!$A:$O, 7, FALSE), "")</f>
        <v/>
      </c>
      <c r="C30" s="15">
        <f>IFERROR(VLOOKUP($B$7&amp;"_"&amp;$A30, Aerosol_BOM!$A:$O, 9, FALSE), "")</f>
        <v/>
      </c>
      <c r="D30" s="6">
        <f>IFERROR(VLOOKUP($B$7&amp;"_"&amp;$A30, Aerosol_BOM!$A:$O, 8, FALSE), "")</f>
        <v/>
      </c>
      <c r="E30" s="9">
        <f>IFERROR(VLOOKUP($B$7&amp;"_"&amp;$A30, Aerosol_BOM!$A:$O, 13, FALSE) * $B$8 / 1000, "")</f>
        <v/>
      </c>
      <c r="F30" s="15">
        <f>IFERROR(VLOOKUP($B$7&amp;"_"&amp;$A30, Aerosol_BOM!$A:$O, 10, FALSE), "")</f>
        <v/>
      </c>
    </row>
    <row r="31">
      <c r="A31" s="4" t="n">
        <v>20</v>
      </c>
      <c r="B31" s="6">
        <f>IFERROR(VLOOKUP($B$7&amp;"_"&amp;$A31, Aerosol_BOM!$A:$O, 7, FALSE), "")</f>
        <v/>
      </c>
      <c r="C31" s="15">
        <f>IFERROR(VLOOKUP($B$7&amp;"_"&amp;$A31, Aerosol_BOM!$A:$O, 9, FALSE), "")</f>
        <v/>
      </c>
      <c r="D31" s="6">
        <f>IFERROR(VLOOKUP($B$7&amp;"_"&amp;$A31, Aerosol_BOM!$A:$O, 8, FALSE), "")</f>
        <v/>
      </c>
      <c r="E31" s="9">
        <f>IFERROR(VLOOKUP($B$7&amp;"_"&amp;$A31, Aerosol_BOM!$A:$O, 13, FALSE) * $B$8 / 1000, "")</f>
        <v/>
      </c>
      <c r="F31" s="15">
        <f>IFERROR(VLOOKUP($B$7&amp;"_"&amp;$A31, Aerosol_BOM!$A:$O, 10, FALSE), "")</f>
        <v/>
      </c>
    </row>
    <row r="32">
      <c r="A32" s="4" t="n">
        <v>21</v>
      </c>
      <c r="B32" s="6">
        <f>IFERROR(VLOOKUP($B$7&amp;"_"&amp;$A32, Aerosol_BOM!$A:$O, 7, FALSE), "")</f>
        <v/>
      </c>
      <c r="C32" s="15">
        <f>IFERROR(VLOOKUP($B$7&amp;"_"&amp;$A32, Aerosol_BOM!$A:$O, 9, FALSE), "")</f>
        <v/>
      </c>
      <c r="D32" s="6">
        <f>IFERROR(VLOOKUP($B$7&amp;"_"&amp;$A32, Aerosol_BOM!$A:$O, 8, FALSE), "")</f>
        <v/>
      </c>
      <c r="E32" s="9">
        <f>IFERROR(VLOOKUP($B$7&amp;"_"&amp;$A32, Aerosol_BOM!$A:$O, 13, FALSE) * $B$8 / 1000, "")</f>
        <v/>
      </c>
      <c r="F32" s="15">
        <f>IFERROR(VLOOKUP($B$7&amp;"_"&amp;$A32, Aerosol_BOM!$A:$O, 10, FALSE), "")</f>
        <v/>
      </c>
    </row>
    <row r="33">
      <c r="A33" s="4" t="n">
        <v>22</v>
      </c>
      <c r="B33" s="15">
        <f>IFERROR(VLOOKUP($B$7&amp;"_"&amp;$A33, Aerosol_BOM!$A:$O, 7, FALSE), "")</f>
        <v/>
      </c>
      <c r="C33" s="15">
        <f>IFERROR(VLOOKUP($B$7&amp;"_"&amp;$A33, Aerosol_BOM!$A:$O, 9, FALSE), "")</f>
        <v/>
      </c>
      <c r="D33" s="15">
        <f>IFERROR(VLOOKUP($B$7&amp;"_"&amp;$A33, Aerosol_BOM!$A:$O, 8, FALSE), "")</f>
        <v/>
      </c>
      <c r="E33" s="15">
        <f>IFERROR(VLOOKUP($B$7&amp;"_"&amp;$A33, Aerosol_BOM!$A:$O, 13, FALSE) * $B$8 / 1000, "")</f>
        <v/>
      </c>
      <c r="F33" s="15">
        <f>IFERROR(VLOOKUP($B$7&amp;"_"&amp;$A33, Aerosol_BOM!$A:$O, 10, FALSE), "")</f>
        <v/>
      </c>
    </row>
    <row r="34">
      <c r="A34" s="4" t="n">
        <v>23</v>
      </c>
      <c r="B34" s="15">
        <f>IFERROR(VLOOKUP($B$7&amp;"_"&amp;$A34, Aerosol_BOM!$A:$O, 7, FALSE), "")</f>
        <v/>
      </c>
      <c r="C34" s="15">
        <f>IFERROR(VLOOKUP($B$7&amp;"_"&amp;$A34, Aerosol_BOM!$A:$O, 9, FALSE), "")</f>
        <v/>
      </c>
      <c r="D34" s="15">
        <f>IFERROR(VLOOKUP($B$7&amp;"_"&amp;$A34, Aerosol_BOM!$A:$O, 8, FALSE), "")</f>
        <v/>
      </c>
      <c r="E34" s="15">
        <f>IFERROR(VLOOKUP($B$7&amp;"_"&amp;$A34, Aerosol_BOM!$A:$O, 13, FALSE) * $B$8 / 1000, "")</f>
        <v/>
      </c>
      <c r="F34" s="15">
        <f>IFERROR(VLOOKUP($B$7&amp;"_"&amp;$A34, Aerosol_BOM!$A:$O, 10, FALSE), "")</f>
        <v/>
      </c>
    </row>
    <row r="35">
      <c r="A35" s="4" t="n">
        <v>24</v>
      </c>
      <c r="B35" s="15">
        <f>IFERROR(VLOOKUP($B$7&amp;"_"&amp;$A35, Aerosol_BOM!$A:$O, 7, FALSE), "")</f>
        <v/>
      </c>
      <c r="C35" s="15">
        <f>IFERROR(VLOOKUP($B$7&amp;"_"&amp;$A35, Aerosol_BOM!$A:$O, 9, FALSE), "")</f>
        <v/>
      </c>
      <c r="D35" s="15">
        <f>IFERROR(VLOOKUP($B$7&amp;"_"&amp;$A35, Aerosol_BOM!$A:$O, 8, FALSE), "")</f>
        <v/>
      </c>
      <c r="E35" s="15">
        <f>IFERROR(VLOOKUP($B$7&amp;"_"&amp;$A35, Aerosol_BOM!$A:$O, 13, FALSE) * $B$8 / 1000, "")</f>
        <v/>
      </c>
      <c r="F35" s="15">
        <f>IFERROR(VLOOKUP($B$7&amp;"_"&amp;$A35, Aerosol_BOM!$A:$O, 10, FALSE), "")</f>
        <v/>
      </c>
    </row>
    <row r="36">
      <c r="A36" s="4" t="n">
        <v>25</v>
      </c>
      <c r="B36" s="15">
        <f>IFERROR(VLOOKUP($B$7&amp;"_"&amp;$A36, Aerosol_BOM!$A:$O, 7, FALSE), "")</f>
        <v/>
      </c>
      <c r="C36" s="15">
        <f>IFERROR(VLOOKUP($B$7&amp;"_"&amp;$A36, Aerosol_BOM!$A:$O, 9, FALSE), "")</f>
        <v/>
      </c>
      <c r="D36" s="15">
        <f>IFERROR(VLOOKUP($B$7&amp;"_"&amp;$A36, Aerosol_BOM!$A:$O, 8, FALSE), "")</f>
        <v/>
      </c>
      <c r="E36" s="15">
        <f>IFERROR(VLOOKUP($B$7&amp;"_"&amp;$A36, Aerosol_BOM!$A:$O, 13, FALSE) * $B$8 / 1000, "")</f>
        <v/>
      </c>
      <c r="F36" s="15">
        <f>IFERROR(VLOOKUP($B$7&amp;"_"&amp;$A36, Aerosol_BOM!$A:$O, 10, FALSE), "")</f>
        <v/>
      </c>
    </row>
    <row r="38" ht="18.75" customHeight="1" s="12">
      <c r="A38" s="11" t="inlineStr">
        <is>
          <t>3. SPECIFICATION</t>
        </is>
      </c>
    </row>
    <row r="39">
      <c r="A39" s="1" t="inlineStr">
        <is>
          <t>Can Type</t>
        </is>
      </c>
      <c r="B39" s="15">
        <f>IFERROR(VLOOKUP($B$7, Products_DB!A:O, 4, FALSE), "")</f>
        <v/>
      </c>
      <c r="C39" s="1" t="inlineStr">
        <is>
          <t>Can Diameter</t>
        </is>
      </c>
      <c r="D39" s="15">
        <f>IFERROR(VLOOKUP($B$7, Products_DB!A:O, 5, FALSE), "")</f>
        <v/>
      </c>
      <c r="E39" s="1" t="inlineStr">
        <is>
          <t>Can Height</t>
        </is>
      </c>
      <c r="F39" s="15">
        <f>IFERROR(VLOOKUP($B$7, Products_DB!A:O, 6, FALSE), "")</f>
        <v/>
      </c>
    </row>
    <row r="40">
      <c r="A40" s="1" t="inlineStr">
        <is>
          <t>Neck Opening</t>
        </is>
      </c>
      <c r="B40" s="15">
        <f>IFERROR(VLOOKUP($B$7, Products_DB!A:O, 7, FALSE), "")</f>
        <v/>
      </c>
      <c r="C40" s="1" t="inlineStr">
        <is>
          <t>Wall Thickness</t>
        </is>
      </c>
      <c r="D40" s="15">
        <f>IFERROR(VLOOKUP($B$7, Products_DB!A:O, 8, FALSE), "")</f>
        <v/>
      </c>
      <c r="E40" s="1" t="inlineStr">
        <is>
          <t>Dome Thickness</t>
        </is>
      </c>
      <c r="F40" s="15">
        <f>IFERROR(VLOOKUP($B$7, Products_DB!A:O, 9, FALSE), "")</f>
        <v/>
      </c>
    </row>
    <row r="41">
      <c r="A41" s="1" t="inlineStr">
        <is>
          <t>Internal Coating</t>
        </is>
      </c>
      <c r="B41" s="15">
        <f>IFERROR(VLOOKUP($B$7, Products_DB!A:O, 10, FALSE), "")</f>
        <v/>
      </c>
      <c r="C41" s="1" t="inlineStr">
        <is>
          <t>Base Coat Color</t>
        </is>
      </c>
      <c r="D41" s="15">
        <f>IFERROR(VLOOKUP($B$7, Products_DB!A:O, 11, FALSE), "")</f>
        <v/>
      </c>
      <c r="E41" s="1" t="inlineStr">
        <is>
          <t>Print Colors</t>
        </is>
      </c>
      <c r="F41" s="15">
        <f>IFERROR(VLOOKUP($B$7, Products_DB!A:O, 12, FALSE), "")</f>
        <v/>
      </c>
    </row>
    <row r="42">
      <c r="A42" s="1" t="inlineStr">
        <is>
          <t>Varnish Type</t>
        </is>
      </c>
      <c r="B42" s="15">
        <f>IFERROR(VLOOKUP($B$7, Products_DB!A:O, 13, FALSE), "")</f>
        <v/>
      </c>
      <c r="C42" s="1" t="inlineStr">
        <is>
          <t>Packing Standard</t>
        </is>
      </c>
      <c r="D42" s="15">
        <f>IFERROR(VLOOKUP($B$7, Products_DB!A:O, 14, FALSE), "")</f>
        <v/>
      </c>
      <c r="E42" s="1" t="inlineStr">
        <is>
          <t>Special Instructions</t>
        </is>
      </c>
      <c r="F42" s="15">
        <f>F8</f>
        <v/>
      </c>
    </row>
    <row r="44" ht="18.75" customHeight="1" s="12">
      <c r="A44" s="11" t="inlineStr">
        <is>
          <t>4. APPROVAL / SIGN-OFF</t>
        </is>
      </c>
    </row>
    <row r="45">
      <c r="A45" s="3" t="inlineStr">
        <is>
          <t>Planning</t>
        </is>
      </c>
      <c r="B45" s="10" t="inlineStr">
        <is>
          <t>Store</t>
        </is>
      </c>
      <c r="C45" s="3" t="inlineStr">
        <is>
          <t>Production</t>
        </is>
      </c>
      <c r="D45" s="3" t="inlineStr">
        <is>
          <t>Quality</t>
        </is>
      </c>
      <c r="E45" s="30" t="n"/>
      <c r="F45" s="31" t="n"/>
    </row>
    <row r="46">
      <c r="A46" s="15" t="n"/>
      <c r="B46" s="32" t="n"/>
      <c r="C46" s="15" t="n"/>
      <c r="D46" s="6" t="n"/>
      <c r="E46" s="33" t="n"/>
      <c r="F46" s="34" t="n"/>
    </row>
    <row r="47">
      <c r="A47" s="16" t="n"/>
      <c r="B47" s="35" t="n"/>
      <c r="C47" s="16" t="n"/>
      <c r="D47" s="35" t="n"/>
      <c r="F47" s="36" t="n"/>
    </row>
    <row r="48">
      <c r="A48" s="17" t="n"/>
      <c r="B48" s="37" t="n"/>
      <c r="C48" s="17" t="n"/>
      <c r="D48" s="37" t="n"/>
      <c r="E48" s="38" t="n"/>
      <c r="F48" s="39" t="n"/>
    </row>
  </sheetData>
  <mergeCells count="10">
    <mergeCell ref="A38:F38"/>
    <mergeCell ref="D46:F48"/>
    <mergeCell ref="A10:F10"/>
    <mergeCell ref="B1:D2"/>
    <mergeCell ref="A44:F44"/>
    <mergeCell ref="A5:F5"/>
    <mergeCell ref="B46:B48"/>
    <mergeCell ref="D45:F45"/>
    <mergeCell ref="A46:A48"/>
    <mergeCell ref="C46:C4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LookupKey</t>
        </is>
      </c>
      <c r="B1" s="5" t="inlineStr">
        <is>
          <t>P.ID</t>
        </is>
      </c>
      <c r="C1" s="5" t="inlineStr">
        <is>
          <t>BOM ID</t>
        </is>
      </c>
      <c r="D1" s="5" t="inlineStr">
        <is>
          <t>Customer</t>
        </is>
      </c>
      <c r="E1" s="5" t="inlineStr">
        <is>
          <t>Product Name</t>
        </is>
      </c>
      <c r="F1" s="5" t="inlineStr">
        <is>
          <t>Dia</t>
        </is>
      </c>
      <c r="G1" s="5" t="inlineStr">
        <is>
          <t>Material Group</t>
        </is>
      </c>
      <c r="H1" s="5" t="inlineStr">
        <is>
          <t>Item ID</t>
        </is>
      </c>
      <c r="I1" s="5" t="inlineStr">
        <is>
          <t>Item Name</t>
        </is>
      </c>
      <c r="J1" s="5" t="inlineStr">
        <is>
          <t>UOM</t>
        </is>
      </c>
      <c r="K1" s="5" t="inlineStr">
        <is>
          <t>Net Qty / 1000</t>
        </is>
      </c>
      <c r="L1" s="5" t="inlineStr">
        <is>
          <t>Waste + Tolerance</t>
        </is>
      </c>
      <c r="M1" s="5" t="inlineStr">
        <is>
          <t>Gross Qty / 1000</t>
        </is>
      </c>
      <c r="N1" s="5" t="inlineStr">
        <is>
          <t>Remarks</t>
        </is>
      </c>
      <c r="O1" s="5" t="inlineStr">
        <is>
          <t>Calculations</t>
        </is>
      </c>
    </row>
    <row r="2">
      <c r="A2">
        <f>$E$2&amp;"_"&amp;COUNTIF($E$2:$E$2, $E$2)</f>
        <v/>
      </c>
      <c r="B2" t="n">
        <v>9001</v>
      </c>
      <c r="C2" t="n">
        <v>100</v>
      </c>
      <c r="D2" t="inlineStr">
        <is>
          <t>Aerosol Customer</t>
        </is>
      </c>
      <c r="E2" t="inlineStr">
        <is>
          <t>Aerosol Can 45mm</t>
        </is>
      </c>
      <c r="F2" t="n">
        <v>45</v>
      </c>
      <c r="G2" t="inlineStr">
        <is>
          <t>Aluminum Slugs</t>
        </is>
      </c>
      <c r="H2" t="n">
        <v>501</v>
      </c>
      <c r="I2" t="inlineStr">
        <is>
          <t>45mm Aluminum Slug</t>
        </is>
      </c>
      <c r="J2" t="inlineStr">
        <is>
          <t>kg</t>
        </is>
      </c>
      <c r="K2" t="n">
        <v>20</v>
      </c>
      <c r="L2" t="n">
        <v>0.1</v>
      </c>
      <c r="M2" t="n">
        <v>22.22222222222222</v>
      </c>
      <c r="O2" t="inlineStr">
        <is>
          <t>Slug weight per can × 1000. Fixed material input.</t>
        </is>
      </c>
    </row>
    <row r="3">
      <c r="A3">
        <f>$E$3&amp;"_"&amp;COUNTIF($E$2:$E$3, $E$3)</f>
        <v/>
      </c>
      <c r="B3" t="n">
        <v>9001</v>
      </c>
      <c r="C3" t="n">
        <v>100</v>
      </c>
      <c r="D3" t="inlineStr">
        <is>
          <t>Aerosol Customer</t>
        </is>
      </c>
      <c r="E3" t="inlineStr">
        <is>
          <t>Aerosol Can 45mm</t>
        </is>
      </c>
      <c r="F3" t="n">
        <v>45</v>
      </c>
      <c r="G3" t="inlineStr">
        <is>
          <t>Lubricant</t>
        </is>
      </c>
      <c r="H3" t="n">
        <v>502</v>
      </c>
      <c r="I3" t="inlineStr">
        <is>
          <t>SAPILUB LUBRIMET GR8</t>
        </is>
      </c>
      <c r="J3" t="inlineStr">
        <is>
          <t>kg</t>
        </is>
      </c>
      <c r="K3" t="n">
        <v>0.021</v>
      </c>
      <c r="L3" t="n">
        <v>0.1</v>
      </c>
      <c r="M3" t="n">
        <v>0.02333333333333333</v>
      </c>
      <c r="N3" t="inlineStr">
        <is>
          <t>105g per 100kg slugs × 20kg slugs/1000 = 0.021 kg/1000. (Ref: LUBRIMET GR8 TDS)</t>
        </is>
      </c>
      <c r="O3" t="inlineStr">
        <is>
          <t>105g per 100kg slugs × 20kg slugs/1000 = 0.021 kg/1000. (Ref: LUBRIMET GR8 TDS)</t>
        </is>
      </c>
    </row>
    <row r="4">
      <c r="A4">
        <f>$E$4&amp;"_"&amp;COUNTIF($E$2:$E$4, $E$4)</f>
        <v/>
      </c>
      <c r="B4" t="n">
        <v>9001</v>
      </c>
      <c r="C4" t="n">
        <v>100</v>
      </c>
      <c r="D4" t="inlineStr">
        <is>
          <t>Aerosol Customer</t>
        </is>
      </c>
      <c r="E4" t="inlineStr">
        <is>
          <t>Aerosol Can 45mm</t>
        </is>
      </c>
      <c r="F4" t="n">
        <v>45</v>
      </c>
      <c r="G4" t="inlineStr">
        <is>
          <t>Cleaner</t>
        </is>
      </c>
      <c r="H4" t="n">
        <v>503</v>
      </c>
      <c r="I4" t="inlineStr">
        <is>
          <t>SAPILUB ALULIQUID 13</t>
        </is>
      </c>
      <c r="J4" t="inlineStr">
        <is>
          <t>kg</t>
        </is>
      </c>
      <c r="K4" t="n">
        <v>5</v>
      </c>
      <c r="L4" t="n">
        <v>0.1</v>
      </c>
      <c r="M4" t="n">
        <v>5.555555555555555</v>
      </c>
      <c r="N4" t="inlineStr">
        <is>
          <t>Empirical / supplier recommendation. No TDS rate available.</t>
        </is>
      </c>
      <c r="O4" t="inlineStr">
        <is>
          <t>Empirical / supplier recommendation. No TDS rate available.</t>
        </is>
      </c>
    </row>
    <row r="5">
      <c r="A5">
        <f>$E$5&amp;"_"&amp;COUNTIF($E$2:$E$5, $E$5)</f>
        <v/>
      </c>
      <c r="B5" t="n">
        <v>9001</v>
      </c>
      <c r="C5" t="n">
        <v>100</v>
      </c>
      <c r="D5" t="inlineStr">
        <is>
          <t>Aerosol Customer</t>
        </is>
      </c>
      <c r="E5" t="inlineStr">
        <is>
          <t>Aerosol Can 45mm</t>
        </is>
      </c>
      <c r="F5" t="n">
        <v>45</v>
      </c>
      <c r="G5" t="inlineStr">
        <is>
          <t>Lacquer</t>
        </is>
      </c>
      <c r="H5" t="n">
        <v>504</v>
      </c>
      <c r="I5" t="inlineStr">
        <is>
          <t>SCHEKOSOL INT PROT Gold (400 9 901)</t>
        </is>
      </c>
      <c r="J5" t="inlineStr">
        <is>
          <t>kg</t>
        </is>
      </c>
      <c r="K5" t="n">
        <v>1.045</v>
      </c>
      <c r="L5" t="n">
        <v>0.1</v>
      </c>
      <c r="M5" t="n">
        <v>1.161111111111111</v>
      </c>
      <c r="N5" t="inlineStr">
        <is>
          <t>Can inner surface area (0.02375 m²) × High-end TDS wet film (44.0 g/m²) = 1.045 g/can = 1.045 kg/1000</t>
        </is>
      </c>
      <c r="O5" t="inlineStr">
        <is>
          <t>Can inner surface area (0.02375 m²) × High-end TDS wet film (44.0 g/m²) = 1.045 g/can = 1.045 kg/1000</t>
        </is>
      </c>
    </row>
    <row r="6">
      <c r="A6">
        <f>$E$6&amp;"_"&amp;COUNTIF($E$2:$E$6, $E$6)</f>
        <v/>
      </c>
      <c r="B6" t="n">
        <v>9001</v>
      </c>
      <c r="C6" t="n">
        <v>100</v>
      </c>
      <c r="D6" t="inlineStr">
        <is>
          <t>Aerosol Customer</t>
        </is>
      </c>
      <c r="E6" t="inlineStr">
        <is>
          <t>Aerosol Can 45mm</t>
        </is>
      </c>
      <c r="F6" t="n">
        <v>45</v>
      </c>
      <c r="G6" t="inlineStr">
        <is>
          <t>Lacquer</t>
        </is>
      </c>
      <c r="H6" t="n">
        <v>505</v>
      </c>
      <c r="I6" t="inlineStr">
        <is>
          <t>SCHEKOSOL INT BEIGE (400 4 902)</t>
        </is>
      </c>
      <c r="J6" t="inlineStr">
        <is>
          <t>kg</t>
        </is>
      </c>
      <c r="K6" t="n">
        <v>1.14</v>
      </c>
      <c r="L6" t="n">
        <v>0.1</v>
      </c>
      <c r="M6" t="n">
        <v>1.266666666666667</v>
      </c>
      <c r="N6" t="inlineStr">
        <is>
          <t>Can inner surface area (0.02375 m²) × High-end TDS wet film (48.0 g/m²) = 1.140 g/can = 1.140 kg/1000</t>
        </is>
      </c>
      <c r="O6" t="inlineStr">
        <is>
          <t>Can inner surface area (0.02375 m²) × High-end TDS wet film (48.0 g/m²) = 1.140 g/can = 1.140 kg/1000</t>
        </is>
      </c>
    </row>
    <row r="7">
      <c r="A7">
        <f>$E$7&amp;"_"&amp;COUNTIF($E$2:$E$7, $E$7)</f>
        <v/>
      </c>
      <c r="B7" t="n">
        <v>9001</v>
      </c>
      <c r="C7" t="n">
        <v>100</v>
      </c>
      <c r="D7" t="inlineStr">
        <is>
          <t>Aerosol Customer</t>
        </is>
      </c>
      <c r="E7" t="inlineStr">
        <is>
          <t>Aerosol Can 45mm</t>
        </is>
      </c>
      <c r="F7" t="n">
        <v>45</v>
      </c>
      <c r="G7" t="inlineStr">
        <is>
          <t>Base Coat</t>
        </is>
      </c>
      <c r="H7" t="n">
        <v>506</v>
      </c>
      <c r="I7" t="inlineStr">
        <is>
          <t>SCHEKOSOL WH BC (422 0 903)</t>
        </is>
      </c>
      <c r="J7" t="inlineStr">
        <is>
          <t>kg</t>
        </is>
      </c>
      <c r="K7" t="n">
        <v>0.973</v>
      </c>
      <c r="L7" t="n">
        <v>0.1</v>
      </c>
      <c r="M7" t="n">
        <v>1.081111111111111</v>
      </c>
      <c r="N7" t="inlineStr">
        <is>
          <t>Can outer surface area (0.02262 m²) × High-end TDS wet film (43.0 g/m²) = 0.973 g/can = 0.973 kg/1000</t>
        </is>
      </c>
      <c r="O7" t="inlineStr">
        <is>
          <t>Can outer surface area (0.02262 m²) × High-end TDS wet film (43.0 g/m²) = 0.973 g/can = 0.973 kg/1000</t>
        </is>
      </c>
    </row>
    <row r="8">
      <c r="A8">
        <f>$E$8&amp;"_"&amp;COUNTIF($E$2:$E$8, $E$8)</f>
        <v/>
      </c>
      <c r="B8" t="n">
        <v>9001</v>
      </c>
      <c r="C8" t="n">
        <v>100</v>
      </c>
      <c r="D8" t="inlineStr">
        <is>
          <t>Aerosol Customer</t>
        </is>
      </c>
      <c r="E8" t="inlineStr">
        <is>
          <t>Aerosol Can 45mm</t>
        </is>
      </c>
      <c r="F8" t="n">
        <v>45</v>
      </c>
      <c r="G8" t="inlineStr">
        <is>
          <t>Base Coat</t>
        </is>
      </c>
      <c r="H8" t="n">
        <v>507</v>
      </c>
      <c r="I8" t="inlineStr">
        <is>
          <t>SCHEKOSOL CLEAR BC (422 9 918)</t>
        </is>
      </c>
      <c r="J8" t="inlineStr">
        <is>
          <t>kg</t>
        </is>
      </c>
      <c r="K8" t="n">
        <v>0.701</v>
      </c>
      <c r="L8" t="n">
        <v>0.1</v>
      </c>
      <c r="M8" t="n">
        <v>0.7788888888888889</v>
      </c>
      <c r="N8" t="inlineStr">
        <is>
          <t>Can outer surface area (0.02262 m²) × High-end TDS wet film (31.0 g/m²) = 0.701 g/can = 0.701 kg/1000</t>
        </is>
      </c>
      <c r="O8" t="inlineStr">
        <is>
          <t>Can outer surface area (0.02262 m²) × High-end TDS wet film (31.0 g/m²) = 0.701 g/can = 0.701 kg/1000</t>
        </is>
      </c>
    </row>
    <row r="9">
      <c r="A9">
        <f>$E$9&amp;"_"&amp;COUNTIF($E$2:$E$9, $E$9)</f>
        <v/>
      </c>
      <c r="B9" t="n">
        <v>9001</v>
      </c>
      <c r="C9" t="n">
        <v>100</v>
      </c>
      <c r="D9" t="inlineStr">
        <is>
          <t>Aerosol Customer</t>
        </is>
      </c>
      <c r="E9" t="inlineStr">
        <is>
          <t>Aerosol Can 45mm</t>
        </is>
      </c>
      <c r="F9" t="n">
        <v>45</v>
      </c>
      <c r="G9" t="inlineStr">
        <is>
          <t>Varnish</t>
        </is>
      </c>
      <c r="H9" t="n">
        <v>508</v>
      </c>
      <c r="I9" t="inlineStr">
        <is>
          <t>SCHEKOSOL OPV GLOSSY (422 9 900)</t>
        </is>
      </c>
      <c r="J9" t="inlineStr">
        <is>
          <t>kg</t>
        </is>
      </c>
      <c r="K9" t="n">
        <v>0.43</v>
      </c>
      <c r="L9" t="n">
        <v>0.1</v>
      </c>
      <c r="M9" t="n">
        <v>0.4777777777777777</v>
      </c>
      <c r="N9" t="inlineStr">
        <is>
          <t>Can outer surface area (0.02262 m²) × High-end TDS wet film (19.0 g/m²) = 0.430 g/can = 0.430 kg/1000</t>
        </is>
      </c>
      <c r="O9" t="inlineStr">
        <is>
          <t>Can outer surface area (0.02262 m²) × High-end TDS wet film (19.0 g/m²) = 0.430 g/can = 0.430 kg/1000</t>
        </is>
      </c>
    </row>
    <row r="10">
      <c r="A10">
        <f>$E$10&amp;"_"&amp;COUNTIF($E$2:$E$10, $E$10)</f>
        <v/>
      </c>
      <c r="B10" t="n">
        <v>9001</v>
      </c>
      <c r="C10" t="n">
        <v>100</v>
      </c>
      <c r="D10" t="inlineStr">
        <is>
          <t>Aerosol Customer</t>
        </is>
      </c>
      <c r="E10" t="inlineStr">
        <is>
          <t>Aerosol Can 45mm</t>
        </is>
      </c>
      <c r="F10" t="n">
        <v>45</v>
      </c>
      <c r="G10" t="inlineStr">
        <is>
          <t>Varnish</t>
        </is>
      </c>
      <c r="H10" t="n">
        <v>509</v>
      </c>
      <c r="I10" t="inlineStr">
        <is>
          <t>SCHEKOSOL OPV SILKMATT (422 9 903)</t>
        </is>
      </c>
      <c r="J10" t="inlineStr">
        <is>
          <t>kg</t>
        </is>
      </c>
      <c r="K10" t="n">
        <v>0.385</v>
      </c>
      <c r="L10" t="n">
        <v>0.1</v>
      </c>
      <c r="M10" t="n">
        <v>0.4277777777777778</v>
      </c>
      <c r="N10" t="inlineStr">
        <is>
          <t>Can outer surface area (0.02262 m²) × High-end TDS wet film (17.0 g/m²) = 0.385 g/can = 0.385 kg/1000</t>
        </is>
      </c>
      <c r="O10" t="inlineStr">
        <is>
          <t>Can outer surface area (0.02262 m²) × High-end TDS wet film (17.0 g/m²) = 0.385 g/can = 0.385 kg/1000</t>
        </is>
      </c>
    </row>
    <row r="11">
      <c r="A11">
        <f>$E$11&amp;"_"&amp;COUNTIF($E$2:$E$11, $E$11)</f>
        <v/>
      </c>
      <c r="B11" t="n">
        <v>9001</v>
      </c>
      <c r="C11" t="n">
        <v>100</v>
      </c>
      <c r="D11" t="inlineStr">
        <is>
          <t>Aerosol Customer</t>
        </is>
      </c>
      <c r="E11" t="inlineStr">
        <is>
          <t>Aerosol Can 45mm</t>
        </is>
      </c>
      <c r="F11" t="n">
        <v>45</v>
      </c>
      <c r="G11" t="inlineStr">
        <is>
          <t>Ink</t>
        </is>
      </c>
      <c r="H11" t="n">
        <v>510</v>
      </c>
      <c r="I11" t="inlineStr">
        <is>
          <t>SunAltec MB PLUS 169766 OPAQUE WHITE</t>
        </is>
      </c>
      <c r="J11" t="inlineStr">
        <is>
          <t>kg</t>
        </is>
      </c>
      <c r="K11" t="n">
        <v>0.28</v>
      </c>
      <c r="L11" t="n">
        <v>0.1</v>
      </c>
      <c r="M11" t="n">
        <v>0.3111111111111111</v>
      </c>
      <c r="N11" t="inlineStr">
        <is>
          <t>Ink usage varies by print design, coverage area, and number of colors.</t>
        </is>
      </c>
      <c r="O11" t="inlineStr">
        <is>
          <t>Dry-offset ink per print station per can ≈ 0.28 g/can = 0.280 kg/1000.</t>
        </is>
      </c>
    </row>
    <row r="12">
      <c r="A12">
        <f>$E$12&amp;"_"&amp;COUNTIF($E$2:$E$12, $E$12)</f>
        <v/>
      </c>
      <c r="B12" t="n">
        <v>9001</v>
      </c>
      <c r="C12" t="n">
        <v>100</v>
      </c>
      <c r="D12" t="inlineStr">
        <is>
          <t>Aerosol Customer</t>
        </is>
      </c>
      <c r="E12" t="inlineStr">
        <is>
          <t>Aerosol Can 45mm</t>
        </is>
      </c>
      <c r="F12" t="n">
        <v>45</v>
      </c>
      <c r="G12" t="inlineStr">
        <is>
          <t>Ink</t>
        </is>
      </c>
      <c r="H12" t="n">
        <v>599</v>
      </c>
      <c r="I12" t="inlineStr">
        <is>
          <t>11069 UV INK YELLOW (168391) AEROSOL</t>
        </is>
      </c>
      <c r="J12" t="inlineStr">
        <is>
          <t>kg</t>
        </is>
      </c>
      <c r="K12" t="n">
        <v>0.28</v>
      </c>
      <c r="L12" t="n">
        <v>0.1</v>
      </c>
      <c r="M12" t="n">
        <v>0.3111111111111111</v>
      </c>
      <c r="N12" t="inlineStr">
        <is>
          <t>Ink usage varies by print design, coverage area, and number of colors.</t>
        </is>
      </c>
      <c r="O12" t="inlineStr">
        <is>
          <t>Dry-offset ink per print station per can ≈ 0.28 g/can = 0.280 kg/1000.</t>
        </is>
      </c>
    </row>
    <row r="13">
      <c r="A13">
        <f>$E$13&amp;"_"&amp;COUNTIF($E$2:$E$13, $E$13)</f>
        <v/>
      </c>
      <c r="B13" t="n">
        <v>9001</v>
      </c>
      <c r="C13" t="n">
        <v>100</v>
      </c>
      <c r="D13" t="inlineStr">
        <is>
          <t>Aerosol Customer</t>
        </is>
      </c>
      <c r="E13" t="inlineStr">
        <is>
          <t>Aerosol Can 45mm</t>
        </is>
      </c>
      <c r="F13" t="n">
        <v>45</v>
      </c>
      <c r="G13" t="inlineStr">
        <is>
          <t>Ink</t>
        </is>
      </c>
      <c r="H13" t="n">
        <v>600</v>
      </c>
      <c r="I13" t="inlineStr">
        <is>
          <t>11070 UV INK MAGENTA (168396) AEROSOL</t>
        </is>
      </c>
      <c r="J13" t="inlineStr">
        <is>
          <t>kg</t>
        </is>
      </c>
      <c r="K13" t="n">
        <v>0.28</v>
      </c>
      <c r="L13" t="n">
        <v>0.1</v>
      </c>
      <c r="M13" t="n">
        <v>0.3111111111111111</v>
      </c>
      <c r="N13" t="inlineStr">
        <is>
          <t>Ink usage varies by print design, coverage area, and number of colors.</t>
        </is>
      </c>
      <c r="O13" t="inlineStr">
        <is>
          <t>Dry-offset ink per print station per can ≈ 0.28 g/can = 0.280 kg/1000.</t>
        </is>
      </c>
    </row>
    <row r="14">
      <c r="A14">
        <f>$E$14&amp;"_"&amp;COUNTIF($E$2:$E$14, $E$14)</f>
        <v/>
      </c>
      <c r="B14" t="n">
        <v>9001</v>
      </c>
      <c r="C14" t="n">
        <v>100</v>
      </c>
      <c r="D14" t="inlineStr">
        <is>
          <t>Aerosol Customer</t>
        </is>
      </c>
      <c r="E14" t="inlineStr">
        <is>
          <t>Aerosol Can 45mm</t>
        </is>
      </c>
      <c r="F14" t="n">
        <v>45</v>
      </c>
      <c r="G14" t="inlineStr">
        <is>
          <t>Ink</t>
        </is>
      </c>
      <c r="H14" t="n">
        <v>601</v>
      </c>
      <c r="I14" t="inlineStr">
        <is>
          <t>11071 UV INK BLACK (401295) AEROSOL</t>
        </is>
      </c>
      <c r="J14" t="inlineStr">
        <is>
          <t>kg</t>
        </is>
      </c>
      <c r="K14" t="n">
        <v>0.28</v>
      </c>
      <c r="L14" t="n">
        <v>0.1</v>
      </c>
      <c r="M14" t="n">
        <v>0.3111111111111111</v>
      </c>
      <c r="N14" t="inlineStr">
        <is>
          <t>Ink usage varies by print design, coverage area, and number of colors.</t>
        </is>
      </c>
      <c r="O14" t="inlineStr">
        <is>
          <t>Dry-offset ink per print station per can ≈ 0.28 g/can = 0.280 kg/1000.</t>
        </is>
      </c>
    </row>
    <row r="15">
      <c r="A15">
        <f>$E$15&amp;"_"&amp;COUNTIF($E$2:$E$15, $E$15)</f>
        <v/>
      </c>
      <c r="B15" t="n">
        <v>9001</v>
      </c>
      <c r="C15" t="n">
        <v>100</v>
      </c>
      <c r="D15" t="inlineStr">
        <is>
          <t>Aerosol Customer</t>
        </is>
      </c>
      <c r="E15" t="inlineStr">
        <is>
          <t>Aerosol Can 45mm</t>
        </is>
      </c>
      <c r="F15" t="n">
        <v>45</v>
      </c>
      <c r="G15" t="inlineStr">
        <is>
          <t>Ink</t>
        </is>
      </c>
      <c r="H15" t="n">
        <v>602</v>
      </c>
      <c r="I15" t="inlineStr">
        <is>
          <t>11072 UV INK TRANSPARENT WHITE (169167) AEROSOL</t>
        </is>
      </c>
      <c r="J15" t="inlineStr">
        <is>
          <t>kg</t>
        </is>
      </c>
      <c r="K15" t="n">
        <v>0.28</v>
      </c>
      <c r="L15" t="n">
        <v>0.1</v>
      </c>
      <c r="M15" t="n">
        <v>0.3111111111111111</v>
      </c>
      <c r="N15" t="inlineStr">
        <is>
          <t>Ink usage varies by print design, coverage area, and number of colors.</t>
        </is>
      </c>
      <c r="O15" t="inlineStr">
        <is>
          <t>Dry-offset ink per print station per can ≈ 0.28 g/can = 0.280 kg/1000.</t>
        </is>
      </c>
    </row>
    <row r="16">
      <c r="A16">
        <f>$E$16&amp;"_"&amp;COUNTIF($E$2:$E$16, $E$16)</f>
        <v/>
      </c>
      <c r="B16" t="n">
        <v>9001</v>
      </c>
      <c r="C16" t="n">
        <v>100</v>
      </c>
      <c r="D16" t="inlineStr">
        <is>
          <t>Aerosol Customer</t>
        </is>
      </c>
      <c r="E16" t="inlineStr">
        <is>
          <t>Aerosol Can 45mm</t>
        </is>
      </c>
      <c r="F16" t="n">
        <v>45</v>
      </c>
      <c r="G16" t="inlineStr">
        <is>
          <t>Ink</t>
        </is>
      </c>
      <c r="H16" t="n">
        <v>603</v>
      </c>
      <c r="I16" t="inlineStr">
        <is>
          <t>11065 UV INK REFLEX BLUE (168402) AEROSOL</t>
        </is>
      </c>
      <c r="J16" t="inlineStr">
        <is>
          <t>kg</t>
        </is>
      </c>
      <c r="K16" t="n">
        <v>0.28</v>
      </c>
      <c r="L16" t="n">
        <v>0.1</v>
      </c>
      <c r="M16" t="n">
        <v>0.3111111111111111</v>
      </c>
      <c r="N16" t="inlineStr">
        <is>
          <t>Ink usage varies by print design, coverage area, and number of colors.</t>
        </is>
      </c>
      <c r="O16" t="inlineStr">
        <is>
          <t>Dry-offset ink per print station per can ≈ 0.28 g/can = 0.280 kg/1000.</t>
        </is>
      </c>
    </row>
    <row r="17">
      <c r="A17">
        <f>$E$17&amp;"_"&amp;COUNTIF($E$2:$E$17, $E$17)</f>
        <v/>
      </c>
      <c r="B17" t="n">
        <v>9001</v>
      </c>
      <c r="C17" t="n">
        <v>100</v>
      </c>
      <c r="D17" t="inlineStr">
        <is>
          <t>Aerosol Customer</t>
        </is>
      </c>
      <c r="E17" t="inlineStr">
        <is>
          <t>Aerosol Can 45mm</t>
        </is>
      </c>
      <c r="F17" t="n">
        <v>45</v>
      </c>
      <c r="G17" t="inlineStr">
        <is>
          <t>Ink</t>
        </is>
      </c>
      <c r="H17" t="n">
        <v>604</v>
      </c>
      <c r="I17" t="inlineStr">
        <is>
          <t>11066 UV INK RHODAMINE (168397) AEROSOL</t>
        </is>
      </c>
      <c r="J17" t="inlineStr">
        <is>
          <t>kg</t>
        </is>
      </c>
      <c r="K17" t="n">
        <v>0.28</v>
      </c>
      <c r="L17" t="n">
        <v>0.1</v>
      </c>
      <c r="M17" t="n">
        <v>0.3111111111111111</v>
      </c>
      <c r="N17" t="inlineStr">
        <is>
          <t>Ink usage varies by print design, coverage area, and number of colors.</t>
        </is>
      </c>
      <c r="O17" t="inlineStr">
        <is>
          <t>Dry-offset ink per print station per can ≈ 0.28 g/can = 0.280 kg/1000.</t>
        </is>
      </c>
    </row>
    <row r="18">
      <c r="A18">
        <f>$E$18&amp;"_"&amp;COUNTIF($E$2:$E$18, $E$18)</f>
        <v/>
      </c>
      <c r="B18" t="n">
        <v>9001</v>
      </c>
      <c r="C18" t="n">
        <v>100</v>
      </c>
      <c r="D18" t="inlineStr">
        <is>
          <t>Aerosol Customer</t>
        </is>
      </c>
      <c r="E18" t="inlineStr">
        <is>
          <t>Aerosol Can 45mm</t>
        </is>
      </c>
      <c r="F18" t="n">
        <v>45</v>
      </c>
      <c r="G18" t="inlineStr">
        <is>
          <t>Ink</t>
        </is>
      </c>
      <c r="H18" t="n">
        <v>605</v>
      </c>
      <c r="I18" t="inlineStr">
        <is>
          <t>11067 UV INK PURPLE (168398) AEROSOL</t>
        </is>
      </c>
      <c r="J18" t="inlineStr">
        <is>
          <t>kg</t>
        </is>
      </c>
      <c r="K18" t="n">
        <v>0.28</v>
      </c>
      <c r="L18" t="n">
        <v>0.1</v>
      </c>
      <c r="M18" t="n">
        <v>0.3111111111111111</v>
      </c>
      <c r="N18" t="inlineStr">
        <is>
          <t>Ink usage varies by print design, coverage area, and number of colors.</t>
        </is>
      </c>
      <c r="O18" t="inlineStr">
        <is>
          <t>Dry-offset ink per print station per can ≈ 0.28 g/can = 0.280 kg/1000.</t>
        </is>
      </c>
    </row>
    <row r="19">
      <c r="A19">
        <f>$E$19&amp;"_"&amp;COUNTIF($E$2:$E$19, $E$19)</f>
        <v/>
      </c>
      <c r="B19" t="n">
        <v>9001</v>
      </c>
      <c r="C19" t="n">
        <v>100</v>
      </c>
      <c r="D19" t="inlineStr">
        <is>
          <t>Aerosol Customer</t>
        </is>
      </c>
      <c r="E19" t="inlineStr">
        <is>
          <t>Aerosol Can 45mm</t>
        </is>
      </c>
      <c r="F19" t="n">
        <v>45</v>
      </c>
      <c r="G19" t="inlineStr">
        <is>
          <t>Ink</t>
        </is>
      </c>
      <c r="H19" t="n">
        <v>606</v>
      </c>
      <c r="I19" t="inlineStr">
        <is>
          <t>11068 UV INK VIOLET (168399) AEROSOL</t>
        </is>
      </c>
      <c r="J19" t="inlineStr">
        <is>
          <t>kg</t>
        </is>
      </c>
      <c r="K19" t="n">
        <v>0.28</v>
      </c>
      <c r="L19" t="n">
        <v>0.1</v>
      </c>
      <c r="M19" t="n">
        <v>0.3111111111111111</v>
      </c>
      <c r="N19" t="inlineStr">
        <is>
          <t>Ink usage varies by print design, coverage area, and number of colors.</t>
        </is>
      </c>
      <c r="O19" t="inlineStr">
        <is>
          <t>Dry-offset ink per print station per can ≈ 0.28 g/can = 0.280 kg/1000.</t>
        </is>
      </c>
    </row>
    <row r="20">
      <c r="A20">
        <f>$E$20&amp;"_"&amp;COUNTIF($E$2:$E$20, $E$20)</f>
        <v/>
      </c>
      <c r="B20" t="n">
        <v>9001</v>
      </c>
      <c r="C20" t="n">
        <v>100</v>
      </c>
      <c r="D20" t="inlineStr">
        <is>
          <t>Aerosol Customer</t>
        </is>
      </c>
      <c r="E20" t="inlineStr">
        <is>
          <t>Aerosol Can 45mm</t>
        </is>
      </c>
      <c r="F20" t="n">
        <v>45</v>
      </c>
      <c r="G20" t="inlineStr">
        <is>
          <t>Ink</t>
        </is>
      </c>
      <c r="H20" t="n">
        <v>607</v>
      </c>
      <c r="I20" t="inlineStr">
        <is>
          <t>11074 UV INK RED 032 (156358/CF01) AEROSOL</t>
        </is>
      </c>
      <c r="J20" t="inlineStr">
        <is>
          <t>kg</t>
        </is>
      </c>
      <c r="K20" t="n">
        <v>0.28</v>
      </c>
      <c r="L20" t="n">
        <v>0.1</v>
      </c>
      <c r="M20" t="n">
        <v>0.3111111111111111</v>
      </c>
      <c r="N20" t="inlineStr">
        <is>
          <t>Ink usage varies by print design, coverage area, and number of colors.</t>
        </is>
      </c>
      <c r="O20" t="inlineStr">
        <is>
          <t>Dry-offset ink per print station per can ≈ 0.28 g/can = 0.280 kg/1000.</t>
        </is>
      </c>
    </row>
    <row r="21">
      <c r="A21">
        <f>$E$21&amp;"_"&amp;COUNTIF($E$2:$E$21, $E$21)</f>
        <v/>
      </c>
      <c r="B21" t="n">
        <v>9001</v>
      </c>
      <c r="C21" t="n">
        <v>100</v>
      </c>
      <c r="D21" t="inlineStr">
        <is>
          <t>Aerosol Customer</t>
        </is>
      </c>
      <c r="E21" t="inlineStr">
        <is>
          <t>Aerosol Can 45mm</t>
        </is>
      </c>
      <c r="F21" t="n">
        <v>45</v>
      </c>
      <c r="G21" t="inlineStr">
        <is>
          <t>Ink</t>
        </is>
      </c>
      <c r="H21" t="n">
        <v>608</v>
      </c>
      <c r="I21" t="inlineStr">
        <is>
          <t>11073 UV INK CYAN (168400) AEROSOL</t>
        </is>
      </c>
      <c r="J21" t="inlineStr">
        <is>
          <t>kg</t>
        </is>
      </c>
      <c r="K21" t="n">
        <v>0.28</v>
      </c>
      <c r="L21" t="n">
        <v>0.1</v>
      </c>
      <c r="M21" t="n">
        <v>0.3111111111111111</v>
      </c>
      <c r="N21" t="inlineStr">
        <is>
          <t>Ink usage varies by print design, coverage area, and number of colors.</t>
        </is>
      </c>
      <c r="O21" t="inlineStr">
        <is>
          <t>Dry-offset ink per print station per can ≈ 0.28 g/can = 0.280 kg/1000.</t>
        </is>
      </c>
    </row>
    <row r="22">
      <c r="A22">
        <f>$E$22&amp;"_"&amp;COUNTIF($E$2:$E$22, $E$22)</f>
        <v/>
      </c>
      <c r="B22" t="n">
        <v>9001</v>
      </c>
      <c r="C22" t="n">
        <v>100</v>
      </c>
      <c r="D22" t="inlineStr">
        <is>
          <t>Aerosol Customer</t>
        </is>
      </c>
      <c r="E22" t="inlineStr">
        <is>
          <t>Aerosol Can 45mm</t>
        </is>
      </c>
      <c r="F22" t="n">
        <v>45</v>
      </c>
      <c r="G22" t="inlineStr">
        <is>
          <t>Ink</t>
        </is>
      </c>
      <c r="H22" t="n">
        <v>609</v>
      </c>
      <c r="I22" t="inlineStr">
        <is>
          <t>11075 UV INK OPAQUE WHITE (400050) AEROSOL</t>
        </is>
      </c>
      <c r="J22" t="inlineStr">
        <is>
          <t>kg</t>
        </is>
      </c>
      <c r="K22" t="n">
        <v>0.28</v>
      </c>
      <c r="L22" t="n">
        <v>0.1</v>
      </c>
      <c r="M22" t="n">
        <v>0.3111111111111111</v>
      </c>
      <c r="N22" t="inlineStr">
        <is>
          <t>Ink usage varies by print design, coverage area, and number of colors.</t>
        </is>
      </c>
      <c r="O22" t="inlineStr">
        <is>
          <t>Dry-offset ink per print station per can ≈ 0.28 g/can = 0.280 kg/1000.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P2" sqref="P2"/>
    </sheetView>
  </sheetViews>
  <sheetFormatPr baseColWidth="8" defaultRowHeight="15"/>
  <sheetData>
    <row r="1">
      <c r="A1" s="5" t="inlineStr">
        <is>
          <t>Product Name</t>
        </is>
      </c>
      <c r="B1" s="5" t="inlineStr">
        <is>
          <t>Product ID</t>
        </is>
      </c>
      <c r="C1" s="5" t="inlineStr">
        <is>
          <t>Customer</t>
        </is>
      </c>
      <c r="D1" s="5" t="inlineStr">
        <is>
          <t>Can Type</t>
        </is>
      </c>
      <c r="E1" s="5" t="inlineStr">
        <is>
          <t>Can Diameter</t>
        </is>
      </c>
      <c r="F1" s="5" t="inlineStr">
        <is>
          <t>Can Height</t>
        </is>
      </c>
      <c r="G1" s="5" t="inlineStr">
        <is>
          <t>Neck Opening</t>
        </is>
      </c>
      <c r="H1" s="5" t="inlineStr">
        <is>
          <t>Wall Thickness</t>
        </is>
      </c>
      <c r="I1" s="5" t="inlineStr">
        <is>
          <t>Dome Thickness</t>
        </is>
      </c>
      <c r="J1" s="5" t="inlineStr">
        <is>
          <t>Internal Coating</t>
        </is>
      </c>
      <c r="K1" s="5" t="inlineStr">
        <is>
          <t>Base Coat Color</t>
        </is>
      </c>
      <c r="L1" s="5" t="inlineStr">
        <is>
          <t>Print Colors</t>
        </is>
      </c>
      <c r="M1" s="5" t="inlineStr">
        <is>
          <t>Varnish Type</t>
        </is>
      </c>
      <c r="N1" s="5" t="inlineStr">
        <is>
          <t>Packing Standard</t>
        </is>
      </c>
      <c r="O1" s="5" t="n"/>
      <c r="P1" s="5" t="inlineStr">
        <is>
          <t>Dates_List</t>
        </is>
      </c>
    </row>
    <row r="2">
      <c r="A2" t="inlineStr">
        <is>
          <t>Aerosol Can 45mm</t>
        </is>
      </c>
      <c r="B2" t="n">
        <v>9001</v>
      </c>
      <c r="C2" t="inlineStr">
        <is>
          <t>Aerosol Customer</t>
        </is>
      </c>
      <c r="D2" t="inlineStr">
        <is>
          <t>Necked-in</t>
        </is>
      </c>
      <c r="E2" t="inlineStr">
        <is>
          <t>45mm</t>
        </is>
      </c>
      <c r="F2" t="inlineStr">
        <is>
          <t>150mm</t>
        </is>
      </c>
      <c r="G2" t="inlineStr">
        <is>
          <t>1 inch</t>
        </is>
      </c>
      <c r="H2" t="inlineStr">
        <is>
          <t>0.35mm</t>
        </is>
      </c>
      <c r="I2" t="inlineStr">
        <is>
          <t>0.35mm</t>
        </is>
      </c>
      <c r="J2" t="inlineStr">
        <is>
          <t>Epoxy Gold</t>
        </is>
      </c>
      <c r="K2" t="inlineStr">
        <is>
          <t>White</t>
        </is>
      </c>
      <c r="L2" t="inlineStr">
        <is>
          <t>4 Colors</t>
        </is>
      </c>
      <c r="M2" t="inlineStr">
        <is>
          <t>Glossy</t>
        </is>
      </c>
      <c r="N2" t="inlineStr">
        <is>
          <t>100 per Carton</t>
        </is>
      </c>
      <c r="P2" t="inlineStr">
        <is>
          <t>08-Jul-2026</t>
        </is>
      </c>
    </row>
    <row r="3">
      <c r="P3" t="inlineStr">
        <is>
          <t>09-Jul-2026</t>
        </is>
      </c>
    </row>
    <row r="4">
      <c r="P4" t="inlineStr">
        <is>
          <t>10-Jul-2026</t>
        </is>
      </c>
    </row>
    <row r="5">
      <c r="P5" t="inlineStr">
        <is>
          <t>11-Jul-2026</t>
        </is>
      </c>
    </row>
    <row r="6">
      <c r="P6" t="inlineStr">
        <is>
          <t>12-Jul-2026</t>
        </is>
      </c>
    </row>
    <row r="7">
      <c r="P7" t="inlineStr">
        <is>
          <t>13-Jul-2026</t>
        </is>
      </c>
    </row>
    <row r="8">
      <c r="P8" t="inlineStr">
        <is>
          <t>14-Jul-2026</t>
        </is>
      </c>
    </row>
    <row r="9">
      <c r="P9" t="inlineStr">
        <is>
          <t>15-Jul-2026</t>
        </is>
      </c>
    </row>
    <row r="10">
      <c r="P10" t="inlineStr">
        <is>
          <t>16-Jul-2026</t>
        </is>
      </c>
    </row>
    <row r="11">
      <c r="P11" t="inlineStr">
        <is>
          <t>17-Jul-2026</t>
        </is>
      </c>
    </row>
    <row r="12">
      <c r="P12" t="inlineStr">
        <is>
          <t>18-Jul-2026</t>
        </is>
      </c>
    </row>
    <row r="13">
      <c r="P13" t="inlineStr">
        <is>
          <t>19-Jul-2026</t>
        </is>
      </c>
    </row>
    <row r="14">
      <c r="P14" t="inlineStr">
        <is>
          <t>20-Jul-2026</t>
        </is>
      </c>
    </row>
    <row r="15">
      <c r="P15" t="inlineStr">
        <is>
          <t>21-Jul-2026</t>
        </is>
      </c>
    </row>
    <row r="16">
      <c r="P16" t="inlineStr">
        <is>
          <t>22-Jul-2026</t>
        </is>
      </c>
    </row>
    <row r="17">
      <c r="P17" t="inlineStr">
        <is>
          <t>23-Jul-2026</t>
        </is>
      </c>
    </row>
    <row r="18">
      <c r="P18" t="inlineStr">
        <is>
          <t>24-Jul-2026</t>
        </is>
      </c>
    </row>
    <row r="19">
      <c r="P19" t="inlineStr">
        <is>
          <t>25-Jul-2026</t>
        </is>
      </c>
    </row>
    <row r="20">
      <c r="P20" t="inlineStr">
        <is>
          <t>26-Jul-2026</t>
        </is>
      </c>
    </row>
    <row r="21">
      <c r="P21" t="inlineStr">
        <is>
          <t>27-Jul-2026</t>
        </is>
      </c>
    </row>
    <row r="22">
      <c r="P22" t="inlineStr">
        <is>
          <t>28-Jul-2026</t>
        </is>
      </c>
    </row>
    <row r="23">
      <c r="P23" t="inlineStr">
        <is>
          <t>29-Jul-2026</t>
        </is>
      </c>
    </row>
    <row r="24">
      <c r="P24" t="inlineStr">
        <is>
          <t>30-Jul-2026</t>
        </is>
      </c>
    </row>
    <row r="25">
      <c r="P25" t="inlineStr">
        <is>
          <t>31-Jul-2026</t>
        </is>
      </c>
    </row>
    <row r="26">
      <c r="P26" t="inlineStr">
        <is>
          <t>01-Aug-2026</t>
        </is>
      </c>
    </row>
    <row r="27">
      <c r="P27" t="inlineStr">
        <is>
          <t>02-Aug-2026</t>
        </is>
      </c>
    </row>
    <row r="28">
      <c r="P28" t="inlineStr">
        <is>
          <t>03-Aug-2026</t>
        </is>
      </c>
    </row>
    <row r="29">
      <c r="P29" t="inlineStr">
        <is>
          <t>04-Aug-2026</t>
        </is>
      </c>
    </row>
    <row r="30">
      <c r="P30" t="inlineStr">
        <is>
          <t>05-Aug-2026</t>
        </is>
      </c>
    </row>
    <row r="31">
      <c r="P31" t="inlineStr">
        <is>
          <t>06-Aug-2026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2026-07-08T09:44:54Z</dcterms:created>
  <dcterms:modified xmlns:dcterms="http://purl.org/dc/terms/" xmlns:xsi="http://www.w3.org/2001/XMLSchema-instance" xsi:type="dcterms:W3CDTF">2026-08-19T07:09:54Z</dcterms:modified>
  <cp:lastModifiedBy>Sikander Shahjahan</cp:lastModifiedBy>
</cp:coreProperties>
</file>