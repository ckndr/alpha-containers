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</externalReferences>
  <definedNames>
    <definedName name="_xlnm._FilterDatabase" localSheetId="1" hidden="1">'MRP'!$A$16:$I$100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0.#"/>
    <numFmt numFmtId="171" formatCode="yyyy\-mm\-dd"/>
    <numFmt numFmtId="172" formatCode="DD-MMM-YYYY"/>
    <numFmt numFmtId="173" formatCode="_(* #,##0.00_);_(* \(#,##0.00\);_(* \-??_);_(@_)"/>
  </numFmts>
  <fonts count="48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Arial"/>
      <family val="2"/>
      <b val="1"/>
      <sz val="10"/>
    </font>
    <font>
      <name val="Segoe UI"/>
      <family val="2"/>
      <b val="1"/>
      <sz val="9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28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3" applyAlignment="1" pivotButton="0" quotePrefix="0" xfId="0">
      <alignment vertical="center"/>
    </xf>
    <xf numFmtId="0" fontId="8" fillId="3" borderId="4" applyAlignment="1" pivotButton="0" quotePrefix="0" xfId="0">
      <alignment vertical="center"/>
    </xf>
    <xf numFmtId="2" fontId="8" fillId="3" borderId="4" applyAlignment="1" pivotButton="0" quotePrefix="0" xfId="0">
      <alignment vertical="center"/>
    </xf>
    <xf numFmtId="1" fontId="8" fillId="3" borderId="4" applyAlignment="1" pivotButton="0" quotePrefix="0" xfId="0">
      <alignment horizontal="right" vertical="center"/>
    </xf>
    <xf numFmtId="164" fontId="8" fillId="3" borderId="5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2" fontId="3" fillId="4" borderId="2" applyAlignment="1" pivotButton="0" quotePrefix="0" xfId="0">
      <alignment horizontal="center" vertical="center" wrapText="1"/>
    </xf>
    <xf numFmtId="1" fontId="3" fillId="4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1" fontId="9" fillId="0" borderId="2" applyAlignment="1" pivotButton="0" quotePrefix="0" xfId="0">
      <alignment horizontal="center" vertical="center" wrapText="1"/>
    </xf>
    <xf numFmtId="1" fontId="10" fillId="0" borderId="2" applyAlignment="1" pivotButton="0" quotePrefix="0" xfId="0">
      <alignment horizontal="center" vertical="center" wrapText="1"/>
    </xf>
    <xf numFmtId="3" fontId="10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1" fontId="10" fillId="6" borderId="2" applyAlignment="1" pivotButton="0" quotePrefix="0" xfId="0">
      <alignment horizontal="center" vertical="center"/>
    </xf>
    <xf numFmtId="0" fontId="11" fillId="3" borderId="6" applyAlignment="1" pivotButton="0" quotePrefix="0" xfId="0">
      <alignment vertical="center"/>
    </xf>
    <xf numFmtId="0" fontId="11" fillId="3" borderId="7" applyAlignment="1" pivotButton="0" quotePrefix="0" xfId="0">
      <alignment vertical="center"/>
    </xf>
    <xf numFmtId="2" fontId="11" fillId="3" borderId="7" applyAlignment="1" pivotButton="0" quotePrefix="0" xfId="0">
      <alignment vertical="center"/>
    </xf>
    <xf numFmtId="1" fontId="11" fillId="3" borderId="7" applyAlignment="1" pivotButton="0" quotePrefix="0" xfId="0">
      <alignment vertical="center"/>
    </xf>
    <xf numFmtId="3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3" fontId="10" fillId="6" borderId="2" applyAlignment="1" pivotButton="0" quotePrefix="0" xfId="0">
      <alignment horizontal="center" vertical="center"/>
    </xf>
    <xf numFmtId="1" fontId="9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9" fillId="6" borderId="8" applyAlignment="1" pivotButton="0" quotePrefix="0" xfId="0">
      <alignment horizontal="center" vertical="center"/>
    </xf>
    <xf numFmtId="3" fontId="9" fillId="6" borderId="8" applyAlignment="1" pivotButton="0" quotePrefix="0" xfId="0">
      <alignment horizontal="center" vertical="center"/>
    </xf>
    <xf numFmtId="0" fontId="9" fillId="6" borderId="8" applyAlignment="1" pivotButton="0" quotePrefix="0" xfId="0">
      <alignment horizontal="left" vertical="center" wrapText="1"/>
    </xf>
    <xf numFmtId="0" fontId="6" fillId="6" borderId="8" applyAlignment="1" pivotButton="0" quotePrefix="0" xfId="0">
      <alignment horizontal="center" vertical="center"/>
    </xf>
    <xf numFmtId="3" fontId="10" fillId="7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3" fontId="10" fillId="6" borderId="8" applyAlignment="1" pivotButton="0" quotePrefix="0" xfId="0">
      <alignment horizontal="center" vertical="center"/>
    </xf>
    <xf numFmtId="0" fontId="9" fillId="8" borderId="8" applyAlignment="1" pivotButton="0" quotePrefix="0" xfId="0">
      <alignment horizontal="center" vertical="center"/>
    </xf>
    <xf numFmtId="3" fontId="9" fillId="8" borderId="8" applyAlignment="1" pivotButton="0" quotePrefix="0" xfId="0">
      <alignment horizontal="center" vertical="center"/>
    </xf>
    <xf numFmtId="0" fontId="9" fillId="8" borderId="8" applyAlignment="1" pivotButton="0" quotePrefix="0" xfId="0">
      <alignment horizontal="left" vertical="center" wrapText="1"/>
    </xf>
    <xf numFmtId="0" fontId="6" fillId="8" borderId="8" applyAlignment="1" pivotButton="0" quotePrefix="0" xfId="0">
      <alignment horizontal="center" vertical="center"/>
    </xf>
    <xf numFmtId="0" fontId="8" fillId="3" borderId="5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" fontId="9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" fontId="6" fillId="6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" fontId="9" fillId="6" borderId="2" applyAlignment="1" pivotButton="0" quotePrefix="0" xfId="0">
      <alignment horizontal="left" vertical="center"/>
    </xf>
    <xf numFmtId="3" fontId="10" fillId="6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14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4" borderId="3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5" fontId="4" fillId="10" borderId="2" applyAlignment="1" pivotButton="0" quotePrefix="0" xfId="0">
      <alignment horizontal="center" vertical="center"/>
    </xf>
    <xf numFmtId="166" fontId="2" fillId="10" borderId="2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2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7" applyAlignment="1" pivotButton="0" quotePrefix="0" xfId="0">
      <alignment horizontal="right"/>
    </xf>
    <xf numFmtId="164" fontId="8" fillId="3" borderId="7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9" applyAlignment="1" pivotButton="0" quotePrefix="0" xfId="0">
      <alignment horizontal="center" vertical="center"/>
    </xf>
    <xf numFmtId="0" fontId="9" fillId="10" borderId="9" applyAlignment="1" pivotButton="0" quotePrefix="0" xfId="0">
      <alignment horizontal="center" vertical="center"/>
    </xf>
    <xf numFmtId="0" fontId="8" fillId="3" borderId="2" applyAlignment="1" pivotButton="0" quotePrefix="0" xfId="0">
      <alignment vertical="center"/>
    </xf>
    <xf numFmtId="0" fontId="19" fillId="4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2" pivotButton="0" quotePrefix="0" xfId="0"/>
    <xf numFmtId="0" fontId="8" fillId="3" borderId="0" pivotButton="0" quotePrefix="0" xfId="0"/>
    <xf numFmtId="167" fontId="14" fillId="4" borderId="10" applyAlignment="1" pivotButton="0" quotePrefix="0" xfId="0">
      <alignment horizontal="center" wrapText="1"/>
    </xf>
    <xf numFmtId="0" fontId="14" fillId="4" borderId="11" applyAlignment="1" pivotButton="0" quotePrefix="0" xfId="0">
      <alignment horizontal="center" wrapText="1"/>
    </xf>
    <xf numFmtId="0" fontId="14" fillId="4" borderId="11" applyAlignment="1" pivotButton="0" quotePrefix="0" xfId="0">
      <alignment horizontal="left" wrapText="1"/>
    </xf>
    <xf numFmtId="0" fontId="14" fillId="4" borderId="6" applyAlignment="1" pivotButton="0" quotePrefix="0" xfId="0">
      <alignment horizontal="center" wrapText="1"/>
    </xf>
    <xf numFmtId="3" fontId="14" fillId="4" borderId="11" applyAlignment="1" pivotButton="0" quotePrefix="0" xfId="0">
      <alignment horizontal="center" wrapText="1"/>
    </xf>
    <xf numFmtId="168" fontId="14" fillId="4" borderId="11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4" applyAlignment="1" pivotButton="0" quotePrefix="0" xfId="0">
      <alignment horizontal="center" vertical="center" wrapText="1"/>
    </xf>
    <xf numFmtId="0" fontId="22" fillId="13" borderId="14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/>
    </xf>
    <xf numFmtId="0" fontId="32" fillId="17" borderId="16" applyAlignment="1" pivotButton="0" quotePrefix="0" xfId="0">
      <alignment horizontal="center" vertical="center"/>
    </xf>
    <xf numFmtId="0" fontId="22" fillId="17" borderId="16" applyAlignment="1" pivotButton="0" quotePrefix="0" xfId="0">
      <alignment horizontal="center" vertical="center"/>
    </xf>
    <xf numFmtId="0" fontId="22" fillId="17" borderId="16" applyAlignment="1" pivotButton="0" quotePrefix="0" xfId="0">
      <alignment horizontal="left" vertical="top" wrapText="1"/>
    </xf>
    <xf numFmtId="0" fontId="9" fillId="0" borderId="15" pivotButton="0" quotePrefix="0" xfId="0"/>
    <xf numFmtId="0" fontId="25" fillId="16" borderId="16" applyAlignment="1" pivotButton="0" quotePrefix="0" xfId="0">
      <alignment horizontal="center" vertical="center"/>
    </xf>
    <xf numFmtId="0" fontId="25" fillId="16" borderId="16" applyAlignment="1" pivotButton="0" quotePrefix="0" xfId="0">
      <alignment horizontal="left" vertical="top" wrapText="1"/>
    </xf>
    <xf numFmtId="0" fontId="30" fillId="17" borderId="16" applyAlignment="1" pivotButton="0" quotePrefix="0" xfId="0">
      <alignment horizontal="left" vertical="top" wrapText="1"/>
    </xf>
    <xf numFmtId="0" fontId="33" fillId="17" borderId="16" applyAlignment="1" pivotButton="0" quotePrefix="0" xfId="0">
      <alignment horizontal="left" vertical="top" wrapText="1"/>
    </xf>
    <xf numFmtId="0" fontId="22" fillId="18" borderId="16" applyAlignment="1" pivotButton="0" quotePrefix="0" xfId="0">
      <alignment horizontal="center" vertical="center"/>
    </xf>
    <xf numFmtId="0" fontId="22" fillId="18" borderId="16" applyAlignment="1" pivotButton="0" quotePrefix="0" xfId="0">
      <alignment horizontal="left" vertical="top" wrapText="1"/>
    </xf>
    <xf numFmtId="0" fontId="30" fillId="18" borderId="16" applyAlignment="1" pivotButton="0" quotePrefix="0" xfId="0">
      <alignment horizontal="left" vertical="top" wrapText="1"/>
    </xf>
    <xf numFmtId="0" fontId="33" fillId="18" borderId="16" applyAlignment="1" pivotButton="0" quotePrefix="0" xfId="0">
      <alignment horizontal="left" vertical="top" wrapText="1"/>
    </xf>
    <xf numFmtId="0" fontId="9" fillId="0" borderId="15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left" vertical="center" indent="1"/>
    </xf>
    <xf numFmtId="0" fontId="31" fillId="18" borderId="16" applyAlignment="1" pivotButton="0" quotePrefix="0" xfId="0">
      <alignment horizontal="left" vertical="top" wrapText="1"/>
    </xf>
    <xf numFmtId="0" fontId="31" fillId="17" borderId="16" applyAlignment="1" pivotButton="0" quotePrefix="0" xfId="0">
      <alignment horizontal="left" vertical="top" wrapText="1"/>
    </xf>
    <xf numFmtId="0" fontId="9" fillId="0" borderId="15" applyAlignment="1" pivotButton="0" quotePrefix="0" xfId="0">
      <alignment horizontal="center"/>
    </xf>
    <xf numFmtId="0" fontId="9" fillId="0" borderId="15" applyAlignment="1" pivotButton="0" quotePrefix="0" xfId="0">
      <alignment horizontal="left"/>
    </xf>
    <xf numFmtId="2" fontId="22" fillId="17" borderId="16" applyAlignment="1" pivotButton="0" quotePrefix="0" xfId="0">
      <alignment horizontal="left" vertical="top" wrapText="1"/>
    </xf>
    <xf numFmtId="2" fontId="22" fillId="18" borderId="16" applyAlignment="1" pivotButton="0" quotePrefix="0" xfId="0">
      <alignment horizontal="left" vertical="top" wrapText="1"/>
    </xf>
    <xf numFmtId="2" fontId="9" fillId="0" borderId="15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left" vertical="center"/>
    </xf>
    <xf numFmtId="0" fontId="9" fillId="0" borderId="15" applyAlignment="1" pivotButton="0" quotePrefix="0" xfId="0">
      <alignment horizontal="center" vertical="center"/>
    </xf>
    <xf numFmtId="169" fontId="9" fillId="0" borderId="15" applyAlignment="1" pivotButton="0" quotePrefix="0" xfId="0">
      <alignment horizontal="center" vertical="center"/>
    </xf>
    <xf numFmtId="2" fontId="9" fillId="0" borderId="15" applyAlignment="1" pivotButton="0" quotePrefix="0" xfId="0">
      <alignment horizontal="center" vertical="center"/>
    </xf>
    <xf numFmtId="0" fontId="22" fillId="0" borderId="15" applyAlignment="1" pivotButton="0" quotePrefix="0" xfId="0">
      <alignment horizontal="left" vertical="center"/>
    </xf>
    <xf numFmtId="0" fontId="22" fillId="0" borderId="15" pivotButton="0" quotePrefix="0" xfId="0"/>
    <xf numFmtId="0" fontId="23" fillId="17" borderId="16" applyAlignment="1" pivotButton="0" quotePrefix="0" xfId="0">
      <alignment horizontal="center" vertical="center"/>
    </xf>
    <xf numFmtId="0" fontId="23" fillId="18" borderId="16" applyAlignment="1" pivotButton="0" quotePrefix="0" xfId="0">
      <alignment horizontal="center" vertical="center"/>
    </xf>
    <xf numFmtId="0" fontId="22" fillId="0" borderId="15" applyAlignment="1" pivotButton="0" quotePrefix="0" xfId="0">
      <alignment horizontal="center" vertical="center" wrapText="1"/>
    </xf>
    <xf numFmtId="0" fontId="22" fillId="0" borderId="15" applyAlignment="1" pivotButton="0" quotePrefix="0" xfId="0">
      <alignment vertical="top" wrapText="1"/>
    </xf>
    <xf numFmtId="0" fontId="22" fillId="0" borderId="15" applyAlignment="1" pivotButton="0" quotePrefix="0" xfId="0">
      <alignment horizontal="left" vertical="center" wrapText="1"/>
    </xf>
    <xf numFmtId="0" fontId="23" fillId="19" borderId="16" applyAlignment="1" pivotButton="0" quotePrefix="0" xfId="0">
      <alignment horizontal="center" vertical="center"/>
    </xf>
    <xf numFmtId="0" fontId="22" fillId="19" borderId="16" applyAlignment="1" pivotButton="0" quotePrefix="0" xfId="0">
      <alignment horizontal="left" vertical="top" wrapText="1"/>
    </xf>
    <xf numFmtId="0" fontId="30" fillId="19" borderId="16" applyAlignment="1" pivotButton="0" quotePrefix="0" xfId="0">
      <alignment horizontal="left" vertical="top" wrapText="1"/>
    </xf>
    <xf numFmtId="0" fontId="22" fillId="20" borderId="16" applyAlignment="1" pivotButton="0" quotePrefix="0" xfId="0">
      <alignment horizontal="center" vertical="center"/>
    </xf>
    <xf numFmtId="0" fontId="22" fillId="20" borderId="16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1" fillId="4" borderId="1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7" pivotButton="0" quotePrefix="0" xfId="0"/>
    <xf numFmtId="3" fontId="3" fillId="4" borderId="2" applyAlignment="1" pivotButton="0" quotePrefix="0" xfId="9">
      <alignment horizontal="center" vertical="center" wrapText="1"/>
    </xf>
    <xf numFmtId="0" fontId="47" fillId="0" borderId="0" applyAlignment="1" pivotButton="0" quotePrefix="0" xfId="0">
      <alignment horizontal="left" vertical="center"/>
    </xf>
    <xf numFmtId="169" fontId="47" fillId="0" borderId="0" applyAlignment="1" pivotButton="0" quotePrefix="0" xfId="0">
      <alignment horizontal="center" vertical="center"/>
    </xf>
    <xf numFmtId="168" fontId="47" fillId="0" borderId="0" applyAlignment="1" pivotButton="0" quotePrefix="0" xfId="0">
      <alignment horizontal="center" vertical="center"/>
    </xf>
    <xf numFmtId="1" fontId="4" fillId="0" borderId="0" pivotButton="0" quotePrefix="0" xfId="0"/>
    <xf numFmtId="0" fontId="41" fillId="4" borderId="2" applyAlignment="1" pivotButton="0" quotePrefix="0" xfId="0">
      <alignment horizontal="center" vertical="center" wrapText="1"/>
    </xf>
    <xf numFmtId="9" fontId="41" fillId="4" borderId="2" applyAlignment="1" pivotButton="0" quotePrefix="0" xfId="0">
      <alignment horizontal="center" vertical="center" wrapText="1"/>
    </xf>
    <xf numFmtId="0" fontId="41" fillId="4" borderId="2" applyAlignment="1" pivotButton="0" quotePrefix="0" xfId="0">
      <alignment horizontal="center" vertical="center"/>
    </xf>
    <xf numFmtId="0" fontId="44" fillId="0" borderId="2" applyAlignment="1" pivotButton="0" quotePrefix="0" xfId="0">
      <alignment horizontal="center" vertical="center"/>
    </xf>
    <xf numFmtId="0" fontId="44" fillId="0" borderId="2" applyAlignment="1" pivotButton="0" quotePrefix="0" xfId="0">
      <alignment horizontal="left" vertical="center"/>
    </xf>
    <xf numFmtId="3" fontId="44" fillId="0" borderId="2" applyAlignment="1" pivotButton="0" quotePrefix="0" xfId="0">
      <alignment horizontal="left" vertical="center"/>
    </xf>
    <xf numFmtId="170" fontId="44" fillId="0" borderId="2" applyAlignment="1" pivotButton="0" quotePrefix="0" xfId="0">
      <alignment horizontal="center" vertical="center"/>
    </xf>
    <xf numFmtId="3" fontId="44" fillId="0" borderId="2" applyAlignment="1" pivotButton="0" quotePrefix="0" xfId="0">
      <alignment horizontal="center" vertical="center"/>
    </xf>
    <xf numFmtId="3" fontId="45" fillId="0" borderId="2" applyAlignment="1" pivotButton="0" quotePrefix="0" xfId="0">
      <alignment horizontal="center" vertical="center"/>
    </xf>
    <xf numFmtId="9" fontId="44" fillId="0" borderId="2" applyAlignment="1" pivotButton="0" quotePrefix="0" xfId="0">
      <alignment horizontal="center" vertical="center"/>
    </xf>
    <xf numFmtId="3" fontId="46" fillId="0" borderId="2" applyAlignment="1" pivotButton="0" quotePrefix="0" xfId="0">
      <alignment horizontal="left" vertical="center"/>
    </xf>
    <xf numFmtId="0" fontId="41" fillId="3" borderId="2" applyAlignment="1" pivotButton="0" quotePrefix="0" xfId="0">
      <alignment horizontal="left" vertical="center"/>
    </xf>
    <xf numFmtId="169" fontId="41" fillId="3" borderId="2" applyAlignment="1" pivotButton="0" quotePrefix="0" xfId="0">
      <alignment horizontal="center" vertical="center"/>
    </xf>
    <xf numFmtId="0" fontId="41" fillId="3" borderId="2" applyAlignment="1" pivotButton="0" quotePrefix="0" xfId="0">
      <alignment horizontal="right" vertical="center"/>
    </xf>
    <xf numFmtId="3" fontId="41" fillId="3" borderId="2" applyAlignment="1" pivotButton="0" quotePrefix="0" xfId="0">
      <alignment horizontal="center" vertical="center"/>
    </xf>
    <xf numFmtId="0" fontId="34" fillId="2" borderId="2" pivotButton="0" quotePrefix="0" xfId="0"/>
    <xf numFmtId="171" fontId="8" fillId="3" borderId="5" applyAlignment="1" pivotButton="0" quotePrefix="0" xfId="0">
      <alignment horizontal="left" vertical="center"/>
    </xf>
    <xf numFmtId="2" fontId="3" fillId="4" borderId="2" applyAlignment="1" pivotButton="0" quotePrefix="0" xfId="0">
      <alignment horizontal="center" vertical="center"/>
    </xf>
    <xf numFmtId="169" fontId="9" fillId="6" borderId="2" applyAlignment="1" pivotButton="0" quotePrefix="0" xfId="0">
      <alignment horizontal="center" vertical="center"/>
    </xf>
    <xf numFmtId="2" fontId="10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left" vertical="center"/>
    </xf>
    <xf numFmtId="1" fontId="10" fillId="6" borderId="2" applyAlignment="1" pivotButton="0" quotePrefix="0" xfId="0">
      <alignment horizontal="left" vertical="center"/>
    </xf>
    <xf numFmtId="0" fontId="35" fillId="0" borderId="18" pivotButton="0" quotePrefix="0" xfId="0"/>
    <xf numFmtId="169" fontId="35" fillId="0" borderId="18" pivotButton="0" quotePrefix="0" xfId="0"/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22" fillId="12" borderId="21" applyAlignment="1" pivotButton="0" quotePrefix="0" xfId="0">
      <alignment horizontal="center" vertical="center"/>
    </xf>
    <xf numFmtId="0" fontId="22" fillId="12" borderId="21" applyAlignment="1" pivotButton="0" quotePrefix="0" xfId="0">
      <alignment horizontal="left" vertical="center"/>
    </xf>
    <xf numFmtId="3" fontId="23" fillId="12" borderId="21" applyAlignment="1" pivotButton="0" quotePrefix="0" xfId="0">
      <alignment horizontal="center" vertical="center"/>
    </xf>
    <xf numFmtId="0" fontId="22" fillId="12" borderId="21" applyAlignment="1" pivotButton="0" quotePrefix="0" xfId="0">
      <alignment horizontal="left" vertical="center" wrapText="1"/>
    </xf>
    <xf numFmtId="0" fontId="22" fillId="13" borderId="21" applyAlignment="1" pivotButton="0" quotePrefix="0" xfId="0">
      <alignment horizontal="center" vertical="center"/>
    </xf>
    <xf numFmtId="0" fontId="22" fillId="13" borderId="21" applyAlignment="1" pivotButton="0" quotePrefix="0" xfId="0">
      <alignment horizontal="left" vertical="center"/>
    </xf>
    <xf numFmtId="3" fontId="23" fillId="13" borderId="21" applyAlignment="1" pivotButton="0" quotePrefix="0" xfId="0">
      <alignment horizontal="center" vertical="center"/>
    </xf>
    <xf numFmtId="0" fontId="22" fillId="13" borderId="21" applyAlignment="1" pivotButton="0" quotePrefix="0" xfId="0">
      <alignment horizontal="left" vertical="center" wrapText="1"/>
    </xf>
    <xf numFmtId="0" fontId="22" fillId="0" borderId="20" applyAlignment="1" pivotButton="0" quotePrefix="0" xfId="0">
      <alignment horizontal="center" vertical="center"/>
    </xf>
    <xf numFmtId="0" fontId="22" fillId="0" borderId="20" applyAlignment="1" pivotButton="0" quotePrefix="0" xfId="0">
      <alignment horizontal="left" vertical="center"/>
    </xf>
    <xf numFmtId="3" fontId="22" fillId="0" borderId="20" applyAlignment="1" pivotButton="0" quotePrefix="0" xfId="0">
      <alignment horizontal="center" vertical="center"/>
    </xf>
    <xf numFmtId="0" fontId="22" fillId="0" borderId="20" applyAlignment="1" pivotButton="0" quotePrefix="0" xfId="0">
      <alignment horizontal="left" vertical="center" wrapText="1"/>
    </xf>
    <xf numFmtId="0" fontId="22" fillId="0" borderId="20" pivotButton="0" quotePrefix="0" xfId="0"/>
    <xf numFmtId="0" fontId="44" fillId="0" borderId="20" pivotButton="0" quotePrefix="0" xfId="0"/>
    <xf numFmtId="0" fontId="34" fillId="2" borderId="20" pivotButton="0" quotePrefix="0" xfId="0"/>
    <xf numFmtId="0" fontId="35" fillId="0" borderId="20" pivotButton="0" quotePrefix="0" xfId="0"/>
    <xf numFmtId="0" fontId="35" fillId="2" borderId="20" pivotButton="0" quotePrefix="0" xfId="0"/>
    <xf numFmtId="169" fontId="35" fillId="0" borderId="20" pivotButton="0" quotePrefix="0" xfId="0"/>
    <xf numFmtId="0" fontId="37" fillId="3" borderId="20" applyAlignment="1" pivotButton="0" quotePrefix="0" xfId="0">
      <alignment vertical="center"/>
    </xf>
    <xf numFmtId="0" fontId="9" fillId="6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3" borderId="3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43" fillId="3" borderId="6" applyAlignment="1" pivotButton="0" quotePrefix="0" xfId="0">
      <alignment horizontal="center" vertical="center"/>
    </xf>
    <xf numFmtId="0" fontId="0" fillId="0" borderId="7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5" borderId="20" applyAlignment="1" pivotButton="0" quotePrefix="0" xfId="0">
      <alignment horizontal="center" vertical="center"/>
    </xf>
    <xf numFmtId="3" fontId="36" fillId="3" borderId="20" applyAlignment="1" pivotButton="0" quotePrefix="0" xfId="0">
      <alignment horizontal="center" vertical="center"/>
    </xf>
    <xf numFmtId="0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167" fontId="38" fillId="3" borderId="20" applyAlignment="1" pivotButton="0" quotePrefix="0" xfId="0">
      <alignment horizontal="center"/>
    </xf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7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6" fillId="14" borderId="20" applyAlignment="1" pivotButton="0" quotePrefix="0" xfId="0">
      <alignment horizontal="left" vertical="center"/>
    </xf>
    <xf numFmtId="0" fontId="27" fillId="14" borderId="20" applyAlignment="1" pivotButton="0" quotePrefix="0" xfId="0">
      <alignment horizontal="left" vertical="center"/>
    </xf>
    <xf numFmtId="0" fontId="44" fillId="0" borderId="23" applyAlignment="1" pivotButton="0" quotePrefix="0" xfId="0">
      <alignment horizontal="center" vertical="center"/>
    </xf>
    <xf numFmtId="0" fontId="44" fillId="0" borderId="23" applyAlignment="1" pivotButton="0" quotePrefix="0" xfId="0">
      <alignment horizontal="left" vertical="center"/>
    </xf>
    <xf numFmtId="3" fontId="44" fillId="0" borderId="23" applyAlignment="1" pivotButton="0" quotePrefix="0" xfId="0">
      <alignment horizontal="left" vertical="center"/>
    </xf>
    <xf numFmtId="170" fontId="44" fillId="0" borderId="23" applyAlignment="1" pivotButton="0" quotePrefix="0" xfId="0">
      <alignment horizontal="center" vertical="center"/>
    </xf>
    <xf numFmtId="3" fontId="44" fillId="0" borderId="23" applyAlignment="1" pivotButton="0" quotePrefix="0" xfId="0">
      <alignment horizontal="center" vertical="center"/>
    </xf>
    <xf numFmtId="3" fontId="45" fillId="0" borderId="23" applyAlignment="1" pivotButton="0" quotePrefix="0" xfId="0">
      <alignment horizontal="center" vertical="center"/>
    </xf>
    <xf numFmtId="9" fontId="44" fillId="0" borderId="23" applyAlignment="1" pivotButton="0" quotePrefix="0" xfId="0">
      <alignment horizontal="center" vertical="center"/>
    </xf>
    <xf numFmtId="0" fontId="45" fillId="0" borderId="23" applyAlignment="1" pivotButton="0" quotePrefix="0" xfId="0">
      <alignment horizontal="left" vertical="center"/>
    </xf>
    <xf numFmtId="0" fontId="44" fillId="0" borderId="24" pivotButton="0" quotePrefix="0" xfId="0"/>
    <xf numFmtId="0" fontId="8" fillId="3" borderId="2" applyAlignment="1" pivotButton="0" quotePrefix="0" xfId="0">
      <alignment horizontal="center" vertical="center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22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/>
    </xf>
    <xf numFmtId="3" fontId="23" fillId="12" borderId="25" applyAlignment="1" pivotButton="0" quotePrefix="0" xfId="0">
      <alignment horizontal="center" vertical="center"/>
    </xf>
    <xf numFmtId="0" fontId="22" fillId="12" borderId="25" applyAlignment="1" pivotButton="0" quotePrefix="0" xfId="0">
      <alignment horizontal="left" vertical="center" wrapText="1"/>
    </xf>
    <xf numFmtId="0" fontId="22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/>
    </xf>
    <xf numFmtId="3" fontId="23" fillId="13" borderId="25" applyAlignment="1" pivotButton="0" quotePrefix="0" xfId="0">
      <alignment horizontal="center" vertical="center"/>
    </xf>
    <xf numFmtId="0" fontId="22" fillId="13" borderId="25" applyAlignment="1" pivotButton="0" quotePrefix="0" xfId="0">
      <alignment horizontal="left" vertical="center" wrapText="1"/>
    </xf>
    <xf numFmtId="0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/>
    </xf>
    <xf numFmtId="3" fontId="22" fillId="0" borderId="24" applyAlignment="1" pivotButton="0" quotePrefix="0" xfId="0">
      <alignment horizontal="center" vertical="center"/>
    </xf>
    <xf numFmtId="0" fontId="22" fillId="0" borderId="24" applyAlignment="1" pivotButton="0" quotePrefix="0" xfId="0">
      <alignment horizontal="left" vertical="center" wrapText="1"/>
    </xf>
    <xf numFmtId="0" fontId="22" fillId="0" borderId="24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I31" authorId="0" shapeId="0">
      <text>
        <t>NOTE (manual): 30k Pressed, 9k Printed, 22k WIP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b1b50611d96b05ce/AlphaContainers/Older%20Versions/Tubex_v10_27.xlsx" TargetMode="External" Id="rId2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bex_Dashboard"/>
      <sheetName val="MRP"/>
      <sheetName val="BOM"/>
      <sheetName val="Inventory"/>
      <sheetName val="Product_Catalog"/>
      <sheetName val="Production_Log"/>
      <sheetName val="BOM Issues"/>
      <sheetName val="FG Stock"/>
      <sheetName val="Notes &amp; Guide"/>
      <sheetName val="Tubex_v10_27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ubex_Dashboard"/>
      <sheetName val="MRP"/>
      <sheetName val="BOM"/>
      <sheetName val="Inventory"/>
      <sheetName val="Product_Catalog"/>
      <sheetName val="Production_Log"/>
      <sheetName val="BOM Issues"/>
      <sheetName val="FG Stock"/>
      <sheetName val="Notes &amp; Guide"/>
    </sheetNames>
    <sheetDataSet>
      <sheetData sheetId="0"/>
      <sheetData sheetId="1"/>
      <sheetData sheetId="2" refreshError="1"/>
      <sheetData sheetId="3" refreshError="1"/>
      <sheetData sheetId="4" refreshError="1"/>
      <sheetData sheetId="5">
        <row r="3">
          <cell r="B3" t="str">
            <v>Lacquer-02</v>
          </cell>
          <cell r="D3" t="str">
            <v>S 43 25MM</v>
          </cell>
          <cell r="F3">
            <v>3447</v>
          </cell>
          <cell r="H3">
            <v>20645</v>
          </cell>
        </row>
        <row r="4">
          <cell r="B4" t="str">
            <v>Lacquer-03</v>
          </cell>
          <cell r="D4" t="str">
            <v>HELLO HAIR COLOR</v>
          </cell>
          <cell r="F4">
            <v>6206</v>
          </cell>
          <cell r="H4">
            <v>27520</v>
          </cell>
        </row>
        <row r="5">
          <cell r="B5" t="str">
            <v>Latex-01</v>
          </cell>
          <cell r="D5" t="str">
            <v>HELLO HAIR COLOR</v>
          </cell>
          <cell r="F5">
            <v>6206</v>
          </cell>
          <cell r="H5">
            <v>0</v>
          </cell>
        </row>
        <row r="6">
          <cell r="B6" t="str">
            <v>PF Machine</v>
          </cell>
          <cell r="D6" t="str">
            <v>PET BOTTLE SMALL (130ML) TRANSPARENT</v>
          </cell>
          <cell r="F6">
            <v>8010</v>
          </cell>
          <cell r="H6">
            <v>5520</v>
          </cell>
        </row>
        <row r="7">
          <cell r="B7" t="str">
            <v>Press-04</v>
          </cell>
          <cell r="D7" t="str">
            <v>HELLO HAIR COLOR</v>
          </cell>
          <cell r="F7">
            <v>6206</v>
          </cell>
          <cell r="H7">
            <v>24820</v>
          </cell>
        </row>
        <row r="8">
          <cell r="B8" t="str">
            <v>Press-06</v>
          </cell>
          <cell r="D8" t="str">
            <v>S 43 25MM</v>
          </cell>
          <cell r="F8">
            <v>3447</v>
          </cell>
          <cell r="H8">
            <v>15890</v>
          </cell>
        </row>
        <row r="9">
          <cell r="B9" t="str">
            <v>Printing-03</v>
          </cell>
          <cell r="D9" t="str">
            <v>S 43 25MM</v>
          </cell>
          <cell r="F9">
            <v>3447</v>
          </cell>
          <cell r="H9">
            <v>20160</v>
          </cell>
        </row>
        <row r="10">
          <cell r="B10" t="str">
            <v>Printing-04</v>
          </cell>
          <cell r="D10" t="str">
            <v>HELLO HAIR COLOR</v>
          </cell>
          <cell r="F10">
            <v>6206</v>
          </cell>
          <cell r="H10">
            <v>24990</v>
          </cell>
        </row>
        <row r="11">
          <cell r="B11" t="str">
            <v>Lacquer-02</v>
          </cell>
          <cell r="D11" t="str">
            <v>S 43 25MM</v>
          </cell>
          <cell r="F11">
            <v>3447</v>
          </cell>
          <cell r="H11">
            <v>3890</v>
          </cell>
        </row>
        <row r="12">
          <cell r="B12" t="str">
            <v>Lacquer-03</v>
          </cell>
          <cell r="D12" t="str">
            <v>HELLO HAIR COLOR</v>
          </cell>
          <cell r="F12">
            <v>6206</v>
          </cell>
          <cell r="H12">
            <v>27520</v>
          </cell>
        </row>
        <row r="13">
          <cell r="B13" t="str">
            <v>Latex-01</v>
          </cell>
          <cell r="D13" t="str">
            <v>HELLO HAIR COLOR</v>
          </cell>
          <cell r="F13">
            <v>6206</v>
          </cell>
          <cell r="H13">
            <v>28070</v>
          </cell>
        </row>
        <row r="14">
          <cell r="B14" t="str">
            <v>PF Machine</v>
          </cell>
          <cell r="D14" t="str">
            <v>PET BOTTLE SMALL (120ML) YELLOW</v>
          </cell>
          <cell r="F14">
            <v>8005</v>
          </cell>
          <cell r="H14">
            <v>10800</v>
          </cell>
        </row>
        <row r="15">
          <cell r="B15" t="str">
            <v>Press-04</v>
          </cell>
          <cell r="D15" t="str">
            <v>HELLO HAIR COLOR</v>
          </cell>
          <cell r="F15">
            <v>6206</v>
          </cell>
          <cell r="H15">
            <v>21850</v>
          </cell>
        </row>
        <row r="16">
          <cell r="B16" t="str">
            <v>Press-05</v>
          </cell>
          <cell r="D16" t="str">
            <v>S 43 25MM</v>
          </cell>
          <cell r="F16">
            <v>3447</v>
          </cell>
          <cell r="H16">
            <v>2345</v>
          </cell>
        </row>
        <row r="17">
          <cell r="B17" t="str">
            <v>Printing-03</v>
          </cell>
          <cell r="D17" t="str">
            <v>S 43 25MM</v>
          </cell>
          <cell r="F17">
            <v>3447</v>
          </cell>
          <cell r="H17">
            <v>7056</v>
          </cell>
        </row>
        <row r="18">
          <cell r="B18" t="str">
            <v>Printing-03</v>
          </cell>
          <cell r="D18" t="str">
            <v>H.H 100GM (Varnish)</v>
          </cell>
          <cell r="H18">
            <v>1040</v>
          </cell>
        </row>
        <row r="19">
          <cell r="B19" t="str">
            <v>Printing-04</v>
          </cell>
          <cell r="D19" t="str">
            <v>HELLO HAIR COLOR</v>
          </cell>
          <cell r="F19">
            <v>6206</v>
          </cell>
          <cell r="H19">
            <v>24990</v>
          </cell>
        </row>
        <row r="20">
          <cell r="B20" t="str">
            <v>Lacquer-02</v>
          </cell>
          <cell r="D20" t="str">
            <v>HELLO HAIR COLOR</v>
          </cell>
          <cell r="F20">
            <v>6206</v>
          </cell>
          <cell r="H20">
            <v>19650</v>
          </cell>
        </row>
        <row r="21">
          <cell r="B21" t="str">
            <v>Lacquer-03</v>
          </cell>
          <cell r="D21" t="str">
            <v>V- HC BROWN</v>
          </cell>
          <cell r="F21">
            <v>6530</v>
          </cell>
          <cell r="H21">
            <v>950</v>
          </cell>
        </row>
        <row r="22">
          <cell r="B22" t="str">
            <v>Latex-01</v>
          </cell>
          <cell r="D22" t="str">
            <v>HELLO HAIR COLOR</v>
          </cell>
          <cell r="F22">
            <v>6206</v>
          </cell>
          <cell r="H22">
            <v>28069</v>
          </cell>
        </row>
        <row r="23">
          <cell r="B23" t="str">
            <v>PF Machine</v>
          </cell>
          <cell r="D23" t="str">
            <v>PET BOTTLE SMALL (120ML) YELLOW</v>
          </cell>
          <cell r="F23">
            <v>8005</v>
          </cell>
          <cell r="H23">
            <v>7200</v>
          </cell>
        </row>
        <row r="24">
          <cell r="B24" t="str">
            <v>Press-03</v>
          </cell>
          <cell r="D24" t="str">
            <v>V- HC BROWN</v>
          </cell>
          <cell r="F24">
            <v>6530</v>
          </cell>
          <cell r="H24">
            <v>8905</v>
          </cell>
        </row>
        <row r="25">
          <cell r="B25" t="str">
            <v>Press-04</v>
          </cell>
          <cell r="D25" t="str">
            <v>HELLO HAIR COLOR</v>
          </cell>
          <cell r="F25">
            <v>6206</v>
          </cell>
          <cell r="H25">
            <v>23855</v>
          </cell>
        </row>
        <row r="26">
          <cell r="B26" t="str">
            <v>Printing-03</v>
          </cell>
          <cell r="D26" t="str">
            <v>H.H 100GM (Varnish)</v>
          </cell>
          <cell r="H26">
            <v>27040</v>
          </cell>
        </row>
        <row r="27">
          <cell r="B27" t="str">
            <v>Printing-04</v>
          </cell>
          <cell r="D27" t="str">
            <v>HELLO HAIR COLOR</v>
          </cell>
          <cell r="F27">
            <v>6206</v>
          </cell>
          <cell r="H27">
            <v>22848</v>
          </cell>
        </row>
        <row r="28">
          <cell r="B28" t="str">
            <v>Lacquer-02</v>
          </cell>
          <cell r="D28" t="str">
            <v>HELLO HAIR COLOR</v>
          </cell>
          <cell r="F28">
            <v>6206</v>
          </cell>
          <cell r="H28">
            <v>0</v>
          </cell>
        </row>
        <row r="29">
          <cell r="B29" t="str">
            <v>Lacquer-03</v>
          </cell>
          <cell r="D29" t="str">
            <v>V- HC BROWN</v>
          </cell>
          <cell r="F29">
            <v>6530</v>
          </cell>
          <cell r="H29">
            <v>21610</v>
          </cell>
        </row>
        <row r="30">
          <cell r="B30" t="str">
            <v>Latex-01</v>
          </cell>
          <cell r="D30" t="str">
            <v>V- HC BROWN</v>
          </cell>
          <cell r="F30">
            <v>6530</v>
          </cell>
          <cell r="H30">
            <v>5000</v>
          </cell>
        </row>
        <row r="31">
          <cell r="B31" t="str">
            <v>PF Machine</v>
          </cell>
          <cell r="D31" t="str">
            <v>PET BOTTLE SMALL (120ML) YELLOW</v>
          </cell>
          <cell r="F31">
            <v>8005</v>
          </cell>
          <cell r="H31">
            <v>11040</v>
          </cell>
        </row>
        <row r="32">
          <cell r="B32" t="str">
            <v>Press-03</v>
          </cell>
          <cell r="D32" t="str">
            <v>V- HC BROWN</v>
          </cell>
          <cell r="F32">
            <v>6530</v>
          </cell>
          <cell r="H32">
            <v>21850</v>
          </cell>
        </row>
        <row r="33">
          <cell r="B33" t="str">
            <v>Press-04</v>
          </cell>
          <cell r="D33" t="str">
            <v>HELLO HAIR COLOR</v>
          </cell>
          <cell r="F33">
            <v>6206</v>
          </cell>
          <cell r="H33">
            <v>7790</v>
          </cell>
        </row>
        <row r="34">
          <cell r="B34" t="str">
            <v>Printing-03</v>
          </cell>
          <cell r="D34" t="str">
            <v>H.H 100GM (Varnish)</v>
          </cell>
          <cell r="H34">
            <v>11648</v>
          </cell>
        </row>
        <row r="35">
          <cell r="B35" t="str">
            <v>Printing-04</v>
          </cell>
          <cell r="D35" t="str">
            <v>V- HC BROWN</v>
          </cell>
          <cell r="F35">
            <v>6530</v>
          </cell>
          <cell r="H35">
            <v>9540</v>
          </cell>
        </row>
        <row r="36">
          <cell r="B36" t="str">
            <v>Lacquer-02</v>
          </cell>
          <cell r="D36" t="str">
            <v>S 43 25MM</v>
          </cell>
          <cell r="F36">
            <v>3447</v>
          </cell>
          <cell r="H36">
            <v>11745</v>
          </cell>
        </row>
        <row r="37">
          <cell r="B37" t="str">
            <v>Lacquer-03</v>
          </cell>
          <cell r="D37" t="str">
            <v>HELLO HAIR COLOR</v>
          </cell>
          <cell r="F37">
            <v>6206</v>
          </cell>
          <cell r="H37">
            <v>13695</v>
          </cell>
        </row>
        <row r="38">
          <cell r="B38" t="str">
            <v>Latex-01</v>
          </cell>
          <cell r="D38" t="str">
            <v>V- HC BROWN</v>
          </cell>
          <cell r="F38">
            <v>6530</v>
          </cell>
          <cell r="H38">
            <v>2495</v>
          </cell>
        </row>
        <row r="39">
          <cell r="B39" t="str">
            <v>Latex-01</v>
          </cell>
          <cell r="D39" t="str">
            <v>HELLO HAIR COLOR</v>
          </cell>
          <cell r="F39">
            <v>6206</v>
          </cell>
          <cell r="H39">
            <v>22600</v>
          </cell>
        </row>
        <row r="40">
          <cell r="B40" t="str">
            <v>PF Machine</v>
          </cell>
          <cell r="D40" t="str">
            <v>PET BOTTLE SMALL (120ML) YELLOW</v>
          </cell>
          <cell r="F40">
            <v>8005</v>
          </cell>
          <cell r="H40">
            <v>10080</v>
          </cell>
        </row>
        <row r="41">
          <cell r="B41" t="str">
            <v>Press-01</v>
          </cell>
          <cell r="D41" t="str">
            <v>VINCE HIS BEARD &amp; MUSTACHE COLOR</v>
          </cell>
          <cell r="F41">
            <v>6077</v>
          </cell>
          <cell r="H41">
            <v>1945</v>
          </cell>
        </row>
        <row r="42">
          <cell r="B42" t="str">
            <v>Press-06</v>
          </cell>
          <cell r="D42" t="str">
            <v>S 43 25MM</v>
          </cell>
          <cell r="F42">
            <v>3447</v>
          </cell>
          <cell r="H42">
            <v>12400</v>
          </cell>
        </row>
        <row r="43">
          <cell r="B43" t="str">
            <v>Printing-03</v>
          </cell>
          <cell r="D43" t="str">
            <v>S 43 25MM</v>
          </cell>
          <cell r="F43">
            <v>3447</v>
          </cell>
          <cell r="H43">
            <v>11760</v>
          </cell>
        </row>
        <row r="44">
          <cell r="B44" t="str">
            <v>Printing-04</v>
          </cell>
          <cell r="D44" t="str">
            <v>HELLO HAIR COLOR</v>
          </cell>
          <cell r="F44">
            <v>6206</v>
          </cell>
          <cell r="H44">
            <v>14280</v>
          </cell>
        </row>
        <row r="45">
          <cell r="B45" t="str">
            <v>Lacquer-02</v>
          </cell>
          <cell r="D45" t="str">
            <v>VINCE HIS BEARD &amp; MUSTACHE COLOR</v>
          </cell>
          <cell r="F45">
            <v>6077</v>
          </cell>
          <cell r="H45">
            <v>12730</v>
          </cell>
        </row>
        <row r="46">
          <cell r="B46" t="str">
            <v>Lacquer-04</v>
          </cell>
          <cell r="D46" t="str">
            <v>VINCE NURTURAL</v>
          </cell>
          <cell r="F46">
            <v>5814</v>
          </cell>
          <cell r="H46">
            <v>4890</v>
          </cell>
        </row>
        <row r="47">
          <cell r="B47" t="str">
            <v>Latex-01</v>
          </cell>
          <cell r="D47" t="str">
            <v>HELLO HAIR COLOR</v>
          </cell>
          <cell r="F47">
            <v>6206</v>
          </cell>
          <cell r="H47">
            <v>11600</v>
          </cell>
        </row>
        <row r="48">
          <cell r="B48" t="str">
            <v>Latex-01</v>
          </cell>
          <cell r="D48" t="str">
            <v>H.H 100GM</v>
          </cell>
          <cell r="F48">
            <v>6515</v>
          </cell>
          <cell r="H48">
            <v>11420</v>
          </cell>
        </row>
        <row r="49">
          <cell r="B49" t="str">
            <v>PF Machine</v>
          </cell>
          <cell r="D49" t="str">
            <v>PET BOTTLE SMALL (130ML) TRANSPARENT</v>
          </cell>
          <cell r="F49">
            <v>8010</v>
          </cell>
          <cell r="H49">
            <v>0</v>
          </cell>
        </row>
        <row r="50">
          <cell r="B50" t="str">
            <v>Press-01</v>
          </cell>
          <cell r="D50" t="str">
            <v>VINCE HIS BEARD &amp; MUSTACHE COLOR</v>
          </cell>
          <cell r="F50">
            <v>6077</v>
          </cell>
          <cell r="H50">
            <v>16890</v>
          </cell>
        </row>
        <row r="51">
          <cell r="B51" t="str">
            <v>Press-04</v>
          </cell>
          <cell r="D51" t="str">
            <v>VINCE NURTURAL</v>
          </cell>
          <cell r="F51">
            <v>5814</v>
          </cell>
          <cell r="H51">
            <v>12905</v>
          </cell>
        </row>
        <row r="52">
          <cell r="B52" t="str">
            <v>Printing-03</v>
          </cell>
          <cell r="D52" t="str">
            <v>VINCE HIS BEARD &amp; MUSTACHE COLOR</v>
          </cell>
          <cell r="F52">
            <v>6077</v>
          </cell>
          <cell r="H52">
            <v>9180</v>
          </cell>
        </row>
        <row r="53">
          <cell r="B53" t="str">
            <v>Printing-04</v>
          </cell>
          <cell r="D53" t="str">
            <v>VINCE NURTURAL</v>
          </cell>
          <cell r="F53">
            <v>5814</v>
          </cell>
          <cell r="H53">
            <v>2380</v>
          </cell>
        </row>
        <row r="54">
          <cell r="B54" t="str">
            <v>Lacquer-02</v>
          </cell>
          <cell r="D54" t="str">
            <v>VINCE HIS BEARD &amp; MUSTACHE COLOR</v>
          </cell>
          <cell r="F54">
            <v>6077</v>
          </cell>
          <cell r="H54">
            <v>11805</v>
          </cell>
        </row>
        <row r="55">
          <cell r="B55" t="str">
            <v>Lacquer-04</v>
          </cell>
          <cell r="D55" t="str">
            <v>VINCE NURTURAL</v>
          </cell>
          <cell r="F55">
            <v>5814</v>
          </cell>
          <cell r="H55">
            <v>15760</v>
          </cell>
        </row>
        <row r="56">
          <cell r="B56" t="str">
            <v>Latex-01</v>
          </cell>
          <cell r="D56" t="str">
            <v>H.H 100GM</v>
          </cell>
          <cell r="F56">
            <v>6515</v>
          </cell>
          <cell r="H56">
            <v>22980</v>
          </cell>
        </row>
        <row r="57">
          <cell r="B57" t="str">
            <v>PF Machine</v>
          </cell>
          <cell r="D57" t="str">
            <v>PET BOTTLE SMALL (130ML) TRANSPARENT</v>
          </cell>
          <cell r="F57">
            <v>8010</v>
          </cell>
          <cell r="H57">
            <v>0</v>
          </cell>
        </row>
        <row r="58">
          <cell r="B58" t="str">
            <v>Press-01</v>
          </cell>
          <cell r="D58" t="str">
            <v>VINCE HIS BEARD &amp; MUSTACHE COLOR</v>
          </cell>
          <cell r="F58">
            <v>6077</v>
          </cell>
          <cell r="H58">
            <v>7415</v>
          </cell>
        </row>
        <row r="59">
          <cell r="B59" t="str">
            <v>Press-04</v>
          </cell>
          <cell r="D59" t="str">
            <v>VINCE NURTURAL</v>
          </cell>
          <cell r="F59">
            <v>5814</v>
          </cell>
          <cell r="H59">
            <v>13795</v>
          </cell>
        </row>
        <row r="60">
          <cell r="B60" t="str">
            <v>Printing-03</v>
          </cell>
          <cell r="D60" t="str">
            <v>VINCE HIS BEARD &amp; MUSTACHE COLOR</v>
          </cell>
          <cell r="F60">
            <v>6077</v>
          </cell>
          <cell r="H60">
            <v>14790</v>
          </cell>
        </row>
        <row r="61">
          <cell r="B61" t="str">
            <v>Printing-04</v>
          </cell>
          <cell r="D61" t="str">
            <v>VINCE NURTURAL</v>
          </cell>
          <cell r="F61">
            <v>5814</v>
          </cell>
          <cell r="H61">
            <v>17850</v>
          </cell>
        </row>
        <row r="62">
          <cell r="B62" t="str">
            <v>Lacquer-02</v>
          </cell>
          <cell r="D62" t="str">
            <v>H.H 100GM</v>
          </cell>
          <cell r="F62">
            <v>6515</v>
          </cell>
          <cell r="H62">
            <v>10760</v>
          </cell>
        </row>
        <row r="63">
          <cell r="B63" t="str">
            <v>Lacquer-02</v>
          </cell>
          <cell r="D63" t="str">
            <v>VINCE NURTURAL</v>
          </cell>
          <cell r="F63">
            <v>5814</v>
          </cell>
          <cell r="H63">
            <v>1915</v>
          </cell>
        </row>
        <row r="64">
          <cell r="B64" t="str">
            <v>Latex-01</v>
          </cell>
          <cell r="D64" t="str">
            <v>H.H 100GM</v>
          </cell>
          <cell r="F64">
            <v>6515</v>
          </cell>
          <cell r="H64">
            <v>23078</v>
          </cell>
        </row>
        <row r="65">
          <cell r="B65" t="str">
            <v>PF Machine</v>
          </cell>
          <cell r="D65" t="str">
            <v>PET BOTTLE SMALL (130ML) TRANSPARENT</v>
          </cell>
          <cell r="F65">
            <v>8010</v>
          </cell>
          <cell r="H65">
            <v>0</v>
          </cell>
        </row>
        <row r="66">
          <cell r="B66" t="str">
            <v>Press-03</v>
          </cell>
          <cell r="D66" t="str">
            <v>H.H 100GM</v>
          </cell>
          <cell r="F66">
            <v>6515</v>
          </cell>
          <cell r="H66">
            <v>15480</v>
          </cell>
        </row>
        <row r="67">
          <cell r="B67" t="str">
            <v>Press-04</v>
          </cell>
          <cell r="D67" t="str">
            <v>HIS ONLY HAIR COLOR CREAM 40GM</v>
          </cell>
          <cell r="F67">
            <v>6228</v>
          </cell>
          <cell r="H67">
            <v>0</v>
          </cell>
        </row>
        <row r="68">
          <cell r="B68" t="str">
            <v>Printing-03</v>
          </cell>
          <cell r="D68" t="str">
            <v>VINCE HIS BEARD &amp; MUSTACHE COLOR (Varnish)</v>
          </cell>
          <cell r="H68">
            <v>23460</v>
          </cell>
        </row>
        <row r="69">
          <cell r="B69" t="str">
            <v>Printing-04</v>
          </cell>
          <cell r="D69" t="str">
            <v>VINCE NURTURAL</v>
          </cell>
          <cell r="F69">
            <v>5814</v>
          </cell>
          <cell r="H69">
            <v>3332</v>
          </cell>
        </row>
        <row r="70">
          <cell r="B70" t="str">
            <v>Printing-04</v>
          </cell>
          <cell r="D70" t="str">
            <v>H.H 100GM</v>
          </cell>
          <cell r="F70">
            <v>6515</v>
          </cell>
          <cell r="H70">
            <v>7488</v>
          </cell>
        </row>
        <row r="71">
          <cell r="B71" t="str">
            <v>Lacquer-02</v>
          </cell>
          <cell r="D71" t="str">
            <v>HIS ONLY HAIR COLOR CREAM 40GM</v>
          </cell>
          <cell r="F71">
            <v>6228</v>
          </cell>
          <cell r="H71">
            <v>14760</v>
          </cell>
        </row>
        <row r="72">
          <cell r="B72" t="str">
            <v>Lacquer-03</v>
          </cell>
          <cell r="D72" t="str">
            <v>H.H 100GM</v>
          </cell>
          <cell r="F72">
            <v>6515</v>
          </cell>
          <cell r="H72">
            <v>3910</v>
          </cell>
        </row>
        <row r="73">
          <cell r="B73" t="str">
            <v>Latex-01</v>
          </cell>
          <cell r="D73" t="str">
            <v>H.H 100GM</v>
          </cell>
          <cell r="F73">
            <v>6515</v>
          </cell>
          <cell r="H73">
            <v>4571</v>
          </cell>
        </row>
        <row r="74">
          <cell r="B74" t="str">
            <v>Latex-01</v>
          </cell>
          <cell r="D74" t="str">
            <v>VINCE HIS BEARD &amp; MUSTACHE COLOR</v>
          </cell>
          <cell r="F74">
            <v>6077</v>
          </cell>
          <cell r="H74">
            <v>18350</v>
          </cell>
        </row>
        <row r="75">
          <cell r="B75" t="str">
            <v>PF Machine</v>
          </cell>
          <cell r="D75" t="str">
            <v>PET BOTTLE SMALL (130ML) TRANSPARENT</v>
          </cell>
          <cell r="F75">
            <v>8010</v>
          </cell>
          <cell r="H75">
            <v>0</v>
          </cell>
        </row>
        <row r="76">
          <cell r="B76" t="str">
            <v>Press-03</v>
          </cell>
          <cell r="D76" t="str">
            <v>V- HC BROWN</v>
          </cell>
          <cell r="F76">
            <v>6530</v>
          </cell>
          <cell r="H76">
            <v>0</v>
          </cell>
        </row>
        <row r="77">
          <cell r="B77" t="str">
            <v>Press-04</v>
          </cell>
          <cell r="D77" t="str">
            <v>HIS ONLY HAIR COLOR CREAM 40GM</v>
          </cell>
          <cell r="F77">
            <v>6228</v>
          </cell>
          <cell r="H77">
            <v>17890</v>
          </cell>
        </row>
        <row r="78">
          <cell r="B78" t="str">
            <v>Printing-03</v>
          </cell>
          <cell r="D78" t="str">
            <v>HIS ONLY HAIR COLOR CREAM 40GM</v>
          </cell>
          <cell r="F78">
            <v>6228</v>
          </cell>
          <cell r="H78">
            <v>13440</v>
          </cell>
        </row>
        <row r="79">
          <cell r="B79" t="str">
            <v>Printing-04</v>
          </cell>
          <cell r="D79" t="str">
            <v>H.H 100GM</v>
          </cell>
          <cell r="F79">
            <v>6515</v>
          </cell>
          <cell r="H79">
            <v>5616</v>
          </cell>
        </row>
        <row r="80">
          <cell r="B80" t="str">
            <v>Printing-04</v>
          </cell>
          <cell r="D80" t="str">
            <v>H.H 100GM (Varnish)</v>
          </cell>
          <cell r="H80">
            <v>13104</v>
          </cell>
        </row>
        <row r="81">
          <cell r="B81" t="str">
            <v>Lacquer-02</v>
          </cell>
          <cell r="D81" t="str">
            <v>HIS ONLY HAIR COLOR CREAM 40GM</v>
          </cell>
          <cell r="F81">
            <v>6228</v>
          </cell>
          <cell r="H81">
            <v>7835</v>
          </cell>
        </row>
        <row r="82">
          <cell r="B82" t="str">
            <v>Lacquer-03</v>
          </cell>
          <cell r="D82" t="str">
            <v>V- HC BROWN</v>
          </cell>
          <cell r="F82">
            <v>6530</v>
          </cell>
          <cell r="H82">
            <v>9580</v>
          </cell>
        </row>
        <row r="83">
          <cell r="B83" t="str">
            <v>Latex-01</v>
          </cell>
          <cell r="D83" t="str">
            <v>H.H 100GM</v>
          </cell>
          <cell r="F83">
            <v>6515</v>
          </cell>
          <cell r="H83">
            <v>8308</v>
          </cell>
        </row>
        <row r="84">
          <cell r="B84" t="str">
            <v>Latex-01</v>
          </cell>
          <cell r="D84" t="str">
            <v>VINCE HIS BEARD &amp; MUSTACHE COLOR</v>
          </cell>
          <cell r="F84">
            <v>6077</v>
          </cell>
          <cell r="H84">
            <v>4995</v>
          </cell>
        </row>
        <row r="85">
          <cell r="B85" t="str">
            <v>PF Machine</v>
          </cell>
          <cell r="D85" t="str">
            <v>PET BOTTLE SMALL (130ML) TRANSPARENT</v>
          </cell>
          <cell r="F85">
            <v>8010</v>
          </cell>
          <cell r="H85">
            <v>0</v>
          </cell>
        </row>
        <row r="86">
          <cell r="B86" t="str">
            <v>Press-03</v>
          </cell>
          <cell r="D86" t="str">
            <v>V- HC BROWN</v>
          </cell>
          <cell r="F86">
            <v>6530</v>
          </cell>
          <cell r="H86">
            <v>4280</v>
          </cell>
        </row>
        <row r="87">
          <cell r="B87" t="str">
            <v>Press-04</v>
          </cell>
          <cell r="D87" t="str">
            <v>HIS ONLY HAIR COLOR CREAM 40GM</v>
          </cell>
          <cell r="F87">
            <v>6228</v>
          </cell>
          <cell r="H87">
            <v>4465</v>
          </cell>
        </row>
        <row r="88">
          <cell r="B88" t="str">
            <v>Printing-03</v>
          </cell>
          <cell r="D88" t="str">
            <v>HIS ONLY HAIR COLOR CREAM 40GM</v>
          </cell>
          <cell r="F88">
            <v>6228</v>
          </cell>
          <cell r="H88">
            <v>8400</v>
          </cell>
        </row>
        <row r="89">
          <cell r="B89" t="str">
            <v>Printing-03</v>
          </cell>
          <cell r="D89" t="str">
            <v>HIS ONLY HAIR COLOR CREAM 40GM (Varnish)</v>
          </cell>
          <cell r="H89">
            <v>2688</v>
          </cell>
        </row>
        <row r="90">
          <cell r="B90" t="str">
            <v>Printing-04</v>
          </cell>
          <cell r="D90" t="str">
            <v>V-HC BLACK</v>
          </cell>
          <cell r="F90">
            <v>6531</v>
          </cell>
          <cell r="H90">
            <v>10620</v>
          </cell>
        </row>
        <row r="91">
          <cell r="B91" t="str">
            <v>Printing-04</v>
          </cell>
          <cell r="D91" t="str">
            <v>V- HC BROWN</v>
          </cell>
          <cell r="F91">
            <v>6530</v>
          </cell>
          <cell r="H91">
            <v>2520</v>
          </cell>
        </row>
        <row r="92">
          <cell r="B92" t="str">
            <v>Lacquer-02</v>
          </cell>
          <cell r="D92" t="str">
            <v>HIS ONLY HAIR COLOR CREAM 40GM</v>
          </cell>
          <cell r="F92">
            <v>6228</v>
          </cell>
          <cell r="H92">
            <v>0</v>
          </cell>
        </row>
        <row r="93">
          <cell r="B93" t="str">
            <v>Lacquer-03</v>
          </cell>
          <cell r="D93" t="str">
            <v>V- HC BROWN</v>
          </cell>
          <cell r="F93">
            <v>6530</v>
          </cell>
          <cell r="H93">
            <v>0</v>
          </cell>
        </row>
        <row r="94">
          <cell r="B94" t="str">
            <v>Latex-01</v>
          </cell>
          <cell r="D94" t="str">
            <v>H.H 100GM</v>
          </cell>
          <cell r="F94">
            <v>6515</v>
          </cell>
          <cell r="H94">
            <v>9992</v>
          </cell>
        </row>
        <row r="95">
          <cell r="B95" t="str">
            <v>Latex-01</v>
          </cell>
          <cell r="D95" t="str">
            <v>HIS ONLY HAIR COLOR CREAM 40GM</v>
          </cell>
          <cell r="F95">
            <v>6228</v>
          </cell>
          <cell r="H95">
            <v>3536</v>
          </cell>
        </row>
        <row r="96">
          <cell r="B96" t="str">
            <v>PF Machine</v>
          </cell>
          <cell r="D96" t="str">
            <v>PET BOTTLE SMALL (130ML) TRANSPARENT</v>
          </cell>
          <cell r="F96">
            <v>8010</v>
          </cell>
          <cell r="H96">
            <v>0</v>
          </cell>
        </row>
        <row r="97">
          <cell r="B97" t="str">
            <v>Press-03</v>
          </cell>
          <cell r="D97" t="str">
            <v>V- HC BROWN</v>
          </cell>
          <cell r="F97">
            <v>6530</v>
          </cell>
          <cell r="H97">
            <v>0</v>
          </cell>
        </row>
        <row r="98">
          <cell r="B98" t="str">
            <v>Press-04</v>
          </cell>
          <cell r="D98" t="str">
            <v>HIS ONLY HAIR COLOR CREAM 40GM</v>
          </cell>
          <cell r="F98">
            <v>6228</v>
          </cell>
          <cell r="H98">
            <v>0</v>
          </cell>
        </row>
        <row r="99">
          <cell r="B99" t="str">
            <v>Printing-03</v>
          </cell>
          <cell r="D99" t="str">
            <v>HIS ONLY HAIR COLOR CREAM 40GM (Varnish)</v>
          </cell>
          <cell r="H99">
            <v>19843</v>
          </cell>
        </row>
        <row r="100">
          <cell r="B100" t="str">
            <v>Printing-04</v>
          </cell>
          <cell r="D100" t="str">
            <v>V- HC BROWN</v>
          </cell>
          <cell r="F100">
            <v>6530</v>
          </cell>
          <cell r="H100">
            <v>8590</v>
          </cell>
        </row>
        <row r="101">
          <cell r="B101" t="str">
            <v>Lacquer-02</v>
          </cell>
          <cell r="D101" t="str">
            <v>HELLO HAIR COLOR</v>
          </cell>
          <cell r="F101">
            <v>6206</v>
          </cell>
          <cell r="H101">
            <v>0</v>
          </cell>
        </row>
        <row r="102">
          <cell r="B102" t="str">
            <v>Lacquer-03</v>
          </cell>
          <cell r="D102" t="str">
            <v>TUBES COMMON RED</v>
          </cell>
          <cell r="F102">
            <v>6470</v>
          </cell>
          <cell r="H102">
            <v>0</v>
          </cell>
        </row>
        <row r="103">
          <cell r="B103" t="str">
            <v>Latex-01</v>
          </cell>
          <cell r="D103" t="str">
            <v>HIS ONLY HAIR COLOR CREAM 40GM</v>
          </cell>
          <cell r="F103">
            <v>6228</v>
          </cell>
          <cell r="H103">
            <v>0</v>
          </cell>
        </row>
        <row r="104">
          <cell r="B104" t="str">
            <v>PF Machine</v>
          </cell>
          <cell r="D104" t="str">
            <v>PET BOTTLE SMALL (130ML) TRANSPARENT</v>
          </cell>
          <cell r="F104">
            <v>8010</v>
          </cell>
          <cell r="H104">
            <v>0</v>
          </cell>
        </row>
        <row r="105">
          <cell r="B105" t="str">
            <v>Press-03</v>
          </cell>
          <cell r="D105" t="str">
            <v>HELLO HAIR COLOR</v>
          </cell>
          <cell r="F105">
            <v>6206</v>
          </cell>
          <cell r="H105">
            <v>0</v>
          </cell>
        </row>
        <row r="106">
          <cell r="B106" t="str">
            <v>Press-06</v>
          </cell>
          <cell r="D106" t="str">
            <v>TUBES COMMON RED</v>
          </cell>
          <cell r="F106">
            <v>6470</v>
          </cell>
          <cell r="H106">
            <v>0</v>
          </cell>
        </row>
        <row r="107">
          <cell r="B107" t="str">
            <v>Printing-03</v>
          </cell>
          <cell r="D107" t="str">
            <v>VINCE NURTURAL (Varnish)</v>
          </cell>
          <cell r="H107">
            <v>12376</v>
          </cell>
        </row>
        <row r="108">
          <cell r="B108" t="str">
            <v>Printing-04</v>
          </cell>
          <cell r="D108" t="str">
            <v>HELLO HAIR COLOR</v>
          </cell>
          <cell r="F108">
            <v>6206</v>
          </cell>
          <cell r="H108">
            <v>0</v>
          </cell>
        </row>
        <row r="109">
          <cell r="B109" t="str">
            <v>Lacquer-02</v>
          </cell>
          <cell r="D109" t="str">
            <v>HELLO HAIR COLOR</v>
          </cell>
          <cell r="F109">
            <v>6206</v>
          </cell>
          <cell r="H109">
            <v>785</v>
          </cell>
        </row>
        <row r="110">
          <cell r="B110" t="str">
            <v>Lacquer-03</v>
          </cell>
          <cell r="D110" t="str">
            <v>TUBES COMMON RED</v>
          </cell>
          <cell r="F110">
            <v>6470</v>
          </cell>
          <cell r="H110">
            <v>5865</v>
          </cell>
        </row>
        <row r="111">
          <cell r="B111" t="str">
            <v>Latex-01</v>
          </cell>
          <cell r="D111" t="str">
            <v>HIS ONLY HAIR COLOR CREAM 40GM</v>
          </cell>
          <cell r="F111">
            <v>6228</v>
          </cell>
          <cell r="H111">
            <v>4995</v>
          </cell>
        </row>
        <row r="112">
          <cell r="B112" t="str">
            <v>PF Machine</v>
          </cell>
          <cell r="D112" t="str">
            <v>TRANSPARENT BOTTLE 150ML</v>
          </cell>
          <cell r="F112">
            <v>8001</v>
          </cell>
          <cell r="H112">
            <v>3565</v>
          </cell>
        </row>
        <row r="113">
          <cell r="B113" t="str">
            <v>Press-03</v>
          </cell>
          <cell r="D113" t="str">
            <v>HELLO HAIR COLOR</v>
          </cell>
          <cell r="F113">
            <v>6206</v>
          </cell>
          <cell r="H113">
            <v>10880</v>
          </cell>
        </row>
        <row r="114">
          <cell r="B114" t="str">
            <v>Press-06</v>
          </cell>
          <cell r="D114" t="str">
            <v>TUBES COMMON RED</v>
          </cell>
          <cell r="F114">
            <v>6470</v>
          </cell>
          <cell r="H114">
            <v>8905</v>
          </cell>
        </row>
        <row r="115">
          <cell r="B115" t="str">
            <v>Printing-03</v>
          </cell>
          <cell r="D115" t="str">
            <v>VINCE NURTURAL (Varnish)</v>
          </cell>
          <cell r="H115">
            <v>9282</v>
          </cell>
        </row>
        <row r="116">
          <cell r="B116" t="str">
            <v>Printing-04</v>
          </cell>
          <cell r="D116" t="str">
            <v>HELLO HAIR COLOR</v>
          </cell>
          <cell r="F116">
            <v>6206</v>
          </cell>
          <cell r="H116">
            <v>3570</v>
          </cell>
        </row>
        <row r="117">
          <cell r="B117" t="str">
            <v>Lacquer-02</v>
          </cell>
          <cell r="D117" t="str">
            <v>HELLO HAIR COLOR</v>
          </cell>
          <cell r="F117">
            <v>6206</v>
          </cell>
          <cell r="H117">
            <v>9790</v>
          </cell>
        </row>
        <row r="118">
          <cell r="B118" t="str">
            <v>Lacquer-03</v>
          </cell>
          <cell r="D118" t="str">
            <v>TUBES COMMON RED</v>
          </cell>
          <cell r="F118">
            <v>6470</v>
          </cell>
          <cell r="H118">
            <v>8805</v>
          </cell>
        </row>
        <row r="119">
          <cell r="B119" t="str">
            <v>Latex-01</v>
          </cell>
          <cell r="D119" t="str">
            <v>HIS ONLY HAIR COLOR CREAM 40GM</v>
          </cell>
          <cell r="F119">
            <v>6228</v>
          </cell>
          <cell r="H119">
            <v>6043</v>
          </cell>
        </row>
        <row r="120">
          <cell r="B120" t="str">
            <v>Latex-01</v>
          </cell>
          <cell r="D120" t="str">
            <v>V-HC BLACK</v>
          </cell>
          <cell r="F120">
            <v>6531</v>
          </cell>
          <cell r="H120">
            <v>7730</v>
          </cell>
        </row>
        <row r="121">
          <cell r="B121" t="str">
            <v>PF Machine</v>
          </cell>
          <cell r="D121" t="str">
            <v>TRANSPARENT BOTTLE 150ML</v>
          </cell>
          <cell r="F121">
            <v>8001</v>
          </cell>
          <cell r="H121">
            <v>9200</v>
          </cell>
        </row>
        <row r="122">
          <cell r="B122" t="str">
            <v>Press-03</v>
          </cell>
          <cell r="D122" t="str">
            <v>HELLO HAIR COLOR</v>
          </cell>
          <cell r="F122">
            <v>6206</v>
          </cell>
          <cell r="H122">
            <v>23850</v>
          </cell>
        </row>
        <row r="123">
          <cell r="B123" t="str">
            <v>Press-06</v>
          </cell>
          <cell r="D123" t="str">
            <v>TUBES COMMON RED</v>
          </cell>
          <cell r="F123">
            <v>6470</v>
          </cell>
          <cell r="H123">
            <v>16280</v>
          </cell>
        </row>
        <row r="124">
          <cell r="B124" t="str">
            <v>Printing-03</v>
          </cell>
          <cell r="D124" t="str">
            <v>TUBES COMMON RED</v>
          </cell>
          <cell r="F124">
            <v>6470</v>
          </cell>
          <cell r="H124">
            <v>11760</v>
          </cell>
        </row>
        <row r="125">
          <cell r="B125" t="str">
            <v>Printing-04</v>
          </cell>
          <cell r="D125" t="str">
            <v>HELLO HAIR COLOR</v>
          </cell>
          <cell r="F125">
            <v>6206</v>
          </cell>
          <cell r="H125">
            <v>14518</v>
          </cell>
        </row>
        <row r="126">
          <cell r="B126" t="str">
            <v>Lacquer-03</v>
          </cell>
          <cell r="D126" t="str">
            <v>HELLO HAIR COLOR</v>
          </cell>
          <cell r="F126">
            <v>6206</v>
          </cell>
          <cell r="H126">
            <v>23660</v>
          </cell>
        </row>
        <row r="127">
          <cell r="B127" t="str">
            <v>Lacquer-04</v>
          </cell>
          <cell r="D127" t="str">
            <v>TUBES COMMON RED</v>
          </cell>
          <cell r="F127">
            <v>6470</v>
          </cell>
          <cell r="H127">
            <v>9775</v>
          </cell>
        </row>
        <row r="128">
          <cell r="B128" t="str">
            <v>Latex-01</v>
          </cell>
          <cell r="D128" t="str">
            <v>V-HC BLACK</v>
          </cell>
          <cell r="F128">
            <v>6531</v>
          </cell>
          <cell r="H128">
            <v>2870</v>
          </cell>
        </row>
        <row r="129">
          <cell r="B129" t="str">
            <v>Latex-01</v>
          </cell>
          <cell r="D129" t="str">
            <v>Vince Nutural</v>
          </cell>
          <cell r="H129">
            <v>2395</v>
          </cell>
        </row>
        <row r="130">
          <cell r="B130" t="str">
            <v>PF Machine</v>
          </cell>
          <cell r="D130" t="str">
            <v>TRANSPARENT BOTTLE 150ML</v>
          </cell>
          <cell r="F130">
            <v>8001</v>
          </cell>
          <cell r="H130">
            <v>7590</v>
          </cell>
        </row>
        <row r="131">
          <cell r="B131" t="str">
            <v>Press-01</v>
          </cell>
          <cell r="D131" t="str">
            <v>S-45 DIA 19MM</v>
          </cell>
          <cell r="F131">
            <v>6624</v>
          </cell>
          <cell r="H131">
            <v>0</v>
          </cell>
        </row>
        <row r="132">
          <cell r="B132" t="str">
            <v>Press-03</v>
          </cell>
          <cell r="D132" t="str">
            <v>HELLO HAIR COLOR</v>
          </cell>
          <cell r="F132">
            <v>6206</v>
          </cell>
          <cell r="H132">
            <v>14885</v>
          </cell>
        </row>
        <row r="133">
          <cell r="B133" t="str">
            <v>Printing-03</v>
          </cell>
          <cell r="D133" t="str">
            <v>TUBES COMMON RED</v>
          </cell>
          <cell r="F133">
            <v>6470</v>
          </cell>
          <cell r="H133">
            <v>9744</v>
          </cell>
        </row>
        <row r="134">
          <cell r="B134" t="str">
            <v>Printing-04</v>
          </cell>
          <cell r="D134" t="str">
            <v>HELLO HAIR COLOR</v>
          </cell>
          <cell r="F134">
            <v>6206</v>
          </cell>
          <cell r="H134">
            <v>18564</v>
          </cell>
        </row>
        <row r="135">
          <cell r="B135" t="str">
            <v>Lacquer-02</v>
          </cell>
          <cell r="D135" t="str">
            <v>S-45 DIA 19MM</v>
          </cell>
          <cell r="F135">
            <v>6624</v>
          </cell>
          <cell r="H135">
            <v>12805</v>
          </cell>
        </row>
        <row r="136">
          <cell r="B136" t="str">
            <v>Lacquer-03</v>
          </cell>
          <cell r="D136" t="str">
            <v>HELLO HAIR COLOR</v>
          </cell>
          <cell r="F136">
            <v>6206</v>
          </cell>
          <cell r="H136">
            <v>21720</v>
          </cell>
        </row>
        <row r="137">
          <cell r="B137" t="str">
            <v>Latex-01</v>
          </cell>
          <cell r="D137" t="str">
            <v>Vince Nutural</v>
          </cell>
          <cell r="H137">
            <v>12990</v>
          </cell>
        </row>
        <row r="138">
          <cell r="B138" t="str">
            <v>PF Machine</v>
          </cell>
          <cell r="D138" t="str">
            <v>TRANSPARENT BOTTLE 150ML</v>
          </cell>
          <cell r="F138">
            <v>8001</v>
          </cell>
          <cell r="H138">
            <v>6095</v>
          </cell>
        </row>
        <row r="139">
          <cell r="B139" t="str">
            <v>Press-01</v>
          </cell>
          <cell r="D139" t="str">
            <v>S-45 DIA 19MM</v>
          </cell>
          <cell r="F139">
            <v>6624</v>
          </cell>
          <cell r="H139">
            <v>13660</v>
          </cell>
        </row>
        <row r="140">
          <cell r="B140" t="str">
            <v>Press-03</v>
          </cell>
          <cell r="D140" t="str">
            <v>HELLO HAIR COLOR</v>
          </cell>
          <cell r="F140">
            <v>6206</v>
          </cell>
          <cell r="H140">
            <v>23835</v>
          </cell>
        </row>
        <row r="141">
          <cell r="B141" t="str">
            <v>Printing-03</v>
          </cell>
          <cell r="D141" t="str">
            <v>S-45 DIA 19MM</v>
          </cell>
          <cell r="F141">
            <v>6624</v>
          </cell>
          <cell r="H141">
            <v>9996</v>
          </cell>
        </row>
        <row r="142">
          <cell r="B142" t="str">
            <v>Printing-04</v>
          </cell>
          <cell r="D142" t="str">
            <v>HELLO HAIR COLOR</v>
          </cell>
          <cell r="F142">
            <v>6206</v>
          </cell>
          <cell r="H142">
            <v>24990</v>
          </cell>
        </row>
        <row r="143">
          <cell r="B143" t="str">
            <v>Lacquer-02</v>
          </cell>
          <cell r="D143" t="str">
            <v>S 43 25MM</v>
          </cell>
          <cell r="F143">
            <v>3447</v>
          </cell>
          <cell r="H143">
            <v>6845</v>
          </cell>
        </row>
        <row r="144">
          <cell r="B144" t="str">
            <v>Lacquer-03</v>
          </cell>
          <cell r="D144" t="str">
            <v>HELLO HAIR COLOR</v>
          </cell>
          <cell r="F144">
            <v>6206</v>
          </cell>
          <cell r="H144">
            <v>12760</v>
          </cell>
        </row>
        <row r="145">
          <cell r="B145" t="str">
            <v>Latex-01</v>
          </cell>
          <cell r="D145" t="str">
            <v>VINCE NURTURAL</v>
          </cell>
          <cell r="F145">
            <v>5814</v>
          </cell>
          <cell r="H145">
            <v>6745</v>
          </cell>
        </row>
        <row r="146">
          <cell r="B146" t="str">
            <v>Latex-01</v>
          </cell>
          <cell r="D146" t="str">
            <v>HELLO HAIR COLOR</v>
          </cell>
          <cell r="F146">
            <v>6206</v>
          </cell>
          <cell r="H146">
            <v>17359</v>
          </cell>
        </row>
        <row r="147">
          <cell r="B147" t="str">
            <v>PF Machine</v>
          </cell>
          <cell r="D147" t="str">
            <v>TRANSPARENT BOTTLE 150ML</v>
          </cell>
          <cell r="F147">
            <v>8001</v>
          </cell>
          <cell r="H147">
            <v>7015</v>
          </cell>
        </row>
        <row r="148">
          <cell r="B148" t="str">
            <v>Press-03</v>
          </cell>
          <cell r="D148" t="str">
            <v>HELLO HAIR COLOR</v>
          </cell>
          <cell r="F148">
            <v>6206</v>
          </cell>
          <cell r="H148">
            <v>21865</v>
          </cell>
        </row>
        <row r="149">
          <cell r="B149" t="str">
            <v>Press-06</v>
          </cell>
          <cell r="D149" t="str">
            <v>S 43 25MM</v>
          </cell>
          <cell r="F149">
            <v>3447</v>
          </cell>
          <cell r="H149">
            <v>7905</v>
          </cell>
        </row>
        <row r="150">
          <cell r="B150" t="str">
            <v>Printing-03</v>
          </cell>
          <cell r="D150" t="str">
            <v>S-45 DIA 19MM</v>
          </cell>
          <cell r="F150">
            <v>6624</v>
          </cell>
          <cell r="H150">
            <v>1764</v>
          </cell>
        </row>
        <row r="151">
          <cell r="B151" t="str">
            <v>Printing-03</v>
          </cell>
          <cell r="D151" t="str">
            <v>S 43 25MM</v>
          </cell>
          <cell r="F151">
            <v>3447</v>
          </cell>
          <cell r="H151">
            <v>5376</v>
          </cell>
        </row>
        <row r="152">
          <cell r="B152" t="str">
            <v>Printing-04</v>
          </cell>
          <cell r="D152" t="str">
            <v>HELLO HAIR COLOR</v>
          </cell>
          <cell r="F152">
            <v>6206</v>
          </cell>
          <cell r="H152">
            <v>7716</v>
          </cell>
        </row>
        <row r="153">
          <cell r="B153" t="str">
            <v>Lacquer-02</v>
          </cell>
          <cell r="D153" t="str">
            <v>S 43 25MM</v>
          </cell>
          <cell r="F153">
            <v>3447</v>
          </cell>
          <cell r="H153">
            <v>15760</v>
          </cell>
        </row>
        <row r="154">
          <cell r="B154" t="str">
            <v>Lacquer-03</v>
          </cell>
          <cell r="D154" t="str">
            <v>HELLO HAIR COLOR</v>
          </cell>
          <cell r="F154">
            <v>6206</v>
          </cell>
          <cell r="H154">
            <v>20650</v>
          </cell>
        </row>
        <row r="155">
          <cell r="B155" t="str">
            <v>Latex-01</v>
          </cell>
          <cell r="D155" t="str">
            <v>HELLO HAIR COLOR</v>
          </cell>
          <cell r="F155">
            <v>6206</v>
          </cell>
          <cell r="H155">
            <v>24990</v>
          </cell>
        </row>
        <row r="156">
          <cell r="B156" t="str">
            <v>PF Machine</v>
          </cell>
          <cell r="D156" t="str">
            <v>TRANSPARENT BOTTLE 150ML</v>
          </cell>
          <cell r="F156">
            <v>8001</v>
          </cell>
          <cell r="H156">
            <v>0</v>
          </cell>
        </row>
        <row r="157">
          <cell r="B157" t="str">
            <v>Press-03</v>
          </cell>
          <cell r="D157" t="str">
            <v>HELLO HAIR COLOR</v>
          </cell>
          <cell r="F157">
            <v>6206</v>
          </cell>
          <cell r="H157">
            <v>23830</v>
          </cell>
        </row>
        <row r="158">
          <cell r="B158" t="str">
            <v>Press-06</v>
          </cell>
          <cell r="D158" t="str">
            <v>S 43 25MM</v>
          </cell>
          <cell r="F158">
            <v>3447</v>
          </cell>
          <cell r="H158">
            <v>19850</v>
          </cell>
        </row>
        <row r="159">
          <cell r="B159" t="str">
            <v>Printing-03</v>
          </cell>
          <cell r="D159" t="str">
            <v>S 43 25MM</v>
          </cell>
          <cell r="F159">
            <v>3447</v>
          </cell>
          <cell r="H159">
            <v>13776</v>
          </cell>
        </row>
        <row r="160">
          <cell r="B160" t="str">
            <v>Printing-04</v>
          </cell>
          <cell r="D160" t="str">
            <v>HELLO HAIR COLOR</v>
          </cell>
          <cell r="F160">
            <v>6206</v>
          </cell>
          <cell r="H160">
            <v>24990</v>
          </cell>
        </row>
        <row r="161">
          <cell r="B161" t="str">
            <v>Printing-03</v>
          </cell>
          <cell r="D161" t="str">
            <v>S 43 25MM</v>
          </cell>
          <cell r="F161">
            <v>3447</v>
          </cell>
          <cell r="H161">
            <v>6384</v>
          </cell>
        </row>
        <row r="162">
          <cell r="B162" t="str">
            <v>Printing-04</v>
          </cell>
          <cell r="D162" t="str">
            <v>HELLO HAIR COLOR</v>
          </cell>
          <cell r="F162">
            <v>6206</v>
          </cell>
          <cell r="H162">
            <v>15708</v>
          </cell>
        </row>
      </sheetData>
      <sheetData sheetId="6" refreshError="1"/>
      <sheetData sheetId="7" refreshError="1"/>
      <sheetData sheetId="8" refreshError="1"/>
    </sheetDataSet>
  </externalBook>
</externalLink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15" zoomScaleNormal="100" workbookViewId="0">
      <selection activeCell="I23" sqref="I23"/>
    </sheetView>
  </sheetViews>
  <sheetFormatPr baseColWidth="8" defaultColWidth="8.7109375" defaultRowHeight="16.5"/>
  <cols>
    <col width="1.5703125" customWidth="1" style="234" min="1" max="1"/>
    <col width="10.42578125" customWidth="1" style="234" min="2" max="2"/>
    <col width="32.7109375" customWidth="1" style="234" min="3" max="3"/>
    <col width="42.7109375" customWidth="1" style="234" min="4" max="4"/>
    <col width="8.85546875" customWidth="1" style="235" min="5" max="5"/>
    <col width="9.140625" customWidth="1" style="234" min="6" max="6"/>
    <col width="11" customWidth="1" style="236" min="7" max="7"/>
    <col width="12.42578125" customWidth="1" style="234" min="8" max="8"/>
    <col width="10.28515625" customWidth="1" style="234" min="9" max="9"/>
    <col width="10.5703125" customWidth="1" style="234" min="10" max="10"/>
    <col width="11.42578125" customWidth="1" style="234" min="11" max="11"/>
    <col width="26.140625" customWidth="1" style="234" min="12" max="12"/>
    <col width="14.7109375" customWidth="1" style="234" min="13" max="13"/>
    <col width="13.28515625" customWidth="1" style="234" min="14" max="14"/>
    <col width="9.5703125" customWidth="1" style="234" min="15" max="15"/>
    <col width="8.7109375" customWidth="1" style="234" min="16" max="35"/>
    <col width="8.7109375" customWidth="1" style="234" min="36" max="16384"/>
  </cols>
  <sheetData>
    <row r="1" ht="6" customHeight="1" s="24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44">
      <c r="A2" s="151" t="n"/>
      <c r="B2" s="239" t="inlineStr">
        <is>
          <t>TUBEX  — May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44">
      <c r="A3" s="151" t="n"/>
      <c r="B3" s="233" t="inlineStr">
        <is>
          <t>Report Date (Yesterday's Production):</t>
        </is>
      </c>
      <c r="H3" s="242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4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44">
      <c r="A5" s="151" t="n"/>
      <c r="B5" s="241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41" t="inlineStr">
        <is>
          <t>TUBE — REJECT %</t>
        </is>
      </c>
      <c r="I5" s="158" t="n"/>
      <c r="J5" s="241" t="inlineStr">
        <is>
          <t>Dispatch — MTD</t>
        </is>
      </c>
      <c r="L5" s="241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44">
      <c r="A6" s="151" t="n"/>
      <c r="B6" s="238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SUMIF($B$11:$B$59,"TUBE",$H$11:$H$59)</f>
        <v/>
      </c>
      <c r="E6" s="238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38">
        <f>SUMIF($B$11:$B$59,"TUBE",$K$11:$K$59)</f>
        <v/>
      </c>
      <c r="L6" s="162" t="n"/>
      <c r="M6" s="163" t="inlineStr">
        <is>
          <t>Category</t>
        </is>
      </c>
      <c r="N6" s="163" t="inlineStr">
        <is>
          <t>Hours (MTD)</t>
        </is>
      </c>
      <c r="O6" s="163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44">
      <c r="A7" s="151" t="n"/>
      <c r="B7" s="240" t="inlineStr">
        <is>
          <t>PET — YESTERDAY</t>
        </is>
      </c>
      <c r="D7" s="164" t="inlineStr">
        <is>
          <t>PET — MTD</t>
        </is>
      </c>
      <c r="E7" s="164" t="n"/>
      <c r="F7" s="165" t="n"/>
      <c r="G7" s="240" t="inlineStr">
        <is>
          <t>PET — REJECT %</t>
        </is>
      </c>
      <c r="I7" s="166" t="n"/>
      <c r="J7" s="165" t="inlineStr">
        <is>
          <t>Dispatch — MTD</t>
        </is>
      </c>
      <c r="K7" s="165" t="n"/>
      <c r="L7" s="165" t="n"/>
      <c r="M7" s="174">
        <f>IFERROR(INDEX($S$9:$S$25,MATCH(LARGE($U$9:$U$25,1),$U$9:$U$25,0)),"")</f>
        <v/>
      </c>
      <c r="N7" s="175">
        <f>(IFERROR(INDEX($T$9:$T$25,MATCH(LARGE($U$9:$U$25,1),$U$9:$U$25,0)),""))/60</f>
        <v/>
      </c>
      <c r="O7" s="176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44">
      <c r="A8" s="151" t="n"/>
      <c r="B8" s="237">
        <f>SUMPRODUCT((Production_Log!$A$3:$A$8963=MAX(Production_Log!$A$3:$A$8963))*(Production_Log!$B$3:$B$8963="PF Machine")*Production_Log!$H$3:$H$8963)</f>
        <v/>
      </c>
      <c r="D8" s="167">
        <f>SUMIF($B$11:$B$59,"PET",$H$11:$H$59)</f>
        <v/>
      </c>
      <c r="E8" s="237" t="n"/>
      <c r="G8" s="16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8" t="n"/>
      <c r="I8" s="166" t="n"/>
      <c r="J8" s="237">
        <f>SUMIF($B$11:$B$59,"PET",$K$11:$K$59)</f>
        <v/>
      </c>
      <c r="L8" s="169" t="n"/>
      <c r="M8" s="174">
        <f>IFERROR(INDEX($S$9:$S$25,MATCH(LARGE($U$9:$U$25,2),$U$9:$U$25,0)),"")</f>
        <v/>
      </c>
      <c r="N8" s="175">
        <f>IFERROR(INDEX($T$9:$T$25,MATCH(LARGE($U$9:$U$25,2),$U$9:$U$25,0)),"")/60</f>
        <v/>
      </c>
      <c r="O8" s="176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44">
      <c r="A9" s="151" t="n"/>
      <c r="B9" s="231" t="inlineStr">
        <is>
          <t>Summary of Production &amp; Dispatch - MTD</t>
        </is>
      </c>
      <c r="C9" s="232" t="n"/>
      <c r="D9" s="232" t="n"/>
      <c r="E9" s="232" t="n"/>
      <c r="F9" s="232" t="n"/>
      <c r="G9" s="232" t="n"/>
      <c r="H9" s="232" t="n"/>
      <c r="I9" s="232" t="n"/>
      <c r="J9" s="232" t="n"/>
      <c r="K9" s="232" t="n"/>
      <c r="L9" s="232" t="n"/>
      <c r="M9" s="174">
        <f>IFERROR(INDEX($S$9:$S$25,MATCH(LARGE($U$9:$U$25,3),$U$9:$U$25,0)),"")</f>
        <v/>
      </c>
      <c r="N9" s="175">
        <f>IFERROR(INDEX($T$9:$T$25,MATCH(LARGE($U$9:$U$25,3),$U$9:$U$25,0)),"")/60</f>
        <v/>
      </c>
      <c r="O9" s="176">
        <f>IFERROR(N9/$N$14,"")</f>
        <v/>
      </c>
      <c r="P9" s="151" t="n"/>
      <c r="Q9" s="151" t="n"/>
      <c r="R9" s="153" t="n"/>
      <c r="S9" s="200" t="inlineStr">
        <is>
          <t>Mechanical</t>
        </is>
      </c>
      <c r="T9" s="201">
        <f>SUMPRODUCT(((LEFT(Production_Log!$B$3:$B$8963,5)="Press")+(LEFT(Production_Log!$B$3:$B$8963,5)="Print"))*Production_Log!$K$3:$K$8963)</f>
        <v/>
      </c>
      <c r="U9" s="200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44">
      <c r="A10" s="151" t="n"/>
      <c r="B10" s="178" t="inlineStr">
        <is>
          <t>Type</t>
        </is>
      </c>
      <c r="C10" s="178" t="inlineStr">
        <is>
          <t>Customer</t>
        </is>
      </c>
      <c r="D10" s="178" t="inlineStr">
        <is>
          <t>Product Name</t>
        </is>
      </c>
      <c r="E10" s="178" t="inlineStr">
        <is>
          <t>Dia</t>
        </is>
      </c>
      <c r="F10" s="178" t="inlineStr">
        <is>
          <t>Prod ID</t>
        </is>
      </c>
      <c r="G10" s="178" t="inlineStr">
        <is>
          <t>Orders</t>
        </is>
      </c>
      <c r="H10" s="178" t="inlineStr">
        <is>
          <t>MTD Produced</t>
        </is>
      </c>
      <c r="I10" s="178" t="inlineStr">
        <is>
          <t>Remaining</t>
        </is>
      </c>
      <c r="J10" s="179" t="inlineStr">
        <is>
          <t>Compliance</t>
        </is>
      </c>
      <c r="K10" s="180" t="inlineStr">
        <is>
          <t>Dispatch</t>
        </is>
      </c>
      <c r="L10" s="180" t="inlineStr">
        <is>
          <t>Remarks</t>
        </is>
      </c>
      <c r="M10" s="174">
        <f>IFERROR(INDEX($S$9:$S$25,MATCH(LARGE($U$9:$U$25,4),$U$9:$U$25,0)),"")</f>
        <v/>
      </c>
      <c r="N10" s="175">
        <f>IFERROR(INDEX($T$9:$T$25,MATCH(LARGE($U$9:$U$25,4),$U$9:$U$25,0)),"")/60</f>
        <v/>
      </c>
      <c r="O10" s="176">
        <f>IFERROR(N10/$N$14,"")</f>
        <v/>
      </c>
      <c r="P10" s="151" t="n"/>
      <c r="Q10" s="151" t="n"/>
      <c r="R10" s="153" t="n"/>
      <c r="S10" s="200" t="inlineStr">
        <is>
          <t>Electrical</t>
        </is>
      </c>
      <c r="T10" s="201">
        <f>SUMPRODUCT(((LEFT(Production_Log!$B$3:$B$8963,5)="Press")+(LEFT(Production_Log!$B$3:$B$8963,5)="Print"))*Production_Log!$L$3:$L$8963)</f>
        <v/>
      </c>
      <c r="U10" s="200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221">
      <c r="A11" s="220" t="n"/>
      <c r="B11" s="256" t="inlineStr">
        <is>
          <t>TUBE</t>
        </is>
      </c>
      <c r="C11" s="257" t="inlineStr">
        <is>
          <t>Samsol International Private Limited</t>
        </is>
      </c>
      <c r="D11" s="258" t="inlineStr">
        <is>
          <t>S-45 DIA 19MM</t>
        </is>
      </c>
      <c r="E11" s="259" t="n">
        <v>19</v>
      </c>
      <c r="F11" s="260" t="n">
        <v>6624</v>
      </c>
      <c r="G11" s="260">
        <f>IFERROR(INDEX(MRP!$F$3:$F$14,MATCH(Tubex_Dashboard!F13,MRP!$D$3:$D$14,0)),0)</f>
        <v/>
      </c>
      <c r="H11" s="261">
        <f>SUMPRODUCT((Production_Log!$F$3:$F$8963=F11)*(LEFT(Production_Log!$B$3:$B$8963,5)="Print")*(ISERROR(SEARCH("(Varnish)",Production_Log!$D$3:$D$8963)))*Production_Log!$H$3:$H$8963)</f>
        <v/>
      </c>
      <c r="I11" s="260">
        <f>G11-H11</f>
        <v/>
      </c>
      <c r="J11" s="262">
        <f>IF(G11=0,"-",H11/G11)</f>
        <v/>
      </c>
      <c r="K11" s="261" t="n"/>
      <c r="L11" s="263" t="n"/>
      <c r="M11" s="174">
        <f>IFERROR(INDEX($S$9:$S$25,MATCH(LARGE($U$9:$U$25,5),$U$9:$U$25,0)),"")</f>
        <v/>
      </c>
      <c r="N11" s="175">
        <f>IFERROR(INDEX($T$9:$T$25,MATCH(LARGE($U$9:$U$25,5),$U$9:$U$25,0)),"")/60</f>
        <v/>
      </c>
      <c r="O11" s="176">
        <f>IFERROR(N11/$N$14,"")</f>
        <v/>
      </c>
      <c r="P11" s="220" t="n"/>
      <c r="Q11" s="220" t="n"/>
      <c r="R11" s="220" t="n"/>
      <c r="T11" s="223" t="n"/>
      <c r="V11" s="222" t="n"/>
      <c r="W11" s="222" t="n"/>
      <c r="X11" s="222" t="n"/>
      <c r="Y11" s="222" t="n"/>
      <c r="Z11" s="222" t="n"/>
      <c r="AA11" s="222" t="n"/>
      <c r="AB11" s="222" t="n"/>
      <c r="AC11" s="222" t="n"/>
    </row>
    <row r="12" ht="16.5" customHeight="1" s="244">
      <c r="A12" s="151" t="n"/>
      <c r="B12" s="256" t="inlineStr">
        <is>
          <t>TUBE</t>
        </is>
      </c>
      <c r="C12" s="257" t="inlineStr">
        <is>
          <t>Mablay Beauty PVT LTD.</t>
        </is>
      </c>
      <c r="D12" s="258" t="inlineStr">
        <is>
          <t>VINCE HIS ONLY BEARD &amp; MUSTACHE COLOR CREAM</t>
        </is>
      </c>
      <c r="E12" s="259" t="n">
        <v>20.5</v>
      </c>
      <c r="F12" s="260" t="n">
        <v>6077</v>
      </c>
      <c r="G12" s="260">
        <f>IFERROR(INDEX(MRP!$F$3:$F$14,MATCH(Tubex_Dashboard!F17,MRP!$D$3:$D$14,0)),0)</f>
        <v/>
      </c>
      <c r="H12" s="261">
        <f>SUMPRODUCT((Production_Log!$F$3:$F$8963=F12)*(LEFT(Production_Log!$B$3:$B$8963,5)="Print")*(ISERROR(SEARCH("(Varnish)",Production_Log!$D$3:$D$8963)))*Production_Log!$H$3:$H$8963)</f>
        <v/>
      </c>
      <c r="I12" s="260">
        <f>G12-H12</f>
        <v/>
      </c>
      <c r="J12" s="262">
        <f>IF(G12=0,"-",H12/G12)</f>
        <v/>
      </c>
      <c r="K12" s="261" t="n"/>
      <c r="L12" s="263" t="n"/>
      <c r="M12" s="174">
        <f>IFERROR(INDEX($S$9:$S$25,MATCH(LARGE($U$9:$U$25,6),$U$9:$U$25,0)),"")</f>
        <v/>
      </c>
      <c r="N12" s="175">
        <f>IFERROR(INDEX($T$9:$T$25,MATCH(LARGE($U$9:$U$25,6),$U$9:$U$25,0)),"")/60</f>
        <v/>
      </c>
      <c r="O12" s="176">
        <f>IFERROR(N12/$N$14,"")</f>
        <v/>
      </c>
      <c r="P12" s="151" t="n"/>
      <c r="Q12" s="151" t="n"/>
      <c r="R12" s="151" t="n"/>
      <c r="S12" s="200" t="inlineStr">
        <is>
          <t>Material Shortage</t>
        </is>
      </c>
      <c r="T12" s="201">
        <f>SUMPRODUCT(((LEFT(Production_Log!$B$3:$B$8963,5)="Press")+(LEFT(Production_Log!$B$3:$B$8963,5)="Print"))*Production_Log!$M$3:$M$8963)</f>
        <v/>
      </c>
      <c r="U12" s="200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44">
      <c r="A13" s="151" t="n"/>
      <c r="B13" s="256" t="inlineStr">
        <is>
          <t>TUBE</t>
        </is>
      </c>
      <c r="C13" s="257" t="inlineStr">
        <is>
          <t>Samsol International Private Limited</t>
        </is>
      </c>
      <c r="D13" s="258" t="inlineStr">
        <is>
          <t>S 43 25MM</t>
        </is>
      </c>
      <c r="E13" s="259" t="n">
        <v>25</v>
      </c>
      <c r="F13" s="260" t="n">
        <v>3447</v>
      </c>
      <c r="G13" s="260">
        <f>IFERROR(INDEX(MRP!$F$3:$F$14,MATCH(Tubex_Dashboard!F18,MRP!$D$3:$D$14,0)),0)</f>
        <v/>
      </c>
      <c r="H13" s="261">
        <f>SUMPRODUCT((Production_Log!$F$3:$F$8963=F13)*(LEFT(Production_Log!$B$3:$B$8963,5)="Print")*(ISERROR(SEARCH("(Varnish)",Production_Log!$D$3:$D$8963)))*Production_Log!$H$3:$H$8963)</f>
        <v/>
      </c>
      <c r="I13" s="260">
        <f>G13-H13</f>
        <v/>
      </c>
      <c r="J13" s="262">
        <f>IF(G13=0,"-",H13/G13)</f>
        <v/>
      </c>
      <c r="K13" s="261" t="n"/>
      <c r="L13" s="263" t="inlineStr">
        <is>
          <t>25k Advance Production</t>
        </is>
      </c>
      <c r="M13" s="174">
        <f>IFERROR(INDEX($S$9:$S$25,MATCH(LARGE($U$9:$U$25,7),$U$9:$U$25,0)),"")</f>
        <v/>
      </c>
      <c r="N13" s="175">
        <f>IFERROR(INDEX($T$9:$T$25,MATCH(LARGE($U$9:$U$25,7),$U$9:$U$25,0)),"")/60</f>
        <v/>
      </c>
      <c r="O13" s="176">
        <f>IFERROR(N13/$N$14,"")</f>
        <v/>
      </c>
      <c r="P13" s="151" t="n"/>
      <c r="Q13" s="151" t="n"/>
      <c r="R13" s="153" t="n"/>
      <c r="S13" s="200" t="inlineStr">
        <is>
          <t>Changeover</t>
        </is>
      </c>
      <c r="T13" s="201">
        <f>SUMPRODUCT(((LEFT(Production_Log!$B$3:$B$8963,5)="Press")+(LEFT(Production_Log!$B$3:$B$8963,5)="Print"))*Production_Log!$N$3:$N$8963)</f>
        <v/>
      </c>
      <c r="U13" s="200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44">
      <c r="A14" s="151" t="n"/>
      <c r="B14" s="256" t="inlineStr">
        <is>
          <t>TUBE</t>
        </is>
      </c>
      <c r="C14" s="257" t="inlineStr">
        <is>
          <t>Mablay Beauty PVT LTD.</t>
        </is>
      </c>
      <c r="D14" s="258" t="inlineStr">
        <is>
          <t>HIS ONLY HAIR COLOR CREAM 40GM</t>
        </is>
      </c>
      <c r="E14" s="259" t="n">
        <v>25</v>
      </c>
      <c r="F14" s="260" t="n">
        <v>6228</v>
      </c>
      <c r="G14" s="260">
        <f>IFERROR(INDEX(MRP!$F$3:$F$14,MATCH(Tubex_Dashboard!F19,MRP!$D$3:$D$14,0)),0)</f>
        <v/>
      </c>
      <c r="H14" s="261">
        <f>SUMPRODUCT((Production_Log!$F$3:$F$8963=F14)*(LEFT(Production_Log!$B$3:$B$8963,5)="Print")*(ISERROR(SEARCH("(Varnish)",Production_Log!$D$3:$D$8963)))*Production_Log!$H$3:$H$8963)</f>
        <v/>
      </c>
      <c r="I14" s="260">
        <f>G14-H14</f>
        <v/>
      </c>
      <c r="J14" s="262">
        <f>IF(G14=0,"-",H14/G14)</f>
        <v/>
      </c>
      <c r="K14" s="261" t="n"/>
      <c r="L14" s="263" t="n"/>
      <c r="M14" s="171" t="inlineStr">
        <is>
          <t>TOTAL</t>
        </is>
      </c>
      <c r="N14" s="171">
        <f>SUM($T$9:$T$25)/60</f>
        <v/>
      </c>
      <c r="O14" s="171" t="inlineStr">
        <is>
          <t>100%</t>
        </is>
      </c>
      <c r="P14" s="151" t="n"/>
      <c r="Q14" s="151" t="n"/>
      <c r="R14" s="153" t="n"/>
      <c r="S14" s="200" t="inlineStr">
        <is>
          <t>Operations</t>
        </is>
      </c>
      <c r="T14" s="201">
        <f>SUMPRODUCT(((LEFT(Production_Log!$B$3:$B$8963,5)="Press")+(LEFT(Production_Log!$B$3:$B$8963,5)="Print"))*Production_Log!$O$3:$O$8963)</f>
        <v/>
      </c>
      <c r="U14" s="200">
        <f>T14+0.00005</f>
        <v/>
      </c>
      <c r="V14" s="153" t="n"/>
      <c r="W14" s="153" t="n"/>
      <c r="X14" s="153" t="n"/>
      <c r="Y14" s="153" t="n"/>
      <c r="Z14" s="153" t="n"/>
      <c r="AA14" s="153" t="n"/>
      <c r="AB14" s="153" t="n"/>
      <c r="AC14" s="153" t="n"/>
    </row>
    <row r="15" ht="16.5" customHeight="1" s="244">
      <c r="A15" s="151" t="n"/>
      <c r="B15" s="256" t="inlineStr">
        <is>
          <t>TUBE</t>
        </is>
      </c>
      <c r="C15" s="257" t="inlineStr">
        <is>
          <t>Samsol International Private Limited</t>
        </is>
      </c>
      <c r="D15" s="258" t="inlineStr">
        <is>
          <t>TUBES COMMON RED</t>
        </is>
      </c>
      <c r="E15" s="259" t="n">
        <v>25</v>
      </c>
      <c r="F15" s="260" t="n">
        <v>6470</v>
      </c>
      <c r="G15" s="260">
        <f>IFERROR(INDEX(MRP!$F$3:$F$14,MATCH(Tubex_Dashboard!F20,MRP!$D$3:$D$14,0)),0)</f>
        <v/>
      </c>
      <c r="H15" s="261">
        <f>SUMPRODUCT((Production_Log!$F$3:$F$8963=F15)*(LEFT(Production_Log!$B$3:$B$8963,5)="Print")*(ISERROR(SEARCH("(Varnish)",Production_Log!$D$3:$D$8963)))*Production_Log!$H$3:$H$8963)</f>
        <v/>
      </c>
      <c r="I15" s="260">
        <f>G15-H15</f>
        <v/>
      </c>
      <c r="J15" s="262">
        <f>IF(G15=0,"-",H15/G15)</f>
        <v/>
      </c>
      <c r="K15" s="261" t="n"/>
      <c r="L15" s="263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  <c r="W15" s="151" t="n"/>
      <c r="X15" s="153" t="n"/>
      <c r="Y15" s="153" t="n"/>
      <c r="Z15" s="153" t="n"/>
      <c r="AA15" s="153" t="n"/>
      <c r="AB15" s="153" t="n"/>
      <c r="AC15" s="153" t="n"/>
    </row>
    <row r="16" ht="16.5" customHeight="1" s="244">
      <c r="A16" s="151" t="n"/>
      <c r="B16" s="256" t="inlineStr">
        <is>
          <t>TUBE</t>
        </is>
      </c>
      <c r="C16" s="257" t="inlineStr">
        <is>
          <t>Mablay Beauty PVT LTD.</t>
        </is>
      </c>
      <c r="D16" s="258" t="inlineStr">
        <is>
          <t>VINCE NURTURAL</t>
        </is>
      </c>
      <c r="E16" s="259" t="n">
        <v>30</v>
      </c>
      <c r="F16" s="260" t="n">
        <v>5814</v>
      </c>
      <c r="G16" s="260">
        <f>IFERROR(INDEX(MRP!$F$3:$F$14,MATCH(Tubex_Dashboard!F22,MRP!$D$3:$D$14,0)),0)</f>
        <v/>
      </c>
      <c r="H16" s="261">
        <f>SUMPRODUCT((Production_Log!$F$3:$F$8963=F16)*(LEFT(Production_Log!$B$3:$B$8963,5)="Print")*(ISERROR(SEARCH("(Varnish)",Production_Log!$D$3:$D$8963)))*Production_Log!$H$3:$H$8963)</f>
        <v/>
      </c>
      <c r="I16" s="260">
        <f>G16-H16</f>
        <v/>
      </c>
      <c r="J16" s="262">
        <f>IF(G16=0,"-",H16/G16)</f>
        <v/>
      </c>
      <c r="K16" s="261" t="n"/>
      <c r="L16" s="263" t="n"/>
      <c r="P16" s="151" t="n"/>
      <c r="Q16" s="151" t="n"/>
      <c r="R16" s="151" t="n"/>
      <c r="S16" s="200" t="inlineStr">
        <is>
          <t>Power Shutdown</t>
        </is>
      </c>
      <c r="T16" s="201">
        <f>SUMPRODUCT(((LEFT(Production_Log!$B$3:$B$8963,5)="Press")+(LEFT(Production_Log!$B$3:$B$8963,5)="Print"))*Production_Log!$P$3:$P$8963)</f>
        <v/>
      </c>
      <c r="U16" s="200">
        <f>T16+0.00006</f>
        <v/>
      </c>
      <c r="V16" s="153" t="n"/>
      <c r="W16" s="153" t="n"/>
      <c r="X16" s="153" t="n"/>
      <c r="Y16" s="153" t="n"/>
      <c r="Z16" s="153" t="n"/>
      <c r="AA16" s="153" t="n"/>
      <c r="AB16" s="153" t="n"/>
      <c r="AC16" s="153" t="n"/>
    </row>
    <row r="17" ht="16.5" customHeight="1" s="244">
      <c r="A17" s="151" t="n"/>
      <c r="B17" s="256" t="inlineStr">
        <is>
          <t>TUBE</t>
        </is>
      </c>
      <c r="C17" s="257" t="inlineStr">
        <is>
          <t>Golden Pearl Cosmetics (PVT) LTD</t>
        </is>
      </c>
      <c r="D17" s="258" t="inlineStr">
        <is>
          <t>HELLO HAIR COLOR</t>
        </is>
      </c>
      <c r="E17" s="259" t="n">
        <v>30</v>
      </c>
      <c r="F17" s="260" t="n">
        <v>6206</v>
      </c>
      <c r="G17" s="260">
        <f>IFERROR(INDEX(MRP!$F$3:$F$14,MATCH(Tubex_Dashboard!F23,MRP!$D$3:$D$14,0)),0)</f>
        <v/>
      </c>
      <c r="H17" s="261">
        <f>SUMPRODUCT((Production_Log!$F$3:$F$8963=F17)*(LEFT(Production_Log!$B$3:$B$8963,5)="Print")*(ISERROR(SEARCH("(Varnish)",Production_Log!$D$3:$D$8963)))*Production_Log!$H$3:$H$8963)</f>
        <v/>
      </c>
      <c r="I17" s="260">
        <f>G17-H17</f>
        <v/>
      </c>
      <c r="J17" s="262">
        <f>IF(G17=0,"-",H17/G17)</f>
        <v/>
      </c>
      <c r="K17" s="261" t="n"/>
      <c r="L17" s="263" t="inlineStr">
        <is>
          <t>100k Advance Production</t>
        </is>
      </c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3" t="n"/>
      <c r="Y17" s="153" t="n"/>
      <c r="Z17" s="153" t="n"/>
      <c r="AA17" s="153" t="n"/>
      <c r="AB17" s="153" t="n"/>
      <c r="AC17" s="153" t="n"/>
    </row>
    <row r="18" ht="16.5" customHeight="1" s="244">
      <c r="A18" s="151" t="n"/>
      <c r="B18" s="256" t="inlineStr">
        <is>
          <t>TUBE</t>
        </is>
      </c>
      <c r="C18" s="257" t="inlineStr">
        <is>
          <t>Hola Hair</t>
        </is>
      </c>
      <c r="D18" s="258" t="inlineStr">
        <is>
          <t>H.H 100GM</t>
        </is>
      </c>
      <c r="E18" s="259" t="n">
        <v>32</v>
      </c>
      <c r="F18" s="260" t="n">
        <v>6515</v>
      </c>
      <c r="G18" s="260">
        <f>IFERROR(INDEX(MRP!$F$3:$F$14,MATCH(Tubex_Dashboard!F26,MRP!$D$3:$D$14,0)),0)</f>
        <v/>
      </c>
      <c r="H18" s="261">
        <f>SUMPRODUCT((Production_Log!$F$3:$F$8963=F18)*(LEFT(Production_Log!$B$3:$B$8963,5)="Print")*(ISERROR(SEARCH("(Varnish)",Production_Log!$D$3:$D$8963)))*Production_Log!$H$3:$H$8963)</f>
        <v/>
      </c>
      <c r="I18" s="260">
        <f>G18-H18</f>
        <v/>
      </c>
      <c r="J18" s="262">
        <f>IF(G18=0,"-",H18/G18)</f>
        <v/>
      </c>
      <c r="K18" s="261" t="n"/>
      <c r="L18" s="263" t="n"/>
      <c r="P18" s="151" t="n"/>
      <c r="Q18" s="151" t="n"/>
      <c r="R18" s="151" t="n"/>
      <c r="S18" s="200" t="inlineStr">
        <is>
          <t>Gas Shutdown</t>
        </is>
      </c>
      <c r="T18" s="201">
        <f>SUMPRODUCT(((LEFT(Production_Log!$B$3:$B$8963,5)="Press")+(LEFT(Production_Log!$B$3:$B$8963,5)="Print"))*Production_Log!$Q$3:$Q$8963)</f>
        <v/>
      </c>
      <c r="U18" s="200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44">
      <c r="A19" s="151" t="n"/>
      <c r="B19" s="256" t="inlineStr">
        <is>
          <t>TUBE</t>
        </is>
      </c>
      <c r="C19" s="257" t="inlineStr">
        <is>
          <t>Adore</t>
        </is>
      </c>
      <c r="D19" s="258" t="inlineStr">
        <is>
          <t>V- HC BROWN</t>
        </is>
      </c>
      <c r="E19" s="259" t="n">
        <v>35</v>
      </c>
      <c r="F19" s="260" t="n">
        <v>6530</v>
      </c>
      <c r="G19" s="260">
        <f>IFERROR(INDEX(MRP!$F$3:$F$14,MATCH(Tubex_Dashboard!F27,MRP!$D$3:$D$14,0)),0)</f>
        <v/>
      </c>
      <c r="H19" s="261">
        <f>SUMPRODUCT((Production_Log!$F$3:$F$8963=F19)*(LEFT(Production_Log!$B$3:$B$8963,5)="Print")*(ISERROR(SEARCH("(Varnish)",Production_Log!$D$3:$D$8963)))*Production_Log!$H$3:$H$8963)</f>
        <v/>
      </c>
      <c r="I19" s="260">
        <f>G19-H19</f>
        <v/>
      </c>
      <c r="J19" s="262">
        <f>IF(G19=0,"-",H19/G19)</f>
        <v/>
      </c>
      <c r="K19" s="261" t="n"/>
      <c r="L19" s="263" t="inlineStr">
        <is>
          <t>Hold (Payment issue)</t>
        </is>
      </c>
      <c r="P19" s="151" t="n"/>
      <c r="Q19" s="151" t="n"/>
      <c r="R19" s="151" t="n"/>
      <c r="S19" s="200" t="inlineStr">
        <is>
          <t>Workers Shortage</t>
        </is>
      </c>
      <c r="T19" s="201">
        <f>SUMPRODUCT(((LEFT(Production_Log!$B$3:$B$8963,5)="Press")+(LEFT(Production_Log!$B$3:$B$8963,5)="Print"))*Production_Log!$R$3:$R$8963)</f>
        <v/>
      </c>
      <c r="U19" s="200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44">
      <c r="A20" s="151" t="n"/>
      <c r="B20" s="256" t="inlineStr">
        <is>
          <t>TUBE</t>
        </is>
      </c>
      <c r="C20" s="257" t="inlineStr">
        <is>
          <t>Adore</t>
        </is>
      </c>
      <c r="D20" s="258" t="inlineStr">
        <is>
          <t>V-HC BLACK</t>
        </is>
      </c>
      <c r="E20" s="259" t="n">
        <v>35</v>
      </c>
      <c r="F20" s="260" t="n">
        <v>6531</v>
      </c>
      <c r="G20" s="260">
        <f>IFERROR(INDEX(MRP!$F$3:$F$14,MATCH(Tubex_Dashboard!F28,MRP!$D$3:$D$14,0)),0)</f>
        <v/>
      </c>
      <c r="H20" s="261">
        <f>SUMPRODUCT((Production_Log!$F$3:$F$8963=F20)*(LEFT(Production_Log!$B$3:$B$8963,5)="Print")*(ISERROR(SEARCH("(Varnish)",Production_Log!$D$3:$D$8963)))*Production_Log!$H$3:$H$8963)</f>
        <v/>
      </c>
      <c r="I20" s="260">
        <f>G20-H20</f>
        <v/>
      </c>
      <c r="J20" s="262">
        <f>IF(G20=0,"-",H20/G20)</f>
        <v/>
      </c>
      <c r="K20" s="261" t="n"/>
      <c r="L20" s="263" t="n"/>
      <c r="P20" s="151" t="n"/>
      <c r="Q20" s="151" t="n"/>
      <c r="R20" s="151" t="n"/>
      <c r="T20" s="170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44">
      <c r="A21" s="151" t="n"/>
      <c r="B21" s="189" t="n"/>
      <c r="C21" s="190" t="n"/>
      <c r="D21" s="191" t="inlineStr">
        <is>
          <t>TOTAL</t>
        </is>
      </c>
      <c r="E21" s="189" t="n"/>
      <c r="F21" s="190" t="n"/>
      <c r="G21" s="192">
        <f>SUM(G11:G20)</f>
        <v/>
      </c>
      <c r="H21" s="192">
        <f>SUM(H11:H20)</f>
        <v/>
      </c>
      <c r="I21" s="192">
        <f>SUMIF(I11:I20,"&gt;"&amp;0)</f>
        <v/>
      </c>
      <c r="J21" s="192" t="n"/>
      <c r="K21" s="192">
        <f>SUM(K11:K20)</f>
        <v/>
      </c>
      <c r="L21" s="192" t="n"/>
      <c r="M21" s="151" t="n"/>
      <c r="N21" s="151" t="n"/>
      <c r="O21" s="151" t="n"/>
      <c r="P21" s="151" t="n"/>
      <c r="Q21" s="151" t="n"/>
      <c r="R21" s="153" t="n"/>
      <c r="T21" s="170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44">
      <c r="A22" s="151" t="n"/>
      <c r="B22" s="256" t="inlineStr">
        <is>
          <t>PET</t>
        </is>
      </c>
      <c r="C22" s="257" t="inlineStr">
        <is>
          <t>Samsol International Private Limited</t>
        </is>
      </c>
      <c r="D22" s="258" t="inlineStr">
        <is>
          <t>PET BOTTLE SMALL (120ML) YELLOW</t>
        </is>
      </c>
      <c r="E22" s="259" t="inlineStr">
        <is>
          <t>120 ml</t>
        </is>
      </c>
      <c r="F22" s="260" t="n">
        <v>8005</v>
      </c>
      <c r="G22" s="260" t="n">
        <v>58960</v>
      </c>
      <c r="H22" s="261">
        <f>SUMPRODUCT((Production_Log!$F$3:$F$8963=F22)*Production_Log!$H$3:$H$8963)</f>
        <v/>
      </c>
      <c r="I22" s="260">
        <f>G22-H22</f>
        <v/>
      </c>
      <c r="J22" s="262">
        <f>IF(G22=0,"-",H22/G22)</f>
        <v/>
      </c>
      <c r="K22" s="261" t="n"/>
      <c r="L22" s="263" t="n"/>
      <c r="M22" s="151" t="n"/>
      <c r="N22" s="151" t="n"/>
      <c r="O22" s="151" t="n"/>
      <c r="P22" s="151" t="n"/>
      <c r="Q22" s="151" t="n"/>
      <c r="R22" s="153" t="n"/>
      <c r="T22" s="170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44">
      <c r="A23" s="151" t="n"/>
      <c r="B23" s="256" t="inlineStr">
        <is>
          <t>PET</t>
        </is>
      </c>
      <c r="C23" s="257" t="inlineStr">
        <is>
          <t>Alpha Labs PVT LTD</t>
        </is>
      </c>
      <c r="D23" s="258" t="inlineStr">
        <is>
          <t>PET BOTTLE SMALL (130ML) TRANSPARENT</t>
        </is>
      </c>
      <c r="E23" s="259" t="inlineStr">
        <is>
          <t>130 ml</t>
        </is>
      </c>
      <c r="F23" s="260" t="n">
        <v>8010</v>
      </c>
      <c r="G23" s="260" t="n">
        <v>5520</v>
      </c>
      <c r="H23" s="261">
        <f>SUMPRODUCT((Production_Log!$F$3:$F$8963=F23)*Production_Log!$H$3:$H$8963)</f>
        <v/>
      </c>
      <c r="I23" s="260">
        <f>G23-H23</f>
        <v/>
      </c>
      <c r="J23" s="262">
        <f>IF(G23=0,"-",H23/G23)</f>
        <v/>
      </c>
      <c r="K23" s="261" t="n"/>
      <c r="L23" s="263" t="n"/>
      <c r="M23" s="151" t="n"/>
      <c r="N23" s="151" t="n"/>
      <c r="O23" s="151" t="n"/>
      <c r="P23" s="151" t="n"/>
      <c r="Q23" s="151" t="n"/>
      <c r="R23" s="153" t="n"/>
      <c r="T23" s="170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44">
      <c r="A24" s="151" t="n"/>
      <c r="B24" s="256" t="inlineStr">
        <is>
          <t>PET</t>
        </is>
      </c>
      <c r="C24" s="257" t="inlineStr">
        <is>
          <t>Alpha Labs PVT LTD</t>
        </is>
      </c>
      <c r="D24" s="258" t="inlineStr">
        <is>
          <t>TRANSPARENT BOTTLE 150ML</t>
        </is>
      </c>
      <c r="E24" s="259" t="inlineStr">
        <is>
          <t>150 ml</t>
        </is>
      </c>
      <c r="F24" s="260" t="n">
        <v>8001</v>
      </c>
      <c r="G24" s="260">
        <f>166960+116667</f>
        <v/>
      </c>
      <c r="H24" s="261">
        <f>SUMPRODUCT((Production_Log!$F$3:$F$8963=F24)*Production_Log!$H$3:$H$8963)</f>
        <v/>
      </c>
      <c r="I24" s="260">
        <f>G24-H24</f>
        <v/>
      </c>
      <c r="J24" s="262">
        <f>IF(G24=0,"-",H24/G24)</f>
        <v/>
      </c>
      <c r="K24" s="261" t="n"/>
      <c r="L24" s="263" t="n"/>
      <c r="M24" s="151" t="n"/>
      <c r="N24" s="151" t="n"/>
      <c r="O24" s="151" t="n"/>
      <c r="P24" s="151" t="n"/>
      <c r="Q24" s="151" t="n"/>
      <c r="R24" s="153" t="n"/>
      <c r="T24" s="170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</row>
    <row r="25" ht="16.5" customHeight="1" s="244">
      <c r="A25" s="151" t="n"/>
      <c r="B25" s="256" t="inlineStr">
        <is>
          <t>PET</t>
        </is>
      </c>
      <c r="C25" s="257" t="inlineStr">
        <is>
          <t>Samsol International Private Limited</t>
        </is>
      </c>
      <c r="D25" s="258" t="inlineStr">
        <is>
          <t>PET BOTTLE LARGE 200ML WHITE</t>
        </is>
      </c>
      <c r="E25" s="259" t="inlineStr">
        <is>
          <t>200 ml</t>
        </is>
      </c>
      <c r="F25" s="260" t="n">
        <v>8007</v>
      </c>
      <c r="G25" s="260" t="n">
        <v>10000</v>
      </c>
      <c r="H25" s="261">
        <f>SUMPRODUCT((Production_Log!$F$3:$F$8963=F25)*Production_Log!$H$3:$H$8963)</f>
        <v/>
      </c>
      <c r="I25" s="260">
        <f>G25-H25</f>
        <v/>
      </c>
      <c r="J25" s="262">
        <f>IF(G25=0,"-",H25/G25)</f>
        <v/>
      </c>
      <c r="K25" s="261" t="n"/>
      <c r="L25" s="263" t="n"/>
      <c r="M25" s="151" t="n"/>
      <c r="N25" s="151" t="n"/>
      <c r="O25" s="151" t="n"/>
      <c r="P25" s="151" t="n"/>
      <c r="Q25" s="151" t="n"/>
      <c r="R25" s="151" t="n"/>
      <c r="T25" s="170" t="n"/>
      <c r="V25" s="153" t="n"/>
      <c r="W25" s="153" t="n"/>
      <c r="X25" s="153" t="n"/>
      <c r="Y25" s="153" t="n"/>
      <c r="Z25" s="153" t="n"/>
      <c r="AA25" s="153" t="n"/>
      <c r="AB25" s="153" t="n"/>
      <c r="AC25" s="153" t="n"/>
    </row>
    <row r="26" ht="16.5" customHeight="1" s="244">
      <c r="A26" s="151" t="n"/>
      <c r="B26" s="256" t="inlineStr">
        <is>
          <t>PET</t>
        </is>
      </c>
      <c r="C26" s="257" t="inlineStr">
        <is>
          <t>Samsol International Private Limited</t>
        </is>
      </c>
      <c r="D26" s="258" t="inlineStr">
        <is>
          <t>BT-200 ML YELLOW</t>
        </is>
      </c>
      <c r="E26" s="259" t="inlineStr">
        <is>
          <t>200 ml</t>
        </is>
      </c>
      <c r="F26" s="260" t="n">
        <v>8006</v>
      </c>
      <c r="G26" s="260" t="n">
        <v>42400</v>
      </c>
      <c r="H26" s="261">
        <f>SUMPRODUCT((Production_Log!$F$3:$F$8963=F26)*Production_Log!$H$3:$H$8963)</f>
        <v/>
      </c>
      <c r="I26" s="260">
        <f>G26-H26</f>
        <v/>
      </c>
      <c r="J26" s="262">
        <f>IF(G26=0,"-",H26/G26)</f>
        <v/>
      </c>
      <c r="K26" s="261" t="n"/>
      <c r="L26" s="263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44">
      <c r="A27" s="151" t="n"/>
      <c r="B27" s="256" t="inlineStr">
        <is>
          <t>PET</t>
        </is>
      </c>
      <c r="C27" s="257" t="inlineStr">
        <is>
          <t>Samsol International Private Limited</t>
        </is>
      </c>
      <c r="D27" s="258" t="inlineStr">
        <is>
          <t>BT-200ML MUSTARD OIL (TRANSPARENT)</t>
        </is>
      </c>
      <c r="E27" s="259" t="inlineStr">
        <is>
          <t>200 ml</t>
        </is>
      </c>
      <c r="F27" s="260" t="n">
        <v>8014</v>
      </c>
      <c r="G27" s="260" t="n">
        <v>10000</v>
      </c>
      <c r="H27" s="261">
        <f>SUMPRODUCT((Production_Log!$F$3:$F$8963=F27)*Production_Log!$H$3:$H$8963)</f>
        <v/>
      </c>
      <c r="I27" s="260">
        <f>G27-H27</f>
        <v/>
      </c>
      <c r="J27" s="262">
        <f>IF(G27=0,"-",H27/G27)</f>
        <v/>
      </c>
      <c r="K27" s="261" t="n"/>
      <c r="L27" s="263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44">
      <c r="A28" s="151" t="n"/>
      <c r="B28" s="189" t="n"/>
      <c r="C28" s="190" t="n"/>
      <c r="D28" s="191" t="inlineStr">
        <is>
          <t>TOTAL</t>
        </is>
      </c>
      <c r="E28" s="189" t="n"/>
      <c r="F28" s="190" t="n"/>
      <c r="G28" s="192">
        <f>SUM(G22:G27)</f>
        <v/>
      </c>
      <c r="H28" s="192">
        <f>SUM(H22:H27)</f>
        <v/>
      </c>
      <c r="I28" s="192">
        <f>SUMIF(I22:I27,"&gt;"&amp;0)</f>
        <v/>
      </c>
      <c r="J28" s="192" t="n"/>
      <c r="K28" s="192">
        <f>SUM(K22:K27)</f>
        <v/>
      </c>
      <c r="L28" s="192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3" t="n"/>
      <c r="Y28" s="153" t="n"/>
      <c r="Z28" s="153" t="n"/>
      <c r="AA28" s="153" t="n"/>
      <c r="AB28" s="153" t="n"/>
      <c r="AC28" s="153" t="n"/>
    </row>
    <row r="29" ht="16.5" customHeight="1" s="244">
      <c r="A29" s="151" t="n"/>
      <c r="B29" s="256" t="inlineStr">
        <is>
          <t>TUBE</t>
        </is>
      </c>
      <c r="C29" s="257" t="inlineStr">
        <is>
          <t>Bahadur</t>
        </is>
      </c>
      <c r="D29" s="258" t="inlineStr">
        <is>
          <t>BAHADUR TUBE 12.5MM</t>
        </is>
      </c>
      <c r="E29" s="259" t="n">
        <v>12.5</v>
      </c>
      <c r="F29" s="260" t="n">
        <v>9004</v>
      </c>
      <c r="G29" s="260" t="n">
        <v>0</v>
      </c>
      <c r="H29" s="261">
        <f>SUMPRODUCT((Production_Log!$F$3:$F$8963=F29)*(LEFT(Production_Log!$B$3:$B$8963,5)="Print")*(ISERROR(SEARCH("(Varnish)",Production_Log!$D$3:$D$8963)))*Production_Log!$H$3:$H$8963)</f>
        <v/>
      </c>
      <c r="I29" s="260">
        <f>G29-H29</f>
        <v/>
      </c>
      <c r="J29" s="262">
        <f>IF(G29=0,"-",H29/G29)</f>
        <v/>
      </c>
      <c r="K29" s="261" t="n"/>
      <c r="L29" s="263" t="n"/>
      <c r="M29" s="151" t="n"/>
      <c r="N29" s="151" t="n"/>
      <c r="O29" s="151" t="n"/>
      <c r="P29" s="151" t="n"/>
      <c r="Q29" s="151" t="n"/>
      <c r="R29" s="151" t="n"/>
      <c r="S29" s="151" t="n"/>
      <c r="T29" s="151" t="n"/>
      <c r="U29" s="151" t="n"/>
      <c r="V29" s="151" t="n"/>
      <c r="W29" s="151" t="n"/>
      <c r="X29" s="153" t="n"/>
      <c r="Y29" s="153" t="n"/>
      <c r="Z29" s="153" t="n"/>
      <c r="AA29" s="153" t="n"/>
      <c r="AB29" s="153" t="n"/>
      <c r="AC29" s="153" t="n"/>
    </row>
    <row r="30" ht="16.5" customHeight="1" s="244">
      <c r="A30" s="151" t="n"/>
      <c r="B30" s="256" t="inlineStr">
        <is>
          <t>TUBE</t>
        </is>
      </c>
      <c r="C30" s="257" t="inlineStr">
        <is>
          <t>Brookes Pharma Private Limited</t>
        </is>
      </c>
      <c r="D30" s="258" t="inlineStr">
        <is>
          <t>ECZEMUS OINTMENT 0.03% 10G</t>
        </is>
      </c>
      <c r="E30" s="259" t="n">
        <v>16</v>
      </c>
      <c r="F30" s="260" t="n">
        <v>6561</v>
      </c>
      <c r="G30" s="260">
        <f>IFERROR(INDEX(MRP!$F$3:$F$14,MATCH(Tubex_Dashboard!F11,MRP!$D$3:$D$14,0)),0)</f>
        <v/>
      </c>
      <c r="H30" s="261">
        <f>SUMPRODUCT((Production_Log!$F$3:$F$8963=F30)*(LEFT(Production_Log!$B$3:$B$8963,5)="Print")*(ISERROR(SEARCH("(Varnish)",Production_Log!$D$3:$D$8963)))*Production_Log!$H$3:$H$8963)</f>
        <v/>
      </c>
      <c r="I30" s="260">
        <f>G30-H30</f>
        <v/>
      </c>
      <c r="J30" s="262">
        <f>IF(G30=0,"-",H30/G30)</f>
        <v/>
      </c>
      <c r="K30" s="261" t="n"/>
      <c r="L30" s="263" t="inlineStr">
        <is>
          <t>Hold (No Caps)</t>
        </is>
      </c>
      <c r="M30" s="151" t="n"/>
      <c r="N30" s="151" t="n"/>
      <c r="O30" s="151" t="n"/>
      <c r="P30" s="151" t="n"/>
      <c r="Q30" s="151" t="n"/>
      <c r="R30" s="153" t="n"/>
      <c r="T30" s="170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</row>
    <row r="31" ht="16.5" customHeight="1" s="244">
      <c r="A31" s="151" t="n"/>
      <c r="B31" s="256" t="inlineStr">
        <is>
          <t>TUBE</t>
        </is>
      </c>
      <c r="C31" s="257" t="inlineStr">
        <is>
          <t>Brookes Pharma Private Limited</t>
        </is>
      </c>
      <c r="D31" s="258" t="inlineStr">
        <is>
          <t>ECZEMUS OINTMENT 0.03% 10G</t>
        </is>
      </c>
      <c r="E31" s="259" t="n">
        <v>16</v>
      </c>
      <c r="F31" s="260" t="n">
        <v>6561</v>
      </c>
      <c r="G31" s="260">
        <f>IFERROR(INDEX(MRP!$F$3:$F$14,MATCH(Tubex_Dashboard!D12,MRP!$C$3:$C$14,0)),0)</f>
        <v/>
      </c>
      <c r="H31" s="261">
        <f>SUMPRODUCT((Production_Log!$F$3:$F$8963=F31)*(LEFT(Production_Log!$B$3:$B$8963,5)="Print")*(ISERROR(SEARCH("(Varnish)",Production_Log!$D$3:$D$8963)))*Production_Log!$H$3:$H$8963)</f>
        <v/>
      </c>
      <c r="I31" s="260">
        <f>G31-H31</f>
        <v/>
      </c>
      <c r="J31" s="262">
        <f>IF(G31=0,"-",H31/G31)</f>
        <v/>
      </c>
      <c r="K31" s="261" t="n"/>
      <c r="L31" s="263" t="n"/>
      <c r="M31" s="151" t="n"/>
      <c r="N31" s="151" t="n"/>
      <c r="O31" s="151" t="n"/>
      <c r="P31" s="151" t="n"/>
      <c r="Q31" s="151" t="n"/>
      <c r="R31" s="153" t="n"/>
      <c r="T31" s="170" t="n"/>
      <c r="V31" s="153" t="n"/>
      <c r="W31" s="153" t="n"/>
      <c r="X31" s="153" t="n"/>
      <c r="Y31" s="153" t="n"/>
      <c r="Z31" s="153" t="n"/>
      <c r="AA31" s="153" t="n"/>
      <c r="AB31" s="153" t="n"/>
      <c r="AC31" s="153" t="n"/>
    </row>
    <row r="32" ht="16.5" customHeight="1" s="244">
      <c r="A32" s="151" t="n"/>
      <c r="B32" s="256" t="inlineStr">
        <is>
          <t>TUBE</t>
        </is>
      </c>
      <c r="C32" s="257" t="inlineStr">
        <is>
          <t>Samsol International Private Limited</t>
        </is>
      </c>
      <c r="D32" s="258" t="inlineStr">
        <is>
          <t>S-43 DIA 19MM</t>
        </is>
      </c>
      <c r="E32" s="259" t="n">
        <v>19</v>
      </c>
      <c r="F32" s="260" t="n">
        <v>6623</v>
      </c>
      <c r="G32" s="260">
        <f>IFERROR(INDEX(MRP!$F$3:$F$14,MATCH(Tubex_Dashboard!F12,MRP!$D$3:$D$14,0)),0)</f>
        <v/>
      </c>
      <c r="H32" s="261">
        <f>SUMPRODUCT((Production_Log!$F$3:$F$8963=F32)*(LEFT(Production_Log!$B$3:$B$8963,5)="Print")*(ISERROR(SEARCH("(Varnish)",Production_Log!$D$3:$D$8963)))*Production_Log!$H$3:$H$8963)</f>
        <v/>
      </c>
      <c r="I32" s="260">
        <f>G32-H32</f>
        <v/>
      </c>
      <c r="J32" s="262">
        <f>IF(G32=0,"-",H32/G32)</f>
        <v/>
      </c>
      <c r="K32" s="261" t="n"/>
      <c r="L32" s="263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44">
      <c r="A33" s="151" t="n"/>
      <c r="B33" s="256" t="inlineStr">
        <is>
          <t>TUBE</t>
        </is>
      </c>
      <c r="C33" s="257" t="inlineStr">
        <is>
          <t>Brookes Pharma Private Limited</t>
        </is>
      </c>
      <c r="D33" s="258" t="inlineStr">
        <is>
          <t>PHLOGIN GEL 20G</t>
        </is>
      </c>
      <c r="E33" s="259" t="n">
        <v>19</v>
      </c>
      <c r="F33" s="260" t="n">
        <v>6559</v>
      </c>
      <c r="G33" s="260">
        <f>IFERROR(INDEX(MRP!$F$3:$F$14,MATCH(Tubex_Dashboard!F14,MRP!$D$3:$D$14,0)),0)</f>
        <v/>
      </c>
      <c r="H33" s="261">
        <f>SUMPRODUCT((Production_Log!$F$3:$F$8963=F33)*(LEFT(Production_Log!$B$3:$B$8963,5)="Print")*(ISERROR(SEARCH("(Varnish)",Production_Log!$D$3:$D$8963)))*Production_Log!$H$3:$H$8963)</f>
        <v/>
      </c>
      <c r="I33" s="260">
        <f>G33-H33</f>
        <v/>
      </c>
      <c r="J33" s="262">
        <f>IF(G33=0,"-",H33/G33)</f>
        <v/>
      </c>
      <c r="K33" s="261" t="n"/>
      <c r="L33" s="263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  <c r="W33" s="151" t="n"/>
      <c r="X33" s="153" t="n"/>
      <c r="Y33" s="153" t="n"/>
      <c r="Z33" s="153" t="n"/>
      <c r="AA33" s="153" t="n"/>
      <c r="AB33" s="153" t="n"/>
      <c r="AC33" s="153" t="n"/>
    </row>
    <row r="34" ht="16.5" customHeight="1" s="244">
      <c r="A34" s="151" t="n"/>
      <c r="B34" s="256" t="inlineStr">
        <is>
          <t>TUBE</t>
        </is>
      </c>
      <c r="C34" s="257" t="inlineStr">
        <is>
          <t>Brookes Pharma Private Limited</t>
        </is>
      </c>
      <c r="D34" s="258" t="inlineStr">
        <is>
          <t>PYODINE GEL 20GM</t>
        </is>
      </c>
      <c r="E34" s="259" t="n">
        <v>19</v>
      </c>
      <c r="F34" s="260" t="n">
        <v>1085</v>
      </c>
      <c r="G34" s="260" t="n">
        <v>0</v>
      </c>
      <c r="H34" s="261">
        <f>SUMPRODUCT((Production_Log!$F$3:$F$8963=F34)*(LEFT(Production_Log!$B$3:$B$8963,5)="Print")*(ISERROR(SEARCH("(Varnish)",Production_Log!$D$3:$D$8963)))*Production_Log!$H$3:$H$8963)</f>
        <v/>
      </c>
      <c r="I34" s="260">
        <f>G34-H34</f>
        <v/>
      </c>
      <c r="J34" s="262">
        <f>IF(G34=0,"-",H34/G34)</f>
        <v/>
      </c>
      <c r="K34" s="261" t="n"/>
      <c r="L34" s="263" t="n"/>
      <c r="M34" s="151" t="n"/>
      <c r="N34" s="151" t="n"/>
      <c r="O34" s="151" t="n"/>
      <c r="P34" s="151" t="n"/>
      <c r="Q34" s="151" t="n"/>
      <c r="R34" s="151" t="n"/>
      <c r="S34" s="151" t="n"/>
      <c r="T34" s="151" t="n"/>
      <c r="U34" s="151" t="n"/>
      <c r="V34" s="151" t="n"/>
      <c r="W34" s="151" t="n"/>
      <c r="X34" s="153" t="n"/>
      <c r="Y34" s="153" t="n"/>
      <c r="Z34" s="153" t="n"/>
      <c r="AA34" s="153" t="n"/>
      <c r="AB34" s="153" t="n"/>
      <c r="AC34" s="153" t="n"/>
    </row>
    <row r="35" ht="16.5" customHeight="1" s="244">
      <c r="A35" s="151" t="n"/>
      <c r="B35" s="256" t="inlineStr">
        <is>
          <t>TUBE</t>
        </is>
      </c>
      <c r="C35" s="257" t="inlineStr">
        <is>
          <t>Brookes Pharma Private Limited</t>
        </is>
      </c>
      <c r="D35" s="258" t="inlineStr">
        <is>
          <t>CONTRATUBEX GEL 20G</t>
        </is>
      </c>
      <c r="E35" s="259" t="n">
        <v>19</v>
      </c>
      <c r="F35" s="260" t="n">
        <v>6560</v>
      </c>
      <c r="G35" s="260" t="n">
        <v>0</v>
      </c>
      <c r="H35" s="261">
        <f>SUMPRODUCT((Production_Log!$F$3:$F$8963=F35)*(LEFT(Production_Log!$B$3:$B$8963,5)="Print")*(ISERROR(SEARCH("(Varnish)",Production_Log!$D$3:$D$8963)))*Production_Log!$H$3:$H$8963)</f>
        <v/>
      </c>
      <c r="I35" s="260">
        <f>G35-H35</f>
        <v/>
      </c>
      <c r="J35" s="262">
        <f>IF(G35=0,"-",H35/G35)</f>
        <v/>
      </c>
      <c r="K35" s="261" t="n"/>
      <c r="L35" s="263" t="n"/>
      <c r="M35" s="151" t="n"/>
      <c r="N35" s="151" t="n"/>
      <c r="O35" s="151" t="n"/>
      <c r="P35" s="151" t="n"/>
      <c r="Q35" s="151" t="n"/>
      <c r="R35" s="151" t="n"/>
      <c r="T35" s="170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44">
      <c r="A36" s="151" t="n"/>
      <c r="B36" s="256" t="inlineStr">
        <is>
          <t>TUBE</t>
        </is>
      </c>
      <c r="C36" s="257" t="inlineStr">
        <is>
          <t>Samsol International Private Limited</t>
        </is>
      </c>
      <c r="D36" s="258" t="inlineStr">
        <is>
          <t>S-45 DIA 20.5</t>
        </is>
      </c>
      <c r="E36" s="259" t="n">
        <v>20.5</v>
      </c>
      <c r="F36" s="260" t="n">
        <v>5698</v>
      </c>
      <c r="G36" s="260">
        <f>IFERROR(INDEX(MRP!$F$3:$F$14,MATCH(Tubex_Dashboard!F16,MRP!$D$3:$D$14,0)),0)</f>
        <v/>
      </c>
      <c r="H36" s="261">
        <f>SUMPRODUCT((Production_Log!$F$3:$F$8963=F36)*(LEFT(Production_Log!$B$3:$B$8963,5)="Print")*(ISERROR(SEARCH("(Varnish)",Production_Log!$D$3:$D$8963)))*Production_Log!$H$3:$H$8963)</f>
        <v/>
      </c>
      <c r="I36" s="260">
        <f>G36-H36</f>
        <v/>
      </c>
      <c r="J36" s="262">
        <f>IF(G36=0,"-",H36/G36)</f>
        <v/>
      </c>
      <c r="K36" s="261" t="n"/>
      <c r="L36" s="263" t="n"/>
      <c r="M36" s="151" t="n"/>
      <c r="N36" s="151" t="n"/>
      <c r="O36" s="151" t="n"/>
      <c r="P36" s="151" t="n"/>
      <c r="Q36" s="151" t="n"/>
      <c r="R36" s="151" t="n"/>
      <c r="T36" s="170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44">
      <c r="A37" s="151" t="n"/>
      <c r="B37" s="256" t="inlineStr">
        <is>
          <t>TUBE</t>
        </is>
      </c>
      <c r="C37" s="257" t="inlineStr">
        <is>
          <t>Samsol International Private Limited</t>
        </is>
      </c>
      <c r="D37" s="258" t="inlineStr">
        <is>
          <t>S-43 DIA 20.5</t>
        </is>
      </c>
      <c r="E37" s="259" t="n">
        <v>20.5</v>
      </c>
      <c r="F37" s="260" t="n">
        <v>5699</v>
      </c>
      <c r="G37" s="260">
        <f>IFERROR(INDEX(MRP!$F$3:$F$14,MATCH(Tubex_Dashboard!F15,MRP!$D$3:$D$14,0)),0)</f>
        <v/>
      </c>
      <c r="H37" s="261">
        <f>SUMPRODUCT((Production_Log!$F$3:$F$8963=F37)*(LEFT(Production_Log!$B$3:$B$8963,5)="Print")*(ISERROR(SEARCH("(Varnish)",Production_Log!$D$3:$D$8963)))*Production_Log!$H$3:$H$8963)</f>
        <v/>
      </c>
      <c r="I37" s="260">
        <f>G37-H37</f>
        <v/>
      </c>
      <c r="J37" s="262">
        <f>IF(G37=0,"-",H37/G37)</f>
        <v/>
      </c>
      <c r="K37" s="261">
        <f>74970+14280</f>
        <v/>
      </c>
      <c r="L37" s="263" t="n"/>
      <c r="M37" s="151" t="n"/>
      <c r="N37" s="151" t="n"/>
      <c r="O37" s="151" t="n"/>
      <c r="P37" s="151" t="n"/>
      <c r="Q37" s="151" t="n"/>
      <c r="R37" s="153" t="n"/>
      <c r="T37" s="170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</row>
    <row r="38" ht="16.5" customHeight="1" s="244">
      <c r="A38" s="151" t="n"/>
      <c r="B38" s="256" t="inlineStr">
        <is>
          <t>TUBE</t>
        </is>
      </c>
      <c r="C38" s="257" t="inlineStr">
        <is>
          <t>Samsol International Private Limited</t>
        </is>
      </c>
      <c r="D38" s="258" t="inlineStr">
        <is>
          <t>SAMSOL HAIR COLOR 45 DIA 20.5 MM</t>
        </is>
      </c>
      <c r="E38" s="259" t="n">
        <v>20.5</v>
      </c>
      <c r="F38" s="260" t="n">
        <v>5731</v>
      </c>
      <c r="G38" s="260" t="n">
        <v>0</v>
      </c>
      <c r="H38" s="261">
        <f>SUMPRODUCT((Production_Log!$F$3:$F$8963=F38)*(LEFT(Production_Log!$B$3:$B$8963,5)="Print")*(ISERROR(SEARCH("(Varnish)",Production_Log!$D$3:$D$8963)))*Production_Log!$H$3:$H$8963)</f>
        <v/>
      </c>
      <c r="I38" s="260">
        <f>G38-H38</f>
        <v/>
      </c>
      <c r="J38" s="262">
        <f>IF(G38=0,"-",H38/G38)</f>
        <v/>
      </c>
      <c r="K38" s="261" t="n"/>
      <c r="L38" s="263" t="n"/>
      <c r="P38" s="151" t="n"/>
      <c r="Q38" s="151" t="n"/>
      <c r="R38" s="151" t="n"/>
      <c r="S38" s="234" t="inlineStr">
        <is>
          <t>Gas Shutdown</t>
        </is>
      </c>
      <c r="T38" s="170">
        <f>SUMPRODUCT((MONTH(Production_Log!$A$3:$A$8963)=MONTH(TODAY()))*(YEAR(Production_Log!$A$3:$A$8963)=YEAR(TODAY()))*Production_Log!$Q$3:$Q$8963)</f>
        <v/>
      </c>
      <c r="U38" s="234">
        <f>T38+0.00006</f>
        <v/>
      </c>
      <c r="V38" s="153" t="n"/>
      <c r="W38" s="153" t="n"/>
      <c r="X38" s="153" t="n"/>
      <c r="Y38" s="153" t="n"/>
      <c r="Z38" s="153" t="n"/>
      <c r="AA38" s="153" t="n"/>
      <c r="AB38" s="153" t="n"/>
      <c r="AC38" s="153" t="n"/>
    </row>
    <row r="39" ht="16.5" customHeight="1" s="244">
      <c r="A39" s="151" t="n"/>
      <c r="B39" s="256" t="inlineStr">
        <is>
          <t>TUBE</t>
        </is>
      </c>
      <c r="C39" s="257" t="inlineStr">
        <is>
          <t>Samsol International Private Limited</t>
        </is>
      </c>
      <c r="D39" s="258" t="inlineStr">
        <is>
          <t>SAMSOL HAIR COLOR 43 DIA 20.5 MM</t>
        </is>
      </c>
      <c r="E39" s="259" t="n">
        <v>20.5</v>
      </c>
      <c r="F39" s="260" t="n">
        <v>5732</v>
      </c>
      <c r="G39" s="260" t="n">
        <v>0</v>
      </c>
      <c r="H39" s="261">
        <f>SUMPRODUCT((Production_Log!$F$3:$F$8963=F39)*(LEFT(Production_Log!$B$3:$B$8963,5)="Print")*(ISERROR(SEARCH("(Varnish)",Production_Log!$D$3:$D$8963)))*Production_Log!$H$3:$H$8963)</f>
        <v/>
      </c>
      <c r="I39" s="260">
        <f>G39-H39</f>
        <v/>
      </c>
      <c r="J39" s="262">
        <f>IF(G39=0,"-",H39/G39)</f>
        <v/>
      </c>
      <c r="K39" s="261" t="n"/>
      <c r="L39" s="263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44">
      <c r="A40" s="151" t="n"/>
      <c r="B40" s="256" t="inlineStr">
        <is>
          <t>TUBE</t>
        </is>
      </c>
      <c r="C40" s="257" t="inlineStr">
        <is>
          <t>Samsol International Private Limited</t>
        </is>
      </c>
      <c r="D40" s="258" t="inlineStr">
        <is>
          <t>SAMSOL HAIR COLOR 39 SMALL PURPLE</t>
        </is>
      </c>
      <c r="E40" s="259" t="n">
        <v>20.5</v>
      </c>
      <c r="F40" s="260" t="n">
        <v>6556</v>
      </c>
      <c r="G40" s="260" t="n">
        <v>0</v>
      </c>
      <c r="H40" s="261">
        <f>SUMPRODUCT((Production_Log!$F$3:$F$8963=F40)*(LEFT(Production_Log!$B$3:$B$8963,5)="Print")*(ISERROR(SEARCH("(Varnish)",Production_Log!$D$3:$D$8963)))*Production_Log!$H$3:$H$8963)</f>
        <v/>
      </c>
      <c r="I40" s="260">
        <f>G40-H40</f>
        <v/>
      </c>
      <c r="J40" s="262">
        <f>IF(G40=0,"-",H40/G40)</f>
        <v/>
      </c>
      <c r="K40" s="261" t="n"/>
      <c r="L40" s="263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44">
      <c r="A41" s="151" t="n"/>
      <c r="B41" s="256" t="inlineStr">
        <is>
          <t>TUBE</t>
        </is>
      </c>
      <c r="C41" s="257" t="inlineStr">
        <is>
          <t>Samsol International Private Limited</t>
        </is>
      </c>
      <c r="D41" s="258" t="inlineStr">
        <is>
          <t>SAMSOL HAIR COLOR 41 SMALL PURPLE</t>
        </is>
      </c>
      <c r="E41" s="259" t="n">
        <v>20.5</v>
      </c>
      <c r="F41" s="260" t="n">
        <v>6557</v>
      </c>
      <c r="G41" s="260" t="n">
        <v>0</v>
      </c>
      <c r="H41" s="261">
        <f>SUMPRODUCT((Production_Log!$F$3:$F$8963=F41)*(LEFT(Production_Log!$B$3:$B$8963,5)="Print")*(ISERROR(SEARCH("(Varnish)",Production_Log!$D$3:$D$8963)))*Production_Log!$H$3:$H$8963)</f>
        <v/>
      </c>
      <c r="I41" s="260">
        <f>G41-H41</f>
        <v/>
      </c>
      <c r="J41" s="262">
        <f>IF(G41=0,"-",H41/G41)</f>
        <v/>
      </c>
      <c r="K41" s="261" t="n"/>
      <c r="L41" s="263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44">
      <c r="A42" s="151" t="n"/>
      <c r="B42" s="256" t="inlineStr">
        <is>
          <t>TUBE</t>
        </is>
      </c>
      <c r="C42" s="257" t="inlineStr">
        <is>
          <t>Samsol International Private Limited</t>
        </is>
      </c>
      <c r="D42" s="258" t="inlineStr">
        <is>
          <t>TUBES</t>
        </is>
      </c>
      <c r="E42" s="259" t="n">
        <v>25</v>
      </c>
      <c r="F42" s="260" t="n">
        <v>3726</v>
      </c>
      <c r="G42" s="260">
        <f>IFERROR(INDEX(MRP!$F$3:$F$14,MATCH(Tubex_Dashboard!F21,MRP!$D$3:$D$14,0)),0)</f>
        <v/>
      </c>
      <c r="H42" s="261">
        <f>SUMPRODUCT((Production_Log!$F$3:$F$8963=F42)*(LEFT(Production_Log!$B$3:$B$8963,5)="Print")*(ISERROR(SEARCH("(Varnish)",Production_Log!$D$3:$D$8963)))*Production_Log!$H$3:$H$8963)</f>
        <v/>
      </c>
      <c r="I42" s="260">
        <f>G42-H42</f>
        <v/>
      </c>
      <c r="J42" s="262">
        <f>IF(G42=0,"-",H42/G42)</f>
        <v/>
      </c>
      <c r="K42" s="261" t="n"/>
      <c r="L42" s="263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44">
      <c r="A43" s="151" t="n"/>
      <c r="B43" s="256" t="inlineStr">
        <is>
          <t>TUBE</t>
        </is>
      </c>
      <c r="C43" s="257" t="inlineStr">
        <is>
          <t>DTM</t>
        </is>
      </c>
      <c r="D43" s="258" t="inlineStr">
        <is>
          <t>DTM DIA 25MM</t>
        </is>
      </c>
      <c r="E43" s="259" t="n">
        <v>25</v>
      </c>
      <c r="F43" s="260" t="n">
        <v>6338</v>
      </c>
      <c r="G43" s="260" t="n">
        <v>0</v>
      </c>
      <c r="H43" s="261">
        <f>SUMPRODUCT((Production_Log!$F$3:$F$8963=F43)*(LEFT(Production_Log!$B$3:$B$8963,5)="Print")*(ISERROR(SEARCH("(Varnish)",Production_Log!$D$3:$D$8963)))*Production_Log!$H$3:$H$8963)</f>
        <v/>
      </c>
      <c r="I43" s="260">
        <f>G43-H43</f>
        <v/>
      </c>
      <c r="J43" s="262">
        <f>IF(G43=0,"-",H43/G43)</f>
        <v/>
      </c>
      <c r="K43" s="261" t="n"/>
      <c r="L43" s="263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44">
      <c r="A44" s="151" t="n"/>
      <c r="B44" s="256" t="inlineStr">
        <is>
          <t>TUBE</t>
        </is>
      </c>
      <c r="C44" s="257" t="inlineStr">
        <is>
          <t>Samsol International Private Limited</t>
        </is>
      </c>
      <c r="D44" s="258" t="inlineStr">
        <is>
          <t>TUBES MEN BLUE</t>
        </is>
      </c>
      <c r="E44" s="259" t="n">
        <v>25</v>
      </c>
      <c r="F44" s="260" t="n">
        <v>6506</v>
      </c>
      <c r="G44" s="260" t="n">
        <v>0</v>
      </c>
      <c r="H44" s="261">
        <f>SUMPRODUCT((Production_Log!$F$3:$F$8963=F44)*(LEFT(Production_Log!$B$3:$B$8963,5)="Print")*(ISERROR(SEARCH("(Varnish)",Production_Log!$D$3:$D$8963)))*Production_Log!$H$3:$H$8963)</f>
        <v/>
      </c>
      <c r="I44" s="260">
        <f>G44-H44</f>
        <v/>
      </c>
      <c r="J44" s="262">
        <f>IF(G44=0,"-",H44/G44)</f>
        <v/>
      </c>
      <c r="K44" s="261" t="n"/>
      <c r="L44" s="263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44">
      <c r="A45" s="151" t="n"/>
      <c r="B45" s="256" t="inlineStr">
        <is>
          <t>TUBE</t>
        </is>
      </c>
      <c r="C45" s="257" t="inlineStr">
        <is>
          <t>Samsol International Private Limited</t>
        </is>
      </c>
      <c r="D45" s="258" t="inlineStr">
        <is>
          <t>TUBE COMMON PURPLE</t>
        </is>
      </c>
      <c r="E45" s="259" t="n">
        <v>25</v>
      </c>
      <c r="F45" s="260" t="n">
        <v>6532</v>
      </c>
      <c r="G45" s="260" t="n">
        <v>0</v>
      </c>
      <c r="H45" s="261">
        <f>SUMPRODUCT((Production_Log!$F$3:$F$8963=F45)*(LEFT(Production_Log!$B$3:$B$8963,5)="Print")*(ISERROR(SEARCH("(Varnish)",Production_Log!$D$3:$D$8963)))*Production_Log!$H$3:$H$8963)</f>
        <v/>
      </c>
      <c r="I45" s="260">
        <f>G45-H45</f>
        <v/>
      </c>
      <c r="J45" s="262">
        <f>IF(G45=0,"-",H45/G45)</f>
        <v/>
      </c>
      <c r="K45" s="261" t="n"/>
      <c r="L45" s="263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44">
      <c r="A46" s="151" t="n"/>
      <c r="B46" s="256" t="inlineStr">
        <is>
          <t>TUBE</t>
        </is>
      </c>
      <c r="C46" s="257" t="inlineStr">
        <is>
          <t>Seatle (Private) Limited</t>
        </is>
      </c>
      <c r="D46" s="258" t="inlineStr">
        <is>
          <t>DOWFEN GEL 50G</t>
        </is>
      </c>
      <c r="E46" s="259" t="n">
        <v>30</v>
      </c>
      <c r="F46" s="260" t="n">
        <v>6595</v>
      </c>
      <c r="G46" s="260">
        <f>IFERROR(INDEX(MRP!$F$3:$F$14,MATCH(Tubex_Dashboard!F24,MRP!$D$3:$D$14,0)),0)</f>
        <v/>
      </c>
      <c r="H46" s="261">
        <f>SUMPRODUCT((Production_Log!$F$3:$F$8963=F46)*(LEFT(Production_Log!$B$3:$B$8963,5)="Print")*(ISERROR(SEARCH("(Varnish)",Production_Log!$D$3:$D$8963)))*Production_Log!$H$3:$H$8963)</f>
        <v/>
      </c>
      <c r="I46" s="260">
        <f>G46-H46</f>
        <v/>
      </c>
      <c r="J46" s="262">
        <f>IF(G46=0,"-",H46/G46)</f>
        <v/>
      </c>
      <c r="K46" s="261" t="n"/>
      <c r="L46" s="263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44">
      <c r="A47" s="151" t="n"/>
      <c r="B47" s="256" t="inlineStr">
        <is>
          <t>TUBE</t>
        </is>
      </c>
      <c r="C47" s="257" t="inlineStr">
        <is>
          <t>Al-Rehman Group</t>
        </is>
      </c>
      <c r="D47" s="258" t="inlineStr">
        <is>
          <t>SIGNATURE HAIR COLOR CREAM 60ML</t>
        </is>
      </c>
      <c r="E47" s="259" t="n">
        <v>30</v>
      </c>
      <c r="F47" s="260" t="n">
        <v>6416</v>
      </c>
      <c r="G47" s="260">
        <f>IFERROR(INDEX(MRP!$F$3:$F$14,MATCH(Tubex_Dashboard!F25,MRP!$D$3:$D$14,0)),0)</f>
        <v/>
      </c>
      <c r="H47" s="261">
        <f>SUMPRODUCT((Production_Log!$F$3:$F$8963=F47)*(LEFT(Production_Log!$B$3:$B$8963,5)="Print")*(ISERROR(SEARCH("(Varnish)",Production_Log!$D$3:$D$8963)))*Production_Log!$H$3:$H$8963)</f>
        <v/>
      </c>
      <c r="I47" s="260">
        <f>G47-H47</f>
        <v/>
      </c>
      <c r="J47" s="262">
        <f>IF(G47=0,"-",H47/G47)</f>
        <v/>
      </c>
      <c r="K47" s="261" t="n"/>
      <c r="L47" s="263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44">
      <c r="A48" s="151" t="n"/>
      <c r="B48" s="256" t="inlineStr">
        <is>
          <t>TUBE</t>
        </is>
      </c>
      <c r="C48" s="257" t="inlineStr">
        <is>
          <t>Al-Rehman Group</t>
        </is>
      </c>
      <c r="D48" s="258" t="inlineStr">
        <is>
          <t>ACTIVE PRO HAIR COLOR CREAM 60ML</t>
        </is>
      </c>
      <c r="E48" s="259" t="n">
        <v>30</v>
      </c>
      <c r="F48" s="260" t="n">
        <v>6337</v>
      </c>
      <c r="G48" s="260" t="n">
        <v>0</v>
      </c>
      <c r="H48" s="261">
        <f>SUMPRODUCT((Production_Log!$F$3:$F$8963=F48)*(LEFT(Production_Log!$B$3:$B$8963,5)="Print")*(ISERROR(SEARCH("(Varnish)",Production_Log!$D$3:$D$8963)))*Production_Log!$H$3:$H$8963)</f>
        <v/>
      </c>
      <c r="I48" s="260">
        <f>G48-H48</f>
        <v/>
      </c>
      <c r="J48" s="262">
        <f>IF(G48=0,"-",H48/G48)</f>
        <v/>
      </c>
      <c r="K48" s="261" t="n"/>
      <c r="L48" s="263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44">
      <c r="A49" s="151" t="n"/>
      <c r="B49" s="256" t="inlineStr">
        <is>
          <t>TUBE</t>
        </is>
      </c>
      <c r="C49" s="257" t="inlineStr">
        <is>
          <t>Mablay Beauty PVT LTD.</t>
        </is>
      </c>
      <c r="D49" s="258" t="inlineStr">
        <is>
          <t>VINCE NURTURAL (Varnish)</t>
        </is>
      </c>
      <c r="E49" s="259" t="n">
        <v>30</v>
      </c>
      <c r="F49" s="260" t="n">
        <v>9002</v>
      </c>
      <c r="G49" s="260" t="n">
        <v>0</v>
      </c>
      <c r="H49" s="261">
        <f>SUMPRODUCT((Production_Log!$F$3:$F$8963=F49)*(LEFT(Production_Log!$B$3:$B$8963,5)="Print")*(ISERROR(SEARCH("(Varnish)",Production_Log!$D$3:$D$8963)))*Production_Log!$H$3:$H$8963)</f>
        <v/>
      </c>
      <c r="I49" s="260">
        <f>G49-H49</f>
        <v/>
      </c>
      <c r="J49" s="262">
        <f>IF(G49=0,"-",H49/G49)</f>
        <v/>
      </c>
      <c r="K49" s="261" t="n"/>
      <c r="L49" s="263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44">
      <c r="A50" s="151" t="n"/>
      <c r="B50" s="256" t="inlineStr">
        <is>
          <t>TUBE</t>
        </is>
      </c>
      <c r="C50" s="257" t="inlineStr">
        <is>
          <t>Professional Beauty Solution (PVT) LTD.Pakistan</t>
        </is>
      </c>
      <c r="D50" s="258" t="inlineStr">
        <is>
          <t>EAZICOLOR PREMIUM HAIR COLOUR 60ML</t>
        </is>
      </c>
      <c r="E50" s="259" t="n">
        <v>30</v>
      </c>
      <c r="F50" s="260" t="n">
        <v>4050</v>
      </c>
      <c r="G50" s="260" t="n">
        <v>0</v>
      </c>
      <c r="H50" s="261">
        <f>SUMPRODUCT((Production_Log!$F$3:$F$8963=F50)*(LEFT(Production_Log!$B$3:$B$8963,5)="Print")*(ISERROR(SEARCH("(Varnish)",Production_Log!$D$3:$D$8963)))*Production_Log!$H$3:$H$8963)</f>
        <v/>
      </c>
      <c r="I50" s="260">
        <f>G50-H50</f>
        <v/>
      </c>
      <c r="J50" s="262">
        <f>IF(G50=0,"-",H50/G50)</f>
        <v/>
      </c>
      <c r="K50" s="261" t="n"/>
      <c r="L50" s="263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44">
      <c r="A51" s="151" t="n"/>
      <c r="B51" s="256" t="inlineStr">
        <is>
          <t>TUBE</t>
        </is>
      </c>
      <c r="C51" s="257" t="inlineStr">
        <is>
          <t>Professional Beauty Solution (PVT) LTD.Pakistan</t>
        </is>
      </c>
      <c r="D51" s="258" t="inlineStr">
        <is>
          <t>HIBA S HAIR COLOR 60ML</t>
        </is>
      </c>
      <c r="E51" s="259" t="n">
        <v>30</v>
      </c>
      <c r="F51" s="260" t="n">
        <v>6312</v>
      </c>
      <c r="G51" s="260" t="n">
        <v>0</v>
      </c>
      <c r="H51" s="261">
        <f>SUMPRODUCT((Production_Log!$F$3:$F$8963=F51)*(LEFT(Production_Log!$B$3:$B$8963,5)="Print")*(ISERROR(SEARCH("(Varnish)",Production_Log!$D$3:$D$8963)))*Production_Log!$H$3:$H$8963)</f>
        <v/>
      </c>
      <c r="I51" s="260">
        <f>G51-H51</f>
        <v/>
      </c>
      <c r="J51" s="262">
        <f>IF(G51=0,"-",H51/G51)</f>
        <v/>
      </c>
      <c r="K51" s="261" t="n"/>
      <c r="L51" s="263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44">
      <c r="A52" s="151" t="n"/>
      <c r="B52" s="256" t="inlineStr">
        <is>
          <t>TUBE</t>
        </is>
      </c>
      <c r="C52" s="257" t="inlineStr">
        <is>
          <t>Mega Grey</t>
        </is>
      </c>
      <c r="D52" s="258" t="inlineStr">
        <is>
          <t>M.G</t>
        </is>
      </c>
      <c r="E52" s="259" t="n">
        <v>32</v>
      </c>
      <c r="F52" s="260" t="n">
        <v>5782</v>
      </c>
      <c r="G52" s="260" t="n">
        <v>0</v>
      </c>
      <c r="H52" s="261">
        <f>SUMPRODUCT((Production_Log!$F$3:$F$8963=F52)*(LEFT(Production_Log!$B$3:$B$8963,5)="Print")*(ISERROR(SEARCH("(Varnish)",Production_Log!$D$3:$D$8963)))*Production_Log!$H$3:$H$8963)</f>
        <v/>
      </c>
      <c r="I52" s="260">
        <f>G52-H52</f>
        <v/>
      </c>
      <c r="J52" s="262">
        <f>IF(G52=0,"-",H52/G52)</f>
        <v/>
      </c>
      <c r="K52" s="261" t="n"/>
      <c r="L52" s="263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44">
      <c r="A53" s="151" t="n"/>
      <c r="B53" s="256" t="inlineStr">
        <is>
          <t>TUBE</t>
        </is>
      </c>
      <c r="C53" s="257" t="inlineStr">
        <is>
          <t>Adore</t>
        </is>
      </c>
      <c r="D53" s="258" t="inlineStr">
        <is>
          <t>ANVIL 43</t>
        </is>
      </c>
      <c r="E53" s="259" t="n">
        <v>35</v>
      </c>
      <c r="F53" s="260" t="n">
        <v>6020</v>
      </c>
      <c r="G53" s="260" t="n">
        <v>0</v>
      </c>
      <c r="H53" s="261">
        <f>SUMPRODUCT((Production_Log!$F$3:$F$8963=F53)*(LEFT(Production_Log!$B$3:$B$8963,5)="Print")*(ISERROR(SEARCH("(Varnish)",Production_Log!$D$3:$D$8963)))*Production_Log!$H$3:$H$8963)</f>
        <v/>
      </c>
      <c r="I53" s="260">
        <f>G53-H53</f>
        <v/>
      </c>
      <c r="J53" s="262">
        <f>IF(G53=0,"-",H53/G53)</f>
        <v/>
      </c>
      <c r="K53" s="261" t="n"/>
      <c r="L53" s="263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44">
      <c r="A54" s="151" t="n"/>
      <c r="B54" s="256" t="inlineStr">
        <is>
          <t>TUBE</t>
        </is>
      </c>
      <c r="C54" s="257" t="inlineStr">
        <is>
          <t>Adore</t>
        </is>
      </c>
      <c r="D54" s="258" t="inlineStr">
        <is>
          <t>ANVIL 45</t>
        </is>
      </c>
      <c r="E54" s="259" t="n">
        <v>35</v>
      </c>
      <c r="F54" s="260" t="n">
        <v>6021</v>
      </c>
      <c r="G54" s="260" t="n">
        <v>0</v>
      </c>
      <c r="H54" s="261">
        <f>SUMPRODUCT((Production_Log!$F$3:$F$8963=F54)*(LEFT(Production_Log!$B$3:$B$8963,5)="Print")*(ISERROR(SEARCH("(Varnish)",Production_Log!$D$3:$D$8963)))*Production_Log!$H$3:$H$8963)</f>
        <v/>
      </c>
      <c r="I54" s="260">
        <f>G54-H54</f>
        <v/>
      </c>
      <c r="J54" s="262">
        <f>IF(G54=0,"-",H54/G54)</f>
        <v/>
      </c>
      <c r="K54" s="261" t="n"/>
      <c r="L54" s="263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44">
      <c r="A55" s="151" t="n"/>
      <c r="B55" s="256" t="inlineStr">
        <is>
          <t>PET</t>
        </is>
      </c>
      <c r="C55" s="257" t="inlineStr">
        <is>
          <t>Samsol International Private Limited</t>
        </is>
      </c>
      <c r="D55" s="258" t="inlineStr">
        <is>
          <t>BLACK SMALL BOTTLE 120ML</t>
        </is>
      </c>
      <c r="E55" s="259" t="inlineStr">
        <is>
          <t>120 ml</t>
        </is>
      </c>
      <c r="F55" s="260" t="n">
        <v>8011</v>
      </c>
      <c r="G55" s="260" t="n">
        <v>0</v>
      </c>
      <c r="H55" s="261">
        <f>SUMPRODUCT((Production_Log!$F$3:$F$8963=F55)*Production_Log!$H$3:$H$8963)</f>
        <v/>
      </c>
      <c r="I55" s="260">
        <f>G55-H55</f>
        <v/>
      </c>
      <c r="J55" s="262">
        <f>IF(G55=0,"-",H55/G55)</f>
        <v/>
      </c>
      <c r="K55" s="261" t="n"/>
      <c r="L55" s="263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  <c r="W55" s="151" t="n"/>
      <c r="X55" s="153" t="n"/>
      <c r="Y55" s="153" t="n"/>
      <c r="Z55" s="153" t="n"/>
      <c r="AA55" s="153" t="n"/>
      <c r="AB55" s="153" t="n"/>
      <c r="AC55" s="153" t="n"/>
    </row>
    <row r="56" ht="16.5" customHeight="1" s="244">
      <c r="A56" s="151" t="n"/>
      <c r="B56" s="256" t="inlineStr">
        <is>
          <t>PET</t>
        </is>
      </c>
      <c r="C56" s="257" t="inlineStr">
        <is>
          <t>Samsol International Private Limited</t>
        </is>
      </c>
      <c r="D56" s="258" t="inlineStr">
        <is>
          <t>WHITE SMALL BOTTLE 120ML</t>
        </is>
      </c>
      <c r="E56" s="259" t="inlineStr">
        <is>
          <t>120 ml</t>
        </is>
      </c>
      <c r="F56" s="260" t="n">
        <v>8012</v>
      </c>
      <c r="G56" s="260" t="n">
        <v>0</v>
      </c>
      <c r="H56" s="261">
        <f>SUMPRODUCT((Production_Log!$F$3:$F$8963=F56)*Production_Log!$H$3:$H$8963)</f>
        <v/>
      </c>
      <c r="I56" s="260">
        <f>G56-H56</f>
        <v/>
      </c>
      <c r="J56" s="262">
        <f>IF(G56=0,"-",H56/G56)</f>
        <v/>
      </c>
      <c r="K56" s="261" t="n"/>
      <c r="L56" s="263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44">
      <c r="A57" s="151" t="n"/>
      <c r="B57" s="256" t="inlineStr">
        <is>
          <t>PET</t>
        </is>
      </c>
      <c r="C57" s="257" t="inlineStr">
        <is>
          <t>Samsol International Private Limited</t>
        </is>
      </c>
      <c r="D57" s="258" t="inlineStr">
        <is>
          <t>BLACK BOTTLE 200ML</t>
        </is>
      </c>
      <c r="E57" s="259" t="inlineStr">
        <is>
          <t>200 ml</t>
        </is>
      </c>
      <c r="F57" s="260" t="n">
        <v>8008</v>
      </c>
      <c r="G57" s="260" t="n">
        <v>0</v>
      </c>
      <c r="H57" s="261">
        <f>SUMPRODUCT((Production_Log!$F$3:$F$8963=F57)*Production_Log!$H$3:$H$8963)</f>
        <v/>
      </c>
      <c r="I57" s="260">
        <f>G57-H57</f>
        <v/>
      </c>
      <c r="J57" s="262">
        <f>IF(G57=0,"-",H57/G57)</f>
        <v/>
      </c>
      <c r="K57" s="261" t="n"/>
      <c r="L57" s="263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44">
      <c r="A58" s="151" t="n"/>
      <c r="B58" s="256" t="inlineStr">
        <is>
          <t>PET</t>
        </is>
      </c>
      <c r="C58" s="257" t="inlineStr">
        <is>
          <t>Mablay Beauty PVT LTD.</t>
        </is>
      </c>
      <c r="D58" s="258" t="inlineStr">
        <is>
          <t>TRANSPARENT BOTTLE 300ML</t>
        </is>
      </c>
      <c r="E58" s="259" t="inlineStr">
        <is>
          <t>300 ml</t>
        </is>
      </c>
      <c r="F58" s="260" t="n">
        <v>8009</v>
      </c>
      <c r="G58" s="260" t="n">
        <v>0</v>
      </c>
      <c r="H58" s="261">
        <f>SUMPRODUCT((Production_Log!$F$3:$F$8963=F58)*Production_Log!$H$3:$H$8963)</f>
        <v/>
      </c>
      <c r="I58" s="260">
        <f>G58-H58</f>
        <v/>
      </c>
      <c r="J58" s="262">
        <f>IF(G58=0,"-",H58/G58)</f>
        <v/>
      </c>
      <c r="K58" s="261" t="n"/>
      <c r="L58" s="263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44">
      <c r="A59" s="151" t="n"/>
      <c r="B59" s="256" t="inlineStr">
        <is>
          <t>PET</t>
        </is>
      </c>
      <c r="C59" s="257" t="inlineStr">
        <is>
          <t>Mablay Beauty PVT LTD.</t>
        </is>
      </c>
      <c r="D59" s="258" t="inlineStr">
        <is>
          <t>TRANSPARENT JAR 500ML</t>
        </is>
      </c>
      <c r="E59" s="259" t="inlineStr">
        <is>
          <t>500 ml</t>
        </is>
      </c>
      <c r="F59" s="260" t="n">
        <v>8013</v>
      </c>
      <c r="G59" s="260" t="n">
        <v>0</v>
      </c>
      <c r="H59" s="261">
        <f>SUMPRODUCT((Production_Log!$F$3:$F$8963=F59)*Production_Log!$H$3:$H$8963)</f>
        <v/>
      </c>
      <c r="I59" s="260">
        <f>G59-H59</f>
        <v/>
      </c>
      <c r="J59" s="262">
        <f>IF(G59=0,"-",H59/G59)</f>
        <v/>
      </c>
      <c r="K59" s="261" t="n"/>
      <c r="L59" s="263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6.5" customHeight="1" s="244">
      <c r="A60" s="151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 ht="15" customHeight="1" s="244">
      <c r="A61" s="151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151" t="n"/>
      <c r="N61" s="151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3" t="n"/>
      <c r="Y61" s="153" t="n"/>
      <c r="Z61" s="153" t="n"/>
      <c r="AA61" s="153" t="n"/>
      <c r="AB61" s="153" t="n"/>
      <c r="AC61" s="153" t="n"/>
    </row>
    <row r="62"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</row>
    <row r="63"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</row>
    <row r="64"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</row>
    <row r="65"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</row>
    <row r="66"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</row>
    <row r="67"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</row>
    <row r="68" ht="15" customHeight="1" s="244"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</row>
    <row r="69" ht="15" customHeight="1" s="244"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</row>
    <row r="70" ht="15" customHeight="1" s="244"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</row>
    <row r="71" ht="15" customHeight="1" s="244">
      <c r="B71" s="219" t="n"/>
      <c r="C71" s="219" t="n"/>
      <c r="D71" s="219" t="n"/>
      <c r="E71" s="219" t="n"/>
      <c r="F71" s="219" t="n"/>
      <c r="G71" s="219" t="n"/>
      <c r="H71" s="219" t="n"/>
      <c r="I71" s="219" t="n"/>
      <c r="J71" s="219" t="n"/>
      <c r="K71" s="219" t="n"/>
      <c r="L71" s="15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8:C8"/>
    <mergeCell ref="B6:C6"/>
    <mergeCell ref="E6:F6"/>
    <mergeCell ref="B7:C7"/>
    <mergeCell ref="G7:H7"/>
    <mergeCell ref="J6:K6"/>
    <mergeCell ref="J5:K5"/>
    <mergeCell ref="B5:C5"/>
    <mergeCell ref="H3:O3"/>
    <mergeCell ref="B2:O2"/>
    <mergeCell ref="G5:H5"/>
    <mergeCell ref="J8:K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5"/>
  <sheetViews>
    <sheetView zoomScaleNormal="100" workbookViewId="0">
      <selection activeCell="F3" sqref="F3:F14"/>
    </sheetView>
  </sheetViews>
  <sheetFormatPr baseColWidth="8" defaultColWidth="8.7109375" defaultRowHeight="15"/>
  <cols>
    <col width="9" customWidth="1" style="244" min="1" max="1"/>
    <col width="30.5703125" customWidth="1" style="244" min="2" max="2"/>
    <col width="31.7109375" customWidth="1" style="245" min="3" max="3"/>
    <col width="9.85546875" customWidth="1" style="244" min="4" max="4"/>
    <col width="14.5703125" customWidth="1" style="4" min="5" max="5"/>
    <col width="12" customWidth="1" style="4" min="6" max="6"/>
    <col width="11.7109375" customWidth="1" style="5" min="7" max="7"/>
    <col width="29" customWidth="1" style="4" min="8" max="8"/>
    <col width="28.140625" customWidth="1" style="245" min="9" max="9"/>
    <col width="14" customWidth="1" style="244" min="10" max="10"/>
    <col width="12" customWidth="1" style="244" min="11" max="11"/>
    <col width="24" customWidth="1" style="244" min="12" max="13"/>
    <col width="12" customWidth="1" style="244" min="14" max="14"/>
    <col width="24" customWidth="1" style="244" min="15" max="15"/>
  </cols>
  <sheetData>
    <row r="1" ht="30" customHeight="1" s="244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94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44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4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44">
      <c r="A4" s="16" t="n">
        <v>19</v>
      </c>
      <c r="B4" s="16" t="inlineStr">
        <is>
          <t>Samsol International Private Limited</t>
        </is>
      </c>
      <c r="C4" s="17" t="inlineStr">
        <is>
          <t>S-45 DIA 19MM</t>
        </is>
      </c>
      <c r="D4" s="16" t="n">
        <v>6624</v>
      </c>
      <c r="E4" s="18" t="inlineStr">
        <is>
          <t>6880 &amp; 6881</t>
        </is>
      </c>
      <c r="F4" s="18" t="n">
        <v>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">
        <f>F4-G4</f>
        <v/>
      </c>
      <c r="I4" s="20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 ht="21.75" customHeight="1" s="244">
      <c r="A5" s="16" t="n">
        <v>20.5</v>
      </c>
      <c r="B5" s="16" t="inlineStr">
        <is>
          <t>Mablay Beauty PVT LTD.</t>
        </is>
      </c>
      <c r="C5" s="17" t="inlineStr">
        <is>
          <t>VINCE HIS ONLY BEARD &amp; MUSTACHE COLOR CREAM</t>
        </is>
      </c>
      <c r="D5" s="16" t="n">
        <v>6077</v>
      </c>
      <c r="E5" s="18" t="n">
        <v>6886</v>
      </c>
      <c r="F5" s="18" t="n">
        <v>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44">
      <c r="A6" s="16" t="n">
        <v>25</v>
      </c>
      <c r="B6" s="16" t="inlineStr">
        <is>
          <t>Mablay Beauty PVT LTD.</t>
        </is>
      </c>
      <c r="C6" s="17" t="inlineStr">
        <is>
          <t>HIS ONLY HAIR COLOR CREAM 40GM</t>
        </is>
      </c>
      <c r="D6" s="16" t="n">
        <v>6228</v>
      </c>
      <c r="E6" s="18" t="n">
        <v>6885</v>
      </c>
      <c r="F6" s="18" t="n">
        <v>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1.75" customHeight="1" s="244">
      <c r="A7" s="16" t="n">
        <v>25</v>
      </c>
      <c r="B7" s="16" t="inlineStr">
        <is>
          <t>Samsol International Private Limited</t>
        </is>
      </c>
      <c r="C7" s="17" t="inlineStr">
        <is>
          <t>S 43 25MM</t>
        </is>
      </c>
      <c r="D7" s="16" t="n">
        <v>3447</v>
      </c>
      <c r="E7" s="18" t="n">
        <v>6889</v>
      </c>
      <c r="F7" s="18" t="n">
        <v>0</v>
      </c>
      <c r="G7" s="19">
        <f>SUMPRODUCT((Production_Log!$F$3:$F$8963=D7)*(LEFT(Production_Log!$B$3:$B$8963,5)="Print")*(ISERROR(SEARCH("(Varnish)",Production_Log!$D$3:$D$8963)))*(MONTH(Production_Log!$A$3:$A$8963)=MONTH($H$1))*(YEAR(Production_Log!$A$3:$A$8963)=YEAR($H$1))*Production_Log!$H$3:$H$8963)</f>
        <v/>
      </c>
      <c r="H7" s="20">
        <f>F7-G7</f>
        <v/>
      </c>
      <c r="I7" s="20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 ht="21.75" customHeight="1" s="244">
      <c r="A8" s="16" t="n">
        <v>25</v>
      </c>
      <c r="B8" s="16" t="inlineStr">
        <is>
          <t>Samsol International Private Limited</t>
        </is>
      </c>
      <c r="C8" s="17" t="inlineStr">
        <is>
          <t>TUBES COMMON RED</t>
        </is>
      </c>
      <c r="D8" s="16" t="n">
        <v>6470</v>
      </c>
      <c r="E8" s="18" t="n">
        <v>6890</v>
      </c>
      <c r="F8" s="18" t="n">
        <v>0</v>
      </c>
      <c r="G8" s="19">
        <f>SUMPRODUCT((Production_Log!$F$3:$F$8963=D8)*(LEFT(Production_Log!$B$3:$B$8963,5)="Print")*(ISERROR(SEARCH("(Varnish)",Production_Log!$D$3:$D$8963)))*(MONTH(Production_Log!$A$3:$A$8963)=MONTH($H$1))*(YEAR(Production_Log!$A$3:$A$8963)=YEAR($H$1))*Production_Log!$H$3:$H$8963)</f>
        <v/>
      </c>
      <c r="H8" s="20">
        <f>F8-G8</f>
        <v/>
      </c>
      <c r="I8" s="20" t="n"/>
      <c r="J8" s="172" t="n"/>
      <c r="K8" s="172" t="n"/>
      <c r="L8" s="172" t="n"/>
      <c r="M8" s="172" t="n"/>
      <c r="N8" s="172" t="n"/>
      <c r="O8" s="172" t="n"/>
      <c r="P8" s="172" t="n"/>
      <c r="Q8" s="172" t="n"/>
      <c r="R8" s="172" t="n"/>
      <c r="S8" s="172" t="n"/>
      <c r="T8" s="172" t="n"/>
    </row>
    <row r="9" ht="21.75" customHeight="1" s="244">
      <c r="A9" s="16" t="n">
        <v>25</v>
      </c>
      <c r="B9" s="16" t="inlineStr">
        <is>
          <t>Samsol International Private Limited</t>
        </is>
      </c>
      <c r="C9" s="17" t="inlineStr">
        <is>
          <t>TUBES</t>
        </is>
      </c>
      <c r="D9" s="16" t="n">
        <v>3726</v>
      </c>
      <c r="E9" s="18" t="n">
        <v>6888</v>
      </c>
      <c r="F9" s="18" t="n">
        <v>25000</v>
      </c>
      <c r="G9" s="19">
        <f>SUMPRODUCT((Production_Log!$F$3:$F$8963=D9)*(LEFT(Production_Log!$B$3:$B$8963,5)="Print")*(ISERROR(SEARCH("(Varnish)",Production_Log!$D$3:$D$8963)))*(MONTH(Production_Log!$A$3:$A$8963)=MONTH($H$1))*(YEAR(Production_Log!$A$3:$A$8963)=YEAR($H$1))*Production_Log!$H$3:$H$8963)</f>
        <v/>
      </c>
      <c r="H9" s="20">
        <f>F9-G9</f>
        <v/>
      </c>
      <c r="I9" s="20" t="n"/>
      <c r="J9" s="172" t="n"/>
      <c r="K9" s="172" t="n"/>
      <c r="L9" s="172" t="n"/>
      <c r="M9" s="172" t="n"/>
      <c r="N9" s="172" t="n"/>
      <c r="O9" s="172" t="n"/>
      <c r="P9" s="172" t="n"/>
      <c r="Q9" s="172" t="n"/>
      <c r="R9" s="172" t="n"/>
      <c r="S9" s="172" t="n"/>
      <c r="T9" s="172" t="n"/>
    </row>
    <row r="10" ht="21.75" customHeight="1" s="244">
      <c r="A10" s="16" t="n">
        <v>30</v>
      </c>
      <c r="B10" s="16" t="inlineStr">
        <is>
          <t>Mablay Beauty PVT LTD.</t>
        </is>
      </c>
      <c r="C10" s="17" t="inlineStr">
        <is>
          <t>VINCE NURTURAL</t>
        </is>
      </c>
      <c r="D10" s="16" t="n">
        <v>5814</v>
      </c>
      <c r="E10" s="18" t="n">
        <v>6887</v>
      </c>
      <c r="F10" s="18" t="n">
        <v>22000</v>
      </c>
      <c r="G10" s="19">
        <f>SUMPRODUCT((Production_Log!$F$3:$F$8963=D10)*(LEFT(Production_Log!$B$3:$B$8963,5)="Print")*(ISERROR(SEARCH("(Varnish)",Production_Log!$D$3:$D$8963)))*(MONTH(Production_Log!$A$3:$A$8963)=MONTH($H$1))*(YEAR(Production_Log!$A$3:$A$8963)=YEAR($H$1))*Production_Log!$H$3:$H$8963)</f>
        <v/>
      </c>
      <c r="H10" s="20">
        <f>F10-G10</f>
        <v/>
      </c>
      <c r="I10" s="20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1.75" customHeight="1" s="244">
      <c r="A11" s="16" t="n">
        <v>30</v>
      </c>
      <c r="B11" s="16" t="inlineStr">
        <is>
          <t>Golden Pearl Cosmetics (PVT) LTD</t>
        </is>
      </c>
      <c r="C11" s="17" t="inlineStr">
        <is>
          <t>HELLO HAIR COLOR</t>
        </is>
      </c>
      <c r="D11" s="16" t="n">
        <v>6206</v>
      </c>
      <c r="E11" s="18" t="inlineStr">
        <is>
          <t>Awaited</t>
        </is>
      </c>
      <c r="F11" s="18" t="n">
        <v>0</v>
      </c>
      <c r="G11" s="19">
        <f>SUMPRODUCT((Production_Log!$F$3:$F$8963=D11)*(LEFT(Production_Log!$B$3:$B$8963,5)="Print")*(ISERROR(SEARCH("(Varnish)",Production_Log!$D$3:$D$8963)))*(MONTH(Production_Log!$A$3:$A$8963)=MONTH($H$1))*(YEAR(Production_Log!$A$3:$A$8963)=YEAR($H$1))*Production_Log!$H$3:$H$8963)</f>
        <v/>
      </c>
      <c r="H11" s="20">
        <f>F11-G11</f>
        <v/>
      </c>
      <c r="I11" s="20" t="n"/>
      <c r="J11" s="177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 ht="21.75" customHeight="1" s="244">
      <c r="A12" s="16" t="n">
        <v>32</v>
      </c>
      <c r="B12" s="16" t="inlineStr">
        <is>
          <t>Hola Hair</t>
        </is>
      </c>
      <c r="C12" s="17" t="inlineStr">
        <is>
          <t>H.H 100GM</t>
        </is>
      </c>
      <c r="D12" s="16" t="n">
        <v>6515</v>
      </c>
      <c r="E12" s="18" t="n">
        <v>6839</v>
      </c>
      <c r="F12" s="18" t="n">
        <v>0</v>
      </c>
      <c r="G12" s="19">
        <f>SUMPRODUCT((Production_Log!$F$3:$F$8963=D12)*(LEFT(Production_Log!$B$3:$B$8963,5)="Print")*(ISERROR(SEARCH("(Varnish)",Production_Log!$D$3:$D$8963)))*(MONTH(Production_Log!$A$3:$A$8963)=MONTH($H$1))*(YEAR(Production_Log!$A$3:$A$8963)=YEAR($H$1))*Production_Log!$H$3:$H$8963)</f>
        <v/>
      </c>
      <c r="H12" s="20">
        <f>F12-G12</f>
        <v/>
      </c>
      <c r="I12" s="20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21.75" customHeight="1" s="244">
      <c r="A13" s="16" t="n">
        <v>35</v>
      </c>
      <c r="B13" s="16" t="inlineStr">
        <is>
          <t>Adore</t>
        </is>
      </c>
      <c r="C13" s="17" t="inlineStr">
        <is>
          <t>V- HC BROWN</t>
        </is>
      </c>
      <c r="D13" s="16" t="n">
        <v>6530</v>
      </c>
      <c r="E13" s="18" t="n">
        <v>6884</v>
      </c>
      <c r="F13" s="18" t="n">
        <v>13350</v>
      </c>
      <c r="G13" s="19">
        <f>SUMPRODUCT((Production_Log!$F$3:$F$8963=D13)*(LEFT(Production_Log!$B$3:$B$8963,5)="Print")*(ISERROR(SEARCH("(Varnish)",Production_Log!$D$3:$D$8963)))*(MONTH(Production_Log!$A$3:$A$8963)=MONTH($H$1))*(YEAR(Production_Log!$A$3:$A$8963)=YEAR($H$1))*Production_Log!$H$3:$H$8963)</f>
        <v/>
      </c>
      <c r="H13" s="20">
        <f>F13-G13</f>
        <v/>
      </c>
      <c r="I13" s="20" t="inlineStr">
        <is>
          <t>Hold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 ht="15" customHeight="1" s="244">
      <c r="A14" s="16" t="n">
        <v>35</v>
      </c>
      <c r="B14" s="16" t="inlineStr">
        <is>
          <t>Adore</t>
        </is>
      </c>
      <c r="C14" s="17" t="inlineStr">
        <is>
          <t>V-HC BLACK</t>
        </is>
      </c>
      <c r="D14" s="16" t="n">
        <v>6531</v>
      </c>
      <c r="E14" s="18" t="n">
        <v>6883</v>
      </c>
      <c r="F14" s="18" t="n">
        <v>0</v>
      </c>
      <c r="G14" s="19">
        <f>SUMPRODUCT((Production_Log!$F$3:$F$8963=D14)*(LEFT(Production_Log!$B$3:$B$8963,5)="Print")*(ISERROR(SEARCH("(Varnish)",Production_Log!$D$3:$D$8963)))*(MONTH(Production_Log!$A$3:$A$8963)=MONTH($H$1))*(YEAR(Production_Log!$A$3:$A$8963)=YEAR($H$1))*Production_Log!$H$3:$H$8963)</f>
        <v/>
      </c>
      <c r="H14" s="20">
        <f>F14-G14</f>
        <v/>
      </c>
      <c r="I14" s="20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 ht="27" customHeight="1" s="244">
      <c r="A15" s="12" t="n"/>
      <c r="B15" s="12" t="n"/>
      <c r="C15" s="13" t="n"/>
      <c r="D15" s="13" t="n"/>
      <c r="E15" s="14" t="inlineStr">
        <is>
          <t>TOTAL:</t>
        </is>
      </c>
      <c r="F15" s="173">
        <f>SUM(F3:F14)</f>
        <v/>
      </c>
      <c r="G15" s="173">
        <f>SUM(G3:G14)</f>
        <v/>
      </c>
      <c r="H15" s="173">
        <f>SUMIF(H3:H14, "&gt;0")</f>
        <v/>
      </c>
      <c r="I15" s="12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" t="n"/>
    </row>
    <row r="16" ht="36" customHeight="1" s="244">
      <c r="A16" s="23" t="inlineStr">
        <is>
          <t>MAY TUBES MATERIAL REQUIREMENT PLAN</t>
        </is>
      </c>
      <c r="B16" s="24" t="n"/>
      <c r="C16" s="24" t="n"/>
      <c r="D16" s="24" t="n"/>
      <c r="E16" s="25" t="n"/>
      <c r="F16" s="25" t="n"/>
      <c r="G16" s="26" t="n"/>
      <c r="H16" s="25" t="n"/>
      <c r="I16" s="24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t="36" customHeight="1" s="244">
      <c r="A17" s="12" t="inlineStr">
        <is>
          <t>Item ID</t>
        </is>
      </c>
      <c r="B17" s="12" t="inlineStr">
        <is>
          <t>Category</t>
        </is>
      </c>
      <c r="C17" s="12" t="inlineStr">
        <is>
          <t>Item Name</t>
        </is>
      </c>
      <c r="D17" s="12" t="inlineStr">
        <is>
          <t>UOM</t>
        </is>
      </c>
      <c r="E17" s="14" t="inlineStr">
        <is>
          <t>Required Qty</t>
        </is>
      </c>
      <c r="F17" s="14" t="inlineStr">
        <is>
          <t>Current Stock (Store + WIP)</t>
        </is>
      </c>
      <c r="G17" s="15" t="inlineStr">
        <is>
          <t>Surplus / (Deficit)</t>
        </is>
      </c>
      <c r="H17" s="13" t="inlineStr">
        <is>
          <t>Product Name(s)</t>
        </is>
      </c>
      <c r="I17" s="12" t="inlineStr">
        <is>
          <t>Status</t>
        </is>
      </c>
      <c r="J17" s="12" t="inlineStr">
        <is>
          <t>FG Caps On Hold (pcs)</t>
        </is>
      </c>
      <c r="K17" s="12" t="inlineStr">
        <is>
          <t>ORDER QTY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ht="15" customHeight="1" s="244">
      <c r="A18" s="225" t="n">
        <v>33</v>
      </c>
      <c r="B18" s="225" t="inlineStr">
        <is>
          <t>SLUG</t>
        </is>
      </c>
      <c r="C18" s="225" t="inlineStr">
        <is>
          <t>12.5X4.5X4.8</t>
        </is>
      </c>
      <c r="D18" s="225" t="inlineStr">
        <is>
          <t>kg</t>
        </is>
      </c>
      <c r="E18" s="27">
        <f>SUMPRODUCT((TableBOM[Item ID]=A18)*TableBOM[Per 1000 Units]*(1+TableBOM[Scrap %])*SUMIF($D$3:$D$14,TableBOM[Product ID],$H$3:$H$14)/1000)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2" t="n"/>
    </row>
    <row r="19" hidden="1" ht="16.5" customHeight="1" s="244">
      <c r="A19" s="225" t="n">
        <v>31</v>
      </c>
      <c r="B19" s="225" t="inlineStr">
        <is>
          <t>SLUG</t>
        </is>
      </c>
      <c r="C19" s="225" t="inlineStr">
        <is>
          <t>13.5X4.2</t>
        </is>
      </c>
      <c r="D19" s="225" t="inlineStr">
        <is>
          <t>kg</t>
        </is>
      </c>
      <c r="E19" s="27">
        <f>SUMPRODUCT((TableBOM[Item ID]=A19)*TableBOM[Per 1000 Units]*(1+TableBOM[Scrap %])*SUMIF($D$3:$D$14,TableBOM[Product ID],$H$3:$H$14)/1000)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2" t="n"/>
    </row>
    <row r="20" ht="24" customHeight="1" s="244">
      <c r="A20" s="225" t="n">
        <v>2799</v>
      </c>
      <c r="B20" s="225" t="inlineStr">
        <is>
          <t>SLUG</t>
        </is>
      </c>
      <c r="C20" s="225" t="inlineStr">
        <is>
          <t>16x4.5</t>
        </is>
      </c>
      <c r="D20" s="225" t="inlineStr">
        <is>
          <t>kg</t>
        </is>
      </c>
      <c r="E20" s="27">
        <f>SUMPRODUCT((TableBOM[Item ID]=A20)*TableBOM[Per 1000 Units]*(1+TableBOM[Scrap %])*SUMIF($D$3:$D$14,TableBOM[Product ID],$H$3:$H$14)/1000)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24" customHeight="1" s="244">
      <c r="A21" s="225" t="n">
        <v>25</v>
      </c>
      <c r="B21" s="225" t="inlineStr">
        <is>
          <t>SLUG</t>
        </is>
      </c>
      <c r="C21" s="225" t="inlineStr">
        <is>
          <t>16X4.8 S/M</t>
        </is>
      </c>
      <c r="D21" s="225" t="inlineStr">
        <is>
          <t>kg</t>
        </is>
      </c>
      <c r="E21" s="32">
        <f>SUMPRODUCT((TableBOM[Item ID]=A21)*TableBOM[Per 1000 Units]*(1+TableBOM[Scrap %])*SUMIF($D$3:$D$14,TableBOM[Product ID],$H$3:$H$14)/1000)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9.5" customHeight="1" s="244">
      <c r="A22" s="225" t="n">
        <v>22</v>
      </c>
      <c r="B22" s="225" t="inlineStr">
        <is>
          <t>SLUG</t>
        </is>
      </c>
      <c r="C22" s="225" t="inlineStr">
        <is>
          <t>19X4.2</t>
        </is>
      </c>
      <c r="D22" s="225" t="inlineStr">
        <is>
          <t>kg</t>
        </is>
      </c>
      <c r="E22" s="32">
        <f>SUMPRODUCT((TableBOM[Item ID]=A22)*TableBOM[Per 1000 Units]*(1+TableBOM[Scrap %])*SUMIF($D$3:$D$14,TableBOM[Product ID],$H$3:$H$14)/1000)</f>
        <v/>
      </c>
      <c r="F22" s="32">
        <f>IFERROR(INDEX(TableInventory[Store Balance],MATCH(A22,TableInventory[Item ID],0)),0)+IFERROR(INDEX(TableInventory[Work In Process],MATCH(A22,TableInventory[Item ID],0)),0)</f>
        <v/>
      </c>
      <c r="G22" s="33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idden="1" ht="24" customHeight="1" s="244">
      <c r="A23" s="225" t="n">
        <v>19</v>
      </c>
      <c r="B23" s="225" t="inlineStr">
        <is>
          <t>SLUG</t>
        </is>
      </c>
      <c r="C23" s="225" t="inlineStr">
        <is>
          <t>19X4.5 S/M</t>
        </is>
      </c>
      <c r="D23" s="225" t="inlineStr">
        <is>
          <t>kg</t>
        </is>
      </c>
      <c r="E23" s="27">
        <f>SUMPRODUCT((TableBOM[Item ID]=A23)*TableBOM[Per 1000 Units]*(1+TableBOM[Scrap %])*SUMIF($D$3:$D$14,TableBOM[Product ID],$H$3:$H$14)/1000)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24" customHeight="1" s="244">
      <c r="A24" s="225" t="n">
        <v>4179</v>
      </c>
      <c r="B24" s="225" t="inlineStr">
        <is>
          <t>SLUG</t>
        </is>
      </c>
      <c r="C24" s="225" t="inlineStr">
        <is>
          <t>20.5x4.5</t>
        </is>
      </c>
      <c r="D24" s="225" t="inlineStr">
        <is>
          <t>kg</t>
        </is>
      </c>
      <c r="E24" s="27">
        <f>SUMPRODUCT((TableBOM[Item ID]=A24)*TableBOM[Per 1000 Units]*(1+TableBOM[Scrap %])*SUMIF($D$3:$D$14,TableBOM[Product ID],$H$3:$H$14)/1000)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</row>
    <row r="25" ht="15" customHeight="1" s="244">
      <c r="A25" s="225" t="n">
        <v>6</v>
      </c>
      <c r="B25" s="225" t="inlineStr">
        <is>
          <t>SLUG</t>
        </is>
      </c>
      <c r="C25" s="225" t="inlineStr">
        <is>
          <t>25X4.5 S/M</t>
        </is>
      </c>
      <c r="D25" s="225" t="inlineStr">
        <is>
          <t>kg</t>
        </is>
      </c>
      <c r="E25" s="27">
        <f>SUMPRODUCT((TableBOM[Item ID]=A25)*TableBOM[Per 1000 Units]*(1+TableBOM[Scrap %])*SUMIF($D$3:$D$14,TableBOM[Product ID],$H$3:$H$14)/1000)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</row>
    <row r="26" hidden="1" ht="15" customHeight="1" s="244">
      <c r="A26" s="225" t="n">
        <v>10</v>
      </c>
      <c r="B26" s="225" t="inlineStr">
        <is>
          <t>SLUG</t>
        </is>
      </c>
      <c r="C26" s="225" t="inlineStr">
        <is>
          <t>25X4.8 S/M</t>
        </is>
      </c>
      <c r="D26" s="225" t="inlineStr">
        <is>
          <t>kg</t>
        </is>
      </c>
      <c r="E26" s="27">
        <f>SUMPRODUCT((TableBOM[Item ID]=A26)*TableBOM[Per 1000 Units]*(1+TableBOM[Scrap %])*SUMIF($D$3:$D$14,TableBOM[Product ID],$H$3:$H$14)/1000)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ht="24" customHeight="1" s="244">
      <c r="A27" s="225" t="n">
        <v>2</v>
      </c>
      <c r="B27" s="225" t="inlineStr">
        <is>
          <t>SLUG</t>
        </is>
      </c>
      <c r="C27" s="225" t="inlineStr">
        <is>
          <t>30X4.3</t>
        </is>
      </c>
      <c r="D27" s="225" t="inlineStr">
        <is>
          <t>kg</t>
        </is>
      </c>
      <c r="E27" s="27">
        <f>SUMPRODUCT((TableBOM[Item ID]=A27)*TableBOM[Per 1000 Units]*(1+TableBOM[Scrap %])*SUMIF($D$3:$D$14,TableBOM[Product ID],$H$3:$H$14)/1000)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t="24" customHeight="1" s="244">
      <c r="A28" s="225" t="n">
        <v>406</v>
      </c>
      <c r="B28" s="225" t="inlineStr">
        <is>
          <t>SLUG</t>
        </is>
      </c>
      <c r="C28" s="225" t="inlineStr">
        <is>
          <t>30X4.5 S/M</t>
        </is>
      </c>
      <c r="D28" s="225" t="inlineStr">
        <is>
          <t>kg</t>
        </is>
      </c>
      <c r="E28" s="27">
        <f>SUMPRODUCT((TableBOM[Item ID]=A28)*TableBOM[Per 1000 Units]*(1+TableBOM[Scrap %])*SUMIF($D$3:$D$14,TableBOM[Product ID],$H$3:$H$14)/1000)</f>
        <v/>
      </c>
      <c r="F28" s="32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44">
      <c r="A29" s="225" t="n">
        <v>6961</v>
      </c>
      <c r="B29" s="225" t="inlineStr">
        <is>
          <t>SLUG</t>
        </is>
      </c>
      <c r="C29" s="225" t="inlineStr">
        <is>
          <t>32X5.2</t>
        </is>
      </c>
      <c r="D29" s="225" t="inlineStr">
        <is>
          <t>kg</t>
        </is>
      </c>
      <c r="E29" s="32">
        <f>SUMPRODUCT((TableBOM[Item ID]=A29)*TableBOM[Per 1000 Units]*(1+TableBOM[Scrap %])*SUMIF($D$3:$D$14,TableBOM[Product ID],$H$3:$H$14)/1000)</f>
        <v/>
      </c>
      <c r="F29" s="32">
        <f>IFERROR(INDEX(TableInventory[Store Balance],MATCH(A29,TableInventory[Item ID],0)),0)+IFERROR(INDEX(TableInventory[Work In Process],MATCH(A29,TableInventory[Item ID],0)),0)</f>
        <v/>
      </c>
      <c r="G29" s="33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44">
      <c r="A30" s="225" t="n">
        <v>3935</v>
      </c>
      <c r="B30" s="225" t="inlineStr">
        <is>
          <t>SLUG</t>
        </is>
      </c>
      <c r="C30" s="225" t="inlineStr">
        <is>
          <t>32x5.0</t>
        </is>
      </c>
      <c r="D30" s="225" t="inlineStr">
        <is>
          <t>kg</t>
        </is>
      </c>
      <c r="E30" s="27">
        <f>SUMPRODUCT((TableBOM[Item ID]=A30)*TableBOM[Per 1000 Units]*(1+TableBOM[Scrap %])*SUMIF($D$3:$D$14,TableBOM[Product ID],$H$3:$H$14)/1000)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t="15" customHeight="1" s="244">
      <c r="A31" s="225" t="n">
        <v>3503</v>
      </c>
      <c r="B31" s="225" t="inlineStr">
        <is>
          <t>SLUG</t>
        </is>
      </c>
      <c r="C31" s="225" t="inlineStr">
        <is>
          <t>35X5.0</t>
        </is>
      </c>
      <c r="D31" s="225" t="inlineStr">
        <is>
          <t>kg</t>
        </is>
      </c>
      <c r="E31" s="27">
        <f>SUMPRODUCT((TableBOM[Item ID]=A31)*TableBOM[Per 1000 Units]*(1+TableBOM[Scrap %])*SUMIF($D$3:$D$14,TableBOM[Product ID],$H$3:$H$14)/1000)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/>
      </c>
      <c r="I31" s="30" t="inlineStr">
        <is>
          <t>Hold</t>
        </is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</row>
    <row r="32" hidden="1" ht="48" customHeight="1" s="244">
      <c r="A32" s="225" t="n">
        <v>184</v>
      </c>
      <c r="B32" s="225" t="inlineStr">
        <is>
          <t>LACQUER</t>
        </is>
      </c>
      <c r="C32" s="225" t="inlineStr">
        <is>
          <t>LACQUER IMP 49989</t>
        </is>
      </c>
      <c r="D32" s="225" t="inlineStr">
        <is>
          <t>kg</t>
        </is>
      </c>
      <c r="E32" s="27">
        <f>SUMPRODUCT((TableBOM[Item ID]=A32)*TableBOM[Per 1000 Units]*(1+TableBOM[Scrap %])*SUMIF($D$3:$D$14,TableBOM[Product ID],$H$3:$H$14)/1000)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t="36" customHeight="1" s="244">
      <c r="A33" s="225" t="n">
        <v>185</v>
      </c>
      <c r="B33" s="225" t="inlineStr">
        <is>
          <t>LACQUER</t>
        </is>
      </c>
      <c r="C33" s="225" t="inlineStr">
        <is>
          <t>EPOXY LACQUER (1500)</t>
        </is>
      </c>
      <c r="D33" s="225" t="inlineStr">
        <is>
          <t>L</t>
        </is>
      </c>
      <c r="E33" s="27">
        <f>SUMPRODUCT((TableBOM[Item ID]=A33)*TableBOM[Per 1000 Units]*(1+TableBOM[Scrap %])*SUMIF($D$3:$D$14,TableBOM[Product ID],$H$3:$H$14)/1000)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44">
      <c r="A34" s="225" t="n">
        <v>188</v>
      </c>
      <c r="B34" s="225" t="inlineStr">
        <is>
          <t>LACQUER</t>
        </is>
      </c>
      <c r="C34" s="225" t="inlineStr">
        <is>
          <t>LACQUER RHENANIA (ACTEGA COLL 299)</t>
        </is>
      </c>
      <c r="D34" s="225" t="inlineStr">
        <is>
          <t>kg</t>
        </is>
      </c>
      <c r="E34" s="27">
        <f>SUMPRODUCT((TableBOM[Item ID]=A34)*TableBOM[Per 1000 Units]*(1+TableBOM[Scrap %])*SUMIF($D$3:$D$14,TableBOM[Product ID],$H$3:$H$14)/1000)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ht="24" customHeight="1" s="244">
      <c r="A35" s="225" t="n">
        <v>1065</v>
      </c>
      <c r="B35" s="225" t="inlineStr">
        <is>
          <t>LACQUER</t>
        </is>
      </c>
      <c r="C35" s="225" t="inlineStr">
        <is>
          <t>PIGMENTED LACQUER 57300</t>
        </is>
      </c>
      <c r="D35" s="225" t="inlineStr">
        <is>
          <t>kg</t>
        </is>
      </c>
      <c r="E35" s="27">
        <f>SUMPRODUCT((TableBOM[Item ID]=A35)*TableBOM[Per 1000 Units]*(1+TableBOM[Scrap %])*SUMIF($D$3:$D$14,TableBOM[Product ID],$H$3:$H$14)/1000)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24" customHeight="1" s="244">
      <c r="A36" s="225" t="n">
        <v>4155</v>
      </c>
      <c r="B36" s="225" t="inlineStr">
        <is>
          <t>LACQUER</t>
        </is>
      </c>
      <c r="C36" s="225" t="inlineStr">
        <is>
          <t>E/P LACQUER 4000 A/R</t>
        </is>
      </c>
      <c r="D36" s="225" t="inlineStr">
        <is>
          <t>kg</t>
        </is>
      </c>
      <c r="E36" s="27">
        <f>SUMPRODUCT((TableBOM[Item ID]=A36)*TableBOM[Per 1000 Units]*(1+TableBOM[Scrap %])*SUMIF($D$3:$D$14,TableBOM[Product ID],$H$3:$H$14)/1000)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44">
      <c r="A37" s="225" t="n">
        <v>170</v>
      </c>
      <c r="B37" s="225" t="inlineStr">
        <is>
          <t>BASE COAT</t>
        </is>
      </c>
      <c r="C37" s="225" t="inlineStr">
        <is>
          <t>WHITE 5711200001</t>
        </is>
      </c>
      <c r="D37" s="225" t="inlineStr">
        <is>
          <t>kg</t>
        </is>
      </c>
      <c r="E37" s="27">
        <f>SUMPRODUCT((TableBOM[Item ID]=A37)*TableBOM[Per 1000 Units]*(1+TableBOM[Scrap %])*SUMIF($D$3:$D$14,TableBOM[Product ID],$H$3:$H$14)/1000)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ht="15" customHeight="1" s="244">
      <c r="A38" s="225" t="n">
        <v>175</v>
      </c>
      <c r="B38" s="225" t="inlineStr">
        <is>
          <t>BASE COAT</t>
        </is>
      </c>
      <c r="C38" s="225" t="inlineStr">
        <is>
          <t>GOLD 5725100018</t>
        </is>
      </c>
      <c r="D38" s="225" t="inlineStr">
        <is>
          <t>kg</t>
        </is>
      </c>
      <c r="E38" s="27">
        <f>SUMPRODUCT((TableBOM[Item ID]=A38)*TableBOM[Per 1000 Units]*(1+TableBOM[Scrap %])*SUMIF($D$3:$D$14,TableBOM[Product ID],$H$3:$H$14)/1000)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2" t="n"/>
    </row>
    <row r="39" hidden="1" ht="48" customHeight="1" s="244">
      <c r="A39" s="225" t="n">
        <v>192</v>
      </c>
      <c r="B39" s="225" t="inlineStr">
        <is>
          <t>BASE COAT</t>
        </is>
      </c>
      <c r="C39" s="225" t="inlineStr">
        <is>
          <t>TRANSPARENT 234-786</t>
        </is>
      </c>
      <c r="D39" s="225" t="inlineStr">
        <is>
          <t>kg</t>
        </is>
      </c>
      <c r="E39" s="27">
        <f>SUMPRODUCT((TableBOM[Item ID]=A39)*TableBOM[Per 1000 Units]*(1+TableBOM[Scrap %])*SUMIF($D$3:$D$14,TableBOM[Product ID],$H$3:$H$14)/1000)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t="48" customHeight="1" s="244">
      <c r="A40" s="225" t="n">
        <v>3595</v>
      </c>
      <c r="B40" s="225" t="inlineStr">
        <is>
          <t>BASE COAT</t>
        </is>
      </c>
      <c r="C40" s="225" t="inlineStr">
        <is>
          <t>POLYSTER BASE COAT WHITE 23410</t>
        </is>
      </c>
      <c r="D40" s="225" t="inlineStr">
        <is>
          <t>kg</t>
        </is>
      </c>
      <c r="E40" s="27">
        <f>SUMPRODUCT((TableBOM[Item ID]=A40)*TableBOM[Per 1000 Units]*(1+TableBOM[Scrap %])*SUMIF($D$3:$D$14,TableBOM[Product ID],$H$3:$H$14)/1000)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ht="15" customHeight="1" s="244">
      <c r="A41" s="225" t="n">
        <v>3869</v>
      </c>
      <c r="B41" s="225" t="inlineStr">
        <is>
          <t>BASE COAT</t>
        </is>
      </c>
      <c r="C41" s="225" t="inlineStr">
        <is>
          <t>POLYESTER BASE COAT BEIGE 234-999</t>
        </is>
      </c>
      <c r="D41" s="225" t="inlineStr">
        <is>
          <t>kg</t>
        </is>
      </c>
      <c r="E41" s="27">
        <f>SUMPRODUCT((TableBOM[Item ID]=A41)*TableBOM[Per 1000 Units]*(1+TableBOM[Scrap %])*SUMIF($D$3:$D$14,TableBOM[Product ID],$H$3:$H$14)/1000)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2" t="n"/>
    </row>
    <row r="42" hidden="1" ht="15" customHeight="1" s="244">
      <c r="A42" s="225" t="n">
        <v>4156</v>
      </c>
      <c r="B42" s="225" t="inlineStr">
        <is>
          <t>BASE COAT</t>
        </is>
      </c>
      <c r="C42" s="225" t="inlineStr">
        <is>
          <t>BEIGE 5711200007</t>
        </is>
      </c>
      <c r="D42" s="225" t="inlineStr">
        <is>
          <t>kg</t>
        </is>
      </c>
      <c r="E42" s="27">
        <f>SUMPRODUCT((TableBOM[Item ID]=A42)*TableBOM[Per 1000 Units]*(1+TableBOM[Scrap %])*SUMIF($D$3:$D$14,TableBOM[Product ID],$H$3:$H$14)/1000)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ht="15" customHeight="1" s="244">
      <c r="A43" s="225" t="n">
        <v>4157</v>
      </c>
      <c r="B43" s="225" t="inlineStr">
        <is>
          <t>BASE COAT</t>
        </is>
      </c>
      <c r="C43" s="225" t="inlineStr">
        <is>
          <t>SILVER METALLIC 5725100011</t>
        </is>
      </c>
      <c r="D43" s="225" t="inlineStr">
        <is>
          <t>kg</t>
        </is>
      </c>
      <c r="E43" s="27">
        <f>SUMPRODUCT((TableBOM[Item ID]=A43)*TableBOM[Per 1000 Units]*(1+TableBOM[Scrap %])*SUMIF($D$3:$D$14,TableBOM[Product ID],$H$3:$H$14)/1000)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idden="1" ht="15" customHeight="1" s="244">
      <c r="A44" s="225" t="n">
        <v>5895</v>
      </c>
      <c r="B44" s="225" t="inlineStr">
        <is>
          <t>BASE COAT</t>
        </is>
      </c>
      <c r="C44" s="225" t="inlineStr">
        <is>
          <t>GOLD METALLIC ALM-550-234</t>
        </is>
      </c>
      <c r="D44" s="225" t="inlineStr">
        <is>
          <t>kg</t>
        </is>
      </c>
      <c r="E44" s="27">
        <f>SUMPRODUCT((TableBOM[Item ID]=A44)*TableBOM[Per 1000 Units]*(1+TableBOM[Scrap %])*SUMIF($D$3:$D$14,TableBOM[Product ID],$H$3:$H$14)/1000)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44">
      <c r="A45" s="225" t="n">
        <v>5974</v>
      </c>
      <c r="B45" s="225" t="inlineStr">
        <is>
          <t>BASE COAT</t>
        </is>
      </c>
      <c r="C45" s="225" t="inlineStr">
        <is>
          <t>P11 TBX HT VARNISH (PC 176)</t>
        </is>
      </c>
      <c r="D45" s="225" t="inlineStr">
        <is>
          <t>L</t>
        </is>
      </c>
      <c r="E45" s="27">
        <f>SUMPRODUCT((TableBOM[Item ID]=A45)*TableBOM[Per 1000 Units]*(1+TableBOM[Scrap %])*SUMIF($D$3:$D$14,TableBOM[Product ID],$H$3:$H$14)/1000)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ht="15" customHeight="1" s="244">
      <c r="A46" s="225" t="n">
        <v>177</v>
      </c>
      <c r="B46" s="225" t="inlineStr">
        <is>
          <t>BASE COAT</t>
        </is>
      </c>
      <c r="C46" s="225" t="inlineStr">
        <is>
          <t>YELLOW IMP 5711200008</t>
        </is>
      </c>
      <c r="D46" s="225" t="inlineStr">
        <is>
          <t>kg</t>
        </is>
      </c>
      <c r="E46" s="27">
        <f>SUMPRODUCT((TableBOM[Item ID]=A46)*TableBOM[Per 1000 Units]*(1+TableBOM[Scrap %])*SUMIF($D$3:$D$14,TableBOM[Product ID],$H$3:$H$14)/1000)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</row>
    <row r="47" hidden="1" ht="24" customHeight="1" s="244">
      <c r="A47" s="225" t="n">
        <v>6132</v>
      </c>
      <c r="B47" s="225" t="inlineStr">
        <is>
          <t>BASE COAT</t>
        </is>
      </c>
      <c r="C47" s="225" t="inlineStr">
        <is>
          <t>VR SCHEKOLIN 57251</t>
        </is>
      </c>
      <c r="D47" s="225" t="inlineStr">
        <is>
          <t>kg</t>
        </is>
      </c>
      <c r="E47" s="27">
        <f>SUMPRODUCT((TableBOM[Item ID]=A47)*TableBOM[Per 1000 Units]*(1+TableBOM[Scrap %])*SUMIF($D$3:$D$14,TableBOM[Product ID],$H$3:$H$14)/1000)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t="60" customHeight="1" s="244">
      <c r="A48" s="225" t="n">
        <v>186</v>
      </c>
      <c r="B48" s="225" t="inlineStr">
        <is>
          <t>LATEX</t>
        </is>
      </c>
      <c r="C48" s="225" t="inlineStr">
        <is>
          <t>LATEX IMP 574010002</t>
        </is>
      </c>
      <c r="D48" s="225" t="inlineStr">
        <is>
          <t>kg</t>
        </is>
      </c>
      <c r="E48" s="27">
        <f>SUMPRODUCT((TableBOM[Item ID]=A48)*TableBOM[Per 1000 Units]*(1+TableBOM[Scrap %])*SUMIF($D$3:$D$14,TableBOM[Product ID],$H$3:$H$14)/1000)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t="48" customHeight="1" s="244">
      <c r="A49" s="225" t="n">
        <v>194</v>
      </c>
      <c r="B49" s="225" t="inlineStr">
        <is>
          <t>ZINC POWDER</t>
        </is>
      </c>
      <c r="C49" s="225" t="inlineStr">
        <is>
          <t>ZINC STEARATE</t>
        </is>
      </c>
      <c r="D49" s="225" t="inlineStr">
        <is>
          <t>kg</t>
        </is>
      </c>
      <c r="E49" s="27">
        <f>SUMPRODUCT((TableBOM[Item ID]=A49)*TableBOM[Per 1000 Units]*(1+TableBOM[Scrap %])*SUMIF($D$3:$D$14,TableBOM[Product ID],$H$3:$H$14)/1000)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24" customHeight="1" s="244">
      <c r="A50" s="225" t="n">
        <v>4165</v>
      </c>
      <c r="B50" s="225" t="inlineStr">
        <is>
          <t>ZINC POWDER</t>
        </is>
      </c>
      <c r="C50" s="225" t="inlineStr">
        <is>
          <t>ZINC ARCHIMATE</t>
        </is>
      </c>
      <c r="D50" s="225" t="inlineStr">
        <is>
          <t>kg</t>
        </is>
      </c>
      <c r="E50" s="27">
        <f>SUMPRODUCT((TableBOM[Item ID]=A50)*TableBOM[Per 1000 Units]*(1+TableBOM[Scrap %])*SUMIF($D$3:$D$14,TableBOM[Product ID],$H$3:$H$14)/1000)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t="15" customHeight="1" s="244">
      <c r="A51" s="225" t="n">
        <v>69</v>
      </c>
      <c r="B51" s="225" t="inlineStr">
        <is>
          <t>CAP</t>
        </is>
      </c>
      <c r="C51" s="225" t="inlineStr">
        <is>
          <t>M-7 S/M F/P (S) WHITE</t>
        </is>
      </c>
      <c r="D51" s="225" t="inlineStr">
        <is>
          <t>PCS</t>
        </is>
      </c>
      <c r="E51" s="27">
        <f>SUMPRODUCT((TableBOM[Item ID]=A51)*TableBOM[Per 1000 Units]*(1+TableBOM[Scrap %])*SUMIF($D$3:$D$14,TableBOM[Product ID],$H$3:$H$14)/1000)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/>
      </c>
      <c r="I51" s="30" t="inlineStr">
        <is>
          <t>CAPS Not Approved</t>
        </is>
      </c>
      <c r="J51" s="30">
        <f>IF(B51&lt;&gt;"CAP","",SUMPRODUCT((ISNUMBER(SEARCH("Cap Not Available",'FG Stock'!$H$4:$H$100)))*('FG Stock'!$I$4:$I$100=A51)*'FG Stock'!$F$4:$F$100))</f>
        <v/>
      </c>
      <c r="K51">
        <f>IF(E51=0,"",MAX(0,E51+IFERROR(J51*1,0)-F51))</f>
        <v/>
      </c>
    </row>
    <row r="52" hidden="1" ht="15" customHeight="1" s="244">
      <c r="A52" s="34" t="n">
        <v>99</v>
      </c>
      <c r="B52" s="34" t="inlineStr">
        <is>
          <t>CAP</t>
        </is>
      </c>
      <c r="C52" s="34" t="inlineStr">
        <is>
          <t>M-7 OPHTHALMIC  PINK</t>
        </is>
      </c>
      <c r="D52" s="34" t="inlineStr">
        <is>
          <t>PCS</t>
        </is>
      </c>
      <c r="E52" s="35">
        <f>SUMPRODUCT((TableBOM[Item ID]=A52)*TableBOM[Per 1000 Units]*(1+TableBOM[Scrap %])*SUMIF($D$3:$D$14,TableBOM[Product ID],$H$3:$H$14)/1000)</f>
        <v/>
      </c>
      <c r="F52" s="35">
        <f>IFERROR(INDEX(TableInventory[Store Balance],MATCH(A52,TableInventory[Item ID],0)),0)+IFERROR(INDEX(TableInventory[Work In Process],MATCH(A52,TableInventory[Item ID],0)),0)</f>
        <v/>
      </c>
      <c r="G52" s="35">
        <f>F52-E52</f>
        <v/>
      </c>
      <c r="H52" s="36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>
        <f>IF(E52=0,"Not needed",IF(G52&lt;0,"SHORTAGE",IF(G52&lt;F52*0.1,"LOW","OK")))</f>
        <v/>
      </c>
      <c r="J52" s="37">
        <f>IF(B52&lt;&gt;"CAP","",SUMPRODUCT((ISNUMBER(SEARCH("Cap Not Available",'FG Stock'!$H$4:$H$100)))*('FG Stock'!$I$4:$I$100=A52)*'FG Stock'!$F$4:$F$100))</f>
        <v/>
      </c>
      <c r="K52" s="37">
        <f>IF(E52=0,"",MAX(0,E52+IFERROR(J52*1,0)-F52))</f>
        <v/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2" t="n"/>
    </row>
    <row r="53" hidden="1" ht="15" customHeight="1" s="244">
      <c r="A53" s="38" t="n">
        <v>72</v>
      </c>
      <c r="B53" s="38" t="inlineStr">
        <is>
          <t>CAP</t>
        </is>
      </c>
      <c r="C53" s="38" t="inlineStr">
        <is>
          <t>M-9 S/M SPR BLACK DIA 16MM</t>
        </is>
      </c>
      <c r="D53" s="38" t="inlineStr">
        <is>
          <t>PCS</t>
        </is>
      </c>
      <c r="E53" s="39">
        <f>SUMPRODUCT((TableBOM[Item ID]=A53)*TableBOM[Per 1000 Units]*(1+TableBOM[Scrap %])*SUMIF($D$3:$D$14,TableBOM[Product ID],$H$3:$H$14)/1000)</f>
        <v/>
      </c>
      <c r="F53" s="39">
        <f>IFERROR(INDEX(TableInventory[Store Balance],MATCH(A53,TableInventory[Item ID],0)),0)+IFERROR(INDEX(TableInventory[Work In Process],MATCH(A53,TableInventory[Item ID],0)),0)</f>
        <v/>
      </c>
      <c r="G53" s="39">
        <f>F53-E53</f>
        <v/>
      </c>
      <c r="H53" s="40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>
        <f>IF(E53=0,"Not needed",IF(G53&lt;0,"SHORTAGE",IF(G53&lt;F53*0.1,"LOW","OK")))</f>
        <v/>
      </c>
      <c r="J53" s="41">
        <f>IF(B53&lt;&gt;"CAP","",SUMPRODUCT((ISNUMBER(SEARCH("Cap Not Available",'FG Stock'!$H$4:$H$100)))*('FG Stock'!$I$4:$I$100=A53)*'FG Stock'!$F$4:$F$100))</f>
        <v/>
      </c>
      <c r="K53" s="41">
        <f>IF(E53=0,"",MAX(0,E53+IFERROR(J53*1,0)-F53))</f>
        <v/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2" t="n"/>
    </row>
    <row r="54" hidden="1" ht="15" customHeight="1" s="244">
      <c r="A54" s="225" t="n">
        <v>79</v>
      </c>
      <c r="B54" s="225" t="inlineStr">
        <is>
          <t>CAP</t>
        </is>
      </c>
      <c r="C54" s="225" t="inlineStr">
        <is>
          <t>M-9 S/M SPR WHITE LORINE</t>
        </is>
      </c>
      <c r="D54" s="225" t="inlineStr">
        <is>
          <t>PCS</t>
        </is>
      </c>
      <c r="E54" s="27">
        <f>SUMPRODUCT((TableBOM[Item ID]=A54)*TableBOM[Per 1000 Units]*(1+TableBOM[Scrap %])*SUMIF($D$3:$D$14,TableBOM[Product ID],$H$3:$H$14)/1000)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2" t="n"/>
    </row>
    <row r="55" hidden="1" ht="24" customHeight="1" s="244">
      <c r="A55" s="225" t="n">
        <v>80</v>
      </c>
      <c r="B55" s="225" t="inlineStr">
        <is>
          <t>CAP</t>
        </is>
      </c>
      <c r="C55" s="225" t="inlineStr">
        <is>
          <t>M-9 S/M SPR WHITE DIA 19</t>
        </is>
      </c>
      <c r="D55" s="225" t="inlineStr">
        <is>
          <t>PCS</t>
        </is>
      </c>
      <c r="E55" s="27">
        <f>SUMPRODUCT((TableBOM[Item ID]=A55)*TableBOM[Per 1000 Units]*(1+TableBOM[Scrap %])*SUMIF($D$3:$D$14,TableBOM[Product ID],$H$3:$H$14)/1000)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15" customHeight="1" s="244">
      <c r="A56" s="225" t="n">
        <v>81</v>
      </c>
      <c r="B56" s="225" t="inlineStr">
        <is>
          <t>CAP</t>
        </is>
      </c>
      <c r="C56" s="225" t="inlineStr">
        <is>
          <t>M-9 S/M F/P WHITE (S)</t>
        </is>
      </c>
      <c r="D56" s="225" t="inlineStr">
        <is>
          <t>PCS</t>
        </is>
      </c>
      <c r="E56" s="27">
        <f>SUMPRODUCT((TableBOM[Item ID]=A56)*TableBOM[Per 1000 Units]*(1+TableBOM[Scrap %])*SUMIF($D$3:$D$14,TableBOM[Product ID],$H$3:$H$14)/1000)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ht="24" customHeight="1" s="244">
      <c r="A57" s="225" t="n">
        <v>1800</v>
      </c>
      <c r="B57" s="225" t="inlineStr">
        <is>
          <t>CAP</t>
        </is>
      </c>
      <c r="C57" s="225" t="inlineStr">
        <is>
          <t>M-9 S/M SPR BLACK DIA 19</t>
        </is>
      </c>
      <c r="D57" s="225" t="inlineStr">
        <is>
          <t>PCS</t>
        </is>
      </c>
      <c r="E57" s="27">
        <f>SUMPRODUCT((TableBOM[Item ID]=A57)*TableBOM[Per 1000 Units]*(1+TableBOM[Scrap %])*SUMIF($D$3:$D$14,TableBOM[Product ID],$H$3:$H$14)/1000)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ht="15" customHeight="1" s="244">
      <c r="A58" s="225" t="n">
        <v>3211</v>
      </c>
      <c r="B58" s="225" t="inlineStr">
        <is>
          <t>CAP</t>
        </is>
      </c>
      <c r="C58" s="225" t="inlineStr">
        <is>
          <t>M-9 S/M SPR WHITE DIA 22 AUTO</t>
        </is>
      </c>
      <c r="D58" s="225" t="inlineStr">
        <is>
          <t>PCS</t>
        </is>
      </c>
      <c r="E58" s="33">
        <f>SUMPRODUCT((TableBOM[Item ID]=A58)*TableBOM[Per 1000 Units]*(1+TableBOM[Scrap %])*SUMIF($D$3:$D$14,TableBOM[Product ID],$H$3:$H$14)/1000)</f>
        <v/>
      </c>
      <c r="F58" s="33">
        <f>IFERROR(INDEX(TableInventory[Store Balance],MATCH(A58,TableInventory[Item ID],0)),0)+IFERROR(INDEX(TableInventory[Work In Process],MATCH(A58,TableInventory[Item ID],0)),0)</f>
        <v/>
      </c>
      <c r="G58" s="33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ht="15" customHeight="1" s="244">
      <c r="A59" s="225" t="n">
        <v>4015</v>
      </c>
      <c r="B59" s="225" t="inlineStr">
        <is>
          <t>CAP</t>
        </is>
      </c>
      <c r="C59" s="225" t="inlineStr">
        <is>
          <t>M-9 S/M F/P ORANGE (NORMAL)</t>
        </is>
      </c>
      <c r="D59" s="225" t="inlineStr">
        <is>
          <t>PCS</t>
        </is>
      </c>
      <c r="E59" s="27">
        <f>SUMPRODUCT((TableBOM[Item ID]=A59)*TableBOM[Per 1000 Units]*(1+TableBOM[Scrap %])*SUMIF($D$3:$D$14,TableBOM[Product ID],$H$3:$H$14)/1000)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ht="15" customHeight="1" s="244">
      <c r="A60" s="225" t="n">
        <v>4044</v>
      </c>
      <c r="B60" s="225" t="inlineStr">
        <is>
          <t>CAP</t>
        </is>
      </c>
      <c r="C60" s="225" t="inlineStr">
        <is>
          <t>M-9 S/M SPR BEIGE DIA 20.5</t>
        </is>
      </c>
      <c r="D60" s="225" t="inlineStr">
        <is>
          <t>PCS</t>
        </is>
      </c>
      <c r="E60" s="27">
        <f>SUMPRODUCT((TableBOM[Item ID]=A60)*TableBOM[Per 1000 Units]*(1+TableBOM[Scrap %])*SUMIF($D$3:$D$14,TableBOM[Product ID],$H$3:$H$14)/1000)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idden="1" ht="15" customHeight="1" s="244">
      <c r="A61" s="225" t="n">
        <v>4088</v>
      </c>
      <c r="B61" s="225" t="inlineStr">
        <is>
          <t>CAP</t>
        </is>
      </c>
      <c r="C61" s="225" t="inlineStr">
        <is>
          <t>M-9 S/M SPR WHITE DIA 16MM</t>
        </is>
      </c>
      <c r="D61" s="225" t="inlineStr">
        <is>
          <t>PCS</t>
        </is>
      </c>
      <c r="E61" s="27">
        <f>SUMPRODUCT((TableBOM[Item ID]=A61)*TableBOM[Per 1000 Units]*(1+TableBOM[Scrap %])*SUMIF($D$3:$D$14,TableBOM[Product ID],$H$3:$H$14)/1000)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>
        <f>IF(E61=0,"Not needed",IF(G61&lt;0,"SHORTAGE",IF(G61&lt;F61*0.1,"LOW","OK")))</f>
        <v/>
      </c>
      <c r="J61" s="30">
        <f>IF(B61&lt;&gt;"CAP","",SUMPRODUCT((ISNUMBER(SEARCH("Cap Not Available",'FG Stock'!$H$4:$H$100)))*('FG Stock'!$I$4:$I$100=A61)*'FG Stock'!$F$4:$F$100))</f>
        <v/>
      </c>
      <c r="K61" s="30">
        <f>IF(E61=0,"",MAX(0,E61+IFERROR(J61*1,0)-F61))</f>
        <v/>
      </c>
    </row>
    <row r="62" hidden="1" ht="15" customHeight="1" s="244">
      <c r="A62" s="225" t="n">
        <v>4143</v>
      </c>
      <c r="B62" s="225" t="inlineStr">
        <is>
          <t>CAP</t>
        </is>
      </c>
      <c r="C62" s="225" t="inlineStr">
        <is>
          <t>M-9 S/M F/P Normal White</t>
        </is>
      </c>
      <c r="D62" s="225" t="inlineStr">
        <is>
          <t>PCS</t>
        </is>
      </c>
      <c r="E62" s="27">
        <f>SUMPRODUCT((TableBOM[Item ID]=A62)*TableBOM[Per 1000 Units]*(1+TableBOM[Scrap %])*SUMIF($D$3:$D$14,TableBOM[Product ID],$H$3:$H$14)/1000)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>
        <f>IF(E62=0,"Not needed",IF(G62&lt;0,"SHORTAGE",IF(G62&lt;F62*0.1,"LOW","OK")))</f>
        <v/>
      </c>
      <c r="J62" s="30">
        <f>IF(B62&lt;&gt;"CAP","",SUMPRODUCT((ISNUMBER(SEARCH("Cap Not Available",'FG Stock'!$H$4:$H$100)))*('FG Stock'!$I$4:$I$100=A62)*'FG Stock'!$F$4:$F$100))</f>
        <v/>
      </c>
      <c r="K62" s="30">
        <f>IF(E62=0,"",MAX(0,E62+IFERROR(J62*1,0)-F62))</f>
        <v/>
      </c>
    </row>
    <row r="63" hidden="1" ht="24" customHeight="1" s="244">
      <c r="A63" s="225" t="n">
        <v>6971</v>
      </c>
      <c r="B63" s="225" t="inlineStr">
        <is>
          <t>CAP</t>
        </is>
      </c>
      <c r="C63" s="225" t="inlineStr">
        <is>
          <t>M-9 S/M SPR WHITE DIA 20.5MM</t>
        </is>
      </c>
      <c r="D63" s="225" t="inlineStr">
        <is>
          <t>PCS</t>
        </is>
      </c>
      <c r="E63" s="27">
        <f>SUMPRODUCT((TableBOM[Item ID]=A63)*TableBOM[Per 1000 Units]*(1+TableBOM[Scrap %])*SUMIF($D$3:$D$14,TableBOM[Product ID],$H$3:$H$14)/1000)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>
        <f>IF(E63=0,"Not needed",IF(G63&lt;0,"SHORTAGE",IF(G63&lt;F63*0.1,"LOW","OK")))</f>
        <v/>
      </c>
      <c r="J63" s="30">
        <f>IF(B63&lt;&gt;"CAP","",SUMPRODUCT((ISNUMBER(SEARCH("Cap Not Available",'FG Stock'!$H$4:$H$100)))*('FG Stock'!$I$4:$I$100=A63)*'FG Stock'!$F$4:$F$100))</f>
        <v/>
      </c>
      <c r="K63" s="30">
        <f>IF(E63=0,"",MAX(0,E63+IFERROR(J63*1,0)-F63))</f>
        <v/>
      </c>
    </row>
    <row r="64" hidden="1" ht="24" customHeight="1" s="244">
      <c r="A64" s="225" t="n">
        <v>7370</v>
      </c>
      <c r="B64" s="225" t="inlineStr">
        <is>
          <t>CAP</t>
        </is>
      </c>
      <c r="C64" s="225" t="inlineStr">
        <is>
          <t>M-9 S/M SPR BLACK DIA 20.5MM</t>
        </is>
      </c>
      <c r="D64" s="225" t="inlineStr">
        <is>
          <t>PCS</t>
        </is>
      </c>
      <c r="E64" s="27">
        <f>SUMPRODUCT((TableBOM[Item ID]=A64)*TableBOM[Per 1000 Units]*(1+TableBOM[Scrap %])*SUMIF($D$3:$D$14,TableBOM[Product ID],$H$3:$H$14)/1000)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>
        <f>IF(E64=0,"Not needed",IF(G64&lt;0,"SHORTAGE",IF(G64&lt;F64*0.1,"LOW","OK")))</f>
        <v/>
      </c>
      <c r="J64" s="30">
        <f>IF(B64&lt;&gt;"CAP","",SUMPRODUCT((ISNUMBER(SEARCH("Cap Not Available",'FG Stock'!$H$4:$H$100)))*('FG Stock'!$I$4:$I$100=A64)*'FG Stock'!$F$4:$F$100))</f>
        <v/>
      </c>
      <c r="K64" s="30">
        <f>IF(E64=0,"",MAX(0,E64+IFERROR(J64*1,0)-F64))</f>
        <v/>
      </c>
    </row>
    <row r="65" ht="24" customHeight="1" s="244">
      <c r="A65" s="225" t="n">
        <v>68</v>
      </c>
      <c r="B65" s="225" t="inlineStr">
        <is>
          <t>CAP</t>
        </is>
      </c>
      <c r="C65" s="225" t="inlineStr">
        <is>
          <t>M-11 S/M SPR WHITE DIA 25MM</t>
        </is>
      </c>
      <c r="D65" s="225" t="inlineStr">
        <is>
          <t>PCS</t>
        </is>
      </c>
      <c r="E65" s="27">
        <f>SUMPRODUCT((TableBOM[Item ID]=A65)*TableBOM[Per 1000 Units]*(1+TableBOM[Scrap %])*SUMIF($D$3:$D$14,TableBOM[Product ID],$H$3:$H$14)/1000)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idden="1" ht="24" customHeight="1" s="244">
      <c r="A66" s="34" t="n">
        <v>102</v>
      </c>
      <c r="B66" s="34" t="inlineStr">
        <is>
          <t>CAP</t>
        </is>
      </c>
      <c r="C66" s="34" t="inlineStr">
        <is>
          <t>M-11 S/M SPR ORANGE DIA 25</t>
        </is>
      </c>
      <c r="D66" s="34" t="inlineStr">
        <is>
          <t>PCS</t>
        </is>
      </c>
      <c r="E66" s="35">
        <f>SUMPRODUCT((TableBOM[Item ID]=A66)*TableBOM[Per 1000 Units]*(1+TableBOM[Scrap %])*SUMIF($D$3:$D$14,TableBOM[Product ID],$H$3:$H$14)/1000)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 hidden="1" ht="15" customHeight="1" s="244">
      <c r="A67" s="34" t="n">
        <v>1073</v>
      </c>
      <c r="B67" s="34" t="inlineStr">
        <is>
          <t>CAP</t>
        </is>
      </c>
      <c r="C67" s="34" t="inlineStr">
        <is>
          <t>M-11 S/M F/P BLACK</t>
        </is>
      </c>
      <c r="D67" s="34" t="inlineStr">
        <is>
          <t>PCS</t>
        </is>
      </c>
      <c r="E67" s="35">
        <f>SUMPRODUCT((TableBOM[Item ID]=A67)*TableBOM[Per 1000 Units]*(1+TableBOM[Scrap %])*SUMIF($D$3:$D$14,TableBOM[Product ID],$H$3:$H$14)/1000)</f>
        <v/>
      </c>
      <c r="F67" s="35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36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>
        <f>IF(E67=0,"Not needed",IF(G67&lt;0,"SHORTAGE",IF(G67&lt;F67*0.1,"LOW","OK")))</f>
        <v/>
      </c>
      <c r="J67" s="37">
        <f>IF(B67&lt;&gt;"CAP","",SUMPRODUCT((ISNUMBER(SEARCH("Cap Not Available",'FG Stock'!$H$4:$H$100)))*('FG Stock'!$I$4:$I$100=A67)*'FG Stock'!$F$4:$F$100))</f>
        <v/>
      </c>
      <c r="K67" s="37">
        <f>IF(E67=0,"",MAX(0,E67+IFERROR(J67*1,0)-F67))</f>
        <v/>
      </c>
    </row>
    <row r="68" hidden="1" ht="15" customHeight="1" s="244">
      <c r="A68" s="34" t="n">
        <v>1285</v>
      </c>
      <c r="B68" s="34" t="inlineStr">
        <is>
          <t>CAP</t>
        </is>
      </c>
      <c r="C68" s="34" t="inlineStr">
        <is>
          <t>M-11 S/M F/P WHITE (LARGE)</t>
        </is>
      </c>
      <c r="D68" s="34" t="inlineStr">
        <is>
          <t>PCS</t>
        </is>
      </c>
      <c r="E68" s="43">
        <f>SUMPRODUCT((TableBOM[Item ID]=A68)*TableBOM[Per 1000 Units]*(1+TableBOM[Scrap %])*SUMIF($D$3:$D$14,TableBOM[Product ID],$H$3:$H$14)/1000)</f>
        <v/>
      </c>
      <c r="F68" s="43">
        <f>IFERROR(INDEX(TableInventory[Store Balance],MATCH(A68,TableInventory[Item ID],0)),0)+IFERROR(INDEX(TableInventory[Work In Process],MATCH(A68,TableInventory[Item ID],0)),0)</f>
        <v/>
      </c>
      <c r="G68" s="43">
        <f>F68-E68</f>
        <v/>
      </c>
      <c r="H68" s="36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>
        <f>IF(E68=0,"Not needed",IF(G68&lt;0,"SHORTAGE",IF(G68&lt;F68*0.1,"LOW","OK")))</f>
        <v/>
      </c>
      <c r="J68" s="37">
        <f>IF(B68&lt;&gt;"CAP","",SUMPRODUCT((ISNUMBER(SEARCH("Cap Not Available",'FG Stock'!$H$4:$H$100)))*('FG Stock'!$I$4:$I$100=A68)*'FG Stock'!$F$4:$F$100))</f>
        <v/>
      </c>
      <c r="K68" s="37">
        <f>IF(E68=0,"",MAX(0,E68+IFERROR(J68*1,0)-F68))</f>
        <v/>
      </c>
    </row>
    <row r="69" hidden="1" ht="15" customHeight="1" s="244">
      <c r="A69" s="34" t="n">
        <v>3522</v>
      </c>
      <c r="B69" s="34" t="inlineStr">
        <is>
          <t>CAP</t>
        </is>
      </c>
      <c r="C69" s="34" t="inlineStr">
        <is>
          <t>M-11 S/M SPR DARK BLUE DIA 25MM</t>
        </is>
      </c>
      <c r="D69" s="34" t="inlineStr">
        <is>
          <t>PCS</t>
        </is>
      </c>
      <c r="E69" s="35">
        <f>SUMPRODUCT((TableBOM[Item ID]=A69)*TableBOM[Per 1000 Units]*(1+TableBOM[Scrap %])*SUMIF($D$3:$D$14,TableBOM[Product ID],$H$3:$H$14)/1000)</f>
        <v/>
      </c>
      <c r="F69" s="35">
        <f>IFERROR(INDEX(TableInventory[Store Balance],MATCH(A69,TableInventory[Item ID],0)),0)+IFERROR(INDEX(TableInventory[Work In Process],MATCH(A69,TableInventory[Item ID],0)),0)</f>
        <v/>
      </c>
      <c r="G69" s="35">
        <f>F69-E69</f>
        <v/>
      </c>
      <c r="H69" s="36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>
        <f>IF(E69=0,"Not needed",IF(G69&lt;0,"SHORTAGE",IF(G69&lt;F69*0.1,"LOW","OK")))</f>
        <v/>
      </c>
      <c r="J69" s="37">
        <f>IF(B69&lt;&gt;"CAP","",SUMPRODUCT((ISNUMBER(SEARCH("Cap Not Available",'FG Stock'!$H$4:$H$100)))*('FG Stock'!$I$4:$I$100=A69)*'FG Stock'!$F$4:$F$100))</f>
        <v/>
      </c>
      <c r="K69" s="37">
        <f>IF(E69=0,"",MAX(0,E69+IFERROR(J69*1,0)-F69))</f>
        <v/>
      </c>
    </row>
    <row r="70" hidden="1" ht="24" customHeight="1" s="244">
      <c r="A70" s="34" t="n">
        <v>3866</v>
      </c>
      <c r="B70" s="34" t="inlineStr">
        <is>
          <t>CAP</t>
        </is>
      </c>
      <c r="C70" s="34" t="inlineStr">
        <is>
          <t>M-11 S/M SPR BEIGE DIA 25</t>
        </is>
      </c>
      <c r="D70" s="34" t="inlineStr">
        <is>
          <t>PCS</t>
        </is>
      </c>
      <c r="E70" s="35">
        <f>SUMPRODUCT((TableBOM[Item ID]=A70)*TableBOM[Per 1000 Units]*(1+TableBOM[Scrap %])*SUMIF($D$3:$D$14,TableBOM[Product ID],$H$3:$H$14)/1000)</f>
        <v/>
      </c>
      <c r="F70" s="35">
        <f>IFERROR(INDEX(TableInventory[Store Balance],MATCH(A70,TableInventory[Item ID],0)),0)+IFERROR(INDEX(TableInventory[Work In Process],MATCH(A70,TableInventory[Item ID],0)),0)</f>
        <v/>
      </c>
      <c r="G70" s="35">
        <f>F70-E70</f>
        <v/>
      </c>
      <c r="H70" s="36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>
        <f>IF(E70=0,"Not needed",IF(G70&lt;0,"SHORTAGE",IF(G70&lt;F70*0.1,"LOW","OK")))</f>
        <v/>
      </c>
      <c r="J70" s="37">
        <f>IF(B70&lt;&gt;"CAP","",SUMPRODUCT((ISNUMBER(SEARCH("Cap Not Available",'FG Stock'!$H$4:$H$100)))*('FG Stock'!$I$4:$I$100=A70)*'FG Stock'!$F$4:$F$100))</f>
        <v/>
      </c>
      <c r="K70" s="37">
        <f>IF(E70=0,"",MAX(0,E70+IFERROR(J70*1,0)-F70))</f>
        <v/>
      </c>
    </row>
    <row r="71" ht="24" customHeight="1" s="244">
      <c r="A71" s="38" t="n">
        <v>578</v>
      </c>
      <c r="B71" s="38" t="inlineStr">
        <is>
          <t>CAP</t>
        </is>
      </c>
      <c r="C71" s="38" t="inlineStr">
        <is>
          <t>M-12 S/M SPR WHITE DIA 30</t>
        </is>
      </c>
      <c r="D71" s="38" t="inlineStr">
        <is>
          <t>PCS</t>
        </is>
      </c>
      <c r="E71" s="39">
        <f>SUMPRODUCT((TableBOM[Item ID]=A71)*TableBOM[Per 1000 Units]*(1+TableBOM[Scrap %])*SUMIF($D$3:$D$14,TableBOM[Product ID],$H$3:$H$14)/1000)</f>
        <v/>
      </c>
      <c r="F71" s="39">
        <f>IFERROR(INDEX(TableInventory[Store Balance],MATCH(A71,TableInventory[Item ID],0)),0)+IFERROR(INDEX(TableInventory[Work In Process],MATCH(A71,TableInventory[Item ID],0)),0)</f>
        <v/>
      </c>
      <c r="G71" s="44">
        <f>F71-E71</f>
        <v/>
      </c>
      <c r="H71" s="4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/>
      </c>
      <c r="I71" s="30">
        <f>IF(E71=0,"Not needed",IF(G71&lt;0,"SHORTAGE",IF(G71&lt;F71*0.1,"LOW","OK")))</f>
        <v/>
      </c>
      <c r="J71" s="41">
        <f>IF(B71&lt;&gt;"CAP","",SUMPRODUCT((ISNUMBER(SEARCH("Cap Not Available",'FG Stock'!$H$4:$H$100)))*('FG Stock'!$I$4:$I$100=A71)*'FG Stock'!$F$4:$F$100))</f>
        <v/>
      </c>
      <c r="K71" s="41">
        <f>IF(E71=0,"",MAX(0,E71+IFERROR(J71*1,0)-F71))</f>
        <v/>
      </c>
    </row>
    <row r="72" hidden="1" ht="15" customHeight="1" s="244">
      <c r="A72" s="45" t="n">
        <v>9902</v>
      </c>
      <c r="B72" s="45" t="inlineStr">
        <is>
          <t>CAP</t>
        </is>
      </c>
      <c r="C72" s="45" t="inlineStr">
        <is>
          <t>CAP 12.5MM (est)</t>
        </is>
      </c>
      <c r="D72" s="45" t="inlineStr">
        <is>
          <t>PCS</t>
        </is>
      </c>
      <c r="E72" s="46">
        <f>SUMPRODUCT((TableBOM[Item ID]=A72)*TableBOM[Per 1000 Units]*(1+TableBOM[Scrap %])*SUMIF($D$3:$D$14,TableBOM[Product ID],$H$3:$H$14)/1000)</f>
        <v/>
      </c>
      <c r="F72" s="46">
        <f>IFERROR(INDEX(TableInventory[Store Balance],MATCH(A72,TableInventory[Item ID],0)),0)+IFERROR(INDEX(TableInventory[Work In Process],MATCH(A72,TableInventory[Item ID],0)),0)</f>
        <v/>
      </c>
      <c r="G72" s="46">
        <f>F72-E72</f>
        <v/>
      </c>
      <c r="H72" s="47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>
        <f>IF(E72=0,"Not needed",IF(G72&lt;0,"SHORTAGE",IF(G72&lt;F72*0.1,"LOW","OK")))</f>
        <v/>
      </c>
      <c r="J72" s="48">
        <f>IF(B72&lt;&gt;"CAP","",SUMPRODUCT((ISNUMBER(SEARCH("Cap Not Available",'FG Stock'!$H$4:$H$100)))*('FG Stock'!$I$4:$I$100=A72)*'FG Stock'!$F$4:$F$100))</f>
        <v/>
      </c>
      <c r="K72" s="48">
        <f>IF(E72=0,"",MAX(0,E72+IFERROR(J72*1,0)-F72))</f>
        <v/>
      </c>
    </row>
    <row r="73" hidden="1" ht="24" customHeight="1" s="244">
      <c r="A73" s="225" t="n">
        <v>9903</v>
      </c>
      <c r="B73" s="225" t="inlineStr">
        <is>
          <t>CARTON</t>
        </is>
      </c>
      <c r="C73" s="225" t="inlineStr">
        <is>
          <t>CARTON 12.5MM (est)</t>
        </is>
      </c>
      <c r="D73" s="225" t="inlineStr">
        <is>
          <t>PCS</t>
        </is>
      </c>
      <c r="E73" s="27">
        <f>SUMPRODUCT((TableBOM[Item ID]=A73)*TableBOM[Per 1000 Units]*(1+TableBOM[Scrap %])*SUMIF($D$3:$D$14,TableBOM[Product ID],$H$3:$H$14)/1000)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44">
      <c r="A74" s="225" t="n">
        <v>36</v>
      </c>
      <c r="B74" s="225" t="inlineStr">
        <is>
          <t>CARTON</t>
        </is>
      </c>
      <c r="C74" s="225" t="inlineStr">
        <is>
          <t>16X200 3Ply</t>
        </is>
      </c>
      <c r="D74" s="225" t="inlineStr">
        <is>
          <t>PCS</t>
        </is>
      </c>
      <c r="E74" s="27">
        <f>SUMPRODUCT((TableBOM[Item ID]=A74)*TableBOM[Per 1000 Units]*(1+TableBOM[Scrap %])*SUMIF($D$3:$D$14,TableBOM[Product ID],$H$3:$H$14)/1000)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/>
      </c>
      <c r="I74" s="30" t="inlineStr">
        <is>
          <t>Hold. CAPS Not Approved</t>
        </is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24" customHeight="1" s="244">
      <c r="A75" s="225" t="n">
        <v>200</v>
      </c>
      <c r="B75" s="225" t="inlineStr">
        <is>
          <t>CARTON</t>
        </is>
      </c>
      <c r="C75" s="225" t="inlineStr">
        <is>
          <t>DIA 16 5Ply</t>
        </is>
      </c>
      <c r="D75" s="225" t="inlineStr">
        <is>
          <t>PCS</t>
        </is>
      </c>
      <c r="E75" s="27">
        <f>SUMPRODUCT((TableBOM[Item ID]=A75)*TableBOM[Per 1000 Units]*(1+TableBOM[Scrap %])*SUMIF($D$3:$D$14,TableBOM[Product ID],$H$3:$H$14)/1000)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/>
      </c>
      <c r="I75" s="30" t="inlineStr">
        <is>
          <t>Hold. CAPS Not Approved</t>
        </is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24" customHeight="1" s="244">
      <c r="A76" s="225" t="n">
        <v>39</v>
      </c>
      <c r="B76" s="225" t="inlineStr">
        <is>
          <t>CARTON</t>
        </is>
      </c>
      <c r="C76" s="225" t="inlineStr">
        <is>
          <t>19X200 3Ply</t>
        </is>
      </c>
      <c r="D76" s="225" t="inlineStr">
        <is>
          <t>PCS</t>
        </is>
      </c>
      <c r="E76" s="27">
        <f>SUMPRODUCT((TableBOM[Item ID]=A76)*TableBOM[Per 1000 Units]*(1+TableBOM[Scrap %])*SUMIF($D$3:$D$14,TableBOM[Product ID],$H$3:$H$14)/1000)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36" customHeight="1" s="244">
      <c r="A77" s="225" t="n">
        <v>3619</v>
      </c>
      <c r="B77" s="225" t="inlineStr">
        <is>
          <t>CARTON</t>
        </is>
      </c>
      <c r="C77" s="225" t="inlineStr">
        <is>
          <t>20.5x510 5ply</t>
        </is>
      </c>
      <c r="D77" s="225" t="inlineStr">
        <is>
          <t>PCS</t>
        </is>
      </c>
      <c r="E77" s="27">
        <f>SUMPRODUCT((TableBOM[Item ID]=A77)*TableBOM[Per 1000 Units]*(1+TableBOM[Scrap %])*SUMIF($D$3:$D$14,TableBOM[Product ID],$H$3:$H$14)/1000)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24" customHeight="1" s="244">
      <c r="A78" s="225" t="n">
        <v>3598</v>
      </c>
      <c r="B78" s="225" t="inlineStr">
        <is>
          <t>CARTON</t>
        </is>
      </c>
      <c r="C78" s="225" t="inlineStr">
        <is>
          <t>25x336 5Ply</t>
        </is>
      </c>
      <c r="D78" s="225" t="inlineStr">
        <is>
          <t>PCS</t>
        </is>
      </c>
      <c r="E78" s="27">
        <f>SUMPRODUCT((TableBOM[Item ID]=A78)*TableBOM[Per 1000 Units]*(1+TableBOM[Scrap %])*SUMIF($D$3:$D$14,TableBOM[Product ID],$H$3:$H$14)/1000)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24" customHeight="1" s="244">
      <c r="A79" s="225" t="n">
        <v>45</v>
      </c>
      <c r="B79" s="225" t="inlineStr">
        <is>
          <t>CARTON</t>
        </is>
      </c>
      <c r="C79" s="225" t="inlineStr">
        <is>
          <t>30X150 3Ply</t>
        </is>
      </c>
      <c r="D79" s="225" t="inlineStr">
        <is>
          <t>PCS</t>
        </is>
      </c>
      <c r="E79" s="27">
        <f>SUMPRODUCT((TableBOM[Item ID]=A79)*TableBOM[Per 1000 Units]*(1+TableBOM[Scrap %])*SUMIF($D$3:$D$14,TableBOM[Product ID],$H$3:$H$14)/1000)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44">
      <c r="A80" s="225" t="n">
        <v>3988</v>
      </c>
      <c r="B80" s="225" t="inlineStr">
        <is>
          <t>CARTON</t>
        </is>
      </c>
      <c r="C80" s="225" t="inlineStr">
        <is>
          <t>35x165 5ply</t>
        </is>
      </c>
      <c r="D80" s="225" t="inlineStr">
        <is>
          <t>PCS</t>
        </is>
      </c>
      <c r="E80" s="27">
        <f>SUMPRODUCT((TableBOM[Item ID]=A80)*TableBOM[Per 1000 Units]*(1+TableBOM[Scrap %])*SUMIF($D$3:$D$14,TableBOM[Product ID],$H$3:$H$14)/1000)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60" customHeight="1" s="244">
      <c r="A81" s="225" t="n">
        <v>5977</v>
      </c>
      <c r="B81" s="225" t="inlineStr">
        <is>
          <t>CARTON</t>
        </is>
      </c>
      <c r="C81" s="225" t="inlineStr">
        <is>
          <t>MASTER CARTON 38"X24"X15.5"</t>
        </is>
      </c>
      <c r="D81" s="225" t="inlineStr">
        <is>
          <t>PCS</t>
        </is>
      </c>
      <c r="E81" s="27">
        <f>SUMPRODUCT((TableBOM[Item ID]=A81)*TableBOM[Per 1000 Units]*(1+TableBOM[Scrap %])*SUMIF($D$3:$D$14,TableBOM[Product ID],$H$3:$H$14)/1000)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24" customHeight="1" s="244">
      <c r="A82" s="225" t="n">
        <v>3635</v>
      </c>
      <c r="B82" s="225" t="inlineStr">
        <is>
          <t>TAPE</t>
        </is>
      </c>
      <c r="C82" s="225" t="inlineStr">
        <is>
          <t>PACKING TAPE 2" OF 60 YARDS</t>
        </is>
      </c>
      <c r="D82" s="225" t="inlineStr">
        <is>
          <t>PCS</t>
        </is>
      </c>
      <c r="E82" s="27">
        <f>SUMPRODUCT((TableBOM[Item ID]=A82)*TableBOM[Per 1000 Units]*(1+TableBOM[Scrap %])*SUMIF($D$3:$D$14,TableBOM[Product ID],$H$3:$H$14)/1000)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44">
      <c r="A83" s="225" t="n">
        <v>190</v>
      </c>
      <c r="B83" s="225" t="inlineStr">
        <is>
          <t>THINNER</t>
        </is>
      </c>
      <c r="C83" s="225" t="inlineStr">
        <is>
          <t>THINNER FOR LACQUER SOL R/C</t>
        </is>
      </c>
      <c r="D83" s="225" t="inlineStr">
        <is>
          <t>L</t>
        </is>
      </c>
      <c r="E83" s="27">
        <f>SUMPRODUCT((TableBOM[Item ID]=A83)*TableBOM[Per 1000 Units]*(1+TableBOM[Scrap %])*SUMIF($D$3:$D$14,TableBOM[Product ID],$H$3:$H$14)/1000)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44">
      <c r="A84" s="225" t="n">
        <v>191</v>
      </c>
      <c r="B84" s="225" t="inlineStr">
        <is>
          <t>THINNER</t>
        </is>
      </c>
      <c r="C84" s="225" t="inlineStr">
        <is>
          <t>THINNER LACQUER SOL EPOXY</t>
        </is>
      </c>
      <c r="D84" s="225" t="inlineStr">
        <is>
          <t>L</t>
        </is>
      </c>
      <c r="E84" s="27">
        <f>SUMPRODUCT((TableBOM[Item ID]=A84)*TableBOM[Per 1000 Units]*(1+TableBOM[Scrap %])*SUMIF($D$3:$D$14,TableBOM[Product ID],$H$3:$H$14)/1000)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44">
      <c r="A85" s="225" t="n">
        <v>2680</v>
      </c>
      <c r="B85" s="225" t="inlineStr">
        <is>
          <t>PET RESIN</t>
        </is>
      </c>
      <c r="C85" s="225" t="inlineStr">
        <is>
          <t>PET RESIN A-84</t>
        </is>
      </c>
      <c r="D85" s="225" t="inlineStr">
        <is>
          <t>kg</t>
        </is>
      </c>
      <c r="E85" s="27">
        <f>SUMPRODUCT((TableBOM[Item ID]=A85)*TableBOM[Per 1000 Units]*(1+TableBOM[Scrap %])*SUMIF($D$3:$D$14,TableBOM[Product ID],$H$3:$H$14)/1000)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44">
      <c r="A86" s="225" t="n">
        <v>3492</v>
      </c>
      <c r="B86" s="225" t="inlineStr">
        <is>
          <t>MASTER BATCH</t>
        </is>
      </c>
      <c r="C86" s="225" t="inlineStr">
        <is>
          <t>MASTER BATCH (PA M27) GREEN</t>
        </is>
      </c>
      <c r="D86" s="225" t="inlineStr">
        <is>
          <t>kg</t>
        </is>
      </c>
      <c r="E86" s="27">
        <f>SUMPRODUCT((TableBOM[Item ID]=A86)*TableBOM[Per 1000 Units]*(1+TableBOM[Scrap %])*SUMIF($D$3:$D$14,TableBOM[Product ID],$H$3:$H$14)/1000)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44">
      <c r="A87" s="225" t="n">
        <v>4002</v>
      </c>
      <c r="B87" s="225" t="inlineStr">
        <is>
          <t>MASTER BATCH</t>
        </is>
      </c>
      <c r="C87" s="225" t="inlineStr">
        <is>
          <t>MASTER BATCH YELLOW CMN# 3087</t>
        </is>
      </c>
      <c r="D87" s="225" t="inlineStr">
        <is>
          <t>kg</t>
        </is>
      </c>
      <c r="E87" s="27">
        <f>SUMPRODUCT((TableBOM[Item ID]=A87)*TableBOM[Per 1000 Units]*(1+TableBOM[Scrap %])*SUMIF($D$3:$D$14,TableBOM[Product ID],$H$3:$H$14)/1000)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44">
      <c r="A88" s="225" t="n">
        <v>4070</v>
      </c>
      <c r="B88" s="225" t="inlineStr">
        <is>
          <t>MASTER BATCH</t>
        </is>
      </c>
      <c r="C88" s="225" t="inlineStr">
        <is>
          <t>MASTER BATCH ONCOLOR YELLOW NE12340208-ZN</t>
        </is>
      </c>
      <c r="D88" s="225" t="inlineStr">
        <is>
          <t>kg</t>
        </is>
      </c>
      <c r="E88" s="27">
        <f>SUMPRODUCT((TableBOM[Item ID]=A88)*TableBOM[Per 1000 Units]*(1+TableBOM[Scrap %])*SUMIF($D$3:$D$14,TableBOM[Product ID],$H$3:$H$14)/1000)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44">
      <c r="A89" s="225" t="n">
        <v>4310</v>
      </c>
      <c r="B89" s="225" t="inlineStr">
        <is>
          <t>MASTER BATCH</t>
        </is>
      </c>
      <c r="C89" s="225" t="inlineStr">
        <is>
          <t>MASTER BATCH BEIGE (RCW-25)</t>
        </is>
      </c>
      <c r="D89" s="225" t="inlineStr">
        <is>
          <t>kg</t>
        </is>
      </c>
      <c r="E89" s="27">
        <f>SUMPRODUCT((TableBOM[Item ID]=A89)*TableBOM[Per 1000 Units]*(1+TableBOM[Scrap %])*SUMIF($D$3:$D$14,TableBOM[Product ID],$H$3:$H$14)/1000)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44">
      <c r="A90" s="225" t="n">
        <v>5625</v>
      </c>
      <c r="B90" s="225" t="inlineStr">
        <is>
          <t>MASTER BATCH</t>
        </is>
      </c>
      <c r="C90" s="225" t="inlineStr">
        <is>
          <t>MASTER BATCH AMBAR BR-535n</t>
        </is>
      </c>
      <c r="D90" s="225" t="inlineStr">
        <is>
          <t>kg</t>
        </is>
      </c>
      <c r="E90" s="27">
        <f>SUMPRODUCT((TableBOM[Item ID]=A90)*TableBOM[Per 1000 Units]*(1+TableBOM[Scrap %])*SUMIF($D$3:$D$14,TableBOM[Product ID],$H$3:$H$14)/1000)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44">
      <c r="A91" s="225" t="n">
        <v>5816</v>
      </c>
      <c r="B91" s="225" t="inlineStr">
        <is>
          <t>MASTER BATCH</t>
        </is>
      </c>
      <c r="C91" s="225" t="inlineStr">
        <is>
          <t>MASTER BATCH WHITE PRC-MC ET02340000</t>
        </is>
      </c>
      <c r="D91" s="225" t="inlineStr">
        <is>
          <t>kg</t>
        </is>
      </c>
      <c r="E91" s="27">
        <f>SUMPRODUCT((TableBOM[Item ID]=A91)*TableBOM[Per 1000 Units]*(1+TableBOM[Scrap %])*SUMIF($D$3:$D$14,TableBOM[Product ID],$H$3:$H$14)/1000)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44">
      <c r="A92" s="225" t="n">
        <v>6135</v>
      </c>
      <c r="B92" s="225" t="inlineStr">
        <is>
          <t>MASTER BATCH</t>
        </is>
      </c>
      <c r="C92" s="225" t="inlineStr">
        <is>
          <t>MASTER BATCH RENOL-GREEN NE60340193-MN</t>
        </is>
      </c>
      <c r="D92" s="225" t="inlineStr">
        <is>
          <t>kg</t>
        </is>
      </c>
      <c r="E92" s="27">
        <f>SUMPRODUCT((TableBOM[Item ID]=A92)*TableBOM[Per 1000 Units]*(1+TableBOM[Scrap %])*SUMIF($D$3:$D$14,TableBOM[Product ID],$H$3:$H$14)/1000)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44">
      <c r="A93" s="225" t="n">
        <v>7133</v>
      </c>
      <c r="B93" s="225" t="inlineStr">
        <is>
          <t>MASTER BATCH</t>
        </is>
      </c>
      <c r="C93" s="225" t="inlineStr">
        <is>
          <t>MASTER BATCH GREEN PE63340532-ZN FA</t>
        </is>
      </c>
      <c r="D93" s="225" t="inlineStr">
        <is>
          <t>kg</t>
        </is>
      </c>
      <c r="E93" s="27">
        <f>SUMPRODUCT((TableBOM[Item ID]=A93)*TableBOM[Per 1000 Units]*(1+TableBOM[Scrap %])*SUMIF($D$3:$D$14,TableBOM[Product ID],$H$3:$H$14)/1000)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44">
      <c r="A94" s="225" t="n">
        <v>7412</v>
      </c>
      <c r="B94" s="225" t="inlineStr">
        <is>
          <t>MASTER BATCH</t>
        </is>
      </c>
      <c r="C94" s="225" t="inlineStr">
        <is>
          <t>MASTER BATCH BLACK DP# 6411</t>
        </is>
      </c>
      <c r="D94" s="225" t="inlineStr">
        <is>
          <t>kg</t>
        </is>
      </c>
      <c r="E94" s="27">
        <f>SUMPRODUCT((TableBOM[Item ID]=A94)*TableBOM[Per 1000 Units]*(1+TableBOM[Scrap %])*SUMIF($D$3:$D$14,TableBOM[Product ID],$H$3:$H$14)/1000)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44">
      <c r="A95" s="225" t="n">
        <v>3752</v>
      </c>
      <c r="B95" s="225" t="inlineStr">
        <is>
          <t>GRANULES</t>
        </is>
      </c>
      <c r="C95" s="225" t="inlineStr">
        <is>
          <t>HIGH DENSITY POLY ETHYLINE (HDPE) 200050</t>
        </is>
      </c>
      <c r="D95" s="225" t="inlineStr">
        <is>
          <t>kg</t>
        </is>
      </c>
      <c r="E95" s="27">
        <f>SUMPRODUCT((TableBOM[Item ID]=A95)*TableBOM[Per 1000 Units]*(1+TableBOM[Scrap %])*SUMIF($D$3:$D$14,TableBOM[Product ID],$H$3:$H$14)/1000)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idden="1" ht="15" customHeight="1" s="244">
      <c r="A96" s="225" t="n">
        <v>4248</v>
      </c>
      <c r="B96" s="225" t="inlineStr">
        <is>
          <t>GRANULES</t>
        </is>
      </c>
      <c r="C96" s="225" t="inlineStr">
        <is>
          <t>LOW DENSITY POLY ETHYLENE ( LDPE 4025AS AB247Y01)</t>
        </is>
      </c>
      <c r="D96" s="225" t="inlineStr">
        <is>
          <t>kg</t>
        </is>
      </c>
      <c r="E96" s="27">
        <f>SUMPRODUCT((TableBOM[Item ID]=A96)*TableBOM[Per 1000 Units]*(1+TableBOM[Scrap %])*SUMIF($D$3:$D$14,TableBOM[Product ID],$H$3:$H$14)/1000)</f>
        <v/>
      </c>
      <c r="F96" s="27">
        <f>IFERROR(INDEX(TableInventory[Store Balance],MATCH(A96,TableInventory[Item ID],0)),0)+IFERROR(INDEX(TableInventory[Work In Process],MATCH(A96,TableInventory[Item ID],0)),0)</f>
        <v/>
      </c>
      <c r="G96" s="27">
        <f>F96-E96</f>
        <v/>
      </c>
      <c r="H96" s="28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>
        <f>IF(E96=0,"Not needed",IF(G96&lt;0,"SHORTAGE",IF(G96&lt;F96*0.1,"LOW","OK")))</f>
        <v/>
      </c>
      <c r="J96" s="30">
        <f>IF(B96&lt;&gt;"CAP","",SUMPRODUCT((ISNUMBER(SEARCH("Cap Not Available",'FG Stock'!$H$4:$H$100)))*('FG Stock'!$I$4:$I$100=A96)*'FG Stock'!$F$4:$F$100))</f>
        <v/>
      </c>
      <c r="K96" s="30">
        <f>IF(E96=0,"",MAX(0,E96+IFERROR(J96*1,0)-F96))</f>
        <v/>
      </c>
    </row>
    <row r="97" hidden="1" ht="15" customHeight="1" s="244">
      <c r="A97" s="225" t="n">
        <v>6042</v>
      </c>
      <c r="B97" s="225" t="inlineStr">
        <is>
          <t>GRANULES</t>
        </is>
      </c>
      <c r="C97" s="225" t="inlineStr">
        <is>
          <t>HDPE BLOW NATURAL ( MARLEX )</t>
        </is>
      </c>
      <c r="D97" s="225" t="inlineStr">
        <is>
          <t>kg</t>
        </is>
      </c>
      <c r="E97" s="27">
        <f>SUMPRODUCT((TableBOM[Item ID]=A97)*TableBOM[Per 1000 Units]*(1+TableBOM[Scrap %])*SUMIF($D$3:$D$14,TableBOM[Product ID],$H$3:$H$14)/1000)</f>
        <v/>
      </c>
      <c r="F97" s="27">
        <f>IFERROR(INDEX(TableInventory[Store Balance],MATCH(A97,TableInventory[Item ID],0)),0)+IFERROR(INDEX(TableInventory[Work In Process],MATCH(A97,TableInventory[Item ID],0)),0)</f>
        <v/>
      </c>
      <c r="G97" s="27">
        <f>F97-E97</f>
        <v/>
      </c>
      <c r="H97" s="28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>
        <f>IF(E97=0,"Not needed",IF(G97&lt;0,"SHORTAGE",IF(G97&lt;F97*0.1,"LOW","OK")))</f>
        <v/>
      </c>
      <c r="J97" s="30">
        <f>IF(B97&lt;&gt;"CAP","",SUMPRODUCT((ISNUMBER(SEARCH("Cap Not Available",'FG Stock'!$H$4:$H$100)))*('FG Stock'!$I$4:$I$100=A97)*'FG Stock'!$F$4:$F$100))</f>
        <v/>
      </c>
      <c r="K97" s="30">
        <f>IF(E97=0,"",MAX(0,E97+IFERROR(J97*1,0)-F97))</f>
        <v/>
      </c>
    </row>
    <row r="98" hidden="1" ht="15" customHeight="1" s="244">
      <c r="A98" s="225" t="n">
        <v>2267</v>
      </c>
      <c r="B98" s="225" t="inlineStr">
        <is>
          <t>POLY BAG</t>
        </is>
      </c>
      <c r="C98" s="225" t="inlineStr">
        <is>
          <t>POLY BAG 20X30 (LDPE)</t>
        </is>
      </c>
      <c r="D98" s="225" t="inlineStr">
        <is>
          <t>PCS</t>
        </is>
      </c>
      <c r="E98" s="27">
        <f>SUMPRODUCT((TableBOM[Item ID]=A98)*TableBOM[Per 1000 Units]*(1+TableBOM[Scrap %])*SUMIF($D$3:$D$14,TableBOM[Product ID],$H$3:$H$14)/1000)</f>
        <v/>
      </c>
      <c r="F98" s="27">
        <f>IFERROR(INDEX(TableInventory[Store Balance],MATCH(A98,TableInventory[Item ID],0)),0)+IFERROR(INDEX(TableInventory[Work In Process],MATCH(A98,TableInventory[Item ID],0)),0)</f>
        <v/>
      </c>
      <c r="G98" s="27">
        <f>F98-E98</f>
        <v/>
      </c>
      <c r="H98" s="28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>
        <f>IF(E98=0,"Not needed",IF(G98&lt;0,"SHORTAGE",IF(G98&lt;F98*0.1,"LOW","OK")))</f>
        <v/>
      </c>
      <c r="J98" s="30">
        <f>IF(B98&lt;&gt;"CAP","",SUMPRODUCT((ISNUMBER(SEARCH("Cap Not Available",'FG Stock'!$H$4:$H$100)))*('FG Stock'!$I$4:$I$100=A98)*'FG Stock'!$F$4:$F$100))</f>
        <v/>
      </c>
      <c r="K98" s="30">
        <f>IF(E98=0,"",MAX(0,E98+IFERROR(J98*1,0)-F98))</f>
        <v/>
      </c>
    </row>
    <row r="99" hidden="1" ht="15" customHeight="1" s="244">
      <c r="A99" s="225" t="n">
        <v>3006</v>
      </c>
      <c r="B99" s="225" t="inlineStr">
        <is>
          <t>POLY BAG</t>
        </is>
      </c>
      <c r="C99" s="225" t="inlineStr">
        <is>
          <t>POLY BAG 24X36 (LDPE)</t>
        </is>
      </c>
      <c r="D99" s="225" t="inlineStr">
        <is>
          <t>PCS</t>
        </is>
      </c>
      <c r="E99" s="27">
        <f>SUMPRODUCT((TableBOM[Item ID]=A99)*TableBOM[Per 1000 Units]*(1+TableBOM[Scrap %])*SUMIF($D$3:$D$14,TableBOM[Product ID],$H$3:$H$14)/1000)</f>
        <v/>
      </c>
      <c r="F99" s="27">
        <f>IFERROR(INDEX(TableInventory[Store Balance],MATCH(A99,TableInventory[Item ID],0)),0)+IFERROR(INDEX(TableInventory[Work In Process],MATCH(A99,TableInventory[Item ID],0)),0)</f>
        <v/>
      </c>
      <c r="G99" s="27">
        <f>F99-E99</f>
        <v/>
      </c>
      <c r="H99" s="28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>
        <f>IF(E99=0,"Not needed",IF(G99&lt;0,"SHORTAGE",IF(G99&lt;F99*0.1,"LOW","OK")))</f>
        <v/>
      </c>
      <c r="J99" s="30">
        <f>IF(B99&lt;&gt;"CAP","",SUMPRODUCT((ISNUMBER(SEARCH("Cap Not Available",'FG Stock'!$H$4:$H$100)))*('FG Stock'!$I$4:$I$100=A99)*'FG Stock'!$F$4:$F$100))</f>
        <v/>
      </c>
      <c r="K99" s="30">
        <f>IF(E99=0,"",MAX(0,E99+IFERROR(J99*1,0)-F99))</f>
        <v/>
      </c>
    </row>
    <row r="100" hidden="1" ht="15" customHeight="1" s="244">
      <c r="A100" s="225" t="n">
        <v>3043</v>
      </c>
      <c r="B100" s="225" t="inlineStr">
        <is>
          <t>PACKING</t>
        </is>
      </c>
      <c r="C100" s="225" t="inlineStr">
        <is>
          <t>PLASTIC DOORI</t>
        </is>
      </c>
      <c r="D100" s="225" t="inlineStr">
        <is>
          <t>ROLL</t>
        </is>
      </c>
      <c r="E100" s="27">
        <f>SUMPRODUCT((TableBOM[Item ID]=A100)*TableBOM[Per 1000 Units]*(1+TableBOM[Scrap %])*SUMIF($D$3:$D$14,TableBOM[Product ID],$H$3:$H$14)/1000)</f>
        <v/>
      </c>
      <c r="F100" s="27">
        <f>IFERROR(INDEX(TableInventory[Store Balance],MATCH(A100,TableInventory[Item ID],0)),0)+IFERROR(INDEX(TableInventory[Work In Process],MATCH(A100,TableInventory[Item ID],0)),0)</f>
        <v/>
      </c>
      <c r="G100" s="27">
        <f>F100-E100</f>
        <v/>
      </c>
      <c r="H100" s="28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>
        <f>IF(E100=0,"Not needed",IF(G100&lt;0,"SHORTAGE",IF(G100&lt;F100*0.1,"LOW","OK")))</f>
        <v/>
      </c>
      <c r="J100" s="30">
        <f>IF(B100&lt;&gt;"CAP","",SUMPRODUCT((ISNUMBER(SEARCH("Cap Not Available",'FG Stock'!$H$4:$H$100)))*('FG Stock'!$I$4:$I$100=A100)*'FG Stock'!$F$4:$F$100))</f>
        <v/>
      </c>
      <c r="K100" s="30">
        <f>IF(E100=0,"",MAX(0,E100+IFERROR(J100*1,0)-F100))</f>
        <v/>
      </c>
    </row>
    <row r="101" ht="15" customHeight="1" s="244">
      <c r="A101" s="225" t="n"/>
      <c r="B101" s="225" t="n"/>
      <c r="C101" s="225" t="n"/>
      <c r="D101" s="225" t="n"/>
      <c r="E101" s="33" t="n"/>
      <c r="F101" s="33" t="n"/>
      <c r="G101" s="22" t="n"/>
      <c r="H101" s="28" t="n"/>
      <c r="I101" s="30" t="n"/>
    </row>
    <row r="102" ht="16.5" customHeight="1" s="244">
      <c r="A102" s="225" t="n"/>
      <c r="B102" s="225" t="n"/>
      <c r="C102" s="225" t="n"/>
      <c r="D102" s="225" t="n"/>
      <c r="E102" s="33" t="n"/>
      <c r="F102" s="33" t="n"/>
      <c r="G102" s="22" t="n"/>
      <c r="H102" s="28" t="n"/>
      <c r="I102" s="30" t="n"/>
    </row>
    <row r="103" ht="36.75" customHeight="1" s="244">
      <c r="A103" s="265" t="inlineStr">
        <is>
          <t>June PET 2026 Required Pet Orders</t>
        </is>
      </c>
      <c r="B103" s="226" t="n"/>
      <c r="C103" s="226" t="n"/>
      <c r="D103" s="226" t="n"/>
      <c r="E103" s="226" t="n"/>
      <c r="F103" s="226" t="n"/>
      <c r="G103" s="226" t="n"/>
      <c r="H103" s="226" t="n"/>
      <c r="I103" s="227" t="n"/>
    </row>
    <row r="104" ht="15" customHeight="1" s="244">
      <c r="A104" s="12" t="inlineStr">
        <is>
          <t>Dia</t>
        </is>
      </c>
      <c r="B104" s="12" t="inlineStr">
        <is>
          <t>Customer</t>
        </is>
      </c>
      <c r="C104" s="13" t="inlineStr">
        <is>
          <t>Product Name</t>
        </is>
      </c>
      <c r="D104" s="13" t="inlineStr">
        <is>
          <t>Product ID</t>
        </is>
      </c>
      <c r="E104" s="14" t="inlineStr">
        <is>
          <t>Job Order #</t>
        </is>
      </c>
      <c r="F104" s="14" t="inlineStr">
        <is>
          <t>Required Qty</t>
        </is>
      </c>
      <c r="G104" s="15" t="inlineStr">
        <is>
          <t>Produced</t>
        </is>
      </c>
      <c r="H104" s="12" t="inlineStr">
        <is>
          <t>Remaining Balance</t>
        </is>
      </c>
      <c r="I104" s="13" t="inlineStr">
        <is>
          <t>Priority</t>
        </is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2" t="n"/>
    </row>
    <row r="105" ht="15" customHeight="1" s="244">
      <c r="A105" s="50" t="inlineStr">
        <is>
          <t>120 ml</t>
        </is>
      </c>
      <c r="B105" s="50" t="inlineStr">
        <is>
          <t>Samsol International Private Limited</t>
        </is>
      </c>
      <c r="C105" s="51" t="inlineStr">
        <is>
          <t>PET BOTTLE SMALL (120ML) YELLOW</t>
        </is>
      </c>
      <c r="D105" s="50" t="n">
        <v>8005</v>
      </c>
      <c r="E105" s="52" t="inlineStr">
        <is>
          <t>336 &amp; 337</t>
        </is>
      </c>
      <c r="F105" s="52" t="n">
        <v>19840</v>
      </c>
      <c r="G105" s="53" t="n">
        <v>0</v>
      </c>
      <c r="H105" s="54">
        <f>F105-G105</f>
        <v/>
      </c>
      <c r="I105" s="29" t="n">
        <v>5</v>
      </c>
    </row>
    <row r="106" ht="15" customHeight="1" s="244">
      <c r="A106" s="50" t="inlineStr">
        <is>
          <t>150 ml</t>
        </is>
      </c>
      <c r="B106" s="50" t="inlineStr">
        <is>
          <t>Alpha Labs PVT LTD</t>
        </is>
      </c>
      <c r="C106" s="51" t="inlineStr">
        <is>
          <t>TRANSPARENT BOTTLE 150ML</t>
        </is>
      </c>
      <c r="D106" s="50" t="n">
        <v>8001</v>
      </c>
      <c r="E106" s="52" t="n">
        <v>319</v>
      </c>
      <c r="F106" s="52" t="n">
        <v>250162</v>
      </c>
      <c r="G106" s="53" t="n">
        <v>0</v>
      </c>
      <c r="H106" s="54">
        <f>F106-G106</f>
        <v/>
      </c>
      <c r="I106" s="29" t="n">
        <v>1</v>
      </c>
    </row>
    <row r="107" ht="15" customHeight="1" s="244">
      <c r="A107" s="50" t="inlineStr">
        <is>
          <t>200 ml</t>
        </is>
      </c>
      <c r="B107" s="50" t="inlineStr">
        <is>
          <t>Samsol International Private Limited</t>
        </is>
      </c>
      <c r="C107" s="51" t="inlineStr">
        <is>
          <t>PET BOTTLE LARGE 200ML WHITE</t>
        </is>
      </c>
      <c r="D107" s="50" t="n">
        <v>8007</v>
      </c>
      <c r="E107" s="52" t="inlineStr">
        <is>
          <t>334 &amp; 338</t>
        </is>
      </c>
      <c r="F107" s="52" t="n">
        <v>10000</v>
      </c>
      <c r="G107" s="53">
        <f>SUMPRODUCT((Production_Log!$F$3:$F$8963=D107)*(MONTH(Production_Log!$A$3:$A$8963)=MONTH($H$1))*(YEAR(Production_Log!$A$3:$A$8963)=YEAR($H$1))*Production_Log!$H$3:$H$8963)</f>
        <v/>
      </c>
      <c r="H107" s="54">
        <f>F107-G107</f>
        <v/>
      </c>
      <c r="I107" s="29" t="n">
        <v>3</v>
      </c>
    </row>
    <row r="108" ht="15" customHeight="1" s="244">
      <c r="A108" s="50" t="inlineStr">
        <is>
          <t>200 ml</t>
        </is>
      </c>
      <c r="B108" s="50" t="inlineStr">
        <is>
          <t>Samsol International Private Limited</t>
        </is>
      </c>
      <c r="C108" s="51" t="inlineStr">
        <is>
          <t>BT-200 ML YELLOW</t>
        </is>
      </c>
      <c r="D108" s="50" t="n">
        <v>8006</v>
      </c>
      <c r="E108" s="52" t="inlineStr">
        <is>
          <t>335</t>
        </is>
      </c>
      <c r="F108" s="52" t="n">
        <v>42400</v>
      </c>
      <c r="G108" s="53">
        <f>SUMPRODUCT((Production_Log!$F$3:$F$8963=D108)*(MONTH(Production_Log!$A$3:$A$8963)=MONTH($H$1))*(YEAR(Production_Log!$A$3:$A$8963)=YEAR($H$1))*Production_Log!$H$3:$H$8963)</f>
        <v/>
      </c>
      <c r="H108" s="54">
        <f>F108-G108</f>
        <v/>
      </c>
      <c r="I108" s="29" t="n">
        <v>4</v>
      </c>
    </row>
    <row r="109" ht="15" customHeight="1" s="244">
      <c r="A109" s="50" t="inlineStr">
        <is>
          <t>200 ml</t>
        </is>
      </c>
      <c r="B109" s="50" t="inlineStr">
        <is>
          <t>Samsol International Private Limited</t>
        </is>
      </c>
      <c r="C109" s="51" t="inlineStr">
        <is>
          <t>BT-200ML MUSTARD OIL (TRANSPARENT)</t>
        </is>
      </c>
      <c r="D109" s="50" t="n">
        <v>8014</v>
      </c>
      <c r="E109" s="52" t="inlineStr">
        <is>
          <t>339</t>
        </is>
      </c>
      <c r="F109" s="52" t="n">
        <v>10000</v>
      </c>
      <c r="G109" s="53">
        <f>SUMPRODUCT((Production_Log!$F$3:$F$8963=D109)*(MONTH(Production_Log!$A$3:$A$8963)=MONTH($H$1))*(YEAR(Production_Log!$A$3:$A$8963)=YEAR($H$1))*Production_Log!$H$3:$H$8963)</f>
        <v/>
      </c>
      <c r="H109" s="54">
        <f>F109-G109</f>
        <v/>
      </c>
      <c r="I109" s="29" t="n">
        <v>2</v>
      </c>
    </row>
    <row r="110" ht="15" customHeight="1" s="244">
      <c r="A110" s="225" t="n"/>
      <c r="B110" s="225" t="n"/>
      <c r="C110" s="225" t="n"/>
      <c r="D110" s="225" t="n"/>
      <c r="E110" s="22" t="inlineStr">
        <is>
          <t>TOTAL:</t>
        </is>
      </c>
      <c r="F110" s="22">
        <f>SUBTOTAL(9,F105:F109)</f>
        <v/>
      </c>
      <c r="G110" s="22">
        <f>SUBTOTAL(9,G105:G109)</f>
        <v/>
      </c>
      <c r="H110" s="22">
        <f>SUBTOTAL(9,H105:H109)</f>
        <v/>
      </c>
      <c r="I110" s="11" t="n"/>
      <c r="J110" s="11" t="n"/>
    </row>
    <row r="111" ht="15" customHeight="1" s="244">
      <c r="A111" s="16" t="n"/>
      <c r="B111" s="16" t="n"/>
      <c r="C111" s="17" t="n"/>
      <c r="D111" s="16" t="n"/>
      <c r="E111" s="18" t="n"/>
      <c r="F111" s="18" t="n"/>
      <c r="G111" s="55" t="n"/>
      <c r="H111" s="18" t="n"/>
      <c r="I111" s="29" t="n"/>
    </row>
    <row r="112" ht="36" customHeight="1" s="244">
      <c r="A112" s="228" t="inlineStr">
        <is>
          <t>JUNE PET MATERIAL REQUIREMENT PLAN</t>
        </is>
      </c>
      <c r="B112" s="226" t="n"/>
      <c r="C112" s="226" t="n"/>
      <c r="D112" s="226" t="n"/>
      <c r="E112" s="226" t="n"/>
      <c r="F112" s="226" t="n"/>
      <c r="G112" s="226" t="n"/>
      <c r="H112" s="226" t="n"/>
      <c r="I112" s="226" t="n"/>
    </row>
    <row r="113" ht="36" customHeight="1" s="244">
      <c r="A113" s="56" t="inlineStr">
        <is>
          <t>Item ID</t>
        </is>
      </c>
      <c r="B113" s="56" t="inlineStr">
        <is>
          <t>Category</t>
        </is>
      </c>
      <c r="C113" s="57" t="inlineStr">
        <is>
          <t>Item Name</t>
        </is>
      </c>
      <c r="D113" s="56" t="inlineStr">
        <is>
          <t>UOM</t>
        </is>
      </c>
      <c r="E113" s="58" t="inlineStr">
        <is>
          <t>Required Qty</t>
        </is>
      </c>
      <c r="F113" s="15" t="inlineStr">
        <is>
          <t>Current Stock (Store + WIP)</t>
        </is>
      </c>
      <c r="G113" s="15" t="inlineStr">
        <is>
          <t>Surplus / (Deficit)</t>
        </is>
      </c>
      <c r="H113" s="58" t="inlineStr">
        <is>
          <t>Product Name(s)</t>
        </is>
      </c>
      <c r="I113" s="59" t="inlineStr">
        <is>
          <t>Status</t>
        </is>
      </c>
      <c r="K113" s="59" t="inlineStr">
        <is>
          <t>ORDER QTY</t>
        </is>
      </c>
    </row>
    <row r="114">
      <c r="A114" s="225" t="n">
        <v>2680</v>
      </c>
      <c r="B114" s="225" t="inlineStr">
        <is>
          <t>PET RESIN</t>
        </is>
      </c>
      <c r="C114" s="60" t="inlineStr">
        <is>
          <t>PET RESIN A-84</t>
        </is>
      </c>
      <c r="D114" s="225" t="inlineStr">
        <is>
          <t>kg</t>
        </is>
      </c>
      <c r="E114" s="32">
        <f>SUMPRODUCT((TableBOM[Item ID]=A114)*TableBOM[Per 1000 Units]*(1+TableBOM[Scrap %])*SUMIF($D$105:$D$109,TableBOM[Product ID],$H$105:$H$109)/1000)</f>
        <v/>
      </c>
      <c r="F114" s="32">
        <f>IFERROR(INDEX(TableInventory[Store Balance],MATCH(A114,TableInventory[Item ID],0)),0)+IFERROR(INDEX(TableInventory[Work In Process],MATCH(A114,TableInventory[Item ID],0)),0)</f>
        <v/>
      </c>
      <c r="G114" s="22">
        <f>F114-E114</f>
        <v/>
      </c>
      <c r="H114" s="61">
        <f>IF(LEN(IF((COUNTIFS([1]!TableBOM[Product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",""))&gt;1,LEFT(IF((COUNTIFS([1]!TableBOM[Product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",""),LEN(IF((COUNTIFS([1]!TableBOM[Product ID],$D$105,[1]!TableBOM[Item ID],$A114)&gt;0)*($H$105&gt;0),$C$105&amp;", ","") &amp; IF((COUNTIFS([1]!TableBOM[Product ID],$D$106,[1]!TableBOM[Item ID],$A114)&gt;0)*($H$106&gt;0),$C$106&amp;", ","") &amp; IF((COUNTIFS([1]!TableBOM[Product ID],$D$107,[1]!TableBOM[Item ID],$A114)&gt;0)*($H$107&gt;0),$C$107&amp;", ","") &amp; IF((COUNTIFS([1]!TableBOM[Product ID],$D$108,[1]!TableBOM[Item ID],$A114)&gt;0)*($H$108&gt;0),$C$108&amp;", ","") &amp; IF((COUNTIFS([1]!TableBOM[Product ID],$D$109,[1]!TableBOM[Item ID],$A114)&gt;0)*($H$109&gt;0),$C$109&amp;", ","") &amp; IF((COUNTIFS([1]!TableBOM[Product ID],$D$110,[1]!TableBOM[Item ID],$A114)&gt;0)*($H$110&gt;0),$C$110&amp;", ",""))-2),"")</f>
        <v/>
      </c>
      <c r="I114" s="62">
        <f>IF(E114=0,"Not needed",IF(G114&lt;0,"SHORTAGE",IF(G114&lt;F114*0.1,"LOW","OK")))</f>
        <v/>
      </c>
      <c r="K114" s="62">
        <f>IF(E114=0,"",MAX(0,E114-F114))</f>
        <v/>
      </c>
    </row>
    <row r="115" ht="15" customHeight="1" s="244">
      <c r="A115" s="225" t="n">
        <v>4070</v>
      </c>
      <c r="B115" s="225" t="inlineStr">
        <is>
          <t>MASTER BATCH</t>
        </is>
      </c>
      <c r="C115" s="60" t="inlineStr">
        <is>
          <t>MASTER BATCH ONCOLOR YELLOW NE12340208-ZN</t>
        </is>
      </c>
      <c r="D115" s="225" t="inlineStr">
        <is>
          <t>kg</t>
        </is>
      </c>
      <c r="E115" s="32">
        <f>SUMPRODUCT((TableBOM[Item ID]=A115)*TableBOM[Per 1000 Units]*(1+TableBOM[Scrap %])*SUMIF($D$105:$D$109,TableBOM[Product ID],$H$105:$H$109)/1000)</f>
        <v/>
      </c>
      <c r="F115" s="32">
        <f>IFERROR(INDEX(TableInventory[Store Balance],MATCH(A115,TableInventory[Item ID],0)),0)+IFERROR(INDEX(TableInventory[Work In Process],MATCH(A115,TableInventory[Item ID],0)),0)</f>
        <v/>
      </c>
      <c r="G115" s="22">
        <f>F115-E115</f>
        <v/>
      </c>
      <c r="H115" s="61">
        <f>IF(LEN(IF((COUNTIFS([1]!TableBOM[Product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",""))&gt;1,LEFT(IF((COUNTIFS([1]!TableBOM[Product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",""),LEN(IF((COUNTIFS([1]!TableBOM[Product ID],$D$105,[1]!TableBOM[Item ID],$A115)&gt;0)*($H$105&gt;0),$C$105&amp;", ","") &amp; IF((COUNTIFS([1]!TableBOM[Product ID],$D$106,[1]!TableBOM[Item ID],$A115)&gt;0)*($H$106&gt;0),$C$106&amp;", ","") &amp; IF((COUNTIFS([1]!TableBOM[Product ID],$D$107,[1]!TableBOM[Item ID],$A115)&gt;0)*($H$107&gt;0),$C$107&amp;", ","") &amp; IF((COUNTIFS([1]!TableBOM[Product ID],$D$108,[1]!TableBOM[Item ID],$A115)&gt;0)*($H$108&gt;0),$C$108&amp;", ","") &amp; IF((COUNTIFS([1]!TableBOM[Product ID],$D$109,[1]!TableBOM[Item ID],$A115)&gt;0)*($H$109&gt;0),$C$109&amp;", ","") &amp; IF((COUNTIFS([1]!TableBOM[Product ID],$D$110,[1]!TableBOM[Item ID],$A115)&gt;0)*($H$110&gt;0),$C$110&amp;", ",""))-2),"")</f>
        <v/>
      </c>
      <c r="I115" s="62">
        <f>IF(E115=0,"Not needed",IF(G115&lt;0,"SHORTAGE",IF(G115&lt;F115*0.1,"LOW","OK")))</f>
        <v/>
      </c>
      <c r="K115" s="62">
        <f>IF(E115=0,"",MAX(0,E115-F115))</f>
        <v/>
      </c>
    </row>
    <row r="116" ht="15" customHeight="1" s="244">
      <c r="A116" s="225" t="n">
        <v>5816</v>
      </c>
      <c r="B116" s="225" t="inlineStr">
        <is>
          <t>MASTER BATCH</t>
        </is>
      </c>
      <c r="C116" s="60" t="inlineStr">
        <is>
          <t>MASTER BATCH WHITE PRC-MC ET02340000</t>
        </is>
      </c>
      <c r="D116" s="225" t="inlineStr">
        <is>
          <t>kg</t>
        </is>
      </c>
      <c r="E116" s="32">
        <f>SUMPRODUCT((TableBOM[Item ID]=A116)*TableBOM[Per 1000 Units]*(1+TableBOM[Scrap %])*SUMIF($D$105:$D$109,TableBOM[Product ID],$H$105:$H$109)/1000)</f>
        <v/>
      </c>
      <c r="F116" s="32">
        <f>IFERROR(INDEX(TableInventory[Store Balance],MATCH(A116,TableInventory[Item ID],0)),0)+IFERROR(INDEX(TableInventory[Work In Process],MATCH(A116,TableInventory[Item ID],0)),0)</f>
        <v/>
      </c>
      <c r="G116" s="22">
        <f>F116-E116</f>
        <v/>
      </c>
      <c r="H116" s="61">
        <f>IF(LEN(IF((COUNTIFS([1]!TableBOM[Product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",""))&gt;1,LEFT(IF((COUNTIFS([1]!TableBOM[Product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",""),LEN(IF((COUNTIFS([1]!TableBOM[Product ID],$D$105,[1]!TableBOM[Item ID],$A116)&gt;0)*($H$105&gt;0),$C$105&amp;", ","") &amp; IF((COUNTIFS([1]!TableBOM[Product ID],$D$106,[1]!TableBOM[Item ID],$A116)&gt;0)*($H$106&gt;0),$C$106&amp;", ","") &amp; IF((COUNTIFS([1]!TableBOM[Product ID],$D$107,[1]!TableBOM[Item ID],$A116)&gt;0)*($H$107&gt;0),$C$107&amp;", ","") &amp; IF((COUNTIFS([1]!TableBOM[Product ID],$D$108,[1]!TableBOM[Item ID],$A116)&gt;0)*($H$108&gt;0),$C$108&amp;", ","") &amp; IF((COUNTIFS([1]!TableBOM[Product ID],$D$109,[1]!TableBOM[Item ID],$A116)&gt;0)*($H$109&gt;0),$C$109&amp;", ","") &amp; IF((COUNTIFS([1]!TableBOM[Product ID],$D$110,[1]!TableBOM[Item ID],$A116)&gt;0)*($H$110&gt;0),$C$110&amp;", ",""))-2),"")</f>
        <v/>
      </c>
      <c r="I116" s="62">
        <f>IF(E116=0,"Not needed",IF(G116&lt;0,"SHORTAGE",IF(G116&lt;F116*0.1,"LOW","OK")))</f>
        <v/>
      </c>
      <c r="K116" s="62">
        <f>IF(E116=0,"",MAX(0,E116-F116))</f>
        <v/>
      </c>
    </row>
    <row r="117" ht="15" customHeight="1" s="244">
      <c r="A117" s="225" t="n">
        <v>5977</v>
      </c>
      <c r="B117" s="225" t="inlineStr">
        <is>
          <t>MASTER CARTON</t>
        </is>
      </c>
      <c r="C117" s="60" t="inlineStr">
        <is>
          <t>MASTER CARTON 38"X24"X15.5"</t>
        </is>
      </c>
      <c r="D117" s="225" t="inlineStr">
        <is>
          <t>PCS</t>
        </is>
      </c>
      <c r="E117" s="32">
        <f>SUMPRODUCT((TableBOM[Item ID]=A117)*TableBOM[Per 1000 Units]*(1+TableBOM[Scrap %])*SUMIF($D$105:$D$109,TableBOM[Product ID],$H$105:$H$109)/1000)</f>
        <v/>
      </c>
      <c r="F117" s="32">
        <f>IFERROR(INDEX(TableInventory[Store Balance],MATCH(A117,TableInventory[Item ID],0)),0)+IFERROR(INDEX(TableInventory[Work In Process],MATCH(A117,TableInventory[Item ID],0)),0)</f>
        <v/>
      </c>
      <c r="G117" s="22">
        <f>F117-E117</f>
        <v/>
      </c>
      <c r="H117" s="61">
        <f>IF(LEN(IF((COUNTIFS([1]!TableBOM[Product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",""))&gt;1,LEFT(IF((COUNTIFS([1]!TableBOM[Product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",""),LEN(IF((COUNTIFS([1]!TableBOM[Product ID],$D$105,[1]!TableBOM[Item ID],$A117)&gt;0)*($H$105&gt;0),$C$105&amp;", ","") &amp; IF((COUNTIFS([1]!TableBOM[Product ID],$D$106,[1]!TableBOM[Item ID],$A117)&gt;0)*($H$106&gt;0),$C$106&amp;", ","") &amp; IF((COUNTIFS([1]!TableBOM[Product ID],$D$107,[1]!TableBOM[Item ID],$A117)&gt;0)*($H$107&gt;0),$C$107&amp;", ","") &amp; IF((COUNTIFS([1]!TableBOM[Product ID],$D$108,[1]!TableBOM[Item ID],$A117)&gt;0)*($H$108&gt;0),$C$108&amp;", ","") &amp; IF((COUNTIFS([1]!TableBOM[Product ID],$D$109,[1]!TableBOM[Item ID],$A117)&gt;0)*($H$109&gt;0),$C$109&amp;", ","") &amp; IF((COUNTIFS([1]!TableBOM[Product ID],$D$110,[1]!TableBOM[Item ID],$A117)&gt;0)*($H$110&gt;0),$C$110&amp;", ",""))-2),"")</f>
        <v/>
      </c>
      <c r="I117" s="62">
        <f>IF(E117=0,"Not needed",IF(G117&lt;0,"SHORTAGE",IF(G117&lt;F117*0.1,"LOW","OK")))</f>
        <v/>
      </c>
      <c r="K117" s="62">
        <f>IF(E117=0,"",MAX(0,E117-F117))</f>
        <v/>
      </c>
    </row>
    <row r="118" ht="15" customHeight="1" s="244">
      <c r="A118" s="225" t="n">
        <v>2267</v>
      </c>
      <c r="B118" s="225" t="inlineStr">
        <is>
          <t>POLY BAG</t>
        </is>
      </c>
      <c r="C118" s="60" t="inlineStr">
        <is>
          <t>POLY BAG 20X30 (LDPE)</t>
        </is>
      </c>
      <c r="D118" s="225" t="inlineStr">
        <is>
          <t>PCS</t>
        </is>
      </c>
      <c r="E118" s="32">
        <f>SUMPRODUCT((TableBOM[Item ID]=A118)*TableBOM[Per 1000 Units]*(1+TableBOM[Scrap %])*SUMIF($D$105:$D$109,TableBOM[Product ID],$H$105:$H$109)/1000)</f>
        <v/>
      </c>
      <c r="F118" s="32">
        <f>IFERROR(INDEX(TableInventory[Store Balance],MATCH(A118,TableInventory[Item ID],0)),0)+IFERROR(INDEX(TableInventory[Work In Process],MATCH(A118,TableInventory[Item ID],0)),0)</f>
        <v/>
      </c>
      <c r="G118" s="22">
        <f>F118-E118</f>
        <v/>
      </c>
      <c r="H118" s="61">
        <f>IF(LEN(IF((COUNTIFS([1]!TableBOM[Product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",""))&gt;1,LEFT(IF((COUNTIFS([1]!TableBOM[Product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",""),LEN(IF((COUNTIFS([1]!TableBOM[Product ID],$D$105,[1]!TableBOM[Item ID],$A118)&gt;0)*($H$105&gt;0),$C$105&amp;", ","") &amp; IF((COUNTIFS([1]!TableBOM[Product ID],$D$106,[1]!TableBOM[Item ID],$A118)&gt;0)*($H$106&gt;0),$C$106&amp;", ","") &amp; IF((COUNTIFS([1]!TableBOM[Product ID],$D$107,[1]!TableBOM[Item ID],$A118)&gt;0)*($H$107&gt;0),$C$107&amp;", ","") &amp; IF((COUNTIFS([1]!TableBOM[Product ID],$D$108,[1]!TableBOM[Item ID],$A118)&gt;0)*($H$108&gt;0),$C$108&amp;", ","") &amp; IF((COUNTIFS([1]!TableBOM[Product ID],$D$109,[1]!TableBOM[Item ID],$A118)&gt;0)*($H$109&gt;0),$C$109&amp;", ","") &amp; IF((COUNTIFS([1]!TableBOM[Product ID],$D$110,[1]!TableBOM[Item ID],$A118)&gt;0)*($H$110&gt;0),$C$110&amp;", ",""))-2),"")</f>
        <v/>
      </c>
      <c r="I118" s="63">
        <f>IF(E118=0,"Not needed",IF(G118&lt;0,"SHORTAGE",IF(G118&lt;F118*0.1,"LOW","OK")))</f>
        <v/>
      </c>
      <c r="K118" s="63">
        <f>IF(E118=0,"",MAX(0,E118-F118))</f>
        <v/>
      </c>
    </row>
    <row r="119" ht="15" customHeight="1" s="244">
      <c r="A119" s="225" t="n">
        <v>3006</v>
      </c>
      <c r="B119" s="225" t="inlineStr">
        <is>
          <t>POLY BAG</t>
        </is>
      </c>
      <c r="C119" s="60" t="inlineStr">
        <is>
          <t>POLY BAG 24X36 (LDPE)</t>
        </is>
      </c>
      <c r="D119" s="225" t="inlineStr">
        <is>
          <t>PCS</t>
        </is>
      </c>
      <c r="E119" s="32">
        <f>SUMPRODUCT((TableBOM[Item ID]=A119)*TableBOM[Per 1000 Units]*(1+TableBOM[Scrap %])*SUMIF($D$105:$D$109,TableBOM[Product ID],$H$105:$H$109)/1000)</f>
        <v/>
      </c>
      <c r="F119" s="32">
        <f>IFERROR(INDEX(TableInventory[Store Balance],MATCH(A119,TableInventory[Item ID],0)),0)+IFERROR(INDEX(TableInventory[Work In Process],MATCH(A119,TableInventory[Item ID],0)),0)</f>
        <v/>
      </c>
      <c r="G119" s="22">
        <f>F119-E119</f>
        <v/>
      </c>
      <c r="H119" s="61">
        <f>IF(LEN(IF((COUNTIFS([1]!TableBOM[Product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",""))&gt;1,LEFT(IF((COUNTIFS([1]!TableBOM[Product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",""),LEN(IF((COUNTIFS([1]!TableBOM[Product ID],$D$105,[1]!TableBOM[Item ID],$A119)&gt;0)*($H$105&gt;0),$C$105&amp;", ","") &amp; IF((COUNTIFS([1]!TableBOM[Product ID],$D$106,[1]!TableBOM[Item ID],$A119)&gt;0)*($H$106&gt;0),$C$106&amp;", ","") &amp; IF((COUNTIFS([1]!TableBOM[Product ID],$D$107,[1]!TableBOM[Item ID],$A119)&gt;0)*($H$107&gt;0),$C$107&amp;", ","") &amp; IF((COUNTIFS([1]!TableBOM[Product ID],$D$108,[1]!TableBOM[Item ID],$A119)&gt;0)*($H$108&gt;0),$C$108&amp;", ","") &amp; IF((COUNTIFS([1]!TableBOM[Product ID],$D$109,[1]!TableBOM[Item ID],$A119)&gt;0)*($H$109&gt;0),$C$109&amp;", ","") &amp; IF((COUNTIFS([1]!TableBOM[Product ID],$D$110,[1]!TableBOM[Item ID],$A119)&gt;0)*($H$110&gt;0),$C$110&amp;", ",""))-2),"")</f>
        <v/>
      </c>
      <c r="I119" s="63">
        <f>IF(E119=0,"Not needed",IF(G119&lt;0,"SHORTAGE",IF(G119&lt;F119*0.1,"LOW","OK")))</f>
        <v/>
      </c>
      <c r="K119" s="63">
        <f>IF(E119=0,"",MAX(0,E119-F119))</f>
        <v/>
      </c>
    </row>
    <row r="120" ht="15" customHeight="1" s="244">
      <c r="A120" s="225" t="n">
        <v>3635</v>
      </c>
      <c r="B120" s="225" t="inlineStr">
        <is>
          <t>TAPE</t>
        </is>
      </c>
      <c r="C120" s="60" t="inlineStr">
        <is>
          <t>PACKING TAPE 2" OF 60 YARDS</t>
        </is>
      </c>
      <c r="D120" s="225" t="inlineStr">
        <is>
          <t>PCS</t>
        </is>
      </c>
      <c r="E120" s="32">
        <f>SUMPRODUCT((TableBOM[Item ID]=A120)*TableBOM[Per 1000 Units]*(1+TableBOM[Scrap %])*SUMIF($D$105:$D$109,TableBOM[Product ID],$H$105:$H$109)/1000)</f>
        <v/>
      </c>
      <c r="F120" s="32">
        <f>IFERROR(INDEX(TableInventory[Store Balance],MATCH(A120,TableInventory[Item ID],0)),0)+IFERROR(INDEX(TableInventory[Work In Process],MATCH(A120,TableInventory[Item ID],0)),0)</f>
        <v/>
      </c>
      <c r="G120" s="22">
        <f>F120-E120</f>
        <v/>
      </c>
      <c r="H120" s="61">
        <f>IF(LEN(IF((COUNTIFS([1]!TableBOM[Product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",""))&gt;1,LEFT(IF((COUNTIFS([1]!TableBOM[Product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",""),LEN(IF((COUNTIFS([1]!TableBOM[Product ID],$D$105,[1]!TableBOM[Item ID],$A120)&gt;0)*($H$105&gt;0),$C$105&amp;", ","") &amp; IF((COUNTIFS([1]!TableBOM[Product ID],$D$106,[1]!TableBOM[Item ID],$A120)&gt;0)*($H$106&gt;0),$C$106&amp;", ","") &amp; IF((COUNTIFS([1]!TableBOM[Product ID],$D$107,[1]!TableBOM[Item ID],$A120)&gt;0)*($H$107&gt;0),$C$107&amp;", ","") &amp; IF((COUNTIFS([1]!TableBOM[Product ID],$D$108,[1]!TableBOM[Item ID],$A120)&gt;0)*($H$108&gt;0),$C$108&amp;", ","") &amp; IF((COUNTIFS([1]!TableBOM[Product ID],$D$109,[1]!TableBOM[Item ID],$A120)&gt;0)*($H$109&gt;0),$C$109&amp;", ","") &amp; IF((COUNTIFS([1]!TableBOM[Product ID],$D$110,[1]!TableBOM[Item ID],$A120)&gt;0)*($H$110&gt;0),$C$110&amp;", ",""))-2),"")</f>
        <v/>
      </c>
      <c r="I120" s="63">
        <f>IF(E120=0,"Not needed",IF(G120&lt;0,"SHORTAGE",IF(G120&lt;F120*0.1,"LOW","OK")))</f>
        <v/>
      </c>
      <c r="K120" s="63">
        <f>IF(E120=0,"",MAX(0,E120-F120))</f>
        <v/>
      </c>
    </row>
    <row r="121" ht="15" customHeight="1" s="244">
      <c r="A121" s="225" t="n">
        <v>3043</v>
      </c>
      <c r="B121" s="225" t="inlineStr">
        <is>
          <t>PACKING</t>
        </is>
      </c>
      <c r="C121" s="60" t="inlineStr">
        <is>
          <t>PLASTIC DOORI</t>
        </is>
      </c>
      <c r="D121" s="225" t="inlineStr">
        <is>
          <t>ROLL</t>
        </is>
      </c>
      <c r="E121" s="32">
        <f>SUMPRODUCT((TableBOM[Item ID]=A121)*TableBOM[Per 1000 Units]*(1+TableBOM[Scrap %])*SUMIF($D$105:$D$109,TableBOM[Product ID],$H$105:$H$109)/1000)</f>
        <v/>
      </c>
      <c r="F121" s="32">
        <f>IFERROR(INDEX(TableInventory[Store Balance],MATCH(A121,TableInventory[Item ID],0)),0)+IFERROR(INDEX(TableInventory[Work In Process],MATCH(A121,TableInventory[Item ID],0)),0)</f>
        <v/>
      </c>
      <c r="G121" s="22">
        <f>F121-E121</f>
        <v/>
      </c>
      <c r="H121" s="61">
        <f>IF(LEN(IF((COUNTIFS([1]!TableBOM[Product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",""))&gt;1,LEFT(IF((COUNTIFS([1]!TableBOM[Product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",""),LEN(IF((COUNTIFS([1]!TableBOM[Product ID],$D$105,[1]!TableBOM[Item ID],$A121)&gt;0)*($H$105&gt;0),$C$105&amp;", ","") &amp; IF((COUNTIFS([1]!TableBOM[Product ID],$D$106,[1]!TableBOM[Item ID],$A121)&gt;0)*($H$106&gt;0),$C$106&amp;", ","") &amp; IF((COUNTIFS([1]!TableBOM[Product ID],$D$107,[1]!TableBOM[Item ID],$A121)&gt;0)*($H$107&gt;0),$C$107&amp;", ","") &amp; IF((COUNTIFS([1]!TableBOM[Product ID],$D$108,[1]!TableBOM[Item ID],$A121)&gt;0)*($H$108&gt;0),$C$108&amp;", ","") &amp; IF((COUNTIFS([1]!TableBOM[Product ID],$D$109,[1]!TableBOM[Item ID],$A121)&gt;0)*($H$109&gt;0),$C$109&amp;", ","") &amp; IF((COUNTIFS([1]!TableBOM[Product ID],$D$110,[1]!TableBOM[Item ID],$A121)&gt;0)*($H$110&gt;0),$C$110&amp;", ",""))-2),"")</f>
        <v/>
      </c>
      <c r="I121" s="63">
        <f>IF(E121=0,"Not needed",IF(G121&lt;0,"SHORTAGE",IF(G121&lt;F121*0.1,"LOW","OK")))</f>
        <v/>
      </c>
      <c r="K121" s="63">
        <f>IF(E121=0,"",MAX(0,E121-F121))</f>
        <v/>
      </c>
    </row>
    <row r="122" ht="18" customHeight="1" s="244">
      <c r="A122" s="225" t="n"/>
      <c r="B122" s="226" t="n"/>
      <c r="C122" s="226" t="n"/>
      <c r="D122" s="226" t="n"/>
      <c r="E122" s="226" t="n"/>
      <c r="F122" s="226" t="n"/>
      <c r="G122" s="226" t="n"/>
      <c r="H122" s="226" t="n"/>
      <c r="I122" s="227" t="n"/>
    </row>
    <row r="123" ht="30" customHeight="1" s="244">
      <c r="A123" s="6" t="inlineStr">
        <is>
          <t xml:space="preserve">  INK — Avg Monthly Usage  |  Data: May 2025 – Apr 2026  |  271.9 kg issued  /  8,617,293 tubes  =  31.6 g / 1,000 tubes</t>
        </is>
      </c>
      <c r="B123" s="7" t="n"/>
      <c r="C123" s="7" t="n"/>
      <c r="D123" s="7" t="n"/>
      <c r="E123" s="7" t="n"/>
      <c r="F123" s="7" t="n"/>
      <c r="G123" s="7" t="n"/>
      <c r="H123" s="49" t="n"/>
      <c r="I123" s="49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5" customHeight="1" s="244">
      <c r="A124" s="56" t="inlineStr">
        <is>
          <t>Item ID</t>
        </is>
      </c>
      <c r="B124" s="56" t="inlineStr">
        <is>
          <t>Category</t>
        </is>
      </c>
      <c r="C124" s="57" t="inlineStr">
        <is>
          <t>Item Name</t>
        </is>
      </c>
      <c r="D124" s="56" t="inlineStr">
        <is>
          <t>UOM</t>
        </is>
      </c>
      <c r="E124" s="195" t="inlineStr">
        <is>
          <t>Avg Monthly
Usage (kg)</t>
        </is>
      </c>
      <c r="F124" s="14" t="inlineStr">
        <is>
          <t>Days of
Stock Left</t>
        </is>
      </c>
      <c r="G124" s="15" t="inlineStr">
        <is>
          <t>Status</t>
        </is>
      </c>
      <c r="H124" s="195" t="inlineStr">
        <is>
          <t>Current Stock
(Store + WIP)</t>
        </is>
      </c>
      <c r="I124" s="56" t="inlineStr">
        <is>
          <t>g / 1,000
tubes (ref)</t>
        </is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5" customHeight="1" s="244">
      <c r="A125" s="225" t="n">
        <v>3734</v>
      </c>
      <c r="B125" s="225" t="inlineStr">
        <is>
          <t>INK</t>
        </is>
      </c>
      <c r="C125" s="60" t="inlineStr">
        <is>
          <t>MAGENTA (LOCAL) 32500</t>
        </is>
      </c>
      <c r="D125" s="225" t="inlineStr">
        <is>
          <t>kg</t>
        </is>
      </c>
      <c r="E125" s="33">
        <f>SUMPRODUCT((TableBOM[Item ID]=A125)*TableBOM[Per 1000 Units]*(1+TableBOM[Scrap %])*SUMIF($D$3:$D$14,TableBOM[Product ID],$H$3:$H$14)/1000)</f>
        <v/>
      </c>
      <c r="F125" s="196">
        <f>IF(E125=0,0,ROUND(H125/E125*30,1))</f>
        <v/>
      </c>
      <c r="G125" s="22">
        <f>IF(E125=0,"Not needed",IF(H125-E125&lt;0,"SHORTAGE",IF(H125-E125&lt;E125,"LOW","OK")))</f>
        <v/>
      </c>
      <c r="H125" s="33">
        <f>IFERROR(INDEX(TableInventory[Store Balance],MATCH(A125,TableInventory[Item ID],0)),0)+IFERROR(INDEX(TableInventory[Work In Process],MATCH(A125,TableInventory[Item ID],0)),0)</f>
        <v/>
      </c>
      <c r="I125" s="197" t="n">
        <v>6.38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5" customHeight="1" s="244">
      <c r="A126" s="225" t="n">
        <v>6038</v>
      </c>
      <c r="B126" s="225" t="inlineStr">
        <is>
          <t>INK</t>
        </is>
      </c>
      <c r="C126" s="60" t="inlineStr">
        <is>
          <t>INK BLUE PC</t>
        </is>
      </c>
      <c r="D126" s="225" t="inlineStr">
        <is>
          <t>kg</t>
        </is>
      </c>
      <c r="E126" s="33">
        <f>SUMPRODUCT((TableBOM[Item ID]=A126)*TableBOM[Per 1000 Units]*(1+TableBOM[Scrap %])*SUMIF($D$3:$D$14,TableBOM[Product ID],$H$3:$H$14)/1000)</f>
        <v/>
      </c>
      <c r="F126" s="196">
        <f>IF(E126=0,0,ROUND(H126/E126*30,1))</f>
        <v/>
      </c>
      <c r="G126" s="22">
        <f>IF(E126=0,"Not needed",IF(H126-E126&lt;0,"SHORTAGE",IF(H126-E126&lt;E126,"LOW","OK")))</f>
        <v/>
      </c>
      <c r="H126" s="33">
        <f>IFERROR(INDEX(TableInventory[Store Balance],MATCH(A126,TableInventory[Item ID],0)),0)+IFERROR(INDEX(TableInventory[Work In Process],MATCH(A126,TableInventory[Item ID],0)),0)</f>
        <v/>
      </c>
      <c r="I126" s="197" t="n">
        <v>2.9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5" customHeight="1" s="244">
      <c r="A127" s="225" t="n">
        <v>3858</v>
      </c>
      <c r="B127" s="225" t="inlineStr">
        <is>
          <t>INK</t>
        </is>
      </c>
      <c r="C127" s="60" t="inlineStr">
        <is>
          <t>GOLD (LOCAL) 97035</t>
        </is>
      </c>
      <c r="D127" s="225" t="inlineStr">
        <is>
          <t>kg</t>
        </is>
      </c>
      <c r="E127" s="33">
        <f>SUMPRODUCT((TableBOM[Item ID]=A127)*TableBOM[Per 1000 Units]*(1+TableBOM[Scrap %])*SUMIF($D$3:$D$14,TableBOM[Product ID],$H$3:$H$14)/1000)</f>
        <v/>
      </c>
      <c r="F127" s="196">
        <f>IF(E127=0,0,ROUND(H127/E127*30,1))</f>
        <v/>
      </c>
      <c r="G127" s="22">
        <f>IF(E127=0,"Not needed",IF(H127-E127&lt;0,"SHORTAGE",IF(H127-E127&lt;E127,"LOW","OK")))</f>
        <v/>
      </c>
      <c r="H127" s="33">
        <f>IFERROR(INDEX(TableInventory[Store Balance],MATCH(A127,TableInventory[Item ID],0)),0)+IFERROR(INDEX(TableInventory[Work In Process],MATCH(A127,TableInventory[Item ID],0)),0)</f>
        <v/>
      </c>
      <c r="I127" s="197" t="n">
        <v>2.8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5" customHeight="1" s="244">
      <c r="A128" s="225" t="n">
        <v>3754</v>
      </c>
      <c r="B128" s="225" t="inlineStr">
        <is>
          <t>INK</t>
        </is>
      </c>
      <c r="C128" s="60" t="inlineStr">
        <is>
          <t>RED BRONZE (LOCAL) 32519</t>
        </is>
      </c>
      <c r="D128" s="225" t="inlineStr">
        <is>
          <t>kg</t>
        </is>
      </c>
      <c r="E128" s="33">
        <f>SUMPRODUCT((TableBOM[Item ID]=A128)*TableBOM[Per 1000 Units]*(1+TableBOM[Scrap %])*SUMIF($D$3:$D$14,TableBOM[Product ID],$H$3:$H$14)/1000)</f>
        <v/>
      </c>
      <c r="F128" s="196">
        <f>IF(E128=0,0,ROUND(H128/E128*30,1))</f>
        <v/>
      </c>
      <c r="G128" s="22">
        <f>IF(E128=0,"Not needed",IF(H128-E128&lt;0,"SHORTAGE",IF(H128-E128&lt;E128,"LOW","OK")))</f>
        <v/>
      </c>
      <c r="H128" s="33">
        <f>IFERROR(INDEX(TableInventory[Store Balance],MATCH(A128,TableInventory[Item ID],0)),0)+IFERROR(INDEX(TableInventory[Work In Process],MATCH(A128,TableInventory[Item ID],0)),0)</f>
        <v/>
      </c>
      <c r="I128" s="197" t="n">
        <v>2.67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5" customHeight="1" s="244">
      <c r="A129" s="225" t="n">
        <v>3755</v>
      </c>
      <c r="B129" s="225" t="inlineStr">
        <is>
          <t>INK</t>
        </is>
      </c>
      <c r="C129" s="60" t="inlineStr">
        <is>
          <t>INK BLUE ES 164</t>
        </is>
      </c>
      <c r="D129" s="225" t="inlineStr">
        <is>
          <t>kg</t>
        </is>
      </c>
      <c r="E129" s="33">
        <f>SUMPRODUCT((TableBOM[Item ID]=A129)*TableBOM[Per 1000 Units]*(1+TableBOM[Scrap %])*SUMIF($D$3:$D$14,TableBOM[Product ID],$H$3:$H$14)/1000)</f>
        <v/>
      </c>
      <c r="F129" s="196">
        <f>IF(E129=0,0,ROUND(H129/E129*30,1))</f>
        <v/>
      </c>
      <c r="G129" s="22">
        <f>IF(E129=0,"Not needed",IF(H129-E129&lt;0,"SHORTAGE",IF(H129-E129&lt;E129,"LOW","OK")))</f>
        <v/>
      </c>
      <c r="H129" s="33">
        <f>IFERROR(INDEX(TableInventory[Store Balance],MATCH(A129,TableInventory[Item ID],0)),0)+IFERROR(INDEX(TableInventory[Work In Process],MATCH(A129,TableInventory[Item ID],0)),0)</f>
        <v/>
      </c>
      <c r="I129" s="197" t="n">
        <v>2.44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44">
      <c r="A130" s="225" t="n">
        <v>1928</v>
      </c>
      <c r="B130" s="225" t="inlineStr">
        <is>
          <t>INK</t>
        </is>
      </c>
      <c r="C130" s="60" t="inlineStr">
        <is>
          <t>BLACK (LOCAL) 77842</t>
        </is>
      </c>
      <c r="D130" s="225" t="inlineStr">
        <is>
          <t>kg</t>
        </is>
      </c>
      <c r="E130" s="33">
        <f>SUMPRODUCT((TableBOM[Item ID]=A130)*TableBOM[Per 1000 Units]*(1+TableBOM[Scrap %])*SUMIF($D$3:$D$14,TableBOM[Product ID],$H$3:$H$14)/1000)</f>
        <v/>
      </c>
      <c r="F130" s="196">
        <f>IF(E130=0,0,ROUND(H130/E130*30,1))</f>
        <v/>
      </c>
      <c r="G130" s="22">
        <f>IF(E130=0,"Not needed",IF(H130-E130&lt;0,"SHORTAGE",IF(H130-E130&lt;E130,"LOW","OK")))</f>
        <v/>
      </c>
      <c r="H130" s="33">
        <f>IFERROR(INDEX(TableInventory[Store Balance],MATCH(A130,TableInventory[Item ID],0)),0)+IFERROR(INDEX(TableInventory[Work In Process],MATCH(A130,TableInventory[Item ID],0)),0)</f>
        <v/>
      </c>
      <c r="I130" s="197" t="n">
        <v>2.32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44">
      <c r="A131" s="225" t="n">
        <v>7094</v>
      </c>
      <c r="B131" s="225" t="inlineStr">
        <is>
          <t>INK</t>
        </is>
      </c>
      <c r="C131" s="60" t="inlineStr">
        <is>
          <t>INK GOLD V0221267AT-401363 IMPORTED</t>
        </is>
      </c>
      <c r="D131" s="225" t="inlineStr">
        <is>
          <t>kg</t>
        </is>
      </c>
      <c r="E131" s="33">
        <f>SUMPRODUCT((TableBOM[Item ID]=A131)*TableBOM[Per 1000 Units]*(1+TableBOM[Scrap %])*SUMIF($D$3:$D$14,TableBOM[Product ID],$H$3:$H$14)/1000)</f>
        <v/>
      </c>
      <c r="F131" s="196">
        <f>IF(E131=0,0,ROUND(H131/E131*30,1))</f>
        <v/>
      </c>
      <c r="G131" s="22">
        <f>IF(E131=0,"Not needed",IF(H131-E131&lt;0,"SHORTAGE",IF(H131-E131&lt;E131,"LOW","OK")))</f>
        <v/>
      </c>
      <c r="H131" s="33">
        <f>IFERROR(INDEX(TableInventory[Store Balance],MATCH(A131,TableInventory[Item ID],0)),0)+IFERROR(INDEX(TableInventory[Work In Process],MATCH(A131,TableInventory[Item ID],0)),0)</f>
        <v/>
      </c>
      <c r="I131" s="197" t="n">
        <v>2.32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5" customHeight="1" s="244">
      <c r="A132" s="225" t="n">
        <v>3736</v>
      </c>
      <c r="B132" s="225" t="inlineStr">
        <is>
          <t>INK</t>
        </is>
      </c>
      <c r="C132" s="60" t="inlineStr">
        <is>
          <t>WHITE (LOCAL) 07094</t>
        </is>
      </c>
      <c r="D132" s="225" t="inlineStr">
        <is>
          <t>kg</t>
        </is>
      </c>
      <c r="E132" s="33">
        <f>SUMPRODUCT((TableBOM[Item ID]=A132)*TableBOM[Per 1000 Units]*(1+TableBOM[Scrap %])*SUMIF($D$3:$D$14,TableBOM[Product ID],$H$3:$H$14)/1000)</f>
        <v/>
      </c>
      <c r="F132" s="196">
        <f>IF(E132=0,0,ROUND(H132/E132*30,1))</f>
        <v/>
      </c>
      <c r="G132" s="22">
        <f>IF(E132=0,"Not needed",IF(H132-E132&lt;0,"SHORTAGE",IF(H132-E132&lt;E132,"LOW","OK")))</f>
        <v/>
      </c>
      <c r="H132" s="33">
        <f>IFERROR(INDEX(TableInventory[Store Balance],MATCH(A132,TableInventory[Item ID],0)),0)+IFERROR(INDEX(TableInventory[Work In Process],MATCH(A132,TableInventory[Item ID],0)),0)</f>
        <v/>
      </c>
      <c r="I132" s="197" t="n">
        <v>1.6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8.75" customHeight="1" s="244">
      <c r="A133" s="225" t="n">
        <v>3955</v>
      </c>
      <c r="B133" s="225" t="inlineStr">
        <is>
          <t>INK</t>
        </is>
      </c>
      <c r="C133" s="60" t="inlineStr">
        <is>
          <t>GERANIUM (EVER SHINE) ES-130</t>
        </is>
      </c>
      <c r="D133" s="225" t="inlineStr">
        <is>
          <t>kg</t>
        </is>
      </c>
      <c r="E133" s="33">
        <f>SUMPRODUCT((TableBOM[Item ID]=A133)*TableBOM[Per 1000 Units]*(1+TableBOM[Scrap %])*SUMIF($D$3:$D$14,TableBOM[Product ID],$H$3:$H$14)/1000)</f>
        <v/>
      </c>
      <c r="F133" s="196">
        <f>IF(E133=0,0,ROUND(H133/E133*30,1))</f>
        <v/>
      </c>
      <c r="G133" s="22">
        <f>IF(E133=0,"Not needed",IF(H133-E133&lt;0,"SHORTAGE",IF(H133-E133&lt;E133,"LOW","OK")))</f>
        <v/>
      </c>
      <c r="H133" s="33">
        <f>IFERROR(INDEX(TableInventory[Store Balance],MATCH(A133,TableInventory[Item ID],0)),0)+IFERROR(INDEX(TableInventory[Work In Process],MATCH(A133,TableInventory[Item ID],0)),0)</f>
        <v/>
      </c>
      <c r="I133" s="197" t="n">
        <v>1.28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44">
      <c r="A134" s="225" t="n">
        <v>7398</v>
      </c>
      <c r="B134" s="225" t="inlineStr">
        <is>
          <t>INK</t>
        </is>
      </c>
      <c r="C134" s="60" t="inlineStr">
        <is>
          <t>PURPLE 48054</t>
        </is>
      </c>
      <c r="D134" s="225" t="inlineStr">
        <is>
          <t>kg</t>
        </is>
      </c>
      <c r="E134" s="33">
        <f>SUMPRODUCT((TableBOM[Item ID]=A134)*TableBOM[Per 1000 Units]*(1+TableBOM[Scrap %])*SUMIF($D$3:$D$14,TableBOM[Product ID],$H$3:$H$14)/1000)</f>
        <v/>
      </c>
      <c r="F134" s="196">
        <f>IF(E134=0,0,ROUND(H134/E134*30,1))</f>
        <v/>
      </c>
      <c r="G134" s="22">
        <f>IF(E134=0,"Not needed",IF(H134-E134&lt;0,"SHORTAGE",IF(H134-E134&lt;E134,"LOW","OK")))</f>
        <v/>
      </c>
      <c r="H134" s="33">
        <f>IFERROR(INDEX(TableInventory[Store Balance],MATCH(A134,TableInventory[Item ID],0)),0)+IFERROR(INDEX(TableInventory[Work In Process],MATCH(A134,TableInventory[Item ID],0)),0)</f>
        <v/>
      </c>
      <c r="I134" s="197" t="n">
        <v>1.04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8.75" customHeight="1" s="244">
      <c r="A135" s="225" t="n">
        <v>3857</v>
      </c>
      <c r="B135" s="225" t="inlineStr">
        <is>
          <t>INK</t>
        </is>
      </c>
      <c r="C135" s="60" t="inlineStr">
        <is>
          <t>ORANGE (LOCAL)</t>
        </is>
      </c>
      <c r="D135" s="225" t="inlineStr">
        <is>
          <t>kg</t>
        </is>
      </c>
      <c r="E135" s="33">
        <f>SUMPRODUCT((TableBOM[Item ID]=A135)*TableBOM[Per 1000 Units]*(1+TableBOM[Scrap %])*SUMIF($D$3:$D$14,TableBOM[Product ID],$H$3:$H$14)/1000)</f>
        <v/>
      </c>
      <c r="F135" s="196">
        <f>IF(E135=0,0,ROUND(H135/E135*30,1))</f>
        <v/>
      </c>
      <c r="G135" s="22">
        <f>IF(E135=0,"Not needed",IF(H135-E135&lt;0,"SHORTAGE",IF(H135-E135&lt;E135,"LOW","OK")))</f>
        <v/>
      </c>
      <c r="H135" s="33">
        <f>IFERROR(INDEX(TableInventory[Store Balance],MATCH(A135,TableInventory[Item ID],0)),0)+IFERROR(INDEX(TableInventory[Work In Process],MATCH(A135,TableInventory[Item ID],0)),0)</f>
        <v/>
      </c>
      <c r="I135" s="197" t="n">
        <v>0.8100000000000001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8.75" customHeight="1" s="244">
      <c r="A136" s="225" t="n">
        <v>6040</v>
      </c>
      <c r="B136" s="225" t="inlineStr">
        <is>
          <t>INK</t>
        </is>
      </c>
      <c r="C136" s="60" t="inlineStr">
        <is>
          <t>INK CYAN PROCESS 51650</t>
        </is>
      </c>
      <c r="D136" s="225" t="inlineStr">
        <is>
          <t>kg</t>
        </is>
      </c>
      <c r="E136" s="33">
        <f>SUMPRODUCT((TableBOM[Item ID]=A136)*TableBOM[Per 1000 Units]*(1+TableBOM[Scrap %])*SUMIF($D$3:$D$14,TableBOM[Product ID],$H$3:$H$14)/1000)</f>
        <v/>
      </c>
      <c r="F136" s="196">
        <f>IF(E136=0,0,ROUND(H136/E136*30,1))</f>
        <v/>
      </c>
      <c r="G136" s="22">
        <f>IF(E136=0,"Not needed",IF(H136-E136&lt;0,"SHORTAGE",IF(H136-E136&lt;E136,"LOW","OK")))</f>
        <v/>
      </c>
      <c r="H136" s="33">
        <f>IFERROR(INDEX(TableInventory[Store Balance],MATCH(A136,TableInventory[Item ID],0)),0)+IFERROR(INDEX(TableInventory[Work In Process],MATCH(A136,TableInventory[Item ID],0)),0)</f>
        <v/>
      </c>
      <c r="I136" s="197" t="n">
        <v>0.7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8.75" customHeight="1" s="244">
      <c r="A137" s="225" t="n">
        <v>5107</v>
      </c>
      <c r="B137" s="225" t="inlineStr">
        <is>
          <t>INK</t>
        </is>
      </c>
      <c r="C137" s="60" t="inlineStr">
        <is>
          <t>YELLOW LEMON 18600</t>
        </is>
      </c>
      <c r="D137" s="225" t="inlineStr">
        <is>
          <t>kg</t>
        </is>
      </c>
      <c r="E137" s="33">
        <f>SUMPRODUCT((TableBOM[Item ID]=A137)*TableBOM[Per 1000 Units]*(1+TableBOM[Scrap %])*SUMIF($D$3:$D$14,TableBOM[Product ID],$H$3:$H$14)/1000)</f>
        <v/>
      </c>
      <c r="F137" s="196">
        <f>IF(E137=0,0,ROUND(H137/E137*30,1))</f>
        <v/>
      </c>
      <c r="G137" s="22">
        <f>IF(E137=0,"Not needed",IF(H137-E137&lt;0,"SHORTAGE",IF(H137-E137&lt;E137,"LOW","OK")))</f>
        <v/>
      </c>
      <c r="H137" s="33">
        <f>IFERROR(INDEX(TableInventory[Store Balance],MATCH(A137,TableInventory[Item ID],0)),0)+IFERROR(INDEX(TableInventory[Work In Process],MATCH(A137,TableInventory[Item ID],0)),0)</f>
        <v/>
      </c>
      <c r="I137" s="197" t="n">
        <v>0.7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8.75" customHeight="1" s="244">
      <c r="A138" s="225" t="n">
        <v>7152</v>
      </c>
      <c r="B138" s="225" t="inlineStr">
        <is>
          <t>INK</t>
        </is>
      </c>
      <c r="C138" s="60" t="inlineStr">
        <is>
          <t>INK GREEN ES 166</t>
        </is>
      </c>
      <c r="D138" s="225" t="inlineStr">
        <is>
          <t>kg</t>
        </is>
      </c>
      <c r="E138" s="33">
        <f>SUMPRODUCT((TableBOM[Item ID]=A138)*TableBOM[Per 1000 Units]*(1+TableBOM[Scrap %])*SUMIF($D$3:$D$14,TableBOM[Product ID],$H$3:$H$14)/1000)</f>
        <v/>
      </c>
      <c r="F138" s="196">
        <f>IF(E138=0,0,ROUND(H138/E138*30,1))</f>
        <v/>
      </c>
      <c r="G138" s="22">
        <f>IF(E138=0,"Not needed",IF(H138-E138&lt;0,"SHORTAGE",IF(H138-E138&lt;E138,"LOW","OK")))</f>
        <v/>
      </c>
      <c r="H138" s="33">
        <f>IFERROR(INDEX(TableInventory[Store Balance],MATCH(A138,TableInventory[Item ID],0)),0)+IFERROR(INDEX(TableInventory[Work In Process],MATCH(A138,TableInventory[Item ID],0)),0)</f>
        <v/>
      </c>
      <c r="I138" s="197" t="n">
        <v>0.58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8.75" customHeight="1" s="244">
      <c r="A139" s="225" t="n">
        <v>7095</v>
      </c>
      <c r="B139" s="225" t="inlineStr">
        <is>
          <t>INK</t>
        </is>
      </c>
      <c r="C139" s="60" t="inlineStr">
        <is>
          <t>INK BLACK 158000 IMPORTED</t>
        </is>
      </c>
      <c r="D139" s="225" t="inlineStr">
        <is>
          <t>kg</t>
        </is>
      </c>
      <c r="E139" s="33">
        <f>SUMPRODUCT((TableBOM[Item ID]=A139)*TableBOM[Per 1000 Units]*(1+TableBOM[Scrap %])*SUMIF($D$3:$D$14,TableBOM[Product ID],$H$3:$H$14)/1000)</f>
        <v/>
      </c>
      <c r="F139" s="196">
        <f>IF(E139=0,0,ROUND(H139/E139*30,1))</f>
        <v/>
      </c>
      <c r="G139" s="22">
        <f>IF(E139=0,"Not needed",IF(H139-E139&lt;0,"SHORTAGE",IF(H139-E139&lt;E139,"LOW","OK")))</f>
        <v/>
      </c>
      <c r="H139" s="33">
        <f>IFERROR(INDEX(TableInventory[Store Balance],MATCH(A139,TableInventory[Item ID],0)),0)+IFERROR(INDEX(TableInventory[Work In Process],MATCH(A139,TableInventory[Item ID],0)),0)</f>
        <v/>
      </c>
      <c r="I139" s="197" t="n">
        <v>0.46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8.75" customHeight="1" s="244">
      <c r="A140" s="225" t="n">
        <v>118</v>
      </c>
      <c r="B140" s="225" t="inlineStr">
        <is>
          <t>INK</t>
        </is>
      </c>
      <c r="C140" s="60" t="inlineStr">
        <is>
          <t>SILVER (LOCAL)</t>
        </is>
      </c>
      <c r="D140" s="225" t="inlineStr">
        <is>
          <t>kg</t>
        </is>
      </c>
      <c r="E140" s="33">
        <f>SUMPRODUCT((TableBOM[Item ID]=A140)*TableBOM[Per 1000 Units]*(1+TableBOM[Scrap %])*SUMIF($D$3:$D$14,TableBOM[Product ID],$H$3:$H$14)/1000)</f>
        <v/>
      </c>
      <c r="F140" s="196">
        <f>IF(E140=0,0,ROUND(H140/E140*30,1))</f>
        <v/>
      </c>
      <c r="G140" s="22">
        <f>IF(E140=0,"Not needed",IF(H140-E140&lt;0,"SHORTAGE",IF(H140-E140&lt;E140,"LOW","OK")))</f>
        <v/>
      </c>
      <c r="H140" s="33">
        <f>IFERROR(INDEX(TableInventory[Store Balance],MATCH(A140,TableInventory[Item ID],0)),0)+IFERROR(INDEX(TableInventory[Work In Process],MATCH(A140,TableInventory[Item ID],0)),0)</f>
        <v/>
      </c>
      <c r="I140" s="197" t="n">
        <v>0.46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44">
      <c r="A141" s="225" t="n">
        <v>2284</v>
      </c>
      <c r="B141" s="225" t="inlineStr">
        <is>
          <t>INK</t>
        </is>
      </c>
      <c r="C141" s="60" t="inlineStr">
        <is>
          <t>YELLOW (PASTAL-C)</t>
        </is>
      </c>
      <c r="D141" s="225" t="inlineStr">
        <is>
          <t>kg</t>
        </is>
      </c>
      <c r="E141" s="33">
        <f>SUMPRODUCT((TableBOM[Item ID]=A141)*TableBOM[Per 1000 Units]*(1+TableBOM[Scrap %])*SUMIF($D$3:$D$14,TableBOM[Product ID],$H$3:$H$14)/1000)</f>
        <v/>
      </c>
      <c r="F141" s="196">
        <f>IF(E141=0,0,ROUND(H141/E141*30,1))</f>
        <v/>
      </c>
      <c r="G141" s="22">
        <f>IF(E141=0,"Not needed",IF(H141-E141&lt;0,"SHORTAGE",IF(H141-E141&lt;E141,"LOW","OK")))</f>
        <v/>
      </c>
      <c r="H141" s="33">
        <f>IFERROR(INDEX(TableInventory[Store Balance],MATCH(A141,TableInventory[Item ID],0)),0)+IFERROR(INDEX(TableInventory[Work In Process],MATCH(A141,TableInventory[Item ID],0)),0)</f>
        <v/>
      </c>
      <c r="I141" s="197" t="n">
        <v>0.46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44">
      <c r="A142" s="225" t="n">
        <v>110</v>
      </c>
      <c r="B142" s="225" t="inlineStr">
        <is>
          <t>INK</t>
        </is>
      </c>
      <c r="C142" s="60" t="inlineStr">
        <is>
          <t>GREEN 165000</t>
        </is>
      </c>
      <c r="D142" s="225" t="inlineStr">
        <is>
          <t>kg</t>
        </is>
      </c>
      <c r="E142" s="33">
        <f>SUMPRODUCT((TableBOM[Item ID]=A142)*TableBOM[Per 1000 Units]*(1+TableBOM[Scrap %])*SUMIF($D$3:$D$14,TableBOM[Product ID],$H$3:$H$14)/1000)</f>
        <v/>
      </c>
      <c r="F142" s="196">
        <f>IF(E142=0,0,ROUND(H142/E142*30,1))</f>
        <v/>
      </c>
      <c r="G142" s="22">
        <f>IF(E142=0,"Not needed",IF(H142-E142&lt;0,"SHORTAGE",IF(H142-E142&lt;E142,"LOW","OK")))</f>
        <v/>
      </c>
      <c r="H142" s="33">
        <f>IFERROR(INDEX(TableInventory[Store Balance],MATCH(A142,TableInventory[Item ID],0)),0)+IFERROR(INDEX(TableInventory[Work In Process],MATCH(A142,TableInventory[Item ID],0)),0)</f>
        <v/>
      </c>
      <c r="I142" s="197" t="n">
        <v>0.35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8.75" customHeight="1" s="244">
      <c r="A143" s="225" t="n">
        <v>129</v>
      </c>
      <c r="B143" s="225" t="inlineStr">
        <is>
          <t>INK</t>
        </is>
      </c>
      <c r="C143" s="60" t="inlineStr">
        <is>
          <t>MEGENTA RED 152166</t>
        </is>
      </c>
      <c r="D143" s="225" t="inlineStr">
        <is>
          <t>kg</t>
        </is>
      </c>
      <c r="E143" s="33">
        <f>SUMPRODUCT((TableBOM[Item ID]=A143)*TableBOM[Per 1000 Units]*(1+TableBOM[Scrap %])*SUMIF($D$3:$D$14,TableBOM[Product ID],$H$3:$H$14)/1000)</f>
        <v/>
      </c>
      <c r="F143" s="196">
        <f>IF(E143=0,0,ROUND(H143/E143*30,1))</f>
        <v/>
      </c>
      <c r="G143" s="22">
        <f>IF(E143=0,"Not needed",IF(H143-E143&lt;0,"SHORTAGE",IF(H143-E143&lt;E143,"LOW","OK")))</f>
        <v/>
      </c>
      <c r="H143" s="33">
        <f>IFERROR(INDEX(TableInventory[Store Balance],MATCH(A143,TableInventory[Item ID],0)),0)+IFERROR(INDEX(TableInventory[Work In Process],MATCH(A143,TableInventory[Item ID],0)),0)</f>
        <v/>
      </c>
      <c r="I143" s="197" t="n">
        <v>0.35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36" customHeight="1" s="244">
      <c r="A144" s="225" t="n">
        <v>6049</v>
      </c>
      <c r="B144" s="225" t="inlineStr">
        <is>
          <t>INK</t>
        </is>
      </c>
      <c r="C144" s="60" t="inlineStr">
        <is>
          <t>DARK BLUE EAZI COLOR 401168</t>
        </is>
      </c>
      <c r="D144" s="225" t="inlineStr">
        <is>
          <t>kg</t>
        </is>
      </c>
      <c r="E144" s="33">
        <f>SUMPRODUCT((TableBOM[Item ID]=A144)*TableBOM[Per 1000 Units]*(1+TableBOM[Scrap %])*SUMIF($D$3:$D$14,TableBOM[Product ID],$H$3:$H$14)/1000)</f>
        <v/>
      </c>
      <c r="F144" s="196">
        <f>IF(E144=0,0,ROUND(H144/E144*30,1))</f>
        <v/>
      </c>
      <c r="G144" s="22">
        <f>IF(E144=0,"Not needed",IF(H144-E144&lt;0,"SHORTAGE",IF(H144-E144&lt;E144,"LOW","OK")))</f>
        <v/>
      </c>
      <c r="H144" s="33">
        <f>IFERROR(INDEX(TableInventory[Store Balance],MATCH(A144,TableInventory[Item ID],0)),0)+IFERROR(INDEX(TableInventory[Work In Process],MATCH(A144,TableInventory[Item ID],0)),0)</f>
        <v/>
      </c>
      <c r="I144" s="197" t="n">
        <v>0.23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44">
      <c r="A145" s="225" t="n">
        <v>3770</v>
      </c>
      <c r="B145" s="225" t="inlineStr">
        <is>
          <t>INK</t>
        </is>
      </c>
      <c r="C145" s="60" t="inlineStr">
        <is>
          <t>GREEN PC</t>
        </is>
      </c>
      <c r="D145" s="225" t="inlineStr">
        <is>
          <t>kg</t>
        </is>
      </c>
      <c r="E145" s="33">
        <f>SUMPRODUCT((TableBOM[Item ID]=A145)*TableBOM[Per 1000 Units]*(1+TableBOM[Scrap %])*SUMIF($D$3:$D$14,TableBOM[Product ID],$H$3:$H$14)/1000)</f>
        <v/>
      </c>
      <c r="F145" s="196">
        <f>IF(E145=0,0,ROUND(H145/E145*30,1))</f>
        <v/>
      </c>
      <c r="G145" s="22">
        <f>IF(E145=0,"Not needed",IF(H145-E145&lt;0,"SHORTAGE",IF(H145-E145&lt;E145,"LOW","OK")))</f>
        <v/>
      </c>
      <c r="H145" s="33">
        <f>IFERROR(INDEX(TableInventory[Store Balance],MATCH(A145,TableInventory[Item ID],0)),0)+IFERROR(INDEX(TableInventory[Work In Process],MATCH(A145,TableInventory[Item ID],0)),0)</f>
        <v/>
      </c>
      <c r="I145" s="197" t="n">
        <v>0.23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 ht="15" customHeight="1" s="244">
      <c r="A146" s="225" t="n">
        <v>130</v>
      </c>
      <c r="B146" s="225" t="inlineStr">
        <is>
          <t>INK</t>
        </is>
      </c>
      <c r="C146" s="60" t="inlineStr">
        <is>
          <t>BLUE 165743</t>
        </is>
      </c>
      <c r="D146" s="225" t="inlineStr">
        <is>
          <t>kg</t>
        </is>
      </c>
      <c r="E146" s="33">
        <f>SUMPRODUCT((TableBOM[Item ID]=A146)*TableBOM[Per 1000 Units]*(1+TableBOM[Scrap %])*SUMIF($D$3:$D$14,TableBOM[Product ID],$H$3:$H$14)/1000)</f>
        <v/>
      </c>
      <c r="F146" s="196">
        <f>IF(E146=0,0,ROUND(H146/E146*30,1))</f>
        <v/>
      </c>
      <c r="G146" s="22">
        <f>IF(E146=0,"Not needed",IF(H146-E146&lt;0,"SHORTAGE",IF(H146-E146&lt;E146,"LOW","OK")))</f>
        <v/>
      </c>
      <c r="H146" s="33">
        <f>IFERROR(INDEX(TableInventory[Store Balance],MATCH(A146,TableInventory[Item ID],0)),0)+IFERROR(INDEX(TableInventory[Work In Process],MATCH(A146,TableInventory[Item ID],0)),0)</f>
        <v/>
      </c>
      <c r="I146" s="197" t="n">
        <v>0.12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44">
      <c r="A147" s="225" t="n">
        <v>124</v>
      </c>
      <c r="B147" s="225" t="inlineStr">
        <is>
          <t>INK</t>
        </is>
      </c>
      <c r="C147" s="60" t="inlineStr">
        <is>
          <t>BROWN 157662</t>
        </is>
      </c>
      <c r="D147" s="225" t="inlineStr">
        <is>
          <t>kg</t>
        </is>
      </c>
      <c r="E147" s="33">
        <f>SUMPRODUCT((TableBOM[Item ID]=A147)*TableBOM[Per 1000 Units]*(1+TableBOM[Scrap %])*SUMIF($D$3:$D$14,TableBOM[Product ID],$H$3:$H$14)/1000)</f>
        <v/>
      </c>
      <c r="F147" s="196">
        <f>IF(E147=0,0,ROUND(H147/E147*30,1))</f>
        <v/>
      </c>
      <c r="G147" s="22">
        <f>IF(E147=0,"Not needed",IF(H147-E147&lt;0,"SHORTAGE",IF(H147-E147&lt;E147,"LOW","OK")))</f>
        <v/>
      </c>
      <c r="H147" s="33">
        <f>IFERROR(INDEX(TableInventory[Store Balance],MATCH(A147,TableInventory[Item ID],0)),0)+IFERROR(INDEX(TableInventory[Work In Process],MATCH(A147,TableInventory[Item ID],0)),0)</f>
        <v/>
      </c>
      <c r="I147" s="197" t="n">
        <v>0.12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44">
      <c r="A148" s="225" t="n">
        <v>3968</v>
      </c>
      <c r="B148" s="225" t="inlineStr">
        <is>
          <t>INK</t>
        </is>
      </c>
      <c r="C148" s="60" t="inlineStr">
        <is>
          <t>BLUE BRONZE (LOCAL) 51168</t>
        </is>
      </c>
      <c r="D148" s="225" t="inlineStr">
        <is>
          <t>kg</t>
        </is>
      </c>
      <c r="E148" s="33">
        <f>SUMPRODUCT((TableBOM[Item ID]=A148)*TableBOM[Per 1000 Units]*(1+TableBOM[Scrap %])*SUMIF($D$3:$D$14,TableBOM[Product ID],$H$3:$H$14)/1000)</f>
        <v/>
      </c>
      <c r="F148" s="196">
        <f>IF(E148=0,0,ROUND(H148/E148*30,1))</f>
        <v/>
      </c>
      <c r="G148" s="22">
        <f>IF(E148=0,"Not needed",IF(H148-E148&lt;0,"SHORTAGE",IF(H148-E148&lt;E148,"LOW","OK")))</f>
        <v/>
      </c>
      <c r="H148" s="33">
        <f>IFERROR(INDEX(TableInventory[Store Balance],MATCH(A148,TableInventory[Item ID],0)),0)+IFERROR(INDEX(TableInventory[Work In Process],MATCH(A148,TableInventory[Item ID],0)),0)</f>
        <v/>
      </c>
      <c r="I148" s="197" t="n">
        <v>0.12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44">
      <c r="A149" s="225" t="n">
        <v>3642</v>
      </c>
      <c r="B149" s="225" t="inlineStr">
        <is>
          <t>INK</t>
        </is>
      </c>
      <c r="C149" s="60" t="inlineStr">
        <is>
          <t>INK JET BLACK 77842</t>
        </is>
      </c>
      <c r="D149" s="225" t="inlineStr">
        <is>
          <t>kg</t>
        </is>
      </c>
      <c r="E149" s="33">
        <f>SUMPRODUCT((TableBOM[Item ID]=A149)*TableBOM[Per 1000 Units]*(1+TableBOM[Scrap %])*SUMIF($D$3:$D$14,TableBOM[Product ID],$H$3:$H$14)/1000)</f>
        <v/>
      </c>
      <c r="F149" s="196">
        <f>IF(E149=0,0,ROUND(H149/E149*30,1))</f>
        <v/>
      </c>
      <c r="G149" s="22">
        <f>IF(E149=0,"Not needed",IF(H149-E149&lt;0,"SHORTAGE",IF(H149-E149&lt;E149,"LOW","OK")))</f>
        <v/>
      </c>
      <c r="H149" s="33">
        <f>IFERROR(INDEX(TableInventory[Store Balance],MATCH(A149,TableInventory[Item ID],0)),0)+IFERROR(INDEX(TableInventory[Work In Process],MATCH(A149,TableInventory[Item ID],0)),0)</f>
        <v/>
      </c>
      <c r="I149" s="197" t="n">
        <v>0.12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44">
      <c r="A150" s="225" t="n">
        <v>104</v>
      </c>
      <c r="B150" s="225" t="inlineStr">
        <is>
          <t>INK</t>
        </is>
      </c>
      <c r="C150" s="60" t="inlineStr">
        <is>
          <t>VIOLET 501 IMP</t>
        </is>
      </c>
      <c r="D150" s="225" t="inlineStr">
        <is>
          <t>kg</t>
        </is>
      </c>
      <c r="E150" s="33">
        <f>SUMPRODUCT((TableBOM[Item ID]=A150)*TableBOM[Per 1000 Units]*(1+TableBOM[Scrap %])*SUMIF($D$3:$D$14,TableBOM[Product ID],$H$3:$H$14)/1000)</f>
        <v/>
      </c>
      <c r="F150" s="196">
        <f>IF(E150=0,0,ROUND(H150/E150*30,1))</f>
        <v/>
      </c>
      <c r="G150" s="22">
        <f>IF(E150=0,"Not needed",IF(H150-E150&lt;0,"SHORTAGE",IF(H150-E150&lt;E150,"LOW","OK")))</f>
        <v/>
      </c>
      <c r="H150" s="33">
        <f>IFERROR(INDEX(TableInventory[Store Balance],MATCH(A150,TableInventory[Item ID],0)),0)+IFERROR(INDEX(TableInventory[Work In Process],MATCH(A150,TableInventory[Item ID],0)),0)</f>
        <v/>
      </c>
      <c r="I150" s="197" t="n">
        <v>0</v>
      </c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</row>
    <row r="151" ht="15" customHeight="1" s="244">
      <c r="A151" s="225" t="n">
        <v>105</v>
      </c>
      <c r="B151" s="225" t="inlineStr">
        <is>
          <t>INK</t>
        </is>
      </c>
      <c r="C151" s="60" t="inlineStr">
        <is>
          <t>VIOLET 502 IMP</t>
        </is>
      </c>
      <c r="D151" s="225" t="inlineStr">
        <is>
          <t>kg</t>
        </is>
      </c>
      <c r="E151" s="33">
        <f>SUMPRODUCT((TableBOM[Item ID]=A151)*TableBOM[Per 1000 Units]*(1+TableBOM[Scrap %])*SUMIF($D$3:$D$14,TableBOM[Product ID],$H$3:$H$14)/1000)</f>
        <v/>
      </c>
      <c r="F151" s="196">
        <f>IF(E151=0,0,ROUND(H151/E151*30,1))</f>
        <v/>
      </c>
      <c r="G151" s="22">
        <f>IF(E151=0,"Not needed",IF(H151-E151&lt;0,"SHORTAGE",IF(H151-E151&lt;E151,"LOW","OK")))</f>
        <v/>
      </c>
      <c r="H151" s="33">
        <f>IFERROR(INDEX(TableInventory[Store Balance],MATCH(A151,TableInventory[Item ID],0)),0)+IFERROR(INDEX(TableInventory[Work In Process],MATCH(A151,TableInventory[Item ID],0)),0)</f>
        <v/>
      </c>
      <c r="I151" s="197" t="n">
        <v>0</v>
      </c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</row>
    <row r="152" ht="15" customHeight="1" s="244">
      <c r="A152" s="225" t="n">
        <v>127</v>
      </c>
      <c r="B152" s="225" t="inlineStr">
        <is>
          <t>INK</t>
        </is>
      </c>
      <c r="C152" s="60" t="inlineStr">
        <is>
          <t>BLUE 126039</t>
        </is>
      </c>
      <c r="D152" s="225" t="inlineStr">
        <is>
          <t>kg</t>
        </is>
      </c>
      <c r="E152" s="33">
        <f>SUMPRODUCT((TableBOM[Item ID]=A152)*TableBOM[Per 1000 Units]*(1+TableBOM[Scrap %])*SUMIF($D$3:$D$14,TableBOM[Product ID],$H$3:$H$14)/1000)</f>
        <v/>
      </c>
      <c r="F152" s="196">
        <f>IF(E152=0,0,ROUND(H152/E152*30,1))</f>
        <v/>
      </c>
      <c r="G152" s="22">
        <f>IF(E152=0,"Not needed",IF(H152-E152&lt;0,"SHORTAGE",IF(H152-E152&lt;E152,"LOW","OK")))</f>
        <v/>
      </c>
      <c r="H152" s="33">
        <f>IFERROR(INDEX(TableInventory[Store Balance],MATCH(A152,TableInventory[Item ID],0)),0)+IFERROR(INDEX(TableInventory[Work In Process],MATCH(A152,TableInventory[Item ID],0)),0)</f>
        <v/>
      </c>
      <c r="I152" s="197" t="n">
        <v>0</v>
      </c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</row>
    <row r="153" ht="15" customHeight="1" s="244">
      <c r="A153" s="225" t="n">
        <v>3800</v>
      </c>
      <c r="B153" s="225" t="inlineStr">
        <is>
          <t>INK</t>
        </is>
      </c>
      <c r="C153" s="60" t="inlineStr">
        <is>
          <t>VIOLET 400484</t>
        </is>
      </c>
      <c r="D153" s="225" t="inlineStr">
        <is>
          <t>kg</t>
        </is>
      </c>
      <c r="E153" s="33">
        <f>SUMPRODUCT((TableBOM[Item ID]=A153)*TableBOM[Per 1000 Units]*(1+TableBOM[Scrap %])*SUMIF($D$3:$D$14,TableBOM[Product ID],$H$3:$H$14)/1000)</f>
        <v/>
      </c>
      <c r="F153" s="196">
        <f>IF(E153=0,0,ROUND(H153/E153*30,1))</f>
        <v/>
      </c>
      <c r="G153" s="22">
        <f>IF(E153=0,"Not needed",IF(H153-E153&lt;0,"SHORTAGE",IF(H153-E153&lt;E153,"LOW","OK")))</f>
        <v/>
      </c>
      <c r="H153" s="33">
        <f>IFERROR(INDEX(TableInventory[Store Balance],MATCH(A153,TableInventory[Item ID],0)),0)+IFERROR(INDEX(TableInventory[Work In Process],MATCH(A153,TableInventory[Item ID],0)),0)</f>
        <v/>
      </c>
      <c r="I153" s="197" t="n">
        <v>0</v>
      </c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</row>
    <row r="154" ht="15" customHeight="1" s="244">
      <c r="A154" s="225" t="n">
        <v>4216</v>
      </c>
      <c r="B154" s="225" t="inlineStr">
        <is>
          <t>INK</t>
        </is>
      </c>
      <c r="C154" s="60" t="inlineStr">
        <is>
          <t>PINK FLUORESCENT</t>
        </is>
      </c>
      <c r="D154" s="225" t="inlineStr">
        <is>
          <t>kg</t>
        </is>
      </c>
      <c r="E154" s="33">
        <f>SUMPRODUCT((TableBOM[Item ID]=A154)*TableBOM[Per 1000 Units]*(1+TableBOM[Scrap %])*SUMIF($D$3:$D$14,TableBOM[Product ID],$H$3:$H$14)/1000)</f>
        <v/>
      </c>
      <c r="F154" s="196">
        <f>IF(E154=0,0,ROUND(H154/E154*30,1))</f>
        <v/>
      </c>
      <c r="G154" s="22">
        <f>IF(E154=0,"Not needed",IF(H154-E154&lt;0,"SHORTAGE",IF(H154-E154&lt;E154,"LOW","OK")))</f>
        <v/>
      </c>
      <c r="H154" s="33">
        <f>IFERROR(INDEX(TableInventory[Store Balance],MATCH(A154,TableInventory[Item ID],0)),0)+IFERROR(INDEX(TableInventory[Work In Process],MATCH(A154,TableInventory[Item ID],0)),0)</f>
        <v/>
      </c>
      <c r="I154" s="197" t="n">
        <v>0</v>
      </c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</row>
    <row r="155" ht="15" customHeight="1" s="244">
      <c r="A155" s="225" t="n">
        <v>4306</v>
      </c>
      <c r="B155" s="225" t="inlineStr">
        <is>
          <t>INK</t>
        </is>
      </c>
      <c r="C155" s="60" t="inlineStr">
        <is>
          <t>VIOLET TUB 400011</t>
        </is>
      </c>
      <c r="D155" s="225" t="inlineStr">
        <is>
          <t>kg</t>
        </is>
      </c>
      <c r="E155" s="33">
        <f>SUMPRODUCT((TableBOM[Item ID]=A155)*TableBOM[Per 1000 Units]*(1+TableBOM[Scrap %])*SUMIF($D$3:$D$14,TableBOM[Product ID],$H$3:$H$14)/1000)</f>
        <v/>
      </c>
      <c r="F155" s="196">
        <f>IF(E155=0,0,ROUND(H155/E155*30,1))</f>
        <v/>
      </c>
      <c r="G155" s="22">
        <f>IF(E155=0,"Not needed",IF(H155-E155&lt;0,"SHORTAGE",IF(H155-E155&lt;E155,"LOW","OK")))</f>
        <v/>
      </c>
      <c r="H155" s="33">
        <f>IFERROR(INDEX(TableInventory[Store Balance],MATCH(A155,TableInventory[Item ID],0)),0)+IFERROR(INDEX(TableInventory[Work In Process],MATCH(A155,TableInventory[Item ID],0)),0)</f>
        <v/>
      </c>
      <c r="I155" s="197" t="n">
        <v>0</v>
      </c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</row>
    <row r="156">
      <c r="A156" s="225" t="n">
        <v>6935</v>
      </c>
      <c r="B156" s="225" t="inlineStr">
        <is>
          <t>INK</t>
        </is>
      </c>
      <c r="C156" s="60" t="inlineStr">
        <is>
          <t>GOLD V0221267-RF-401363</t>
        </is>
      </c>
      <c r="D156" s="225" t="inlineStr">
        <is>
          <t>kg</t>
        </is>
      </c>
      <c r="E156" s="33">
        <f>SUMPRODUCT((TableBOM[Item ID]=A156)*TableBOM[Per 1000 Units]*(1+TableBOM[Scrap %])*SUMIF($D$3:$D$14,TableBOM[Product ID],$H$3:$H$14)/1000)</f>
        <v/>
      </c>
      <c r="F156" s="196">
        <f>IF(E156=0,0,ROUND(H156/E156*30,1))</f>
        <v/>
      </c>
      <c r="G156" s="22">
        <f>IF(E156=0,"Not needed",IF(H156-E156&lt;0,"SHORTAGE",IF(H156-E156&lt;E156,"LOW","OK")))</f>
        <v/>
      </c>
      <c r="H156" s="33">
        <f>IFERROR(INDEX(TableInventory[Store Balance],MATCH(A156,TableInventory[Item ID],0)),0)+IFERROR(INDEX(TableInventory[Work In Process],MATCH(A156,TableInventory[Item ID],0)),0)</f>
        <v/>
      </c>
      <c r="I156" s="197" t="n">
        <v>0</v>
      </c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</row>
    <row r="158" ht="15" customHeight="1" s="244"/>
    <row r="159" ht="15" customHeight="1" s="244">
      <c r="A159" s="6" t="inlineStr">
        <is>
          <t>FG STOCK — CAPS ON HOLD  |  Detail breakdown for Col K above</t>
        </is>
      </c>
      <c r="B159" s="7" t="n"/>
      <c r="C159" s="7" t="n"/>
      <c r="D159" s="7" t="n"/>
      <c r="E159" s="7" t="n"/>
      <c r="F159" s="7" t="n"/>
      <c r="G159" s="7" t="n"/>
    </row>
    <row r="160" ht="15" customHeight="1" s="244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44">
      <c r="A161" s="56" t="inlineStr">
        <is>
          <t>PID</t>
        </is>
      </c>
      <c r="B161" s="56" t="inlineStr">
        <is>
          <t>Customer</t>
        </is>
      </c>
      <c r="C161" s="57" t="inlineStr">
        <is>
          <t>Product Name</t>
        </is>
      </c>
      <c r="D161" s="56" t="inlineStr">
        <is>
          <t>Cap Item ID</t>
        </is>
      </c>
      <c r="E161" s="195" t="inlineStr">
        <is>
          <t>Cap Item Name</t>
        </is>
      </c>
      <c r="F161" s="14" t="inlineStr">
        <is>
          <t>FG Qty On Hold</t>
        </is>
      </c>
      <c r="G161" s="15" t="inlineStr">
        <is>
          <t>Notes</t>
        </is>
      </c>
    </row>
    <row r="162" ht="15" customHeight="1" s="244">
      <c r="A162" s="225" t="n">
        <v>5782</v>
      </c>
      <c r="B162" s="60">
        <f>IFERROR(VLOOKUP(A162,Product_Catalog!$A$3:$D$100,3,0),"-")</f>
        <v/>
      </c>
      <c r="C162" s="60">
        <f>IFERROR(VLOOKUP(A162,Product_Catalog!$A$3:$D$100,4,0),"-")</f>
        <v/>
      </c>
      <c r="D162" s="225" t="n">
        <v>1285</v>
      </c>
      <c r="E162" s="198">
        <f>IFERROR(INDEX($C$51:$C$72,MATCH(D162,$A$51:$A$72,0)),"-")</f>
        <v/>
      </c>
      <c r="F162" s="27">
        <f>SUMPRODUCT(('FG Stock'!$B$4:$B$100=A162)*(ISNUMBER(SEARCH("Cap Not Available",'FG Stock'!$H$4:$H$100)))*'FG Stock'!$F$4:$F$100)</f>
        <v/>
      </c>
      <c r="G162" s="199" t="inlineStr">
        <is>
          <t>Included in ORDER QTY above</t>
        </is>
      </c>
    </row>
    <row r="163" ht="15" customHeight="1" s="244">
      <c r="A163" s="225" t="n">
        <v>6624</v>
      </c>
      <c r="B163" s="60">
        <f>IFERROR(VLOOKUP(A163,Product_Catalog!$A$3:$D$100,3,0),"-")</f>
        <v/>
      </c>
      <c r="C163" s="60">
        <f>IFERROR(VLOOKUP(A163,Product_Catalog!$A$3:$D$100,4,0),"-")</f>
        <v/>
      </c>
      <c r="D163" s="225" t="n">
        <v>80</v>
      </c>
      <c r="E163" s="198">
        <f>IFERROR(INDEX($C$51:$C$72,MATCH(D163,$A$51:$A$72,0)),"-")</f>
        <v/>
      </c>
      <c r="F163" s="27">
        <f>SUMPRODUCT(('FG Stock'!$B$4:$B$100=A163)*(ISNUMBER(SEARCH("Cap Not Available",'FG Stock'!$H$4:$H$100)))*'FG Stock'!$F$4:$F$100)</f>
        <v/>
      </c>
      <c r="G163" s="199" t="inlineStr">
        <is>
          <t>Included in ORDER QTY above</t>
        </is>
      </c>
    </row>
    <row r="164" ht="15" customHeight="1" s="244">
      <c r="A164" s="225" t="n">
        <v>5699</v>
      </c>
      <c r="B164" s="60">
        <f>IFERROR(VLOOKUP(A164,Product_Catalog!$A$3:$D$100,3,0),"-")</f>
        <v/>
      </c>
      <c r="C164" s="60">
        <f>IFERROR(VLOOKUP(A164,Product_Catalog!$A$3:$D$100,4,0),"-")</f>
        <v/>
      </c>
      <c r="D164" s="225" t="n">
        <v>6971</v>
      </c>
      <c r="E164" s="198">
        <f>IFERROR(INDEX($C$51:$C$72,MATCH(D164,$A$51:$A$72,0)),"-")</f>
        <v/>
      </c>
      <c r="F164" s="27">
        <f>SUMPRODUCT(('FG Stock'!$B$4:$B$100=A164)*(ISNUMBER(SEARCH("Cap Not Available",'FG Stock'!$H$4:$H$100)))*'FG Stock'!$F$4:$F$100)</f>
        <v/>
      </c>
      <c r="G164" s="199" t="inlineStr">
        <is>
          <t>Included in ORDER QTY above</t>
        </is>
      </c>
    </row>
    <row r="165">
      <c r="A165" s="225" t="n">
        <v>5731</v>
      </c>
      <c r="B165" s="60">
        <f>IFERROR(VLOOKUP(A165,Product_Catalog!$A$3:$D$100,3,0),"-")</f>
        <v/>
      </c>
      <c r="C165" s="60">
        <f>IFERROR(VLOOKUP(A165,Product_Catalog!$A$3:$D$100,4,0),"-")</f>
        <v/>
      </c>
      <c r="D165" s="225" t="n">
        <v>6971</v>
      </c>
      <c r="E165" s="198">
        <f>IFERROR(INDEX($C$51:$C$72,MATCH(D165,$A$51:$A$72,0)),"-")</f>
        <v/>
      </c>
      <c r="F165" s="27">
        <f>SUMPRODUCT(('FG Stock'!$B$4:$B$100=A165)*(ISNUMBER(SEARCH("Cap Not Available",'FG Stock'!$H$4:$H$100)))*'FG Stock'!$F$4:$F$100)</f>
        <v/>
      </c>
      <c r="G165" s="199" t="inlineStr">
        <is>
          <t>Included in ORDER QTY above</t>
        </is>
      </c>
    </row>
  </sheetData>
  <autoFilter ref="A16:I100">
    <filterColumn colId="4" hiddenButton="0" showButton="1">
      <filters>
        <filter val="1"/>
        <filter val="138"/>
        <filter val="15"/>
        <filter val="178"/>
        <filter val="188"/>
        <filter val="2"/>
        <filter val="201"/>
        <filter val="25,500"/>
        <filter val="341"/>
        <filter val="36,057"/>
        <filter val="45"/>
        <filter val="48,552"/>
        <filter val="69"/>
        <filter val="8"/>
        <filter val="89"/>
        <filter val="Required Qty"/>
      </filters>
    </filterColumn>
  </autoFilter>
  <mergeCells count="3">
    <mergeCell ref="A103:I103"/>
    <mergeCell ref="A112:I112"/>
    <mergeCell ref="A122:I122"/>
  </mergeCells>
  <conditionalFormatting sqref="K3:K14">
    <cfRule type="cellIs" priority="13" operator="lessThan" dxfId="1">
      <formula>0</formula>
    </cfRule>
  </conditionalFormatting>
  <conditionalFormatting sqref="K103">
    <cfRule type="cellIs" priority="9" operator="lessThan" dxfId="1">
      <formula>0</formula>
    </cfRule>
  </conditionalFormatting>
  <conditionalFormatting sqref="K141">
    <cfRule type="cellIs" priority="5" operator="lessThan" dxfId="1">
      <formula>0</formula>
    </cfRule>
  </conditionalFormatting>
  <conditionalFormatting sqref="M3:M14 M16:M17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03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4 H134:H141 I2:I13 I17:I18 I20:I21 I23 I25:I28 I31 I33:I34 I36:I38 I40:I46 I49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4 B17:B28 B138 B142:B143 B148:B149 C3:C10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4 C17:C28 C138 C142:C143 C148:C149 D3:D13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44" min="1" max="1"/>
    <col width="8" customWidth="1" style="244" min="2" max="2"/>
    <col width="37.7109375" customWidth="1" style="245" min="3" max="3"/>
    <col width="39" customWidth="1" style="245" min="4" max="4"/>
    <col width="6" customWidth="1" style="244" min="5" max="5"/>
    <col width="16" customWidth="1" style="244" min="6" max="6"/>
    <col width="8" customWidth="1" style="244" min="7" max="7"/>
    <col width="30" customWidth="1" style="245" min="8" max="8"/>
    <col width="6" customWidth="1" style="244" min="9" max="9"/>
    <col width="14" customWidth="1" style="246" min="10" max="10"/>
    <col width="16" customWidth="1" style="245" min="11" max="11"/>
    <col width="8" customWidth="1" style="247" min="12" max="12"/>
    <col width="68.28515625" customWidth="1" style="67" min="13" max="13"/>
  </cols>
  <sheetData>
    <row r="1" ht="20.25" customHeight="1" s="244">
      <c r="A1" s="243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4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4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4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4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4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4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4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4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4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4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4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4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4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4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4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4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4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4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4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4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4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4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4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4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4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4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4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4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4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4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4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4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4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4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4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4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4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4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4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4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4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4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4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4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4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4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4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4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4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4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4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4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4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4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4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4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4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4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4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4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4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4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4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4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4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4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4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4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4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4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4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4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4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4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4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4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4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4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4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4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4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4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4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4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4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4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4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4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4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4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4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4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4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4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4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4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4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4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4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4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4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4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4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4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4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4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4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4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4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4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4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4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4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4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4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4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4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4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4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4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4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4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4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4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4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4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4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4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4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4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4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4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4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4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4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4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4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4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4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4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4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4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4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4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4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4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4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4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4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4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4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4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4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4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4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4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4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4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4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4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4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4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4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4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4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4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4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4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4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4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4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4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4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4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4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4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4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4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4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4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4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4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4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4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4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4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4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4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4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4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4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4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4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4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4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4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4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4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4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4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4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4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4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4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4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4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4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4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4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4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4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4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4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4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4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4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4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4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4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4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4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4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4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4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4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4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4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4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4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4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4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4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4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4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4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4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4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4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4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4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4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4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4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4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4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4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4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4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4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4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4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4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4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4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4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4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4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4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4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4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4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4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4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4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4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4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4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4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4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4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4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4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4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4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4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4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4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4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4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4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4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4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4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4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4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4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4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4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4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4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4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4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4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4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4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4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4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4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4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4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4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4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4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4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4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4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4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4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4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4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4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4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4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4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4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4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4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4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4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4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4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4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4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4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4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4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4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4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4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4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4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4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4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4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4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44"/>
    <row r="339" ht="15" customHeight="1" s="244"/>
    <row r="340" ht="15" customHeight="1" s="244"/>
    <row r="341" ht="15" customHeight="1" s="244"/>
    <row r="342" ht="15" customHeight="1" s="244"/>
    <row r="343" ht="15" customHeight="1" s="244"/>
    <row r="344" ht="15" customHeight="1" s="244"/>
    <row r="345" ht="15" customHeight="1" s="24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4" min="1" max="1"/>
    <col width="15.28515625" customWidth="1" style="244" min="2" max="2"/>
    <col width="33.28515625" customWidth="1" style="244" min="3" max="3"/>
    <col width="6" customWidth="1" style="24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44" min="11" max="11"/>
  </cols>
  <sheetData>
    <row r="1" ht="19.5" customHeight="1" s="244">
      <c r="A1" s="248" t="inlineStr">
        <is>
          <t>Slugs Inventory — May 2026 MONTH TO DATE</t>
        </is>
      </c>
      <c r="B1" s="232" t="n"/>
      <c r="C1" s="232" t="n"/>
      <c r="D1" s="232" t="n"/>
      <c r="E1" s="232" t="n"/>
      <c r="F1" s="232" t="n"/>
      <c r="G1" s="232" t="n"/>
      <c r="H1" s="232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4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4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4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>
        <v>50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4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700</v>
      </c>
      <c r="F8" s="52" t="n">
        <v>1250</v>
      </c>
      <c r="G8" s="52" t="n">
        <v>1900</v>
      </c>
      <c r="H8" s="53">
        <f>E8+F8-G8</f>
        <v/>
      </c>
      <c r="I8" s="52" t="n">
        <v>40</v>
      </c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4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4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44"/>
    <row r="12" ht="18.75" customHeight="1" s="244">
      <c r="A12" s="88" t="inlineStr">
        <is>
          <t>Inventory — May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4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4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4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4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4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4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4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4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4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4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4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4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4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4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4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4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4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0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4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4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4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4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4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4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4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4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4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4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4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4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4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4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4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4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4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4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4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4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4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4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4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4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4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4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4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4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4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4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4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4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4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4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4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4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4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4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4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4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4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4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4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4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4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4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4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4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4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4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4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4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4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4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4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4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4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4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4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4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4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4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4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4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44"/>
    <row r="96" ht="15" customHeight="1" s="24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4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4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4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4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4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4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4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4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4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4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4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4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4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4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4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4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baseColWidth="8" defaultColWidth="8.7109375" defaultRowHeight="15"/>
  <cols>
    <col width="10" customWidth="1" style="244" min="1" max="1"/>
    <col width="36.85546875" customWidth="1" style="244" min="2" max="2"/>
    <col width="37.7109375" customWidth="1" style="244" min="3" max="3"/>
    <col width="40" customWidth="1" style="244" min="4" max="4"/>
    <col width="10" customWidth="1" style="244" min="5" max="5"/>
    <col width="11.42578125" customWidth="1" style="244" min="6" max="6"/>
    <col width="8" customWidth="1" style="244" min="7" max="7"/>
    <col width="12" customWidth="1" style="244" min="8" max="19"/>
  </cols>
  <sheetData>
    <row r="1" ht="20.25" customHeight="1" s="24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4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4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4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4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4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4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4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4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4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4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4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4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4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4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4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4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4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4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4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4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4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4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4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4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4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4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4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4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4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4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4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4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4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4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4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4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4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4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4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4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4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4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4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4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4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4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4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4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4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4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4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4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4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1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44" min="1" max="1"/>
    <col width="14" customWidth="1" style="244" min="2" max="2"/>
    <col width="34" customWidth="1" style="245" min="3" max="3"/>
    <col width="21.7109375" customWidth="1" style="245" min="4" max="4"/>
    <col width="12" customWidth="1" style="244" min="5" max="6"/>
    <col width="14" customWidth="1" style="244" min="7" max="7"/>
    <col width="20" customWidth="1" style="244" min="8" max="8"/>
    <col width="12.85546875" customWidth="1" style="244" min="9" max="9"/>
    <col width="10" customWidth="1" style="244" min="10" max="10"/>
    <col width="14" customWidth="1" style="244" min="11" max="12"/>
    <col width="18" customWidth="1" style="244" min="13" max="13"/>
    <col width="14" customWidth="1" style="244" min="14" max="15"/>
    <col width="18" customWidth="1" style="244" min="16" max="16"/>
    <col width="17.140625" customWidth="1" style="244" min="17" max="17"/>
    <col width="16" customWidth="1" style="244" min="18" max="18"/>
  </cols>
  <sheetData>
    <row r="1" ht="15" customHeight="1" s="24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4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44">
      <c r="A3" s="270" t="n">
        <v>46144</v>
      </c>
      <c r="B3" s="267" t="inlineStr">
        <is>
          <t>Lacquer-02</t>
        </is>
      </c>
      <c r="C3" s="267" t="inlineStr">
        <is>
          <t>Samsol International Private Limited</t>
        </is>
      </c>
      <c r="D3" s="267" t="inlineStr">
        <is>
          <t>S 43 25MM</t>
        </is>
      </c>
      <c r="E3" s="267" t="n">
        <v>25</v>
      </c>
      <c r="F3" s="267" t="n">
        <v>3447</v>
      </c>
      <c r="G3" s="268" t="n">
        <v>21000</v>
      </c>
      <c r="H3" s="268" t="n">
        <v>20645</v>
      </c>
      <c r="I3" s="268" t="n">
        <v>355</v>
      </c>
      <c r="J3" s="269">
        <f>IFERROR(I3/(H3+I3),"")</f>
        <v/>
      </c>
      <c r="K3" s="267" t="n"/>
      <c r="L3" s="267" t="n"/>
      <c r="M3" s="267" t="n"/>
      <c r="N3" s="267" t="n"/>
      <c r="O3" s="267" t="n"/>
      <c r="P3" s="267" t="n">
        <v>30</v>
      </c>
      <c r="Q3" s="267" t="n"/>
      <c r="R3" s="267" t="n"/>
      <c r="S3" s="267" t="n"/>
    </row>
    <row r="4" hidden="1" ht="15" customHeight="1" s="244">
      <c r="A4" s="270" t="n">
        <v>46144</v>
      </c>
      <c r="B4" s="267" t="inlineStr">
        <is>
          <t>Lacquer-03</t>
        </is>
      </c>
      <c r="C4" s="267" t="inlineStr">
        <is>
          <t>Golden Pearl Cosmetics (PVT) LTD</t>
        </is>
      </c>
      <c r="D4" s="267" t="inlineStr">
        <is>
          <t>HELLO HAIR COLOR</t>
        </is>
      </c>
      <c r="E4" s="267" t="n">
        <v>30</v>
      </c>
      <c r="F4" s="267" t="n">
        <v>6206</v>
      </c>
      <c r="G4" s="268" t="n">
        <v>28000</v>
      </c>
      <c r="H4" s="268" t="n">
        <v>27520</v>
      </c>
      <c r="I4" s="268" t="n">
        <v>480</v>
      </c>
      <c r="J4" s="269">
        <f>IFERROR(I4/(H4+I4),"")</f>
        <v/>
      </c>
      <c r="K4" s="267" t="n"/>
      <c r="L4" s="267" t="n"/>
      <c r="M4" s="267" t="n"/>
      <c r="N4" s="267" t="n"/>
      <c r="O4" s="267" t="n"/>
      <c r="P4" s="267" t="n">
        <v>30</v>
      </c>
      <c r="Q4" s="267" t="n"/>
      <c r="R4" s="267" t="n"/>
      <c r="S4" s="267" t="n"/>
    </row>
    <row r="5" hidden="1" ht="15" customHeight="1" s="244">
      <c r="A5" s="270" t="n">
        <v>46144</v>
      </c>
      <c r="B5" s="267" t="inlineStr">
        <is>
          <t>Latex-01</t>
        </is>
      </c>
      <c r="C5" s="267" t="inlineStr">
        <is>
          <t>Golden Pearl Cosmetics (PVT) LTD</t>
        </is>
      </c>
      <c r="D5" s="267" t="inlineStr">
        <is>
          <t>HELLO HAIR COLOR</t>
        </is>
      </c>
      <c r="E5" s="267" t="n">
        <v>30</v>
      </c>
      <c r="F5" s="267" t="n">
        <v>6206</v>
      </c>
      <c r="G5" s="268" t="n">
        <v>0</v>
      </c>
      <c r="H5" s="268" t="n">
        <v>0</v>
      </c>
      <c r="I5" s="268" t="n">
        <v>0</v>
      </c>
      <c r="J5" s="269">
        <f>IFERROR(I5/(H5+I5),"")</f>
        <v/>
      </c>
      <c r="K5" s="267" t="n"/>
      <c r="L5" s="267" t="n"/>
      <c r="M5" s="267" t="n"/>
      <c r="N5" s="267" t="n"/>
      <c r="O5" s="267" t="n">
        <v>450</v>
      </c>
      <c r="P5" s="267" t="n">
        <v>30</v>
      </c>
      <c r="Q5" s="267" t="n"/>
      <c r="R5" s="267" t="n"/>
      <c r="S5" s="267" t="n"/>
    </row>
    <row r="6" hidden="1" ht="15" customHeight="1" s="244">
      <c r="A6" s="270" t="n">
        <v>46144</v>
      </c>
      <c r="B6" s="267" t="inlineStr">
        <is>
          <t>PF Machine</t>
        </is>
      </c>
      <c r="C6" s="267" t="inlineStr">
        <is>
          <t>Mablay Beauty PVT LTD.</t>
        </is>
      </c>
      <c r="D6" s="267" t="inlineStr">
        <is>
          <t>PET BOTTLE SMALL (130ML) TRANSPARENT</t>
        </is>
      </c>
      <c r="E6" s="267" t="inlineStr">
        <is>
          <t>130 ml</t>
        </is>
      </c>
      <c r="F6" s="267" t="n">
        <v>8010</v>
      </c>
      <c r="G6" s="268" t="n">
        <v>6100</v>
      </c>
      <c r="H6" s="268" t="n">
        <v>5520</v>
      </c>
      <c r="I6" s="268" t="n">
        <v>580</v>
      </c>
      <c r="J6" s="269">
        <f>IFERROR(I6/(H6+I6),"")</f>
        <v/>
      </c>
      <c r="K6" s="267" t="n">
        <v>100</v>
      </c>
      <c r="L6" s="267" t="n"/>
      <c r="M6" s="267" t="n"/>
      <c r="N6" s="267" t="n"/>
      <c r="O6" s="267" t="n">
        <v>150</v>
      </c>
      <c r="P6" s="267" t="n"/>
      <c r="Q6" s="267" t="n"/>
      <c r="R6" s="267" t="n"/>
      <c r="S6" s="267" t="n"/>
    </row>
    <row r="7" hidden="1" ht="15" customHeight="1" s="244">
      <c r="A7" s="270" t="n">
        <v>46144</v>
      </c>
      <c r="B7" s="267" t="inlineStr">
        <is>
          <t>Press-04</t>
        </is>
      </c>
      <c r="C7" s="267" t="inlineStr">
        <is>
          <t>Golden Pearl Cosmetics (PVT) LTD</t>
        </is>
      </c>
      <c r="D7" s="267" t="inlineStr">
        <is>
          <t>HELLO HAIR COLOR</t>
        </is>
      </c>
      <c r="E7" s="267" t="n">
        <v>30</v>
      </c>
      <c r="F7" s="267" t="n">
        <v>6206</v>
      </c>
      <c r="G7" s="268" t="n">
        <v>25000</v>
      </c>
      <c r="H7" s="268" t="n">
        <v>24820</v>
      </c>
      <c r="I7" s="268" t="n">
        <v>180</v>
      </c>
      <c r="J7" s="269">
        <f>IFERROR(I7/(H7+I7),"")</f>
        <v/>
      </c>
      <c r="K7" s="267" t="n"/>
      <c r="L7" s="267" t="n"/>
      <c r="M7" s="267" t="n"/>
      <c r="N7" s="267" t="n"/>
      <c r="O7" s="267" t="n"/>
      <c r="P7" s="267" t="n">
        <v>30</v>
      </c>
      <c r="Q7" s="267" t="n"/>
      <c r="R7" s="267" t="n"/>
      <c r="S7" s="267" t="n"/>
    </row>
    <row r="8" hidden="1" ht="15" customHeight="1" s="244">
      <c r="A8" s="270" t="n">
        <v>46144</v>
      </c>
      <c r="B8" s="267" t="inlineStr">
        <is>
          <t>Press-06</t>
        </is>
      </c>
      <c r="C8" s="267" t="inlineStr">
        <is>
          <t>Samsol International Private Limited</t>
        </is>
      </c>
      <c r="D8" s="267" t="inlineStr">
        <is>
          <t>S 43 25MM</t>
        </is>
      </c>
      <c r="E8" s="267" t="n">
        <v>25</v>
      </c>
      <c r="F8" s="267" t="n">
        <v>3447</v>
      </c>
      <c r="G8" s="268" t="n">
        <v>16000</v>
      </c>
      <c r="H8" s="268" t="n">
        <v>15890</v>
      </c>
      <c r="I8" s="268" t="n">
        <v>110</v>
      </c>
      <c r="J8" s="269">
        <f>IFERROR(I8/(H8+I8),"")</f>
        <v/>
      </c>
      <c r="K8" s="267" t="n">
        <v>120</v>
      </c>
      <c r="L8" s="267" t="n"/>
      <c r="M8" s="267" t="n"/>
      <c r="N8" s="267" t="n"/>
      <c r="O8" s="267" t="n"/>
      <c r="P8" s="267" t="n">
        <v>30</v>
      </c>
      <c r="Q8" s="267" t="n"/>
      <c r="R8" s="267" t="n"/>
      <c r="S8" s="267" t="n"/>
    </row>
    <row r="9" hidden="1" ht="15" customHeight="1" s="244">
      <c r="A9" s="270" t="n">
        <v>46144</v>
      </c>
      <c r="B9" s="267" t="inlineStr">
        <is>
          <t>Printing-03</t>
        </is>
      </c>
      <c r="C9" s="267" t="inlineStr">
        <is>
          <t>Samsol International Private Limited</t>
        </is>
      </c>
      <c r="D9" s="267" t="inlineStr">
        <is>
          <t>S 43 25MM</t>
        </is>
      </c>
      <c r="E9" s="267" t="n">
        <v>25</v>
      </c>
      <c r="F9" s="267" t="n">
        <v>3447</v>
      </c>
      <c r="G9" s="268" t="n">
        <v>20715</v>
      </c>
      <c r="H9" s="268" t="n">
        <v>20160</v>
      </c>
      <c r="I9" s="268" t="n">
        <v>555</v>
      </c>
      <c r="J9" s="269">
        <f>IFERROR(I9/(H9+I9),"")</f>
        <v/>
      </c>
      <c r="K9" s="267" t="n"/>
      <c r="L9" s="267" t="n"/>
      <c r="M9" s="267" t="n"/>
      <c r="N9" s="267" t="n"/>
      <c r="O9" s="267" t="n"/>
      <c r="P9" s="267" t="n">
        <v>30</v>
      </c>
      <c r="Q9" s="267" t="n"/>
      <c r="R9" s="267" t="n"/>
      <c r="S9" s="267" t="n"/>
    </row>
    <row r="10" hidden="1" ht="15" customHeight="1" s="244">
      <c r="A10" s="270" t="n">
        <v>46144</v>
      </c>
      <c r="B10" s="267" t="inlineStr">
        <is>
          <t>Printing-04</t>
        </is>
      </c>
      <c r="C10" s="267" t="inlineStr">
        <is>
          <t>Golden Pearl Cosmetics (PVT) LTD</t>
        </is>
      </c>
      <c r="D10" s="267" t="inlineStr">
        <is>
          <t>HELLO HAIR COLOR</t>
        </is>
      </c>
      <c r="E10" s="267" t="n">
        <v>30</v>
      </c>
      <c r="F10" s="267" t="n">
        <v>6206</v>
      </c>
      <c r="G10" s="268" t="n">
        <v>25580</v>
      </c>
      <c r="H10" s="268" t="n">
        <v>24990</v>
      </c>
      <c r="I10" s="268" t="n">
        <v>590</v>
      </c>
      <c r="J10" s="269">
        <f>IFERROR(I10/(H10+I10),"")</f>
        <v/>
      </c>
      <c r="K10" s="267" t="n"/>
      <c r="L10" s="267" t="n"/>
      <c r="M10" s="267" t="n"/>
      <c r="N10" s="267" t="n"/>
      <c r="O10" s="267" t="n"/>
      <c r="P10" s="267" t="n">
        <v>30</v>
      </c>
      <c r="Q10" s="267" t="n"/>
      <c r="R10" s="267" t="n"/>
      <c r="S10" s="267" t="n"/>
    </row>
    <row r="11" hidden="1" ht="15" customHeight="1" s="244">
      <c r="A11" s="270" t="n">
        <v>46146</v>
      </c>
      <c r="B11" s="267" t="inlineStr">
        <is>
          <t>Lacquer-02</t>
        </is>
      </c>
      <c r="C11" s="267" t="inlineStr">
        <is>
          <t>Samsol International Private Limited</t>
        </is>
      </c>
      <c r="D11" s="267" t="inlineStr">
        <is>
          <t>S 43 25MM</t>
        </is>
      </c>
      <c r="E11" s="267" t="n">
        <v>25</v>
      </c>
      <c r="F11" s="267" t="n">
        <v>3447</v>
      </c>
      <c r="G11" s="268" t="n">
        <v>4000</v>
      </c>
      <c r="H11" s="268" t="n">
        <v>3890</v>
      </c>
      <c r="I11" s="268" t="n">
        <v>110</v>
      </c>
      <c r="J11" s="269">
        <f>IFERROR(I11/(H11+I11),"")</f>
        <v/>
      </c>
      <c r="K11" s="267" t="n"/>
      <c r="L11" s="267" t="n"/>
      <c r="M11" s="267" t="n">
        <v>360</v>
      </c>
      <c r="N11" s="267" t="n"/>
      <c r="O11" s="267" t="n"/>
      <c r="P11" s="267" t="n"/>
      <c r="Q11" s="267" t="n"/>
      <c r="R11" s="267" t="n"/>
      <c r="S11" s="267" t="n"/>
    </row>
    <row r="12" hidden="1" ht="15" customHeight="1" s="244">
      <c r="A12" s="270" t="n">
        <v>46146</v>
      </c>
      <c r="B12" s="267" t="inlineStr">
        <is>
          <t>Lacquer-03</t>
        </is>
      </c>
      <c r="C12" s="267" t="inlineStr">
        <is>
          <t>Golden Pearl Cosmetics (PVT) LTD</t>
        </is>
      </c>
      <c r="D12" s="267" t="inlineStr">
        <is>
          <t>HELLO HAIR COLOR</t>
        </is>
      </c>
      <c r="E12" s="267" t="n">
        <v>30</v>
      </c>
      <c r="F12" s="267" t="n">
        <v>6206</v>
      </c>
      <c r="G12" s="268" t="n">
        <v>28000</v>
      </c>
      <c r="H12" s="268" t="n">
        <v>27520</v>
      </c>
      <c r="I12" s="268" t="n">
        <v>480</v>
      </c>
      <c r="J12" s="269">
        <f>IFERROR(I12/(H12+I12),"")</f>
        <v/>
      </c>
      <c r="K12" s="267" t="n"/>
      <c r="L12" s="267" t="n"/>
      <c r="M12" s="267" t="n"/>
      <c r="N12" s="267" t="n"/>
      <c r="O12" s="267" t="n"/>
      <c r="P12" s="267" t="n"/>
      <c r="Q12" s="267" t="n"/>
      <c r="R12" s="267" t="n"/>
      <c r="S12" s="267" t="n"/>
    </row>
    <row r="13" hidden="1" ht="15" customHeight="1" s="244">
      <c r="A13" s="270" t="n">
        <v>46146</v>
      </c>
      <c r="B13" s="267" t="inlineStr">
        <is>
          <t>Latex-01</t>
        </is>
      </c>
      <c r="C13" s="267" t="inlineStr">
        <is>
          <t>Golden Pearl Cosmetics (PVT) LTD</t>
        </is>
      </c>
      <c r="D13" s="267" t="inlineStr">
        <is>
          <t>HELLO HAIR COLOR</t>
        </is>
      </c>
      <c r="E13" s="267" t="n">
        <v>30</v>
      </c>
      <c r="F13" s="267" t="n">
        <v>6206</v>
      </c>
      <c r="G13" s="268" t="n">
        <v>28084</v>
      </c>
      <c r="H13" s="268" t="n">
        <v>28070</v>
      </c>
      <c r="I13" s="268" t="n">
        <v>14</v>
      </c>
      <c r="J13" s="269">
        <f>IFERROR(I13/(H13+I13),"")</f>
        <v/>
      </c>
      <c r="K13" s="267" t="n"/>
      <c r="L13" s="267" t="n"/>
      <c r="M13" s="267" t="n"/>
      <c r="N13" s="267" t="n"/>
      <c r="O13" s="267" t="n"/>
      <c r="P13" s="267" t="n"/>
      <c r="Q13" s="267" t="n"/>
      <c r="R13" s="267" t="n"/>
      <c r="S13" s="267" t="n"/>
    </row>
    <row r="14" hidden="1" ht="15" customHeight="1" s="244">
      <c r="A14" s="270" t="n">
        <v>46146</v>
      </c>
      <c r="B14" s="267" t="inlineStr">
        <is>
          <t>PF Machine</t>
        </is>
      </c>
      <c r="C14" s="267" t="inlineStr">
        <is>
          <t>Samsol International Private Limited</t>
        </is>
      </c>
      <c r="D14" s="267" t="inlineStr">
        <is>
          <t>PET BOTTLE SMALL (120ML) YELLOW</t>
        </is>
      </c>
      <c r="E14" s="267" t="inlineStr">
        <is>
          <t>120 ml</t>
        </is>
      </c>
      <c r="F14" s="267" t="n">
        <v>8005</v>
      </c>
      <c r="G14" s="268" t="n">
        <v>11250</v>
      </c>
      <c r="H14" s="268" t="n">
        <v>10800</v>
      </c>
      <c r="I14" s="268" t="n">
        <v>450</v>
      </c>
      <c r="J14" s="269">
        <f>IFERROR(I14/(H14+I14),"")</f>
        <v/>
      </c>
      <c r="K14" s="267" t="n">
        <v>210</v>
      </c>
      <c r="L14" s="267" t="n">
        <v>30</v>
      </c>
      <c r="M14" s="267" t="n"/>
      <c r="N14" s="267" t="n"/>
      <c r="O14" s="267" t="n">
        <v>40</v>
      </c>
      <c r="P14" s="267" t="n"/>
      <c r="Q14" s="267" t="n"/>
      <c r="R14" s="267" t="n"/>
      <c r="S14" s="267" t="n"/>
    </row>
    <row r="15" hidden="1" ht="15" customHeight="1" s="244">
      <c r="A15" s="270" t="n">
        <v>46146</v>
      </c>
      <c r="B15" s="267" t="inlineStr">
        <is>
          <t>Press-04</t>
        </is>
      </c>
      <c r="C15" s="267" t="inlineStr">
        <is>
          <t>Golden Pearl Cosmetics (PVT) LTD</t>
        </is>
      </c>
      <c r="D15" s="267" t="inlineStr">
        <is>
          <t>HELLO HAIR COLOR</t>
        </is>
      </c>
      <c r="E15" s="267" t="n">
        <v>30</v>
      </c>
      <c r="F15" s="267" t="n">
        <v>6206</v>
      </c>
      <c r="G15" s="268" t="n">
        <v>22000</v>
      </c>
      <c r="H15" s="268" t="n">
        <v>21850</v>
      </c>
      <c r="I15" s="268" t="n">
        <v>150</v>
      </c>
      <c r="J15" s="269">
        <f>IFERROR(I15/(H15+I15),"")</f>
        <v/>
      </c>
      <c r="K15" s="267" t="n"/>
      <c r="L15" s="267" t="n"/>
      <c r="M15" s="267" t="n"/>
      <c r="N15" s="267" t="n"/>
      <c r="O15" s="267" t="n"/>
      <c r="P15" s="267" t="n"/>
      <c r="Q15" s="267" t="n"/>
      <c r="R15" s="267" t="n"/>
      <c r="S15" s="267" t="n"/>
    </row>
    <row r="16" hidden="1" ht="15" customHeight="1" s="244">
      <c r="A16" s="270" t="n">
        <v>46146</v>
      </c>
      <c r="B16" s="267" t="inlineStr">
        <is>
          <t>Press-05</t>
        </is>
      </c>
      <c r="C16" s="267" t="inlineStr">
        <is>
          <t>Samsol International Private Limited</t>
        </is>
      </c>
      <c r="D16" s="267" t="inlineStr">
        <is>
          <t>S 43 25MM</t>
        </is>
      </c>
      <c r="E16" s="267" t="n">
        <v>25</v>
      </c>
      <c r="F16" s="267" t="n">
        <v>3447</v>
      </c>
      <c r="G16" s="268" t="n">
        <v>2400</v>
      </c>
      <c r="H16" s="268" t="n">
        <v>2345</v>
      </c>
      <c r="I16" s="268" t="n">
        <v>55</v>
      </c>
      <c r="J16" s="269">
        <f>IFERROR(I16/(H16+I16),"")</f>
        <v/>
      </c>
      <c r="K16" s="267" t="n"/>
      <c r="L16" s="267" t="n"/>
      <c r="M16" s="267" t="n">
        <v>420</v>
      </c>
      <c r="N16" s="267" t="n"/>
      <c r="O16" s="267" t="n"/>
      <c r="P16" s="267" t="n"/>
      <c r="Q16" s="267" t="n"/>
      <c r="R16" s="267" t="n"/>
      <c r="S16" s="267" t="n"/>
    </row>
    <row r="17" hidden="1" ht="15" customHeight="1" s="244">
      <c r="A17" s="270" t="n">
        <v>46146</v>
      </c>
      <c r="B17" s="267" t="inlineStr">
        <is>
          <t>Printing-03</t>
        </is>
      </c>
      <c r="C17" s="267" t="inlineStr">
        <is>
          <t>Samsol International Private Limited</t>
        </is>
      </c>
      <c r="D17" s="267" t="inlineStr">
        <is>
          <t>S 43 25MM</t>
        </is>
      </c>
      <c r="E17" s="267" t="n">
        <v>25</v>
      </c>
      <c r="F17" s="267" t="n">
        <v>3447</v>
      </c>
      <c r="G17" s="268" t="n">
        <v>7351</v>
      </c>
      <c r="H17" s="268" t="n">
        <v>7056</v>
      </c>
      <c r="I17" s="268" t="n">
        <v>295</v>
      </c>
      <c r="J17" s="269">
        <f>IFERROR(I17/(H17+I17),"")</f>
        <v/>
      </c>
      <c r="K17" s="267" t="n"/>
      <c r="L17" s="267" t="n"/>
      <c r="M17" s="267" t="n">
        <v>300</v>
      </c>
      <c r="N17" s="267" t="n"/>
      <c r="O17" s="267" t="n"/>
      <c r="P17" s="267" t="n"/>
      <c r="Q17" s="267" t="n"/>
      <c r="R17" s="267" t="n"/>
      <c r="S17" s="267" t="n"/>
    </row>
    <row r="18" hidden="1" ht="15" customHeight="1" s="244">
      <c r="A18" s="270" t="n">
        <v>46146</v>
      </c>
      <c r="B18" s="267" t="inlineStr">
        <is>
          <t>Printing-03</t>
        </is>
      </c>
      <c r="C18" s="267" t="inlineStr">
        <is>
          <t>Hola Hair</t>
        </is>
      </c>
      <c r="D18" s="267" t="inlineStr">
        <is>
          <t>H.H 100GM (Varnish)</t>
        </is>
      </c>
      <c r="E18" s="267" t="n">
        <v>32</v>
      </c>
      <c r="F18" s="267" t="n"/>
      <c r="G18" s="268" t="n">
        <v>1070</v>
      </c>
      <c r="H18" s="268" t="n">
        <v>1040</v>
      </c>
      <c r="I18" s="268" t="n">
        <v>30</v>
      </c>
      <c r="J18" s="269">
        <f>IFERROR(I18/(H18+I18),"")</f>
        <v/>
      </c>
      <c r="K18" s="267" t="n"/>
      <c r="L18" s="267" t="n"/>
      <c r="M18" s="267" t="n"/>
      <c r="N18" s="267" t="n"/>
      <c r="O18" s="267" t="n"/>
      <c r="P18" s="267" t="n"/>
      <c r="Q18" s="267" t="n"/>
      <c r="R18" s="267" t="n"/>
      <c r="S18" s="267" t="n"/>
    </row>
    <row r="19" hidden="1" ht="15" customHeight="1" s="244">
      <c r="A19" s="270" t="n">
        <v>46146</v>
      </c>
      <c r="B19" s="267" t="inlineStr">
        <is>
          <t>Printing-04</t>
        </is>
      </c>
      <c r="C19" s="267" t="inlineStr">
        <is>
          <t>Golden Pearl Cosmetics (PVT) LTD</t>
        </is>
      </c>
      <c r="D19" s="267" t="inlineStr">
        <is>
          <t>HELLO HAIR COLOR</t>
        </is>
      </c>
      <c r="E19" s="267" t="n">
        <v>30</v>
      </c>
      <c r="F19" s="267" t="n">
        <v>6206</v>
      </c>
      <c r="G19" s="268" t="n">
        <v>25640</v>
      </c>
      <c r="H19" s="268" t="n">
        <v>24990</v>
      </c>
      <c r="I19" s="268" t="n">
        <v>650</v>
      </c>
      <c r="J19" s="269">
        <f>IFERROR(I19/(H19+I19),"")</f>
        <v/>
      </c>
      <c r="K19" s="267" t="n"/>
      <c r="L19" s="267" t="n"/>
      <c r="M19" s="267" t="n"/>
      <c r="N19" s="267" t="n"/>
      <c r="O19" s="267" t="n"/>
      <c r="P19" s="267" t="n"/>
      <c r="Q19" s="267" t="n"/>
      <c r="R19" s="267" t="n"/>
      <c r="S19" s="267" t="n"/>
    </row>
    <row r="20" hidden="1" ht="15" customHeight="1" s="244">
      <c r="A20" s="270" t="n">
        <v>46147</v>
      </c>
      <c r="B20" s="267" t="inlineStr">
        <is>
          <t>Lacquer-02</t>
        </is>
      </c>
      <c r="C20" s="267" t="inlineStr">
        <is>
          <t>Golden Pearl Cosmetics (PVT) LTD</t>
        </is>
      </c>
      <c r="D20" s="267" t="inlineStr">
        <is>
          <t>HELLO HAIR COLOR</t>
        </is>
      </c>
      <c r="E20" s="267" t="n">
        <v>30</v>
      </c>
      <c r="F20" s="267" t="n">
        <v>6206</v>
      </c>
      <c r="G20" s="268" t="n">
        <v>20000</v>
      </c>
      <c r="H20" s="268" t="n">
        <v>19650</v>
      </c>
      <c r="I20" s="268" t="n">
        <v>350</v>
      </c>
      <c r="J20" s="269">
        <f>IFERROR(I20/(H20+I20),"")</f>
        <v/>
      </c>
      <c r="K20" s="267" t="n"/>
      <c r="L20" s="267" t="n"/>
      <c r="M20" s="267" t="n"/>
      <c r="N20" s="267" t="n"/>
      <c r="O20" s="267" t="n"/>
      <c r="P20" s="267" t="n"/>
      <c r="Q20" s="267" t="n"/>
      <c r="R20" s="267" t="n"/>
      <c r="S20" s="267" t="n"/>
    </row>
    <row r="21" hidden="1" ht="15" customHeight="1" s="244">
      <c r="A21" s="270" t="n">
        <v>46147</v>
      </c>
      <c r="B21" s="267" t="inlineStr">
        <is>
          <t>Lacquer-03</t>
        </is>
      </c>
      <c r="C21" s="267" t="inlineStr">
        <is>
          <t>Adore</t>
        </is>
      </c>
      <c r="D21" s="267" t="inlineStr">
        <is>
          <t>V- HC BROWN</t>
        </is>
      </c>
      <c r="E21" s="267" t="n">
        <v>35</v>
      </c>
      <c r="F21" s="267" t="n">
        <v>6530</v>
      </c>
      <c r="G21" s="268" t="n">
        <v>1000</v>
      </c>
      <c r="H21" s="268" t="n">
        <v>950</v>
      </c>
      <c r="I21" s="268" t="n">
        <v>50</v>
      </c>
      <c r="J21" s="269">
        <f>IFERROR(I21/(H21+I21),"")</f>
        <v/>
      </c>
      <c r="K21" s="267" t="n"/>
      <c r="L21" s="267" t="n"/>
      <c r="M21" s="267" t="n">
        <v>450</v>
      </c>
      <c r="N21" s="267" t="n"/>
      <c r="O21" s="267" t="n"/>
      <c r="P21" s="267" t="n"/>
      <c r="Q21" s="267" t="n"/>
      <c r="R21" s="267" t="n"/>
      <c r="S21" s="267" t="n"/>
    </row>
    <row r="22" hidden="1" ht="15" customHeight="1" s="244">
      <c r="A22" s="270" t="n">
        <v>46147</v>
      </c>
      <c r="B22" s="267" t="inlineStr">
        <is>
          <t>Latex-01</t>
        </is>
      </c>
      <c r="C22" s="267" t="inlineStr">
        <is>
          <t>Golden Pearl Cosmetics (PVT) LTD</t>
        </is>
      </c>
      <c r="D22" s="267" t="inlineStr">
        <is>
          <t>HELLO HAIR COLOR</t>
        </is>
      </c>
      <c r="E22" s="267" t="n">
        <v>30</v>
      </c>
      <c r="F22" s="267" t="n">
        <v>6206</v>
      </c>
      <c r="G22" s="268" t="n">
        <v>28084</v>
      </c>
      <c r="H22" s="268" t="n">
        <v>28069</v>
      </c>
      <c r="I22" s="268" t="n">
        <v>15</v>
      </c>
      <c r="J22" s="269">
        <f>IFERROR(I22/(H22+I22),"")</f>
        <v/>
      </c>
      <c r="K22" s="267" t="n"/>
      <c r="L22" s="267" t="n"/>
      <c r="M22" s="267" t="n"/>
      <c r="N22" s="267" t="n"/>
      <c r="O22" s="267" t="n"/>
      <c r="P22" s="267" t="n"/>
      <c r="Q22" s="267" t="n"/>
      <c r="R22" s="267" t="n"/>
      <c r="S22" s="267" t="n"/>
    </row>
    <row r="23" hidden="1" ht="15" customHeight="1" s="244">
      <c r="A23" s="270" t="n">
        <v>46147</v>
      </c>
      <c r="B23" s="267" t="inlineStr">
        <is>
          <t>PF Machine</t>
        </is>
      </c>
      <c r="C23" s="267" t="inlineStr">
        <is>
          <t>Samsol International Private Limited</t>
        </is>
      </c>
      <c r="D23" s="267" t="inlineStr">
        <is>
          <t>PET BOTTLE SMALL (120ML) YELLOW</t>
        </is>
      </c>
      <c r="E23" s="267" t="inlineStr">
        <is>
          <t>120 ml</t>
        </is>
      </c>
      <c r="F23" s="267" t="n">
        <v>8005</v>
      </c>
      <c r="G23" s="268" t="n">
        <v>7500</v>
      </c>
      <c r="H23" s="268" t="n">
        <v>7200</v>
      </c>
      <c r="I23" s="268" t="n">
        <v>300</v>
      </c>
      <c r="J23" s="269">
        <f>IFERROR(I23/(H23+I23),"")</f>
        <v/>
      </c>
      <c r="K23" s="267" t="n">
        <v>180</v>
      </c>
      <c r="L23" s="267" t="n"/>
      <c r="M23" s="267" t="n"/>
      <c r="N23" s="267" t="n"/>
      <c r="O23" s="267" t="n"/>
      <c r="P23" s="267" t="n"/>
      <c r="Q23" s="267" t="n"/>
      <c r="R23" s="267" t="n"/>
      <c r="S23" s="267" t="n"/>
    </row>
    <row r="24" hidden="1" ht="15" customHeight="1" s="244">
      <c r="A24" s="270" t="n">
        <v>46147</v>
      </c>
      <c r="B24" s="267" t="inlineStr">
        <is>
          <t>Press-03</t>
        </is>
      </c>
      <c r="C24" s="267" t="inlineStr">
        <is>
          <t>Adore</t>
        </is>
      </c>
      <c r="D24" s="267" t="inlineStr">
        <is>
          <t>V- HC BROWN</t>
        </is>
      </c>
      <c r="E24" s="267" t="n">
        <v>35</v>
      </c>
      <c r="F24" s="267" t="n">
        <v>6530</v>
      </c>
      <c r="G24" s="268" t="n">
        <v>9000</v>
      </c>
      <c r="H24" s="268" t="n">
        <v>8905</v>
      </c>
      <c r="I24" s="268" t="n">
        <v>95</v>
      </c>
      <c r="J24" s="269">
        <f>IFERROR(I24/(H24+I24),"")</f>
        <v/>
      </c>
      <c r="K24" s="267" t="n">
        <v>330</v>
      </c>
      <c r="L24" s="267" t="n"/>
      <c r="M24" s="267" t="n"/>
      <c r="N24" s="267" t="n"/>
      <c r="O24" s="267" t="n"/>
      <c r="P24" s="267" t="n"/>
      <c r="Q24" s="267" t="n"/>
      <c r="R24" s="267" t="n"/>
      <c r="S24" s="267" t="n"/>
    </row>
    <row r="25" hidden="1" ht="15" customHeight="1" s="244">
      <c r="A25" s="270" t="n">
        <v>46147</v>
      </c>
      <c r="B25" s="267" t="inlineStr">
        <is>
          <t>Press-04</t>
        </is>
      </c>
      <c r="C25" s="267" t="inlineStr">
        <is>
          <t>Golden Pearl Cosmetics (PVT) LTD</t>
        </is>
      </c>
      <c r="D25" s="267" t="inlineStr">
        <is>
          <t>HELLO HAIR COLOR</t>
        </is>
      </c>
      <c r="E25" s="267" t="n">
        <v>30</v>
      </c>
      <c r="F25" s="267" t="n">
        <v>6206</v>
      </c>
      <c r="G25" s="268" t="n">
        <v>24000</v>
      </c>
      <c r="H25" s="268" t="n">
        <v>23855</v>
      </c>
      <c r="I25" s="268" t="n">
        <v>145</v>
      </c>
      <c r="J25" s="269">
        <f>IFERROR(I25/(H25+I25),"")</f>
        <v/>
      </c>
      <c r="K25" s="267" t="n"/>
      <c r="L25" s="267" t="n"/>
      <c r="M25" s="267" t="n"/>
      <c r="N25" s="267" t="n"/>
      <c r="O25" s="267" t="n"/>
      <c r="P25" s="267" t="n"/>
      <c r="Q25" s="267" t="n"/>
      <c r="R25" s="267" t="n"/>
      <c r="S25" s="267" t="n"/>
    </row>
    <row r="26" hidden="1" ht="15" customHeight="1" s="244">
      <c r="A26" s="270" t="n">
        <v>46147</v>
      </c>
      <c r="B26" s="267" t="inlineStr">
        <is>
          <t>Printing-03</t>
        </is>
      </c>
      <c r="C26" s="267" t="inlineStr">
        <is>
          <t>Hola Hair</t>
        </is>
      </c>
      <c r="D26" s="267" t="inlineStr">
        <is>
          <t>H.H 100GM (Varnish)</t>
        </is>
      </c>
      <c r="E26" s="267" t="n">
        <v>32</v>
      </c>
      <c r="F26" s="267" t="n"/>
      <c r="G26" s="268" t="n">
        <v>27490</v>
      </c>
      <c r="H26" s="268" t="n">
        <v>27040</v>
      </c>
      <c r="I26" s="268" t="n">
        <v>450</v>
      </c>
      <c r="J26" s="269">
        <f>IFERROR(I26/(H26+I26),"")</f>
        <v/>
      </c>
      <c r="K26" s="267" t="n"/>
      <c r="L26" s="267" t="n"/>
      <c r="M26" s="267" t="n"/>
      <c r="N26" s="267" t="n"/>
      <c r="O26" s="267" t="n"/>
      <c r="P26" s="267" t="n"/>
      <c r="Q26" s="267" t="n"/>
      <c r="R26" s="267" t="n"/>
      <c r="S26" s="267" t="n"/>
    </row>
    <row r="27" hidden="1" ht="15" customHeight="1" s="244">
      <c r="A27" s="270" t="n">
        <v>46147</v>
      </c>
      <c r="B27" s="267" t="inlineStr">
        <is>
          <t>Printing-04</t>
        </is>
      </c>
      <c r="C27" s="267" t="inlineStr">
        <is>
          <t>Golden Pearl Cosmetics (PVT) LTD</t>
        </is>
      </c>
      <c r="D27" s="267" t="inlineStr">
        <is>
          <t>HELLO HAIR COLOR</t>
        </is>
      </c>
      <c r="E27" s="267" t="n">
        <v>30</v>
      </c>
      <c r="F27" s="267" t="n">
        <v>6206</v>
      </c>
      <c r="G27" s="268" t="n">
        <v>23428</v>
      </c>
      <c r="H27" s="268" t="n">
        <v>22848</v>
      </c>
      <c r="I27" s="268" t="n">
        <v>580</v>
      </c>
      <c r="J27" s="269">
        <f>IFERROR(I27/(H27+I27),"")</f>
        <v/>
      </c>
      <c r="K27" s="267" t="n"/>
      <c r="L27" s="267" t="n"/>
      <c r="M27" s="267" t="n"/>
      <c r="N27" s="267" t="n"/>
      <c r="O27" s="267" t="n"/>
      <c r="P27" s="267" t="n"/>
      <c r="Q27" s="267" t="n"/>
      <c r="R27" s="267" t="n"/>
      <c r="S27" s="267" t="n"/>
    </row>
    <row r="28" hidden="1" ht="15" customHeight="1" s="244">
      <c r="A28" s="270" t="n">
        <v>46148</v>
      </c>
      <c r="B28" s="267" t="inlineStr">
        <is>
          <t>Lacquer-02</t>
        </is>
      </c>
      <c r="C28" s="267" t="inlineStr">
        <is>
          <t>Golden Pearl Cosmetics (PVT) LTD</t>
        </is>
      </c>
      <c r="D28" s="267" t="inlineStr">
        <is>
          <t>HELLO HAIR COLOR</t>
        </is>
      </c>
      <c r="E28" s="267" t="n">
        <v>30</v>
      </c>
      <c r="F28" s="267" t="n">
        <v>6206</v>
      </c>
      <c r="G28" s="268" t="n">
        <v>0</v>
      </c>
      <c r="H28" s="268" t="n">
        <v>0</v>
      </c>
      <c r="I28" s="268" t="n">
        <v>0</v>
      </c>
      <c r="J28" s="269">
        <f>IFERROR(I28/(H28+I28),"")</f>
        <v/>
      </c>
      <c r="K28" s="267" t="n"/>
      <c r="L28" s="267" t="n"/>
      <c r="M28" s="267" t="n"/>
      <c r="N28" s="267" t="n"/>
      <c r="O28" s="267" t="n">
        <v>480</v>
      </c>
      <c r="P28" s="267" t="n"/>
      <c r="Q28" s="267" t="n"/>
      <c r="R28" s="267" t="n"/>
      <c r="S28" s="267" t="n"/>
    </row>
    <row r="29" hidden="1" ht="15" customHeight="1" s="244">
      <c r="A29" s="270" t="n">
        <v>46148</v>
      </c>
      <c r="B29" s="267" t="inlineStr">
        <is>
          <t>Lacquer-03</t>
        </is>
      </c>
      <c r="C29" s="267" t="inlineStr">
        <is>
          <t>Adore</t>
        </is>
      </c>
      <c r="D29" s="267" t="inlineStr">
        <is>
          <t>V- HC BROWN</t>
        </is>
      </c>
      <c r="E29" s="267" t="n">
        <v>35</v>
      </c>
      <c r="F29" s="267" t="n">
        <v>6530</v>
      </c>
      <c r="G29" s="268" t="n">
        <v>22000</v>
      </c>
      <c r="H29" s="268" t="n">
        <v>21610</v>
      </c>
      <c r="I29" s="268" t="n">
        <v>390</v>
      </c>
      <c r="J29" s="269">
        <f>IFERROR(I29/(H29+I29),"")</f>
        <v/>
      </c>
      <c r="K29" s="267" t="n"/>
      <c r="L29" s="267" t="n"/>
      <c r="M29" s="267" t="n"/>
      <c r="N29" s="267" t="n"/>
      <c r="O29" s="267" t="n"/>
      <c r="P29" s="267" t="n"/>
      <c r="Q29" s="267" t="n"/>
      <c r="R29" s="267" t="n"/>
      <c r="S29" s="267" t="n"/>
    </row>
    <row r="30" hidden="1" ht="15" customHeight="1" s="244">
      <c r="A30" s="270" t="n">
        <v>46148</v>
      </c>
      <c r="B30" s="267" t="inlineStr">
        <is>
          <t>Latex-01</t>
        </is>
      </c>
      <c r="C30" s="267" t="inlineStr">
        <is>
          <t>Adore</t>
        </is>
      </c>
      <c r="D30" s="267" t="inlineStr">
        <is>
          <t>V- HC BROWN</t>
        </is>
      </c>
      <c r="E30" s="267" t="n">
        <v>35</v>
      </c>
      <c r="F30" s="267" t="n">
        <v>6530</v>
      </c>
      <c r="G30" s="268" t="n">
        <v>5010</v>
      </c>
      <c r="H30" s="268" t="n">
        <v>5000</v>
      </c>
      <c r="I30" s="268" t="n">
        <v>10</v>
      </c>
      <c r="J30" s="269">
        <f>IFERROR(I30/(H30+I30),"")</f>
        <v/>
      </c>
      <c r="K30" s="267" t="n"/>
      <c r="L30" s="267" t="n"/>
      <c r="M30" s="267" t="n"/>
      <c r="N30" s="267" t="n"/>
      <c r="O30" s="267" t="n">
        <v>360</v>
      </c>
      <c r="P30" s="267" t="n"/>
      <c r="Q30" s="267" t="n"/>
      <c r="R30" s="267" t="n"/>
      <c r="S30" s="267" t="n"/>
    </row>
    <row r="31" hidden="1" ht="15" customHeight="1" s="244">
      <c r="A31" s="270" t="n">
        <v>46148</v>
      </c>
      <c r="B31" s="267" t="inlineStr">
        <is>
          <t>PF Machine</t>
        </is>
      </c>
      <c r="C31" s="267" t="inlineStr">
        <is>
          <t>Samsol International Private Limited</t>
        </is>
      </c>
      <c r="D31" s="267" t="inlineStr">
        <is>
          <t>PET BOTTLE SMALL (120ML) YELLOW</t>
        </is>
      </c>
      <c r="E31" s="267" t="inlineStr">
        <is>
          <t>120 ml</t>
        </is>
      </c>
      <c r="F31" s="267" t="n">
        <v>8005</v>
      </c>
      <c r="G31" s="268" t="n">
        <v>11500</v>
      </c>
      <c r="H31" s="268" t="n">
        <v>11040</v>
      </c>
      <c r="I31" s="268" t="n">
        <v>460</v>
      </c>
      <c r="J31" s="269">
        <f>IFERROR(I31/(H31+I31),"")</f>
        <v/>
      </c>
      <c r="K31" s="267" t="n"/>
      <c r="L31" s="267" t="n"/>
      <c r="M31" s="267" t="n"/>
      <c r="N31" s="267" t="n"/>
      <c r="O31" s="267" t="n"/>
      <c r="P31" s="267" t="n"/>
      <c r="Q31" s="267" t="n"/>
      <c r="R31" s="267" t="n"/>
      <c r="S31" s="267" t="n"/>
    </row>
    <row r="32" hidden="1" ht="15" customHeight="1" s="244">
      <c r="A32" s="270" t="n">
        <v>46148</v>
      </c>
      <c r="B32" s="267" t="inlineStr">
        <is>
          <t>Press-03</t>
        </is>
      </c>
      <c r="C32" s="267" t="inlineStr">
        <is>
          <t>Adore</t>
        </is>
      </c>
      <c r="D32" s="267" t="inlineStr">
        <is>
          <t>V- HC BROWN</t>
        </is>
      </c>
      <c r="E32" s="267" t="n">
        <v>35</v>
      </c>
      <c r="F32" s="267" t="n">
        <v>6530</v>
      </c>
      <c r="G32" s="268" t="n">
        <v>22000</v>
      </c>
      <c r="H32" s="268" t="n">
        <v>21850</v>
      </c>
      <c r="I32" s="268" t="n">
        <v>150</v>
      </c>
      <c r="J32" s="269">
        <f>IFERROR(I32/(H32+I32),"")</f>
        <v/>
      </c>
      <c r="K32" s="267" t="n"/>
      <c r="L32" s="267" t="n"/>
      <c r="M32" s="267" t="n"/>
      <c r="N32" s="267" t="n"/>
      <c r="O32" s="267" t="n"/>
      <c r="P32" s="267" t="n"/>
      <c r="Q32" s="267" t="n"/>
      <c r="R32" s="267" t="n"/>
      <c r="S32" s="267" t="n"/>
    </row>
    <row r="33" hidden="1" ht="15" customHeight="1" s="244">
      <c r="A33" s="270" t="n">
        <v>46148</v>
      </c>
      <c r="B33" s="267" t="inlineStr">
        <is>
          <t>Press-04</t>
        </is>
      </c>
      <c r="C33" s="267" t="inlineStr">
        <is>
          <t>Golden Pearl Cosmetics (PVT) LTD</t>
        </is>
      </c>
      <c r="D33" s="267" t="inlineStr">
        <is>
          <t>HELLO HAIR COLOR</t>
        </is>
      </c>
      <c r="E33" s="267" t="n">
        <v>30</v>
      </c>
      <c r="F33" s="267" t="n">
        <v>6206</v>
      </c>
      <c r="G33" s="268" t="n">
        <v>7900</v>
      </c>
      <c r="H33" s="268" t="n">
        <v>7790</v>
      </c>
      <c r="I33" s="268" t="n">
        <v>110</v>
      </c>
      <c r="J33" s="269">
        <f>IFERROR(I33/(H33+I33),"")</f>
        <v/>
      </c>
      <c r="K33" s="267" t="n"/>
      <c r="L33" s="267" t="n"/>
      <c r="M33" s="267" t="n"/>
      <c r="N33" s="267" t="n">
        <v>300</v>
      </c>
      <c r="O33" s="267" t="n"/>
      <c r="P33" s="267" t="n"/>
      <c r="Q33" s="267" t="n"/>
      <c r="R33" s="267" t="n"/>
      <c r="S33" s="267" t="n"/>
    </row>
    <row r="34" hidden="1" ht="15" customHeight="1" s="244">
      <c r="A34" s="270" t="n">
        <v>46148</v>
      </c>
      <c r="B34" s="267" t="inlineStr">
        <is>
          <t>Printing-03</t>
        </is>
      </c>
      <c r="C34" s="267" t="inlineStr">
        <is>
          <t>Hola Hair</t>
        </is>
      </c>
      <c r="D34" s="267" t="inlineStr">
        <is>
          <t>H.H 100GM (Varnish)</t>
        </is>
      </c>
      <c r="E34" s="267" t="n">
        <v>32</v>
      </c>
      <c r="F34" s="267" t="n"/>
      <c r="G34" s="268" t="n">
        <v>11908</v>
      </c>
      <c r="H34" s="268" t="n">
        <v>11648</v>
      </c>
      <c r="I34" s="268" t="n">
        <v>260</v>
      </c>
      <c r="J34" s="269">
        <f>IFERROR(I34/(H34+I34),"")</f>
        <v/>
      </c>
      <c r="K34" s="267" t="n"/>
      <c r="L34" s="267" t="n"/>
      <c r="M34" s="267" t="n">
        <v>180</v>
      </c>
      <c r="N34" s="267" t="n"/>
      <c r="O34" s="267" t="n"/>
      <c r="P34" s="267" t="n"/>
      <c r="Q34" s="267" t="n"/>
      <c r="R34" s="267" t="n"/>
      <c r="S34" s="267" t="n"/>
    </row>
    <row r="35" hidden="1" ht="15" customHeight="1" s="244">
      <c r="A35" s="270" t="n">
        <v>46148</v>
      </c>
      <c r="B35" s="267" t="inlineStr">
        <is>
          <t>Printing-04</t>
        </is>
      </c>
      <c r="C35" s="267" t="inlineStr">
        <is>
          <t>Adore</t>
        </is>
      </c>
      <c r="D35" s="267" t="inlineStr">
        <is>
          <t>V- HC BROWN</t>
        </is>
      </c>
      <c r="E35" s="267" t="n">
        <v>35</v>
      </c>
      <c r="F35" s="267" t="n">
        <v>6530</v>
      </c>
      <c r="G35" s="268" t="n">
        <v>10080</v>
      </c>
      <c r="H35" s="268" t="n">
        <v>9540</v>
      </c>
      <c r="I35" s="268" t="n">
        <v>540</v>
      </c>
      <c r="J35" s="269">
        <f>IFERROR(I35/(H35+I35),"")</f>
        <v/>
      </c>
      <c r="K35" s="267" t="n"/>
      <c r="L35" s="267" t="n"/>
      <c r="M35" s="267" t="n"/>
      <c r="N35" s="267" t="n"/>
      <c r="O35" s="267" t="n">
        <v>240</v>
      </c>
      <c r="P35" s="267" t="n"/>
      <c r="Q35" s="267" t="n"/>
      <c r="R35" s="267" t="n"/>
      <c r="S35" s="267" t="n"/>
    </row>
    <row r="36" hidden="1" ht="15" customHeight="1" s="244">
      <c r="A36" s="270" t="n">
        <v>46149</v>
      </c>
      <c r="B36" s="267" t="inlineStr">
        <is>
          <t>Lacquer-02</t>
        </is>
      </c>
      <c r="C36" s="267" t="inlineStr">
        <is>
          <t>Samsol International Private Limited</t>
        </is>
      </c>
      <c r="D36" s="267" t="inlineStr">
        <is>
          <t>S 43 25MM</t>
        </is>
      </c>
      <c r="E36" s="267" t="n">
        <v>25</v>
      </c>
      <c r="F36" s="267" t="n">
        <v>3447</v>
      </c>
      <c r="G36" s="268" t="n">
        <v>12000</v>
      </c>
      <c r="H36" s="268" t="n">
        <v>11745</v>
      </c>
      <c r="I36" s="268" t="n">
        <v>255</v>
      </c>
      <c r="J36" s="269">
        <f>IFERROR(I36/(H36+I36),"")</f>
        <v/>
      </c>
      <c r="K36" s="267" t="n"/>
      <c r="L36" s="267" t="n"/>
      <c r="M36" s="267" t="n"/>
      <c r="N36" s="267" t="n"/>
      <c r="O36" s="267" t="n">
        <v>200</v>
      </c>
      <c r="P36" s="267" t="n">
        <v>40</v>
      </c>
      <c r="Q36" s="267" t="n"/>
      <c r="R36" s="267" t="n"/>
      <c r="S36" s="267" t="n"/>
    </row>
    <row r="37" hidden="1" ht="15" customHeight="1" s="244">
      <c r="A37" s="270" t="n">
        <v>46149</v>
      </c>
      <c r="B37" s="267" t="inlineStr">
        <is>
          <t>Lacquer-03</t>
        </is>
      </c>
      <c r="C37" s="267" t="inlineStr">
        <is>
          <t>Golden Pearl Cosmetics (PVT) LTD</t>
        </is>
      </c>
      <c r="D37" s="267" t="inlineStr">
        <is>
          <t>HELLO HAIR COLOR</t>
        </is>
      </c>
      <c r="E37" s="267" t="n">
        <v>30</v>
      </c>
      <c r="F37" s="267" t="n">
        <v>6206</v>
      </c>
      <c r="G37" s="268" t="n">
        <v>14000</v>
      </c>
      <c r="H37" s="268" t="n">
        <v>13695</v>
      </c>
      <c r="I37" s="268" t="n">
        <v>305</v>
      </c>
      <c r="J37" s="269">
        <f>IFERROR(I37/(H37+I37),"")</f>
        <v/>
      </c>
      <c r="K37" s="267" t="n"/>
      <c r="L37" s="267" t="n"/>
      <c r="M37" s="267" t="n"/>
      <c r="N37" s="267" t="n"/>
      <c r="O37" s="267" t="n">
        <v>140</v>
      </c>
      <c r="P37" s="267" t="n">
        <v>40</v>
      </c>
      <c r="Q37" s="267" t="n"/>
      <c r="R37" s="267" t="n"/>
      <c r="S37" s="267" t="n"/>
    </row>
    <row r="38" hidden="1" ht="15" customHeight="1" s="244">
      <c r="A38" s="270" t="n">
        <v>46149</v>
      </c>
      <c r="B38" s="267" t="inlineStr">
        <is>
          <t>Latex-01</t>
        </is>
      </c>
      <c r="C38" s="267" t="inlineStr">
        <is>
          <t>Adore</t>
        </is>
      </c>
      <c r="D38" s="267" t="inlineStr">
        <is>
          <t>V- HC BROWN</t>
        </is>
      </c>
      <c r="E38" s="267" t="n">
        <v>35</v>
      </c>
      <c r="F38" s="267" t="n">
        <v>6530</v>
      </c>
      <c r="G38" s="268" t="n">
        <v>2500</v>
      </c>
      <c r="H38" s="268" t="n">
        <v>2495</v>
      </c>
      <c r="I38" s="268" t="n">
        <v>5</v>
      </c>
      <c r="J38" s="269">
        <f>IFERROR(I38/(H38+I38),"")</f>
        <v/>
      </c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</row>
    <row r="39" hidden="1" ht="15" customHeight="1" s="244">
      <c r="A39" s="270" t="n">
        <v>46149</v>
      </c>
      <c r="B39" s="267" t="inlineStr">
        <is>
          <t>Latex-01</t>
        </is>
      </c>
      <c r="C39" s="267" t="inlineStr">
        <is>
          <t>Golden Pearl Cosmetics (PVT) LTD</t>
        </is>
      </c>
      <c r="D39" s="267" t="inlineStr">
        <is>
          <t>HELLO HAIR COLOR</t>
        </is>
      </c>
      <c r="E39" s="267" t="n">
        <v>30</v>
      </c>
      <c r="F39" s="267" t="n">
        <v>6206</v>
      </c>
      <c r="G39" s="268" t="n">
        <v>22610</v>
      </c>
      <c r="H39" s="268" t="n">
        <v>22600</v>
      </c>
      <c r="I39" s="268" t="n">
        <v>10</v>
      </c>
      <c r="J39" s="269">
        <f>IFERROR(I39/(H39+I39),"")</f>
        <v/>
      </c>
      <c r="K39" s="267" t="n"/>
      <c r="L39" s="267" t="n"/>
      <c r="M39" s="267" t="n"/>
      <c r="N39" s="267" t="n"/>
      <c r="O39" s="267" t="n"/>
      <c r="P39" s="267" t="n">
        <v>40</v>
      </c>
      <c r="Q39" s="267" t="n"/>
      <c r="R39" s="267" t="n"/>
      <c r="S39" s="267" t="n"/>
    </row>
    <row r="40" hidden="1" ht="15" customHeight="1" s="244">
      <c r="A40" s="270" t="n">
        <v>46149</v>
      </c>
      <c r="B40" s="267" t="inlineStr">
        <is>
          <t>PF Machine</t>
        </is>
      </c>
      <c r="C40" s="267" t="inlineStr">
        <is>
          <t>Samsol International Private Limited</t>
        </is>
      </c>
      <c r="D40" s="267" t="inlineStr">
        <is>
          <t>PET BOTTLE SMALL (120ML) YELLOW</t>
        </is>
      </c>
      <c r="E40" s="267" t="inlineStr">
        <is>
          <t>120 ml</t>
        </is>
      </c>
      <c r="F40" s="267" t="n">
        <v>8005</v>
      </c>
      <c r="G40" s="268" t="n">
        <v>10730</v>
      </c>
      <c r="H40" s="268" t="n">
        <v>10080</v>
      </c>
      <c r="I40" s="268" t="n">
        <v>650</v>
      </c>
      <c r="J40" s="269">
        <f>IFERROR(I40/(H40+I40),"")</f>
        <v/>
      </c>
      <c r="K40" s="267" t="n"/>
      <c r="L40" s="267" t="n"/>
      <c r="M40" s="267" t="n"/>
      <c r="N40" s="267" t="n"/>
      <c r="O40" s="267" t="n"/>
      <c r="P40" s="267" t="n">
        <v>40</v>
      </c>
      <c r="Q40" s="267" t="n"/>
      <c r="R40" s="267" t="n"/>
      <c r="S40" s="267" t="n"/>
    </row>
    <row r="41" ht="15" customHeight="1" s="244">
      <c r="A41" s="270" t="n">
        <v>46149</v>
      </c>
      <c r="B41" s="267" t="inlineStr">
        <is>
          <t>Press-01</t>
        </is>
      </c>
      <c r="C41" s="267" t="inlineStr">
        <is>
          <t>Mablay Beauty PVT LTD.</t>
        </is>
      </c>
      <c r="D41" s="267" t="inlineStr">
        <is>
          <t>VINCE HIS BEARD &amp; MUSTACHE COLOR</t>
        </is>
      </c>
      <c r="E41" s="267" t="n">
        <v>20.5</v>
      </c>
      <c r="F41" s="267" t="n">
        <v>6077</v>
      </c>
      <c r="G41" s="268" t="n">
        <v>2000</v>
      </c>
      <c r="H41" s="268" t="n">
        <v>1945</v>
      </c>
      <c r="I41" s="268" t="n">
        <v>55</v>
      </c>
      <c r="J41" s="269">
        <f>IFERROR(I41/(H41+I41),"")</f>
        <v/>
      </c>
      <c r="K41" s="267" t="n"/>
      <c r="L41" s="267" t="n"/>
      <c r="M41" s="267" t="n"/>
      <c r="N41" s="267" t="n">
        <v>380</v>
      </c>
      <c r="O41" s="267" t="n"/>
      <c r="P41" s="267" t="n">
        <v>40</v>
      </c>
      <c r="Q41" s="267" t="n"/>
      <c r="R41" s="267" t="n"/>
      <c r="S41" s="267" t="n"/>
    </row>
    <row r="42" hidden="1" ht="15" customHeight="1" s="244">
      <c r="A42" s="270" t="n">
        <v>46149</v>
      </c>
      <c r="B42" s="267" t="inlineStr">
        <is>
          <t>Press-06</t>
        </is>
      </c>
      <c r="C42" s="267" t="inlineStr">
        <is>
          <t>Samsol International Private Limited</t>
        </is>
      </c>
      <c r="D42" s="267" t="inlineStr">
        <is>
          <t>S 43 25MM</t>
        </is>
      </c>
      <c r="E42" s="267" t="n">
        <v>25</v>
      </c>
      <c r="F42" s="267" t="n">
        <v>3447</v>
      </c>
      <c r="G42" s="268" t="n">
        <v>12500</v>
      </c>
      <c r="H42" s="268" t="n">
        <v>12400</v>
      </c>
      <c r="I42" s="268" t="n">
        <v>100</v>
      </c>
      <c r="J42" s="269">
        <f>IFERROR(I42/(H42+I42),"")</f>
        <v/>
      </c>
      <c r="K42" s="267" t="n"/>
      <c r="L42" s="267" t="n"/>
      <c r="M42" s="267" t="n"/>
      <c r="N42" s="267" t="n">
        <v>200</v>
      </c>
      <c r="O42" s="267" t="n"/>
      <c r="P42" s="267" t="n">
        <v>40</v>
      </c>
      <c r="Q42" s="267" t="n"/>
      <c r="R42" s="267" t="n"/>
      <c r="S42" s="267" t="n"/>
    </row>
    <row r="43" hidden="1" ht="15" customHeight="1" s="244">
      <c r="A43" s="270" t="n">
        <v>46149</v>
      </c>
      <c r="B43" s="267" t="inlineStr">
        <is>
          <t>Printing-03</t>
        </is>
      </c>
      <c r="C43" s="267" t="inlineStr">
        <is>
          <t>Samsol International Private Limited</t>
        </is>
      </c>
      <c r="D43" s="267" t="inlineStr">
        <is>
          <t>S 43 25MM</t>
        </is>
      </c>
      <c r="E43" s="267" t="n">
        <v>25</v>
      </c>
      <c r="F43" s="267" t="n">
        <v>3447</v>
      </c>
      <c r="G43" s="268" t="n">
        <v>12240</v>
      </c>
      <c r="H43" s="268" t="n">
        <v>11760</v>
      </c>
      <c r="I43" s="268" t="n">
        <v>480</v>
      </c>
      <c r="J43" s="269">
        <f>IFERROR(I43/(H43+I43),"")</f>
        <v/>
      </c>
      <c r="K43" s="267" t="n"/>
      <c r="L43" s="267" t="n"/>
      <c r="M43" s="267" t="n"/>
      <c r="N43" s="267" t="n">
        <v>200</v>
      </c>
      <c r="O43" s="267" t="n"/>
      <c r="P43" s="267" t="n">
        <v>40</v>
      </c>
      <c r="Q43" s="267" t="n"/>
      <c r="R43" s="267" t="n"/>
      <c r="S43" s="267" t="n"/>
    </row>
    <row r="44" hidden="1" ht="15" customHeight="1" s="244">
      <c r="A44" s="270" t="n">
        <v>46149</v>
      </c>
      <c r="B44" s="267" t="inlineStr">
        <is>
          <t>Printing-04</t>
        </is>
      </c>
      <c r="C44" s="267" t="inlineStr">
        <is>
          <t>Golden Pearl Cosmetics (PVT) LTD</t>
        </is>
      </c>
      <c r="D44" s="267" t="inlineStr">
        <is>
          <t>HELLO HAIR COLOR</t>
        </is>
      </c>
      <c r="E44" s="267" t="n">
        <v>30</v>
      </c>
      <c r="F44" s="267" t="n">
        <v>6206</v>
      </c>
      <c r="G44" s="268" t="n">
        <v>14875</v>
      </c>
      <c r="H44" s="268" t="n">
        <v>14280</v>
      </c>
      <c r="I44" s="268" t="n">
        <v>595</v>
      </c>
      <c r="J44" s="269">
        <f>IFERROR(I44/(H44+I44),"")</f>
        <v/>
      </c>
      <c r="K44" s="267" t="n"/>
      <c r="L44" s="267" t="n"/>
      <c r="M44" s="267" t="n"/>
      <c r="N44" s="267" t="n">
        <v>140</v>
      </c>
      <c r="O44" s="267" t="n"/>
      <c r="P44" s="267" t="n">
        <v>40</v>
      </c>
      <c r="Q44" s="267" t="n"/>
      <c r="R44" s="267" t="n"/>
      <c r="S44" s="267" t="n"/>
    </row>
    <row r="45" ht="15" customHeight="1" s="244">
      <c r="A45" s="270" t="n">
        <v>46150</v>
      </c>
      <c r="B45" s="267" t="inlineStr">
        <is>
          <t>Lacquer-02</t>
        </is>
      </c>
      <c r="C45" s="267" t="inlineStr">
        <is>
          <t>Mablay Beauty PVT LTD.</t>
        </is>
      </c>
      <c r="D45" s="267" t="inlineStr">
        <is>
          <t>VINCE HIS BEARD &amp; MUSTACHE COLOR</t>
        </is>
      </c>
      <c r="E45" s="267" t="n">
        <v>20.5</v>
      </c>
      <c r="F45" s="267" t="n">
        <v>6077</v>
      </c>
      <c r="G45" s="268" t="n">
        <v>13000</v>
      </c>
      <c r="H45" s="268" t="n">
        <v>12730</v>
      </c>
      <c r="I45" s="268" t="n">
        <v>270</v>
      </c>
      <c r="J45" s="269">
        <f>IFERROR(I45/(H45+I45),"")</f>
        <v/>
      </c>
      <c r="K45" s="267" t="n"/>
      <c r="L45" s="267" t="n"/>
      <c r="M45" s="267" t="n">
        <v>180</v>
      </c>
      <c r="N45" s="267" t="n"/>
      <c r="O45" s="267" t="n"/>
      <c r="P45" s="267" t="n"/>
      <c r="Q45" s="267" t="n"/>
      <c r="R45" s="267" t="n"/>
      <c r="S45" s="267" t="n"/>
    </row>
    <row r="46" hidden="1" ht="15" customHeight="1" s="244">
      <c r="A46" s="270" t="n">
        <v>46150</v>
      </c>
      <c r="B46" s="267" t="inlineStr">
        <is>
          <t>Lacquer-04</t>
        </is>
      </c>
      <c r="C46" s="267" t="inlineStr">
        <is>
          <t>Mablay Beauty PVT LTD.</t>
        </is>
      </c>
      <c r="D46" s="267" t="inlineStr">
        <is>
          <t>VINCE NURTURAL</t>
        </is>
      </c>
      <c r="E46" s="267" t="n">
        <v>30</v>
      </c>
      <c r="F46" s="267" t="n">
        <v>5814</v>
      </c>
      <c r="G46" s="268" t="n">
        <v>5000</v>
      </c>
      <c r="H46" s="268" t="n">
        <v>4890</v>
      </c>
      <c r="I46" s="268" t="n">
        <v>110</v>
      </c>
      <c r="J46" s="269">
        <f>IFERROR(I46/(H46+I46),"")</f>
        <v/>
      </c>
      <c r="K46" s="267" t="n">
        <v>300</v>
      </c>
      <c r="L46" s="267" t="n"/>
      <c r="M46" s="267" t="n"/>
      <c r="N46" s="267" t="n"/>
      <c r="O46" s="267" t="n"/>
      <c r="P46" s="267" t="n"/>
      <c r="Q46" s="267" t="n"/>
      <c r="R46" s="267" t="n"/>
      <c r="S46" s="267" t="n"/>
    </row>
    <row r="47" hidden="1" ht="15" customHeight="1" s="244">
      <c r="A47" s="270" t="n">
        <v>46150</v>
      </c>
      <c r="B47" s="267" t="inlineStr">
        <is>
          <t>Latex-01</t>
        </is>
      </c>
      <c r="C47" s="267" t="inlineStr">
        <is>
          <t>Golden Pearl Cosmetics (PVT) LTD</t>
        </is>
      </c>
      <c r="D47" s="267" t="inlineStr">
        <is>
          <t>HELLO HAIR COLOR</t>
        </is>
      </c>
      <c r="E47" s="267" t="n">
        <v>30</v>
      </c>
      <c r="F47" s="267" t="n">
        <v>6206</v>
      </c>
      <c r="G47" s="268" t="n">
        <v>11610</v>
      </c>
      <c r="H47" s="268" t="n">
        <v>11600</v>
      </c>
      <c r="I47" s="268" t="n">
        <v>10</v>
      </c>
      <c r="J47" s="269">
        <f>IFERROR(I47/(H47+I47),"")</f>
        <v/>
      </c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</row>
    <row r="48" hidden="1" ht="15" customHeight="1" s="244">
      <c r="A48" s="270" t="n">
        <v>46150</v>
      </c>
      <c r="B48" s="267" t="inlineStr">
        <is>
          <t>Latex-01</t>
        </is>
      </c>
      <c r="C48" s="267" t="inlineStr">
        <is>
          <t>Samsol International Private Limited</t>
        </is>
      </c>
      <c r="D48" s="267" t="inlineStr">
        <is>
          <t>H.H 100GM</t>
        </is>
      </c>
      <c r="E48" s="267" t="n">
        <v>32</v>
      </c>
      <c r="F48" s="267" t="n">
        <v>6515</v>
      </c>
      <c r="G48" s="268" t="n">
        <v>11440</v>
      </c>
      <c r="H48" s="268" t="n">
        <v>11420</v>
      </c>
      <c r="I48" s="268" t="n">
        <v>20</v>
      </c>
      <c r="J48" s="269">
        <f>IFERROR(I48/(H48+I48),"")</f>
        <v/>
      </c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</row>
    <row r="49" hidden="1" ht="15" customHeight="1" s="244">
      <c r="A49" s="270" t="n">
        <v>46150</v>
      </c>
      <c r="B49" s="267" t="inlineStr">
        <is>
          <t>PF Machine</t>
        </is>
      </c>
      <c r="C49" s="267" t="inlineStr">
        <is>
          <t>Mablay Beauty PVT LTD.</t>
        </is>
      </c>
      <c r="D49" s="267" t="inlineStr">
        <is>
          <t>PET BOTTLE SMALL (130ML) TRANSPARENT</t>
        </is>
      </c>
      <c r="E49" s="267" t="inlineStr">
        <is>
          <t>130 ml</t>
        </is>
      </c>
      <c r="F49" s="267" t="n">
        <v>8010</v>
      </c>
      <c r="G49" s="268" t="n">
        <v>0</v>
      </c>
      <c r="H49" s="268" t="n">
        <v>0</v>
      </c>
      <c r="I49" s="268" t="n">
        <v>0</v>
      </c>
      <c r="J49" s="269">
        <f>IFERROR(I49/(H49+I49),"")</f>
        <v/>
      </c>
      <c r="K49" s="267" t="n"/>
      <c r="L49" s="267" t="n"/>
      <c r="M49" s="267" t="n"/>
      <c r="N49" s="267" t="n">
        <v>480</v>
      </c>
      <c r="O49" s="267" t="n"/>
      <c r="P49" s="267" t="n"/>
      <c r="Q49" s="267" t="n"/>
      <c r="R49" s="267" t="n"/>
      <c r="S49" s="267" t="n"/>
    </row>
    <row r="50" ht="15" customHeight="1" s="244">
      <c r="A50" s="270" t="n">
        <v>46150</v>
      </c>
      <c r="B50" s="267" t="inlineStr">
        <is>
          <t>Press-01</t>
        </is>
      </c>
      <c r="C50" s="267" t="inlineStr">
        <is>
          <t>Mablay Beauty PVT LTD.</t>
        </is>
      </c>
      <c r="D50" s="267" t="inlineStr">
        <is>
          <t>VINCE HIS BEARD &amp; MUSTACHE COLOR</t>
        </is>
      </c>
      <c r="E50" s="267" t="n">
        <v>20.5</v>
      </c>
      <c r="F50" s="267" t="n">
        <v>6077</v>
      </c>
      <c r="G50" s="268" t="n">
        <v>17000</v>
      </c>
      <c r="H50" s="268" t="n">
        <v>16890</v>
      </c>
      <c r="I50" s="268" t="n">
        <v>110</v>
      </c>
      <c r="J50" s="269">
        <f>IFERROR(I50/(H50+I50),"")</f>
        <v/>
      </c>
      <c r="K50" s="267" t="n">
        <v>60</v>
      </c>
      <c r="L50" s="267" t="n"/>
      <c r="M50" s="267" t="n"/>
      <c r="N50" s="267" t="n"/>
      <c r="O50" s="267" t="n"/>
      <c r="P50" s="267" t="n"/>
      <c r="Q50" s="267" t="n"/>
      <c r="R50" s="267" t="n"/>
      <c r="S50" s="267" t="n"/>
    </row>
    <row r="51" hidden="1" ht="15" customHeight="1" s="244">
      <c r="A51" s="270" t="n">
        <v>46150</v>
      </c>
      <c r="B51" s="267" t="inlineStr">
        <is>
          <t>Press-04</t>
        </is>
      </c>
      <c r="C51" s="267" t="inlineStr">
        <is>
          <t>Mablay Beauty PVT LTD.</t>
        </is>
      </c>
      <c r="D51" s="267" t="inlineStr">
        <is>
          <t>VINCE NURTURAL</t>
        </is>
      </c>
      <c r="E51" s="267" t="n">
        <v>30</v>
      </c>
      <c r="F51" s="267" t="n">
        <v>5814</v>
      </c>
      <c r="G51" s="268" t="n">
        <v>13000</v>
      </c>
      <c r="H51" s="268" t="n">
        <v>12905</v>
      </c>
      <c r="I51" s="268" t="n">
        <v>95</v>
      </c>
      <c r="J51" s="269">
        <f>IFERROR(I51/(H51+I51),"")</f>
        <v/>
      </c>
      <c r="K51" s="267" t="n"/>
      <c r="L51" s="267" t="n"/>
      <c r="M51" s="267" t="n">
        <v>180</v>
      </c>
      <c r="N51" s="267" t="n"/>
      <c r="O51" s="267" t="n"/>
      <c r="P51" s="267" t="n"/>
      <c r="Q51" s="267" t="n"/>
      <c r="R51" s="267" t="n"/>
      <c r="S51" s="267" t="n"/>
    </row>
    <row r="52" ht="15" customHeight="1" s="244">
      <c r="A52" s="270" t="n">
        <v>46150</v>
      </c>
      <c r="B52" s="267" t="inlineStr">
        <is>
          <t>Printing-03</t>
        </is>
      </c>
      <c r="C52" s="267" t="inlineStr">
        <is>
          <t>Mablay Beauty PVT LTD.</t>
        </is>
      </c>
      <c r="D52" s="267" t="inlineStr">
        <is>
          <t>VINCE HIS BEARD &amp; MUSTACHE COLOR</t>
        </is>
      </c>
      <c r="E52" s="267" t="n">
        <v>20.5</v>
      </c>
      <c r="F52" s="267" t="n">
        <v>6077</v>
      </c>
      <c r="G52" s="268" t="n">
        <v>9660</v>
      </c>
      <c r="H52" s="268" t="n">
        <v>9180</v>
      </c>
      <c r="I52" s="268" t="n">
        <v>480</v>
      </c>
      <c r="J52" s="269">
        <f>IFERROR(I52/(H52+I52),"")</f>
        <v/>
      </c>
      <c r="K52" s="267" t="n"/>
      <c r="L52" s="267" t="n"/>
      <c r="M52" s="267" t="n">
        <v>240</v>
      </c>
      <c r="N52" s="267" t="n"/>
      <c r="O52" s="267" t="n"/>
      <c r="P52" s="267" t="n"/>
      <c r="Q52" s="267" t="n"/>
      <c r="R52" s="267" t="n"/>
      <c r="S52" s="267" t="n"/>
    </row>
    <row r="53" hidden="1" ht="15" customHeight="1" s="244">
      <c r="A53" s="270" t="n">
        <v>46150</v>
      </c>
      <c r="B53" s="267" t="inlineStr">
        <is>
          <t>Printing-04</t>
        </is>
      </c>
      <c r="C53" s="267" t="inlineStr">
        <is>
          <t>Mablay Beauty PVT LTD.</t>
        </is>
      </c>
      <c r="D53" s="267" t="inlineStr">
        <is>
          <t>VINCE NURTURAL</t>
        </is>
      </c>
      <c r="E53" s="267" t="n">
        <v>30</v>
      </c>
      <c r="F53" s="267" t="n">
        <v>5814</v>
      </c>
      <c r="G53" s="268" t="n">
        <v>2505</v>
      </c>
      <c r="H53" s="268" t="n">
        <v>2380</v>
      </c>
      <c r="I53" s="268" t="n">
        <v>125</v>
      </c>
      <c r="J53" s="269">
        <f>IFERROR(I53/(H53+I53),"")</f>
        <v/>
      </c>
      <c r="K53" s="267" t="n"/>
      <c r="L53" s="267" t="n"/>
      <c r="M53" s="267" t="n">
        <v>420</v>
      </c>
      <c r="N53" s="267" t="n"/>
      <c r="O53" s="267" t="n"/>
      <c r="P53" s="267" t="n"/>
      <c r="Q53" s="267" t="n"/>
      <c r="R53" s="267" t="n"/>
      <c r="S53" s="267" t="n"/>
    </row>
    <row r="54" ht="15" customHeight="1" s="244">
      <c r="A54" s="270" t="n">
        <v>46151</v>
      </c>
      <c r="B54" s="267" t="inlineStr">
        <is>
          <t>Lacquer-02</t>
        </is>
      </c>
      <c r="C54" s="267" t="inlineStr">
        <is>
          <t>Mablay Beauty PVT LTD.</t>
        </is>
      </c>
      <c r="D54" s="267" t="inlineStr">
        <is>
          <t>VINCE HIS BEARD &amp; MUSTACHE COLOR</t>
        </is>
      </c>
      <c r="E54" s="267" t="n">
        <v>20.5</v>
      </c>
      <c r="F54" s="267" t="n">
        <v>6077</v>
      </c>
      <c r="G54" s="268" t="n">
        <v>12000</v>
      </c>
      <c r="H54" s="268" t="n">
        <v>11805</v>
      </c>
      <c r="I54" s="268" t="n">
        <v>195</v>
      </c>
      <c r="J54" s="269">
        <f>IFERROR(I54/(H54+I54),"")</f>
        <v/>
      </c>
      <c r="K54" s="267" t="n">
        <v>180</v>
      </c>
      <c r="L54" s="267" t="n"/>
      <c r="M54" s="267" t="n"/>
      <c r="N54" s="267" t="n"/>
      <c r="O54" s="267" t="n"/>
      <c r="P54" s="267" t="n"/>
      <c r="Q54" s="267" t="n"/>
      <c r="R54" s="267" t="n"/>
      <c r="S54" s="267" t="n"/>
    </row>
    <row r="55" hidden="1" ht="15" customHeight="1" s="244">
      <c r="A55" s="270" t="n">
        <v>46151</v>
      </c>
      <c r="B55" s="267" t="inlineStr">
        <is>
          <t>Lacquer-04</t>
        </is>
      </c>
      <c r="C55" s="267" t="inlineStr">
        <is>
          <t>Mablay Beauty PVT LTD.</t>
        </is>
      </c>
      <c r="D55" s="267" t="inlineStr">
        <is>
          <t>VINCE NURTURAL</t>
        </is>
      </c>
      <c r="E55" s="267" t="n">
        <v>30</v>
      </c>
      <c r="F55" s="267" t="n">
        <v>5814</v>
      </c>
      <c r="G55" s="268" t="n">
        <v>16000</v>
      </c>
      <c r="H55" s="268" t="n">
        <v>15760</v>
      </c>
      <c r="I55" s="268" t="n">
        <v>240</v>
      </c>
      <c r="J55" s="269">
        <f>IFERROR(I55/(H55+I55),"")</f>
        <v/>
      </c>
      <c r="K55" s="267" t="n">
        <v>120</v>
      </c>
      <c r="L55" s="267" t="n"/>
      <c r="M55" s="267" t="n"/>
      <c r="N55" s="267" t="n"/>
      <c r="O55" s="267" t="n"/>
      <c r="P55" s="267" t="n"/>
      <c r="Q55" s="267" t="n"/>
      <c r="R55" s="267" t="n"/>
      <c r="S55" s="267" t="n"/>
    </row>
    <row r="56" hidden="1" ht="15" customHeight="1" s="244">
      <c r="A56" s="270" t="n">
        <v>46151</v>
      </c>
      <c r="B56" s="267" t="inlineStr">
        <is>
          <t>Latex-01</t>
        </is>
      </c>
      <c r="C56" s="267" t="inlineStr">
        <is>
          <t>Samsol International Private Limited</t>
        </is>
      </c>
      <c r="D56" s="267" t="inlineStr">
        <is>
          <t>H.H 100GM</t>
        </is>
      </c>
      <c r="E56" s="267" t="n">
        <v>32</v>
      </c>
      <c r="F56" s="267" t="n">
        <v>6515</v>
      </c>
      <c r="G56" s="268" t="n">
        <v>23000</v>
      </c>
      <c r="H56" s="268" t="n">
        <v>22980</v>
      </c>
      <c r="I56" s="268" t="n">
        <v>20</v>
      </c>
      <c r="J56" s="269">
        <f>IFERROR(I56/(H56+I56),"")</f>
        <v/>
      </c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</row>
    <row r="57" hidden="1" ht="15" customHeight="1" s="244">
      <c r="A57" s="270" t="n">
        <v>46151</v>
      </c>
      <c r="B57" s="267" t="inlineStr">
        <is>
          <t>PF Machine</t>
        </is>
      </c>
      <c r="C57" s="267" t="inlineStr">
        <is>
          <t>Mablay Beauty PVT LTD.</t>
        </is>
      </c>
      <c r="D57" s="267" t="inlineStr">
        <is>
          <t>PET BOTTLE SMALL (130ML) TRANSPARENT</t>
        </is>
      </c>
      <c r="E57" s="267" t="inlineStr">
        <is>
          <t>130 ml</t>
        </is>
      </c>
      <c r="F57" s="267" t="n">
        <v>8010</v>
      </c>
      <c r="G57" s="268" t="n">
        <v>0</v>
      </c>
      <c r="H57" s="268" t="n">
        <v>0</v>
      </c>
      <c r="I57" s="268" t="n">
        <v>0</v>
      </c>
      <c r="J57" s="269">
        <f>IFERROR(I57/(H57+I57),"")</f>
        <v/>
      </c>
      <c r="K57" s="267" t="n"/>
      <c r="L57" s="267" t="n"/>
      <c r="M57" s="267" t="n"/>
      <c r="N57" s="267" t="n"/>
      <c r="O57" s="267" t="n">
        <v>480</v>
      </c>
      <c r="P57" s="267" t="n"/>
      <c r="Q57" s="267" t="n"/>
      <c r="R57" s="267" t="n"/>
      <c r="S57" s="267" t="n"/>
    </row>
    <row r="58" ht="15" customHeight="1" s="244">
      <c r="A58" s="270" t="n">
        <v>46151</v>
      </c>
      <c r="B58" s="267" t="inlineStr">
        <is>
          <t>Press-01</t>
        </is>
      </c>
      <c r="C58" s="267" t="inlineStr">
        <is>
          <t>Mablay Beauty PVT LTD.</t>
        </is>
      </c>
      <c r="D58" s="267" t="inlineStr">
        <is>
          <t>VINCE HIS BEARD &amp; MUSTACHE COLOR</t>
        </is>
      </c>
      <c r="E58" s="267" t="n">
        <v>20.5</v>
      </c>
      <c r="F58" s="267" t="n">
        <v>6077</v>
      </c>
      <c r="G58" s="268" t="n">
        <v>7500</v>
      </c>
      <c r="H58" s="268" t="n">
        <v>7415</v>
      </c>
      <c r="I58" s="268" t="n">
        <v>85</v>
      </c>
      <c r="J58" s="269">
        <f>IFERROR(I58/(H58+I58),"")</f>
        <v/>
      </c>
      <c r="K58" s="267" t="n"/>
      <c r="L58" s="267" t="n"/>
      <c r="M58" s="267" t="n"/>
      <c r="N58" s="267" t="n">
        <v>300</v>
      </c>
      <c r="O58" s="267" t="n"/>
      <c r="P58" s="267" t="n"/>
      <c r="Q58" s="267" t="n"/>
      <c r="R58" s="267" t="n"/>
      <c r="S58" s="267" t="n"/>
    </row>
    <row r="59" hidden="1" ht="15" customHeight="1" s="244">
      <c r="A59" s="270" t="n">
        <v>46151</v>
      </c>
      <c r="B59" s="267" t="inlineStr">
        <is>
          <t>Press-04</t>
        </is>
      </c>
      <c r="C59" s="267" t="inlineStr">
        <is>
          <t>Mablay Beauty PVT LTD.</t>
        </is>
      </c>
      <c r="D59" s="267" t="inlineStr">
        <is>
          <t>VINCE NURTURAL</t>
        </is>
      </c>
      <c r="E59" s="267" t="n">
        <v>30</v>
      </c>
      <c r="F59" s="267" t="n">
        <v>5814</v>
      </c>
      <c r="G59" s="268" t="n">
        <v>13900</v>
      </c>
      <c r="H59" s="268" t="n">
        <v>13795</v>
      </c>
      <c r="I59" s="268" t="n">
        <v>105</v>
      </c>
      <c r="J59" s="269">
        <f>IFERROR(I59/(H59+I59),"")</f>
        <v/>
      </c>
      <c r="K59" s="267" t="n"/>
      <c r="L59" s="267" t="n"/>
      <c r="M59" s="267" t="n"/>
      <c r="N59" s="267" t="n">
        <v>150</v>
      </c>
      <c r="O59" s="267" t="n"/>
      <c r="P59" s="267" t="n"/>
      <c r="Q59" s="267" t="n"/>
      <c r="R59" s="267" t="n"/>
      <c r="S59" s="267" t="n"/>
    </row>
    <row r="60" ht="15" customHeight="1" s="244">
      <c r="A60" s="270" t="n">
        <v>46151</v>
      </c>
      <c r="B60" s="267" t="inlineStr">
        <is>
          <t>Printing-03</t>
        </is>
      </c>
      <c r="C60" s="267" t="inlineStr">
        <is>
          <t>Mablay Beauty PVT LTD.</t>
        </is>
      </c>
      <c r="D60" s="267" t="inlineStr">
        <is>
          <t>VINCE HIS BEARD &amp; MUSTACHE COLOR</t>
        </is>
      </c>
      <c r="E60" s="267" t="n">
        <v>20.5</v>
      </c>
      <c r="F60" s="267" t="n">
        <v>6077</v>
      </c>
      <c r="G60" s="268" t="n">
        <v>15415</v>
      </c>
      <c r="H60" s="268" t="n">
        <v>14790</v>
      </c>
      <c r="I60" s="268" t="n">
        <v>625</v>
      </c>
      <c r="J60" s="269">
        <f>IFERROR(I60/(H60+I60),"")</f>
        <v/>
      </c>
      <c r="K60" s="267" t="n"/>
      <c r="L60" s="267" t="n"/>
      <c r="M60" s="267" t="n"/>
      <c r="N60" s="267" t="n">
        <v>150</v>
      </c>
      <c r="O60" s="267" t="n"/>
      <c r="P60" s="267" t="n"/>
      <c r="Q60" s="267" t="n"/>
      <c r="R60" s="267" t="n"/>
      <c r="S60" s="267" t="n"/>
    </row>
    <row r="61" hidden="1" ht="15" customHeight="1" s="244">
      <c r="A61" s="270" t="n">
        <v>46151</v>
      </c>
      <c r="B61" s="267" t="inlineStr">
        <is>
          <t>Printing-04</t>
        </is>
      </c>
      <c r="C61" s="267" t="inlineStr">
        <is>
          <t>Mablay Beauty PVT LTD.</t>
        </is>
      </c>
      <c r="D61" s="267" t="inlineStr">
        <is>
          <t>VINCE NURTURAL</t>
        </is>
      </c>
      <c r="E61" s="267" t="n">
        <v>30</v>
      </c>
      <c r="F61" s="267" t="n">
        <v>5814</v>
      </c>
      <c r="G61" s="268" t="n">
        <v>18550</v>
      </c>
      <c r="H61" s="268" t="n">
        <v>17850</v>
      </c>
      <c r="I61" s="268" t="n">
        <v>700</v>
      </c>
      <c r="J61" s="269">
        <f>IFERROR(I61/(H61+I61),"")</f>
        <v/>
      </c>
      <c r="K61" s="267" t="n"/>
      <c r="L61" s="267" t="n"/>
      <c r="M61" s="267" t="n">
        <v>120</v>
      </c>
      <c r="N61" s="267" t="n"/>
      <c r="O61" s="267" t="n"/>
      <c r="P61" s="267" t="n"/>
      <c r="Q61" s="267" t="n"/>
      <c r="R61" s="267" t="n"/>
      <c r="S61" s="267" t="n"/>
    </row>
    <row r="62" hidden="1" ht="15" customHeight="1" s="244">
      <c r="A62" s="270" t="n">
        <v>46153</v>
      </c>
      <c r="B62" s="267" t="inlineStr">
        <is>
          <t>Lacquer-02</t>
        </is>
      </c>
      <c r="C62" s="267" t="inlineStr">
        <is>
          <t>Samsol International Private Limited</t>
        </is>
      </c>
      <c r="D62" s="267" t="inlineStr">
        <is>
          <t>H.H 100GM</t>
        </is>
      </c>
      <c r="E62" s="267" t="n">
        <v>32</v>
      </c>
      <c r="F62" s="267" t="n">
        <v>6515</v>
      </c>
      <c r="G62" s="268" t="n">
        <v>11000</v>
      </c>
      <c r="H62" s="268" t="n">
        <v>10760</v>
      </c>
      <c r="I62" s="268" t="n">
        <v>240</v>
      </c>
      <c r="J62" s="269">
        <f>IFERROR(I62/(H62+I62),"")</f>
        <v/>
      </c>
      <c r="K62" s="267" t="n"/>
      <c r="L62" s="267" t="n"/>
      <c r="M62" s="267" t="n"/>
      <c r="N62" s="267" t="n">
        <v>120</v>
      </c>
      <c r="O62" s="267" t="n"/>
      <c r="P62" s="267" t="n"/>
      <c r="Q62" s="267" t="n"/>
      <c r="R62" s="267" t="n"/>
      <c r="S62" s="267" t="n"/>
    </row>
    <row r="63" hidden="1" ht="15" customHeight="1" s="244">
      <c r="A63" s="270" t="n">
        <v>46153</v>
      </c>
      <c r="B63" s="267" t="inlineStr">
        <is>
          <t>Lacquer-02</t>
        </is>
      </c>
      <c r="C63" s="267" t="inlineStr">
        <is>
          <t>Mablay Beauty PVT LTD.</t>
        </is>
      </c>
      <c r="D63" s="267" t="inlineStr">
        <is>
          <t>VINCE NURTURAL</t>
        </is>
      </c>
      <c r="E63" s="267" t="n">
        <v>30</v>
      </c>
      <c r="F63" s="267" t="n">
        <v>5814</v>
      </c>
      <c r="G63" s="268" t="n">
        <v>2000</v>
      </c>
      <c r="H63" s="268" t="n">
        <v>1915</v>
      </c>
      <c r="I63" s="268" t="n">
        <v>85</v>
      </c>
      <c r="J63" s="269">
        <f>IFERROR(I63/(H63+I63),"")</f>
        <v/>
      </c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</row>
    <row r="64" hidden="1" ht="15" customHeight="1" s="244">
      <c r="A64" s="270" t="n">
        <v>46153</v>
      </c>
      <c r="B64" s="267" t="inlineStr">
        <is>
          <t>Latex-01</t>
        </is>
      </c>
      <c r="C64" s="267" t="inlineStr">
        <is>
          <t>Samsol International Private Limited</t>
        </is>
      </c>
      <c r="D64" s="267" t="inlineStr">
        <is>
          <t>H.H 100GM</t>
        </is>
      </c>
      <c r="E64" s="267" t="n">
        <v>32</v>
      </c>
      <c r="F64" s="267" t="n">
        <v>6515</v>
      </c>
      <c r="G64" s="268" t="n">
        <v>23088</v>
      </c>
      <c r="H64" s="268" t="n">
        <v>23078</v>
      </c>
      <c r="I64" s="268" t="n">
        <v>10</v>
      </c>
      <c r="J64" s="269">
        <f>IFERROR(I64/(H64+I64),"")</f>
        <v/>
      </c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</row>
    <row r="65" hidden="1" ht="15" customHeight="1" s="244">
      <c r="A65" s="270" t="n">
        <v>46153</v>
      </c>
      <c r="B65" s="267" t="inlineStr">
        <is>
          <t>PF Machine</t>
        </is>
      </c>
      <c r="C65" s="267" t="inlineStr">
        <is>
          <t>Mablay Beauty PVT LTD.</t>
        </is>
      </c>
      <c r="D65" s="267" t="inlineStr">
        <is>
          <t>PET BOTTLE SMALL (130ML) TRANSPARENT</t>
        </is>
      </c>
      <c r="E65" s="267" t="inlineStr">
        <is>
          <t>130 ml</t>
        </is>
      </c>
      <c r="F65" s="267" t="n">
        <v>8010</v>
      </c>
      <c r="G65" s="268" t="n">
        <v>0</v>
      </c>
      <c r="H65" s="268" t="n">
        <v>0</v>
      </c>
      <c r="I65" s="268" t="n">
        <v>0</v>
      </c>
      <c r="J65" s="269">
        <f>IFERROR(I65/(H65+I65),"")</f>
        <v/>
      </c>
      <c r="K65" s="267" t="n"/>
      <c r="L65" s="267" t="n"/>
      <c r="M65" s="267" t="n"/>
      <c r="N65" s="267" t="n"/>
      <c r="O65" s="267" t="n">
        <v>480</v>
      </c>
      <c r="P65" s="267" t="n"/>
      <c r="Q65" s="267" t="n"/>
      <c r="R65" s="267" t="n"/>
      <c r="S65" s="267" t="n"/>
    </row>
    <row r="66" hidden="1" ht="15" customHeight="1" s="244">
      <c r="A66" s="270" t="n">
        <v>46153</v>
      </c>
      <c r="B66" s="267" t="inlineStr">
        <is>
          <t>Press-03</t>
        </is>
      </c>
      <c r="C66" s="267" t="inlineStr">
        <is>
          <t>Samsol International Private Limited</t>
        </is>
      </c>
      <c r="D66" s="267" t="inlineStr">
        <is>
          <t>H.H 100GM</t>
        </is>
      </c>
      <c r="E66" s="267" t="n">
        <v>32</v>
      </c>
      <c r="F66" s="267" t="n">
        <v>6515</v>
      </c>
      <c r="G66" s="268" t="n">
        <v>15600</v>
      </c>
      <c r="H66" s="268" t="n">
        <v>15480</v>
      </c>
      <c r="I66" s="268" t="n">
        <v>120</v>
      </c>
      <c r="J66" s="269">
        <f>IFERROR(I66/(H66+I66),"")</f>
        <v/>
      </c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</row>
    <row r="67" ht="15" customHeight="1" s="244">
      <c r="A67" s="270" t="n">
        <v>46153</v>
      </c>
      <c r="B67" s="267" t="inlineStr">
        <is>
          <t>Press-04</t>
        </is>
      </c>
      <c r="C67" s="267" t="inlineStr">
        <is>
          <t>Mablay Beauty PVT LTD.</t>
        </is>
      </c>
      <c r="D67" s="267" t="inlineStr">
        <is>
          <t>HIS ONLY HAIR COLOR CREAM 40GM</t>
        </is>
      </c>
      <c r="E67" s="267" t="n">
        <v>25</v>
      </c>
      <c r="F67" s="267" t="n">
        <v>6228</v>
      </c>
      <c r="G67" s="268" t="n">
        <v>0</v>
      </c>
      <c r="H67" s="268" t="n">
        <v>0</v>
      </c>
      <c r="I67" s="268" t="n">
        <v>0</v>
      </c>
      <c r="J67" s="269">
        <f>IFERROR(I67/(H67+I67),"")</f>
        <v/>
      </c>
      <c r="K67" s="267" t="n"/>
      <c r="L67" s="267" t="n"/>
      <c r="M67" s="267" t="n"/>
      <c r="N67" s="267" t="n"/>
      <c r="O67" s="267" t="n"/>
      <c r="P67" s="267" t="n"/>
      <c r="Q67" s="267" t="n"/>
      <c r="R67" s="267" t="n">
        <v>480</v>
      </c>
      <c r="S67" s="267" t="n"/>
    </row>
    <row r="68" hidden="1" ht="15" customHeight="1" s="244">
      <c r="A68" s="270" t="n">
        <v>46153</v>
      </c>
      <c r="B68" s="267" t="inlineStr">
        <is>
          <t>Printing-03</t>
        </is>
      </c>
      <c r="C68" s="267" t="inlineStr">
        <is>
          <t>Mablay Beauty PVT LTD.</t>
        </is>
      </c>
      <c r="D68" s="267" t="inlineStr">
        <is>
          <t>VINCE HIS BEARD &amp; MUSTACHE COLOR (Varnish)</t>
        </is>
      </c>
      <c r="E68" s="267" t="n">
        <v>20.5</v>
      </c>
      <c r="F68" s="267" t="n"/>
      <c r="G68" s="268" t="n">
        <v>23910</v>
      </c>
      <c r="H68" s="268" t="n">
        <v>23460</v>
      </c>
      <c r="I68" s="268" t="n">
        <v>450</v>
      </c>
      <c r="J68" s="269">
        <f>IFERROR(I68/(H68+I68),"")</f>
        <v/>
      </c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</row>
    <row r="69" hidden="1" ht="15" customHeight="1" s="244">
      <c r="A69" s="270" t="n">
        <v>46153</v>
      </c>
      <c r="B69" s="267" t="inlineStr">
        <is>
          <t>Printing-04</t>
        </is>
      </c>
      <c r="C69" s="267" t="inlineStr">
        <is>
          <t>Mablay Beauty PVT LTD.</t>
        </is>
      </c>
      <c r="D69" s="267" t="inlineStr">
        <is>
          <t>VINCE NURTURAL</t>
        </is>
      </c>
      <c r="E69" s="267" t="n">
        <v>30</v>
      </c>
      <c r="F69" s="267" t="n">
        <v>5814</v>
      </c>
      <c r="G69" s="268" t="n">
        <v>3622</v>
      </c>
      <c r="H69" s="268" t="n">
        <v>3332</v>
      </c>
      <c r="I69" s="268" t="n">
        <v>290</v>
      </c>
      <c r="J69" s="269">
        <f>IFERROR(I69/(H69+I69),"")</f>
        <v/>
      </c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</row>
    <row r="70" hidden="1" ht="15" customHeight="1" s="244">
      <c r="A70" s="270" t="n">
        <v>46153</v>
      </c>
      <c r="B70" s="267" t="inlineStr">
        <is>
          <t>Printing-04</t>
        </is>
      </c>
      <c r="C70" s="267" t="inlineStr">
        <is>
          <t>Samsol International Private Limited</t>
        </is>
      </c>
      <c r="D70" s="267" t="inlineStr">
        <is>
          <t>H.H 100GM</t>
        </is>
      </c>
      <c r="E70" s="267" t="n">
        <v>32</v>
      </c>
      <c r="F70" s="267" t="n">
        <v>6515</v>
      </c>
      <c r="G70" s="268" t="n">
        <v>7828</v>
      </c>
      <c r="H70" s="268" t="n">
        <v>7488</v>
      </c>
      <c r="I70" s="268" t="n">
        <v>340</v>
      </c>
      <c r="J70" s="269">
        <f>IFERROR(I70/(H70+I70),"")</f>
        <v/>
      </c>
      <c r="K70" s="267" t="n"/>
      <c r="L70" s="267" t="n"/>
      <c r="M70" s="267" t="n"/>
      <c r="N70" s="267" t="n">
        <v>160</v>
      </c>
      <c r="O70" s="267" t="n"/>
      <c r="P70" s="267" t="n"/>
      <c r="Q70" s="267" t="n"/>
      <c r="R70" s="267" t="n"/>
      <c r="S70" s="267" t="n"/>
    </row>
    <row r="71" ht="15" customHeight="1" s="244">
      <c r="A71" s="270" t="n">
        <v>46154</v>
      </c>
      <c r="B71" s="267" t="inlineStr">
        <is>
          <t>Lacquer-02</t>
        </is>
      </c>
      <c r="C71" s="267" t="inlineStr">
        <is>
          <t>Mablay Beauty PVT LTD.</t>
        </is>
      </c>
      <c r="D71" s="267" t="inlineStr">
        <is>
          <t>HIS ONLY HAIR COLOR CREAM 40GM</t>
        </is>
      </c>
      <c r="E71" s="267" t="n">
        <v>25</v>
      </c>
      <c r="F71" s="267" t="n">
        <v>6228</v>
      </c>
      <c r="G71" s="268" t="n">
        <v>15000</v>
      </c>
      <c r="H71" s="268" t="n">
        <v>14760</v>
      </c>
      <c r="I71" s="268" t="n">
        <v>240</v>
      </c>
      <c r="J71" s="269">
        <f>IFERROR(I71/(H71+I71),"")</f>
        <v/>
      </c>
      <c r="K71" s="267" t="n"/>
      <c r="L71" s="267" t="n"/>
      <c r="M71" s="267" t="n">
        <v>120</v>
      </c>
      <c r="N71" s="267" t="n"/>
      <c r="O71" s="267" t="n"/>
      <c r="P71" s="267" t="n"/>
      <c r="Q71" s="267" t="n"/>
      <c r="R71" s="267" t="n"/>
      <c r="S71" s="267" t="n"/>
    </row>
    <row r="72" hidden="1" ht="15" customHeight="1" s="244">
      <c r="A72" s="270" t="n">
        <v>46154</v>
      </c>
      <c r="B72" s="267" t="inlineStr">
        <is>
          <t>Lacquer-03</t>
        </is>
      </c>
      <c r="C72" s="267" t="inlineStr">
        <is>
          <t>Samsol International Private Limited</t>
        </is>
      </c>
      <c r="D72" s="267" t="inlineStr">
        <is>
          <t>H.H 100GM</t>
        </is>
      </c>
      <c r="E72" s="267" t="n">
        <v>32</v>
      </c>
      <c r="F72" s="267" t="n">
        <v>6515</v>
      </c>
      <c r="G72" s="268" t="n">
        <v>4000</v>
      </c>
      <c r="H72" s="268" t="n">
        <v>3910</v>
      </c>
      <c r="I72" s="268" t="n">
        <v>90</v>
      </c>
      <c r="J72" s="269">
        <f>IFERROR(I72/(H72+I72),"")</f>
        <v/>
      </c>
      <c r="K72" s="267" t="n"/>
      <c r="L72" s="267" t="n"/>
      <c r="M72" s="267" t="n"/>
      <c r="N72" s="267" t="n">
        <v>360</v>
      </c>
      <c r="O72" s="267" t="n"/>
      <c r="P72" s="267" t="n"/>
      <c r="Q72" s="267" t="n"/>
      <c r="R72" s="267" t="n"/>
      <c r="S72" s="267" t="n"/>
    </row>
    <row r="73" hidden="1" ht="15" customHeight="1" s="244">
      <c r="A73" s="270" t="n">
        <v>46154</v>
      </c>
      <c r="B73" s="267" t="inlineStr">
        <is>
          <t>Latex-01</t>
        </is>
      </c>
      <c r="C73" s="267" t="inlineStr">
        <is>
          <t>Samsol International Private Limited</t>
        </is>
      </c>
      <c r="D73" s="267" t="inlineStr">
        <is>
          <t>H.H 100GM</t>
        </is>
      </c>
      <c r="E73" s="267" t="n">
        <v>32</v>
      </c>
      <c r="F73" s="267" t="n">
        <v>6515</v>
      </c>
      <c r="G73" s="268" t="n">
        <v>4576</v>
      </c>
      <c r="H73" s="268" t="n">
        <v>4571</v>
      </c>
      <c r="I73" s="268" t="n">
        <v>5</v>
      </c>
      <c r="J73" s="269">
        <f>IFERROR(I73/(H73+I73),"")</f>
        <v/>
      </c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</row>
    <row r="74" ht="15" customHeight="1" s="244">
      <c r="A74" s="270" t="n">
        <v>46154</v>
      </c>
      <c r="B74" s="267" t="inlineStr">
        <is>
          <t>Latex-01</t>
        </is>
      </c>
      <c r="C74" s="267" t="inlineStr">
        <is>
          <t>Mablay Beauty PVT LTD.</t>
        </is>
      </c>
      <c r="D74" s="267" t="inlineStr">
        <is>
          <t>VINCE HIS BEARD &amp; MUSTACHE COLOR</t>
        </is>
      </c>
      <c r="E74" s="267" t="n">
        <v>20.5</v>
      </c>
      <c r="F74" s="267" t="n">
        <v>6077</v>
      </c>
      <c r="G74" s="268" t="n">
        <v>18360</v>
      </c>
      <c r="H74" s="268" t="n">
        <v>18350</v>
      </c>
      <c r="I74" s="268" t="n">
        <v>10</v>
      </c>
      <c r="J74" s="269">
        <f>IFERROR(I74/(H74+I74),"")</f>
        <v/>
      </c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</row>
    <row r="75" hidden="1" ht="15" customHeight="1" s="244">
      <c r="A75" s="270" t="n">
        <v>46154</v>
      </c>
      <c r="B75" s="267" t="inlineStr">
        <is>
          <t>PF Machine</t>
        </is>
      </c>
      <c r="C75" s="267" t="inlineStr">
        <is>
          <t>Mablay Beauty PVT LTD.</t>
        </is>
      </c>
      <c r="D75" s="267" t="inlineStr">
        <is>
          <t>PET BOTTLE SMALL (130ML) TRANSPARENT</t>
        </is>
      </c>
      <c r="E75" s="267" t="inlineStr">
        <is>
          <t>130 ml</t>
        </is>
      </c>
      <c r="F75" s="267" t="n">
        <v>8010</v>
      </c>
      <c r="G75" s="268" t="n">
        <v>0</v>
      </c>
      <c r="H75" s="268" t="n">
        <v>0</v>
      </c>
      <c r="I75" s="268" t="n">
        <v>0</v>
      </c>
      <c r="J75" s="269">
        <f>IFERROR(I75/(H75+I75),"")</f>
        <v/>
      </c>
      <c r="K75" s="267" t="n"/>
      <c r="L75" s="267" t="n"/>
      <c r="M75" s="267" t="n"/>
      <c r="N75" s="267" t="n"/>
      <c r="O75" s="267" t="n">
        <v>480</v>
      </c>
      <c r="P75" s="267" t="n"/>
      <c r="Q75" s="267" t="n"/>
      <c r="R75" s="267" t="n"/>
      <c r="S75" s="267" t="n"/>
    </row>
    <row r="76" hidden="1" ht="15" customHeight="1" s="244">
      <c r="A76" s="270" t="n">
        <v>46154</v>
      </c>
      <c r="B76" s="267" t="inlineStr">
        <is>
          <t>Press-03</t>
        </is>
      </c>
      <c r="C76" s="267" t="inlineStr">
        <is>
          <t>Adore</t>
        </is>
      </c>
      <c r="D76" s="267" t="inlineStr">
        <is>
          <t>V- HC BROWN</t>
        </is>
      </c>
      <c r="E76" s="267" t="n">
        <v>35</v>
      </c>
      <c r="F76" s="267" t="n">
        <v>6530</v>
      </c>
      <c r="G76" s="268" t="n">
        <v>0</v>
      </c>
      <c r="H76" s="268" t="n">
        <v>0</v>
      </c>
      <c r="I76" s="268" t="n">
        <v>0</v>
      </c>
      <c r="J76" s="269">
        <f>IFERROR(I76/(H76+I76),"")</f>
        <v/>
      </c>
      <c r="K76" s="267" t="n"/>
      <c r="L76" s="267" t="n"/>
      <c r="M76" s="267" t="n"/>
      <c r="N76" s="267" t="n">
        <v>480</v>
      </c>
      <c r="O76" s="267" t="n"/>
      <c r="P76" s="267" t="n"/>
      <c r="Q76" s="267" t="n"/>
      <c r="R76" s="267" t="n"/>
      <c r="S76" s="267" t="n"/>
    </row>
    <row r="77" ht="15" customHeight="1" s="244">
      <c r="A77" s="270" t="n">
        <v>46154</v>
      </c>
      <c r="B77" s="267" t="inlineStr">
        <is>
          <t>Press-04</t>
        </is>
      </c>
      <c r="C77" s="267" t="inlineStr">
        <is>
          <t>Mablay Beauty PVT LTD.</t>
        </is>
      </c>
      <c r="D77" s="267" t="inlineStr">
        <is>
          <t>HIS ONLY HAIR COLOR CREAM 40GM</t>
        </is>
      </c>
      <c r="E77" s="267" t="n">
        <v>25</v>
      </c>
      <c r="F77" s="267" t="n">
        <v>6228</v>
      </c>
      <c r="G77" s="268" t="n">
        <v>18000</v>
      </c>
      <c r="H77" s="268" t="n">
        <v>17890</v>
      </c>
      <c r="I77" s="268" t="n">
        <v>110</v>
      </c>
      <c r="J77" s="269">
        <f>IFERROR(I77/(H77+I77),"")</f>
        <v/>
      </c>
      <c r="K77" s="267" t="n">
        <v>60</v>
      </c>
      <c r="L77" s="267" t="n"/>
      <c r="M77" s="267" t="n"/>
      <c r="N77" s="267" t="n"/>
      <c r="O77" s="267" t="n"/>
      <c r="P77" s="267" t="n"/>
      <c r="Q77" s="267" t="n"/>
      <c r="R77" s="267" t="n"/>
      <c r="S77" s="267" t="n"/>
    </row>
    <row r="78" ht="15" customHeight="1" s="244">
      <c r="A78" s="270" t="n">
        <v>46154</v>
      </c>
      <c r="B78" s="267" t="inlineStr">
        <is>
          <t>Printing-03</t>
        </is>
      </c>
      <c r="C78" s="267" t="inlineStr">
        <is>
          <t>Mablay Beauty PVT LTD.</t>
        </is>
      </c>
      <c r="D78" s="267" t="inlineStr">
        <is>
          <t>HIS ONLY HAIR COLOR CREAM 40GM</t>
        </is>
      </c>
      <c r="E78" s="267" t="n">
        <v>25</v>
      </c>
      <c r="F78" s="267" t="n">
        <v>6228</v>
      </c>
      <c r="G78" s="268" t="n">
        <v>13760</v>
      </c>
      <c r="H78" s="268" t="n">
        <v>13440</v>
      </c>
      <c r="I78" s="268" t="n">
        <v>320</v>
      </c>
      <c r="J78" s="269">
        <f>IFERROR(I78/(H78+I78),"")</f>
        <v/>
      </c>
      <c r="K78" s="267" t="n"/>
      <c r="L78" s="267" t="n"/>
      <c r="M78" s="267" t="n"/>
      <c r="N78" s="267" t="n"/>
      <c r="O78" s="267" t="n">
        <v>180</v>
      </c>
      <c r="P78" s="267" t="n"/>
      <c r="Q78" s="267" t="n"/>
      <c r="R78" s="267" t="n"/>
      <c r="S78" s="267" t="n"/>
    </row>
    <row r="79" hidden="1" ht="15" customHeight="1" s="244">
      <c r="A79" s="270" t="n">
        <v>46154</v>
      </c>
      <c r="B79" s="267" t="inlineStr">
        <is>
          <t>Printing-04</t>
        </is>
      </c>
      <c r="C79" s="267" t="inlineStr">
        <is>
          <t>Samsol International Private Limited</t>
        </is>
      </c>
      <c r="D79" s="267" t="inlineStr">
        <is>
          <t>H.H 100GM</t>
        </is>
      </c>
      <c r="E79" s="267" t="n">
        <v>32</v>
      </c>
      <c r="F79" s="267" t="n">
        <v>6515</v>
      </c>
      <c r="G79" s="268" t="n">
        <v>5811</v>
      </c>
      <c r="H79" s="268" t="n">
        <v>5616</v>
      </c>
      <c r="I79" s="268" t="n">
        <v>195</v>
      </c>
      <c r="J79" s="269">
        <f>IFERROR(I79/(H79+I79),"")</f>
        <v/>
      </c>
      <c r="K79" s="267" t="n"/>
      <c r="L79" s="267" t="n"/>
      <c r="M79" s="267" t="n"/>
      <c r="N79" s="267" t="n">
        <v>60</v>
      </c>
      <c r="O79" s="267" t="n"/>
      <c r="P79" s="267" t="n"/>
      <c r="Q79" s="267" t="n"/>
      <c r="R79" s="267" t="n"/>
      <c r="S79" s="267" t="n"/>
    </row>
    <row r="80" hidden="1" ht="15" customHeight="1" s="244">
      <c r="A80" s="270" t="n">
        <v>46154</v>
      </c>
      <c r="B80" s="267" t="inlineStr">
        <is>
          <t>Printing-04</t>
        </is>
      </c>
      <c r="C80" s="267" t="inlineStr">
        <is>
          <t>Hola Hair</t>
        </is>
      </c>
      <c r="D80" s="267" t="inlineStr">
        <is>
          <t>H.H 100GM (Varnish)</t>
        </is>
      </c>
      <c r="E80" s="267" t="n">
        <v>32</v>
      </c>
      <c r="F80" s="267" t="n"/>
      <c r="G80" s="268" t="n">
        <v>13324</v>
      </c>
      <c r="H80" s="268" t="n">
        <v>13104</v>
      </c>
      <c r="I80" s="268" t="n">
        <v>220</v>
      </c>
      <c r="J80" s="269">
        <f>IFERROR(I80/(H80+I80),"")</f>
        <v/>
      </c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</row>
    <row r="81" ht="15" customHeight="1" s="244">
      <c r="A81" s="270" t="n">
        <v>46155</v>
      </c>
      <c r="B81" s="267" t="inlineStr">
        <is>
          <t>Lacquer-02</t>
        </is>
      </c>
      <c r="C81" s="267" t="inlineStr">
        <is>
          <t>Mablay Beauty PVT LTD.</t>
        </is>
      </c>
      <c r="D81" s="267" t="inlineStr">
        <is>
          <t>HIS ONLY HAIR COLOR CREAM 40GM</t>
        </is>
      </c>
      <c r="E81" s="267" t="n">
        <v>25</v>
      </c>
      <c r="F81" s="267" t="n">
        <v>6228</v>
      </c>
      <c r="G81" s="268" t="n">
        <v>8000</v>
      </c>
      <c r="H81" s="268" t="n">
        <v>7835</v>
      </c>
      <c r="I81" s="268" t="n">
        <v>165</v>
      </c>
      <c r="J81" s="269">
        <f>IFERROR(I81/(H81+I81),"")</f>
        <v/>
      </c>
      <c r="K81" s="267" t="n"/>
      <c r="L81" s="267" t="n"/>
      <c r="M81" s="267" t="n"/>
      <c r="N81" s="267" t="n">
        <v>300</v>
      </c>
      <c r="O81" s="267" t="n"/>
      <c r="P81" s="267" t="n"/>
      <c r="Q81" s="267" t="n"/>
      <c r="R81" s="267" t="n"/>
      <c r="S81" s="267" t="n"/>
    </row>
    <row r="82" ht="15" customHeight="1" s="244">
      <c r="A82" s="270" t="n">
        <v>46155</v>
      </c>
      <c r="B82" s="267" t="inlineStr">
        <is>
          <t>Lacquer-03</t>
        </is>
      </c>
      <c r="C82" s="267" t="inlineStr">
        <is>
          <t>Adore</t>
        </is>
      </c>
      <c r="D82" s="267" t="inlineStr">
        <is>
          <t>V- HC BROWN</t>
        </is>
      </c>
      <c r="E82" s="267" t="n">
        <v>35</v>
      </c>
      <c r="F82" s="267" t="n">
        <v>6530</v>
      </c>
      <c r="G82" s="268" t="n">
        <v>9800</v>
      </c>
      <c r="H82" s="268" t="n">
        <v>9580</v>
      </c>
      <c r="I82" s="268" t="n">
        <v>220</v>
      </c>
      <c r="J82" s="269">
        <f>IFERROR(I82/(H82+I82),"")</f>
        <v/>
      </c>
      <c r="K82" s="267" t="n"/>
      <c r="L82" s="267" t="n"/>
      <c r="M82" s="267" t="n"/>
      <c r="N82" s="267" t="n"/>
      <c r="O82" s="267" t="n">
        <v>240</v>
      </c>
      <c r="P82" s="267" t="n"/>
      <c r="Q82" s="267" t="n"/>
      <c r="R82" s="267" t="n"/>
      <c r="S82" s="267" t="n"/>
    </row>
    <row r="83" ht="15" customHeight="1" s="244">
      <c r="A83" s="270" t="n">
        <v>46155</v>
      </c>
      <c r="B83" s="267" t="inlineStr">
        <is>
          <t>Latex-01</t>
        </is>
      </c>
      <c r="C83" s="267" t="inlineStr">
        <is>
          <t>Samsol International Private Limited</t>
        </is>
      </c>
      <c r="D83" s="267" t="inlineStr">
        <is>
          <t>H.H 100GM</t>
        </is>
      </c>
      <c r="E83" s="267" t="n">
        <v>32</v>
      </c>
      <c r="F83" s="267" t="n">
        <v>6515</v>
      </c>
      <c r="G83" s="268" t="n">
        <v>8320</v>
      </c>
      <c r="H83" s="268" t="n">
        <v>8308</v>
      </c>
      <c r="I83" s="268" t="n">
        <v>12</v>
      </c>
      <c r="J83" s="269">
        <f>IFERROR(I83/(H83+I83),"")</f>
        <v/>
      </c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</row>
    <row r="84" ht="15" customHeight="1" s="244">
      <c r="A84" s="270" t="n">
        <v>46155</v>
      </c>
      <c r="B84" s="267" t="inlineStr">
        <is>
          <t>Latex-01</t>
        </is>
      </c>
      <c r="C84" s="267" t="inlineStr">
        <is>
          <t>Mablay Beauty PVT LTD.</t>
        </is>
      </c>
      <c r="D84" s="267" t="inlineStr">
        <is>
          <t>VINCE HIS BEARD &amp; MUSTACHE COLOR</t>
        </is>
      </c>
      <c r="E84" s="267" t="n">
        <v>20.5</v>
      </c>
      <c r="F84" s="267" t="n">
        <v>6077</v>
      </c>
      <c r="G84" s="268" t="n">
        <v>5000</v>
      </c>
      <c r="H84" s="268" t="n">
        <v>4995</v>
      </c>
      <c r="I84" s="268" t="n">
        <v>5</v>
      </c>
      <c r="J84" s="269">
        <f>IFERROR(I84/(H84+I84),"")</f>
        <v/>
      </c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</row>
    <row r="85" ht="15" customHeight="1" s="244">
      <c r="A85" s="270" t="n">
        <v>46155</v>
      </c>
      <c r="B85" s="267" t="inlineStr">
        <is>
          <t>PF Machine</t>
        </is>
      </c>
      <c r="C85" s="267" t="inlineStr">
        <is>
          <t>Mablay Beauty PVT LTD.</t>
        </is>
      </c>
      <c r="D85" s="267" t="inlineStr">
        <is>
          <t>PET BOTTLE SMALL (130ML) TRANSPARENT</t>
        </is>
      </c>
      <c r="E85" s="267" t="inlineStr">
        <is>
          <t>130 ml</t>
        </is>
      </c>
      <c r="F85" s="267" t="n">
        <v>8010</v>
      </c>
      <c r="G85" s="268" t="n">
        <v>0</v>
      </c>
      <c r="H85" s="268" t="n">
        <v>0</v>
      </c>
      <c r="I85" s="268" t="n">
        <v>0</v>
      </c>
      <c r="J85" s="269">
        <f>IFERROR(I85/(H85+I85),"")</f>
        <v/>
      </c>
      <c r="K85" s="267" t="n"/>
      <c r="L85" s="267" t="n"/>
      <c r="M85" s="267" t="n"/>
      <c r="N85" s="267" t="n"/>
      <c r="O85" s="267" t="n">
        <v>480</v>
      </c>
      <c r="P85" s="267" t="n"/>
      <c r="Q85" s="267" t="n"/>
      <c r="R85" s="267" t="n"/>
      <c r="S85" s="267" t="n"/>
    </row>
    <row r="86" ht="15" customHeight="1" s="244">
      <c r="A86" s="270" t="n">
        <v>46155</v>
      </c>
      <c r="B86" s="267" t="inlineStr">
        <is>
          <t>Press-03</t>
        </is>
      </c>
      <c r="C86" s="267" t="inlineStr">
        <is>
          <t>Adore</t>
        </is>
      </c>
      <c r="D86" s="267" t="inlineStr">
        <is>
          <t>V- HC BROWN</t>
        </is>
      </c>
      <c r="E86" s="267" t="n">
        <v>35</v>
      </c>
      <c r="F86" s="267" t="n">
        <v>6530</v>
      </c>
      <c r="G86" s="268" t="n">
        <v>4500</v>
      </c>
      <c r="H86" s="268" t="n">
        <v>4280</v>
      </c>
      <c r="I86" s="268" t="n">
        <v>220</v>
      </c>
      <c r="J86" s="269">
        <f>IFERROR(I86/(H86+I86),"")</f>
        <v/>
      </c>
      <c r="K86" s="267" t="n"/>
      <c r="L86" s="267" t="n"/>
      <c r="M86" s="267" t="n"/>
      <c r="N86" s="267" t="n"/>
      <c r="O86" s="267" t="n">
        <v>360</v>
      </c>
      <c r="P86" s="267" t="n"/>
      <c r="Q86" s="267" t="n"/>
      <c r="R86" s="267" t="n"/>
      <c r="S86" s="267" t="n"/>
    </row>
    <row r="87" ht="15" customHeight="1" s="244">
      <c r="A87" s="270" t="n">
        <v>46155</v>
      </c>
      <c r="B87" s="267" t="inlineStr">
        <is>
          <t>Press-04</t>
        </is>
      </c>
      <c r="C87" s="267" t="inlineStr">
        <is>
          <t>Mablay Beauty PVT LTD.</t>
        </is>
      </c>
      <c r="D87" s="267" t="inlineStr">
        <is>
          <t>HIS ONLY HAIR COLOR CREAM 40GM</t>
        </is>
      </c>
      <c r="E87" s="267" t="n">
        <v>25</v>
      </c>
      <c r="F87" s="267" t="n">
        <v>6228</v>
      </c>
      <c r="G87" s="268" t="n">
        <v>4600</v>
      </c>
      <c r="H87" s="268" t="n">
        <v>4465</v>
      </c>
      <c r="I87" s="268" t="n">
        <v>135</v>
      </c>
      <c r="J87" s="269">
        <f>IFERROR(I87/(H87+I87),"")</f>
        <v/>
      </c>
      <c r="K87" s="267" t="n"/>
      <c r="L87" s="267" t="n"/>
      <c r="M87" s="267" t="n"/>
      <c r="N87" s="267" t="n">
        <v>330</v>
      </c>
      <c r="O87" s="267" t="n"/>
      <c r="P87" s="267" t="n"/>
      <c r="Q87" s="267" t="n"/>
      <c r="R87" s="267" t="n"/>
      <c r="S87" s="267" t="n"/>
    </row>
    <row r="88" ht="15" customHeight="1" s="244">
      <c r="A88" s="270" t="n">
        <v>46155</v>
      </c>
      <c r="B88" s="267" t="inlineStr">
        <is>
          <t>Printing-03</t>
        </is>
      </c>
      <c r="C88" s="267" t="inlineStr">
        <is>
          <t>Mablay Beauty PVT LTD.</t>
        </is>
      </c>
      <c r="D88" s="267" t="inlineStr">
        <is>
          <t>HIS ONLY HAIR COLOR CREAM 40GM</t>
        </is>
      </c>
      <c r="E88" s="267" t="n">
        <v>25</v>
      </c>
      <c r="F88" s="267" t="n">
        <v>6228</v>
      </c>
      <c r="G88" s="268" t="n">
        <v>8615</v>
      </c>
      <c r="H88" s="268" t="n">
        <v>8400</v>
      </c>
      <c r="I88" s="268" t="n">
        <v>215</v>
      </c>
      <c r="J88" s="269">
        <f>IFERROR(I88/(H88+I88),"")</f>
        <v/>
      </c>
      <c r="K88" s="267" t="n"/>
      <c r="L88" s="267" t="n"/>
      <c r="M88" s="267" t="n"/>
      <c r="N88" s="267" t="n">
        <v>220</v>
      </c>
      <c r="O88" s="267" t="n"/>
      <c r="P88" s="267" t="n"/>
      <c r="Q88" s="267" t="n"/>
      <c r="R88" s="267" t="n"/>
      <c r="S88" s="267" t="n"/>
    </row>
    <row r="89" ht="15" customHeight="1" s="244">
      <c r="A89" s="270" t="n">
        <v>46155</v>
      </c>
      <c r="B89" s="267" t="inlineStr">
        <is>
          <t>Printing-03</t>
        </is>
      </c>
      <c r="C89" s="267" t="inlineStr">
        <is>
          <t>Mablay Beauty PVT LTD.</t>
        </is>
      </c>
      <c r="D89" s="267" t="inlineStr">
        <is>
          <t>HIS ONLY HAIR COLOR CREAM 40GM (Varnish)</t>
        </is>
      </c>
      <c r="E89" s="267" t="n">
        <v>25</v>
      </c>
      <c r="F89" s="267" t="n"/>
      <c r="G89" s="268" t="n">
        <v>2753</v>
      </c>
      <c r="H89" s="268" t="n">
        <v>2688</v>
      </c>
      <c r="I89" s="268" t="n">
        <v>65</v>
      </c>
      <c r="J89" s="269">
        <f>IFERROR(I89/(H89+I89),"")</f>
        <v/>
      </c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</row>
    <row r="90" ht="15" customHeight="1" s="244">
      <c r="A90" s="270" t="n">
        <v>46155</v>
      </c>
      <c r="B90" s="267" t="inlineStr">
        <is>
          <t>Printing-04</t>
        </is>
      </c>
      <c r="C90" s="267" t="inlineStr">
        <is>
          <t>Adore</t>
        </is>
      </c>
      <c r="D90" s="267" t="inlineStr">
        <is>
          <t>V-HC BLACK</t>
        </is>
      </c>
      <c r="E90" s="267" t="n">
        <v>35</v>
      </c>
      <c r="F90" s="267" t="n">
        <v>6531</v>
      </c>
      <c r="G90" s="268" t="n">
        <v>10945</v>
      </c>
      <c r="H90" s="268" t="n">
        <v>10620</v>
      </c>
      <c r="I90" s="268" t="n">
        <v>325</v>
      </c>
      <c r="J90" s="269">
        <f>IFERROR(I90/(H90+I90),"")</f>
        <v/>
      </c>
      <c r="K90" s="267" t="n"/>
      <c r="L90" s="267" t="n"/>
      <c r="M90" s="267" t="n"/>
      <c r="N90" s="267" t="n">
        <v>180</v>
      </c>
      <c r="O90" s="267" t="n"/>
      <c r="P90" s="267" t="n"/>
      <c r="Q90" s="267" t="n"/>
      <c r="R90" s="267" t="n"/>
      <c r="S90" s="267" t="n"/>
    </row>
    <row r="91" ht="15" customHeight="1" s="244">
      <c r="A91" s="270" t="n">
        <v>46155</v>
      </c>
      <c r="B91" s="267" t="inlineStr">
        <is>
          <t>Printing-04</t>
        </is>
      </c>
      <c r="C91" s="267" t="inlineStr">
        <is>
          <t>Adore</t>
        </is>
      </c>
      <c r="D91" s="267" t="inlineStr">
        <is>
          <t>V- HC BROWN</t>
        </is>
      </c>
      <c r="E91" s="267" t="n">
        <v>35</v>
      </c>
      <c r="F91" s="267" t="n">
        <v>6530</v>
      </c>
      <c r="G91" s="268" t="n">
        <v>2630</v>
      </c>
      <c r="H91" s="268" t="n">
        <v>2520</v>
      </c>
      <c r="I91" s="268" t="n">
        <v>110</v>
      </c>
      <c r="J91" s="269">
        <f>IFERROR(I91/(H91+I91),"")</f>
        <v/>
      </c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</row>
    <row r="92" ht="15" customHeight="1" s="244">
      <c r="A92" s="270" t="n">
        <v>46156</v>
      </c>
      <c r="B92" s="267" t="inlineStr">
        <is>
          <t>Lacquer-02</t>
        </is>
      </c>
      <c r="C92" s="267" t="inlineStr">
        <is>
          <t>Mablay Beauty PVT LTD.</t>
        </is>
      </c>
      <c r="D92" s="267" t="inlineStr">
        <is>
          <t>HIS ONLY HAIR COLOR CREAM 40GM</t>
        </is>
      </c>
      <c r="E92" s="267" t="n">
        <v>25</v>
      </c>
      <c r="F92" s="267" t="n">
        <v>6228</v>
      </c>
      <c r="G92" s="268" t="n">
        <v>0</v>
      </c>
      <c r="H92" s="268" t="n">
        <v>0</v>
      </c>
      <c r="I92" s="268" t="n">
        <v>0</v>
      </c>
      <c r="J92" s="269">
        <f>IFERROR(I92/(H92+I92),"")</f>
        <v/>
      </c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</row>
    <row r="93" ht="15" customHeight="1" s="244">
      <c r="A93" s="270" t="n">
        <v>46156</v>
      </c>
      <c r="B93" s="267" t="inlineStr">
        <is>
          <t>Lacquer-03</t>
        </is>
      </c>
      <c r="C93" s="267" t="inlineStr">
        <is>
          <t>Adore</t>
        </is>
      </c>
      <c r="D93" s="267" t="inlineStr">
        <is>
          <t>V- HC BROWN</t>
        </is>
      </c>
      <c r="E93" s="267" t="n">
        <v>35</v>
      </c>
      <c r="F93" s="267" t="n">
        <v>6530</v>
      </c>
      <c r="G93" s="268" t="n">
        <v>0</v>
      </c>
      <c r="H93" s="268" t="n">
        <v>0</v>
      </c>
      <c r="I93" s="268" t="n">
        <v>0</v>
      </c>
      <c r="J93" s="269">
        <f>IFERROR(I93/(H93+I93),"")</f>
        <v/>
      </c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</row>
    <row r="94" ht="15" customHeight="1" s="244">
      <c r="A94" s="270" t="n">
        <v>46156</v>
      </c>
      <c r="B94" s="267" t="inlineStr">
        <is>
          <t>Latex-01</t>
        </is>
      </c>
      <c r="C94" s="267" t="inlineStr">
        <is>
          <t>Samsol International Private Limited</t>
        </is>
      </c>
      <c r="D94" s="267" t="inlineStr">
        <is>
          <t>H.H 100GM</t>
        </is>
      </c>
      <c r="E94" s="267" t="n">
        <v>32</v>
      </c>
      <c r="F94" s="267" t="n">
        <v>6515</v>
      </c>
      <c r="G94" s="268" t="n">
        <v>10000</v>
      </c>
      <c r="H94" s="268" t="n">
        <v>9992</v>
      </c>
      <c r="I94" s="268" t="n">
        <v>8</v>
      </c>
      <c r="J94" s="269">
        <f>IFERROR(I94/(H94+I94),"")</f>
        <v/>
      </c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</row>
    <row r="95" ht="15" customHeight="1" s="244">
      <c r="A95" s="270" t="n">
        <v>46156</v>
      </c>
      <c r="B95" s="267" t="inlineStr">
        <is>
          <t>Latex-01</t>
        </is>
      </c>
      <c r="C95" s="267" t="inlineStr">
        <is>
          <t>Mablay Beauty PVT LTD.</t>
        </is>
      </c>
      <c r="D95" s="267" t="inlineStr">
        <is>
          <t>HIS ONLY HAIR COLOR CREAM 40GM</t>
        </is>
      </c>
      <c r="E95" s="267" t="n">
        <v>25</v>
      </c>
      <c r="F95" s="267" t="n">
        <v>6228</v>
      </c>
      <c r="G95" s="268" t="n">
        <v>3536</v>
      </c>
      <c r="H95" s="268" t="n">
        <v>3536</v>
      </c>
      <c r="I95" s="268" t="n">
        <v>0</v>
      </c>
      <c r="J95" s="269">
        <f>IFERROR(I95/(H95+I95),"")</f>
        <v/>
      </c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</row>
    <row r="96" ht="15" customHeight="1" s="244">
      <c r="A96" s="270" t="n">
        <v>46156</v>
      </c>
      <c r="B96" s="267" t="inlineStr">
        <is>
          <t>PF Machine</t>
        </is>
      </c>
      <c r="C96" s="267" t="inlineStr">
        <is>
          <t>Mablay Beauty PVT LTD.</t>
        </is>
      </c>
      <c r="D96" s="267" t="inlineStr">
        <is>
          <t>PET BOTTLE SMALL (130ML) TRANSPARENT</t>
        </is>
      </c>
      <c r="E96" s="267" t="inlineStr">
        <is>
          <t>130 ml</t>
        </is>
      </c>
      <c r="F96" s="267" t="n">
        <v>8010</v>
      </c>
      <c r="G96" s="268" t="n">
        <v>0</v>
      </c>
      <c r="H96" s="268" t="n">
        <v>0</v>
      </c>
      <c r="I96" s="268" t="n">
        <v>0</v>
      </c>
      <c r="J96" s="269">
        <f>IFERROR(I96/(H96+I96),"")</f>
        <v/>
      </c>
      <c r="K96" s="267" t="n"/>
      <c r="L96" s="267" t="n"/>
      <c r="M96" s="267" t="n"/>
      <c r="N96" s="267" t="n"/>
      <c r="O96" s="267" t="n">
        <v>480</v>
      </c>
      <c r="P96" s="267" t="n"/>
      <c r="Q96" s="267" t="n"/>
      <c r="R96" s="267" t="n"/>
      <c r="S96" s="267" t="n"/>
    </row>
    <row r="97" ht="15" customHeight="1" s="244">
      <c r="A97" s="270" t="n">
        <v>46156</v>
      </c>
      <c r="B97" s="267" t="inlineStr">
        <is>
          <t>Press-03</t>
        </is>
      </c>
      <c r="C97" s="267" t="inlineStr">
        <is>
          <t>Adore</t>
        </is>
      </c>
      <c r="D97" s="267" t="inlineStr">
        <is>
          <t>V- HC BROWN</t>
        </is>
      </c>
      <c r="E97" s="267" t="n">
        <v>35</v>
      </c>
      <c r="F97" s="267" t="n">
        <v>6530</v>
      </c>
      <c r="G97" s="268" t="n">
        <v>0</v>
      </c>
      <c r="H97" s="268" t="n">
        <v>0</v>
      </c>
      <c r="I97" s="268" t="n">
        <v>0</v>
      </c>
      <c r="J97" s="269">
        <f>IFERROR(I97/(H97+I97),"")</f>
        <v/>
      </c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</row>
    <row r="98" ht="15" customHeight="1" s="244">
      <c r="A98" s="270" t="n">
        <v>46156</v>
      </c>
      <c r="B98" s="267" t="inlineStr">
        <is>
          <t>Press-04</t>
        </is>
      </c>
      <c r="C98" s="267" t="inlineStr">
        <is>
          <t>Mablay Beauty PVT LTD.</t>
        </is>
      </c>
      <c r="D98" s="267" t="inlineStr">
        <is>
          <t>HIS ONLY HAIR COLOR CREAM 40GM</t>
        </is>
      </c>
      <c r="E98" s="267" t="n">
        <v>25</v>
      </c>
      <c r="F98" s="267" t="n">
        <v>6228</v>
      </c>
      <c r="G98" s="268" t="n">
        <v>0</v>
      </c>
      <c r="H98" s="268" t="n">
        <v>0</v>
      </c>
      <c r="I98" s="268" t="n">
        <v>0</v>
      </c>
      <c r="J98" s="269">
        <f>IFERROR(I98/(H98+I98),"")</f>
        <v/>
      </c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</row>
    <row r="99" ht="15" customHeight="1" s="244">
      <c r="A99" s="270" t="n">
        <v>46156</v>
      </c>
      <c r="B99" s="267" t="inlineStr">
        <is>
          <t>Printing-03</t>
        </is>
      </c>
      <c r="C99" s="267" t="inlineStr">
        <is>
          <t>Mablay Beauty PVT LTD.</t>
        </is>
      </c>
      <c r="D99" s="267" t="inlineStr">
        <is>
          <t>HIS ONLY HAIR COLOR CREAM 40GM (Varnish)</t>
        </is>
      </c>
      <c r="E99" s="267" t="n">
        <v>25</v>
      </c>
      <c r="F99" s="267" t="n"/>
      <c r="G99" s="268" t="n">
        <v>19908</v>
      </c>
      <c r="H99" s="268" t="n">
        <v>19843</v>
      </c>
      <c r="I99" s="268" t="n">
        <v>65</v>
      </c>
      <c r="J99" s="269">
        <f>IFERROR(I99/(H99+I99),"")</f>
        <v/>
      </c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</row>
    <row r="100" ht="15" customHeight="1" s="244">
      <c r="A100" s="270" t="n">
        <v>46156</v>
      </c>
      <c r="B100" s="267" t="inlineStr">
        <is>
          <t>Printing-04</t>
        </is>
      </c>
      <c r="C100" s="267" t="inlineStr">
        <is>
          <t>Adore</t>
        </is>
      </c>
      <c r="D100" s="267" t="inlineStr">
        <is>
          <t>V- HC BROWN</t>
        </is>
      </c>
      <c r="E100" s="267" t="n">
        <v>35</v>
      </c>
      <c r="F100" s="267" t="n">
        <v>6530</v>
      </c>
      <c r="G100" s="268" t="n">
        <v>8640</v>
      </c>
      <c r="H100" s="268" t="n">
        <v>8590</v>
      </c>
      <c r="I100" s="268" t="n">
        <v>50</v>
      </c>
      <c r="J100" s="269">
        <f>IFERROR(I100/(H100+I100),"")</f>
        <v/>
      </c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</row>
    <row r="101" ht="15" customHeight="1" s="244">
      <c r="A101" s="270" t="n">
        <v>46157</v>
      </c>
      <c r="B101" s="267" t="inlineStr">
        <is>
          <t>Lacquer-02</t>
        </is>
      </c>
      <c r="C101" s="267" t="inlineStr">
        <is>
          <t>Golden Pearl Cosmetics (PVT) LTD</t>
        </is>
      </c>
      <c r="D101" s="267" t="inlineStr">
        <is>
          <t>HELLO HAIR COLOR</t>
        </is>
      </c>
      <c r="E101" s="267" t="n">
        <v>30</v>
      </c>
      <c r="F101" s="267" t="n">
        <v>6206</v>
      </c>
      <c r="G101" s="268" t="n">
        <v>0</v>
      </c>
      <c r="H101" s="268" t="n">
        <v>0</v>
      </c>
      <c r="I101" s="268" t="n">
        <v>0</v>
      </c>
      <c r="J101" s="269">
        <f>IFERROR(I101/(H101+I101),"")</f>
        <v/>
      </c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</row>
    <row r="102" ht="15" customHeight="1" s="244">
      <c r="A102" s="270" t="n">
        <v>46157</v>
      </c>
      <c r="B102" s="267" t="inlineStr">
        <is>
          <t>Lacquer-03</t>
        </is>
      </c>
      <c r="C102" s="267" t="inlineStr">
        <is>
          <t>Samsol International Private Limited</t>
        </is>
      </c>
      <c r="D102" s="267" t="inlineStr">
        <is>
          <t>TUBES COMMON RED</t>
        </is>
      </c>
      <c r="E102" s="267" t="n">
        <v>25</v>
      </c>
      <c r="F102" s="267" t="n">
        <v>6470</v>
      </c>
      <c r="G102" s="268" t="n">
        <v>0</v>
      </c>
      <c r="H102" s="268" t="n">
        <v>0</v>
      </c>
      <c r="I102" s="268" t="n">
        <v>0</v>
      </c>
      <c r="J102" s="269">
        <f>IFERROR(I102/(H102+I102),"")</f>
        <v/>
      </c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</row>
    <row r="103" ht="15" customHeight="1" s="244">
      <c r="A103" s="270" t="n">
        <v>46157</v>
      </c>
      <c r="B103" s="267" t="inlineStr">
        <is>
          <t>Latex-01</t>
        </is>
      </c>
      <c r="C103" s="267" t="inlineStr">
        <is>
          <t>Mablay Beauty PVT LTD.</t>
        </is>
      </c>
      <c r="D103" s="267" t="inlineStr">
        <is>
          <t>HIS ONLY HAIR COLOR CREAM 40GM</t>
        </is>
      </c>
      <c r="E103" s="267" t="n">
        <v>25</v>
      </c>
      <c r="F103" s="267" t="n">
        <v>6228</v>
      </c>
      <c r="G103" s="268" t="n">
        <v>0</v>
      </c>
      <c r="H103" s="268" t="n">
        <v>0</v>
      </c>
      <c r="I103" s="268" t="n">
        <v>0</v>
      </c>
      <c r="J103" s="269">
        <f>IFERROR(I103/(H103+I103),"")</f>
        <v/>
      </c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</row>
    <row r="104" ht="15" customHeight="1" s="244">
      <c r="A104" s="270" t="n">
        <v>46157</v>
      </c>
      <c r="B104" s="267" t="inlineStr">
        <is>
          <t>PF Machine</t>
        </is>
      </c>
      <c r="C104" s="267" t="inlineStr">
        <is>
          <t>Mablay Beauty PVT LTD.</t>
        </is>
      </c>
      <c r="D104" s="267" t="inlineStr">
        <is>
          <t>PET BOTTLE SMALL (130ML) TRANSPARENT</t>
        </is>
      </c>
      <c r="E104" s="267" t="inlineStr">
        <is>
          <t>130 ml</t>
        </is>
      </c>
      <c r="F104" s="267" t="n">
        <v>8010</v>
      </c>
      <c r="G104" s="268" t="n">
        <v>0</v>
      </c>
      <c r="H104" s="268" t="n">
        <v>0</v>
      </c>
      <c r="I104" s="268" t="n">
        <v>0</v>
      </c>
      <c r="J104" s="269">
        <f>IFERROR(I104/(H104+I104),"")</f>
        <v/>
      </c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</row>
    <row r="105" ht="15" customHeight="1" s="244">
      <c r="A105" s="270" t="n">
        <v>46157</v>
      </c>
      <c r="B105" s="267" t="inlineStr">
        <is>
          <t>Press-03</t>
        </is>
      </c>
      <c r="C105" s="267" t="inlineStr">
        <is>
          <t>Golden Pearl Cosmetics (PVT) LTD</t>
        </is>
      </c>
      <c r="D105" s="267" t="inlineStr">
        <is>
          <t>HELLO HAIR COLOR</t>
        </is>
      </c>
      <c r="E105" s="267" t="n">
        <v>30</v>
      </c>
      <c r="F105" s="267" t="n">
        <v>6206</v>
      </c>
      <c r="G105" s="268" t="n">
        <v>0</v>
      </c>
      <c r="H105" s="268" t="n">
        <v>0</v>
      </c>
      <c r="I105" s="268" t="n">
        <v>0</v>
      </c>
      <c r="J105" s="269">
        <f>IFERROR(I105/(H105+I105),"")</f>
        <v/>
      </c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</row>
    <row r="106" ht="15" customHeight="1" s="244">
      <c r="A106" s="270" t="n">
        <v>46157</v>
      </c>
      <c r="B106" s="267" t="inlineStr">
        <is>
          <t>Press-06</t>
        </is>
      </c>
      <c r="C106" s="267" t="inlineStr">
        <is>
          <t>Samsol International Private Limited</t>
        </is>
      </c>
      <c r="D106" s="267" t="inlineStr">
        <is>
          <t>TUBES COMMON RED</t>
        </is>
      </c>
      <c r="E106" s="267" t="n">
        <v>25</v>
      </c>
      <c r="F106" s="267" t="n">
        <v>6470</v>
      </c>
      <c r="G106" s="268" t="n">
        <v>0</v>
      </c>
      <c r="H106" s="268" t="n">
        <v>0</v>
      </c>
      <c r="I106" s="268" t="n">
        <v>0</v>
      </c>
      <c r="J106" s="269">
        <f>IFERROR(I106/(H106+I106),"")</f>
        <v/>
      </c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</row>
    <row r="107" ht="15" customHeight="1" s="244">
      <c r="A107" s="270" t="n">
        <v>46157</v>
      </c>
      <c r="B107" s="267" t="inlineStr">
        <is>
          <t>Printing-03</t>
        </is>
      </c>
      <c r="C107" s="267" t="inlineStr">
        <is>
          <t>Mablay Beauty PVT LTD.</t>
        </is>
      </c>
      <c r="D107" s="267" t="inlineStr">
        <is>
          <t>VINCE NURTURAL (Varnish)</t>
        </is>
      </c>
      <c r="E107" s="267" t="n">
        <v>30</v>
      </c>
      <c r="F107" s="267" t="n"/>
      <c r="G107" s="268" t="n">
        <v>12641</v>
      </c>
      <c r="H107" s="268" t="n">
        <v>12376</v>
      </c>
      <c r="I107" s="268" t="n">
        <v>265</v>
      </c>
      <c r="J107" s="269">
        <f>IFERROR(I107/(H107+I107),"")</f>
        <v/>
      </c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</row>
    <row r="108" ht="15" customHeight="1" s="244">
      <c r="A108" s="270" t="n">
        <v>46157</v>
      </c>
      <c r="B108" s="267" t="inlineStr">
        <is>
          <t>Printing-04</t>
        </is>
      </c>
      <c r="C108" s="267" t="inlineStr">
        <is>
          <t>Golden Pearl Cosmetics (PVT) LTD</t>
        </is>
      </c>
      <c r="D108" s="267" t="inlineStr">
        <is>
          <t>HELLO HAIR COLOR</t>
        </is>
      </c>
      <c r="E108" s="267" t="n">
        <v>30</v>
      </c>
      <c r="F108" s="267" t="n">
        <v>6206</v>
      </c>
      <c r="G108" s="268" t="n">
        <v>0</v>
      </c>
      <c r="H108" s="268" t="n">
        <v>0</v>
      </c>
      <c r="I108" s="268" t="n">
        <v>0</v>
      </c>
      <c r="J108" s="269">
        <f>IFERROR(I108/(H108+I108),"")</f>
        <v/>
      </c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</row>
    <row r="109" ht="15" customHeight="1" s="244">
      <c r="A109" s="270" t="n">
        <v>46158</v>
      </c>
      <c r="B109" s="267" t="inlineStr">
        <is>
          <t>Lacquer-02</t>
        </is>
      </c>
      <c r="C109" s="267" t="inlineStr">
        <is>
          <t>Golden Pearl Cosmetics (PVT) LTD</t>
        </is>
      </c>
      <c r="D109" s="267" t="inlineStr">
        <is>
          <t>HELLO HAIR COLOR</t>
        </is>
      </c>
      <c r="E109" s="267" t="n">
        <v>30</v>
      </c>
      <c r="F109" s="267" t="n">
        <v>6206</v>
      </c>
      <c r="G109" s="268" t="n">
        <v>800</v>
      </c>
      <c r="H109" s="268" t="n">
        <v>785</v>
      </c>
      <c r="I109" s="268" t="n">
        <v>15</v>
      </c>
      <c r="J109" s="269">
        <f>IFERROR(I109/(H109+I109),"")</f>
        <v/>
      </c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</row>
    <row r="110" ht="15" customHeight="1" s="244">
      <c r="A110" s="270" t="n">
        <v>46158</v>
      </c>
      <c r="B110" s="267" t="inlineStr">
        <is>
          <t>Lacquer-03</t>
        </is>
      </c>
      <c r="C110" s="267" t="inlineStr">
        <is>
          <t>Samsol International Private Limited</t>
        </is>
      </c>
      <c r="D110" s="267" t="inlineStr">
        <is>
          <t>TUBES COMMON RED</t>
        </is>
      </c>
      <c r="E110" s="267" t="n">
        <v>25</v>
      </c>
      <c r="F110" s="267" t="n">
        <v>6470</v>
      </c>
      <c r="G110" s="268" t="n">
        <v>6000</v>
      </c>
      <c r="H110" s="268" t="n">
        <v>5865</v>
      </c>
      <c r="I110" s="268" t="n">
        <v>135</v>
      </c>
      <c r="J110" s="269">
        <f>IFERROR(I110/(H110+I110),"")</f>
        <v/>
      </c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</row>
    <row r="111" ht="15" customHeight="1" s="244">
      <c r="A111" s="270" t="n">
        <v>46158</v>
      </c>
      <c r="B111" s="267" t="inlineStr">
        <is>
          <t>Latex-01</t>
        </is>
      </c>
      <c r="C111" s="267" t="inlineStr">
        <is>
          <t>Mablay Beauty PVT LTD.</t>
        </is>
      </c>
      <c r="D111" s="267" t="inlineStr">
        <is>
          <t>HIS ONLY HAIR COLOR CREAM 40GM</t>
        </is>
      </c>
      <c r="E111" s="267" t="n">
        <v>25</v>
      </c>
      <c r="F111" s="267" t="n">
        <v>6228</v>
      </c>
      <c r="G111" s="268" t="n">
        <v>5000</v>
      </c>
      <c r="H111" s="268" t="n">
        <v>4995</v>
      </c>
      <c r="I111" s="268" t="n">
        <v>5</v>
      </c>
      <c r="J111" s="269">
        <f>IFERROR(I111/(H111+I111),"")</f>
        <v/>
      </c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</row>
    <row r="112" ht="15" customHeight="1" s="244">
      <c r="A112" s="270" t="n">
        <v>46158</v>
      </c>
      <c r="B112" s="267" t="inlineStr">
        <is>
          <t>PF Machine</t>
        </is>
      </c>
      <c r="C112" s="267" t="inlineStr">
        <is>
          <t>Alpha Labs PVT LTD</t>
        </is>
      </c>
      <c r="D112" s="267" t="inlineStr">
        <is>
          <t>TRANSPARENT BOTTLE 150ML</t>
        </is>
      </c>
      <c r="E112" s="267" t="inlineStr">
        <is>
          <t>150 ml</t>
        </is>
      </c>
      <c r="F112" s="267" t="n">
        <v>8001</v>
      </c>
      <c r="G112" s="268" t="n">
        <v>4665</v>
      </c>
      <c r="H112" s="268" t="n">
        <v>3565</v>
      </c>
      <c r="I112" s="268" t="n">
        <v>1100</v>
      </c>
      <c r="J112" s="269">
        <f>IFERROR(I112/(H112+I112),"")</f>
        <v/>
      </c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</row>
    <row r="113" ht="15" customHeight="1" s="244">
      <c r="A113" s="270" t="n">
        <v>46158</v>
      </c>
      <c r="B113" s="267" t="inlineStr">
        <is>
          <t>Press-03</t>
        </is>
      </c>
      <c r="C113" s="267" t="inlineStr">
        <is>
          <t>Golden Pearl Cosmetics (PVT) LTD</t>
        </is>
      </c>
      <c r="D113" s="267" t="inlineStr">
        <is>
          <t>HELLO HAIR COLOR</t>
        </is>
      </c>
      <c r="E113" s="267" t="n">
        <v>30</v>
      </c>
      <c r="F113" s="267" t="n">
        <v>6206</v>
      </c>
      <c r="G113" s="268" t="n">
        <v>11000</v>
      </c>
      <c r="H113" s="268" t="n">
        <v>10880</v>
      </c>
      <c r="I113" s="268" t="n">
        <v>120</v>
      </c>
      <c r="J113" s="269">
        <f>IFERROR(I113/(H113+I113),"")</f>
        <v/>
      </c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</row>
    <row r="114" ht="15" customHeight="1" s="244">
      <c r="A114" s="270" t="n">
        <v>46158</v>
      </c>
      <c r="B114" s="267" t="inlineStr">
        <is>
          <t>Press-06</t>
        </is>
      </c>
      <c r="C114" s="267" t="inlineStr">
        <is>
          <t>Samsol International Private Limited</t>
        </is>
      </c>
      <c r="D114" s="267" t="inlineStr">
        <is>
          <t>TUBES COMMON RED</t>
        </is>
      </c>
      <c r="E114" s="267" t="n">
        <v>25</v>
      </c>
      <c r="F114" s="267" t="n">
        <v>6470</v>
      </c>
      <c r="G114" s="268" t="n">
        <v>9000</v>
      </c>
      <c r="H114" s="268" t="n">
        <v>8905</v>
      </c>
      <c r="I114" s="268" t="n">
        <v>95</v>
      </c>
      <c r="J114" s="269">
        <f>IFERROR(I114/(H114+I114),"")</f>
        <v/>
      </c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</row>
    <row r="115" ht="15" customHeight="1" s="244">
      <c r="A115" s="270" t="n">
        <v>46158</v>
      </c>
      <c r="B115" s="267" t="inlineStr">
        <is>
          <t>Printing-03</t>
        </is>
      </c>
      <c r="C115" s="267" t="inlineStr">
        <is>
          <t>Mablay Beauty PVT LTD.</t>
        </is>
      </c>
      <c r="D115" s="267" t="inlineStr">
        <is>
          <t>VINCE NURTURAL (Varnish)</t>
        </is>
      </c>
      <c r="E115" s="267" t="n">
        <v>30</v>
      </c>
      <c r="F115" s="267" t="n"/>
      <c r="G115" s="268" t="n">
        <v>9642</v>
      </c>
      <c r="H115" s="268" t="n">
        <v>9282</v>
      </c>
      <c r="I115" s="268" t="n">
        <v>360</v>
      </c>
      <c r="J115" s="269">
        <f>IFERROR(I115/(H115+I115),"")</f>
        <v/>
      </c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</row>
    <row r="116" ht="15" customHeight="1" s="244">
      <c r="A116" s="270" t="n">
        <v>46158</v>
      </c>
      <c r="B116" s="267" t="inlineStr">
        <is>
          <t>Printing-04</t>
        </is>
      </c>
      <c r="C116" s="267" t="inlineStr">
        <is>
          <t>Golden Pearl Cosmetics (PVT) LTD</t>
        </is>
      </c>
      <c r="D116" s="267" t="inlineStr">
        <is>
          <t>HELLO HAIR COLOR</t>
        </is>
      </c>
      <c r="E116" s="267" t="n">
        <v>30</v>
      </c>
      <c r="F116" s="267" t="n">
        <v>6206</v>
      </c>
      <c r="G116" s="268" t="n">
        <v>3730</v>
      </c>
      <c r="H116" s="268" t="n">
        <v>3570</v>
      </c>
      <c r="I116" s="268" t="n">
        <v>160</v>
      </c>
      <c r="J116" s="269">
        <f>IFERROR(I116/(H116+I116),"")</f>
        <v/>
      </c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</row>
    <row r="117" ht="15" customHeight="1" s="244">
      <c r="A117" s="270" t="n">
        <v>46160</v>
      </c>
      <c r="B117" s="267" t="inlineStr">
        <is>
          <t>Lacquer-02</t>
        </is>
      </c>
      <c r="C117" s="267" t="inlineStr">
        <is>
          <t>Golden Pearl Cosmetics (PVT) LTD</t>
        </is>
      </c>
      <c r="D117" s="267" t="inlineStr">
        <is>
          <t>HELLO HAIR COLOR</t>
        </is>
      </c>
      <c r="E117" s="267" t="n">
        <v>30</v>
      </c>
      <c r="F117" s="267" t="n">
        <v>6206</v>
      </c>
      <c r="G117" s="268" t="n">
        <v>10000</v>
      </c>
      <c r="H117" s="268" t="n">
        <v>9790</v>
      </c>
      <c r="I117" s="268" t="n">
        <v>210</v>
      </c>
      <c r="J117" s="269">
        <f>IFERROR(I117/(H117+I117),"")</f>
        <v/>
      </c>
      <c r="K117" s="267" t="n">
        <v>240</v>
      </c>
      <c r="L117" s="267" t="n"/>
      <c r="M117" s="267" t="n"/>
      <c r="N117" s="267" t="n"/>
      <c r="O117" s="267" t="n"/>
      <c r="P117" s="267" t="n"/>
      <c r="Q117" s="267" t="n"/>
      <c r="R117" s="267" t="n"/>
      <c r="S117" s="267" t="n"/>
    </row>
    <row r="118" ht="15" customHeight="1" s="244">
      <c r="A118" s="270" t="n">
        <v>46160</v>
      </c>
      <c r="B118" s="267" t="inlineStr">
        <is>
          <t>Lacquer-03</t>
        </is>
      </c>
      <c r="C118" s="267" t="inlineStr">
        <is>
          <t>Samsol International Private Limited</t>
        </is>
      </c>
      <c r="D118" s="267" t="inlineStr">
        <is>
          <t>TUBES COMMON RED</t>
        </is>
      </c>
      <c r="E118" s="267" t="n">
        <v>25</v>
      </c>
      <c r="F118" s="267" t="n">
        <v>6470</v>
      </c>
      <c r="G118" s="268" t="n">
        <v>9000</v>
      </c>
      <c r="H118" s="268" t="n">
        <v>8805</v>
      </c>
      <c r="I118" s="268" t="n">
        <v>195</v>
      </c>
      <c r="J118" s="269">
        <f>IFERROR(I118/(H118+I118),"")</f>
        <v/>
      </c>
      <c r="K118" s="267" t="n">
        <v>240</v>
      </c>
      <c r="L118" s="267" t="n"/>
      <c r="M118" s="267" t="n"/>
      <c r="N118" s="267" t="n"/>
      <c r="O118" s="267" t="n"/>
      <c r="P118" s="267" t="n"/>
      <c r="Q118" s="267" t="n"/>
      <c r="R118" s="267" t="n"/>
      <c r="S118" s="267" t="n"/>
    </row>
    <row r="119" ht="15" customHeight="1" s="244">
      <c r="A119" s="270" t="n">
        <v>46160</v>
      </c>
      <c r="B119" s="267" t="inlineStr">
        <is>
          <t>Latex-01</t>
        </is>
      </c>
      <c r="C119" s="267" t="inlineStr">
        <is>
          <t>Mablay Beauty PVT LTD.</t>
        </is>
      </c>
      <c r="D119" s="267" t="inlineStr">
        <is>
          <t>HIS ONLY HAIR COLOR CREAM 40GM</t>
        </is>
      </c>
      <c r="E119" s="267" t="n">
        <v>25</v>
      </c>
      <c r="F119" s="267" t="n">
        <v>6228</v>
      </c>
      <c r="G119" s="268" t="n">
        <v>6048</v>
      </c>
      <c r="H119" s="268" t="n">
        <v>6043</v>
      </c>
      <c r="I119" s="268" t="n">
        <v>5</v>
      </c>
      <c r="J119" s="269">
        <f>IFERROR(I119/(H119+I119),"")</f>
        <v/>
      </c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</row>
    <row r="120" ht="15" customHeight="1" s="244">
      <c r="A120" s="270" t="n">
        <v>46160</v>
      </c>
      <c r="B120" s="267" t="inlineStr">
        <is>
          <t>Latex-01</t>
        </is>
      </c>
      <c r="C120" s="267" t="inlineStr">
        <is>
          <t>Adore</t>
        </is>
      </c>
      <c r="D120" s="267" t="inlineStr">
        <is>
          <t>V-HC BLACK</t>
        </is>
      </c>
      <c r="E120" s="267" t="n">
        <v>35</v>
      </c>
      <c r="F120" s="267" t="n">
        <v>6531</v>
      </c>
      <c r="G120" s="268" t="n">
        <v>7740</v>
      </c>
      <c r="H120" s="268" t="n">
        <v>7730</v>
      </c>
      <c r="I120" s="268" t="n">
        <v>10</v>
      </c>
      <c r="J120" s="269">
        <f>IFERROR(I120/(H120+I120),"")</f>
        <v/>
      </c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</row>
    <row r="121" ht="15" customHeight="1" s="244">
      <c r="A121" s="270" t="n">
        <v>46160</v>
      </c>
      <c r="B121" s="267" t="inlineStr">
        <is>
          <t>PF Machine</t>
        </is>
      </c>
      <c r="C121" s="267" t="inlineStr">
        <is>
          <t>Alpha Labs PVT LTD</t>
        </is>
      </c>
      <c r="D121" s="267" t="inlineStr">
        <is>
          <t>TRANSPARENT BOTTLE 150ML</t>
        </is>
      </c>
      <c r="E121" s="267" t="inlineStr">
        <is>
          <t>150 ml</t>
        </is>
      </c>
      <c r="F121" s="267" t="n">
        <v>8001</v>
      </c>
      <c r="G121" s="268" t="n">
        <v>10050</v>
      </c>
      <c r="H121" s="268" t="n">
        <v>9200</v>
      </c>
      <c r="I121" s="268" t="n">
        <v>850</v>
      </c>
      <c r="J121" s="269">
        <f>IFERROR(I121/(H121+I121),"")</f>
        <v/>
      </c>
      <c r="K121" s="267" t="n"/>
      <c r="L121" s="267" t="n"/>
      <c r="M121" s="267" t="n"/>
      <c r="N121" s="267" t="n"/>
      <c r="O121" s="267" t="n">
        <v>290</v>
      </c>
      <c r="P121" s="267" t="n"/>
      <c r="Q121" s="267" t="n"/>
      <c r="R121" s="267" t="n"/>
      <c r="S121" s="267" t="n"/>
    </row>
    <row r="122" ht="15" customHeight="1" s="244">
      <c r="A122" s="270" t="n">
        <v>46160</v>
      </c>
      <c r="B122" s="267" t="inlineStr">
        <is>
          <t>Press-03</t>
        </is>
      </c>
      <c r="C122" s="267" t="inlineStr">
        <is>
          <t>Golden Pearl Cosmetics (PVT) LTD</t>
        </is>
      </c>
      <c r="D122" s="267" t="inlineStr">
        <is>
          <t>HELLO HAIR COLOR</t>
        </is>
      </c>
      <c r="E122" s="267" t="n">
        <v>30</v>
      </c>
      <c r="F122" s="267" t="n">
        <v>6206</v>
      </c>
      <c r="G122" s="268" t="n">
        <v>24000</v>
      </c>
      <c r="H122" s="268" t="n">
        <v>23850</v>
      </c>
      <c r="I122" s="268" t="n">
        <v>150</v>
      </c>
      <c r="J122" s="269">
        <f>IFERROR(I122/(H122+I122),"")</f>
        <v/>
      </c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</row>
    <row r="123" ht="15" customHeight="1" s="244">
      <c r="A123" s="270" t="n">
        <v>46160</v>
      </c>
      <c r="B123" s="267" t="inlineStr">
        <is>
          <t>Press-06</t>
        </is>
      </c>
      <c r="C123" s="267" t="inlineStr">
        <is>
          <t>Samsol International Private Limited</t>
        </is>
      </c>
      <c r="D123" s="267" t="inlineStr">
        <is>
          <t>TUBES COMMON RED</t>
        </is>
      </c>
      <c r="E123" s="267" t="n">
        <v>25</v>
      </c>
      <c r="F123" s="267" t="n">
        <v>6470</v>
      </c>
      <c r="G123" s="268" t="n">
        <v>16400</v>
      </c>
      <c r="H123" s="268" t="n">
        <v>16280</v>
      </c>
      <c r="I123" s="268" t="n">
        <v>120</v>
      </c>
      <c r="J123" s="269">
        <f>IFERROR(I123/(H123+I123),"")</f>
        <v/>
      </c>
      <c r="K123" s="267" t="n"/>
      <c r="L123" s="267" t="n"/>
      <c r="M123" s="267" t="n"/>
      <c r="N123" s="267" t="n"/>
      <c r="O123" s="267" t="n">
        <v>120</v>
      </c>
      <c r="P123" s="267" t="n"/>
      <c r="Q123" s="267" t="n"/>
      <c r="R123" s="267" t="n"/>
      <c r="S123" s="267" t="n"/>
    </row>
    <row r="124" ht="15" customHeight="1" s="244">
      <c r="A124" s="270" t="n">
        <v>46160</v>
      </c>
      <c r="B124" s="267" t="inlineStr">
        <is>
          <t>Printing-03</t>
        </is>
      </c>
      <c r="C124" s="267" t="inlineStr">
        <is>
          <t>Samsol International Private Limited</t>
        </is>
      </c>
      <c r="D124" s="267" t="inlineStr">
        <is>
          <t>TUBES COMMON RED</t>
        </is>
      </c>
      <c r="E124" s="267" t="n">
        <v>25</v>
      </c>
      <c r="F124" s="267" t="n">
        <v>6470</v>
      </c>
      <c r="G124" s="268" t="n">
        <v>12155</v>
      </c>
      <c r="H124" s="268" t="n">
        <v>11760</v>
      </c>
      <c r="I124" s="268" t="n">
        <v>395</v>
      </c>
      <c r="J124" s="269">
        <f>IFERROR(I124/(H124+I124),"")</f>
        <v/>
      </c>
      <c r="K124" s="267" t="n"/>
      <c r="L124" s="267" t="n"/>
      <c r="M124" s="267" t="n">
        <v>240</v>
      </c>
      <c r="N124" s="267" t="n"/>
      <c r="O124" s="267" t="n"/>
      <c r="P124" s="267" t="n"/>
      <c r="Q124" s="267" t="n"/>
      <c r="R124" s="267" t="n"/>
      <c r="S124" s="267" t="n"/>
    </row>
    <row r="125" ht="15" customHeight="1" s="244">
      <c r="A125" s="270" t="n">
        <v>46160</v>
      </c>
      <c r="B125" s="267" t="inlineStr">
        <is>
          <t>Printing-04</t>
        </is>
      </c>
      <c r="C125" s="267" t="inlineStr">
        <is>
          <t>Golden Pearl Cosmetics (PVT) LTD</t>
        </is>
      </c>
      <c r="D125" s="267" t="inlineStr">
        <is>
          <t>HELLO HAIR COLOR</t>
        </is>
      </c>
      <c r="E125" s="267" t="n">
        <v>30</v>
      </c>
      <c r="F125" s="267" t="n">
        <v>6206</v>
      </c>
      <c r="G125" s="268" t="n">
        <v>14968</v>
      </c>
      <c r="H125" s="268" t="n">
        <v>14518</v>
      </c>
      <c r="I125" s="268" t="n">
        <v>450</v>
      </c>
      <c r="J125" s="269">
        <f>IFERROR(I125/(H125+I125),"")</f>
        <v/>
      </c>
      <c r="K125" s="267" t="n"/>
      <c r="L125" s="267" t="n"/>
      <c r="M125" s="267" t="n">
        <v>180</v>
      </c>
      <c r="N125" s="267" t="n"/>
      <c r="O125" s="267" t="n"/>
      <c r="P125" s="267" t="n"/>
      <c r="Q125" s="267" t="n"/>
      <c r="R125" s="267" t="n"/>
      <c r="S125" s="267" t="n"/>
    </row>
    <row r="126" ht="15" customHeight="1" s="244">
      <c r="A126" s="270" t="n">
        <v>46161</v>
      </c>
      <c r="B126" s="267" t="inlineStr">
        <is>
          <t>Lacquer-03</t>
        </is>
      </c>
      <c r="C126" s="267" t="inlineStr">
        <is>
          <t>Golden Pearl Cosmetics (PVT) LTD</t>
        </is>
      </c>
      <c r="D126" s="267" t="inlineStr">
        <is>
          <t>HELLO HAIR COLOR</t>
        </is>
      </c>
      <c r="E126" s="267" t="n">
        <v>30</v>
      </c>
      <c r="F126" s="267" t="n">
        <v>6206</v>
      </c>
      <c r="G126" s="268" t="n">
        <v>24000</v>
      </c>
      <c r="H126" s="268" t="n">
        <v>23660</v>
      </c>
      <c r="I126" s="268" t="n">
        <v>340</v>
      </c>
      <c r="J126" s="269">
        <f>IFERROR(I126/(H126+I126),"")</f>
        <v/>
      </c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</row>
    <row r="127" ht="15" customHeight="1" s="244">
      <c r="A127" s="270" t="n">
        <v>46161</v>
      </c>
      <c r="B127" s="267" t="inlineStr">
        <is>
          <t>Lacquer-04</t>
        </is>
      </c>
      <c r="C127" s="267" t="inlineStr">
        <is>
          <t>Samsol International Private Limited</t>
        </is>
      </c>
      <c r="D127" s="267" t="inlineStr">
        <is>
          <t>TUBES COMMON RED</t>
        </is>
      </c>
      <c r="E127" s="267" t="n">
        <v>25</v>
      </c>
      <c r="F127" s="267" t="n">
        <v>6470</v>
      </c>
      <c r="G127" s="268" t="n">
        <v>10000</v>
      </c>
      <c r="H127" s="268" t="n">
        <v>9775</v>
      </c>
      <c r="I127" s="268" t="n">
        <v>225</v>
      </c>
      <c r="J127" s="269">
        <f>IFERROR(I127/(H127+I127),"")</f>
        <v/>
      </c>
      <c r="K127" s="267" t="n"/>
      <c r="L127" s="267" t="n"/>
      <c r="M127" s="267" t="n"/>
      <c r="N127" s="267" t="n">
        <v>180</v>
      </c>
      <c r="O127" s="267" t="n"/>
      <c r="P127" s="267" t="n"/>
      <c r="Q127" s="267" t="n"/>
      <c r="R127" s="267" t="n"/>
      <c r="S127" s="267" t="n"/>
    </row>
    <row r="128" ht="15" customHeight="1" s="244">
      <c r="A128" s="270" t="n">
        <v>46161</v>
      </c>
      <c r="B128" s="267" t="inlineStr">
        <is>
          <t>Latex-01</t>
        </is>
      </c>
      <c r="C128" s="267" t="inlineStr">
        <is>
          <t>Adore</t>
        </is>
      </c>
      <c r="D128" s="267" t="inlineStr">
        <is>
          <t>V-HC BLACK</t>
        </is>
      </c>
      <c r="E128" s="267" t="n">
        <v>35</v>
      </c>
      <c r="F128" s="267" t="n">
        <v>6531</v>
      </c>
      <c r="G128" s="268" t="n">
        <v>2880</v>
      </c>
      <c r="H128" s="268" t="n">
        <v>2870</v>
      </c>
      <c r="I128" s="268" t="n">
        <v>10</v>
      </c>
      <c r="J128" s="269">
        <f>IFERROR(I128/(H128+I128),"")</f>
        <v/>
      </c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</row>
    <row r="129" ht="15" customHeight="1" s="244">
      <c r="A129" s="270" t="n">
        <v>46161</v>
      </c>
      <c r="B129" s="267" t="inlineStr">
        <is>
          <t>Latex-01</t>
        </is>
      </c>
      <c r="C129" s="267" t="inlineStr">
        <is>
          <t>Mablay Beauty PVT LTD.</t>
        </is>
      </c>
      <c r="D129" s="267" t="inlineStr">
        <is>
          <t>Vince Nutural</t>
        </is>
      </c>
      <c r="E129" s="267" t="n">
        <v>30</v>
      </c>
      <c r="F129" s="267" t="n"/>
      <c r="G129" s="268" t="n">
        <v>2400</v>
      </c>
      <c r="H129" s="268" t="n">
        <v>2395</v>
      </c>
      <c r="I129" s="268" t="n">
        <v>5</v>
      </c>
      <c r="J129" s="269">
        <f>IFERROR(I129/(H129+I129),"")</f>
        <v/>
      </c>
      <c r="K129" s="267" t="n">
        <v>360</v>
      </c>
      <c r="L129" s="267" t="n"/>
      <c r="M129" s="267" t="n"/>
      <c r="N129" s="267" t="n"/>
      <c r="O129" s="267" t="n"/>
      <c r="P129" s="267" t="n"/>
      <c r="Q129" s="267" t="n"/>
      <c r="R129" s="267" t="n"/>
      <c r="S129" s="267" t="n"/>
    </row>
    <row r="130" ht="15" customHeight="1" s="244">
      <c r="A130" s="270" t="n">
        <v>46161</v>
      </c>
      <c r="B130" s="267" t="inlineStr">
        <is>
          <t>PF Machine</t>
        </is>
      </c>
      <c r="C130" s="267" t="inlineStr">
        <is>
          <t>Alpha Labs PVT LTD</t>
        </is>
      </c>
      <c r="D130" s="267" t="inlineStr">
        <is>
          <t>TRANSPARENT BOTTLE 150ML</t>
        </is>
      </c>
      <c r="E130" s="267" t="inlineStr">
        <is>
          <t>150 ml</t>
        </is>
      </c>
      <c r="F130" s="267" t="n">
        <v>8001</v>
      </c>
      <c r="G130" s="268" t="n">
        <v>7940</v>
      </c>
      <c r="H130" s="268" t="n">
        <v>7590</v>
      </c>
      <c r="I130" s="268" t="n">
        <v>350</v>
      </c>
      <c r="J130" s="269">
        <f>IFERROR(I130/(H130+I130),"")</f>
        <v/>
      </c>
      <c r="K130" s="267" t="n"/>
      <c r="L130" s="267" t="n"/>
      <c r="M130" s="267" t="n"/>
      <c r="N130" s="267" t="n"/>
      <c r="O130" s="267" t="n">
        <v>60</v>
      </c>
      <c r="P130" s="267" t="n"/>
      <c r="Q130" s="267" t="n"/>
      <c r="R130" s="267" t="n"/>
      <c r="S130" s="267" t="n"/>
    </row>
    <row r="131" ht="15" customHeight="1" s="244">
      <c r="A131" s="270" t="n">
        <v>46161</v>
      </c>
      <c r="B131" s="267" t="inlineStr">
        <is>
          <t>Press-01</t>
        </is>
      </c>
      <c r="C131" s="267" t="inlineStr">
        <is>
          <t>Samsol International Private Limited</t>
        </is>
      </c>
      <c r="D131" s="267" t="inlineStr">
        <is>
          <t>S-45 DIA 19MM</t>
        </is>
      </c>
      <c r="E131" s="267" t="n">
        <v>19</v>
      </c>
      <c r="F131" s="267" t="n">
        <v>6624</v>
      </c>
      <c r="G131" s="268" t="n">
        <v>0</v>
      </c>
      <c r="H131" s="268" t="n">
        <v>0</v>
      </c>
      <c r="I131" s="268" t="n">
        <v>0</v>
      </c>
      <c r="J131" s="269">
        <f>IFERROR(I131/(H131+I131),"")</f>
        <v/>
      </c>
      <c r="K131" s="267" t="n"/>
      <c r="L131" s="267" t="n"/>
      <c r="M131" s="267" t="n">
        <v>300</v>
      </c>
      <c r="N131" s="267" t="n">
        <v>180</v>
      </c>
      <c r="O131" s="267" t="n"/>
      <c r="P131" s="267" t="n"/>
      <c r="Q131" s="267" t="n"/>
      <c r="R131" s="267" t="n"/>
      <c r="S131" s="267" t="n"/>
    </row>
    <row r="132" ht="15" customHeight="1" s="244">
      <c r="A132" s="270" t="n">
        <v>46161</v>
      </c>
      <c r="B132" s="267" t="inlineStr">
        <is>
          <t>Press-03</t>
        </is>
      </c>
      <c r="C132" s="267" t="inlineStr">
        <is>
          <t>Golden Pearl Cosmetics (PVT) LTD</t>
        </is>
      </c>
      <c r="D132" s="267" t="inlineStr">
        <is>
          <t>HELLO HAIR COLOR</t>
        </is>
      </c>
      <c r="E132" s="267" t="n">
        <v>30</v>
      </c>
      <c r="F132" s="267" t="n">
        <v>6206</v>
      </c>
      <c r="G132" s="268" t="n">
        <v>15000</v>
      </c>
      <c r="H132" s="268" t="n">
        <v>14885</v>
      </c>
      <c r="I132" s="268" t="n">
        <v>115</v>
      </c>
      <c r="J132" s="269">
        <f>IFERROR(I132/(H132+I132),"")</f>
        <v/>
      </c>
      <c r="K132" s="267" t="n">
        <v>120</v>
      </c>
      <c r="L132" s="267" t="n"/>
      <c r="M132" s="267" t="n"/>
      <c r="N132" s="267" t="n"/>
      <c r="O132" s="267" t="n"/>
      <c r="P132" s="267" t="n"/>
      <c r="Q132" s="267" t="n"/>
      <c r="R132" s="267" t="n"/>
      <c r="S132" s="267" t="n"/>
    </row>
    <row r="133" ht="15" customHeight="1" s="244">
      <c r="A133" s="270" t="n">
        <v>46161</v>
      </c>
      <c r="B133" s="267" t="inlineStr">
        <is>
          <t>Printing-03</t>
        </is>
      </c>
      <c r="C133" s="267" t="inlineStr">
        <is>
          <t>Samsol International Private Limited</t>
        </is>
      </c>
      <c r="D133" s="267" t="inlineStr">
        <is>
          <t>TUBES COMMON RED</t>
        </is>
      </c>
      <c r="E133" s="267" t="n">
        <v>25</v>
      </c>
      <c r="F133" s="267" t="n">
        <v>6470</v>
      </c>
      <c r="G133" s="268" t="n">
        <v>10039</v>
      </c>
      <c r="H133" s="268" t="n">
        <v>9744</v>
      </c>
      <c r="I133" s="268" t="n">
        <v>295</v>
      </c>
      <c r="J133" s="269">
        <f>IFERROR(I133/(H133+I133),"")</f>
        <v/>
      </c>
      <c r="K133" s="267" t="n"/>
      <c r="L133" s="267" t="n"/>
      <c r="M133" s="267" t="n"/>
      <c r="N133" s="267" t="n">
        <v>240</v>
      </c>
      <c r="O133" s="267" t="n"/>
      <c r="P133" s="267" t="n"/>
      <c r="Q133" s="267" t="n"/>
      <c r="R133" s="267" t="n"/>
      <c r="S133" s="267" t="n"/>
    </row>
    <row r="134" ht="15" customHeight="1" s="244">
      <c r="A134" s="270" t="n">
        <v>46161</v>
      </c>
      <c r="B134" s="267" t="inlineStr">
        <is>
          <t>Printing-04</t>
        </is>
      </c>
      <c r="C134" s="267" t="inlineStr">
        <is>
          <t>Golden Pearl Cosmetics (PVT) LTD</t>
        </is>
      </c>
      <c r="D134" s="267" t="inlineStr">
        <is>
          <t>HELLO HAIR COLOR</t>
        </is>
      </c>
      <c r="E134" s="267" t="n">
        <v>30</v>
      </c>
      <c r="F134" s="267" t="n">
        <v>6206</v>
      </c>
      <c r="G134" s="268" t="n">
        <v>19024</v>
      </c>
      <c r="H134" s="268" t="n">
        <v>18564</v>
      </c>
      <c r="I134" s="268" t="n">
        <v>460</v>
      </c>
      <c r="J134" s="269">
        <f>IFERROR(I134/(H134+I134),"")</f>
        <v/>
      </c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</row>
    <row r="135" ht="15" customHeight="1" s="244">
      <c r="A135" s="270" t="n">
        <v>46162</v>
      </c>
      <c r="B135" s="267" t="inlineStr">
        <is>
          <t>Lacquer-02</t>
        </is>
      </c>
      <c r="C135" s="267" t="inlineStr">
        <is>
          <t>Samsol International Private Limited</t>
        </is>
      </c>
      <c r="D135" s="267" t="inlineStr">
        <is>
          <t>S-45 DIA 19MM</t>
        </is>
      </c>
      <c r="E135" s="267" t="n">
        <v>19</v>
      </c>
      <c r="F135" s="267" t="n">
        <v>6624</v>
      </c>
      <c r="G135" s="268" t="n">
        <v>13000</v>
      </c>
      <c r="H135" s="268" t="n">
        <v>12805</v>
      </c>
      <c r="I135" s="268" t="n">
        <v>195</v>
      </c>
      <c r="J135" s="269">
        <f>IFERROR(I135/(H135+I135),"")</f>
        <v/>
      </c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</row>
    <row r="136" ht="15" customHeight="1" s="244">
      <c r="A136" s="270" t="n">
        <v>46162</v>
      </c>
      <c r="B136" s="267" t="inlineStr">
        <is>
          <t>Lacquer-03</t>
        </is>
      </c>
      <c r="C136" s="267" t="inlineStr">
        <is>
          <t>Golden Pearl Cosmetics (PVT) LTD</t>
        </is>
      </c>
      <c r="D136" s="267" t="inlineStr">
        <is>
          <t>HELLO HAIR COLOR</t>
        </is>
      </c>
      <c r="E136" s="267" t="n">
        <v>30</v>
      </c>
      <c r="F136" s="267" t="n">
        <v>6206</v>
      </c>
      <c r="G136" s="268" t="n">
        <v>22000</v>
      </c>
      <c r="H136" s="268" t="n">
        <v>21720</v>
      </c>
      <c r="I136" s="268" t="n">
        <v>280</v>
      </c>
      <c r="J136" s="269">
        <f>IFERROR(I136/(H136+I136),"")</f>
        <v/>
      </c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</row>
    <row r="137" ht="15" customHeight="1" s="244">
      <c r="A137" s="270" t="n">
        <v>46162</v>
      </c>
      <c r="B137" s="267" t="inlineStr">
        <is>
          <t>Latex-01</t>
        </is>
      </c>
      <c r="C137" s="267" t="inlineStr">
        <is>
          <t>Mablay Beauty PVT LTD.</t>
        </is>
      </c>
      <c r="D137" s="267" t="inlineStr">
        <is>
          <t>Vince Nutural</t>
        </is>
      </c>
      <c r="E137" s="267" t="n">
        <v>30</v>
      </c>
      <c r="F137" s="267" t="n"/>
      <c r="G137" s="268" t="n">
        <v>13000</v>
      </c>
      <c r="H137" s="268" t="n">
        <v>12990</v>
      </c>
      <c r="I137" s="268" t="n">
        <v>10</v>
      </c>
      <c r="J137" s="269">
        <f>IFERROR(I137/(H137+I137),"")</f>
        <v/>
      </c>
      <c r="K137" s="267" t="n">
        <v>200</v>
      </c>
      <c r="L137" s="267" t="n"/>
      <c r="M137" s="267" t="n"/>
      <c r="N137" s="267" t="n"/>
      <c r="O137" s="267" t="n"/>
      <c r="P137" s="267" t="n"/>
      <c r="Q137" s="267" t="n"/>
      <c r="R137" s="267" t="n"/>
      <c r="S137" s="267" t="n"/>
    </row>
    <row r="138" ht="15" customHeight="1" s="244">
      <c r="A138" s="270" t="n">
        <v>46162</v>
      </c>
      <c r="B138" s="267" t="inlineStr">
        <is>
          <t>PF Machine</t>
        </is>
      </c>
      <c r="C138" s="267" t="inlineStr">
        <is>
          <t>Alpha Labs PVT LTD</t>
        </is>
      </c>
      <c r="D138" s="267" t="inlineStr">
        <is>
          <t>TRANSPARENT BOTTLE 150ML</t>
        </is>
      </c>
      <c r="E138" s="267" t="inlineStr">
        <is>
          <t>150 ml</t>
        </is>
      </c>
      <c r="F138" s="267" t="n">
        <v>8001</v>
      </c>
      <c r="G138" s="268" t="n">
        <v>6465</v>
      </c>
      <c r="H138" s="268" t="n">
        <v>6095</v>
      </c>
      <c r="I138" s="268" t="n">
        <v>370</v>
      </c>
      <c r="J138" s="269">
        <f>IFERROR(I138/(H138+I138),"")</f>
        <v/>
      </c>
      <c r="K138" s="267" t="n"/>
      <c r="L138" s="267" t="n"/>
      <c r="M138" s="267" t="n"/>
      <c r="N138" s="267" t="n"/>
      <c r="O138" s="267" t="n"/>
      <c r="P138" s="267" t="n">
        <v>90</v>
      </c>
      <c r="Q138" s="267" t="n"/>
      <c r="R138" s="267" t="n"/>
      <c r="S138" s="267" t="n"/>
    </row>
    <row r="139" ht="15" customHeight="1" s="244">
      <c r="A139" s="270" t="n">
        <v>46162</v>
      </c>
      <c r="B139" s="267" t="inlineStr">
        <is>
          <t>Press-01</t>
        </is>
      </c>
      <c r="C139" s="267" t="inlineStr">
        <is>
          <t>Samsol International Private Limited</t>
        </is>
      </c>
      <c r="D139" s="267" t="inlineStr">
        <is>
          <t>S-45 DIA 19MM</t>
        </is>
      </c>
      <c r="E139" s="267" t="n">
        <v>19</v>
      </c>
      <c r="F139" s="267" t="n">
        <v>6624</v>
      </c>
      <c r="G139" s="268" t="n">
        <v>13800</v>
      </c>
      <c r="H139" s="268" t="n">
        <v>13660</v>
      </c>
      <c r="I139" s="268" t="n">
        <v>140</v>
      </c>
      <c r="J139" s="269">
        <f>IFERROR(I139/(H139+I139),"")</f>
        <v/>
      </c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</row>
    <row r="140" ht="15" customHeight="1" s="244">
      <c r="A140" s="270" t="n">
        <v>46162</v>
      </c>
      <c r="B140" s="267" t="inlineStr">
        <is>
          <t>Press-03</t>
        </is>
      </c>
      <c r="C140" s="267" t="inlineStr">
        <is>
          <t>Golden Pearl Cosmetics (PVT) LTD</t>
        </is>
      </c>
      <c r="D140" s="267" t="inlineStr">
        <is>
          <t>HELLO HAIR COLOR</t>
        </is>
      </c>
      <c r="E140" s="267" t="n">
        <v>30</v>
      </c>
      <c r="F140" s="267" t="n">
        <v>6206</v>
      </c>
      <c r="G140" s="268" t="n">
        <v>24000</v>
      </c>
      <c r="H140" s="268" t="n">
        <v>23835</v>
      </c>
      <c r="I140" s="268" t="n">
        <v>165</v>
      </c>
      <c r="J140" s="269">
        <f>IFERROR(I140/(H140+I140),"")</f>
        <v/>
      </c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</row>
    <row r="141" ht="15" customHeight="1" s="244">
      <c r="A141" s="270" t="n">
        <v>46162</v>
      </c>
      <c r="B141" s="267" t="inlineStr">
        <is>
          <t>Printing-03</t>
        </is>
      </c>
      <c r="C141" s="267" t="inlineStr">
        <is>
          <t>Samsol International Private Limited</t>
        </is>
      </c>
      <c r="D141" s="267" t="inlineStr">
        <is>
          <t>S-45 DIA 19MM</t>
        </is>
      </c>
      <c r="E141" s="267" t="n">
        <v>19</v>
      </c>
      <c r="F141" s="267" t="n">
        <v>6624</v>
      </c>
      <c r="G141" s="268" t="n">
        <v>10456</v>
      </c>
      <c r="H141" s="268" t="n">
        <v>9996</v>
      </c>
      <c r="I141" s="268" t="n">
        <v>460</v>
      </c>
      <c r="J141" s="269">
        <f>IFERROR(I141/(H141+I141),"")</f>
        <v/>
      </c>
      <c r="K141" s="267" t="n"/>
      <c r="L141" s="267" t="n"/>
      <c r="M141" s="267" t="n">
        <v>240</v>
      </c>
      <c r="N141" s="267" t="n"/>
      <c r="O141" s="267" t="n"/>
      <c r="P141" s="267" t="n"/>
      <c r="Q141" s="267" t="n"/>
      <c r="R141" s="267" t="n"/>
      <c r="S141" s="267" t="n"/>
    </row>
    <row r="142" ht="15" customHeight="1" s="244">
      <c r="A142" s="270" t="n">
        <v>46162</v>
      </c>
      <c r="B142" s="267" t="inlineStr">
        <is>
          <t>Printing-04</t>
        </is>
      </c>
      <c r="C142" s="267" t="inlineStr">
        <is>
          <t>Golden Pearl Cosmetics (PVT) LTD</t>
        </is>
      </c>
      <c r="D142" s="267" t="inlineStr">
        <is>
          <t>HELLO HAIR COLOR</t>
        </is>
      </c>
      <c r="E142" s="267" t="n">
        <v>30</v>
      </c>
      <c r="F142" s="267" t="n">
        <v>6206</v>
      </c>
      <c r="G142" s="268" t="n">
        <v>25640</v>
      </c>
      <c r="H142" s="268" t="n">
        <v>24990</v>
      </c>
      <c r="I142" s="268" t="n">
        <v>650</v>
      </c>
      <c r="J142" s="269">
        <f>IFERROR(I142/(H142+I142),"")</f>
        <v/>
      </c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</row>
    <row r="143" ht="15" customHeight="1" s="244">
      <c r="A143" s="270" t="n">
        <v>46163</v>
      </c>
      <c r="B143" s="267" t="inlineStr">
        <is>
          <t>Lacquer-02</t>
        </is>
      </c>
      <c r="C143" s="267" t="inlineStr">
        <is>
          <t>Samsol International Private Limited</t>
        </is>
      </c>
      <c r="D143" s="267" t="inlineStr">
        <is>
          <t>S 43 25MM</t>
        </is>
      </c>
      <c r="E143" s="267" t="n">
        <v>25</v>
      </c>
      <c r="F143" s="267" t="n">
        <v>3447</v>
      </c>
      <c r="G143" s="268" t="n">
        <v>7000</v>
      </c>
      <c r="H143" s="268" t="n">
        <v>6845</v>
      </c>
      <c r="I143" s="268" t="n">
        <v>155</v>
      </c>
      <c r="J143" s="269">
        <f>IFERROR(I143/(H143+I143),"")</f>
        <v/>
      </c>
      <c r="K143" s="267" t="n"/>
      <c r="L143" s="267" t="n"/>
      <c r="M143" s="267" t="n"/>
      <c r="N143" s="267" t="n"/>
      <c r="O143" s="267" t="n">
        <v>300</v>
      </c>
      <c r="P143" s="267" t="n"/>
      <c r="Q143" s="267" t="n"/>
      <c r="R143" s="267" t="n"/>
      <c r="S143" s="267" t="n"/>
    </row>
    <row r="144" ht="15" customHeight="1" s="244">
      <c r="A144" s="270" t="n">
        <v>46163</v>
      </c>
      <c r="B144" s="267" t="inlineStr">
        <is>
          <t>Lacquer-03</t>
        </is>
      </c>
      <c r="C144" s="267" t="inlineStr">
        <is>
          <t>Golden Pearl Cosmetics (PVT) LTD</t>
        </is>
      </c>
      <c r="D144" s="267" t="inlineStr">
        <is>
          <t>HELLO HAIR COLOR</t>
        </is>
      </c>
      <c r="E144" s="267" t="n">
        <v>30</v>
      </c>
      <c r="F144" s="267" t="n">
        <v>6206</v>
      </c>
      <c r="G144" s="268" t="n">
        <v>13000</v>
      </c>
      <c r="H144" s="268" t="n">
        <v>12760</v>
      </c>
      <c r="I144" s="268" t="n">
        <v>240</v>
      </c>
      <c r="J144" s="269">
        <f>IFERROR(I144/(H144+I144),"")</f>
        <v/>
      </c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</row>
    <row r="145" ht="15" customHeight="1" s="244">
      <c r="A145" s="270" t="n">
        <v>46163</v>
      </c>
      <c r="B145" s="267" t="inlineStr">
        <is>
          <t>Latex-01</t>
        </is>
      </c>
      <c r="C145" s="267" t="inlineStr">
        <is>
          <t>Mablay Beauty PVT LTD.</t>
        </is>
      </c>
      <c r="D145" s="267" t="inlineStr">
        <is>
          <t>VINCE NURTURAL</t>
        </is>
      </c>
      <c r="E145" s="267" t="n">
        <v>30</v>
      </c>
      <c r="F145" s="267" t="n">
        <v>5814</v>
      </c>
      <c r="G145" s="268" t="n">
        <v>6750</v>
      </c>
      <c r="H145" s="268" t="n">
        <v>6745</v>
      </c>
      <c r="I145" s="268" t="n">
        <v>5</v>
      </c>
      <c r="J145" s="269">
        <f>IFERROR(I145/(H145+I145),"")</f>
        <v/>
      </c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</row>
    <row r="146" ht="15" customHeight="1" s="244">
      <c r="A146" s="270" t="n">
        <v>46163</v>
      </c>
      <c r="B146" s="267" t="inlineStr">
        <is>
          <t>Latex-01</t>
        </is>
      </c>
      <c r="C146" s="267" t="inlineStr">
        <is>
          <t>Golden Pearl Cosmetics (PVT) LTD</t>
        </is>
      </c>
      <c r="D146" s="267" t="inlineStr">
        <is>
          <t>HELLO HAIR COLOR</t>
        </is>
      </c>
      <c r="E146" s="267" t="n">
        <v>30</v>
      </c>
      <c r="F146" s="267" t="n">
        <v>6206</v>
      </c>
      <c r="G146" s="268" t="n">
        <v>17374</v>
      </c>
      <c r="H146" s="268" t="n">
        <v>17359</v>
      </c>
      <c r="I146" s="268" t="n">
        <v>15</v>
      </c>
      <c r="J146" s="269">
        <f>IFERROR(I146/(H146+I146),"")</f>
        <v/>
      </c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</row>
    <row r="147" ht="15" customHeight="1" s="244">
      <c r="A147" s="270" t="n">
        <v>46163</v>
      </c>
      <c r="B147" s="267" t="inlineStr">
        <is>
          <t>PF Machine</t>
        </is>
      </c>
      <c r="C147" s="267" t="inlineStr">
        <is>
          <t>Alpha Labs PVT LTD</t>
        </is>
      </c>
      <c r="D147" s="267" t="inlineStr">
        <is>
          <t>TRANSPARENT BOTTLE 150ML</t>
        </is>
      </c>
      <c r="E147" s="267" t="inlineStr">
        <is>
          <t>150 ml</t>
        </is>
      </c>
      <c r="F147" s="267" t="n">
        <v>8001</v>
      </c>
      <c r="G147" s="268" t="n">
        <v>7565</v>
      </c>
      <c r="H147" s="268" t="n">
        <v>7015</v>
      </c>
      <c r="I147" s="268" t="n">
        <v>550</v>
      </c>
      <c r="J147" s="269">
        <f>IFERROR(I147/(H147+I147),"")</f>
        <v/>
      </c>
      <c r="K147" s="267" t="n"/>
      <c r="L147" s="267" t="n"/>
      <c r="M147" s="267" t="n"/>
      <c r="N147" s="267" t="n"/>
      <c r="O147" s="267" t="n"/>
      <c r="P147" s="267" t="n">
        <v>240</v>
      </c>
      <c r="Q147" s="267" t="n"/>
      <c r="R147" s="267" t="n"/>
      <c r="S147" s="267" t="n"/>
    </row>
    <row r="148" ht="15" customHeight="1" s="244">
      <c r="A148" s="270" t="n">
        <v>46163</v>
      </c>
      <c r="B148" s="267" t="inlineStr">
        <is>
          <t>Press-03</t>
        </is>
      </c>
      <c r="C148" s="267" t="inlineStr">
        <is>
          <t>Golden Pearl Cosmetics (PVT) LTD</t>
        </is>
      </c>
      <c r="D148" s="267" t="inlineStr">
        <is>
          <t>HELLO HAIR COLOR</t>
        </is>
      </c>
      <c r="E148" s="267" t="n">
        <v>30</v>
      </c>
      <c r="F148" s="267" t="n">
        <v>6206</v>
      </c>
      <c r="G148" s="268" t="n">
        <v>22000</v>
      </c>
      <c r="H148" s="268" t="n">
        <v>21865</v>
      </c>
      <c r="I148" s="268" t="n">
        <v>135</v>
      </c>
      <c r="J148" s="269">
        <f>IFERROR(I148/(H148+I148),"")</f>
        <v/>
      </c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</row>
    <row r="149" ht="15" customHeight="1" s="244">
      <c r="A149" s="270" t="n">
        <v>46163</v>
      </c>
      <c r="B149" s="267" t="inlineStr">
        <is>
          <t>Press-06</t>
        </is>
      </c>
      <c r="C149" s="267" t="inlineStr">
        <is>
          <t>Samsol International Private Limited</t>
        </is>
      </c>
      <c r="D149" s="267" t="inlineStr">
        <is>
          <t>S 43 25MM</t>
        </is>
      </c>
      <c r="E149" s="267" t="n">
        <v>25</v>
      </c>
      <c r="F149" s="267" t="n">
        <v>3447</v>
      </c>
      <c r="G149" s="268" t="n">
        <v>8000</v>
      </c>
      <c r="H149" s="268" t="n">
        <v>7905</v>
      </c>
      <c r="I149" s="268" t="n">
        <v>95</v>
      </c>
      <c r="J149" s="269">
        <f>IFERROR(I149/(H149+I149),"")</f>
        <v/>
      </c>
      <c r="K149" s="267" t="n"/>
      <c r="L149" s="267" t="n"/>
      <c r="M149" s="267" t="n"/>
      <c r="N149" s="267" t="n"/>
      <c r="O149" s="267" t="n">
        <v>300</v>
      </c>
      <c r="P149" s="267" t="n"/>
      <c r="Q149" s="267" t="n"/>
      <c r="R149" s="267" t="n"/>
      <c r="S149" s="267" t="n"/>
    </row>
    <row r="150" ht="15" customHeight="1" s="244">
      <c r="A150" s="270" t="n">
        <v>46163</v>
      </c>
      <c r="B150" s="267" t="inlineStr">
        <is>
          <t>Printing-03</t>
        </is>
      </c>
      <c r="C150" s="267" t="inlineStr">
        <is>
          <t>Samsol International Private Limited</t>
        </is>
      </c>
      <c r="D150" s="267" t="inlineStr">
        <is>
          <t>S-45 DIA 19MM</t>
        </is>
      </c>
      <c r="E150" s="267" t="n">
        <v>19</v>
      </c>
      <c r="F150" s="267" t="n">
        <v>6624</v>
      </c>
      <c r="G150" s="268" t="n">
        <v>1854</v>
      </c>
      <c r="H150" s="268" t="n">
        <v>1764</v>
      </c>
      <c r="I150" s="268" t="n">
        <v>90</v>
      </c>
      <c r="J150" s="269">
        <f>IFERROR(I150/(H150+I150),"")</f>
        <v/>
      </c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</row>
    <row r="151" ht="15" customHeight="1" s="244">
      <c r="A151" s="270" t="n">
        <v>46163</v>
      </c>
      <c r="B151" s="267" t="inlineStr">
        <is>
          <t>Printing-03</t>
        </is>
      </c>
      <c r="C151" s="267" t="inlineStr">
        <is>
          <t>Samsol International Private Limited</t>
        </is>
      </c>
      <c r="D151" s="267" t="inlineStr">
        <is>
          <t>S 43 25MM</t>
        </is>
      </c>
      <c r="E151" s="267" t="n">
        <v>25</v>
      </c>
      <c r="F151" s="267" t="n">
        <v>3447</v>
      </c>
      <c r="G151" s="268" t="n">
        <v>5656</v>
      </c>
      <c r="H151" s="268" t="n">
        <v>5376</v>
      </c>
      <c r="I151" s="268" t="n">
        <v>280</v>
      </c>
      <c r="J151" s="269">
        <f>IFERROR(I151/(H151+I151),"")</f>
        <v/>
      </c>
      <c r="K151" s="267" t="n"/>
      <c r="L151" s="267" t="n"/>
      <c r="M151" s="267" t="n"/>
      <c r="N151" s="267" t="n">
        <v>280</v>
      </c>
      <c r="O151" s="267" t="n"/>
      <c r="P151" s="267" t="n"/>
      <c r="Q151" s="267" t="n"/>
      <c r="R151" s="267" t="n"/>
      <c r="S151" s="267" t="n"/>
    </row>
    <row r="152" ht="15" customHeight="1" s="244">
      <c r="A152" s="270" t="n">
        <v>46163</v>
      </c>
      <c r="B152" s="267" t="inlineStr">
        <is>
          <t>Printing-04</t>
        </is>
      </c>
      <c r="C152" s="267" t="inlineStr">
        <is>
          <t>Golden Pearl Cosmetics (PVT) LTD</t>
        </is>
      </c>
      <c r="D152" s="267" t="inlineStr">
        <is>
          <t>HELLO HAIR COLOR</t>
        </is>
      </c>
      <c r="E152" s="267" t="n">
        <v>30</v>
      </c>
      <c r="F152" s="267" t="n">
        <v>6206</v>
      </c>
      <c r="G152" s="268" t="n">
        <v>8066</v>
      </c>
      <c r="H152" s="268" t="n">
        <v>7716</v>
      </c>
      <c r="I152" s="268" t="n">
        <v>350</v>
      </c>
      <c r="J152" s="269">
        <f>IFERROR(I152/(H152+I152),"")</f>
        <v/>
      </c>
      <c r="K152" s="267" t="n"/>
      <c r="L152" s="267" t="n"/>
      <c r="M152" s="267" t="n">
        <v>300</v>
      </c>
      <c r="N152" s="267" t="n"/>
      <c r="O152" s="267" t="n"/>
      <c r="P152" s="267" t="n"/>
      <c r="Q152" s="267" t="n"/>
      <c r="R152" s="267" t="n"/>
      <c r="S152" s="267" t="n"/>
    </row>
    <row r="153" ht="15" customHeight="1" s="244">
      <c r="A153" s="270" t="n">
        <v>46164</v>
      </c>
      <c r="B153" s="267" t="inlineStr">
        <is>
          <t>Lacquer-02</t>
        </is>
      </c>
      <c r="C153" s="267" t="inlineStr">
        <is>
          <t>Samsol International Private Limited</t>
        </is>
      </c>
      <c r="D153" s="267" t="inlineStr">
        <is>
          <t>S 43 25MM</t>
        </is>
      </c>
      <c r="E153" s="267" t="n">
        <v>25</v>
      </c>
      <c r="F153" s="267" t="n">
        <v>3447</v>
      </c>
      <c r="G153" s="268" t="n">
        <v>16000</v>
      </c>
      <c r="H153" s="268" t="n">
        <v>15760</v>
      </c>
      <c r="I153" s="268" t="n">
        <v>240</v>
      </c>
      <c r="J153" s="269">
        <f>IFERROR(I153/(H153+I153),"")</f>
        <v/>
      </c>
      <c r="K153" s="267" t="n"/>
      <c r="L153" s="267" t="n"/>
      <c r="M153" s="267" t="n">
        <v>120</v>
      </c>
      <c r="N153" s="267" t="n"/>
      <c r="O153" s="267" t="n"/>
      <c r="P153" s="267" t="n"/>
      <c r="Q153" s="267" t="n"/>
      <c r="R153" s="267" t="n"/>
      <c r="S153" s="267" t="n"/>
    </row>
    <row r="154" ht="15" customHeight="1" s="244">
      <c r="A154" s="270" t="n">
        <v>46164</v>
      </c>
      <c r="B154" s="267" t="inlineStr">
        <is>
          <t>Lacquer-03</t>
        </is>
      </c>
      <c r="C154" s="267" t="inlineStr">
        <is>
          <t>Golden Pearl Cosmetics (PVT) LTD</t>
        </is>
      </c>
      <c r="D154" s="267" t="inlineStr">
        <is>
          <t>HELLO HAIR COLOR</t>
        </is>
      </c>
      <c r="E154" s="267" t="n">
        <v>30</v>
      </c>
      <c r="F154" s="267" t="n">
        <v>6206</v>
      </c>
      <c r="G154" s="268" t="n">
        <v>21000</v>
      </c>
      <c r="H154" s="268" t="n">
        <v>20650</v>
      </c>
      <c r="I154" s="268" t="n">
        <v>350</v>
      </c>
      <c r="J154" s="269">
        <f>IFERROR(I154/(H154+I154),"")</f>
        <v/>
      </c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</row>
    <row r="155" ht="15" customHeight="1" s="244">
      <c r="A155" s="270" t="n">
        <v>46164</v>
      </c>
      <c r="B155" s="267" t="inlineStr">
        <is>
          <t>Latex-01</t>
        </is>
      </c>
      <c r="C155" s="267" t="inlineStr">
        <is>
          <t>Golden Pearl Cosmetics (PVT) LTD</t>
        </is>
      </c>
      <c r="D155" s="267" t="inlineStr">
        <is>
          <t>HELLO HAIR COLOR</t>
        </is>
      </c>
      <c r="E155" s="267" t="n">
        <v>30</v>
      </c>
      <c r="F155" s="267" t="n">
        <v>6206</v>
      </c>
      <c r="G155" s="268" t="n">
        <v>25000</v>
      </c>
      <c r="H155" s="268" t="n">
        <v>24990</v>
      </c>
      <c r="I155" s="268" t="n">
        <v>10</v>
      </c>
      <c r="J155" s="269">
        <f>IFERROR(I155/(H155+I155),"")</f>
        <v/>
      </c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</row>
    <row r="156" ht="15" customHeight="1" s="244">
      <c r="A156" s="270" t="n">
        <v>46164</v>
      </c>
      <c r="B156" s="267" t="inlineStr">
        <is>
          <t>PF Machine</t>
        </is>
      </c>
      <c r="C156" s="267" t="inlineStr">
        <is>
          <t>Alpha Labs PVT LTD</t>
        </is>
      </c>
      <c r="D156" s="267" t="inlineStr">
        <is>
          <t>TRANSPARENT BOTTLE 150ML</t>
        </is>
      </c>
      <c r="E156" s="267" t="inlineStr">
        <is>
          <t>150 ml</t>
        </is>
      </c>
      <c r="F156" s="267" t="n">
        <v>8001</v>
      </c>
      <c r="G156" s="268" t="n">
        <v>0</v>
      </c>
      <c r="H156" s="268" t="n">
        <v>0</v>
      </c>
      <c r="I156" s="268" t="n">
        <v>0</v>
      </c>
      <c r="J156" s="269">
        <f>IFERROR(I156/(H156+I156),"")</f>
        <v/>
      </c>
      <c r="K156" s="267" t="n">
        <v>480</v>
      </c>
      <c r="L156" s="267" t="n"/>
      <c r="M156" s="267" t="n"/>
      <c r="N156" s="267" t="n"/>
      <c r="O156" s="267" t="n"/>
      <c r="P156" s="267" t="n"/>
      <c r="Q156" s="267" t="n"/>
      <c r="R156" s="267" t="n"/>
      <c r="S156" s="267" t="n"/>
    </row>
    <row r="157" ht="15" customHeight="1" s="244">
      <c r="A157" s="270" t="n">
        <v>46164</v>
      </c>
      <c r="B157" s="267" t="inlineStr">
        <is>
          <t>Press-03</t>
        </is>
      </c>
      <c r="C157" s="267" t="inlineStr">
        <is>
          <t>Golden Pearl Cosmetics (PVT) LTD</t>
        </is>
      </c>
      <c r="D157" s="267" t="inlineStr">
        <is>
          <t>HELLO HAIR COLOR</t>
        </is>
      </c>
      <c r="E157" s="267" t="n">
        <v>30</v>
      </c>
      <c r="F157" s="267" t="n">
        <v>6206</v>
      </c>
      <c r="G157" s="268" t="n">
        <v>24000</v>
      </c>
      <c r="H157" s="268" t="n">
        <v>23830</v>
      </c>
      <c r="I157" s="268" t="n">
        <v>170</v>
      </c>
      <c r="J157" s="269">
        <f>IFERROR(I157/(H157+I157),"")</f>
        <v/>
      </c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</row>
    <row r="158" ht="15" customHeight="1" s="244">
      <c r="A158" s="270" t="n">
        <v>46164</v>
      </c>
      <c r="B158" s="267" t="inlineStr">
        <is>
          <t>Press-06</t>
        </is>
      </c>
      <c r="C158" s="267" t="inlineStr">
        <is>
          <t>Samsol International Private Limited</t>
        </is>
      </c>
      <c r="D158" s="267" t="inlineStr">
        <is>
          <t>S 43 25MM</t>
        </is>
      </c>
      <c r="E158" s="267" t="n">
        <v>25</v>
      </c>
      <c r="F158" s="267" t="n">
        <v>3447</v>
      </c>
      <c r="G158" s="268" t="n">
        <v>20000</v>
      </c>
      <c r="H158" s="268" t="n">
        <v>19850</v>
      </c>
      <c r="I158" s="268" t="n">
        <v>150</v>
      </c>
      <c r="J158" s="269">
        <f>IFERROR(I158/(H158+I158),"")</f>
        <v/>
      </c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</row>
    <row r="159" ht="15" customHeight="1" s="244">
      <c r="A159" s="270" t="n">
        <v>46164</v>
      </c>
      <c r="B159" s="267" t="inlineStr">
        <is>
          <t>Printing-03</t>
        </is>
      </c>
      <c r="C159" s="267" t="inlineStr">
        <is>
          <t>Samsol International Private Limited</t>
        </is>
      </c>
      <c r="D159" s="267" t="inlineStr">
        <is>
          <t>S 43 25MM</t>
        </is>
      </c>
      <c r="E159" s="267" t="n">
        <v>25</v>
      </c>
      <c r="F159" s="267" t="n">
        <v>3447</v>
      </c>
      <c r="G159" s="268" t="n">
        <v>14261</v>
      </c>
      <c r="H159" s="268" t="n">
        <v>13776</v>
      </c>
      <c r="I159" s="268" t="n">
        <v>485</v>
      </c>
      <c r="J159" s="269">
        <f>IFERROR(I159/(H159+I159),"")</f>
        <v/>
      </c>
      <c r="K159" s="267" t="n"/>
      <c r="L159" s="267" t="n"/>
      <c r="M159" s="267" t="n">
        <v>150</v>
      </c>
      <c r="N159" s="267" t="n"/>
      <c r="O159" s="267" t="n"/>
      <c r="P159" s="267" t="n"/>
      <c r="Q159" s="267" t="n"/>
      <c r="R159" s="267" t="n"/>
      <c r="S159" s="267" t="n"/>
    </row>
    <row r="160" ht="15" customHeight="1" s="244">
      <c r="A160" s="270" t="n">
        <v>46164</v>
      </c>
      <c r="B160" s="267" t="inlineStr">
        <is>
          <t>Printing-04</t>
        </is>
      </c>
      <c r="C160" s="267" t="inlineStr">
        <is>
          <t>Golden Pearl Cosmetics (PVT) LTD</t>
        </is>
      </c>
      <c r="D160" s="267" t="inlineStr">
        <is>
          <t>HELLO HAIR COLOR</t>
        </is>
      </c>
      <c r="E160" s="267" t="n">
        <v>30</v>
      </c>
      <c r="F160" s="267" t="n">
        <v>6206</v>
      </c>
      <c r="G160" s="268" t="n">
        <v>25645</v>
      </c>
      <c r="H160" s="268" t="n">
        <v>24990</v>
      </c>
      <c r="I160" s="268" t="n">
        <v>655</v>
      </c>
      <c r="J160" s="269">
        <f>IFERROR(I160/(H160+I160),"")</f>
        <v/>
      </c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</row>
    <row r="161" ht="15" customHeight="1" s="244">
      <c r="A161" s="270" t="n">
        <v>46165</v>
      </c>
      <c r="B161" s="267" t="inlineStr">
        <is>
          <t>Lacquer-02</t>
        </is>
      </c>
      <c r="C161" s="267" t="inlineStr">
        <is>
          <t>Samsol International Private Limited</t>
        </is>
      </c>
      <c r="D161" s="267" t="inlineStr">
        <is>
          <t>S 43 25MM</t>
        </is>
      </c>
      <c r="E161" s="267" t="n">
        <v>25</v>
      </c>
      <c r="F161" s="267" t="n">
        <v>3447</v>
      </c>
      <c r="G161" s="268" t="n">
        <v>4000</v>
      </c>
      <c r="H161" s="268" t="n">
        <v>3875</v>
      </c>
      <c r="I161" s="268" t="n">
        <v>125</v>
      </c>
      <c r="J161" s="269">
        <f>IFERROR(I161/(H161+I161),"")</f>
        <v/>
      </c>
      <c r="K161" s="267" t="n">
        <v>240</v>
      </c>
      <c r="L161" s="267" t="n"/>
      <c r="M161" s="267" t="n"/>
      <c r="N161" s="267" t="n"/>
      <c r="O161" s="267" t="n"/>
      <c r="P161" s="267" t="n">
        <v>120</v>
      </c>
      <c r="Q161" s="267" t="n"/>
      <c r="R161" s="267" t="n"/>
      <c r="S161" s="267" t="n"/>
    </row>
    <row r="162" ht="15" customHeight="1" s="244">
      <c r="A162" s="270" t="n">
        <v>46165</v>
      </c>
      <c r="B162" s="267" t="inlineStr">
        <is>
          <t>Lacquer-03</t>
        </is>
      </c>
      <c r="C162" s="267" t="inlineStr">
        <is>
          <t>Golden Pearl Cosmetics (PVT) LTD</t>
        </is>
      </c>
      <c r="D162" s="267" t="inlineStr">
        <is>
          <t>HELLO HAIR COLOR</t>
        </is>
      </c>
      <c r="E162" s="267" t="n">
        <v>30</v>
      </c>
      <c r="F162" s="267" t="n">
        <v>6206</v>
      </c>
      <c r="G162" s="268" t="n">
        <v>18000</v>
      </c>
      <c r="H162" s="268" t="n">
        <v>17745</v>
      </c>
      <c r="I162" s="268" t="n">
        <v>255</v>
      </c>
      <c r="J162" s="269">
        <f>IFERROR(I162/(H162+I162),"")</f>
        <v/>
      </c>
      <c r="K162" s="267" t="n"/>
      <c r="L162" s="267" t="n"/>
      <c r="M162" s="267" t="n"/>
      <c r="N162" s="267" t="n"/>
      <c r="O162" s="267" t="n"/>
      <c r="P162" s="267" t="n">
        <v>120</v>
      </c>
      <c r="Q162" s="267" t="n"/>
      <c r="R162" s="267" t="n"/>
      <c r="S162" s="267" t="n"/>
    </row>
    <row r="163" ht="15" customHeight="1" s="244">
      <c r="A163" s="270" t="n">
        <v>46165</v>
      </c>
      <c r="B163" s="267" t="inlineStr">
        <is>
          <t>Latex-01</t>
        </is>
      </c>
      <c r="C163" s="267" t="inlineStr">
        <is>
          <t>Golden Pearl Cosmetics (PVT) LTD</t>
        </is>
      </c>
      <c r="D163" s="267" t="inlineStr">
        <is>
          <t>HELLO HAIR COLOR</t>
        </is>
      </c>
      <c r="E163" s="267" t="n">
        <v>30</v>
      </c>
      <c r="F163" s="267" t="n">
        <v>6206</v>
      </c>
      <c r="G163" s="268" t="n">
        <v>15946</v>
      </c>
      <c r="H163" s="268" t="n">
        <v>15936</v>
      </c>
      <c r="I163" s="268" t="n">
        <v>10</v>
      </c>
      <c r="J163" s="269">
        <f>IFERROR(I163/(H163+I163),"")</f>
        <v/>
      </c>
      <c r="K163" s="267" t="n"/>
      <c r="L163" s="267" t="n"/>
      <c r="M163" s="267" t="n"/>
      <c r="N163" s="267" t="n"/>
      <c r="O163" s="267" t="n"/>
      <c r="P163" s="267" t="n">
        <v>120</v>
      </c>
      <c r="Q163" s="267" t="n"/>
      <c r="R163" s="267" t="n"/>
      <c r="S163" s="267" t="n"/>
    </row>
    <row r="164" ht="15" customHeight="1" s="244">
      <c r="A164" s="270" t="n">
        <v>46165</v>
      </c>
      <c r="B164" s="267" t="inlineStr">
        <is>
          <t>PF Machine</t>
        </is>
      </c>
      <c r="C164" s="267" t="inlineStr">
        <is>
          <t>Alpha Labs PVT LTD</t>
        </is>
      </c>
      <c r="D164" s="267" t="inlineStr">
        <is>
          <t>TRANSPARENT BOTTLE 150ML</t>
        </is>
      </c>
      <c r="E164" s="267" t="inlineStr">
        <is>
          <t>150 ml</t>
        </is>
      </c>
      <c r="F164" s="267" t="n">
        <v>8001</v>
      </c>
      <c r="G164" s="268" t="n">
        <v>0</v>
      </c>
      <c r="H164" s="268" t="n">
        <v>0</v>
      </c>
      <c r="I164" s="268" t="n">
        <v>0</v>
      </c>
      <c r="J164" s="269">
        <f>IFERROR(I164/(H164+I164),"")</f>
        <v/>
      </c>
      <c r="K164" s="267" t="n"/>
      <c r="L164" s="267" t="n"/>
      <c r="M164" s="267" t="n"/>
      <c r="N164" s="267" t="n"/>
      <c r="O164" s="267" t="n">
        <v>480</v>
      </c>
      <c r="P164" s="267" t="n"/>
      <c r="Q164" s="267" t="n"/>
      <c r="R164" s="267" t="n"/>
      <c r="S164" s="267" t="n"/>
    </row>
    <row r="165" ht="15" customHeight="1" s="244">
      <c r="A165" s="270" t="n">
        <v>46165</v>
      </c>
      <c r="B165" s="267" t="inlineStr">
        <is>
          <t>Press-03</t>
        </is>
      </c>
      <c r="C165" s="267" t="inlineStr">
        <is>
          <t>Golden Pearl Cosmetics (PVT) LTD</t>
        </is>
      </c>
      <c r="D165" s="267" t="inlineStr">
        <is>
          <t>HELLO HAIR COLOR</t>
        </is>
      </c>
      <c r="E165" s="267" t="n">
        <v>30</v>
      </c>
      <c r="F165" s="267" t="n">
        <v>6206</v>
      </c>
      <c r="G165" s="268" t="n">
        <v>10400</v>
      </c>
      <c r="H165" s="268" t="n">
        <v>10290</v>
      </c>
      <c r="I165" s="268" t="n">
        <v>110</v>
      </c>
      <c r="J165" s="269">
        <f>IFERROR(I165/(H165+I165),"")</f>
        <v/>
      </c>
      <c r="K165" s="267" t="n"/>
      <c r="L165" s="267" t="n"/>
      <c r="M165" s="267" t="n">
        <v>120</v>
      </c>
      <c r="N165" s="267" t="n"/>
      <c r="O165" s="267" t="n"/>
      <c r="P165" s="267" t="n">
        <v>120</v>
      </c>
      <c r="Q165" s="267" t="n"/>
      <c r="R165" s="267" t="n"/>
      <c r="S165" s="267" t="n"/>
    </row>
    <row r="166" ht="15" customHeight="1" s="244">
      <c r="A166" s="270" t="n">
        <v>46165</v>
      </c>
      <c r="B166" s="267" t="inlineStr">
        <is>
          <t>Press-06</t>
        </is>
      </c>
      <c r="C166" s="267" t="inlineStr">
        <is>
          <t>Samsol International Private Limited</t>
        </is>
      </c>
      <c r="D166" s="267" t="inlineStr">
        <is>
          <t>S 43 25MM</t>
        </is>
      </c>
      <c r="E166" s="267" t="n">
        <v>25</v>
      </c>
      <c r="F166" s="267" t="n">
        <v>3447</v>
      </c>
      <c r="G166" s="268" t="n">
        <v>3900</v>
      </c>
      <c r="H166" s="268" t="n">
        <v>3845</v>
      </c>
      <c r="I166" s="268" t="n">
        <v>55</v>
      </c>
      <c r="J166" s="269">
        <f>IFERROR(I166/(H166+I166),"")</f>
        <v/>
      </c>
      <c r="K166" s="267" t="n">
        <v>240</v>
      </c>
      <c r="L166" s="267" t="n"/>
      <c r="M166" s="267" t="n"/>
      <c r="N166" s="267" t="n"/>
      <c r="O166" s="267" t="n"/>
      <c r="P166" s="267" t="n">
        <v>120</v>
      </c>
      <c r="Q166" s="267" t="n"/>
      <c r="R166" s="267" t="n"/>
      <c r="S166" s="267" t="n"/>
    </row>
    <row r="167" ht="15" customHeight="1" s="244">
      <c r="A167" s="270" t="n">
        <v>46165</v>
      </c>
      <c r="B167" s="267" t="inlineStr">
        <is>
          <t>Printing-03</t>
        </is>
      </c>
      <c r="C167" s="267" t="inlineStr">
        <is>
          <t>Samsol International Private Limited</t>
        </is>
      </c>
      <c r="D167" s="267" t="inlineStr">
        <is>
          <t>S 43 25MM</t>
        </is>
      </c>
      <c r="E167" s="267" t="n">
        <v>25</v>
      </c>
      <c r="F167" s="267" t="n">
        <v>3447</v>
      </c>
      <c r="G167" s="268" t="n">
        <v>6694</v>
      </c>
      <c r="H167" s="268" t="n">
        <v>6384</v>
      </c>
      <c r="I167" s="268" t="n">
        <v>310</v>
      </c>
      <c r="J167" s="269">
        <f>IFERROR(I167/(H167+I167),"")</f>
        <v/>
      </c>
      <c r="K167" s="267" t="n"/>
      <c r="L167" s="267" t="n"/>
      <c r="M167" s="267" t="n">
        <v>210</v>
      </c>
      <c r="N167" s="267" t="n"/>
      <c r="O167" s="267" t="n"/>
      <c r="P167" s="267" t="n">
        <v>120</v>
      </c>
      <c r="Q167" s="267" t="n"/>
      <c r="R167" s="267" t="n"/>
      <c r="S167" s="267" t="n"/>
    </row>
    <row r="168" ht="15" customHeight="1" s="244">
      <c r="A168" s="270" t="n">
        <v>46165</v>
      </c>
      <c r="B168" s="267" t="inlineStr">
        <is>
          <t>Printing-04</t>
        </is>
      </c>
      <c r="C168" s="267" t="inlineStr">
        <is>
          <t>Golden Pearl Cosmetics (PVT) LTD</t>
        </is>
      </c>
      <c r="D168" s="267" t="inlineStr">
        <is>
          <t>HELLO HAIR COLOR</t>
        </is>
      </c>
      <c r="E168" s="267" t="n">
        <v>30</v>
      </c>
      <c r="F168" s="267" t="n">
        <v>6206</v>
      </c>
      <c r="G168" s="268" t="n">
        <v>16163</v>
      </c>
      <c r="H168" s="268" t="n">
        <v>15708</v>
      </c>
      <c r="I168" s="268" t="n">
        <v>455</v>
      </c>
      <c r="J168" s="269">
        <f>IFERROR(I168/(H168+I168),"")</f>
        <v/>
      </c>
      <c r="K168" s="267" t="n"/>
      <c r="L168" s="267" t="n"/>
      <c r="M168" s="267" t="n"/>
      <c r="N168" s="267" t="n"/>
      <c r="O168" s="267" t="n"/>
      <c r="P168" s="267" t="n">
        <v>120</v>
      </c>
      <c r="Q168" s="267" t="n"/>
      <c r="R168" s="267" t="n"/>
      <c r="S168" s="267" t="n"/>
    </row>
    <row r="169" ht="15" customHeight="1" s="244">
      <c r="A169" s="104" t="n"/>
      <c r="G169" s="105" t="n"/>
      <c r="H169" s="105" t="n"/>
      <c r="I169" s="105" t="n"/>
      <c r="J169" s="106" t="n"/>
    </row>
    <row r="170" ht="15" customHeight="1" s="244">
      <c r="A170" s="104" t="n"/>
      <c r="G170" s="105" t="n"/>
      <c r="H170" s="105" t="n"/>
      <c r="I170" s="105" t="n"/>
      <c r="J170" s="106" t="n"/>
    </row>
    <row r="171" ht="15" customHeight="1" s="244">
      <c r="A171" s="104" t="n"/>
      <c r="G171" s="105" t="n"/>
      <c r="H171" s="105" t="n"/>
      <c r="I171" s="105" t="n"/>
      <c r="J171" s="106" t="n"/>
    </row>
    <row r="172" ht="15" customHeight="1" s="244">
      <c r="A172" s="104" t="n"/>
      <c r="G172" s="105" t="n"/>
      <c r="H172" s="105" t="n"/>
      <c r="I172" s="105" t="n"/>
      <c r="J172" s="106" t="n"/>
    </row>
    <row r="173" ht="15" customHeight="1" s="244">
      <c r="A173" s="104" t="n"/>
      <c r="G173" s="105" t="n"/>
      <c r="H173" s="105" t="n"/>
      <c r="I173" s="105" t="n"/>
      <c r="J173" s="106" t="n"/>
    </row>
    <row r="174" ht="15" customHeight="1" s="244">
      <c r="A174" s="104" t="n"/>
      <c r="G174" s="105" t="n"/>
      <c r="H174" s="105" t="n"/>
      <c r="I174" s="105" t="n"/>
      <c r="J174" s="106" t="n"/>
    </row>
    <row r="175" ht="15" customHeight="1" s="244">
      <c r="A175" s="104" t="n"/>
      <c r="G175" s="105" t="n"/>
      <c r="H175" s="105" t="n"/>
      <c r="I175" s="105" t="n"/>
      <c r="J175" s="106" t="n"/>
    </row>
    <row r="176" ht="15" customHeight="1" s="244">
      <c r="A176" s="104" t="n"/>
      <c r="G176" s="105" t="n"/>
      <c r="H176" s="105" t="n"/>
      <c r="I176" s="105" t="n"/>
      <c r="J176" s="106" t="n"/>
    </row>
    <row r="177" ht="15" customHeight="1" s="244">
      <c r="A177" s="104" t="n"/>
      <c r="G177" s="105" t="n"/>
      <c r="H177" s="105" t="n"/>
      <c r="I177" s="105" t="n"/>
      <c r="J177" s="106" t="n"/>
    </row>
    <row r="178" ht="15" customHeight="1" s="244">
      <c r="A178" s="104" t="n"/>
      <c r="G178" s="105" t="n"/>
      <c r="H178" s="105" t="n"/>
      <c r="I178" s="105" t="n"/>
      <c r="J178" s="106" t="n"/>
    </row>
    <row r="179" ht="15" customHeight="1" s="244">
      <c r="A179" s="104" t="n"/>
      <c r="G179" s="105" t="n"/>
      <c r="H179" s="105" t="n"/>
      <c r="I179" s="105" t="n"/>
      <c r="J179" s="106" t="n"/>
    </row>
    <row r="180" ht="15" customHeight="1" s="244">
      <c r="A180" s="104" t="n"/>
      <c r="G180" s="105" t="n"/>
      <c r="H180" s="105" t="n"/>
      <c r="I180" s="105" t="n"/>
      <c r="J180" s="106" t="n"/>
    </row>
    <row r="181" ht="15" customHeight="1" s="244">
      <c r="A181" s="104" t="n"/>
      <c r="G181" s="105" t="n"/>
      <c r="H181" s="105" t="n"/>
      <c r="I181" s="105" t="n"/>
      <c r="J181" s="106" t="n"/>
    </row>
    <row r="182" ht="15" customHeight="1" s="244">
      <c r="A182" s="104" t="n"/>
      <c r="G182" s="105" t="n"/>
      <c r="H182" s="105" t="n"/>
      <c r="I182" s="105" t="n"/>
      <c r="J182" s="106" t="n"/>
    </row>
    <row r="183" ht="15" customHeight="1" s="244">
      <c r="A183" s="104" t="n"/>
      <c r="G183" s="105" t="n"/>
      <c r="H183" s="105" t="n"/>
      <c r="I183" s="105" t="n"/>
      <c r="J183" s="106" t="n"/>
    </row>
    <row r="184" ht="15" customHeight="1" s="244">
      <c r="A184" s="104" t="n"/>
      <c r="G184" s="105" t="n"/>
      <c r="H184" s="105" t="n"/>
      <c r="I184" s="105" t="n"/>
      <c r="J184" s="106" t="n"/>
    </row>
    <row r="185" ht="15" customHeight="1" s="244">
      <c r="A185" s="104" t="n"/>
      <c r="G185" s="105" t="n"/>
      <c r="H185" s="105" t="n"/>
      <c r="I185" s="105" t="n"/>
      <c r="J185" s="106" t="n"/>
    </row>
    <row r="186" ht="15" customHeight="1" s="244">
      <c r="A186" s="104" t="n"/>
      <c r="G186" s="105" t="n"/>
      <c r="H186" s="105" t="n"/>
      <c r="I186" s="105" t="n"/>
      <c r="J186" s="106" t="n"/>
    </row>
    <row r="187" ht="15" customHeight="1" s="244">
      <c r="A187" s="104" t="n"/>
      <c r="G187" s="105" t="n"/>
      <c r="H187" s="105" t="n"/>
      <c r="I187" s="105" t="n"/>
      <c r="J187" s="106" t="n"/>
    </row>
    <row r="188" ht="15" customHeight="1" s="244">
      <c r="A188" s="104" t="n"/>
      <c r="G188" s="105" t="n"/>
      <c r="H188" s="105" t="n"/>
      <c r="I188" s="105" t="n"/>
      <c r="J188" s="106" t="n"/>
    </row>
    <row r="189" ht="15" customHeight="1" s="244">
      <c r="A189" s="104" t="n"/>
      <c r="G189" s="105" t="n"/>
      <c r="H189" s="105" t="n"/>
      <c r="I189" s="105" t="n"/>
      <c r="J189" s="106" t="n"/>
    </row>
    <row r="190" ht="15" customHeight="1" s="244">
      <c r="A190" s="104" t="n"/>
      <c r="G190" s="105" t="n"/>
      <c r="H190" s="105" t="n"/>
      <c r="I190" s="105" t="n"/>
      <c r="J190" s="106" t="n"/>
    </row>
    <row r="191" ht="15" customHeight="1" s="244">
      <c r="A191" s="104" t="n"/>
      <c r="G191" s="105" t="n"/>
      <c r="H191" s="105" t="n"/>
      <c r="I191" s="105" t="n"/>
      <c r="J191" s="106" t="n"/>
    </row>
    <row r="192" ht="15" customHeight="1" s="244">
      <c r="A192" s="104" t="n"/>
      <c r="G192" s="105" t="n"/>
      <c r="H192" s="105" t="n"/>
      <c r="I192" s="105" t="n"/>
      <c r="J192" s="106" t="n"/>
    </row>
    <row r="193" ht="15" customHeight="1" s="244">
      <c r="A193" s="104" t="n"/>
      <c r="G193" s="105" t="n"/>
      <c r="H193" s="105" t="n"/>
      <c r="I193" s="105" t="n"/>
      <c r="J193" s="106" t="n"/>
    </row>
    <row r="194" ht="15" customHeight="1" s="244">
      <c r="A194" s="104" t="n"/>
      <c r="G194" s="105" t="n"/>
      <c r="H194" s="105" t="n"/>
      <c r="I194" s="105" t="n"/>
      <c r="J194" s="106" t="n"/>
    </row>
    <row r="195" ht="15" customHeight="1" s="244">
      <c r="A195" s="104" t="n"/>
      <c r="G195" s="105" t="n"/>
      <c r="H195" s="105" t="n"/>
      <c r="I195" s="105" t="n"/>
      <c r="J195" s="106" t="n"/>
    </row>
    <row r="196" ht="15" customHeight="1" s="244">
      <c r="A196" s="104" t="n"/>
      <c r="G196" s="105" t="n"/>
      <c r="H196" s="105" t="n"/>
      <c r="I196" s="105" t="n"/>
      <c r="J196" s="106" t="n"/>
    </row>
    <row r="197" ht="15" customHeight="1" s="244">
      <c r="A197" s="104" t="n"/>
      <c r="G197" s="105" t="n"/>
      <c r="H197" s="105" t="n"/>
      <c r="I197" s="105" t="n"/>
      <c r="J197" s="106" t="n"/>
    </row>
    <row r="198" ht="15" customHeight="1" s="244">
      <c r="A198" s="104" t="n"/>
      <c r="G198" s="105" t="n"/>
      <c r="H198" s="105" t="n"/>
      <c r="I198" s="105" t="n"/>
      <c r="J198" s="106" t="n"/>
    </row>
    <row r="199" ht="15" customHeight="1" s="244">
      <c r="A199" s="104" t="n"/>
      <c r="G199" s="105" t="n"/>
      <c r="H199" s="105" t="n"/>
      <c r="I199" s="105" t="n"/>
      <c r="J199" s="106" t="n"/>
    </row>
    <row r="200" ht="15" customHeight="1" s="244">
      <c r="A200" s="104" t="n"/>
      <c r="G200" s="105" t="n"/>
      <c r="H200" s="105" t="n"/>
      <c r="I200" s="105" t="n"/>
      <c r="J200" s="106" t="n"/>
    </row>
    <row r="201" ht="15" customHeight="1" s="244">
      <c r="A201" s="104" t="n"/>
      <c r="G201" s="105" t="n"/>
      <c r="H201" s="105" t="n"/>
      <c r="I201" s="105" t="n"/>
      <c r="J201" s="106" t="n"/>
    </row>
    <row r="202" ht="15" customHeight="1" s="244">
      <c r="A202" s="104" t="n"/>
      <c r="G202" s="105" t="n"/>
      <c r="H202" s="105" t="n"/>
      <c r="I202" s="105" t="n"/>
      <c r="J202" s="106" t="n"/>
    </row>
    <row r="203" ht="15" customHeight="1" s="244">
      <c r="A203" s="104" t="n"/>
      <c r="G203" s="105" t="n"/>
      <c r="H203" s="105" t="n"/>
      <c r="I203" s="105" t="n"/>
      <c r="J203" s="106" t="n"/>
    </row>
    <row r="204" ht="15" customHeight="1" s="244">
      <c r="A204" s="104" t="n"/>
      <c r="G204" s="105" t="n"/>
      <c r="H204" s="105" t="n"/>
      <c r="I204" s="105" t="n"/>
      <c r="J204" s="106" t="n"/>
    </row>
    <row r="205" ht="15" customHeight="1" s="244">
      <c r="A205" s="104" t="n"/>
      <c r="G205" s="105" t="n"/>
      <c r="H205" s="105" t="n"/>
      <c r="I205" s="105" t="n"/>
      <c r="J205" s="106" t="n"/>
    </row>
    <row r="206" ht="15" customHeight="1" s="244">
      <c r="A206" s="104" t="n"/>
      <c r="G206" s="105" t="n"/>
      <c r="H206" s="105" t="n"/>
      <c r="I206" s="105" t="n"/>
      <c r="J206" s="106" t="n"/>
    </row>
    <row r="207" ht="15" customHeight="1" s="244">
      <c r="A207" s="104" t="n"/>
      <c r="G207" s="105" t="n"/>
      <c r="H207" s="105" t="n"/>
      <c r="I207" s="105" t="n"/>
      <c r="J207" s="106" t="n"/>
    </row>
    <row r="208" ht="15" customHeight="1" s="244">
      <c r="A208" s="104" t="n"/>
      <c r="G208" s="105" t="n"/>
      <c r="H208" s="105" t="n"/>
      <c r="I208" s="105" t="n"/>
      <c r="J208" s="106" t="n"/>
    </row>
    <row r="209" ht="15" customHeight="1" s="244">
      <c r="A209" s="104" t="n"/>
      <c r="G209" s="105" t="n"/>
      <c r="H209" s="105" t="n"/>
      <c r="I209" s="105" t="n"/>
      <c r="J209" s="106" t="n"/>
    </row>
    <row r="210" ht="15" customHeight="1" s="244">
      <c r="A210" s="104" t="n"/>
      <c r="G210" s="105" t="n"/>
      <c r="H210" s="105" t="n"/>
      <c r="I210" s="105" t="n"/>
      <c r="J210" s="106" t="n"/>
    </row>
    <row r="211" ht="15" customHeight="1" s="244">
      <c r="A211" s="104" t="n"/>
      <c r="G211" s="105" t="n"/>
      <c r="H211" s="105" t="n"/>
      <c r="I211" s="105" t="n"/>
      <c r="J211" s="106" t="n"/>
    </row>
    <row r="212" ht="15" customHeight="1" s="244">
      <c r="A212" s="104" t="n"/>
      <c r="G212" s="105" t="n"/>
      <c r="H212" s="105" t="n"/>
      <c r="I212" s="105" t="n"/>
      <c r="J212" s="106" t="n"/>
    </row>
    <row r="213" ht="15" customHeight="1" s="244">
      <c r="A213" s="104" t="n"/>
      <c r="G213" s="105" t="n"/>
      <c r="H213" s="105" t="n"/>
      <c r="I213" s="105" t="n"/>
      <c r="J213" s="106" t="n"/>
    </row>
    <row r="214" ht="15" customHeight="1" s="244">
      <c r="A214" s="104" t="n"/>
      <c r="G214" s="105" t="n"/>
      <c r="H214" s="105" t="n"/>
      <c r="I214" s="105" t="n"/>
      <c r="J214" s="106" t="n"/>
    </row>
    <row r="215" ht="15" customHeight="1" s="244">
      <c r="A215" s="104" t="n"/>
      <c r="G215" s="105" t="n"/>
      <c r="H215" s="105" t="n"/>
      <c r="I215" s="105" t="n"/>
      <c r="J215" s="106" t="n"/>
    </row>
    <row r="216" ht="15" customHeight="1" s="244">
      <c r="A216" s="104" t="n"/>
      <c r="G216" s="105" t="n"/>
      <c r="H216" s="105" t="n"/>
      <c r="I216" s="105" t="n"/>
      <c r="J216" s="106" t="n"/>
    </row>
    <row r="217" ht="15" customHeight="1" s="244">
      <c r="A217" s="104" t="n"/>
      <c r="G217" s="105" t="n"/>
      <c r="H217" s="105" t="n"/>
      <c r="I217" s="105" t="n"/>
      <c r="J217" s="106" t="n"/>
    </row>
    <row r="218" ht="15" customHeight="1" s="244">
      <c r="A218" s="104" t="n"/>
      <c r="G218" s="105" t="n"/>
      <c r="H218" s="105" t="n"/>
      <c r="I218" s="105" t="n"/>
      <c r="J218" s="106" t="n"/>
    </row>
    <row r="219" ht="15" customHeight="1" s="244">
      <c r="A219" s="104" t="n"/>
      <c r="G219" s="105" t="n"/>
      <c r="H219" s="105" t="n"/>
      <c r="I219" s="105" t="n"/>
      <c r="J219" s="106" t="n"/>
    </row>
    <row r="220" ht="15" customHeight="1" s="244">
      <c r="A220" s="104" t="n"/>
      <c r="G220" s="105" t="n"/>
      <c r="H220" s="105" t="n"/>
      <c r="I220" s="105" t="n"/>
      <c r="J220" s="106" t="n"/>
    </row>
    <row r="221" ht="15" customHeight="1" s="244">
      <c r="A221" s="104" t="n"/>
      <c r="G221" s="105" t="n"/>
      <c r="H221" s="105" t="n"/>
      <c r="I221" s="105" t="n"/>
      <c r="J221" s="106" t="n"/>
    </row>
    <row r="222" ht="15" customHeight="1" s="244">
      <c r="A222" s="104" t="n"/>
      <c r="G222" s="105" t="n"/>
      <c r="H222" s="105" t="n"/>
      <c r="I222" s="105" t="n"/>
      <c r="J222" s="106" t="n"/>
    </row>
    <row r="223" ht="15" customHeight="1" s="244">
      <c r="A223" s="104" t="n"/>
      <c r="G223" s="105" t="n"/>
      <c r="H223" s="105" t="n"/>
      <c r="I223" s="105" t="n"/>
      <c r="J223" s="106" t="n"/>
    </row>
    <row r="224" ht="15" customHeight="1" s="244">
      <c r="A224" s="104" t="n"/>
      <c r="G224" s="105" t="n"/>
      <c r="H224" s="105" t="n"/>
      <c r="I224" s="105" t="n"/>
      <c r="J224" s="106" t="n"/>
    </row>
    <row r="225" ht="15" customHeight="1" s="244">
      <c r="A225" s="104" t="n"/>
      <c r="G225" s="105" t="n"/>
      <c r="H225" s="105" t="n"/>
      <c r="I225" s="105" t="n"/>
      <c r="J225" s="106" t="n"/>
    </row>
    <row r="226" ht="15" customHeight="1" s="244">
      <c r="A226" s="104" t="n"/>
      <c r="G226" s="105" t="n"/>
      <c r="H226" s="105" t="n"/>
      <c r="I226" s="105" t="n"/>
      <c r="J226" s="106" t="n"/>
    </row>
    <row r="227" ht="15" customHeight="1" s="244">
      <c r="A227" s="104" t="n"/>
      <c r="G227" s="105" t="n"/>
      <c r="H227" s="105" t="n"/>
      <c r="I227" s="105" t="n"/>
      <c r="J227" s="106" t="n"/>
    </row>
    <row r="228" ht="15" customHeight="1" s="244">
      <c r="A228" s="104" t="n"/>
      <c r="G228" s="105" t="n"/>
      <c r="H228" s="105" t="n"/>
      <c r="I228" s="105" t="n"/>
      <c r="J228" s="106" t="n"/>
    </row>
    <row r="229" ht="15" customHeight="1" s="244">
      <c r="A229" s="104" t="n"/>
      <c r="G229" s="105" t="n"/>
      <c r="H229" s="105" t="n"/>
      <c r="I229" s="105" t="n"/>
      <c r="J229" s="106" t="n"/>
    </row>
    <row r="230" ht="15" customHeight="1" s="244">
      <c r="A230" s="104" t="n"/>
      <c r="G230" s="105" t="n"/>
      <c r="H230" s="105" t="n"/>
      <c r="I230" s="105" t="n"/>
      <c r="J230" s="106" t="n"/>
    </row>
    <row r="231" ht="15" customHeight="1" s="244">
      <c r="A231" s="104" t="n"/>
      <c r="G231" s="105" t="n"/>
      <c r="H231" s="105" t="n"/>
      <c r="I231" s="105" t="n"/>
      <c r="J231" s="106" t="n"/>
    </row>
    <row r="232" ht="15" customHeight="1" s="244">
      <c r="A232" s="104" t="n"/>
      <c r="G232" s="105" t="n"/>
      <c r="H232" s="105" t="n"/>
      <c r="I232" s="105" t="n"/>
      <c r="J232" s="106" t="n"/>
    </row>
    <row r="233" ht="15" customHeight="1" s="244">
      <c r="A233" s="104" t="n"/>
      <c r="G233" s="105" t="n"/>
      <c r="H233" s="105" t="n"/>
      <c r="I233" s="105" t="n"/>
      <c r="J233" s="106" t="n"/>
    </row>
    <row r="234" ht="15" customHeight="1" s="244">
      <c r="A234" s="104" t="n"/>
      <c r="G234" s="105" t="n"/>
      <c r="H234" s="105" t="n"/>
      <c r="I234" s="105" t="n"/>
      <c r="J234" s="106" t="n"/>
    </row>
    <row r="235" ht="15" customHeight="1" s="244">
      <c r="A235" s="104" t="n"/>
      <c r="G235" s="105" t="n"/>
      <c r="H235" s="105" t="n"/>
      <c r="I235" s="105" t="n"/>
      <c r="J235" s="106" t="n"/>
    </row>
    <row r="236" ht="15" customHeight="1" s="244">
      <c r="A236" s="104" t="n"/>
      <c r="G236" s="105" t="n"/>
      <c r="H236" s="105" t="n"/>
      <c r="I236" s="105" t="n"/>
      <c r="J236" s="106" t="n"/>
    </row>
    <row r="237" ht="15" customHeight="1" s="244">
      <c r="A237" s="104" t="n"/>
      <c r="G237" s="105" t="n"/>
      <c r="H237" s="105" t="n"/>
      <c r="I237" s="105" t="n"/>
      <c r="J237" s="106" t="n"/>
    </row>
    <row r="238" ht="15" customHeight="1" s="244">
      <c r="A238" s="104" t="n"/>
      <c r="G238" s="105" t="n"/>
      <c r="H238" s="105" t="n"/>
      <c r="I238" s="105" t="n"/>
      <c r="J238" s="106" t="n"/>
    </row>
    <row r="239" ht="15" customHeight="1" s="244">
      <c r="A239" s="104" t="n"/>
      <c r="G239" s="105" t="n"/>
      <c r="H239" s="105" t="n"/>
      <c r="I239" s="105" t="n"/>
      <c r="J239" s="106" t="n"/>
    </row>
    <row r="240" ht="15" customHeight="1" s="244">
      <c r="A240" s="104" t="n"/>
      <c r="G240" s="105" t="n"/>
      <c r="H240" s="105" t="n"/>
      <c r="I240" s="105" t="n"/>
      <c r="J240" s="106" t="n"/>
    </row>
    <row r="241" ht="15" customHeight="1" s="244">
      <c r="A241" s="104" t="n"/>
      <c r="G241" s="105" t="n"/>
      <c r="H241" s="105" t="n"/>
      <c r="I241" s="105" t="n"/>
      <c r="J241" s="106" t="n"/>
    </row>
    <row r="242" ht="15" customHeight="1" s="244">
      <c r="A242" s="104" t="n"/>
      <c r="G242" s="105" t="n"/>
      <c r="H242" s="105" t="n"/>
      <c r="I242" s="105" t="n"/>
      <c r="J242" s="106" t="n"/>
    </row>
    <row r="243" ht="15" customHeight="1" s="244">
      <c r="A243" s="104" t="n"/>
      <c r="G243" s="105" t="n"/>
      <c r="H243" s="105" t="n"/>
      <c r="I243" s="105" t="n"/>
      <c r="J243" s="106" t="n"/>
    </row>
    <row r="244" ht="15" customHeight="1" s="244">
      <c r="A244" s="104" t="n"/>
      <c r="G244" s="105" t="n"/>
      <c r="H244" s="105" t="n"/>
      <c r="I244" s="105" t="n"/>
      <c r="J244" s="106" t="n"/>
    </row>
    <row r="245" ht="15" customHeight="1" s="244">
      <c r="A245" s="104" t="n"/>
      <c r="G245" s="105" t="n"/>
      <c r="H245" s="105" t="n"/>
      <c r="I245" s="105" t="n"/>
      <c r="J245" s="106" t="n"/>
    </row>
    <row r="246" ht="15" customHeight="1" s="244">
      <c r="A246" s="104" t="n"/>
      <c r="G246" s="105" t="n"/>
      <c r="H246" s="105" t="n"/>
      <c r="I246" s="105" t="n"/>
      <c r="J246" s="106" t="n"/>
    </row>
    <row r="247" ht="15" customHeight="1" s="244">
      <c r="A247" s="104" t="n"/>
      <c r="G247" s="105" t="n"/>
      <c r="H247" s="105" t="n"/>
      <c r="I247" s="105" t="n"/>
      <c r="J247" s="106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4" min="1" max="2"/>
    <col width="35" customWidth="1" style="244" min="3" max="3"/>
    <col width="15" customWidth="1" style="244" min="4" max="4"/>
    <col width="10" customWidth="1" style="244" min="5" max="5"/>
    <col width="30" customWidth="1" style="244" min="6" max="6"/>
    <col width="10" customWidth="1" style="244" min="7" max="7"/>
    <col width="30" customWidth="1" style="244" min="8" max="8"/>
    <col width="12" customWidth="1" style="244" min="9" max="15"/>
  </cols>
  <sheetData>
    <row r="1" ht="21.95" customHeight="1" s="244">
      <c r="A1" s="249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4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44">
      <c r="A4" s="249" t="inlineStr">
        <is>
          <t>S1 — NEW ERP BOMs REQUIRED: TUBE PRODUCTS</t>
        </is>
      </c>
    </row>
    <row r="5" ht="18" customHeight="1" s="24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4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4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4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4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4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4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44">
      <c r="A12" s="249" t="inlineStr">
        <is>
          <t>S3 — BOM RATE CORRECTIONS: Fix quantities in existing ERP BOMs</t>
        </is>
      </c>
    </row>
    <row r="13" ht="18" customHeight="1" s="24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4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4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4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4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4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4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4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4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4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44">
      <c r="A23" s="249" t="inlineStr">
        <is>
          <t>S4 — MISSING MATERIAL LINES: Add to existing ERP BOMs</t>
        </is>
      </c>
    </row>
    <row r="24" ht="18" customHeight="1" s="24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4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4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4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4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4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4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4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4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4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44">
      <c r="A34" s="249" t="inlineStr">
        <is>
          <t>S5 — ITEM ID CHANGES: Applied in local BOM. Must be replicated in ERP (delete old line, add new line)</t>
        </is>
      </c>
    </row>
    <row r="35" ht="18" customHeight="1" s="24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4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44">
      <c r="A65" s="249" t="inlineStr">
        <is>
          <t>S6 — ITEM ID QUERIES: Confirm with Rehan before finalising</t>
        </is>
      </c>
    </row>
    <row r="66" ht="18" customHeight="1" s="24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4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4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4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4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4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4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4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4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44">
      <c r="A75" s="249" t="inlineStr">
        <is>
          <t>S7 — ERP ITEM NAME CORRECTIONS: LACQUER spelling (LACQUAR → LACQUER). Fixed in local BOM. ERP item master still incorrect.</t>
        </is>
      </c>
    </row>
    <row r="76" ht="18" customHeight="1" s="24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4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4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4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4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44">
      <c r="A81" s="249" t="inlineStr">
        <is>
          <t>S8 — SLUG CHANGE: 30mm diameter products — 30×4.3 (Item 2) → 30×4.5 S/M (Item 406). Effective 21-Apr-2026. Local BOM updated. ERP pending.</t>
        </is>
      </c>
    </row>
    <row r="82" ht="18" customHeight="1" s="24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4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4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4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4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4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4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4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4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4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44">
      <c r="A92" s="249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4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4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4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4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4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4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4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4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4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4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4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4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4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4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4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4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4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4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4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4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4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4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4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4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4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4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4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4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4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4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4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4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4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4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4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4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4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4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4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4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4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4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4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4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4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4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4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4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4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4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4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4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4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4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44"/>
    <row r="161" ht="15.75" customHeight="1" s="244"/>
    <row r="162" ht="30" customHeight="1" s="244"/>
    <row r="163" ht="30" customHeight="1" s="244"/>
    <row r="164" ht="30" customHeight="1" s="24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4" min="1" max="1"/>
    <col width="8" customWidth="1" style="244" min="2" max="2"/>
    <col width="38.140625" customWidth="1" style="244" min="3" max="3"/>
    <col width="38" customWidth="1" style="244" min="4" max="4"/>
    <col width="10" customWidth="1" style="244" min="5" max="5"/>
    <col width="14" customWidth="1" style="244" min="6" max="7"/>
    <col width="36" customWidth="1" style="244" min="8" max="8"/>
    <col width="36" customWidth="1" style="1" min="9" max="9"/>
  </cols>
  <sheetData>
    <row r="1" ht="30" customHeight="1" s="244">
      <c r="A1" s="251" t="inlineStr">
        <is>
          <t>FG STOCK IN HAND — Last Updated: 21-May-2026</t>
        </is>
      </c>
    </row>
    <row r="2" ht="15.75" customHeight="1" s="244">
      <c r="A2" s="250" t="inlineStr">
        <is>
          <t>Shows latest date only from FG Stock In hand (Production.xlsx). Older dates are discarded. Re-run update_production.py to refresh.</t>
        </is>
      </c>
    </row>
    <row r="3" ht="19.5" customHeight="1" s="24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44">
      <c r="A4" s="271" t="n">
        <v>1</v>
      </c>
      <c r="B4" s="271" t="n">
        <v>8001</v>
      </c>
      <c r="C4" s="272" t="inlineStr">
        <is>
          <t>Alpha Labs PVT LTD</t>
        </is>
      </c>
      <c r="D4" s="272" t="inlineStr">
        <is>
          <t>TRANSPARENT BOTTLE 150ML</t>
        </is>
      </c>
      <c r="E4" s="271" t="inlineStr">
        <is>
          <t>150ml</t>
        </is>
      </c>
      <c r="F4" s="273" t="n">
        <v>26450</v>
      </c>
      <c r="G4" s="271" t="inlineStr">
        <is>
          <t>OK</t>
        </is>
      </c>
      <c r="H4" s="274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44">
      <c r="A5" s="271" t="n">
        <v>2</v>
      </c>
      <c r="B5" s="271" t="n">
        <v>3726</v>
      </c>
      <c r="C5" s="272" t="inlineStr">
        <is>
          <t>Samsol International Private Limited</t>
        </is>
      </c>
      <c r="D5" s="272" t="inlineStr">
        <is>
          <t>TUBES</t>
        </is>
      </c>
      <c r="E5" s="271" t="inlineStr">
        <is>
          <t>25</t>
        </is>
      </c>
      <c r="F5" s="273" t="n">
        <v>2688</v>
      </c>
      <c r="G5" s="271" t="inlineStr">
        <is>
          <t>OK</t>
        </is>
      </c>
      <c r="H5" s="274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44">
      <c r="A6" s="271" t="n">
        <v>3</v>
      </c>
      <c r="B6" s="271" t="n">
        <v>4050</v>
      </c>
      <c r="C6" s="272" t="inlineStr">
        <is>
          <t>Professional Beauty Solution (PVT) LTD.Pakistan</t>
        </is>
      </c>
      <c r="D6" s="272" t="inlineStr">
        <is>
          <t>EAZICOLOR PREMIUM HAIR COLOUR 60ML</t>
        </is>
      </c>
      <c r="E6" s="271" t="inlineStr">
        <is>
          <t>30</t>
        </is>
      </c>
      <c r="F6" s="273" t="n">
        <v>9450</v>
      </c>
      <c r="G6" s="271" t="inlineStr">
        <is>
          <t>OK</t>
        </is>
      </c>
      <c r="H6" s="274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44">
      <c r="A7" s="271" t="n">
        <v>4</v>
      </c>
      <c r="B7" s="271" t="n">
        <v>6337</v>
      </c>
      <c r="C7" s="272" t="inlineStr">
        <is>
          <t>Al-Rehman Group</t>
        </is>
      </c>
      <c r="D7" s="272" t="inlineStr">
        <is>
          <t>ACTIVE PRO HAIR COLOR CREAM 60ML</t>
        </is>
      </c>
      <c r="E7" s="271" t="inlineStr">
        <is>
          <t>30</t>
        </is>
      </c>
      <c r="F7" s="273" t="n">
        <v>15680</v>
      </c>
      <c r="G7" s="271" t="inlineStr">
        <is>
          <t>OK</t>
        </is>
      </c>
      <c r="H7" s="274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44">
      <c r="A8" s="271" t="n">
        <v>5</v>
      </c>
      <c r="B8" s="271" t="n">
        <v>6416</v>
      </c>
      <c r="C8" s="272" t="inlineStr">
        <is>
          <t>Al-Rehman Group</t>
        </is>
      </c>
      <c r="D8" s="272" t="inlineStr">
        <is>
          <t>SIGNATURE HAIR COLOR CREAM 60ML</t>
        </is>
      </c>
      <c r="E8" s="271" t="inlineStr">
        <is>
          <t>30</t>
        </is>
      </c>
      <c r="F8" s="273" t="n">
        <v>15435</v>
      </c>
      <c r="G8" s="271" t="inlineStr">
        <is>
          <t>OK</t>
        </is>
      </c>
      <c r="H8" s="274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44">
      <c r="A9" s="271" t="n">
        <v>6</v>
      </c>
      <c r="B9" s="271" t="n">
        <v>6228</v>
      </c>
      <c r="C9" s="272" t="inlineStr">
        <is>
          <t>Mablay Beauty PVT LTD.</t>
        </is>
      </c>
      <c r="D9" s="272" t="inlineStr">
        <is>
          <t>HIS ONLY HAIR COLOR CREAM 40GM</t>
        </is>
      </c>
      <c r="E9" s="271" t="inlineStr">
        <is>
          <t>25</t>
        </is>
      </c>
      <c r="F9" s="273" t="n">
        <v>11592</v>
      </c>
      <c r="G9" s="271" t="inlineStr">
        <is>
          <t>OK</t>
        </is>
      </c>
      <c r="H9" s="274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44">
      <c r="A10" s="271" t="n">
        <v>7</v>
      </c>
      <c r="B10" s="271" t="n">
        <v>5782</v>
      </c>
      <c r="C10" s="272" t="inlineStr">
        <is>
          <t>Mega Grey</t>
        </is>
      </c>
      <c r="D10" s="272" t="inlineStr">
        <is>
          <t>M.G</t>
        </is>
      </c>
      <c r="E10" s="271" t="inlineStr">
        <is>
          <t>32</t>
        </is>
      </c>
      <c r="F10" s="273" t="n">
        <v>63648</v>
      </c>
      <c r="G10" s="271" t="inlineStr">
        <is>
          <t>OK</t>
        </is>
      </c>
      <c r="H10" s="274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44">
      <c r="A11" s="271" t="n">
        <v>8</v>
      </c>
      <c r="B11" s="271" t="n">
        <v>6206</v>
      </c>
      <c r="C11" s="272" t="inlineStr">
        <is>
          <t>Golden Pearl Cosmetics (PVT) LTD</t>
        </is>
      </c>
      <c r="D11" s="272" t="inlineStr">
        <is>
          <t>HELLO HAIR COLOR</t>
        </is>
      </c>
      <c r="E11" s="271" t="inlineStr">
        <is>
          <t>30</t>
        </is>
      </c>
      <c r="F11" s="273" t="n">
        <v>14280</v>
      </c>
      <c r="G11" s="271" t="inlineStr">
        <is>
          <t>OK</t>
        </is>
      </c>
      <c r="H11" s="274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44">
      <c r="A12" s="271" t="n">
        <v>9</v>
      </c>
      <c r="B12" s="271" t="n">
        <v>6531</v>
      </c>
      <c r="C12" s="272" t="inlineStr">
        <is>
          <t>Adore</t>
        </is>
      </c>
      <c r="D12" s="272" t="inlineStr">
        <is>
          <t>V-HC BLACK</t>
        </is>
      </c>
      <c r="E12" s="271" t="inlineStr">
        <is>
          <t>35</t>
        </is>
      </c>
      <c r="F12" s="273" t="n">
        <v>4380</v>
      </c>
      <c r="G12" s="271" t="inlineStr">
        <is>
          <t>OK</t>
        </is>
      </c>
      <c r="H12" s="274" t="inlineStr">
        <is>
          <t>Ready for dispatch</t>
        </is>
      </c>
      <c r="I12" s="109">
        <f>IFERROR(SUMPRODUCT((TableBOM[Product ID]=B12)*(TableBOM[Material Category]="CAP")*TableBOM[Item ID]),0)</f>
        <v/>
      </c>
    </row>
    <row r="13" ht="15" customHeight="1" s="244">
      <c r="A13" s="275" t="n">
        <v>10</v>
      </c>
      <c r="B13" s="275" t="n">
        <v>3726</v>
      </c>
      <c r="C13" s="276" t="inlineStr">
        <is>
          <t>Samsol International Private Limited</t>
        </is>
      </c>
      <c r="D13" s="276" t="inlineStr">
        <is>
          <t>TUBES</t>
        </is>
      </c>
      <c r="E13" s="275" t="inlineStr">
        <is>
          <t>25</t>
        </is>
      </c>
      <c r="F13" s="277" t="n">
        <v>19824</v>
      </c>
      <c r="G13" s="275" t="inlineStr">
        <is>
          <t>Not Ready</t>
        </is>
      </c>
      <c r="H13" s="278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44">
      <c r="A14" s="275" t="n">
        <v>11</v>
      </c>
      <c r="B14" s="275" t="n">
        <v>3447</v>
      </c>
      <c r="C14" s="276" t="inlineStr">
        <is>
          <t>Samsol International Private Limited</t>
        </is>
      </c>
      <c r="D14" s="276" t="inlineStr">
        <is>
          <t>S 43 25MM</t>
        </is>
      </c>
      <c r="E14" s="275" t="inlineStr">
        <is>
          <t>25</t>
        </is>
      </c>
      <c r="F14" s="277" t="n">
        <v>54000</v>
      </c>
      <c r="G14" s="275" t="inlineStr">
        <is>
          <t>Not Ready</t>
        </is>
      </c>
      <c r="H14" s="278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44">
      <c r="A15" s="275" t="n">
        <v>12</v>
      </c>
      <c r="B15" s="275" t="n">
        <v>6515</v>
      </c>
      <c r="C15" s="276" t="inlineStr">
        <is>
          <t>Samsol International Private Limited</t>
        </is>
      </c>
      <c r="D15" s="276" t="inlineStr">
        <is>
          <t>H.H 100GM</t>
        </is>
      </c>
      <c r="E15" s="275" t="inlineStr">
        <is>
          <t>32</t>
        </is>
      </c>
      <c r="F15" s="277" t="n">
        <v>38896</v>
      </c>
      <c r="G15" s="275" t="inlineStr">
        <is>
          <t>Not Ready</t>
        </is>
      </c>
      <c r="H15" s="278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44">
      <c r="A16" s="275" t="n">
        <v>13</v>
      </c>
      <c r="B16" s="275" t="n">
        <v>6530</v>
      </c>
      <c r="C16" s="276" t="inlineStr">
        <is>
          <t>Adore</t>
        </is>
      </c>
      <c r="D16" s="276" t="inlineStr">
        <is>
          <t>V- HC BROWN</t>
        </is>
      </c>
      <c r="E16" s="275" t="inlineStr">
        <is>
          <t>35</t>
        </is>
      </c>
      <c r="F16" s="277" t="n">
        <v>15000</v>
      </c>
      <c r="G16" s="275" t="inlineStr">
        <is>
          <t>Not Ready</t>
        </is>
      </c>
      <c r="H16" s="278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44">
      <c r="A17" s="275" t="n">
        <v>14</v>
      </c>
      <c r="B17" s="275" t="n">
        <v>6206</v>
      </c>
      <c r="C17" s="276" t="inlineStr">
        <is>
          <t>Golden Pearl Cosmetics (PVT) LTD</t>
        </is>
      </c>
      <c r="D17" s="276" t="inlineStr">
        <is>
          <t>HELLO HAIR COLOR</t>
        </is>
      </c>
      <c r="E17" s="275" t="inlineStr">
        <is>
          <t>30</t>
        </is>
      </c>
      <c r="F17" s="277" t="n">
        <v>61642</v>
      </c>
      <c r="G17" s="275" t="inlineStr">
        <is>
          <t>Not Ready</t>
        </is>
      </c>
      <c r="H17" s="278" t="inlineStr">
        <is>
          <t>Inprogress on Latex</t>
        </is>
      </c>
      <c r="I17" s="110">
        <f>IFERROR(SUMPRODUCT((TableBOM[Product ID]=B17)*(TableBOM[Material Category]="CAP")*TableBOM[Item ID]),0)</f>
        <v/>
      </c>
    </row>
    <row r="18" ht="15" customHeight="1" s="244">
      <c r="A18" s="275" t="n">
        <v>15</v>
      </c>
      <c r="B18" s="275" t="n">
        <v>5814</v>
      </c>
      <c r="C18" s="276" t="inlineStr">
        <is>
          <t>Mablay Beauty PVT LTD.</t>
        </is>
      </c>
      <c r="D18" s="276" t="inlineStr">
        <is>
          <t>VINCE NURTURAL</t>
        </is>
      </c>
      <c r="E18" s="275" t="inlineStr">
        <is>
          <t>30</t>
        </is>
      </c>
      <c r="F18" s="277" t="n">
        <v>23562</v>
      </c>
      <c r="G18" s="275" t="inlineStr">
        <is>
          <t>Not Ready</t>
        </is>
      </c>
      <c r="H18" s="278" t="inlineStr">
        <is>
          <t>Inprogress on Latex</t>
        </is>
      </c>
      <c r="I18" s="110">
        <f>IFERROR(SUMPRODUCT((TableBOM[Product ID]=B18)*(TableBOM[Material Category]="CAP")*TableBOM[Item ID]),0)</f>
        <v/>
      </c>
    </row>
    <row r="19" ht="15" customHeight="1" s="244">
      <c r="A19" s="275" t="n">
        <v>16</v>
      </c>
      <c r="B19" s="275" t="n">
        <v>5782</v>
      </c>
      <c r="C19" s="276" t="inlineStr">
        <is>
          <t>Mega Grey</t>
        </is>
      </c>
      <c r="D19" s="276" t="inlineStr">
        <is>
          <t>M.G</t>
        </is>
      </c>
      <c r="E19" s="275" t="inlineStr">
        <is>
          <t>32</t>
        </is>
      </c>
      <c r="F19" s="277" t="n">
        <v>10500</v>
      </c>
      <c r="G19" s="275" t="inlineStr">
        <is>
          <t>Not Ready</t>
        </is>
      </c>
      <c r="H19" s="278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44">
      <c r="A20" s="275" t="n">
        <v>17</v>
      </c>
      <c r="B20" s="275" t="n">
        <v>6624</v>
      </c>
      <c r="C20" s="276" t="inlineStr">
        <is>
          <t>Samsol International Private Limited</t>
        </is>
      </c>
      <c r="D20" s="276" t="inlineStr">
        <is>
          <t>S-45 DIA 19MM</t>
        </is>
      </c>
      <c r="E20" s="275" t="inlineStr">
        <is>
          <t>19</t>
        </is>
      </c>
      <c r="F20" s="277" t="n">
        <v>15288</v>
      </c>
      <c r="G20" s="275" t="inlineStr">
        <is>
          <t>Not Ready</t>
        </is>
      </c>
      <c r="H20" s="278" t="inlineStr">
        <is>
          <t>Cap Not Available</t>
        </is>
      </c>
      <c r="I20" s="110">
        <f>IFERROR(SUMPRODUCT((TableBOM[Product ID]=B20)*(TableBOM[Material Category]="CAP")*TableBOM[Item ID]),0)</f>
        <v/>
      </c>
    </row>
    <row r="21" ht="15" customHeight="1" s="244">
      <c r="A21" s="275" t="n">
        <v>18</v>
      </c>
      <c r="B21" s="275" t="n">
        <v>5699</v>
      </c>
      <c r="C21" s="276" t="inlineStr">
        <is>
          <t>Samsol International Private Limited</t>
        </is>
      </c>
      <c r="D21" s="276" t="inlineStr">
        <is>
          <t>S-43 DIA 20.5</t>
        </is>
      </c>
      <c r="E21" s="275" t="inlineStr">
        <is>
          <t>20.5</t>
        </is>
      </c>
      <c r="F21" s="277" t="n">
        <v>39480</v>
      </c>
      <c r="G21" s="275" t="inlineStr">
        <is>
          <t>Not Ready</t>
        </is>
      </c>
      <c r="H21" s="278" t="inlineStr">
        <is>
          <t>Cap Not Available</t>
        </is>
      </c>
      <c r="I21" s="110">
        <f>IFERROR(SUMPRODUCT((TableBOM[Product ID]=B21)*(TableBOM[Material Category]="CAP")*TableBOM[Item ID]),0)</f>
        <v/>
      </c>
    </row>
    <row r="22" ht="15" customHeight="1" s="244">
      <c r="A22" s="275" t="n">
        <v>19</v>
      </c>
      <c r="B22" s="275" t="n">
        <v>5731</v>
      </c>
      <c r="C22" s="276" t="inlineStr">
        <is>
          <t>Samsol International Private Limited</t>
        </is>
      </c>
      <c r="D22" s="276" t="inlineStr">
        <is>
          <t>SAMSOL HAIR COLOR 45 DIA 20.5 MM</t>
        </is>
      </c>
      <c r="E22" s="275" t="inlineStr">
        <is>
          <t>20.5</t>
        </is>
      </c>
      <c r="F22" s="277" t="n">
        <v>58000</v>
      </c>
      <c r="G22" s="275" t="inlineStr">
        <is>
          <t>Not Ready</t>
        </is>
      </c>
      <c r="H22" s="278" t="inlineStr">
        <is>
          <t>Cap Not Available</t>
        </is>
      </c>
      <c r="I22" s="110">
        <f>IFERROR(SUMPRODUCT((TableBOM[Product ID]=B22)*(TableBOM[Material Category]="CAP")*TableBOM[Item ID]),0)</f>
        <v/>
      </c>
    </row>
    <row r="23" ht="15" customHeight="1" s="244">
      <c r="A23" s="279" t="n"/>
      <c r="B23" s="279" t="n"/>
      <c r="C23" s="280" t="n"/>
      <c r="D23" s="280" t="n"/>
      <c r="E23" s="279" t="n"/>
      <c r="F23" s="281" t="n"/>
      <c r="G23" s="279" t="n"/>
      <c r="H23" s="282" t="n"/>
      <c r="I23" s="110">
        <f>IFERROR(SUMPRODUCT((TableBOM[Product ID]=B23)*(TableBOM[Material Category]="CAP")*TableBOM[Item ID]),0)</f>
        <v/>
      </c>
    </row>
    <row r="24" ht="15" customHeight="1" s="244">
      <c r="A24" s="279" t="n"/>
      <c r="B24" s="279" t="n"/>
      <c r="C24" s="280" t="n"/>
      <c r="D24" s="280" t="n"/>
      <c r="E24" s="279" t="n"/>
      <c r="F24" s="281" t="n"/>
      <c r="G24" s="279" t="n"/>
      <c r="H24" s="282" t="n"/>
      <c r="I24" s="110">
        <f>IFERROR(SUMPRODUCT((TableBOM[Product ID]=B24)*(TableBOM[Material Category]="CAP")*TableBOM[Item ID]),0)</f>
        <v/>
      </c>
    </row>
    <row r="25" ht="15" customHeight="1" s="244">
      <c r="A25" s="279" t="n"/>
      <c r="B25" s="279" t="n"/>
      <c r="C25" s="280" t="n"/>
      <c r="D25" s="280" t="n"/>
      <c r="E25" s="279" t="n"/>
      <c r="F25" s="281" t="n"/>
      <c r="G25" s="279" t="n"/>
      <c r="H25" s="282" t="n"/>
      <c r="I25" s="110">
        <f>IFERROR(SUMPRODUCT((TableBOM[Product ID]=B25)*(TableBOM[Material Category]="CAP")*TableBOM[Item ID]),0)</f>
        <v/>
      </c>
    </row>
    <row r="26" ht="15" customHeight="1" s="244">
      <c r="A26" s="279" t="n"/>
      <c r="B26" s="279" t="n"/>
      <c r="C26" s="280" t="n"/>
      <c r="D26" s="280" t="n"/>
      <c r="E26" s="279" t="n"/>
      <c r="F26" s="281" t="n"/>
      <c r="G26" s="279" t="n"/>
      <c r="H26" s="282" t="n"/>
      <c r="I26" s="110">
        <f>IFERROR(SUMPRODUCT((TableBOM[Product ID]=B26)*(TableBOM[Material Category]="CAP")*TableBOM[Item ID]),0)</f>
        <v/>
      </c>
    </row>
    <row r="27" ht="15" customHeight="1" s="244">
      <c r="A27" s="279" t="n"/>
      <c r="B27" s="279" t="n"/>
      <c r="C27" s="280" t="n"/>
      <c r="D27" s="280" t="n"/>
      <c r="E27" s="279" t="n"/>
      <c r="F27" s="281" t="n"/>
      <c r="G27" s="279" t="n"/>
      <c r="H27" s="282" t="n"/>
      <c r="I27" s="111">
        <f>IFERROR(SUMPRODUCT((TableBOM[Product ID]=B27)*(TableBOM[Material Category]="CAP")*TableBOM[Item ID]),0)</f>
        <v/>
      </c>
    </row>
    <row r="28" ht="15" customHeight="1" s="244">
      <c r="A28" s="283" t="n"/>
      <c r="B28" s="283" t="n"/>
      <c r="C28" s="283" t="n"/>
      <c r="D28" s="283" t="n"/>
      <c r="E28" s="283" t="n"/>
      <c r="F28" s="283" t="n"/>
      <c r="G28" s="283" t="n"/>
      <c r="H28" s="283" t="n"/>
      <c r="I28" s="112">
        <f>IFERROR(SUMPRODUCT((TableBOM[Product ID]=B28)*(TableBOM[Material Category]="CAP")*TableBOM[Item ID]),0)</f>
        <v/>
      </c>
    </row>
    <row r="29" ht="15" customHeight="1" s="244">
      <c r="A29" s="283" t="n"/>
      <c r="B29" s="283" t="n"/>
      <c r="C29" s="283" t="n"/>
      <c r="D29" s="283" t="n"/>
      <c r="E29" s="283" t="n"/>
      <c r="F29" s="283" t="n"/>
      <c r="G29" s="283" t="n"/>
      <c r="H29" s="283" t="n"/>
      <c r="I29" s="112">
        <f>IFERROR(SUMPRODUCT((TableBOM[Product ID]=B29)*(TableBOM[Material Category]="CAP")*TableBOM[Item ID]),0)</f>
        <v/>
      </c>
    </row>
    <row r="30" ht="15" customHeight="1" s="244">
      <c r="A30" s="283" t="n"/>
      <c r="B30" s="283" t="n"/>
      <c r="C30" s="283" t="n"/>
      <c r="D30" s="283" t="n"/>
      <c r="E30" s="283" t="n"/>
      <c r="F30" s="283" t="n"/>
      <c r="G30" s="283" t="n"/>
      <c r="H30" s="283" t="n"/>
      <c r="I30" s="112">
        <f>IFERROR(SUMPRODUCT((TableBOM[Product ID]=B30)*(TableBOM[Material Category]="CAP")*TableBOM[Item ID]),0)</f>
        <v/>
      </c>
    </row>
    <row r="31" ht="15" customHeight="1" s="244">
      <c r="A31" s="283" t="n"/>
      <c r="B31" s="283" t="n"/>
      <c r="C31" s="283" t="n"/>
      <c r="D31" s="283" t="n"/>
      <c r="E31" s="283" t="n"/>
      <c r="F31" s="283" t="n"/>
      <c r="G31" s="283" t="n"/>
      <c r="H31" s="283" t="n"/>
      <c r="I31" s="112">
        <f>IFERROR(SUMPRODUCT((TableBOM[Product ID]=B31)*(TableBOM[Material Category]="CAP")*TableBOM[Item ID]),0)</f>
        <v/>
      </c>
    </row>
    <row r="32" ht="15" customHeight="1" s="244">
      <c r="A32" s="283" t="n"/>
      <c r="B32" s="283" t="n"/>
      <c r="C32" s="283" t="n"/>
      <c r="D32" s="283" t="n"/>
      <c r="E32" s="283" t="n"/>
      <c r="F32" s="283" t="n"/>
      <c r="G32" s="283" t="n"/>
      <c r="H32" s="283" t="n"/>
      <c r="I32" s="112">
        <f>IFERROR(SUMPRODUCT((TableBOM[Product ID]=B32)*(TableBOM[Material Category]="CAP")*TableBOM[Item ID]),0)</f>
        <v/>
      </c>
    </row>
    <row r="33" ht="15" customHeight="1" s="244">
      <c r="A33" s="283" t="n"/>
      <c r="B33" s="283" t="n"/>
      <c r="C33" s="283" t="n"/>
      <c r="D33" s="283" t="n"/>
      <c r="E33" s="283" t="n"/>
      <c r="F33" s="283" t="n"/>
      <c r="G33" s="283" t="n"/>
      <c r="H33" s="283" t="n"/>
      <c r="I33" s="112">
        <f>IFERROR(SUMPRODUCT((TableBOM[Product ID]=B33)*(TableBOM[Material Category]="CAP")*TableBOM[Item ID]),0)</f>
        <v/>
      </c>
    </row>
    <row r="34" ht="15" customHeight="1" s="244">
      <c r="A34" s="283" t="n"/>
      <c r="B34" s="283" t="n"/>
      <c r="C34" s="283" t="n"/>
      <c r="D34" s="283" t="n"/>
      <c r="E34" s="283" t="n"/>
      <c r="F34" s="283" t="n"/>
      <c r="G34" s="283" t="n"/>
      <c r="H34" s="283" t="n"/>
      <c r="I34" s="112">
        <f>IFERROR(SUMPRODUCT((TableBOM[Product ID]=B34)*(TableBOM[Material Category]="CAP")*TableBOM[Item ID]),0)</f>
        <v/>
      </c>
    </row>
    <row r="35" ht="15" customHeight="1" s="244">
      <c r="A35" s="283" t="n"/>
      <c r="B35" s="283" t="n"/>
      <c r="C35" s="283" t="n"/>
      <c r="D35" s="283" t="n"/>
      <c r="E35" s="283" t="n"/>
      <c r="F35" s="283" t="n"/>
      <c r="G35" s="283" t="n"/>
      <c r="H35" s="283" t="n"/>
      <c r="I35" s="112">
        <f>IFERROR(SUMPRODUCT((TableBOM[Product ID]=B35)*(TableBOM[Material Category]="CAP")*TableBOM[Item ID]),0)</f>
        <v/>
      </c>
    </row>
    <row r="36" ht="15" customHeight="1" s="244">
      <c r="A36" s="283" t="n"/>
      <c r="B36" s="283" t="n"/>
      <c r="C36" s="283" t="n"/>
      <c r="D36" s="283" t="n"/>
      <c r="E36" s="283" t="n"/>
      <c r="F36" s="283" t="n"/>
      <c r="G36" s="283" t="n"/>
      <c r="H36" s="283" t="n"/>
      <c r="I36" s="112">
        <f>IFERROR(SUMPRODUCT((TableBOM[Product ID]=B36)*(TableBOM[Material Category]="CAP")*TableBOM[Item ID]),0)</f>
        <v/>
      </c>
    </row>
    <row r="37" ht="15" customHeight="1" s="244">
      <c r="A37" s="283" t="n"/>
      <c r="B37" s="283" t="n"/>
      <c r="C37" s="283" t="n"/>
      <c r="D37" s="283" t="n"/>
      <c r="E37" s="283" t="n"/>
      <c r="F37" s="283" t="n"/>
      <c r="G37" s="283" t="n"/>
      <c r="H37" s="283" t="n"/>
      <c r="I37" s="112">
        <f>IFERROR(SUMPRODUCT((TableBOM[Product ID]=B37)*(TableBOM[Material Category]="CAP")*TableBOM[Item ID]),0)</f>
        <v/>
      </c>
    </row>
    <row r="38" ht="15" customHeight="1" s="244">
      <c r="A38" s="283" t="n"/>
      <c r="B38" s="283" t="n"/>
      <c r="C38" s="283" t="n"/>
      <c r="D38" s="283" t="n"/>
      <c r="E38" s="283" t="n"/>
      <c r="F38" s="283" t="n"/>
      <c r="G38" s="283" t="n"/>
      <c r="H38" s="283" t="n"/>
      <c r="I38" s="112">
        <f>IFERROR(SUMPRODUCT((TableBOM[Product ID]=B38)*(TableBOM[Material Category]="CAP")*TableBOM[Item ID]),0)</f>
        <v/>
      </c>
    </row>
    <row r="39" ht="15" customHeight="1" s="244">
      <c r="A39" s="283" t="n"/>
      <c r="B39" s="283" t="n"/>
      <c r="C39" s="283" t="n"/>
      <c r="D39" s="283" t="n"/>
      <c r="E39" s="283" t="n"/>
      <c r="F39" s="283" t="n"/>
      <c r="G39" s="283" t="n"/>
      <c r="H39" s="283" t="n"/>
      <c r="I39" s="112">
        <f>IFERROR(SUMPRODUCT((TableBOM[Product ID]=B39)*(TableBOM[Material Category]="CAP")*TableBOM[Item ID]),0)</f>
        <v/>
      </c>
    </row>
    <row r="40" ht="15" customHeight="1" s="244">
      <c r="A40" s="283" t="n"/>
      <c r="B40" s="283" t="n"/>
      <c r="C40" s="283" t="n"/>
      <c r="D40" s="283" t="n"/>
      <c r="E40" s="283" t="n"/>
      <c r="F40" s="283" t="n"/>
      <c r="G40" s="283" t="n"/>
      <c r="H40" s="283" t="n"/>
      <c r="I40" s="112">
        <f>IFERROR(SUMPRODUCT((TableBOM[Product ID]=B40)*(TableBOM[Material Category]="CAP")*TableBOM[Item ID]),0)</f>
        <v/>
      </c>
    </row>
    <row r="41" ht="15" customHeight="1" s="244">
      <c r="A41" s="283" t="n"/>
      <c r="B41" s="283" t="n"/>
      <c r="C41" s="283" t="n"/>
      <c r="D41" s="283" t="n"/>
      <c r="E41" s="283" t="n"/>
      <c r="F41" s="283" t="n"/>
      <c r="G41" s="283" t="n"/>
      <c r="H41" s="283" t="n"/>
      <c r="I41" s="112">
        <f>IFERROR(SUMPRODUCT((TableBOM[Product ID]=B41)*(TableBOM[Material Category]="CAP")*TableBOM[Item ID]),0)</f>
        <v/>
      </c>
    </row>
    <row r="42" ht="15" customHeight="1" s="244">
      <c r="A42" s="283" t="n"/>
      <c r="B42" s="283" t="n"/>
      <c r="C42" s="283" t="n"/>
      <c r="D42" s="283" t="n"/>
      <c r="E42" s="283" t="n"/>
      <c r="F42" s="283" t="n"/>
      <c r="G42" s="283" t="n"/>
      <c r="H42" s="283" t="n"/>
      <c r="I42" s="112">
        <f>IFERROR(SUMPRODUCT((TableBOM[Product ID]=B42)*(TableBOM[Material Category]="CAP")*TableBOM[Item ID]),0)</f>
        <v/>
      </c>
    </row>
    <row r="43" ht="15" customHeight="1" s="244">
      <c r="A43" s="283" t="n"/>
      <c r="B43" s="283" t="n"/>
      <c r="C43" s="283" t="n"/>
      <c r="D43" s="283" t="n"/>
      <c r="E43" s="283" t="n"/>
      <c r="F43" s="283" t="n"/>
      <c r="G43" s="283" t="n"/>
      <c r="H43" s="283" t="n"/>
      <c r="I43" s="112">
        <f>IFERROR(SUMPRODUCT((TableBOM[Product ID]=B43)*(TableBOM[Material Category]="CAP")*TableBOM[Item ID]),0)</f>
        <v/>
      </c>
    </row>
    <row r="44" ht="15" customHeight="1" s="244">
      <c r="A44" s="283" t="n"/>
      <c r="B44" s="283" t="n"/>
      <c r="C44" s="283" t="n"/>
      <c r="D44" s="283" t="n"/>
      <c r="E44" s="283" t="n"/>
      <c r="F44" s="283" t="n"/>
      <c r="G44" s="283" t="n"/>
      <c r="H44" s="283" t="n"/>
      <c r="I44" s="112">
        <f>IFERROR(SUMPRODUCT((TableBOM[Product ID]=B44)*(TableBOM[Material Category]="CAP")*TableBOM[Item ID]),0)</f>
        <v/>
      </c>
    </row>
    <row r="45" ht="15" customHeight="1" s="244">
      <c r="A45" s="283" t="n"/>
      <c r="B45" s="283" t="n"/>
      <c r="C45" s="283" t="n"/>
      <c r="D45" s="283" t="n"/>
      <c r="E45" s="283" t="n"/>
      <c r="F45" s="283" t="n"/>
      <c r="G45" s="283" t="n"/>
      <c r="H45" s="283" t="n"/>
      <c r="I45" s="112">
        <f>IFERROR(SUMPRODUCT((TableBOM[Product ID]=B45)*(TableBOM[Material Category]="CAP")*TableBOM[Item ID]),0)</f>
        <v/>
      </c>
    </row>
    <row r="46" ht="15" customHeight="1" s="244">
      <c r="A46" s="283" t="n"/>
      <c r="B46" s="283" t="n"/>
      <c r="C46" s="283" t="n"/>
      <c r="D46" s="283" t="n"/>
      <c r="E46" s="283" t="n"/>
      <c r="F46" s="283" t="n"/>
      <c r="G46" s="283" t="n"/>
      <c r="H46" s="283" t="n"/>
      <c r="I46" s="112">
        <f>IFERROR(SUMPRODUCT((TableBOM[Product ID]=B46)*(TableBOM[Material Category]="CAP")*TableBOM[Item ID]),0)</f>
        <v/>
      </c>
    </row>
    <row r="47" ht="15" customHeight="1" s="244">
      <c r="A47" s="283" t="n"/>
      <c r="B47" s="283" t="n"/>
      <c r="C47" s="283" t="n"/>
      <c r="D47" s="283" t="n"/>
      <c r="E47" s="283" t="n"/>
      <c r="F47" s="283" t="n"/>
      <c r="G47" s="283" t="n"/>
      <c r="H47" s="283" t="n"/>
      <c r="I47" s="112">
        <f>IFERROR(SUMPRODUCT((TableBOM[Product ID]=B47)*(TableBOM[Material Category]="CAP")*TableBOM[Item ID]),0)</f>
        <v/>
      </c>
    </row>
    <row r="48" ht="15" customHeight="1" s="244">
      <c r="A48" s="283" t="n"/>
      <c r="B48" s="283" t="n"/>
      <c r="C48" s="283" t="n"/>
      <c r="D48" s="283" t="n"/>
      <c r="E48" s="283" t="n"/>
      <c r="F48" s="283" t="n"/>
      <c r="G48" s="283" t="n"/>
      <c r="H48" s="283" t="n"/>
      <c r="I48" s="112">
        <f>IFERROR(SUMPRODUCT((TableBOM[Product ID]=B48)*(TableBOM[Material Category]="CAP")*TableBOM[Item ID]),0)</f>
        <v/>
      </c>
    </row>
    <row r="49" ht="15" customHeight="1" s="244">
      <c r="A49" s="283" t="n"/>
      <c r="B49" s="283" t="n"/>
      <c r="C49" s="283" t="n"/>
      <c r="D49" s="283" t="n"/>
      <c r="E49" s="283" t="n"/>
      <c r="F49" s="283" t="n"/>
      <c r="G49" s="283" t="n"/>
      <c r="H49" s="283" t="n"/>
      <c r="I49" s="112">
        <f>IFERROR(SUMPRODUCT((TableBOM[Product ID]=B49)*(TableBOM[Material Category]="CAP")*TableBOM[Item ID]),0)</f>
        <v/>
      </c>
    </row>
    <row r="50" ht="15" customHeight="1" s="244">
      <c r="A50" s="283" t="n"/>
      <c r="B50" s="283" t="n"/>
      <c r="C50" s="283" t="n"/>
      <c r="D50" s="283" t="n"/>
      <c r="E50" s="283" t="n"/>
      <c r="F50" s="283" t="n"/>
      <c r="G50" s="283" t="n"/>
      <c r="H50" s="283" t="n"/>
      <c r="I50" s="112">
        <f>IFERROR(SUMPRODUCT((TableBOM[Product ID]=B50)*(TableBOM[Material Category]="CAP")*TableBOM[Item ID]),0)</f>
        <v/>
      </c>
    </row>
    <row r="51" ht="15" customHeight="1" s="244">
      <c r="A51" s="283" t="n"/>
      <c r="B51" s="283" t="n"/>
      <c r="C51" s="283" t="n"/>
      <c r="D51" s="283" t="n"/>
      <c r="E51" s="283" t="n"/>
      <c r="F51" s="283" t="n"/>
      <c r="G51" s="283" t="n"/>
      <c r="H51" s="283" t="n"/>
      <c r="I51" s="112">
        <f>IFERROR(SUMPRODUCT((TableBOM[Product ID]=B51)*(TableBOM[Material Category]="CAP")*TableBOM[Item ID]),0)</f>
        <v/>
      </c>
    </row>
    <row r="52" ht="15" customHeight="1" s="244">
      <c r="A52" s="283" t="n"/>
      <c r="B52" s="283" t="n"/>
      <c r="C52" s="283" t="n"/>
      <c r="D52" s="283" t="n"/>
      <c r="E52" s="283" t="n"/>
      <c r="F52" s="283" t="n"/>
      <c r="G52" s="283" t="n"/>
      <c r="H52" s="283" t="n"/>
      <c r="I52" s="112">
        <f>IFERROR(SUMPRODUCT((TableBOM[Product ID]=B52)*(TableBOM[Material Category]="CAP")*TableBOM[Item ID]),0)</f>
        <v/>
      </c>
    </row>
    <row r="53" ht="15" customHeight="1" s="244">
      <c r="A53" s="283" t="n"/>
      <c r="B53" s="283" t="n"/>
      <c r="C53" s="283" t="n"/>
      <c r="D53" s="283" t="n"/>
      <c r="E53" s="283" t="n"/>
      <c r="F53" s="283" t="n"/>
      <c r="G53" s="283" t="n"/>
      <c r="H53" s="283" t="n"/>
      <c r="I53" s="112">
        <f>IFERROR(SUMPRODUCT((TableBOM[Product ID]=B53)*(TableBOM[Material Category]="CAP")*TableBOM[Item ID]),0)</f>
        <v/>
      </c>
    </row>
    <row r="54" ht="15" customHeight="1" s="244">
      <c r="A54" s="283" t="n"/>
      <c r="B54" s="283" t="n"/>
      <c r="C54" s="283" t="n"/>
      <c r="D54" s="283" t="n"/>
      <c r="E54" s="283" t="n"/>
      <c r="F54" s="283" t="n"/>
      <c r="G54" s="283" t="n"/>
      <c r="H54" s="283" t="n"/>
      <c r="I54" s="112">
        <f>IFERROR(SUMPRODUCT((TableBOM[Product ID]=B54)*(TableBOM[Material Category]="CAP")*TableBOM[Item ID]),0)</f>
        <v/>
      </c>
    </row>
    <row r="55" ht="15" customHeight="1" s="244">
      <c r="A55" s="283" t="n"/>
      <c r="B55" s="283" t="n"/>
      <c r="C55" s="283" t="n"/>
      <c r="D55" s="283" t="n"/>
      <c r="E55" s="283" t="n"/>
      <c r="F55" s="283" t="n"/>
      <c r="G55" s="283" t="n"/>
      <c r="H55" s="283" t="n"/>
      <c r="I55" s="112">
        <f>IFERROR(SUMPRODUCT((TableBOM[Product ID]=B55)*(TableBOM[Material Category]="CAP")*TableBOM[Item ID]),0)</f>
        <v/>
      </c>
    </row>
    <row r="56" ht="15" customHeight="1" s="244">
      <c r="A56" s="283" t="n"/>
      <c r="B56" s="283" t="n"/>
      <c r="C56" s="283" t="n"/>
      <c r="D56" s="283" t="n"/>
      <c r="E56" s="283" t="n"/>
      <c r="F56" s="283" t="n"/>
      <c r="G56" s="283" t="n"/>
      <c r="H56" s="283" t="n"/>
      <c r="I56" s="112">
        <f>IFERROR(SUMPRODUCT((TableBOM[Product ID]=B56)*(TableBOM[Material Category]="CAP")*TableBOM[Item ID]),0)</f>
        <v/>
      </c>
    </row>
    <row r="57" ht="15" customHeight="1" s="244">
      <c r="A57" s="283" t="n"/>
      <c r="B57" s="283" t="n"/>
      <c r="C57" s="283" t="n"/>
      <c r="D57" s="283" t="n"/>
      <c r="E57" s="283" t="n"/>
      <c r="F57" s="283" t="n"/>
      <c r="G57" s="283" t="n"/>
      <c r="H57" s="283" t="n"/>
      <c r="I57" s="112">
        <f>IFERROR(SUMPRODUCT((TableBOM[Product ID]=B57)*(TableBOM[Material Category]="CAP")*TableBOM[Item ID]),0)</f>
        <v/>
      </c>
    </row>
    <row r="58" ht="15" customHeight="1" s="244">
      <c r="A58" s="283" t="n"/>
      <c r="B58" s="283" t="n"/>
      <c r="C58" s="283" t="n"/>
      <c r="D58" s="283" t="n"/>
      <c r="E58" s="283" t="n"/>
      <c r="F58" s="283" t="n"/>
      <c r="G58" s="283" t="n"/>
      <c r="H58" s="283" t="n"/>
      <c r="I58" s="112">
        <f>IFERROR(SUMPRODUCT((TableBOM[Product ID]=B58)*(TableBOM[Material Category]="CAP")*TableBOM[Item ID]),0)</f>
        <v/>
      </c>
    </row>
    <row r="59" ht="15" customHeight="1" s="244">
      <c r="A59" s="283" t="n"/>
      <c r="B59" s="283" t="n"/>
      <c r="C59" s="283" t="n"/>
      <c r="D59" s="283" t="n"/>
      <c r="E59" s="283" t="n"/>
      <c r="F59" s="283" t="n"/>
      <c r="G59" s="283" t="n"/>
      <c r="H59" s="283" t="n"/>
      <c r="I59" s="112">
        <f>IFERROR(SUMPRODUCT((TableBOM[Product ID]=B59)*(TableBOM[Material Category]="CAP")*TableBOM[Item ID]),0)</f>
        <v/>
      </c>
    </row>
    <row r="60" ht="15" customHeight="1" s="244">
      <c r="A60" s="283" t="n"/>
      <c r="B60" s="283" t="n"/>
      <c r="C60" s="283" t="n"/>
      <c r="D60" s="283" t="n"/>
      <c r="E60" s="283" t="n"/>
      <c r="F60" s="283" t="n"/>
      <c r="G60" s="283" t="n"/>
      <c r="H60" s="283" t="n"/>
      <c r="I60" s="112">
        <f>IFERROR(SUMPRODUCT((TableBOM[Product ID]=B60)*(TableBOM[Material Category]="CAP")*TableBOM[Item ID]),0)</f>
        <v/>
      </c>
    </row>
    <row r="61" ht="15" customHeight="1" s="244">
      <c r="A61" s="283" t="n"/>
      <c r="B61" s="283" t="n"/>
      <c r="C61" s="283" t="n"/>
      <c r="D61" s="283" t="n"/>
      <c r="E61" s="283" t="n"/>
      <c r="F61" s="283" t="n"/>
      <c r="G61" s="283" t="n"/>
      <c r="H61" s="283" t="n"/>
      <c r="I61" s="112">
        <f>IFERROR(SUMPRODUCT((TableBOM[Product ID]=B61)*(TableBOM[Material Category]="CAP")*TableBOM[Item ID]),0)</f>
        <v/>
      </c>
    </row>
    <row r="62" ht="15" customHeight="1" s="244">
      <c r="A62" s="283" t="n"/>
      <c r="B62" s="283" t="n"/>
      <c r="C62" s="283" t="n"/>
      <c r="D62" s="283" t="n"/>
      <c r="E62" s="283" t="n"/>
      <c r="F62" s="283" t="n"/>
      <c r="G62" s="283" t="n"/>
      <c r="H62" s="283" t="n"/>
      <c r="I62" s="112">
        <f>IFERROR(SUMPRODUCT((TableBOM[Product ID]=B62)*(TableBOM[Material Category]="CAP")*TableBOM[Item ID]),0)</f>
        <v/>
      </c>
    </row>
    <row r="63" ht="15" customHeight="1" s="244">
      <c r="A63" s="283" t="n"/>
      <c r="B63" s="283" t="n"/>
      <c r="C63" s="283" t="n"/>
      <c r="D63" s="283" t="n"/>
      <c r="E63" s="283" t="n"/>
      <c r="F63" s="283" t="n"/>
      <c r="G63" s="283" t="n"/>
      <c r="H63" s="283" t="n"/>
      <c r="I63" s="112">
        <f>IFERROR(SUMPRODUCT((TableBOM[Product ID]=B63)*(TableBOM[Material Category]="CAP")*TableBOM[Item ID]),0)</f>
        <v/>
      </c>
    </row>
    <row r="64" ht="15" customHeight="1" s="244">
      <c r="A64" s="283" t="n"/>
      <c r="B64" s="283" t="n"/>
      <c r="C64" s="283" t="n"/>
      <c r="D64" s="283" t="n"/>
      <c r="E64" s="283" t="n"/>
      <c r="F64" s="283" t="n"/>
      <c r="G64" s="283" t="n"/>
      <c r="H64" s="283" t="n"/>
      <c r="I64" s="112">
        <f>IFERROR(SUMPRODUCT((TableBOM[Product ID]=B64)*(TableBOM[Material Category]="CAP")*TableBOM[Item ID]),0)</f>
        <v/>
      </c>
    </row>
    <row r="65" ht="15" customHeight="1" s="244">
      <c r="A65" s="283" t="n"/>
      <c r="B65" s="283" t="n"/>
      <c r="C65" s="283" t="n"/>
      <c r="D65" s="283" t="n"/>
      <c r="E65" s="283" t="n"/>
      <c r="F65" s="283" t="n"/>
      <c r="G65" s="283" t="n"/>
      <c r="H65" s="283" t="n"/>
      <c r="I65" s="112">
        <f>IFERROR(SUMPRODUCT((TableBOM[Product ID]=B65)*(TableBOM[Material Category]="CAP")*TableBOM[Item ID]),0)</f>
        <v/>
      </c>
    </row>
    <row r="66" ht="15" customHeight="1" s="244">
      <c r="A66" s="283" t="n"/>
      <c r="B66" s="283" t="n"/>
      <c r="C66" s="283" t="n"/>
      <c r="D66" s="283" t="n"/>
      <c r="E66" s="283" t="n"/>
      <c r="F66" s="283" t="n"/>
      <c r="G66" s="283" t="n"/>
      <c r="H66" s="283" t="n"/>
      <c r="I66" s="112">
        <f>IFERROR(SUMPRODUCT((TableBOM[Product ID]=B66)*(TableBOM[Material Category]="CAP")*TableBOM[Item ID]),0)</f>
        <v/>
      </c>
    </row>
    <row r="67" ht="15" customHeight="1" s="244">
      <c r="A67" s="283" t="n"/>
      <c r="B67" s="283" t="n"/>
      <c r="C67" s="283" t="n"/>
      <c r="D67" s="283" t="n"/>
      <c r="E67" s="283" t="n"/>
      <c r="F67" s="283" t="n"/>
      <c r="G67" s="283" t="n"/>
      <c r="H67" s="283" t="n"/>
      <c r="I67" s="112">
        <f>IFERROR(SUMPRODUCT((TableBOM[Product ID]=B67)*(TableBOM[Material Category]="CAP")*TableBOM[Item ID]),0)</f>
        <v/>
      </c>
    </row>
    <row r="68" ht="15" customHeight="1" s="244">
      <c r="A68" s="283" t="n"/>
      <c r="B68" s="283" t="n"/>
      <c r="C68" s="283" t="n"/>
      <c r="D68" s="283" t="n"/>
      <c r="E68" s="283" t="n"/>
      <c r="F68" s="283" t="n"/>
      <c r="G68" s="283" t="n"/>
      <c r="H68" s="283" t="n"/>
      <c r="I68" s="112">
        <f>IFERROR(SUMPRODUCT((TableBOM[Product ID]=B68)*(TableBOM[Material Category]="CAP")*TableBOM[Item ID]),0)</f>
        <v/>
      </c>
    </row>
    <row r="69" ht="15" customHeight="1" s="244">
      <c r="A69" s="283" t="n"/>
      <c r="B69" s="283" t="n"/>
      <c r="C69" s="283" t="n"/>
      <c r="D69" s="283" t="n"/>
      <c r="E69" s="283" t="n"/>
      <c r="F69" s="283" t="n"/>
      <c r="G69" s="283" t="n"/>
      <c r="H69" s="283" t="n"/>
      <c r="I69" s="112">
        <f>IFERROR(SUMPRODUCT((TableBOM[Product ID]=B69)*(TableBOM[Material Category]="CAP")*TableBOM[Item ID]),0)</f>
        <v/>
      </c>
    </row>
    <row r="70" ht="15" customHeight="1" s="244">
      <c r="A70" s="283" t="n"/>
      <c r="B70" s="283" t="n"/>
      <c r="C70" s="283" t="n"/>
      <c r="D70" s="283" t="n"/>
      <c r="E70" s="283" t="n"/>
      <c r="F70" s="283" t="n"/>
      <c r="G70" s="283" t="n"/>
      <c r="H70" s="283" t="n"/>
      <c r="I70" s="112">
        <f>IFERROR(SUMPRODUCT((TableBOM[Product ID]=B70)*(TableBOM[Material Category]="CAP")*TableBOM[Item ID]),0)</f>
        <v/>
      </c>
    </row>
    <row r="71" ht="15" customHeight="1" s="244">
      <c r="A71" s="283" t="n"/>
      <c r="B71" s="283" t="n"/>
      <c r="C71" s="283" t="n"/>
      <c r="D71" s="283" t="n"/>
      <c r="E71" s="283" t="n"/>
      <c r="F71" s="283" t="n"/>
      <c r="G71" s="283" t="n"/>
      <c r="H71" s="283" t="n"/>
      <c r="I71" s="112">
        <f>IFERROR(SUMPRODUCT((TableBOM[Product ID]=B71)*(TableBOM[Material Category]="CAP")*TableBOM[Item ID]),0)</f>
        <v/>
      </c>
    </row>
    <row r="72" ht="15" customHeight="1" s="244">
      <c r="A72" s="283" t="n"/>
      <c r="B72" s="283" t="n"/>
      <c r="C72" s="283" t="n"/>
      <c r="D72" s="283" t="n"/>
      <c r="E72" s="283" t="n"/>
      <c r="F72" s="283" t="n"/>
      <c r="G72" s="283" t="n"/>
      <c r="H72" s="283" t="n"/>
      <c r="I72" s="112">
        <f>IFERROR(SUMPRODUCT((TableBOM[Product ID]=B72)*(TableBOM[Material Category]="CAP")*TableBOM[Item ID]),0)</f>
        <v/>
      </c>
    </row>
    <row r="73" ht="15" customHeight="1" s="244">
      <c r="A73" s="283" t="n"/>
      <c r="B73" s="283" t="n"/>
      <c r="C73" s="283" t="n"/>
      <c r="D73" s="283" t="n"/>
      <c r="E73" s="283" t="n"/>
      <c r="F73" s="283" t="n"/>
      <c r="G73" s="283" t="n"/>
      <c r="H73" s="283" t="n"/>
      <c r="I73" s="112">
        <f>IFERROR(SUMPRODUCT((TableBOM[Product ID]=B73)*(TableBOM[Material Category]="CAP")*TableBOM[Item ID]),0)</f>
        <v/>
      </c>
    </row>
    <row r="74" ht="15" customHeight="1" s="244">
      <c r="A74" s="283" t="n"/>
      <c r="B74" s="283" t="n"/>
      <c r="C74" s="283" t="n"/>
      <c r="D74" s="283" t="n"/>
      <c r="E74" s="283" t="n"/>
      <c r="F74" s="283" t="n"/>
      <c r="G74" s="283" t="n"/>
      <c r="H74" s="283" t="n"/>
      <c r="I74" s="112">
        <f>IFERROR(SUMPRODUCT((TableBOM[Product ID]=B74)*(TableBOM[Material Category]="CAP")*TableBOM[Item ID]),0)</f>
        <v/>
      </c>
    </row>
    <row r="75" ht="15" customHeight="1" s="244">
      <c r="A75" s="283" t="n"/>
      <c r="B75" s="283" t="n"/>
      <c r="C75" s="283" t="n"/>
      <c r="D75" s="283" t="n"/>
      <c r="E75" s="283" t="n"/>
      <c r="F75" s="283" t="n"/>
      <c r="G75" s="283" t="n"/>
      <c r="H75" s="283" t="n"/>
      <c r="I75" s="112">
        <f>IFERROR(SUMPRODUCT((TableBOM[Product ID]=B75)*(TableBOM[Material Category]="CAP")*TableBOM[Item ID]),0)</f>
        <v/>
      </c>
    </row>
    <row r="76" ht="15" customHeight="1" s="244">
      <c r="A76" s="283" t="n"/>
      <c r="B76" s="283" t="n"/>
      <c r="C76" s="283" t="n"/>
      <c r="D76" s="283" t="n"/>
      <c r="E76" s="283" t="n"/>
      <c r="F76" s="283" t="n"/>
      <c r="G76" s="283" t="n"/>
      <c r="H76" s="283" t="n"/>
      <c r="I76" s="112">
        <f>IFERROR(SUMPRODUCT((TableBOM[Product ID]=B76)*(TableBOM[Material Category]="CAP")*TableBOM[Item ID]),0)</f>
        <v/>
      </c>
    </row>
    <row r="77" ht="15" customHeight="1" s="244">
      <c r="A77" s="283" t="n"/>
      <c r="B77" s="283" t="n"/>
      <c r="C77" s="283" t="n"/>
      <c r="D77" s="283" t="n"/>
      <c r="E77" s="283" t="n"/>
      <c r="F77" s="283" t="n"/>
      <c r="G77" s="283" t="n"/>
      <c r="H77" s="283" t="n"/>
      <c r="I77" s="112">
        <f>IFERROR(SUMPRODUCT((TableBOM[Product ID]=B77)*(TableBOM[Material Category]="CAP")*TableBOM[Item ID]),0)</f>
        <v/>
      </c>
    </row>
    <row r="78" ht="15" customHeight="1" s="244">
      <c r="A78" s="283" t="n"/>
      <c r="B78" s="283" t="n"/>
      <c r="C78" s="283" t="n"/>
      <c r="D78" s="283" t="n"/>
      <c r="E78" s="283" t="n"/>
      <c r="F78" s="283" t="n"/>
      <c r="G78" s="283" t="n"/>
      <c r="H78" s="283" t="n"/>
      <c r="I78" s="112">
        <f>IFERROR(SUMPRODUCT((TableBOM[Product ID]=B78)*(TableBOM[Material Category]="CAP")*TableBOM[Item ID]),0)</f>
        <v/>
      </c>
    </row>
    <row r="79" ht="15" customHeight="1" s="244">
      <c r="A79" s="283" t="n"/>
      <c r="B79" s="283" t="n"/>
      <c r="C79" s="283" t="n"/>
      <c r="D79" s="283" t="n"/>
      <c r="E79" s="283" t="n"/>
      <c r="F79" s="283" t="n"/>
      <c r="G79" s="283" t="n"/>
      <c r="H79" s="283" t="n"/>
      <c r="I79" s="112">
        <f>IFERROR(SUMPRODUCT((TableBOM[Product ID]=B79)*(TableBOM[Material Category]="CAP")*TableBOM[Item ID]),0)</f>
        <v/>
      </c>
    </row>
    <row r="80" ht="15" customHeight="1" s="244">
      <c r="A80" s="283" t="n"/>
      <c r="B80" s="283" t="n"/>
      <c r="C80" s="283" t="n"/>
      <c r="D80" s="283" t="n"/>
      <c r="E80" s="283" t="n"/>
      <c r="F80" s="283" t="n"/>
      <c r="G80" s="283" t="n"/>
      <c r="H80" s="283" t="n"/>
      <c r="I80" s="112">
        <f>IFERROR(SUMPRODUCT((TableBOM[Product ID]=B80)*(TableBOM[Material Category]="CAP")*TableBOM[Item ID]),0)</f>
        <v/>
      </c>
    </row>
    <row r="81" ht="15" customHeight="1" s="244">
      <c r="A81" s="283" t="n"/>
      <c r="B81" s="283" t="n"/>
      <c r="C81" s="283" t="n"/>
      <c r="D81" s="283" t="n"/>
      <c r="E81" s="283" t="n"/>
      <c r="F81" s="283" t="n"/>
      <c r="G81" s="283" t="n"/>
      <c r="H81" s="283" t="n"/>
      <c r="I81" s="112">
        <f>IFERROR(SUMPRODUCT((TableBOM[Product ID]=B81)*(TableBOM[Material Category]="CAP")*TableBOM[Item ID]),0)</f>
        <v/>
      </c>
    </row>
    <row r="82" ht="15" customHeight="1" s="244">
      <c r="A82" s="283" t="n"/>
      <c r="B82" s="283" t="n"/>
      <c r="C82" s="283" t="n"/>
      <c r="D82" s="283" t="n"/>
      <c r="E82" s="283" t="n"/>
      <c r="F82" s="283" t="n"/>
      <c r="G82" s="283" t="n"/>
      <c r="H82" s="283" t="n"/>
      <c r="I82" s="112">
        <f>IFERROR(SUMPRODUCT((TableBOM[Product ID]=B82)*(TableBOM[Material Category]="CAP")*TableBOM[Item ID]),0)</f>
        <v/>
      </c>
    </row>
    <row r="83" ht="15" customHeight="1" s="244">
      <c r="A83" s="283" t="n"/>
      <c r="B83" s="283" t="n"/>
      <c r="C83" s="283" t="n"/>
      <c r="D83" s="283" t="n"/>
      <c r="E83" s="283" t="n"/>
      <c r="F83" s="283" t="n"/>
      <c r="G83" s="283" t="n"/>
      <c r="H83" s="283" t="n"/>
      <c r="I83" s="112">
        <f>IFERROR(SUMPRODUCT((TableBOM[Product ID]=B83)*(TableBOM[Material Category]="CAP")*TableBOM[Item ID]),0)</f>
        <v/>
      </c>
    </row>
    <row r="84" ht="15" customHeight="1" s="244">
      <c r="A84" s="283" t="n"/>
      <c r="B84" s="283" t="n"/>
      <c r="C84" s="283" t="n"/>
      <c r="D84" s="283" t="n"/>
      <c r="E84" s="283" t="n"/>
      <c r="F84" s="283" t="n"/>
      <c r="G84" s="283" t="n"/>
      <c r="H84" s="283" t="n"/>
      <c r="I84" s="112">
        <f>IFERROR(SUMPRODUCT((TableBOM[Product ID]=B84)*(TableBOM[Material Category]="CAP")*TableBOM[Item ID]),0)</f>
        <v/>
      </c>
    </row>
    <row r="85" ht="15" customHeight="1" s="244">
      <c r="A85" s="283" t="n"/>
      <c r="B85" s="283" t="n"/>
      <c r="C85" s="283" t="n"/>
      <c r="D85" s="283" t="n"/>
      <c r="E85" s="283" t="n"/>
      <c r="F85" s="283" t="n"/>
      <c r="G85" s="283" t="n"/>
      <c r="H85" s="283" t="n"/>
      <c r="I85" s="112">
        <f>IFERROR(SUMPRODUCT((TableBOM[Product ID]=B85)*(TableBOM[Material Category]="CAP")*TableBOM[Item ID]),0)</f>
        <v/>
      </c>
    </row>
    <row r="86" ht="15" customHeight="1" s="244">
      <c r="A86" s="283" t="n"/>
      <c r="B86" s="283" t="n"/>
      <c r="C86" s="283" t="n"/>
      <c r="D86" s="283" t="n"/>
      <c r="E86" s="283" t="n"/>
      <c r="F86" s="283" t="n"/>
      <c r="G86" s="283" t="n"/>
      <c r="H86" s="283" t="n"/>
      <c r="I86" s="112">
        <f>IFERROR(SUMPRODUCT((TableBOM[Product ID]=B86)*(TableBOM[Material Category]="CAP")*TableBOM[Item ID]),0)</f>
        <v/>
      </c>
    </row>
    <row r="87" ht="15" customHeight="1" s="244">
      <c r="A87" s="283" t="n"/>
      <c r="B87" s="283" t="n"/>
      <c r="C87" s="283" t="n"/>
      <c r="D87" s="283" t="n"/>
      <c r="E87" s="283" t="n"/>
      <c r="F87" s="283" t="n"/>
      <c r="G87" s="283" t="n"/>
      <c r="H87" s="283" t="n"/>
      <c r="I87" s="112">
        <f>IFERROR(SUMPRODUCT((TableBOM[Product ID]=B87)*(TableBOM[Material Category]="CAP")*TableBOM[Item ID]),0)</f>
        <v/>
      </c>
    </row>
    <row r="88" ht="15" customHeight="1" s="244">
      <c r="A88" s="283" t="n"/>
      <c r="B88" s="283" t="n"/>
      <c r="C88" s="283" t="n"/>
      <c r="D88" s="283" t="n"/>
      <c r="E88" s="283" t="n"/>
      <c r="F88" s="283" t="n"/>
      <c r="G88" s="283" t="n"/>
      <c r="H88" s="283" t="n"/>
      <c r="I88" s="112">
        <f>IFERROR(SUMPRODUCT((TableBOM[Product ID]=B88)*(TableBOM[Material Category]="CAP")*TableBOM[Item ID]),0)</f>
        <v/>
      </c>
    </row>
    <row r="89" ht="15" customHeight="1" s="244">
      <c r="A89" s="283" t="n"/>
      <c r="B89" s="283" t="n"/>
      <c r="C89" s="283" t="n"/>
      <c r="D89" s="283" t="n"/>
      <c r="E89" s="283" t="n"/>
      <c r="F89" s="283" t="n"/>
      <c r="G89" s="283" t="n"/>
      <c r="H89" s="283" t="n"/>
      <c r="I89" s="112">
        <f>IFERROR(SUMPRODUCT((TableBOM[Product ID]=B89)*(TableBOM[Material Category]="CAP")*TableBOM[Item ID]),0)</f>
        <v/>
      </c>
    </row>
    <row r="90" ht="15" customHeight="1" s="244">
      <c r="A90" s="283" t="n"/>
      <c r="B90" s="283" t="n"/>
      <c r="C90" s="283" t="n"/>
      <c r="D90" s="283" t="n"/>
      <c r="E90" s="283" t="n"/>
      <c r="F90" s="283" t="n"/>
      <c r="G90" s="283" t="n"/>
      <c r="H90" s="283" t="n"/>
      <c r="I90" s="112">
        <f>IFERROR(SUMPRODUCT((TableBOM[Product ID]=B90)*(TableBOM[Material Category]="CAP")*TableBOM[Item ID]),0)</f>
        <v/>
      </c>
    </row>
    <row r="91" ht="15" customHeight="1" s="244">
      <c r="A91" s="283" t="n"/>
      <c r="B91" s="283" t="n"/>
      <c r="C91" s="283" t="n"/>
      <c r="D91" s="283" t="n"/>
      <c r="E91" s="283" t="n"/>
      <c r="F91" s="283" t="n"/>
      <c r="G91" s="283" t="n"/>
      <c r="H91" s="283" t="n"/>
      <c r="I91" s="112">
        <f>IFERROR(SUMPRODUCT((TableBOM[Product ID]=B91)*(TableBOM[Material Category]="CAP")*TableBOM[Item ID]),0)</f>
        <v/>
      </c>
    </row>
    <row r="92" ht="15" customHeight="1" s="244">
      <c r="A92" s="283" t="n"/>
      <c r="B92" s="283" t="n"/>
      <c r="C92" s="283" t="n"/>
      <c r="D92" s="283" t="n"/>
      <c r="E92" s="283" t="n"/>
      <c r="F92" s="283" t="n"/>
      <c r="G92" s="283" t="n"/>
      <c r="H92" s="283" t="n"/>
      <c r="I92" s="112">
        <f>IFERROR(SUMPRODUCT((TableBOM[Product ID]=B92)*(TableBOM[Material Category]="CAP")*TableBOM[Item ID]),0)</f>
        <v/>
      </c>
    </row>
    <row r="93" ht="15" customHeight="1" s="244">
      <c r="A93" s="283" t="n"/>
      <c r="B93" s="283" t="n"/>
      <c r="C93" s="283" t="n"/>
      <c r="D93" s="283" t="n"/>
      <c r="E93" s="283" t="n"/>
      <c r="F93" s="283" t="n"/>
      <c r="G93" s="283" t="n"/>
      <c r="H93" s="283" t="n"/>
      <c r="I93" s="112">
        <f>IFERROR(SUMPRODUCT((TableBOM[Product ID]=B93)*(TableBOM[Material Category]="CAP")*TableBOM[Item ID]),0)</f>
        <v/>
      </c>
    </row>
    <row r="94" ht="15" customHeight="1" s="244">
      <c r="A94" s="283" t="n"/>
      <c r="B94" s="283" t="n"/>
      <c r="C94" s="283" t="n"/>
      <c r="D94" s="283" t="n"/>
      <c r="E94" s="283" t="n"/>
      <c r="F94" s="283" t="n"/>
      <c r="G94" s="283" t="n"/>
      <c r="H94" s="283" t="n"/>
      <c r="I94" s="112">
        <f>IFERROR(SUMPRODUCT((TableBOM[Product ID]=B94)*(TableBOM[Material Category]="CAP")*TableBOM[Item ID]),0)</f>
        <v/>
      </c>
    </row>
    <row r="95" ht="15" customHeight="1" s="244">
      <c r="A95" s="283" t="n"/>
      <c r="B95" s="283" t="n"/>
      <c r="C95" s="283" t="n"/>
      <c r="D95" s="283" t="n"/>
      <c r="E95" s="283" t="n"/>
      <c r="F95" s="283" t="n"/>
      <c r="G95" s="283" t="n"/>
      <c r="H95" s="283" t="n"/>
      <c r="I95" s="112">
        <f>IFERROR(SUMPRODUCT((TableBOM[Product ID]=B95)*(TableBOM[Material Category]="CAP")*TableBOM[Item ID]),0)</f>
        <v/>
      </c>
    </row>
    <row r="96" ht="15" customHeight="1" s="244">
      <c r="A96" s="283" t="n"/>
      <c r="B96" s="283" t="n"/>
      <c r="C96" s="283" t="n"/>
      <c r="D96" s="283" t="n"/>
      <c r="E96" s="283" t="n"/>
      <c r="F96" s="283" t="n"/>
      <c r="G96" s="283" t="n"/>
      <c r="H96" s="283" t="n"/>
      <c r="I96" s="112">
        <f>IFERROR(SUMPRODUCT((TableBOM[Product ID]=B96)*(TableBOM[Material Category]="CAP")*TableBOM[Item ID]),0)</f>
        <v/>
      </c>
    </row>
    <row r="97" ht="15" customHeight="1" s="244">
      <c r="A97" s="283" t="n"/>
      <c r="B97" s="283" t="n"/>
      <c r="C97" s="283" t="n"/>
      <c r="D97" s="283" t="n"/>
      <c r="E97" s="283" t="n"/>
      <c r="F97" s="283" t="n"/>
      <c r="G97" s="283" t="n"/>
      <c r="H97" s="283" t="n"/>
      <c r="I97" s="112">
        <f>IFERROR(SUMPRODUCT((TableBOM[Product ID]=B97)*(TableBOM[Material Category]="CAP")*TableBOM[Item ID]),0)</f>
        <v/>
      </c>
    </row>
    <row r="98" ht="15" customHeight="1" s="244">
      <c r="A98" s="283" t="n"/>
      <c r="B98" s="283" t="n"/>
      <c r="C98" s="283" t="n"/>
      <c r="D98" s="283" t="n"/>
      <c r="E98" s="283" t="n"/>
      <c r="F98" s="283" t="n"/>
      <c r="G98" s="283" t="n"/>
      <c r="H98" s="283" t="n"/>
      <c r="I98" s="112">
        <f>IFERROR(SUMPRODUCT((TableBOM[Product ID]=B98)*(TableBOM[Material Category]="CAP")*TableBOM[Item ID]),0)</f>
        <v/>
      </c>
    </row>
    <row r="99" ht="15" customHeight="1" s="244">
      <c r="A99" s="283" t="n"/>
      <c r="B99" s="283" t="n"/>
      <c r="C99" s="283" t="n"/>
      <c r="D99" s="283" t="n"/>
      <c r="E99" s="283" t="n"/>
      <c r="F99" s="283" t="n"/>
      <c r="G99" s="283" t="n"/>
      <c r="H99" s="283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4" min="1" max="1"/>
    <col width="38" customWidth="1" style="244" min="2" max="2"/>
    <col width="50" customWidth="1" style="244" min="3" max="4"/>
    <col width="28" customWidth="1" style="244" min="5" max="5"/>
    <col width="40" customWidth="1" style="244" min="6" max="10"/>
  </cols>
  <sheetData>
    <row r="1" ht="32.1" customHeight="1" s="244">
      <c r="A1" s="254" t="inlineStr">
        <is>
          <t>ALPHA CONTAINERS — PROJECT REFERENCE GUIDE</t>
        </is>
      </c>
    </row>
    <row r="2" ht="18" customHeight="1" s="244">
      <c r="A2" s="255" t="inlineStr">
        <is>
          <t>Last Updated: 16-May-2026 | File: AlphaContainers_v10_27.xlsx | 9 sheets</t>
        </is>
      </c>
    </row>
    <row r="3" ht="8.1" customHeight="1" s="244">
      <c r="A3" s="139" t="n"/>
      <c r="B3" s="139" t="n"/>
      <c r="C3" s="140" t="n"/>
      <c r="D3" s="140" t="n"/>
      <c r="E3" s="140" t="n"/>
      <c r="F3" s="140" t="n"/>
    </row>
    <row r="4" ht="24" customHeight="1" s="244">
      <c r="A4" s="249" t="inlineStr">
        <is>
          <t>S0 — DAILY WORKFLOW</t>
        </is>
      </c>
    </row>
    <row r="5" ht="15.95" customHeight="1" s="244">
      <c r="A5" s="252" t="inlineStr">
        <is>
          <t>Automated pipeline via Run_All_Updates.bat or individual scripts.</t>
        </is>
      </c>
    </row>
    <row r="6" ht="18" customHeight="1" s="24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4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5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5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5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4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5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4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53">
      <c r="A17" s="143" t="n"/>
      <c r="B17" s="144" t="n"/>
      <c r="C17" s="144" t="n"/>
      <c r="D17" s="144" t="n"/>
      <c r="E17" s="140" t="n"/>
      <c r="F17" s="140" t="n"/>
    </row>
    <row r="18" ht="15.95" customFormat="1" customHeight="1" s="253">
      <c r="A18" s="252" t="inlineStr">
        <is>
          <t>Individual scripts: update_production.py also runs sort_dashboard automatically at the end.</t>
        </is>
      </c>
    </row>
    <row r="19" ht="15.95" customFormat="1" customHeight="1" s="253">
      <c r="A19" s="252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52" t="inlineStr">
        <is>
          <t>Logging: All output saved to Logs/ folder with timestamps. Mismatches logged to Logs/mismatches.log.</t>
        </is>
      </c>
    </row>
    <row r="21" ht="8.1" customHeight="1" s="244">
      <c r="A21" s="145" t="n"/>
      <c r="B21" s="145" t="n"/>
      <c r="C21" s="145" t="n"/>
      <c r="D21" s="143" t="n"/>
      <c r="E21" s="140" t="n"/>
      <c r="F21" s="140" t="n"/>
    </row>
    <row r="22" ht="24" customHeight="1" s="244">
      <c r="A22" s="249" t="inlineStr">
        <is>
          <t>S1 — PEOPLE</t>
        </is>
      </c>
    </row>
    <row r="23" ht="18" customHeight="1" s="24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4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4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4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44">
      <c r="A30" s="145" t="n"/>
      <c r="B30" s="145" t="n"/>
      <c r="C30" s="145" t="n"/>
      <c r="D30" s="143" t="n"/>
      <c r="E30" s="140" t="n"/>
      <c r="F30" s="140" t="n"/>
    </row>
    <row r="31" ht="24" customHeight="1" s="244">
      <c r="A31" s="249" t="inlineStr">
        <is>
          <t>S2 — PLANTS &amp; MACHINES</t>
        </is>
      </c>
    </row>
    <row r="32" ht="18" customHeight="1" s="24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4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44">
      <c r="A36" s="145" t="n"/>
      <c r="B36" s="145" t="n"/>
      <c r="C36" s="145" t="n"/>
      <c r="D36" s="143" t="n"/>
      <c r="E36" s="140" t="n"/>
      <c r="F36" s="140" t="n"/>
    </row>
    <row r="37" ht="18" customHeight="1" s="24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4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4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4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4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4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44">
      <c r="A43" s="145" t="n"/>
      <c r="B43" s="145" t="n"/>
      <c r="C43" s="145" t="n"/>
      <c r="D43" s="143" t="n"/>
      <c r="E43" s="140" t="n"/>
      <c r="F43" s="140" t="n"/>
    </row>
    <row r="44" ht="24" customHeight="1" s="244">
      <c r="A44" s="249" t="inlineStr">
        <is>
          <t>S3 — SHEET MAP (9 sheets)</t>
        </is>
      </c>
    </row>
    <row r="45" ht="18" customHeight="1" s="24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4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4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4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4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4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4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4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4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4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44">
      <c r="A55" s="145" t="n"/>
      <c r="B55" s="145" t="n"/>
      <c r="C55" s="145" t="n"/>
      <c r="D55" s="143" t="n"/>
      <c r="E55" s="140" t="n"/>
      <c r="F55" s="140" t="n"/>
    </row>
    <row r="56" ht="24" customHeight="1" s="244">
      <c r="A56" s="249" t="inlineStr">
        <is>
          <t>S4 — AUTOMATION SCRIPTS</t>
        </is>
      </c>
    </row>
    <row r="57" ht="18" customHeight="1" s="24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4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4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4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4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4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4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44">
      <c r="A67" s="145" t="n"/>
      <c r="B67" s="145" t="n"/>
      <c r="C67" s="145" t="n"/>
      <c r="D67" s="143" t="n"/>
      <c r="E67" s="140" t="n"/>
      <c r="F67" s="140" t="n"/>
    </row>
    <row r="68" ht="24" customHeight="1" s="244">
      <c r="A68" s="249" t="inlineStr">
        <is>
          <t>S5 — DASHBOARD SORT RULES (sort_dashboard.py)</t>
        </is>
      </c>
    </row>
    <row r="69" ht="18" customHeight="1" s="24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4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4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4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4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4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4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4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4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4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44">
      <c r="A79" s="145" t="n"/>
      <c r="B79" s="145" t="n"/>
      <c r="C79" s="145" t="n"/>
      <c r="D79" s="143" t="n"/>
      <c r="E79" s="140" t="n"/>
      <c r="F79" s="140" t="n"/>
    </row>
    <row r="80" ht="24" customHeight="1" s="244">
      <c r="A80" s="249" t="inlineStr">
        <is>
          <t>S6 — CRITICAL RULES (DO NOT BREAK)</t>
        </is>
      </c>
    </row>
    <row r="81" ht="18" customHeight="1" s="24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4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4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4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4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4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4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4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4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4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4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4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44">
      <c r="A93" s="139" t="n"/>
      <c r="B93" s="144" t="n"/>
      <c r="C93" s="144" t="n"/>
      <c r="D93" s="144" t="n"/>
      <c r="E93" s="140" t="n"/>
      <c r="F93" s="140" t="n"/>
    </row>
    <row r="94" ht="24" customHeight="1" s="244">
      <c r="A94" s="249" t="inlineStr">
        <is>
          <t>S7 — CUSTOMER &amp; ERP CONTEXT</t>
        </is>
      </c>
    </row>
    <row r="95" ht="18" customHeight="1" s="24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4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4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4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4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4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4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4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44">
      <c r="A109" s="145" t="n"/>
      <c r="B109" s="145" t="n"/>
      <c r="C109" s="145" t="n"/>
      <c r="D109" s="143" t="n"/>
      <c r="E109" s="140" t="n"/>
      <c r="F109" s="140" t="n"/>
    </row>
    <row r="110" ht="24" customHeight="1" s="244">
      <c r="A110" s="249" t="inlineStr">
        <is>
          <t>S8 — COATING CONSUMPTION STUDY</t>
        </is>
      </c>
    </row>
    <row r="111" ht="18" customHeight="1" s="24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4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4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4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4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4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44">
      <c r="A117" s="145" t="n"/>
      <c r="B117" s="145" t="n"/>
      <c r="C117" s="145" t="n"/>
      <c r="D117" s="143" t="n"/>
      <c r="E117" s="140" t="n"/>
      <c r="F117" s="140" t="n"/>
    </row>
    <row r="118" ht="24" customHeight="1" s="244">
      <c r="A118" s="249" t="inlineStr">
        <is>
          <t>S9 — INK MANAGEMENT (Historical Average Method)</t>
        </is>
      </c>
    </row>
    <row r="119" ht="15.95" customHeight="1" s="244">
      <c r="A119" s="252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4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4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4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4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4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44">
      <c r="A127" s="140" t="n"/>
      <c r="B127" s="140" t="n"/>
      <c r="C127" s="140" t="n"/>
      <c r="D127" s="140" t="n"/>
      <c r="E127" s="140" t="n"/>
      <c r="F127" s="140" t="n"/>
    </row>
    <row r="128" ht="24" customHeight="1" s="244">
      <c r="A128" s="249" t="inlineStr">
        <is>
          <t>S10 — OPEN ACTION ITEMS</t>
        </is>
      </c>
    </row>
    <row r="129" ht="18" customHeight="1" s="24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4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4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4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4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4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4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4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4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4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4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4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4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4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4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4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4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4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4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4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4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4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44">
      <c r="A151" s="140" t="n"/>
      <c r="B151" s="140" t="n"/>
      <c r="C151" s="140" t="n"/>
      <c r="D151" s="140" t="n"/>
      <c r="E151" s="140" t="n"/>
      <c r="F151" s="140" t="n"/>
    </row>
    <row r="152" ht="24" customHeight="1" s="244">
      <c r="A152" s="249" t="inlineStr">
        <is>
          <t>S11 — FUTURE TASKS (Sikander)</t>
        </is>
      </c>
    </row>
    <row r="153" ht="18" customHeight="1" s="24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4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4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44">
      <c r="A156" s="249" t="inlineStr">
        <is>
          <t>S12 — RESOLVED ITEMS (for reference)</t>
        </is>
      </c>
    </row>
    <row r="157" ht="18" customHeight="1" s="24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4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4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4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4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4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2026-06-02T05:27:40Z</dcterms:modified>
  <cp:lastModifiedBy>Sikander Shahjahan</cp:lastModifiedBy>
  <cp:category>Operations</cp:category>
  <cp:revision>37</cp:revision>
  <cp:keywords>production inventory planning procurement</cp:keywords>
</cp:coreProperties>
</file>