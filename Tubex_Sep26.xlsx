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AC2845BB-9699-46AF-8370-D00976AB93FF}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N21" i="1"/>
  <c r="H21" i="1"/>
  <c r="G21" i="1"/>
  <c r="N20" i="1"/>
  <c r="H20" i="1"/>
  <c r="G20" i="1"/>
  <c r="N19" i="1"/>
  <c r="H19" i="1"/>
  <c r="H25" i="1" s="1"/>
  <c r="G19" i="1"/>
  <c r="N18" i="1"/>
  <c r="K18" i="1"/>
  <c r="N17" i="1"/>
  <c r="H17" i="1"/>
  <c r="G17" i="1"/>
  <c r="N16" i="1"/>
  <c r="H16" i="1"/>
  <c r="G16" i="1"/>
  <c r="H15" i="1"/>
  <c r="G15" i="1"/>
  <c r="H14" i="1"/>
  <c r="H13" i="1"/>
  <c r="G13" i="1"/>
  <c r="H12" i="1"/>
  <c r="G12" i="1"/>
  <c r="N11" i="1"/>
  <c r="H11" i="1"/>
  <c r="H18" i="1" s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1" i="2"/>
  <c r="F110" i="2"/>
  <c r="F109" i="2"/>
  <c r="F108" i="2"/>
  <c r="F107" i="2"/>
  <c r="F106" i="2"/>
  <c r="F105" i="2"/>
  <c r="G101" i="2"/>
  <c r="H101" i="2" s="1"/>
  <c r="G100" i="2"/>
  <c r="F100" i="2"/>
  <c r="G99" i="2"/>
  <c r="H99" i="2" s="1"/>
  <c r="G98" i="2"/>
  <c r="H98" i="2" s="1"/>
  <c r="G97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J62" i="1" l="1"/>
  <c r="I62" i="1"/>
  <c r="E15" i="11"/>
  <c r="F15" i="11" s="1"/>
  <c r="G15" i="11" s="1"/>
  <c r="F6" i="11"/>
  <c r="G6" i="11" s="1"/>
  <c r="B15" i="11"/>
  <c r="D15" i="11" s="1"/>
  <c r="D6" i="11"/>
  <c r="I67" i="1"/>
  <c r="J67" i="1"/>
  <c r="I66" i="1"/>
  <c r="J66" i="1"/>
  <c r="I65" i="1"/>
  <c r="J65" i="1"/>
  <c r="I64" i="1"/>
  <c r="J64" i="1"/>
  <c r="I63" i="1"/>
  <c r="J63" i="1"/>
  <c r="I61" i="1"/>
  <c r="J61" i="1"/>
  <c r="J60" i="1"/>
  <c r="I60" i="1"/>
  <c r="I59" i="1"/>
  <c r="J59" i="1"/>
  <c r="I58" i="1"/>
  <c r="J58" i="1"/>
  <c r="I57" i="1"/>
  <c r="J57" i="1"/>
  <c r="I56" i="1"/>
  <c r="J56" i="1"/>
  <c r="J55" i="1"/>
  <c r="I55" i="1"/>
  <c r="I54" i="1"/>
  <c r="J54" i="1"/>
  <c r="I53" i="1"/>
  <c r="J53" i="1"/>
  <c r="I52" i="1"/>
  <c r="J52" i="1"/>
  <c r="J51" i="1"/>
  <c r="I51" i="1"/>
  <c r="I50" i="1"/>
  <c r="J50" i="1"/>
  <c r="I49" i="1"/>
  <c r="J49" i="1"/>
  <c r="I48" i="1"/>
  <c r="J48" i="1"/>
  <c r="J47" i="1"/>
  <c r="I47" i="1"/>
  <c r="I46" i="1"/>
  <c r="J46" i="1"/>
  <c r="I45" i="1"/>
  <c r="J45" i="1"/>
  <c r="I44" i="1"/>
  <c r="J44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J36" i="1"/>
  <c r="I36" i="1"/>
  <c r="J35" i="1"/>
  <c r="I35" i="1"/>
  <c r="J34" i="1"/>
  <c r="I34" i="1"/>
  <c r="J33" i="1"/>
  <c r="I33" i="1"/>
  <c r="I32" i="1"/>
  <c r="J32" i="1"/>
  <c r="J31" i="1"/>
  <c r="I31" i="1"/>
  <c r="J30" i="1"/>
  <c r="I30" i="1"/>
  <c r="I29" i="1"/>
  <c r="J29" i="1"/>
  <c r="J28" i="1"/>
  <c r="I28" i="1"/>
  <c r="J27" i="1"/>
  <c r="I27" i="1"/>
  <c r="I26" i="1"/>
  <c r="J26" i="1"/>
  <c r="J24" i="1"/>
  <c r="I24" i="1"/>
  <c r="J23" i="1"/>
  <c r="I23" i="1"/>
  <c r="I21" i="1"/>
  <c r="J21" i="1"/>
  <c r="J20" i="1"/>
  <c r="I20" i="1"/>
  <c r="J19" i="1"/>
  <c r="I19" i="1"/>
  <c r="I17" i="1"/>
  <c r="J17" i="1"/>
  <c r="N22" i="1"/>
  <c r="O16" i="1"/>
  <c r="J16" i="1"/>
  <c r="I16" i="1"/>
  <c r="J15" i="1"/>
  <c r="I15" i="1"/>
  <c r="I13" i="1"/>
  <c r="J13" i="1"/>
  <c r="J12" i="1"/>
  <c r="I12" i="1"/>
  <c r="J11" i="1"/>
  <c r="I11" i="1"/>
  <c r="N12" i="1"/>
  <c r="O7" i="1"/>
  <c r="G22" i="1"/>
  <c r="G25" i="1" s="1"/>
  <c r="J25" i="1" s="1"/>
  <c r="H100" i="2"/>
  <c r="F102" i="2"/>
  <c r="H97" i="2"/>
  <c r="G102" i="2"/>
  <c r="F9" i="2"/>
  <c r="H6" i="2"/>
  <c r="G14" i="1"/>
  <c r="G18" i="1" s="1"/>
  <c r="J18" i="1" s="1"/>
  <c r="G9" i="2"/>
  <c r="H3" i="2"/>
  <c r="O17" i="1" l="1"/>
  <c r="O18" i="1"/>
  <c r="O19" i="1"/>
  <c r="O20" i="1"/>
  <c r="O21" i="1"/>
  <c r="O8" i="1"/>
  <c r="O9" i="1"/>
  <c r="O10" i="1"/>
  <c r="O11" i="1"/>
  <c r="I22" i="1"/>
  <c r="J22" i="1"/>
  <c r="H102" i="2"/>
  <c r="E105" i="2"/>
  <c r="H105" i="2"/>
  <c r="J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I14" i="1"/>
  <c r="I18" i="1" s="1"/>
  <c r="J14" i="1"/>
  <c r="H9" i="2"/>
  <c r="E14" i="2"/>
  <c r="E16" i="2"/>
  <c r="E18" i="2"/>
  <c r="E20" i="2"/>
  <c r="H21" i="2"/>
  <c r="J21" i="2"/>
  <c r="H23" i="2"/>
  <c r="J23" i="2"/>
  <c r="E25" i="2"/>
  <c r="H26" i="2"/>
  <c r="J26" i="2"/>
  <c r="H27" i="2"/>
  <c r="J27" i="2"/>
  <c r="H28" i="2"/>
  <c r="J28" i="2"/>
  <c r="H29" i="2"/>
  <c r="J29" i="2"/>
  <c r="E31" i="2"/>
  <c r="H32" i="2"/>
  <c r="J32" i="2"/>
  <c r="H34" i="2"/>
  <c r="J34" i="2"/>
  <c r="H36" i="2"/>
  <c r="J36" i="2"/>
  <c r="E77" i="2"/>
  <c r="H78" i="2"/>
  <c r="J78" i="2"/>
  <c r="E80" i="2"/>
  <c r="H81" i="2"/>
  <c r="J81" i="2"/>
  <c r="E83" i="2"/>
  <c r="H84" i="2"/>
  <c r="J84" i="2"/>
  <c r="E86" i="2"/>
  <c r="H87" i="2"/>
  <c r="J87" i="2"/>
  <c r="E13" i="2"/>
  <c r="E15" i="2"/>
  <c r="E17" i="2"/>
  <c r="E19" i="2"/>
  <c r="H20" i="2"/>
  <c r="J20" i="2"/>
  <c r="H22" i="2"/>
  <c r="J22" i="2"/>
  <c r="H30" i="2"/>
  <c r="J30" i="2"/>
  <c r="E32" i="2"/>
  <c r="E34" i="2"/>
  <c r="H35" i="2"/>
  <c r="J35" i="2"/>
  <c r="H76" i="2"/>
  <c r="J76" i="2"/>
  <c r="E78" i="2"/>
  <c r="H79" i="2"/>
  <c r="J79" i="2"/>
  <c r="E81" i="2"/>
  <c r="H82" i="2"/>
  <c r="J82" i="2"/>
  <c r="E84" i="2"/>
  <c r="H85" i="2"/>
  <c r="J85" i="2"/>
  <c r="H86" i="2"/>
  <c r="J86" i="2"/>
  <c r="E88" i="2"/>
  <c r="H88" i="2"/>
  <c r="J88" i="2"/>
  <c r="E89" i="2"/>
  <c r="H89" i="2"/>
  <c r="J89" i="2"/>
  <c r="E90" i="2"/>
  <c r="H90" i="2"/>
  <c r="J90" i="2"/>
  <c r="E91" i="2"/>
  <c r="H91" i="2"/>
  <c r="J91" i="2"/>
  <c r="E92" i="2"/>
  <c r="H92" i="2"/>
  <c r="J92" i="2"/>
  <c r="H12" i="2"/>
  <c r="J12" i="2"/>
  <c r="H14" i="2"/>
  <c r="J14" i="2"/>
  <c r="H16" i="2"/>
  <c r="J16" i="2"/>
  <c r="H18" i="2"/>
  <c r="J18" i="2"/>
  <c r="E21" i="2"/>
  <c r="E23" i="2"/>
  <c r="H24" i="2"/>
  <c r="J24" i="2"/>
  <c r="H25" i="2"/>
  <c r="J25" i="2"/>
  <c r="E27" i="2"/>
  <c r="E28" i="2"/>
  <c r="E29" i="2"/>
  <c r="E30" i="2"/>
  <c r="H31" i="2"/>
  <c r="J31" i="2"/>
  <c r="E33" i="2"/>
  <c r="E35" i="2"/>
  <c r="E37" i="2"/>
  <c r="H77" i="2"/>
  <c r="J77" i="2"/>
  <c r="E79" i="2"/>
  <c r="H80" i="2"/>
  <c r="J80" i="2"/>
  <c r="E82" i="2"/>
  <c r="H83" i="2"/>
  <c r="J83" i="2"/>
  <c r="E85" i="2"/>
  <c r="E87" i="2"/>
  <c r="E12" i="2"/>
  <c r="H13" i="2"/>
  <c r="J13" i="2"/>
  <c r="H15" i="2"/>
  <c r="J15" i="2"/>
  <c r="H17" i="2"/>
  <c r="J17" i="2"/>
  <c r="H19" i="2"/>
  <c r="J19" i="2"/>
  <c r="E22" i="2"/>
  <c r="E24" i="2"/>
  <c r="E26" i="2"/>
  <c r="H33" i="2"/>
  <c r="J33" i="2"/>
  <c r="E36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I25" i="1"/>
  <c r="G105" i="2" l="1"/>
  <c r="I105" i="2"/>
  <c r="G106" i="2"/>
  <c r="I106" i="2"/>
  <c r="G107" i="2"/>
  <c r="I107" i="2"/>
  <c r="G108" i="2"/>
  <c r="I108" i="2"/>
  <c r="G109" i="2"/>
  <c r="I109" i="2"/>
  <c r="G110" i="2"/>
  <c r="I110" i="2"/>
  <c r="G111" i="2"/>
  <c r="I111" i="2"/>
  <c r="G14" i="2"/>
  <c r="I14" i="2"/>
  <c r="G16" i="2"/>
  <c r="I16" i="2"/>
  <c r="G18" i="2"/>
  <c r="I18" i="2"/>
  <c r="G20" i="2"/>
  <c r="I20" i="2"/>
  <c r="G25" i="2"/>
  <c r="I25" i="2"/>
  <c r="G31" i="2"/>
  <c r="I31" i="2"/>
  <c r="G77" i="2"/>
  <c r="I77" i="2"/>
  <c r="G80" i="2"/>
  <c r="I80" i="2"/>
  <c r="G83" i="2"/>
  <c r="I83" i="2"/>
  <c r="G86" i="2"/>
  <c r="I86" i="2"/>
  <c r="G13" i="2"/>
  <c r="I13" i="2"/>
  <c r="G15" i="2"/>
  <c r="I15" i="2"/>
  <c r="G17" i="2"/>
  <c r="I17" i="2"/>
  <c r="G19" i="2"/>
  <c r="I19" i="2"/>
  <c r="G32" i="2"/>
  <c r="I32" i="2"/>
  <c r="G34" i="2"/>
  <c r="I34" i="2"/>
  <c r="G78" i="2"/>
  <c r="I78" i="2"/>
  <c r="G81" i="2"/>
  <c r="I81" i="2"/>
  <c r="G84" i="2"/>
  <c r="I84" i="2"/>
  <c r="G88" i="2"/>
  <c r="I88" i="2"/>
  <c r="G89" i="2"/>
  <c r="I89" i="2"/>
  <c r="G90" i="2"/>
  <c r="I90" i="2"/>
  <c r="G91" i="2"/>
  <c r="I91" i="2"/>
  <c r="G92" i="2"/>
  <c r="I92" i="2"/>
  <c r="G21" i="2"/>
  <c r="I21" i="2"/>
  <c r="G23" i="2"/>
  <c r="I23" i="2"/>
  <c r="G27" i="2"/>
  <c r="I27" i="2"/>
  <c r="G28" i="2"/>
  <c r="I28" i="2"/>
  <c r="G29" i="2"/>
  <c r="I29" i="2"/>
  <c r="G30" i="2"/>
  <c r="I30" i="2"/>
  <c r="G33" i="2"/>
  <c r="I33" i="2"/>
  <c r="G35" i="2"/>
  <c r="I35" i="2"/>
  <c r="G37" i="2"/>
  <c r="I37" i="2"/>
  <c r="G79" i="2"/>
  <c r="I79" i="2"/>
  <c r="G82" i="2"/>
  <c r="I82" i="2"/>
  <c r="G85" i="2"/>
  <c r="I85" i="2"/>
  <c r="G87" i="2"/>
  <c r="I87" i="2"/>
  <c r="G12" i="2"/>
  <c r="I12" i="2"/>
  <c r="G22" i="2"/>
  <c r="I22" i="2"/>
  <c r="G24" i="2"/>
  <c r="I24" i="2"/>
  <c r="G26" i="2"/>
  <c r="I26" i="2"/>
  <c r="G36" i="2"/>
  <c r="I36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</calcChain>
</file>

<file path=xl/sharedStrings.xml><?xml version="1.0" encoding="utf-8"?>
<sst xmlns="http://schemas.openxmlformats.org/spreadsheetml/2006/main" count="6044" uniqueCount="905">
  <si>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</si>
  <si>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</si>
  <si>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</si>
  <si>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</si>
  <si>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</si>
  <si>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</si>
  <si>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</si>
  <si>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</si>
  <si>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</si>
  <si>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</si>
  <si>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</si>
  <si>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</si>
  <si>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</si>
  <si>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</si>
  <si>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</si>
  <si>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</si>
  <si>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</si>
  <si>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</si>
  <si>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</si>
  <si>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</si>
  <si>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</si>
  <si>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</si>
  <si>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</si>
  <si>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</si>
  <si>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</si>
  <si>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</si>
  <si>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</si>
  <si>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</si>
  <si>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</si>
  <si>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</si>
  <si>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</si>
  <si>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</si>
  <si>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</si>
  <si>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</si>
  <si>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</si>
  <si>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</si>
  <si>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</si>
  <si>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</si>
  <si>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</si>
  <si>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</si>
  <si>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</si>
  <si>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</si>
  <si>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</si>
  <si>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</si>
  <si>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</si>
  <si>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</si>
  <si>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</si>
  <si>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</si>
  <si>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</si>
  <si>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</si>
  <si>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</si>
  <si>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</si>
  <si>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</si>
  <si>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</si>
  <si>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</si>
  <si>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</si>
  <si>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</si>
  <si>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</si>
  <si>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</si>
  <si>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</si>
  <si>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</si>
  <si>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</si>
  <si>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</si>
  <si>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</si>
  <si>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</si>
  <si>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</si>
  <si>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</si>
  <si>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</si>
  <si>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</si>
  <si>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</si>
  <si>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</si>
  <si>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</si>
  <si>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</si>
  <si>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</si>
  <si>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</si>
  <si>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</si>
  <si>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</si>
  <si>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</si>
  <si>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</si>
  <si>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</si>
  <si>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</si>
  <si>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</si>
  <si>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</si>
  <si>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</si>
  <si>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</si>
  <si>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</si>
  <si>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</si>
  <si>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</si>
  <si>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</si>
  <si>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</si>
  <si>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</si>
  <si>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</si>
  <si>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</si>
  <si>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</si>
  <si>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</si>
  <si>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</si>
  <si>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</si>
  <si>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</si>
  <si>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</si>
  <si>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</si>
  <si>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</si>
  <si>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</si>
  <si>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</si>
  <si>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</si>
  <si>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</si>
  <si>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</si>
  <si>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</si>
  <si>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</si>
  <si>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</si>
  <si>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</si>
  <si>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</si>
  <si>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</si>
  <si>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</si>
  <si>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</si>
  <si>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</si>
  <si>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</si>
  <si>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</si>
  <si>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</si>
  <si>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</si>
  <si>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</si>
  <si>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</si>
  <si>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</si>
  <si>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</si>
  <si>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</si>
  <si>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</si>
  <si>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</si>
  <si>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</si>
  <si>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</si>
  <si>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</si>
  <si>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</si>
  <si>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</si>
  <si>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</si>
  <si>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</si>
  <si>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</si>
  <si>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</si>
  <si>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</si>
  <si>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</si>
  <si>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</si>
  <si>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</si>
  <si>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</si>
  <si>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</si>
  <si>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</si>
  <si>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</si>
  <si>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</si>
  <si>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</si>
  <si>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</si>
  <si>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</si>
  <si>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</si>
  <si>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</si>
  <si>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</si>
  <si>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</si>
  <si>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</si>
  <si>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</si>
  <si>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</si>
  <si>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</si>
  <si>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</si>
  <si>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</si>
  <si>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</si>
  <si>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</si>
  <si>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</si>
  <si>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</si>
  <si>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</si>
  <si>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</si>
  <si>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</si>
  <si>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</si>
  <si>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</si>
  <si>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</si>
  <si>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</si>
  <si>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</si>
  <si>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</si>
  <si>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</si>
  <si>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</si>
  <si>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</si>
  <si>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</si>
  <si>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</si>
  <si>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</si>
  <si>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</si>
  <si>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</si>
  <si>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</si>
  <si>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</si>
  <si>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</si>
  <si>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Mega Grey</t>
  </si>
  <si>
    <t>M.G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</si>
  <si>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</si>
  <si>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</si>
  <si>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</si>
  <si>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</si>
  <si>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</si>
  <si>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</si>
  <si>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</si>
  <si>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</si>
  <si>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</si>
  <si>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</si>
  <si>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</si>
  <si>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</si>
  <si>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</si>
  <si>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</si>
  <si>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</si>
  <si>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</si>
  <si>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</si>
  <si>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</si>
  <si>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</si>
  <si>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</si>
  <si>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</si>
  <si>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</si>
  <si>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</si>
  <si>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</si>
  <si>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</si>
  <si>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</si>
  <si>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</si>
  <si>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</si>
  <si>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</si>
  <si>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</si>
  <si>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</si>
  <si>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</si>
  <si>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</si>
  <si>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</si>
  <si>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</si>
  <si>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</si>
  <si>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</si>
  <si>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</si>
  <si>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</si>
  <si>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</si>
  <si>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</si>
  <si>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</si>
  <si>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</si>
  <si>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</si>
  <si>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</si>
  <si>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</si>
  <si>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</si>
  <si>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</si>
  <si>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</si>
  <si>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</si>
  <si>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</si>
  <si>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</si>
  <si>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</si>
  <si>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</si>
  <si>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</si>
  <si>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</si>
  <si>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</si>
  <si>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</si>
  <si>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</si>
  <si>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</si>
  <si>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</si>
  <si>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</si>
  <si>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</si>
  <si>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</si>
  <si>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</si>
  <si>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</si>
  <si>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</si>
  <si>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</si>
  <si>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</si>
  <si>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</si>
  <si>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</si>
  <si>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</si>
  <si>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</si>
  <si>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</si>
  <si>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</si>
  <si>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</si>
  <si>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</si>
  <si>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</si>
  <si>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</si>
  <si>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</si>
  <si>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</si>
  <si>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</si>
  <si>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</si>
  <si>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</si>
  <si>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</si>
  <si>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</si>
  <si>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</si>
  <si>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</si>
  <si>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</si>
  <si>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</si>
  <si>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</si>
  <si>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</si>
  <si>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</si>
  <si>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</si>
  <si>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</si>
  <si>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</si>
  <si>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</si>
  <si>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</si>
  <si>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</si>
  <si>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</si>
  <si>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</si>
  <si>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</si>
  <si>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</si>
  <si>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</si>
  <si>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</si>
  <si>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</si>
  <si>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</si>
  <si>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</si>
  <si>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</si>
  <si>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</si>
  <si>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</si>
  <si>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</si>
  <si>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</si>
  <si>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</si>
  <si>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</si>
  <si>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</si>
  <si>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</si>
  <si>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</si>
  <si>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</si>
  <si>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</si>
  <si>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</si>
  <si>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</si>
  <si>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</si>
  <si>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</si>
  <si>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</si>
  <si>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</si>
  <si>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</si>
  <si>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</si>
  <si>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</si>
  <si>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</si>
  <si>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</si>
  <si>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</si>
  <si>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</si>
  <si>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</si>
  <si>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</si>
  <si>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</si>
  <si>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</si>
  <si>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</si>
  <si>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</si>
  <si>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</si>
  <si>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</si>
  <si>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</si>
  <si>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</si>
  <si>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</si>
  <si>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</si>
  <si>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</si>
  <si>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</si>
  <si>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</si>
  <si>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</si>
  <si>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</si>
  <si>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</si>
  <si>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</si>
  <si>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</si>
  <si>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</si>
  <si>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</si>
  <si>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</si>
  <si>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</si>
  <si>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</si>
  <si>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</si>
  <si>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</si>
  <si>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</si>
  <si>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</si>
  <si>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</si>
  <si>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</si>
  <si>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</si>
  <si>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</si>
  <si>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</si>
  <si>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</si>
  <si>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</si>
  <si>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</si>
  <si>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</si>
  <si>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</si>
  <si>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</si>
  <si>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</si>
  <si>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</si>
  <si>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</si>
  <si>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</si>
  <si>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</si>
  <si>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</si>
  <si>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</si>
  <si>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</si>
  <si>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</si>
  <si>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</si>
  <si>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</si>
  <si>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</si>
  <si>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</si>
  <si>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</si>
  <si>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</si>
  <si>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</si>
  <si>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</si>
  <si>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</si>
  <si>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</si>
  <si>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</si>
  <si>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</si>
  <si>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</si>
  <si>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</si>
  <si>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</si>
  <si>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</si>
  <si>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</si>
  <si>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</si>
  <si>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</si>
  <si>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</si>
  <si>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</si>
  <si>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</si>
  <si>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</si>
  <si>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</si>
  <si>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</si>
  <si>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</si>
  <si>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</si>
  <si>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</si>
  <si>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</si>
  <si>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</si>
  <si>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</si>
  <si>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</si>
  <si>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</si>
  <si>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</si>
  <si>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</si>
  <si>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</si>
  <si>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</si>
  <si>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</si>
  <si>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</si>
  <si>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</si>
  <si>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</si>
  <si>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</si>
  <si>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</si>
  <si>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</si>
  <si>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</si>
  <si>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</si>
  <si>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</si>
  <si>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</si>
  <si>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</si>
  <si>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</si>
  <si>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</si>
  <si>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</si>
  <si>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</si>
  <si>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</si>
  <si>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</si>
  <si>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</si>
  <si>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</si>
  <si>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</si>
  <si>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</si>
  <si>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</si>
  <si>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</si>
  <si>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</si>
  <si>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</si>
  <si>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</si>
  <si>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</si>
  <si>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</si>
  <si>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</si>
  <si>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</si>
  <si>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</si>
  <si>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</si>
  <si>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</si>
  <si>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</si>
  <si>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</si>
  <si>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</si>
  <si>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</si>
  <si>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</si>
  <si>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</si>
  <si>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</si>
  <si>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</si>
  <si>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</si>
  <si>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</si>
  <si>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</si>
  <si>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</si>
  <si>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</si>
  <si>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</si>
  <si>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</si>
  <si>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</si>
  <si>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</si>
  <si>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</si>
  <si>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</si>
  <si>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</si>
  <si>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</si>
  <si>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</si>
  <si>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</si>
  <si>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</si>
  <si>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</si>
  <si>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</si>
  <si>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</si>
  <si>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</si>
  <si>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</si>
  <si>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</si>
  <si>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</si>
  <si>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</si>
  <si>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</si>
  <si>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</si>
  <si>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</si>
  <si>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</si>
  <si>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</si>
  <si>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</si>
  <si>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</si>
  <si>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</si>
  <si>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</si>
  <si>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</si>
  <si>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</si>
  <si>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</si>
  <si>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</si>
  <si>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</si>
  <si>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</si>
  <si>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</si>
  <si>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</si>
  <si>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</si>
  <si>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</si>
  <si>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</si>
  <si>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</si>
  <si>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</si>
  <si>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</si>
  <si>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</si>
  <si>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</si>
  <si>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</si>
  <si>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</si>
  <si>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</si>
  <si>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</si>
  <si>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</si>
  <si>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</si>
  <si>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</si>
  <si>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</si>
  <si>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</si>
  <si>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</si>
  <si>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</si>
  <si>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</si>
  <si>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</si>
  <si>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</si>
  <si>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</si>
  <si>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</si>
  <si>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</si>
  <si>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</si>
  <si>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</si>
  <si>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</si>
  <si>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</si>
  <si>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</si>
  <si>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</si>
  <si>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</si>
  <si>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</si>
  <si>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</si>
  <si>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</si>
  <si>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</si>
  <si>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</si>
  <si>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</si>
  <si>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</si>
  <si>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</si>
  <si>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</si>
  <si>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</si>
  <si>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</si>
  <si>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</si>
  <si>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</si>
  <si>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</si>
  <si>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</si>
  <si>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</si>
  <si>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</si>
  <si>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</si>
  <si>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</si>
  <si>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</si>
  <si>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</si>
  <si>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</si>
  <si>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</si>
  <si>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</si>
  <si>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</si>
  <si>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</si>
  <si>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</si>
  <si>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</si>
  <si>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</si>
  <si>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</si>
  <si>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</si>
  <si>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</si>
  <si>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</si>
  <si>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</si>
  <si>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</si>
  <si>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</si>
  <si>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</si>
  <si>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</si>
  <si>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</si>
  <si>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</si>
  <si>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</si>
  <si>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</si>
  <si>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</si>
  <si>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</si>
  <si>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</si>
  <si>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</si>
  <si>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</si>
  <si>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</si>
  <si>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</si>
  <si>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</si>
  <si>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</si>
  <si>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</si>
  <si>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</si>
  <si>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</si>
  <si>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</si>
  <si>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</si>
  <si>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</si>
  <si>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</si>
  <si>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</si>
  <si>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</si>
  <si>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</si>
  <si>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</si>
  <si>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</si>
  <si>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</si>
  <si>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</si>
  <si>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</si>
  <si>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</si>
  <si>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</si>
  <si>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</si>
  <si>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</si>
  <si>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</si>
  <si>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</si>
  <si>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35</t>
  </si>
  <si>
    <t>Samsol 45 - No Order</t>
  </si>
  <si>
    <t>No Order</t>
  </si>
  <si>
    <t>Quality Hold</t>
  </si>
  <si>
    <t>Inprogress On Packing</t>
  </si>
  <si>
    <t>Inprogress On Latex</t>
  </si>
  <si>
    <t>32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</si>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</sst>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8"/>
    <xf numFmtId="173" fontId="21" fillId="0" borderId="38"/>
    <xf numFmtId="0" fontId="21" fillId="0" borderId="38"/>
    <xf numFmtId="0" fontId="21" fillId="0" borderId="38">
      <alignment horizontal="left"/>
    </xf>
    <xf numFmtId="0" fontId="21" fillId="0" borderId="38"/>
    <xf numFmtId="0" fontId="21" fillId="0" borderId="38"/>
    <xf numFmtId="0" fontId="1" fillId="0" borderId="38"/>
    <xf numFmtId="0" fontId="1" fillId="0" borderId="38">
      <alignment horizontal="left"/>
    </xf>
    <xf numFmtId="0" fontId="21" fillId="0" borderId="38"/>
    <xf numFmtId="43" fontId="21" fillId="0" borderId="38"/>
  </cellStyleXfs>
  <cellXfs count="35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21" fillId="0" borderId="36" xfId="0" applyFont="1" applyBorder="1"/>
    <xf numFmtId="167" fontId="21" fillId="0" borderId="36" xfId="0" applyNumberFormat="1" applyFont="1" applyBorder="1"/>
    <xf numFmtId="3" fontId="21" fillId="0" borderId="36" xfId="0" applyNumberFormat="1" applyFont="1" applyBorder="1"/>
    <xf numFmtId="168" fontId="21" fillId="0" borderId="36" xfId="0" applyNumberFormat="1" applyFont="1" applyBorder="1"/>
    <xf numFmtId="0" fontId="56" fillId="9" borderId="39" xfId="0" applyFont="1" applyFill="1" applyBorder="1" applyAlignment="1">
      <alignment horizontal="center" vertical="center"/>
    </xf>
    <xf numFmtId="0" fontId="56" fillId="9" borderId="39" xfId="0" applyFont="1" applyFill="1" applyBorder="1" applyAlignment="1">
      <alignment horizontal="left" vertical="center"/>
    </xf>
    <xf numFmtId="3" fontId="57" fillId="9" borderId="39" xfId="0" applyNumberFormat="1" applyFont="1" applyFill="1" applyBorder="1" applyAlignment="1">
      <alignment horizontal="center" vertical="center"/>
    </xf>
    <xf numFmtId="0" fontId="56" fillId="9" borderId="39" xfId="0" applyFont="1" applyFill="1" applyBorder="1" applyAlignment="1">
      <alignment horizontal="left" vertical="center" wrapText="1"/>
    </xf>
    <xf numFmtId="0" fontId="56" fillId="0" borderId="38" xfId="0" applyFont="1" applyAlignment="1">
      <alignment horizontal="center" vertical="center" wrapText="1"/>
    </xf>
    <xf numFmtId="0" fontId="56" fillId="0" borderId="38" xfId="0" applyFont="1"/>
    <xf numFmtId="0" fontId="56" fillId="10" borderId="39" xfId="0" applyFont="1" applyFill="1" applyBorder="1" applyAlignment="1">
      <alignment horizontal="center" vertical="center"/>
    </xf>
    <xf numFmtId="0" fontId="56" fillId="10" borderId="39" xfId="0" applyFont="1" applyFill="1" applyBorder="1" applyAlignment="1">
      <alignment horizontal="left" vertical="center"/>
    </xf>
    <xf numFmtId="3" fontId="57" fillId="10" borderId="39" xfId="0" applyNumberFormat="1" applyFont="1" applyFill="1" applyBorder="1" applyAlignment="1">
      <alignment horizontal="center" vertical="center"/>
    </xf>
    <xf numFmtId="0" fontId="56" fillId="10" borderId="39" xfId="0" applyFont="1" applyFill="1" applyBorder="1" applyAlignment="1">
      <alignment horizontal="left" vertical="center" wrapText="1"/>
    </xf>
    <xf numFmtId="0" fontId="56" fillId="0" borderId="38" xfId="0" applyFont="1" applyAlignment="1">
      <alignment horizontal="center" vertical="center"/>
    </xf>
    <xf numFmtId="0" fontId="56" fillId="0" borderId="38" xfId="0" applyFont="1" applyAlignment="1">
      <alignment horizontal="left" vertical="center"/>
    </xf>
    <xf numFmtId="3" fontId="56" fillId="0" borderId="38" xfId="0" applyNumberFormat="1" applyFont="1" applyAlignment="1">
      <alignment horizontal="center" vertical="center"/>
    </xf>
    <xf numFmtId="0" fontId="56" fillId="0" borderId="38" xfId="0" applyFont="1" applyAlignment="1">
      <alignment horizontal="left" vertical="center" wrapText="1"/>
    </xf>
    <xf numFmtId="0" fontId="56" fillId="0" borderId="38" xfId="0" applyFont="1" applyAlignment="1">
      <alignment horizontal="center"/>
    </xf>
    <xf numFmtId="0" fontId="28" fillId="0" borderId="38" xfId="0" applyFont="1"/>
    <xf numFmtId="0" fontId="29" fillId="0" borderId="38" xfId="0" applyFont="1"/>
    <xf numFmtId="0" fontId="51" fillId="19" borderId="41" xfId="0" applyFont="1" applyFill="1" applyBorder="1" applyAlignment="1">
      <alignment horizontal="left" vertical="center"/>
    </xf>
    <xf numFmtId="0" fontId="51" fillId="19" borderId="41" xfId="0" applyFont="1" applyFill="1" applyBorder="1" applyAlignment="1">
      <alignment horizontal="right" vertical="center"/>
    </xf>
    <xf numFmtId="0" fontId="52" fillId="0" borderId="41" xfId="0" applyFont="1" applyBorder="1" applyAlignment="1">
      <alignment horizontal="left" vertical="center"/>
    </xf>
    <xf numFmtId="166" fontId="52" fillId="0" borderId="41" xfId="0" applyNumberFormat="1" applyFont="1" applyBorder="1" applyAlignment="1">
      <alignment horizontal="right" vertical="center"/>
    </xf>
    <xf numFmtId="168" fontId="52" fillId="0" borderId="41" xfId="0" applyNumberFormat="1" applyFont="1" applyBorder="1" applyAlignment="1">
      <alignment horizontal="right" vertical="center"/>
    </xf>
    <xf numFmtId="169" fontId="29" fillId="0" borderId="38" xfId="0" applyNumberFormat="1" applyFont="1"/>
    <xf numFmtId="0" fontId="48" fillId="0" borderId="40" xfId="0" applyFont="1" applyBorder="1" applyAlignment="1">
      <alignment horizontal="center" vertical="center"/>
    </xf>
    <xf numFmtId="0" fontId="48" fillId="0" borderId="40" xfId="0" applyFont="1" applyBorder="1" applyAlignment="1">
      <alignment horizontal="left" vertical="center"/>
    </xf>
    <xf numFmtId="3" fontId="48" fillId="0" borderId="40" xfId="0" applyNumberFormat="1" applyFont="1" applyBorder="1" applyAlignment="1">
      <alignment horizontal="left" vertical="center"/>
    </xf>
    <xf numFmtId="172" fontId="48" fillId="0" borderId="40" xfId="0" applyNumberFormat="1" applyFont="1" applyBorder="1" applyAlignment="1">
      <alignment horizontal="center" vertical="center"/>
    </xf>
    <xf numFmtId="3" fontId="48" fillId="0" borderId="40" xfId="0" applyNumberFormat="1" applyFont="1" applyBorder="1" applyAlignment="1">
      <alignment horizontal="center" vertical="center"/>
    </xf>
    <xf numFmtId="3" fontId="49" fillId="0" borderId="40" xfId="0" applyNumberFormat="1" applyFont="1" applyBorder="1" applyAlignment="1">
      <alignment horizontal="center" vertical="center"/>
    </xf>
    <xf numFmtId="9" fontId="48" fillId="0" borderId="40" xfId="0" applyNumberFormat="1" applyFont="1" applyBorder="1" applyAlignment="1">
      <alignment horizontal="center" vertical="center"/>
    </xf>
    <xf numFmtId="0" fontId="49" fillId="0" borderId="40" xfId="0" applyFont="1" applyBorder="1" applyAlignment="1">
      <alignment horizontal="left" vertical="center"/>
    </xf>
    <xf numFmtId="0" fontId="0" fillId="0" borderId="38" xfId="0"/>
    <xf numFmtId="0" fontId="53" fillId="20" borderId="41" xfId="0" applyFont="1" applyFill="1" applyBorder="1" applyAlignment="1">
      <alignment horizontal="left" vertical="center"/>
    </xf>
    <xf numFmtId="166" fontId="53" fillId="20" borderId="41" xfId="0" applyNumberFormat="1" applyFont="1" applyFill="1" applyBorder="1" applyAlignment="1">
      <alignment horizontal="right" vertical="center"/>
    </xf>
    <xf numFmtId="168" fontId="53" fillId="20" borderId="41" xfId="0" applyNumberFormat="1" applyFont="1" applyFill="1" applyBorder="1" applyAlignment="1">
      <alignment horizontal="right" vertical="center"/>
    </xf>
    <xf numFmtId="0" fontId="54" fillId="0" borderId="38" xfId="0" applyFont="1"/>
    <xf numFmtId="0" fontId="55" fillId="23" borderId="41" xfId="0" applyFont="1" applyFill="1" applyBorder="1" applyAlignment="1">
      <alignment horizontal="left" vertical="center"/>
    </xf>
    <xf numFmtId="166" fontId="55" fillId="23" borderId="41" xfId="0" applyNumberFormat="1" applyFont="1" applyFill="1" applyBorder="1" applyAlignment="1">
      <alignment horizontal="right" vertical="center"/>
    </xf>
    <xf numFmtId="168" fontId="55" fillId="23" borderId="41" xfId="0" applyNumberFormat="1" applyFont="1" applyFill="1" applyBorder="1" applyAlignment="1">
      <alignment horizontal="right" vertical="center"/>
    </xf>
    <xf numFmtId="0" fontId="46" fillId="3" borderId="37" xfId="0" applyFont="1" applyFill="1" applyBorder="1" applyAlignment="1">
      <alignment horizontal="left" vertical="center"/>
    </xf>
    <xf numFmtId="169" fontId="46" fillId="3" borderId="37" xfId="0" applyNumberFormat="1" applyFont="1" applyFill="1" applyBorder="1" applyAlignment="1">
      <alignment horizontal="center" vertical="center"/>
    </xf>
    <xf numFmtId="0" fontId="46" fillId="3" borderId="37" xfId="0" applyFont="1" applyFill="1" applyBorder="1" applyAlignment="1">
      <alignment horizontal="right" vertical="center"/>
    </xf>
    <xf numFmtId="3" fontId="46" fillId="3" borderId="37" xfId="0" applyNumberFormat="1" applyFont="1" applyFill="1" applyBorder="1" applyAlignment="1">
      <alignment horizontal="center" vertical="center"/>
    </xf>
    <xf numFmtId="168" fontId="85" fillId="3" borderId="37" xfId="0" applyNumberFormat="1" applyFont="1" applyFill="1" applyBorder="1" applyAlignment="1">
      <alignment horizontal="center" vertical="center"/>
    </xf>
    <xf numFmtId="0" fontId="21" fillId="0" borderId="38" xfId="0" applyFont="1"/>
    <xf numFmtId="0" fontId="47" fillId="0" borderId="38" xfId="0" applyFont="1"/>
    <xf numFmtId="166" fontId="47" fillId="0" borderId="38" xfId="0" applyNumberFormat="1" applyFont="1"/>
    <xf numFmtId="168" fontId="47" fillId="0" borderId="38" xfId="0" applyNumberFormat="1" applyFont="1"/>
    <xf numFmtId="0" fontId="45" fillId="0" borderId="38" xfId="0" applyFont="1"/>
    <xf numFmtId="166" fontId="45" fillId="0" borderId="38" xfId="0" applyNumberFormat="1" applyFont="1"/>
    <xf numFmtId="168" fontId="45" fillId="0" borderId="38" xfId="0" applyNumberFormat="1" applyFont="1"/>
    <xf numFmtId="0" fontId="48" fillId="0" borderId="38" xfId="0" applyFont="1"/>
    <xf numFmtId="0" fontId="38" fillId="0" borderId="40" xfId="0" applyFont="1" applyBorder="1" applyAlignment="1">
      <alignment horizontal="center" vertical="center"/>
    </xf>
    <xf numFmtId="0" fontId="38" fillId="0" borderId="40" xfId="0" applyFont="1" applyBorder="1" applyAlignment="1">
      <alignment horizontal="left" vertical="center"/>
    </xf>
    <xf numFmtId="1" fontId="38" fillId="0" borderId="40" xfId="0" applyNumberFormat="1" applyFont="1" applyBorder="1" applyAlignment="1">
      <alignment horizontal="center" vertical="center"/>
    </xf>
    <xf numFmtId="1" fontId="39" fillId="0" borderId="40" xfId="0" applyNumberFormat="1" applyFont="1" applyBorder="1" applyAlignment="1">
      <alignment horizontal="center" vertical="center"/>
    </xf>
    <xf numFmtId="0" fontId="38" fillId="7" borderId="40" xfId="0" applyFont="1" applyFill="1" applyBorder="1" applyAlignment="1">
      <alignment horizontal="left" vertical="center"/>
    </xf>
    <xf numFmtId="3" fontId="54" fillId="22" borderId="38" xfId="0" applyNumberFormat="1" applyFont="1" applyFill="1" applyAlignment="1">
      <alignment horizontal="center" vertical="center" wrapText="1"/>
    </xf>
    <xf numFmtId="0" fontId="29" fillId="0" borderId="0" xfId="0" applyFont="1" applyBorder="1"/>
    <xf numFmtId="0" fontId="31" fillId="3" borderId="38" xfId="0" applyFont="1" applyFill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8" xfId="0" applyNumberFormat="1" applyFont="1" applyFill="1" applyAlignment="1">
      <alignment horizontal="center" vertical="center"/>
    </xf>
    <xf numFmtId="167" fontId="32" fillId="3" borderId="38" xfId="0" applyNumberFormat="1" applyFont="1" applyFill="1" applyAlignment="1">
      <alignment horizontal="center"/>
    </xf>
    <xf numFmtId="0" fontId="35" fillId="5" borderId="38" xfId="0" applyFont="1" applyFill="1" applyAlignment="1">
      <alignment vertical="center"/>
    </xf>
    <xf numFmtId="0" fontId="31" fillId="3" borderId="38" xfId="0" applyFont="1" applyFill="1" applyAlignment="1">
      <alignment vertical="center"/>
    </xf>
    <xf numFmtId="0" fontId="30" fillId="3" borderId="38" xfId="0" applyFont="1" applyFill="1" applyAlignment="1">
      <alignment horizontal="center" vertical="center"/>
    </xf>
    <xf numFmtId="0" fontId="50" fillId="21" borderId="38" xfId="0" applyFont="1" applyFill="1" applyAlignment="1">
      <alignment horizontal="center" vertical="center" wrapText="1"/>
    </xf>
    <xf numFmtId="3" fontId="30" fillId="5" borderId="38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8" xfId="0" applyFont="1" applyFill="1" applyAlignment="1">
      <alignment horizontal="left" vertical="center"/>
    </xf>
    <xf numFmtId="0" fontId="0" fillId="0" borderId="0" xfId="0" applyBorder="1"/>
    <xf numFmtId="0" fontId="19" fillId="8" borderId="38" xfId="0" applyFont="1" applyFill="1" applyAlignment="1">
      <alignment horizontal="left" vertical="center" indent="1"/>
    </xf>
    <xf numFmtId="0" fontId="8" fillId="3" borderId="38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8" xfId="0" applyFont="1" applyAlignment="1">
      <alignment horizontal="left" vertical="center" wrapText="1"/>
    </xf>
    <xf numFmtId="0" fontId="83" fillId="37" borderId="41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8" xfId="0" applyFont="1" applyAlignment="1">
      <alignment horizontal="left" vertical="center" wrapText="1"/>
    </xf>
    <xf numFmtId="0" fontId="81" fillId="0" borderId="38" xfId="0" applyFont="1" applyAlignment="1">
      <alignment horizontal="left" vertical="center"/>
    </xf>
    <xf numFmtId="0" fontId="79" fillId="36" borderId="38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6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22" width="8.7109375" style="90" customWidth="1"/>
    <col min="223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0" t="s">
        <v>152</v>
      </c>
      <c r="C2" s="322"/>
      <c r="D2" s="322"/>
      <c r="E2" s="324"/>
      <c r="F2" s="322"/>
      <c r="G2" s="325"/>
      <c r="H2" s="322"/>
      <c r="I2" s="322"/>
      <c r="J2" s="322"/>
      <c r="K2" s="322"/>
      <c r="L2" s="322"/>
      <c r="M2" s="322"/>
      <c r="N2" s="322"/>
      <c r="O2" s="322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3" t="s">
        <v>153</v>
      </c>
      <c r="C3" s="322"/>
      <c r="D3" s="322"/>
      <c r="E3" s="324"/>
      <c r="F3" s="322"/>
      <c r="G3" s="325"/>
      <c r="H3" s="327">
        <f ca="1">TODAY()</f>
        <v>46302</v>
      </c>
      <c r="I3" s="322"/>
      <c r="J3" s="322"/>
      <c r="K3" s="322"/>
      <c r="L3" s="322"/>
      <c r="M3" s="322"/>
      <c r="N3" s="322"/>
      <c r="O3" s="322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46288</v>
      </c>
      <c r="D5" s="92" t="s">
        <v>155</v>
      </c>
      <c r="E5" s="92"/>
      <c r="F5" s="93"/>
      <c r="G5" s="329" t="s">
        <v>156</v>
      </c>
      <c r="H5" s="322"/>
      <c r="I5" s="94"/>
      <c r="J5" s="329" t="s">
        <v>157</v>
      </c>
      <c r="K5" s="322"/>
      <c r="L5" s="112"/>
      <c r="M5" s="331" t="s">
        <v>158</v>
      </c>
      <c r="N5" s="322"/>
      <c r="O5" s="322"/>
      <c r="P5" s="279"/>
      <c r="Q5" s="279"/>
      <c r="R5" s="279"/>
      <c r="S5" s="280"/>
      <c r="T5" s="280"/>
      <c r="U5" s="280"/>
      <c r="V5" s="280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6">
        <f>SUMPRODUCT((Production_Log!$A$3:$A$8961=MAX(Production_Log!$A$3:$A$8961))*(LEFT(Production_Log!$B$3:$B$8961,5)="Print")*(ISERROR(SEARCH("(Varnish)",Production_Log!$D$3:$D$8961)))*Production_Log!$H$3:$H$8961)</f>
        <v>28084</v>
      </c>
      <c r="C6" s="322"/>
      <c r="D6" s="95">
        <f>SUMIF($B$11:$B$67,"TUBE",$H$11:$H$67)</f>
        <v>306788</v>
      </c>
      <c r="E6" s="326"/>
      <c r="F6" s="322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2.3910048583691532E-2</v>
      </c>
      <c r="H6" s="96"/>
      <c r="I6" s="94"/>
      <c r="J6" s="326">
        <f>SUMIF($B$11:$B$67,"TUBE",$K$11:$K$67)</f>
        <v>310488</v>
      </c>
      <c r="K6" s="322"/>
      <c r="L6" s="97"/>
      <c r="M6" s="281" t="s">
        <v>26</v>
      </c>
      <c r="N6" s="282" t="s">
        <v>159</v>
      </c>
      <c r="O6" s="282" t="s">
        <v>160</v>
      </c>
      <c r="P6" s="279"/>
      <c r="Q6" s="279"/>
      <c r="R6" s="280"/>
      <c r="S6" s="280"/>
      <c r="T6" s="280"/>
      <c r="U6" s="280"/>
      <c r="V6" s="280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46288</v>
      </c>
      <c r="D7" s="98" t="s">
        <v>162</v>
      </c>
      <c r="E7" s="98"/>
      <c r="F7" s="99"/>
      <c r="G7" s="328" t="s">
        <v>163</v>
      </c>
      <c r="H7" s="322"/>
      <c r="I7" s="100"/>
      <c r="J7" s="99" t="s">
        <v>157</v>
      </c>
      <c r="K7" s="99"/>
      <c r="L7" s="99"/>
      <c r="M7" s="283" t="s">
        <v>164</v>
      </c>
      <c r="N7" s="284">
        <f>SUMPRODUCT(((LEFT(Production_Log!$B$3:$B$1000,5)="Press")+(LEFT(Production_Log!$B$3:$B$1000,5)="Print")+(LEFT(Production_Log!$B$3:$B$1000,5)="PLINE"))*Production_Log!$T$3:$T$1000)/60</f>
        <v>34</v>
      </c>
      <c r="O7" s="285">
        <f>IFERROR(N7/$N$12,"")</f>
        <v>0.45333333333333331</v>
      </c>
      <c r="P7" s="279"/>
      <c r="Q7" s="279"/>
      <c r="R7" s="280"/>
      <c r="S7" s="280"/>
      <c r="T7" s="280"/>
      <c r="U7" s="280"/>
      <c r="V7" s="280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2">
        <f>SUMPRODUCT((Production_Log!$A$3:$A$8961=MAX(Production_Log!$A$3:$A$8961))*(Production_Log!$B$3:$B$8961="PF Machine")*Production_Log!$H$3:$H$8961)</f>
        <v>3600</v>
      </c>
      <c r="C8" s="322"/>
      <c r="D8" s="101">
        <f>SUMIF($B$11:$B$67,"PET",$H$11:$H$67)</f>
        <v>267180</v>
      </c>
      <c r="E8" s="332"/>
      <c r="F8" s="322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0.19941269888832289</v>
      </c>
      <c r="H8" s="102"/>
      <c r="I8" s="100"/>
      <c r="J8" s="332">
        <f>SUMIF($B$11:$B$67,"PET",$K$11:$K$67)</f>
        <v>250960</v>
      </c>
      <c r="K8" s="322"/>
      <c r="L8" s="103"/>
      <c r="M8" s="283" t="s">
        <v>165</v>
      </c>
      <c r="N8" s="284">
        <f>SUMPRODUCT(((LEFT(Production_Log!$B$3:$B$1000,5)="Press")+(LEFT(Production_Log!$B$3:$B$1000,5)="Print")+(LEFT(Production_Log!$B$3:$B$1000,5)="PLINE"))*Production_Log!$M$3:$M$1000)/60</f>
        <v>16.833333333333332</v>
      </c>
      <c r="O8" s="285">
        <f>IFERROR(N8/$N$12,"")</f>
        <v>0.22444444444444442</v>
      </c>
      <c r="P8" s="279"/>
      <c r="Q8" s="279"/>
      <c r="R8" s="280"/>
      <c r="S8" s="280"/>
      <c r="T8" s="280"/>
      <c r="U8" s="280"/>
      <c r="V8" s="280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3" t="s">
        <v>166</v>
      </c>
      <c r="C9" s="334"/>
      <c r="D9" s="334"/>
      <c r="E9" s="334"/>
      <c r="F9" s="334"/>
      <c r="G9" s="334"/>
      <c r="H9" s="334"/>
      <c r="I9" s="334"/>
      <c r="J9" s="334"/>
      <c r="K9" s="334"/>
      <c r="L9" s="334"/>
      <c r="M9" s="283" t="s">
        <v>167</v>
      </c>
      <c r="N9" s="284">
        <f>SUMPRODUCT(((LEFT(Production_Log!$B$3:$B$1000,5)="Press")+(LEFT(Production_Log!$B$3:$B$1000,5)="Print")+(LEFT(Production_Log!$B$3:$B$1000,5)="PLINE"))*Production_Log!$K$3:$K$1000)/60</f>
        <v>11.666666666666666</v>
      </c>
      <c r="O9" s="285">
        <f>IFERROR(N9/$N$12,"")</f>
        <v>0.15555555555555556</v>
      </c>
      <c r="P9" s="279"/>
      <c r="Q9" s="279"/>
      <c r="R9" s="280"/>
      <c r="S9" s="280"/>
      <c r="T9" s="286"/>
      <c r="U9" s="280"/>
      <c r="V9" s="280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3" t="s">
        <v>175</v>
      </c>
      <c r="N10" s="284">
        <f>SUMPRODUCT(((LEFT(Production_Log!$B$3:$B$1000,5)="Press")+(LEFT(Production_Log!$B$3:$B$1000,5)="Print")+(LEFT(Production_Log!$B$3:$B$1000,5)="PLINE"))*Production_Log!$N$3:$N$1000)/60</f>
        <v>7.5</v>
      </c>
      <c r="O10" s="285">
        <f>IFERROR(N10/$N$12,"")</f>
        <v>0.1</v>
      </c>
      <c r="P10" s="279"/>
      <c r="Q10" s="279"/>
      <c r="R10" s="280"/>
      <c r="S10" s="280"/>
      <c r="T10" s="286"/>
      <c r="U10" s="280"/>
      <c r="V10" s="280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87" t="s">
        <v>154</v>
      </c>
      <c r="C11" s="288" t="s">
        <v>11</v>
      </c>
      <c r="D11" s="289" t="s">
        <v>12</v>
      </c>
      <c r="E11" s="290">
        <v>20.5</v>
      </c>
      <c r="F11" s="291">
        <v>6077</v>
      </c>
      <c r="G11" s="291">
        <f>IFERROR(INDEX(MRP!$F$3:$F$150,MATCH(F11,MRP!$D$3:$D$150,0)),0)</f>
        <v>22000</v>
      </c>
      <c r="H11" s="29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1">
        <f t="shared" ref="I11:I17" si="0">G11-H11</f>
        <v>22000</v>
      </c>
      <c r="J11" s="293">
        <f t="shared" ref="J11:J42" si="1">IF(G11=0,"-",H11/G11)</f>
        <v>0</v>
      </c>
      <c r="K11" s="292"/>
      <c r="L11" s="294"/>
      <c r="M11" s="283" t="s">
        <v>176</v>
      </c>
      <c r="N11" s="284">
        <f>SUMPRODUCT(((LEFT(Production_Log!$B$3:$B$1000,5)="Press")+(LEFT(Production_Log!$B$3:$B$1000,5)="Print")+(LEFT(Production_Log!$B$3:$B$1000,5)="PLINE"))*Production_Log!$O$3:$O$1000)/60</f>
        <v>5</v>
      </c>
      <c r="O11" s="285">
        <f>IFERROR(N11/$N$12,"")</f>
        <v>6.6666666666666666E-2</v>
      </c>
      <c r="P11" s="279"/>
      <c r="Q11" s="279"/>
      <c r="R11" s="279"/>
      <c r="S11" s="295"/>
      <c r="T11" s="286"/>
      <c r="U11" s="295"/>
      <c r="V11" s="280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87" t="s">
        <v>154</v>
      </c>
      <c r="C12" s="288" t="s">
        <v>13</v>
      </c>
      <c r="D12" s="289" t="s">
        <v>14</v>
      </c>
      <c r="E12" s="290">
        <v>25</v>
      </c>
      <c r="F12" s="291">
        <v>6470</v>
      </c>
      <c r="G12" s="291">
        <f>IFERROR(INDEX(MRP!$F$3:$F$150,MATCH(F12,MRP!$D$3:$D$150,0)),0)</f>
        <v>40000</v>
      </c>
      <c r="H12" s="292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1">
        <f t="shared" si="0"/>
        <v>-1664</v>
      </c>
      <c r="J12" s="293">
        <f t="shared" si="1"/>
        <v>1.0416000000000001</v>
      </c>
      <c r="K12" s="292">
        <v>40656</v>
      </c>
      <c r="L12" s="294"/>
      <c r="M12" s="296" t="s">
        <v>177</v>
      </c>
      <c r="N12" s="297">
        <f>SUM(N7:N11)</f>
        <v>75</v>
      </c>
      <c r="O12" s="298" t="s">
        <v>178</v>
      </c>
      <c r="P12" s="279"/>
      <c r="Q12" s="279"/>
      <c r="R12" s="280"/>
      <c r="S12" s="280"/>
      <c r="T12" s="286"/>
      <c r="U12" s="280"/>
      <c r="V12" s="280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87" t="s">
        <v>154</v>
      </c>
      <c r="C13" s="288" t="s">
        <v>11</v>
      </c>
      <c r="D13" s="289" t="s">
        <v>16</v>
      </c>
      <c r="E13" s="290">
        <v>25</v>
      </c>
      <c r="F13" s="291">
        <v>6228</v>
      </c>
      <c r="G13" s="291">
        <f>IFERROR(INDEX(MRP!$F$3:$F$150,MATCH(F13,MRP!$D$3:$D$150,0)),0)</f>
        <v>20000</v>
      </c>
      <c r="H13" s="292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1">
        <f t="shared" si="0"/>
        <v>-1840</v>
      </c>
      <c r="J13" s="293">
        <f t="shared" si="1"/>
        <v>1.0920000000000001</v>
      </c>
      <c r="K13" s="292"/>
      <c r="L13" s="294"/>
      <c r="M13" s="299"/>
      <c r="N13" s="295"/>
      <c r="O13" s="295"/>
      <c r="P13" s="279"/>
      <c r="Q13" s="279"/>
      <c r="R13" s="280"/>
      <c r="S13" s="280"/>
      <c r="T13" s="286"/>
      <c r="U13" s="280"/>
      <c r="V13" s="280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87" t="s">
        <v>154</v>
      </c>
      <c r="C14" s="288" t="s">
        <v>11</v>
      </c>
      <c r="D14" s="289" t="s">
        <v>17</v>
      </c>
      <c r="E14" s="290">
        <v>30</v>
      </c>
      <c r="F14" s="291">
        <v>5814</v>
      </c>
      <c r="G14" s="291">
        <f>IFERROR(INDEX(MRP!$F$3:$F$150,MATCH(F14,MRP!$D$3:$D$150,0)),0)</f>
        <v>67612</v>
      </c>
      <c r="H14" s="292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1">
        <f t="shared" si="0"/>
        <v>50000</v>
      </c>
      <c r="J14" s="293">
        <f t="shared" si="1"/>
        <v>0.26048630420635388</v>
      </c>
      <c r="K14" s="292">
        <v>25754</v>
      </c>
      <c r="L14" s="294"/>
      <c r="M14" s="321" t="s">
        <v>179</v>
      </c>
      <c r="N14" s="322"/>
      <c r="O14" s="322"/>
      <c r="P14" s="279"/>
      <c r="Q14" s="279"/>
      <c r="R14" s="279"/>
      <c r="S14" s="280"/>
      <c r="T14" s="286"/>
      <c r="U14" s="280"/>
      <c r="V14" s="279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87" t="s">
        <v>154</v>
      </c>
      <c r="C15" s="288" t="s">
        <v>19</v>
      </c>
      <c r="D15" s="289" t="s">
        <v>20</v>
      </c>
      <c r="E15" s="290">
        <v>30</v>
      </c>
      <c r="F15" s="291">
        <v>6206</v>
      </c>
      <c r="G15" s="291">
        <f>IFERROR(INDEX(MRP!$F$3:$F$150,MATCH(F15,MRP!$D$3:$D$150,0)),0)</f>
        <v>700000</v>
      </c>
      <c r="H15" s="292">
        <f>SUMPRODUCT((Production_Log!$F$3:$F$1000=F15)*((LEFT(Production_Log!$B$3:$B$1000,5)="Print")+(LEFT(Production_Log!$B$3:$B$1000,5)="PLINE"))*(ISERROR(SEARCH("(Varnish)",Production_Log!$D$3:$D$1000)))*Production_Log!$H$3:$H$1000)</f>
        <v>198008</v>
      </c>
      <c r="I15" s="291">
        <f t="shared" si="0"/>
        <v>501992</v>
      </c>
      <c r="J15" s="293">
        <f t="shared" si="1"/>
        <v>0.28286857142857141</v>
      </c>
      <c r="K15" s="292">
        <v>152558</v>
      </c>
      <c r="L15" s="294"/>
      <c r="M15" s="300" t="s">
        <v>26</v>
      </c>
      <c r="N15" s="301" t="s">
        <v>159</v>
      </c>
      <c r="O15" s="302" t="s">
        <v>160</v>
      </c>
      <c r="P15" s="295"/>
      <c r="Q15" s="295"/>
      <c r="R15" s="295"/>
      <c r="S15" s="295"/>
      <c r="T15" s="295"/>
      <c r="U15" s="295"/>
      <c r="V15" s="295"/>
    </row>
    <row r="16" spans="1:29" ht="16.5" customHeight="1" x14ac:dyDescent="0.3">
      <c r="A16" s="87"/>
      <c r="B16" s="287" t="s">
        <v>154</v>
      </c>
      <c r="C16" s="288" t="s">
        <v>21</v>
      </c>
      <c r="D16" s="289" t="s">
        <v>22</v>
      </c>
      <c r="E16" s="290">
        <v>32</v>
      </c>
      <c r="F16" s="291">
        <v>6515</v>
      </c>
      <c r="G16" s="291">
        <f>IFERROR(INDEX(MRP!$F$3:$F$150,MATCH(F16,MRP!$D$3:$D$150,0)),0)</f>
        <v>200000</v>
      </c>
      <c r="H16" s="292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1">
        <f t="shared" si="0"/>
        <v>172336</v>
      </c>
      <c r="J16" s="293">
        <f t="shared" si="1"/>
        <v>0.13832</v>
      </c>
      <c r="K16" s="292">
        <v>16848</v>
      </c>
      <c r="L16" s="294"/>
      <c r="M16" s="283" t="s">
        <v>180</v>
      </c>
      <c r="N16" s="284">
        <f>SUMPRODUCT(((LEFT(Production_Log!$B$3:$B$1000,2)="PF")+(LEFT(Production_Log!$B$3:$B$1000,3)="PET"))*Production_Log!$L$3:$L$1000)/60</f>
        <v>52.833333333333336</v>
      </c>
      <c r="O16" s="285">
        <f t="shared" ref="O16:O21" si="2">IFERROR(N16/$N$22,"")</f>
        <v>0.3192346424974824</v>
      </c>
      <c r="P16" s="279"/>
      <c r="Q16" s="279"/>
      <c r="R16" s="279"/>
      <c r="S16" s="279"/>
      <c r="T16" s="279"/>
      <c r="U16" s="279"/>
      <c r="V16" s="280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87" t="s">
        <v>154</v>
      </c>
      <c r="C17" s="288" t="s">
        <v>181</v>
      </c>
      <c r="D17" s="289" t="s">
        <v>182</v>
      </c>
      <c r="E17" s="290">
        <v>32</v>
      </c>
      <c r="F17" s="291">
        <v>5782</v>
      </c>
      <c r="G17" s="291">
        <f>IFERROR(INDEX(MRP!$F$3:$F$150,MATCH(F17,MRP!$D$3:$D$150,0)),0)</f>
        <v>0</v>
      </c>
      <c r="H17" s="29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1">
        <f t="shared" si="0"/>
        <v>0</v>
      </c>
      <c r="J17" s="293" t="str">
        <f t="shared" si="1"/>
        <v>-</v>
      </c>
      <c r="K17" s="292">
        <v>74672</v>
      </c>
      <c r="L17" s="294"/>
      <c r="M17" s="283" t="s">
        <v>167</v>
      </c>
      <c r="N17" s="284">
        <f>SUMPRODUCT(((LEFT(Production_Log!$B$3:$B$1000,2)="PF")+(LEFT(Production_Log!$B$3:$B$1000,3)="PET"))*Production_Log!$K$3:$K$1000)/60</f>
        <v>31.833333333333332</v>
      </c>
      <c r="O17" s="285">
        <f t="shared" si="2"/>
        <v>0.19234642497482377</v>
      </c>
      <c r="P17" s="279"/>
      <c r="Q17" s="279"/>
      <c r="R17" s="279"/>
      <c r="S17" s="280"/>
      <c r="T17" s="286"/>
      <c r="U17" s="280"/>
      <c r="V17" s="279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3"/>
      <c r="C18" s="304"/>
      <c r="D18" s="305" t="s">
        <v>177</v>
      </c>
      <c r="E18" s="303"/>
      <c r="F18" s="304"/>
      <c r="G18" s="306">
        <f>SUM(G11:G17)</f>
        <v>1049612</v>
      </c>
      <c r="H18" s="306">
        <f>SUM(H11:H17)</f>
        <v>306788</v>
      </c>
      <c r="I18" s="306">
        <f>SUMIF(I11:I17,"&gt;"&amp;0)</f>
        <v>746328</v>
      </c>
      <c r="J18" s="307">
        <f t="shared" si="1"/>
        <v>0.29228705464495452</v>
      </c>
      <c r="K18" s="306">
        <f>SUM(K11:K17)</f>
        <v>310488</v>
      </c>
      <c r="L18" s="306"/>
      <c r="M18" s="283" t="s">
        <v>183</v>
      </c>
      <c r="N18" s="284">
        <f>SUMPRODUCT(((LEFT(Production_Log!$B$3:$B$1000,2)="PF")+(LEFT(Production_Log!$B$3:$B$1000,3)="PET"))*Production_Log!$P$3:$P$1000)/60</f>
        <v>21.833333333333332</v>
      </c>
      <c r="O18" s="285">
        <f t="shared" si="2"/>
        <v>0.13192346424974824</v>
      </c>
      <c r="P18" s="279"/>
      <c r="Q18" s="279"/>
      <c r="R18" s="279"/>
      <c r="S18" s="279"/>
      <c r="T18" s="279"/>
      <c r="U18" s="279"/>
      <c r="V18" s="280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87" t="s">
        <v>161</v>
      </c>
      <c r="C19" s="288" t="s">
        <v>135</v>
      </c>
      <c r="D19" s="289" t="s">
        <v>136</v>
      </c>
      <c r="E19" s="290" t="s">
        <v>134</v>
      </c>
      <c r="F19" s="291">
        <v>8018</v>
      </c>
      <c r="G19" s="291">
        <f>IFERROR(INDEX(MRP!$F$3:$F$150,MATCH(F19,MRP!$D$3:$D$150,0)),0)</f>
        <v>25000</v>
      </c>
      <c r="H19" s="292">
        <f>SUMPRODUCT((Production_Log!$F$3:$F$1000=F19)*Production_Log!$H$3:$H$1000)</f>
        <v>0</v>
      </c>
      <c r="I19" s="291">
        <f t="shared" ref="I19:I24" si="3">G19-H19</f>
        <v>25000</v>
      </c>
      <c r="J19" s="293">
        <f t="shared" si="1"/>
        <v>0</v>
      </c>
      <c r="K19" s="292"/>
      <c r="L19" s="294"/>
      <c r="M19" s="283" t="s">
        <v>184</v>
      </c>
      <c r="N19" s="284">
        <f>SUMPRODUCT(((LEFT(Production_Log!$B$3:$B$1000,2)="PF")+(LEFT(Production_Log!$B$3:$B$1000,3)="PET"))*Production_Log!$S$3:$S$1000)/60</f>
        <v>21</v>
      </c>
      <c r="O19" s="285">
        <f t="shared" si="2"/>
        <v>0.12688821752265861</v>
      </c>
      <c r="P19" s="279"/>
      <c r="Q19" s="279"/>
      <c r="R19" s="280"/>
      <c r="S19" s="280"/>
      <c r="T19" s="286"/>
      <c r="U19" s="280"/>
      <c r="V19" s="280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87" t="s">
        <v>161</v>
      </c>
      <c r="C20" s="288" t="s">
        <v>13</v>
      </c>
      <c r="D20" s="289" t="s">
        <v>139</v>
      </c>
      <c r="E20" s="290" t="s">
        <v>138</v>
      </c>
      <c r="F20" s="291">
        <v>8005</v>
      </c>
      <c r="G20" s="291">
        <f>IFERROR(INDEX(MRP!$F$3:$F$150,MATCH(F20,MRP!$D$3:$D$150,0)),0)</f>
        <v>60160</v>
      </c>
      <c r="H20" s="292">
        <f>SUMPRODUCT((Production_Log!$F$3:$F$1000=F20)*Production_Log!$H$3:$H$1000)</f>
        <v>36840</v>
      </c>
      <c r="I20" s="291">
        <f t="shared" si="3"/>
        <v>23320</v>
      </c>
      <c r="J20" s="293">
        <f t="shared" si="1"/>
        <v>0.6123670212765957</v>
      </c>
      <c r="K20" s="292">
        <v>36840</v>
      </c>
      <c r="L20" s="294"/>
      <c r="M20" s="283" t="s">
        <v>175</v>
      </c>
      <c r="N20" s="284">
        <f>SUMPRODUCT(((LEFT(Production_Log!$B$3:$B$1000,2)="PF")+(LEFT(Production_Log!$B$3:$B$1000,3)="PET"))*Production_Log!$N$3:$N$1000)/60</f>
        <v>19.166666666666668</v>
      </c>
      <c r="O20" s="285">
        <f t="shared" si="2"/>
        <v>0.11581067472306143</v>
      </c>
      <c r="P20" s="279"/>
      <c r="Q20" s="279"/>
      <c r="R20" s="280"/>
      <c r="S20" s="295"/>
      <c r="T20" s="286"/>
      <c r="U20" s="295"/>
      <c r="V20" s="280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87" t="s">
        <v>161</v>
      </c>
      <c r="C21" s="288" t="s">
        <v>11</v>
      </c>
      <c r="D21" s="289" t="s">
        <v>142</v>
      </c>
      <c r="E21" s="290" t="s">
        <v>141</v>
      </c>
      <c r="F21" s="291">
        <v>8015</v>
      </c>
      <c r="G21" s="291">
        <f>IFERROR(INDEX(MRP!$F$3:$F$150,MATCH(F21,MRP!$D$3:$D$150,0)),0)</f>
        <v>9480</v>
      </c>
      <c r="H21" s="292">
        <f>SUMPRODUCT((Production_Log!$F$3:$F$1000=F21)*Production_Log!$H$3:$H$1000)</f>
        <v>0</v>
      </c>
      <c r="I21" s="291">
        <f t="shared" si="3"/>
        <v>9480</v>
      </c>
      <c r="J21" s="293">
        <f t="shared" si="1"/>
        <v>0</v>
      </c>
      <c r="K21" s="292"/>
      <c r="L21" s="294"/>
      <c r="M21" s="283" t="s">
        <v>176</v>
      </c>
      <c r="N21" s="284">
        <f>SUMPRODUCT(((LEFT(Production_Log!$B$3:$B$1000,2)="PF")+(LEFT(Production_Log!$B$3:$B$1000,3)="PET"))*Production_Log!$O$3:$O$1000)/60</f>
        <v>18.833333333333332</v>
      </c>
      <c r="O21" s="285">
        <f t="shared" si="2"/>
        <v>0.11379657603222557</v>
      </c>
      <c r="P21" s="279"/>
      <c r="Q21" s="279"/>
      <c r="R21" s="279"/>
      <c r="S21" s="295"/>
      <c r="T21" s="286"/>
      <c r="U21" s="295"/>
      <c r="V21" s="280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87" t="s">
        <v>161</v>
      </c>
      <c r="C22" s="288" t="s">
        <v>135</v>
      </c>
      <c r="D22" s="289" t="s">
        <v>185</v>
      </c>
      <c r="E22" s="290" t="s">
        <v>143</v>
      </c>
      <c r="F22" s="291">
        <v>8001</v>
      </c>
      <c r="G22" s="291">
        <f>IFERROR(INDEX(MRP!$F$3:$F$150,MATCH(F22,MRP!$D$3:$D$150,0)),0)</f>
        <v>753187</v>
      </c>
      <c r="H22" s="292">
        <f>SUMPRODUCT((Production_Log!$F$3:$F$1000=F22)*Production_Log!$H$3:$H$1000)</f>
        <v>203220</v>
      </c>
      <c r="I22" s="291">
        <f t="shared" si="3"/>
        <v>549967</v>
      </c>
      <c r="J22" s="293">
        <f t="shared" si="1"/>
        <v>0.26981347261702604</v>
      </c>
      <c r="K22" s="292">
        <v>190440</v>
      </c>
      <c r="L22" s="294"/>
      <c r="M22" s="296" t="s">
        <v>177</v>
      </c>
      <c r="N22" s="297">
        <f>SUM(N16:N21)</f>
        <v>165.5</v>
      </c>
      <c r="O22" s="298" t="s">
        <v>178</v>
      </c>
      <c r="P22" s="279"/>
      <c r="Q22" s="279"/>
      <c r="R22" s="279"/>
      <c r="S22" s="308"/>
      <c r="T22" s="295"/>
      <c r="U22" s="295"/>
      <c r="V22" s="295"/>
    </row>
    <row r="23" spans="1:29" x14ac:dyDescent="0.3">
      <c r="A23" s="87"/>
      <c r="B23" s="287" t="s">
        <v>161</v>
      </c>
      <c r="C23" s="288" t="s">
        <v>186</v>
      </c>
      <c r="D23" s="289" t="s">
        <v>144</v>
      </c>
      <c r="E23" s="290" t="s">
        <v>143</v>
      </c>
      <c r="F23" s="291">
        <v>8017</v>
      </c>
      <c r="G23" s="291">
        <f>IFERROR(INDEX(MRP!$F$3:$F$150,MATCH(F23,MRP!$D$3:$D$150,0)),0)</f>
        <v>0</v>
      </c>
      <c r="H23" s="292">
        <f>SUMPRODUCT((Production_Log!$F$3:$F$1000=F23)*Production_Log!$H$3:$H$1000)</f>
        <v>0</v>
      </c>
      <c r="I23" s="291">
        <f t="shared" si="3"/>
        <v>0</v>
      </c>
      <c r="J23" s="293" t="str">
        <f t="shared" si="1"/>
        <v>-</v>
      </c>
      <c r="K23" s="292">
        <v>160</v>
      </c>
      <c r="L23" s="294"/>
      <c r="M23" s="309"/>
      <c r="N23" s="310"/>
      <c r="O23" s="311"/>
      <c r="P23" s="279"/>
      <c r="Q23" s="279"/>
      <c r="R23" s="279"/>
      <c r="S23" s="279"/>
      <c r="T23" s="279"/>
      <c r="U23" s="279"/>
      <c r="V23" s="279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87" t="s">
        <v>161</v>
      </c>
      <c r="C24" s="288" t="s">
        <v>13</v>
      </c>
      <c r="D24" s="289" t="s">
        <v>147</v>
      </c>
      <c r="E24" s="290" t="s">
        <v>146</v>
      </c>
      <c r="F24" s="291">
        <v>8006</v>
      </c>
      <c r="G24" s="291">
        <f>IFERROR(INDEX(MRP!$F$3:$F$150,MATCH(F24,MRP!$D$3:$D$150,0)),0)</f>
        <v>47000</v>
      </c>
      <c r="H24" s="292">
        <f>SUMPRODUCT((Production_Log!$F$3:$F$1000=F24)*Production_Log!$H$3:$H$1000)</f>
        <v>27120</v>
      </c>
      <c r="I24" s="291">
        <f t="shared" si="3"/>
        <v>19880</v>
      </c>
      <c r="J24" s="293">
        <f t="shared" si="1"/>
        <v>0.57702127659574465</v>
      </c>
      <c r="K24" s="292">
        <v>23520</v>
      </c>
      <c r="L24" s="294"/>
      <c r="M24" s="309"/>
      <c r="N24" s="310"/>
      <c r="O24" s="311"/>
      <c r="P24" s="279"/>
      <c r="Q24" s="279"/>
      <c r="R24" s="279"/>
      <c r="S24" s="279"/>
      <c r="T24" s="279"/>
      <c r="U24" s="279"/>
      <c r="V24" s="279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3"/>
      <c r="C25" s="304"/>
      <c r="D25" s="305" t="s">
        <v>177</v>
      </c>
      <c r="E25" s="303"/>
      <c r="F25" s="304"/>
      <c r="G25" s="306">
        <f>SUM(G19:G24)</f>
        <v>894827</v>
      </c>
      <c r="H25" s="306">
        <f>SUM(H19:H24)</f>
        <v>267180</v>
      </c>
      <c r="I25" s="306">
        <f>SUMIF(I19:I24,"&gt;"&amp;0)</f>
        <v>627647</v>
      </c>
      <c r="J25" s="307">
        <f t="shared" si="1"/>
        <v>0.29858285456294903</v>
      </c>
      <c r="K25" s="306">
        <f>SUM(K19:K24)</f>
        <v>250960</v>
      </c>
      <c r="L25" s="306"/>
      <c r="M25" s="309"/>
      <c r="N25" s="310"/>
      <c r="O25" s="311"/>
      <c r="P25" s="279"/>
      <c r="Q25" s="279"/>
      <c r="R25" s="280"/>
      <c r="S25" s="295"/>
      <c r="T25" s="286"/>
      <c r="U25" s="295"/>
      <c r="V25" s="280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87" t="s">
        <v>154</v>
      </c>
      <c r="C26" s="288" t="s">
        <v>187</v>
      </c>
      <c r="D26" s="289" t="s">
        <v>188</v>
      </c>
      <c r="E26" s="290">
        <v>12.5</v>
      </c>
      <c r="F26" s="291">
        <v>9004</v>
      </c>
      <c r="G26" s="291">
        <f>IFERROR(INDEX(MRP!$F$3:$F$150,MATCH(F26,MRP!$D$3:$D$150,0)),0)</f>
        <v>0</v>
      </c>
      <c r="H26" s="292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1">
        <f t="shared" ref="I26:I67" si="4">G26-H26</f>
        <v>0</v>
      </c>
      <c r="J26" s="293" t="str">
        <f t="shared" si="1"/>
        <v>-</v>
      </c>
      <c r="K26" s="292"/>
      <c r="L26" s="294"/>
      <c r="M26" s="309"/>
      <c r="N26" s="310"/>
      <c r="O26" s="311"/>
      <c r="P26" s="279"/>
      <c r="Q26" s="279"/>
      <c r="R26" s="280"/>
      <c r="S26" s="295"/>
      <c r="T26" s="286"/>
      <c r="U26" s="295"/>
      <c r="V26" s="280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87" t="s">
        <v>154</v>
      </c>
      <c r="C27" s="288" t="s">
        <v>189</v>
      </c>
      <c r="D27" s="289" t="s">
        <v>190</v>
      </c>
      <c r="E27" s="290">
        <v>16</v>
      </c>
      <c r="F27" s="291">
        <v>6561</v>
      </c>
      <c r="G27" s="291">
        <f>IFERROR(INDEX(MRP!$F$3:$F$150,MATCH(F27,MRP!$D$3:$D$150,0)),0)</f>
        <v>0</v>
      </c>
      <c r="H27" s="29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1">
        <f t="shared" si="4"/>
        <v>0</v>
      </c>
      <c r="J27" s="293" t="str">
        <f t="shared" si="1"/>
        <v>-</v>
      </c>
      <c r="K27" s="292"/>
      <c r="L27" s="294"/>
      <c r="M27" s="312"/>
      <c r="N27" s="313"/>
      <c r="O27" s="314"/>
      <c r="P27" s="279"/>
      <c r="Q27" s="279"/>
      <c r="R27" s="280"/>
      <c r="S27" s="295"/>
      <c r="T27" s="286"/>
      <c r="U27" s="295"/>
      <c r="V27" s="280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87" t="s">
        <v>154</v>
      </c>
      <c r="C28" s="288" t="s">
        <v>13</v>
      </c>
      <c r="D28" s="289" t="s">
        <v>191</v>
      </c>
      <c r="E28" s="290">
        <v>19</v>
      </c>
      <c r="F28" s="291">
        <v>6624</v>
      </c>
      <c r="G28" s="291">
        <f>IFERROR(INDEX(MRP!$F$3:$F$150,MATCH(F28,MRP!$D$3:$D$150,0)),0)</f>
        <v>0</v>
      </c>
      <c r="H28" s="29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1">
        <f t="shared" si="4"/>
        <v>0</v>
      </c>
      <c r="J28" s="293" t="str">
        <f t="shared" si="1"/>
        <v>-</v>
      </c>
      <c r="K28" s="292"/>
      <c r="L28" s="294"/>
      <c r="M28" s="279"/>
      <c r="N28" s="279"/>
      <c r="O28" s="279"/>
      <c r="P28" s="279"/>
      <c r="Q28" s="279"/>
      <c r="R28" s="279"/>
      <c r="S28" s="279"/>
      <c r="T28" s="279"/>
      <c r="U28" s="279"/>
      <c r="V28" s="279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87" t="s">
        <v>154</v>
      </c>
      <c r="C29" s="288" t="s">
        <v>13</v>
      </c>
      <c r="D29" s="289" t="s">
        <v>192</v>
      </c>
      <c r="E29" s="290">
        <v>19</v>
      </c>
      <c r="F29" s="291">
        <v>6623</v>
      </c>
      <c r="G29" s="291">
        <f>IFERROR(INDEX(MRP!$F$3:$F$150,MATCH(F29,MRP!$D$3:$D$150,0)),0)</f>
        <v>0</v>
      </c>
      <c r="H29" s="29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1">
        <f t="shared" si="4"/>
        <v>0</v>
      </c>
      <c r="J29" s="293" t="str">
        <f t="shared" si="1"/>
        <v>-</v>
      </c>
      <c r="K29" s="292"/>
      <c r="L29" s="294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87" t="s">
        <v>154</v>
      </c>
      <c r="C30" s="288" t="s">
        <v>189</v>
      </c>
      <c r="D30" s="289" t="s">
        <v>192</v>
      </c>
      <c r="E30" s="290">
        <v>19</v>
      </c>
      <c r="F30" s="291">
        <v>6559</v>
      </c>
      <c r="G30" s="291">
        <f>IFERROR(INDEX(MRP!$F$3:$F$150,MATCH(F30,MRP!$D$3:$D$150,0)),0)</f>
        <v>0</v>
      </c>
      <c r="H30" s="29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1">
        <f t="shared" si="4"/>
        <v>0</v>
      </c>
      <c r="J30" s="293" t="str">
        <f t="shared" si="1"/>
        <v>-</v>
      </c>
      <c r="K30" s="292"/>
      <c r="L30" s="294"/>
      <c r="M30" s="279"/>
      <c r="N30" s="279"/>
      <c r="O30" s="279"/>
      <c r="P30" s="279"/>
      <c r="Q30" s="279"/>
      <c r="R30" s="279"/>
      <c r="S30" s="279"/>
      <c r="T30" s="279"/>
      <c r="U30" s="279"/>
      <c r="V30" s="279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87" t="s">
        <v>154</v>
      </c>
      <c r="C31" s="288" t="s">
        <v>189</v>
      </c>
      <c r="D31" s="289" t="s">
        <v>193</v>
      </c>
      <c r="E31" s="290">
        <v>19</v>
      </c>
      <c r="F31" s="291">
        <v>1085</v>
      </c>
      <c r="G31" s="291">
        <f>IFERROR(INDEX(MRP!$F$3:$F$150,MATCH(F31,MRP!$D$3:$D$150,0)),0)</f>
        <v>0</v>
      </c>
      <c r="H31" s="29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1">
        <f t="shared" si="4"/>
        <v>0</v>
      </c>
      <c r="J31" s="293" t="str">
        <f t="shared" si="1"/>
        <v>-</v>
      </c>
      <c r="K31" s="292"/>
      <c r="L31" s="294"/>
      <c r="M31" s="279"/>
      <c r="N31" s="279"/>
      <c r="O31" s="279"/>
      <c r="P31" s="279"/>
      <c r="Q31" s="279"/>
      <c r="R31" s="279"/>
      <c r="S31" s="295"/>
      <c r="T31" s="286"/>
      <c r="U31" s="295"/>
      <c r="V31" s="280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87" t="s">
        <v>154</v>
      </c>
      <c r="C32" s="288" t="s">
        <v>189</v>
      </c>
      <c r="D32" s="289" t="s">
        <v>194</v>
      </c>
      <c r="E32" s="290">
        <v>19</v>
      </c>
      <c r="F32" s="291">
        <v>6560</v>
      </c>
      <c r="G32" s="291">
        <f>IFERROR(INDEX(MRP!$F$3:$F$150,MATCH(F32,MRP!$D$3:$D$150,0)),0)</f>
        <v>0</v>
      </c>
      <c r="H32" s="29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1">
        <f t="shared" si="4"/>
        <v>0</v>
      </c>
      <c r="J32" s="293" t="str">
        <f t="shared" si="1"/>
        <v>-</v>
      </c>
      <c r="K32" s="292"/>
      <c r="L32" s="294"/>
      <c r="M32" s="279"/>
      <c r="N32" s="279"/>
      <c r="O32" s="279"/>
      <c r="P32" s="279"/>
      <c r="Q32" s="279"/>
      <c r="R32" s="279"/>
      <c r="S32" s="295"/>
      <c r="T32" s="286"/>
      <c r="U32" s="295"/>
      <c r="V32" s="280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87" t="s">
        <v>154</v>
      </c>
      <c r="C33" s="288" t="s">
        <v>13</v>
      </c>
      <c r="D33" s="289" t="s">
        <v>195</v>
      </c>
      <c r="E33" s="290">
        <v>20.5</v>
      </c>
      <c r="F33" s="291">
        <v>5699</v>
      </c>
      <c r="G33" s="291">
        <f>IFERROR(INDEX(MRP!$F$3:$F$150,MATCH(F33,MRP!$D$3:$D$150,0)),0)</f>
        <v>0</v>
      </c>
      <c r="H33" s="29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1">
        <f t="shared" si="4"/>
        <v>0</v>
      </c>
      <c r="J33" s="293" t="str">
        <f t="shared" si="1"/>
        <v>-</v>
      </c>
      <c r="K33" s="292"/>
      <c r="L33" s="294"/>
      <c r="M33" s="279"/>
      <c r="N33" s="279"/>
      <c r="O33" s="279"/>
      <c r="P33" s="279"/>
      <c r="Q33" s="279"/>
      <c r="R33" s="280"/>
      <c r="S33" s="295"/>
      <c r="T33" s="286"/>
      <c r="U33" s="295"/>
      <c r="V33" s="280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87" t="s">
        <v>154</v>
      </c>
      <c r="C34" s="288" t="s">
        <v>13</v>
      </c>
      <c r="D34" s="289" t="s">
        <v>196</v>
      </c>
      <c r="E34" s="290">
        <v>20.5</v>
      </c>
      <c r="F34" s="291">
        <v>5731</v>
      </c>
      <c r="G34" s="291">
        <f>IFERROR(INDEX(MRP!$F$3:$F$150,MATCH(F34,MRP!$D$3:$D$150,0)),0)</f>
        <v>0</v>
      </c>
      <c r="H34" s="29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1">
        <f t="shared" si="4"/>
        <v>0</v>
      </c>
      <c r="J34" s="293" t="str">
        <f t="shared" si="1"/>
        <v>-</v>
      </c>
      <c r="K34" s="292"/>
      <c r="L34" s="294"/>
      <c r="M34" s="295"/>
      <c r="N34" s="295"/>
      <c r="O34" s="295"/>
      <c r="P34" s="279"/>
      <c r="Q34" s="279"/>
      <c r="R34" s="279"/>
      <c r="S34" s="295"/>
      <c r="T34" s="286"/>
      <c r="U34" s="295"/>
      <c r="V34" s="280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87" t="s">
        <v>154</v>
      </c>
      <c r="C35" s="288" t="s">
        <v>13</v>
      </c>
      <c r="D35" s="289" t="s">
        <v>197</v>
      </c>
      <c r="E35" s="290">
        <v>20.5</v>
      </c>
      <c r="F35" s="291">
        <v>5698</v>
      </c>
      <c r="G35" s="291">
        <f>IFERROR(INDEX(MRP!$F$3:$F$150,MATCH(F35,MRP!$D$3:$D$150,0)),0)</f>
        <v>0</v>
      </c>
      <c r="H35" s="29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1">
        <f t="shared" si="4"/>
        <v>0</v>
      </c>
      <c r="J35" s="293" t="str">
        <f t="shared" si="1"/>
        <v>-</v>
      </c>
      <c r="K35" s="292"/>
      <c r="L35" s="294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87" t="s">
        <v>154</v>
      </c>
      <c r="C36" s="288" t="s">
        <v>13</v>
      </c>
      <c r="D36" s="289" t="s">
        <v>198</v>
      </c>
      <c r="E36" s="290">
        <v>20.5</v>
      </c>
      <c r="F36" s="291">
        <v>5732</v>
      </c>
      <c r="G36" s="291">
        <f>IFERROR(INDEX(MRP!$F$3:$F$150,MATCH(F36,MRP!$D$3:$D$150,0)),0)</f>
        <v>0</v>
      </c>
      <c r="H36" s="29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1">
        <f t="shared" si="4"/>
        <v>0</v>
      </c>
      <c r="J36" s="293" t="str">
        <f t="shared" si="1"/>
        <v>-</v>
      </c>
      <c r="K36" s="292"/>
      <c r="L36" s="294"/>
      <c r="M36" s="279"/>
      <c r="N36" s="279"/>
      <c r="O36" s="279"/>
      <c r="P36" s="279"/>
      <c r="Q36" s="279"/>
      <c r="R36" s="279"/>
      <c r="S36" s="279"/>
      <c r="T36" s="279"/>
      <c r="U36" s="279"/>
      <c r="V36" s="279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87" t="s">
        <v>154</v>
      </c>
      <c r="C37" s="288" t="s">
        <v>13</v>
      </c>
      <c r="D37" s="289" t="s">
        <v>199</v>
      </c>
      <c r="E37" s="290">
        <v>20.5</v>
      </c>
      <c r="F37" s="291">
        <v>6556</v>
      </c>
      <c r="G37" s="291">
        <f>IFERROR(INDEX(MRP!$F$3:$F$150,MATCH(F37,MRP!$D$3:$D$150,0)),0)</f>
        <v>0</v>
      </c>
      <c r="H37" s="29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1">
        <f t="shared" si="4"/>
        <v>0</v>
      </c>
      <c r="J37" s="293" t="str">
        <f t="shared" si="1"/>
        <v>-</v>
      </c>
      <c r="K37" s="292"/>
      <c r="L37" s="294"/>
      <c r="M37" s="279"/>
      <c r="N37" s="279"/>
      <c r="O37" s="279"/>
      <c r="P37" s="279"/>
      <c r="Q37" s="279"/>
      <c r="R37" s="279"/>
      <c r="S37" s="279"/>
      <c r="T37" s="279"/>
      <c r="U37" s="279"/>
      <c r="V37" s="279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87" t="s">
        <v>154</v>
      </c>
      <c r="C38" s="288" t="s">
        <v>13</v>
      </c>
      <c r="D38" s="289" t="s">
        <v>200</v>
      </c>
      <c r="E38" s="290">
        <v>20.5</v>
      </c>
      <c r="F38" s="291">
        <v>6557</v>
      </c>
      <c r="G38" s="291">
        <f>IFERROR(INDEX(MRP!$F$3:$F$150,MATCH(F38,MRP!$D$3:$D$150,0)),0)</f>
        <v>0</v>
      </c>
      <c r="H38" s="29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1">
        <f t="shared" si="4"/>
        <v>0</v>
      </c>
      <c r="J38" s="293" t="str">
        <f t="shared" si="1"/>
        <v>-</v>
      </c>
      <c r="K38" s="292"/>
      <c r="L38" s="294"/>
      <c r="M38" s="279"/>
      <c r="N38" s="279"/>
      <c r="O38" s="279"/>
      <c r="P38" s="279"/>
      <c r="Q38" s="279"/>
      <c r="R38" s="279"/>
      <c r="S38" s="279"/>
      <c r="T38" s="279"/>
      <c r="U38" s="279"/>
      <c r="V38" s="279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87" t="s">
        <v>154</v>
      </c>
      <c r="C39" s="288" t="s">
        <v>13</v>
      </c>
      <c r="D39" s="289" t="s">
        <v>201</v>
      </c>
      <c r="E39" s="290">
        <v>25</v>
      </c>
      <c r="F39" s="291">
        <v>5389</v>
      </c>
      <c r="G39" s="291">
        <f>IFERROR(INDEX(MRP!$F$3:$F$150,MATCH(F39,MRP!$D$3:$D$150,0)),0)</f>
        <v>0</v>
      </c>
      <c r="H39" s="29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1">
        <f t="shared" si="4"/>
        <v>0</v>
      </c>
      <c r="J39" s="293" t="str">
        <f t="shared" si="1"/>
        <v>-</v>
      </c>
      <c r="K39" s="292"/>
      <c r="L39" s="294"/>
      <c r="M39" s="279"/>
      <c r="N39" s="279"/>
      <c r="O39" s="279"/>
      <c r="P39" s="279"/>
      <c r="Q39" s="279"/>
      <c r="R39" s="279"/>
      <c r="S39" s="279"/>
      <c r="T39" s="279"/>
      <c r="U39" s="279"/>
      <c r="V39" s="279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87" t="s">
        <v>154</v>
      </c>
      <c r="C40" s="288" t="s">
        <v>13</v>
      </c>
      <c r="D40" s="289" t="s">
        <v>202</v>
      </c>
      <c r="E40" s="290">
        <v>25</v>
      </c>
      <c r="F40" s="291">
        <v>3447</v>
      </c>
      <c r="G40" s="291">
        <f>IFERROR(INDEX(MRP!$F$3:$F$150,MATCH(F40,MRP!$D$3:$D$150,0)),0)</f>
        <v>0</v>
      </c>
      <c r="H40" s="29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1">
        <f t="shared" si="4"/>
        <v>0</v>
      </c>
      <c r="J40" s="293" t="str">
        <f t="shared" si="1"/>
        <v>-</v>
      </c>
      <c r="K40" s="292"/>
      <c r="L40" s="294"/>
      <c r="M40" s="279"/>
      <c r="N40" s="279"/>
      <c r="O40" s="279"/>
      <c r="P40" s="279"/>
      <c r="Q40" s="279"/>
      <c r="R40" s="279"/>
      <c r="S40" s="279"/>
      <c r="T40" s="279"/>
      <c r="U40" s="279"/>
      <c r="V40" s="279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87" t="s">
        <v>154</v>
      </c>
      <c r="C41" s="288" t="s">
        <v>13</v>
      </c>
      <c r="D41" s="289" t="s">
        <v>203</v>
      </c>
      <c r="E41" s="290">
        <v>25</v>
      </c>
      <c r="F41" s="291">
        <v>3726</v>
      </c>
      <c r="G41" s="291">
        <f>IFERROR(INDEX(MRP!$F$3:$F$150,MATCH(F41,MRP!$D$3:$D$150,0)),0)</f>
        <v>0</v>
      </c>
      <c r="H41" s="29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1">
        <f t="shared" si="4"/>
        <v>0</v>
      </c>
      <c r="J41" s="293" t="str">
        <f t="shared" si="1"/>
        <v>-</v>
      </c>
      <c r="K41" s="292"/>
      <c r="L41" s="294"/>
      <c r="M41" s="279"/>
      <c r="N41" s="279"/>
      <c r="O41" s="279"/>
      <c r="P41" s="279"/>
      <c r="Q41" s="279"/>
      <c r="R41" s="279"/>
      <c r="S41" s="279"/>
      <c r="T41" s="279"/>
      <c r="U41" s="279"/>
      <c r="V41" s="279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87" t="s">
        <v>154</v>
      </c>
      <c r="C42" s="288" t="s">
        <v>13</v>
      </c>
      <c r="D42" s="289" t="s">
        <v>204</v>
      </c>
      <c r="E42" s="290">
        <v>25</v>
      </c>
      <c r="F42" s="291">
        <v>6532</v>
      </c>
      <c r="G42" s="291">
        <f>IFERROR(INDEX(MRP!$F$3:$F$150,MATCH(F42,MRP!$D$3:$D$150,0)),0)</f>
        <v>0</v>
      </c>
      <c r="H42" s="29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1">
        <f t="shared" si="4"/>
        <v>0</v>
      </c>
      <c r="J42" s="293" t="str">
        <f t="shared" si="1"/>
        <v>-</v>
      </c>
      <c r="K42" s="292"/>
      <c r="L42" s="294"/>
      <c r="M42" s="279"/>
      <c r="N42" s="279"/>
      <c r="O42" s="279"/>
      <c r="P42" s="279"/>
      <c r="Q42" s="279"/>
      <c r="R42" s="279"/>
      <c r="S42" s="279"/>
      <c r="T42" s="279"/>
      <c r="U42" s="279"/>
      <c r="V42" s="279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87" t="s">
        <v>154</v>
      </c>
      <c r="C43" s="288" t="s">
        <v>13</v>
      </c>
      <c r="D43" s="289" t="s">
        <v>205</v>
      </c>
      <c r="E43" s="290">
        <v>25</v>
      </c>
      <c r="F43" s="291">
        <v>6506</v>
      </c>
      <c r="G43" s="291">
        <f>IFERROR(INDEX(MRP!$F$3:$F$150,MATCH(F43,MRP!$D$3:$D$150,0)),0)</f>
        <v>0</v>
      </c>
      <c r="H43" s="29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1">
        <f t="shared" si="4"/>
        <v>0</v>
      </c>
      <c r="J43" s="293" t="str">
        <f t="shared" ref="J43:J67" si="5">IF(G43=0,"-",H43/G43)</f>
        <v>-</v>
      </c>
      <c r="K43" s="292"/>
      <c r="L43" s="294"/>
      <c r="M43" s="279"/>
      <c r="N43" s="279"/>
      <c r="O43" s="279"/>
      <c r="P43" s="279"/>
      <c r="Q43" s="279"/>
      <c r="R43" s="279"/>
      <c r="S43" s="279"/>
      <c r="T43" s="279"/>
      <c r="U43" s="279"/>
      <c r="V43" s="279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87" t="s">
        <v>154</v>
      </c>
      <c r="C44" s="288" t="s">
        <v>13</v>
      </c>
      <c r="D44" s="289" t="s">
        <v>206</v>
      </c>
      <c r="E44" s="290">
        <v>25</v>
      </c>
      <c r="F44" s="291">
        <v>9006</v>
      </c>
      <c r="G44" s="291">
        <f>IFERROR(INDEX(MRP!$F$3:$F$150,MATCH(F44,MRP!$D$3:$D$150,0)),0)</f>
        <v>0</v>
      </c>
      <c r="H44" s="29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1">
        <f t="shared" si="4"/>
        <v>0</v>
      </c>
      <c r="J44" s="293" t="str">
        <f t="shared" si="5"/>
        <v>-</v>
      </c>
      <c r="K44" s="292"/>
      <c r="L44" s="294"/>
      <c r="M44" s="279"/>
      <c r="N44" s="279"/>
      <c r="O44" s="279"/>
      <c r="P44" s="279"/>
      <c r="Q44" s="279"/>
      <c r="R44" s="279"/>
      <c r="S44" s="279"/>
      <c r="T44" s="279"/>
      <c r="U44" s="279"/>
      <c r="V44" s="279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87" t="s">
        <v>154</v>
      </c>
      <c r="C45" s="288" t="s">
        <v>207</v>
      </c>
      <c r="D45" s="289" t="s">
        <v>208</v>
      </c>
      <c r="E45" s="290">
        <v>25</v>
      </c>
      <c r="F45" s="291">
        <v>6338</v>
      </c>
      <c r="G45" s="291">
        <f>IFERROR(INDEX(MRP!$F$3:$F$150,MATCH(F45,MRP!$D$3:$D$150,0)),0)</f>
        <v>0</v>
      </c>
      <c r="H45" s="29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1">
        <f t="shared" si="4"/>
        <v>0</v>
      </c>
      <c r="J45" s="293" t="str">
        <f t="shared" si="5"/>
        <v>-</v>
      </c>
      <c r="K45" s="292"/>
      <c r="L45" s="294"/>
      <c r="M45" s="279"/>
      <c r="N45" s="279"/>
      <c r="O45" s="279"/>
      <c r="P45" s="279"/>
      <c r="Q45" s="279"/>
      <c r="R45" s="279"/>
      <c r="S45" s="279"/>
      <c r="T45" s="279"/>
      <c r="U45" s="279"/>
      <c r="V45" s="279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87" t="s">
        <v>154</v>
      </c>
      <c r="C46" s="288" t="s">
        <v>209</v>
      </c>
      <c r="D46" s="289" t="s">
        <v>210</v>
      </c>
      <c r="E46" s="290">
        <v>25</v>
      </c>
      <c r="F46" s="291">
        <v>4227</v>
      </c>
      <c r="G46" s="291">
        <f>IFERROR(INDEX(MRP!$F$3:$F$150,MATCH(F46,MRP!$D$3:$D$150,0)),0)</f>
        <v>0</v>
      </c>
      <c r="H46" s="29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1">
        <f t="shared" si="4"/>
        <v>0</v>
      </c>
      <c r="J46" s="293" t="str">
        <f t="shared" si="5"/>
        <v>-</v>
      </c>
      <c r="K46" s="292"/>
      <c r="L46" s="294"/>
      <c r="M46" s="279"/>
      <c r="N46" s="279"/>
      <c r="O46" s="279"/>
      <c r="P46" s="279"/>
      <c r="Q46" s="279"/>
      <c r="R46" s="279"/>
      <c r="S46" s="279"/>
      <c r="T46" s="279"/>
      <c r="U46" s="279"/>
      <c r="V46" s="279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87" t="s">
        <v>154</v>
      </c>
      <c r="C47" s="288" t="s">
        <v>211</v>
      </c>
      <c r="D47" s="289" t="s">
        <v>212</v>
      </c>
      <c r="E47" s="290">
        <v>30</v>
      </c>
      <c r="F47" s="291">
        <v>6595</v>
      </c>
      <c r="G47" s="291">
        <f>IFERROR(INDEX(MRP!$F$3:$F$150,MATCH(F47,MRP!$D$3:$D$150,0)),0)</f>
        <v>0</v>
      </c>
      <c r="H47" s="29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1">
        <f t="shared" si="4"/>
        <v>0</v>
      </c>
      <c r="J47" s="293" t="str">
        <f t="shared" si="5"/>
        <v>-</v>
      </c>
      <c r="K47" s="292"/>
      <c r="L47" s="294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87" t="s">
        <v>154</v>
      </c>
      <c r="C48" s="288" t="s">
        <v>213</v>
      </c>
      <c r="D48" s="289" t="s">
        <v>214</v>
      </c>
      <c r="E48" s="290">
        <v>30</v>
      </c>
      <c r="F48" s="291">
        <v>4050</v>
      </c>
      <c r="G48" s="291">
        <f>IFERROR(INDEX(MRP!$F$3:$F$150,MATCH(F48,MRP!$D$3:$D$150,0)),0)</f>
        <v>0</v>
      </c>
      <c r="H48" s="29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1">
        <f t="shared" si="4"/>
        <v>0</v>
      </c>
      <c r="J48" s="293" t="str">
        <f t="shared" si="5"/>
        <v>-</v>
      </c>
      <c r="K48" s="292"/>
      <c r="L48" s="294"/>
      <c r="M48" s="279"/>
      <c r="N48" s="279"/>
      <c r="O48" s="279"/>
      <c r="P48" s="279"/>
      <c r="Q48" s="279"/>
      <c r="R48" s="279"/>
      <c r="S48" s="279"/>
      <c r="T48" s="279"/>
      <c r="U48" s="279"/>
      <c r="V48" s="279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87" t="s">
        <v>154</v>
      </c>
      <c r="C49" s="288" t="s">
        <v>213</v>
      </c>
      <c r="D49" s="289" t="s">
        <v>215</v>
      </c>
      <c r="E49" s="290">
        <v>30</v>
      </c>
      <c r="F49" s="291">
        <v>6312</v>
      </c>
      <c r="G49" s="291">
        <f>IFERROR(INDEX(MRP!$F$3:$F$150,MATCH(F49,MRP!$D$3:$D$150,0)),0)</f>
        <v>0</v>
      </c>
      <c r="H49" s="29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1">
        <f t="shared" si="4"/>
        <v>0</v>
      </c>
      <c r="J49" s="293" t="str">
        <f t="shared" si="5"/>
        <v>-</v>
      </c>
      <c r="K49" s="292"/>
      <c r="L49" s="294"/>
      <c r="M49" s="279"/>
      <c r="N49" s="279"/>
      <c r="O49" s="279"/>
      <c r="P49" s="279"/>
      <c r="Q49" s="279"/>
      <c r="R49" s="279"/>
      <c r="S49" s="279"/>
      <c r="T49" s="279"/>
      <c r="U49" s="279"/>
      <c r="V49" s="279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87" t="s">
        <v>154</v>
      </c>
      <c r="C50" s="288" t="s">
        <v>216</v>
      </c>
      <c r="D50" s="289" t="s">
        <v>217</v>
      </c>
      <c r="E50" s="290">
        <v>30</v>
      </c>
      <c r="F50" s="291">
        <v>6416</v>
      </c>
      <c r="G50" s="291">
        <f>IFERROR(INDEX(MRP!$F$3:$F$150,MATCH(F50,MRP!$D$3:$D$150,0)),0)</f>
        <v>0</v>
      </c>
      <c r="H50" s="29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1">
        <f t="shared" si="4"/>
        <v>0</v>
      </c>
      <c r="J50" s="293" t="str">
        <f t="shared" si="5"/>
        <v>-</v>
      </c>
      <c r="K50" s="292"/>
      <c r="L50" s="294"/>
      <c r="M50" s="279"/>
      <c r="N50" s="279"/>
      <c r="O50" s="279"/>
      <c r="P50" s="279"/>
      <c r="Q50" s="279"/>
      <c r="R50" s="279"/>
      <c r="S50" s="279"/>
      <c r="T50" s="279"/>
      <c r="U50" s="279"/>
      <c r="V50" s="279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87" t="s">
        <v>154</v>
      </c>
      <c r="C51" s="288" t="s">
        <v>216</v>
      </c>
      <c r="D51" s="289" t="s">
        <v>218</v>
      </c>
      <c r="E51" s="290">
        <v>30</v>
      </c>
      <c r="F51" s="291">
        <v>6337</v>
      </c>
      <c r="G51" s="291">
        <f>IFERROR(INDEX(MRP!$F$3:$F$150,MATCH(F51,MRP!$D$3:$D$150,0)),0)</f>
        <v>0</v>
      </c>
      <c r="H51" s="29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1">
        <f t="shared" si="4"/>
        <v>0</v>
      </c>
      <c r="J51" s="293" t="str">
        <f t="shared" si="5"/>
        <v>-</v>
      </c>
      <c r="K51" s="292"/>
      <c r="L51" s="294"/>
      <c r="M51" s="279"/>
      <c r="N51" s="279"/>
      <c r="O51" s="279"/>
      <c r="P51" s="279"/>
      <c r="Q51" s="279"/>
      <c r="R51" s="279"/>
      <c r="S51" s="279"/>
      <c r="T51" s="279"/>
      <c r="U51" s="279"/>
      <c r="V51" s="279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87" t="s">
        <v>154</v>
      </c>
      <c r="C52" s="288" t="s">
        <v>11</v>
      </c>
      <c r="D52" s="289" t="s">
        <v>219</v>
      </c>
      <c r="E52" s="290">
        <v>30</v>
      </c>
      <c r="F52" s="291">
        <v>9002</v>
      </c>
      <c r="G52" s="291">
        <f>IFERROR(INDEX(MRP!$F$3:$F$150,MATCH(F52,MRP!$D$3:$D$150,0)),0)</f>
        <v>0</v>
      </c>
      <c r="H52" s="29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1">
        <f t="shared" si="4"/>
        <v>0</v>
      </c>
      <c r="J52" s="293" t="str">
        <f t="shared" si="5"/>
        <v>-</v>
      </c>
      <c r="K52" s="292"/>
      <c r="L52" s="294"/>
      <c r="M52" s="279"/>
      <c r="N52" s="279"/>
      <c r="O52" s="279"/>
      <c r="P52" s="279"/>
      <c r="Q52" s="279"/>
      <c r="R52" s="279"/>
      <c r="S52" s="279"/>
      <c r="T52" s="279"/>
      <c r="U52" s="279"/>
      <c r="V52" s="279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87" t="s">
        <v>154</v>
      </c>
      <c r="C53" s="288" t="s">
        <v>213</v>
      </c>
      <c r="D53" s="289" t="s">
        <v>220</v>
      </c>
      <c r="E53" s="290">
        <v>30</v>
      </c>
      <c r="F53" s="291">
        <v>2909</v>
      </c>
      <c r="G53" s="291">
        <f>IFERROR(INDEX(MRP!$F$3:$F$150,MATCH(F53,MRP!$D$3:$D$150,0)),0)</f>
        <v>0</v>
      </c>
      <c r="H53" s="29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1">
        <f t="shared" si="4"/>
        <v>0</v>
      </c>
      <c r="J53" s="293" t="str">
        <f t="shared" si="5"/>
        <v>-</v>
      </c>
      <c r="K53" s="292"/>
      <c r="L53" s="294"/>
      <c r="M53" s="295"/>
      <c r="N53" s="295"/>
      <c r="O53" s="295"/>
      <c r="P53" s="279"/>
      <c r="Q53" s="279"/>
      <c r="R53" s="279"/>
      <c r="S53" s="295"/>
      <c r="T53" s="286"/>
      <c r="U53" s="295"/>
      <c r="V53" s="280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87" t="s">
        <v>154</v>
      </c>
      <c r="C54" s="288" t="s">
        <v>221</v>
      </c>
      <c r="D54" s="289" t="s">
        <v>222</v>
      </c>
      <c r="E54" s="290">
        <v>30</v>
      </c>
      <c r="F54" s="291">
        <v>6151</v>
      </c>
      <c r="G54" s="291">
        <f>IFERROR(INDEX(MRP!$F$3:$F$150,MATCH(F54,MRP!$D$3:$D$150,0)),0)</f>
        <v>0</v>
      </c>
      <c r="H54" s="29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1">
        <f t="shared" si="4"/>
        <v>0</v>
      </c>
      <c r="J54" s="293" t="str">
        <f t="shared" si="5"/>
        <v>-</v>
      </c>
      <c r="K54" s="292"/>
      <c r="L54" s="294"/>
      <c r="M54" s="279"/>
      <c r="N54" s="279"/>
      <c r="O54" s="279"/>
      <c r="P54" s="279"/>
      <c r="Q54" s="279"/>
      <c r="R54" s="279"/>
      <c r="S54" s="279"/>
      <c r="T54" s="279"/>
      <c r="U54" s="279"/>
      <c r="V54" s="279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87" t="s">
        <v>154</v>
      </c>
      <c r="C55" s="288" t="s">
        <v>223</v>
      </c>
      <c r="D55" s="289" t="s">
        <v>224</v>
      </c>
      <c r="E55" s="290">
        <v>35</v>
      </c>
      <c r="F55" s="291">
        <v>6530</v>
      </c>
      <c r="G55" s="291">
        <f>IFERROR(INDEX(MRP!$F$3:$F$150,MATCH(F55,MRP!$D$3:$D$150,0)),0)</f>
        <v>0</v>
      </c>
      <c r="H55" s="29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1">
        <f t="shared" si="4"/>
        <v>0</v>
      </c>
      <c r="J55" s="293" t="str">
        <f t="shared" si="5"/>
        <v>-</v>
      </c>
      <c r="K55" s="292"/>
      <c r="L55" s="294"/>
      <c r="M55" s="279"/>
      <c r="N55" s="279"/>
      <c r="O55" s="279"/>
      <c r="P55" s="279"/>
      <c r="Q55" s="279"/>
      <c r="R55" s="279"/>
      <c r="S55" s="279"/>
      <c r="T55" s="279"/>
      <c r="U55" s="279"/>
      <c r="V55" s="279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87" t="s">
        <v>154</v>
      </c>
      <c r="C56" s="288" t="s">
        <v>223</v>
      </c>
      <c r="D56" s="289" t="s">
        <v>225</v>
      </c>
      <c r="E56" s="290">
        <v>35</v>
      </c>
      <c r="F56" s="291">
        <v>6531</v>
      </c>
      <c r="G56" s="291">
        <f>IFERROR(INDEX(MRP!$F$3:$F$150,MATCH(F56,MRP!$D$3:$D$150,0)),0)</f>
        <v>0</v>
      </c>
      <c r="H56" s="29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1">
        <f t="shared" si="4"/>
        <v>0</v>
      </c>
      <c r="J56" s="293" t="str">
        <f t="shared" si="5"/>
        <v>-</v>
      </c>
      <c r="K56" s="292"/>
      <c r="L56" s="294"/>
      <c r="M56" s="279"/>
      <c r="N56" s="279"/>
      <c r="O56" s="279"/>
      <c r="P56" s="279"/>
      <c r="Q56" s="279"/>
      <c r="R56" s="279"/>
      <c r="S56" s="279"/>
      <c r="T56" s="279"/>
      <c r="U56" s="279"/>
      <c r="V56" s="279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87" t="s">
        <v>154</v>
      </c>
      <c r="C57" s="288" t="s">
        <v>223</v>
      </c>
      <c r="D57" s="289" t="s">
        <v>226</v>
      </c>
      <c r="E57" s="290">
        <v>35</v>
      </c>
      <c r="F57" s="291">
        <v>6020</v>
      </c>
      <c r="G57" s="291">
        <f>IFERROR(INDEX(MRP!$F$3:$F$150,MATCH(F57,MRP!$D$3:$D$150,0)),0)</f>
        <v>0</v>
      </c>
      <c r="H57" s="29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1">
        <f t="shared" si="4"/>
        <v>0</v>
      </c>
      <c r="J57" s="293" t="str">
        <f t="shared" si="5"/>
        <v>-</v>
      </c>
      <c r="K57" s="292"/>
      <c r="L57" s="294"/>
      <c r="M57" s="279"/>
      <c r="N57" s="279"/>
      <c r="O57" s="279"/>
      <c r="P57" s="279"/>
      <c r="Q57" s="279"/>
      <c r="R57" s="279"/>
      <c r="S57" s="279"/>
      <c r="T57" s="279"/>
      <c r="U57" s="279"/>
      <c r="V57" s="279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87" t="s">
        <v>154</v>
      </c>
      <c r="C58" s="288" t="s">
        <v>223</v>
      </c>
      <c r="D58" s="289" t="s">
        <v>227</v>
      </c>
      <c r="E58" s="290">
        <v>35</v>
      </c>
      <c r="F58" s="291">
        <v>6021</v>
      </c>
      <c r="G58" s="291">
        <f>IFERROR(INDEX(MRP!$F$3:$F$150,MATCH(F58,MRP!$D$3:$D$150,0)),0)</f>
        <v>0</v>
      </c>
      <c r="H58" s="29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1">
        <f t="shared" si="4"/>
        <v>0</v>
      </c>
      <c r="J58" s="293" t="str">
        <f t="shared" si="5"/>
        <v>-</v>
      </c>
      <c r="K58" s="292"/>
      <c r="L58" s="294"/>
      <c r="M58" s="279"/>
      <c r="N58" s="279"/>
      <c r="O58" s="279"/>
      <c r="P58" s="279"/>
      <c r="Q58" s="279"/>
      <c r="R58" s="279"/>
      <c r="S58" s="279"/>
      <c r="T58" s="279"/>
      <c r="U58" s="279"/>
      <c r="V58" s="279"/>
      <c r="W58" s="87"/>
      <c r="X58" s="89"/>
      <c r="Y58" s="89"/>
      <c r="Z58" s="89"/>
      <c r="AA58" s="89"/>
      <c r="AB58" s="89"/>
      <c r="AC58" s="89"/>
    </row>
    <row r="59" spans="1:29" x14ac:dyDescent="0.3">
      <c r="B59" s="287" t="s">
        <v>161</v>
      </c>
      <c r="C59" s="288" t="s">
        <v>13</v>
      </c>
      <c r="D59" s="289" t="s">
        <v>228</v>
      </c>
      <c r="E59" s="290" t="s">
        <v>138</v>
      </c>
      <c r="F59" s="291">
        <v>8011</v>
      </c>
      <c r="G59" s="291">
        <f>IFERROR(INDEX(MRP!$F$3:$F$150,MATCH(F59,MRP!$D$3:$D$150,0)),0)</f>
        <v>0</v>
      </c>
      <c r="H59" s="292">
        <f>SUMPRODUCT((Production_Log!$F$3:$F$1000=F59)*Production_Log!$H$3:$H$1000)</f>
        <v>0</v>
      </c>
      <c r="I59" s="291">
        <f t="shared" si="4"/>
        <v>0</v>
      </c>
      <c r="J59" s="293" t="str">
        <f t="shared" si="5"/>
        <v>-</v>
      </c>
      <c r="K59" s="292"/>
      <c r="L59" s="294"/>
      <c r="M59" s="295"/>
      <c r="N59" s="295"/>
      <c r="O59" s="295"/>
      <c r="P59" s="295"/>
      <c r="Q59" s="295"/>
      <c r="R59" s="295"/>
      <c r="S59" s="295"/>
      <c r="T59" s="295"/>
      <c r="U59" s="295"/>
      <c r="V59" s="295"/>
    </row>
    <row r="60" spans="1:29" x14ac:dyDescent="0.3">
      <c r="B60" s="287" t="s">
        <v>161</v>
      </c>
      <c r="C60" s="288" t="s">
        <v>13</v>
      </c>
      <c r="D60" s="289" t="s">
        <v>229</v>
      </c>
      <c r="E60" s="290" t="s">
        <v>138</v>
      </c>
      <c r="F60" s="291">
        <v>8012</v>
      </c>
      <c r="G60" s="291">
        <f>IFERROR(INDEX(MRP!$F$3:$F$150,MATCH(F60,MRP!$D$3:$D$150,0)),0)</f>
        <v>0</v>
      </c>
      <c r="H60" s="292">
        <f>SUMPRODUCT((Production_Log!$F$3:$F$1000=F60)*Production_Log!$H$3:$H$1000)</f>
        <v>0</v>
      </c>
      <c r="I60" s="291">
        <f t="shared" si="4"/>
        <v>0</v>
      </c>
      <c r="J60" s="293" t="str">
        <f t="shared" si="5"/>
        <v>-</v>
      </c>
      <c r="K60" s="292"/>
      <c r="L60" s="294"/>
      <c r="M60" s="295"/>
      <c r="N60" s="295"/>
      <c r="O60" s="295"/>
      <c r="P60" s="295"/>
      <c r="Q60" s="295"/>
      <c r="R60" s="295"/>
      <c r="S60" s="295"/>
      <c r="T60" s="295"/>
      <c r="U60" s="295"/>
      <c r="V60" s="295"/>
    </row>
    <row r="61" spans="1:29" x14ac:dyDescent="0.3">
      <c r="B61" s="287" t="s">
        <v>161</v>
      </c>
      <c r="C61" s="288" t="s">
        <v>11</v>
      </c>
      <c r="D61" s="289" t="s">
        <v>230</v>
      </c>
      <c r="E61" s="290" t="s">
        <v>141</v>
      </c>
      <c r="F61" s="291">
        <v>8010</v>
      </c>
      <c r="G61" s="291">
        <f>IFERROR(INDEX(MRP!$F$3:$F$150,MATCH(F61,MRP!$D$3:$D$150,0)),0)</f>
        <v>0</v>
      </c>
      <c r="H61" s="292">
        <f>SUMPRODUCT((Production_Log!$F$3:$F$1000=F61)*Production_Log!$H$3:$H$1000)</f>
        <v>0</v>
      </c>
      <c r="I61" s="291">
        <f t="shared" si="4"/>
        <v>0</v>
      </c>
      <c r="J61" s="293" t="str">
        <f t="shared" si="5"/>
        <v>-</v>
      </c>
      <c r="K61" s="292"/>
      <c r="L61" s="294"/>
    </row>
    <row r="62" spans="1:29" x14ac:dyDescent="0.3">
      <c r="B62" s="287" t="s">
        <v>161</v>
      </c>
      <c r="C62" s="288" t="s">
        <v>13</v>
      </c>
      <c r="D62" s="289" t="s">
        <v>231</v>
      </c>
      <c r="E62" s="290" t="s">
        <v>146</v>
      </c>
      <c r="F62" s="291">
        <v>8007</v>
      </c>
      <c r="G62" s="291">
        <f>IFERROR(INDEX(MRP!$F$3:$F$150,MATCH(F62,MRP!$D$3:$D$150,0)),0)</f>
        <v>0</v>
      </c>
      <c r="H62" s="292">
        <f>SUMPRODUCT((Production_Log!$F$3:$F$1000=F62)*Production_Log!$H$3:$H$1000)</f>
        <v>0</v>
      </c>
      <c r="I62" s="291">
        <f t="shared" si="4"/>
        <v>0</v>
      </c>
      <c r="J62" s="293" t="str">
        <f t="shared" si="5"/>
        <v>-</v>
      </c>
      <c r="K62" s="292"/>
      <c r="L62" s="294"/>
    </row>
    <row r="63" spans="1:29" ht="16.5" customHeight="1" x14ac:dyDescent="0.3">
      <c r="A63" s="87"/>
      <c r="B63" s="287" t="s">
        <v>161</v>
      </c>
      <c r="C63" s="288" t="s">
        <v>13</v>
      </c>
      <c r="D63" s="289" t="s">
        <v>232</v>
      </c>
      <c r="E63" s="290" t="s">
        <v>146</v>
      </c>
      <c r="F63" s="291">
        <v>8014</v>
      </c>
      <c r="G63" s="291">
        <f>IFERROR(INDEX(MRP!$F$3:$F$150,MATCH(F63,MRP!$D$3:$D$150,0)),0)</f>
        <v>0</v>
      </c>
      <c r="H63" s="292">
        <f>SUMPRODUCT((Production_Log!$F$3:$F$1000=F63)*Production_Log!$H$3:$H$1000)</f>
        <v>0</v>
      </c>
      <c r="I63" s="291">
        <f t="shared" si="4"/>
        <v>0</v>
      </c>
      <c r="J63" s="293" t="str">
        <f t="shared" si="5"/>
        <v>-</v>
      </c>
      <c r="K63" s="292"/>
      <c r="L63" s="294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87" t="s">
        <v>161</v>
      </c>
      <c r="C64" s="288" t="s">
        <v>13</v>
      </c>
      <c r="D64" s="289" t="s">
        <v>233</v>
      </c>
      <c r="E64" s="290" t="s">
        <v>146</v>
      </c>
      <c r="F64" s="291">
        <v>8016</v>
      </c>
      <c r="G64" s="291">
        <f>IFERROR(INDEX(MRP!$F$3:$F$150,MATCH(F64,MRP!$D$3:$D$150,0)),0)</f>
        <v>0</v>
      </c>
      <c r="H64" s="292">
        <f>SUMPRODUCT((Production_Log!$F$3:$F$1000=F64)*Production_Log!$H$3:$H$1000)</f>
        <v>0</v>
      </c>
      <c r="I64" s="291">
        <f t="shared" si="4"/>
        <v>0</v>
      </c>
      <c r="J64" s="293" t="str">
        <f t="shared" si="5"/>
        <v>-</v>
      </c>
      <c r="K64" s="292"/>
      <c r="L64" s="294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87" t="s">
        <v>161</v>
      </c>
      <c r="C65" s="288" t="s">
        <v>13</v>
      </c>
      <c r="D65" s="289" t="s">
        <v>234</v>
      </c>
      <c r="E65" s="290" t="s">
        <v>146</v>
      </c>
      <c r="F65" s="291">
        <v>8008</v>
      </c>
      <c r="G65" s="291">
        <f>IFERROR(INDEX(MRP!$F$3:$F$150,MATCH(F65,MRP!$D$3:$D$150,0)),0)</f>
        <v>0</v>
      </c>
      <c r="H65" s="292">
        <f>SUMPRODUCT((Production_Log!$F$3:$F$1000=F65)*Production_Log!$H$3:$H$1000)</f>
        <v>0</v>
      </c>
      <c r="I65" s="291">
        <f t="shared" si="4"/>
        <v>0</v>
      </c>
      <c r="J65" s="293" t="str">
        <f t="shared" si="5"/>
        <v>-</v>
      </c>
      <c r="K65" s="292"/>
      <c r="L65" s="294"/>
    </row>
    <row r="66" spans="2:12" x14ac:dyDescent="0.3">
      <c r="B66" s="287" t="s">
        <v>161</v>
      </c>
      <c r="C66" s="288" t="s">
        <v>11</v>
      </c>
      <c r="D66" s="289" t="s">
        <v>235</v>
      </c>
      <c r="E66" s="290" t="s">
        <v>236</v>
      </c>
      <c r="F66" s="291">
        <v>8009</v>
      </c>
      <c r="G66" s="291">
        <f>IFERROR(INDEX(MRP!$F$3:$F$150,MATCH(F66,MRP!$D$3:$D$150,0)),0)</f>
        <v>0</v>
      </c>
      <c r="H66" s="292">
        <f>SUMPRODUCT((Production_Log!$F$3:$F$1000=F66)*Production_Log!$H$3:$H$1000)</f>
        <v>0</v>
      </c>
      <c r="I66" s="291">
        <f t="shared" si="4"/>
        <v>0</v>
      </c>
      <c r="J66" s="293" t="str">
        <f t="shared" si="5"/>
        <v>-</v>
      </c>
      <c r="K66" s="292"/>
      <c r="L66" s="294"/>
    </row>
    <row r="67" spans="2:12" ht="15" customHeight="1" x14ac:dyDescent="0.3">
      <c r="B67" s="287" t="s">
        <v>161</v>
      </c>
      <c r="C67" s="288" t="s">
        <v>11</v>
      </c>
      <c r="D67" s="289" t="s">
        <v>237</v>
      </c>
      <c r="E67" s="290" t="s">
        <v>238</v>
      </c>
      <c r="F67" s="291">
        <v>8013</v>
      </c>
      <c r="G67" s="291">
        <f>IFERROR(INDEX(MRP!$F$3:$F$150,MATCH(F67,MRP!$D$3:$D$150,0)),0)</f>
        <v>0</v>
      </c>
      <c r="H67" s="292">
        <f>SUMPRODUCT((Production_Log!$F$3:$F$1000=F67)*Production_Log!$H$3:$H$1000)</f>
        <v>0</v>
      </c>
      <c r="I67" s="291">
        <f t="shared" si="4"/>
        <v>0</v>
      </c>
      <c r="J67" s="293" t="str">
        <f t="shared" si="5"/>
        <v>-</v>
      </c>
      <c r="K67" s="292"/>
      <c r="L67" s="294"/>
    </row>
    <row r="68" spans="2:12" ht="15" customHeight="1" x14ac:dyDescent="0.3">
      <c r="B68" s="315"/>
      <c r="C68" s="315"/>
      <c r="D68" s="315"/>
      <c r="E68" s="315"/>
      <c r="F68" s="315"/>
      <c r="G68" s="315"/>
      <c r="H68" s="315"/>
      <c r="I68" s="315"/>
      <c r="J68" s="315"/>
      <c r="K68" s="315"/>
      <c r="L68" s="315"/>
    </row>
    <row r="69" spans="2:12" ht="15" customHeight="1" x14ac:dyDescent="0.3">
      <c r="B69" s="315"/>
      <c r="C69" s="315"/>
      <c r="D69" s="315"/>
      <c r="E69" s="315"/>
      <c r="F69" s="315"/>
      <c r="G69" s="315"/>
      <c r="H69" s="315"/>
      <c r="I69" s="315"/>
      <c r="J69" s="315"/>
      <c r="K69" s="315"/>
      <c r="L69" s="315"/>
    </row>
    <row r="70" spans="2:12" ht="15" customHeight="1" x14ac:dyDescent="0.3">
      <c r="B70" s="315"/>
      <c r="C70" s="315"/>
      <c r="D70" s="315"/>
      <c r="E70" s="315"/>
      <c r="F70" s="315"/>
      <c r="G70" s="315"/>
      <c r="H70" s="315"/>
      <c r="I70" s="315"/>
      <c r="J70" s="315"/>
      <c r="K70" s="315"/>
      <c r="L70" s="315"/>
    </row>
    <row r="71" spans="2:12" x14ac:dyDescent="0.3">
      <c r="B71" s="315"/>
      <c r="C71" s="315"/>
      <c r="D71" s="315"/>
      <c r="E71" s="315"/>
      <c r="F71" s="315"/>
      <c r="G71" s="315"/>
      <c r="H71" s="315"/>
      <c r="I71" s="315"/>
      <c r="J71" s="315"/>
      <c r="K71" s="315"/>
      <c r="L71" s="315"/>
    </row>
    <row r="72" spans="2:12" x14ac:dyDescent="0.3">
      <c r="B72" s="315"/>
      <c r="C72" s="315"/>
      <c r="D72" s="315"/>
      <c r="E72" s="315"/>
      <c r="F72" s="315"/>
      <c r="G72" s="315"/>
      <c r="H72" s="315"/>
      <c r="I72" s="315"/>
      <c r="J72" s="315"/>
      <c r="K72" s="315"/>
      <c r="L72" s="315"/>
    </row>
    <row r="73" spans="2:12" x14ac:dyDescent="0.3">
      <c r="B73" s="315"/>
      <c r="C73" s="315"/>
      <c r="D73" s="315"/>
      <c r="E73" s="315"/>
      <c r="F73" s="315"/>
      <c r="G73" s="315"/>
      <c r="H73" s="315"/>
      <c r="I73" s="315"/>
      <c r="J73" s="315"/>
      <c r="K73" s="315"/>
      <c r="L73" s="315"/>
    </row>
    <row r="74" spans="2:12" x14ac:dyDescent="0.3">
      <c r="B74" s="315"/>
      <c r="C74" s="315"/>
      <c r="D74" s="315"/>
      <c r="E74" s="315"/>
      <c r="F74" s="315"/>
      <c r="G74" s="315"/>
      <c r="H74" s="315"/>
      <c r="I74" s="315"/>
      <c r="J74" s="315"/>
      <c r="K74" s="315"/>
      <c r="L74" s="315"/>
    </row>
    <row r="75" spans="2:12" x14ac:dyDescent="0.3">
      <c r="B75" s="315"/>
      <c r="C75" s="315"/>
      <c r="D75" s="315"/>
      <c r="E75" s="315"/>
      <c r="F75" s="315"/>
      <c r="G75" s="315"/>
      <c r="H75" s="315"/>
      <c r="I75" s="315"/>
      <c r="J75" s="315"/>
      <c r="K75" s="315"/>
      <c r="L75" s="315"/>
    </row>
    <row r="76" spans="2:12" x14ac:dyDescent="0.3">
      <c r="B76" s="315"/>
      <c r="C76" s="315"/>
      <c r="D76" s="315"/>
      <c r="E76" s="315"/>
      <c r="F76" s="315"/>
      <c r="G76" s="315"/>
      <c r="H76" s="315"/>
      <c r="I76" s="315"/>
      <c r="J76" s="315"/>
      <c r="K76" s="315"/>
      <c r="L76" s="315"/>
    </row>
    <row r="77" spans="2:12" x14ac:dyDescent="0.3">
      <c r="B77" s="315"/>
      <c r="C77" s="315"/>
      <c r="D77" s="315"/>
      <c r="E77" s="315"/>
      <c r="F77" s="315"/>
      <c r="G77" s="315"/>
      <c r="H77" s="315"/>
      <c r="I77" s="315"/>
      <c r="J77" s="315"/>
      <c r="K77" s="315"/>
      <c r="L77" s="315"/>
    </row>
    <row r="78" spans="2:12" x14ac:dyDescent="0.3">
      <c r="B78" s="315"/>
      <c r="C78" s="315"/>
      <c r="D78" s="315"/>
      <c r="E78" s="315"/>
      <c r="F78" s="315"/>
      <c r="G78" s="315"/>
      <c r="H78" s="315"/>
      <c r="I78" s="315"/>
      <c r="J78" s="315"/>
      <c r="K78" s="315"/>
      <c r="L78" s="315"/>
    </row>
    <row r="79" spans="2:12" x14ac:dyDescent="0.3">
      <c r="B79" s="315"/>
      <c r="C79" s="315"/>
      <c r="D79" s="315"/>
      <c r="E79" s="315"/>
      <c r="F79" s="315"/>
      <c r="G79" s="315"/>
      <c r="H79" s="315"/>
      <c r="I79" s="315"/>
      <c r="J79" s="315"/>
      <c r="K79" s="315"/>
      <c r="L79" s="315"/>
    </row>
    <row r="80" spans="2:12" x14ac:dyDescent="0.3">
      <c r="B80" s="315"/>
      <c r="C80" s="315"/>
      <c r="D80" s="315"/>
      <c r="E80" s="315"/>
      <c r="F80" s="315"/>
      <c r="G80" s="315"/>
      <c r="H80" s="315"/>
      <c r="I80" s="315"/>
      <c r="J80" s="315"/>
      <c r="K80" s="315"/>
      <c r="L80" s="315"/>
    </row>
    <row r="81" spans="2:12" x14ac:dyDescent="0.3">
      <c r="B81" s="315"/>
      <c r="C81" s="315"/>
      <c r="D81" s="315"/>
      <c r="E81" s="315"/>
      <c r="F81" s="315"/>
      <c r="G81" s="315"/>
      <c r="H81" s="315"/>
      <c r="I81" s="315"/>
      <c r="J81" s="315"/>
      <c r="K81" s="315"/>
      <c r="L81" s="315"/>
    </row>
    <row r="82" spans="2:12" x14ac:dyDescent="0.3">
      <c r="B82" s="315"/>
      <c r="C82" s="315"/>
      <c r="D82" s="315"/>
      <c r="E82" s="315"/>
      <c r="F82" s="315"/>
      <c r="G82" s="315"/>
      <c r="H82" s="315"/>
      <c r="I82" s="315"/>
      <c r="J82" s="315"/>
      <c r="K82" s="315"/>
      <c r="L82" s="315"/>
    </row>
    <row r="83" spans="2:12" x14ac:dyDescent="0.3">
      <c r="B83" s="315"/>
      <c r="C83" s="315"/>
      <c r="D83" s="315"/>
      <c r="E83" s="315"/>
      <c r="F83" s="315"/>
      <c r="G83" s="315"/>
      <c r="H83" s="315"/>
      <c r="I83" s="315"/>
      <c r="J83" s="315"/>
      <c r="K83" s="315"/>
      <c r="L83" s="315"/>
    </row>
    <row r="84" spans="2:12" x14ac:dyDescent="0.3">
      <c r="B84" s="315"/>
      <c r="C84" s="315"/>
      <c r="D84" s="315"/>
      <c r="E84" s="315"/>
      <c r="F84" s="315"/>
      <c r="G84" s="315"/>
      <c r="H84" s="315"/>
      <c r="I84" s="315"/>
      <c r="J84" s="315"/>
      <c r="K84" s="315"/>
      <c r="L84" s="315"/>
    </row>
    <row r="85" spans="2:12" x14ac:dyDescent="0.3">
      <c r="B85" s="315"/>
      <c r="C85" s="315"/>
      <c r="D85" s="315"/>
      <c r="E85" s="315"/>
      <c r="F85" s="315"/>
      <c r="G85" s="315"/>
      <c r="H85" s="315"/>
      <c r="I85" s="315"/>
      <c r="J85" s="315"/>
      <c r="K85" s="315"/>
      <c r="L85" s="315"/>
    </row>
    <row r="86" spans="2:12" x14ac:dyDescent="0.3">
      <c r="B86" s="315"/>
      <c r="C86" s="315"/>
      <c r="D86" s="315"/>
      <c r="E86" s="315"/>
      <c r="F86" s="315"/>
      <c r="G86" s="315"/>
      <c r="H86" s="315"/>
      <c r="I86" s="315"/>
      <c r="J86" s="315"/>
      <c r="K86" s="315"/>
      <c r="L86" s="315"/>
    </row>
    <row r="87" spans="2:12" x14ac:dyDescent="0.3">
      <c r="B87" s="315"/>
      <c r="C87" s="315"/>
      <c r="D87" s="315"/>
      <c r="E87" s="315"/>
      <c r="F87" s="315"/>
      <c r="G87" s="315"/>
      <c r="H87" s="315"/>
      <c r="I87" s="315"/>
      <c r="J87" s="315"/>
      <c r="K87" s="315"/>
      <c r="L87" s="315"/>
    </row>
    <row r="88" spans="2:12" x14ac:dyDescent="0.3">
      <c r="B88" s="315"/>
      <c r="C88" s="315"/>
      <c r="D88" s="315"/>
      <c r="E88" s="315"/>
      <c r="F88" s="315"/>
      <c r="G88" s="315"/>
      <c r="H88" s="315"/>
      <c r="I88" s="315"/>
      <c r="J88" s="315"/>
      <c r="K88" s="315"/>
      <c r="L88" s="315"/>
    </row>
    <row r="89" spans="2:12" x14ac:dyDescent="0.3">
      <c r="B89" s="315"/>
      <c r="C89" s="315"/>
      <c r="D89" s="315"/>
      <c r="E89" s="315"/>
      <c r="F89" s="315"/>
      <c r="G89" s="315"/>
      <c r="H89" s="315"/>
      <c r="I89" s="315"/>
      <c r="J89" s="315"/>
      <c r="K89" s="315"/>
      <c r="L89" s="315"/>
    </row>
    <row r="90" spans="2:12" x14ac:dyDescent="0.3">
      <c r="B90" s="315"/>
      <c r="C90" s="315"/>
      <c r="D90" s="315"/>
      <c r="E90" s="315"/>
      <c r="F90" s="315"/>
      <c r="G90" s="315"/>
      <c r="H90" s="315"/>
      <c r="I90" s="315"/>
      <c r="J90" s="315"/>
      <c r="K90" s="315"/>
      <c r="L90" s="315"/>
    </row>
    <row r="91" spans="2:12" x14ac:dyDescent="0.3">
      <c r="B91" s="315"/>
      <c r="C91" s="315"/>
      <c r="D91" s="315"/>
      <c r="E91" s="315"/>
      <c r="F91" s="315"/>
      <c r="G91" s="315"/>
      <c r="H91" s="315"/>
      <c r="I91" s="315"/>
      <c r="J91" s="315"/>
      <c r="K91" s="315"/>
      <c r="L91" s="315"/>
    </row>
    <row r="92" spans="2:12" x14ac:dyDescent="0.3">
      <c r="B92" s="315"/>
      <c r="C92" s="315"/>
      <c r="D92" s="315"/>
      <c r="E92" s="315"/>
      <c r="F92" s="315"/>
      <c r="G92" s="315"/>
      <c r="H92" s="315"/>
      <c r="I92" s="315"/>
      <c r="J92" s="315"/>
      <c r="K92" s="315"/>
      <c r="L92" s="315"/>
    </row>
    <row r="93" spans="2:12" x14ac:dyDescent="0.3">
      <c r="B93" s="315"/>
      <c r="C93" s="315"/>
      <c r="D93" s="315"/>
      <c r="E93" s="315"/>
      <c r="F93" s="315"/>
      <c r="G93" s="315"/>
      <c r="H93" s="315"/>
      <c r="I93" s="315"/>
      <c r="J93" s="315"/>
      <c r="K93" s="315"/>
      <c r="L93" s="315"/>
    </row>
    <row r="94" spans="2:12" x14ac:dyDescent="0.3">
      <c r="B94" s="315"/>
      <c r="C94" s="315"/>
      <c r="D94" s="315"/>
      <c r="E94" s="315"/>
      <c r="F94" s="315"/>
      <c r="G94" s="315"/>
      <c r="H94" s="315"/>
      <c r="I94" s="315"/>
      <c r="J94" s="315"/>
      <c r="K94" s="315"/>
      <c r="L94" s="315"/>
    </row>
    <row r="95" spans="2:12" x14ac:dyDescent="0.3">
      <c r="B95" s="315"/>
      <c r="C95" s="315"/>
      <c r="D95" s="315"/>
      <c r="E95" s="315"/>
      <c r="F95" s="315"/>
      <c r="G95" s="315"/>
      <c r="H95" s="315"/>
      <c r="I95" s="315"/>
      <c r="J95" s="315"/>
      <c r="K95" s="315"/>
      <c r="L95" s="315"/>
    </row>
    <row r="96" spans="2:12" x14ac:dyDescent="0.3">
      <c r="B96" s="315"/>
      <c r="C96" s="315"/>
      <c r="D96" s="315"/>
      <c r="E96" s="315"/>
      <c r="F96" s="315"/>
      <c r="G96" s="315"/>
      <c r="H96" s="315"/>
      <c r="I96" s="315"/>
      <c r="J96" s="315"/>
      <c r="K96" s="315"/>
      <c r="L96" s="315"/>
    </row>
    <row r="97" spans="2:12" x14ac:dyDescent="0.3">
      <c r="B97" s="315"/>
      <c r="C97" s="315"/>
      <c r="D97" s="315"/>
      <c r="E97" s="315"/>
      <c r="F97" s="315"/>
      <c r="G97" s="315"/>
      <c r="H97" s="315"/>
      <c r="I97" s="315"/>
      <c r="J97" s="315"/>
      <c r="K97" s="315"/>
      <c r="L97" s="315"/>
    </row>
    <row r="98" spans="2:12" x14ac:dyDescent="0.3">
      <c r="B98" s="315"/>
      <c r="C98" s="315"/>
      <c r="D98" s="315"/>
      <c r="E98" s="315"/>
      <c r="F98" s="315"/>
      <c r="G98" s="315"/>
      <c r="H98" s="315"/>
      <c r="I98" s="315"/>
      <c r="J98" s="315"/>
      <c r="K98" s="315"/>
      <c r="L98" s="315"/>
    </row>
    <row r="99" spans="2:12" x14ac:dyDescent="0.3">
      <c r="B99" s="315"/>
      <c r="C99" s="315"/>
      <c r="D99" s="315"/>
      <c r="E99" s="315"/>
      <c r="F99" s="315"/>
      <c r="G99" s="315"/>
      <c r="H99" s="315"/>
      <c r="I99" s="315"/>
      <c r="J99" s="315"/>
      <c r="K99" s="315"/>
      <c r="L99" s="315"/>
    </row>
    <row r="100" spans="2:12" x14ac:dyDescent="0.3">
      <c r="B100" s="315"/>
      <c r="C100" s="315"/>
      <c r="D100" s="315"/>
      <c r="E100" s="315"/>
      <c r="F100" s="315"/>
      <c r="G100" s="315"/>
      <c r="H100" s="315"/>
      <c r="I100" s="315"/>
      <c r="J100" s="315"/>
      <c r="K100" s="315"/>
      <c r="L100" s="315"/>
    </row>
    <row r="101" spans="2:12" x14ac:dyDescent="0.3">
      <c r="B101" s="315"/>
      <c r="C101" s="315"/>
      <c r="D101" s="315"/>
      <c r="E101" s="315"/>
      <c r="F101" s="315"/>
      <c r="G101" s="315"/>
      <c r="H101" s="315"/>
      <c r="I101" s="315"/>
      <c r="J101" s="315"/>
      <c r="K101" s="315"/>
      <c r="L101" s="315"/>
    </row>
    <row r="102" spans="2:12" x14ac:dyDescent="0.3">
      <c r="B102" s="315"/>
      <c r="C102" s="315"/>
      <c r="D102" s="315"/>
      <c r="E102" s="315"/>
      <c r="F102" s="315"/>
      <c r="G102" s="315"/>
      <c r="H102" s="315"/>
      <c r="I102" s="315"/>
      <c r="J102" s="315"/>
      <c r="K102" s="315"/>
      <c r="L102" s="315"/>
    </row>
    <row r="103" spans="2:12" x14ac:dyDescent="0.3">
      <c r="B103" s="315"/>
      <c r="C103" s="315"/>
      <c r="D103" s="315"/>
      <c r="E103" s="315"/>
      <c r="F103" s="315"/>
      <c r="G103" s="315"/>
      <c r="H103" s="315"/>
      <c r="I103" s="315"/>
      <c r="J103" s="315"/>
      <c r="K103" s="315"/>
      <c r="L103" s="315"/>
    </row>
    <row r="104" spans="2:12" x14ac:dyDescent="0.3">
      <c r="B104" s="315"/>
      <c r="C104" s="315"/>
      <c r="D104" s="315"/>
      <c r="E104" s="315"/>
      <c r="F104" s="315"/>
      <c r="G104" s="315"/>
      <c r="H104" s="315"/>
      <c r="I104" s="315"/>
      <c r="J104" s="315"/>
      <c r="K104" s="315"/>
      <c r="L104" s="315"/>
    </row>
    <row r="105" spans="2:12" x14ac:dyDescent="0.3">
      <c r="B105" s="315"/>
      <c r="C105" s="315"/>
      <c r="D105" s="315"/>
      <c r="E105" s="315"/>
      <c r="F105" s="315"/>
      <c r="G105" s="315"/>
      <c r="H105" s="315"/>
      <c r="I105" s="315"/>
      <c r="J105" s="315"/>
      <c r="K105" s="315"/>
      <c r="L105" s="315"/>
    </row>
    <row r="106" spans="2:12" x14ac:dyDescent="0.3">
      <c r="B106" s="315"/>
      <c r="C106" s="315"/>
      <c r="D106" s="315"/>
      <c r="E106" s="315"/>
      <c r="F106" s="315"/>
      <c r="G106" s="315"/>
      <c r="H106" s="315"/>
      <c r="I106" s="315"/>
      <c r="J106" s="315"/>
      <c r="K106" s="315"/>
      <c r="L106" s="315"/>
    </row>
    <row r="107" spans="2:12" x14ac:dyDescent="0.3">
      <c r="B107" s="315"/>
      <c r="C107" s="315"/>
      <c r="D107" s="315"/>
      <c r="E107" s="315"/>
      <c r="F107" s="315"/>
      <c r="G107" s="315"/>
      <c r="H107" s="315"/>
      <c r="I107" s="315"/>
      <c r="J107" s="315"/>
      <c r="K107" s="315"/>
      <c r="L107" s="315"/>
    </row>
    <row r="108" spans="2:12" x14ac:dyDescent="0.3">
      <c r="B108" s="315"/>
      <c r="C108" s="315"/>
      <c r="D108" s="315"/>
      <c r="E108" s="315"/>
      <c r="F108" s="315"/>
      <c r="G108" s="315"/>
      <c r="H108" s="315"/>
      <c r="I108" s="315"/>
      <c r="J108" s="315"/>
      <c r="K108" s="315"/>
      <c r="L108" s="315"/>
    </row>
    <row r="109" spans="2:12" x14ac:dyDescent="0.3">
      <c r="B109" s="315"/>
      <c r="C109" s="315"/>
      <c r="D109" s="315"/>
      <c r="E109" s="315"/>
      <c r="F109" s="315"/>
      <c r="G109" s="315"/>
      <c r="H109" s="315"/>
      <c r="I109" s="315"/>
      <c r="J109" s="315"/>
      <c r="K109" s="315"/>
      <c r="L109" s="315"/>
    </row>
    <row r="110" spans="2:12" x14ac:dyDescent="0.3">
      <c r="B110" s="315"/>
      <c r="C110" s="315"/>
      <c r="D110" s="315"/>
      <c r="E110" s="315"/>
      <c r="F110" s="315"/>
      <c r="G110" s="315"/>
      <c r="H110" s="315"/>
      <c r="I110" s="315"/>
      <c r="J110" s="315"/>
      <c r="K110" s="315"/>
      <c r="L110" s="315"/>
    </row>
    <row r="111" spans="2:12" x14ac:dyDescent="0.3">
      <c r="B111" s="315"/>
      <c r="C111" s="315"/>
      <c r="D111" s="315"/>
      <c r="E111" s="315"/>
      <c r="F111" s="315"/>
      <c r="G111" s="315"/>
      <c r="H111" s="315"/>
      <c r="I111" s="315"/>
      <c r="J111" s="315"/>
      <c r="K111" s="315"/>
      <c r="L111" s="315"/>
    </row>
    <row r="112" spans="2:12" x14ac:dyDescent="0.3">
      <c r="B112" s="315"/>
      <c r="C112" s="315"/>
      <c r="D112" s="315"/>
      <c r="E112" s="315"/>
      <c r="F112" s="315"/>
      <c r="G112" s="315"/>
      <c r="H112" s="315"/>
      <c r="I112" s="315"/>
      <c r="J112" s="315"/>
      <c r="K112" s="315"/>
      <c r="L112" s="315"/>
    </row>
    <row r="113" spans="2:12" x14ac:dyDescent="0.3">
      <c r="B113" s="315"/>
      <c r="C113" s="315"/>
      <c r="D113" s="315"/>
      <c r="E113" s="315"/>
      <c r="F113" s="315"/>
      <c r="G113" s="315"/>
      <c r="H113" s="315"/>
      <c r="I113" s="315"/>
      <c r="J113" s="315"/>
      <c r="K113" s="315"/>
      <c r="L113" s="315"/>
    </row>
    <row r="114" spans="2:12" x14ac:dyDescent="0.3">
      <c r="B114" s="315"/>
      <c r="C114" s="315"/>
      <c r="D114" s="315"/>
      <c r="E114" s="315"/>
      <c r="F114" s="315"/>
      <c r="G114" s="315"/>
      <c r="H114" s="315"/>
      <c r="I114" s="315"/>
      <c r="J114" s="315"/>
      <c r="K114" s="315"/>
      <c r="L114" s="315"/>
    </row>
    <row r="115" spans="2:12" x14ac:dyDescent="0.3">
      <c r="B115" s="315"/>
      <c r="C115" s="315"/>
      <c r="D115" s="315"/>
      <c r="E115" s="315"/>
      <c r="F115" s="315"/>
      <c r="G115" s="315"/>
      <c r="H115" s="315"/>
      <c r="I115" s="315"/>
      <c r="J115" s="315"/>
      <c r="K115" s="315"/>
      <c r="L115" s="315"/>
    </row>
    <row r="116" spans="2:12" x14ac:dyDescent="0.3">
      <c r="B116" s="315"/>
      <c r="C116" s="315"/>
      <c r="D116" s="315"/>
      <c r="E116" s="315"/>
      <c r="F116" s="315"/>
      <c r="G116" s="315"/>
      <c r="H116" s="315"/>
      <c r="I116" s="315"/>
      <c r="J116" s="315"/>
      <c r="K116" s="315"/>
      <c r="L116" s="315"/>
    </row>
    <row r="117" spans="2:12" x14ac:dyDescent="0.3">
      <c r="B117" s="315"/>
      <c r="C117" s="315"/>
      <c r="D117" s="315"/>
      <c r="E117" s="315"/>
      <c r="F117" s="315"/>
      <c r="G117" s="315"/>
      <c r="H117" s="315"/>
      <c r="I117" s="315"/>
      <c r="J117" s="315"/>
      <c r="K117" s="315"/>
      <c r="L117" s="315"/>
    </row>
    <row r="118" spans="2:12" x14ac:dyDescent="0.3">
      <c r="B118" s="315"/>
      <c r="C118" s="315"/>
      <c r="D118" s="315"/>
      <c r="E118" s="315"/>
      <c r="F118" s="315"/>
      <c r="G118" s="315"/>
      <c r="H118" s="315"/>
      <c r="I118" s="315"/>
      <c r="J118" s="315"/>
      <c r="K118" s="315"/>
      <c r="L118" s="315"/>
    </row>
    <row r="119" spans="2:12" x14ac:dyDescent="0.3">
      <c r="B119" s="315"/>
      <c r="C119" s="315"/>
      <c r="D119" s="315"/>
      <c r="E119" s="315"/>
      <c r="F119" s="315"/>
      <c r="G119" s="315"/>
      <c r="H119" s="315"/>
      <c r="I119" s="315"/>
      <c r="J119" s="315"/>
      <c r="K119" s="315"/>
      <c r="L119" s="315"/>
    </row>
    <row r="120" spans="2:12" x14ac:dyDescent="0.3">
      <c r="B120" s="315"/>
      <c r="C120" s="315"/>
      <c r="D120" s="315"/>
      <c r="E120" s="315"/>
      <c r="F120" s="315"/>
      <c r="G120" s="315"/>
      <c r="H120" s="315"/>
      <c r="I120" s="315"/>
      <c r="J120" s="315"/>
      <c r="K120" s="315"/>
      <c r="L120" s="315"/>
    </row>
    <row r="121" spans="2:12" x14ac:dyDescent="0.3">
      <c r="B121" s="315"/>
      <c r="C121" s="315"/>
      <c r="D121" s="315"/>
      <c r="E121" s="315"/>
      <c r="F121" s="315"/>
      <c r="G121" s="315"/>
      <c r="H121" s="315"/>
      <c r="I121" s="315"/>
      <c r="J121" s="315"/>
      <c r="K121" s="315"/>
      <c r="L121" s="315"/>
    </row>
    <row r="122" spans="2:12" x14ac:dyDescent="0.3">
      <c r="B122" s="315"/>
      <c r="C122" s="315"/>
      <c r="D122" s="315"/>
      <c r="E122" s="315"/>
      <c r="F122" s="315"/>
      <c r="G122" s="315"/>
      <c r="H122" s="315"/>
      <c r="I122" s="315"/>
      <c r="J122" s="315"/>
      <c r="K122" s="315"/>
      <c r="L122" s="315"/>
    </row>
    <row r="123" spans="2:12" x14ac:dyDescent="0.3">
      <c r="B123" s="315"/>
      <c r="C123" s="315"/>
      <c r="D123" s="315"/>
      <c r="E123" s="315"/>
      <c r="F123" s="315"/>
      <c r="G123" s="315"/>
      <c r="H123" s="315"/>
      <c r="I123" s="315"/>
      <c r="J123" s="315"/>
      <c r="K123" s="315"/>
      <c r="L123" s="315"/>
    </row>
    <row r="124" spans="2:12" x14ac:dyDescent="0.3">
      <c r="B124" s="315"/>
      <c r="C124" s="315"/>
      <c r="D124" s="315"/>
      <c r="E124" s="315"/>
      <c r="F124" s="315"/>
      <c r="G124" s="315"/>
      <c r="H124" s="315"/>
      <c r="I124" s="315"/>
      <c r="J124" s="315"/>
      <c r="K124" s="315"/>
      <c r="L124" s="315"/>
    </row>
    <row r="125" spans="2:12" x14ac:dyDescent="0.3">
      <c r="B125" s="315"/>
      <c r="C125" s="315"/>
      <c r="D125" s="315"/>
      <c r="E125" s="315"/>
      <c r="F125" s="315"/>
      <c r="G125" s="315"/>
      <c r="H125" s="315"/>
      <c r="I125" s="315"/>
      <c r="J125" s="315"/>
      <c r="K125" s="315"/>
      <c r="L125" s="315"/>
    </row>
    <row r="126" spans="2:12" x14ac:dyDescent="0.3">
      <c r="B126" s="315"/>
      <c r="C126" s="315"/>
      <c r="D126" s="315"/>
      <c r="E126" s="315"/>
      <c r="F126" s="315"/>
      <c r="G126" s="315"/>
      <c r="H126" s="315"/>
      <c r="I126" s="315"/>
      <c r="J126" s="315"/>
      <c r="K126" s="315"/>
      <c r="L126" s="315"/>
    </row>
    <row r="127" spans="2:12" x14ac:dyDescent="0.3">
      <c r="B127" s="315"/>
      <c r="C127" s="315"/>
      <c r="D127" s="315"/>
      <c r="E127" s="315"/>
      <c r="F127" s="315"/>
      <c r="G127" s="315"/>
      <c r="H127" s="315"/>
      <c r="I127" s="315"/>
      <c r="J127" s="315"/>
      <c r="K127" s="315"/>
      <c r="L127" s="315"/>
    </row>
    <row r="128" spans="2:12" x14ac:dyDescent="0.3">
      <c r="B128" s="315"/>
      <c r="C128" s="315"/>
      <c r="D128" s="315"/>
      <c r="E128" s="315"/>
      <c r="F128" s="315"/>
      <c r="G128" s="315"/>
      <c r="H128" s="315"/>
      <c r="I128" s="315"/>
      <c r="J128" s="315"/>
      <c r="K128" s="315"/>
      <c r="L128" s="315"/>
    </row>
    <row r="129" spans="2:12" x14ac:dyDescent="0.3">
      <c r="B129" s="315"/>
      <c r="C129" s="315"/>
      <c r="D129" s="315"/>
      <c r="E129" s="315"/>
      <c r="F129" s="315"/>
      <c r="G129" s="315"/>
      <c r="H129" s="315"/>
      <c r="I129" s="315"/>
      <c r="J129" s="315"/>
      <c r="K129" s="315"/>
      <c r="L129" s="315"/>
    </row>
    <row r="130" spans="2:12" x14ac:dyDescent="0.3">
      <c r="B130" s="315"/>
      <c r="C130" s="315"/>
      <c r="D130" s="315"/>
      <c r="E130" s="315"/>
      <c r="F130" s="315"/>
      <c r="G130" s="315"/>
      <c r="H130" s="315"/>
      <c r="I130" s="315"/>
      <c r="J130" s="315"/>
      <c r="K130" s="315"/>
      <c r="L130" s="315"/>
    </row>
    <row r="131" spans="2:12" x14ac:dyDescent="0.3">
      <c r="B131" s="315"/>
      <c r="C131" s="315"/>
      <c r="D131" s="315"/>
      <c r="E131" s="315"/>
      <c r="F131" s="315"/>
      <c r="G131" s="315"/>
      <c r="H131" s="315"/>
      <c r="I131" s="315"/>
      <c r="J131" s="315"/>
      <c r="K131" s="315"/>
      <c r="L131" s="315"/>
    </row>
    <row r="132" spans="2:12" x14ac:dyDescent="0.3">
      <c r="B132" s="315"/>
      <c r="C132" s="315"/>
      <c r="D132" s="315"/>
      <c r="E132" s="315"/>
      <c r="F132" s="315"/>
      <c r="G132" s="315"/>
      <c r="H132" s="315"/>
      <c r="I132" s="315"/>
      <c r="J132" s="315"/>
      <c r="K132" s="315"/>
      <c r="L132" s="315"/>
    </row>
    <row r="133" spans="2:12" x14ac:dyDescent="0.3">
      <c r="B133" s="315"/>
      <c r="C133" s="315"/>
      <c r="D133" s="315"/>
      <c r="E133" s="315"/>
      <c r="F133" s="315"/>
      <c r="G133" s="315"/>
      <c r="H133" s="315"/>
      <c r="I133" s="315"/>
      <c r="J133" s="315"/>
      <c r="K133" s="315"/>
      <c r="L133" s="315"/>
    </row>
    <row r="134" spans="2:12" x14ac:dyDescent="0.3">
      <c r="B134" s="315"/>
      <c r="C134" s="315"/>
      <c r="D134" s="315"/>
      <c r="E134" s="315"/>
      <c r="F134" s="315"/>
      <c r="G134" s="315"/>
      <c r="H134" s="315"/>
      <c r="I134" s="315"/>
      <c r="J134" s="315"/>
      <c r="K134" s="315"/>
      <c r="L134" s="315"/>
    </row>
    <row r="135" spans="2:12" x14ac:dyDescent="0.3">
      <c r="B135" s="315"/>
      <c r="C135" s="315"/>
      <c r="D135" s="315"/>
      <c r="E135" s="315"/>
      <c r="F135" s="315"/>
      <c r="G135" s="315"/>
      <c r="H135" s="315"/>
      <c r="I135" s="315"/>
      <c r="J135" s="315"/>
      <c r="K135" s="315"/>
      <c r="L135" s="315"/>
    </row>
    <row r="136" spans="2:12" x14ac:dyDescent="0.3">
      <c r="B136" s="315"/>
      <c r="C136" s="315"/>
      <c r="D136" s="315"/>
      <c r="E136" s="315"/>
      <c r="F136" s="315"/>
      <c r="G136" s="315"/>
      <c r="H136" s="315"/>
      <c r="I136" s="315"/>
      <c r="J136" s="315"/>
      <c r="K136" s="315"/>
      <c r="L136" s="315"/>
    </row>
    <row r="137" spans="2:12" x14ac:dyDescent="0.3">
      <c r="B137" s="315"/>
      <c r="C137" s="315"/>
      <c r="D137" s="315"/>
      <c r="E137" s="315"/>
      <c r="F137" s="315"/>
      <c r="G137" s="315"/>
      <c r="H137" s="315"/>
      <c r="I137" s="315"/>
      <c r="J137" s="315"/>
      <c r="K137" s="315"/>
      <c r="L137" s="315"/>
    </row>
    <row r="138" spans="2:12" x14ac:dyDescent="0.3">
      <c r="B138" s="315"/>
      <c r="C138" s="315"/>
      <c r="D138" s="315"/>
      <c r="E138" s="315"/>
      <c r="F138" s="315"/>
      <c r="G138" s="315"/>
      <c r="H138" s="315"/>
      <c r="I138" s="315"/>
      <c r="J138" s="315"/>
      <c r="K138" s="315"/>
      <c r="L138" s="315"/>
    </row>
    <row r="139" spans="2:12" x14ac:dyDescent="0.3">
      <c r="B139" s="315"/>
      <c r="C139" s="315"/>
      <c r="D139" s="315"/>
      <c r="E139" s="315"/>
      <c r="F139" s="315"/>
      <c r="G139" s="315"/>
      <c r="H139" s="315"/>
      <c r="I139" s="315"/>
      <c r="J139" s="315"/>
      <c r="K139" s="315"/>
      <c r="L139" s="315"/>
    </row>
    <row r="140" spans="2:12" x14ac:dyDescent="0.3">
      <c r="B140" s="315"/>
      <c r="C140" s="315"/>
      <c r="D140" s="315"/>
      <c r="E140" s="315"/>
      <c r="F140" s="315"/>
      <c r="G140" s="315"/>
      <c r="H140" s="315"/>
      <c r="I140" s="315"/>
      <c r="J140" s="315"/>
      <c r="K140" s="315"/>
      <c r="L140" s="315"/>
    </row>
    <row r="141" spans="2:12" x14ac:dyDescent="0.3">
      <c r="B141" s="315"/>
      <c r="C141" s="315"/>
      <c r="D141" s="315"/>
      <c r="E141" s="315"/>
      <c r="F141" s="315"/>
      <c r="G141" s="315"/>
      <c r="H141" s="315"/>
      <c r="I141" s="315"/>
      <c r="J141" s="315"/>
      <c r="K141" s="315"/>
      <c r="L141" s="315"/>
    </row>
    <row r="142" spans="2:12" x14ac:dyDescent="0.3">
      <c r="B142" s="315"/>
      <c r="C142" s="315"/>
      <c r="D142" s="315"/>
      <c r="E142" s="315"/>
      <c r="F142" s="315"/>
      <c r="G142" s="315"/>
      <c r="H142" s="315"/>
      <c r="I142" s="315"/>
      <c r="J142" s="315"/>
      <c r="K142" s="315"/>
      <c r="L142" s="315"/>
    </row>
    <row r="143" spans="2:12" x14ac:dyDescent="0.3">
      <c r="B143" s="315"/>
      <c r="C143" s="315"/>
      <c r="D143" s="315"/>
      <c r="E143" s="315"/>
      <c r="F143" s="315"/>
      <c r="G143" s="315"/>
      <c r="H143" s="315"/>
      <c r="I143" s="315"/>
      <c r="J143" s="315"/>
      <c r="K143" s="315"/>
      <c r="L143" s="315"/>
    </row>
    <row r="144" spans="2:12" x14ac:dyDescent="0.3">
      <c r="B144" s="315"/>
      <c r="C144" s="315"/>
      <c r="D144" s="315"/>
      <c r="E144" s="315"/>
      <c r="F144" s="315"/>
      <c r="G144" s="315"/>
      <c r="H144" s="315"/>
      <c r="I144" s="315"/>
      <c r="J144" s="315"/>
      <c r="K144" s="315"/>
      <c r="L144" s="315"/>
    </row>
    <row r="145" spans="2:12" x14ac:dyDescent="0.3">
      <c r="B145" s="315"/>
      <c r="C145" s="315"/>
      <c r="D145" s="315"/>
      <c r="E145" s="315"/>
      <c r="F145" s="315"/>
      <c r="G145" s="315"/>
      <c r="H145" s="315"/>
      <c r="I145" s="315"/>
      <c r="J145" s="315"/>
      <c r="K145" s="315"/>
      <c r="L145" s="315"/>
    </row>
    <row r="146" spans="2:12" x14ac:dyDescent="0.3">
      <c r="B146" s="315"/>
      <c r="C146" s="315"/>
      <c r="D146" s="315"/>
      <c r="E146" s="315"/>
      <c r="F146" s="315"/>
      <c r="G146" s="315"/>
      <c r="H146" s="315"/>
      <c r="I146" s="315"/>
      <c r="J146" s="315"/>
      <c r="K146" s="315"/>
      <c r="L146" s="315"/>
    </row>
    <row r="147" spans="2:12" x14ac:dyDescent="0.3">
      <c r="B147" s="315"/>
      <c r="C147" s="315"/>
      <c r="D147" s="315"/>
      <c r="E147" s="315"/>
      <c r="F147" s="315"/>
      <c r="G147" s="315"/>
      <c r="H147" s="315"/>
      <c r="I147" s="315"/>
      <c r="J147" s="315"/>
      <c r="K147" s="315"/>
      <c r="L147" s="315"/>
    </row>
    <row r="148" spans="2:12" x14ac:dyDescent="0.3">
      <c r="B148" s="315"/>
      <c r="C148" s="315"/>
      <c r="D148" s="315"/>
      <c r="E148" s="315"/>
      <c r="F148" s="315"/>
      <c r="G148" s="315"/>
      <c r="H148" s="315"/>
      <c r="I148" s="315"/>
      <c r="J148" s="315"/>
      <c r="K148" s="315"/>
      <c r="L148" s="315"/>
    </row>
    <row r="149" spans="2:12" x14ac:dyDescent="0.3">
      <c r="B149" s="315"/>
      <c r="C149" s="315"/>
      <c r="D149" s="315"/>
      <c r="E149" s="315"/>
      <c r="F149" s="315"/>
      <c r="G149" s="315"/>
      <c r="H149" s="315"/>
      <c r="I149" s="315"/>
      <c r="J149" s="315"/>
      <c r="K149" s="315"/>
      <c r="L149" s="315"/>
    </row>
    <row r="150" spans="2:12" x14ac:dyDescent="0.3">
      <c r="B150" s="315"/>
      <c r="C150" s="315"/>
      <c r="D150" s="315"/>
      <c r="E150" s="315"/>
      <c r="F150" s="315"/>
      <c r="G150" s="315"/>
      <c r="H150" s="315"/>
      <c r="I150" s="315"/>
      <c r="J150" s="315"/>
      <c r="K150" s="315"/>
      <c r="L150" s="315"/>
    </row>
    <row r="151" spans="2:12" x14ac:dyDescent="0.3">
      <c r="B151" s="315"/>
      <c r="C151" s="315"/>
      <c r="D151" s="315"/>
      <c r="E151" s="315"/>
      <c r="F151" s="315"/>
      <c r="G151" s="315"/>
      <c r="H151" s="315"/>
      <c r="I151" s="315"/>
      <c r="J151" s="315"/>
      <c r="K151" s="315"/>
      <c r="L151" s="315"/>
    </row>
    <row r="152" spans="2:12" x14ac:dyDescent="0.3">
      <c r="B152" s="315"/>
      <c r="C152" s="315"/>
      <c r="D152" s="315"/>
      <c r="E152" s="315"/>
      <c r="F152" s="315"/>
      <c r="G152" s="315"/>
      <c r="H152" s="315"/>
      <c r="I152" s="315"/>
      <c r="J152" s="315"/>
      <c r="K152" s="315"/>
      <c r="L152" s="315"/>
    </row>
    <row r="153" spans="2:12" x14ac:dyDescent="0.3">
      <c r="B153" s="315"/>
      <c r="C153" s="315"/>
      <c r="D153" s="315"/>
      <c r="E153" s="315"/>
      <c r="F153" s="315"/>
      <c r="G153" s="315"/>
      <c r="H153" s="315"/>
      <c r="I153" s="315"/>
      <c r="J153" s="315"/>
      <c r="K153" s="315"/>
      <c r="L153" s="315"/>
    </row>
    <row r="154" spans="2:12" x14ac:dyDescent="0.3">
      <c r="B154" s="315"/>
      <c r="C154" s="315"/>
      <c r="D154" s="315"/>
      <c r="E154" s="315"/>
      <c r="F154" s="315"/>
      <c r="G154" s="315"/>
      <c r="H154" s="315"/>
      <c r="I154" s="315"/>
      <c r="J154" s="315"/>
      <c r="K154" s="315"/>
      <c r="L154" s="315"/>
    </row>
    <row r="155" spans="2:12" x14ac:dyDescent="0.3">
      <c r="B155" s="315"/>
      <c r="C155" s="315"/>
      <c r="D155" s="315"/>
      <c r="E155" s="315"/>
      <c r="F155" s="315"/>
      <c r="G155" s="315"/>
      <c r="H155" s="315"/>
      <c r="I155" s="315"/>
      <c r="J155" s="315"/>
      <c r="K155" s="315"/>
      <c r="L155" s="315"/>
    </row>
    <row r="156" spans="2:12" x14ac:dyDescent="0.3">
      <c r="B156" s="315"/>
      <c r="C156" s="315"/>
      <c r="D156" s="315"/>
      <c r="E156" s="315"/>
      <c r="F156" s="315"/>
      <c r="G156" s="315"/>
      <c r="H156" s="315"/>
      <c r="I156" s="315"/>
      <c r="J156" s="315"/>
      <c r="K156" s="315"/>
      <c r="L156" s="315"/>
    </row>
    <row r="157" spans="2:12" x14ac:dyDescent="0.3">
      <c r="B157" s="315"/>
      <c r="C157" s="315"/>
      <c r="D157" s="315"/>
      <c r="E157" s="315"/>
      <c r="F157" s="315"/>
      <c r="G157" s="315"/>
      <c r="H157" s="315"/>
      <c r="I157" s="315"/>
      <c r="J157" s="315"/>
      <c r="K157" s="315"/>
      <c r="L157" s="315"/>
    </row>
    <row r="158" spans="2:12" x14ac:dyDescent="0.3">
      <c r="B158" s="315"/>
      <c r="C158" s="315"/>
      <c r="D158" s="315"/>
      <c r="E158" s="315"/>
      <c r="F158" s="315"/>
      <c r="G158" s="315"/>
      <c r="H158" s="315"/>
      <c r="I158" s="315"/>
      <c r="J158" s="315"/>
      <c r="K158" s="315"/>
      <c r="L158" s="315"/>
    </row>
    <row r="159" spans="2:12" x14ac:dyDescent="0.3">
      <c r="B159" s="315"/>
      <c r="C159" s="315"/>
      <c r="D159" s="315"/>
      <c r="E159" s="315"/>
      <c r="F159" s="315"/>
      <c r="G159" s="315"/>
      <c r="H159" s="315"/>
      <c r="I159" s="315"/>
      <c r="J159" s="315"/>
      <c r="K159" s="315"/>
      <c r="L159" s="315"/>
    </row>
    <row r="160" spans="2:12" x14ac:dyDescent="0.3">
      <c r="B160" s="315"/>
      <c r="C160" s="315"/>
      <c r="D160" s="315"/>
      <c r="E160" s="315"/>
      <c r="F160" s="315"/>
      <c r="G160" s="315"/>
      <c r="H160" s="315"/>
      <c r="I160" s="315"/>
      <c r="J160" s="315"/>
      <c r="K160" s="315"/>
      <c r="L160" s="315"/>
    </row>
    <row r="161" spans="2:12" x14ac:dyDescent="0.3">
      <c r="B161" s="315"/>
      <c r="C161" s="315"/>
      <c r="D161" s="315"/>
      <c r="E161" s="315"/>
      <c r="F161" s="315"/>
      <c r="G161" s="315"/>
      <c r="H161" s="315"/>
      <c r="I161" s="315"/>
      <c r="J161" s="315"/>
      <c r="K161" s="315"/>
      <c r="L161" s="315"/>
    </row>
    <row r="162" spans="2:12" x14ac:dyDescent="0.3">
      <c r="B162" s="315"/>
      <c r="C162" s="315"/>
      <c r="D162" s="315"/>
      <c r="E162" s="315"/>
      <c r="F162" s="315"/>
      <c r="G162" s="315"/>
      <c r="H162" s="315"/>
      <c r="I162" s="315"/>
      <c r="J162" s="315"/>
      <c r="K162" s="315"/>
      <c r="L162" s="315"/>
    </row>
    <row r="163" spans="2:12" x14ac:dyDescent="0.3">
      <c r="B163" s="315"/>
      <c r="C163" s="315"/>
      <c r="D163" s="315"/>
      <c r="E163" s="315"/>
      <c r="F163" s="315"/>
      <c r="G163" s="315"/>
      <c r="H163" s="315"/>
      <c r="I163" s="315"/>
      <c r="J163" s="315"/>
      <c r="K163" s="315"/>
      <c r="L163" s="315"/>
    </row>
    <row r="164" spans="2:12" x14ac:dyDescent="0.3">
      <c r="B164" s="315"/>
      <c r="C164" s="315"/>
      <c r="D164" s="315"/>
      <c r="E164" s="315"/>
      <c r="F164" s="315"/>
      <c r="G164" s="315"/>
      <c r="H164" s="315"/>
      <c r="I164" s="315"/>
      <c r="J164" s="315"/>
      <c r="K164" s="315"/>
      <c r="L164" s="315"/>
    </row>
    <row r="165" spans="2:12" x14ac:dyDescent="0.3">
      <c r="B165" s="315"/>
      <c r="C165" s="315"/>
      <c r="D165" s="315"/>
      <c r="E165" s="315"/>
      <c r="F165" s="315"/>
      <c r="G165" s="315"/>
      <c r="H165" s="315"/>
      <c r="I165" s="315"/>
      <c r="J165" s="315"/>
      <c r="K165" s="315"/>
      <c r="L165" s="315"/>
    </row>
    <row r="166" spans="2:12" x14ac:dyDescent="0.3">
      <c r="B166" s="315"/>
      <c r="C166" s="315"/>
      <c r="D166" s="315"/>
      <c r="E166" s="315"/>
      <c r="F166" s="315"/>
      <c r="G166" s="315"/>
      <c r="H166" s="315"/>
      <c r="I166" s="315"/>
      <c r="J166" s="315"/>
      <c r="K166" s="315"/>
      <c r="L166" s="315"/>
    </row>
    <row r="167" spans="2:12" x14ac:dyDescent="0.3">
      <c r="B167" s="315"/>
      <c r="C167" s="315"/>
      <c r="D167" s="315"/>
      <c r="E167" s="315"/>
      <c r="F167" s="315"/>
      <c r="G167" s="315"/>
      <c r="H167" s="315"/>
      <c r="I167" s="315"/>
      <c r="J167" s="315"/>
      <c r="K167" s="315"/>
      <c r="L167" s="315"/>
    </row>
    <row r="168" spans="2:12" x14ac:dyDescent="0.3">
      <c r="B168" s="315"/>
      <c r="C168" s="315"/>
      <c r="D168" s="315"/>
      <c r="E168" s="315"/>
      <c r="F168" s="315"/>
      <c r="G168" s="315"/>
      <c r="H168" s="315"/>
      <c r="I168" s="315"/>
      <c r="J168" s="315"/>
      <c r="K168" s="315"/>
      <c r="L168" s="315"/>
    </row>
    <row r="169" spans="2:12" x14ac:dyDescent="0.3">
      <c r="B169" s="315"/>
      <c r="C169" s="315"/>
      <c r="D169" s="315"/>
      <c r="E169" s="315"/>
      <c r="F169" s="315"/>
      <c r="G169" s="315"/>
      <c r="H169" s="315"/>
      <c r="I169" s="315"/>
      <c r="J169" s="315"/>
      <c r="K169" s="315"/>
      <c r="L169" s="315"/>
    </row>
    <row r="170" spans="2:12" x14ac:dyDescent="0.3">
      <c r="B170" s="315"/>
      <c r="C170" s="315"/>
      <c r="D170" s="315"/>
      <c r="E170" s="315"/>
      <c r="F170" s="315"/>
      <c r="G170" s="315"/>
      <c r="H170" s="315"/>
      <c r="I170" s="315"/>
      <c r="J170" s="315"/>
      <c r="K170" s="315"/>
      <c r="L170" s="315"/>
    </row>
    <row r="171" spans="2:12" x14ac:dyDescent="0.3">
      <c r="B171" s="315"/>
      <c r="C171" s="315"/>
      <c r="D171" s="315"/>
      <c r="E171" s="315"/>
      <c r="F171" s="315"/>
      <c r="G171" s="315"/>
      <c r="H171" s="315"/>
      <c r="I171" s="315"/>
      <c r="J171" s="315"/>
      <c r="K171" s="315"/>
      <c r="L171" s="315"/>
    </row>
    <row r="172" spans="2:12" x14ac:dyDescent="0.3">
      <c r="B172" s="315"/>
      <c r="C172" s="315"/>
      <c r="D172" s="315"/>
      <c r="E172" s="315"/>
      <c r="F172" s="315"/>
      <c r="G172" s="315"/>
      <c r="H172" s="315"/>
      <c r="I172" s="315"/>
      <c r="J172" s="315"/>
      <c r="K172" s="315"/>
      <c r="L172" s="315"/>
    </row>
    <row r="173" spans="2:12" x14ac:dyDescent="0.3">
      <c r="B173" s="315"/>
      <c r="C173" s="315"/>
      <c r="D173" s="315"/>
      <c r="E173" s="315"/>
      <c r="F173" s="315"/>
      <c r="G173" s="315"/>
      <c r="H173" s="315"/>
      <c r="I173" s="315"/>
      <c r="J173" s="315"/>
      <c r="K173" s="315"/>
      <c r="L173" s="315"/>
    </row>
    <row r="174" spans="2:12" x14ac:dyDescent="0.3">
      <c r="B174" s="315"/>
      <c r="C174" s="315"/>
      <c r="D174" s="315"/>
      <c r="E174" s="315"/>
      <c r="F174" s="315"/>
      <c r="G174" s="315"/>
      <c r="H174" s="315"/>
      <c r="I174" s="315"/>
      <c r="J174" s="315"/>
      <c r="K174" s="315"/>
      <c r="L174" s="315"/>
    </row>
    <row r="175" spans="2:12" x14ac:dyDescent="0.3">
      <c r="B175" s="315"/>
      <c r="C175" s="315"/>
      <c r="D175" s="315"/>
      <c r="E175" s="315"/>
      <c r="F175" s="315"/>
      <c r="G175" s="315"/>
      <c r="H175" s="315"/>
      <c r="I175" s="315"/>
      <c r="J175" s="315"/>
      <c r="K175" s="315"/>
      <c r="L175" s="315"/>
    </row>
    <row r="176" spans="2:12" x14ac:dyDescent="0.3">
      <c r="B176" s="315"/>
      <c r="C176" s="315"/>
      <c r="D176" s="315"/>
      <c r="E176" s="315"/>
      <c r="F176" s="315"/>
      <c r="G176" s="315"/>
      <c r="H176" s="315"/>
      <c r="I176" s="315"/>
      <c r="J176" s="315"/>
      <c r="K176" s="315"/>
      <c r="L176" s="315"/>
    </row>
    <row r="177" spans="2:12" x14ac:dyDescent="0.3">
      <c r="B177" s="315"/>
      <c r="C177" s="315"/>
      <c r="D177" s="315"/>
      <c r="E177" s="315"/>
      <c r="F177" s="315"/>
      <c r="G177" s="315"/>
      <c r="H177" s="315"/>
      <c r="I177" s="315"/>
      <c r="J177" s="315"/>
      <c r="K177" s="315"/>
      <c r="L177" s="315"/>
    </row>
    <row r="178" spans="2:12" x14ac:dyDescent="0.3">
      <c r="B178" s="315"/>
      <c r="C178" s="315"/>
      <c r="D178" s="315"/>
      <c r="E178" s="315"/>
      <c r="F178" s="315"/>
      <c r="G178" s="315"/>
      <c r="H178" s="315"/>
      <c r="I178" s="315"/>
      <c r="J178" s="315"/>
      <c r="K178" s="315"/>
      <c r="L178" s="315"/>
    </row>
    <row r="179" spans="2:12" x14ac:dyDescent="0.3">
      <c r="B179" s="315"/>
      <c r="C179" s="315"/>
      <c r="D179" s="315"/>
      <c r="E179" s="315"/>
      <c r="F179" s="315"/>
      <c r="G179" s="315"/>
      <c r="H179" s="315"/>
      <c r="I179" s="315"/>
      <c r="J179" s="315"/>
      <c r="K179" s="315"/>
      <c r="L179" s="315"/>
    </row>
    <row r="180" spans="2:12" x14ac:dyDescent="0.3">
      <c r="B180" s="315"/>
      <c r="C180" s="315"/>
      <c r="D180" s="315"/>
      <c r="E180" s="315"/>
      <c r="F180" s="315"/>
      <c r="G180" s="315"/>
      <c r="H180" s="315"/>
      <c r="I180" s="315"/>
      <c r="J180" s="315"/>
      <c r="K180" s="315"/>
      <c r="L180" s="315"/>
    </row>
    <row r="181" spans="2:12" x14ac:dyDescent="0.3">
      <c r="B181" s="315"/>
      <c r="C181" s="315"/>
      <c r="D181" s="315"/>
      <c r="E181" s="315"/>
      <c r="F181" s="315"/>
      <c r="G181" s="315"/>
      <c r="H181" s="315"/>
      <c r="I181" s="315"/>
      <c r="J181" s="315"/>
      <c r="K181" s="315"/>
      <c r="L181" s="315"/>
    </row>
    <row r="182" spans="2:12" x14ac:dyDescent="0.3">
      <c r="B182" s="315"/>
      <c r="C182" s="315"/>
      <c r="D182" s="315"/>
      <c r="E182" s="315"/>
      <c r="F182" s="315"/>
      <c r="G182" s="315"/>
      <c r="H182" s="315"/>
      <c r="I182" s="315"/>
      <c r="J182" s="315"/>
      <c r="K182" s="315"/>
      <c r="L182" s="315"/>
    </row>
    <row r="183" spans="2:12" x14ac:dyDescent="0.3">
      <c r="B183" s="315"/>
      <c r="C183" s="315"/>
      <c r="D183" s="315"/>
      <c r="E183" s="315"/>
      <c r="F183" s="315"/>
      <c r="G183" s="315"/>
      <c r="H183" s="315"/>
      <c r="I183" s="315"/>
      <c r="J183" s="315"/>
      <c r="K183" s="315"/>
      <c r="L183" s="315"/>
    </row>
    <row r="184" spans="2:12" x14ac:dyDescent="0.3">
      <c r="B184" s="315"/>
      <c r="C184" s="315"/>
      <c r="D184" s="315"/>
      <c r="E184" s="315"/>
      <c r="F184" s="315"/>
      <c r="G184" s="315"/>
      <c r="H184" s="315"/>
      <c r="I184" s="315"/>
      <c r="J184" s="315"/>
      <c r="K184" s="315"/>
      <c r="L184" s="315"/>
    </row>
    <row r="185" spans="2:12" x14ac:dyDescent="0.3">
      <c r="B185" s="315"/>
      <c r="C185" s="315"/>
      <c r="D185" s="315"/>
      <c r="E185" s="315"/>
      <c r="F185" s="315"/>
      <c r="G185" s="315"/>
      <c r="H185" s="315"/>
      <c r="I185" s="315"/>
      <c r="J185" s="315"/>
      <c r="K185" s="315"/>
      <c r="L185" s="315"/>
    </row>
    <row r="186" spans="2:12" x14ac:dyDescent="0.3">
      <c r="B186" s="315"/>
      <c r="C186" s="315"/>
      <c r="D186" s="315"/>
      <c r="E186" s="315"/>
      <c r="F186" s="315"/>
      <c r="G186" s="315"/>
      <c r="H186" s="315"/>
      <c r="I186" s="315"/>
      <c r="J186" s="315"/>
      <c r="K186" s="315"/>
      <c r="L186" s="315"/>
    </row>
    <row r="187" spans="2:12" x14ac:dyDescent="0.3">
      <c r="B187" s="315"/>
      <c r="C187" s="315"/>
      <c r="D187" s="315"/>
      <c r="E187" s="315"/>
      <c r="F187" s="315"/>
      <c r="G187" s="315"/>
      <c r="H187" s="315"/>
      <c r="I187" s="315"/>
      <c r="J187" s="315"/>
      <c r="K187" s="315"/>
      <c r="L187" s="315"/>
    </row>
    <row r="188" spans="2:12" x14ac:dyDescent="0.3">
      <c r="B188" s="315"/>
      <c r="C188" s="315"/>
      <c r="D188" s="315"/>
      <c r="E188" s="315"/>
      <c r="F188" s="315"/>
      <c r="G188" s="315"/>
      <c r="H188" s="315"/>
      <c r="I188" s="315"/>
      <c r="J188" s="315"/>
      <c r="K188" s="315"/>
      <c r="L188" s="315"/>
    </row>
    <row r="189" spans="2:12" x14ac:dyDescent="0.3">
      <c r="B189" s="315"/>
      <c r="C189" s="315"/>
      <c r="D189" s="315"/>
      <c r="E189" s="315"/>
      <c r="F189" s="315"/>
      <c r="G189" s="315"/>
      <c r="H189" s="315"/>
      <c r="I189" s="315"/>
      <c r="J189" s="315"/>
      <c r="K189" s="315"/>
      <c r="L189" s="315"/>
    </row>
    <row r="190" spans="2:12" x14ac:dyDescent="0.3">
      <c r="B190" s="315"/>
      <c r="C190" s="315"/>
      <c r="D190" s="315"/>
      <c r="E190" s="315"/>
      <c r="F190" s="315"/>
      <c r="G190" s="315"/>
      <c r="H190" s="315"/>
      <c r="I190" s="315"/>
      <c r="J190" s="315"/>
      <c r="K190" s="315"/>
      <c r="L190" s="315"/>
    </row>
    <row r="191" spans="2:12" x14ac:dyDescent="0.3">
      <c r="B191" s="315"/>
      <c r="C191" s="315"/>
      <c r="D191" s="315"/>
      <c r="E191" s="315"/>
      <c r="F191" s="315"/>
      <c r="G191" s="315"/>
      <c r="H191" s="315"/>
      <c r="I191" s="315"/>
      <c r="J191" s="315"/>
      <c r="K191" s="315"/>
      <c r="L191" s="315"/>
    </row>
    <row r="192" spans="2:12" x14ac:dyDescent="0.3">
      <c r="B192" s="315"/>
      <c r="C192" s="315"/>
      <c r="D192" s="315"/>
      <c r="E192" s="315"/>
      <c r="F192" s="315"/>
      <c r="G192" s="315"/>
      <c r="H192" s="315"/>
      <c r="I192" s="315"/>
      <c r="J192" s="315"/>
      <c r="K192" s="315"/>
      <c r="L192" s="315"/>
    </row>
    <row r="193" spans="2:12" x14ac:dyDescent="0.3">
      <c r="B193" s="315"/>
      <c r="C193" s="315"/>
      <c r="D193" s="315"/>
      <c r="E193" s="315"/>
      <c r="F193" s="315"/>
      <c r="G193" s="315"/>
      <c r="H193" s="315"/>
      <c r="I193" s="315"/>
      <c r="J193" s="315"/>
      <c r="K193" s="315"/>
      <c r="L193" s="315"/>
    </row>
    <row r="194" spans="2:12" x14ac:dyDescent="0.3">
      <c r="B194" s="315"/>
      <c r="C194" s="315"/>
      <c r="D194" s="315"/>
      <c r="E194" s="315"/>
      <c r="F194" s="315"/>
      <c r="G194" s="315"/>
      <c r="H194" s="315"/>
      <c r="I194" s="315"/>
      <c r="J194" s="315"/>
      <c r="K194" s="315"/>
      <c r="L194" s="315"/>
    </row>
    <row r="195" spans="2:12" x14ac:dyDescent="0.3">
      <c r="B195" s="315"/>
      <c r="C195" s="315"/>
      <c r="D195" s="315"/>
      <c r="E195" s="315"/>
      <c r="F195" s="315"/>
      <c r="G195" s="315"/>
      <c r="H195" s="315"/>
      <c r="I195" s="315"/>
      <c r="J195" s="315"/>
      <c r="K195" s="315"/>
      <c r="L195" s="315"/>
    </row>
    <row r="196" spans="2:12" x14ac:dyDescent="0.3">
      <c r="B196" s="315"/>
      <c r="C196" s="315"/>
      <c r="D196" s="315"/>
      <c r="E196" s="315"/>
      <c r="F196" s="315"/>
      <c r="G196" s="315"/>
      <c r="H196" s="315"/>
      <c r="I196" s="315"/>
      <c r="J196" s="315"/>
      <c r="K196" s="315"/>
      <c r="L196" s="315"/>
    </row>
    <row r="197" spans="2:12" x14ac:dyDescent="0.3">
      <c r="B197" s="315"/>
      <c r="C197" s="315"/>
      <c r="D197" s="315"/>
      <c r="E197" s="315"/>
      <c r="F197" s="315"/>
      <c r="G197" s="315"/>
      <c r="H197" s="315"/>
      <c r="I197" s="315"/>
      <c r="J197" s="315"/>
      <c r="K197" s="315"/>
      <c r="L197" s="315"/>
    </row>
    <row r="198" spans="2:12" x14ac:dyDescent="0.3">
      <c r="B198" s="315"/>
      <c r="C198" s="315"/>
      <c r="D198" s="315"/>
      <c r="E198" s="315"/>
      <c r="F198" s="315"/>
      <c r="G198" s="315"/>
      <c r="H198" s="315"/>
      <c r="I198" s="315"/>
      <c r="J198" s="315"/>
      <c r="K198" s="315"/>
      <c r="L198" s="315"/>
    </row>
    <row r="199" spans="2:12" x14ac:dyDescent="0.3">
      <c r="B199" s="315"/>
      <c r="C199" s="315"/>
      <c r="D199" s="315"/>
      <c r="E199" s="315"/>
      <c r="F199" s="315"/>
      <c r="G199" s="315"/>
      <c r="H199" s="315"/>
      <c r="I199" s="315"/>
      <c r="J199" s="315"/>
      <c r="K199" s="315"/>
      <c r="L199" s="315"/>
    </row>
    <row r="200" spans="2:12" x14ac:dyDescent="0.3">
      <c r="B200" s="315"/>
      <c r="C200" s="315"/>
      <c r="D200" s="315"/>
      <c r="E200" s="315"/>
      <c r="F200" s="315"/>
      <c r="G200" s="315"/>
      <c r="H200" s="315"/>
      <c r="I200" s="315"/>
      <c r="J200" s="315"/>
      <c r="K200" s="315"/>
      <c r="L200" s="315"/>
    </row>
    <row r="201" spans="2:12" x14ac:dyDescent="0.3">
      <c r="B201" s="315"/>
      <c r="C201" s="315"/>
      <c r="D201" s="315"/>
      <c r="E201" s="315"/>
      <c r="F201" s="315"/>
      <c r="G201" s="315"/>
      <c r="H201" s="315"/>
      <c r="I201" s="315"/>
      <c r="J201" s="315"/>
      <c r="K201" s="315"/>
      <c r="L201" s="315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46302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198008</v>
      </c>
      <c r="H7" s="188">
        <f t="shared" si="0"/>
        <v>501992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306788</v>
      </c>
      <c r="H9" s="105">
        <f>SUMIF(H3:H8, "&gt;0")</f>
        <v>746328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4857.5296000000008</v>
      </c>
      <c r="F22" s="149">
        <f>IFERROR(INDEX(TableInventory[Store Balance],MATCH(A22,TableInventory[Item ID],0)),0)+IFERROR(INDEX(TableInventory[WIP],MATCH(A22,TableInventory[Item ID],0)),0)</f>
        <v>1345</v>
      </c>
      <c r="G22" s="148">
        <f t="shared" si="1"/>
        <v>-3512.5296000000008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152841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95</v>
      </c>
      <c r="G24" s="148">
        <f t="shared" si="1"/>
        <v>-1964.3324787200004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7950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208.23278960000002</v>
      </c>
      <c r="F30" s="148">
        <f>IFERROR(INDEX(TableInventory[Store Balance],MATCH(A30,TableInventory[Item ID],0)),0)+IFERROR(INDEX(TableInventory[WIP],MATCH(A30,TableInventory[Item ID],0)),0)</f>
        <v>150</v>
      </c>
      <c r="G30" s="148">
        <f t="shared" si="1"/>
        <v>-58.232789600000018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537616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562.09639200000004</v>
      </c>
      <c r="F34" s="148">
        <f>IFERROR(INDEX(TableInventory[Store Balance],MATCH(A34,TableInventory[Item ID],0)),0)+IFERROR(INDEX(TableInventory[WIP],MATCH(A34,TableInventory[Item ID],0)),0)</f>
        <v>150</v>
      </c>
      <c r="G34" s="148">
        <f t="shared" si="1"/>
        <v>-412.09639200000004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199164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293.91225600000001</v>
      </c>
      <c r="F42" s="148">
        <f>IFERROR(INDEX(TableInventory[Store Balance],MATCH(A42,TableInventory[Item ID],0)),0)+IFERROR(INDEX(TableInventory[WIP],MATCH(A42,TableInventory[Item ID],0)),0)</f>
        <v>480</v>
      </c>
      <c r="G42" s="148">
        <f t="shared" si="1"/>
        <v>186.08774399999999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1182929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83600</v>
      </c>
      <c r="G46" s="148">
        <f t="shared" si="3"/>
        <v>83600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100000</v>
      </c>
      <c r="G47" s="148">
        <f t="shared" si="3"/>
        <v>100000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60000</v>
      </c>
      <c r="G53" s="148">
        <f t="shared" si="3"/>
        <v>60000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512031.84</v>
      </c>
      <c r="F57" s="148">
        <f>IFERROR(INDEX(TableInventory[Store Balance],MATCH(A57,TableInventory[Item ID],0)),0)+IFERROR(INDEX(TableInventory[WIP],MATCH(A57,TableInventory[Item ID],0)),0)</f>
        <v>22224</v>
      </c>
      <c r="G57" s="148">
        <f t="shared" si="3"/>
        <v>-489807.84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21788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30000</v>
      </c>
      <c r="G58" s="148">
        <f t="shared" si="3"/>
        <v>30000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95000</v>
      </c>
      <c r="G59" s="148">
        <f t="shared" si="3"/>
        <v>-80782.720000000001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93137</v>
      </c>
      <c r="I59" s="150" t="str">
        <f t="shared" si="4"/>
        <v>SHORTAGE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9246</v>
      </c>
      <c r="G63" s="148">
        <f t="shared" si="3"/>
        <v>-41754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9065</v>
      </c>
      <c r="I63" s="150" t="str">
        <f t="shared" si="4"/>
        <v>SHORTAGE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2551.1965459200001</v>
      </c>
      <c r="F70" s="148">
        <f>IFERROR(INDEX(TableInventory[Store Balance],MATCH(A70,TableInventory[Item ID],0)),0)+IFERROR(INDEX(TableInventory[WIP],MATCH(A70,TableInventory[Item ID],0)),0)</f>
        <v>540</v>
      </c>
      <c r="G70" s="148">
        <f t="shared" si="3"/>
        <v>-2011.1965459200001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116838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6.4963789439999999</v>
      </c>
      <c r="F74" s="148">
        <f>IFERROR(INDEX(TableInventory[Store Balance],MATCH(A74,TableInventory[Item ID],0)),0)+IFERROR(INDEX(TableInventory[WIP],MATCH(A74,TableInventory[Item ID],0)),0)</f>
        <v>25.5</v>
      </c>
      <c r="G74" s="148">
        <f t="shared" si="3"/>
        <v>19.003621056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2733271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127.99732</v>
      </c>
      <c r="F76" s="148">
        <f>IFERROR(INDEX(TableInventory[Store Balance],MATCH(A76,TableInventory[Item ID],0)),0)+IFERROR(INDEX(TableInventory[WIP],MATCH(A76,TableInventory[Item ID],0)),0)</f>
        <v>300</v>
      </c>
      <c r="G76" s="148">
        <f t="shared" ref="G76:G107" si="5">F76-E76</f>
        <v>172.00268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1749243</v>
      </c>
      <c r="I76" s="150" t="str">
        <f t="shared" ref="I76:I92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100</v>
      </c>
      <c r="G77" s="148">
        <f t="shared" si="5"/>
        <v>100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75</v>
      </c>
      <c r="G78" s="148">
        <f t="shared" si="5"/>
        <v>75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765</v>
      </c>
      <c r="G79" s="148">
        <f t="shared" si="5"/>
        <v>765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9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0</v>
      </c>
      <c r="G81" s="148">
        <f t="shared" si="5"/>
        <v>0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9" ht="15" hidden="1" customHeight="1" x14ac:dyDescent="0.25">
      <c r="A82" s="16">
        <v>4310</v>
      </c>
      <c r="B82" s="147" t="s">
        <v>115</v>
      </c>
      <c r="C82" s="147" t="s">
        <v>118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36.229999999999997</v>
      </c>
      <c r="G82" s="148">
        <f t="shared" si="5"/>
        <v>36.229999999999997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9" ht="15" hidden="1" customHeight="1" x14ac:dyDescent="0.25">
      <c r="A83" s="16">
        <v>5625</v>
      </c>
      <c r="B83" s="147" t="s">
        <v>115</v>
      </c>
      <c r="C83" s="147" t="s">
        <v>119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48.5</v>
      </c>
      <c r="G83" s="148">
        <f t="shared" si="5"/>
        <v>48.5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9" ht="15" hidden="1" customHeight="1" x14ac:dyDescent="0.25">
      <c r="A84" s="16">
        <v>5816</v>
      </c>
      <c r="B84" s="147" t="s">
        <v>115</v>
      </c>
      <c r="C84" s="147" t="s">
        <v>120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0</v>
      </c>
      <c r="G84" s="148">
        <f t="shared" si="5"/>
        <v>0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9" ht="15" hidden="1" customHeight="1" x14ac:dyDescent="0.25">
      <c r="A85" s="16">
        <v>6135</v>
      </c>
      <c r="B85" s="147" t="s">
        <v>115</v>
      </c>
      <c r="C85" s="147" t="s">
        <v>121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200</v>
      </c>
      <c r="G85" s="148">
        <f t="shared" si="5"/>
        <v>200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9" ht="16.5" hidden="1" customHeight="1" x14ac:dyDescent="0.25">
      <c r="A86" s="16">
        <v>7133</v>
      </c>
      <c r="B86" s="147" t="s">
        <v>115</v>
      </c>
      <c r="C86" s="147" t="s">
        <v>122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</v>
      </c>
      <c r="G86" s="148">
        <f t="shared" si="5"/>
        <v>20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9" ht="15" hidden="1" customHeight="1" x14ac:dyDescent="0.25">
      <c r="A87" s="16">
        <v>7412</v>
      </c>
      <c r="B87" s="147" t="s">
        <v>115</v>
      </c>
      <c r="C87" s="147" t="s">
        <v>123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25</v>
      </c>
      <c r="G87" s="148">
        <f t="shared" si="5"/>
        <v>25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9" ht="15" hidden="1" customHeight="1" x14ac:dyDescent="0.25">
      <c r="A88" s="16">
        <v>3752</v>
      </c>
      <c r="B88" s="147" t="s">
        <v>124</v>
      </c>
      <c r="C88" s="147" t="s">
        <v>125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56</v>
      </c>
      <c r="G88" s="148">
        <f t="shared" si="5"/>
        <v>56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9" ht="15" hidden="1" customHeight="1" x14ac:dyDescent="0.25">
      <c r="A89" s="16">
        <v>4248</v>
      </c>
      <c r="B89" s="147" t="s">
        <v>124</v>
      </c>
      <c r="C89" s="147" t="s">
        <v>126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250</v>
      </c>
      <c r="G89" s="148">
        <f t="shared" si="5"/>
        <v>250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9" ht="15" hidden="1" customHeight="1" x14ac:dyDescent="0.25">
      <c r="A90" s="16">
        <v>6042</v>
      </c>
      <c r="B90" s="147" t="s">
        <v>124</v>
      </c>
      <c r="C90" s="147" t="s">
        <v>127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</v>
      </c>
      <c r="G90" s="148">
        <f t="shared" si="5"/>
        <v>25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9" ht="15" hidden="1" customHeight="1" x14ac:dyDescent="0.25">
      <c r="A91" s="16">
        <v>2267</v>
      </c>
      <c r="B91" s="147" t="s">
        <v>128</v>
      </c>
      <c r="C91" s="147" t="s">
        <v>129</v>
      </c>
      <c r="D91" s="147" t="s">
        <v>73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328</v>
      </c>
      <c r="G91" s="148">
        <f t="shared" si="5"/>
        <v>328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9" ht="15" hidden="1" customHeight="1" x14ac:dyDescent="0.25">
      <c r="A92" s="16">
        <v>3043</v>
      </c>
      <c r="B92" s="147" t="s">
        <v>130</v>
      </c>
      <c r="C92" s="147" t="s">
        <v>131</v>
      </c>
      <c r="D92" s="147" t="s">
        <v>132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0</v>
      </c>
      <c r="G92" s="148">
        <f t="shared" si="5"/>
        <v>0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9" ht="18.75" hidden="1" customHeight="1" x14ac:dyDescent="0.25">
      <c r="A93" s="16"/>
      <c r="B93" s="16"/>
      <c r="C93" s="16"/>
      <c r="D93" s="16"/>
      <c r="E93" s="24"/>
      <c r="F93" s="24"/>
      <c r="G93" s="17"/>
      <c r="H93" s="22"/>
      <c r="I93" s="23"/>
    </row>
    <row r="94" spans="1:19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9" ht="15" customHeight="1" x14ac:dyDescent="0.25">
      <c r="A95" s="113" t="s">
        <v>133</v>
      </c>
      <c r="B95" s="113"/>
      <c r="C95" s="113"/>
      <c r="D95" s="113"/>
      <c r="E95" s="113"/>
      <c r="F95" s="113"/>
      <c r="G95" s="113"/>
      <c r="H95" s="113"/>
      <c r="I95" s="113"/>
    </row>
    <row r="96" spans="1:19" ht="19.5" customHeight="1" x14ac:dyDescent="0.25">
      <c r="A96" s="12" t="s">
        <v>2</v>
      </c>
      <c r="B96" s="12" t="s">
        <v>3</v>
      </c>
      <c r="C96" s="13" t="s">
        <v>4</v>
      </c>
      <c r="D96" s="13" t="s">
        <v>5</v>
      </c>
      <c r="E96" s="14" t="s">
        <v>6</v>
      </c>
      <c r="F96" s="14" t="s">
        <v>7</v>
      </c>
      <c r="G96" s="15" t="s">
        <v>8</v>
      </c>
      <c r="H96" s="12" t="s">
        <v>9</v>
      </c>
      <c r="I96" s="12" t="s">
        <v>10</v>
      </c>
      <c r="J96" s="173"/>
      <c r="K96" s="11"/>
      <c r="L96" s="11"/>
      <c r="M96" s="11"/>
      <c r="N96" s="11"/>
      <c r="O96" s="11"/>
      <c r="P96" s="11"/>
      <c r="Q96" s="11"/>
      <c r="R96" s="11"/>
      <c r="S96" s="2"/>
    </row>
    <row r="97" spans="1:18" ht="24" customHeight="1" x14ac:dyDescent="0.25">
      <c r="A97" s="189" t="s">
        <v>134</v>
      </c>
      <c r="B97" s="189" t="s">
        <v>135</v>
      </c>
      <c r="C97" s="190" t="s">
        <v>136</v>
      </c>
      <c r="D97" s="191">
        <v>8018</v>
      </c>
      <c r="E97" s="192" t="s">
        <v>137</v>
      </c>
      <c r="F97" s="192">
        <v>25000</v>
      </c>
      <c r="G97" s="192">
        <f>INDEX(Tubex_Dashboard!$H$11:$H$100,MATCH(MRP!D97,Tubex_Dashboard!$F$11:$F$100,0))</f>
        <v>0</v>
      </c>
      <c r="H97" s="193">
        <f>F97-G97</f>
        <v>25000</v>
      </c>
      <c r="I97" s="194"/>
    </row>
    <row r="98" spans="1:18" ht="19.5" customHeight="1" x14ac:dyDescent="0.25">
      <c r="A98" s="189" t="s">
        <v>138</v>
      </c>
      <c r="B98" s="189" t="s">
        <v>13</v>
      </c>
      <c r="C98" s="190" t="s">
        <v>139</v>
      </c>
      <c r="D98" s="191">
        <v>8005</v>
      </c>
      <c r="E98" s="192" t="s">
        <v>140</v>
      </c>
      <c r="F98" s="192">
        <v>60160</v>
      </c>
      <c r="G98" s="192">
        <f>INDEX(Tubex_Dashboard!$H$11:$H$100,MATCH(MRP!D98,Tubex_Dashboard!$F$11:$F$100,0))</f>
        <v>36840</v>
      </c>
      <c r="H98" s="193">
        <f>F98-G98</f>
        <v>23320</v>
      </c>
      <c r="I98" s="194"/>
    </row>
    <row r="99" spans="1:18" ht="19.5" customHeight="1" x14ac:dyDescent="0.25">
      <c r="A99" s="189" t="s">
        <v>141</v>
      </c>
      <c r="B99" s="189" t="s">
        <v>11</v>
      </c>
      <c r="C99" s="190" t="s">
        <v>142</v>
      </c>
      <c r="D99" s="191">
        <v>8015</v>
      </c>
      <c r="E99" s="192">
        <v>344</v>
      </c>
      <c r="F99" s="192">
        <v>9480</v>
      </c>
      <c r="G99" s="192">
        <f>INDEX(Tubex_Dashboard!$H$11:$H$100,MATCH(MRP!D99,Tubex_Dashboard!$F$11:$F$100,0))</f>
        <v>0</v>
      </c>
      <c r="H99" s="193">
        <f>F99-G99</f>
        <v>9480</v>
      </c>
      <c r="I99" s="194"/>
    </row>
    <row r="100" spans="1:18" ht="24" customHeight="1" x14ac:dyDescent="0.25">
      <c r="A100" s="189" t="s">
        <v>143</v>
      </c>
      <c r="B100" s="189" t="s">
        <v>135</v>
      </c>
      <c r="C100" s="190" t="s">
        <v>144</v>
      </c>
      <c r="D100" s="191">
        <v>8001</v>
      </c>
      <c r="E100" s="187" t="s">
        <v>145</v>
      </c>
      <c r="F100" s="192">
        <f>500000+100000+53187+100000</f>
        <v>753187</v>
      </c>
      <c r="G100" s="192">
        <f>INDEX(Tubex_Dashboard!$H$11:$H$100,MATCH(MRP!D100,Tubex_Dashboard!$F$11:$F$100,0))</f>
        <v>203220</v>
      </c>
      <c r="H100" s="193">
        <f>F100-G100</f>
        <v>549967</v>
      </c>
      <c r="I100" s="194"/>
    </row>
    <row r="101" spans="1:18" ht="24" customHeight="1" x14ac:dyDescent="0.25">
      <c r="A101" s="189" t="s">
        <v>146</v>
      </c>
      <c r="B101" s="189" t="s">
        <v>13</v>
      </c>
      <c r="C101" s="190" t="s">
        <v>147</v>
      </c>
      <c r="D101" s="191">
        <v>8006</v>
      </c>
      <c r="E101" s="192">
        <v>351</v>
      </c>
      <c r="F101" s="192">
        <v>47000</v>
      </c>
      <c r="G101" s="192">
        <f>INDEX(Tubex_Dashboard!$H$11:$H$100,MATCH(MRP!D101,Tubex_Dashboard!$F$11:$F$100,0))</f>
        <v>27120</v>
      </c>
      <c r="H101" s="193">
        <f>F101-G101</f>
        <v>19880</v>
      </c>
      <c r="I101" s="194"/>
    </row>
    <row r="102" spans="1:18" ht="19.5" customHeight="1" x14ac:dyDescent="0.25">
      <c r="A102" s="12"/>
      <c r="B102" s="12"/>
      <c r="C102" s="13"/>
      <c r="D102" s="13"/>
      <c r="E102" s="14" t="s">
        <v>23</v>
      </c>
      <c r="F102" s="105">
        <f>SUM(F97:F101)</f>
        <v>894827</v>
      </c>
      <c r="G102" s="105">
        <f>SUM(G97:G101)</f>
        <v>267180</v>
      </c>
      <c r="H102" s="105">
        <f>SUMIF(H97:H101, "&gt;0")</f>
        <v>627647</v>
      </c>
      <c r="I102" s="12"/>
      <c r="J102" s="173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14" t="s">
        <v>148</v>
      </c>
      <c r="B103" s="114"/>
      <c r="C103" s="114"/>
      <c r="D103" s="114"/>
      <c r="E103" s="114"/>
      <c r="F103" s="114"/>
      <c r="G103" s="114"/>
      <c r="H103" s="114"/>
      <c r="I103" s="114"/>
    </row>
    <row r="104" spans="1:18" ht="18.75" customHeight="1" x14ac:dyDescent="0.25">
      <c r="A104" s="29" t="s">
        <v>25</v>
      </c>
      <c r="B104" s="29" t="s">
        <v>26</v>
      </c>
      <c r="C104" s="30" t="s">
        <v>27</v>
      </c>
      <c r="D104" s="29" t="s">
        <v>28</v>
      </c>
      <c r="E104" s="31" t="s">
        <v>7</v>
      </c>
      <c r="F104" s="15" t="s">
        <v>29</v>
      </c>
      <c r="G104" s="15" t="s">
        <v>30</v>
      </c>
      <c r="H104" s="146" t="s">
        <v>31</v>
      </c>
      <c r="I104" s="32" t="s">
        <v>32</v>
      </c>
      <c r="J104" s="174" t="s">
        <v>33</v>
      </c>
    </row>
    <row r="105" spans="1:18" ht="24" customHeight="1" x14ac:dyDescent="0.25">
      <c r="A105" s="172">
        <v>2680</v>
      </c>
      <c r="B105" s="147" t="s">
        <v>113</v>
      </c>
      <c r="C105" s="151" t="s">
        <v>114</v>
      </c>
      <c r="D105" s="16" t="s">
        <v>36</v>
      </c>
      <c r="E105" s="149">
        <f>SUMPRODUCT((TableBOM[Item ID]=A105)*TableBOM[Per 1000 Units]*(1+TableBOM[Scrap %])*((SUMIF($D$97:$D$101,TableBOM[Product ID],$H$97:$H$101))&gt;0)*(SUMIF($D$97:$D$101,TableBOM[Product ID],$H$97:$H$101))/1000)</f>
        <v>15734.649599999997</v>
      </c>
      <c r="F105" s="149">
        <f>IFERROR(INDEX(TableInventory[Store Balance],MATCH(A105,TableInventory[Item ID],0)),0)+IFERROR(INDEX(TableInventory[WIP],MATCH(A105,TableInventory[Item ID],0)),0)</f>
        <v>765</v>
      </c>
      <c r="G105" s="149">
        <f t="shared" ref="G105:G111" si="7">F105-E105</f>
        <v>-14969.649599999997</v>
      </c>
      <c r="H105" s="158">
        <f>IFERROR(IF(SUMPRODUCT((TableBOM[Item ID]=A105)*((SUMIF($D$97:$D$101,TableBOM[Product ID],$H$97:$H$101))&gt;0)*(SUMIF($D$97:$D$101,TableBOM[Product ID],$H$97:$H$101))*TableBOM[Per 1000 Units]*(1+TableBOM[Scrap %]))=0,"-",ROUND(F105*1000*SUMPRODUCT((TableBOM[Item ID]=A105)*((SUMIF($D$97:$D$101,TableBOM[Product ID],$H$97:$H$101))&gt;0)*(SUMIF($D$97:$D$101,TableBOM[Product ID],$H$97:$H$101)))/SUMPRODUCT((TableBOM[Item ID]=A105)*((SUMIF($D$97:$D$101,TableBOM[Product ID],$H$97:$H$101))&gt;0)*(SUMIF($D$97:$D$101,TableBOM[Product ID],$H$97:$H$101))*TableBOM[Per 1000 Units]*(1+TableBOM[Scrap %])),0)),"-")</f>
        <v>30515</v>
      </c>
      <c r="I105" s="152" t="str">
        <f t="shared" ref="I105:I111" si="8">IF(E105=0,"Not needed",IF(G105&lt;0,"SHORTAGE",IF(G105&lt;E105*0.1,"LOW","OK")))</f>
        <v>SHORTAGE</v>
      </c>
      <c r="J105" s="162" t="str">
        <f>IF(LEN(IF((COUNTIFS(TableBOM[Product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Samsol Yellow 120ml, Mablay 130ml White, Alpha 150ml TRP, Samsol Yellow 200ml</v>
      </c>
    </row>
    <row r="106" spans="1:18" x14ac:dyDescent="0.25">
      <c r="A106" s="172">
        <v>4002</v>
      </c>
      <c r="B106" s="147" t="s">
        <v>115</v>
      </c>
      <c r="C106" s="151" t="s">
        <v>117</v>
      </c>
      <c r="D106" s="16" t="s">
        <v>36</v>
      </c>
      <c r="E106" s="149">
        <f>SUMPRODUCT((TableBOM[Item ID]=A106)*TableBOM[Per 1000 Units]*(1+TableBOM[Scrap %])*((SUMIF($D$97:$D$101,TableBOM[Product ID],$H$97:$H$101))&gt;0)*(SUMIF($D$97:$D$101,TableBOM[Product ID],$H$97:$H$101))/1000)</f>
        <v>52.713700000000003</v>
      </c>
      <c r="F106" s="149">
        <f>IFERROR(INDEX(TableInventory[Store Balance],MATCH(A106,TableInventory[Item ID],0)),0)+IFERROR(INDEX(TableInventory[WIP],MATCH(A106,TableInventory[Item ID],0)),0)</f>
        <v>0</v>
      </c>
      <c r="G106" s="149">
        <f t="shared" si="7"/>
        <v>-52.713700000000003</v>
      </c>
      <c r="H106" s="158">
        <f>IFERROR(IF(SUMPRODUCT((TableBOM[Item ID]=A106)*((SUMIF($D$97:$D$101,TableBOM[Product ID],$H$97:$H$101))&gt;0)*(SUMIF($D$97:$D$101,TableBOM[Product ID],$H$97:$H$101))*TableBOM[Per 1000 Units]*(1+TableBOM[Scrap %]))=0,"-",ROUND(F106*1000*SUMPRODUCT((TableBOM[Item ID]=A106)*((SUMIF($D$97:$D$101,TableBOM[Product ID],$H$97:$H$101))&gt;0)*(SUMIF($D$97:$D$101,TableBOM[Product ID],$H$97:$H$101)))/SUMPRODUCT((TableBOM[Item ID]=A106)*((SUMIF($D$97:$D$101,TableBOM[Product ID],$H$97:$H$101))&gt;0)*(SUMIF($D$97:$D$101,TableBOM[Product ID],$H$97:$H$101))*TableBOM[Per 1000 Units]*(1+TableBOM[Scrap %])),0)),"-")</f>
        <v>0</v>
      </c>
      <c r="I106" s="152" t="str">
        <f t="shared" si="8"/>
        <v>SHORTAGE</v>
      </c>
      <c r="J106" s="162" t="str">
        <f>IF(LEN(IF((COUNTIFS(TableBOM[Product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120ml, Samsol Yellow 200ml</v>
      </c>
    </row>
    <row r="107" spans="1:18" x14ac:dyDescent="0.25">
      <c r="A107" s="172">
        <v>5816</v>
      </c>
      <c r="B107" s="147" t="s">
        <v>115</v>
      </c>
      <c r="C107" s="151" t="s">
        <v>120</v>
      </c>
      <c r="D107" s="16" t="s">
        <v>36</v>
      </c>
      <c r="E107" s="149">
        <f>SUMPRODUCT((TableBOM[Item ID]=A107)*TableBOM[Per 1000 Units]*(1+TableBOM[Scrap %])*((SUMIF($D$97:$D$101,TableBOM[Product ID],$H$97:$H$101))&gt;0)*(SUMIF($D$97:$D$101,TableBOM[Product ID],$H$97:$H$101))/1000)</f>
        <v>9.8117999999999999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-9.8117999999999999</v>
      </c>
      <c r="H107" s="158">
        <f>IFERROR(IF(SUMPRODUCT((TableBOM[Item ID]=A107)*((SUMIF($D$97:$D$101,TableBOM[Product ID],$H$97:$H$101))&gt;0)*(SUMIF($D$97:$D$101,TableBOM[Product ID],$H$97:$H$101))*TableBOM[Per 1000 Units]*(1+TableBOM[Scrap %]))=0,"-",ROUND(F107*1000*SUMPRODUCT((TableBOM[Item ID]=A107)*((SUMIF($D$97:$D$101,TableBOM[Product ID],$H$97:$H$101))&gt;0)*(SUMIF($D$97:$D$101,TableBOM[Product ID],$H$97:$H$101)))/SUMPRODUCT((TableBOM[Item ID]=A107)*((SUMIF($D$97:$D$101,TableBOM[Product ID],$H$97:$H$101))&gt;0)*(SUMIF($D$97:$D$101,TableBOM[Product ID],$H$97:$H$101))*TableBOM[Per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61" customFormat="1" x14ac:dyDescent="0.25">
      <c r="A108" s="172">
        <v>5977</v>
      </c>
      <c r="B108" s="147" t="s">
        <v>149</v>
      </c>
      <c r="C108" s="151" t="s">
        <v>104</v>
      </c>
      <c r="D108" s="16" t="s">
        <v>73</v>
      </c>
      <c r="E108" s="149">
        <f>SUMPRODUCT((TableBOM[Item ID]=A108)*TableBOM[Per 1000 Units]*(1+TableBOM[Scrap %])*((SUMIF($D$97:$D$101,TableBOM[Product ID],$H$97:$H$101))&gt;0)*(SUMIF($D$97:$D$101,TableBOM[Product ID],$H$97:$H$101))/1000)</f>
        <v>723.62863234999986</v>
      </c>
      <c r="F108" s="149">
        <f>IFERROR(INDEX(TableInventory[Store Balance],MATCH(A108,TableInventory[Item ID],0)),0)+IFERROR(INDEX(TableInventory[WIP],MATCH(A108,TableInventory[Item ID],0)),0)</f>
        <v>348</v>
      </c>
      <c r="G108" s="149">
        <f t="shared" si="7"/>
        <v>-375.62863234999986</v>
      </c>
      <c r="H108" s="158">
        <f>IFERROR(IF(SUMPRODUCT((TableBOM[Item ID]=A108)*((SUMIF($D$97:$D$101,TableBOM[Product ID],$H$97:$H$101))&gt;0)*(SUMIF($D$97:$D$101,TableBOM[Product ID],$H$97:$H$101))*TableBOM[Per 1000 Units]*(1+TableBOM[Scrap %]))=0,"-",ROUND(F108*1000*SUMPRODUCT((TableBOM[Item ID]=A108)*((SUMIF($D$97:$D$101,TableBOM[Product ID],$H$97:$H$101))&gt;0)*(SUMIF($D$97:$D$101,TableBOM[Product ID],$H$97:$H$101)))/SUMPRODUCT((TableBOM[Item ID]=A108)*((SUMIF($D$97:$D$101,TableBOM[Product ID],$H$97:$H$101))&gt;0)*(SUMIF($D$97:$D$101,TableBOM[Product ID],$H$97:$H$101))*TableBOM[Per 1000 Units]*(1+TableBOM[Scrap %])),0)),"-")</f>
        <v>281066</v>
      </c>
      <c r="I108" s="152" t="str">
        <f t="shared" si="8"/>
        <v>SHORTAGE</v>
      </c>
      <c r="J108" s="156" t="str">
        <f>IF(LEN(IF((COUNTIFS(TableBOM[Product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72">
        <v>2267</v>
      </c>
      <c r="B109" s="147" t="s">
        <v>150</v>
      </c>
      <c r="C109" s="151" t="s">
        <v>129</v>
      </c>
      <c r="D109" s="16" t="s">
        <v>73</v>
      </c>
      <c r="E109" s="149">
        <f>SUMPRODUCT((TableBOM[Item ID]=A109)*TableBOM[Per 1000 Units]*(1+TableBOM[Scrap %])*((SUMIF($D$97:$D$101,TableBOM[Product ID],$H$97:$H$101))&gt;0)*(SUMIF($D$97:$D$101,TableBOM[Product ID],$H$97:$H$101))/1000)</f>
        <v>5976.1343807999992</v>
      </c>
      <c r="F109" s="149">
        <f>IFERROR(INDEX(TableInventory[Store Balance],MATCH(A109,TableInventory[Item ID],0)),0)+IFERROR(INDEX(TableInventory[WIP],MATCH(A109,TableInventory[Item ID],0)),0)</f>
        <v>328</v>
      </c>
      <c r="G109" s="149">
        <f t="shared" si="7"/>
        <v>-5648.1343807999992</v>
      </c>
      <c r="H109" s="158">
        <f>IFERROR(IF(SUMPRODUCT((TableBOM[Item ID]=A109)*((SUMIF($D$97:$D$101,TableBOM[Product ID],$H$97:$H$101))&gt;0)*(SUMIF($D$97:$D$101,TableBOM[Product ID],$H$97:$H$101))*TableBOM[Per 1000 Units]*(1+TableBOM[Scrap %]))=0,"-",ROUND(F109*1000*SUMPRODUCT((TableBOM[Item ID]=A109)*((SUMIF($D$97:$D$101,TableBOM[Product ID],$H$97:$H$101))&gt;0)*(SUMIF($D$97:$D$101,TableBOM[Product ID],$H$97:$H$101)))/SUMPRODUCT((TableBOM[Item ID]=A109)*((SUMIF($D$97:$D$101,TableBOM[Product ID],$H$97:$H$101))&gt;0)*(SUMIF($D$97:$D$101,TableBOM[Product ID],$H$97:$H$101))*TableBOM[Per 1000 Units]*(1+TableBOM[Scrap %])),0)),"-")</f>
        <v>33357</v>
      </c>
      <c r="I109" s="152" t="str">
        <f t="shared" si="8"/>
        <v>SHORTAGE</v>
      </c>
      <c r="J109" s="156" t="str">
        <f>IF(LEN(IF((COUNTIFS(TableBOM[Product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Samsol Yellow 120ml, Mablay 130ml White, Alpha 150ml TRP</v>
      </c>
    </row>
    <row r="110" spans="1:18" x14ac:dyDescent="0.25">
      <c r="A110" s="172">
        <v>3006</v>
      </c>
      <c r="B110" s="159" t="s">
        <v>150</v>
      </c>
      <c r="C110" s="33" t="s">
        <v>151</v>
      </c>
      <c r="D110" s="16" t="s">
        <v>73</v>
      </c>
      <c r="E110" s="17">
        <f>SUMPRODUCT((TableBOM[Item ID]=A110)*TableBOM[Per 1000 Units]*(1+TableBOM[Scrap %])*((SUMIF($D$97:$D$101,TableBOM[Product ID],$H$97:$H$101))&gt;0)*(SUMIF($D$97:$D$101,TableBOM[Product ID],$H$97:$H$101))/1000)</f>
        <v>190.50904600000001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-40.509046000000012</v>
      </c>
      <c r="H110" s="160">
        <f>IFERROR(IF(SUMPRODUCT((TableBOM[Item ID]=A110)*((SUMIF($D$97:$D$101,TableBOM[Product ID],$H$97:$H$101))&gt;0)*(SUMIF($D$97:$D$101,TableBOM[Product ID],$H$97:$H$101))*TableBOM[Per 1000 Units]*(1+TableBOM[Scrap %]))=0,"-",ROUND(F110*1000*SUMPRODUCT((TableBOM[Item ID]=A110)*((SUMIF($D$97:$D$101,TableBOM[Product ID],$H$97:$H$101))&gt;0)*(SUMIF($D$97:$D$101,TableBOM[Product ID],$H$97:$H$101)))/SUMPRODUCT((TableBOM[Item ID]=A110)*((SUMIF($D$97:$D$101,TableBOM[Product ID],$H$97:$H$101))&gt;0)*(SUMIF($D$97:$D$101,TableBOM[Product ID],$H$97:$H$101))*TableBOM[Per 1000 Units]*(1+TableBOM[Scrap %])),0)),"-")</f>
        <v>15653</v>
      </c>
      <c r="I110" s="33" t="str">
        <f t="shared" si="8"/>
        <v>SHORTAGE</v>
      </c>
      <c r="J110" s="162" t="str">
        <f>IF(LEN(IF((COUNTIFS(TableBOM[Product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72">
        <v>3043</v>
      </c>
      <c r="B111" s="147" t="s">
        <v>130</v>
      </c>
      <c r="C111" s="151" t="s">
        <v>131</v>
      </c>
      <c r="D111" s="16" t="s">
        <v>132</v>
      </c>
      <c r="E111" s="149">
        <f>SUMPRODUCT((TableBOM[Item ID]=A111)*TableBOM[Per 1000 Units]*(1+TableBOM[Scrap %])*((SUMIF($D$97:$D$101,TableBOM[Product ID],$H$97:$H$101))&gt;0)*(SUMIF($D$97:$D$101,TableBOM[Product ID],$H$97:$H$101))/1000)</f>
        <v>3.60897025</v>
      </c>
      <c r="F111" s="149">
        <f>IFERROR(INDEX(TableInventory[Store Balance],MATCH(A111,TableInventory[Item ID],0)),0)+IFERROR(INDEX(TableInventory[WIP],MATCH(A111,TableInventory[Item ID],0)),0)</f>
        <v>0</v>
      </c>
      <c r="G111" s="149">
        <f t="shared" si="7"/>
        <v>-3.60897025</v>
      </c>
      <c r="H111" s="158">
        <f>IFERROR(IF(SUMPRODUCT((TableBOM[Item ID]=A111)*((SUMIF($D$97:$D$101,TableBOM[Product ID],$H$97:$H$101))&gt;0)*(SUMIF($D$97:$D$101,TableBOM[Product ID],$H$97:$H$101))*TableBOM[Per 1000 Units]*(1+TableBOM[Scrap %]))=0,"-",ROUND(F111*1000*SUMPRODUCT((TableBOM[Item ID]=A111)*((SUMIF($D$97:$D$101,TableBOM[Product ID],$H$97:$H$101))&gt;0)*(SUMIF($D$97:$D$101,TableBOM[Product ID],$H$97:$H$101)))/SUMPRODUCT((TableBOM[Item ID]=A111)*((SUMIF($D$97:$D$101,TableBOM[Product ID],$H$97:$H$101))&gt;0)*(SUMIF($D$97:$D$101,TableBOM[Product ID],$H$97:$H$101))*TableBOM[Per 1000 Units]*(1+TableBOM[Scrap %])),0)),"-")</f>
        <v>0</v>
      </c>
      <c r="I111" s="151" t="str">
        <f t="shared" si="8"/>
        <v>SHORTAGE</v>
      </c>
      <c r="J111" s="156" t="str">
        <f>IF(LEN(IF((COUNTIFS(TableBOM[Product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1">
        <v>46266</v>
      </c>
      <c r="B3" s="260" t="s">
        <v>257</v>
      </c>
      <c r="C3" s="260" t="s">
        <v>11</v>
      </c>
      <c r="D3" s="260" t="s">
        <v>17</v>
      </c>
      <c r="E3" s="260">
        <v>30</v>
      </c>
      <c r="F3" s="260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0"/>
      <c r="L3" s="260"/>
      <c r="M3" s="260"/>
      <c r="N3" s="260"/>
      <c r="O3" s="260"/>
      <c r="P3" s="260"/>
      <c r="Q3" s="260"/>
      <c r="R3" s="260"/>
      <c r="S3" s="260"/>
      <c r="T3" s="260">
        <v>120</v>
      </c>
    </row>
    <row r="4" spans="1:20" ht="15" customHeight="1" x14ac:dyDescent="0.25">
      <c r="A4" s="261">
        <v>46266</v>
      </c>
      <c r="B4" s="260" t="s">
        <v>258</v>
      </c>
      <c r="C4" s="260" t="s">
        <v>11</v>
      </c>
      <c r="D4" s="260" t="s">
        <v>17</v>
      </c>
      <c r="E4" s="260">
        <v>30</v>
      </c>
      <c r="F4" s="260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0"/>
      <c r="L4" s="260"/>
      <c r="M4" s="260"/>
      <c r="N4" s="260"/>
      <c r="O4" s="260">
        <v>480</v>
      </c>
      <c r="P4" s="260"/>
      <c r="Q4" s="260"/>
      <c r="R4" s="260"/>
      <c r="S4" s="260"/>
      <c r="T4" s="260"/>
    </row>
    <row r="5" spans="1:20" ht="15" customHeight="1" x14ac:dyDescent="0.25">
      <c r="A5" s="261">
        <v>46266</v>
      </c>
      <c r="B5" s="260" t="s">
        <v>259</v>
      </c>
      <c r="C5" s="260" t="s">
        <v>13</v>
      </c>
      <c r="D5" s="260" t="s">
        <v>139</v>
      </c>
      <c r="E5" s="260" t="s">
        <v>138</v>
      </c>
      <c r="F5" s="260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0">
        <v>960</v>
      </c>
      <c r="L5" s="260"/>
      <c r="M5" s="260"/>
      <c r="N5" s="260"/>
      <c r="O5" s="260"/>
      <c r="P5" s="260"/>
      <c r="Q5" s="260"/>
      <c r="R5" s="260"/>
      <c r="S5" s="260"/>
      <c r="T5" s="260"/>
    </row>
    <row r="6" spans="1:20" ht="15" customHeight="1" x14ac:dyDescent="0.25">
      <c r="A6" s="261">
        <v>46266</v>
      </c>
      <c r="B6" s="260" t="s">
        <v>260</v>
      </c>
      <c r="C6" s="260" t="s">
        <v>11</v>
      </c>
      <c r="D6" s="260" t="s">
        <v>17</v>
      </c>
      <c r="E6" s="260">
        <v>30</v>
      </c>
      <c r="F6" s="260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0"/>
      <c r="L6" s="260"/>
      <c r="M6" s="260"/>
      <c r="N6" s="260"/>
      <c r="O6" s="260"/>
      <c r="P6" s="260"/>
      <c r="Q6" s="260"/>
      <c r="R6" s="260"/>
      <c r="S6" s="260"/>
      <c r="T6" s="260">
        <v>180</v>
      </c>
    </row>
    <row r="7" spans="1:20" ht="15" customHeight="1" x14ac:dyDescent="0.25">
      <c r="A7" s="261">
        <v>46266</v>
      </c>
      <c r="B7" s="260" t="s">
        <v>261</v>
      </c>
      <c r="C7" s="260" t="s">
        <v>11</v>
      </c>
      <c r="D7" s="260" t="s">
        <v>17</v>
      </c>
      <c r="E7" s="260">
        <v>30</v>
      </c>
      <c r="F7" s="260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0"/>
      <c r="L7" s="260"/>
      <c r="M7" s="260"/>
      <c r="N7" s="260"/>
      <c r="O7" s="260"/>
      <c r="P7" s="260"/>
      <c r="Q7" s="260"/>
      <c r="R7" s="260"/>
      <c r="S7" s="260"/>
      <c r="T7" s="260">
        <v>60</v>
      </c>
    </row>
    <row r="8" spans="1:20" ht="15" customHeight="1" x14ac:dyDescent="0.25">
      <c r="A8" s="261">
        <v>46267</v>
      </c>
      <c r="B8" s="260" t="s">
        <v>257</v>
      </c>
      <c r="C8" s="260" t="s">
        <v>11</v>
      </c>
      <c r="D8" s="260" t="s">
        <v>17</v>
      </c>
      <c r="E8" s="260">
        <v>30</v>
      </c>
      <c r="F8" s="260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0"/>
      <c r="L8" s="260"/>
      <c r="M8" s="260"/>
      <c r="N8" s="260"/>
      <c r="O8" s="260"/>
      <c r="P8" s="260"/>
      <c r="Q8" s="260"/>
      <c r="R8" s="260"/>
      <c r="S8" s="260"/>
      <c r="T8" s="260">
        <v>480</v>
      </c>
    </row>
    <row r="9" spans="1:20" ht="15" customHeight="1" x14ac:dyDescent="0.25">
      <c r="A9" s="261">
        <v>46267</v>
      </c>
      <c r="B9" s="260" t="s">
        <v>258</v>
      </c>
      <c r="C9" s="260" t="s">
        <v>11</v>
      </c>
      <c r="D9" s="260" t="s">
        <v>17</v>
      </c>
      <c r="E9" s="260">
        <v>30</v>
      </c>
      <c r="F9" s="260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0"/>
      <c r="L9" s="260"/>
      <c r="M9" s="260"/>
      <c r="N9" s="260"/>
      <c r="O9" s="260"/>
      <c r="P9" s="260"/>
      <c r="Q9" s="260"/>
      <c r="R9" s="260"/>
      <c r="S9" s="260"/>
      <c r="T9" s="260">
        <v>480</v>
      </c>
    </row>
    <row r="10" spans="1:20" ht="15" customHeight="1" x14ac:dyDescent="0.25">
      <c r="A10" s="261">
        <v>46267</v>
      </c>
      <c r="B10" s="260" t="s">
        <v>259</v>
      </c>
      <c r="C10" s="260" t="s">
        <v>13</v>
      </c>
      <c r="D10" s="260" t="s">
        <v>139</v>
      </c>
      <c r="E10" s="260" t="s">
        <v>138</v>
      </c>
      <c r="F10" s="260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0"/>
      <c r="L10" s="260">
        <v>960</v>
      </c>
      <c r="M10" s="260"/>
      <c r="N10" s="260"/>
      <c r="O10" s="260"/>
      <c r="P10" s="260"/>
      <c r="Q10" s="260"/>
      <c r="R10" s="260"/>
      <c r="S10" s="260"/>
      <c r="T10" s="260"/>
    </row>
    <row r="11" spans="1:20" ht="15" customHeight="1" x14ac:dyDescent="0.25">
      <c r="A11" s="261">
        <v>46267</v>
      </c>
      <c r="B11" s="260" t="s">
        <v>260</v>
      </c>
      <c r="C11" s="260" t="s">
        <v>11</v>
      </c>
      <c r="D11" s="260" t="s">
        <v>17</v>
      </c>
      <c r="E11" s="260">
        <v>30</v>
      </c>
      <c r="F11" s="260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0"/>
      <c r="L11" s="260"/>
      <c r="M11" s="260"/>
      <c r="N11" s="260"/>
      <c r="O11" s="260"/>
      <c r="P11" s="260"/>
      <c r="Q11" s="260"/>
      <c r="R11" s="260"/>
      <c r="S11" s="260"/>
      <c r="T11" s="260">
        <v>480</v>
      </c>
    </row>
    <row r="12" spans="1:20" ht="15" customHeight="1" x14ac:dyDescent="0.25">
      <c r="A12" s="261">
        <v>46267</v>
      </c>
      <c r="B12" s="260" t="s">
        <v>261</v>
      </c>
      <c r="C12" s="260" t="s">
        <v>11</v>
      </c>
      <c r="D12" s="260" t="s">
        <v>17</v>
      </c>
      <c r="E12" s="260">
        <v>30</v>
      </c>
      <c r="F12" s="260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0"/>
      <c r="L12" s="260"/>
      <c r="M12" s="260"/>
      <c r="N12" s="260"/>
      <c r="O12" s="260"/>
      <c r="P12" s="260"/>
      <c r="Q12" s="260"/>
      <c r="R12" s="260"/>
      <c r="S12" s="260"/>
      <c r="T12" s="260">
        <v>480</v>
      </c>
    </row>
    <row r="13" spans="1:20" ht="15" customHeight="1" x14ac:dyDescent="0.25">
      <c r="A13" s="261">
        <v>46268</v>
      </c>
      <c r="B13" s="260" t="s">
        <v>257</v>
      </c>
      <c r="C13" s="260" t="s">
        <v>11</v>
      </c>
      <c r="D13" s="260" t="s">
        <v>17</v>
      </c>
      <c r="E13" s="260">
        <v>30</v>
      </c>
      <c r="F13" s="260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0"/>
      <c r="L13" s="260"/>
      <c r="M13" s="260"/>
      <c r="N13" s="260"/>
      <c r="O13" s="260"/>
      <c r="P13" s="260"/>
      <c r="Q13" s="260"/>
      <c r="R13" s="260"/>
      <c r="S13" s="260"/>
      <c r="T13" s="260">
        <v>360</v>
      </c>
    </row>
    <row r="14" spans="1:20" ht="15" customHeight="1" x14ac:dyDescent="0.25">
      <c r="A14" s="261">
        <v>46268</v>
      </c>
      <c r="B14" s="260" t="s">
        <v>258</v>
      </c>
      <c r="C14" s="260" t="s">
        <v>11</v>
      </c>
      <c r="D14" s="260" t="s">
        <v>17</v>
      </c>
      <c r="E14" s="260">
        <v>30</v>
      </c>
      <c r="F14" s="260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0"/>
      <c r="L14" s="260"/>
      <c r="M14" s="260"/>
      <c r="N14" s="260"/>
      <c r="O14" s="260"/>
      <c r="P14" s="260"/>
      <c r="Q14" s="260"/>
      <c r="R14" s="260"/>
      <c r="S14" s="260"/>
      <c r="T14" s="260">
        <v>480</v>
      </c>
    </row>
    <row r="15" spans="1:20" ht="15" customHeight="1" x14ac:dyDescent="0.25">
      <c r="A15" s="261">
        <v>46268</v>
      </c>
      <c r="B15" s="260" t="s">
        <v>259</v>
      </c>
      <c r="C15" s="260" t="s">
        <v>13</v>
      </c>
      <c r="D15" s="260" t="s">
        <v>139</v>
      </c>
      <c r="E15" s="260" t="s">
        <v>138</v>
      </c>
      <c r="F15" s="260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0"/>
      <c r="L15" s="260">
        <v>960</v>
      </c>
      <c r="M15" s="260"/>
      <c r="N15" s="260"/>
      <c r="O15" s="260"/>
      <c r="P15" s="260"/>
      <c r="Q15" s="260"/>
      <c r="R15" s="260"/>
      <c r="S15" s="260"/>
      <c r="T15" s="260"/>
    </row>
    <row r="16" spans="1:20" ht="15" customHeight="1" x14ac:dyDescent="0.25">
      <c r="A16" s="261">
        <v>46268</v>
      </c>
      <c r="B16" s="260" t="s">
        <v>260</v>
      </c>
      <c r="C16" s="260" t="s">
        <v>11</v>
      </c>
      <c r="D16" s="260" t="s">
        <v>17</v>
      </c>
      <c r="E16" s="260">
        <v>30</v>
      </c>
      <c r="F16" s="260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0"/>
      <c r="L16" s="260"/>
      <c r="M16" s="260"/>
      <c r="N16" s="260"/>
      <c r="O16" s="260"/>
      <c r="P16" s="260"/>
      <c r="Q16" s="260"/>
      <c r="R16" s="260"/>
      <c r="S16" s="260"/>
      <c r="T16" s="260">
        <v>360</v>
      </c>
    </row>
    <row r="17" spans="1:20" ht="15" customHeight="1" x14ac:dyDescent="0.25">
      <c r="A17" s="261">
        <v>46268</v>
      </c>
      <c r="B17" s="260" t="s">
        <v>261</v>
      </c>
      <c r="C17" s="260" t="s">
        <v>11</v>
      </c>
      <c r="D17" s="260" t="s">
        <v>17</v>
      </c>
      <c r="E17" s="260">
        <v>30</v>
      </c>
      <c r="F17" s="260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0"/>
      <c r="L17" s="260"/>
      <c r="M17" s="260"/>
      <c r="N17" s="260"/>
      <c r="O17" s="260"/>
      <c r="P17" s="260"/>
      <c r="Q17" s="260"/>
      <c r="R17" s="260"/>
      <c r="S17" s="260"/>
      <c r="T17" s="260">
        <v>480</v>
      </c>
    </row>
    <row r="18" spans="1:20" ht="15" customHeight="1" x14ac:dyDescent="0.25">
      <c r="A18" s="261">
        <v>46270</v>
      </c>
      <c r="B18" s="260" t="s">
        <v>257</v>
      </c>
      <c r="C18" s="260" t="s">
        <v>19</v>
      </c>
      <c r="D18" s="260" t="s">
        <v>20</v>
      </c>
      <c r="E18" s="260">
        <v>30</v>
      </c>
      <c r="F18" s="260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0"/>
      <c r="L18" s="260"/>
      <c r="M18" s="260">
        <v>180</v>
      </c>
      <c r="N18" s="260"/>
      <c r="O18" s="260"/>
      <c r="P18" s="260"/>
      <c r="Q18" s="260"/>
      <c r="R18" s="260"/>
      <c r="S18" s="260"/>
      <c r="T18" s="260"/>
    </row>
    <row r="19" spans="1:20" ht="15" customHeight="1" x14ac:dyDescent="0.25">
      <c r="A19" s="261">
        <v>46270</v>
      </c>
      <c r="B19" s="260" t="s">
        <v>258</v>
      </c>
      <c r="C19" s="260" t="s">
        <v>11</v>
      </c>
      <c r="D19" s="260" t="s">
        <v>17</v>
      </c>
      <c r="E19" s="260">
        <v>30</v>
      </c>
      <c r="F19" s="260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0"/>
      <c r="L19" s="260"/>
      <c r="M19" s="260"/>
      <c r="N19" s="260"/>
      <c r="O19" s="260">
        <v>240</v>
      </c>
      <c r="P19" s="260"/>
      <c r="Q19" s="260"/>
      <c r="R19" s="260"/>
      <c r="S19" s="260"/>
      <c r="T19" s="260"/>
    </row>
    <row r="20" spans="1:20" ht="15" customHeight="1" x14ac:dyDescent="0.25">
      <c r="A20" s="261">
        <v>46270</v>
      </c>
      <c r="B20" s="260" t="s">
        <v>259</v>
      </c>
      <c r="C20" s="260" t="s">
        <v>13</v>
      </c>
      <c r="D20" s="260" t="s">
        <v>139</v>
      </c>
      <c r="E20" s="260" t="s">
        <v>138</v>
      </c>
      <c r="F20" s="260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0">
        <v>70</v>
      </c>
      <c r="L20" s="260">
        <v>480</v>
      </c>
      <c r="M20" s="260"/>
      <c r="N20" s="260">
        <v>100</v>
      </c>
      <c r="O20" s="260"/>
      <c r="P20" s="260"/>
      <c r="Q20" s="260"/>
      <c r="R20" s="260"/>
      <c r="S20" s="260"/>
      <c r="T20" s="260"/>
    </row>
    <row r="21" spans="1:20" ht="15" customHeight="1" x14ac:dyDescent="0.25">
      <c r="A21" s="261">
        <v>46270</v>
      </c>
      <c r="B21" s="260" t="s">
        <v>260</v>
      </c>
      <c r="C21" s="260" t="s">
        <v>19</v>
      </c>
      <c r="D21" s="260" t="s">
        <v>20</v>
      </c>
      <c r="E21" s="260">
        <v>30</v>
      </c>
      <c r="F21" s="260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0"/>
      <c r="L21" s="260"/>
      <c r="M21" s="260"/>
      <c r="N21" s="260"/>
      <c r="O21" s="260"/>
      <c r="P21" s="260"/>
      <c r="Q21" s="260"/>
      <c r="R21" s="260"/>
      <c r="S21" s="260"/>
      <c r="T21" s="260"/>
    </row>
    <row r="22" spans="1:20" ht="15" customHeight="1" x14ac:dyDescent="0.25">
      <c r="A22" s="261">
        <v>46270</v>
      </c>
      <c r="B22" s="260" t="s">
        <v>262</v>
      </c>
      <c r="C22" s="260" t="s">
        <v>13</v>
      </c>
      <c r="D22" s="260" t="s">
        <v>14</v>
      </c>
      <c r="E22" s="260">
        <v>25</v>
      </c>
      <c r="F22" s="260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0"/>
      <c r="L22" s="260"/>
      <c r="M22" s="260"/>
      <c r="N22" s="260"/>
      <c r="O22" s="260"/>
      <c r="P22" s="260"/>
      <c r="Q22" s="260"/>
      <c r="R22" s="260"/>
      <c r="S22" s="260"/>
      <c r="T22" s="260"/>
    </row>
    <row r="23" spans="1:20" ht="15" customHeight="1" x14ac:dyDescent="0.25">
      <c r="A23" s="261">
        <v>46270</v>
      </c>
      <c r="B23" s="260" t="s">
        <v>261</v>
      </c>
      <c r="C23" s="260" t="s">
        <v>19</v>
      </c>
      <c r="D23" s="260" t="s">
        <v>20</v>
      </c>
      <c r="E23" s="260">
        <v>30</v>
      </c>
      <c r="F23" s="260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0"/>
      <c r="L23" s="260"/>
      <c r="M23" s="260">
        <v>120</v>
      </c>
      <c r="N23" s="260"/>
      <c r="O23" s="260"/>
      <c r="P23" s="260"/>
      <c r="Q23" s="260"/>
      <c r="R23" s="260"/>
      <c r="S23" s="260"/>
      <c r="T23" s="260"/>
    </row>
    <row r="24" spans="1:20" ht="15" customHeight="1" x14ac:dyDescent="0.25">
      <c r="A24" s="261">
        <v>46272</v>
      </c>
      <c r="B24" s="260" t="s">
        <v>257</v>
      </c>
      <c r="C24" s="260" t="s">
        <v>19</v>
      </c>
      <c r="D24" s="260" t="s">
        <v>20</v>
      </c>
      <c r="E24" s="260">
        <v>30</v>
      </c>
      <c r="F24" s="260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0"/>
      <c r="L24" s="260"/>
      <c r="M24" s="260"/>
      <c r="N24" s="260"/>
      <c r="O24" s="260"/>
      <c r="P24" s="260"/>
      <c r="Q24" s="260"/>
      <c r="R24" s="260"/>
      <c r="S24" s="260"/>
      <c r="T24" s="260"/>
    </row>
    <row r="25" spans="1:20" ht="15" customHeight="1" x14ac:dyDescent="0.25">
      <c r="A25" s="261">
        <v>46272</v>
      </c>
      <c r="B25" s="260" t="s">
        <v>263</v>
      </c>
      <c r="C25" s="260" t="s">
        <v>13</v>
      </c>
      <c r="D25" s="260" t="s">
        <v>14</v>
      </c>
      <c r="E25" s="260">
        <v>25</v>
      </c>
      <c r="F25" s="260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0"/>
      <c r="L25" s="260"/>
      <c r="M25" s="260"/>
      <c r="N25" s="260"/>
      <c r="O25" s="260"/>
      <c r="P25" s="260"/>
      <c r="Q25" s="260"/>
      <c r="R25" s="260"/>
      <c r="S25" s="260"/>
      <c r="T25" s="260"/>
    </row>
    <row r="26" spans="1:20" ht="15" customHeight="1" x14ac:dyDescent="0.25">
      <c r="A26" s="261">
        <v>46272</v>
      </c>
      <c r="B26" s="260" t="s">
        <v>258</v>
      </c>
      <c r="C26" s="260" t="s">
        <v>11</v>
      </c>
      <c r="D26" s="260" t="s">
        <v>17</v>
      </c>
      <c r="E26" s="260">
        <v>30</v>
      </c>
      <c r="F26" s="260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0"/>
      <c r="L26" s="260"/>
      <c r="M26" s="260"/>
      <c r="N26" s="260"/>
      <c r="O26" s="260">
        <v>200</v>
      </c>
      <c r="P26" s="260"/>
      <c r="Q26" s="260"/>
      <c r="R26" s="260"/>
      <c r="S26" s="260"/>
      <c r="T26" s="260"/>
    </row>
    <row r="27" spans="1:20" ht="15" customHeight="1" x14ac:dyDescent="0.25">
      <c r="A27" s="261">
        <v>46272</v>
      </c>
      <c r="B27" s="260" t="s">
        <v>259</v>
      </c>
      <c r="C27" s="260" t="s">
        <v>135</v>
      </c>
      <c r="D27" s="260" t="s">
        <v>185</v>
      </c>
      <c r="E27" s="260" t="s">
        <v>143</v>
      </c>
      <c r="F27" s="260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0">
        <v>270</v>
      </c>
      <c r="L27" s="260"/>
      <c r="M27" s="260"/>
      <c r="N27" s="260">
        <v>420</v>
      </c>
      <c r="O27" s="260"/>
      <c r="P27" s="260"/>
      <c r="Q27" s="260"/>
      <c r="R27" s="260"/>
      <c r="S27" s="260"/>
      <c r="T27" s="260"/>
    </row>
    <row r="28" spans="1:20" ht="15" customHeight="1" x14ac:dyDescent="0.25">
      <c r="A28" s="261">
        <v>46272</v>
      </c>
      <c r="B28" s="260" t="s">
        <v>260</v>
      </c>
      <c r="C28" s="260" t="s">
        <v>19</v>
      </c>
      <c r="D28" s="260" t="s">
        <v>20</v>
      </c>
      <c r="E28" s="260">
        <v>30</v>
      </c>
      <c r="F28" s="260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0"/>
      <c r="L28" s="260"/>
      <c r="M28" s="260"/>
      <c r="N28" s="260"/>
      <c r="O28" s="260"/>
      <c r="P28" s="260"/>
      <c r="Q28" s="260"/>
      <c r="R28" s="260"/>
      <c r="S28" s="260"/>
      <c r="T28" s="260"/>
    </row>
    <row r="29" spans="1:20" ht="15" customHeight="1" x14ac:dyDescent="0.25">
      <c r="A29" s="261">
        <v>46272</v>
      </c>
      <c r="B29" s="260" t="s">
        <v>262</v>
      </c>
      <c r="C29" s="260" t="s">
        <v>13</v>
      </c>
      <c r="D29" s="260" t="s">
        <v>14</v>
      </c>
      <c r="E29" s="260">
        <v>25</v>
      </c>
      <c r="F29" s="260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0"/>
      <c r="L29" s="260"/>
      <c r="M29" s="260"/>
      <c r="N29" s="260"/>
      <c r="O29" s="260"/>
      <c r="P29" s="260"/>
      <c r="Q29" s="260"/>
      <c r="R29" s="260"/>
      <c r="S29" s="260"/>
      <c r="T29" s="260"/>
    </row>
    <row r="30" spans="1:20" ht="15" customHeight="1" x14ac:dyDescent="0.25">
      <c r="A30" s="261">
        <v>46272</v>
      </c>
      <c r="B30" s="260" t="s">
        <v>261</v>
      </c>
      <c r="C30" s="260" t="s">
        <v>19</v>
      </c>
      <c r="D30" s="260" t="s">
        <v>20</v>
      </c>
      <c r="E30" s="260">
        <v>30</v>
      </c>
      <c r="F30" s="260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0"/>
      <c r="L30" s="260"/>
      <c r="M30" s="260"/>
      <c r="N30" s="260"/>
      <c r="O30" s="260"/>
      <c r="P30" s="260"/>
      <c r="Q30" s="260"/>
      <c r="R30" s="260"/>
      <c r="S30" s="260"/>
      <c r="T30" s="260"/>
    </row>
    <row r="31" spans="1:20" ht="15" customHeight="1" x14ac:dyDescent="0.25">
      <c r="A31" s="261">
        <v>46273</v>
      </c>
      <c r="B31" s="260" t="s">
        <v>257</v>
      </c>
      <c r="C31" s="260" t="s">
        <v>19</v>
      </c>
      <c r="D31" s="260" t="s">
        <v>20</v>
      </c>
      <c r="E31" s="260">
        <v>30</v>
      </c>
      <c r="F31" s="260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0"/>
      <c r="L31" s="260"/>
      <c r="M31" s="260"/>
      <c r="N31" s="260"/>
      <c r="O31" s="260"/>
      <c r="P31" s="260"/>
      <c r="Q31" s="260"/>
      <c r="R31" s="260"/>
      <c r="S31" s="260"/>
      <c r="T31" s="260"/>
    </row>
    <row r="32" spans="1:20" ht="15" customHeight="1" x14ac:dyDescent="0.25">
      <c r="A32" s="261">
        <v>46273</v>
      </c>
      <c r="B32" s="260" t="s">
        <v>263</v>
      </c>
      <c r="C32" s="260" t="s">
        <v>13</v>
      </c>
      <c r="D32" s="260" t="s">
        <v>14</v>
      </c>
      <c r="E32" s="260">
        <v>25</v>
      </c>
      <c r="F32" s="260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0"/>
      <c r="L32" s="260"/>
      <c r="M32" s="260">
        <v>120</v>
      </c>
      <c r="N32" s="260"/>
      <c r="O32" s="260"/>
      <c r="P32" s="260"/>
      <c r="Q32" s="260"/>
      <c r="R32" s="260"/>
      <c r="S32" s="260"/>
      <c r="T32" s="260"/>
    </row>
    <row r="33" spans="1:20" ht="15" customHeight="1" x14ac:dyDescent="0.25">
      <c r="A33" s="261">
        <v>46273</v>
      </c>
      <c r="B33" s="260" t="s">
        <v>258</v>
      </c>
      <c r="C33" s="260" t="s">
        <v>19</v>
      </c>
      <c r="D33" s="260" t="s">
        <v>20</v>
      </c>
      <c r="E33" s="260">
        <v>30</v>
      </c>
      <c r="F33" s="260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0"/>
      <c r="L33" s="260"/>
      <c r="M33" s="260"/>
      <c r="N33" s="260"/>
      <c r="O33" s="260"/>
      <c r="P33" s="260"/>
      <c r="Q33" s="260"/>
      <c r="R33" s="260"/>
      <c r="S33" s="260"/>
      <c r="T33" s="260"/>
    </row>
    <row r="34" spans="1:20" ht="15" customHeight="1" x14ac:dyDescent="0.25">
      <c r="A34" s="261">
        <v>46273</v>
      </c>
      <c r="B34" s="260" t="s">
        <v>259</v>
      </c>
      <c r="C34" s="260" t="s">
        <v>135</v>
      </c>
      <c r="D34" s="260" t="s">
        <v>185</v>
      </c>
      <c r="E34" s="260" t="s">
        <v>143</v>
      </c>
      <c r="F34" s="260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0">
        <v>100</v>
      </c>
      <c r="L34" s="260">
        <v>150</v>
      </c>
      <c r="M34" s="260"/>
      <c r="N34" s="260"/>
      <c r="O34" s="260"/>
      <c r="P34" s="260"/>
      <c r="Q34" s="260"/>
      <c r="R34" s="260"/>
      <c r="S34" s="260"/>
      <c r="T34" s="260"/>
    </row>
    <row r="35" spans="1:20" ht="15" customHeight="1" x14ac:dyDescent="0.25">
      <c r="A35" s="261">
        <v>46273</v>
      </c>
      <c r="B35" s="260" t="s">
        <v>260</v>
      </c>
      <c r="C35" s="260" t="s">
        <v>19</v>
      </c>
      <c r="D35" s="260" t="s">
        <v>20</v>
      </c>
      <c r="E35" s="260">
        <v>30</v>
      </c>
      <c r="F35" s="260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0"/>
      <c r="L35" s="260"/>
      <c r="M35" s="260"/>
      <c r="N35" s="260"/>
      <c r="O35" s="260"/>
      <c r="P35" s="260"/>
      <c r="Q35" s="260"/>
      <c r="R35" s="260"/>
      <c r="S35" s="260"/>
      <c r="T35" s="260"/>
    </row>
    <row r="36" spans="1:20" ht="15" customHeight="1" x14ac:dyDescent="0.25">
      <c r="A36" s="261">
        <v>46273</v>
      </c>
      <c r="B36" s="260" t="s">
        <v>262</v>
      </c>
      <c r="C36" s="260" t="s">
        <v>13</v>
      </c>
      <c r="D36" s="260" t="s">
        <v>14</v>
      </c>
      <c r="E36" s="260">
        <v>25</v>
      </c>
      <c r="F36" s="260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0">
        <v>120</v>
      </c>
      <c r="L36" s="260"/>
      <c r="M36" s="260"/>
      <c r="N36" s="260"/>
      <c r="O36" s="260"/>
      <c r="P36" s="260"/>
      <c r="Q36" s="260"/>
      <c r="R36" s="260"/>
      <c r="S36" s="260"/>
      <c r="T36" s="260"/>
    </row>
    <row r="37" spans="1:20" ht="15" customHeight="1" x14ac:dyDescent="0.25">
      <c r="A37" s="261">
        <v>46273</v>
      </c>
      <c r="B37" s="260" t="s">
        <v>261</v>
      </c>
      <c r="C37" s="260" t="s">
        <v>13</v>
      </c>
      <c r="D37" s="260" t="s">
        <v>14</v>
      </c>
      <c r="E37" s="260">
        <v>25</v>
      </c>
      <c r="F37" s="260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0"/>
      <c r="L37" s="260"/>
      <c r="M37" s="260"/>
      <c r="N37" s="260"/>
      <c r="O37" s="260"/>
      <c r="P37" s="260"/>
      <c r="Q37" s="260"/>
      <c r="R37" s="260"/>
      <c r="S37" s="260"/>
      <c r="T37" s="260"/>
    </row>
    <row r="38" spans="1:20" ht="15" customHeight="1" x14ac:dyDescent="0.25">
      <c r="A38" s="261">
        <v>46274</v>
      </c>
      <c r="B38" s="260" t="s">
        <v>263</v>
      </c>
      <c r="C38" s="260" t="s">
        <v>13</v>
      </c>
      <c r="D38" s="260" t="s">
        <v>14</v>
      </c>
      <c r="E38" s="260">
        <v>25</v>
      </c>
      <c r="F38" s="260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0"/>
      <c r="L38" s="260"/>
      <c r="M38" s="260"/>
      <c r="N38" s="260"/>
      <c r="O38" s="260"/>
      <c r="P38" s="260"/>
      <c r="Q38" s="260"/>
      <c r="R38" s="260"/>
      <c r="S38" s="260"/>
      <c r="T38" s="260"/>
    </row>
    <row r="39" spans="1:20" ht="15" customHeight="1" x14ac:dyDescent="0.25">
      <c r="A39" s="261">
        <v>46274</v>
      </c>
      <c r="B39" s="260" t="s">
        <v>258</v>
      </c>
      <c r="C39" s="260" t="s">
        <v>19</v>
      </c>
      <c r="D39" s="260" t="s">
        <v>20</v>
      </c>
      <c r="E39" s="260">
        <v>30</v>
      </c>
      <c r="F39" s="260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0"/>
      <c r="L39" s="260"/>
      <c r="M39" s="260"/>
      <c r="N39" s="260"/>
      <c r="O39" s="260"/>
      <c r="P39" s="260"/>
      <c r="Q39" s="260"/>
      <c r="R39" s="260"/>
      <c r="S39" s="260"/>
      <c r="T39" s="260"/>
    </row>
    <row r="40" spans="1:20" ht="15" customHeight="1" x14ac:dyDescent="0.25">
      <c r="A40" s="261">
        <v>46274</v>
      </c>
      <c r="B40" s="260" t="s">
        <v>259</v>
      </c>
      <c r="C40" s="260" t="s">
        <v>135</v>
      </c>
      <c r="D40" s="260" t="s">
        <v>185</v>
      </c>
      <c r="E40" s="260" t="s">
        <v>143</v>
      </c>
      <c r="F40" s="260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0"/>
      <c r="L40" s="260"/>
      <c r="M40" s="260"/>
      <c r="N40" s="260"/>
      <c r="O40" s="260"/>
      <c r="P40" s="260"/>
      <c r="Q40" s="260"/>
      <c r="R40" s="260"/>
      <c r="S40" s="260">
        <v>460</v>
      </c>
      <c r="T40" s="260"/>
    </row>
    <row r="41" spans="1:20" ht="15" customHeight="1" x14ac:dyDescent="0.25">
      <c r="A41" s="261">
        <v>46274</v>
      </c>
      <c r="B41" s="260" t="s">
        <v>262</v>
      </c>
      <c r="C41" s="260" t="s">
        <v>13</v>
      </c>
      <c r="D41" s="260" t="s">
        <v>14</v>
      </c>
      <c r="E41" s="260">
        <v>25</v>
      </c>
      <c r="F41" s="260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0"/>
      <c r="L41" s="260"/>
      <c r="M41" s="260"/>
      <c r="N41" s="260"/>
      <c r="O41" s="260"/>
      <c r="P41" s="260"/>
      <c r="Q41" s="260"/>
      <c r="R41" s="260"/>
      <c r="S41" s="260"/>
      <c r="T41" s="260"/>
    </row>
    <row r="42" spans="1:20" ht="15" customHeight="1" x14ac:dyDescent="0.25">
      <c r="A42" s="261">
        <v>46274</v>
      </c>
      <c r="B42" s="260" t="s">
        <v>261</v>
      </c>
      <c r="C42" s="260" t="s">
        <v>13</v>
      </c>
      <c r="D42" s="260" t="s">
        <v>14</v>
      </c>
      <c r="E42" s="260">
        <v>25</v>
      </c>
      <c r="F42" s="260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0"/>
      <c r="L42" s="260"/>
      <c r="M42" s="260">
        <v>120</v>
      </c>
      <c r="N42" s="260"/>
      <c r="O42" s="260"/>
      <c r="P42" s="260"/>
      <c r="Q42" s="260"/>
      <c r="R42" s="260"/>
      <c r="S42" s="260"/>
      <c r="T42" s="260"/>
    </row>
    <row r="43" spans="1:20" ht="15" customHeight="1" x14ac:dyDescent="0.25">
      <c r="A43" s="261">
        <v>46275</v>
      </c>
      <c r="B43" s="260" t="s">
        <v>263</v>
      </c>
      <c r="C43" s="260" t="s">
        <v>13</v>
      </c>
      <c r="D43" s="260" t="s">
        <v>14</v>
      </c>
      <c r="E43" s="260">
        <v>25</v>
      </c>
      <c r="F43" s="260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0">
        <v>240</v>
      </c>
      <c r="L43" s="260"/>
      <c r="M43" s="260"/>
      <c r="N43" s="260"/>
      <c r="O43" s="260"/>
      <c r="P43" s="260"/>
      <c r="Q43" s="260"/>
      <c r="R43" s="260"/>
      <c r="S43" s="260"/>
      <c r="T43" s="260"/>
    </row>
    <row r="44" spans="1:20" ht="15" customHeight="1" x14ac:dyDescent="0.25">
      <c r="A44" s="261">
        <v>46275</v>
      </c>
      <c r="B44" s="260" t="s">
        <v>259</v>
      </c>
      <c r="C44" s="260" t="s">
        <v>135</v>
      </c>
      <c r="D44" s="260" t="s">
        <v>185</v>
      </c>
      <c r="E44" s="260" t="s">
        <v>143</v>
      </c>
      <c r="F44" s="260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0"/>
      <c r="L44" s="260">
        <v>20</v>
      </c>
      <c r="M44" s="260"/>
      <c r="N44" s="260"/>
      <c r="O44" s="260"/>
      <c r="P44" s="260"/>
      <c r="Q44" s="260"/>
      <c r="R44" s="260"/>
      <c r="S44" s="260">
        <v>200</v>
      </c>
      <c r="T44" s="260"/>
    </row>
    <row r="45" spans="1:20" ht="15" customHeight="1" x14ac:dyDescent="0.25">
      <c r="A45" s="261">
        <v>46275</v>
      </c>
      <c r="B45" s="260" t="s">
        <v>260</v>
      </c>
      <c r="C45" s="260" t="s">
        <v>19</v>
      </c>
      <c r="D45" s="260" t="s">
        <v>20</v>
      </c>
      <c r="E45" s="260">
        <v>30</v>
      </c>
      <c r="F45" s="260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0"/>
      <c r="L45" s="260"/>
      <c r="M45" s="260"/>
      <c r="N45" s="260"/>
      <c r="O45" s="260"/>
      <c r="P45" s="260"/>
      <c r="Q45" s="260"/>
      <c r="R45" s="260"/>
      <c r="S45" s="260"/>
      <c r="T45" s="260"/>
    </row>
    <row r="46" spans="1:20" ht="15" customHeight="1" x14ac:dyDescent="0.25">
      <c r="A46" s="261">
        <v>46275</v>
      </c>
      <c r="B46" s="260" t="s">
        <v>262</v>
      </c>
      <c r="C46" s="260" t="s">
        <v>13</v>
      </c>
      <c r="D46" s="260" t="s">
        <v>14</v>
      </c>
      <c r="E46" s="260">
        <v>25</v>
      </c>
      <c r="F46" s="260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0"/>
      <c r="L46" s="260"/>
      <c r="M46" s="260"/>
      <c r="N46" s="260">
        <v>120</v>
      </c>
      <c r="O46" s="260"/>
      <c r="P46" s="260"/>
      <c r="Q46" s="260"/>
      <c r="R46" s="260"/>
      <c r="S46" s="260"/>
      <c r="T46" s="260"/>
    </row>
    <row r="47" spans="1:20" ht="15" customHeight="1" x14ac:dyDescent="0.25">
      <c r="A47" s="261">
        <v>46275</v>
      </c>
      <c r="B47" s="260" t="s">
        <v>261</v>
      </c>
      <c r="C47" s="260" t="s">
        <v>13</v>
      </c>
      <c r="D47" s="260" t="s">
        <v>14</v>
      </c>
      <c r="E47" s="260">
        <v>25</v>
      </c>
      <c r="F47" s="260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0"/>
      <c r="L47" s="260"/>
      <c r="M47" s="260">
        <v>200</v>
      </c>
      <c r="N47" s="260"/>
      <c r="O47" s="260"/>
      <c r="P47" s="260"/>
      <c r="Q47" s="260"/>
      <c r="R47" s="260"/>
      <c r="S47" s="260"/>
      <c r="T47" s="260"/>
    </row>
    <row r="48" spans="1:20" ht="15" customHeight="1" x14ac:dyDescent="0.25">
      <c r="A48" s="261">
        <v>46276</v>
      </c>
      <c r="B48" s="260" t="s">
        <v>263</v>
      </c>
      <c r="C48" s="260" t="s">
        <v>11</v>
      </c>
      <c r="D48" s="260" t="s">
        <v>16</v>
      </c>
      <c r="E48" s="260">
        <v>25</v>
      </c>
      <c r="F48" s="260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0">
        <v>300</v>
      </c>
      <c r="L48" s="260"/>
      <c r="M48" s="260"/>
      <c r="N48" s="260"/>
      <c r="O48" s="260"/>
      <c r="P48" s="260"/>
      <c r="Q48" s="260"/>
      <c r="R48" s="260"/>
      <c r="S48" s="260"/>
      <c r="T48" s="260"/>
    </row>
    <row r="49" spans="1:20" ht="15" customHeight="1" x14ac:dyDescent="0.25">
      <c r="A49" s="261">
        <v>46276</v>
      </c>
      <c r="B49" s="260" t="s">
        <v>259</v>
      </c>
      <c r="C49" s="260" t="s">
        <v>135</v>
      </c>
      <c r="D49" s="260" t="s">
        <v>185</v>
      </c>
      <c r="E49" s="260" t="s">
        <v>143</v>
      </c>
      <c r="F49" s="260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0">
        <v>150</v>
      </c>
      <c r="L49" s="260"/>
      <c r="M49" s="260"/>
      <c r="N49" s="260"/>
      <c r="O49" s="260"/>
      <c r="P49" s="260">
        <v>200</v>
      </c>
      <c r="Q49" s="260"/>
      <c r="R49" s="260"/>
      <c r="S49" s="260"/>
      <c r="T49" s="260"/>
    </row>
    <row r="50" spans="1:20" ht="15" customHeight="1" x14ac:dyDescent="0.25">
      <c r="A50" s="261">
        <v>46276</v>
      </c>
      <c r="B50" s="260" t="s">
        <v>262</v>
      </c>
      <c r="C50" s="260" t="s">
        <v>11</v>
      </c>
      <c r="D50" s="260" t="s">
        <v>16</v>
      </c>
      <c r="E50" s="260">
        <v>25</v>
      </c>
      <c r="F50" s="260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0"/>
      <c r="L50" s="260"/>
      <c r="M50" s="260"/>
      <c r="N50" s="260"/>
      <c r="O50" s="260"/>
      <c r="P50" s="260"/>
      <c r="Q50" s="260"/>
      <c r="R50" s="260"/>
      <c r="S50" s="260"/>
      <c r="T50" s="260"/>
    </row>
    <row r="51" spans="1:20" ht="15" customHeight="1" x14ac:dyDescent="0.25">
      <c r="A51" s="261">
        <v>46276</v>
      </c>
      <c r="B51" s="260" t="s">
        <v>261</v>
      </c>
      <c r="C51" s="260" t="s">
        <v>13</v>
      </c>
      <c r="D51" s="260" t="s">
        <v>14</v>
      </c>
      <c r="E51" s="260">
        <v>25</v>
      </c>
      <c r="F51" s="260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0"/>
      <c r="L51" s="260"/>
      <c r="M51" s="260"/>
      <c r="N51" s="260"/>
      <c r="O51" s="260"/>
      <c r="P51" s="260"/>
      <c r="Q51" s="260"/>
      <c r="R51" s="260"/>
      <c r="S51" s="260"/>
      <c r="T51" s="260"/>
    </row>
    <row r="52" spans="1:20" ht="15" customHeight="1" x14ac:dyDescent="0.25">
      <c r="A52" s="261">
        <v>46276</v>
      </c>
      <c r="B52" s="260" t="s">
        <v>261</v>
      </c>
      <c r="C52" s="260" t="s">
        <v>11</v>
      </c>
      <c r="D52" s="260" t="s">
        <v>16</v>
      </c>
      <c r="E52" s="260">
        <v>25</v>
      </c>
      <c r="F52" s="260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0"/>
      <c r="L52" s="260"/>
      <c r="M52" s="260">
        <v>210</v>
      </c>
      <c r="N52" s="260">
        <v>90</v>
      </c>
      <c r="O52" s="260"/>
      <c r="P52" s="260"/>
      <c r="Q52" s="260"/>
      <c r="R52" s="260"/>
      <c r="S52" s="260"/>
      <c r="T52" s="260"/>
    </row>
    <row r="53" spans="1:20" ht="15" customHeight="1" x14ac:dyDescent="0.25">
      <c r="A53" s="261">
        <v>46277</v>
      </c>
      <c r="B53" s="260" t="s">
        <v>263</v>
      </c>
      <c r="C53" s="260" t="s">
        <v>11</v>
      </c>
      <c r="D53" s="260" t="s">
        <v>16</v>
      </c>
      <c r="E53" s="260">
        <v>25</v>
      </c>
      <c r="F53" s="260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0">
        <v>120</v>
      </c>
      <c r="L53" s="260"/>
      <c r="M53" s="260"/>
      <c r="N53" s="260"/>
      <c r="O53" s="260"/>
      <c r="P53" s="260"/>
      <c r="Q53" s="260"/>
      <c r="R53" s="260"/>
      <c r="S53" s="260"/>
      <c r="T53" s="260"/>
    </row>
    <row r="54" spans="1:20" ht="15" customHeight="1" x14ac:dyDescent="0.25">
      <c r="A54" s="261">
        <v>46277</v>
      </c>
      <c r="B54" s="260" t="s">
        <v>259</v>
      </c>
      <c r="C54" s="260" t="s">
        <v>135</v>
      </c>
      <c r="D54" s="260" t="s">
        <v>185</v>
      </c>
      <c r="E54" s="260" t="s">
        <v>143</v>
      </c>
      <c r="F54" s="260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0"/>
      <c r="L54" s="260">
        <v>600</v>
      </c>
      <c r="M54" s="260"/>
      <c r="N54" s="260"/>
      <c r="O54" s="260"/>
      <c r="P54" s="260">
        <v>480</v>
      </c>
      <c r="Q54" s="260"/>
      <c r="R54" s="260"/>
      <c r="S54" s="260"/>
      <c r="T54" s="260"/>
    </row>
    <row r="55" spans="1:20" ht="15" customHeight="1" x14ac:dyDescent="0.25">
      <c r="A55" s="261">
        <v>46277</v>
      </c>
      <c r="B55" s="260" t="s">
        <v>260</v>
      </c>
      <c r="C55" s="260" t="s">
        <v>19</v>
      </c>
      <c r="D55" s="260" t="s">
        <v>20</v>
      </c>
      <c r="E55" s="260">
        <v>30</v>
      </c>
      <c r="F55" s="260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0"/>
      <c r="L55" s="260"/>
      <c r="M55" s="260"/>
      <c r="N55" s="260"/>
      <c r="O55" s="260"/>
      <c r="P55" s="260"/>
      <c r="Q55" s="260"/>
      <c r="R55" s="260"/>
      <c r="S55" s="260"/>
      <c r="T55" s="260"/>
    </row>
    <row r="56" spans="1:20" ht="15" customHeight="1" x14ac:dyDescent="0.25">
      <c r="A56" s="261">
        <v>46277</v>
      </c>
      <c r="B56" s="260" t="s">
        <v>262</v>
      </c>
      <c r="C56" s="260" t="s">
        <v>11</v>
      </c>
      <c r="D56" s="260" t="s">
        <v>16</v>
      </c>
      <c r="E56" s="260">
        <v>25</v>
      </c>
      <c r="F56" s="260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0"/>
      <c r="L56" s="260"/>
      <c r="M56" s="260"/>
      <c r="N56" s="260"/>
      <c r="O56" s="260"/>
      <c r="P56" s="260"/>
      <c r="Q56" s="260"/>
      <c r="R56" s="260"/>
      <c r="S56" s="260"/>
      <c r="T56" s="260"/>
    </row>
    <row r="57" spans="1:20" ht="15" customHeight="1" x14ac:dyDescent="0.25">
      <c r="A57" s="261">
        <v>46277</v>
      </c>
      <c r="B57" s="260" t="s">
        <v>264</v>
      </c>
      <c r="C57" s="260" t="s">
        <v>11</v>
      </c>
      <c r="D57" s="260" t="s">
        <v>16</v>
      </c>
      <c r="E57" s="260">
        <v>25</v>
      </c>
      <c r="F57" s="260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0"/>
      <c r="L57" s="260"/>
      <c r="M57" s="260"/>
      <c r="N57" s="260">
        <v>60</v>
      </c>
      <c r="O57" s="260"/>
      <c r="P57" s="260"/>
      <c r="Q57" s="260"/>
      <c r="R57" s="260"/>
      <c r="S57" s="260"/>
      <c r="T57" s="260"/>
    </row>
    <row r="58" spans="1:20" ht="15" customHeight="1" x14ac:dyDescent="0.25">
      <c r="A58" s="261">
        <v>46279</v>
      </c>
      <c r="B58" s="260" t="s">
        <v>263</v>
      </c>
      <c r="C58" s="260" t="s">
        <v>19</v>
      </c>
      <c r="D58" s="260" t="s">
        <v>20</v>
      </c>
      <c r="E58" s="260">
        <v>30</v>
      </c>
      <c r="F58" s="260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0"/>
      <c r="L58" s="260"/>
      <c r="M58" s="260"/>
      <c r="N58" s="260"/>
      <c r="O58" s="260"/>
      <c r="P58" s="260"/>
      <c r="Q58" s="260"/>
      <c r="R58" s="260"/>
      <c r="S58" s="260"/>
      <c r="T58" s="260"/>
    </row>
    <row r="59" spans="1:20" ht="15" customHeight="1" x14ac:dyDescent="0.25">
      <c r="A59" s="261">
        <v>46279</v>
      </c>
      <c r="B59" s="260" t="s">
        <v>259</v>
      </c>
      <c r="C59" s="260" t="s">
        <v>135</v>
      </c>
      <c r="D59" s="260" t="s">
        <v>185</v>
      </c>
      <c r="E59" s="260" t="s">
        <v>143</v>
      </c>
      <c r="F59" s="260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0">
        <v>180</v>
      </c>
      <c r="L59" s="260"/>
      <c r="M59" s="260"/>
      <c r="N59" s="260"/>
      <c r="O59" s="260"/>
      <c r="P59" s="260">
        <v>30</v>
      </c>
      <c r="Q59" s="260"/>
      <c r="R59" s="260"/>
      <c r="S59" s="260"/>
      <c r="T59" s="260"/>
    </row>
    <row r="60" spans="1:20" ht="15" customHeight="1" x14ac:dyDescent="0.25">
      <c r="A60" s="261">
        <v>46279</v>
      </c>
      <c r="B60" s="260" t="s">
        <v>260</v>
      </c>
      <c r="C60" s="260" t="s">
        <v>19</v>
      </c>
      <c r="D60" s="260" t="s">
        <v>20</v>
      </c>
      <c r="E60" s="260">
        <v>30</v>
      </c>
      <c r="F60" s="260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0">
        <v>120</v>
      </c>
      <c r="L60" s="260"/>
      <c r="M60" s="260"/>
      <c r="N60" s="260"/>
      <c r="O60" s="260"/>
      <c r="P60" s="260"/>
      <c r="Q60" s="260"/>
      <c r="R60" s="260"/>
      <c r="S60" s="260"/>
      <c r="T60" s="260"/>
    </row>
    <row r="61" spans="1:20" ht="15" customHeight="1" x14ac:dyDescent="0.25">
      <c r="A61" s="261">
        <v>46279</v>
      </c>
      <c r="B61" s="260" t="s">
        <v>264</v>
      </c>
      <c r="C61" s="260" t="s">
        <v>19</v>
      </c>
      <c r="D61" s="260" t="s">
        <v>20</v>
      </c>
      <c r="E61" s="260">
        <v>30</v>
      </c>
      <c r="F61" s="260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0"/>
      <c r="L61" s="260"/>
      <c r="M61" s="260"/>
      <c r="N61" s="260"/>
      <c r="O61" s="260"/>
      <c r="P61" s="260"/>
      <c r="Q61" s="260"/>
      <c r="R61" s="260"/>
      <c r="S61" s="260"/>
      <c r="T61" s="260"/>
    </row>
    <row r="62" spans="1:20" ht="15" customHeight="1" x14ac:dyDescent="0.25">
      <c r="A62" s="261">
        <v>46280</v>
      </c>
      <c r="B62" s="260" t="s">
        <v>263</v>
      </c>
      <c r="C62" s="260" t="s">
        <v>19</v>
      </c>
      <c r="D62" s="260" t="s">
        <v>20</v>
      </c>
      <c r="E62" s="260">
        <v>30</v>
      </c>
      <c r="F62" s="260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0"/>
      <c r="L62" s="260"/>
      <c r="M62" s="260"/>
      <c r="N62" s="260"/>
      <c r="O62" s="260"/>
      <c r="P62" s="260"/>
      <c r="Q62" s="260"/>
      <c r="R62" s="260"/>
      <c r="S62" s="260"/>
      <c r="T62" s="260"/>
    </row>
    <row r="63" spans="1:20" ht="15" customHeight="1" x14ac:dyDescent="0.25">
      <c r="A63" s="261">
        <v>46280</v>
      </c>
      <c r="B63" s="260" t="s">
        <v>258</v>
      </c>
      <c r="C63" s="260" t="s">
        <v>19</v>
      </c>
      <c r="D63" s="260" t="s">
        <v>20</v>
      </c>
      <c r="E63" s="260">
        <v>30</v>
      </c>
      <c r="F63" s="260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0"/>
      <c r="L63" s="260"/>
      <c r="M63" s="260"/>
      <c r="N63" s="260"/>
      <c r="O63" s="260"/>
      <c r="P63" s="260"/>
      <c r="Q63" s="260"/>
      <c r="R63" s="260"/>
      <c r="S63" s="260"/>
      <c r="T63" s="260"/>
    </row>
    <row r="64" spans="1:20" ht="15" customHeight="1" x14ac:dyDescent="0.25">
      <c r="A64" s="261">
        <v>46280</v>
      </c>
      <c r="B64" s="260" t="s">
        <v>259</v>
      </c>
      <c r="C64" s="260" t="s">
        <v>135</v>
      </c>
      <c r="D64" s="260" t="s">
        <v>185</v>
      </c>
      <c r="E64" s="260" t="s">
        <v>143</v>
      </c>
      <c r="F64" s="260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0"/>
      <c r="L64" s="260"/>
      <c r="M64" s="260"/>
      <c r="N64" s="260"/>
      <c r="O64" s="260"/>
      <c r="P64" s="260">
        <v>30</v>
      </c>
      <c r="Q64" s="260"/>
      <c r="R64" s="260"/>
      <c r="S64" s="260">
        <v>60</v>
      </c>
      <c r="T64" s="260"/>
    </row>
    <row r="65" spans="1:20" ht="15" customHeight="1" x14ac:dyDescent="0.25">
      <c r="A65" s="261">
        <v>46280</v>
      </c>
      <c r="B65" s="260" t="s">
        <v>260</v>
      </c>
      <c r="C65" s="260" t="s">
        <v>19</v>
      </c>
      <c r="D65" s="260" t="s">
        <v>20</v>
      </c>
      <c r="E65" s="260">
        <v>30</v>
      </c>
      <c r="F65" s="260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0">
        <v>100</v>
      </c>
      <c r="L65" s="260"/>
      <c r="M65" s="260"/>
      <c r="N65" s="260"/>
      <c r="O65" s="260"/>
      <c r="P65" s="260"/>
      <c r="Q65" s="260"/>
      <c r="R65" s="260"/>
      <c r="S65" s="260"/>
      <c r="T65" s="260"/>
    </row>
    <row r="66" spans="1:20" ht="15" customHeight="1" x14ac:dyDescent="0.25">
      <c r="A66" s="261">
        <v>46280</v>
      </c>
      <c r="B66" s="260" t="s">
        <v>264</v>
      </c>
      <c r="C66" s="260" t="s">
        <v>19</v>
      </c>
      <c r="D66" s="260" t="s">
        <v>20</v>
      </c>
      <c r="E66" s="260">
        <v>30</v>
      </c>
      <c r="F66" s="260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0"/>
      <c r="L66" s="260"/>
      <c r="M66" s="260"/>
      <c r="N66" s="260"/>
      <c r="O66" s="260"/>
      <c r="P66" s="260"/>
      <c r="Q66" s="260"/>
      <c r="R66" s="260"/>
      <c r="S66" s="260"/>
      <c r="T66" s="260"/>
    </row>
    <row r="67" spans="1:20" ht="15" customHeight="1" x14ac:dyDescent="0.25">
      <c r="A67" s="261">
        <v>46281</v>
      </c>
      <c r="B67" s="260" t="s">
        <v>263</v>
      </c>
      <c r="C67" s="260" t="s">
        <v>19</v>
      </c>
      <c r="D67" s="260" t="s">
        <v>20</v>
      </c>
      <c r="E67" s="260">
        <v>30</v>
      </c>
      <c r="F67" s="260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0"/>
      <c r="L67" s="260"/>
      <c r="M67" s="260"/>
      <c r="N67" s="260"/>
      <c r="O67" s="260"/>
      <c r="P67" s="260"/>
      <c r="Q67" s="260"/>
      <c r="R67" s="260"/>
      <c r="S67" s="260"/>
      <c r="T67" s="260"/>
    </row>
    <row r="68" spans="1:20" ht="15" customHeight="1" x14ac:dyDescent="0.25">
      <c r="A68" s="261">
        <v>46281</v>
      </c>
      <c r="B68" s="260" t="s">
        <v>258</v>
      </c>
      <c r="C68" s="260" t="s">
        <v>19</v>
      </c>
      <c r="D68" s="260" t="s">
        <v>20</v>
      </c>
      <c r="E68" s="260">
        <v>30</v>
      </c>
      <c r="F68" s="260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0"/>
      <c r="L68" s="260"/>
      <c r="M68" s="260"/>
      <c r="N68" s="260"/>
      <c r="O68" s="260"/>
      <c r="P68" s="260"/>
      <c r="Q68" s="260"/>
      <c r="R68" s="260"/>
      <c r="S68" s="260"/>
      <c r="T68" s="260"/>
    </row>
    <row r="69" spans="1:20" ht="15" customHeight="1" x14ac:dyDescent="0.25">
      <c r="A69" s="261">
        <v>46281</v>
      </c>
      <c r="B69" s="260" t="s">
        <v>259</v>
      </c>
      <c r="C69" s="260" t="s">
        <v>135</v>
      </c>
      <c r="D69" s="260" t="s">
        <v>185</v>
      </c>
      <c r="E69" s="260" t="s">
        <v>143</v>
      </c>
      <c r="F69" s="260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0">
        <v>60</v>
      </c>
      <c r="L69" s="260"/>
      <c r="M69" s="260"/>
      <c r="N69" s="260"/>
      <c r="O69" s="260"/>
      <c r="P69" s="260">
        <v>570</v>
      </c>
      <c r="Q69" s="260"/>
      <c r="R69" s="260"/>
      <c r="S69" s="260"/>
      <c r="T69" s="260"/>
    </row>
    <row r="70" spans="1:20" ht="15" customHeight="1" x14ac:dyDescent="0.25">
      <c r="A70" s="261">
        <v>46281</v>
      </c>
      <c r="B70" s="260" t="s">
        <v>265</v>
      </c>
      <c r="C70" s="260" t="s">
        <v>21</v>
      </c>
      <c r="D70" s="260" t="s">
        <v>22</v>
      </c>
      <c r="E70" s="260">
        <v>32</v>
      </c>
      <c r="F70" s="260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0"/>
      <c r="L70" s="260"/>
      <c r="M70" s="260"/>
      <c r="N70" s="260"/>
      <c r="O70" s="260"/>
      <c r="P70" s="260"/>
      <c r="Q70" s="260"/>
      <c r="R70" s="260"/>
      <c r="S70" s="260"/>
      <c r="T70" s="260"/>
    </row>
    <row r="71" spans="1:20" ht="15" customHeight="1" x14ac:dyDescent="0.25">
      <c r="A71" s="261">
        <v>46281</v>
      </c>
      <c r="B71" s="260" t="s">
        <v>260</v>
      </c>
      <c r="C71" s="260" t="s">
        <v>19</v>
      </c>
      <c r="D71" s="260" t="s">
        <v>20</v>
      </c>
      <c r="E71" s="260">
        <v>30</v>
      </c>
      <c r="F71" s="260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0"/>
      <c r="L71" s="260"/>
      <c r="M71" s="260"/>
      <c r="N71" s="260"/>
      <c r="O71" s="260"/>
      <c r="P71" s="260"/>
      <c r="Q71" s="260"/>
      <c r="R71" s="260"/>
      <c r="S71" s="260"/>
      <c r="T71" s="260"/>
    </row>
    <row r="72" spans="1:20" ht="15" customHeight="1" x14ac:dyDescent="0.25">
      <c r="A72" s="261">
        <v>46281</v>
      </c>
      <c r="B72" s="260" t="s">
        <v>264</v>
      </c>
      <c r="C72" s="260" t="s">
        <v>19</v>
      </c>
      <c r="D72" s="260" t="s">
        <v>20</v>
      </c>
      <c r="E72" s="260">
        <v>30</v>
      </c>
      <c r="F72" s="260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0"/>
      <c r="L72" s="260"/>
      <c r="M72" s="260"/>
      <c r="N72" s="260"/>
      <c r="O72" s="260"/>
      <c r="P72" s="260"/>
      <c r="Q72" s="260"/>
      <c r="R72" s="260"/>
      <c r="S72" s="260"/>
      <c r="T72" s="260"/>
    </row>
    <row r="73" spans="1:20" ht="15" customHeight="1" x14ac:dyDescent="0.25">
      <c r="A73" s="261">
        <v>46282</v>
      </c>
      <c r="B73" s="260" t="s">
        <v>263</v>
      </c>
      <c r="C73" s="260" t="s">
        <v>21</v>
      </c>
      <c r="D73" s="260" t="s">
        <v>22</v>
      </c>
      <c r="E73" s="260">
        <v>32</v>
      </c>
      <c r="F73" s="260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0"/>
      <c r="L73" s="260"/>
      <c r="M73" s="260">
        <v>120</v>
      </c>
      <c r="N73" s="260"/>
      <c r="O73" s="260">
        <v>120</v>
      </c>
      <c r="P73" s="260"/>
      <c r="Q73" s="260"/>
      <c r="R73" s="260"/>
      <c r="S73" s="260"/>
      <c r="T73" s="260"/>
    </row>
    <row r="74" spans="1:20" ht="15" customHeight="1" x14ac:dyDescent="0.25">
      <c r="A74" s="261">
        <v>46282</v>
      </c>
      <c r="B74" s="260" t="s">
        <v>258</v>
      </c>
      <c r="C74" s="260" t="s">
        <v>19</v>
      </c>
      <c r="D74" s="260" t="s">
        <v>20</v>
      </c>
      <c r="E74" s="260">
        <v>30</v>
      </c>
      <c r="F74" s="260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0"/>
      <c r="L74" s="260"/>
      <c r="M74" s="260"/>
      <c r="N74" s="260"/>
      <c r="O74" s="260">
        <v>240</v>
      </c>
      <c r="P74" s="260"/>
      <c r="Q74" s="260"/>
      <c r="R74" s="260"/>
      <c r="S74" s="260"/>
      <c r="T74" s="260"/>
    </row>
    <row r="75" spans="1:20" ht="15" customHeight="1" x14ac:dyDescent="0.25">
      <c r="A75" s="261">
        <v>46282</v>
      </c>
      <c r="B75" s="260" t="s">
        <v>259</v>
      </c>
      <c r="C75" s="260" t="s">
        <v>135</v>
      </c>
      <c r="D75" s="260" t="s">
        <v>185</v>
      </c>
      <c r="E75" s="260" t="s">
        <v>143</v>
      </c>
      <c r="F75" s="260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0">
        <v>90</v>
      </c>
      <c r="L75" s="260"/>
      <c r="M75" s="260"/>
      <c r="N75" s="260"/>
      <c r="O75" s="260"/>
      <c r="P75" s="260"/>
      <c r="Q75" s="260"/>
      <c r="R75" s="260"/>
      <c r="S75" s="260"/>
      <c r="T75" s="260"/>
    </row>
    <row r="76" spans="1:20" ht="15" customHeight="1" x14ac:dyDescent="0.25">
      <c r="A76" s="261">
        <v>46282</v>
      </c>
      <c r="B76" s="260" t="s">
        <v>265</v>
      </c>
      <c r="C76" s="260" t="s">
        <v>21</v>
      </c>
      <c r="D76" s="260" t="s">
        <v>22</v>
      </c>
      <c r="E76" s="260">
        <v>32</v>
      </c>
      <c r="F76" s="260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0"/>
      <c r="L76" s="260"/>
      <c r="M76" s="260"/>
      <c r="N76" s="260"/>
      <c r="O76" s="260"/>
      <c r="P76" s="260"/>
      <c r="Q76" s="260"/>
      <c r="R76" s="260"/>
      <c r="S76" s="260"/>
      <c r="T76" s="260"/>
    </row>
    <row r="77" spans="1:20" ht="15" customHeight="1" x14ac:dyDescent="0.25">
      <c r="A77" s="261">
        <v>46282</v>
      </c>
      <c r="B77" s="260" t="s">
        <v>264</v>
      </c>
      <c r="C77" s="260" t="s">
        <v>21</v>
      </c>
      <c r="D77" s="260" t="s">
        <v>22</v>
      </c>
      <c r="E77" s="260">
        <v>32</v>
      </c>
      <c r="F77" s="260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0"/>
      <c r="L77" s="260"/>
      <c r="M77" s="260"/>
      <c r="N77" s="260">
        <v>60</v>
      </c>
      <c r="O77" s="260">
        <v>240</v>
      </c>
      <c r="P77" s="260"/>
      <c r="Q77" s="260"/>
      <c r="R77" s="260"/>
      <c r="S77" s="260"/>
      <c r="T77" s="260"/>
    </row>
    <row r="78" spans="1:20" ht="15" customHeight="1" x14ac:dyDescent="0.25">
      <c r="A78" s="261">
        <v>46283</v>
      </c>
      <c r="B78" s="260" t="s">
        <v>263</v>
      </c>
      <c r="C78" s="260" t="s">
        <v>21</v>
      </c>
      <c r="D78" s="260" t="s">
        <v>22</v>
      </c>
      <c r="E78" s="260">
        <v>32</v>
      </c>
      <c r="F78" s="260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0"/>
      <c r="L78" s="260"/>
      <c r="M78" s="260"/>
      <c r="N78" s="260"/>
      <c r="O78" s="260"/>
      <c r="P78" s="260"/>
      <c r="Q78" s="260"/>
      <c r="R78" s="260"/>
      <c r="S78" s="260"/>
      <c r="T78" s="260"/>
    </row>
    <row r="79" spans="1:20" ht="15" customHeight="1" x14ac:dyDescent="0.25">
      <c r="A79" s="261">
        <v>46283</v>
      </c>
      <c r="B79" s="260" t="s">
        <v>258</v>
      </c>
      <c r="C79" s="260" t="s">
        <v>21</v>
      </c>
      <c r="D79" s="260" t="s">
        <v>22</v>
      </c>
      <c r="E79" s="260">
        <v>32</v>
      </c>
      <c r="F79" s="260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0"/>
      <c r="L79" s="260"/>
      <c r="M79" s="260"/>
      <c r="N79" s="260"/>
      <c r="O79" s="260"/>
      <c r="P79" s="260"/>
      <c r="Q79" s="260"/>
      <c r="R79" s="260"/>
      <c r="S79" s="260"/>
      <c r="T79" s="260"/>
    </row>
    <row r="80" spans="1:20" ht="15" customHeight="1" x14ac:dyDescent="0.25">
      <c r="A80" s="261">
        <v>46283</v>
      </c>
      <c r="B80" s="260" t="s">
        <v>258</v>
      </c>
      <c r="C80" s="260" t="s">
        <v>19</v>
      </c>
      <c r="D80" s="260" t="s">
        <v>20</v>
      </c>
      <c r="E80" s="260">
        <v>30</v>
      </c>
      <c r="F80" s="260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0"/>
      <c r="L80" s="260"/>
      <c r="M80" s="260"/>
      <c r="N80" s="260"/>
      <c r="O80" s="260"/>
      <c r="P80" s="260"/>
      <c r="Q80" s="260"/>
      <c r="R80" s="260"/>
      <c r="S80" s="260"/>
      <c r="T80" s="260"/>
    </row>
    <row r="81" spans="1:20" ht="15" customHeight="1" x14ac:dyDescent="0.25">
      <c r="A81" s="261">
        <v>46283</v>
      </c>
      <c r="B81" s="260" t="s">
        <v>258</v>
      </c>
      <c r="C81" s="260" t="s">
        <v>11</v>
      </c>
      <c r="D81" s="260" t="s">
        <v>16</v>
      </c>
      <c r="E81" s="260">
        <v>25</v>
      </c>
      <c r="F81" s="260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0"/>
      <c r="L81" s="260"/>
      <c r="M81" s="260"/>
      <c r="N81" s="260"/>
      <c r="O81" s="260"/>
      <c r="P81" s="260"/>
      <c r="Q81" s="260"/>
      <c r="R81" s="260"/>
      <c r="S81" s="260"/>
      <c r="T81" s="260"/>
    </row>
    <row r="82" spans="1:20" ht="15" customHeight="1" x14ac:dyDescent="0.25">
      <c r="A82" s="261">
        <v>46283</v>
      </c>
      <c r="B82" s="260" t="s">
        <v>259</v>
      </c>
      <c r="C82" s="260" t="s">
        <v>135</v>
      </c>
      <c r="D82" s="260" t="s">
        <v>185</v>
      </c>
      <c r="E82" s="260" t="s">
        <v>143</v>
      </c>
      <c r="F82" s="260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0">
        <v>30</v>
      </c>
      <c r="L82" s="260"/>
      <c r="M82" s="260"/>
      <c r="N82" s="260"/>
      <c r="O82" s="260"/>
      <c r="P82" s="260"/>
      <c r="Q82" s="260"/>
      <c r="R82" s="260"/>
      <c r="S82" s="260">
        <v>150</v>
      </c>
      <c r="T82" s="260"/>
    </row>
    <row r="83" spans="1:20" ht="15" customHeight="1" x14ac:dyDescent="0.25">
      <c r="A83" s="261">
        <v>46283</v>
      </c>
      <c r="B83" s="260" t="s">
        <v>265</v>
      </c>
      <c r="C83" s="260" t="s">
        <v>21</v>
      </c>
      <c r="D83" s="260" t="s">
        <v>22</v>
      </c>
      <c r="E83" s="260">
        <v>32</v>
      </c>
      <c r="F83" s="260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0"/>
      <c r="L83" s="260"/>
      <c r="M83" s="260"/>
      <c r="N83" s="260">
        <v>120</v>
      </c>
      <c r="O83" s="260"/>
      <c r="P83" s="260"/>
      <c r="Q83" s="260"/>
      <c r="R83" s="260"/>
      <c r="S83" s="260"/>
      <c r="T83" s="260"/>
    </row>
    <row r="84" spans="1:20" ht="15" customHeight="1" x14ac:dyDescent="0.25">
      <c r="A84" s="261">
        <v>46283</v>
      </c>
      <c r="B84" s="260" t="s">
        <v>260</v>
      </c>
      <c r="C84" s="260" t="s">
        <v>19</v>
      </c>
      <c r="D84" s="260" t="s">
        <v>20</v>
      </c>
      <c r="E84" s="260">
        <v>30</v>
      </c>
      <c r="F84" s="260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0">
        <v>120</v>
      </c>
      <c r="L84" s="260"/>
      <c r="M84" s="260"/>
      <c r="N84" s="260"/>
      <c r="O84" s="260"/>
      <c r="P84" s="260"/>
      <c r="Q84" s="260"/>
      <c r="R84" s="260"/>
      <c r="S84" s="260"/>
      <c r="T84" s="260"/>
    </row>
    <row r="85" spans="1:20" ht="15" customHeight="1" x14ac:dyDescent="0.25">
      <c r="A85" s="261">
        <v>46283</v>
      </c>
      <c r="B85" s="260" t="s">
        <v>264</v>
      </c>
      <c r="C85" s="260" t="s">
        <v>21</v>
      </c>
      <c r="D85" s="260" t="s">
        <v>22</v>
      </c>
      <c r="E85" s="260">
        <v>32</v>
      </c>
      <c r="F85" s="260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0"/>
      <c r="L85" s="260"/>
      <c r="M85" s="260"/>
      <c r="N85" s="260"/>
      <c r="O85" s="260">
        <v>60</v>
      </c>
      <c r="P85" s="260"/>
      <c r="Q85" s="260"/>
      <c r="R85" s="260"/>
      <c r="S85" s="260"/>
      <c r="T85" s="260"/>
    </row>
    <row r="86" spans="1:20" ht="15" customHeight="1" x14ac:dyDescent="0.25">
      <c r="A86" s="261">
        <v>46284</v>
      </c>
      <c r="B86" s="260" t="s">
        <v>257</v>
      </c>
      <c r="C86" s="260" t="s">
        <v>19</v>
      </c>
      <c r="D86" s="260" t="s">
        <v>20</v>
      </c>
      <c r="E86" s="260">
        <v>30</v>
      </c>
      <c r="F86" s="260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0"/>
      <c r="L86" s="260"/>
      <c r="M86" s="260"/>
      <c r="N86" s="260"/>
      <c r="O86" s="260"/>
      <c r="P86" s="260"/>
      <c r="Q86" s="260"/>
      <c r="R86" s="260"/>
      <c r="S86" s="260"/>
      <c r="T86" s="260"/>
    </row>
    <row r="87" spans="1:20" ht="15" customHeight="1" x14ac:dyDescent="0.25">
      <c r="A87" s="261">
        <v>46284</v>
      </c>
      <c r="B87" s="260" t="s">
        <v>258</v>
      </c>
      <c r="C87" s="260" t="s">
        <v>19</v>
      </c>
      <c r="D87" s="260" t="s">
        <v>20</v>
      </c>
      <c r="E87" s="260">
        <v>30</v>
      </c>
      <c r="F87" s="260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0"/>
      <c r="L87" s="260"/>
      <c r="M87" s="260"/>
      <c r="N87" s="260"/>
      <c r="O87" s="260"/>
      <c r="P87" s="260"/>
      <c r="Q87" s="260"/>
      <c r="R87" s="260"/>
      <c r="S87" s="260"/>
      <c r="T87" s="260"/>
    </row>
    <row r="88" spans="1:20" ht="15" customHeight="1" x14ac:dyDescent="0.25">
      <c r="A88" s="261">
        <v>46284</v>
      </c>
      <c r="B88" s="260" t="s">
        <v>258</v>
      </c>
      <c r="C88" s="260" t="s">
        <v>11</v>
      </c>
      <c r="D88" s="260" t="s">
        <v>16</v>
      </c>
      <c r="E88" s="260">
        <v>25</v>
      </c>
      <c r="F88" s="260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0"/>
      <c r="L88" s="260"/>
      <c r="M88" s="260"/>
      <c r="N88" s="260"/>
      <c r="O88" s="260"/>
      <c r="P88" s="260"/>
      <c r="Q88" s="260"/>
      <c r="R88" s="260"/>
      <c r="S88" s="260"/>
      <c r="T88" s="260"/>
    </row>
    <row r="89" spans="1:20" ht="15" customHeight="1" x14ac:dyDescent="0.25">
      <c r="A89" s="261">
        <v>46284</v>
      </c>
      <c r="B89" s="260" t="s">
        <v>259</v>
      </c>
      <c r="C89" s="260" t="s">
        <v>135</v>
      </c>
      <c r="D89" s="260" t="s">
        <v>185</v>
      </c>
      <c r="E89" s="260" t="s">
        <v>143</v>
      </c>
      <c r="F89" s="260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0"/>
      <c r="L89" s="260"/>
      <c r="M89" s="260"/>
      <c r="N89" s="260">
        <v>480</v>
      </c>
      <c r="O89" s="260"/>
      <c r="P89" s="260"/>
      <c r="Q89" s="260"/>
      <c r="R89" s="260"/>
      <c r="S89" s="260">
        <v>150</v>
      </c>
      <c r="T89" s="260"/>
    </row>
    <row r="90" spans="1:20" ht="15" customHeight="1" x14ac:dyDescent="0.25">
      <c r="A90" s="261">
        <v>46284</v>
      </c>
      <c r="B90" s="260" t="s">
        <v>260</v>
      </c>
      <c r="C90" s="260" t="s">
        <v>19</v>
      </c>
      <c r="D90" s="260" t="s">
        <v>20</v>
      </c>
      <c r="E90" s="260">
        <v>30</v>
      </c>
      <c r="F90" s="260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0"/>
      <c r="L90" s="260"/>
      <c r="M90" s="260"/>
      <c r="N90" s="260"/>
      <c r="O90" s="260"/>
      <c r="P90" s="260"/>
      <c r="Q90" s="260"/>
      <c r="R90" s="260"/>
      <c r="S90" s="260"/>
      <c r="T90" s="260"/>
    </row>
    <row r="91" spans="1:20" ht="15" customHeight="1" x14ac:dyDescent="0.25">
      <c r="A91" s="261">
        <v>46284</v>
      </c>
      <c r="B91" s="260" t="s">
        <v>261</v>
      </c>
      <c r="C91" s="260" t="s">
        <v>19</v>
      </c>
      <c r="D91" s="260" t="s">
        <v>20</v>
      </c>
      <c r="E91" s="260">
        <v>30</v>
      </c>
      <c r="F91" s="260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0"/>
      <c r="L91" s="260"/>
      <c r="M91" s="260"/>
      <c r="N91" s="260"/>
      <c r="O91" s="260"/>
      <c r="P91" s="260"/>
      <c r="Q91" s="260"/>
      <c r="R91" s="260"/>
      <c r="S91" s="260"/>
      <c r="T91" s="260"/>
    </row>
    <row r="92" spans="1:20" ht="15" customHeight="1" x14ac:dyDescent="0.25">
      <c r="A92" s="261">
        <v>46286</v>
      </c>
      <c r="B92" s="260" t="s">
        <v>257</v>
      </c>
      <c r="C92" s="260" t="s">
        <v>19</v>
      </c>
      <c r="D92" s="260" t="s">
        <v>20</v>
      </c>
      <c r="E92" s="260">
        <v>30</v>
      </c>
      <c r="F92" s="260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0"/>
      <c r="L92" s="260"/>
      <c r="M92" s="260"/>
      <c r="N92" s="260"/>
      <c r="O92" s="260"/>
      <c r="P92" s="260"/>
      <c r="Q92" s="260"/>
      <c r="R92" s="260"/>
      <c r="S92" s="260"/>
      <c r="T92" s="260"/>
    </row>
    <row r="93" spans="1:20" ht="15" customHeight="1" x14ac:dyDescent="0.25">
      <c r="A93" s="261">
        <v>46286</v>
      </c>
      <c r="B93" s="260" t="s">
        <v>258</v>
      </c>
      <c r="C93" s="260" t="s">
        <v>19</v>
      </c>
      <c r="D93" s="260" t="s">
        <v>20</v>
      </c>
      <c r="E93" s="260">
        <v>30</v>
      </c>
      <c r="F93" s="260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0"/>
      <c r="L93" s="260"/>
      <c r="M93" s="260"/>
      <c r="N93" s="260"/>
      <c r="O93" s="260"/>
      <c r="P93" s="260"/>
      <c r="Q93" s="260"/>
      <c r="R93" s="260"/>
      <c r="S93" s="260"/>
      <c r="T93" s="260"/>
    </row>
    <row r="94" spans="1:20" ht="15" customHeight="1" x14ac:dyDescent="0.25">
      <c r="A94" s="261">
        <v>46286</v>
      </c>
      <c r="B94" s="260" t="s">
        <v>259</v>
      </c>
      <c r="C94" s="260" t="s">
        <v>13</v>
      </c>
      <c r="D94" s="260" t="s">
        <v>147</v>
      </c>
      <c r="E94" s="260" t="s">
        <v>146</v>
      </c>
      <c r="F94" s="260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0"/>
      <c r="L94" s="260"/>
      <c r="M94" s="260"/>
      <c r="N94" s="260">
        <v>150</v>
      </c>
      <c r="O94" s="260"/>
      <c r="P94" s="260"/>
      <c r="Q94" s="260"/>
      <c r="R94" s="260"/>
      <c r="S94" s="260"/>
      <c r="T94" s="260"/>
    </row>
    <row r="95" spans="1:20" ht="15" customHeight="1" x14ac:dyDescent="0.25">
      <c r="A95" s="261">
        <v>46286</v>
      </c>
      <c r="B95" s="260" t="s">
        <v>260</v>
      </c>
      <c r="C95" s="260" t="s">
        <v>19</v>
      </c>
      <c r="D95" s="260" t="s">
        <v>20</v>
      </c>
      <c r="E95" s="260">
        <v>30</v>
      </c>
      <c r="F95" s="260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0">
        <v>180</v>
      </c>
      <c r="L95" s="260"/>
      <c r="M95" s="260"/>
      <c r="N95" s="260"/>
      <c r="O95" s="260"/>
      <c r="P95" s="260"/>
      <c r="Q95" s="260"/>
      <c r="R95" s="260"/>
      <c r="S95" s="260"/>
      <c r="T95" s="260"/>
    </row>
    <row r="96" spans="1:20" ht="15" customHeight="1" x14ac:dyDescent="0.25">
      <c r="A96" s="261">
        <v>46286</v>
      </c>
      <c r="B96" s="260" t="s">
        <v>261</v>
      </c>
      <c r="C96" s="260" t="s">
        <v>19</v>
      </c>
      <c r="D96" s="260" t="s">
        <v>20</v>
      </c>
      <c r="E96" s="260">
        <v>30</v>
      </c>
      <c r="F96" s="260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0"/>
      <c r="L96" s="260"/>
      <c r="M96" s="260"/>
      <c r="N96" s="260"/>
      <c r="O96" s="260"/>
      <c r="P96" s="260"/>
      <c r="Q96" s="260"/>
      <c r="R96" s="260"/>
      <c r="S96" s="260"/>
      <c r="T96" s="260"/>
    </row>
    <row r="97" spans="1:20" ht="15" customHeight="1" x14ac:dyDescent="0.25">
      <c r="A97" s="261">
        <v>46287</v>
      </c>
      <c r="B97" s="260" t="s">
        <v>257</v>
      </c>
      <c r="C97" s="260" t="s">
        <v>19</v>
      </c>
      <c r="D97" s="260" t="s">
        <v>20</v>
      </c>
      <c r="E97" s="260">
        <v>30</v>
      </c>
      <c r="F97" s="260">
        <v>6206</v>
      </c>
      <c r="G97" s="262">
        <v>7000</v>
      </c>
      <c r="H97" s="262">
        <v>6875</v>
      </c>
      <c r="I97" s="262">
        <v>125</v>
      </c>
      <c r="J97" s="263">
        <f t="shared" si="2"/>
        <v>1.7857142857142856E-2</v>
      </c>
      <c r="K97" s="260"/>
      <c r="L97" s="260"/>
      <c r="M97" s="260">
        <v>300</v>
      </c>
      <c r="N97" s="260"/>
      <c r="O97" s="260"/>
      <c r="P97" s="260"/>
      <c r="Q97" s="260"/>
      <c r="R97" s="260"/>
      <c r="S97" s="260"/>
      <c r="T97" s="260"/>
    </row>
    <row r="98" spans="1:20" ht="15" customHeight="1" x14ac:dyDescent="0.25">
      <c r="A98" s="261">
        <v>46287</v>
      </c>
      <c r="B98" s="260" t="s">
        <v>258</v>
      </c>
      <c r="C98" s="260" t="s">
        <v>19</v>
      </c>
      <c r="D98" s="260" t="s">
        <v>20</v>
      </c>
      <c r="E98" s="260">
        <v>30</v>
      </c>
      <c r="F98" s="260">
        <v>6206</v>
      </c>
      <c r="G98" s="262">
        <v>3094</v>
      </c>
      <c r="H98" s="262">
        <v>3089</v>
      </c>
      <c r="I98" s="262">
        <v>5</v>
      </c>
      <c r="J98" s="263">
        <f t="shared" si="2"/>
        <v>1.6160310277957336E-3</v>
      </c>
      <c r="K98" s="260"/>
      <c r="L98" s="260"/>
      <c r="M98" s="260"/>
      <c r="N98" s="260"/>
      <c r="O98" s="260"/>
      <c r="P98" s="260"/>
      <c r="Q98" s="260"/>
      <c r="R98" s="260"/>
      <c r="S98" s="260"/>
      <c r="T98" s="260"/>
    </row>
    <row r="99" spans="1:20" ht="15" customHeight="1" x14ac:dyDescent="0.25">
      <c r="A99" s="261">
        <v>46287</v>
      </c>
      <c r="B99" s="260" t="s">
        <v>258</v>
      </c>
      <c r="C99" s="260" t="s">
        <v>21</v>
      </c>
      <c r="D99" s="260" t="s">
        <v>22</v>
      </c>
      <c r="E99" s="260">
        <v>32</v>
      </c>
      <c r="F99" s="260">
        <v>6515</v>
      </c>
      <c r="G99" s="262">
        <v>20176</v>
      </c>
      <c r="H99" s="262">
        <v>20161</v>
      </c>
      <c r="I99" s="262">
        <v>15</v>
      </c>
      <c r="J99" s="263">
        <f t="shared" ref="J99:J130" si="3">IFERROR(I99/(H99+I99),"")</f>
        <v>7.4345757335448053E-4</v>
      </c>
      <c r="K99" s="260"/>
      <c r="L99" s="260"/>
      <c r="M99" s="260"/>
      <c r="N99" s="260"/>
      <c r="O99" s="260"/>
      <c r="P99" s="260"/>
      <c r="Q99" s="260"/>
      <c r="R99" s="260"/>
      <c r="S99" s="260"/>
      <c r="T99" s="260"/>
    </row>
    <row r="100" spans="1:20" ht="15" customHeight="1" x14ac:dyDescent="0.25">
      <c r="A100" s="261">
        <v>46287</v>
      </c>
      <c r="B100" s="260" t="s">
        <v>259</v>
      </c>
      <c r="C100" s="260" t="s">
        <v>13</v>
      </c>
      <c r="D100" s="260" t="s">
        <v>147</v>
      </c>
      <c r="E100" s="260" t="s">
        <v>146</v>
      </c>
      <c r="F100" s="260">
        <v>8006</v>
      </c>
      <c r="G100" s="262">
        <v>9000</v>
      </c>
      <c r="H100" s="262">
        <v>6120</v>
      </c>
      <c r="I100" s="262">
        <v>2880</v>
      </c>
      <c r="J100" s="263">
        <f t="shared" si="3"/>
        <v>0.32</v>
      </c>
      <c r="K100" s="260"/>
      <c r="L100" s="260"/>
      <c r="M100" s="260"/>
      <c r="N100" s="260"/>
      <c r="O100" s="260">
        <v>650</v>
      </c>
      <c r="P100" s="260"/>
      <c r="Q100" s="260"/>
      <c r="R100" s="260"/>
      <c r="S100" s="260"/>
      <c r="T100" s="260"/>
    </row>
    <row r="101" spans="1:20" ht="15" customHeight="1" x14ac:dyDescent="0.25">
      <c r="A101" s="261">
        <v>46287</v>
      </c>
      <c r="B101" s="260" t="s">
        <v>259</v>
      </c>
      <c r="C101" s="260" t="s">
        <v>13</v>
      </c>
      <c r="D101" s="260" t="s">
        <v>139</v>
      </c>
      <c r="E101" s="260" t="s">
        <v>138</v>
      </c>
      <c r="F101" s="260">
        <v>8005</v>
      </c>
      <c r="G101" s="262">
        <v>4530</v>
      </c>
      <c r="H101" s="262">
        <v>3960</v>
      </c>
      <c r="I101" s="262">
        <v>570</v>
      </c>
      <c r="J101" s="263">
        <f t="shared" si="3"/>
        <v>0.12582781456953643</v>
      </c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</row>
    <row r="102" spans="1:20" ht="15" customHeight="1" x14ac:dyDescent="0.25">
      <c r="A102" s="261">
        <v>46287</v>
      </c>
      <c r="B102" s="260" t="s">
        <v>260</v>
      </c>
      <c r="C102" s="260" t="s">
        <v>19</v>
      </c>
      <c r="D102" s="260" t="s">
        <v>20</v>
      </c>
      <c r="E102" s="260">
        <v>30</v>
      </c>
      <c r="F102" s="260">
        <v>6206</v>
      </c>
      <c r="G102" s="262">
        <v>24000</v>
      </c>
      <c r="H102" s="262">
        <v>23850</v>
      </c>
      <c r="I102" s="262">
        <v>150</v>
      </c>
      <c r="J102" s="263">
        <f t="shared" si="3"/>
        <v>6.2500000000000003E-3</v>
      </c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</row>
    <row r="103" spans="1:20" ht="15" customHeight="1" x14ac:dyDescent="0.25">
      <c r="A103" s="261">
        <v>46287</v>
      </c>
      <c r="B103" s="260" t="s">
        <v>261</v>
      </c>
      <c r="C103" s="260" t="s">
        <v>19</v>
      </c>
      <c r="D103" s="260" t="s">
        <v>20</v>
      </c>
      <c r="E103" s="260">
        <v>30</v>
      </c>
      <c r="F103" s="260">
        <v>6206</v>
      </c>
      <c r="G103" s="262">
        <v>5185</v>
      </c>
      <c r="H103" s="262">
        <v>4990</v>
      </c>
      <c r="I103" s="262">
        <v>195</v>
      </c>
      <c r="J103" s="263">
        <f t="shared" si="3"/>
        <v>3.7608486017357765E-2</v>
      </c>
      <c r="K103" s="260"/>
      <c r="L103" s="260"/>
      <c r="M103" s="260">
        <v>360</v>
      </c>
      <c r="N103" s="260"/>
      <c r="O103" s="260"/>
      <c r="P103" s="260"/>
      <c r="Q103" s="260"/>
      <c r="R103" s="260"/>
      <c r="S103" s="260"/>
      <c r="T103" s="260"/>
    </row>
    <row r="104" spans="1:20" ht="15" customHeight="1" x14ac:dyDescent="0.25">
      <c r="A104" s="261">
        <v>46288</v>
      </c>
      <c r="B104" s="260" t="s">
        <v>257</v>
      </c>
      <c r="C104" s="260" t="s">
        <v>19</v>
      </c>
      <c r="D104" s="260" t="s">
        <v>20</v>
      </c>
      <c r="E104" s="260">
        <v>30</v>
      </c>
      <c r="F104" s="260">
        <v>6206</v>
      </c>
      <c r="G104" s="262">
        <v>28000</v>
      </c>
      <c r="H104" s="262">
        <v>27480</v>
      </c>
      <c r="I104" s="262">
        <v>520</v>
      </c>
      <c r="J104" s="263">
        <f t="shared" si="3"/>
        <v>1.8571428571428572E-2</v>
      </c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</row>
    <row r="105" spans="1:20" ht="15" customHeight="1" x14ac:dyDescent="0.25">
      <c r="A105" s="261">
        <v>46288</v>
      </c>
      <c r="B105" s="260" t="s">
        <v>258</v>
      </c>
      <c r="C105" s="260" t="s">
        <v>19</v>
      </c>
      <c r="D105" s="260" t="s">
        <v>20</v>
      </c>
      <c r="E105" s="260">
        <v>30</v>
      </c>
      <c r="F105" s="260">
        <v>6206</v>
      </c>
      <c r="G105" s="262">
        <v>25000</v>
      </c>
      <c r="H105" s="262">
        <v>24980</v>
      </c>
      <c r="I105" s="262">
        <v>20</v>
      </c>
      <c r="J105" s="263">
        <f t="shared" si="3"/>
        <v>8.0000000000000004E-4</v>
      </c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</row>
    <row r="106" spans="1:20" ht="15" customHeight="1" x14ac:dyDescent="0.25">
      <c r="A106" s="261">
        <v>46288</v>
      </c>
      <c r="B106" s="260" t="s">
        <v>259</v>
      </c>
      <c r="C106" s="260" t="s">
        <v>13</v>
      </c>
      <c r="D106" s="260" t="s">
        <v>147</v>
      </c>
      <c r="E106" s="260" t="s">
        <v>146</v>
      </c>
      <c r="F106" s="260">
        <v>8006</v>
      </c>
      <c r="G106" s="262">
        <v>5840</v>
      </c>
      <c r="H106" s="262">
        <v>3600</v>
      </c>
      <c r="I106" s="262">
        <v>2240</v>
      </c>
      <c r="J106" s="263">
        <f t="shared" si="3"/>
        <v>0.38356164383561642</v>
      </c>
      <c r="K106" s="260"/>
      <c r="L106" s="260"/>
      <c r="M106" s="260"/>
      <c r="N106" s="260"/>
      <c r="O106" s="260">
        <v>480</v>
      </c>
      <c r="P106" s="260"/>
      <c r="Q106" s="260"/>
      <c r="R106" s="260"/>
      <c r="S106" s="260">
        <v>240</v>
      </c>
      <c r="T106" s="260"/>
    </row>
    <row r="107" spans="1:20" ht="15" customHeight="1" x14ac:dyDescent="0.25">
      <c r="A107" s="261">
        <v>46288</v>
      </c>
      <c r="B107" s="260" t="s">
        <v>260</v>
      </c>
      <c r="C107" s="260" t="s">
        <v>19</v>
      </c>
      <c r="D107" s="260" t="s">
        <v>20</v>
      </c>
      <c r="E107" s="260">
        <v>30</v>
      </c>
      <c r="F107" s="260">
        <v>6206</v>
      </c>
      <c r="G107" s="262">
        <v>21000</v>
      </c>
      <c r="H107" s="262">
        <v>20870</v>
      </c>
      <c r="I107" s="262">
        <v>130</v>
      </c>
      <c r="J107" s="263">
        <f t="shared" si="3"/>
        <v>6.1904761904761907E-3</v>
      </c>
      <c r="K107" s="260">
        <v>60</v>
      </c>
      <c r="L107" s="260"/>
      <c r="M107" s="260"/>
      <c r="N107" s="260"/>
      <c r="O107" s="260"/>
      <c r="P107" s="260"/>
      <c r="Q107" s="260"/>
      <c r="R107" s="260"/>
      <c r="S107" s="260"/>
      <c r="T107" s="260"/>
    </row>
    <row r="108" spans="1:20" ht="15" customHeight="1" x14ac:dyDescent="0.25">
      <c r="A108" s="261">
        <v>46288</v>
      </c>
      <c r="B108" s="260" t="s">
        <v>261</v>
      </c>
      <c r="C108" s="260" t="s">
        <v>19</v>
      </c>
      <c r="D108" s="260" t="s">
        <v>20</v>
      </c>
      <c r="E108" s="260">
        <v>30</v>
      </c>
      <c r="F108" s="260">
        <v>6206</v>
      </c>
      <c r="G108" s="262">
        <v>28734</v>
      </c>
      <c r="H108" s="262">
        <v>28084</v>
      </c>
      <c r="I108" s="262">
        <v>650</v>
      </c>
      <c r="J108" s="263">
        <f t="shared" si="3"/>
        <v>2.2621284888981696E-2</v>
      </c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</row>
    <row r="109" spans="1:20" ht="15" customHeight="1" x14ac:dyDescent="0.25"/>
    <row r="110" spans="1:20" ht="15" customHeight="1" x14ac:dyDescent="0.25"/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5" t="s">
        <v>266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6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188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189</v>
      </c>
      <c r="D4" s="197" t="s">
        <v>190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189</v>
      </c>
      <c r="D5" s="201" t="s">
        <v>190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189</v>
      </c>
      <c r="D6" s="201" t="s">
        <v>190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189</v>
      </c>
      <c r="D7" s="201" t="s">
        <v>190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189</v>
      </c>
      <c r="D8" s="201" t="s">
        <v>190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189</v>
      </c>
      <c r="D9" s="201" t="s">
        <v>190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189</v>
      </c>
      <c r="D10" s="201" t="s">
        <v>190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189</v>
      </c>
      <c r="D11" s="201" t="s">
        <v>190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189</v>
      </c>
      <c r="D12" s="201" t="s">
        <v>190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189</v>
      </c>
      <c r="D13" s="197" t="s">
        <v>194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189</v>
      </c>
      <c r="D14" s="201" t="s">
        <v>194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189</v>
      </c>
      <c r="D15" s="201" t="s">
        <v>194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189</v>
      </c>
      <c r="D16" s="201" t="s">
        <v>194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189</v>
      </c>
      <c r="D17" s="201" t="s">
        <v>194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189</v>
      </c>
      <c r="D18" s="201" t="s">
        <v>194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189</v>
      </c>
      <c r="D19" s="201" t="s">
        <v>194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189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189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189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189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189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189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189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189</v>
      </c>
      <c r="D27" s="197" t="s">
        <v>193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189</v>
      </c>
      <c r="D28" s="201" t="s">
        <v>193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189</v>
      </c>
      <c r="D29" s="201" t="s">
        <v>193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189</v>
      </c>
      <c r="D30" s="201" t="s">
        <v>193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189</v>
      </c>
      <c r="D31" s="201" t="s">
        <v>193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189</v>
      </c>
      <c r="D32" s="201" t="s">
        <v>193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189</v>
      </c>
      <c r="D33" s="201" t="s">
        <v>193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192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192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192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192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192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192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192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191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191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191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191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191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191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191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195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195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195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195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195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195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195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197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197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197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197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197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197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197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199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199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199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199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199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199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199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200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200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200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200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200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200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200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198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198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198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198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198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198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198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196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196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196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196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196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196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196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207</v>
      </c>
      <c r="D97" s="197" t="s">
        <v>208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207</v>
      </c>
      <c r="D98" s="201" t="s">
        <v>208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207</v>
      </c>
      <c r="D99" s="201" t="s">
        <v>208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207</v>
      </c>
      <c r="D100" s="201" t="s">
        <v>208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207</v>
      </c>
      <c r="D101" s="201" t="s">
        <v>208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207</v>
      </c>
      <c r="D102" s="201" t="s">
        <v>208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207</v>
      </c>
      <c r="D103" s="201" t="s">
        <v>208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209</v>
      </c>
      <c r="D112" s="197" t="s">
        <v>210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209</v>
      </c>
      <c r="D113" s="201" t="s">
        <v>210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209</v>
      </c>
      <c r="D114" s="201" t="s">
        <v>210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209</v>
      </c>
      <c r="D115" s="201" t="s">
        <v>210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209</v>
      </c>
      <c r="D116" s="201" t="s">
        <v>210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209</v>
      </c>
      <c r="D117" s="201" t="s">
        <v>210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209</v>
      </c>
      <c r="D118" s="201" t="s">
        <v>210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202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202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202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202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202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202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202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201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201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201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201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201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201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201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204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204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204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204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204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204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204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203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203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203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203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203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203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203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205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205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205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205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205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205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205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216</v>
      </c>
      <c r="D163" s="197" t="s">
        <v>218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216</v>
      </c>
      <c r="D164" s="201" t="s">
        <v>218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216</v>
      </c>
      <c r="D165" s="201" t="s">
        <v>218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216</v>
      </c>
      <c r="D166" s="201" t="s">
        <v>218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216</v>
      </c>
      <c r="D167" s="201" t="s">
        <v>218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216</v>
      </c>
      <c r="D168" s="201" t="s">
        <v>218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216</v>
      </c>
      <c r="D169" s="201" t="s">
        <v>218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216</v>
      </c>
      <c r="D170" s="201" t="s">
        <v>218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216</v>
      </c>
      <c r="D171" s="197" t="s">
        <v>217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216</v>
      </c>
      <c r="D172" s="201" t="s">
        <v>217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216</v>
      </c>
      <c r="D173" s="201" t="s">
        <v>217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216</v>
      </c>
      <c r="D174" s="201" t="s">
        <v>217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216</v>
      </c>
      <c r="D175" s="201" t="s">
        <v>217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216</v>
      </c>
      <c r="D176" s="201" t="s">
        <v>217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216</v>
      </c>
      <c r="D177" s="201" t="s">
        <v>217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216</v>
      </c>
      <c r="D178" s="201" t="s">
        <v>217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221</v>
      </c>
      <c r="D195" s="197" t="s">
        <v>222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221</v>
      </c>
      <c r="D196" s="201" t="s">
        <v>222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221</v>
      </c>
      <c r="D197" s="201" t="s">
        <v>222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221</v>
      </c>
      <c r="D198" s="201" t="s">
        <v>222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221</v>
      </c>
      <c r="D199" s="201" t="s">
        <v>222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221</v>
      </c>
      <c r="D200" s="201" t="s">
        <v>222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221</v>
      </c>
      <c r="D201" s="201" t="s">
        <v>222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221</v>
      </c>
      <c r="D202" s="201" t="s">
        <v>222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221</v>
      </c>
      <c r="D203" s="201" t="s">
        <v>222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220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220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220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220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220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220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213</v>
      </c>
      <c r="D210" s="197" t="s">
        <v>214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213</v>
      </c>
      <c r="D211" s="201" t="s">
        <v>214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213</v>
      </c>
      <c r="D212" s="201" t="s">
        <v>214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213</v>
      </c>
      <c r="D213" s="201" t="s">
        <v>214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213</v>
      </c>
      <c r="D214" s="201" t="s">
        <v>214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213</v>
      </c>
      <c r="D215" s="201" t="s">
        <v>214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213</v>
      </c>
      <c r="D216" s="201" t="s">
        <v>214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213</v>
      </c>
      <c r="D217" s="201" t="s">
        <v>214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213</v>
      </c>
      <c r="D218" s="197" t="s">
        <v>215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213</v>
      </c>
      <c r="D219" s="201" t="s">
        <v>215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213</v>
      </c>
      <c r="D220" s="201" t="s">
        <v>215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213</v>
      </c>
      <c r="D221" s="201" t="s">
        <v>215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213</v>
      </c>
      <c r="D222" s="201" t="s">
        <v>215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213</v>
      </c>
      <c r="D223" s="201" t="s">
        <v>215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211</v>
      </c>
      <c r="D224" s="197" t="s">
        <v>212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211</v>
      </c>
      <c r="D225" s="201" t="s">
        <v>212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211</v>
      </c>
      <c r="D226" s="201" t="s">
        <v>212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211</v>
      </c>
      <c r="D227" s="201" t="s">
        <v>212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211</v>
      </c>
      <c r="D228" s="201" t="s">
        <v>212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211</v>
      </c>
      <c r="D229" s="201" t="s">
        <v>212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211</v>
      </c>
      <c r="D230" s="201" t="s">
        <v>212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211</v>
      </c>
      <c r="D231" s="201" t="s">
        <v>212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185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185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185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185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185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186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186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186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186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186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35"/>
      <c r="B347" s="135"/>
      <c r="C347" s="135"/>
      <c r="D347" s="136"/>
      <c r="E347" s="135"/>
      <c r="F347" s="135"/>
      <c r="G347" s="135"/>
      <c r="H347" s="135"/>
      <c r="I347" s="137"/>
      <c r="J347" s="138"/>
      <c r="K347" s="139"/>
      <c r="L347" s="139"/>
      <c r="M347" s="141"/>
    </row>
    <row r="348" spans="1:17" ht="20.100000000000001" customHeight="1" x14ac:dyDescent="0.25">
      <c r="A348" s="135"/>
      <c r="B348" s="135"/>
      <c r="C348" s="135"/>
      <c r="D348" s="136"/>
      <c r="E348" s="135"/>
      <c r="F348" s="135"/>
      <c r="G348" s="135"/>
      <c r="H348" s="135"/>
      <c r="I348" s="137"/>
      <c r="J348" s="138"/>
      <c r="K348" s="139"/>
      <c r="L348" s="139"/>
      <c r="M348" s="141"/>
    </row>
    <row r="349" spans="1:17" ht="20.100000000000001" customHeight="1" x14ac:dyDescent="0.25">
      <c r="A349" s="135"/>
      <c r="B349" s="135"/>
      <c r="C349" s="135"/>
      <c r="D349" s="136"/>
      <c r="E349" s="135"/>
      <c r="F349" s="135"/>
      <c r="G349" s="135"/>
      <c r="H349" s="135"/>
      <c r="I349" s="137"/>
      <c r="J349" s="138"/>
      <c r="K349" s="139"/>
      <c r="L349" s="139"/>
      <c r="M349" s="141"/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7" t="s">
        <v>314</v>
      </c>
      <c r="B1" s="334"/>
      <c r="C1" s="334"/>
      <c r="D1" s="334"/>
      <c r="E1" s="334"/>
      <c r="F1" s="334"/>
      <c r="G1" s="334"/>
      <c r="H1" s="334"/>
      <c r="I1" s="45" t="s">
        <v>1</v>
      </c>
      <c r="J1" s="180">
        <f ca="1">TODAY()</f>
        <v>46302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315</v>
      </c>
      <c r="D2" s="12" t="s">
        <v>28</v>
      </c>
      <c r="E2" s="15" t="s">
        <v>316</v>
      </c>
      <c r="F2" s="15" t="s">
        <v>317</v>
      </c>
      <c r="G2" s="15" t="s">
        <v>318</v>
      </c>
      <c r="H2" s="15" t="s">
        <v>319</v>
      </c>
      <c r="I2" s="15" t="s">
        <v>320</v>
      </c>
      <c r="J2" s="125" t="s">
        <v>321</v>
      </c>
      <c r="K2" s="163" t="s">
        <v>322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323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1775</v>
      </c>
      <c r="G9" s="258">
        <v>525</v>
      </c>
      <c r="H9" s="259">
        <f t="shared" si="0"/>
        <v>1250</v>
      </c>
      <c r="I9" s="258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168125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0</v>
      </c>
      <c r="G10" s="27">
        <v>330</v>
      </c>
      <c r="H10" s="28">
        <f t="shared" si="0"/>
        <v>95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8745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46302</v>
      </c>
    </row>
    <row r="14" spans="1:11" ht="15" hidden="1" customHeight="1" x14ac:dyDescent="0.25">
      <c r="A14" s="12" t="s">
        <v>25</v>
      </c>
      <c r="B14" s="12" t="s">
        <v>26</v>
      </c>
      <c r="C14" s="12" t="s">
        <v>315</v>
      </c>
      <c r="D14" s="12" t="s">
        <v>28</v>
      </c>
      <c r="E14" s="12" t="s">
        <v>316</v>
      </c>
      <c r="F14" s="12" t="s">
        <v>317</v>
      </c>
      <c r="G14" s="12" t="s">
        <v>318</v>
      </c>
      <c r="H14" s="12" t="s">
        <v>319</v>
      </c>
      <c r="I14" s="12" t="s">
        <v>325</v>
      </c>
      <c r="J14" s="127" t="s">
        <v>326</v>
      </c>
    </row>
    <row r="15" spans="1:11" ht="15" customHeight="1" x14ac:dyDescent="0.25">
      <c r="A15" s="164">
        <v>184</v>
      </c>
      <c r="B15" s="164" t="s">
        <v>281</v>
      </c>
      <c r="C15" s="165" t="s">
        <v>327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328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329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330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328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331</v>
      </c>
      <c r="D19" s="115" t="s">
        <v>36</v>
      </c>
      <c r="E19" s="117">
        <v>50</v>
      </c>
      <c r="F19" s="117">
        <v>300</v>
      </c>
      <c r="G19" s="117">
        <v>200</v>
      </c>
      <c r="H19" s="118">
        <f t="shared" si="1"/>
        <v>150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328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240</v>
      </c>
      <c r="H23" s="118">
        <f t="shared" si="1"/>
        <v>150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276441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328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30</v>
      </c>
      <c r="H31" s="118">
        <f t="shared" si="1"/>
        <v>480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1305439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7</v>
      </c>
      <c r="H32" s="118">
        <f t="shared" si="1"/>
        <v>25.5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3764743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332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328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332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332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332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0</v>
      </c>
      <c r="H36" s="118">
        <f t="shared" si="1"/>
        <v>83600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83600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332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0</v>
      </c>
      <c r="H37" s="118">
        <f t="shared" si="1"/>
        <v>100000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100000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332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332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328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332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332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332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328</v>
      </c>
    </row>
    <row r="43" spans="1:16" ht="15" customHeight="1" x14ac:dyDescent="0.25">
      <c r="A43" s="115">
        <v>4088</v>
      </c>
      <c r="B43" s="115" t="s">
        <v>332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0</v>
      </c>
      <c r="H43" s="118">
        <f t="shared" si="1"/>
        <v>60000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60000</v>
      </c>
    </row>
    <row r="44" spans="1:16" ht="15" hidden="1" customHeight="1" x14ac:dyDescent="0.25">
      <c r="A44" s="115">
        <v>4143</v>
      </c>
      <c r="B44" s="115" t="s">
        <v>332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332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328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332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332</v>
      </c>
      <c r="C47" s="116" t="s">
        <v>87</v>
      </c>
      <c r="D47" s="115" t="s">
        <v>73</v>
      </c>
      <c r="E47" s="117">
        <v>120000</v>
      </c>
      <c r="F47" s="117">
        <v>200000</v>
      </c>
      <c r="G47" s="117">
        <v>297776</v>
      </c>
      <c r="H47" s="118">
        <f t="shared" ref="H47:H78" si="2">E47+F47-G47</f>
        <v>22224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22224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332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0</v>
      </c>
      <c r="H48" s="118">
        <f t="shared" si="2"/>
        <v>30000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30000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332</v>
      </c>
      <c r="C49" s="116" t="s">
        <v>89</v>
      </c>
      <c r="D49" s="115" t="s">
        <v>73</v>
      </c>
      <c r="E49" s="117">
        <v>120000</v>
      </c>
      <c r="F49" s="117">
        <v>0</v>
      </c>
      <c r="G49" s="117">
        <v>25000</v>
      </c>
      <c r="H49" s="118">
        <f t="shared" si="2"/>
        <v>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332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332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332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328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332</v>
      </c>
      <c r="C53" s="122" t="s">
        <v>93</v>
      </c>
      <c r="D53" s="121" t="s">
        <v>73</v>
      </c>
      <c r="E53" s="123">
        <v>5000</v>
      </c>
      <c r="F53" s="123">
        <v>30000</v>
      </c>
      <c r="G53" s="123">
        <v>25754</v>
      </c>
      <c r="H53" s="124">
        <f t="shared" si="2"/>
        <v>9246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9246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328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328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328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690</v>
      </c>
      <c r="G58" s="117">
        <v>1246</v>
      </c>
      <c r="H58" s="118">
        <f t="shared" si="2"/>
        <v>540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161043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316">
        <v>3621</v>
      </c>
      <c r="B62" s="316" t="s">
        <v>149</v>
      </c>
      <c r="C62" s="317" t="s">
        <v>313</v>
      </c>
      <c r="D62" s="316" t="s">
        <v>73</v>
      </c>
      <c r="E62" s="318">
        <v>0</v>
      </c>
      <c r="F62" s="318">
        <v>0</v>
      </c>
      <c r="G62" s="318">
        <v>0</v>
      </c>
      <c r="H62" s="319">
        <f t="shared" si="2"/>
        <v>0</v>
      </c>
      <c r="I62" s="318"/>
      <c r="J62" s="177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320"/>
    </row>
    <row r="63" spans="1:16" ht="15" customHeight="1" x14ac:dyDescent="0.25">
      <c r="A63" s="115">
        <v>3635</v>
      </c>
      <c r="B63" s="115" t="s">
        <v>290</v>
      </c>
      <c r="C63" s="116" t="s">
        <v>109</v>
      </c>
      <c r="D63" s="115" t="s">
        <v>73</v>
      </c>
      <c r="E63" s="117">
        <v>381</v>
      </c>
      <c r="F63" s="117">
        <v>0</v>
      </c>
      <c r="G63" s="117">
        <v>81</v>
      </c>
      <c r="H63" s="118">
        <f t="shared" si="2"/>
        <v>300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878542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282</v>
      </c>
      <c r="C64" s="116" t="s">
        <v>111</v>
      </c>
      <c r="D64" s="115" t="s">
        <v>53</v>
      </c>
      <c r="E64" s="117">
        <v>200</v>
      </c>
      <c r="F64" s="117">
        <v>0</v>
      </c>
      <c r="G64" s="117">
        <v>100</v>
      </c>
      <c r="H64" s="118">
        <f t="shared" si="2"/>
        <v>100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1666667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282</v>
      </c>
      <c r="C65" s="116" t="s">
        <v>333</v>
      </c>
      <c r="D65" s="115" t="s">
        <v>53</v>
      </c>
      <c r="E65" s="117">
        <v>75</v>
      </c>
      <c r="F65" s="117">
        <v>100</v>
      </c>
      <c r="G65" s="117">
        <v>100</v>
      </c>
      <c r="H65" s="118">
        <f t="shared" si="2"/>
        <v>75</v>
      </c>
      <c r="I65" s="117">
        <v>0</v>
      </c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1250000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293</v>
      </c>
      <c r="C66" s="116" t="s">
        <v>334</v>
      </c>
      <c r="D66" s="115" t="s">
        <v>36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293</v>
      </c>
      <c r="C67" s="116" t="s">
        <v>335</v>
      </c>
      <c r="D67" s="115" t="s">
        <v>36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293</v>
      </c>
      <c r="C68" s="116" t="s">
        <v>336</v>
      </c>
      <c r="D68" s="115" t="s">
        <v>36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4">
        <v>124</v>
      </c>
      <c r="B69" s="164" t="s">
        <v>293</v>
      </c>
      <c r="C69" s="165" t="s">
        <v>337</v>
      </c>
      <c r="D69" s="164" t="s">
        <v>36</v>
      </c>
      <c r="E69" s="166">
        <v>0</v>
      </c>
      <c r="F69" s="166">
        <v>0</v>
      </c>
      <c r="G69" s="166">
        <v>0</v>
      </c>
      <c r="H69" s="167">
        <f t="shared" si="2"/>
        <v>0</v>
      </c>
      <c r="I69" s="166"/>
      <c r="J69" s="176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70" t="s">
        <v>328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293</v>
      </c>
      <c r="C70" s="116" t="s">
        <v>338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293</v>
      </c>
      <c r="C71" s="116" t="s">
        <v>339</v>
      </c>
      <c r="D71" s="115" t="s">
        <v>36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293</v>
      </c>
      <c r="C72" s="116" t="s">
        <v>340</v>
      </c>
      <c r="D72" s="115" t="s">
        <v>36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7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206">
        <v>1928</v>
      </c>
      <c r="B73" s="206" t="s">
        <v>293</v>
      </c>
      <c r="C73" s="207" t="s">
        <v>341</v>
      </c>
      <c r="D73" s="206" t="s">
        <v>36</v>
      </c>
      <c r="E73" s="208">
        <v>0</v>
      </c>
      <c r="F73" s="208">
        <v>1</v>
      </c>
      <c r="G73" s="208">
        <v>1</v>
      </c>
      <c r="H73" s="209">
        <f t="shared" si="2"/>
        <v>0</v>
      </c>
      <c r="I73" s="208"/>
      <c r="J73" s="210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/>
      <c r="L73" s="120"/>
      <c r="M73" s="120"/>
      <c r="N73" s="120"/>
      <c r="O73" s="120"/>
      <c r="P73" s="120"/>
    </row>
    <row r="74" spans="1:16" ht="15" customHeight="1" x14ac:dyDescent="0.25">
      <c r="A74" s="164">
        <v>2284</v>
      </c>
      <c r="B74" s="164" t="s">
        <v>293</v>
      </c>
      <c r="C74" s="165" t="s">
        <v>342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9" t="s">
        <v>328</v>
      </c>
      <c r="L74" s="119"/>
      <c r="M74" s="119"/>
      <c r="N74" s="119"/>
      <c r="O74" s="119"/>
      <c r="P74" s="119"/>
    </row>
    <row r="75" spans="1:16" ht="15" customHeight="1" x14ac:dyDescent="0.25">
      <c r="A75" s="164">
        <v>3642</v>
      </c>
      <c r="B75" s="164" t="s">
        <v>293</v>
      </c>
      <c r="C75" s="165" t="s">
        <v>343</v>
      </c>
      <c r="D75" s="164" t="s">
        <v>36</v>
      </c>
      <c r="E75" s="166">
        <v>0</v>
      </c>
      <c r="F75" s="166">
        <v>0</v>
      </c>
      <c r="G75" s="166">
        <v>0</v>
      </c>
      <c r="H75" s="167">
        <f t="shared" si="2"/>
        <v>0</v>
      </c>
      <c r="I75" s="166"/>
      <c r="J75" s="176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70" t="s">
        <v>328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293</v>
      </c>
      <c r="C76" s="116" t="s">
        <v>344</v>
      </c>
      <c r="D76" s="115" t="s">
        <v>36</v>
      </c>
      <c r="E76" s="117">
        <v>1</v>
      </c>
      <c r="F76" s="117">
        <v>0</v>
      </c>
      <c r="G76" s="117">
        <v>0</v>
      </c>
      <c r="H76" s="118">
        <f t="shared" si="2"/>
        <v>1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11211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293</v>
      </c>
      <c r="C77" s="116" t="s">
        <v>345</v>
      </c>
      <c r="D77" s="115" t="s">
        <v>36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293</v>
      </c>
      <c r="C78" s="116" t="s">
        <v>296</v>
      </c>
      <c r="D78" s="115" t="s">
        <v>36</v>
      </c>
      <c r="E78" s="117">
        <v>3</v>
      </c>
      <c r="F78" s="117">
        <v>3</v>
      </c>
      <c r="G78" s="117">
        <v>3</v>
      </c>
      <c r="H78" s="118">
        <f t="shared" si="2"/>
        <v>3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4">
        <v>3755</v>
      </c>
      <c r="B79" s="164" t="s">
        <v>293</v>
      </c>
      <c r="C79" s="165" t="s">
        <v>346</v>
      </c>
      <c r="D79" s="164" t="s">
        <v>36</v>
      </c>
      <c r="E79" s="166">
        <v>0</v>
      </c>
      <c r="F79" s="166">
        <v>0</v>
      </c>
      <c r="G79" s="166">
        <v>0</v>
      </c>
      <c r="H79" s="167">
        <f t="shared" ref="H79:H110" si="3">E79+F79-G79</f>
        <v>0</v>
      </c>
      <c r="I79" s="166"/>
      <c r="J79" s="176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9" t="s">
        <v>328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293</v>
      </c>
      <c r="C80" s="116" t="s">
        <v>347</v>
      </c>
      <c r="D80" s="115" t="s">
        <v>36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7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206">
        <v>3857</v>
      </c>
      <c r="B81" s="206" t="s">
        <v>293</v>
      </c>
      <c r="C81" s="207" t="s">
        <v>292</v>
      </c>
      <c r="D81" s="206" t="s">
        <v>36</v>
      </c>
      <c r="E81" s="208">
        <v>0</v>
      </c>
      <c r="F81" s="208">
        <v>3</v>
      </c>
      <c r="G81" s="208">
        <v>2</v>
      </c>
      <c r="H81" s="209">
        <f t="shared" si="3"/>
        <v>1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71"/>
    </row>
    <row r="82" spans="1:11" ht="15" customHeight="1" x14ac:dyDescent="0.25">
      <c r="A82" s="206">
        <v>3858</v>
      </c>
      <c r="B82" s="206" t="s">
        <v>293</v>
      </c>
      <c r="C82" s="207" t="s">
        <v>348</v>
      </c>
      <c r="D82" s="206" t="s">
        <v>36</v>
      </c>
      <c r="E82" s="208">
        <v>0</v>
      </c>
      <c r="F82" s="208">
        <v>8</v>
      </c>
      <c r="G82" s="208">
        <v>7</v>
      </c>
      <c r="H82" s="209">
        <f t="shared" si="3"/>
        <v>1</v>
      </c>
      <c r="I82" s="208"/>
      <c r="J82" s="210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71"/>
    </row>
    <row r="83" spans="1:11" ht="15" customHeight="1" x14ac:dyDescent="0.25">
      <c r="A83" s="115">
        <v>3955</v>
      </c>
      <c r="B83" s="115" t="s">
        <v>293</v>
      </c>
      <c r="C83" s="116" t="s">
        <v>297</v>
      </c>
      <c r="D83" s="115" t="s">
        <v>36</v>
      </c>
      <c r="E83" s="117">
        <v>1</v>
      </c>
      <c r="F83" s="117">
        <v>2</v>
      </c>
      <c r="G83" s="117">
        <v>2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293</v>
      </c>
      <c r="C84" s="116" t="s">
        <v>349</v>
      </c>
      <c r="D84" s="115" t="s">
        <v>36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293</v>
      </c>
      <c r="C85" s="116" t="s">
        <v>350</v>
      </c>
      <c r="D85" s="115" t="s">
        <v>36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293</v>
      </c>
      <c r="C86" s="116" t="s">
        <v>351</v>
      </c>
      <c r="D86" s="115" t="s">
        <v>36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293</v>
      </c>
      <c r="C87" s="116" t="s">
        <v>352</v>
      </c>
      <c r="D87" s="115" t="s">
        <v>36</v>
      </c>
      <c r="E87" s="117">
        <v>1</v>
      </c>
      <c r="F87" s="117">
        <v>7</v>
      </c>
      <c r="G87" s="117">
        <v>3</v>
      </c>
      <c r="H87" s="118">
        <f t="shared" si="3"/>
        <v>5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56054</v>
      </c>
    </row>
    <row r="88" spans="1:11" ht="15" customHeight="1" x14ac:dyDescent="0.25">
      <c r="A88" s="164">
        <v>6038</v>
      </c>
      <c r="B88" s="164" t="s">
        <v>293</v>
      </c>
      <c r="C88" s="165" t="s">
        <v>353</v>
      </c>
      <c r="D88" s="164" t="s">
        <v>36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328</v>
      </c>
    </row>
    <row r="89" spans="1:11" ht="15" customHeight="1" x14ac:dyDescent="0.25">
      <c r="A89" s="115">
        <v>6040</v>
      </c>
      <c r="B89" s="115" t="s">
        <v>293</v>
      </c>
      <c r="C89" s="116" t="s">
        <v>354</v>
      </c>
      <c r="D89" s="115" t="s">
        <v>36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7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4">
        <v>6935</v>
      </c>
      <c r="B90" s="164" t="s">
        <v>293</v>
      </c>
      <c r="C90" s="165" t="s">
        <v>299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328</v>
      </c>
    </row>
    <row r="91" spans="1:11" ht="15" customHeight="1" x14ac:dyDescent="0.25">
      <c r="A91" s="164">
        <v>7094</v>
      </c>
      <c r="B91" s="164" t="s">
        <v>293</v>
      </c>
      <c r="C91" s="165" t="s">
        <v>355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328</v>
      </c>
    </row>
    <row r="92" spans="1:11" ht="15" customHeight="1" x14ac:dyDescent="0.25">
      <c r="A92" s="164">
        <v>7095</v>
      </c>
      <c r="B92" s="164" t="s">
        <v>293</v>
      </c>
      <c r="C92" s="165" t="s">
        <v>356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8" t="s">
        <v>328</v>
      </c>
    </row>
    <row r="93" spans="1:11" ht="15" customHeight="1" x14ac:dyDescent="0.25">
      <c r="A93" s="164">
        <v>7152</v>
      </c>
      <c r="B93" s="164" t="s">
        <v>293</v>
      </c>
      <c r="C93" s="165" t="s">
        <v>357</v>
      </c>
      <c r="D93" s="164" t="s">
        <v>36</v>
      </c>
      <c r="E93" s="166">
        <v>0</v>
      </c>
      <c r="F93" s="166">
        <v>0</v>
      </c>
      <c r="G93" s="166">
        <v>0</v>
      </c>
      <c r="H93" s="167">
        <f t="shared" si="3"/>
        <v>0</v>
      </c>
      <c r="I93" s="166"/>
      <c r="J93" s="176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71" t="s">
        <v>328</v>
      </c>
    </row>
    <row r="94" spans="1:11" ht="18.75" customHeight="1" x14ac:dyDescent="0.25">
      <c r="A94" s="25">
        <v>7398</v>
      </c>
      <c r="B94" s="25" t="s">
        <v>293</v>
      </c>
      <c r="C94" s="26" t="s">
        <v>358</v>
      </c>
      <c r="D94" s="25" t="s">
        <v>36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5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359</v>
      </c>
      <c r="B96" s="49"/>
      <c r="C96" s="49"/>
      <c r="D96" s="49"/>
      <c r="E96" s="49"/>
      <c r="F96" s="49"/>
      <c r="G96" s="49"/>
      <c r="H96" s="49"/>
      <c r="I96" s="49"/>
      <c r="J96" s="181">
        <f ca="1">TODAY()</f>
        <v>46302</v>
      </c>
    </row>
    <row r="97" spans="1:11" ht="15" customHeight="1" x14ac:dyDescent="0.25">
      <c r="A97" s="12" t="s">
        <v>25</v>
      </c>
      <c r="B97" s="12" t="s">
        <v>26</v>
      </c>
      <c r="C97" s="12" t="s">
        <v>315</v>
      </c>
      <c r="D97" s="12" t="s">
        <v>28</v>
      </c>
      <c r="E97" s="12" t="s">
        <v>316</v>
      </c>
      <c r="F97" s="12" t="s">
        <v>317</v>
      </c>
      <c r="G97" s="12" t="s">
        <v>318</v>
      </c>
      <c r="H97" s="12" t="s">
        <v>319</v>
      </c>
      <c r="I97" s="12" t="s">
        <v>325</v>
      </c>
      <c r="J97" s="127" t="s">
        <v>326</v>
      </c>
    </row>
    <row r="98" spans="1:11" ht="15" customHeight="1" x14ac:dyDescent="0.25">
      <c r="A98" s="25">
        <v>2680</v>
      </c>
      <c r="B98" s="25" t="s">
        <v>306</v>
      </c>
      <c r="C98" s="26" t="s">
        <v>114</v>
      </c>
      <c r="D98" s="25" t="s">
        <v>36</v>
      </c>
      <c r="E98" s="27">
        <v>1775</v>
      </c>
      <c r="F98" s="27">
        <v>7300</v>
      </c>
      <c r="G98" s="27">
        <v>8310</v>
      </c>
      <c r="H98" s="28">
        <f t="shared" ref="H98:H113" si="4">E98+F98-G98</f>
        <v>765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33068</v>
      </c>
    </row>
    <row r="99" spans="1:11" s="132" customFormat="1" ht="15" hidden="1" customHeight="1" x14ac:dyDescent="0.25">
      <c r="A99" s="25">
        <v>3492</v>
      </c>
      <c r="B99" s="25" t="s">
        <v>312</v>
      </c>
      <c r="C99" s="26" t="s">
        <v>116</v>
      </c>
      <c r="D99" s="25" t="s">
        <v>36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312</v>
      </c>
      <c r="C100" s="26" t="s">
        <v>117</v>
      </c>
      <c r="D100" s="25" t="s">
        <v>36</v>
      </c>
      <c r="E100" s="27">
        <v>50</v>
      </c>
      <c r="F100" s="27">
        <v>75</v>
      </c>
      <c r="G100" s="27">
        <v>125</v>
      </c>
      <c r="H100" s="28">
        <f t="shared" si="4"/>
        <v>0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0</v>
      </c>
    </row>
    <row r="101" spans="1:11" ht="15" customHeight="1" x14ac:dyDescent="0.25">
      <c r="A101" s="164">
        <v>4070</v>
      </c>
      <c r="B101" s="164" t="s">
        <v>312</v>
      </c>
      <c r="C101" s="165" t="s">
        <v>360</v>
      </c>
      <c r="D101" s="164" t="s">
        <v>36</v>
      </c>
      <c r="E101" s="166">
        <v>0</v>
      </c>
      <c r="F101" s="166">
        <v>0</v>
      </c>
      <c r="G101" s="166">
        <v>0</v>
      </c>
      <c r="H101" s="167">
        <f t="shared" si="4"/>
        <v>0</v>
      </c>
      <c r="I101" s="166">
        <v>0</v>
      </c>
      <c r="J101" s="176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8" t="s">
        <v>328</v>
      </c>
    </row>
    <row r="102" spans="1:11" s="132" customFormat="1" ht="15" hidden="1" customHeight="1" x14ac:dyDescent="0.25">
      <c r="A102" s="25">
        <v>4310</v>
      </c>
      <c r="B102" s="25" t="s">
        <v>312</v>
      </c>
      <c r="C102" s="26" t="s">
        <v>118</v>
      </c>
      <c r="D102" s="25" t="s">
        <v>36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312</v>
      </c>
      <c r="C103" s="26" t="s">
        <v>119</v>
      </c>
      <c r="D103" s="25" t="s">
        <v>36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4">
        <v>5816</v>
      </c>
      <c r="B104" s="164" t="s">
        <v>312</v>
      </c>
      <c r="C104" s="165" t="s">
        <v>120</v>
      </c>
      <c r="D104" s="164" t="s">
        <v>36</v>
      </c>
      <c r="E104" s="166">
        <v>0</v>
      </c>
      <c r="F104" s="166">
        <v>0</v>
      </c>
      <c r="G104" s="166">
        <v>0</v>
      </c>
      <c r="H104" s="167">
        <f t="shared" si="4"/>
        <v>0</v>
      </c>
      <c r="I104" s="166">
        <v>0</v>
      </c>
      <c r="J104" s="176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8" t="s">
        <v>328</v>
      </c>
    </row>
    <row r="105" spans="1:11" ht="15" customHeight="1" x14ac:dyDescent="0.25">
      <c r="A105" s="25">
        <v>6135</v>
      </c>
      <c r="B105" s="25" t="s">
        <v>312</v>
      </c>
      <c r="C105" s="26" t="s">
        <v>121</v>
      </c>
      <c r="D105" s="25" t="s">
        <v>36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312</v>
      </c>
      <c r="C106" s="26" t="s">
        <v>122</v>
      </c>
      <c r="D106" s="25" t="s">
        <v>36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312</v>
      </c>
      <c r="C107" s="26" t="s">
        <v>123</v>
      </c>
      <c r="D107" s="25" t="s">
        <v>36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150</v>
      </c>
      <c r="C108" s="26" t="s">
        <v>129</v>
      </c>
      <c r="D108" s="25" t="s">
        <v>73</v>
      </c>
      <c r="E108" s="27">
        <v>182</v>
      </c>
      <c r="F108" s="27">
        <v>303</v>
      </c>
      <c r="G108" s="27">
        <v>157</v>
      </c>
      <c r="H108" s="28">
        <f t="shared" si="4"/>
        <v>328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38937</v>
      </c>
    </row>
    <row r="109" spans="1:11" ht="15" customHeight="1" x14ac:dyDescent="0.25">
      <c r="A109" s="25">
        <v>3006</v>
      </c>
      <c r="B109" s="25" t="s">
        <v>150</v>
      </c>
      <c r="C109" s="26" t="s">
        <v>151</v>
      </c>
      <c r="D109" s="25" t="s">
        <v>73</v>
      </c>
      <c r="E109" s="27">
        <v>207</v>
      </c>
      <c r="F109" s="27">
        <v>0</v>
      </c>
      <c r="G109" s="27">
        <v>57</v>
      </c>
      <c r="H109" s="28">
        <f t="shared" si="4"/>
        <v>150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361</v>
      </c>
      <c r="C110" s="26" t="s">
        <v>125</v>
      </c>
      <c r="D110" s="25" t="s">
        <v>36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5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361</v>
      </c>
      <c r="C111" s="26" t="s">
        <v>126</v>
      </c>
      <c r="D111" s="25" t="s">
        <v>36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5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361</v>
      </c>
      <c r="C112" s="26" t="s">
        <v>127</v>
      </c>
      <c r="D112" s="25" t="s">
        <v>36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5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4">
        <v>3043</v>
      </c>
      <c r="B113" s="164" t="s">
        <v>310</v>
      </c>
      <c r="C113" s="165" t="s">
        <v>131</v>
      </c>
      <c r="D113" s="164" t="s">
        <v>132</v>
      </c>
      <c r="E113" s="166">
        <v>0</v>
      </c>
      <c r="F113" s="166">
        <v>0</v>
      </c>
      <c r="G113" s="166">
        <v>0</v>
      </c>
      <c r="H113" s="167">
        <f t="shared" si="4"/>
        <v>0</v>
      </c>
      <c r="I113" s="166"/>
      <c r="J113" s="176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71" t="s">
        <v>328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363</v>
      </c>
      <c r="F2" s="29" t="s">
        <v>364</v>
      </c>
      <c r="G2" s="29" t="s">
        <v>294</v>
      </c>
      <c r="H2" s="29" t="s">
        <v>365</v>
      </c>
      <c r="I2" s="51" t="s">
        <v>366</v>
      </c>
      <c r="J2" s="51" t="s">
        <v>367</v>
      </c>
      <c r="K2" s="51" t="s">
        <v>368</v>
      </c>
      <c r="L2" s="51" t="s">
        <v>369</v>
      </c>
      <c r="M2" s="51" t="s">
        <v>370</v>
      </c>
      <c r="N2" s="51" t="s">
        <v>371</v>
      </c>
      <c r="O2" s="51" t="s">
        <v>372</v>
      </c>
      <c r="P2" s="51" t="s">
        <v>373</v>
      </c>
      <c r="Q2" s="51" t="s">
        <v>374</v>
      </c>
      <c r="R2" s="51" t="s">
        <v>374</v>
      </c>
      <c r="S2" s="51" t="s">
        <v>374</v>
      </c>
    </row>
    <row r="3" spans="1:19" ht="15" hidden="1" customHeight="1" x14ac:dyDescent="0.25">
      <c r="A3" s="39">
        <v>9004</v>
      </c>
      <c r="B3" s="39">
        <v>904</v>
      </c>
      <c r="C3" s="39" t="s">
        <v>187</v>
      </c>
      <c r="D3" s="40" t="s">
        <v>188</v>
      </c>
      <c r="E3" s="39">
        <v>12.5</v>
      </c>
      <c r="F3" s="39">
        <v>0</v>
      </c>
      <c r="G3" s="39" t="s">
        <v>375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189</v>
      </c>
      <c r="D4" s="40" t="s">
        <v>190</v>
      </c>
      <c r="E4" s="39">
        <v>16</v>
      </c>
      <c r="F4" s="39">
        <v>100</v>
      </c>
      <c r="G4" s="39" t="s">
        <v>375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189</v>
      </c>
      <c r="D5" s="40" t="s">
        <v>193</v>
      </c>
      <c r="E5" s="39">
        <v>19</v>
      </c>
      <c r="F5" s="39">
        <v>106</v>
      </c>
      <c r="G5" s="39" t="s">
        <v>375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189</v>
      </c>
      <c r="D6" s="40" t="s">
        <v>285</v>
      </c>
      <c r="E6" s="39">
        <v>19</v>
      </c>
      <c r="F6" s="39">
        <v>106</v>
      </c>
      <c r="G6" s="39" t="s">
        <v>375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189</v>
      </c>
      <c r="D7" s="40" t="s">
        <v>194</v>
      </c>
      <c r="E7" s="39">
        <v>19</v>
      </c>
      <c r="F7" s="39">
        <v>106</v>
      </c>
      <c r="G7" s="39" t="s">
        <v>375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192</v>
      </c>
      <c r="E8" s="39">
        <v>19</v>
      </c>
      <c r="F8" s="39">
        <v>120</v>
      </c>
      <c r="G8" s="39" t="s">
        <v>375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191</v>
      </c>
      <c r="E9" s="39">
        <v>19</v>
      </c>
      <c r="F9" s="39">
        <v>120</v>
      </c>
      <c r="G9" s="39" t="s">
        <v>375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376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197</v>
      </c>
      <c r="E11" s="39">
        <v>20.5</v>
      </c>
      <c r="F11" s="39">
        <v>120</v>
      </c>
      <c r="G11" s="39" t="s">
        <v>375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195</v>
      </c>
      <c r="E12" s="39">
        <v>20.5</v>
      </c>
      <c r="F12" s="39">
        <v>120</v>
      </c>
      <c r="G12" s="39" t="s">
        <v>375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196</v>
      </c>
      <c r="E13" s="39">
        <v>20.5</v>
      </c>
      <c r="F13" s="39">
        <v>120</v>
      </c>
      <c r="G13" s="39" t="s">
        <v>375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198</v>
      </c>
      <c r="E14" s="39">
        <v>20.5</v>
      </c>
      <c r="F14" s="39">
        <v>120</v>
      </c>
      <c r="G14" s="39" t="s">
        <v>375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199</v>
      </c>
      <c r="E15" s="39">
        <v>20.5</v>
      </c>
      <c r="F15" s="39">
        <v>120</v>
      </c>
      <c r="G15" s="39" t="s">
        <v>375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200</v>
      </c>
      <c r="E16" s="39">
        <v>20.5</v>
      </c>
      <c r="F16" s="39">
        <v>120</v>
      </c>
      <c r="G16" s="39" t="s">
        <v>375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376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202</v>
      </c>
      <c r="E18" s="39">
        <v>25</v>
      </c>
      <c r="F18" s="39">
        <v>150</v>
      </c>
      <c r="G18" s="39" t="s">
        <v>375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203</v>
      </c>
      <c r="E19" s="39">
        <v>25</v>
      </c>
      <c r="F19" s="39">
        <v>150</v>
      </c>
      <c r="G19" s="39" t="s">
        <v>375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375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205</v>
      </c>
      <c r="E21" s="39">
        <v>25</v>
      </c>
      <c r="F21" s="39">
        <v>150</v>
      </c>
      <c r="G21" s="39" t="s">
        <v>375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204</v>
      </c>
      <c r="E22" s="39">
        <v>25</v>
      </c>
      <c r="F22" s="39">
        <v>150</v>
      </c>
      <c r="G22" s="39" t="s">
        <v>375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375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376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376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376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376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375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376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375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376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376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376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376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376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376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376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375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375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375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375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185</v>
      </c>
      <c r="E43" s="39" t="s">
        <v>143</v>
      </c>
      <c r="F43" s="39">
        <v>0</v>
      </c>
      <c r="G43" s="39" t="s">
        <v>375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375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375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375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375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375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375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375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375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376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201</v>
      </c>
      <c r="E53" s="39">
        <v>25</v>
      </c>
      <c r="F53" s="39">
        <v>150</v>
      </c>
      <c r="G53" s="39" t="s">
        <v>375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376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186</v>
      </c>
      <c r="D55" s="136" t="s">
        <v>144</v>
      </c>
      <c r="E55" s="135" t="s">
        <v>143</v>
      </c>
      <c r="F55" s="135"/>
      <c r="G55" s="135" t="s">
        <v>375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375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38" t="s">
        <v>377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</row>
    <row r="2" spans="1:11" x14ac:dyDescent="0.25">
      <c r="A2" s="61" t="s">
        <v>378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38" t="s">
        <v>379</v>
      </c>
      <c r="B4" s="339"/>
      <c r="C4" s="339"/>
      <c r="D4" s="339"/>
      <c r="E4" s="339"/>
      <c r="F4" s="339"/>
      <c r="G4" s="339"/>
      <c r="H4" s="339"/>
      <c r="I4" s="339"/>
      <c r="J4" s="339"/>
      <c r="K4" s="339"/>
    </row>
    <row r="5" spans="1:11" ht="18" customHeight="1" x14ac:dyDescent="0.25">
      <c r="A5" s="65" t="s">
        <v>380</v>
      </c>
      <c r="B5" s="65" t="s">
        <v>381</v>
      </c>
      <c r="C5" s="66" t="s">
        <v>3</v>
      </c>
      <c r="D5" s="66" t="s">
        <v>382</v>
      </c>
      <c r="E5" s="66" t="s">
        <v>2</v>
      </c>
      <c r="F5" s="66" t="s">
        <v>383</v>
      </c>
      <c r="G5" s="66" t="s">
        <v>384</v>
      </c>
      <c r="H5" s="66" t="s">
        <v>385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386</v>
      </c>
      <c r="G6" s="63" t="s">
        <v>387</v>
      </c>
      <c r="H6" s="67" t="s">
        <v>388</v>
      </c>
      <c r="I6" s="68" t="s">
        <v>389</v>
      </c>
      <c r="J6" s="63"/>
      <c r="K6" s="63"/>
    </row>
    <row r="7" spans="1:11" ht="132" customHeight="1" x14ac:dyDescent="0.25">
      <c r="A7" s="69">
        <v>6624</v>
      </c>
      <c r="B7" s="69" t="s">
        <v>390</v>
      </c>
      <c r="C7" s="70" t="s">
        <v>391</v>
      </c>
      <c r="D7" s="70" t="s">
        <v>392</v>
      </c>
      <c r="E7" s="70">
        <v>19</v>
      </c>
      <c r="F7" s="70" t="s">
        <v>393</v>
      </c>
      <c r="G7" s="70" t="s">
        <v>394</v>
      </c>
      <c r="H7" s="71" t="s">
        <v>388</v>
      </c>
      <c r="I7" s="72" t="s">
        <v>389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187</v>
      </c>
      <c r="D8" s="63" t="s">
        <v>188</v>
      </c>
      <c r="E8" s="63">
        <v>12.5</v>
      </c>
      <c r="F8" s="63" t="s">
        <v>395</v>
      </c>
      <c r="G8" s="63" t="s">
        <v>396</v>
      </c>
      <c r="H8" s="67" t="s">
        <v>388</v>
      </c>
      <c r="I8" s="68" t="s">
        <v>389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391</v>
      </c>
      <c r="D9" s="70" t="s">
        <v>206</v>
      </c>
      <c r="E9" s="70">
        <v>25</v>
      </c>
      <c r="F9" s="70" t="s">
        <v>397</v>
      </c>
      <c r="G9" s="70" t="s">
        <v>398</v>
      </c>
      <c r="H9" s="71" t="s">
        <v>388</v>
      </c>
      <c r="I9" s="72" t="s">
        <v>389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38" t="s">
        <v>399</v>
      </c>
      <c r="B12" s="339"/>
      <c r="C12" s="339"/>
      <c r="D12" s="339"/>
      <c r="E12" s="339"/>
      <c r="F12" s="339"/>
      <c r="G12" s="339"/>
      <c r="H12" s="339"/>
      <c r="I12" s="339"/>
      <c r="J12" s="339"/>
      <c r="K12" s="339"/>
    </row>
    <row r="13" spans="1:11" ht="18" customHeight="1" x14ac:dyDescent="0.25">
      <c r="A13" s="65" t="s">
        <v>380</v>
      </c>
      <c r="B13" s="65" t="s">
        <v>382</v>
      </c>
      <c r="C13" s="66"/>
      <c r="D13" s="66" t="s">
        <v>400</v>
      </c>
      <c r="E13" s="66" t="s">
        <v>25</v>
      </c>
      <c r="F13" s="66" t="s">
        <v>401</v>
      </c>
      <c r="G13" s="66" t="s">
        <v>402</v>
      </c>
      <c r="H13" s="66" t="s">
        <v>385</v>
      </c>
      <c r="I13" s="66" t="s">
        <v>403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404</v>
      </c>
      <c r="F14" s="63" t="s">
        <v>405</v>
      </c>
      <c r="G14" s="63" t="s">
        <v>406</v>
      </c>
      <c r="H14" s="67" t="s">
        <v>407</v>
      </c>
      <c r="I14" s="63" t="s">
        <v>408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404</v>
      </c>
      <c r="F15" s="70" t="s">
        <v>405</v>
      </c>
      <c r="G15" s="70" t="s">
        <v>406</v>
      </c>
      <c r="H15" s="71" t="s">
        <v>407</v>
      </c>
      <c r="I15" s="70" t="s">
        <v>409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410</v>
      </c>
      <c r="F16" s="63" t="s">
        <v>411</v>
      </c>
      <c r="G16" s="63" t="s">
        <v>412</v>
      </c>
      <c r="H16" s="67" t="s">
        <v>388</v>
      </c>
      <c r="I16" s="63" t="s">
        <v>413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410</v>
      </c>
      <c r="F17" s="70" t="s">
        <v>411</v>
      </c>
      <c r="G17" s="70" t="s">
        <v>412</v>
      </c>
      <c r="H17" s="71" t="s">
        <v>388</v>
      </c>
      <c r="I17" s="70" t="s">
        <v>409</v>
      </c>
      <c r="J17" s="70"/>
      <c r="K17" s="70"/>
    </row>
    <row r="18" spans="1:11" ht="24" customHeight="1" x14ac:dyDescent="0.25">
      <c r="A18" s="62">
        <v>5731</v>
      </c>
      <c r="B18" s="62" t="s">
        <v>414</v>
      </c>
      <c r="C18" s="63"/>
      <c r="D18" s="63" t="s">
        <v>108</v>
      </c>
      <c r="E18" s="63" t="s">
        <v>415</v>
      </c>
      <c r="F18" s="63" t="s">
        <v>416</v>
      </c>
      <c r="G18" s="63" t="s">
        <v>417</v>
      </c>
      <c r="H18" s="67" t="s">
        <v>388</v>
      </c>
      <c r="I18" s="63" t="s">
        <v>418</v>
      </c>
      <c r="J18" s="63"/>
      <c r="K18" s="63"/>
    </row>
    <row r="19" spans="1:11" ht="24" customHeight="1" x14ac:dyDescent="0.25">
      <c r="A19" s="69">
        <v>5732</v>
      </c>
      <c r="B19" s="69" t="s">
        <v>419</v>
      </c>
      <c r="C19" s="70"/>
      <c r="D19" s="70" t="s">
        <v>108</v>
      </c>
      <c r="E19" s="70" t="s">
        <v>415</v>
      </c>
      <c r="F19" s="70" t="s">
        <v>416</v>
      </c>
      <c r="G19" s="70" t="s">
        <v>417</v>
      </c>
      <c r="H19" s="71" t="s">
        <v>388</v>
      </c>
      <c r="I19" s="70" t="s">
        <v>418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57</v>
      </c>
      <c r="E20" s="63" t="s">
        <v>420</v>
      </c>
      <c r="F20" s="63" t="s">
        <v>421</v>
      </c>
      <c r="G20" s="63" t="s">
        <v>422</v>
      </c>
      <c r="H20" s="67" t="s">
        <v>388</v>
      </c>
      <c r="I20" s="63" t="s">
        <v>423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404</v>
      </c>
      <c r="F21" s="70" t="s">
        <v>424</v>
      </c>
      <c r="G21" s="70" t="s">
        <v>425</v>
      </c>
      <c r="H21" s="76" t="s">
        <v>426</v>
      </c>
      <c r="I21" s="70" t="s">
        <v>427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38" t="s">
        <v>428</v>
      </c>
      <c r="B23" s="339"/>
      <c r="C23" s="339"/>
      <c r="D23" s="339"/>
      <c r="E23" s="339"/>
      <c r="F23" s="339"/>
      <c r="G23" s="339"/>
      <c r="H23" s="339"/>
      <c r="I23" s="339"/>
      <c r="J23" s="339"/>
      <c r="K23" s="339"/>
    </row>
    <row r="24" spans="1:11" ht="18" customHeight="1" x14ac:dyDescent="0.25">
      <c r="A24" s="65" t="s">
        <v>380</v>
      </c>
      <c r="B24" s="65" t="s">
        <v>382</v>
      </c>
      <c r="C24" s="66"/>
      <c r="D24" s="66" t="s">
        <v>429</v>
      </c>
      <c r="E24" s="66" t="s">
        <v>25</v>
      </c>
      <c r="F24" s="66" t="s">
        <v>430</v>
      </c>
      <c r="G24" s="66" t="s">
        <v>431</v>
      </c>
      <c r="H24" s="66" t="s">
        <v>385</v>
      </c>
      <c r="I24" s="66"/>
      <c r="J24" s="66"/>
      <c r="K24" s="66"/>
    </row>
    <row r="25" spans="1:11" ht="96" customHeight="1" x14ac:dyDescent="0.25">
      <c r="A25" s="62" t="s">
        <v>432</v>
      </c>
      <c r="B25" s="62" t="s">
        <v>433</v>
      </c>
      <c r="C25" s="63"/>
      <c r="D25" s="63" t="s">
        <v>434</v>
      </c>
      <c r="E25" s="63">
        <v>177</v>
      </c>
      <c r="F25" s="63" t="s">
        <v>435</v>
      </c>
      <c r="G25" s="63" t="s">
        <v>436</v>
      </c>
      <c r="H25" s="67" t="s">
        <v>407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71</v>
      </c>
      <c r="E26" s="66">
        <v>578</v>
      </c>
      <c r="F26" s="66" t="s">
        <v>437</v>
      </c>
      <c r="G26" s="66" t="s">
        <v>438</v>
      </c>
      <c r="H26" s="66" t="s">
        <v>388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71</v>
      </c>
      <c r="E27" s="63" t="s">
        <v>439</v>
      </c>
      <c r="F27" s="63" t="s">
        <v>440</v>
      </c>
      <c r="G27" s="63" t="s">
        <v>441</v>
      </c>
      <c r="H27" s="67" t="s">
        <v>388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439</v>
      </c>
      <c r="F28" s="70" t="s">
        <v>440</v>
      </c>
      <c r="G28" s="70" t="s">
        <v>442</v>
      </c>
      <c r="H28" s="71" t="s">
        <v>388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69</v>
      </c>
      <c r="E29" s="66">
        <v>186</v>
      </c>
      <c r="F29" s="66" t="s">
        <v>443</v>
      </c>
      <c r="G29" s="66" t="s">
        <v>444</v>
      </c>
      <c r="H29" s="66" t="s">
        <v>426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445</v>
      </c>
      <c r="C30" s="66"/>
      <c r="D30" s="66" t="s">
        <v>69</v>
      </c>
      <c r="E30" s="66">
        <v>186</v>
      </c>
      <c r="F30" s="66" t="s">
        <v>443</v>
      </c>
      <c r="G30" s="66" t="s">
        <v>446</v>
      </c>
      <c r="H30" s="66" t="s">
        <v>426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443</v>
      </c>
      <c r="G31" s="63" t="s">
        <v>447</v>
      </c>
      <c r="H31" s="77" t="s">
        <v>426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443</v>
      </c>
      <c r="G32" s="66" t="s">
        <v>448</v>
      </c>
      <c r="H32" s="66" t="s">
        <v>426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38" t="s">
        <v>449</v>
      </c>
      <c r="B34" s="339"/>
      <c r="C34" s="339"/>
      <c r="D34" s="339"/>
      <c r="E34" s="339"/>
      <c r="F34" s="339"/>
      <c r="G34" s="339"/>
      <c r="H34" s="339"/>
      <c r="I34" s="339"/>
      <c r="J34" s="339"/>
      <c r="K34" s="339"/>
    </row>
    <row r="35" spans="1:11" ht="18" customHeight="1" x14ac:dyDescent="0.25">
      <c r="A35" s="65" t="s">
        <v>380</v>
      </c>
      <c r="B35" s="65" t="s">
        <v>381</v>
      </c>
      <c r="C35" s="66" t="s">
        <v>382</v>
      </c>
      <c r="D35" s="66" t="s">
        <v>400</v>
      </c>
      <c r="E35" s="66" t="s">
        <v>450</v>
      </c>
      <c r="F35" s="66" t="s">
        <v>451</v>
      </c>
      <c r="G35" s="66" t="s">
        <v>452</v>
      </c>
      <c r="H35" s="66" t="s">
        <v>453</v>
      </c>
      <c r="I35" s="66" t="s">
        <v>430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454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455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454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424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456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457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458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455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458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424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459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460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411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461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462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71</v>
      </c>
      <c r="E46" s="63">
        <v>3866</v>
      </c>
      <c r="F46" s="63" t="s">
        <v>463</v>
      </c>
      <c r="G46" s="63">
        <v>68</v>
      </c>
      <c r="H46" s="63" t="s">
        <v>464</v>
      </c>
      <c r="I46" s="63" t="s">
        <v>437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457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419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465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419</v>
      </c>
      <c r="D49" s="70" t="s">
        <v>71</v>
      </c>
      <c r="E49" s="70">
        <v>4044</v>
      </c>
      <c r="F49" s="70" t="s">
        <v>466</v>
      </c>
      <c r="G49" s="70">
        <v>6971</v>
      </c>
      <c r="H49" s="70" t="s">
        <v>467</v>
      </c>
      <c r="I49" s="70" t="s">
        <v>437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419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468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414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465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414</v>
      </c>
      <c r="D52" s="63" t="s">
        <v>71</v>
      </c>
      <c r="E52" s="63">
        <v>4044</v>
      </c>
      <c r="F52" s="63" t="s">
        <v>466</v>
      </c>
      <c r="G52" s="63">
        <v>6971</v>
      </c>
      <c r="H52" s="63" t="s">
        <v>467</v>
      </c>
      <c r="I52" s="63" t="s">
        <v>437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414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468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460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469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460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469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445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470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471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472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455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424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473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38" t="s">
        <v>474</v>
      </c>
      <c r="B65" s="339"/>
      <c r="C65" s="339"/>
      <c r="D65" s="339"/>
      <c r="E65" s="339"/>
      <c r="F65" s="339"/>
      <c r="G65" s="339"/>
      <c r="H65" s="339"/>
      <c r="I65" s="339"/>
      <c r="J65" s="339"/>
      <c r="K65" s="339"/>
    </row>
    <row r="66" spans="1:11" ht="18" customHeight="1" x14ac:dyDescent="0.25">
      <c r="A66" s="65" t="s">
        <v>26</v>
      </c>
      <c r="B66" s="65" t="s">
        <v>475</v>
      </c>
      <c r="C66" s="66" t="s">
        <v>476</v>
      </c>
      <c r="D66" s="66" t="s">
        <v>477</v>
      </c>
      <c r="E66" s="66" t="s">
        <v>478</v>
      </c>
      <c r="F66" s="66" t="s">
        <v>32</v>
      </c>
      <c r="G66" s="66" t="s">
        <v>385</v>
      </c>
      <c r="H66" s="66"/>
      <c r="I66" s="66"/>
      <c r="J66" s="66"/>
      <c r="K66" s="66"/>
    </row>
    <row r="67" spans="1:11" ht="18" customHeight="1" x14ac:dyDescent="0.25">
      <c r="A67" s="65" t="s">
        <v>479</v>
      </c>
      <c r="B67" s="65" t="s">
        <v>480</v>
      </c>
      <c r="C67" s="66" t="s">
        <v>481</v>
      </c>
      <c r="D67" s="66" t="s">
        <v>482</v>
      </c>
      <c r="E67" s="66" t="s">
        <v>483</v>
      </c>
      <c r="F67" s="66" t="s">
        <v>389</v>
      </c>
      <c r="G67" s="66" t="s">
        <v>388</v>
      </c>
      <c r="H67" s="66"/>
      <c r="I67" s="66"/>
      <c r="J67" s="66"/>
      <c r="K67" s="66"/>
    </row>
    <row r="68" spans="1:11" ht="120" customHeight="1" x14ac:dyDescent="0.25">
      <c r="A68" s="62" t="s">
        <v>484</v>
      </c>
      <c r="B68" s="62" t="s">
        <v>485</v>
      </c>
      <c r="C68" s="63" t="s">
        <v>486</v>
      </c>
      <c r="D68" s="63" t="s">
        <v>487</v>
      </c>
      <c r="E68" s="63" t="s">
        <v>488</v>
      </c>
      <c r="F68" s="63" t="s">
        <v>489</v>
      </c>
      <c r="G68" s="63" t="s">
        <v>490</v>
      </c>
      <c r="H68" s="63"/>
      <c r="I68" s="63"/>
      <c r="J68" s="63"/>
      <c r="K68" s="63"/>
    </row>
    <row r="69" spans="1:11" ht="72" customHeight="1" x14ac:dyDescent="0.25">
      <c r="A69" s="69" t="s">
        <v>491</v>
      </c>
      <c r="B69" s="69" t="s">
        <v>492</v>
      </c>
      <c r="C69" s="70" t="s">
        <v>493</v>
      </c>
      <c r="D69" s="70" t="s">
        <v>494</v>
      </c>
      <c r="E69" s="70" t="s">
        <v>495</v>
      </c>
      <c r="F69" s="70" t="s">
        <v>496</v>
      </c>
      <c r="G69" s="76" t="s">
        <v>426</v>
      </c>
      <c r="H69" s="70"/>
      <c r="I69" s="70"/>
      <c r="J69" s="70"/>
      <c r="K69" s="70"/>
    </row>
    <row r="70" spans="1:11" ht="72" customHeight="1" x14ac:dyDescent="0.25">
      <c r="A70" s="62" t="s">
        <v>497</v>
      </c>
      <c r="B70" s="62" t="s">
        <v>498</v>
      </c>
      <c r="C70" s="63" t="s">
        <v>499</v>
      </c>
      <c r="D70" s="63" t="s">
        <v>390</v>
      </c>
      <c r="E70" s="63" t="s">
        <v>500</v>
      </c>
      <c r="F70" s="63" t="s">
        <v>496</v>
      </c>
      <c r="G70" s="77" t="s">
        <v>426</v>
      </c>
      <c r="H70" s="63"/>
      <c r="I70" s="63"/>
      <c r="J70" s="63"/>
      <c r="K70" s="63"/>
    </row>
    <row r="71" spans="1:11" ht="132" customHeight="1" x14ac:dyDescent="0.25">
      <c r="A71" s="69" t="s">
        <v>501</v>
      </c>
      <c r="B71" s="69" t="s">
        <v>502</v>
      </c>
      <c r="C71" s="70" t="s">
        <v>503</v>
      </c>
      <c r="D71" s="70" t="s">
        <v>504</v>
      </c>
      <c r="E71" s="70" t="s">
        <v>505</v>
      </c>
      <c r="F71" s="70" t="s">
        <v>506</v>
      </c>
      <c r="G71" s="76" t="s">
        <v>426</v>
      </c>
      <c r="H71" s="70"/>
      <c r="I71" s="70"/>
      <c r="J71" s="70"/>
      <c r="K71" s="70"/>
    </row>
    <row r="72" spans="1:11" ht="108" customHeight="1" x14ac:dyDescent="0.25">
      <c r="A72" s="62" t="s">
        <v>507</v>
      </c>
      <c r="B72" s="62" t="s">
        <v>508</v>
      </c>
      <c r="C72" s="63" t="s">
        <v>509</v>
      </c>
      <c r="D72" s="63" t="s">
        <v>390</v>
      </c>
      <c r="E72" s="63" t="s">
        <v>510</v>
      </c>
      <c r="F72" s="68" t="s">
        <v>389</v>
      </c>
      <c r="G72" s="67" t="s">
        <v>407</v>
      </c>
      <c r="H72" s="63"/>
      <c r="I72" s="63"/>
      <c r="J72" s="63"/>
      <c r="K72" s="63"/>
    </row>
    <row r="73" spans="1:11" ht="132" customHeight="1" x14ac:dyDescent="0.25">
      <c r="A73" s="69" t="s">
        <v>511</v>
      </c>
      <c r="B73" s="69" t="s">
        <v>512</v>
      </c>
      <c r="C73" s="70" t="s">
        <v>513</v>
      </c>
      <c r="D73" s="70" t="s">
        <v>390</v>
      </c>
      <c r="E73" s="70" t="s">
        <v>514</v>
      </c>
      <c r="F73" s="70" t="s">
        <v>506</v>
      </c>
      <c r="G73" s="76" t="s">
        <v>426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38" t="s">
        <v>515</v>
      </c>
      <c r="B75" s="339"/>
      <c r="C75" s="339"/>
      <c r="D75" s="339"/>
      <c r="E75" s="339"/>
      <c r="F75" s="339"/>
      <c r="G75" s="339"/>
      <c r="H75" s="339"/>
      <c r="I75" s="339"/>
      <c r="J75" s="339"/>
      <c r="K75" s="339"/>
    </row>
    <row r="76" spans="1:11" ht="18" customHeight="1" x14ac:dyDescent="0.25">
      <c r="A76" s="65" t="s">
        <v>25</v>
      </c>
      <c r="B76" s="65" t="s">
        <v>516</v>
      </c>
      <c r="C76" s="66"/>
      <c r="D76" s="66" t="s">
        <v>517</v>
      </c>
      <c r="E76" s="66" t="s">
        <v>518</v>
      </c>
      <c r="F76" s="66"/>
      <c r="G76" s="66"/>
      <c r="H76" s="66" t="s">
        <v>385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331</v>
      </c>
      <c r="C77" s="63" t="s">
        <v>519</v>
      </c>
      <c r="D77" s="63" t="s">
        <v>56</v>
      </c>
      <c r="E77" s="63" t="s">
        <v>520</v>
      </c>
      <c r="F77" s="63"/>
      <c r="G77" s="63"/>
      <c r="H77" s="67" t="s">
        <v>388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330</v>
      </c>
      <c r="C78" s="70" t="s">
        <v>519</v>
      </c>
      <c r="D78" s="70" t="s">
        <v>55</v>
      </c>
      <c r="E78" s="70" t="s">
        <v>521</v>
      </c>
      <c r="F78" s="70"/>
      <c r="G78" s="70"/>
      <c r="H78" s="76" t="s">
        <v>426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519</v>
      </c>
      <c r="D79" s="63" t="s">
        <v>51</v>
      </c>
      <c r="E79" s="63" t="s">
        <v>522</v>
      </c>
      <c r="F79" s="63"/>
      <c r="G79" s="63"/>
      <c r="H79" s="77" t="s">
        <v>426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38" t="s">
        <v>523</v>
      </c>
      <c r="B81" s="339"/>
      <c r="C81" s="339"/>
      <c r="D81" s="339"/>
      <c r="E81" s="339"/>
      <c r="F81" s="339"/>
      <c r="G81" s="339"/>
      <c r="H81" s="339"/>
      <c r="I81" s="339"/>
      <c r="J81" s="339"/>
      <c r="K81" s="339"/>
    </row>
    <row r="82" spans="1:11" ht="18" customHeight="1" x14ac:dyDescent="0.25">
      <c r="A82" s="65" t="s">
        <v>380</v>
      </c>
      <c r="B82" s="65" t="s">
        <v>381</v>
      </c>
      <c r="C82" s="66" t="s">
        <v>382</v>
      </c>
      <c r="D82" s="66" t="s">
        <v>524</v>
      </c>
      <c r="E82" s="66" t="s">
        <v>525</v>
      </c>
      <c r="F82" s="66" t="s">
        <v>384</v>
      </c>
      <c r="G82" s="66"/>
      <c r="H82" s="66" t="s">
        <v>385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526</v>
      </c>
      <c r="E83" s="63" t="s">
        <v>527</v>
      </c>
      <c r="F83" s="63" t="s">
        <v>528</v>
      </c>
      <c r="G83" s="63"/>
      <c r="H83" s="67" t="s">
        <v>388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526</v>
      </c>
      <c r="E84" s="70" t="s">
        <v>527</v>
      </c>
      <c r="F84" s="70" t="s">
        <v>528</v>
      </c>
      <c r="G84" s="70"/>
      <c r="H84" s="71" t="s">
        <v>388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526</v>
      </c>
      <c r="E85" s="63" t="s">
        <v>527</v>
      </c>
      <c r="F85" s="63" t="s">
        <v>528</v>
      </c>
      <c r="G85" s="63"/>
      <c r="H85" s="67" t="s">
        <v>388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526</v>
      </c>
      <c r="E86" s="70" t="s">
        <v>527</v>
      </c>
      <c r="F86" s="70" t="s">
        <v>528</v>
      </c>
      <c r="G86" s="70"/>
      <c r="H86" s="71" t="s">
        <v>388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526</v>
      </c>
      <c r="E87" s="63" t="s">
        <v>527</v>
      </c>
      <c r="F87" s="63" t="s">
        <v>528</v>
      </c>
      <c r="G87" s="63"/>
      <c r="H87" s="67" t="s">
        <v>388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526</v>
      </c>
      <c r="E88" s="70" t="s">
        <v>527</v>
      </c>
      <c r="F88" s="70" t="s">
        <v>528</v>
      </c>
      <c r="G88" s="70"/>
      <c r="H88" s="71" t="s">
        <v>388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526</v>
      </c>
      <c r="E89" s="63" t="s">
        <v>527</v>
      </c>
      <c r="F89" s="63" t="s">
        <v>528</v>
      </c>
      <c r="G89" s="63"/>
      <c r="H89" s="67" t="s">
        <v>388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526</v>
      </c>
      <c r="E90" s="70" t="s">
        <v>527</v>
      </c>
      <c r="F90" s="70" t="s">
        <v>528</v>
      </c>
      <c r="G90" s="70"/>
      <c r="H90" s="71" t="s">
        <v>388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38" t="s">
        <v>529</v>
      </c>
      <c r="B92" s="339"/>
      <c r="C92" s="339"/>
      <c r="D92" s="339"/>
      <c r="E92" s="339"/>
      <c r="F92" s="339"/>
      <c r="G92" s="339"/>
      <c r="H92" s="339"/>
      <c r="I92" s="339"/>
      <c r="J92" s="339"/>
      <c r="K92" s="339"/>
    </row>
    <row r="93" spans="1:11" x14ac:dyDescent="0.25">
      <c r="A93" s="62" t="s">
        <v>530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531</v>
      </c>
      <c r="B94" s="65"/>
      <c r="C94" s="66" t="s">
        <v>475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532</v>
      </c>
      <c r="B95" s="62"/>
      <c r="C95" s="63" t="s">
        <v>533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534</v>
      </c>
      <c r="B96" s="69"/>
      <c r="C96" s="70" t="s">
        <v>535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536</v>
      </c>
      <c r="B97" s="62"/>
      <c r="C97" s="63" t="s">
        <v>537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538</v>
      </c>
      <c r="B98" s="69"/>
      <c r="C98" s="70" t="s">
        <v>539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540</v>
      </c>
      <c r="B99" s="62"/>
      <c r="C99" s="63" t="s">
        <v>541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542</v>
      </c>
      <c r="B100" s="69"/>
      <c r="C100" s="70" t="s">
        <v>543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544</v>
      </c>
      <c r="B102" s="65" t="s">
        <v>545</v>
      </c>
      <c r="C102" s="66" t="s">
        <v>546</v>
      </c>
      <c r="D102" s="66"/>
      <c r="E102" s="66"/>
      <c r="F102" s="66"/>
      <c r="G102" s="66"/>
      <c r="H102" s="66" t="s">
        <v>385</v>
      </c>
      <c r="I102" s="66"/>
      <c r="J102" s="66"/>
      <c r="K102" s="66"/>
    </row>
    <row r="103" spans="1:11" ht="36" customHeight="1" x14ac:dyDescent="0.25">
      <c r="A103" s="62" t="s">
        <v>484</v>
      </c>
      <c r="B103" s="62" t="s">
        <v>547</v>
      </c>
      <c r="C103" s="63" t="s">
        <v>548</v>
      </c>
      <c r="D103" s="63"/>
      <c r="E103" s="63"/>
      <c r="F103" s="63"/>
      <c r="G103" s="63"/>
      <c r="H103" s="67" t="s">
        <v>388</v>
      </c>
      <c r="I103" s="63"/>
      <c r="J103" s="63"/>
      <c r="K103" s="63"/>
    </row>
    <row r="104" spans="1:11" ht="24" customHeight="1" x14ac:dyDescent="0.25">
      <c r="A104" s="69" t="s">
        <v>549</v>
      </c>
      <c r="B104" s="69" t="s">
        <v>550</v>
      </c>
      <c r="C104" s="70" t="s">
        <v>551</v>
      </c>
      <c r="D104" s="70"/>
      <c r="E104" s="70"/>
      <c r="F104" s="70"/>
      <c r="G104" s="70"/>
      <c r="H104" s="76" t="s">
        <v>426</v>
      </c>
      <c r="I104" s="70"/>
      <c r="J104" s="70"/>
      <c r="K104" s="70"/>
    </row>
    <row r="105" spans="1:11" ht="24" customHeight="1" x14ac:dyDescent="0.25">
      <c r="A105" s="62" t="s">
        <v>552</v>
      </c>
      <c r="B105" s="62" t="s">
        <v>553</v>
      </c>
      <c r="C105" s="63" t="s">
        <v>554</v>
      </c>
      <c r="D105" s="63"/>
      <c r="E105" s="63"/>
      <c r="F105" s="63"/>
      <c r="G105" s="63"/>
      <c r="H105" s="77" t="s">
        <v>426</v>
      </c>
      <c r="I105" s="63"/>
      <c r="J105" s="63"/>
      <c r="K105" s="63"/>
    </row>
    <row r="106" spans="1:11" ht="24" customHeight="1" x14ac:dyDescent="0.25">
      <c r="A106" s="69" t="s">
        <v>555</v>
      </c>
      <c r="B106" s="69" t="s">
        <v>556</v>
      </c>
      <c r="C106" s="70" t="s">
        <v>557</v>
      </c>
      <c r="D106" s="70"/>
      <c r="E106" s="70"/>
      <c r="F106" s="70"/>
      <c r="G106" s="70"/>
      <c r="H106" s="70" t="s">
        <v>490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558</v>
      </c>
      <c r="B108" s="65" t="s">
        <v>25</v>
      </c>
      <c r="C108" s="66" t="s">
        <v>559</v>
      </c>
      <c r="D108" s="66"/>
      <c r="E108" s="66" t="s">
        <v>560</v>
      </c>
      <c r="F108" s="66"/>
      <c r="G108" s="66" t="s">
        <v>561</v>
      </c>
      <c r="H108" s="66" t="s">
        <v>562</v>
      </c>
      <c r="I108" s="66" t="s">
        <v>563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344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564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353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565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348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566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567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346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568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569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570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571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570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345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572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573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358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574</v>
      </c>
      <c r="J118" s="70"/>
      <c r="K118" s="70"/>
    </row>
    <row r="119" spans="1:11" x14ac:dyDescent="0.25">
      <c r="A119" s="62" t="s">
        <v>575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1" t="s">
        <v>576</v>
      </c>
      <c r="B1" s="339"/>
      <c r="C1" s="339"/>
      <c r="D1" s="339"/>
      <c r="E1" s="339"/>
      <c r="F1" s="339"/>
      <c r="G1" s="339"/>
      <c r="H1" s="339"/>
    </row>
    <row r="2" spans="1:12" ht="15.75" customHeight="1" x14ac:dyDescent="0.25">
      <c r="A2" s="340" t="s">
        <v>577</v>
      </c>
      <c r="B2" s="339"/>
      <c r="C2" s="339"/>
      <c r="D2" s="339"/>
      <c r="E2" s="339"/>
      <c r="F2" s="339"/>
      <c r="G2" s="339"/>
      <c r="H2" s="339"/>
    </row>
    <row r="3" spans="1:12" ht="19.5" customHeight="1" x14ac:dyDescent="0.25">
      <c r="A3" s="60" t="s">
        <v>578</v>
      </c>
      <c r="B3" s="60" t="s">
        <v>380</v>
      </c>
      <c r="C3" s="60" t="s">
        <v>3</v>
      </c>
      <c r="D3" s="60" t="s">
        <v>579</v>
      </c>
      <c r="E3" s="60" t="s">
        <v>580</v>
      </c>
      <c r="F3" s="60" t="s">
        <v>581</v>
      </c>
      <c r="G3" s="60" t="s">
        <v>32</v>
      </c>
      <c r="H3" s="60" t="s">
        <v>582</v>
      </c>
      <c r="I3" s="60" t="s">
        <v>583</v>
      </c>
    </row>
    <row r="4" spans="1:12" ht="15" customHeight="1" x14ac:dyDescent="0.25">
      <c r="A4" s="264">
        <v>1</v>
      </c>
      <c r="B4" s="264">
        <v>8001</v>
      </c>
      <c r="C4" s="265" t="s">
        <v>135</v>
      </c>
      <c r="D4" s="265" t="s">
        <v>185</v>
      </c>
      <c r="E4" s="264" t="s">
        <v>584</v>
      </c>
      <c r="F4" s="266">
        <v>12880</v>
      </c>
      <c r="G4" s="264" t="s">
        <v>585</v>
      </c>
      <c r="H4" s="267" t="s">
        <v>586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6228</v>
      </c>
      <c r="C5" s="265" t="s">
        <v>11</v>
      </c>
      <c r="D5" s="265" t="s">
        <v>16</v>
      </c>
      <c r="E5" s="264" t="s">
        <v>587</v>
      </c>
      <c r="F5" s="266">
        <v>20769</v>
      </c>
      <c r="G5" s="264" t="s">
        <v>585</v>
      </c>
      <c r="H5" s="267" t="s">
        <v>586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6206</v>
      </c>
      <c r="C6" s="265" t="s">
        <v>19</v>
      </c>
      <c r="D6" s="265" t="s">
        <v>20</v>
      </c>
      <c r="E6" s="264" t="s">
        <v>588</v>
      </c>
      <c r="F6" s="266">
        <v>35000</v>
      </c>
      <c r="G6" s="264" t="s">
        <v>585</v>
      </c>
      <c r="H6" s="267" t="s">
        <v>586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4050</v>
      </c>
      <c r="C7" s="265" t="s">
        <v>213</v>
      </c>
      <c r="D7" s="265" t="s">
        <v>214</v>
      </c>
      <c r="E7" s="264" t="s">
        <v>588</v>
      </c>
      <c r="F7" s="266">
        <v>9450</v>
      </c>
      <c r="G7" s="264" t="s">
        <v>585</v>
      </c>
      <c r="H7" s="267" t="s">
        <v>586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6337</v>
      </c>
      <c r="C8" s="265" t="s">
        <v>216</v>
      </c>
      <c r="D8" s="265" t="s">
        <v>218</v>
      </c>
      <c r="E8" s="264" t="s">
        <v>588</v>
      </c>
      <c r="F8" s="266">
        <v>15680</v>
      </c>
      <c r="G8" s="264" t="s">
        <v>585</v>
      </c>
      <c r="H8" s="267" t="s">
        <v>586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6416</v>
      </c>
      <c r="C9" s="265" t="s">
        <v>216</v>
      </c>
      <c r="D9" s="265" t="s">
        <v>217</v>
      </c>
      <c r="E9" s="264" t="s">
        <v>588</v>
      </c>
      <c r="F9" s="266">
        <v>15435</v>
      </c>
      <c r="G9" s="264" t="s">
        <v>585</v>
      </c>
      <c r="H9" s="267" t="s">
        <v>586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6531</v>
      </c>
      <c r="C10" s="265" t="s">
        <v>223</v>
      </c>
      <c r="D10" s="265" t="s">
        <v>225</v>
      </c>
      <c r="E10" s="264" t="s">
        <v>589</v>
      </c>
      <c r="F10" s="266">
        <v>4320</v>
      </c>
      <c r="G10" s="264" t="s">
        <v>585</v>
      </c>
      <c r="H10" s="267" t="s">
        <v>586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6530</v>
      </c>
      <c r="C11" s="265" t="s">
        <v>223</v>
      </c>
      <c r="D11" s="265" t="s">
        <v>224</v>
      </c>
      <c r="E11" s="264" t="s">
        <v>589</v>
      </c>
      <c r="F11" s="266">
        <v>4500</v>
      </c>
      <c r="G11" s="264" t="s">
        <v>585</v>
      </c>
      <c r="H11" s="267" t="s">
        <v>586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3726</v>
      </c>
      <c r="C12" s="265" t="s">
        <v>13</v>
      </c>
      <c r="D12" s="265" t="s">
        <v>203</v>
      </c>
      <c r="E12" s="264" t="s">
        <v>587</v>
      </c>
      <c r="F12" s="266">
        <v>46000</v>
      </c>
      <c r="G12" s="264" t="s">
        <v>585</v>
      </c>
      <c r="H12" s="267" t="s">
        <v>590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3447</v>
      </c>
      <c r="C13" s="265" t="s">
        <v>13</v>
      </c>
      <c r="D13" s="265" t="s">
        <v>202</v>
      </c>
      <c r="E13" s="264" t="s">
        <v>587</v>
      </c>
      <c r="F13" s="266">
        <v>16000</v>
      </c>
      <c r="G13" s="264" t="s">
        <v>585</v>
      </c>
      <c r="H13" s="267" t="s">
        <v>591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8001</v>
      </c>
      <c r="C14" s="265" t="s">
        <v>135</v>
      </c>
      <c r="D14" s="265" t="s">
        <v>185</v>
      </c>
      <c r="E14" s="264" t="s">
        <v>584</v>
      </c>
      <c r="F14" s="266">
        <v>20240</v>
      </c>
      <c r="G14" s="264" t="s">
        <v>585</v>
      </c>
      <c r="H14" s="267" t="s">
        <v>592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6206</v>
      </c>
      <c r="C15" s="265" t="s">
        <v>19</v>
      </c>
      <c r="D15" s="265" t="s">
        <v>20</v>
      </c>
      <c r="E15" s="264" t="s">
        <v>588</v>
      </c>
      <c r="F15" s="266">
        <v>35970</v>
      </c>
      <c r="G15" s="264" t="s">
        <v>585</v>
      </c>
      <c r="H15" s="267" t="s">
        <v>593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6206</v>
      </c>
      <c r="C16" s="265" t="s">
        <v>19</v>
      </c>
      <c r="D16" s="265" t="s">
        <v>20</v>
      </c>
      <c r="E16" s="264" t="s">
        <v>588</v>
      </c>
      <c r="F16" s="266">
        <v>28082</v>
      </c>
      <c r="G16" s="264" t="s">
        <v>585</v>
      </c>
      <c r="H16" s="267" t="s">
        <v>594</v>
      </c>
      <c r="I16" s="268"/>
      <c r="J16" s="269"/>
      <c r="K16" s="269"/>
      <c r="L16" s="269"/>
    </row>
    <row r="17" spans="1:12" ht="15" customHeight="1" x14ac:dyDescent="0.25">
      <c r="A17" s="264">
        <v>14</v>
      </c>
      <c r="B17" s="264">
        <v>6515</v>
      </c>
      <c r="C17" s="265" t="s">
        <v>21</v>
      </c>
      <c r="D17" s="265" t="s">
        <v>22</v>
      </c>
      <c r="E17" s="264" t="s">
        <v>595</v>
      </c>
      <c r="F17" s="266">
        <v>10000</v>
      </c>
      <c r="G17" s="264" t="s">
        <v>585</v>
      </c>
      <c r="H17" s="267" t="s">
        <v>593</v>
      </c>
      <c r="I17" s="268"/>
      <c r="J17" s="269"/>
      <c r="K17" s="269"/>
      <c r="L17" s="269"/>
    </row>
    <row r="18" spans="1:12" ht="15" customHeight="1" x14ac:dyDescent="0.25">
      <c r="A18" s="270">
        <v>15</v>
      </c>
      <c r="B18" s="270">
        <v>6530</v>
      </c>
      <c r="C18" s="271" t="s">
        <v>223</v>
      </c>
      <c r="D18" s="271" t="s">
        <v>224</v>
      </c>
      <c r="E18" s="270" t="s">
        <v>589</v>
      </c>
      <c r="F18" s="272">
        <v>11340</v>
      </c>
      <c r="G18" s="270" t="s">
        <v>596</v>
      </c>
      <c r="H18" s="273" t="s">
        <v>597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5699</v>
      </c>
      <c r="C19" s="265" t="s">
        <v>13</v>
      </c>
      <c r="D19" s="265" t="s">
        <v>195</v>
      </c>
      <c r="E19" s="264" t="s">
        <v>598</v>
      </c>
      <c r="F19" s="266">
        <v>14790</v>
      </c>
      <c r="G19" s="264" t="s">
        <v>585</v>
      </c>
      <c r="H19" s="267" t="s">
        <v>599</v>
      </c>
      <c r="I19" s="268"/>
      <c r="J19" s="269"/>
      <c r="K19" s="269"/>
      <c r="L19" s="269"/>
    </row>
    <row r="20" spans="1:12" ht="15" customHeight="1" x14ac:dyDescent="0.25">
      <c r="A20" s="264">
        <v>17</v>
      </c>
      <c r="B20" s="264">
        <v>5731</v>
      </c>
      <c r="C20" s="265" t="s">
        <v>13</v>
      </c>
      <c r="D20" s="265" t="s">
        <v>196</v>
      </c>
      <c r="E20" s="264" t="s">
        <v>598</v>
      </c>
      <c r="F20" s="266">
        <v>13770</v>
      </c>
      <c r="G20" s="264" t="s">
        <v>585</v>
      </c>
      <c r="H20" s="267" t="s">
        <v>599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6624</v>
      </c>
      <c r="C21" s="271" t="s">
        <v>13</v>
      </c>
      <c r="D21" s="271" t="s">
        <v>191</v>
      </c>
      <c r="E21" s="270" t="s">
        <v>600</v>
      </c>
      <c r="F21" s="272">
        <v>15876</v>
      </c>
      <c r="G21" s="270" t="s">
        <v>596</v>
      </c>
      <c r="H21" s="273" t="s">
        <v>599</v>
      </c>
      <c r="I21" s="268"/>
      <c r="J21" s="269"/>
      <c r="K21" s="269"/>
      <c r="L21" s="269"/>
    </row>
    <row r="22" spans="1:12" ht="15" customHeight="1" x14ac:dyDescent="0.25">
      <c r="A22" s="270">
        <v>19</v>
      </c>
      <c r="B22" s="270">
        <v>5731</v>
      </c>
      <c r="C22" s="271" t="s">
        <v>13</v>
      </c>
      <c r="D22" s="271" t="s">
        <v>196</v>
      </c>
      <c r="E22" s="270" t="s">
        <v>598</v>
      </c>
      <c r="F22" s="272">
        <v>33660</v>
      </c>
      <c r="G22" s="270" t="s">
        <v>596</v>
      </c>
      <c r="H22" s="273" t="s">
        <v>599</v>
      </c>
      <c r="I22" s="268"/>
      <c r="J22" s="269"/>
      <c r="K22" s="269"/>
      <c r="L22" s="269"/>
    </row>
    <row r="23" spans="1:12" ht="15" customHeight="1" x14ac:dyDescent="0.25">
      <c r="A23" s="274"/>
      <c r="B23" s="274"/>
      <c r="C23" s="275"/>
      <c r="D23" s="275"/>
      <c r="E23" s="274"/>
      <c r="F23" s="276"/>
      <c r="G23" s="274"/>
      <c r="H23" s="277"/>
      <c r="I23" s="268"/>
      <c r="J23" s="269"/>
      <c r="K23" s="269"/>
      <c r="L23" s="269"/>
    </row>
    <row r="24" spans="1:12" ht="15" customHeight="1" x14ac:dyDescent="0.25">
      <c r="A24" s="274"/>
      <c r="B24" s="274"/>
      <c r="C24" s="275"/>
      <c r="D24" s="275"/>
      <c r="E24" s="274"/>
      <c r="F24" s="276"/>
      <c r="G24" s="274"/>
      <c r="H24" s="277"/>
      <c r="I24" s="268"/>
      <c r="J24" s="269"/>
      <c r="K24" s="269"/>
      <c r="L24" s="269"/>
    </row>
    <row r="25" spans="1:12" ht="15" customHeight="1" x14ac:dyDescent="0.25">
      <c r="A25" s="274"/>
      <c r="B25" s="274"/>
      <c r="C25" s="275"/>
      <c r="D25" s="275"/>
      <c r="E25" s="274"/>
      <c r="F25" s="276"/>
      <c r="G25" s="274"/>
      <c r="H25" s="277"/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2" t="s">
        <v>601</v>
      </c>
      <c r="B1" s="343"/>
      <c r="C1" s="343"/>
      <c r="D1" s="343"/>
      <c r="E1" s="343"/>
      <c r="F1" s="343"/>
      <c r="G1" s="344"/>
    </row>
    <row r="2" spans="1:7" ht="27.95" customHeight="1" x14ac:dyDescent="0.25">
      <c r="A2" s="211" t="s">
        <v>602</v>
      </c>
      <c r="B2" s="211" t="s">
        <v>26</v>
      </c>
      <c r="C2" s="212" t="s">
        <v>603</v>
      </c>
      <c r="D2" s="212" t="s">
        <v>604</v>
      </c>
      <c r="E2" s="212" t="s">
        <v>605</v>
      </c>
      <c r="F2" s="211" t="s">
        <v>32</v>
      </c>
      <c r="G2" s="211" t="s">
        <v>606</v>
      </c>
    </row>
    <row r="3" spans="1:7" ht="260.10000000000002" customHeight="1" x14ac:dyDescent="0.25">
      <c r="A3" s="213" t="s">
        <v>607</v>
      </c>
      <c r="B3" s="214" t="s">
        <v>608</v>
      </c>
      <c r="C3" s="215" t="s">
        <v>609</v>
      </c>
      <c r="D3" s="216" t="s">
        <v>610</v>
      </c>
      <c r="E3" s="217" t="s">
        <v>611</v>
      </c>
      <c r="F3" s="218" t="s">
        <v>612</v>
      </c>
      <c r="G3" s="219" t="s">
        <v>613</v>
      </c>
    </row>
    <row r="4" spans="1:7" ht="230.1" customHeight="1" x14ac:dyDescent="0.25">
      <c r="A4" s="220" t="s">
        <v>614</v>
      </c>
      <c r="B4" s="221" t="s">
        <v>608</v>
      </c>
      <c r="C4" s="222" t="s">
        <v>615</v>
      </c>
      <c r="D4" s="223" t="s">
        <v>616</v>
      </c>
      <c r="E4" s="224" t="s">
        <v>617</v>
      </c>
      <c r="F4" s="225" t="s">
        <v>612</v>
      </c>
      <c r="G4" s="226" t="s">
        <v>618</v>
      </c>
    </row>
    <row r="5" spans="1:7" ht="230.1" customHeight="1" x14ac:dyDescent="0.25">
      <c r="A5" s="213" t="s">
        <v>619</v>
      </c>
      <c r="B5" s="214" t="s">
        <v>608</v>
      </c>
      <c r="C5" s="215" t="s">
        <v>620</v>
      </c>
      <c r="D5" s="216" t="s">
        <v>621</v>
      </c>
      <c r="E5" s="217" t="s">
        <v>622</v>
      </c>
      <c r="F5" s="218" t="s">
        <v>612</v>
      </c>
      <c r="G5" s="219" t="s">
        <v>623</v>
      </c>
    </row>
    <row r="6" spans="1:7" ht="260.10000000000002" customHeight="1" x14ac:dyDescent="0.25">
      <c r="A6" s="220" t="s">
        <v>624</v>
      </c>
      <c r="B6" s="221" t="s">
        <v>625</v>
      </c>
      <c r="C6" s="222" t="s">
        <v>626</v>
      </c>
      <c r="D6" s="223" t="s">
        <v>627</v>
      </c>
      <c r="E6" s="224" t="s">
        <v>628</v>
      </c>
      <c r="F6" s="225" t="s">
        <v>612</v>
      </c>
      <c r="G6" s="226" t="s">
        <v>629</v>
      </c>
    </row>
    <row r="7" spans="1:7" ht="260.10000000000002" customHeight="1" x14ac:dyDescent="0.25">
      <c r="A7" s="213" t="s">
        <v>630</v>
      </c>
      <c r="B7" s="214" t="s">
        <v>631</v>
      </c>
      <c r="C7" s="215" t="s">
        <v>632</v>
      </c>
      <c r="D7" s="216" t="s">
        <v>633</v>
      </c>
      <c r="E7" s="217" t="s">
        <v>634</v>
      </c>
      <c r="F7" s="218" t="s">
        <v>612</v>
      </c>
      <c r="G7" s="219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636</v>
      </c>
      <c r="C1" s="227" t="s">
        <v>637</v>
      </c>
      <c r="D1" s="227" t="s">
        <v>638</v>
      </c>
      <c r="E1" s="227" t="s">
        <v>639</v>
      </c>
      <c r="F1" s="227" t="s">
        <v>640</v>
      </c>
      <c r="G1" s="227" t="s">
        <v>32</v>
      </c>
      <c r="H1" s="227" t="s">
        <v>641</v>
      </c>
      <c r="I1" s="227" t="s">
        <v>642</v>
      </c>
      <c r="J1" s="227" t="s">
        <v>382</v>
      </c>
    </row>
    <row r="2" spans="1:10" x14ac:dyDescent="0.25">
      <c r="A2" s="228" t="s">
        <v>643</v>
      </c>
      <c r="B2" s="228" t="s">
        <v>644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645</v>
      </c>
      <c r="H2" s="230" t="s">
        <v>646</v>
      </c>
      <c r="I2" s="231">
        <v>0</v>
      </c>
      <c r="J2" s="230" t="s">
        <v>203</v>
      </c>
    </row>
    <row r="3" spans="1:10" x14ac:dyDescent="0.25">
      <c r="A3" s="228" t="s">
        <v>643</v>
      </c>
      <c r="B3" s="228" t="s">
        <v>644</v>
      </c>
      <c r="C3" s="228" t="s">
        <v>647</v>
      </c>
      <c r="D3" s="229">
        <v>9345</v>
      </c>
      <c r="E3" s="229">
        <v>9060</v>
      </c>
      <c r="F3" s="229">
        <v>285</v>
      </c>
      <c r="G3" s="228" t="s">
        <v>645</v>
      </c>
      <c r="H3" s="230" t="s">
        <v>646</v>
      </c>
      <c r="I3" s="231">
        <v>0</v>
      </c>
      <c r="J3" s="230" t="s">
        <v>648</v>
      </c>
    </row>
    <row r="4" spans="1:10" x14ac:dyDescent="0.25">
      <c r="A4" s="228" t="s">
        <v>649</v>
      </c>
      <c r="B4" s="228" t="s">
        <v>644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645</v>
      </c>
      <c r="H4" s="230" t="s">
        <v>646</v>
      </c>
      <c r="I4" s="231">
        <v>0</v>
      </c>
      <c r="J4" s="230" t="s">
        <v>650</v>
      </c>
    </row>
    <row r="5" spans="1:10" x14ac:dyDescent="0.25">
      <c r="A5" s="228" t="s">
        <v>649</v>
      </c>
      <c r="B5" s="228" t="s">
        <v>644</v>
      </c>
      <c r="C5" s="228" t="s">
        <v>647</v>
      </c>
      <c r="D5" s="229">
        <v>23300</v>
      </c>
      <c r="E5" s="229">
        <v>23030</v>
      </c>
      <c r="F5" s="229">
        <v>270</v>
      </c>
      <c r="G5" s="228" t="s">
        <v>645</v>
      </c>
      <c r="H5" s="230" t="s">
        <v>646</v>
      </c>
      <c r="I5" s="231">
        <v>0</v>
      </c>
      <c r="J5" s="230" t="s">
        <v>218</v>
      </c>
    </row>
    <row r="6" spans="1:10" x14ac:dyDescent="0.25">
      <c r="A6" s="228" t="s">
        <v>651</v>
      </c>
      <c r="B6" s="228" t="s">
        <v>644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645</v>
      </c>
      <c r="H6" s="230" t="s">
        <v>646</v>
      </c>
      <c r="I6" s="231">
        <v>0</v>
      </c>
      <c r="J6" s="230" t="s">
        <v>203</v>
      </c>
    </row>
    <row r="7" spans="1:10" x14ac:dyDescent="0.25">
      <c r="A7" s="228" t="s">
        <v>651</v>
      </c>
      <c r="B7" s="228" t="s">
        <v>644</v>
      </c>
      <c r="C7" s="228" t="s">
        <v>647</v>
      </c>
      <c r="D7" s="229">
        <v>18505</v>
      </c>
      <c r="E7" s="229">
        <v>18130</v>
      </c>
      <c r="F7" s="229">
        <v>375</v>
      </c>
      <c r="G7" s="228" t="s">
        <v>645</v>
      </c>
      <c r="H7" s="230" t="s">
        <v>646</v>
      </c>
      <c r="I7" s="231">
        <v>0</v>
      </c>
      <c r="J7" s="230" t="s">
        <v>217</v>
      </c>
    </row>
    <row r="8" spans="1:10" x14ac:dyDescent="0.25">
      <c r="A8" s="228" t="s">
        <v>652</v>
      </c>
      <c r="B8" s="228" t="s">
        <v>644</v>
      </c>
      <c r="C8" s="228" t="s">
        <v>647</v>
      </c>
      <c r="D8" s="229">
        <v>10450</v>
      </c>
      <c r="E8" s="229">
        <v>10110</v>
      </c>
      <c r="F8" s="229">
        <v>340</v>
      </c>
      <c r="G8" s="228" t="s">
        <v>645</v>
      </c>
      <c r="H8" s="230" t="s">
        <v>646</v>
      </c>
      <c r="I8" s="231">
        <v>0</v>
      </c>
      <c r="J8" s="230" t="s">
        <v>653</v>
      </c>
    </row>
    <row r="9" spans="1:10" x14ac:dyDescent="0.25">
      <c r="A9" s="228" t="s">
        <v>654</v>
      </c>
      <c r="B9" s="228" t="s">
        <v>644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645</v>
      </c>
      <c r="H9" s="230" t="s">
        <v>646</v>
      </c>
      <c r="I9" s="231">
        <v>0</v>
      </c>
      <c r="J9" s="230" t="s">
        <v>215</v>
      </c>
    </row>
    <row r="10" spans="1:10" x14ac:dyDescent="0.25">
      <c r="A10" s="228" t="s">
        <v>655</v>
      </c>
      <c r="B10" s="228" t="s">
        <v>644</v>
      </c>
      <c r="C10" s="228" t="s">
        <v>647</v>
      </c>
      <c r="D10" s="229">
        <v>1230</v>
      </c>
      <c r="E10" s="229">
        <v>1140</v>
      </c>
      <c r="F10" s="229">
        <v>90</v>
      </c>
      <c r="G10" s="228" t="s">
        <v>645</v>
      </c>
      <c r="H10" s="230" t="s">
        <v>646</v>
      </c>
      <c r="I10" s="231">
        <v>0</v>
      </c>
      <c r="J10" s="230" t="s">
        <v>215</v>
      </c>
    </row>
    <row r="11" spans="1:10" x14ac:dyDescent="0.25">
      <c r="A11" s="228" t="s">
        <v>656</v>
      </c>
      <c r="B11" s="228" t="s">
        <v>644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645</v>
      </c>
      <c r="H11" s="230" t="s">
        <v>646</v>
      </c>
      <c r="I11" s="231">
        <v>0</v>
      </c>
      <c r="J11" s="230" t="s">
        <v>215</v>
      </c>
    </row>
    <row r="12" spans="1:10" x14ac:dyDescent="0.25">
      <c r="A12" s="228" t="s">
        <v>657</v>
      </c>
      <c r="B12" s="228" t="s">
        <v>644</v>
      </c>
      <c r="C12" s="228" t="s">
        <v>647</v>
      </c>
      <c r="D12" s="229">
        <v>15754</v>
      </c>
      <c r="E12" s="229">
        <v>15504</v>
      </c>
      <c r="F12" s="229">
        <v>250</v>
      </c>
      <c r="G12" s="228" t="s">
        <v>645</v>
      </c>
      <c r="H12" s="230" t="s">
        <v>646</v>
      </c>
      <c r="I12" s="231">
        <v>0</v>
      </c>
      <c r="J12" s="230" t="s">
        <v>215</v>
      </c>
    </row>
    <row r="13" spans="1:10" x14ac:dyDescent="0.25">
      <c r="A13" s="228" t="s">
        <v>658</v>
      </c>
      <c r="B13" s="228" t="s">
        <v>644</v>
      </c>
      <c r="C13" s="228" t="s">
        <v>647</v>
      </c>
      <c r="D13" s="229">
        <v>26407</v>
      </c>
      <c r="E13" s="229">
        <v>26052</v>
      </c>
      <c r="F13" s="229">
        <v>355</v>
      </c>
      <c r="G13" s="228" t="s">
        <v>645</v>
      </c>
      <c r="H13" s="230" t="s">
        <v>646</v>
      </c>
      <c r="I13" s="231">
        <v>0</v>
      </c>
      <c r="J13" s="230" t="s">
        <v>215</v>
      </c>
    </row>
    <row r="14" spans="1:10" x14ac:dyDescent="0.25">
      <c r="A14" s="228" t="s">
        <v>659</v>
      </c>
      <c r="B14" s="228" t="s">
        <v>644</v>
      </c>
      <c r="C14" s="228" t="s">
        <v>647</v>
      </c>
      <c r="D14" s="229">
        <v>3280</v>
      </c>
      <c r="E14" s="229">
        <v>3185</v>
      </c>
      <c r="F14" s="229">
        <v>95</v>
      </c>
      <c r="G14" s="228" t="s">
        <v>645</v>
      </c>
      <c r="H14" s="230" t="s">
        <v>646</v>
      </c>
      <c r="I14" s="231">
        <v>0</v>
      </c>
      <c r="J14" s="230" t="s">
        <v>215</v>
      </c>
    </row>
    <row r="15" spans="1:10" x14ac:dyDescent="0.25">
      <c r="A15" s="228" t="s">
        <v>660</v>
      </c>
      <c r="B15" s="228" t="s">
        <v>644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645</v>
      </c>
      <c r="H15" s="230" t="s">
        <v>646</v>
      </c>
      <c r="I15" s="231">
        <v>0</v>
      </c>
      <c r="J15" s="230" t="s">
        <v>20</v>
      </c>
    </row>
    <row r="16" spans="1:10" x14ac:dyDescent="0.25">
      <c r="A16" s="228" t="s">
        <v>661</v>
      </c>
      <c r="B16" s="228" t="s">
        <v>644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645</v>
      </c>
      <c r="H16" s="230" t="s">
        <v>646</v>
      </c>
      <c r="I16" s="231">
        <v>0</v>
      </c>
      <c r="J16" s="230" t="s">
        <v>20</v>
      </c>
    </row>
    <row r="17" spans="1:10" x14ac:dyDescent="0.25">
      <c r="A17" s="228" t="s">
        <v>662</v>
      </c>
      <c r="B17" s="228" t="s">
        <v>644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645</v>
      </c>
      <c r="H17" s="230" t="s">
        <v>646</v>
      </c>
      <c r="I17" s="231">
        <v>0</v>
      </c>
      <c r="J17" s="230" t="s">
        <v>20</v>
      </c>
    </row>
    <row r="18" spans="1:10" x14ac:dyDescent="0.25">
      <c r="A18" s="228" t="s">
        <v>663</v>
      </c>
      <c r="B18" s="228" t="s">
        <v>644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645</v>
      </c>
      <c r="H18" s="230" t="s">
        <v>646</v>
      </c>
      <c r="I18" s="231">
        <v>0</v>
      </c>
      <c r="J18" s="230" t="s">
        <v>196</v>
      </c>
    </row>
    <row r="19" spans="1:10" x14ac:dyDescent="0.25">
      <c r="A19" s="228" t="s">
        <v>663</v>
      </c>
      <c r="B19" s="228" t="s">
        <v>644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645</v>
      </c>
      <c r="H19" s="230" t="s">
        <v>646</v>
      </c>
      <c r="I19" s="231">
        <v>0</v>
      </c>
      <c r="J19" s="230" t="s">
        <v>16</v>
      </c>
    </row>
    <row r="20" spans="1:10" x14ac:dyDescent="0.25">
      <c r="A20" s="228" t="s">
        <v>664</v>
      </c>
      <c r="B20" s="228" t="s">
        <v>644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645</v>
      </c>
      <c r="H20" s="230" t="s">
        <v>646</v>
      </c>
      <c r="I20" s="231">
        <v>0</v>
      </c>
      <c r="J20" s="230" t="s">
        <v>196</v>
      </c>
    </row>
    <row r="21" spans="1:10" x14ac:dyDescent="0.25">
      <c r="A21" s="228" t="s">
        <v>665</v>
      </c>
      <c r="B21" s="228" t="s">
        <v>644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645</v>
      </c>
      <c r="H21" s="230" t="s">
        <v>646</v>
      </c>
      <c r="I21" s="231">
        <v>0</v>
      </c>
      <c r="J21" s="230" t="s">
        <v>196</v>
      </c>
    </row>
    <row r="22" spans="1:10" x14ac:dyDescent="0.25">
      <c r="A22" s="228" t="s">
        <v>665</v>
      </c>
      <c r="B22" s="228" t="s">
        <v>644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645</v>
      </c>
      <c r="H22" s="230" t="s">
        <v>646</v>
      </c>
      <c r="I22" s="231">
        <v>0</v>
      </c>
      <c r="J22" s="230" t="s">
        <v>16</v>
      </c>
    </row>
    <row r="23" spans="1:10" x14ac:dyDescent="0.25">
      <c r="A23" s="228" t="s">
        <v>666</v>
      </c>
      <c r="B23" s="228" t="s">
        <v>644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645</v>
      </c>
      <c r="H23" s="230" t="s">
        <v>646</v>
      </c>
      <c r="I23" s="231">
        <v>0</v>
      </c>
      <c r="J23" s="230" t="s">
        <v>16</v>
      </c>
    </row>
    <row r="24" spans="1:10" x14ac:dyDescent="0.25">
      <c r="A24" s="228" t="s">
        <v>667</v>
      </c>
      <c r="B24" s="228" t="s">
        <v>644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645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668</v>
      </c>
      <c r="B25" s="228" t="s">
        <v>644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645</v>
      </c>
      <c r="H25" s="230" t="s">
        <v>176</v>
      </c>
      <c r="I25" s="231">
        <v>60</v>
      </c>
      <c r="J25" s="230" t="s">
        <v>205</v>
      </c>
    </row>
    <row r="26" spans="1:10" x14ac:dyDescent="0.25">
      <c r="A26" s="228" t="s">
        <v>668</v>
      </c>
      <c r="B26" s="228" t="s">
        <v>644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645</v>
      </c>
      <c r="H26" s="230" t="s">
        <v>646</v>
      </c>
      <c r="I26" s="231">
        <v>0</v>
      </c>
      <c r="J26" s="230" t="s">
        <v>22</v>
      </c>
    </row>
    <row r="27" spans="1:10" x14ac:dyDescent="0.25">
      <c r="A27" s="228" t="s">
        <v>669</v>
      </c>
      <c r="B27" s="228" t="s">
        <v>644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645</v>
      </c>
      <c r="H27" s="230" t="s">
        <v>646</v>
      </c>
      <c r="I27" s="231">
        <v>0</v>
      </c>
      <c r="J27" s="230" t="s">
        <v>22</v>
      </c>
    </row>
    <row r="28" spans="1:10" x14ac:dyDescent="0.25">
      <c r="A28" s="228" t="s">
        <v>670</v>
      </c>
      <c r="B28" s="228" t="s">
        <v>671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645</v>
      </c>
      <c r="H28" s="230" t="s">
        <v>167</v>
      </c>
      <c r="I28" s="231">
        <v>60</v>
      </c>
      <c r="J28" s="230" t="s">
        <v>198</v>
      </c>
    </row>
    <row r="29" spans="1:10" x14ac:dyDescent="0.25">
      <c r="A29" s="228" t="s">
        <v>672</v>
      </c>
      <c r="B29" s="228" t="s">
        <v>671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645</v>
      </c>
      <c r="H29" s="230" t="s">
        <v>176</v>
      </c>
      <c r="I29" s="231">
        <v>360</v>
      </c>
      <c r="J29" s="230" t="s">
        <v>673</v>
      </c>
    </row>
    <row r="30" spans="1:10" x14ac:dyDescent="0.25">
      <c r="A30" s="228" t="s">
        <v>672</v>
      </c>
      <c r="B30" s="228" t="s">
        <v>671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645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674</v>
      </c>
      <c r="B31" s="228" t="s">
        <v>671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645</v>
      </c>
      <c r="H31" s="230" t="s">
        <v>646</v>
      </c>
      <c r="I31" s="231">
        <v>0</v>
      </c>
      <c r="J31" s="230" t="s">
        <v>193</v>
      </c>
    </row>
    <row r="32" spans="1:10" x14ac:dyDescent="0.25">
      <c r="A32" s="228" t="s">
        <v>674</v>
      </c>
      <c r="B32" s="228" t="s">
        <v>671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645</v>
      </c>
      <c r="H32" s="230" t="s">
        <v>646</v>
      </c>
      <c r="I32" s="231">
        <v>0</v>
      </c>
      <c r="J32" s="230" t="s">
        <v>22</v>
      </c>
    </row>
    <row r="33" spans="1:10" x14ac:dyDescent="0.25">
      <c r="A33" s="228" t="s">
        <v>675</v>
      </c>
      <c r="B33" s="228" t="s">
        <v>671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645</v>
      </c>
      <c r="H33" s="230" t="s">
        <v>646</v>
      </c>
      <c r="I33" s="231">
        <v>0</v>
      </c>
      <c r="J33" s="230" t="s">
        <v>193</v>
      </c>
    </row>
    <row r="34" spans="1:10" x14ac:dyDescent="0.25">
      <c r="A34" s="228" t="s">
        <v>675</v>
      </c>
      <c r="B34" s="228" t="s">
        <v>671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645</v>
      </c>
      <c r="H34" s="230" t="s">
        <v>646</v>
      </c>
      <c r="I34" s="231">
        <v>0</v>
      </c>
      <c r="J34" s="230" t="s">
        <v>22</v>
      </c>
    </row>
    <row r="35" spans="1:10" x14ac:dyDescent="0.25">
      <c r="A35" s="228" t="s">
        <v>676</v>
      </c>
      <c r="B35" s="228" t="s">
        <v>671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645</v>
      </c>
      <c r="H35" s="230" t="s">
        <v>183</v>
      </c>
      <c r="I35" s="231">
        <v>390</v>
      </c>
      <c r="J35" s="230" t="s">
        <v>198</v>
      </c>
    </row>
    <row r="36" spans="1:10" x14ac:dyDescent="0.25">
      <c r="A36" s="228" t="s">
        <v>677</v>
      </c>
      <c r="B36" s="228" t="s">
        <v>671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645</v>
      </c>
      <c r="H36" s="230" t="s">
        <v>646</v>
      </c>
      <c r="I36" s="231">
        <v>0</v>
      </c>
      <c r="J36" s="230" t="s">
        <v>198</v>
      </c>
    </row>
    <row r="37" spans="1:10" x14ac:dyDescent="0.25">
      <c r="A37" s="228" t="s">
        <v>677</v>
      </c>
      <c r="B37" s="228" t="s">
        <v>671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678</v>
      </c>
      <c r="H37" s="230" t="s">
        <v>176</v>
      </c>
      <c r="I37" s="231">
        <v>210</v>
      </c>
      <c r="J37" s="230" t="s">
        <v>679</v>
      </c>
    </row>
    <row r="38" spans="1:10" x14ac:dyDescent="0.25">
      <c r="A38" s="228" t="s">
        <v>680</v>
      </c>
      <c r="B38" s="228" t="s">
        <v>671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645</v>
      </c>
      <c r="H38" s="230" t="s">
        <v>646</v>
      </c>
      <c r="I38" s="231">
        <v>0</v>
      </c>
      <c r="J38" s="230" t="s">
        <v>198</v>
      </c>
    </row>
    <row r="39" spans="1:10" x14ac:dyDescent="0.25">
      <c r="A39" s="228" t="s">
        <v>680</v>
      </c>
      <c r="B39" s="228" t="s">
        <v>671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645</v>
      </c>
      <c r="H39" s="230" t="s">
        <v>167</v>
      </c>
      <c r="I39" s="231">
        <v>90</v>
      </c>
      <c r="J39" s="230" t="s">
        <v>194</v>
      </c>
    </row>
    <row r="40" spans="1:10" x14ac:dyDescent="0.25">
      <c r="A40" s="228" t="s">
        <v>681</v>
      </c>
      <c r="B40" s="228" t="s">
        <v>671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645</v>
      </c>
      <c r="H40" s="230" t="s">
        <v>646</v>
      </c>
      <c r="I40" s="231">
        <v>0</v>
      </c>
      <c r="J40" s="230" t="s">
        <v>198</v>
      </c>
    </row>
    <row r="41" spans="1:10" x14ac:dyDescent="0.25">
      <c r="A41" s="228" t="s">
        <v>681</v>
      </c>
      <c r="B41" s="228" t="s">
        <v>671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645</v>
      </c>
      <c r="H41" s="230" t="s">
        <v>646</v>
      </c>
      <c r="I41" s="231">
        <v>0</v>
      </c>
      <c r="J41" s="230" t="s">
        <v>17</v>
      </c>
    </row>
    <row r="42" spans="1:10" x14ac:dyDescent="0.25">
      <c r="A42" s="228" t="s">
        <v>682</v>
      </c>
      <c r="B42" s="228" t="s">
        <v>671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645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682</v>
      </c>
      <c r="B43" s="228" t="s">
        <v>671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645</v>
      </c>
      <c r="H43" s="230" t="s">
        <v>646</v>
      </c>
      <c r="I43" s="231">
        <v>0</v>
      </c>
      <c r="J43" s="230" t="s">
        <v>214</v>
      </c>
    </row>
    <row r="44" spans="1:10" x14ac:dyDescent="0.25">
      <c r="A44" s="228" t="s">
        <v>683</v>
      </c>
      <c r="B44" s="228" t="s">
        <v>671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645</v>
      </c>
      <c r="H44" s="230" t="s">
        <v>646</v>
      </c>
      <c r="I44" s="231">
        <v>0</v>
      </c>
      <c r="J44" s="230" t="s">
        <v>198</v>
      </c>
    </row>
    <row r="45" spans="1:10" x14ac:dyDescent="0.25">
      <c r="A45" s="228" t="s">
        <v>683</v>
      </c>
      <c r="B45" s="228" t="s">
        <v>671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645</v>
      </c>
      <c r="H45" s="230" t="s">
        <v>646</v>
      </c>
      <c r="I45" s="231">
        <v>0</v>
      </c>
      <c r="J45" s="230" t="s">
        <v>14</v>
      </c>
    </row>
    <row r="46" spans="1:10" x14ac:dyDescent="0.25">
      <c r="A46" s="228" t="s">
        <v>684</v>
      </c>
      <c r="B46" s="228" t="s">
        <v>671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645</v>
      </c>
      <c r="H46" s="230" t="s">
        <v>646</v>
      </c>
      <c r="I46" s="231">
        <v>0</v>
      </c>
      <c r="J46" s="230" t="s">
        <v>198</v>
      </c>
    </row>
    <row r="47" spans="1:10" x14ac:dyDescent="0.25">
      <c r="A47" s="228" t="s">
        <v>684</v>
      </c>
      <c r="B47" s="228" t="s">
        <v>671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645</v>
      </c>
      <c r="H47" s="230" t="s">
        <v>646</v>
      </c>
      <c r="I47" s="231">
        <v>0</v>
      </c>
      <c r="J47" s="230" t="s">
        <v>14</v>
      </c>
    </row>
    <row r="48" spans="1:10" x14ac:dyDescent="0.25">
      <c r="A48" s="228" t="s">
        <v>685</v>
      </c>
      <c r="B48" s="228" t="s">
        <v>671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645</v>
      </c>
      <c r="H48" s="230" t="s">
        <v>646</v>
      </c>
      <c r="I48" s="231">
        <v>0</v>
      </c>
      <c r="J48" s="230" t="s">
        <v>198</v>
      </c>
    </row>
    <row r="49" spans="1:10" x14ac:dyDescent="0.25">
      <c r="A49" s="228" t="s">
        <v>685</v>
      </c>
      <c r="B49" s="228" t="s">
        <v>671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645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686</v>
      </c>
      <c r="B50" s="228" t="s">
        <v>671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645</v>
      </c>
      <c r="H50" s="230" t="s">
        <v>646</v>
      </c>
      <c r="I50" s="231">
        <v>0</v>
      </c>
      <c r="J50" s="230" t="s">
        <v>197</v>
      </c>
    </row>
    <row r="51" spans="1:10" x14ac:dyDescent="0.25">
      <c r="A51" s="228" t="s">
        <v>686</v>
      </c>
      <c r="B51" s="228" t="s">
        <v>671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645</v>
      </c>
      <c r="H51" s="230" t="s">
        <v>646</v>
      </c>
      <c r="I51" s="231">
        <v>0</v>
      </c>
      <c r="J51" s="230" t="s">
        <v>20</v>
      </c>
    </row>
    <row r="52" spans="1:10" x14ac:dyDescent="0.25">
      <c r="A52" s="228" t="s">
        <v>687</v>
      </c>
      <c r="B52" s="228" t="s">
        <v>671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645</v>
      </c>
      <c r="H52" s="230" t="s">
        <v>646</v>
      </c>
      <c r="I52" s="231">
        <v>0</v>
      </c>
      <c r="J52" s="230" t="s">
        <v>197</v>
      </c>
    </row>
    <row r="53" spans="1:10" x14ac:dyDescent="0.25">
      <c r="A53" s="228" t="s">
        <v>687</v>
      </c>
      <c r="B53" s="228" t="s">
        <v>671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645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688</v>
      </c>
      <c r="B54" s="228" t="s">
        <v>671</v>
      </c>
      <c r="C54" s="228" t="s">
        <v>689</v>
      </c>
      <c r="D54" s="229">
        <v>2472</v>
      </c>
      <c r="E54" s="229">
        <v>2352</v>
      </c>
      <c r="F54" s="229">
        <v>120</v>
      </c>
      <c r="G54" s="228" t="s">
        <v>645</v>
      </c>
      <c r="H54" s="230" t="s">
        <v>167</v>
      </c>
      <c r="I54" s="231">
        <v>300</v>
      </c>
      <c r="J54" s="230" t="s">
        <v>203</v>
      </c>
    </row>
    <row r="55" spans="1:10" x14ac:dyDescent="0.25">
      <c r="A55" s="228" t="s">
        <v>688</v>
      </c>
      <c r="B55" s="228" t="s">
        <v>671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645</v>
      </c>
      <c r="H55" s="230" t="s">
        <v>646</v>
      </c>
      <c r="I55" s="231">
        <v>0</v>
      </c>
      <c r="J55" s="230" t="s">
        <v>197</v>
      </c>
    </row>
    <row r="56" spans="1:10" x14ac:dyDescent="0.25">
      <c r="A56" s="228" t="s">
        <v>690</v>
      </c>
      <c r="B56" s="228" t="s">
        <v>671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645</v>
      </c>
      <c r="H56" s="230" t="s">
        <v>646</v>
      </c>
      <c r="I56" s="231">
        <v>0</v>
      </c>
      <c r="J56" s="230" t="s">
        <v>197</v>
      </c>
    </row>
    <row r="57" spans="1:10" x14ac:dyDescent="0.25">
      <c r="A57" s="228" t="s">
        <v>691</v>
      </c>
      <c r="B57" s="228" t="s">
        <v>671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645</v>
      </c>
      <c r="H57" s="230" t="s">
        <v>646</v>
      </c>
      <c r="I57" s="231">
        <v>0</v>
      </c>
      <c r="J57" s="230" t="s">
        <v>197</v>
      </c>
    </row>
    <row r="58" spans="1:10" x14ac:dyDescent="0.25">
      <c r="A58" s="228" t="s">
        <v>691</v>
      </c>
      <c r="B58" s="228" t="s">
        <v>671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645</v>
      </c>
      <c r="H58" s="230" t="s">
        <v>176</v>
      </c>
      <c r="I58" s="231">
        <v>180</v>
      </c>
      <c r="J58" s="230" t="s">
        <v>182</v>
      </c>
    </row>
    <row r="59" spans="1:10" x14ac:dyDescent="0.25">
      <c r="A59" s="228" t="s">
        <v>692</v>
      </c>
      <c r="B59" s="228" t="s">
        <v>671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645</v>
      </c>
      <c r="H59" s="230" t="s">
        <v>646</v>
      </c>
      <c r="I59" s="231">
        <v>0</v>
      </c>
      <c r="J59" s="230" t="s">
        <v>197</v>
      </c>
    </row>
    <row r="60" spans="1:10" x14ac:dyDescent="0.25">
      <c r="A60" s="228" t="s">
        <v>692</v>
      </c>
      <c r="B60" s="228" t="s">
        <v>671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645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693</v>
      </c>
      <c r="B61" s="228" t="s">
        <v>671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645</v>
      </c>
      <c r="H61" s="230" t="s">
        <v>646</v>
      </c>
      <c r="I61" s="231">
        <v>0</v>
      </c>
      <c r="J61" s="230" t="s">
        <v>197</v>
      </c>
    </row>
    <row r="62" spans="1:10" x14ac:dyDescent="0.25">
      <c r="A62" s="228" t="s">
        <v>693</v>
      </c>
      <c r="B62" s="228" t="s">
        <v>671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645</v>
      </c>
      <c r="H62" s="230" t="s">
        <v>176</v>
      </c>
      <c r="I62" s="231">
        <v>60</v>
      </c>
      <c r="J62" s="230" t="s">
        <v>182</v>
      </c>
    </row>
    <row r="63" spans="1:10" x14ac:dyDescent="0.25">
      <c r="A63" s="228" t="s">
        <v>694</v>
      </c>
      <c r="B63" s="228" t="s">
        <v>671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645</v>
      </c>
      <c r="H63" s="230" t="s">
        <v>176</v>
      </c>
      <c r="I63" s="231">
        <v>120</v>
      </c>
      <c r="J63" s="230" t="s">
        <v>197</v>
      </c>
    </row>
    <row r="64" spans="1:10" x14ac:dyDescent="0.25">
      <c r="A64" s="228" t="s">
        <v>694</v>
      </c>
      <c r="B64" s="228" t="s">
        <v>671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645</v>
      </c>
      <c r="H64" s="230" t="s">
        <v>180</v>
      </c>
      <c r="I64" s="231">
        <v>60</v>
      </c>
      <c r="J64" s="230" t="s">
        <v>182</v>
      </c>
    </row>
    <row r="65" spans="1:10" x14ac:dyDescent="0.25">
      <c r="A65" s="228" t="s">
        <v>695</v>
      </c>
      <c r="B65" s="228" t="s">
        <v>671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645</v>
      </c>
      <c r="H65" s="230" t="s">
        <v>165</v>
      </c>
      <c r="I65" s="231">
        <v>240</v>
      </c>
      <c r="J65" s="230" t="s">
        <v>203</v>
      </c>
    </row>
    <row r="66" spans="1:10" x14ac:dyDescent="0.25">
      <c r="A66" s="228" t="s">
        <v>695</v>
      </c>
      <c r="B66" s="228" t="s">
        <v>671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645</v>
      </c>
      <c r="H66" s="230" t="s">
        <v>167</v>
      </c>
      <c r="I66" s="231">
        <v>180</v>
      </c>
      <c r="J66" s="230" t="s">
        <v>696</v>
      </c>
    </row>
    <row r="67" spans="1:10" x14ac:dyDescent="0.25">
      <c r="A67" s="228" t="s">
        <v>697</v>
      </c>
      <c r="B67" s="228" t="s">
        <v>671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645</v>
      </c>
      <c r="H67" s="230" t="s">
        <v>165</v>
      </c>
      <c r="I67" s="231">
        <v>180</v>
      </c>
      <c r="J67" s="230" t="s">
        <v>197</v>
      </c>
    </row>
    <row r="68" spans="1:10" x14ac:dyDescent="0.25">
      <c r="A68" s="228" t="s">
        <v>697</v>
      </c>
      <c r="B68" s="228" t="s">
        <v>671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645</v>
      </c>
      <c r="H68" s="230" t="s">
        <v>646</v>
      </c>
      <c r="I68" s="231">
        <v>0</v>
      </c>
      <c r="J68" s="230" t="s">
        <v>20</v>
      </c>
    </row>
    <row r="69" spans="1:10" x14ac:dyDescent="0.25">
      <c r="A69" s="228" t="s">
        <v>698</v>
      </c>
      <c r="B69" s="228" t="s">
        <v>699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645</v>
      </c>
      <c r="H69" s="230" t="s">
        <v>646</v>
      </c>
      <c r="I69" s="231">
        <v>0</v>
      </c>
      <c r="J69" s="230" t="s">
        <v>700</v>
      </c>
    </row>
    <row r="70" spans="1:10" x14ac:dyDescent="0.25">
      <c r="A70" s="228" t="s">
        <v>698</v>
      </c>
      <c r="B70" s="228" t="s">
        <v>699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645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701</v>
      </c>
      <c r="B71" s="228" t="s">
        <v>699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645</v>
      </c>
      <c r="H71" s="230" t="s">
        <v>646</v>
      </c>
      <c r="I71" s="231">
        <v>0</v>
      </c>
      <c r="J71" s="230" t="s">
        <v>195</v>
      </c>
    </row>
    <row r="72" spans="1:10" x14ac:dyDescent="0.25">
      <c r="A72" s="228" t="s">
        <v>701</v>
      </c>
      <c r="B72" s="228" t="s">
        <v>699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645</v>
      </c>
      <c r="H72" s="230" t="s">
        <v>646</v>
      </c>
      <c r="I72" s="231">
        <v>0</v>
      </c>
      <c r="J72" s="230" t="s">
        <v>20</v>
      </c>
    </row>
    <row r="73" spans="1:10" x14ac:dyDescent="0.25">
      <c r="A73" s="228" t="s">
        <v>702</v>
      </c>
      <c r="B73" s="228" t="s">
        <v>699</v>
      </c>
      <c r="C73" s="228" t="s">
        <v>703</v>
      </c>
      <c r="D73" s="229">
        <v>7838</v>
      </c>
      <c r="E73" s="229">
        <v>7488</v>
      </c>
      <c r="F73" s="229">
        <v>350</v>
      </c>
      <c r="G73" s="228" t="s">
        <v>645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702</v>
      </c>
      <c r="B74" s="228" t="s">
        <v>699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645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704</v>
      </c>
      <c r="B75" s="228" t="s">
        <v>699</v>
      </c>
      <c r="C75" s="228" t="s">
        <v>703</v>
      </c>
      <c r="D75" s="229">
        <v>10858</v>
      </c>
      <c r="E75" s="229">
        <v>10608</v>
      </c>
      <c r="F75" s="229">
        <v>250</v>
      </c>
      <c r="G75" s="228" t="s">
        <v>645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704</v>
      </c>
      <c r="B76" s="228" t="s">
        <v>699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645</v>
      </c>
      <c r="H76" s="230" t="s">
        <v>646</v>
      </c>
      <c r="I76" s="231">
        <v>0</v>
      </c>
      <c r="J76" s="230" t="s">
        <v>20</v>
      </c>
    </row>
    <row r="77" spans="1:10" x14ac:dyDescent="0.25">
      <c r="A77" s="228" t="s">
        <v>705</v>
      </c>
      <c r="B77" s="228" t="s">
        <v>699</v>
      </c>
      <c r="C77" s="228" t="s">
        <v>703</v>
      </c>
      <c r="D77" s="229">
        <v>4410</v>
      </c>
      <c r="E77" s="229">
        <v>4160</v>
      </c>
      <c r="F77" s="229">
        <v>250</v>
      </c>
      <c r="G77" s="228" t="s">
        <v>645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705</v>
      </c>
      <c r="B78" s="228" t="s">
        <v>699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645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706</v>
      </c>
      <c r="B79" s="228" t="s">
        <v>699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645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707</v>
      </c>
      <c r="B80" s="228" t="s">
        <v>699</v>
      </c>
      <c r="C80" s="228" t="s">
        <v>703</v>
      </c>
      <c r="D80" s="229">
        <v>18156</v>
      </c>
      <c r="E80" s="229">
        <v>17556</v>
      </c>
      <c r="F80" s="229">
        <v>600</v>
      </c>
      <c r="G80" s="228" t="s">
        <v>645</v>
      </c>
      <c r="H80" s="230" t="s">
        <v>167</v>
      </c>
      <c r="I80" s="231">
        <v>120</v>
      </c>
      <c r="J80" s="230" t="s">
        <v>214</v>
      </c>
    </row>
    <row r="81" spans="1:10" x14ac:dyDescent="0.25">
      <c r="A81" s="228" t="s">
        <v>707</v>
      </c>
      <c r="B81" s="228" t="s">
        <v>699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645</v>
      </c>
      <c r="H81" s="230" t="s">
        <v>646</v>
      </c>
      <c r="I81" s="231">
        <v>0</v>
      </c>
      <c r="J81" s="230" t="s">
        <v>20</v>
      </c>
    </row>
    <row r="82" spans="1:10" x14ac:dyDescent="0.25">
      <c r="A82" s="228" t="s">
        <v>708</v>
      </c>
      <c r="B82" s="228" t="s">
        <v>699</v>
      </c>
      <c r="C82" s="228" t="s">
        <v>703</v>
      </c>
      <c r="D82" s="229">
        <v>6311</v>
      </c>
      <c r="E82" s="229">
        <v>6156</v>
      </c>
      <c r="F82" s="229">
        <v>155</v>
      </c>
      <c r="G82" s="228" t="s">
        <v>645</v>
      </c>
      <c r="H82" s="230" t="s">
        <v>176</v>
      </c>
      <c r="I82" s="231">
        <v>120</v>
      </c>
      <c r="J82" s="230" t="s">
        <v>214</v>
      </c>
    </row>
    <row r="83" spans="1:10" x14ac:dyDescent="0.25">
      <c r="A83" s="228" t="s">
        <v>708</v>
      </c>
      <c r="B83" s="228" t="s">
        <v>699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645</v>
      </c>
      <c r="H83" s="230" t="s">
        <v>646</v>
      </c>
      <c r="I83" s="231">
        <v>0</v>
      </c>
      <c r="J83" s="230" t="s">
        <v>17</v>
      </c>
    </row>
    <row r="84" spans="1:10" x14ac:dyDescent="0.25">
      <c r="A84" s="228" t="s">
        <v>709</v>
      </c>
      <c r="B84" s="228" t="s">
        <v>699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645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709</v>
      </c>
      <c r="B85" s="228" t="s">
        <v>699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645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710</v>
      </c>
      <c r="B86" s="228" t="s">
        <v>699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645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710</v>
      </c>
      <c r="B87" s="228" t="s">
        <v>699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645</v>
      </c>
      <c r="H87" s="230" t="s">
        <v>646</v>
      </c>
      <c r="I87" s="231">
        <v>0</v>
      </c>
      <c r="J87" s="230" t="s">
        <v>20</v>
      </c>
    </row>
    <row r="88" spans="1:10" x14ac:dyDescent="0.25">
      <c r="A88" s="228" t="s">
        <v>711</v>
      </c>
      <c r="B88" s="228" t="s">
        <v>699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645</v>
      </c>
      <c r="H88" s="230" t="s">
        <v>646</v>
      </c>
      <c r="I88" s="231">
        <v>0</v>
      </c>
      <c r="J88" s="230" t="s">
        <v>712</v>
      </c>
    </row>
    <row r="89" spans="1:10" x14ac:dyDescent="0.25">
      <c r="A89" s="228" t="s">
        <v>713</v>
      </c>
      <c r="B89" s="228" t="s">
        <v>699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645</v>
      </c>
      <c r="H89" s="230" t="s">
        <v>646</v>
      </c>
      <c r="I89" s="231">
        <v>0</v>
      </c>
      <c r="J89" s="230" t="s">
        <v>650</v>
      </c>
    </row>
    <row r="90" spans="1:10" x14ac:dyDescent="0.25">
      <c r="A90" s="228" t="s">
        <v>713</v>
      </c>
      <c r="B90" s="228" t="s">
        <v>699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645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714</v>
      </c>
      <c r="B91" s="228" t="s">
        <v>699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645</v>
      </c>
      <c r="H91" s="230" t="s">
        <v>165</v>
      </c>
      <c r="I91" s="231">
        <v>120</v>
      </c>
      <c r="J91" s="230" t="s">
        <v>203</v>
      </c>
    </row>
    <row r="92" spans="1:10" x14ac:dyDescent="0.25">
      <c r="A92" s="228" t="s">
        <v>715</v>
      </c>
      <c r="B92" s="228" t="s">
        <v>699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645</v>
      </c>
      <c r="H92" s="230" t="s">
        <v>646</v>
      </c>
      <c r="I92" s="231">
        <v>0</v>
      </c>
      <c r="J92" s="230" t="s">
        <v>203</v>
      </c>
    </row>
    <row r="93" spans="1:10" x14ac:dyDescent="0.25">
      <c r="A93" s="228" t="s">
        <v>715</v>
      </c>
      <c r="B93" s="228" t="s">
        <v>699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645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716</v>
      </c>
      <c r="B94" s="228" t="s">
        <v>699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645</v>
      </c>
      <c r="H94" s="230" t="s">
        <v>176</v>
      </c>
      <c r="I94" s="231">
        <v>300</v>
      </c>
      <c r="J94" s="230" t="s">
        <v>650</v>
      </c>
    </row>
    <row r="95" spans="1:10" x14ac:dyDescent="0.25">
      <c r="A95" s="228" t="s">
        <v>716</v>
      </c>
      <c r="B95" s="228" t="s">
        <v>699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645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717</v>
      </c>
      <c r="B96" s="228" t="s">
        <v>699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645</v>
      </c>
      <c r="H96" s="230" t="s">
        <v>646</v>
      </c>
      <c r="I96" s="231">
        <v>0</v>
      </c>
      <c r="J96" s="230" t="s">
        <v>202</v>
      </c>
    </row>
    <row r="97" spans="1:10" x14ac:dyDescent="0.25">
      <c r="A97" s="228" t="s">
        <v>717</v>
      </c>
      <c r="B97" s="228" t="s">
        <v>699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645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718</v>
      </c>
      <c r="B98" s="228" t="s">
        <v>699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645</v>
      </c>
      <c r="H98" s="230" t="s">
        <v>646</v>
      </c>
      <c r="I98" s="231">
        <v>0</v>
      </c>
      <c r="J98" s="230" t="s">
        <v>202</v>
      </c>
    </row>
    <row r="99" spans="1:10" x14ac:dyDescent="0.25">
      <c r="A99" s="228" t="s">
        <v>719</v>
      </c>
      <c r="B99" s="228" t="s">
        <v>699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645</v>
      </c>
      <c r="H99" s="230" t="s">
        <v>165</v>
      </c>
      <c r="I99" s="231">
        <v>90</v>
      </c>
      <c r="J99" s="230" t="s">
        <v>202</v>
      </c>
    </row>
    <row r="100" spans="1:10" x14ac:dyDescent="0.25">
      <c r="A100" s="228" t="s">
        <v>719</v>
      </c>
      <c r="B100" s="228" t="s">
        <v>699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645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720</v>
      </c>
      <c r="B101" s="228" t="s">
        <v>699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645</v>
      </c>
      <c r="H101" s="230" t="s">
        <v>646</v>
      </c>
      <c r="I101" s="231">
        <v>0</v>
      </c>
      <c r="J101" s="230" t="s">
        <v>226</v>
      </c>
    </row>
    <row r="102" spans="1:10" x14ac:dyDescent="0.25">
      <c r="A102" s="228" t="s">
        <v>721</v>
      </c>
      <c r="B102" s="228" t="s">
        <v>699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645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722</v>
      </c>
      <c r="B103" s="228" t="s">
        <v>699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645</v>
      </c>
      <c r="H103" s="230" t="s">
        <v>646</v>
      </c>
      <c r="I103" s="231">
        <v>0</v>
      </c>
      <c r="J103" s="230" t="s">
        <v>202</v>
      </c>
    </row>
    <row r="104" spans="1:10" x14ac:dyDescent="0.25">
      <c r="A104" s="228" t="s">
        <v>723</v>
      </c>
      <c r="B104" s="228" t="s">
        <v>699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645</v>
      </c>
      <c r="H104" s="230" t="s">
        <v>167</v>
      </c>
      <c r="I104" s="231">
        <v>120</v>
      </c>
      <c r="J104" s="230" t="s">
        <v>202</v>
      </c>
    </row>
    <row r="105" spans="1:10" x14ac:dyDescent="0.25">
      <c r="A105" s="228" t="s">
        <v>724</v>
      </c>
      <c r="B105" s="228" t="s">
        <v>699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645</v>
      </c>
      <c r="H105" s="230" t="s">
        <v>646</v>
      </c>
      <c r="I105" s="231">
        <v>0</v>
      </c>
      <c r="J105" s="230" t="s">
        <v>202</v>
      </c>
    </row>
    <row r="106" spans="1:10" x14ac:dyDescent="0.25">
      <c r="A106" s="228" t="s">
        <v>725</v>
      </c>
      <c r="B106" s="228" t="s">
        <v>726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645</v>
      </c>
      <c r="H106" s="230" t="s">
        <v>646</v>
      </c>
      <c r="I106" s="231">
        <v>0</v>
      </c>
      <c r="J106" s="230" t="s">
        <v>202</v>
      </c>
    </row>
    <row r="107" spans="1:10" x14ac:dyDescent="0.25">
      <c r="A107" s="228" t="s">
        <v>727</v>
      </c>
      <c r="B107" s="228" t="s">
        <v>726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650</v>
      </c>
    </row>
    <row r="108" spans="1:10" x14ac:dyDescent="0.25">
      <c r="A108" s="228" t="s">
        <v>727</v>
      </c>
      <c r="B108" s="228" t="s">
        <v>726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728</v>
      </c>
      <c r="B109" s="228" t="s">
        <v>726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650</v>
      </c>
    </row>
    <row r="110" spans="1:10" x14ac:dyDescent="0.25">
      <c r="A110" s="228" t="s">
        <v>728</v>
      </c>
      <c r="B110" s="228" t="s">
        <v>726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729</v>
      </c>
    </row>
    <row r="111" spans="1:10" x14ac:dyDescent="0.25">
      <c r="A111" s="228" t="s">
        <v>730</v>
      </c>
      <c r="B111" s="228" t="s">
        <v>726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203</v>
      </c>
    </row>
    <row r="112" spans="1:10" x14ac:dyDescent="0.25">
      <c r="A112" s="228" t="s">
        <v>730</v>
      </c>
      <c r="B112" s="228" t="s">
        <v>726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731</v>
      </c>
      <c r="B113" s="228" t="s">
        <v>726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645</v>
      </c>
      <c r="H113" s="230" t="s">
        <v>646</v>
      </c>
      <c r="I113" s="231">
        <v>0</v>
      </c>
      <c r="J113" s="230" t="s">
        <v>204</v>
      </c>
    </row>
    <row r="114" spans="1:10" x14ac:dyDescent="0.25">
      <c r="A114" s="228" t="s">
        <v>731</v>
      </c>
      <c r="B114" s="228" t="s">
        <v>726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645</v>
      </c>
      <c r="H114" s="230" t="s">
        <v>646</v>
      </c>
      <c r="I114" s="231">
        <v>0</v>
      </c>
      <c r="J114" s="230" t="s">
        <v>20</v>
      </c>
    </row>
    <row r="115" spans="1:10" x14ac:dyDescent="0.25">
      <c r="A115" s="228" t="s">
        <v>732</v>
      </c>
      <c r="B115" s="228" t="s">
        <v>726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732</v>
      </c>
      <c r="B116" s="228" t="s">
        <v>726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733</v>
      </c>
      <c r="B117" s="228" t="s">
        <v>726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645</v>
      </c>
      <c r="H117" s="230" t="s">
        <v>646</v>
      </c>
      <c r="I117" s="231">
        <v>0</v>
      </c>
      <c r="J117" s="230" t="s">
        <v>285</v>
      </c>
    </row>
    <row r="118" spans="1:10" x14ac:dyDescent="0.25">
      <c r="A118" s="228" t="s">
        <v>733</v>
      </c>
      <c r="B118" s="228" t="s">
        <v>726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645</v>
      </c>
      <c r="H118" s="230" t="s">
        <v>646</v>
      </c>
      <c r="I118" s="231">
        <v>0</v>
      </c>
      <c r="J118" s="230" t="s">
        <v>20</v>
      </c>
    </row>
    <row r="119" spans="1:10" x14ac:dyDescent="0.25">
      <c r="A119" s="228" t="s">
        <v>734</v>
      </c>
      <c r="B119" s="228" t="s">
        <v>726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645</v>
      </c>
      <c r="H119" s="230" t="s">
        <v>167</v>
      </c>
      <c r="I119" s="231">
        <v>200</v>
      </c>
      <c r="J119" s="230" t="s">
        <v>735</v>
      </c>
    </row>
    <row r="120" spans="1:10" x14ac:dyDescent="0.25">
      <c r="A120" s="228" t="s">
        <v>734</v>
      </c>
      <c r="B120" s="228" t="s">
        <v>726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645</v>
      </c>
      <c r="H120" s="230" t="s">
        <v>646</v>
      </c>
      <c r="I120" s="231">
        <v>0</v>
      </c>
      <c r="J120" s="230" t="s">
        <v>20</v>
      </c>
    </row>
    <row r="121" spans="1:10" x14ac:dyDescent="0.25">
      <c r="A121" s="228" t="s">
        <v>736</v>
      </c>
      <c r="B121" s="228" t="s">
        <v>726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645</v>
      </c>
      <c r="H121" s="230" t="s">
        <v>646</v>
      </c>
      <c r="I121" s="231">
        <v>0</v>
      </c>
      <c r="J121" s="230" t="s">
        <v>195</v>
      </c>
    </row>
    <row r="122" spans="1:10" x14ac:dyDescent="0.25">
      <c r="A122" s="228" t="s">
        <v>736</v>
      </c>
      <c r="B122" s="228" t="s">
        <v>726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645</v>
      </c>
      <c r="H122" s="230" t="s">
        <v>646</v>
      </c>
      <c r="I122" s="231">
        <v>0</v>
      </c>
      <c r="J122" s="230" t="s">
        <v>20</v>
      </c>
    </row>
    <row r="123" spans="1:10" x14ac:dyDescent="0.25">
      <c r="A123" s="228" t="s">
        <v>737</v>
      </c>
      <c r="B123" s="228" t="s">
        <v>726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645</v>
      </c>
      <c r="H123" s="230" t="s">
        <v>646</v>
      </c>
      <c r="I123" s="231">
        <v>0</v>
      </c>
      <c r="J123" s="230" t="s">
        <v>195</v>
      </c>
    </row>
    <row r="124" spans="1:10" x14ac:dyDescent="0.25">
      <c r="A124" s="228" t="s">
        <v>737</v>
      </c>
      <c r="B124" s="228" t="s">
        <v>726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645</v>
      </c>
      <c r="H124" s="230" t="s">
        <v>646</v>
      </c>
      <c r="I124" s="231">
        <v>0</v>
      </c>
      <c r="J124" s="230" t="s">
        <v>20</v>
      </c>
    </row>
    <row r="125" spans="1:10" x14ac:dyDescent="0.25">
      <c r="A125" s="228" t="s">
        <v>738</v>
      </c>
      <c r="B125" s="228" t="s">
        <v>726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645</v>
      </c>
      <c r="H125" s="230" t="s">
        <v>646</v>
      </c>
      <c r="I125" s="231">
        <v>0</v>
      </c>
      <c r="J125" s="230" t="s">
        <v>195</v>
      </c>
    </row>
    <row r="126" spans="1:10" x14ac:dyDescent="0.25">
      <c r="A126" s="228" t="s">
        <v>738</v>
      </c>
      <c r="B126" s="228" t="s">
        <v>726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645</v>
      </c>
      <c r="H126" s="230" t="s">
        <v>646</v>
      </c>
      <c r="I126" s="231">
        <v>0</v>
      </c>
      <c r="J126" s="230" t="s">
        <v>20</v>
      </c>
    </row>
    <row r="127" spans="1:10" x14ac:dyDescent="0.25">
      <c r="A127" s="228" t="s">
        <v>739</v>
      </c>
      <c r="B127" s="228" t="s">
        <v>726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645</v>
      </c>
      <c r="H127" s="230" t="s">
        <v>167</v>
      </c>
      <c r="I127" s="231">
        <v>240</v>
      </c>
      <c r="J127" s="230" t="s">
        <v>195</v>
      </c>
    </row>
    <row r="128" spans="1:10" x14ac:dyDescent="0.25">
      <c r="A128" s="228" t="s">
        <v>739</v>
      </c>
      <c r="B128" s="228" t="s">
        <v>726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645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740</v>
      </c>
      <c r="B129" s="228" t="s">
        <v>726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201</v>
      </c>
    </row>
    <row r="130" spans="1:10" x14ac:dyDescent="0.25">
      <c r="A130" s="228" t="s">
        <v>740</v>
      </c>
      <c r="B130" s="228" t="s">
        <v>726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741</v>
      </c>
      <c r="B131" s="228" t="s">
        <v>726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645</v>
      </c>
      <c r="H131" s="230" t="s">
        <v>742</v>
      </c>
      <c r="I131" s="231">
        <v>180</v>
      </c>
      <c r="J131" s="230" t="s">
        <v>203</v>
      </c>
    </row>
    <row r="132" spans="1:10" x14ac:dyDescent="0.25">
      <c r="A132" s="228" t="s">
        <v>741</v>
      </c>
      <c r="B132" s="228" t="s">
        <v>726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645</v>
      </c>
      <c r="H132" s="230" t="s">
        <v>646</v>
      </c>
      <c r="I132" s="231">
        <v>0</v>
      </c>
      <c r="J132" s="230" t="s">
        <v>22</v>
      </c>
    </row>
    <row r="133" spans="1:10" x14ac:dyDescent="0.25">
      <c r="A133" s="228" t="s">
        <v>743</v>
      </c>
      <c r="B133" s="228" t="s">
        <v>726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650</v>
      </c>
    </row>
    <row r="134" spans="1:10" x14ac:dyDescent="0.25">
      <c r="A134" s="228" t="s">
        <v>743</v>
      </c>
      <c r="B134" s="228" t="s">
        <v>726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744</v>
      </c>
      <c r="B135" s="228" t="s">
        <v>726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645</v>
      </c>
      <c r="H135" s="230" t="s">
        <v>646</v>
      </c>
      <c r="I135" s="231">
        <v>0</v>
      </c>
      <c r="J135" s="230" t="s">
        <v>202</v>
      </c>
    </row>
    <row r="136" spans="1:10" x14ac:dyDescent="0.25">
      <c r="A136" s="228" t="s">
        <v>744</v>
      </c>
      <c r="B136" s="228" t="s">
        <v>726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645</v>
      </c>
      <c r="H136" s="230" t="s">
        <v>646</v>
      </c>
      <c r="I136" s="231">
        <v>0</v>
      </c>
      <c r="J136" s="230" t="s">
        <v>22</v>
      </c>
    </row>
    <row r="137" spans="1:10" x14ac:dyDescent="0.25">
      <c r="A137" s="228" t="s">
        <v>745</v>
      </c>
      <c r="B137" s="228" t="s">
        <v>726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645</v>
      </c>
      <c r="H137" s="230" t="s">
        <v>742</v>
      </c>
      <c r="I137" s="231">
        <v>90</v>
      </c>
      <c r="J137" s="230" t="s">
        <v>14</v>
      </c>
    </row>
    <row r="138" spans="1:10" x14ac:dyDescent="0.25">
      <c r="A138" s="228" t="s">
        <v>745</v>
      </c>
      <c r="B138" s="228" t="s">
        <v>726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645</v>
      </c>
      <c r="H138" s="230" t="s">
        <v>646</v>
      </c>
      <c r="I138" s="231">
        <v>0</v>
      </c>
      <c r="J138" s="230" t="s">
        <v>22</v>
      </c>
    </row>
    <row r="139" spans="1:10" x14ac:dyDescent="0.25">
      <c r="A139" s="228" t="s">
        <v>746</v>
      </c>
      <c r="B139" s="228" t="s">
        <v>726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645</v>
      </c>
      <c r="H139" s="230" t="s">
        <v>646</v>
      </c>
      <c r="I139" s="231">
        <v>0</v>
      </c>
      <c r="J139" s="230" t="s">
        <v>14</v>
      </c>
    </row>
    <row r="140" spans="1:10" x14ac:dyDescent="0.25">
      <c r="A140" s="228" t="s">
        <v>746</v>
      </c>
      <c r="B140" s="228" t="s">
        <v>726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645</v>
      </c>
      <c r="H140" s="230" t="s">
        <v>646</v>
      </c>
      <c r="I140" s="231">
        <v>0</v>
      </c>
      <c r="J140" s="230" t="s">
        <v>182</v>
      </c>
    </row>
    <row r="141" spans="1:10" x14ac:dyDescent="0.25">
      <c r="A141" s="228" t="s">
        <v>747</v>
      </c>
      <c r="B141" s="228" t="s">
        <v>726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645</v>
      </c>
      <c r="H141" s="230" t="s">
        <v>646</v>
      </c>
      <c r="I141" s="231">
        <v>0</v>
      </c>
      <c r="J141" s="230" t="s">
        <v>14</v>
      </c>
    </row>
    <row r="142" spans="1:10" x14ac:dyDescent="0.25">
      <c r="A142" s="228" t="s">
        <v>747</v>
      </c>
      <c r="B142" s="228" t="s">
        <v>726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645</v>
      </c>
      <c r="H142" s="230" t="s">
        <v>646</v>
      </c>
      <c r="I142" s="231">
        <v>0</v>
      </c>
      <c r="J142" s="230" t="s">
        <v>182</v>
      </c>
    </row>
    <row r="143" spans="1:10" x14ac:dyDescent="0.25">
      <c r="A143" s="228" t="s">
        <v>748</v>
      </c>
      <c r="B143" s="228" t="s">
        <v>726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645</v>
      </c>
      <c r="H143" s="230" t="s">
        <v>167</v>
      </c>
      <c r="I143" s="231">
        <v>120</v>
      </c>
      <c r="J143" s="230" t="s">
        <v>205</v>
      </c>
    </row>
    <row r="144" spans="1:10" x14ac:dyDescent="0.25">
      <c r="A144" s="228" t="s">
        <v>748</v>
      </c>
      <c r="B144" s="228" t="s">
        <v>726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645</v>
      </c>
      <c r="H144" s="230" t="s">
        <v>180</v>
      </c>
      <c r="I144" s="231">
        <v>120</v>
      </c>
      <c r="J144" s="230" t="s">
        <v>182</v>
      </c>
    </row>
    <row r="145" spans="1:10" x14ac:dyDescent="0.25">
      <c r="A145" s="228" t="s">
        <v>749</v>
      </c>
      <c r="B145" s="228" t="s">
        <v>726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645</v>
      </c>
      <c r="H145" s="230" t="s">
        <v>742</v>
      </c>
      <c r="I145" s="231">
        <v>180</v>
      </c>
      <c r="J145" s="230" t="s">
        <v>202</v>
      </c>
    </row>
    <row r="146" spans="1:10" x14ac:dyDescent="0.25">
      <c r="A146" s="228" t="s">
        <v>749</v>
      </c>
      <c r="B146" s="228" t="s">
        <v>726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645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750</v>
      </c>
      <c r="B147" s="228" t="s">
        <v>726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645</v>
      </c>
      <c r="H147" s="230" t="s">
        <v>742</v>
      </c>
      <c r="I147" s="231">
        <v>300</v>
      </c>
      <c r="J147" s="230" t="s">
        <v>212</v>
      </c>
    </row>
    <row r="148" spans="1:10" x14ac:dyDescent="0.25">
      <c r="A148" s="228" t="s">
        <v>751</v>
      </c>
      <c r="B148" s="228" t="s">
        <v>726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645</v>
      </c>
      <c r="H148" s="230" t="s">
        <v>646</v>
      </c>
      <c r="I148" s="231">
        <v>0</v>
      </c>
      <c r="J148" s="230" t="s">
        <v>192</v>
      </c>
    </row>
    <row r="149" spans="1:10" x14ac:dyDescent="0.25">
      <c r="A149" s="228" t="s">
        <v>751</v>
      </c>
      <c r="B149" s="228" t="s">
        <v>726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645</v>
      </c>
      <c r="H149" s="230" t="s">
        <v>167</v>
      </c>
      <c r="I149" s="231">
        <v>120</v>
      </c>
      <c r="J149" s="230" t="s">
        <v>752</v>
      </c>
    </row>
    <row r="150" spans="1:10" x14ac:dyDescent="0.25">
      <c r="A150" s="228" t="s">
        <v>753</v>
      </c>
      <c r="B150" s="228" t="s">
        <v>726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645</v>
      </c>
      <c r="H150" s="230" t="s">
        <v>742</v>
      </c>
      <c r="I150" s="231">
        <v>120</v>
      </c>
      <c r="J150" s="230" t="s">
        <v>754</v>
      </c>
    </row>
    <row r="151" spans="1:10" x14ac:dyDescent="0.25">
      <c r="A151" s="228" t="s">
        <v>753</v>
      </c>
      <c r="B151" s="228" t="s">
        <v>726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645</v>
      </c>
      <c r="H151" s="230" t="s">
        <v>646</v>
      </c>
      <c r="I151" s="231">
        <v>0</v>
      </c>
      <c r="J151" s="230" t="s">
        <v>20</v>
      </c>
    </row>
    <row r="152" spans="1:10" x14ac:dyDescent="0.25">
      <c r="A152" s="228" t="s">
        <v>755</v>
      </c>
      <c r="B152" s="228" t="s">
        <v>726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645</v>
      </c>
      <c r="H152" s="230" t="s">
        <v>180</v>
      </c>
      <c r="I152" s="231">
        <v>180</v>
      </c>
      <c r="J152" s="230" t="s">
        <v>202</v>
      </c>
    </row>
    <row r="153" spans="1:10" x14ac:dyDescent="0.25">
      <c r="A153" s="228" t="s">
        <v>755</v>
      </c>
      <c r="B153" s="228" t="s">
        <v>726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645</v>
      </c>
      <c r="H153" s="230" t="s">
        <v>646</v>
      </c>
      <c r="I153" s="231">
        <v>0</v>
      </c>
      <c r="J153" s="230" t="s">
        <v>20</v>
      </c>
    </row>
    <row r="154" spans="1:10" x14ac:dyDescent="0.25">
      <c r="A154" s="228" t="s">
        <v>756</v>
      </c>
      <c r="B154" s="228" t="s">
        <v>726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645</v>
      </c>
      <c r="H154" s="230" t="s">
        <v>646</v>
      </c>
      <c r="I154" s="231">
        <v>0</v>
      </c>
      <c r="J154" s="230" t="s">
        <v>203</v>
      </c>
    </row>
    <row r="155" spans="1:10" x14ac:dyDescent="0.25">
      <c r="A155" s="228" t="s">
        <v>756</v>
      </c>
      <c r="B155" s="228" t="s">
        <v>726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645</v>
      </c>
      <c r="H155" s="230" t="s">
        <v>646</v>
      </c>
      <c r="I155" s="231">
        <v>0</v>
      </c>
      <c r="J155" s="230" t="s">
        <v>20</v>
      </c>
    </row>
    <row r="156" spans="1:10" x14ac:dyDescent="0.25">
      <c r="A156" s="228" t="s">
        <v>757</v>
      </c>
      <c r="B156" s="228" t="s">
        <v>758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202</v>
      </c>
    </row>
    <row r="157" spans="1:10" x14ac:dyDescent="0.25">
      <c r="A157" s="228" t="s">
        <v>757</v>
      </c>
      <c r="B157" s="228" t="s">
        <v>758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759</v>
      </c>
      <c r="B158" s="228" t="s">
        <v>758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645</v>
      </c>
      <c r="H158" s="230" t="s">
        <v>742</v>
      </c>
      <c r="I158" s="231">
        <v>300</v>
      </c>
      <c r="J158" s="230" t="s">
        <v>203</v>
      </c>
    </row>
    <row r="159" spans="1:10" x14ac:dyDescent="0.25">
      <c r="A159" s="228" t="s">
        <v>759</v>
      </c>
      <c r="B159" s="228" t="s">
        <v>758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645</v>
      </c>
      <c r="H159" s="230" t="s">
        <v>646</v>
      </c>
      <c r="I159" s="231">
        <v>0</v>
      </c>
      <c r="J159" s="230" t="s">
        <v>20</v>
      </c>
    </row>
    <row r="160" spans="1:10" x14ac:dyDescent="0.25">
      <c r="A160" s="228" t="s">
        <v>760</v>
      </c>
      <c r="B160" s="228" t="s">
        <v>758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645</v>
      </c>
      <c r="H160" s="230" t="s">
        <v>646</v>
      </c>
      <c r="I160" s="231">
        <v>0</v>
      </c>
      <c r="J160" s="230" t="s">
        <v>20</v>
      </c>
    </row>
    <row r="161" spans="1:10" x14ac:dyDescent="0.25">
      <c r="A161" s="228" t="s">
        <v>761</v>
      </c>
      <c r="B161" s="228" t="s">
        <v>758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645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762</v>
      </c>
      <c r="B162" s="228" t="s">
        <v>758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203</v>
      </c>
    </row>
    <row r="163" spans="1:10" x14ac:dyDescent="0.25">
      <c r="A163" s="228" t="s">
        <v>762</v>
      </c>
      <c r="B163" s="228" t="s">
        <v>758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763</v>
      </c>
      <c r="B164" s="228" t="s">
        <v>758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645</v>
      </c>
      <c r="H164" s="230" t="s">
        <v>742</v>
      </c>
      <c r="I164" s="231">
        <v>240</v>
      </c>
      <c r="J164" s="230" t="s">
        <v>764</v>
      </c>
    </row>
    <row r="165" spans="1:10" x14ac:dyDescent="0.25">
      <c r="A165" s="228" t="s">
        <v>763</v>
      </c>
      <c r="B165" s="228" t="s">
        <v>758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645</v>
      </c>
      <c r="H165" s="230" t="s">
        <v>742</v>
      </c>
      <c r="I165" s="231">
        <v>420</v>
      </c>
      <c r="J165" s="230" t="s">
        <v>17</v>
      </c>
    </row>
    <row r="166" spans="1:10" x14ac:dyDescent="0.25">
      <c r="A166" s="228" t="s">
        <v>765</v>
      </c>
      <c r="B166" s="228" t="s">
        <v>758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645</v>
      </c>
      <c r="H166" s="230" t="s">
        <v>167</v>
      </c>
      <c r="I166" s="231">
        <v>150</v>
      </c>
      <c r="J166" s="230" t="s">
        <v>764</v>
      </c>
    </row>
    <row r="167" spans="1:10" x14ac:dyDescent="0.25">
      <c r="A167" s="228" t="s">
        <v>765</v>
      </c>
      <c r="B167" s="228" t="s">
        <v>758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645</v>
      </c>
      <c r="H167" s="230" t="s">
        <v>742</v>
      </c>
      <c r="I167" s="231">
        <v>120</v>
      </c>
      <c r="J167" s="230" t="s">
        <v>17</v>
      </c>
    </row>
    <row r="168" spans="1:10" x14ac:dyDescent="0.25">
      <c r="A168" s="228" t="s">
        <v>766</v>
      </c>
      <c r="B168" s="228" t="s">
        <v>758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645</v>
      </c>
      <c r="H168" s="230" t="s">
        <v>167</v>
      </c>
      <c r="I168" s="231">
        <v>320</v>
      </c>
      <c r="J168" s="230" t="s">
        <v>767</v>
      </c>
    </row>
    <row r="169" spans="1:10" x14ac:dyDescent="0.25">
      <c r="A169" s="228" t="s">
        <v>768</v>
      </c>
      <c r="B169" s="228" t="s">
        <v>758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645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768</v>
      </c>
      <c r="B170" s="228" t="s">
        <v>758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645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769</v>
      </c>
      <c r="B171" s="228" t="s">
        <v>758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645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769</v>
      </c>
      <c r="B172" s="228" t="s">
        <v>758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645</v>
      </c>
      <c r="H172" s="230" t="s">
        <v>167</v>
      </c>
      <c r="I172" s="231">
        <v>360</v>
      </c>
      <c r="J172" s="230" t="s">
        <v>770</v>
      </c>
    </row>
    <row r="173" spans="1:10" x14ac:dyDescent="0.25">
      <c r="A173" s="228" t="s">
        <v>771</v>
      </c>
      <c r="B173" s="228" t="s">
        <v>758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645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772</v>
      </c>
      <c r="B174" s="228" t="s">
        <v>758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645</v>
      </c>
      <c r="H174" s="230" t="s">
        <v>773</v>
      </c>
      <c r="I174" s="231">
        <v>300</v>
      </c>
      <c r="J174" s="230" t="s">
        <v>20</v>
      </c>
    </row>
    <row r="175" spans="1:10" x14ac:dyDescent="0.25">
      <c r="A175" s="228" t="s">
        <v>774</v>
      </c>
      <c r="B175" s="228" t="s">
        <v>758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645</v>
      </c>
      <c r="H175" s="230" t="s">
        <v>742</v>
      </c>
      <c r="I175" s="231">
        <v>240</v>
      </c>
      <c r="J175" s="230" t="s">
        <v>14</v>
      </c>
    </row>
    <row r="176" spans="1:10" x14ac:dyDescent="0.25">
      <c r="A176" s="228" t="s">
        <v>774</v>
      </c>
      <c r="B176" s="228" t="s">
        <v>758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645</v>
      </c>
      <c r="H176" s="230" t="s">
        <v>742</v>
      </c>
      <c r="I176" s="231">
        <v>360</v>
      </c>
      <c r="J176" s="230" t="s">
        <v>20</v>
      </c>
    </row>
    <row r="177" spans="1:10" x14ac:dyDescent="0.25">
      <c r="A177" s="228" t="s">
        <v>775</v>
      </c>
      <c r="B177" s="228" t="s">
        <v>758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645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775</v>
      </c>
      <c r="B178" s="228" t="s">
        <v>758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645</v>
      </c>
      <c r="H178" s="230" t="s">
        <v>646</v>
      </c>
      <c r="I178" s="231">
        <v>0</v>
      </c>
      <c r="J178" s="230" t="s">
        <v>20</v>
      </c>
    </row>
    <row r="179" spans="1:10" x14ac:dyDescent="0.25">
      <c r="A179" s="228" t="s">
        <v>776</v>
      </c>
      <c r="B179" s="228" t="s">
        <v>758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645</v>
      </c>
      <c r="H179" s="230" t="s">
        <v>742</v>
      </c>
      <c r="I179" s="231">
        <v>240</v>
      </c>
      <c r="J179" s="230" t="s">
        <v>191</v>
      </c>
    </row>
    <row r="180" spans="1:10" x14ac:dyDescent="0.25">
      <c r="A180" s="228" t="s">
        <v>776</v>
      </c>
      <c r="B180" s="228" t="s">
        <v>758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645</v>
      </c>
      <c r="H180" s="230" t="s">
        <v>646</v>
      </c>
      <c r="I180" s="231">
        <v>0</v>
      </c>
      <c r="J180" s="230" t="s">
        <v>20</v>
      </c>
    </row>
    <row r="181" spans="1:10" x14ac:dyDescent="0.25">
      <c r="A181" s="228" t="s">
        <v>777</v>
      </c>
      <c r="B181" s="228" t="s">
        <v>758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645</v>
      </c>
      <c r="H181" s="230" t="s">
        <v>167</v>
      </c>
      <c r="I181" s="231">
        <v>560</v>
      </c>
      <c r="J181" s="230" t="s">
        <v>778</v>
      </c>
    </row>
    <row r="182" spans="1:10" x14ac:dyDescent="0.25">
      <c r="A182" s="228" t="s">
        <v>777</v>
      </c>
      <c r="B182" s="228" t="s">
        <v>758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645</v>
      </c>
      <c r="H182" s="230" t="s">
        <v>742</v>
      </c>
      <c r="I182" s="231">
        <v>300</v>
      </c>
      <c r="J182" s="230" t="s">
        <v>20</v>
      </c>
    </row>
    <row r="183" spans="1:10" x14ac:dyDescent="0.25">
      <c r="A183" s="228" t="s">
        <v>779</v>
      </c>
      <c r="B183" s="228" t="s">
        <v>758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645</v>
      </c>
      <c r="H183" s="230" t="s">
        <v>742</v>
      </c>
      <c r="I183" s="231">
        <v>150</v>
      </c>
      <c r="J183" s="230" t="s">
        <v>202</v>
      </c>
    </row>
    <row r="184" spans="1:10" x14ac:dyDescent="0.25">
      <c r="A184" s="228" t="s">
        <v>779</v>
      </c>
      <c r="B184" s="228" t="s">
        <v>758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645</v>
      </c>
      <c r="H184" s="230" t="s">
        <v>646</v>
      </c>
      <c r="I184" s="231">
        <v>0</v>
      </c>
      <c r="J184" s="230" t="s">
        <v>20</v>
      </c>
    </row>
    <row r="185" spans="1:10" x14ac:dyDescent="0.25">
      <c r="A185" s="228" t="s">
        <v>780</v>
      </c>
      <c r="B185" s="228" t="s">
        <v>758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778</v>
      </c>
    </row>
    <row r="186" spans="1:10" x14ac:dyDescent="0.25">
      <c r="A186" s="228" t="s">
        <v>780</v>
      </c>
      <c r="B186" s="228" t="s">
        <v>758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781</v>
      </c>
      <c r="B187" s="228" t="s">
        <v>782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645</v>
      </c>
      <c r="H187" s="230" t="s">
        <v>742</v>
      </c>
      <c r="I187" s="231">
        <v>180</v>
      </c>
      <c r="J187" s="230" t="s">
        <v>201</v>
      </c>
    </row>
    <row r="188" spans="1:10" x14ac:dyDescent="0.25">
      <c r="A188" s="228" t="s">
        <v>781</v>
      </c>
      <c r="B188" s="228" t="s">
        <v>782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645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783</v>
      </c>
      <c r="B189" s="228" t="s">
        <v>782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201</v>
      </c>
    </row>
    <row r="190" spans="1:10" x14ac:dyDescent="0.25">
      <c r="A190" s="228" t="s">
        <v>784</v>
      </c>
      <c r="B190" s="228" t="s">
        <v>782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645</v>
      </c>
      <c r="H190" s="230" t="s">
        <v>742</v>
      </c>
      <c r="I190" s="231">
        <v>120</v>
      </c>
      <c r="J190" s="230" t="s">
        <v>14</v>
      </c>
    </row>
    <row r="191" spans="1:10" x14ac:dyDescent="0.25">
      <c r="A191" s="228" t="s">
        <v>785</v>
      </c>
      <c r="B191" s="228" t="s">
        <v>782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645</v>
      </c>
      <c r="H191" s="230" t="s">
        <v>646</v>
      </c>
      <c r="I191" s="231">
        <v>0</v>
      </c>
      <c r="J191" s="230" t="s">
        <v>14</v>
      </c>
    </row>
    <row r="192" spans="1:10" x14ac:dyDescent="0.25">
      <c r="A192" s="228" t="s">
        <v>786</v>
      </c>
      <c r="B192" s="228" t="s">
        <v>782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645</v>
      </c>
      <c r="H192" s="230" t="s">
        <v>646</v>
      </c>
      <c r="I192" s="231">
        <v>0</v>
      </c>
      <c r="J192" s="230" t="s">
        <v>14</v>
      </c>
    </row>
    <row r="193" spans="1:10" x14ac:dyDescent="0.25">
      <c r="A193" s="228" t="s">
        <v>787</v>
      </c>
      <c r="B193" s="228" t="s">
        <v>782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788</v>
      </c>
    </row>
    <row r="194" spans="1:10" x14ac:dyDescent="0.25">
      <c r="A194" s="228" t="s">
        <v>789</v>
      </c>
      <c r="B194" s="228" t="s">
        <v>782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204</v>
      </c>
    </row>
    <row r="195" spans="1:10" x14ac:dyDescent="0.25">
      <c r="A195" s="228" t="s">
        <v>790</v>
      </c>
      <c r="B195" s="228" t="s">
        <v>782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645</v>
      </c>
      <c r="H195" s="230" t="s">
        <v>773</v>
      </c>
      <c r="I195" s="231">
        <v>360</v>
      </c>
      <c r="J195" s="230" t="s">
        <v>791</v>
      </c>
    </row>
    <row r="196" spans="1:10" x14ac:dyDescent="0.25">
      <c r="A196" s="228" t="s">
        <v>792</v>
      </c>
      <c r="B196" s="228" t="s">
        <v>782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203</v>
      </c>
    </row>
    <row r="197" spans="1:10" x14ac:dyDescent="0.25">
      <c r="A197" s="228" t="s">
        <v>793</v>
      </c>
      <c r="B197" s="228" t="s">
        <v>782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203</v>
      </c>
    </row>
    <row r="198" spans="1:10" x14ac:dyDescent="0.25">
      <c r="A198" s="228" t="s">
        <v>793</v>
      </c>
      <c r="B198" s="228" t="s">
        <v>782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645</v>
      </c>
      <c r="H198" s="230" t="s">
        <v>646</v>
      </c>
      <c r="I198" s="231">
        <v>0</v>
      </c>
      <c r="J198" s="230" t="s">
        <v>20</v>
      </c>
    </row>
    <row r="199" spans="1:10" x14ac:dyDescent="0.25">
      <c r="A199" s="228" t="s">
        <v>794</v>
      </c>
      <c r="B199" s="228" t="s">
        <v>782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645</v>
      </c>
      <c r="H199" s="230" t="s">
        <v>646</v>
      </c>
      <c r="I199" s="231">
        <v>0</v>
      </c>
      <c r="J199" s="230" t="s">
        <v>20</v>
      </c>
    </row>
    <row r="200" spans="1:10" x14ac:dyDescent="0.25">
      <c r="A200" s="228" t="s">
        <v>795</v>
      </c>
      <c r="B200" s="228" t="s">
        <v>782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645</v>
      </c>
      <c r="H200" s="230" t="s">
        <v>646</v>
      </c>
      <c r="I200" s="231">
        <v>0</v>
      </c>
      <c r="J200" s="230" t="s">
        <v>20</v>
      </c>
    </row>
    <row r="201" spans="1:10" x14ac:dyDescent="0.25">
      <c r="A201" s="228" t="s">
        <v>796</v>
      </c>
      <c r="B201" s="228" t="s">
        <v>782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645</v>
      </c>
      <c r="H201" s="230" t="s">
        <v>167</v>
      </c>
      <c r="I201" s="231">
        <v>100</v>
      </c>
      <c r="J201" s="230" t="s">
        <v>203</v>
      </c>
    </row>
    <row r="202" spans="1:10" x14ac:dyDescent="0.25">
      <c r="A202" s="228" t="s">
        <v>796</v>
      </c>
      <c r="B202" s="228" t="s">
        <v>782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645</v>
      </c>
      <c r="H202" s="230" t="s">
        <v>646</v>
      </c>
      <c r="I202" s="231">
        <v>0</v>
      </c>
      <c r="J202" s="230" t="s">
        <v>20</v>
      </c>
    </row>
    <row r="203" spans="1:10" x14ac:dyDescent="0.25">
      <c r="A203" s="228" t="s">
        <v>797</v>
      </c>
      <c r="B203" s="228" t="s">
        <v>782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645</v>
      </c>
      <c r="H203" s="230" t="s">
        <v>742</v>
      </c>
      <c r="I203" s="231">
        <v>60</v>
      </c>
      <c r="J203" s="230" t="s">
        <v>203</v>
      </c>
    </row>
    <row r="204" spans="1:10" x14ac:dyDescent="0.25">
      <c r="A204" s="228" t="s">
        <v>798</v>
      </c>
      <c r="B204" s="228" t="s">
        <v>782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645</v>
      </c>
      <c r="H204" s="230" t="s">
        <v>773</v>
      </c>
      <c r="I204" s="231">
        <v>360</v>
      </c>
      <c r="J204" s="230" t="s">
        <v>203</v>
      </c>
    </row>
    <row r="205" spans="1:10" x14ac:dyDescent="0.25">
      <c r="A205" s="228" t="s">
        <v>799</v>
      </c>
      <c r="B205" s="228" t="s">
        <v>782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645</v>
      </c>
      <c r="H205" s="230" t="s">
        <v>646</v>
      </c>
      <c r="I205" s="231">
        <v>0</v>
      </c>
      <c r="J205" s="230" t="s">
        <v>203</v>
      </c>
    </row>
    <row r="206" spans="1:10" x14ac:dyDescent="0.25">
      <c r="A206" s="228" t="s">
        <v>799</v>
      </c>
      <c r="B206" s="228" t="s">
        <v>782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645</v>
      </c>
      <c r="H206" s="230" t="s">
        <v>773</v>
      </c>
      <c r="I206" s="231">
        <v>120</v>
      </c>
      <c r="J206" s="230" t="s">
        <v>20</v>
      </c>
    </row>
    <row r="207" spans="1:10" x14ac:dyDescent="0.25">
      <c r="A207" s="228" t="s">
        <v>800</v>
      </c>
      <c r="B207" s="228" t="s">
        <v>782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801</v>
      </c>
      <c r="B208" s="228" t="s">
        <v>782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645</v>
      </c>
      <c r="H208" s="230" t="s">
        <v>646</v>
      </c>
      <c r="I208" s="231">
        <v>0</v>
      </c>
      <c r="J208" s="230" t="s">
        <v>20</v>
      </c>
    </row>
    <row r="209" spans="1:10" x14ac:dyDescent="0.25">
      <c r="A209" s="228" t="s">
        <v>802</v>
      </c>
      <c r="B209" s="228" t="s">
        <v>803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645</v>
      </c>
      <c r="H209" s="230" t="s">
        <v>183</v>
      </c>
      <c r="I209" s="231">
        <v>180</v>
      </c>
      <c r="J209" s="230" t="s">
        <v>20</v>
      </c>
    </row>
    <row r="210" spans="1:10" x14ac:dyDescent="0.25">
      <c r="A210" s="228" t="s">
        <v>804</v>
      </c>
      <c r="B210" s="228" t="s">
        <v>803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645</v>
      </c>
      <c r="H210" s="230" t="s">
        <v>183</v>
      </c>
      <c r="I210" s="231">
        <v>60</v>
      </c>
      <c r="J210" s="230" t="s">
        <v>20</v>
      </c>
    </row>
    <row r="211" spans="1:10" x14ac:dyDescent="0.25">
      <c r="A211" s="228" t="s">
        <v>805</v>
      </c>
      <c r="B211" s="228" t="s">
        <v>803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645</v>
      </c>
      <c r="H211" s="230" t="s">
        <v>646</v>
      </c>
      <c r="I211" s="231">
        <v>0</v>
      </c>
      <c r="J211" s="230" t="s">
        <v>20</v>
      </c>
    </row>
    <row r="212" spans="1:10" x14ac:dyDescent="0.25">
      <c r="A212" s="228" t="s">
        <v>806</v>
      </c>
      <c r="B212" s="228" t="s">
        <v>803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645</v>
      </c>
      <c r="H212" s="230" t="s">
        <v>176</v>
      </c>
      <c r="I212" s="231">
        <v>240</v>
      </c>
      <c r="J212" s="230" t="s">
        <v>202</v>
      </c>
    </row>
    <row r="213" spans="1:10" x14ac:dyDescent="0.25">
      <c r="A213" s="228" t="s">
        <v>807</v>
      </c>
      <c r="B213" s="228" t="s">
        <v>803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645</v>
      </c>
      <c r="H213" s="230" t="s">
        <v>646</v>
      </c>
      <c r="I213" s="231">
        <v>0</v>
      </c>
      <c r="J213" s="230" t="s">
        <v>20</v>
      </c>
    </row>
    <row r="214" spans="1:10" x14ac:dyDescent="0.25">
      <c r="A214" s="228" t="s">
        <v>808</v>
      </c>
      <c r="B214" s="228" t="s">
        <v>803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678</v>
      </c>
      <c r="H214" s="230" t="s">
        <v>809</v>
      </c>
      <c r="I214" s="231">
        <v>1</v>
      </c>
      <c r="J214" s="230" t="s">
        <v>679</v>
      </c>
    </row>
    <row r="215" spans="1:10" x14ac:dyDescent="0.25">
      <c r="A215" s="228" t="s">
        <v>810</v>
      </c>
      <c r="B215" s="228" t="s">
        <v>803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645</v>
      </c>
      <c r="H215" s="230" t="s">
        <v>646</v>
      </c>
      <c r="I215" s="231">
        <v>0</v>
      </c>
      <c r="J215" s="230" t="s">
        <v>20</v>
      </c>
    </row>
    <row r="216" spans="1:10" x14ac:dyDescent="0.25">
      <c r="A216" s="228" t="s">
        <v>811</v>
      </c>
      <c r="B216" s="228" t="s">
        <v>803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645</v>
      </c>
      <c r="H216" s="230" t="s">
        <v>176</v>
      </c>
      <c r="I216" s="231">
        <v>180</v>
      </c>
      <c r="J216" s="230" t="s">
        <v>202</v>
      </c>
    </row>
    <row r="217" spans="1:10" x14ac:dyDescent="0.25">
      <c r="A217" s="228" t="s">
        <v>811</v>
      </c>
      <c r="B217" s="228" t="s">
        <v>803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645</v>
      </c>
      <c r="H217" s="230" t="s">
        <v>646</v>
      </c>
      <c r="I217" s="231">
        <v>0</v>
      </c>
      <c r="J217" s="230" t="s">
        <v>20</v>
      </c>
    </row>
    <row r="218" spans="1:10" x14ac:dyDescent="0.25">
      <c r="A218" s="228" t="s">
        <v>812</v>
      </c>
      <c r="B218" s="228" t="s">
        <v>803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645</v>
      </c>
      <c r="H218" s="230" t="s">
        <v>646</v>
      </c>
      <c r="I218" s="231">
        <v>0</v>
      </c>
      <c r="J218" s="230" t="s">
        <v>202</v>
      </c>
    </row>
    <row r="219" spans="1:10" x14ac:dyDescent="0.25">
      <c r="A219" s="228" t="s">
        <v>813</v>
      </c>
      <c r="B219" s="228" t="s">
        <v>803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645</v>
      </c>
      <c r="H219" s="230" t="s">
        <v>176</v>
      </c>
      <c r="I219" s="231">
        <v>120</v>
      </c>
      <c r="J219" s="230" t="s">
        <v>202</v>
      </c>
    </row>
    <row r="220" spans="1:10" x14ac:dyDescent="0.25">
      <c r="A220" s="228" t="s">
        <v>814</v>
      </c>
      <c r="B220" s="228" t="s">
        <v>803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645</v>
      </c>
      <c r="H220" s="230" t="s">
        <v>183</v>
      </c>
      <c r="I220" s="231">
        <v>60</v>
      </c>
      <c r="J220" s="230" t="s">
        <v>202</v>
      </c>
    </row>
    <row r="221" spans="1:10" x14ac:dyDescent="0.25">
      <c r="A221" s="228" t="s">
        <v>815</v>
      </c>
      <c r="B221" s="228" t="s">
        <v>803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645</v>
      </c>
      <c r="H221" s="230" t="s">
        <v>165</v>
      </c>
      <c r="I221" s="231">
        <v>60</v>
      </c>
      <c r="J221" s="230" t="s">
        <v>202</v>
      </c>
    </row>
    <row r="222" spans="1:10" x14ac:dyDescent="0.25">
      <c r="A222" s="228" t="s">
        <v>815</v>
      </c>
      <c r="B222" s="228" t="s">
        <v>803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645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816</v>
      </c>
      <c r="B223" s="228" t="s">
        <v>803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678</v>
      </c>
      <c r="H223" s="230" t="s">
        <v>165</v>
      </c>
      <c r="I223" s="231">
        <v>480</v>
      </c>
      <c r="J223" s="230" t="s">
        <v>679</v>
      </c>
    </row>
    <row r="224" spans="1:10" x14ac:dyDescent="0.25">
      <c r="A224" s="228" t="s">
        <v>817</v>
      </c>
      <c r="B224" s="228" t="s">
        <v>803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678</v>
      </c>
      <c r="H224" s="230" t="s">
        <v>165</v>
      </c>
      <c r="I224" s="231">
        <v>480</v>
      </c>
      <c r="J224" s="230" t="s">
        <v>679</v>
      </c>
    </row>
    <row r="225" spans="1:10" x14ac:dyDescent="0.25">
      <c r="A225" s="228" t="s">
        <v>818</v>
      </c>
      <c r="B225" s="228" t="s">
        <v>803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678</v>
      </c>
      <c r="H225" s="230" t="s">
        <v>165</v>
      </c>
      <c r="I225" s="231">
        <v>480</v>
      </c>
      <c r="J225" s="230" t="s">
        <v>679</v>
      </c>
    </row>
    <row r="226" spans="1:10" x14ac:dyDescent="0.25">
      <c r="A226" s="228" t="s">
        <v>819</v>
      </c>
      <c r="B226" s="228" t="s">
        <v>803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678</v>
      </c>
      <c r="H226" s="230" t="s">
        <v>809</v>
      </c>
      <c r="I226" s="231">
        <v>1</v>
      </c>
      <c r="J226" s="230" t="s">
        <v>679</v>
      </c>
    </row>
    <row r="227" spans="1:10" x14ac:dyDescent="0.25">
      <c r="A227" s="228" t="s">
        <v>820</v>
      </c>
      <c r="B227" s="228" t="s">
        <v>803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645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821</v>
      </c>
      <c r="B228" s="228" t="s">
        <v>803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645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821</v>
      </c>
      <c r="B229" s="228" t="s">
        <v>803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645</v>
      </c>
      <c r="H229" s="230" t="s">
        <v>646</v>
      </c>
      <c r="I229" s="231">
        <v>0</v>
      </c>
      <c r="J229" s="230" t="s">
        <v>201</v>
      </c>
    </row>
    <row r="230" spans="1:10" x14ac:dyDescent="0.25">
      <c r="A230" s="228" t="s">
        <v>822</v>
      </c>
      <c r="B230" s="228" t="s">
        <v>803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645</v>
      </c>
      <c r="H230" s="230" t="s">
        <v>183</v>
      </c>
      <c r="I230" s="231">
        <v>180</v>
      </c>
      <c r="J230" s="230" t="s">
        <v>20</v>
      </c>
    </row>
    <row r="231" spans="1:10" x14ac:dyDescent="0.25">
      <c r="A231" s="228" t="s">
        <v>823</v>
      </c>
      <c r="B231" s="228" t="s">
        <v>803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678</v>
      </c>
      <c r="H231" s="230" t="s">
        <v>773</v>
      </c>
      <c r="I231" s="231">
        <v>480</v>
      </c>
      <c r="J231" s="230" t="s">
        <v>679</v>
      </c>
    </row>
    <row r="232" spans="1:10" x14ac:dyDescent="0.25">
      <c r="A232" s="228" t="s">
        <v>824</v>
      </c>
      <c r="B232" s="228" t="s">
        <v>803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645</v>
      </c>
      <c r="H232" s="230" t="s">
        <v>646</v>
      </c>
      <c r="I232" s="231">
        <v>0</v>
      </c>
      <c r="J232" s="230" t="s">
        <v>20</v>
      </c>
    </row>
    <row r="233" spans="1:10" x14ac:dyDescent="0.25">
      <c r="A233" s="228" t="s">
        <v>825</v>
      </c>
      <c r="B233" s="228" t="s">
        <v>803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645</v>
      </c>
      <c r="H233" s="230" t="s">
        <v>167</v>
      </c>
      <c r="I233" s="231">
        <v>45</v>
      </c>
      <c r="J233" s="230" t="s">
        <v>201</v>
      </c>
    </row>
    <row r="234" spans="1:10" x14ac:dyDescent="0.25">
      <c r="A234" s="228" t="s">
        <v>826</v>
      </c>
      <c r="B234" s="228" t="s">
        <v>803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645</v>
      </c>
      <c r="H234" s="230" t="s">
        <v>646</v>
      </c>
      <c r="I234" s="231">
        <v>0</v>
      </c>
      <c r="J234" s="230" t="s">
        <v>201</v>
      </c>
    </row>
    <row r="235" spans="1:10" x14ac:dyDescent="0.25">
      <c r="A235" s="228" t="s">
        <v>826</v>
      </c>
      <c r="B235" s="228" t="s">
        <v>803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827</v>
      </c>
      <c r="B236" s="228" t="s">
        <v>803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645</v>
      </c>
      <c r="H236" s="230" t="s">
        <v>646</v>
      </c>
      <c r="I236" s="231">
        <v>0</v>
      </c>
      <c r="J236" s="230" t="s">
        <v>17</v>
      </c>
    </row>
    <row r="237" spans="1:10" x14ac:dyDescent="0.25">
      <c r="A237" s="228" t="s">
        <v>828</v>
      </c>
      <c r="B237" s="228" t="s">
        <v>803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645</v>
      </c>
      <c r="H237" s="230" t="s">
        <v>646</v>
      </c>
      <c r="I237" s="231">
        <v>0</v>
      </c>
      <c r="J237" s="230" t="s">
        <v>17</v>
      </c>
    </row>
    <row r="238" spans="1:10" x14ac:dyDescent="0.25">
      <c r="A238" s="228" t="s">
        <v>829</v>
      </c>
      <c r="B238" s="228" t="s">
        <v>803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645</v>
      </c>
      <c r="H238" s="230" t="s">
        <v>646</v>
      </c>
      <c r="I238" s="231">
        <v>0</v>
      </c>
      <c r="J238" s="230" t="s">
        <v>201</v>
      </c>
    </row>
    <row r="239" spans="1:10" x14ac:dyDescent="0.25">
      <c r="A239" s="228" t="s">
        <v>829</v>
      </c>
      <c r="B239" s="228" t="s">
        <v>803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645</v>
      </c>
      <c r="H239" s="230" t="s">
        <v>646</v>
      </c>
      <c r="I239" s="231">
        <v>0</v>
      </c>
      <c r="J239" s="230" t="s">
        <v>20</v>
      </c>
    </row>
    <row r="240" spans="1:10" x14ac:dyDescent="0.25">
      <c r="A240" s="228" t="s">
        <v>830</v>
      </c>
      <c r="B240" s="228" t="s">
        <v>803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645</v>
      </c>
      <c r="H240" s="230" t="s">
        <v>646</v>
      </c>
      <c r="I240" s="231">
        <v>0</v>
      </c>
      <c r="J240" s="230" t="s">
        <v>201</v>
      </c>
    </row>
    <row r="241" spans="1:10" x14ac:dyDescent="0.25">
      <c r="A241" s="228" t="s">
        <v>830</v>
      </c>
      <c r="B241" s="228" t="s">
        <v>803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645</v>
      </c>
      <c r="H241" s="230" t="s">
        <v>646</v>
      </c>
      <c r="I241" s="231">
        <v>0</v>
      </c>
      <c r="J241" s="230" t="s">
        <v>20</v>
      </c>
    </row>
    <row r="242" spans="1:10" x14ac:dyDescent="0.25">
      <c r="A242" s="228" t="s">
        <v>831</v>
      </c>
      <c r="B242" s="228" t="s">
        <v>832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645</v>
      </c>
      <c r="H242" s="230" t="s">
        <v>646</v>
      </c>
      <c r="I242" s="231">
        <v>0</v>
      </c>
      <c r="J242" s="230" t="s">
        <v>20</v>
      </c>
    </row>
    <row r="243" spans="1:10" x14ac:dyDescent="0.25">
      <c r="A243" s="228" t="s">
        <v>833</v>
      </c>
      <c r="B243" s="228" t="s">
        <v>832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645</v>
      </c>
      <c r="H243" s="230" t="s">
        <v>165</v>
      </c>
      <c r="I243" s="231">
        <v>210</v>
      </c>
      <c r="J243" s="230" t="s">
        <v>201</v>
      </c>
    </row>
    <row r="244" spans="1:10" x14ac:dyDescent="0.25">
      <c r="A244" s="228" t="s">
        <v>833</v>
      </c>
      <c r="B244" s="228" t="s">
        <v>832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645</v>
      </c>
      <c r="H244" s="230" t="s">
        <v>646</v>
      </c>
      <c r="I244" s="231">
        <v>0</v>
      </c>
      <c r="J244" s="230" t="s">
        <v>20</v>
      </c>
    </row>
    <row r="245" spans="1:10" x14ac:dyDescent="0.25">
      <c r="A245" s="228" t="s">
        <v>834</v>
      </c>
      <c r="B245" s="228" t="s">
        <v>832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645</v>
      </c>
      <c r="H245" s="230" t="s">
        <v>165</v>
      </c>
      <c r="I245" s="231">
        <v>120</v>
      </c>
      <c r="J245" s="230" t="s">
        <v>201</v>
      </c>
    </row>
    <row r="246" spans="1:10" x14ac:dyDescent="0.25">
      <c r="A246" s="228" t="s">
        <v>834</v>
      </c>
      <c r="B246" s="228" t="s">
        <v>832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645</v>
      </c>
      <c r="H246" s="230" t="s">
        <v>646</v>
      </c>
      <c r="I246" s="231">
        <v>0</v>
      </c>
      <c r="J246" s="230" t="s">
        <v>20</v>
      </c>
    </row>
    <row r="247" spans="1:10" x14ac:dyDescent="0.25">
      <c r="A247" s="228" t="s">
        <v>835</v>
      </c>
      <c r="B247" s="228" t="s">
        <v>832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645</v>
      </c>
      <c r="H247" s="230" t="s">
        <v>646</v>
      </c>
      <c r="I247" s="231">
        <v>0</v>
      </c>
      <c r="J247" s="230" t="s">
        <v>201</v>
      </c>
    </row>
    <row r="248" spans="1:10" x14ac:dyDescent="0.25">
      <c r="A248" s="228" t="s">
        <v>836</v>
      </c>
      <c r="B248" s="228" t="s">
        <v>832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645</v>
      </c>
      <c r="H248" s="230" t="s">
        <v>646</v>
      </c>
      <c r="I248" s="231">
        <v>0</v>
      </c>
      <c r="J248" s="230" t="s">
        <v>20</v>
      </c>
    </row>
    <row r="249" spans="1:10" x14ac:dyDescent="0.25">
      <c r="A249" s="228" t="s">
        <v>837</v>
      </c>
      <c r="B249" s="228" t="s">
        <v>832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645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838</v>
      </c>
      <c r="B250" s="228" t="s">
        <v>832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645</v>
      </c>
      <c r="H250" s="230" t="s">
        <v>646</v>
      </c>
      <c r="I250" s="231">
        <v>0</v>
      </c>
      <c r="J250" s="230" t="s">
        <v>201</v>
      </c>
    </row>
    <row r="251" spans="1:10" x14ac:dyDescent="0.25">
      <c r="A251" s="228" t="s">
        <v>838</v>
      </c>
      <c r="B251" s="228" t="s">
        <v>832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645</v>
      </c>
      <c r="H251" s="230" t="s">
        <v>646</v>
      </c>
      <c r="I251" s="231">
        <v>0</v>
      </c>
      <c r="J251" s="230" t="s">
        <v>20</v>
      </c>
    </row>
    <row r="252" spans="1:10" x14ac:dyDescent="0.25">
      <c r="A252" s="228" t="s">
        <v>839</v>
      </c>
      <c r="B252" s="228" t="s">
        <v>832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645</v>
      </c>
      <c r="H252" s="230" t="s">
        <v>165</v>
      </c>
      <c r="I252" s="231">
        <v>120</v>
      </c>
      <c r="J252" s="230" t="s">
        <v>201</v>
      </c>
    </row>
    <row r="253" spans="1:10" x14ac:dyDescent="0.25">
      <c r="A253" s="228" t="s">
        <v>840</v>
      </c>
      <c r="B253" s="228" t="s">
        <v>832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645</v>
      </c>
      <c r="H253" s="230" t="s">
        <v>646</v>
      </c>
      <c r="I253" s="231">
        <v>0</v>
      </c>
      <c r="J253" s="230" t="s">
        <v>20</v>
      </c>
    </row>
    <row r="254" spans="1:10" x14ac:dyDescent="0.25">
      <c r="A254" s="228" t="s">
        <v>841</v>
      </c>
      <c r="B254" s="228" t="s">
        <v>832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645</v>
      </c>
      <c r="H254" s="230" t="s">
        <v>646</v>
      </c>
      <c r="I254" s="231">
        <v>0</v>
      </c>
      <c r="J254" s="230" t="s">
        <v>20</v>
      </c>
    </row>
    <row r="255" spans="1:10" x14ac:dyDescent="0.25">
      <c r="A255" s="228" t="s">
        <v>842</v>
      </c>
      <c r="B255" s="228" t="s">
        <v>832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645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843</v>
      </c>
      <c r="B256" s="228" t="s">
        <v>832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678</v>
      </c>
      <c r="H256" s="230" t="s">
        <v>165</v>
      </c>
      <c r="I256" s="231">
        <v>480</v>
      </c>
      <c r="J256" s="230" t="s">
        <v>679</v>
      </c>
    </row>
    <row r="257" spans="1:10" x14ac:dyDescent="0.25">
      <c r="A257" s="228" t="s">
        <v>844</v>
      </c>
      <c r="B257" s="228" t="s">
        <v>832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845</v>
      </c>
      <c r="B258" s="228" t="s">
        <v>832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645</v>
      </c>
      <c r="H258" s="230" t="s">
        <v>646</v>
      </c>
      <c r="I258" s="231">
        <v>0</v>
      </c>
      <c r="J258" s="230" t="s">
        <v>20</v>
      </c>
    </row>
    <row r="259" spans="1:10" x14ac:dyDescent="0.25">
      <c r="A259" s="228" t="s">
        <v>846</v>
      </c>
      <c r="B259" s="228" t="s">
        <v>832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645</v>
      </c>
      <c r="H259" s="230" t="s">
        <v>646</v>
      </c>
      <c r="I259" s="231">
        <v>0</v>
      </c>
      <c r="J259" s="230" t="s">
        <v>20</v>
      </c>
    </row>
    <row r="260" spans="1:10" x14ac:dyDescent="0.25">
      <c r="A260" s="228" t="s">
        <v>847</v>
      </c>
      <c r="B260" s="228" t="s">
        <v>832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645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848</v>
      </c>
      <c r="B261" s="228" t="s">
        <v>832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645</v>
      </c>
      <c r="H261" s="230" t="s">
        <v>165</v>
      </c>
      <c r="I261" s="231">
        <v>120</v>
      </c>
      <c r="J261" s="230" t="s">
        <v>202</v>
      </c>
    </row>
    <row r="262" spans="1:10" x14ac:dyDescent="0.25">
      <c r="A262" s="228" t="s">
        <v>849</v>
      </c>
      <c r="B262" s="228" t="s">
        <v>832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645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850</v>
      </c>
      <c r="B263" s="228" t="s">
        <v>832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678</v>
      </c>
      <c r="H263" s="230" t="s">
        <v>165</v>
      </c>
      <c r="I263" s="231">
        <v>480</v>
      </c>
      <c r="J263" s="230" t="s">
        <v>679</v>
      </c>
    </row>
    <row r="264" spans="1:10" x14ac:dyDescent="0.25">
      <c r="A264" s="228" t="s">
        <v>851</v>
      </c>
      <c r="B264" s="228" t="s">
        <v>832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645</v>
      </c>
      <c r="H264" s="230" t="s">
        <v>646</v>
      </c>
      <c r="I264" s="231">
        <v>0</v>
      </c>
      <c r="J264" s="230" t="s">
        <v>20</v>
      </c>
    </row>
    <row r="265" spans="1:10" x14ac:dyDescent="0.25">
      <c r="A265" s="228" t="s">
        <v>852</v>
      </c>
      <c r="B265" s="228" t="s">
        <v>832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645</v>
      </c>
      <c r="H265" s="230" t="s">
        <v>165</v>
      </c>
      <c r="I265" s="231">
        <v>180</v>
      </c>
      <c r="J265" s="230" t="s">
        <v>853</v>
      </c>
    </row>
    <row r="266" spans="1:10" x14ac:dyDescent="0.25">
      <c r="A266" s="228" t="s">
        <v>854</v>
      </c>
      <c r="B266" s="228" t="s">
        <v>855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645</v>
      </c>
      <c r="H266" s="230" t="s">
        <v>646</v>
      </c>
      <c r="I266" s="231">
        <v>0</v>
      </c>
      <c r="J266" s="230" t="s">
        <v>17</v>
      </c>
    </row>
    <row r="267" spans="1:10" x14ac:dyDescent="0.25">
      <c r="A267" s="228" t="s">
        <v>856</v>
      </c>
      <c r="B267" s="228" t="s">
        <v>855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678</v>
      </c>
      <c r="H267" s="230" t="s">
        <v>809</v>
      </c>
      <c r="I267" s="231">
        <v>1</v>
      </c>
      <c r="J267" s="230" t="s">
        <v>679</v>
      </c>
    </row>
    <row r="268" spans="1:10" x14ac:dyDescent="0.25">
      <c r="A268" s="228" t="s">
        <v>857</v>
      </c>
      <c r="B268" s="228" t="s">
        <v>855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645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858</v>
      </c>
      <c r="B269" s="228" t="s">
        <v>855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645</v>
      </c>
      <c r="H269" s="230" t="s">
        <v>646</v>
      </c>
      <c r="I269" s="231">
        <v>0</v>
      </c>
      <c r="J269" s="230" t="s">
        <v>20</v>
      </c>
    </row>
    <row r="270" spans="1:10" x14ac:dyDescent="0.25">
      <c r="A270" s="228" t="s">
        <v>859</v>
      </c>
      <c r="B270" s="228" t="s">
        <v>855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645</v>
      </c>
      <c r="H270" s="230" t="s">
        <v>646</v>
      </c>
      <c r="I270" s="231">
        <v>0</v>
      </c>
      <c r="J270" s="230" t="s">
        <v>14</v>
      </c>
    </row>
    <row r="271" spans="1:10" x14ac:dyDescent="0.25">
      <c r="A271" s="228" t="s">
        <v>860</v>
      </c>
      <c r="B271" s="228" t="s">
        <v>855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645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861</v>
      </c>
      <c r="B272" s="228" t="s">
        <v>855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645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862</v>
      </c>
      <c r="B273" s="228" t="s">
        <v>855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863</v>
      </c>
    </row>
    <row r="274" spans="1:10" x14ac:dyDescent="0.25">
      <c r="A274" s="228" t="s">
        <v>864</v>
      </c>
      <c r="B274" s="228" t="s">
        <v>855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865</v>
      </c>
      <c r="B275" s="228" t="s">
        <v>855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645</v>
      </c>
      <c r="H275" s="230" t="s">
        <v>646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49" t="s">
        <v>866</v>
      </c>
      <c r="B1" s="339"/>
      <c r="C1" s="339"/>
      <c r="D1" s="339"/>
      <c r="E1" s="339"/>
      <c r="F1" s="339"/>
      <c r="G1" s="339"/>
    </row>
    <row r="2" spans="1:7" ht="24" customHeight="1" x14ac:dyDescent="0.25">
      <c r="A2" s="232"/>
      <c r="B2" s="233" t="s">
        <v>867</v>
      </c>
      <c r="C2" s="234">
        <v>22000</v>
      </c>
      <c r="D2" s="350" t="s">
        <v>868</v>
      </c>
      <c r="E2" s="339"/>
      <c r="F2" s="339"/>
      <c r="G2" s="339"/>
    </row>
    <row r="4" spans="1:7" x14ac:dyDescent="0.25">
      <c r="A4" s="345" t="s">
        <v>869</v>
      </c>
      <c r="B4" s="339"/>
      <c r="C4" s="339"/>
      <c r="D4" s="339"/>
      <c r="E4" s="339"/>
      <c r="F4" s="339"/>
      <c r="G4" s="339"/>
    </row>
    <row r="5" spans="1:7" ht="35.1" customHeight="1" x14ac:dyDescent="0.25">
      <c r="A5" s="235" t="s">
        <v>636</v>
      </c>
      <c r="B5" s="235" t="s">
        <v>870</v>
      </c>
      <c r="C5" s="235" t="s">
        <v>871</v>
      </c>
      <c r="D5" s="235" t="s">
        <v>872</v>
      </c>
      <c r="E5" s="235" t="s">
        <v>873</v>
      </c>
      <c r="F5" s="235" t="s">
        <v>874</v>
      </c>
      <c r="G5" s="235" t="s">
        <v>875</v>
      </c>
    </row>
    <row r="6" spans="1:7" ht="21" customHeight="1" x14ac:dyDescent="0.25">
      <c r="A6" s="236" t="s">
        <v>644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671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699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726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758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782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803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832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855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876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5" t="s">
        <v>877</v>
      </c>
      <c r="B17" s="339"/>
      <c r="C17" s="339"/>
      <c r="D17" s="339"/>
      <c r="E17" s="339"/>
      <c r="F17" s="339"/>
      <c r="G17" s="339"/>
    </row>
    <row r="18" spans="1:7" ht="24.95" customHeight="1" x14ac:dyDescent="0.25">
      <c r="A18" s="235" t="s">
        <v>240</v>
      </c>
      <c r="B18" s="235" t="s">
        <v>637</v>
      </c>
      <c r="C18" s="235" t="s">
        <v>638</v>
      </c>
      <c r="D18" s="235" t="s">
        <v>878</v>
      </c>
      <c r="E18" s="235" t="s">
        <v>879</v>
      </c>
      <c r="F18" s="235" t="s">
        <v>880</v>
      </c>
      <c r="G18" s="235" t="s">
        <v>382</v>
      </c>
    </row>
    <row r="19" spans="1:7" ht="20.100000000000001" customHeight="1" x14ac:dyDescent="0.25">
      <c r="A19" s="245" t="s">
        <v>854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646</v>
      </c>
      <c r="G19" s="245" t="s">
        <v>17</v>
      </c>
    </row>
    <row r="20" spans="1:7" ht="20.100000000000001" customHeight="1" x14ac:dyDescent="0.25">
      <c r="A20" s="245" t="s">
        <v>856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809</v>
      </c>
      <c r="G20" s="245" t="s">
        <v>679</v>
      </c>
    </row>
    <row r="21" spans="1:7" ht="20.100000000000001" customHeight="1" x14ac:dyDescent="0.25">
      <c r="A21" s="245" t="s">
        <v>857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858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646</v>
      </c>
      <c r="G22" s="245" t="s">
        <v>20</v>
      </c>
    </row>
    <row r="23" spans="1:7" ht="20.100000000000001" customHeight="1" x14ac:dyDescent="0.25">
      <c r="A23" s="245" t="s">
        <v>859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646</v>
      </c>
      <c r="G23" s="245" t="s">
        <v>14</v>
      </c>
    </row>
    <row r="24" spans="1:7" ht="20.100000000000001" customHeight="1" x14ac:dyDescent="0.25">
      <c r="A24" s="245" t="s">
        <v>860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861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862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863</v>
      </c>
    </row>
    <row r="27" spans="1:7" ht="20.100000000000001" customHeight="1" x14ac:dyDescent="0.25">
      <c r="A27" s="245" t="s">
        <v>864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865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646</v>
      </c>
      <c r="G28" s="245" t="s">
        <v>20</v>
      </c>
    </row>
    <row r="29" spans="1:7" ht="24" customHeight="1" x14ac:dyDescent="0.25">
      <c r="A29" s="248" t="s">
        <v>881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882</v>
      </c>
    </row>
    <row r="32" spans="1:7" x14ac:dyDescent="0.25">
      <c r="A32" s="345" t="s">
        <v>883</v>
      </c>
      <c r="B32" s="339"/>
      <c r="C32" s="339"/>
      <c r="D32" s="339"/>
      <c r="E32" s="339"/>
      <c r="F32" s="339"/>
      <c r="G32" s="339"/>
    </row>
    <row r="33" spans="1:7" x14ac:dyDescent="0.25">
      <c r="A33" s="251" t="s">
        <v>884</v>
      </c>
      <c r="B33" s="346" t="s">
        <v>885</v>
      </c>
      <c r="C33" s="347"/>
      <c r="D33" s="347"/>
      <c r="E33" s="347"/>
      <c r="F33" s="347"/>
      <c r="G33" s="348"/>
    </row>
    <row r="34" spans="1:7" x14ac:dyDescent="0.25">
      <c r="A34" s="251" t="s">
        <v>886</v>
      </c>
      <c r="B34" s="346" t="s">
        <v>887</v>
      </c>
      <c r="C34" s="347"/>
      <c r="D34" s="347"/>
      <c r="E34" s="347"/>
      <c r="F34" s="347"/>
      <c r="G34" s="348"/>
    </row>
    <row r="36" spans="1:7" x14ac:dyDescent="0.25">
      <c r="A36" s="251" t="s">
        <v>888</v>
      </c>
      <c r="B36" s="346" t="s">
        <v>889</v>
      </c>
      <c r="C36" s="347"/>
      <c r="D36" s="347"/>
      <c r="E36" s="347"/>
      <c r="F36" s="347"/>
      <c r="G36" s="348"/>
    </row>
    <row r="37" spans="1:7" x14ac:dyDescent="0.25">
      <c r="A37" s="251" t="s">
        <v>890</v>
      </c>
      <c r="B37" s="346" t="s">
        <v>891</v>
      </c>
      <c r="C37" s="347"/>
      <c r="D37" s="347"/>
      <c r="E37" s="347"/>
      <c r="F37" s="347"/>
      <c r="G37" s="348"/>
    </row>
    <row r="39" spans="1:7" x14ac:dyDescent="0.25">
      <c r="A39" s="251" t="s">
        <v>892</v>
      </c>
      <c r="B39" s="346" t="s">
        <v>893</v>
      </c>
      <c r="C39" s="347"/>
      <c r="D39" s="347"/>
      <c r="E39" s="347"/>
      <c r="F39" s="347"/>
      <c r="G39" s="348"/>
    </row>
    <row r="40" spans="1:7" x14ac:dyDescent="0.25">
      <c r="A40" s="251" t="s">
        <v>894</v>
      </c>
      <c r="B40" s="346" t="s">
        <v>895</v>
      </c>
      <c r="C40" s="347"/>
      <c r="D40" s="347"/>
      <c r="E40" s="347"/>
      <c r="F40" s="347"/>
      <c r="G40" s="348"/>
    </row>
    <row r="42" spans="1:7" ht="21.95" customHeight="1" x14ac:dyDescent="0.25">
      <c r="A42" s="351" t="s">
        <v>896</v>
      </c>
      <c r="B42" s="339"/>
      <c r="C42" s="339"/>
      <c r="D42" s="339"/>
      <c r="E42" s="339"/>
      <c r="F42" s="339"/>
      <c r="G42" s="339"/>
    </row>
    <row r="43" spans="1:7" x14ac:dyDescent="0.25">
      <c r="A43" s="251" t="s">
        <v>897</v>
      </c>
      <c r="B43" s="346" t="s">
        <v>898</v>
      </c>
      <c r="C43" s="347"/>
      <c r="D43" s="347"/>
      <c r="E43" s="347"/>
      <c r="F43" s="347"/>
      <c r="G43" s="348"/>
    </row>
    <row r="44" spans="1:7" x14ac:dyDescent="0.25">
      <c r="A44" s="251" t="s">
        <v>899</v>
      </c>
      <c r="B44" s="346" t="s">
        <v>900</v>
      </c>
      <c r="C44" s="347"/>
      <c r="D44" s="347"/>
      <c r="E44" s="347"/>
      <c r="F44" s="347"/>
      <c r="G44" s="348"/>
    </row>
    <row r="45" spans="1:7" ht="24.75" customHeight="1" x14ac:dyDescent="0.25">
      <c r="A45" s="251" t="s">
        <v>901</v>
      </c>
      <c r="B45" s="346" t="s">
        <v>902</v>
      </c>
      <c r="C45" s="347"/>
      <c r="D45" s="347"/>
      <c r="E45" s="347"/>
      <c r="F45" s="347"/>
      <c r="G45" s="348"/>
    </row>
    <row r="46" spans="1:7" x14ac:dyDescent="0.25">
      <c r="A46" s="251" t="s">
        <v>903</v>
      </c>
      <c r="B46" s="346" t="s">
        <v>904</v>
      </c>
      <c r="C46" s="347"/>
      <c r="D46" s="347"/>
      <c r="E46" s="347"/>
      <c r="F46" s="347"/>
      <c r="G46" s="348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2026-10-07T05:16:31Z</dcterms:modified>
  <cp:category>Operations</cp:category>
  <dc:language>en-US</dc:language>
</cp:coreProperties>
</file>