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2C531C2083440F64A00C774F59D384B69BDC5205" xr6:coauthVersionLast="47" xr6:coauthVersionMax="47" xr10:uidLastSave="{00000000-0000-0000-0000-000000000000}"/>
  <bookViews>
    <workbookView xWindow="780" yWindow="780" windowWidth="16200" windowHeight="9270" tabRatio="500" activeTab="1"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MRP!$A$11:$J$93</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H110" i="5"/>
  <c r="J110" i="5" s="1"/>
  <c r="H109" i="5"/>
  <c r="J109" i="5" s="1"/>
  <c r="H108" i="5"/>
  <c r="J108" i="5" s="1"/>
  <c r="H107" i="5"/>
  <c r="J107" i="5" s="1"/>
  <c r="H106" i="5"/>
  <c r="J106" i="5" s="1"/>
  <c r="H105" i="5"/>
  <c r="J105" i="5" s="1"/>
  <c r="H104" i="5"/>
  <c r="J104" i="5" s="1"/>
  <c r="H103" i="5"/>
  <c r="J103" i="5" s="1"/>
  <c r="H102" i="5"/>
  <c r="J102" i="5" s="1"/>
  <c r="H101" i="5"/>
  <c r="J101" i="5" s="1"/>
  <c r="H100" i="5"/>
  <c r="J100" i="5" s="1"/>
  <c r="H99" i="5"/>
  <c r="J99" i="5" s="1"/>
  <c r="H98" i="5"/>
  <c r="J98" i="5" s="1"/>
  <c r="H97" i="5"/>
  <c r="J97" i="5" s="1"/>
  <c r="H96" i="5"/>
  <c r="J96" i="5" s="1"/>
  <c r="J94" i="5"/>
  <c r="H92" i="5"/>
  <c r="J92" i="5" s="1"/>
  <c r="H91" i="5"/>
  <c r="J91" i="5" s="1"/>
  <c r="H90" i="5"/>
  <c r="J90" i="5" s="1"/>
  <c r="H89" i="5"/>
  <c r="J89" i="5" s="1"/>
  <c r="H88" i="5"/>
  <c r="J88" i="5" s="1"/>
  <c r="H87" i="5"/>
  <c r="J87" i="5" s="1"/>
  <c r="H86" i="5"/>
  <c r="J86" i="5" s="1"/>
  <c r="H85" i="5"/>
  <c r="J85" i="5" s="1"/>
  <c r="H84" i="5"/>
  <c r="J84" i="5" s="1"/>
  <c r="H83" i="5"/>
  <c r="J83" i="5" s="1"/>
  <c r="H82" i="5"/>
  <c r="J82" i="5" s="1"/>
  <c r="H81" i="5"/>
  <c r="J81" i="5" s="1"/>
  <c r="H80" i="5"/>
  <c r="J80" i="5" s="1"/>
  <c r="H79" i="5"/>
  <c r="J79" i="5" s="1"/>
  <c r="H78" i="5"/>
  <c r="J78" i="5" s="1"/>
  <c r="H77" i="5"/>
  <c r="J77" i="5" s="1"/>
  <c r="H76" i="5"/>
  <c r="J76" i="5" s="1"/>
  <c r="H75" i="5"/>
  <c r="J75" i="5" s="1"/>
  <c r="H74" i="5"/>
  <c r="J74" i="5" s="1"/>
  <c r="H73" i="5"/>
  <c r="J73" i="5" s="1"/>
  <c r="H72" i="5"/>
  <c r="J72" i="5" s="1"/>
  <c r="H71" i="5"/>
  <c r="J71" i="5" s="1"/>
  <c r="H70" i="5"/>
  <c r="J70" i="5" s="1"/>
  <c r="H69" i="5"/>
  <c r="J69" i="5" s="1"/>
  <c r="H68" i="5"/>
  <c r="J68" i="5" s="1"/>
  <c r="H67" i="5"/>
  <c r="J67" i="5" s="1"/>
  <c r="H66" i="5"/>
  <c r="J66" i="5" s="1"/>
  <c r="H65" i="5"/>
  <c r="J65" i="5" s="1"/>
  <c r="H64" i="5"/>
  <c r="J64" i="5" s="1"/>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H51" i="5"/>
  <c r="J51" i="5" s="1"/>
  <c r="H50" i="5"/>
  <c r="J50" i="5" s="1"/>
  <c r="H49" i="5"/>
  <c r="J49" i="5" s="1"/>
  <c r="H48" i="5"/>
  <c r="J48" i="5" s="1"/>
  <c r="H47" i="5"/>
  <c r="J47" i="5" s="1"/>
  <c r="H46" i="5"/>
  <c r="J46" i="5" s="1"/>
  <c r="H45" i="5"/>
  <c r="J45" i="5" s="1"/>
  <c r="H44" i="5"/>
  <c r="J44" i="5" s="1"/>
  <c r="H43" i="5"/>
  <c r="J43" i="5" s="1"/>
  <c r="H42" i="5"/>
  <c r="J42" i="5" s="1"/>
  <c r="H41" i="5"/>
  <c r="J41" i="5" s="1"/>
  <c r="H40" i="5"/>
  <c r="J40" i="5" s="1"/>
  <c r="H39" i="5"/>
  <c r="J39" i="5" s="1"/>
  <c r="H38" i="5"/>
  <c r="J38" i="5" s="1"/>
  <c r="H37" i="5"/>
  <c r="J37" i="5" s="1"/>
  <c r="H36" i="5"/>
  <c r="J36" i="5" s="1"/>
  <c r="H35" i="5"/>
  <c r="J35" i="5" s="1"/>
  <c r="H34" i="5"/>
  <c r="J34" i="5" s="1"/>
  <c r="H33" i="5"/>
  <c r="J33" i="5" s="1"/>
  <c r="H32" i="5"/>
  <c r="J32" i="5" s="1"/>
  <c r="H31" i="5"/>
  <c r="J31" i="5" s="1"/>
  <c r="H30" i="5"/>
  <c r="J30" i="5" s="1"/>
  <c r="H29" i="5"/>
  <c r="J29" i="5" s="1"/>
  <c r="H28" i="5"/>
  <c r="J28" i="5" s="1"/>
  <c r="H27" i="5"/>
  <c r="J27" i="5" s="1"/>
  <c r="H26" i="5"/>
  <c r="J26" i="5" s="1"/>
  <c r="H25" i="5"/>
  <c r="J25" i="5" s="1"/>
  <c r="H24" i="5"/>
  <c r="J24" i="5" s="1"/>
  <c r="H23" i="5"/>
  <c r="J23" i="5" s="1"/>
  <c r="H22" i="5"/>
  <c r="J22" i="5" s="1"/>
  <c r="H21" i="5"/>
  <c r="J21" i="5" s="1"/>
  <c r="H20" i="5"/>
  <c r="J20" i="5" s="1"/>
  <c r="H19" i="5"/>
  <c r="J19" i="5" s="1"/>
  <c r="H18" i="5"/>
  <c r="J18" i="5" s="1"/>
  <c r="H17" i="5"/>
  <c r="J17" i="5" s="1"/>
  <c r="H16" i="5"/>
  <c r="J16" i="5" s="1"/>
  <c r="H15" i="5"/>
  <c r="J15" i="5" s="1"/>
  <c r="H14" i="5"/>
  <c r="J14" i="5" s="1"/>
  <c r="J12" i="5"/>
  <c r="H10" i="5"/>
  <c r="J10" i="5" s="1"/>
  <c r="H9" i="5"/>
  <c r="J9" i="5" s="1"/>
  <c r="H8" i="5"/>
  <c r="J8" i="5" s="1"/>
  <c r="H7" i="5"/>
  <c r="J7" i="5" s="1"/>
  <c r="H6" i="5"/>
  <c r="J6" i="5" s="1"/>
  <c r="H5" i="5"/>
  <c r="J5" i="5" s="1"/>
  <c r="H4" i="5"/>
  <c r="J4" i="5" s="1"/>
  <c r="H3" i="5"/>
  <c r="J3" i="5" s="1"/>
  <c r="J1" i="5"/>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K23" i="1"/>
  <c r="H22" i="1"/>
  <c r="G22" i="1"/>
  <c r="H21" i="1"/>
  <c r="H20" i="1"/>
  <c r="G20" i="1"/>
  <c r="H19" i="1"/>
  <c r="G19" i="1"/>
  <c r="H18" i="1"/>
  <c r="H23" i="1" s="1"/>
  <c r="G18" i="1"/>
  <c r="N17" i="1"/>
  <c r="K17" i="1"/>
  <c r="N16" i="1"/>
  <c r="H16" i="1"/>
  <c r="G16" i="1"/>
  <c r="N15" i="1"/>
  <c r="H15" i="1"/>
  <c r="G15" i="1"/>
  <c r="N14" i="1"/>
  <c r="H14" i="1"/>
  <c r="H13" i="1"/>
  <c r="G13" i="1"/>
  <c r="H12" i="1"/>
  <c r="G12" i="1"/>
  <c r="H11" i="1"/>
  <c r="H17" i="1" s="1"/>
  <c r="G11" i="1"/>
  <c r="N9" i="1"/>
  <c r="N8" i="1"/>
  <c r="J8" i="1"/>
  <c r="G8" i="1" a="1"/>
  <c r="G8" i="1" s="1"/>
  <c r="D8" i="1"/>
  <c r="B8" i="1"/>
  <c r="N7" i="1"/>
  <c r="C7" i="1"/>
  <c r="J6" i="1"/>
  <c r="G6" i="1" a="1"/>
  <c r="G6" i="1" s="1"/>
  <c r="D6" i="1"/>
  <c r="B6" i="1"/>
  <c r="C5" i="1"/>
  <c r="H3" i="1"/>
  <c r="F112" i="2"/>
  <c r="F111" i="2"/>
  <c r="F110" i="2"/>
  <c r="F109" i="2"/>
  <c r="F108" i="2"/>
  <c r="F107" i="2"/>
  <c r="F106" i="2"/>
  <c r="G102" i="2"/>
  <c r="H102" i="2" s="1"/>
  <c r="G101" i="2"/>
  <c r="F101" i="2"/>
  <c r="G100" i="2"/>
  <c r="H100" i="2" s="1"/>
  <c r="G99" i="2"/>
  <c r="H99" i="2" s="1"/>
  <c r="G98" i="2"/>
  <c r="F93" i="2"/>
  <c r="F92" i="2"/>
  <c r="F91" i="2"/>
  <c r="F90" i="2"/>
  <c r="F89" i="2"/>
  <c r="F88"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G8" i="2"/>
  <c r="H8" i="2" s="1"/>
  <c r="G7" i="2"/>
  <c r="H7" i="2" s="1"/>
  <c r="G6" i="2"/>
  <c r="F6" i="2"/>
  <c r="G5" i="2"/>
  <c r="H5" i="2" s="1"/>
  <c r="G4" i="2"/>
  <c r="H4" i="2" s="1"/>
  <c r="G3" i="2"/>
  <c r="H1" i="2"/>
  <c r="J67" i="1" l="1"/>
  <c r="I67" i="1"/>
  <c r="J66" i="1"/>
  <c r="I66" i="1"/>
  <c r="J65" i="1"/>
  <c r="I65" i="1"/>
  <c r="I64" i="1"/>
  <c r="J64" i="1"/>
  <c r="I63" i="1"/>
  <c r="J63" i="1"/>
  <c r="I62" i="1"/>
  <c r="J62" i="1"/>
  <c r="I61" i="1"/>
  <c r="J61" i="1"/>
  <c r="I60" i="1"/>
  <c r="J60" i="1"/>
  <c r="I59" i="1"/>
  <c r="J59" i="1"/>
  <c r="J58" i="1"/>
  <c r="I58" i="1"/>
  <c r="I57" i="1"/>
  <c r="J57" i="1"/>
  <c r="I56" i="1"/>
  <c r="J56" i="1"/>
  <c r="J55" i="1"/>
  <c r="I55" i="1"/>
  <c r="J54" i="1"/>
  <c r="I54" i="1"/>
  <c r="I53" i="1"/>
  <c r="J53" i="1"/>
  <c r="I52" i="1"/>
  <c r="J52" i="1"/>
  <c r="J51" i="1"/>
  <c r="I51" i="1"/>
  <c r="I50" i="1"/>
  <c r="J50" i="1"/>
  <c r="J49" i="1"/>
  <c r="I49" i="1"/>
  <c r="J48" i="1"/>
  <c r="I48" i="1"/>
  <c r="J47" i="1"/>
  <c r="I47" i="1"/>
  <c r="J46" i="1"/>
  <c r="I46" i="1"/>
  <c r="J45" i="1"/>
  <c r="I45" i="1"/>
  <c r="J44" i="1"/>
  <c r="I44" i="1"/>
  <c r="I43" i="1"/>
  <c r="J43" i="1"/>
  <c r="I42" i="1"/>
  <c r="J42" i="1"/>
  <c r="I41" i="1"/>
  <c r="J41" i="1"/>
  <c r="I40" i="1"/>
  <c r="J40" i="1"/>
  <c r="I39" i="1"/>
  <c r="J39" i="1"/>
  <c r="J38" i="1"/>
  <c r="I38" i="1"/>
  <c r="I37" i="1"/>
  <c r="J37" i="1"/>
  <c r="J36" i="1"/>
  <c r="I36" i="1"/>
  <c r="J35" i="1"/>
  <c r="I35" i="1"/>
  <c r="J34" i="1"/>
  <c r="I34" i="1"/>
  <c r="J33" i="1"/>
  <c r="I33" i="1"/>
  <c r="I32" i="1"/>
  <c r="J32" i="1"/>
  <c r="J31" i="1"/>
  <c r="I31" i="1"/>
  <c r="J30" i="1"/>
  <c r="I30" i="1"/>
  <c r="J29" i="1"/>
  <c r="I29" i="1"/>
  <c r="J28" i="1"/>
  <c r="I28" i="1"/>
  <c r="J27" i="1"/>
  <c r="I27" i="1"/>
  <c r="I26" i="1"/>
  <c r="J26" i="1"/>
  <c r="J25" i="1"/>
  <c r="I25" i="1"/>
  <c r="I24" i="1"/>
  <c r="J24" i="1"/>
  <c r="I22" i="1"/>
  <c r="J22" i="1"/>
  <c r="I20" i="1"/>
  <c r="J20" i="1"/>
  <c r="J19" i="1"/>
  <c r="I19" i="1"/>
  <c r="I18" i="1"/>
  <c r="J18" i="1"/>
  <c r="J16" i="1"/>
  <c r="I16" i="1"/>
  <c r="J15" i="1"/>
  <c r="I15" i="1"/>
  <c r="N18" i="1"/>
  <c r="O14" i="1" s="1"/>
  <c r="J13" i="1"/>
  <c r="I13" i="1"/>
  <c r="J12" i="1"/>
  <c r="I12" i="1"/>
  <c r="I11" i="1"/>
  <c r="J11" i="1"/>
  <c r="N10" i="1"/>
  <c r="O7" i="1" s="1"/>
  <c r="F103" i="2"/>
  <c r="G21" i="1"/>
  <c r="G23" i="1" s="1"/>
  <c r="H101" i="2"/>
  <c r="G103" i="2"/>
  <c r="H98" i="2"/>
  <c r="F9" i="2"/>
  <c r="H6" i="2"/>
  <c r="G14" i="1"/>
  <c r="G17" i="1" s="1"/>
  <c r="G9" i="2"/>
  <c r="H3" i="2"/>
  <c r="O15" i="1" l="1"/>
  <c r="O16" i="1"/>
  <c r="O17" i="1"/>
  <c r="O8" i="1"/>
  <c r="O9" i="1"/>
  <c r="I21" i="1"/>
  <c r="I23" i="1" s="1"/>
  <c r="J21" i="1"/>
  <c r="H103" i="2"/>
  <c r="E106" i="2"/>
  <c r="H106" i="2"/>
  <c r="J106" i="2"/>
  <c r="E107" i="2"/>
  <c r="H107" i="2"/>
  <c r="J107" i="2"/>
  <c r="E108" i="2"/>
  <c r="H108" i="2"/>
  <c r="J108" i="2"/>
  <c r="E109" i="2"/>
  <c r="H109" i="2"/>
  <c r="J109" i="2"/>
  <c r="E110" i="2"/>
  <c r="H110" i="2"/>
  <c r="J110" i="2"/>
  <c r="E111" i="2"/>
  <c r="H111" i="2"/>
  <c r="J111" i="2"/>
  <c r="E112" i="2"/>
  <c r="H112" i="2"/>
  <c r="J112" i="2"/>
  <c r="I14" i="1"/>
  <c r="I17" i="1" s="1"/>
  <c r="J14" i="1"/>
  <c r="H9" i="2"/>
  <c r="H14" i="2"/>
  <c r="J14" i="2"/>
  <c r="E16" i="2"/>
  <c r="H18" i="2"/>
  <c r="J18" i="2"/>
  <c r="E20" i="2"/>
  <c r="H22" i="2"/>
  <c r="J22" i="2"/>
  <c r="E24" i="2"/>
  <c r="H26" i="2"/>
  <c r="J26" i="2"/>
  <c r="E71" i="2"/>
  <c r="H72" i="2"/>
  <c r="J72" i="2"/>
  <c r="H74" i="2"/>
  <c r="J74" i="2"/>
  <c r="H76" i="2"/>
  <c r="J76" i="2"/>
  <c r="H78" i="2"/>
  <c r="J78" i="2"/>
  <c r="E79" i="2"/>
  <c r="H80" i="2"/>
  <c r="J80" i="2"/>
  <c r="E81" i="2"/>
  <c r="H82" i="2"/>
  <c r="J82" i="2"/>
  <c r="E83" i="2"/>
  <c r="H84" i="2"/>
  <c r="J84" i="2"/>
  <c r="E85" i="2"/>
  <c r="H86" i="2"/>
  <c r="J86" i="2"/>
  <c r="E87" i="2"/>
  <c r="H88" i="2"/>
  <c r="J88" i="2"/>
  <c r="E89" i="2"/>
  <c r="H90" i="2"/>
  <c r="J90" i="2"/>
  <c r="H91" i="2"/>
  <c r="J91" i="2"/>
  <c r="E92" i="2"/>
  <c r="E93" i="2"/>
  <c r="H93" i="2"/>
  <c r="J93" i="2"/>
  <c r="E12" i="2"/>
  <c r="E13" i="2"/>
  <c r="H15" i="2"/>
  <c r="J15" i="2"/>
  <c r="E17" i="2"/>
  <c r="H19" i="2"/>
  <c r="J19" i="2"/>
  <c r="E21" i="2"/>
  <c r="E23" i="2"/>
  <c r="H25" i="2"/>
  <c r="J25" i="2"/>
  <c r="E70" i="2"/>
  <c r="H71" i="2"/>
  <c r="J71" i="2"/>
  <c r="H73" i="2"/>
  <c r="J73" i="2"/>
  <c r="H75" i="2"/>
  <c r="J75" i="2"/>
  <c r="H77" i="2"/>
  <c r="J77" i="2"/>
  <c r="H12" i="2"/>
  <c r="J12" i="2"/>
  <c r="E14" i="2"/>
  <c r="H16" i="2"/>
  <c r="J16" i="2"/>
  <c r="E18" i="2"/>
  <c r="H20" i="2"/>
  <c r="J20" i="2"/>
  <c r="E22" i="2"/>
  <c r="H24" i="2"/>
  <c r="J24" i="2"/>
  <c r="E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H13" i="2"/>
  <c r="J13" i="2"/>
  <c r="E15" i="2"/>
  <c r="H17" i="2"/>
  <c r="J17" i="2"/>
  <c r="E19" i="2"/>
  <c r="H21" i="2"/>
  <c r="J21" i="2"/>
  <c r="H23" i="2"/>
  <c r="J23" i="2"/>
  <c r="E25" i="2"/>
  <c r="H70" i="2"/>
  <c r="J70" i="2"/>
  <c r="E72" i="2"/>
  <c r="E73" i="2"/>
  <c r="E74" i="2"/>
  <c r="E75" i="2"/>
  <c r="E76" i="2"/>
  <c r="E77" i="2"/>
  <c r="E78" i="2"/>
  <c r="H79" i="2"/>
  <c r="J79" i="2"/>
  <c r="E80" i="2"/>
  <c r="H81" i="2"/>
  <c r="J81" i="2"/>
  <c r="E82" i="2"/>
  <c r="H83" i="2"/>
  <c r="J83" i="2"/>
  <c r="E84" i="2"/>
  <c r="H85" i="2"/>
  <c r="J85" i="2"/>
  <c r="E86" i="2"/>
  <c r="H87" i="2"/>
  <c r="J87" i="2"/>
  <c r="E88" i="2"/>
  <c r="H89" i="2"/>
  <c r="J89" i="2"/>
  <c r="E90" i="2"/>
  <c r="E91" i="2"/>
  <c r="H92" i="2"/>
  <c r="J92" i="2"/>
  <c r="G106" i="2" l="1"/>
  <c r="I106" i="2"/>
  <c r="G107" i="2"/>
  <c r="I107" i="2"/>
  <c r="G108" i="2"/>
  <c r="I108" i="2"/>
  <c r="G109" i="2"/>
  <c r="I109" i="2"/>
  <c r="G110" i="2"/>
  <c r="I110" i="2"/>
  <c r="G111" i="2"/>
  <c r="I111" i="2"/>
  <c r="G112" i="2"/>
  <c r="I112" i="2"/>
  <c r="G16" i="2"/>
  <c r="I16" i="2"/>
  <c r="G20" i="2"/>
  <c r="I20" i="2"/>
  <c r="G24" i="2"/>
  <c r="I24" i="2"/>
  <c r="G71" i="2"/>
  <c r="I71" i="2"/>
  <c r="G79" i="2"/>
  <c r="I79" i="2"/>
  <c r="G81" i="2"/>
  <c r="I81" i="2"/>
  <c r="G83" i="2"/>
  <c r="I83" i="2"/>
  <c r="G85" i="2"/>
  <c r="I85" i="2"/>
  <c r="G87" i="2"/>
  <c r="I87" i="2"/>
  <c r="G89" i="2"/>
  <c r="I89" i="2"/>
  <c r="G92" i="2"/>
  <c r="I92" i="2"/>
  <c r="G93" i="2"/>
  <c r="I93" i="2"/>
  <c r="G12" i="2"/>
  <c r="I12" i="2"/>
  <c r="G13" i="2"/>
  <c r="I13" i="2"/>
  <c r="G17" i="2"/>
  <c r="I17" i="2"/>
  <c r="G21" i="2"/>
  <c r="I21" i="2"/>
  <c r="G23" i="2"/>
  <c r="I23" i="2"/>
  <c r="G70" i="2"/>
  <c r="I70" i="2"/>
  <c r="G14" i="2"/>
  <c r="I14" i="2"/>
  <c r="G18" i="2"/>
  <c r="I18" i="2"/>
  <c r="G22" i="2"/>
  <c r="I22" i="2"/>
  <c r="G26" i="2"/>
  <c r="I26" i="2"/>
  <c r="G27" i="2"/>
  <c r="I27" i="2"/>
  <c r="G28" i="2"/>
  <c r="I28" i="2"/>
  <c r="G29" i="2"/>
  <c r="I29" i="2"/>
  <c r="G30" i="2"/>
  <c r="I30" i="2"/>
  <c r="G31" i="2"/>
  <c r="I31" i="2"/>
  <c r="G32" i="2"/>
  <c r="I32" i="2"/>
  <c r="G33" i="2"/>
  <c r="I33" i="2"/>
  <c r="G34" i="2"/>
  <c r="I34" i="2"/>
  <c r="G35" i="2"/>
  <c r="I35" i="2"/>
  <c r="G36" i="2"/>
  <c r="I36" i="2"/>
  <c r="G37" i="2"/>
  <c r="I37" i="2"/>
  <c r="G38" i="2"/>
  <c r="I38" i="2"/>
  <c r="G39" i="2"/>
  <c r="I39" i="2"/>
  <c r="G40" i="2"/>
  <c r="I40" i="2"/>
  <c r="G41" i="2"/>
  <c r="I41" i="2"/>
  <c r="G42" i="2"/>
  <c r="I42" i="2" s="1"/>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s="1"/>
  <c r="G57" i="2"/>
  <c r="I57" i="2"/>
  <c r="G58" i="2"/>
  <c r="I58" i="2"/>
  <c r="G59" i="2"/>
  <c r="I59" i="2"/>
  <c r="G60" i="2"/>
  <c r="I60" i="2"/>
  <c r="G61" i="2"/>
  <c r="I61" i="2"/>
  <c r="G62" i="2"/>
  <c r="I62" i="2"/>
  <c r="G63" i="2"/>
  <c r="I63" i="2"/>
  <c r="G64" i="2"/>
  <c r="I64" i="2"/>
  <c r="G65" i="2"/>
  <c r="I65" i="2"/>
  <c r="G66" i="2"/>
  <c r="I66" i="2"/>
  <c r="G67" i="2"/>
  <c r="I67" i="2"/>
  <c r="G68" i="2"/>
  <c r="I68" i="2"/>
  <c r="G69" i="2"/>
  <c r="I69" i="2"/>
  <c r="G15" i="2"/>
  <c r="I15" i="2"/>
  <c r="G19" i="2"/>
  <c r="I19" i="2"/>
  <c r="G25" i="2"/>
  <c r="I25" i="2"/>
  <c r="G72" i="2"/>
  <c r="I72" i="2"/>
  <c r="G73" i="2"/>
  <c r="I73" i="2"/>
  <c r="G74" i="2"/>
  <c r="I74" i="2"/>
  <c r="G75" i="2"/>
  <c r="I75" i="2"/>
  <c r="G76" i="2"/>
  <c r="I76" i="2"/>
  <c r="G77" i="2"/>
  <c r="I77" i="2"/>
  <c r="G78" i="2"/>
  <c r="I78" i="2"/>
  <c r="G80" i="2"/>
  <c r="I80" i="2"/>
  <c r="G82" i="2"/>
  <c r="I82" i="2"/>
  <c r="G84" i="2"/>
  <c r="I84" i="2"/>
  <c r="G86" i="2"/>
  <c r="I86" i="2"/>
  <c r="G88" i="2"/>
  <c r="I88" i="2"/>
  <c r="G90" i="2"/>
  <c r="I90" i="2"/>
  <c r="G91" i="2"/>
  <c r="I91" i="2"/>
</calcChain>
</file>

<file path=xl/sharedStrings.xml><?xml version="1.0" encoding="utf-8"?>
<sst xmlns="http://schemas.openxmlformats.org/spreadsheetml/2006/main" count="4173" uniqueCount="667">
  <si>
    <t>SEPTEMBER 2026 Tube Required Orders</t>
  </si>
  <si>
    <t>Date:</t>
  </si>
  <si>
    <t>Dia</t>
  </si>
  <si>
    <t>Customer</t>
  </si>
  <si>
    <t>Product Name</t>
  </si>
  <si>
    <t>Product ID</t>
  </si>
  <si>
    <t>Job Order #</t>
  </si>
  <si>
    <t>Required Qty</t>
  </si>
  <si>
    <t>Produced</t>
  </si>
  <si>
    <t>Remaining Balance</t>
  </si>
  <si>
    <t>Remarks</t>
  </si>
  <si>
    <t>Mablay Beauty PVT LTD.</t>
  </si>
  <si>
    <t>VINCE HIS ONLY BEARD &amp; MUSTACHE COLOR CREAM</t>
  </si>
  <si>
    <t>Not Approved</t>
  </si>
  <si>
    <t>Samsol International Private Limited</t>
  </si>
  <si>
    <t>TUBES COMMON RED</t>
  </si>
  <si>
    <t>HIS ONLY HAIR COLOR CREAM 40GM</t>
  </si>
  <si>
    <t>VINCE NURTURAL</t>
  </si>
  <si>
    <t>6901 &amp; Order Not Approved</t>
  </si>
  <si>
    <t>Golden Pearl Cosmetics (PVT) LTD</t>
  </si>
  <si>
    <t>HELLO HAIR COLOR</t>
  </si>
  <si>
    <t>Hola Hair</t>
  </si>
  <si>
    <t>H.H 100GM</t>
  </si>
  <si>
    <t>TOTAL:</t>
  </si>
  <si>
    <t>SEPTEMBER TUBES MATERIAL REQUIREMENT PLAN</t>
  </si>
  <si>
    <t>Item ID</t>
  </si>
  <si>
    <t>Category</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</si>
  <si>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</si>
  <si>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</si>
  <si>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</si>
  <si>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</si>
  <si>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</si>
  <si>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</si>
  <si>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</si>
  <si>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</si>
  <si>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</si>
  <si>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</si>
  <si>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</si>
  <si>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</si>
  <si>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</si>
  <si>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</si>
  <si>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</si>
  <si>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</si>
  <si>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</si>
  <si>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</si>
  <si>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</si>
  <si>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</si>
  <si>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</si>
  <si>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</si>
  <si>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</si>
  <si>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</si>
  <si>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</si>
  <si>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</si>
  <si>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</si>
  <si>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</si>
  <si>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</si>
  <si>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</si>
  <si>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</si>
  <si>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</si>
  <si>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</si>
  <si>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</si>
  <si>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</si>
  <si>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</si>
  <si>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</si>
  <si>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</si>
  <si>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</si>
  <si>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</si>
  <si>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</si>
  <si>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</si>
  <si>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</si>
  <si>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</si>
  <si>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</si>
  <si>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</si>
  <si>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</si>
  <si>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</si>
  <si>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</si>
  <si>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</si>
  <si>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</si>
  <si>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</si>
  <si>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</si>
  <si>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</si>
  <si>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</si>
  <si>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</si>
  <si>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</si>
  <si>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</si>
  <si>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</si>
  <si>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</si>
  <si>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</si>
  <si>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</si>
  <si>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</si>
  <si>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</si>
  <si>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</si>
  <si>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</si>
  <si>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</si>
  <si>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</si>
  <si>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</si>
  <si>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</si>
  <si>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</si>
  <si>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</si>
  <si>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</si>
  <si>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</si>
  <si>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</si>
  <si>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</si>
  <si>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</si>
  <si>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</si>
  <si>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</si>
  <si>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</si>
  <si>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</si>
  <si>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</si>
  <si>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</si>
  <si>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</si>
  <si>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</si>
  <si>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</si>
  <si>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</si>
  <si>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</si>
  <si>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</si>
  <si>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</si>
  <si>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</si>
  <si>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</si>
  <si>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</si>
  <si>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</si>
  <si>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</si>
  <si>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</si>
  <si>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</si>
  <si>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</si>
  <si>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</si>
  <si>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</si>
  <si>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</si>
  <si>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</si>
  <si>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</si>
  <si>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</si>
  <si>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</si>
  <si>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</si>
  <si>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SEPTEMBER 2026 PET Required Pet Orders</t>
  </si>
  <si>
    <t>75 ml</t>
  </si>
  <si>
    <t>Alpha Labs PVT LTD</t>
  </si>
  <si>
    <t>PET BOTTLE (75ML) TRANSPARENT BODY MIST</t>
  </si>
  <si>
    <t>352</t>
  </si>
  <si>
    <t>120 ml</t>
  </si>
  <si>
    <t>PET BOTTLE SMALL (120ML) YELLOW</t>
  </si>
  <si>
    <t>337, 345 &amp; 350</t>
  </si>
  <si>
    <t>130 ml</t>
  </si>
  <si>
    <t>PET BOTTLE 130ML WHITE</t>
  </si>
  <si>
    <t>150 ml</t>
  </si>
  <si>
    <t>PET BOTTLE (150ML)TRANSPARENT BODY MIST</t>
  </si>
  <si>
    <t>341, 347, 348 &amp; 353</t>
  </si>
  <si>
    <t>200 ml</t>
  </si>
  <si>
    <t>PET BOTTLE LARGE (200 ML) YELLOW</t>
  </si>
  <si>
    <t>SEPTEMBER PET MATERIAL REQUIREMENT PLAN</t>
  </si>
  <si>
    <t>Carton</t>
  </si>
  <si>
    <t>Poly Bag</t>
  </si>
  <si>
    <t>POLY BAG 24X36 (LDPE)</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</si>
  <si>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</si>
  <si>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</si>
  <si>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</si>
  <si>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</si>
  <si>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</si>
  <si>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</si>
  <si>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</si>
  <si>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</si>
  <si>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</si>
  <si>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</si>
  <si>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</si>
  <si>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</si>
  <si>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</si>
  <si>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Changeover</t>
  </si>
  <si>
    <t>Summary of Production &amp; Dispatch - MTD</t>
  </si>
  <si>
    <t>Mechanical</t>
  </si>
  <si>
    <t>Type</t>
  </si>
  <si>
    <t>Prod ID</t>
  </si>
  <si>
    <t>Orders</t>
  </si>
  <si>
    <t>MTD Produced</t>
  </si>
  <si>
    <t>Remaining</t>
  </si>
  <si>
    <t>Compliance</t>
  </si>
  <si>
    <t>Dispatch</t>
  </si>
  <si>
    <t>TOTAL</t>
  </si>
  <si>
    <t>100%</t>
  </si>
  <si>
    <t>Order Not Approved</t>
  </si>
  <si>
    <t>PF Machine Downtime – MTD (PET)</t>
  </si>
  <si>
    <t>Electrical</t>
  </si>
  <si>
    <t>Power Shutdown</t>
  </si>
  <si>
    <t>TRANSPARENT BOTTLE 150ML</t>
  </si>
  <si>
    <t>Bahadur</t>
  </si>
  <si>
    <t>BAHADUR TUBE 12.5MM</t>
  </si>
  <si>
    <t>Brookes Pharma Private Limited</t>
  </si>
  <si>
    <t>ECZEMUS OINTMENT 0.03% 10G</t>
  </si>
  <si>
    <t>S-45 DIA 19MM</t>
  </si>
  <si>
    <t>S-43 DIA 19MM</t>
  </si>
  <si>
    <t>PYODINE GEL 20GM</t>
  </si>
  <si>
    <t>CONTRATUBEX GEL 20G</t>
  </si>
  <si>
    <t>S-43 DIA 20.5</t>
  </si>
  <si>
    <t>SAMSOL HAIR COLOR 45 DIA 20.5 MM</t>
  </si>
  <si>
    <t>S-45 DIA 20.5</t>
  </si>
  <si>
    <t>SAMSOL HAIR COLOR 43 DIA 20.5 MM</t>
  </si>
  <si>
    <t>SAMSOL HAIR COLOR 39 SMALL PURPLE</t>
  </si>
  <si>
    <t>SAMSOL HAIR COLOR 41 SMALL PURPLE</t>
  </si>
  <si>
    <t>S-45</t>
  </si>
  <si>
    <t>S 43 25MM</t>
  </si>
  <si>
    <t>TUBES</t>
  </si>
  <si>
    <t>TUBE COMMON PURPLE</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</si>
  <si>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</si>
  <si>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</si>
  <si>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</si>
  <si>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</si>
  <si>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</si>
  <si>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</si>
  <si>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</si>
  <si>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</si>
  <si>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</si>
  <si>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</si>
  <si>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</si>
  <si>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</si>
  <si>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</si>
  <si>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</si>
  <si>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</si>
  <si>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</si>
  <si>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</si>
  <si>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</si>
  <si>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</si>
  <si>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</si>
  <si>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</si>
  <si>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</si>
  <si>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</si>
  <si>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</si>
  <si>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</si>
  <si>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</si>
  <si>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</si>
  <si>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</si>
  <si>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</si>
  <si>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LARGE 200ML WHITE</t>
  </si>
  <si>
    <t>PET BOTTLE MUSTARD OIL (200ML) TRANSPARENT</t>
  </si>
  <si>
    <t>PET BOTTLE COCONUT OIL (200ML) WHITE</t>
  </si>
  <si>
    <t>BLACK BOTTLE 200ML</t>
  </si>
  <si>
    <t>TRANSPARENT BOTTLE 300ML</t>
  </si>
  <si>
    <t>300 ml</t>
  </si>
  <si>
    <t>TRANSPARENT JAR 500ML</t>
  </si>
  <si>
    <t>500 ml</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</si>
  <si>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</si>
  <si>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</si>
  <si>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</si>
  <si>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</si>
  <si>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</si>
  <si>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</si>
  <si>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</si>
  <si>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</si>
  <si>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</si>
  <si>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</si>
  <si>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</si>
  <si>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</si>
  <si>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</si>
  <si>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</si>
  <si>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</si>
  <si>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</si>
  <si>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</si>
  <si>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</si>
  <si>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</si>
  <si>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</si>
  <si>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</si>
  <si>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Press-06</t>
  </si>
  <si>
    <t>Lacquer-04</t>
  </si>
  <si>
    <t xml:space="preserve">  BILL OF MATERIALS — Customer-Specific</t>
  </si>
  <si>
    <t>BOM ID</t>
  </si>
  <si>
    <t>Material Category</t>
  </si>
  <si>
    <t>Per 1000 Units</t>
  </si>
  <si>
    <t>Material Group</t>
  </si>
  <si>
    <t>Scrap %</t>
  </si>
  <si>
    <t>Change Note</t>
  </si>
  <si>
    <t>COMMON</t>
  </si>
  <si>
    <t>Aluminum Slugs</t>
  </si>
  <si>
    <t>Added for 13.5x4.2 inventory rate</t>
  </si>
  <si>
    <t>POLYSTER BASE COAT WHITE 234</t>
  </si>
  <si>
    <t>Base Coat</t>
  </si>
  <si>
    <t>Caps</t>
  </si>
  <si>
    <t>Cartons</t>
  </si>
  <si>
    <t>Zinc Stearate</t>
  </si>
  <si>
    <t>Lacquer</t>
  </si>
  <si>
    <t>Thinner</t>
  </si>
  <si>
    <t>Packing Tape</t>
  </si>
  <si>
    <t>Slug</t>
  </si>
  <si>
    <t>PHLOGIN GEL 20G</t>
  </si>
  <si>
    <t>POLYSTER BASE COAT WHITE 23410 CT</t>
  </si>
  <si>
    <t>pcs</t>
  </si>
  <si>
    <t>20.5x510 5ply L21.5" W14.5" H6"</t>
  </si>
  <si>
    <t>Zinc</t>
  </si>
  <si>
    <t>Tape</t>
  </si>
  <si>
    <t>INK</t>
  </si>
  <si>
    <t>ORANGE (LOCAL)</t>
  </si>
  <si>
    <t>Ink</t>
  </si>
  <si>
    <t>Latex</t>
  </si>
  <si>
    <t>25x336 5Ply L21.5" W14.5" H7 "</t>
  </si>
  <si>
    <t>RED BRONZE (LOCAL) 32519</t>
  </si>
  <si>
    <t>GERANIUM (EVER SHINE) ES-130</t>
  </si>
  <si>
    <t>GOLD V0221267-RF-401363</t>
  </si>
  <si>
    <t>M-12 S/M SPR WHITE DIA 30 SCABIN</t>
  </si>
  <si>
    <t>35x180 5ply L21.5" W14.5" H8.5"</t>
  </si>
  <si>
    <t>Zinc Powder</t>
  </si>
  <si>
    <t>Professional Beauty Solution (Pvt) Ltd.Pakistan</t>
  </si>
  <si>
    <t>30X150 3Ply L18.75" W12.5" H6.5"</t>
  </si>
  <si>
    <t>35x180 5ply</t>
  </si>
  <si>
    <t>PET Resin</t>
  </si>
  <si>
    <t>Preform 22g (same as 150ml)</t>
  </si>
  <si>
    <t>MASTER CARTON</t>
  </si>
  <si>
    <t>Master Carton</t>
  </si>
  <si>
    <t>Packing</t>
  </si>
  <si>
    <t>Masterbatch</t>
  </si>
  <si>
    <t>Master Batch</t>
  </si>
  <si>
    <t>MASTER CARTON 34.7 X 59.5 X 34.5</t>
  </si>
  <si>
    <t>PLASTIC CONTAINER/CAPS</t>
  </si>
  <si>
    <t>Granules</t>
  </si>
  <si>
    <t>Added for HDPE inventory rate</t>
  </si>
  <si>
    <t>Added for LDPE inventory rate</t>
  </si>
  <si>
    <t>Added for Marlex inventory rate</t>
  </si>
  <si>
    <t xml:space="preserve">Slugs Inventory — September 2026 MONTH TO DATE </t>
  </si>
  <si>
    <t>Item Name (ERP)</t>
  </si>
  <si>
    <t>Opening</t>
  </si>
  <si>
    <t>Received from Vendor</t>
  </si>
  <si>
    <t>Issued to Production</t>
  </si>
  <si>
    <t>Store Balance</t>
  </si>
  <si>
    <t>WIP</t>
  </si>
  <si>
    <t>Pieces Can Be Produced (Store + Floor Stock)</t>
  </si>
  <si>
    <t>Status / Remarks</t>
  </si>
  <si>
    <t>Inventory — September 2026 Month to Date</t>
  </si>
  <si>
    <t>Work In Process</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</si>
  <si>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</si>
  <si>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</si>
  <si>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</si>
  <si>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</si>
  <si>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</si>
  <si>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</si>
  <si>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</si>
  <si>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</si>
  <si>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</si>
  <si>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</si>
  <si>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</si>
  <si>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</si>
  <si>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</si>
  <si>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</si>
  <si>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</si>
  <si>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</si>
  <si>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</si>
  <si>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</si>
  <si>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</si>
  <si>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</si>
  <si>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</si>
  <si>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</si>
  <si>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</si>
  <si>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</si>
  <si>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</si>
  <si>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</si>
  <si>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</si>
  <si>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</si>
  <si>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</si>
  <si>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</si>
  <si>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</si>
  <si>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</si>
  <si>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</si>
  <si>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September 2026 Month to Date</t>
  </si>
  <si>
    <t>MASTER BATCH ONCOLOR YELLOW NE12340208-ZN</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</si>
  <si>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</si>
  <si>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</si>
  <si>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</si>
  <si>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</si>
  <si>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</si>
  <si>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</si>
  <si>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</si>
  <si>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</si>
  <si>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</si>
  <si>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</si>
  <si>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</si>
  <si>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</si>
  <si>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</si>
  <si>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</si>
  <si>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</si>
  <si>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</si>
  <si>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</si>
  <si>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</si>
  <si>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</si>
  <si>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</si>
  <si>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</si>
  <si>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</si>
  <si>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</si>
  <si>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</si>
  <si>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</si>
  <si>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</si>
  <si>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</si>
  <si>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</si>
  <si>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</si>
  <si>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</si>
  <si>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</si>
  <si>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</si>
  <si>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</si>
  <si>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</si>
  <si>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</si>
  <si>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</si>
  <si>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</si>
  <si>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</si>
  <si>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</si>
  <si>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</si>
  <si>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</si>
  <si>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</si>
  <si>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</si>
  <si>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</si>
  <si>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</si>
  <si>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</si>
  <si>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</si>
  <si>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</si>
  <si>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</si>
  <si>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</si>
  <si>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</si>
  <si>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</si>
  <si>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</si>
  <si>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</si>
  <si>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</si>
  <si>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</si>
  <si>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</si>
  <si>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</si>
  <si>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</si>
  <si>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</si>
  <si>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</si>
  <si>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</si>
  <si>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</si>
  <si>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</si>
  <si>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</si>
  <si>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</si>
  <si>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</si>
  <si>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</si>
  <si>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</si>
  <si>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</si>
  <si>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</si>
  <si>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</si>
  <si>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</si>
  <si>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</si>
  <si>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</si>
  <si>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</si>
  <si>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</si>
  <si>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</si>
  <si>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</si>
  <si>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</si>
  <si>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</si>
  <si>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</si>
  <si>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</si>
  <si>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</si>
  <si>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</si>
  <si>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</si>
  <si>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</si>
  <si>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</si>
  <si>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</si>
  <si>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</si>
  <si>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</si>
  <si>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</si>
  <si>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</si>
  <si>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</si>
  <si>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</si>
  <si>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</si>
  <si>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</si>
  <si>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</si>
  <si>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</si>
  <si>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</si>
  <si>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</si>
  <si>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</si>
  <si>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</si>
  <si>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</si>
  <si>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</si>
  <si>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</si>
  <si>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</si>
  <si>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</si>
  <si>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</si>
  <si>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</si>
  <si>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</si>
  <si>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</si>
  <si>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</si>
  <si>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</si>
  <si>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</si>
  <si>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</si>
  <si>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</si>
  <si>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</si>
  <si>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</si>
  <si>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</si>
  <si>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</si>
  <si>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</si>
  <si>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</si>
  <si>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</si>
  <si>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</si>
  <si>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</si>
  <si>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</si>
  <si>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</si>
  <si>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</si>
  <si>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</si>
  <si>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</si>
  <si>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</si>
  <si>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</si>
  <si>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</si>
  <si>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</si>
  <si>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</si>
  <si>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</si>
  <si>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</si>
  <si>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</si>
  <si>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</si>
  <si>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</si>
  <si>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</si>
  <si>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</si>
  <si>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</si>
  <si>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</si>
  <si>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</si>
  <si>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</si>
  <si>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</si>
  <si>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</si>
  <si>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</si>
  <si>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</si>
  <si>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</si>
  <si>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</si>
  <si>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</si>
  <si>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</si>
  <si>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</si>
  <si>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</si>
  <si>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</si>
  <si>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</si>
  <si>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</si>
  <si>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</si>
  <si>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</si>
  <si>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</si>
  <si>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</si>
  <si>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</si>
  <si>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</si>
  <si>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</si>
  <si>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</si>
  <si>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</si>
  <si>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</si>
  <si>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</si>
  <si>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</si>
  <si>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</si>
  <si>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</si>
  <si>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</si>
  <si>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</si>
  <si>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</si>
  <si>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</si>
  <si>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</si>
  <si>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</si>
  <si>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</si>
  <si>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</si>
  <si>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</si>
  <si>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</si>
  <si>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</si>
  <si>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</si>
  <si>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</si>
  <si>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</si>
  <si>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</si>
  <si>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</si>
  <si>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</si>
  <si>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</si>
  <si>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</si>
  <si>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</si>
  <si>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</si>
  <si>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</si>
  <si>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</si>
  <si>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</si>
  <si>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</si>
  <si>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</si>
  <si>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</si>
  <si>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</si>
  <si>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</si>
  <si>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</si>
  <si>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</si>
  <si>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</si>
  <si>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</si>
  <si>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</si>
  <si>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</si>
  <si>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</si>
  <si>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</si>
  <si>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</si>
  <si>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</si>
  <si>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</si>
  <si>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12-Sep-2026</t>
  </si>
  <si>
    <t>Shows latest date only from FG Stock In hand (Production.xlsx). Older dates are discarded. Re-run update_production.py to refresh.</t>
  </si>
  <si>
    <t>Sr.</t>
  </si>
  <si>
    <t>Product (Catalog Name)</t>
  </si>
  <si>
    <t>Dia / Vol</t>
  </si>
  <si>
    <t>FG Qty (pcs)</t>
  </si>
  <si>
    <t>Dispatch Remarks</t>
  </si>
  <si>
    <t>Cap Item ID (auto)</t>
  </si>
  <si>
    <t>150ml</t>
  </si>
  <si>
    <t>OK</t>
  </si>
  <si>
    <t>Ready for dispatch</t>
  </si>
  <si>
    <t>120ml</t>
  </si>
  <si>
    <t>25</t>
  </si>
  <si>
    <t>30</t>
  </si>
  <si>
    <t>32</t>
  </si>
  <si>
    <t>35</t>
  </si>
  <si>
    <t>Samsol 45 - No Order</t>
  </si>
  <si>
    <t>No Order</t>
  </si>
  <si>
    <t>Quality Hold</t>
  </si>
  <si>
    <t>Inprogress On Packing</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</si>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</sst>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F800]dddd\,\ mmmm\ dd\,\ yyyy"/>
    <numFmt numFmtId="171" formatCode="[$-409]d&quot;th&quot;\ mmm\ yy"/>
    <numFmt numFmtId="172" formatCode="0.#"/>
    <numFmt numFmtId="173" formatCode="_(* #,##0.00_);_(* \(#,##0.00\);_(* \-??_);_(@_)"/>
  </numFmts>
  <fonts count="75"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
      <b/>
      <sz val="14"/>
      <color rgb="FFFFFFFF"/>
      <name val="Segoe UI"/>
    </font>
    <font>
      <b/>
      <sz val="10"/>
      <color rgb="FFFFFFFF"/>
      <name val="Segoe UI"/>
    </font>
    <font>
      <sz val="10"/>
      <color rgb="FF000000"/>
      <name val="Segoe UI"/>
    </font>
  </fonts>
  <fills count="31">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
      <patternFill patternType="solid">
        <fgColor rgb="FF1F3864"/>
        <bgColor rgb="FF1F3864"/>
      </patternFill>
    </fill>
    <fill>
      <patternFill patternType="solid">
        <fgColor rgb="FF2E4D8F"/>
        <bgColor rgb="FF2E4D8F"/>
      </patternFill>
    </fill>
    <fill>
      <patternFill patternType="solid">
        <fgColor rgb="FFFFFFFF"/>
        <bgColor rgb="FFFFFFFF"/>
      </patternFill>
    </fill>
  </fills>
  <borders count="3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2E4D8F"/>
      </top>
      <bottom style="thin">
        <color rgb="FFD9D9D9"/>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8"/>
    <xf numFmtId="173" fontId="21" fillId="0" borderId="28"/>
    <xf numFmtId="0" fontId="21" fillId="0" borderId="28"/>
    <xf numFmtId="0" fontId="21" fillId="0" borderId="28">
      <alignment horizontal="left"/>
    </xf>
    <xf numFmtId="0" fontId="21" fillId="0" borderId="28"/>
    <xf numFmtId="0" fontId="21" fillId="0" borderId="28"/>
    <xf numFmtId="0" fontId="1" fillId="0" borderId="28"/>
    <xf numFmtId="0" fontId="1" fillId="0" borderId="28">
      <alignment horizontal="left"/>
    </xf>
    <xf numFmtId="0" fontId="21" fillId="0" borderId="28"/>
    <xf numFmtId="43" fontId="21" fillId="0" borderId="28"/>
  </cellStyleXfs>
  <cellXfs count="304">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13" fillId="2" borderId="0" xfId="0" applyFont="1" applyFill="1" applyBorder="1"/>
    <xf numFmtId="0" fontId="13" fillId="0" borderId="0" xfId="0" applyFont="1" applyBorder="1"/>
    <xf numFmtId="0" fontId="2" fillId="7" borderId="1" xfId="0" applyFont="1" applyFill="1" applyBorder="1" applyAlignment="1">
      <alignment horizontal="center" vertical="center"/>
    </xf>
    <xf numFmtId="0" fontId="2" fillId="7" borderId="1" xfId="0" applyFont="1" applyFill="1" applyBorder="1" applyAlignment="1">
      <alignment horizontal="left" vertical="center"/>
    </xf>
    <xf numFmtId="166" fontId="2" fillId="7" borderId="1" xfId="0" applyNumberFormat="1" applyFont="1" applyFill="1" applyBorder="1" applyAlignment="1">
      <alignment horizontal="center" vertical="center"/>
    </xf>
    <xf numFmtId="0" fontId="14" fillId="0" borderId="0" xfId="0" applyFont="1" applyBorder="1"/>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0" fontId="0" fillId="0" borderId="0" xfId="0" applyBorder="1" applyAlignment="1">
      <alignment vertical="center" wrapText="1"/>
    </xf>
    <xf numFmtId="0" fontId="16"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7" fillId="4" borderId="1" xfId="0" applyFont="1" applyFill="1" applyBorder="1" applyAlignment="1">
      <alignment horizontal="center" vertical="center" wrapText="1"/>
    </xf>
    <xf numFmtId="0" fontId="18" fillId="7" borderId="1" xfId="0" applyFont="1" applyFill="1" applyBorder="1" applyAlignment="1">
      <alignment horizontal="center" vertical="center"/>
    </xf>
    <xf numFmtId="0" fontId="8" fillId="3" borderId="0" xfId="0" applyFont="1" applyFill="1" applyBorder="1"/>
    <xf numFmtId="167" fontId="12" fillId="4" borderId="8" xfId="0" applyNumberFormat="1" applyFont="1" applyFill="1" applyBorder="1" applyAlignment="1">
      <alignment horizontal="center" wrapText="1"/>
    </xf>
    <xf numFmtId="0" fontId="12" fillId="4" borderId="9" xfId="0" applyFont="1" applyFill="1" applyBorder="1" applyAlignment="1">
      <alignment horizontal="center" wrapText="1"/>
    </xf>
    <xf numFmtId="0" fontId="12" fillId="4" borderId="9" xfId="0" applyFont="1" applyFill="1" applyBorder="1" applyAlignment="1">
      <alignment horizontal="left" wrapText="1"/>
    </xf>
    <xf numFmtId="0" fontId="12" fillId="4" borderId="5" xfId="0" applyFont="1" applyFill="1" applyBorder="1" applyAlignment="1">
      <alignment horizontal="center" wrapText="1"/>
    </xf>
    <xf numFmtId="3" fontId="12" fillId="4" borderId="9" xfId="0" applyNumberFormat="1" applyFont="1" applyFill="1" applyBorder="1" applyAlignment="1">
      <alignment horizontal="center" wrapText="1"/>
    </xf>
    <xf numFmtId="168" fontId="12"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6" fillId="13" borderId="12" xfId="0" applyFont="1" applyFill="1" applyBorder="1" applyAlignment="1">
      <alignment horizontal="center" vertical="center"/>
    </xf>
    <xf numFmtId="0" fontId="20" fillId="13" borderId="12" xfId="0" applyFont="1" applyFill="1" applyBorder="1" applyAlignment="1">
      <alignment horizontal="center" vertical="center"/>
    </xf>
    <xf numFmtId="0" fontId="20" fillId="13" borderId="12" xfId="0" applyFont="1" applyFill="1" applyBorder="1" applyAlignment="1">
      <alignment horizontal="left" vertical="top" wrapText="1"/>
    </xf>
    <xf numFmtId="0" fontId="9" fillId="0" borderId="11" xfId="0" applyFont="1" applyBorder="1"/>
    <xf numFmtId="0" fontId="22" fillId="12" borderId="12" xfId="0" applyFont="1" applyFill="1" applyBorder="1" applyAlignment="1">
      <alignment horizontal="center" vertical="center"/>
    </xf>
    <xf numFmtId="0" fontId="22" fillId="12" borderId="12" xfId="0" applyFont="1" applyFill="1" applyBorder="1" applyAlignment="1">
      <alignment horizontal="left" vertical="top" wrapText="1"/>
    </xf>
    <xf numFmtId="0" fontId="24" fillId="13" borderId="12" xfId="0" applyFont="1" applyFill="1" applyBorder="1" applyAlignment="1">
      <alignment horizontal="left" vertical="top" wrapText="1"/>
    </xf>
    <xf numFmtId="0" fontId="27" fillId="13" borderId="12" xfId="0" applyFont="1" applyFill="1" applyBorder="1" applyAlignment="1">
      <alignment horizontal="left" vertical="top" wrapText="1"/>
    </xf>
    <xf numFmtId="0" fontId="20" fillId="14" borderId="12" xfId="0" applyFont="1" applyFill="1" applyBorder="1" applyAlignment="1">
      <alignment horizontal="center" vertical="center"/>
    </xf>
    <xf numFmtId="0" fontId="20" fillId="14" borderId="12" xfId="0" applyFont="1" applyFill="1" applyBorder="1" applyAlignment="1">
      <alignment horizontal="left" vertical="top" wrapText="1"/>
    </xf>
    <xf numFmtId="0" fontId="24" fillId="14" borderId="12" xfId="0" applyFont="1" applyFill="1" applyBorder="1" applyAlignment="1">
      <alignment horizontal="left" vertical="top" wrapText="1"/>
    </xf>
    <xf numFmtId="0" fontId="27" fillId="14"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5" fillId="14" borderId="12" xfId="0" applyFont="1" applyFill="1" applyBorder="1" applyAlignment="1">
      <alignment horizontal="left" vertical="top" wrapText="1"/>
    </xf>
    <xf numFmtId="0" fontId="25" fillId="13"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0" fillId="13" borderId="12" xfId="0" applyNumberFormat="1" applyFont="1" applyFill="1" applyBorder="1" applyAlignment="1">
      <alignment horizontal="left" vertical="top" wrapText="1"/>
    </xf>
    <xf numFmtId="2" fontId="20" fillId="14"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8" fillId="2" borderId="0" xfId="0" applyFont="1" applyFill="1" applyBorder="1"/>
    <xf numFmtId="0" fontId="29" fillId="0" borderId="0" xfId="0" applyFont="1" applyBorder="1" applyAlignment="1">
      <alignment horizontal="center"/>
    </xf>
    <xf numFmtId="0" fontId="29" fillId="2" borderId="0" xfId="0" applyFont="1" applyFill="1" applyBorder="1"/>
    <xf numFmtId="0" fontId="29" fillId="0" borderId="0" xfId="0" applyFont="1" applyBorder="1"/>
    <xf numFmtId="9" fontId="29" fillId="0" borderId="0" xfId="0" applyNumberFormat="1" applyFont="1" applyBorder="1"/>
    <xf numFmtId="0" fontId="31" fillId="3" borderId="0" xfId="0" applyFont="1" applyFill="1" applyBorder="1" applyAlignment="1">
      <alignment horizontal="center" vertical="center"/>
    </xf>
    <xf numFmtId="0" fontId="31" fillId="3" borderId="0" xfId="0" applyFont="1" applyFill="1" applyBorder="1" applyAlignment="1">
      <alignment horizontal="left" vertical="center"/>
    </xf>
    <xf numFmtId="168" fontId="33" fillId="3" borderId="0" xfId="0" applyNumberFormat="1" applyFont="1" applyFill="1" applyBorder="1" applyAlignment="1">
      <alignment horizontal="center" vertical="center"/>
    </xf>
    <xf numFmtId="3" fontId="30" fillId="3" borderId="0" xfId="0" applyNumberFormat="1" applyFont="1" applyFill="1" applyBorder="1" applyAlignment="1">
      <alignment horizontal="center" vertical="center"/>
    </xf>
    <xf numFmtId="168" fontId="30" fillId="3" borderId="0" xfId="0" applyNumberFormat="1" applyFont="1" applyFill="1" applyBorder="1" applyAlignment="1">
      <alignment horizontal="center" vertical="center"/>
    </xf>
    <xf numFmtId="3" fontId="30" fillId="3" borderId="0" xfId="0" applyNumberFormat="1" applyFont="1" applyFill="1" applyBorder="1" applyAlignment="1">
      <alignment vertical="center"/>
    </xf>
    <xf numFmtId="0" fontId="35" fillId="5" borderId="0" xfId="0" applyFont="1" applyFill="1" applyBorder="1" applyAlignment="1">
      <alignment horizontal="center" vertical="center"/>
    </xf>
    <xf numFmtId="0" fontId="35" fillId="5" borderId="0" xfId="0" applyFont="1" applyFill="1" applyBorder="1" applyAlignment="1">
      <alignment vertical="center"/>
    </xf>
    <xf numFmtId="168" fontId="33" fillId="5" borderId="0" xfId="0" applyNumberFormat="1" applyFont="1" applyFill="1" applyBorder="1" applyAlignment="1">
      <alignment horizontal="center" vertical="center"/>
    </xf>
    <xf numFmtId="3" fontId="30" fillId="5" borderId="0" xfId="0" applyNumberFormat="1" applyFont="1" applyFill="1" applyBorder="1" applyAlignment="1">
      <alignment horizontal="center" vertical="center"/>
    </xf>
    <xf numFmtId="168" fontId="30" fillId="5" borderId="0" xfId="0" applyNumberFormat="1" applyFont="1" applyFill="1" applyBorder="1" applyAlignment="1">
      <alignment horizontal="center" vertical="center"/>
    </xf>
    <xf numFmtId="3" fontId="30" fillId="5" borderId="0" xfId="0" applyNumberFormat="1" applyFont="1" applyFill="1" applyBorder="1" applyAlignment="1">
      <alignment vertical="center"/>
    </xf>
    <xf numFmtId="169" fontId="29" fillId="0" borderId="0" xfId="0" applyNumberFormat="1" applyFont="1" applyBorder="1"/>
    <xf numFmtId="3" fontId="3" fillId="4" borderId="1" xfId="9" applyNumberFormat="1" applyFont="1" applyFill="1" applyBorder="1" applyAlignment="1">
      <alignment horizontal="center" vertical="center" wrapText="1"/>
    </xf>
    <xf numFmtId="0" fontId="34" fillId="4" borderId="1" xfId="0" applyFont="1" applyFill="1" applyBorder="1" applyAlignment="1">
      <alignment horizontal="center" vertical="center" wrapText="1"/>
    </xf>
    <xf numFmtId="9" fontId="34" fillId="4" borderId="1" xfId="0" applyNumberFormat="1" applyFont="1" applyFill="1" applyBorder="1" applyAlignment="1">
      <alignment horizontal="center" vertical="center" wrapText="1"/>
    </xf>
    <xf numFmtId="0" fontId="34" fillId="4" borderId="1" xfId="0" applyFont="1" applyFill="1" applyBorder="1" applyAlignment="1">
      <alignment horizontal="center" vertical="center"/>
    </xf>
    <xf numFmtId="0" fontId="28" fillId="2" borderId="13" xfId="0" applyFont="1" applyFill="1" applyBorder="1"/>
    <xf numFmtId="0" fontId="29" fillId="0" borderId="13" xfId="0" applyFont="1" applyBorder="1"/>
    <xf numFmtId="0" fontId="29" fillId="2" borderId="13" xfId="0" applyFont="1" applyFill="1" applyBorder="1"/>
    <xf numFmtId="0" fontId="31"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38" fillId="0" borderId="1" xfId="0" applyFont="1" applyBorder="1" applyAlignment="1">
      <alignment horizontal="center" vertical="center"/>
    </xf>
    <xf numFmtId="0" fontId="38" fillId="0" borderId="1" xfId="0" applyFont="1" applyBorder="1" applyAlignment="1">
      <alignment horizontal="left" vertical="center"/>
    </xf>
    <xf numFmtId="1" fontId="38" fillId="0" borderId="1" xfId="0" applyNumberFormat="1" applyFont="1" applyBorder="1" applyAlignment="1">
      <alignment horizontal="center" vertical="center"/>
    </xf>
    <xf numFmtId="1" fontId="39" fillId="0" borderId="1" xfId="0" applyNumberFormat="1" applyFont="1" applyBorder="1" applyAlignment="1">
      <alignment horizontal="center" vertical="center"/>
    </xf>
    <xf numFmtId="0" fontId="38" fillId="6" borderId="7" xfId="0" applyFont="1" applyFill="1" applyBorder="1" applyAlignment="1">
      <alignment horizontal="center" vertical="center"/>
    </xf>
    <xf numFmtId="0" fontId="38" fillId="7" borderId="7" xfId="0" applyFont="1" applyFill="1" applyBorder="1" applyAlignment="1">
      <alignment horizontal="center" vertical="center"/>
    </xf>
    <xf numFmtId="0" fontId="40" fillId="0" borderId="1" xfId="0" applyFont="1" applyBorder="1" applyAlignment="1">
      <alignment horizontal="center" vertical="center"/>
    </xf>
    <xf numFmtId="0" fontId="40" fillId="0" borderId="1" xfId="0" applyFont="1" applyBorder="1" applyAlignment="1">
      <alignment horizontal="left" vertical="center"/>
    </xf>
    <xf numFmtId="1" fontId="40" fillId="0" borderId="1" xfId="0" applyNumberFormat="1" applyFont="1" applyBorder="1" applyAlignment="1">
      <alignment horizontal="center" vertical="center"/>
    </xf>
    <xf numFmtId="1" fontId="41"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0" fillId="0" borderId="15" xfId="0" applyNumberFormat="1" applyBorder="1"/>
    <xf numFmtId="0" fontId="3" fillId="4" borderId="2" xfId="0" applyFont="1" applyFill="1" applyBorder="1" applyAlignment="1">
      <alignment horizontal="center" vertical="center" wrapText="1"/>
    </xf>
    <xf numFmtId="0" fontId="0" fillId="0" borderId="16" xfId="0" applyBorder="1" applyAlignment="1">
      <alignment horizontal="left"/>
    </xf>
    <xf numFmtId="0" fontId="16" fillId="0" borderId="16" xfId="0" applyFont="1" applyBorder="1" applyAlignment="1">
      <alignment horizontal="left"/>
    </xf>
    <xf numFmtId="0" fontId="38" fillId="6" borderId="16" xfId="0" applyFont="1" applyFill="1" applyBorder="1" applyAlignment="1">
      <alignment horizontal="left" vertical="center"/>
    </xf>
    <xf numFmtId="0" fontId="38" fillId="7" borderId="16" xfId="0" applyFont="1" applyFill="1" applyBorder="1" applyAlignment="1">
      <alignment horizontal="left" vertical="center"/>
    </xf>
    <xf numFmtId="0" fontId="7" fillId="0" borderId="0" xfId="0" applyFont="1" applyBorder="1"/>
    <xf numFmtId="0" fontId="28" fillId="2" borderId="17" xfId="0" applyFont="1" applyFill="1" applyBorder="1"/>
    <xf numFmtId="0" fontId="29" fillId="2" borderId="17" xfId="0" applyFont="1" applyFill="1" applyBorder="1"/>
    <xf numFmtId="0" fontId="2" fillId="7" borderId="18" xfId="0" applyFont="1" applyFill="1" applyBorder="1" applyAlignment="1">
      <alignment horizontal="center" vertical="center"/>
    </xf>
    <xf numFmtId="0" fontId="2" fillId="7" borderId="18" xfId="0" applyFont="1" applyFill="1" applyBorder="1" applyAlignment="1">
      <alignment horizontal="left" vertical="center"/>
    </xf>
    <xf numFmtId="0" fontId="4" fillId="7" borderId="18" xfId="0" applyFont="1" applyFill="1" applyBorder="1" applyAlignment="1">
      <alignment horizontal="center" vertical="center"/>
    </xf>
    <xf numFmtId="165" fontId="4" fillId="7" borderId="18" xfId="0" applyNumberFormat="1" applyFont="1" applyFill="1" applyBorder="1" applyAlignment="1">
      <alignment horizontal="center" vertical="center"/>
    </xf>
    <xf numFmtId="166" fontId="2" fillId="7" borderId="18" xfId="0" applyNumberFormat="1" applyFont="1" applyFill="1" applyBorder="1" applyAlignment="1">
      <alignment horizontal="center" vertical="center"/>
    </xf>
    <xf numFmtId="0" fontId="18" fillId="7" borderId="18" xfId="0" applyFont="1" applyFill="1" applyBorder="1" applyAlignment="1">
      <alignment horizontal="center" vertical="center"/>
    </xf>
    <xf numFmtId="166" fontId="15" fillId="7" borderId="18" xfId="0" applyNumberFormat="1" applyFont="1" applyFill="1" applyBorder="1" applyAlignment="1">
      <alignment horizontal="center" vertical="center"/>
    </xf>
    <xf numFmtId="0" fontId="35" fillId="5" borderId="19" xfId="0" applyFont="1" applyFill="1" applyBorder="1" applyAlignment="1">
      <alignment vertical="center"/>
    </xf>
    <xf numFmtId="0" fontId="31" fillId="3" borderId="19" xfId="0" applyFont="1" applyFill="1" applyBorder="1" applyAlignment="1">
      <alignment vertical="center"/>
    </xf>
    <xf numFmtId="170" fontId="31" fillId="3" borderId="19" xfId="0" applyNumberFormat="1" applyFont="1" applyFill="1" applyBorder="1" applyAlignment="1">
      <alignment horizontal="center" vertical="center"/>
    </xf>
    <xf numFmtId="170" fontId="35" fillId="5" borderId="19" xfId="0" applyNumberFormat="1" applyFont="1" applyFill="1" applyBorder="1" applyAlignment="1">
      <alignment horizontal="center" vertical="center"/>
    </xf>
    <xf numFmtId="0" fontId="44" fillId="15" borderId="20" xfId="0" applyFont="1" applyFill="1" applyBorder="1" applyAlignment="1">
      <alignment horizontal="center" vertical="center" wrapText="1"/>
    </xf>
    <xf numFmtId="0" fontId="43" fillId="6" borderId="1" xfId="0" applyFont="1" applyFill="1" applyBorder="1" applyAlignment="1">
      <alignment horizontal="center" vertical="center"/>
    </xf>
    <xf numFmtId="3" fontId="43" fillId="6" borderId="1" xfId="0" applyNumberFormat="1" applyFont="1" applyFill="1" applyBorder="1" applyAlignment="1">
      <alignment horizontal="center" vertical="center"/>
    </xf>
    <xf numFmtId="1" fontId="43" fillId="6" borderId="1" xfId="0" applyNumberFormat="1" applyFont="1" applyFill="1" applyBorder="1" applyAlignment="1">
      <alignment horizontal="center" vertical="center"/>
    </xf>
    <xf numFmtId="0" fontId="37" fillId="6" borderId="1" xfId="0" applyFont="1" applyFill="1" applyBorder="1" applyAlignment="1">
      <alignment horizontal="center" vertical="center"/>
    </xf>
    <xf numFmtId="0" fontId="43" fillId="6" borderId="1" xfId="0" applyFont="1" applyFill="1" applyBorder="1" applyAlignment="1">
      <alignment horizontal="left" vertical="center"/>
    </xf>
    <xf numFmtId="3" fontId="43" fillId="6" borderId="1" xfId="0" applyNumberFormat="1" applyFont="1" applyFill="1" applyBorder="1" applyAlignment="1">
      <alignment horizontal="left" vertical="center"/>
    </xf>
    <xf numFmtId="2" fontId="43" fillId="6" borderId="1" xfId="0" applyNumberFormat="1" applyFont="1" applyFill="1" applyBorder="1" applyAlignment="1">
      <alignment horizontal="center" vertical="center"/>
    </xf>
    <xf numFmtId="3" fontId="43" fillId="0" borderId="1" xfId="0" applyNumberFormat="1" applyFont="1" applyBorder="1" applyAlignment="1">
      <alignment horizontal="center" vertical="center" wrapText="1"/>
    </xf>
    <xf numFmtId="3" fontId="45" fillId="17" borderId="21" xfId="0" applyNumberFormat="1" applyFont="1" applyFill="1" applyBorder="1" applyAlignment="1">
      <alignment horizontal="center" vertical="center"/>
    </xf>
    <xf numFmtId="3" fontId="45" fillId="17" borderId="21" xfId="0" applyNumberFormat="1" applyFont="1" applyFill="1" applyBorder="1" applyAlignment="1">
      <alignment horizontal="left" vertical="center"/>
    </xf>
    <xf numFmtId="0" fontId="46" fillId="16" borderId="21" xfId="0" applyFont="1" applyFill="1" applyBorder="1" applyAlignment="1">
      <alignment horizontal="left" vertical="center" wrapText="1"/>
    </xf>
    <xf numFmtId="3" fontId="45" fillId="18" borderId="22" xfId="0" applyNumberFormat="1" applyFont="1" applyFill="1" applyBorder="1" applyAlignment="1">
      <alignment horizontal="center" vertical="center"/>
    </xf>
    <xf numFmtId="0" fontId="49" fillId="16" borderId="0" xfId="0" applyFont="1" applyFill="1" applyBorder="1" applyAlignment="1">
      <alignment horizontal="center" vertical="center" wrapText="1"/>
    </xf>
    <xf numFmtId="0" fontId="50" fillId="24" borderId="23" xfId="0" applyFont="1" applyFill="1" applyBorder="1" applyAlignment="1">
      <alignment horizontal="center" vertical="top"/>
    </xf>
    <xf numFmtId="0" fontId="51" fillId="24" borderId="23" xfId="0" applyFont="1" applyFill="1" applyBorder="1" applyAlignment="1">
      <alignment horizontal="center" vertical="top" wrapText="1"/>
    </xf>
    <xf numFmtId="0" fontId="52" fillId="24" borderId="23" xfId="0" applyFont="1" applyFill="1" applyBorder="1" applyAlignment="1">
      <alignment horizontal="left" vertical="top" wrapText="1"/>
    </xf>
    <xf numFmtId="0" fontId="53" fillId="24" borderId="23" xfId="0" applyFont="1" applyFill="1" applyBorder="1" applyAlignment="1">
      <alignment horizontal="left" vertical="top" wrapText="1"/>
    </xf>
    <xf numFmtId="0" fontId="54" fillId="24" borderId="23" xfId="0" applyFont="1" applyFill="1" applyBorder="1" applyAlignment="1">
      <alignment horizontal="left" vertical="top" wrapText="1"/>
    </xf>
    <xf numFmtId="0" fontId="55" fillId="25" borderId="23" xfId="0" applyFont="1" applyFill="1" applyBorder="1" applyAlignment="1">
      <alignment horizontal="center" vertical="top"/>
    </xf>
    <xf numFmtId="0" fontId="56" fillId="26" borderId="23" xfId="0" applyFont="1" applyFill="1" applyBorder="1" applyAlignment="1">
      <alignment horizontal="center" vertical="top" wrapText="1"/>
    </xf>
    <xf numFmtId="0" fontId="50" fillId="13" borderId="23" xfId="0" applyFont="1" applyFill="1" applyBorder="1" applyAlignment="1">
      <alignment horizontal="center" vertical="top"/>
    </xf>
    <xf numFmtId="0" fontId="51" fillId="13" borderId="23" xfId="0" applyFont="1" applyFill="1" applyBorder="1" applyAlignment="1">
      <alignment horizontal="center" vertical="top" wrapText="1"/>
    </xf>
    <xf numFmtId="0" fontId="52" fillId="13" borderId="23" xfId="0" applyFont="1" applyFill="1" applyBorder="1" applyAlignment="1">
      <alignment horizontal="left" vertical="top" wrapText="1"/>
    </xf>
    <xf numFmtId="0" fontId="53" fillId="13" borderId="23" xfId="0" applyFont="1" applyFill="1" applyBorder="1" applyAlignment="1">
      <alignment horizontal="left" vertical="top" wrapText="1"/>
    </xf>
    <xf numFmtId="0" fontId="54" fillId="13" borderId="23" xfId="0" applyFont="1" applyFill="1" applyBorder="1" applyAlignment="1">
      <alignment horizontal="left" vertical="top" wrapText="1"/>
    </xf>
    <xf numFmtId="0" fontId="57" fillId="27" borderId="23" xfId="0" applyFont="1" applyFill="1" applyBorder="1" applyAlignment="1">
      <alignment horizontal="center" vertical="top" wrapText="1"/>
    </xf>
    <xf numFmtId="0" fontId="10" fillId="6" borderId="1" xfId="0" applyFont="1" applyFill="1" applyBorder="1" applyAlignment="1">
      <alignment horizontal="center" vertical="center"/>
    </xf>
    <xf numFmtId="3" fontId="37" fillId="18" borderId="22" xfId="0" applyNumberFormat="1" applyFont="1" applyFill="1" applyBorder="1" applyAlignment="1">
      <alignment horizontal="center" vertical="center"/>
    </xf>
    <xf numFmtId="0" fontId="1" fillId="0" borderId="0" xfId="0" applyFont="1" applyBorder="1"/>
    <xf numFmtId="3" fontId="37" fillId="17" borderId="21" xfId="0" applyNumberFormat="1" applyFont="1" applyFill="1" applyBorder="1" applyAlignment="1">
      <alignment horizontal="left" vertical="center"/>
    </xf>
    <xf numFmtId="0" fontId="71" fillId="0" borderId="16" xfId="0" applyFont="1" applyBorder="1" applyAlignment="1">
      <alignment horizontal="left" vertical="center" wrapText="1"/>
    </xf>
    <xf numFmtId="0" fontId="68" fillId="0" borderId="1" xfId="0" applyFont="1" applyBorder="1" applyAlignment="1">
      <alignment horizontal="center" vertical="center"/>
    </xf>
    <xf numFmtId="0" fontId="68" fillId="0" borderId="1" xfId="0" applyFont="1" applyBorder="1" applyAlignment="1">
      <alignment horizontal="left" vertical="center"/>
    </xf>
    <xf numFmtId="1" fontId="68" fillId="0" borderId="1" xfId="0" applyNumberFormat="1" applyFont="1" applyBorder="1" applyAlignment="1">
      <alignment horizontal="center" vertical="center"/>
    </xf>
    <xf numFmtId="1" fontId="69" fillId="0" borderId="1" xfId="0" applyNumberFormat="1" applyFont="1" applyBorder="1" applyAlignment="1">
      <alignment horizontal="center" vertical="center"/>
    </xf>
    <xf numFmtId="0" fontId="70" fillId="0" borderId="16" xfId="0" applyFont="1" applyBorder="1" applyAlignment="1">
      <alignment horizontal="left"/>
    </xf>
    <xf numFmtId="0" fontId="68" fillId="6" borderId="16" xfId="0" applyFont="1" applyFill="1" applyBorder="1" applyAlignment="1">
      <alignment horizontal="left" vertical="center"/>
    </xf>
    <xf numFmtId="0" fontId="68" fillId="7" borderId="16" xfId="0" applyFont="1" applyFill="1" applyBorder="1" applyAlignment="1">
      <alignment horizontal="left" vertical="center"/>
    </xf>
    <xf numFmtId="0" fontId="70" fillId="0" borderId="0" xfId="0" applyFont="1" applyBorder="1"/>
    <xf numFmtId="0" fontId="42" fillId="6" borderId="1" xfId="0" applyFont="1" applyFill="1" applyBorder="1" applyAlignment="1">
      <alignment horizontal="center" vertical="center"/>
    </xf>
    <xf numFmtId="0" fontId="4" fillId="0" borderId="0" xfId="0" applyFont="1" applyBorder="1" applyAlignment="1">
      <alignment horizontal="left"/>
    </xf>
    <xf numFmtId="1" fontId="46" fillId="16" borderId="21" xfId="0" applyNumberFormat="1" applyFont="1" applyFill="1" applyBorder="1" applyAlignment="1">
      <alignment horizontal="left" vertical="center" wrapText="1"/>
    </xf>
    <xf numFmtId="3" fontId="9" fillId="0" borderId="2" xfId="0" applyNumberFormat="1" applyFont="1" applyBorder="1" applyAlignment="1">
      <alignment horizontal="center" vertical="center"/>
    </xf>
    <xf numFmtId="3" fontId="68" fillId="0" borderId="2" xfId="0" applyNumberFormat="1" applyFont="1" applyBorder="1" applyAlignment="1">
      <alignment horizontal="center" vertical="center"/>
    </xf>
    <xf numFmtId="3" fontId="38" fillId="0" borderId="2" xfId="0" applyNumberFormat="1" applyFont="1" applyBorder="1" applyAlignment="1">
      <alignment horizontal="center" vertical="center"/>
    </xf>
    <xf numFmtId="3" fontId="40" fillId="0" borderId="2" xfId="0" applyNumberFormat="1" applyFont="1" applyBorder="1" applyAlignment="1">
      <alignment horizontal="center" vertical="center"/>
    </xf>
    <xf numFmtId="171" fontId="8" fillId="3" borderId="4" xfId="0" applyNumberFormat="1" applyFont="1" applyFill="1" applyBorder="1" applyAlignment="1">
      <alignment horizontal="left" vertical="center"/>
    </xf>
    <xf numFmtId="171" fontId="8" fillId="3" borderId="6" xfId="0" applyNumberFormat="1" applyFont="1" applyFill="1" applyBorder="1" applyAlignment="1">
      <alignment horizontal="left"/>
    </xf>
    <xf numFmtId="171" fontId="8" fillId="3" borderId="15" xfId="0" applyNumberFormat="1" applyFont="1" applyFill="1" applyBorder="1" applyAlignment="1">
      <alignment horizontal="center"/>
    </xf>
    <xf numFmtId="0" fontId="2" fillId="7" borderId="24" xfId="0" applyFont="1" applyFill="1" applyBorder="1" applyAlignment="1">
      <alignment horizontal="center" vertical="center"/>
    </xf>
    <xf numFmtId="0" fontId="2" fillId="7" borderId="24" xfId="0" applyFont="1" applyFill="1" applyBorder="1" applyAlignment="1">
      <alignment horizontal="left" vertical="center"/>
    </xf>
    <xf numFmtId="0" fontId="9" fillId="0" borderId="24" xfId="0" applyFont="1" applyBorder="1" applyAlignment="1">
      <alignment horizontal="center" vertical="center" wrapText="1"/>
    </xf>
    <xf numFmtId="0" fontId="43" fillId="0" borderId="24" xfId="0" applyFont="1" applyBorder="1" applyAlignment="1">
      <alignment horizontal="center" vertical="center" wrapText="1"/>
    </xf>
    <xf numFmtId="0" fontId="43" fillId="0" borderId="24" xfId="0" applyFont="1" applyBorder="1" applyAlignment="1">
      <alignment horizontal="left" vertical="center" wrapText="1"/>
    </xf>
    <xf numFmtId="1" fontId="43" fillId="0" borderId="24" xfId="0" applyNumberFormat="1" applyFont="1" applyBorder="1" applyAlignment="1">
      <alignment horizontal="center" vertical="center" wrapText="1"/>
    </xf>
    <xf numFmtId="3" fontId="43" fillId="0" borderId="24" xfId="0" applyNumberFormat="1" applyFont="1" applyBorder="1" applyAlignment="1">
      <alignment horizontal="center" vertical="center" wrapText="1"/>
    </xf>
    <xf numFmtId="0" fontId="43" fillId="0" borderId="24" xfId="0" applyFont="1" applyBorder="1" applyAlignment="1">
      <alignment horizontal="center" vertical="center"/>
    </xf>
    <xf numFmtId="0" fontId="43" fillId="0" borderId="24" xfId="0" applyFont="1" applyBorder="1" applyAlignment="1">
      <alignment horizontal="left" vertical="center"/>
    </xf>
    <xf numFmtId="0" fontId="9" fillId="0" borderId="24" xfId="0" applyFont="1" applyBorder="1" applyAlignment="1">
      <alignment horizontal="center" vertical="center"/>
    </xf>
    <xf numFmtId="1" fontId="43" fillId="0" borderId="24" xfId="0" applyNumberFormat="1" applyFont="1" applyBorder="1" applyAlignment="1">
      <alignment horizontal="center" vertical="center"/>
    </xf>
    <xf numFmtId="3" fontId="43" fillId="0" borderId="24" xfId="0" applyNumberFormat="1" applyFont="1" applyBorder="1" applyAlignment="1">
      <alignment horizontal="center" vertical="center"/>
    </xf>
    <xf numFmtId="0" fontId="43" fillId="6" borderId="24" xfId="0" applyFont="1" applyFill="1" applyBorder="1" applyAlignment="1">
      <alignment horizontal="center" vertical="center" wrapText="1"/>
    </xf>
    <xf numFmtId="0" fontId="73" fillId="29" borderId="25" xfId="0" applyFont="1" applyFill="1" applyBorder="1" applyAlignment="1">
      <alignment horizontal="center" vertical="center"/>
    </xf>
    <xf numFmtId="0" fontId="74" fillId="30" borderId="26" xfId="0" applyFont="1" applyFill="1" applyBorder="1" applyAlignment="1">
      <alignment horizontal="center" vertical="center"/>
    </xf>
    <xf numFmtId="0" fontId="74" fillId="30" borderId="26" xfId="0" applyFont="1" applyFill="1" applyBorder="1" applyAlignment="1">
      <alignment horizontal="left" vertical="center"/>
    </xf>
    <xf numFmtId="165" fontId="74" fillId="30" borderId="26" xfId="0" applyNumberFormat="1" applyFont="1" applyFill="1" applyBorder="1" applyAlignment="1">
      <alignment horizontal="right" vertical="center"/>
    </xf>
    <xf numFmtId="168" fontId="74" fillId="30" borderId="26" xfId="0" applyNumberFormat="1" applyFont="1" applyFill="1" applyBorder="1" applyAlignment="1">
      <alignment horizontal="right" vertical="center"/>
    </xf>
    <xf numFmtId="0" fontId="74" fillId="30" borderId="25" xfId="0" applyFont="1" applyFill="1" applyBorder="1" applyAlignment="1">
      <alignment horizontal="center" vertical="center"/>
    </xf>
    <xf numFmtId="0" fontId="74" fillId="30" borderId="25" xfId="0" applyFont="1" applyFill="1" applyBorder="1" applyAlignment="1">
      <alignment horizontal="left" vertical="center"/>
    </xf>
    <xf numFmtId="165" fontId="74" fillId="30" borderId="25" xfId="0" applyNumberFormat="1" applyFont="1" applyFill="1" applyBorder="1" applyAlignment="1">
      <alignment horizontal="right" vertical="center"/>
    </xf>
    <xf numFmtId="168" fontId="74" fillId="30" borderId="25" xfId="0" applyNumberFormat="1" applyFont="1" applyFill="1" applyBorder="1" applyAlignment="1">
      <alignment horizontal="right" vertical="center"/>
    </xf>
    <xf numFmtId="0" fontId="21" fillId="0" borderId="28" xfId="0" applyFont="1"/>
    <xf numFmtId="1" fontId="42" fillId="0" borderId="24" xfId="0" applyNumberFormat="1" applyFont="1" applyBorder="1" applyAlignment="1">
      <alignment horizontal="center" vertical="center" wrapText="1"/>
    </xf>
    <xf numFmtId="167" fontId="21" fillId="0" borderId="28" xfId="0" applyNumberFormat="1" applyFont="1"/>
    <xf numFmtId="3" fontId="21" fillId="0" borderId="28" xfId="0" applyNumberFormat="1" applyFont="1"/>
    <xf numFmtId="168" fontId="21" fillId="0" borderId="28" xfId="0" applyNumberFormat="1" applyFont="1"/>
    <xf numFmtId="0" fontId="66" fillId="9" borderId="30" xfId="0" applyFont="1" applyFill="1" applyBorder="1" applyAlignment="1">
      <alignment horizontal="center" vertical="center"/>
    </xf>
    <xf numFmtId="0" fontId="66" fillId="9" borderId="30" xfId="0" applyFont="1" applyFill="1" applyBorder="1" applyAlignment="1">
      <alignment horizontal="left" vertical="center"/>
    </xf>
    <xf numFmtId="3" fontId="67" fillId="9" borderId="30" xfId="0" applyNumberFormat="1" applyFont="1" applyFill="1" applyBorder="1" applyAlignment="1">
      <alignment horizontal="center" vertical="center"/>
    </xf>
    <xf numFmtId="0" fontId="66" fillId="9" borderId="30" xfId="0" applyFont="1" applyFill="1" applyBorder="1" applyAlignment="1">
      <alignment horizontal="left" vertical="center" wrapText="1"/>
    </xf>
    <xf numFmtId="0" fontId="66" fillId="0" borderId="29" xfId="0" applyFont="1" applyBorder="1" applyAlignment="1">
      <alignment horizontal="center" vertical="center" wrapText="1"/>
    </xf>
    <xf numFmtId="0" fontId="66" fillId="0" borderId="29" xfId="0" applyFont="1" applyBorder="1"/>
    <xf numFmtId="0" fontId="66" fillId="10" borderId="30" xfId="0" applyFont="1" applyFill="1" applyBorder="1" applyAlignment="1">
      <alignment horizontal="center" vertical="center"/>
    </xf>
    <xf numFmtId="0" fontId="66" fillId="10" borderId="30" xfId="0" applyFont="1" applyFill="1" applyBorder="1" applyAlignment="1">
      <alignment horizontal="left" vertical="center"/>
    </xf>
    <xf numFmtId="3" fontId="67" fillId="10" borderId="30" xfId="0" applyNumberFormat="1" applyFont="1" applyFill="1" applyBorder="1" applyAlignment="1">
      <alignment horizontal="center" vertical="center"/>
    </xf>
    <xf numFmtId="0" fontId="66" fillId="10" borderId="30" xfId="0" applyFont="1" applyFill="1" applyBorder="1" applyAlignment="1">
      <alignment horizontal="left" vertical="center" wrapText="1"/>
    </xf>
    <xf numFmtId="0" fontId="66" fillId="0" borderId="29" xfId="0" applyFont="1" applyBorder="1" applyAlignment="1">
      <alignment horizontal="center" vertical="center"/>
    </xf>
    <xf numFmtId="0" fontId="66" fillId="0" borderId="29" xfId="0" applyFont="1" applyBorder="1" applyAlignment="1">
      <alignment horizontal="left" vertical="center"/>
    </xf>
    <xf numFmtId="3" fontId="66" fillId="0" borderId="29" xfId="0" applyNumberFormat="1" applyFont="1" applyBorder="1" applyAlignment="1">
      <alignment horizontal="center" vertical="center"/>
    </xf>
    <xf numFmtId="0" fontId="66" fillId="0" borderId="29" xfId="0" applyFont="1" applyBorder="1" applyAlignment="1">
      <alignment horizontal="left" vertical="center" wrapText="1"/>
    </xf>
    <xf numFmtId="0" fontId="66" fillId="0" borderId="29" xfId="0" applyFont="1" applyBorder="1" applyAlignment="1">
      <alignment horizontal="center"/>
    </xf>
    <xf numFmtId="0" fontId="28" fillId="0" borderId="29" xfId="0" applyFont="1" applyBorder="1"/>
    <xf numFmtId="0" fontId="29" fillId="0" borderId="29" xfId="0" applyFont="1" applyBorder="1"/>
    <xf numFmtId="0" fontId="61" fillId="19" borderId="32" xfId="0" applyFont="1" applyFill="1" applyBorder="1" applyAlignment="1">
      <alignment horizontal="left" vertical="center"/>
    </xf>
    <xf numFmtId="0" fontId="61" fillId="19" borderId="32" xfId="0" applyFont="1" applyFill="1" applyBorder="1" applyAlignment="1">
      <alignment horizontal="right" vertical="center"/>
    </xf>
    <xf numFmtId="0" fontId="62" fillId="0" borderId="32" xfId="0" applyFont="1" applyBorder="1" applyAlignment="1">
      <alignment horizontal="left" vertical="center"/>
    </xf>
    <xf numFmtId="166" fontId="62" fillId="0" borderId="32" xfId="0" applyNumberFormat="1" applyFont="1" applyBorder="1" applyAlignment="1">
      <alignment horizontal="right" vertical="center"/>
    </xf>
    <xf numFmtId="168" fontId="62" fillId="0" borderId="32" xfId="0" applyNumberFormat="1" applyFont="1" applyBorder="1" applyAlignment="1">
      <alignment horizontal="right" vertical="center"/>
    </xf>
    <xf numFmtId="169" fontId="29" fillId="0" borderId="29" xfId="0" applyNumberFormat="1" applyFont="1" applyBorder="1"/>
    <xf numFmtId="0" fontId="63" fillId="20" borderId="32" xfId="0" applyFont="1" applyFill="1" applyBorder="1" applyAlignment="1">
      <alignment horizontal="left" vertical="center"/>
    </xf>
    <xf numFmtId="166" fontId="63" fillId="20" borderId="32" xfId="0" applyNumberFormat="1" applyFont="1" applyFill="1" applyBorder="1" applyAlignment="1">
      <alignment horizontal="right" vertical="center"/>
    </xf>
    <xf numFmtId="168" fontId="63" fillId="20" borderId="32" xfId="0" applyNumberFormat="1" applyFont="1" applyFill="1" applyBorder="1" applyAlignment="1">
      <alignment horizontal="right" vertical="center"/>
    </xf>
    <xf numFmtId="0" fontId="58" fillId="0" borderId="31" xfId="0" applyFont="1" applyBorder="1" applyAlignment="1">
      <alignment horizontal="center" vertical="center"/>
    </xf>
    <xf numFmtId="0" fontId="58" fillId="0" borderId="31" xfId="0" applyFont="1" applyBorder="1" applyAlignment="1">
      <alignment horizontal="left" vertical="center"/>
    </xf>
    <xf numFmtId="3" fontId="58" fillId="0" borderId="31" xfId="0" applyNumberFormat="1" applyFont="1" applyBorder="1" applyAlignment="1">
      <alignment horizontal="left" vertical="center"/>
    </xf>
    <xf numFmtId="172" fontId="58" fillId="0" borderId="31" xfId="0" applyNumberFormat="1" applyFont="1" applyBorder="1" applyAlignment="1">
      <alignment horizontal="center" vertical="center"/>
    </xf>
    <xf numFmtId="3" fontId="58" fillId="0" borderId="31" xfId="0" applyNumberFormat="1" applyFont="1" applyBorder="1" applyAlignment="1">
      <alignment horizontal="center" vertical="center"/>
    </xf>
    <xf numFmtId="3" fontId="59" fillId="0" borderId="31" xfId="0" applyNumberFormat="1" applyFont="1" applyBorder="1" applyAlignment="1">
      <alignment horizontal="center" vertical="center"/>
    </xf>
    <xf numFmtId="9" fontId="58" fillId="0" borderId="31" xfId="0" applyNumberFormat="1" applyFont="1" applyBorder="1" applyAlignment="1">
      <alignment horizontal="center" vertical="center"/>
    </xf>
    <xf numFmtId="0" fontId="59" fillId="0" borderId="31" xfId="0" applyFont="1" applyBorder="1" applyAlignment="1">
      <alignment horizontal="left" vertical="center"/>
    </xf>
    <xf numFmtId="0" fontId="64" fillId="0" borderId="29" xfId="0" applyFont="1" applyBorder="1"/>
    <xf numFmtId="0" fontId="0" fillId="0" borderId="29" xfId="0" applyBorder="1"/>
    <xf numFmtId="0" fontId="65" fillId="23" borderId="32" xfId="0" applyFont="1" applyFill="1" applyBorder="1" applyAlignment="1">
      <alignment horizontal="left" vertical="center"/>
    </xf>
    <xf numFmtId="166" fontId="65" fillId="23" borderId="32" xfId="0" applyNumberFormat="1" applyFont="1" applyFill="1" applyBorder="1" applyAlignment="1">
      <alignment horizontal="right" vertical="center"/>
    </xf>
    <xf numFmtId="168" fontId="65" fillId="23" borderId="32" xfId="0" applyNumberFormat="1" applyFont="1" applyFill="1" applyBorder="1" applyAlignment="1">
      <alignment horizontal="right" vertical="center"/>
    </xf>
    <xf numFmtId="3" fontId="62" fillId="0" borderId="32" xfId="0" applyNumberFormat="1" applyFont="1" applyBorder="1" applyAlignment="1">
      <alignment horizontal="left" vertical="center"/>
    </xf>
    <xf numFmtId="0" fontId="46" fillId="3" borderId="27" xfId="0" applyFont="1" applyFill="1" applyBorder="1" applyAlignment="1">
      <alignment horizontal="left" vertical="center"/>
    </xf>
    <xf numFmtId="169" fontId="46" fillId="3" borderId="27" xfId="0" applyNumberFormat="1" applyFont="1" applyFill="1" applyBorder="1" applyAlignment="1">
      <alignment horizontal="center" vertical="center"/>
    </xf>
    <xf numFmtId="0" fontId="46" fillId="3" borderId="27" xfId="0" applyFont="1" applyFill="1" applyBorder="1" applyAlignment="1">
      <alignment horizontal="right" vertical="center"/>
    </xf>
    <xf numFmtId="3" fontId="46" fillId="3" borderId="27" xfId="0" applyNumberFormat="1" applyFont="1" applyFill="1" applyBorder="1" applyAlignment="1">
      <alignment horizontal="center" vertical="center"/>
    </xf>
    <xf numFmtId="0" fontId="62" fillId="0" borderId="29" xfId="0" applyFont="1" applyBorder="1"/>
    <xf numFmtId="166" fontId="62" fillId="0" borderId="29" xfId="0" applyNumberFormat="1" applyFont="1" applyBorder="1"/>
    <xf numFmtId="168" fontId="62" fillId="0" borderId="29" xfId="0" applyNumberFormat="1" applyFont="1" applyBorder="1"/>
    <xf numFmtId="0" fontId="63" fillId="0" borderId="29" xfId="0" applyFont="1" applyBorder="1"/>
    <xf numFmtId="166" fontId="63" fillId="0" borderId="29" xfId="0" applyNumberFormat="1" applyFont="1" applyBorder="1"/>
    <xf numFmtId="168" fontId="63" fillId="0" borderId="29" xfId="0" applyNumberFormat="1" applyFont="1" applyBorder="1"/>
    <xf numFmtId="0" fontId="47" fillId="0" borderId="29" xfId="0" applyFont="1" applyBorder="1"/>
    <xf numFmtId="166" fontId="47" fillId="0" borderId="29" xfId="0" applyNumberFormat="1" applyFont="1" applyBorder="1"/>
    <xf numFmtId="168" fontId="47" fillId="0" borderId="29" xfId="0" applyNumberFormat="1" applyFont="1" applyBorder="1"/>
    <xf numFmtId="0" fontId="21" fillId="0" borderId="29" xfId="0" applyFont="1" applyBorder="1"/>
    <xf numFmtId="0" fontId="45" fillId="0" borderId="29" xfId="0" applyFont="1" applyBorder="1"/>
    <xf numFmtId="166" fontId="45" fillId="0" borderId="29" xfId="0" applyNumberFormat="1" applyFont="1" applyBorder="1"/>
    <xf numFmtId="168" fontId="45" fillId="0" borderId="29" xfId="0" applyNumberFormat="1" applyFont="1" applyBorder="1"/>
    <xf numFmtId="0" fontId="58" fillId="0" borderId="29" xfId="0" applyFont="1" applyBorder="1"/>
    <xf numFmtId="0" fontId="31" fillId="3" borderId="28" xfId="0" applyFont="1" applyFill="1"/>
    <xf numFmtId="0" fontId="29" fillId="0" borderId="0" xfId="0" applyFont="1" applyBorder="1"/>
    <xf numFmtId="0" fontId="29" fillId="0" borderId="0" xfId="0" applyFont="1" applyBorder="1" applyAlignment="1">
      <alignment horizontal="center"/>
    </xf>
    <xf numFmtId="9" fontId="29" fillId="0" borderId="0" xfId="0" applyNumberFormat="1" applyFont="1" applyBorder="1"/>
    <xf numFmtId="3" fontId="30" fillId="3" borderId="28" xfId="0" applyNumberFormat="1" applyFont="1" applyFill="1" applyAlignment="1">
      <alignment horizontal="center" vertical="center"/>
    </xf>
    <xf numFmtId="167" fontId="32" fillId="3" borderId="28" xfId="0" applyNumberFormat="1" applyFont="1" applyFill="1" applyAlignment="1">
      <alignment horizontal="center"/>
    </xf>
    <xf numFmtId="0" fontId="35" fillId="5" borderId="28" xfId="0" applyFont="1" applyFill="1" applyAlignment="1">
      <alignment vertical="center"/>
    </xf>
    <xf numFmtId="0" fontId="31" fillId="3" borderId="28" xfId="0" applyFont="1" applyFill="1" applyAlignment="1">
      <alignment vertical="center"/>
    </xf>
    <xf numFmtId="0" fontId="30" fillId="3" borderId="28" xfId="0" applyFont="1" applyFill="1" applyAlignment="1">
      <alignment horizontal="center" vertical="center"/>
    </xf>
    <xf numFmtId="0" fontId="60" fillId="21" borderId="29" xfId="0" applyFont="1" applyFill="1" applyBorder="1" applyAlignment="1">
      <alignment horizontal="center" vertical="center"/>
    </xf>
    <xf numFmtId="0" fontId="0" fillId="0" borderId="28" xfId="0"/>
    <xf numFmtId="3" fontId="30" fillId="5" borderId="28" xfId="0" applyNumberFormat="1" applyFont="1" applyFill="1" applyAlignment="1">
      <alignment horizontal="center" vertical="center"/>
    </xf>
    <xf numFmtId="0" fontId="64" fillId="22" borderId="29" xfId="0" applyFont="1" applyFill="1" applyBorder="1" applyAlignment="1">
      <alignment horizontal="center" vertical="center"/>
    </xf>
    <xf numFmtId="0" fontId="36" fillId="3" borderId="5" xfId="0" applyFont="1" applyFill="1" applyBorder="1" applyAlignment="1">
      <alignment horizontal="center" vertical="center"/>
    </xf>
    <xf numFmtId="0" fontId="0" fillId="0" borderId="6" xfId="0" applyBorder="1"/>
    <xf numFmtId="0" fontId="72" fillId="28" borderId="8" xfId="0" applyFont="1" applyFill="1" applyBorder="1" applyAlignment="1">
      <alignment horizontal="left" vertical="center"/>
    </xf>
    <xf numFmtId="0" fontId="0" fillId="0" borderId="8" xfId="0" applyBorder="1"/>
    <xf numFmtId="0" fontId="8" fillId="3" borderId="6" xfId="0" applyFont="1" applyFill="1" applyBorder="1" applyAlignment="1">
      <alignment horizontal="center"/>
    </xf>
    <xf numFmtId="0" fontId="23" fillId="11" borderId="28" xfId="0" applyFont="1" applyFill="1" applyAlignment="1">
      <alignment horizontal="left" vertical="center"/>
    </xf>
    <xf numFmtId="0" fontId="0" fillId="0" borderId="0" xfId="0" applyBorder="1"/>
    <xf numFmtId="0" fontId="19" fillId="8" borderId="28" xfId="0" applyFont="1" applyFill="1" applyAlignment="1">
      <alignment horizontal="left" vertical="center" indent="1"/>
    </xf>
    <xf numFmtId="0" fontId="8" fillId="3" borderId="28" xfId="0" applyFont="1" applyFill="1" applyAlignment="1">
      <alignment horizontal="left" vertical="center" indent="1"/>
    </xf>
    <xf numFmtId="0" fontId="48" fillId="21" borderId="28"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49"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H20" sqref="H20"/>
    </sheetView>
  </sheetViews>
  <sheetFormatPr defaultColWidth="8.7109375" defaultRowHeight="16.5" x14ac:dyDescent="0.3"/>
  <cols>
    <col min="1" max="1" width="1.5703125" style="90" customWidth="1"/>
    <col min="2" max="2" width="7" style="90" customWidth="1"/>
    <col min="3" max="3" width="34.85546875" style="90" customWidth="1"/>
    <col min="4" max="4" width="45" style="90" customWidth="1"/>
    <col min="5" max="5" width="8.85546875" style="88" customWidth="1"/>
    <col min="6" max="6" width="9.140625" style="90" hidden="1" customWidth="1"/>
    <col min="7" max="7" width="12.140625" style="91" customWidth="1"/>
    <col min="8" max="8" width="11.140625" style="90" customWidth="1"/>
    <col min="9" max="9" width="10.28515625" style="90" customWidth="1"/>
    <col min="10" max="10" width="10.5703125" style="90" customWidth="1"/>
    <col min="11" max="11" width="9.28515625" style="90" customWidth="1"/>
    <col min="12" max="12" width="31.5703125" style="90" customWidth="1"/>
    <col min="13" max="13" width="14.7109375" style="90" hidden="1" customWidth="1"/>
    <col min="14" max="14" width="13.28515625" style="90" hidden="1" customWidth="1"/>
    <col min="15" max="15" width="9.5703125" style="90" hidden="1" customWidth="1"/>
    <col min="16" max="198" width="8.7109375" style="90" customWidth="1"/>
    <col min="199" max="16384" width="8.7109375" style="90"/>
  </cols>
  <sheetData>
    <row r="1" spans="1:29" ht="6" customHeight="1" x14ac:dyDescent="0.3">
      <c r="A1" s="87"/>
      <c r="B1" s="87"/>
      <c r="C1" s="87"/>
      <c r="D1" s="87"/>
      <c r="F1" s="87"/>
      <c r="G1" s="87"/>
      <c r="H1" s="87"/>
      <c r="I1" s="87"/>
      <c r="J1" s="87"/>
      <c r="K1" s="87"/>
      <c r="L1" s="87"/>
      <c r="M1" s="87"/>
      <c r="N1" s="87"/>
      <c r="O1" s="87"/>
      <c r="P1" s="87"/>
      <c r="Q1" s="87"/>
      <c r="R1" s="89"/>
      <c r="S1" s="89"/>
      <c r="T1" s="89"/>
      <c r="U1" s="89"/>
      <c r="V1" s="89"/>
      <c r="W1" s="89"/>
      <c r="X1" s="89"/>
      <c r="Y1" s="89"/>
      <c r="Z1" s="89"/>
      <c r="AA1" s="89"/>
      <c r="AB1" s="89"/>
      <c r="AC1" s="89"/>
    </row>
    <row r="2" spans="1:29" ht="42" customHeight="1" x14ac:dyDescent="0.3">
      <c r="A2" s="87"/>
      <c r="B2" s="289" t="s">
        <v>152</v>
      </c>
      <c r="C2" s="282"/>
      <c r="D2" s="282"/>
      <c r="E2" s="283"/>
      <c r="F2" s="282"/>
      <c r="G2" s="284"/>
      <c r="H2" s="282"/>
      <c r="I2" s="282"/>
      <c r="J2" s="282"/>
      <c r="K2" s="282"/>
      <c r="L2" s="282"/>
      <c r="M2" s="282"/>
      <c r="N2" s="282"/>
      <c r="O2" s="282"/>
      <c r="P2" s="87"/>
      <c r="Q2" s="87"/>
      <c r="R2" s="87"/>
      <c r="S2" s="89"/>
      <c r="T2" s="89"/>
      <c r="U2" s="89"/>
      <c r="V2" s="89"/>
      <c r="W2" s="89"/>
      <c r="X2" s="89"/>
      <c r="Y2" s="89"/>
      <c r="Z2" s="89"/>
      <c r="AA2" s="89"/>
      <c r="AB2" s="89"/>
      <c r="AC2" s="89"/>
    </row>
    <row r="3" spans="1:29" ht="21.75" customHeight="1" x14ac:dyDescent="0.3">
      <c r="A3" s="87"/>
      <c r="B3" s="281" t="s">
        <v>153</v>
      </c>
      <c r="C3" s="282"/>
      <c r="D3" s="282"/>
      <c r="E3" s="283"/>
      <c r="F3" s="282"/>
      <c r="G3" s="284"/>
      <c r="H3" s="286">
        <f ca="1">TODAY()</f>
        <v>46277</v>
      </c>
      <c r="I3" s="282"/>
      <c r="J3" s="282"/>
      <c r="K3" s="282"/>
      <c r="L3" s="282"/>
      <c r="M3" s="282"/>
      <c r="N3" s="282"/>
      <c r="O3" s="282"/>
      <c r="P3" s="87"/>
      <c r="Q3" s="87"/>
      <c r="R3" s="87"/>
      <c r="S3" s="89"/>
      <c r="T3" s="89"/>
      <c r="U3" s="89"/>
      <c r="V3" s="89"/>
      <c r="W3" s="89"/>
      <c r="X3" s="89"/>
      <c r="Y3" s="89"/>
      <c r="Z3" s="89"/>
      <c r="AA3" s="89"/>
      <c r="AB3" s="89"/>
      <c r="AC3" s="89"/>
    </row>
    <row r="4" spans="1:29" ht="3" customHeight="1" x14ac:dyDescent="0.3">
      <c r="A4" s="87"/>
      <c r="B4" s="87"/>
      <c r="C4" s="87"/>
      <c r="D4" s="87"/>
      <c r="F4" s="87"/>
      <c r="G4" s="87"/>
      <c r="H4" s="87"/>
      <c r="I4" s="87"/>
      <c r="J4" s="87"/>
      <c r="K4" s="87"/>
      <c r="L4" s="87"/>
      <c r="M4" s="87"/>
      <c r="N4" s="87"/>
      <c r="O4" s="87"/>
      <c r="P4" s="87"/>
      <c r="Q4" s="87"/>
      <c r="R4" s="87"/>
      <c r="S4" s="89"/>
      <c r="T4" s="89"/>
      <c r="U4" s="89"/>
      <c r="V4" s="89"/>
      <c r="W4" s="89"/>
      <c r="X4" s="89"/>
      <c r="Y4" s="89"/>
      <c r="Z4" s="89"/>
      <c r="AA4" s="89"/>
      <c r="AB4" s="89"/>
      <c r="AC4" s="89"/>
    </row>
    <row r="5" spans="1:29" ht="27" customHeight="1" x14ac:dyDescent="0.3">
      <c r="A5" s="87"/>
      <c r="B5" s="143" t="s">
        <v>154</v>
      </c>
      <c r="C5" s="144">
        <f>MAX(Production_Log!$A$3:$A$8961)</f>
        <v>46276</v>
      </c>
      <c r="D5" s="92" t="s">
        <v>155</v>
      </c>
      <c r="E5" s="92"/>
      <c r="F5" s="93"/>
      <c r="G5" s="288" t="s">
        <v>156</v>
      </c>
      <c r="H5" s="282"/>
      <c r="I5" s="94"/>
      <c r="J5" s="288" t="s">
        <v>157</v>
      </c>
      <c r="K5" s="282"/>
      <c r="L5" s="112"/>
      <c r="M5" s="290" t="s">
        <v>158</v>
      </c>
      <c r="N5" s="291"/>
      <c r="O5" s="291"/>
      <c r="P5" s="238"/>
      <c r="Q5" s="238"/>
      <c r="R5" s="238"/>
      <c r="S5" s="239"/>
      <c r="T5" s="239"/>
      <c r="U5" s="239"/>
      <c r="V5" s="239"/>
      <c r="W5" s="89"/>
      <c r="X5" s="89"/>
      <c r="Y5" s="89"/>
      <c r="Z5" s="89"/>
      <c r="AA5" s="89"/>
      <c r="AB5" s="89"/>
      <c r="AC5" s="89"/>
    </row>
    <row r="6" spans="1:29" ht="26.25" customHeight="1" x14ac:dyDescent="0.3">
      <c r="A6" s="87"/>
      <c r="B6" s="285">
        <f>SUMPRODUCT((Production_Log!$A$3:$A$8961=MAX(Production_Log!$A$3:$A$8961))*(LEFT(Production_Log!$B$3:$B$8961,5)="Print")*(ISERROR(SEARCH("(Varnish)",Production_Log!$D$3:$D$8961)))*Production_Log!$H$3:$H$8961)</f>
        <v>5712</v>
      </c>
      <c r="C6" s="282"/>
      <c r="D6" s="95">
        <f>SUMIF($B$11:$B$67,"TUBE",$H$11:$H$67)</f>
        <v>101612</v>
      </c>
      <c r="E6" s="285"/>
      <c r="F6" s="282"/>
      <c r="G6" s="96">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2.7096378851419928E-2</v>
      </c>
      <c r="H6" s="96"/>
      <c r="I6" s="94"/>
      <c r="J6" s="285">
        <f>SUMIF($B$11:$B$67,"TUBE",$K$11:$K$67)</f>
        <v>77876</v>
      </c>
      <c r="K6" s="282"/>
      <c r="L6" s="97"/>
      <c r="M6" s="240" t="s">
        <v>26</v>
      </c>
      <c r="N6" s="241" t="s">
        <v>159</v>
      </c>
      <c r="O6" s="241" t="s">
        <v>160</v>
      </c>
      <c r="P6" s="238"/>
      <c r="Q6" s="238"/>
      <c r="R6" s="239"/>
      <c r="S6" s="239"/>
      <c r="T6" s="239"/>
      <c r="U6" s="239"/>
      <c r="V6" s="239"/>
      <c r="W6" s="89"/>
      <c r="X6" s="89"/>
      <c r="Y6" s="89"/>
      <c r="Z6" s="89"/>
      <c r="AA6" s="89"/>
      <c r="AB6" s="89"/>
      <c r="AC6" s="89"/>
    </row>
    <row r="7" spans="1:29" ht="27" customHeight="1" x14ac:dyDescent="0.3">
      <c r="A7" s="87"/>
      <c r="B7" s="142" t="s">
        <v>161</v>
      </c>
      <c r="C7" s="145">
        <f>MAX(Production_Log!$A$3:$A$8961)</f>
        <v>46276</v>
      </c>
      <c r="D7" s="98" t="s">
        <v>162</v>
      </c>
      <c r="E7" s="98"/>
      <c r="F7" s="99"/>
      <c r="G7" s="287" t="s">
        <v>163</v>
      </c>
      <c r="H7" s="282"/>
      <c r="I7" s="100"/>
      <c r="J7" s="99" t="s">
        <v>157</v>
      </c>
      <c r="K7" s="99"/>
      <c r="L7" s="99"/>
      <c r="M7" s="242" t="s">
        <v>164</v>
      </c>
      <c r="N7" s="243">
        <f>SUMPRODUCT(((LEFT(Production_Log!$B$3:$B$1000,5)="Press")+(LEFT(Production_Log!$B$3:$B$1000,5)="Print")+(LEFT(Production_Log!$B$3:$B$1000,5)="PLINE"))*Production_Log!$M$3:$M$1000)/60</f>
        <v>10.833333333333334</v>
      </c>
      <c r="O7" s="244">
        <f>IFERROR(N7/$N$10,"")</f>
        <v>0.66326530612244894</v>
      </c>
      <c r="P7" s="238"/>
      <c r="Q7" s="238"/>
      <c r="R7" s="239"/>
      <c r="S7" s="239"/>
      <c r="T7" s="239"/>
      <c r="U7" s="239"/>
      <c r="V7" s="239"/>
      <c r="W7" s="89"/>
      <c r="X7" s="89"/>
      <c r="Y7" s="89"/>
      <c r="Z7" s="89"/>
      <c r="AA7" s="89"/>
      <c r="AB7" s="89"/>
      <c r="AC7" s="89"/>
    </row>
    <row r="8" spans="1:29" ht="27" customHeight="1" x14ac:dyDescent="0.3">
      <c r="A8" s="87"/>
      <c r="B8" s="292">
        <f>SUMPRODUCT((Production_Log!$A$3:$A$8961=MAX(Production_Log!$A$3:$A$8961))*(Production_Log!$B$3:$B$8961="PF Machine")*Production_Log!$H$3:$H$8961)</f>
        <v>22425</v>
      </c>
      <c r="C8" s="282"/>
      <c r="D8" s="101">
        <f>SUMIF($B$11:$B$67,"PET",$H$11:$H$67)</f>
        <v>122120</v>
      </c>
      <c r="E8" s="292"/>
      <c r="F8" s="282"/>
      <c r="G8" s="102">
        <f t="array" ref="G8">IFERROR(SUMPRODUCT((Production_Log!$B$3:$B$8961="PF Machine")*Production_Log!$I$3:$I$8961)/SUMPRODUCT((Production_Log!$B$3:$B$8961="PF Machine")*(Production_Log!$H$3:$H$8961+Production_Log!$I$3:$I$8961)),0)</f>
        <v>0.17296491940945416</v>
      </c>
      <c r="H8" s="102"/>
      <c r="I8" s="100"/>
      <c r="J8" s="292">
        <f>SUMIF($B$11:$B$67,"PET",$K$11:$K$67)</f>
        <v>32880</v>
      </c>
      <c r="K8" s="282"/>
      <c r="L8" s="103"/>
      <c r="M8" s="242" t="s">
        <v>165</v>
      </c>
      <c r="N8" s="243">
        <f>SUMPRODUCT(((LEFT(Production_Log!$B$3:$B$1000,5)="Press")+(LEFT(Production_Log!$B$3:$B$1000,5)="Print")+(LEFT(Production_Log!$B$3:$B$1000,5)="PLINE"))*Production_Log!$N$3:$N$1000)/60</f>
        <v>3.5</v>
      </c>
      <c r="O8" s="244">
        <f>IFERROR(N8/$N$10,"")</f>
        <v>0.21428571428571425</v>
      </c>
      <c r="P8" s="238"/>
      <c r="Q8" s="238"/>
      <c r="R8" s="239"/>
      <c r="S8" s="239"/>
      <c r="T8" s="239"/>
      <c r="U8" s="239"/>
      <c r="V8" s="239"/>
      <c r="W8" s="89"/>
      <c r="X8" s="89"/>
      <c r="Y8" s="89"/>
      <c r="Z8" s="89"/>
      <c r="AA8" s="89"/>
      <c r="AB8" s="89"/>
      <c r="AC8" s="89"/>
    </row>
    <row r="9" spans="1:29" ht="20.25" customHeight="1" x14ac:dyDescent="0.3">
      <c r="A9" s="87"/>
      <c r="B9" s="294" t="s">
        <v>166</v>
      </c>
      <c r="C9" s="295"/>
      <c r="D9" s="295"/>
      <c r="E9" s="295"/>
      <c r="F9" s="295"/>
      <c r="G9" s="295"/>
      <c r="H9" s="295"/>
      <c r="I9" s="295"/>
      <c r="J9" s="295"/>
      <c r="K9" s="295"/>
      <c r="L9" s="295"/>
      <c r="M9" s="242" t="s">
        <v>167</v>
      </c>
      <c r="N9" s="243">
        <f>SUMPRODUCT(((LEFT(Production_Log!$B$3:$B$1000,5)="Press")+(LEFT(Production_Log!$B$3:$B$1000,5)="Print")+(LEFT(Production_Log!$B$3:$B$1000,5)="PLINE"))*Production_Log!$K$3:$K$1000)/60</f>
        <v>2</v>
      </c>
      <c r="O9" s="244">
        <f>IFERROR(N9/$N$10,"")</f>
        <v>0.12244897959183672</v>
      </c>
      <c r="P9" s="238"/>
      <c r="Q9" s="238"/>
      <c r="R9" s="239"/>
      <c r="S9" s="239"/>
      <c r="T9" s="245"/>
      <c r="U9" s="239"/>
      <c r="V9" s="239"/>
      <c r="W9" s="89"/>
      <c r="X9" s="89"/>
      <c r="Y9" s="89"/>
      <c r="Z9" s="89"/>
      <c r="AA9" s="89"/>
      <c r="AB9" s="89"/>
      <c r="AC9" s="89"/>
    </row>
    <row r="10" spans="1:29" ht="24" customHeight="1" x14ac:dyDescent="0.3">
      <c r="A10" s="87"/>
      <c r="B10" s="106" t="s">
        <v>168</v>
      </c>
      <c r="C10" s="106" t="s">
        <v>3</v>
      </c>
      <c r="D10" s="106" t="s">
        <v>4</v>
      </c>
      <c r="E10" s="106" t="s">
        <v>2</v>
      </c>
      <c r="F10" s="106" t="s">
        <v>169</v>
      </c>
      <c r="G10" s="106" t="s">
        <v>170</v>
      </c>
      <c r="H10" s="106" t="s">
        <v>171</v>
      </c>
      <c r="I10" s="106" t="s">
        <v>172</v>
      </c>
      <c r="J10" s="107" t="s">
        <v>173</v>
      </c>
      <c r="K10" s="108" t="s">
        <v>174</v>
      </c>
      <c r="L10" s="108" t="s">
        <v>10</v>
      </c>
      <c r="M10" s="246" t="s">
        <v>175</v>
      </c>
      <c r="N10" s="247">
        <f>SUM(N7:N9)</f>
        <v>16.333333333333336</v>
      </c>
      <c r="O10" s="248" t="s">
        <v>176</v>
      </c>
      <c r="P10" s="238"/>
      <c r="Q10" s="238"/>
      <c r="R10" s="239"/>
      <c r="S10" s="239"/>
      <c r="T10" s="245"/>
      <c r="U10" s="239"/>
      <c r="V10" s="239"/>
      <c r="W10" s="89"/>
      <c r="X10" s="89"/>
      <c r="Y10" s="89"/>
      <c r="Z10" s="89"/>
      <c r="AA10" s="89"/>
      <c r="AB10" s="89"/>
      <c r="AC10" s="89"/>
    </row>
    <row r="11" spans="1:29" s="110" customFormat="1" ht="16.5" customHeight="1" x14ac:dyDescent="0.3">
      <c r="A11" s="109"/>
      <c r="B11" s="249" t="s">
        <v>154</v>
      </c>
      <c r="C11" s="250" t="s">
        <v>11</v>
      </c>
      <c r="D11" s="251" t="s">
        <v>12</v>
      </c>
      <c r="E11" s="252">
        <v>20.5</v>
      </c>
      <c r="F11" s="253">
        <v>6077</v>
      </c>
      <c r="G11" s="253">
        <f>IFERROR(INDEX(MRP!$F$3:$F$150,MATCH(F11,MRP!$D$3:$D$150,0)),0)</f>
        <v>15000</v>
      </c>
      <c r="H11" s="254">
        <f>SUMPRODUCT((Production_Log!$F$3:$F$1000=F11)*((LEFT(Production_Log!$B$3:$B$1000,5)="Print")+(LEFT(Production_Log!$B$3:$B$1000,5)="PLINE"))*(ISERROR(SEARCH("(Varnish)",Production_Log!$D$3:$D$1000)))*Production_Log!$H$3:$H$1000)</f>
        <v>0</v>
      </c>
      <c r="I11" s="253">
        <f t="shared" ref="I11:I16" si="0">G11-H11</f>
        <v>15000</v>
      </c>
      <c r="J11" s="255">
        <f t="shared" ref="J11:J16" si="1">IF(G11=0,"-",H11/G11)</f>
        <v>0</v>
      </c>
      <c r="K11" s="254"/>
      <c r="L11" s="256" t="s">
        <v>177</v>
      </c>
      <c r="M11" s="257"/>
      <c r="N11" s="258"/>
      <c r="O11" s="258"/>
      <c r="P11" s="238"/>
      <c r="Q11" s="238"/>
      <c r="R11" s="238"/>
      <c r="S11" s="258"/>
      <c r="T11" s="245"/>
      <c r="U11" s="258"/>
      <c r="V11" s="239"/>
      <c r="W11" s="111"/>
      <c r="X11" s="111"/>
      <c r="Y11" s="111"/>
      <c r="Z11" s="111"/>
      <c r="AA11" s="111"/>
      <c r="AB11" s="111"/>
      <c r="AC11" s="111"/>
    </row>
    <row r="12" spans="1:29" ht="16.5" customHeight="1" x14ac:dyDescent="0.3">
      <c r="A12" s="87"/>
      <c r="B12" s="249" t="s">
        <v>154</v>
      </c>
      <c r="C12" s="250" t="s">
        <v>14</v>
      </c>
      <c r="D12" s="251" t="s">
        <v>15</v>
      </c>
      <c r="E12" s="252">
        <v>25</v>
      </c>
      <c r="F12" s="253">
        <v>6470</v>
      </c>
      <c r="G12" s="253">
        <f>IFERROR(INDEX(MRP!$F$3:$F$150,MATCH(F12,MRP!$D$3:$D$150,0)),0)</f>
        <v>40000</v>
      </c>
      <c r="H12" s="254">
        <f>SUMPRODUCT((Production_Log!$F$3:$F$1000=F12)*((LEFT(Production_Log!$B$3:$B$1000,5)="Print")+(LEFT(Production_Log!$B$3:$B$1000,5)="PLINE"))*(ISERROR(SEARCH("(Varnish)",Production_Log!$D$3:$D$1000)))*Production_Log!$H$3:$H$1000)</f>
        <v>41664</v>
      </c>
      <c r="I12" s="253">
        <f t="shared" si="0"/>
        <v>-1664</v>
      </c>
      <c r="J12" s="255">
        <f t="shared" si="1"/>
        <v>1.0416000000000001</v>
      </c>
      <c r="K12" s="254"/>
      <c r="L12" s="256"/>
      <c r="M12" s="293" t="s">
        <v>178</v>
      </c>
      <c r="N12" s="291"/>
      <c r="O12" s="291"/>
      <c r="P12" s="238"/>
      <c r="Q12" s="238"/>
      <c r="R12" s="239"/>
      <c r="S12" s="239"/>
      <c r="T12" s="245"/>
      <c r="U12" s="239"/>
      <c r="V12" s="239"/>
      <c r="W12" s="89"/>
      <c r="X12" s="89"/>
      <c r="Y12" s="89"/>
      <c r="Z12" s="89"/>
      <c r="AA12" s="89"/>
      <c r="AB12" s="89"/>
      <c r="AC12" s="89"/>
    </row>
    <row r="13" spans="1:29" x14ac:dyDescent="0.3">
      <c r="A13" s="87"/>
      <c r="B13" s="249" t="s">
        <v>154</v>
      </c>
      <c r="C13" s="250" t="s">
        <v>11</v>
      </c>
      <c r="D13" s="251" t="s">
        <v>16</v>
      </c>
      <c r="E13" s="252">
        <v>25</v>
      </c>
      <c r="F13" s="253">
        <v>6228</v>
      </c>
      <c r="G13" s="253">
        <f>IFERROR(INDEX(MRP!$F$3:$F$150,MATCH(F13,MRP!$D$3:$D$150,0)),0)</f>
        <v>20000</v>
      </c>
      <c r="H13" s="254">
        <f>SUMPRODUCT((Production_Log!$F$3:$F$1000=F13)*((LEFT(Production_Log!$B$3:$B$1000,5)="Print")+(LEFT(Production_Log!$B$3:$B$1000,5)="PLINE"))*(ISERROR(SEARCH("(Varnish)",Production_Log!$D$3:$D$1000)))*Production_Log!$H$3:$H$1000)</f>
        <v>2352</v>
      </c>
      <c r="I13" s="253">
        <f t="shared" si="0"/>
        <v>17648</v>
      </c>
      <c r="J13" s="255">
        <f t="shared" si="1"/>
        <v>0.1176</v>
      </c>
      <c r="K13" s="254"/>
      <c r="L13" s="256" t="s">
        <v>177</v>
      </c>
      <c r="M13" s="259" t="s">
        <v>26</v>
      </c>
      <c r="N13" s="260" t="s">
        <v>159</v>
      </c>
      <c r="O13" s="261" t="s">
        <v>160</v>
      </c>
      <c r="P13" s="238"/>
      <c r="Q13" s="238"/>
      <c r="R13" s="239"/>
      <c r="S13" s="239"/>
      <c r="T13" s="245"/>
      <c r="U13" s="239"/>
      <c r="V13" s="239"/>
      <c r="W13" s="89"/>
      <c r="X13" s="89"/>
      <c r="Y13" s="89"/>
      <c r="Z13" s="89"/>
      <c r="AA13" s="89"/>
      <c r="AB13" s="89"/>
      <c r="AC13" s="89"/>
    </row>
    <row r="14" spans="1:29" ht="16.5" customHeight="1" x14ac:dyDescent="0.3">
      <c r="A14" s="87"/>
      <c r="B14" s="249" t="s">
        <v>154</v>
      </c>
      <c r="C14" s="250" t="s">
        <v>11</v>
      </c>
      <c r="D14" s="251" t="s">
        <v>17</v>
      </c>
      <c r="E14" s="252">
        <v>30</v>
      </c>
      <c r="F14" s="253">
        <v>5814</v>
      </c>
      <c r="G14" s="253">
        <f>IFERROR(INDEX(MRP!$F$3:$F$150,MATCH(F14,MRP!$D$3:$D$150,0)),0)</f>
        <v>67612</v>
      </c>
      <c r="H14" s="254">
        <f>SUMPRODUCT((Production_Log!$F$3:$F$1000=F14)*((LEFT(Production_Log!$B$3:$B$1000,5)="Print")+(LEFT(Production_Log!$B$3:$B$1000,5)="PLINE"))*(ISERROR(SEARCH("(Varnish)",Production_Log!$D$3:$D$1000)))*Production_Log!$H$3:$H$1000)</f>
        <v>17612</v>
      </c>
      <c r="I14" s="253">
        <f t="shared" si="0"/>
        <v>50000</v>
      </c>
      <c r="J14" s="255">
        <f t="shared" si="1"/>
        <v>0.26048630420635388</v>
      </c>
      <c r="K14" s="254">
        <v>25754</v>
      </c>
      <c r="L14" s="256" t="s">
        <v>177</v>
      </c>
      <c r="M14" s="262" t="s">
        <v>179</v>
      </c>
      <c r="N14" s="243">
        <f>SUMPRODUCT(((LEFT(Production_Log!$B$3:$B$1000,2)="PF")+(LEFT(Production_Log!$B$3:$B$1000,3)="PET"))*Production_Log!$L$3:$L$1000)/60</f>
        <v>42.833333333333336</v>
      </c>
      <c r="O14" s="244">
        <f>IFERROR(N14/$N$18,"")</f>
        <v>0.53099173553719003</v>
      </c>
      <c r="P14" s="238"/>
      <c r="Q14" s="238"/>
      <c r="R14" s="238"/>
      <c r="S14" s="239"/>
      <c r="T14" s="245"/>
      <c r="U14" s="239"/>
      <c r="V14" s="238"/>
      <c r="W14" s="87"/>
      <c r="X14" s="89"/>
      <c r="Y14" s="89"/>
      <c r="Z14" s="89"/>
      <c r="AA14" s="89"/>
      <c r="AB14" s="89"/>
      <c r="AC14" s="89"/>
    </row>
    <row r="15" spans="1:29" ht="15" customHeight="1" x14ac:dyDescent="0.3">
      <c r="B15" s="249" t="s">
        <v>154</v>
      </c>
      <c r="C15" s="250" t="s">
        <v>19</v>
      </c>
      <c r="D15" s="251" t="s">
        <v>20</v>
      </c>
      <c r="E15" s="252">
        <v>30</v>
      </c>
      <c r="F15" s="253">
        <v>6206</v>
      </c>
      <c r="G15" s="253">
        <f>IFERROR(INDEX(MRP!$F$3:$F$150,MATCH(F15,MRP!$D$3:$D$150,0)),0)</f>
        <v>700000</v>
      </c>
      <c r="H15" s="254">
        <f>SUMPRODUCT((Production_Log!$F$3:$F$1000=F15)*((LEFT(Production_Log!$B$3:$B$1000,5)="Print")+(LEFT(Production_Log!$B$3:$B$1000,5)="PLINE"))*(ISERROR(SEARCH("(Varnish)",Production_Log!$D$3:$D$1000)))*Production_Log!$H$3:$H$1000)</f>
        <v>39984</v>
      </c>
      <c r="I15" s="253">
        <f t="shared" si="0"/>
        <v>660016</v>
      </c>
      <c r="J15" s="255">
        <f t="shared" si="1"/>
        <v>5.7119999999999997E-2</v>
      </c>
      <c r="K15" s="254">
        <v>52122</v>
      </c>
      <c r="L15" s="256"/>
      <c r="M15" s="242" t="s">
        <v>167</v>
      </c>
      <c r="N15" s="243">
        <f>SUMPRODUCT(((LEFT(Production_Log!$B$3:$B$1000,2)="PF")+(LEFT(Production_Log!$B$3:$B$1000,3)="PET"))*Production_Log!$K$3:$K$1000)/60</f>
        <v>25.833333333333332</v>
      </c>
      <c r="O15" s="244">
        <f>IFERROR(N15/$N$18,"")</f>
        <v>0.32024793388429751</v>
      </c>
      <c r="P15" s="258"/>
      <c r="Q15" s="258"/>
      <c r="R15" s="258"/>
      <c r="S15" s="258"/>
      <c r="T15" s="258"/>
      <c r="U15" s="258"/>
      <c r="V15" s="258"/>
    </row>
    <row r="16" spans="1:29" ht="16.5" customHeight="1" x14ac:dyDescent="0.3">
      <c r="A16" s="87"/>
      <c r="B16" s="249" t="s">
        <v>154</v>
      </c>
      <c r="C16" s="250" t="s">
        <v>21</v>
      </c>
      <c r="D16" s="251" t="s">
        <v>22</v>
      </c>
      <c r="E16" s="252">
        <v>32</v>
      </c>
      <c r="F16" s="253">
        <v>6515</v>
      </c>
      <c r="G16" s="253">
        <f>IFERROR(INDEX(MRP!$F$3:$F$150,MATCH(F16,MRP!$D$3:$D$150,0)),0)</f>
        <v>200000</v>
      </c>
      <c r="H16" s="254">
        <f>SUMPRODUCT((Production_Log!$F$3:$F$1000=F16)*((LEFT(Production_Log!$B$3:$B$1000,5)="Print")+(LEFT(Production_Log!$B$3:$B$1000,5)="PLINE"))*(ISERROR(SEARCH("(Varnish)",Production_Log!$D$3:$D$1000)))*Production_Log!$H$3:$H$1000)</f>
        <v>0</v>
      </c>
      <c r="I16" s="253">
        <f t="shared" si="0"/>
        <v>200000</v>
      </c>
      <c r="J16" s="255">
        <f t="shared" si="1"/>
        <v>0</v>
      </c>
      <c r="K16" s="254"/>
      <c r="L16" s="256"/>
      <c r="M16" s="242" t="s">
        <v>165</v>
      </c>
      <c r="N16" s="243">
        <f>SUMPRODUCT(((LEFT(Production_Log!$B$3:$B$1000,2)="PF")+(LEFT(Production_Log!$B$3:$B$1000,3)="PET"))*Production_Log!$N$3:$N$1000)/60</f>
        <v>8.6666666666666661</v>
      </c>
      <c r="O16" s="244">
        <f>IFERROR(N16/$N$18,"")</f>
        <v>0.10743801652892561</v>
      </c>
      <c r="P16" s="238"/>
      <c r="Q16" s="238"/>
      <c r="R16" s="238"/>
      <c r="S16" s="238"/>
      <c r="T16" s="238"/>
      <c r="U16" s="238"/>
      <c r="V16" s="239"/>
      <c r="W16" s="89"/>
      <c r="X16" s="89"/>
      <c r="Y16" s="89"/>
      <c r="Z16" s="89"/>
      <c r="AA16" s="89"/>
      <c r="AB16" s="89"/>
      <c r="AC16" s="89"/>
    </row>
    <row r="17" spans="1:29" ht="16.5" customHeight="1" x14ac:dyDescent="0.3">
      <c r="A17" s="87"/>
      <c r="B17" s="263"/>
      <c r="C17" s="264"/>
      <c r="D17" s="265" t="s">
        <v>175</v>
      </c>
      <c r="E17" s="263"/>
      <c r="F17" s="264"/>
      <c r="G17" s="266">
        <f>SUM(G11:G16)</f>
        <v>1042612</v>
      </c>
      <c r="H17" s="266">
        <f>SUM(H11:H16)</f>
        <v>101612</v>
      </c>
      <c r="I17" s="266">
        <f>SUMIF(I11:I16,"&gt;"&amp;0)</f>
        <v>942664</v>
      </c>
      <c r="J17" s="266"/>
      <c r="K17" s="266">
        <f>SUM(K11:K16)</f>
        <v>77876</v>
      </c>
      <c r="L17" s="266"/>
      <c r="M17" s="242" t="s">
        <v>180</v>
      </c>
      <c r="N17" s="243">
        <f>SUMPRODUCT(((LEFT(Production_Log!$B$3:$B$1000,2)="PF")+(LEFT(Production_Log!$B$3:$B$1000,3)="PET"))*Production_Log!$P$3:$P$1000)/60</f>
        <v>3.3333333333333335</v>
      </c>
      <c r="O17" s="244">
        <f>IFERROR(N17/$N$18,"")</f>
        <v>4.1322314049586778E-2</v>
      </c>
      <c r="P17" s="238"/>
      <c r="Q17" s="238"/>
      <c r="R17" s="238"/>
      <c r="S17" s="239"/>
      <c r="T17" s="245"/>
      <c r="U17" s="239"/>
      <c r="V17" s="238"/>
      <c r="W17" s="87"/>
      <c r="X17" s="89"/>
      <c r="Y17" s="89"/>
      <c r="Z17" s="89"/>
      <c r="AA17" s="89"/>
      <c r="AB17" s="89"/>
      <c r="AC17" s="89"/>
    </row>
    <row r="18" spans="1:29" ht="16.5" customHeight="1" x14ac:dyDescent="0.3">
      <c r="A18" s="87"/>
      <c r="B18" s="249" t="s">
        <v>161</v>
      </c>
      <c r="C18" s="250" t="s">
        <v>135</v>
      </c>
      <c r="D18" s="251" t="s">
        <v>136</v>
      </c>
      <c r="E18" s="252" t="s">
        <v>134</v>
      </c>
      <c r="F18" s="253">
        <v>8018</v>
      </c>
      <c r="G18" s="253">
        <f>IFERROR(INDEX(MRP!$F$3:$F$150,MATCH(F18,MRP!$D$3:$D$150,0)),0)</f>
        <v>25000</v>
      </c>
      <c r="H18" s="254">
        <f>SUMPRODUCT((Production_Log!$F$3:$F$1000=F18)*Production_Log!$H$3:$H$1000)</f>
        <v>0</v>
      </c>
      <c r="I18" s="253">
        <f>G18-H18</f>
        <v>25000</v>
      </c>
      <c r="J18" s="255">
        <f>IF(G18=0,"-",H18/G18)</f>
        <v>0</v>
      </c>
      <c r="K18" s="254"/>
      <c r="L18" s="256"/>
      <c r="M18" s="246" t="s">
        <v>175</v>
      </c>
      <c r="N18" s="247">
        <f>SUM(N14:N17)</f>
        <v>80.666666666666671</v>
      </c>
      <c r="O18" s="248" t="s">
        <v>176</v>
      </c>
      <c r="P18" s="238"/>
      <c r="Q18" s="238"/>
      <c r="R18" s="238"/>
      <c r="S18" s="238"/>
      <c r="T18" s="238"/>
      <c r="U18" s="238"/>
      <c r="V18" s="239"/>
      <c r="W18" s="89"/>
      <c r="X18" s="89"/>
      <c r="Y18" s="89"/>
      <c r="Z18" s="89"/>
      <c r="AA18" s="89"/>
      <c r="AB18" s="89"/>
      <c r="AC18" s="89"/>
    </row>
    <row r="19" spans="1:29" ht="16.5" customHeight="1" x14ac:dyDescent="0.3">
      <c r="A19" s="87"/>
      <c r="B19" s="249" t="s">
        <v>161</v>
      </c>
      <c r="C19" s="250" t="s">
        <v>14</v>
      </c>
      <c r="D19" s="251" t="s">
        <v>139</v>
      </c>
      <c r="E19" s="252" t="s">
        <v>138</v>
      </c>
      <c r="F19" s="253">
        <v>8005</v>
      </c>
      <c r="G19" s="253">
        <f>IFERROR(INDEX(MRP!$F$3:$F$150,MATCH(F19,MRP!$D$3:$D$150,0)),0)</f>
        <v>60160</v>
      </c>
      <c r="H19" s="254">
        <f>SUMPRODUCT((Production_Log!$F$3:$F$1000=F19)*Production_Log!$H$3:$H$1000)</f>
        <v>32880</v>
      </c>
      <c r="I19" s="253">
        <f>G19-H19</f>
        <v>27280</v>
      </c>
      <c r="J19" s="255">
        <f>IF(G19=0,"-",H19/G19)</f>
        <v>0.54654255319148937</v>
      </c>
      <c r="K19" s="254">
        <v>32880</v>
      </c>
      <c r="L19" s="256"/>
      <c r="M19" s="267"/>
      <c r="N19" s="268"/>
      <c r="O19" s="269"/>
      <c r="P19" s="238"/>
      <c r="Q19" s="238"/>
      <c r="R19" s="239"/>
      <c r="S19" s="239"/>
      <c r="T19" s="245"/>
      <c r="U19" s="239"/>
      <c r="V19" s="239"/>
      <c r="W19" s="89"/>
      <c r="X19" s="89"/>
      <c r="Y19" s="89"/>
      <c r="Z19" s="89"/>
      <c r="AA19" s="89"/>
      <c r="AB19" s="89"/>
      <c r="AC19" s="89"/>
    </row>
    <row r="20" spans="1:29" ht="16.5" customHeight="1" x14ac:dyDescent="0.3">
      <c r="A20" s="87"/>
      <c r="B20" s="249" t="s">
        <v>161</v>
      </c>
      <c r="C20" s="250" t="s">
        <v>11</v>
      </c>
      <c r="D20" s="251" t="s">
        <v>142</v>
      </c>
      <c r="E20" s="252" t="s">
        <v>141</v>
      </c>
      <c r="F20" s="253">
        <v>8015</v>
      </c>
      <c r="G20" s="253">
        <f>IFERROR(INDEX(MRP!$F$3:$F$150,MATCH(F20,MRP!$D$3:$D$150,0)),0)</f>
        <v>9480</v>
      </c>
      <c r="H20" s="254">
        <f>SUMPRODUCT((Production_Log!$F$3:$F$1000=F20)*Production_Log!$H$3:$H$1000)</f>
        <v>0</v>
      </c>
      <c r="I20" s="253">
        <f>G20-H20</f>
        <v>9480</v>
      </c>
      <c r="J20" s="255">
        <f>IF(G20=0,"-",H20/G20)</f>
        <v>0</v>
      </c>
      <c r="K20" s="254"/>
      <c r="L20" s="256"/>
      <c r="M20" s="270"/>
      <c r="N20" s="271"/>
      <c r="O20" s="272"/>
      <c r="P20" s="238"/>
      <c r="Q20" s="238"/>
      <c r="R20" s="239"/>
      <c r="S20" s="258"/>
      <c r="T20" s="245"/>
      <c r="U20" s="258"/>
      <c r="V20" s="239"/>
      <c r="W20" s="89"/>
      <c r="X20" s="89"/>
      <c r="Y20" s="89"/>
      <c r="Z20" s="89"/>
      <c r="AA20" s="89"/>
      <c r="AB20" s="89"/>
      <c r="AC20" s="89"/>
    </row>
    <row r="21" spans="1:29" ht="16.5" customHeight="1" x14ac:dyDescent="0.3">
      <c r="A21" s="87"/>
      <c r="B21" s="249" t="s">
        <v>161</v>
      </c>
      <c r="C21" s="250" t="s">
        <v>135</v>
      </c>
      <c r="D21" s="251" t="s">
        <v>181</v>
      </c>
      <c r="E21" s="252" t="s">
        <v>143</v>
      </c>
      <c r="F21" s="253">
        <v>8001</v>
      </c>
      <c r="G21" s="253">
        <f>IFERROR(INDEX(MRP!$F$3:$F$150,MATCH(F21,MRP!$D$3:$D$150,0)),0)</f>
        <v>753187</v>
      </c>
      <c r="H21" s="254">
        <f>SUMPRODUCT((Production_Log!$F$3:$F$1000=F21)*Production_Log!$H$3:$H$1000)</f>
        <v>89240</v>
      </c>
      <c r="I21" s="253">
        <f>G21-H21</f>
        <v>663947</v>
      </c>
      <c r="J21" s="255">
        <f>IF(G21=0,"-",H21/G21)</f>
        <v>0.1184831920890828</v>
      </c>
      <c r="K21" s="254"/>
      <c r="L21" s="256"/>
      <c r="M21" s="273"/>
      <c r="N21" s="274"/>
      <c r="O21" s="275"/>
      <c r="P21" s="238"/>
      <c r="Q21" s="238"/>
      <c r="R21" s="238"/>
      <c r="S21" s="258"/>
      <c r="T21" s="245"/>
      <c r="U21" s="258"/>
      <c r="V21" s="239"/>
      <c r="W21" s="89"/>
      <c r="X21" s="89"/>
      <c r="Y21" s="89"/>
      <c r="Z21" s="89"/>
      <c r="AA21" s="89"/>
      <c r="AB21" s="89"/>
      <c r="AC21" s="89"/>
    </row>
    <row r="22" spans="1:29" ht="16.5" customHeight="1" x14ac:dyDescent="0.3">
      <c r="A22" s="133"/>
      <c r="B22" s="249" t="s">
        <v>161</v>
      </c>
      <c r="C22" s="250" t="s">
        <v>14</v>
      </c>
      <c r="D22" s="251" t="s">
        <v>147</v>
      </c>
      <c r="E22" s="252" t="s">
        <v>146</v>
      </c>
      <c r="F22" s="253">
        <v>8006</v>
      </c>
      <c r="G22" s="253">
        <f>IFERROR(INDEX(MRP!$F$3:$F$150,MATCH(F22,MRP!$D$3:$D$150,0)),0)</f>
        <v>47000</v>
      </c>
      <c r="H22" s="254">
        <f>SUMPRODUCT((Production_Log!$F$3:$F$1000=F22)*Production_Log!$H$3:$H$1000)</f>
        <v>0</v>
      </c>
      <c r="I22" s="253">
        <f>G22-H22</f>
        <v>47000</v>
      </c>
      <c r="J22" s="255">
        <f>IF(G22=0,"-",H22/G22)</f>
        <v>0</v>
      </c>
      <c r="K22" s="254"/>
      <c r="L22" s="256"/>
      <c r="M22" s="273"/>
      <c r="N22" s="274"/>
      <c r="O22" s="275"/>
      <c r="P22" s="238"/>
      <c r="Q22" s="238"/>
      <c r="R22" s="238"/>
      <c r="S22" s="276"/>
      <c r="T22" s="258"/>
      <c r="U22" s="258"/>
      <c r="V22" s="258"/>
    </row>
    <row r="23" spans="1:29" x14ac:dyDescent="0.3">
      <c r="A23" s="87"/>
      <c r="B23" s="263"/>
      <c r="C23" s="264"/>
      <c r="D23" s="265" t="s">
        <v>175</v>
      </c>
      <c r="E23" s="263"/>
      <c r="F23" s="264"/>
      <c r="G23" s="266">
        <f>SUM(G18:G22)</f>
        <v>894827</v>
      </c>
      <c r="H23" s="266">
        <f>SUM(H18:H22)</f>
        <v>122120</v>
      </c>
      <c r="I23" s="266">
        <f>SUMIF(I18:I22,"&gt;"&amp;0)</f>
        <v>772707</v>
      </c>
      <c r="J23" s="266"/>
      <c r="K23" s="266">
        <f>SUM(K18:K22)</f>
        <v>32880</v>
      </c>
      <c r="L23" s="266"/>
      <c r="M23" s="273"/>
      <c r="N23" s="274"/>
      <c r="O23" s="275"/>
      <c r="P23" s="238"/>
      <c r="Q23" s="238"/>
      <c r="R23" s="238"/>
      <c r="S23" s="238"/>
      <c r="T23" s="238"/>
      <c r="U23" s="238"/>
      <c r="V23" s="238"/>
      <c r="W23" s="87"/>
      <c r="X23" s="89"/>
      <c r="Y23" s="89"/>
      <c r="Z23" s="89"/>
      <c r="AA23" s="89"/>
      <c r="AB23" s="89"/>
      <c r="AC23" s="89"/>
    </row>
    <row r="24" spans="1:29" ht="16.5" customHeight="1" x14ac:dyDescent="0.3">
      <c r="A24" s="87"/>
      <c r="B24" s="249" t="s">
        <v>154</v>
      </c>
      <c r="C24" s="250" t="s">
        <v>182</v>
      </c>
      <c r="D24" s="251" t="s">
        <v>183</v>
      </c>
      <c r="E24" s="252">
        <v>12.5</v>
      </c>
      <c r="F24" s="253">
        <v>9004</v>
      </c>
      <c r="G24" s="253">
        <f>IFERROR(INDEX(MRP!$F$3:$F$150,MATCH(F24,MRP!$D$3:$D$150,0)),0)</f>
        <v>0</v>
      </c>
      <c r="H24" s="254">
        <f>SUMPRODUCT((Production_Log!$F$3:$F$1000=F24)*((LEFT(Production_Log!$B$3:$B$1000,5)="Print")+(LEFT(Production_Log!$B$3:$B$1000,5)="PLINE"))*(ISERROR(SEARCH("(Varnish)",Production_Log!$D$3:$D$1000)))*Production_Log!$H$3:$H$1000)</f>
        <v>0</v>
      </c>
      <c r="I24" s="253">
        <f t="shared" ref="I24:I67" si="2">G24-H24</f>
        <v>0</v>
      </c>
      <c r="J24" s="255" t="str">
        <f t="shared" ref="J24:J67" si="3">IF(G24=0,"-",H24/G24)</f>
        <v>-</v>
      </c>
      <c r="K24" s="254"/>
      <c r="L24" s="256"/>
      <c r="M24" s="273"/>
      <c r="N24" s="274"/>
      <c r="O24" s="275"/>
      <c r="P24" s="238"/>
      <c r="Q24" s="238"/>
      <c r="R24" s="238"/>
      <c r="S24" s="238"/>
      <c r="T24" s="238"/>
      <c r="U24" s="238"/>
      <c r="V24" s="238"/>
      <c r="W24" s="87"/>
      <c r="X24" s="89"/>
      <c r="Y24" s="89"/>
      <c r="Z24" s="89"/>
      <c r="AA24" s="89"/>
      <c r="AB24" s="89"/>
      <c r="AC24" s="89"/>
    </row>
    <row r="25" spans="1:29" ht="16.5" customHeight="1" x14ac:dyDescent="0.3">
      <c r="A25" s="87"/>
      <c r="B25" s="249" t="s">
        <v>154</v>
      </c>
      <c r="C25" s="250" t="s">
        <v>184</v>
      </c>
      <c r="D25" s="251" t="s">
        <v>185</v>
      </c>
      <c r="E25" s="252">
        <v>16</v>
      </c>
      <c r="F25" s="253">
        <v>6561</v>
      </c>
      <c r="G25" s="253">
        <f>IFERROR(INDEX(MRP!$F$3:$F$150,MATCH(F25,MRP!$D$3:$D$150,0)),0)</f>
        <v>0</v>
      </c>
      <c r="H25" s="254">
        <f>SUMPRODUCT((Production_Log!$F$3:$F$1000=F25)*((LEFT(Production_Log!$B$3:$B$1000,5)="Print")+(LEFT(Production_Log!$B$3:$B$1000,5)="PLINE"))*(ISERROR(SEARCH("(Varnish)",Production_Log!$D$3:$D$1000)))*Production_Log!$H$3:$H$1000)</f>
        <v>0</v>
      </c>
      <c r="I25" s="253">
        <f t="shared" si="2"/>
        <v>0</v>
      </c>
      <c r="J25" s="255" t="str">
        <f t="shared" si="3"/>
        <v>-</v>
      </c>
      <c r="K25" s="254"/>
      <c r="L25" s="256"/>
      <c r="M25" s="273"/>
      <c r="N25" s="274"/>
      <c r="O25" s="275"/>
      <c r="P25" s="238"/>
      <c r="Q25" s="238"/>
      <c r="R25" s="239"/>
      <c r="S25" s="258"/>
      <c r="T25" s="245"/>
      <c r="U25" s="258"/>
      <c r="V25" s="239"/>
      <c r="W25" s="89"/>
      <c r="X25" s="89"/>
      <c r="Y25" s="89"/>
      <c r="Z25" s="89"/>
      <c r="AA25" s="89"/>
      <c r="AB25" s="89"/>
      <c r="AC25" s="89"/>
    </row>
    <row r="26" spans="1:29" ht="16.5" customHeight="1" x14ac:dyDescent="0.3">
      <c r="A26" s="133"/>
      <c r="B26" s="249" t="s">
        <v>154</v>
      </c>
      <c r="C26" s="250" t="s">
        <v>14</v>
      </c>
      <c r="D26" s="251" t="s">
        <v>186</v>
      </c>
      <c r="E26" s="252">
        <v>19</v>
      </c>
      <c r="F26" s="253">
        <v>6624</v>
      </c>
      <c r="G26" s="253">
        <f>IFERROR(INDEX(MRP!$F$3:$F$150,MATCH(F26,MRP!$D$3:$D$150,0)),0)</f>
        <v>0</v>
      </c>
      <c r="H26" s="254">
        <f>SUMPRODUCT((Production_Log!$F$3:$F$1000=F26)*((LEFT(Production_Log!$B$3:$B$1000,5)="Print")+(LEFT(Production_Log!$B$3:$B$1000,5)="PLINE"))*(ISERROR(SEARCH("(Varnish)",Production_Log!$D$3:$D$1000)))*Production_Log!$H$3:$H$1000)</f>
        <v>0</v>
      </c>
      <c r="I26" s="253">
        <f t="shared" si="2"/>
        <v>0</v>
      </c>
      <c r="J26" s="255" t="str">
        <f t="shared" si="3"/>
        <v>-</v>
      </c>
      <c r="K26" s="254"/>
      <c r="L26" s="256"/>
      <c r="M26" s="273"/>
      <c r="N26" s="274"/>
      <c r="O26" s="275"/>
      <c r="P26" s="238"/>
      <c r="Q26" s="238"/>
      <c r="R26" s="239"/>
      <c r="S26" s="258"/>
      <c r="T26" s="245"/>
      <c r="U26" s="258"/>
      <c r="V26" s="239"/>
      <c r="W26" s="134"/>
      <c r="X26" s="134"/>
      <c r="Y26" s="134"/>
      <c r="Z26" s="134"/>
      <c r="AA26" s="134"/>
      <c r="AB26" s="134"/>
      <c r="AC26" s="134"/>
    </row>
    <row r="27" spans="1:29" ht="16.5" customHeight="1" x14ac:dyDescent="0.3">
      <c r="A27" s="87"/>
      <c r="B27" s="249" t="s">
        <v>154</v>
      </c>
      <c r="C27" s="250" t="s">
        <v>14</v>
      </c>
      <c r="D27" s="251" t="s">
        <v>187</v>
      </c>
      <c r="E27" s="252">
        <v>19</v>
      </c>
      <c r="F27" s="253">
        <v>6623</v>
      </c>
      <c r="G27" s="253">
        <f>IFERROR(INDEX(MRP!$F$3:$F$150,MATCH(F27,MRP!$D$3:$D$150,0)),0)</f>
        <v>0</v>
      </c>
      <c r="H27" s="254">
        <f>SUMPRODUCT((Production_Log!$F$3:$F$1000=F27)*((LEFT(Production_Log!$B$3:$B$1000,5)="Print")+(LEFT(Production_Log!$B$3:$B$1000,5)="PLINE"))*(ISERROR(SEARCH("(Varnish)",Production_Log!$D$3:$D$1000)))*Production_Log!$H$3:$H$1000)</f>
        <v>0</v>
      </c>
      <c r="I27" s="253">
        <f t="shared" si="2"/>
        <v>0</v>
      </c>
      <c r="J27" s="255" t="str">
        <f t="shared" si="3"/>
        <v>-</v>
      </c>
      <c r="K27" s="254"/>
      <c r="L27" s="256"/>
      <c r="M27" s="277"/>
      <c r="N27" s="278"/>
      <c r="O27" s="279"/>
      <c r="P27" s="238"/>
      <c r="Q27" s="238"/>
      <c r="R27" s="239"/>
      <c r="S27" s="258"/>
      <c r="T27" s="245"/>
      <c r="U27" s="258"/>
      <c r="V27" s="239"/>
      <c r="W27" s="89"/>
      <c r="X27" s="89"/>
      <c r="Y27" s="89"/>
      <c r="Z27" s="89"/>
      <c r="AA27" s="89"/>
      <c r="AB27" s="89"/>
      <c r="AC27" s="89"/>
    </row>
    <row r="28" spans="1:29" ht="16.5" customHeight="1" x14ac:dyDescent="0.3">
      <c r="A28" s="87"/>
      <c r="B28" s="249" t="s">
        <v>154</v>
      </c>
      <c r="C28" s="250" t="s">
        <v>184</v>
      </c>
      <c r="D28" s="251" t="s">
        <v>187</v>
      </c>
      <c r="E28" s="252">
        <v>19</v>
      </c>
      <c r="F28" s="253">
        <v>6559</v>
      </c>
      <c r="G28" s="253">
        <f>IFERROR(INDEX(MRP!$F$3:$F$150,MATCH(F28,MRP!$D$3:$D$150,0)),0)</f>
        <v>0</v>
      </c>
      <c r="H28" s="254">
        <f>SUMPRODUCT((Production_Log!$F$3:$F$1000=F28)*((LEFT(Production_Log!$B$3:$B$1000,5)="Print")+(LEFT(Production_Log!$B$3:$B$1000,5)="PLINE"))*(ISERROR(SEARCH("(Varnish)",Production_Log!$D$3:$D$1000)))*Production_Log!$H$3:$H$1000)</f>
        <v>0</v>
      </c>
      <c r="I28" s="253">
        <f t="shared" si="2"/>
        <v>0</v>
      </c>
      <c r="J28" s="255" t="str">
        <f t="shared" si="3"/>
        <v>-</v>
      </c>
      <c r="K28" s="254"/>
      <c r="L28" s="256"/>
      <c r="M28" s="238"/>
      <c r="N28" s="238"/>
      <c r="O28" s="238"/>
      <c r="P28" s="238"/>
      <c r="Q28" s="238"/>
      <c r="R28" s="238"/>
      <c r="S28" s="238"/>
      <c r="T28" s="238"/>
      <c r="U28" s="238"/>
      <c r="V28" s="238"/>
      <c r="W28" s="87"/>
      <c r="X28" s="89"/>
      <c r="Y28" s="89"/>
      <c r="Z28" s="89"/>
      <c r="AA28" s="89"/>
      <c r="AB28" s="89"/>
      <c r="AC28" s="89"/>
    </row>
    <row r="29" spans="1:29" ht="16.5" customHeight="1" x14ac:dyDescent="0.3">
      <c r="A29" s="87"/>
      <c r="B29" s="249" t="s">
        <v>154</v>
      </c>
      <c r="C29" s="250" t="s">
        <v>184</v>
      </c>
      <c r="D29" s="251" t="s">
        <v>188</v>
      </c>
      <c r="E29" s="252">
        <v>19</v>
      </c>
      <c r="F29" s="253">
        <v>1085</v>
      </c>
      <c r="G29" s="253">
        <f>IFERROR(INDEX(MRP!$F$3:$F$150,MATCH(F29,MRP!$D$3:$D$150,0)),0)</f>
        <v>0</v>
      </c>
      <c r="H29" s="254">
        <f>SUMPRODUCT((Production_Log!$F$3:$F$1000=F29)*((LEFT(Production_Log!$B$3:$B$1000,5)="Print")+(LEFT(Production_Log!$B$3:$B$1000,5)="PLINE"))*(ISERROR(SEARCH("(Varnish)",Production_Log!$D$3:$D$1000)))*Production_Log!$H$3:$H$1000)</f>
        <v>0</v>
      </c>
      <c r="I29" s="253">
        <f t="shared" si="2"/>
        <v>0</v>
      </c>
      <c r="J29" s="255" t="str">
        <f t="shared" si="3"/>
        <v>-</v>
      </c>
      <c r="K29" s="254"/>
      <c r="L29" s="256"/>
      <c r="M29" s="238"/>
      <c r="N29" s="238"/>
      <c r="O29" s="238"/>
      <c r="P29" s="238"/>
      <c r="Q29" s="238"/>
      <c r="R29" s="238"/>
      <c r="S29" s="238"/>
      <c r="T29" s="238"/>
      <c r="U29" s="238"/>
      <c r="V29" s="238"/>
      <c r="W29" s="87"/>
      <c r="X29" s="89"/>
      <c r="Y29" s="89"/>
      <c r="Z29" s="89"/>
      <c r="AA29" s="89"/>
      <c r="AB29" s="89"/>
      <c r="AC29" s="89"/>
    </row>
    <row r="30" spans="1:29" ht="16.5" customHeight="1" x14ac:dyDescent="0.3">
      <c r="A30" s="87"/>
      <c r="B30" s="249" t="s">
        <v>154</v>
      </c>
      <c r="C30" s="250" t="s">
        <v>184</v>
      </c>
      <c r="D30" s="251" t="s">
        <v>189</v>
      </c>
      <c r="E30" s="252">
        <v>19</v>
      </c>
      <c r="F30" s="253">
        <v>6560</v>
      </c>
      <c r="G30" s="253">
        <f>IFERROR(INDEX(MRP!$F$3:$F$150,MATCH(F30,MRP!$D$3:$D$150,0)),0)</f>
        <v>0</v>
      </c>
      <c r="H30" s="254">
        <f>SUMPRODUCT((Production_Log!$F$3:$F$1000=F30)*((LEFT(Production_Log!$B$3:$B$1000,5)="Print")+(LEFT(Production_Log!$B$3:$B$1000,5)="PLINE"))*(ISERROR(SEARCH("(Varnish)",Production_Log!$D$3:$D$1000)))*Production_Log!$H$3:$H$1000)</f>
        <v>0</v>
      </c>
      <c r="I30" s="253">
        <f t="shared" si="2"/>
        <v>0</v>
      </c>
      <c r="J30" s="255" t="str">
        <f t="shared" si="3"/>
        <v>-</v>
      </c>
      <c r="K30" s="254"/>
      <c r="L30" s="256"/>
      <c r="M30" s="238"/>
      <c r="N30" s="238"/>
      <c r="O30" s="238"/>
      <c r="P30" s="238"/>
      <c r="Q30" s="238"/>
      <c r="R30" s="238"/>
      <c r="S30" s="238"/>
      <c r="T30" s="238"/>
      <c r="U30" s="238"/>
      <c r="V30" s="238"/>
      <c r="W30" s="87"/>
      <c r="X30" s="89"/>
      <c r="Y30" s="89"/>
      <c r="Z30" s="89"/>
      <c r="AA30" s="89"/>
      <c r="AB30" s="89"/>
      <c r="AC30" s="89"/>
    </row>
    <row r="31" spans="1:29" ht="16.5" customHeight="1" x14ac:dyDescent="0.3">
      <c r="A31" s="87"/>
      <c r="B31" s="249" t="s">
        <v>154</v>
      </c>
      <c r="C31" s="250" t="s">
        <v>14</v>
      </c>
      <c r="D31" s="251" t="s">
        <v>190</v>
      </c>
      <c r="E31" s="252">
        <v>20.5</v>
      </c>
      <c r="F31" s="253">
        <v>5699</v>
      </c>
      <c r="G31" s="253">
        <f>IFERROR(INDEX(MRP!$F$3:$F$150,MATCH(F31,MRP!$D$3:$D$150,0)),0)</f>
        <v>0</v>
      </c>
      <c r="H31" s="254">
        <f>SUMPRODUCT((Production_Log!$F$3:$F$1000=F31)*((LEFT(Production_Log!$B$3:$B$1000,5)="Print")+(LEFT(Production_Log!$B$3:$B$1000,5)="PLINE"))*(ISERROR(SEARCH("(Varnish)",Production_Log!$D$3:$D$1000)))*Production_Log!$H$3:$H$1000)</f>
        <v>0</v>
      </c>
      <c r="I31" s="253">
        <f t="shared" si="2"/>
        <v>0</v>
      </c>
      <c r="J31" s="255" t="str">
        <f t="shared" si="3"/>
        <v>-</v>
      </c>
      <c r="K31" s="254"/>
      <c r="L31" s="256"/>
      <c r="M31" s="238"/>
      <c r="N31" s="238"/>
      <c r="O31" s="238"/>
      <c r="P31" s="238"/>
      <c r="Q31" s="238"/>
      <c r="R31" s="238"/>
      <c r="S31" s="258"/>
      <c r="T31" s="245"/>
      <c r="U31" s="258"/>
      <c r="V31" s="239"/>
      <c r="W31" s="89"/>
      <c r="X31" s="89"/>
      <c r="Y31" s="89"/>
      <c r="Z31" s="89"/>
      <c r="AA31" s="89"/>
      <c r="AB31" s="89"/>
      <c r="AC31" s="89"/>
    </row>
    <row r="32" spans="1:29" ht="16.5" customHeight="1" x14ac:dyDescent="0.3">
      <c r="A32" s="87"/>
      <c r="B32" s="249" t="s">
        <v>154</v>
      </c>
      <c r="C32" s="250" t="s">
        <v>14</v>
      </c>
      <c r="D32" s="251" t="s">
        <v>191</v>
      </c>
      <c r="E32" s="252">
        <v>20.5</v>
      </c>
      <c r="F32" s="253">
        <v>5731</v>
      </c>
      <c r="G32" s="253">
        <f>IFERROR(INDEX(MRP!$F$3:$F$150,MATCH(F32,MRP!$D$3:$D$150,0)),0)</f>
        <v>0</v>
      </c>
      <c r="H32" s="254">
        <f>SUMPRODUCT((Production_Log!$F$3:$F$1000=F32)*((LEFT(Production_Log!$B$3:$B$1000,5)="Print")+(LEFT(Production_Log!$B$3:$B$1000,5)="PLINE"))*(ISERROR(SEARCH("(Varnish)",Production_Log!$D$3:$D$1000)))*Production_Log!$H$3:$H$1000)</f>
        <v>0</v>
      </c>
      <c r="I32" s="253">
        <f t="shared" si="2"/>
        <v>0</v>
      </c>
      <c r="J32" s="255" t="str">
        <f t="shared" si="3"/>
        <v>-</v>
      </c>
      <c r="K32" s="254"/>
      <c r="L32" s="256"/>
      <c r="M32" s="238"/>
      <c r="N32" s="238"/>
      <c r="O32" s="238"/>
      <c r="P32" s="238"/>
      <c r="Q32" s="238"/>
      <c r="R32" s="238"/>
      <c r="S32" s="258"/>
      <c r="T32" s="245"/>
      <c r="U32" s="258"/>
      <c r="V32" s="239"/>
      <c r="W32" s="89"/>
      <c r="X32" s="89"/>
      <c r="Y32" s="89"/>
      <c r="Z32" s="89"/>
      <c r="AA32" s="89"/>
      <c r="AB32" s="89"/>
      <c r="AC32" s="89"/>
    </row>
    <row r="33" spans="1:29" ht="16.5" customHeight="1" x14ac:dyDescent="0.3">
      <c r="A33" s="87"/>
      <c r="B33" s="249" t="s">
        <v>154</v>
      </c>
      <c r="C33" s="250" t="s">
        <v>14</v>
      </c>
      <c r="D33" s="251" t="s">
        <v>192</v>
      </c>
      <c r="E33" s="252">
        <v>20.5</v>
      </c>
      <c r="F33" s="253">
        <v>5698</v>
      </c>
      <c r="G33" s="253">
        <f>IFERROR(INDEX(MRP!$F$3:$F$150,MATCH(F33,MRP!$D$3:$D$150,0)),0)</f>
        <v>0</v>
      </c>
      <c r="H33" s="254">
        <f>SUMPRODUCT((Production_Log!$F$3:$F$1000=F33)*((LEFT(Production_Log!$B$3:$B$1000,5)="Print")+(LEFT(Production_Log!$B$3:$B$1000,5)="PLINE"))*(ISERROR(SEARCH("(Varnish)",Production_Log!$D$3:$D$1000)))*Production_Log!$H$3:$H$1000)</f>
        <v>0</v>
      </c>
      <c r="I33" s="253">
        <f t="shared" si="2"/>
        <v>0</v>
      </c>
      <c r="J33" s="255" t="str">
        <f t="shared" si="3"/>
        <v>-</v>
      </c>
      <c r="K33" s="254"/>
      <c r="L33" s="256"/>
      <c r="M33" s="238"/>
      <c r="N33" s="238"/>
      <c r="O33" s="238"/>
      <c r="P33" s="238"/>
      <c r="Q33" s="238"/>
      <c r="R33" s="239"/>
      <c r="S33" s="258"/>
      <c r="T33" s="245"/>
      <c r="U33" s="258"/>
      <c r="V33" s="239"/>
      <c r="W33" s="89"/>
      <c r="X33" s="89"/>
      <c r="Y33" s="89"/>
      <c r="Z33" s="89"/>
      <c r="AA33" s="89"/>
      <c r="AB33" s="89"/>
      <c r="AC33" s="89"/>
    </row>
    <row r="34" spans="1:29" ht="16.5" customHeight="1" x14ac:dyDescent="0.3">
      <c r="A34" s="87"/>
      <c r="B34" s="249" t="s">
        <v>154</v>
      </c>
      <c r="C34" s="250" t="s">
        <v>14</v>
      </c>
      <c r="D34" s="251" t="s">
        <v>193</v>
      </c>
      <c r="E34" s="252">
        <v>20.5</v>
      </c>
      <c r="F34" s="253">
        <v>5732</v>
      </c>
      <c r="G34" s="253">
        <f>IFERROR(INDEX(MRP!$F$3:$F$150,MATCH(F34,MRP!$D$3:$D$150,0)),0)</f>
        <v>0</v>
      </c>
      <c r="H34" s="254">
        <f>SUMPRODUCT((Production_Log!$F$3:$F$1000=F34)*((LEFT(Production_Log!$B$3:$B$1000,5)="Print")+(LEFT(Production_Log!$B$3:$B$1000,5)="PLINE"))*(ISERROR(SEARCH("(Varnish)",Production_Log!$D$3:$D$1000)))*Production_Log!$H$3:$H$1000)</f>
        <v>0</v>
      </c>
      <c r="I34" s="253">
        <f t="shared" si="2"/>
        <v>0</v>
      </c>
      <c r="J34" s="255" t="str">
        <f t="shared" si="3"/>
        <v>-</v>
      </c>
      <c r="K34" s="254"/>
      <c r="L34" s="256"/>
      <c r="M34" s="258"/>
      <c r="N34" s="258"/>
      <c r="O34" s="258"/>
      <c r="P34" s="238"/>
      <c r="Q34" s="238"/>
      <c r="R34" s="238"/>
      <c r="S34" s="258"/>
      <c r="T34" s="245"/>
      <c r="U34" s="258"/>
      <c r="V34" s="239"/>
      <c r="W34" s="89"/>
      <c r="X34" s="89"/>
      <c r="Y34" s="89"/>
      <c r="Z34" s="89"/>
      <c r="AA34" s="89"/>
      <c r="AB34" s="89"/>
      <c r="AC34" s="89"/>
    </row>
    <row r="35" spans="1:29" ht="16.5" customHeight="1" x14ac:dyDescent="0.3">
      <c r="A35" s="87"/>
      <c r="B35" s="249" t="s">
        <v>154</v>
      </c>
      <c r="C35" s="250" t="s">
        <v>14</v>
      </c>
      <c r="D35" s="251" t="s">
        <v>194</v>
      </c>
      <c r="E35" s="252">
        <v>20.5</v>
      </c>
      <c r="F35" s="253">
        <v>6556</v>
      </c>
      <c r="G35" s="253">
        <f>IFERROR(INDEX(MRP!$F$3:$F$150,MATCH(F35,MRP!$D$3:$D$150,0)),0)</f>
        <v>0</v>
      </c>
      <c r="H35" s="254">
        <f>SUMPRODUCT((Production_Log!$F$3:$F$1000=F35)*((LEFT(Production_Log!$B$3:$B$1000,5)="Print")+(LEFT(Production_Log!$B$3:$B$1000,5)="PLINE"))*(ISERROR(SEARCH("(Varnish)",Production_Log!$D$3:$D$1000)))*Production_Log!$H$3:$H$1000)</f>
        <v>0</v>
      </c>
      <c r="I35" s="253">
        <f t="shared" si="2"/>
        <v>0</v>
      </c>
      <c r="J35" s="255" t="str">
        <f t="shared" si="3"/>
        <v>-</v>
      </c>
      <c r="K35" s="254"/>
      <c r="L35" s="256"/>
      <c r="M35" s="238"/>
      <c r="N35" s="238"/>
      <c r="O35" s="238"/>
      <c r="P35" s="238"/>
      <c r="Q35" s="238"/>
      <c r="R35" s="238"/>
      <c r="S35" s="238"/>
      <c r="T35" s="238"/>
      <c r="U35" s="238"/>
      <c r="V35" s="238"/>
      <c r="W35" s="87"/>
      <c r="X35" s="89"/>
      <c r="Y35" s="89"/>
      <c r="Z35" s="89"/>
      <c r="AA35" s="89"/>
      <c r="AB35" s="89"/>
      <c r="AC35" s="89"/>
    </row>
    <row r="36" spans="1:29" ht="16.5" customHeight="1" x14ac:dyDescent="0.3">
      <c r="A36" s="87"/>
      <c r="B36" s="249" t="s">
        <v>154</v>
      </c>
      <c r="C36" s="250" t="s">
        <v>14</v>
      </c>
      <c r="D36" s="251" t="s">
        <v>195</v>
      </c>
      <c r="E36" s="252">
        <v>20.5</v>
      </c>
      <c r="F36" s="253">
        <v>6557</v>
      </c>
      <c r="G36" s="253">
        <f>IFERROR(INDEX(MRP!$F$3:$F$150,MATCH(F36,MRP!$D$3:$D$150,0)),0)</f>
        <v>0</v>
      </c>
      <c r="H36" s="254">
        <f>SUMPRODUCT((Production_Log!$F$3:$F$1000=F36)*((LEFT(Production_Log!$B$3:$B$1000,5)="Print")+(LEFT(Production_Log!$B$3:$B$1000,5)="PLINE"))*(ISERROR(SEARCH("(Varnish)",Production_Log!$D$3:$D$1000)))*Production_Log!$H$3:$H$1000)</f>
        <v>0</v>
      </c>
      <c r="I36" s="253">
        <f t="shared" si="2"/>
        <v>0</v>
      </c>
      <c r="J36" s="255" t="str">
        <f t="shared" si="3"/>
        <v>-</v>
      </c>
      <c r="K36" s="254"/>
      <c r="L36" s="256"/>
      <c r="M36" s="238"/>
      <c r="N36" s="238"/>
      <c r="O36" s="238"/>
      <c r="P36" s="238"/>
      <c r="Q36" s="238"/>
      <c r="R36" s="238"/>
      <c r="S36" s="238"/>
      <c r="T36" s="238"/>
      <c r="U36" s="238"/>
      <c r="V36" s="238"/>
      <c r="W36" s="87"/>
      <c r="X36" s="89"/>
      <c r="Y36" s="89"/>
      <c r="Z36" s="89"/>
      <c r="AA36" s="89"/>
      <c r="AB36" s="89"/>
      <c r="AC36" s="89"/>
    </row>
    <row r="37" spans="1:29" ht="16.5" customHeight="1" x14ac:dyDescent="0.3">
      <c r="A37" s="87"/>
      <c r="B37" s="249" t="s">
        <v>154</v>
      </c>
      <c r="C37" s="250" t="s">
        <v>14</v>
      </c>
      <c r="D37" s="251" t="s">
        <v>196</v>
      </c>
      <c r="E37" s="252">
        <v>25</v>
      </c>
      <c r="F37" s="253">
        <v>5389</v>
      </c>
      <c r="G37" s="253">
        <f>IFERROR(INDEX(MRP!$F$3:$F$150,MATCH(F37,MRP!$D$3:$D$150,0)),0)</f>
        <v>0</v>
      </c>
      <c r="H37" s="254">
        <f>SUMPRODUCT((Production_Log!$F$3:$F$1000=F37)*((LEFT(Production_Log!$B$3:$B$1000,5)="Print")+(LEFT(Production_Log!$B$3:$B$1000,5)="PLINE"))*(ISERROR(SEARCH("(Varnish)",Production_Log!$D$3:$D$1000)))*Production_Log!$H$3:$H$1000)</f>
        <v>0</v>
      </c>
      <c r="I37" s="253">
        <f t="shared" si="2"/>
        <v>0</v>
      </c>
      <c r="J37" s="255" t="str">
        <f t="shared" si="3"/>
        <v>-</v>
      </c>
      <c r="K37" s="254"/>
      <c r="L37" s="256"/>
      <c r="M37" s="238"/>
      <c r="N37" s="238"/>
      <c r="O37" s="238"/>
      <c r="P37" s="238"/>
      <c r="Q37" s="238"/>
      <c r="R37" s="238"/>
      <c r="S37" s="238"/>
      <c r="T37" s="238"/>
      <c r="U37" s="238"/>
      <c r="V37" s="238"/>
      <c r="W37" s="87"/>
      <c r="X37" s="89"/>
      <c r="Y37" s="89"/>
      <c r="Z37" s="89"/>
      <c r="AA37" s="89"/>
      <c r="AB37" s="89"/>
      <c r="AC37" s="89"/>
    </row>
    <row r="38" spans="1:29" ht="16.5" customHeight="1" x14ac:dyDescent="0.3">
      <c r="A38" s="87"/>
      <c r="B38" s="249" t="s">
        <v>154</v>
      </c>
      <c r="C38" s="250" t="s">
        <v>14</v>
      </c>
      <c r="D38" s="251" t="s">
        <v>197</v>
      </c>
      <c r="E38" s="252">
        <v>25</v>
      </c>
      <c r="F38" s="253">
        <v>3447</v>
      </c>
      <c r="G38" s="253">
        <f>IFERROR(INDEX(MRP!$F$3:$F$150,MATCH(F38,MRP!$D$3:$D$150,0)),0)</f>
        <v>0</v>
      </c>
      <c r="H38" s="254">
        <f>SUMPRODUCT((Production_Log!$F$3:$F$1000=F38)*((LEFT(Production_Log!$B$3:$B$1000,5)="Print")+(LEFT(Production_Log!$B$3:$B$1000,5)="PLINE"))*(ISERROR(SEARCH("(Varnish)",Production_Log!$D$3:$D$1000)))*Production_Log!$H$3:$H$1000)</f>
        <v>0</v>
      </c>
      <c r="I38" s="253">
        <f t="shared" si="2"/>
        <v>0</v>
      </c>
      <c r="J38" s="255" t="str">
        <f t="shared" si="3"/>
        <v>-</v>
      </c>
      <c r="K38" s="254"/>
      <c r="L38" s="256"/>
      <c r="M38" s="238"/>
      <c r="N38" s="238"/>
      <c r="O38" s="238"/>
      <c r="P38" s="238"/>
      <c r="Q38" s="238"/>
      <c r="R38" s="238"/>
      <c r="S38" s="238"/>
      <c r="T38" s="238"/>
      <c r="U38" s="238"/>
      <c r="V38" s="238"/>
      <c r="W38" s="87"/>
      <c r="X38" s="89"/>
      <c r="Y38" s="89"/>
      <c r="Z38" s="89"/>
      <c r="AA38" s="89"/>
      <c r="AB38" s="89"/>
      <c r="AC38" s="89"/>
    </row>
    <row r="39" spans="1:29" ht="16.5" customHeight="1" x14ac:dyDescent="0.3">
      <c r="A39" s="87"/>
      <c r="B39" s="249" t="s">
        <v>154</v>
      </c>
      <c r="C39" s="250" t="s">
        <v>14</v>
      </c>
      <c r="D39" s="251" t="s">
        <v>198</v>
      </c>
      <c r="E39" s="252">
        <v>25</v>
      </c>
      <c r="F39" s="253">
        <v>3726</v>
      </c>
      <c r="G39" s="253">
        <f>IFERROR(INDEX(MRP!$F$3:$F$150,MATCH(F39,MRP!$D$3:$D$150,0)),0)</f>
        <v>0</v>
      </c>
      <c r="H39" s="254">
        <f>SUMPRODUCT((Production_Log!$F$3:$F$1000=F39)*((LEFT(Production_Log!$B$3:$B$1000,5)="Print")+(LEFT(Production_Log!$B$3:$B$1000,5)="PLINE"))*(ISERROR(SEARCH("(Varnish)",Production_Log!$D$3:$D$1000)))*Production_Log!$H$3:$H$1000)</f>
        <v>0</v>
      </c>
      <c r="I39" s="253">
        <f t="shared" si="2"/>
        <v>0</v>
      </c>
      <c r="J39" s="255" t="str">
        <f t="shared" si="3"/>
        <v>-</v>
      </c>
      <c r="K39" s="254"/>
      <c r="L39" s="256"/>
      <c r="M39" s="238"/>
      <c r="N39" s="238"/>
      <c r="O39" s="238"/>
      <c r="P39" s="238"/>
      <c r="Q39" s="238"/>
      <c r="R39" s="238"/>
      <c r="S39" s="238"/>
      <c r="T39" s="238"/>
      <c r="U39" s="238"/>
      <c r="V39" s="238"/>
      <c r="W39" s="87"/>
      <c r="X39" s="89"/>
      <c r="Y39" s="89"/>
      <c r="Z39" s="89"/>
      <c r="AA39" s="89"/>
      <c r="AB39" s="89"/>
      <c r="AC39" s="89"/>
    </row>
    <row r="40" spans="1:29" ht="16.5" customHeight="1" x14ac:dyDescent="0.3">
      <c r="A40" s="87"/>
      <c r="B40" s="249" t="s">
        <v>154</v>
      </c>
      <c r="C40" s="250" t="s">
        <v>14</v>
      </c>
      <c r="D40" s="251" t="s">
        <v>199</v>
      </c>
      <c r="E40" s="252">
        <v>25</v>
      </c>
      <c r="F40" s="253">
        <v>6532</v>
      </c>
      <c r="G40" s="253">
        <f>IFERROR(INDEX(MRP!$F$3:$F$150,MATCH(F40,MRP!$D$3:$D$150,0)),0)</f>
        <v>0</v>
      </c>
      <c r="H40" s="254">
        <f>SUMPRODUCT((Production_Log!$F$3:$F$1000=F40)*((LEFT(Production_Log!$B$3:$B$1000,5)="Print")+(LEFT(Production_Log!$B$3:$B$1000,5)="PLINE"))*(ISERROR(SEARCH("(Varnish)",Production_Log!$D$3:$D$1000)))*Production_Log!$H$3:$H$1000)</f>
        <v>0</v>
      </c>
      <c r="I40" s="253">
        <f t="shared" si="2"/>
        <v>0</v>
      </c>
      <c r="J40" s="255" t="str">
        <f t="shared" si="3"/>
        <v>-</v>
      </c>
      <c r="K40" s="254"/>
      <c r="L40" s="256"/>
      <c r="M40" s="238"/>
      <c r="N40" s="238"/>
      <c r="O40" s="238"/>
      <c r="P40" s="238"/>
      <c r="Q40" s="238"/>
      <c r="R40" s="238"/>
      <c r="S40" s="238"/>
      <c r="T40" s="238"/>
      <c r="U40" s="238"/>
      <c r="V40" s="238"/>
      <c r="W40" s="87"/>
      <c r="X40" s="89"/>
      <c r="Y40" s="89"/>
      <c r="Z40" s="89"/>
      <c r="AA40" s="89"/>
      <c r="AB40" s="89"/>
      <c r="AC40" s="89"/>
    </row>
    <row r="41" spans="1:29" ht="16.5" customHeight="1" x14ac:dyDescent="0.3">
      <c r="A41" s="87"/>
      <c r="B41" s="249" t="s">
        <v>154</v>
      </c>
      <c r="C41" s="250" t="s">
        <v>14</v>
      </c>
      <c r="D41" s="251" t="s">
        <v>200</v>
      </c>
      <c r="E41" s="252">
        <v>25</v>
      </c>
      <c r="F41" s="253">
        <v>6506</v>
      </c>
      <c r="G41" s="253">
        <f>IFERROR(INDEX(MRP!$F$3:$F$150,MATCH(F41,MRP!$D$3:$D$150,0)),0)</f>
        <v>0</v>
      </c>
      <c r="H41" s="254">
        <f>SUMPRODUCT((Production_Log!$F$3:$F$1000=F41)*((LEFT(Production_Log!$B$3:$B$1000,5)="Print")+(LEFT(Production_Log!$B$3:$B$1000,5)="PLINE"))*(ISERROR(SEARCH("(Varnish)",Production_Log!$D$3:$D$1000)))*Production_Log!$H$3:$H$1000)</f>
        <v>0</v>
      </c>
      <c r="I41" s="253">
        <f t="shared" si="2"/>
        <v>0</v>
      </c>
      <c r="J41" s="255" t="str">
        <f t="shared" si="3"/>
        <v>-</v>
      </c>
      <c r="K41" s="254"/>
      <c r="L41" s="256"/>
      <c r="M41" s="238"/>
      <c r="N41" s="238"/>
      <c r="O41" s="238"/>
      <c r="P41" s="238"/>
      <c r="Q41" s="238"/>
      <c r="R41" s="238"/>
      <c r="S41" s="238"/>
      <c r="T41" s="238"/>
      <c r="U41" s="238"/>
      <c r="V41" s="238"/>
      <c r="W41" s="87"/>
      <c r="X41" s="89"/>
      <c r="Y41" s="89"/>
      <c r="Z41" s="89"/>
      <c r="AA41" s="89"/>
      <c r="AB41" s="89"/>
      <c r="AC41" s="89"/>
    </row>
    <row r="42" spans="1:29" ht="16.5" customHeight="1" x14ac:dyDescent="0.3">
      <c r="A42" s="87"/>
      <c r="B42" s="249" t="s">
        <v>154</v>
      </c>
      <c r="C42" s="250" t="s">
        <v>14</v>
      </c>
      <c r="D42" s="251" t="s">
        <v>201</v>
      </c>
      <c r="E42" s="252">
        <v>25</v>
      </c>
      <c r="F42" s="253">
        <v>9006</v>
      </c>
      <c r="G42" s="253">
        <f>IFERROR(INDEX(MRP!$F$3:$F$150,MATCH(F42,MRP!$D$3:$D$150,0)),0)</f>
        <v>0</v>
      </c>
      <c r="H42" s="254">
        <f>SUMPRODUCT((Production_Log!$F$3:$F$1000=F42)*((LEFT(Production_Log!$B$3:$B$1000,5)="Print")+(LEFT(Production_Log!$B$3:$B$1000,5)="PLINE"))*(ISERROR(SEARCH("(Varnish)",Production_Log!$D$3:$D$1000)))*Production_Log!$H$3:$H$1000)</f>
        <v>0</v>
      </c>
      <c r="I42" s="253">
        <f t="shared" si="2"/>
        <v>0</v>
      </c>
      <c r="J42" s="255" t="str">
        <f t="shared" si="3"/>
        <v>-</v>
      </c>
      <c r="K42" s="254"/>
      <c r="L42" s="256"/>
      <c r="M42" s="238"/>
      <c r="N42" s="238"/>
      <c r="O42" s="238"/>
      <c r="P42" s="238"/>
      <c r="Q42" s="238"/>
      <c r="R42" s="238"/>
      <c r="S42" s="238"/>
      <c r="T42" s="238"/>
      <c r="U42" s="238"/>
      <c r="V42" s="238"/>
      <c r="W42" s="87"/>
      <c r="X42" s="89"/>
      <c r="Y42" s="89"/>
      <c r="Z42" s="89"/>
      <c r="AA42" s="89"/>
      <c r="AB42" s="89"/>
      <c r="AC42" s="89"/>
    </row>
    <row r="43" spans="1:29" ht="16.5" customHeight="1" x14ac:dyDescent="0.3">
      <c r="A43" s="87"/>
      <c r="B43" s="249" t="s">
        <v>154</v>
      </c>
      <c r="C43" s="250" t="s">
        <v>202</v>
      </c>
      <c r="D43" s="251" t="s">
        <v>203</v>
      </c>
      <c r="E43" s="252">
        <v>25</v>
      </c>
      <c r="F43" s="253">
        <v>6338</v>
      </c>
      <c r="G43" s="253">
        <f>IFERROR(INDEX(MRP!$F$3:$F$150,MATCH(F43,MRP!$D$3:$D$150,0)),0)</f>
        <v>0</v>
      </c>
      <c r="H43" s="254">
        <f>SUMPRODUCT((Production_Log!$F$3:$F$1000=F43)*((LEFT(Production_Log!$B$3:$B$1000,5)="Print")+(LEFT(Production_Log!$B$3:$B$1000,5)="PLINE"))*(ISERROR(SEARCH("(Varnish)",Production_Log!$D$3:$D$1000)))*Production_Log!$H$3:$H$1000)</f>
        <v>0</v>
      </c>
      <c r="I43" s="253">
        <f t="shared" si="2"/>
        <v>0</v>
      </c>
      <c r="J43" s="255" t="str">
        <f t="shared" si="3"/>
        <v>-</v>
      </c>
      <c r="K43" s="254"/>
      <c r="L43" s="256"/>
      <c r="M43" s="238"/>
      <c r="N43" s="238"/>
      <c r="O43" s="238"/>
      <c r="P43" s="238"/>
      <c r="Q43" s="238"/>
      <c r="R43" s="238"/>
      <c r="S43" s="238"/>
      <c r="T43" s="238"/>
      <c r="U43" s="238"/>
      <c r="V43" s="238"/>
      <c r="W43" s="87"/>
      <c r="X43" s="89"/>
      <c r="Y43" s="89"/>
      <c r="Z43" s="89"/>
      <c r="AA43" s="89"/>
      <c r="AB43" s="89"/>
      <c r="AC43" s="89"/>
    </row>
    <row r="44" spans="1:29" ht="16.5" customHeight="1" x14ac:dyDescent="0.3">
      <c r="A44" s="87"/>
      <c r="B44" s="249" t="s">
        <v>154</v>
      </c>
      <c r="C44" s="250" t="s">
        <v>204</v>
      </c>
      <c r="D44" s="251" t="s">
        <v>205</v>
      </c>
      <c r="E44" s="252">
        <v>25</v>
      </c>
      <c r="F44" s="253">
        <v>4227</v>
      </c>
      <c r="G44" s="253">
        <f>IFERROR(INDEX(MRP!$F$3:$F$150,MATCH(F44,MRP!$D$3:$D$150,0)),0)</f>
        <v>0</v>
      </c>
      <c r="H44" s="254">
        <f>SUMPRODUCT((Production_Log!$F$3:$F$1000=F44)*((LEFT(Production_Log!$B$3:$B$1000,5)="Print")+(LEFT(Production_Log!$B$3:$B$1000,5)="PLINE"))*(ISERROR(SEARCH("(Varnish)",Production_Log!$D$3:$D$1000)))*Production_Log!$H$3:$H$1000)</f>
        <v>0</v>
      </c>
      <c r="I44" s="253">
        <f t="shared" si="2"/>
        <v>0</v>
      </c>
      <c r="J44" s="255" t="str">
        <f t="shared" si="3"/>
        <v>-</v>
      </c>
      <c r="K44" s="254"/>
      <c r="L44" s="256"/>
      <c r="M44" s="238"/>
      <c r="N44" s="238"/>
      <c r="O44" s="238"/>
      <c r="P44" s="238"/>
      <c r="Q44" s="238"/>
      <c r="R44" s="238"/>
      <c r="S44" s="238"/>
      <c r="T44" s="238"/>
      <c r="U44" s="238"/>
      <c r="V44" s="238"/>
      <c r="W44" s="87"/>
      <c r="X44" s="89"/>
      <c r="Y44" s="89"/>
      <c r="Z44" s="89"/>
      <c r="AA44" s="89"/>
      <c r="AB44" s="89"/>
      <c r="AC44" s="89"/>
    </row>
    <row r="45" spans="1:29" ht="16.5" customHeight="1" x14ac:dyDescent="0.3">
      <c r="A45" s="87"/>
      <c r="B45" s="249" t="s">
        <v>154</v>
      </c>
      <c r="C45" s="250" t="s">
        <v>206</v>
      </c>
      <c r="D45" s="251" t="s">
        <v>207</v>
      </c>
      <c r="E45" s="252">
        <v>30</v>
      </c>
      <c r="F45" s="253">
        <v>6595</v>
      </c>
      <c r="G45" s="253">
        <f>IFERROR(INDEX(MRP!$F$3:$F$150,MATCH(F45,MRP!$D$3:$D$150,0)),0)</f>
        <v>0</v>
      </c>
      <c r="H45" s="254">
        <f>SUMPRODUCT((Production_Log!$F$3:$F$1000=F45)*((LEFT(Production_Log!$B$3:$B$1000,5)="Print")+(LEFT(Production_Log!$B$3:$B$1000,5)="PLINE"))*(ISERROR(SEARCH("(Varnish)",Production_Log!$D$3:$D$1000)))*Production_Log!$H$3:$H$1000)</f>
        <v>0</v>
      </c>
      <c r="I45" s="253">
        <f t="shared" si="2"/>
        <v>0</v>
      </c>
      <c r="J45" s="255" t="str">
        <f t="shared" si="3"/>
        <v>-</v>
      </c>
      <c r="K45" s="254"/>
      <c r="L45" s="256"/>
      <c r="M45" s="238"/>
      <c r="N45" s="238"/>
      <c r="O45" s="238"/>
      <c r="P45" s="238"/>
      <c r="Q45" s="238"/>
      <c r="R45" s="238"/>
      <c r="S45" s="238"/>
      <c r="T45" s="238"/>
      <c r="U45" s="238"/>
      <c r="V45" s="238"/>
      <c r="W45" s="87"/>
      <c r="X45" s="89"/>
      <c r="Y45" s="89"/>
      <c r="Z45" s="89"/>
      <c r="AA45" s="89"/>
      <c r="AB45" s="89"/>
      <c r="AC45" s="89"/>
    </row>
    <row r="46" spans="1:29" ht="16.5" customHeight="1" x14ac:dyDescent="0.3">
      <c r="A46" s="87"/>
      <c r="B46" s="249" t="s">
        <v>154</v>
      </c>
      <c r="C46" s="250" t="s">
        <v>208</v>
      </c>
      <c r="D46" s="251" t="s">
        <v>209</v>
      </c>
      <c r="E46" s="252">
        <v>30</v>
      </c>
      <c r="F46" s="253">
        <v>4050</v>
      </c>
      <c r="G46" s="253">
        <f>IFERROR(INDEX(MRP!$F$3:$F$150,MATCH(F46,MRP!$D$3:$D$150,0)),0)</f>
        <v>0</v>
      </c>
      <c r="H46" s="254">
        <f>SUMPRODUCT((Production_Log!$F$3:$F$1000=F46)*((LEFT(Production_Log!$B$3:$B$1000,5)="Print")+(LEFT(Production_Log!$B$3:$B$1000,5)="PLINE"))*(ISERROR(SEARCH("(Varnish)",Production_Log!$D$3:$D$1000)))*Production_Log!$H$3:$H$1000)</f>
        <v>0</v>
      </c>
      <c r="I46" s="253">
        <f t="shared" si="2"/>
        <v>0</v>
      </c>
      <c r="J46" s="255" t="str">
        <f t="shared" si="3"/>
        <v>-</v>
      </c>
      <c r="K46" s="254"/>
      <c r="L46" s="256"/>
      <c r="M46" s="238"/>
      <c r="N46" s="238"/>
      <c r="O46" s="238"/>
      <c r="P46" s="238"/>
      <c r="Q46" s="238"/>
      <c r="R46" s="238"/>
      <c r="S46" s="238"/>
      <c r="T46" s="238"/>
      <c r="U46" s="238"/>
      <c r="V46" s="238"/>
      <c r="W46" s="87"/>
      <c r="X46" s="89"/>
      <c r="Y46" s="89"/>
      <c r="Z46" s="89"/>
      <c r="AA46" s="89"/>
      <c r="AB46" s="89"/>
      <c r="AC46" s="89"/>
    </row>
    <row r="47" spans="1:29" ht="16.5" customHeight="1" x14ac:dyDescent="0.3">
      <c r="A47" s="87"/>
      <c r="B47" s="249" t="s">
        <v>154</v>
      </c>
      <c r="C47" s="250" t="s">
        <v>208</v>
      </c>
      <c r="D47" s="251" t="s">
        <v>210</v>
      </c>
      <c r="E47" s="252">
        <v>30</v>
      </c>
      <c r="F47" s="253">
        <v>6312</v>
      </c>
      <c r="G47" s="253">
        <f>IFERROR(INDEX(MRP!$F$3:$F$150,MATCH(F47,MRP!$D$3:$D$150,0)),0)</f>
        <v>0</v>
      </c>
      <c r="H47" s="254">
        <f>SUMPRODUCT((Production_Log!$F$3:$F$1000=F47)*((LEFT(Production_Log!$B$3:$B$1000,5)="Print")+(LEFT(Production_Log!$B$3:$B$1000,5)="PLINE"))*(ISERROR(SEARCH("(Varnish)",Production_Log!$D$3:$D$1000)))*Production_Log!$H$3:$H$1000)</f>
        <v>0</v>
      </c>
      <c r="I47" s="253">
        <f t="shared" si="2"/>
        <v>0</v>
      </c>
      <c r="J47" s="255" t="str">
        <f t="shared" si="3"/>
        <v>-</v>
      </c>
      <c r="K47" s="254"/>
      <c r="L47" s="256"/>
      <c r="M47" s="238"/>
      <c r="N47" s="238"/>
      <c r="O47" s="238"/>
      <c r="P47" s="238"/>
      <c r="Q47" s="238"/>
      <c r="R47" s="238"/>
      <c r="S47" s="238"/>
      <c r="T47" s="238"/>
      <c r="U47" s="238"/>
      <c r="V47" s="238"/>
      <c r="W47" s="87"/>
      <c r="X47" s="89"/>
      <c r="Y47" s="89"/>
      <c r="Z47" s="89"/>
      <c r="AA47" s="89"/>
      <c r="AB47" s="89"/>
      <c r="AC47" s="89"/>
    </row>
    <row r="48" spans="1:29" ht="16.5" customHeight="1" x14ac:dyDescent="0.3">
      <c r="A48" s="87"/>
      <c r="B48" s="249" t="s">
        <v>154</v>
      </c>
      <c r="C48" s="250" t="s">
        <v>211</v>
      </c>
      <c r="D48" s="251" t="s">
        <v>212</v>
      </c>
      <c r="E48" s="252">
        <v>30</v>
      </c>
      <c r="F48" s="253">
        <v>6416</v>
      </c>
      <c r="G48" s="253">
        <f>IFERROR(INDEX(MRP!$F$3:$F$150,MATCH(F48,MRP!$D$3:$D$150,0)),0)</f>
        <v>0</v>
      </c>
      <c r="H48" s="254">
        <f>SUMPRODUCT((Production_Log!$F$3:$F$1000=F48)*((LEFT(Production_Log!$B$3:$B$1000,5)="Print")+(LEFT(Production_Log!$B$3:$B$1000,5)="PLINE"))*(ISERROR(SEARCH("(Varnish)",Production_Log!$D$3:$D$1000)))*Production_Log!$H$3:$H$1000)</f>
        <v>0</v>
      </c>
      <c r="I48" s="253">
        <f t="shared" si="2"/>
        <v>0</v>
      </c>
      <c r="J48" s="255" t="str">
        <f t="shared" si="3"/>
        <v>-</v>
      </c>
      <c r="K48" s="254"/>
      <c r="L48" s="256"/>
      <c r="M48" s="238"/>
      <c r="N48" s="238"/>
      <c r="O48" s="238"/>
      <c r="P48" s="238"/>
      <c r="Q48" s="238"/>
      <c r="R48" s="238"/>
      <c r="S48" s="238"/>
      <c r="T48" s="238"/>
      <c r="U48" s="238"/>
      <c r="V48" s="238"/>
      <c r="W48" s="87"/>
      <c r="X48" s="89"/>
      <c r="Y48" s="89"/>
      <c r="Z48" s="89"/>
      <c r="AA48" s="89"/>
      <c r="AB48" s="89"/>
      <c r="AC48" s="89"/>
    </row>
    <row r="49" spans="1:29" ht="16.5" customHeight="1" x14ac:dyDescent="0.3">
      <c r="A49" s="87"/>
      <c r="B49" s="249" t="s">
        <v>154</v>
      </c>
      <c r="C49" s="250" t="s">
        <v>211</v>
      </c>
      <c r="D49" s="251" t="s">
        <v>213</v>
      </c>
      <c r="E49" s="252">
        <v>30</v>
      </c>
      <c r="F49" s="253">
        <v>6337</v>
      </c>
      <c r="G49" s="253">
        <f>IFERROR(INDEX(MRP!$F$3:$F$150,MATCH(F49,MRP!$D$3:$D$150,0)),0)</f>
        <v>0</v>
      </c>
      <c r="H49" s="254">
        <f>SUMPRODUCT((Production_Log!$F$3:$F$1000=F49)*((LEFT(Production_Log!$B$3:$B$1000,5)="Print")+(LEFT(Production_Log!$B$3:$B$1000,5)="PLINE"))*(ISERROR(SEARCH("(Varnish)",Production_Log!$D$3:$D$1000)))*Production_Log!$H$3:$H$1000)</f>
        <v>0</v>
      </c>
      <c r="I49" s="253">
        <f t="shared" si="2"/>
        <v>0</v>
      </c>
      <c r="J49" s="255" t="str">
        <f t="shared" si="3"/>
        <v>-</v>
      </c>
      <c r="K49" s="254"/>
      <c r="L49" s="256"/>
      <c r="M49" s="238"/>
      <c r="N49" s="238"/>
      <c r="O49" s="238"/>
      <c r="P49" s="238"/>
      <c r="Q49" s="238"/>
      <c r="R49" s="238"/>
      <c r="S49" s="238"/>
      <c r="T49" s="238"/>
      <c r="U49" s="238"/>
      <c r="V49" s="238"/>
      <c r="W49" s="87"/>
      <c r="X49" s="89"/>
      <c r="Y49" s="89"/>
      <c r="Z49" s="89"/>
      <c r="AA49" s="89"/>
      <c r="AB49" s="89"/>
      <c r="AC49" s="89"/>
    </row>
    <row r="50" spans="1:29" ht="16.5" customHeight="1" x14ac:dyDescent="0.3">
      <c r="A50" s="87"/>
      <c r="B50" s="249" t="s">
        <v>154</v>
      </c>
      <c r="C50" s="250" t="s">
        <v>11</v>
      </c>
      <c r="D50" s="251" t="s">
        <v>214</v>
      </c>
      <c r="E50" s="252">
        <v>30</v>
      </c>
      <c r="F50" s="253">
        <v>9002</v>
      </c>
      <c r="G50" s="253">
        <f>IFERROR(INDEX(MRP!$F$3:$F$150,MATCH(F50,MRP!$D$3:$D$150,0)),0)</f>
        <v>0</v>
      </c>
      <c r="H50" s="254">
        <f>SUMPRODUCT((Production_Log!$F$3:$F$1000=F50)*((LEFT(Production_Log!$B$3:$B$1000,5)="Print")+(LEFT(Production_Log!$B$3:$B$1000,5)="PLINE"))*(ISERROR(SEARCH("(Varnish)",Production_Log!$D$3:$D$1000)))*Production_Log!$H$3:$H$1000)</f>
        <v>0</v>
      </c>
      <c r="I50" s="253">
        <f t="shared" si="2"/>
        <v>0</v>
      </c>
      <c r="J50" s="255" t="str">
        <f t="shared" si="3"/>
        <v>-</v>
      </c>
      <c r="K50" s="254"/>
      <c r="L50" s="256"/>
      <c r="M50" s="238"/>
      <c r="N50" s="238"/>
      <c r="O50" s="238"/>
      <c r="P50" s="238"/>
      <c r="Q50" s="238"/>
      <c r="R50" s="238"/>
      <c r="S50" s="238"/>
      <c r="T50" s="238"/>
      <c r="U50" s="238"/>
      <c r="V50" s="238"/>
      <c r="W50" s="87"/>
      <c r="X50" s="89"/>
      <c r="Y50" s="89"/>
      <c r="Z50" s="89"/>
      <c r="AA50" s="89"/>
      <c r="AB50" s="89"/>
      <c r="AC50" s="89"/>
    </row>
    <row r="51" spans="1:29" ht="16.5" customHeight="1" x14ac:dyDescent="0.3">
      <c r="A51" s="87"/>
      <c r="B51" s="249" t="s">
        <v>154</v>
      </c>
      <c r="C51" s="250" t="s">
        <v>208</v>
      </c>
      <c r="D51" s="251" t="s">
        <v>215</v>
      </c>
      <c r="E51" s="252">
        <v>30</v>
      </c>
      <c r="F51" s="253">
        <v>2909</v>
      </c>
      <c r="G51" s="253">
        <f>IFERROR(INDEX(MRP!$F$3:$F$150,MATCH(F51,MRP!$D$3:$D$150,0)),0)</f>
        <v>0</v>
      </c>
      <c r="H51" s="254">
        <f>SUMPRODUCT((Production_Log!$F$3:$F$1000=F51)*((LEFT(Production_Log!$B$3:$B$1000,5)="Print")+(LEFT(Production_Log!$B$3:$B$1000,5)="PLINE"))*(ISERROR(SEARCH("(Varnish)",Production_Log!$D$3:$D$1000)))*Production_Log!$H$3:$H$1000)</f>
        <v>0</v>
      </c>
      <c r="I51" s="253">
        <f t="shared" si="2"/>
        <v>0</v>
      </c>
      <c r="J51" s="255" t="str">
        <f t="shared" si="3"/>
        <v>-</v>
      </c>
      <c r="K51" s="254"/>
      <c r="L51" s="256"/>
      <c r="M51" s="238"/>
      <c r="N51" s="238"/>
      <c r="O51" s="238"/>
      <c r="P51" s="238"/>
      <c r="Q51" s="238"/>
      <c r="R51" s="238"/>
      <c r="S51" s="238"/>
      <c r="T51" s="238"/>
      <c r="U51" s="238"/>
      <c r="V51" s="238"/>
      <c r="W51" s="87"/>
      <c r="X51" s="89"/>
      <c r="Y51" s="89"/>
      <c r="Z51" s="89"/>
      <c r="AA51" s="89"/>
      <c r="AB51" s="89"/>
      <c r="AC51" s="89"/>
    </row>
    <row r="52" spans="1:29" ht="16.5" customHeight="1" x14ac:dyDescent="0.3">
      <c r="A52" s="87"/>
      <c r="B52" s="249" t="s">
        <v>154</v>
      </c>
      <c r="C52" s="250" t="s">
        <v>216</v>
      </c>
      <c r="D52" s="251" t="s">
        <v>217</v>
      </c>
      <c r="E52" s="252">
        <v>30</v>
      </c>
      <c r="F52" s="253">
        <v>6151</v>
      </c>
      <c r="G52" s="253">
        <f>IFERROR(INDEX(MRP!$F$3:$F$150,MATCH(F52,MRP!$D$3:$D$150,0)),0)</f>
        <v>0</v>
      </c>
      <c r="H52" s="254">
        <f>SUMPRODUCT((Production_Log!$F$3:$F$1000=F52)*((LEFT(Production_Log!$B$3:$B$1000,5)="Print")+(LEFT(Production_Log!$B$3:$B$1000,5)="PLINE"))*(ISERROR(SEARCH("(Varnish)",Production_Log!$D$3:$D$1000)))*Production_Log!$H$3:$H$1000)</f>
        <v>0</v>
      </c>
      <c r="I52" s="253">
        <f t="shared" si="2"/>
        <v>0</v>
      </c>
      <c r="J52" s="255" t="str">
        <f t="shared" si="3"/>
        <v>-</v>
      </c>
      <c r="K52" s="254"/>
      <c r="L52" s="256"/>
      <c r="M52" s="238"/>
      <c r="N52" s="238"/>
      <c r="O52" s="238"/>
      <c r="P52" s="238"/>
      <c r="Q52" s="238"/>
      <c r="R52" s="238"/>
      <c r="S52" s="238"/>
      <c r="T52" s="238"/>
      <c r="U52" s="238"/>
      <c r="V52" s="238"/>
      <c r="W52" s="87"/>
      <c r="X52" s="89"/>
      <c r="Y52" s="89"/>
      <c r="Z52" s="89"/>
      <c r="AA52" s="89"/>
      <c r="AB52" s="89"/>
      <c r="AC52" s="89"/>
    </row>
    <row r="53" spans="1:29" ht="16.5" customHeight="1" x14ac:dyDescent="0.3">
      <c r="A53" s="87"/>
      <c r="B53" s="249" t="s">
        <v>154</v>
      </c>
      <c r="C53" s="250" t="s">
        <v>218</v>
      </c>
      <c r="D53" s="251" t="s">
        <v>219</v>
      </c>
      <c r="E53" s="252">
        <v>32</v>
      </c>
      <c r="F53" s="253">
        <v>5782</v>
      </c>
      <c r="G53" s="253">
        <f>IFERROR(INDEX(MRP!$F$3:$F$150,MATCH(F53,MRP!$D$3:$D$150,0)),0)</f>
        <v>0</v>
      </c>
      <c r="H53" s="254">
        <f>SUMPRODUCT((Production_Log!$F$3:$F$1000=F53)*((LEFT(Production_Log!$B$3:$B$1000,5)="Print")+(LEFT(Production_Log!$B$3:$B$1000,5)="PLINE"))*(ISERROR(SEARCH("(Varnish)",Production_Log!$D$3:$D$1000)))*Production_Log!$H$3:$H$1000)</f>
        <v>0</v>
      </c>
      <c r="I53" s="253">
        <f t="shared" si="2"/>
        <v>0</v>
      </c>
      <c r="J53" s="255" t="str">
        <f t="shared" si="3"/>
        <v>-</v>
      </c>
      <c r="K53" s="254"/>
      <c r="L53" s="256"/>
      <c r="M53" s="258"/>
      <c r="N53" s="258"/>
      <c r="O53" s="258"/>
      <c r="P53" s="238"/>
      <c r="Q53" s="238"/>
      <c r="R53" s="238"/>
      <c r="S53" s="258"/>
      <c r="T53" s="245"/>
      <c r="U53" s="258"/>
      <c r="V53" s="239"/>
      <c r="W53" s="89"/>
      <c r="X53" s="89"/>
      <c r="Y53" s="89"/>
      <c r="Z53" s="89"/>
      <c r="AA53" s="89"/>
      <c r="AB53" s="89"/>
      <c r="AC53" s="89"/>
    </row>
    <row r="54" spans="1:29" ht="16.5" customHeight="1" x14ac:dyDescent="0.3">
      <c r="A54" s="87"/>
      <c r="B54" s="249" t="s">
        <v>154</v>
      </c>
      <c r="C54" s="250" t="s">
        <v>220</v>
      </c>
      <c r="D54" s="251" t="s">
        <v>221</v>
      </c>
      <c r="E54" s="252">
        <v>35</v>
      </c>
      <c r="F54" s="253">
        <v>6530</v>
      </c>
      <c r="G54" s="253">
        <f>IFERROR(INDEX(MRP!$F$3:$F$150,MATCH(F54,MRP!$D$3:$D$150,0)),0)</f>
        <v>0</v>
      </c>
      <c r="H54" s="254">
        <f>SUMPRODUCT((Production_Log!$F$3:$F$1000=F54)*((LEFT(Production_Log!$B$3:$B$1000,5)="Print")+(LEFT(Production_Log!$B$3:$B$1000,5)="PLINE"))*(ISERROR(SEARCH("(Varnish)",Production_Log!$D$3:$D$1000)))*Production_Log!$H$3:$H$1000)</f>
        <v>0</v>
      </c>
      <c r="I54" s="253">
        <f t="shared" si="2"/>
        <v>0</v>
      </c>
      <c r="J54" s="255" t="str">
        <f t="shared" si="3"/>
        <v>-</v>
      </c>
      <c r="K54" s="254"/>
      <c r="L54" s="256"/>
      <c r="M54" s="238"/>
      <c r="N54" s="238"/>
      <c r="O54" s="238"/>
      <c r="P54" s="238"/>
      <c r="Q54" s="238"/>
      <c r="R54" s="238"/>
      <c r="S54" s="238"/>
      <c r="T54" s="238"/>
      <c r="U54" s="238"/>
      <c r="V54" s="238"/>
      <c r="W54" s="87"/>
      <c r="X54" s="89"/>
      <c r="Y54" s="89"/>
      <c r="Z54" s="89"/>
      <c r="AA54" s="89"/>
      <c r="AB54" s="89"/>
      <c r="AC54" s="89"/>
    </row>
    <row r="55" spans="1:29" ht="16.5" customHeight="1" x14ac:dyDescent="0.3">
      <c r="A55" s="87"/>
      <c r="B55" s="249" t="s">
        <v>154</v>
      </c>
      <c r="C55" s="250" t="s">
        <v>220</v>
      </c>
      <c r="D55" s="251" t="s">
        <v>222</v>
      </c>
      <c r="E55" s="252">
        <v>35</v>
      </c>
      <c r="F55" s="253">
        <v>6531</v>
      </c>
      <c r="G55" s="253">
        <f>IFERROR(INDEX(MRP!$F$3:$F$150,MATCH(F55,MRP!$D$3:$D$150,0)),0)</f>
        <v>0</v>
      </c>
      <c r="H55" s="254">
        <f>SUMPRODUCT((Production_Log!$F$3:$F$1000=F55)*((LEFT(Production_Log!$B$3:$B$1000,5)="Print")+(LEFT(Production_Log!$B$3:$B$1000,5)="PLINE"))*(ISERROR(SEARCH("(Varnish)",Production_Log!$D$3:$D$1000)))*Production_Log!$H$3:$H$1000)</f>
        <v>0</v>
      </c>
      <c r="I55" s="253">
        <f t="shared" si="2"/>
        <v>0</v>
      </c>
      <c r="J55" s="255" t="str">
        <f t="shared" si="3"/>
        <v>-</v>
      </c>
      <c r="K55" s="254"/>
      <c r="L55" s="256"/>
      <c r="M55" s="238"/>
      <c r="N55" s="238"/>
      <c r="O55" s="238"/>
      <c r="P55" s="238"/>
      <c r="Q55" s="238"/>
      <c r="R55" s="238"/>
      <c r="S55" s="238"/>
      <c r="T55" s="238"/>
      <c r="U55" s="238"/>
      <c r="V55" s="238"/>
      <c r="W55" s="87"/>
      <c r="X55" s="89"/>
      <c r="Y55" s="89"/>
      <c r="Z55" s="89"/>
      <c r="AA55" s="89"/>
      <c r="AB55" s="89"/>
      <c r="AC55" s="89"/>
    </row>
    <row r="56" spans="1:29" ht="16.5" customHeight="1" x14ac:dyDescent="0.3">
      <c r="A56" s="87"/>
      <c r="B56" s="249" t="s">
        <v>154</v>
      </c>
      <c r="C56" s="250" t="s">
        <v>220</v>
      </c>
      <c r="D56" s="251" t="s">
        <v>223</v>
      </c>
      <c r="E56" s="252">
        <v>35</v>
      </c>
      <c r="F56" s="253">
        <v>6020</v>
      </c>
      <c r="G56" s="253">
        <f>IFERROR(INDEX(MRP!$F$3:$F$150,MATCH(F56,MRP!$D$3:$D$150,0)),0)</f>
        <v>0</v>
      </c>
      <c r="H56" s="254">
        <f>SUMPRODUCT((Production_Log!$F$3:$F$1000=F56)*((LEFT(Production_Log!$B$3:$B$1000,5)="Print")+(LEFT(Production_Log!$B$3:$B$1000,5)="PLINE"))*(ISERROR(SEARCH("(Varnish)",Production_Log!$D$3:$D$1000)))*Production_Log!$H$3:$H$1000)</f>
        <v>0</v>
      </c>
      <c r="I56" s="253">
        <f t="shared" si="2"/>
        <v>0</v>
      </c>
      <c r="J56" s="255" t="str">
        <f t="shared" si="3"/>
        <v>-</v>
      </c>
      <c r="K56" s="254"/>
      <c r="L56" s="256"/>
      <c r="M56" s="238"/>
      <c r="N56" s="238"/>
      <c r="O56" s="238"/>
      <c r="P56" s="238"/>
      <c r="Q56" s="238"/>
      <c r="R56" s="238"/>
      <c r="S56" s="238"/>
      <c r="T56" s="238"/>
      <c r="U56" s="238"/>
      <c r="V56" s="238"/>
      <c r="W56" s="87"/>
      <c r="X56" s="89"/>
      <c r="Y56" s="89"/>
      <c r="Z56" s="89"/>
      <c r="AA56" s="89"/>
      <c r="AB56" s="89"/>
      <c r="AC56" s="89"/>
    </row>
    <row r="57" spans="1:29" ht="16.5" customHeight="1" x14ac:dyDescent="0.3">
      <c r="A57" s="87"/>
      <c r="B57" s="249" t="s">
        <v>154</v>
      </c>
      <c r="C57" s="250" t="s">
        <v>220</v>
      </c>
      <c r="D57" s="251" t="s">
        <v>224</v>
      </c>
      <c r="E57" s="252">
        <v>35</v>
      </c>
      <c r="F57" s="253">
        <v>6021</v>
      </c>
      <c r="G57" s="253">
        <f>IFERROR(INDEX(MRP!$F$3:$F$150,MATCH(F57,MRP!$D$3:$D$150,0)),0)</f>
        <v>0</v>
      </c>
      <c r="H57" s="254">
        <f>SUMPRODUCT((Production_Log!$F$3:$F$1000=F57)*((LEFT(Production_Log!$B$3:$B$1000,5)="Print")+(LEFT(Production_Log!$B$3:$B$1000,5)="PLINE"))*(ISERROR(SEARCH("(Varnish)",Production_Log!$D$3:$D$1000)))*Production_Log!$H$3:$H$1000)</f>
        <v>0</v>
      </c>
      <c r="I57" s="253">
        <f t="shared" si="2"/>
        <v>0</v>
      </c>
      <c r="J57" s="255" t="str">
        <f t="shared" si="3"/>
        <v>-</v>
      </c>
      <c r="K57" s="254"/>
      <c r="L57" s="256"/>
      <c r="M57" s="238"/>
      <c r="N57" s="238"/>
      <c r="O57" s="238"/>
      <c r="P57" s="238"/>
      <c r="Q57" s="238"/>
      <c r="R57" s="238"/>
      <c r="S57" s="238"/>
      <c r="T57" s="238"/>
      <c r="U57" s="238"/>
      <c r="V57" s="238"/>
      <c r="W57" s="87"/>
      <c r="X57" s="89"/>
      <c r="Y57" s="89"/>
      <c r="Z57" s="89"/>
      <c r="AA57" s="89"/>
      <c r="AB57" s="89"/>
      <c r="AC57" s="89"/>
    </row>
    <row r="58" spans="1:29" ht="16.5" customHeight="1" x14ac:dyDescent="0.3">
      <c r="A58" s="87"/>
      <c r="B58" s="249" t="s">
        <v>161</v>
      </c>
      <c r="C58" s="250" t="s">
        <v>14</v>
      </c>
      <c r="D58" s="251" t="s">
        <v>225</v>
      </c>
      <c r="E58" s="252" t="s">
        <v>138</v>
      </c>
      <c r="F58" s="253">
        <v>8011</v>
      </c>
      <c r="G58" s="253">
        <f>IFERROR(INDEX(MRP!$F$3:$F$150,MATCH(F58,MRP!$D$3:$D$150,0)),0)</f>
        <v>0</v>
      </c>
      <c r="H58" s="254">
        <f>SUMPRODUCT((Production_Log!$F$3:$F$1000=F58)*Production_Log!$H$3:$H$1000)</f>
        <v>0</v>
      </c>
      <c r="I58" s="253">
        <f t="shared" si="2"/>
        <v>0</v>
      </c>
      <c r="J58" s="255" t="str">
        <f t="shared" si="3"/>
        <v>-</v>
      </c>
      <c r="K58" s="254"/>
      <c r="L58" s="256"/>
      <c r="M58" s="238"/>
      <c r="N58" s="238"/>
      <c r="O58" s="238"/>
      <c r="P58" s="238"/>
      <c r="Q58" s="238"/>
      <c r="R58" s="238"/>
      <c r="S58" s="238"/>
      <c r="T58" s="238"/>
      <c r="U58" s="238"/>
      <c r="V58" s="238"/>
      <c r="W58" s="87"/>
      <c r="X58" s="89"/>
      <c r="Y58" s="89"/>
      <c r="Z58" s="89"/>
      <c r="AA58" s="89"/>
      <c r="AB58" s="89"/>
      <c r="AC58" s="89"/>
    </row>
    <row r="59" spans="1:29" x14ac:dyDescent="0.3">
      <c r="B59" s="249" t="s">
        <v>161</v>
      </c>
      <c r="C59" s="250" t="s">
        <v>14</v>
      </c>
      <c r="D59" s="251" t="s">
        <v>226</v>
      </c>
      <c r="E59" s="252" t="s">
        <v>138</v>
      </c>
      <c r="F59" s="253">
        <v>8012</v>
      </c>
      <c r="G59" s="253">
        <f>IFERROR(INDEX(MRP!$F$3:$F$150,MATCH(F59,MRP!$D$3:$D$150,0)),0)</f>
        <v>0</v>
      </c>
      <c r="H59" s="254">
        <f>SUMPRODUCT((Production_Log!$F$3:$F$1000=F59)*Production_Log!$H$3:$H$1000)</f>
        <v>0</v>
      </c>
      <c r="I59" s="253">
        <f t="shared" si="2"/>
        <v>0</v>
      </c>
      <c r="J59" s="255" t="str">
        <f t="shared" si="3"/>
        <v>-</v>
      </c>
      <c r="K59" s="254"/>
      <c r="L59" s="256"/>
      <c r="M59" s="258"/>
      <c r="N59" s="258"/>
      <c r="O59" s="258"/>
      <c r="P59" s="258"/>
      <c r="Q59" s="258"/>
      <c r="R59" s="258"/>
      <c r="S59" s="258"/>
      <c r="T59" s="258"/>
      <c r="U59" s="258"/>
      <c r="V59" s="258"/>
    </row>
    <row r="60" spans="1:29" x14ac:dyDescent="0.3">
      <c r="B60" s="249" t="s">
        <v>161</v>
      </c>
      <c r="C60" s="250" t="s">
        <v>11</v>
      </c>
      <c r="D60" s="251" t="s">
        <v>227</v>
      </c>
      <c r="E60" s="252" t="s">
        <v>141</v>
      </c>
      <c r="F60" s="253">
        <v>8010</v>
      </c>
      <c r="G60" s="253">
        <f>IFERROR(INDEX(MRP!$F$3:$F$150,MATCH(F60,MRP!$D$3:$D$150,0)),0)</f>
        <v>0</v>
      </c>
      <c r="H60" s="254">
        <f>SUMPRODUCT((Production_Log!$F$3:$F$1000=F60)*Production_Log!$H$3:$H$1000)</f>
        <v>0</v>
      </c>
      <c r="I60" s="253">
        <f t="shared" si="2"/>
        <v>0</v>
      </c>
      <c r="J60" s="255" t="str">
        <f t="shared" si="3"/>
        <v>-</v>
      </c>
      <c r="K60" s="254"/>
      <c r="L60" s="256"/>
      <c r="M60" s="258"/>
      <c r="N60" s="258"/>
      <c r="O60" s="258"/>
      <c r="P60" s="258"/>
      <c r="Q60" s="258"/>
      <c r="R60" s="258"/>
      <c r="S60" s="258"/>
      <c r="T60" s="258"/>
      <c r="U60" s="258"/>
      <c r="V60" s="258"/>
    </row>
    <row r="61" spans="1:29" x14ac:dyDescent="0.3">
      <c r="B61" s="249" t="s">
        <v>161</v>
      </c>
      <c r="C61" s="250" t="s">
        <v>228</v>
      </c>
      <c r="D61" s="251" t="s">
        <v>144</v>
      </c>
      <c r="E61" s="252" t="s">
        <v>143</v>
      </c>
      <c r="F61" s="253">
        <v>8017</v>
      </c>
      <c r="G61" s="253">
        <f>IFERROR(INDEX(MRP!$F$3:$F$150,MATCH(F61,MRP!$D$3:$D$150,0)),0)</f>
        <v>0</v>
      </c>
      <c r="H61" s="254">
        <f>SUMPRODUCT((Production_Log!$F$3:$F$1000=F61)*Production_Log!$H$3:$H$1000)</f>
        <v>0</v>
      </c>
      <c r="I61" s="253">
        <f t="shared" si="2"/>
        <v>0</v>
      </c>
      <c r="J61" s="255" t="str">
        <f t="shared" si="3"/>
        <v>-</v>
      </c>
      <c r="K61" s="254"/>
      <c r="L61" s="256"/>
    </row>
    <row r="62" spans="1:29" x14ac:dyDescent="0.3">
      <c r="B62" s="249" t="s">
        <v>161</v>
      </c>
      <c r="C62" s="250" t="s">
        <v>14</v>
      </c>
      <c r="D62" s="251" t="s">
        <v>229</v>
      </c>
      <c r="E62" s="252" t="s">
        <v>146</v>
      </c>
      <c r="F62" s="253">
        <v>8007</v>
      </c>
      <c r="G62" s="253">
        <f>IFERROR(INDEX(MRP!$F$3:$F$150,MATCH(F62,MRP!$D$3:$D$150,0)),0)</f>
        <v>0</v>
      </c>
      <c r="H62" s="254">
        <f>SUMPRODUCT((Production_Log!$F$3:$F$1000=F62)*Production_Log!$H$3:$H$1000)</f>
        <v>0</v>
      </c>
      <c r="I62" s="253">
        <f t="shared" si="2"/>
        <v>0</v>
      </c>
      <c r="J62" s="255" t="str">
        <f t="shared" si="3"/>
        <v>-</v>
      </c>
      <c r="K62" s="254"/>
      <c r="L62" s="256"/>
    </row>
    <row r="63" spans="1:29" ht="16.5" customHeight="1" x14ac:dyDescent="0.3">
      <c r="A63" s="87"/>
      <c r="B63" s="249" t="s">
        <v>161</v>
      </c>
      <c r="C63" s="250" t="s">
        <v>14</v>
      </c>
      <c r="D63" s="251" t="s">
        <v>230</v>
      </c>
      <c r="E63" s="252" t="s">
        <v>146</v>
      </c>
      <c r="F63" s="253">
        <v>8014</v>
      </c>
      <c r="G63" s="253">
        <f>IFERROR(INDEX(MRP!$F$3:$F$150,MATCH(F63,MRP!$D$3:$D$150,0)),0)</f>
        <v>0</v>
      </c>
      <c r="H63" s="254">
        <f>SUMPRODUCT((Production_Log!$F$3:$F$1000=F63)*Production_Log!$H$3:$H$1000)</f>
        <v>0</v>
      </c>
      <c r="I63" s="253">
        <f t="shared" si="2"/>
        <v>0</v>
      </c>
      <c r="J63" s="255" t="str">
        <f t="shared" si="3"/>
        <v>-</v>
      </c>
      <c r="K63" s="254"/>
      <c r="L63" s="256"/>
      <c r="M63" s="87"/>
      <c r="N63" s="87"/>
      <c r="O63" s="87"/>
      <c r="P63" s="87"/>
      <c r="Q63" s="87"/>
      <c r="R63" s="89"/>
      <c r="T63" s="104"/>
      <c r="V63" s="89"/>
      <c r="W63" s="89"/>
      <c r="X63" s="89"/>
      <c r="Y63" s="89"/>
      <c r="Z63" s="89"/>
      <c r="AA63" s="89"/>
      <c r="AB63" s="89"/>
      <c r="AC63" s="89"/>
    </row>
    <row r="64" spans="1:29" ht="16.5" customHeight="1" x14ac:dyDescent="0.3">
      <c r="A64" s="87"/>
      <c r="B64" s="249" t="s">
        <v>161</v>
      </c>
      <c r="C64" s="250" t="s">
        <v>14</v>
      </c>
      <c r="D64" s="251" t="s">
        <v>231</v>
      </c>
      <c r="E64" s="252" t="s">
        <v>146</v>
      </c>
      <c r="F64" s="253">
        <v>8016</v>
      </c>
      <c r="G64" s="253">
        <f>IFERROR(INDEX(MRP!$F$3:$F$150,MATCH(F64,MRP!$D$3:$D$150,0)),0)</f>
        <v>0</v>
      </c>
      <c r="H64" s="254">
        <f>SUMPRODUCT((Production_Log!$F$3:$F$1000=F64)*Production_Log!$H$3:$H$1000)</f>
        <v>0</v>
      </c>
      <c r="I64" s="253">
        <f t="shared" si="2"/>
        <v>0</v>
      </c>
      <c r="J64" s="255" t="str">
        <f t="shared" si="3"/>
        <v>-</v>
      </c>
      <c r="K64" s="254"/>
      <c r="L64" s="256"/>
      <c r="M64" s="87"/>
      <c r="N64" s="87"/>
      <c r="O64" s="87"/>
      <c r="P64" s="87"/>
      <c r="Q64" s="87"/>
      <c r="R64" s="89"/>
      <c r="T64" s="104"/>
      <c r="V64" s="89"/>
      <c r="W64" s="89"/>
      <c r="X64" s="89"/>
      <c r="Y64" s="89"/>
      <c r="Z64" s="89"/>
      <c r="AA64" s="89"/>
      <c r="AB64" s="89"/>
      <c r="AC64" s="89"/>
    </row>
    <row r="65" spans="2:12" x14ac:dyDescent="0.3">
      <c r="B65" s="249" t="s">
        <v>161</v>
      </c>
      <c r="C65" s="250" t="s">
        <v>14</v>
      </c>
      <c r="D65" s="251" t="s">
        <v>232</v>
      </c>
      <c r="E65" s="252" t="s">
        <v>146</v>
      </c>
      <c r="F65" s="253">
        <v>8008</v>
      </c>
      <c r="G65" s="253">
        <f>IFERROR(INDEX(MRP!$F$3:$F$150,MATCH(F65,MRP!$D$3:$D$150,0)),0)</f>
        <v>0</v>
      </c>
      <c r="H65" s="254">
        <f>SUMPRODUCT((Production_Log!$F$3:$F$1000=F65)*Production_Log!$H$3:$H$1000)</f>
        <v>0</v>
      </c>
      <c r="I65" s="253">
        <f t="shared" si="2"/>
        <v>0</v>
      </c>
      <c r="J65" s="255" t="str">
        <f t="shared" si="3"/>
        <v>-</v>
      </c>
      <c r="K65" s="254"/>
      <c r="L65" s="256"/>
    </row>
    <row r="66" spans="2:12" x14ac:dyDescent="0.3">
      <c r="B66" s="249" t="s">
        <v>161</v>
      </c>
      <c r="C66" s="250" t="s">
        <v>11</v>
      </c>
      <c r="D66" s="251" t="s">
        <v>233</v>
      </c>
      <c r="E66" s="252" t="s">
        <v>234</v>
      </c>
      <c r="F66" s="253">
        <v>8009</v>
      </c>
      <c r="G66" s="253">
        <f>IFERROR(INDEX(MRP!$F$3:$F$150,MATCH(F66,MRP!$D$3:$D$150,0)),0)</f>
        <v>0</v>
      </c>
      <c r="H66" s="254">
        <f>SUMPRODUCT((Production_Log!$F$3:$F$1000=F66)*Production_Log!$H$3:$H$1000)</f>
        <v>0</v>
      </c>
      <c r="I66" s="253">
        <f t="shared" si="2"/>
        <v>0</v>
      </c>
      <c r="J66" s="255" t="str">
        <f t="shared" si="3"/>
        <v>-</v>
      </c>
      <c r="K66" s="254"/>
      <c r="L66" s="256"/>
    </row>
    <row r="67" spans="2:12" ht="15" customHeight="1" x14ac:dyDescent="0.3">
      <c r="B67" s="249" t="s">
        <v>161</v>
      </c>
      <c r="C67" s="250" t="s">
        <v>11</v>
      </c>
      <c r="D67" s="251" t="s">
        <v>235</v>
      </c>
      <c r="E67" s="252" t="s">
        <v>236</v>
      </c>
      <c r="F67" s="253">
        <v>8013</v>
      </c>
      <c r="G67" s="253">
        <f>IFERROR(INDEX(MRP!$F$3:$F$150,MATCH(F67,MRP!$D$3:$D$150,0)),0)</f>
        <v>0</v>
      </c>
      <c r="H67" s="254">
        <f>SUMPRODUCT((Production_Log!$F$3:$F$1000=F67)*Production_Log!$H$3:$H$1000)</f>
        <v>0</v>
      </c>
      <c r="I67" s="253">
        <f t="shared" si="2"/>
        <v>0</v>
      </c>
      <c r="J67" s="255" t="str">
        <f t="shared" si="3"/>
        <v>-</v>
      </c>
      <c r="K67" s="254"/>
      <c r="L67" s="256"/>
    </row>
    <row r="68" spans="2:12" ht="15" customHeight="1" x14ac:dyDescent="0.3">
      <c r="B68" s="280"/>
      <c r="C68" s="280"/>
      <c r="D68" s="280"/>
      <c r="E68" s="280"/>
      <c r="F68" s="280"/>
      <c r="G68" s="280"/>
      <c r="H68" s="280"/>
      <c r="I68" s="280"/>
      <c r="J68" s="280"/>
      <c r="K68" s="280"/>
      <c r="L68" s="280"/>
    </row>
    <row r="69" spans="2:12" ht="15" customHeight="1" x14ac:dyDescent="0.3">
      <c r="B69" s="280"/>
      <c r="C69" s="280"/>
      <c r="D69" s="280"/>
      <c r="E69" s="280"/>
      <c r="F69" s="280"/>
      <c r="G69" s="280"/>
      <c r="H69" s="280"/>
      <c r="I69" s="280"/>
      <c r="J69" s="280"/>
      <c r="K69" s="280"/>
      <c r="L69" s="280"/>
    </row>
    <row r="70" spans="2:12" ht="15" customHeight="1" x14ac:dyDescent="0.3">
      <c r="B70" s="280"/>
      <c r="C70" s="280"/>
      <c r="D70" s="280"/>
      <c r="E70" s="280"/>
      <c r="F70" s="280"/>
      <c r="G70" s="280"/>
      <c r="H70" s="280"/>
      <c r="I70" s="280"/>
      <c r="J70" s="280"/>
      <c r="K70" s="280"/>
      <c r="L70" s="280"/>
    </row>
    <row r="71" spans="2:12" x14ac:dyDescent="0.3">
      <c r="B71" s="280"/>
      <c r="C71" s="280"/>
      <c r="D71" s="280"/>
      <c r="E71" s="280"/>
      <c r="F71" s="280"/>
      <c r="G71" s="280"/>
      <c r="H71" s="280"/>
      <c r="I71" s="280"/>
      <c r="J71" s="280"/>
      <c r="K71" s="280"/>
      <c r="L71" s="280"/>
    </row>
    <row r="72" spans="2:12" x14ac:dyDescent="0.3">
      <c r="B72" s="280"/>
      <c r="C72" s="280"/>
      <c r="D72" s="280"/>
      <c r="E72" s="280"/>
      <c r="F72" s="280"/>
      <c r="G72" s="280"/>
      <c r="H72" s="280"/>
      <c r="I72" s="280"/>
      <c r="J72" s="280"/>
      <c r="K72" s="280"/>
      <c r="L72" s="280"/>
    </row>
    <row r="73" spans="2:12" x14ac:dyDescent="0.3">
      <c r="B73" s="280"/>
      <c r="C73" s="280"/>
      <c r="D73" s="280"/>
      <c r="E73" s="280"/>
      <c r="F73" s="280"/>
      <c r="G73" s="280"/>
      <c r="H73" s="280"/>
      <c r="I73" s="280"/>
      <c r="J73" s="280"/>
      <c r="K73" s="280"/>
      <c r="L73" s="280"/>
    </row>
    <row r="74" spans="2:12" x14ac:dyDescent="0.3">
      <c r="B74" s="280"/>
      <c r="C74" s="280"/>
      <c r="D74" s="280"/>
      <c r="E74" s="280"/>
      <c r="F74" s="280"/>
      <c r="G74" s="280"/>
      <c r="H74" s="280"/>
      <c r="I74" s="280"/>
      <c r="J74" s="280"/>
      <c r="K74" s="280"/>
      <c r="L74" s="280"/>
    </row>
    <row r="75" spans="2:12" x14ac:dyDescent="0.3">
      <c r="B75" s="280"/>
      <c r="C75" s="280"/>
      <c r="D75" s="280"/>
      <c r="E75" s="280"/>
      <c r="F75" s="280"/>
      <c r="G75" s="280"/>
      <c r="H75" s="280"/>
      <c r="I75" s="280"/>
      <c r="J75" s="280"/>
      <c r="K75" s="280"/>
      <c r="L75" s="280"/>
    </row>
    <row r="76" spans="2:12" x14ac:dyDescent="0.3">
      <c r="B76" s="280"/>
      <c r="C76" s="280"/>
      <c r="D76" s="280"/>
      <c r="E76" s="280"/>
      <c r="F76" s="280"/>
      <c r="G76" s="280"/>
      <c r="H76" s="280"/>
      <c r="I76" s="280"/>
      <c r="J76" s="280"/>
      <c r="K76" s="280"/>
      <c r="L76" s="280"/>
    </row>
    <row r="77" spans="2:12" x14ac:dyDescent="0.3">
      <c r="B77" s="280"/>
      <c r="C77" s="280"/>
      <c r="D77" s="280"/>
      <c r="E77" s="280"/>
      <c r="F77" s="280"/>
      <c r="G77" s="280"/>
      <c r="H77" s="280"/>
      <c r="I77" s="280"/>
      <c r="J77" s="280"/>
      <c r="K77" s="280"/>
      <c r="L77" s="280"/>
    </row>
    <row r="78" spans="2:12" x14ac:dyDescent="0.3">
      <c r="B78" s="280"/>
      <c r="C78" s="280"/>
      <c r="D78" s="280"/>
      <c r="E78" s="280"/>
      <c r="F78" s="280"/>
      <c r="G78" s="280"/>
      <c r="H78" s="280"/>
      <c r="I78" s="280"/>
      <c r="J78" s="280"/>
      <c r="K78" s="280"/>
      <c r="L78" s="280"/>
    </row>
    <row r="79" spans="2:12" x14ac:dyDescent="0.3">
      <c r="B79" s="280"/>
      <c r="C79" s="280"/>
      <c r="D79" s="280"/>
      <c r="E79" s="280"/>
      <c r="F79" s="280"/>
      <c r="G79" s="280"/>
      <c r="H79" s="280"/>
      <c r="I79" s="280"/>
      <c r="J79" s="280"/>
      <c r="K79" s="280"/>
      <c r="L79" s="280"/>
    </row>
    <row r="80" spans="2:12" x14ac:dyDescent="0.3">
      <c r="B80" s="280"/>
      <c r="C80" s="280"/>
      <c r="D80" s="280"/>
      <c r="E80" s="280"/>
      <c r="F80" s="280"/>
      <c r="G80" s="280"/>
      <c r="H80" s="280"/>
      <c r="I80" s="280"/>
      <c r="J80" s="280"/>
      <c r="K80" s="280"/>
      <c r="L80" s="280"/>
    </row>
    <row r="81" spans="2:12" x14ac:dyDescent="0.3">
      <c r="B81" s="280"/>
      <c r="C81" s="280"/>
      <c r="D81" s="280"/>
      <c r="E81" s="280"/>
      <c r="F81" s="280"/>
      <c r="G81" s="280"/>
      <c r="H81" s="280"/>
      <c r="I81" s="280"/>
      <c r="J81" s="280"/>
      <c r="K81" s="280"/>
      <c r="L81" s="280"/>
    </row>
    <row r="82" spans="2:12" x14ac:dyDescent="0.3">
      <c r="B82" s="280"/>
      <c r="C82" s="280"/>
      <c r="D82" s="280"/>
      <c r="E82" s="280"/>
      <c r="F82" s="280"/>
      <c r="G82" s="280"/>
      <c r="H82" s="280"/>
      <c r="I82" s="280"/>
      <c r="J82" s="280"/>
      <c r="K82" s="280"/>
      <c r="L82" s="280"/>
    </row>
    <row r="83" spans="2:12" x14ac:dyDescent="0.3">
      <c r="B83" s="280"/>
      <c r="C83" s="280"/>
      <c r="D83" s="280"/>
      <c r="E83" s="280"/>
      <c r="F83" s="280"/>
      <c r="G83" s="280"/>
      <c r="H83" s="280"/>
      <c r="I83" s="280"/>
      <c r="J83" s="280"/>
      <c r="K83" s="280"/>
      <c r="L83" s="280"/>
    </row>
    <row r="84" spans="2:12" x14ac:dyDescent="0.3">
      <c r="B84" s="280"/>
      <c r="C84" s="280"/>
      <c r="D84" s="280"/>
      <c r="E84" s="280"/>
      <c r="F84" s="280"/>
      <c r="G84" s="280"/>
      <c r="H84" s="280"/>
      <c r="I84" s="280"/>
      <c r="J84" s="280"/>
      <c r="K84" s="280"/>
      <c r="L84" s="280"/>
    </row>
    <row r="85" spans="2:12" x14ac:dyDescent="0.3">
      <c r="B85" s="280"/>
      <c r="C85" s="280"/>
      <c r="D85" s="280"/>
      <c r="E85" s="280"/>
      <c r="F85" s="280"/>
      <c r="G85" s="280"/>
      <c r="H85" s="280"/>
      <c r="I85" s="280"/>
      <c r="J85" s="280"/>
      <c r="K85" s="280"/>
      <c r="L85" s="280"/>
    </row>
    <row r="86" spans="2:12" x14ac:dyDescent="0.3">
      <c r="B86" s="280"/>
      <c r="C86" s="280"/>
      <c r="D86" s="280"/>
      <c r="E86" s="280"/>
      <c r="F86" s="280"/>
      <c r="G86" s="280"/>
      <c r="H86" s="280"/>
      <c r="I86" s="280"/>
      <c r="J86" s="280"/>
      <c r="K86" s="280"/>
      <c r="L86" s="280"/>
    </row>
    <row r="87" spans="2:12" x14ac:dyDescent="0.3">
      <c r="B87" s="280"/>
      <c r="C87" s="280"/>
      <c r="D87" s="280"/>
      <c r="E87" s="280"/>
      <c r="F87" s="280"/>
      <c r="G87" s="280"/>
      <c r="H87" s="280"/>
      <c r="I87" s="280"/>
      <c r="J87" s="280"/>
      <c r="K87" s="280"/>
      <c r="L87" s="280"/>
    </row>
    <row r="88" spans="2:12" x14ac:dyDescent="0.3">
      <c r="B88" s="280"/>
      <c r="C88" s="280"/>
      <c r="D88" s="280"/>
      <c r="E88" s="280"/>
      <c r="F88" s="280"/>
      <c r="G88" s="280"/>
      <c r="H88" s="280"/>
      <c r="I88" s="280"/>
      <c r="J88" s="280"/>
      <c r="K88" s="280"/>
      <c r="L88" s="280"/>
    </row>
    <row r="89" spans="2:12" x14ac:dyDescent="0.3">
      <c r="B89" s="280"/>
      <c r="C89" s="280"/>
      <c r="D89" s="280"/>
      <c r="E89" s="280"/>
      <c r="F89" s="280"/>
      <c r="G89" s="280"/>
      <c r="H89" s="280"/>
      <c r="I89" s="280"/>
      <c r="J89" s="280"/>
      <c r="K89" s="280"/>
      <c r="L89" s="280"/>
    </row>
    <row r="90" spans="2:12" x14ac:dyDescent="0.3">
      <c r="B90" s="280"/>
      <c r="C90" s="280"/>
      <c r="D90" s="280"/>
      <c r="E90" s="280"/>
      <c r="F90" s="280"/>
      <c r="G90" s="280"/>
      <c r="H90" s="280"/>
      <c r="I90" s="280"/>
      <c r="J90" s="280"/>
      <c r="K90" s="280"/>
      <c r="L90" s="280"/>
    </row>
    <row r="91" spans="2:12" x14ac:dyDescent="0.3">
      <c r="B91" s="280"/>
      <c r="C91" s="280"/>
      <c r="D91" s="280"/>
      <c r="E91" s="280"/>
      <c r="F91" s="280"/>
      <c r="G91" s="280"/>
      <c r="H91" s="280"/>
      <c r="I91" s="280"/>
      <c r="J91" s="280"/>
      <c r="K91" s="280"/>
      <c r="L91" s="280"/>
    </row>
    <row r="92" spans="2:12" x14ac:dyDescent="0.3">
      <c r="B92" s="280"/>
      <c r="C92" s="280"/>
      <c r="D92" s="280"/>
      <c r="E92" s="280"/>
      <c r="F92" s="280"/>
      <c r="G92" s="280"/>
      <c r="H92" s="280"/>
      <c r="I92" s="280"/>
      <c r="J92" s="280"/>
      <c r="K92" s="280"/>
      <c r="L92" s="280"/>
    </row>
    <row r="93" spans="2:12" x14ac:dyDescent="0.3">
      <c r="B93" s="280"/>
      <c r="C93" s="280"/>
      <c r="D93" s="280"/>
      <c r="E93" s="280"/>
      <c r="F93" s="280"/>
      <c r="G93" s="280"/>
      <c r="H93" s="280"/>
      <c r="I93" s="280"/>
      <c r="J93" s="280"/>
      <c r="K93" s="280"/>
      <c r="L93" s="280"/>
    </row>
    <row r="94" spans="2:12" x14ac:dyDescent="0.3">
      <c r="B94" s="280"/>
      <c r="C94" s="280"/>
      <c r="D94" s="280"/>
      <c r="E94" s="280"/>
      <c r="F94" s="280"/>
      <c r="G94" s="280"/>
      <c r="H94" s="280"/>
      <c r="I94" s="280"/>
      <c r="J94" s="280"/>
      <c r="K94" s="280"/>
      <c r="L94" s="280"/>
    </row>
    <row r="95" spans="2:12" x14ac:dyDescent="0.3">
      <c r="B95" s="280"/>
      <c r="C95" s="280"/>
      <c r="D95" s="280"/>
      <c r="E95" s="280"/>
      <c r="F95" s="280"/>
      <c r="G95" s="280"/>
      <c r="H95" s="280"/>
      <c r="I95" s="280"/>
      <c r="J95" s="280"/>
      <c r="K95" s="280"/>
      <c r="L95" s="280"/>
    </row>
    <row r="96" spans="2:12" x14ac:dyDescent="0.3">
      <c r="B96" s="280"/>
      <c r="C96" s="280"/>
      <c r="D96" s="280"/>
      <c r="E96" s="280"/>
      <c r="F96" s="280"/>
      <c r="G96" s="280"/>
      <c r="H96" s="280"/>
      <c r="I96" s="280"/>
      <c r="J96" s="280"/>
      <c r="K96" s="280"/>
      <c r="L96" s="280"/>
    </row>
    <row r="97" spans="2:12" x14ac:dyDescent="0.3">
      <c r="B97" s="280"/>
      <c r="C97" s="280"/>
      <c r="D97" s="280"/>
      <c r="E97" s="280"/>
      <c r="F97" s="280"/>
      <c r="G97" s="280"/>
      <c r="H97" s="280"/>
      <c r="I97" s="280"/>
      <c r="J97" s="280"/>
      <c r="K97" s="280"/>
      <c r="L97" s="280"/>
    </row>
    <row r="98" spans="2:12" x14ac:dyDescent="0.3">
      <c r="B98" s="280"/>
      <c r="C98" s="280"/>
      <c r="D98" s="280"/>
      <c r="E98" s="280"/>
      <c r="F98" s="280"/>
      <c r="G98" s="280"/>
      <c r="H98" s="280"/>
      <c r="I98" s="280"/>
      <c r="J98" s="280"/>
      <c r="K98" s="280"/>
      <c r="L98" s="280"/>
    </row>
    <row r="99" spans="2:12" x14ac:dyDescent="0.3">
      <c r="B99" s="280"/>
      <c r="C99" s="280"/>
      <c r="D99" s="280"/>
      <c r="E99" s="280"/>
      <c r="F99" s="280"/>
      <c r="G99" s="280"/>
      <c r="H99" s="280"/>
      <c r="I99" s="280"/>
      <c r="J99" s="280"/>
      <c r="K99" s="280"/>
      <c r="L99" s="280"/>
    </row>
    <row r="100" spans="2:12" x14ac:dyDescent="0.3">
      <c r="B100" s="280"/>
      <c r="C100" s="280"/>
      <c r="D100" s="280"/>
      <c r="E100" s="280"/>
      <c r="F100" s="280"/>
      <c r="G100" s="280"/>
      <c r="H100" s="280"/>
      <c r="I100" s="280"/>
      <c r="J100" s="280"/>
      <c r="K100" s="280"/>
      <c r="L100" s="280"/>
    </row>
    <row r="101" spans="2:12" x14ac:dyDescent="0.3">
      <c r="B101" s="280"/>
      <c r="C101" s="280"/>
      <c r="D101" s="280"/>
      <c r="E101" s="280"/>
      <c r="F101" s="280"/>
      <c r="G101" s="280"/>
      <c r="H101" s="280"/>
      <c r="I101" s="280"/>
      <c r="J101" s="280"/>
      <c r="K101" s="280"/>
      <c r="L101" s="280"/>
    </row>
    <row r="102" spans="2:12" x14ac:dyDescent="0.3">
      <c r="B102" s="280"/>
      <c r="C102" s="280"/>
      <c r="D102" s="280"/>
      <c r="E102" s="280"/>
      <c r="F102" s="280"/>
      <c r="G102" s="280"/>
      <c r="H102" s="280"/>
      <c r="I102" s="280"/>
      <c r="J102" s="280"/>
      <c r="K102" s="280"/>
      <c r="L102" s="280"/>
    </row>
    <row r="103" spans="2:12" x14ac:dyDescent="0.3">
      <c r="B103" s="280"/>
      <c r="C103" s="280"/>
      <c r="D103" s="280"/>
      <c r="E103" s="280"/>
      <c r="F103" s="280"/>
      <c r="G103" s="280"/>
      <c r="H103" s="280"/>
      <c r="I103" s="280"/>
      <c r="J103" s="280"/>
      <c r="K103" s="280"/>
      <c r="L103" s="280"/>
    </row>
    <row r="104" spans="2:12" x14ac:dyDescent="0.3">
      <c r="B104" s="280"/>
      <c r="C104" s="280"/>
      <c r="D104" s="280"/>
      <c r="E104" s="280"/>
      <c r="F104" s="280"/>
      <c r="G104" s="280"/>
      <c r="H104" s="280"/>
      <c r="I104" s="280"/>
      <c r="J104" s="280"/>
      <c r="K104" s="280"/>
      <c r="L104" s="280"/>
    </row>
    <row r="105" spans="2:12" x14ac:dyDescent="0.3">
      <c r="B105" s="280"/>
      <c r="C105" s="280"/>
      <c r="D105" s="280"/>
      <c r="E105" s="280"/>
      <c r="F105" s="280"/>
      <c r="G105" s="280"/>
      <c r="H105" s="280"/>
      <c r="I105" s="280"/>
      <c r="J105" s="280"/>
      <c r="K105" s="280"/>
      <c r="L105" s="280"/>
    </row>
    <row r="106" spans="2:12" x14ac:dyDescent="0.3">
      <c r="B106" s="280"/>
      <c r="C106" s="280"/>
      <c r="D106" s="280"/>
      <c r="E106" s="280"/>
      <c r="F106" s="280"/>
      <c r="G106" s="280"/>
      <c r="H106" s="280"/>
      <c r="I106" s="280"/>
      <c r="J106" s="280"/>
      <c r="K106" s="280"/>
      <c r="L106" s="280"/>
    </row>
    <row r="107" spans="2:12" x14ac:dyDescent="0.3">
      <c r="B107" s="280"/>
      <c r="C107" s="280"/>
      <c r="D107" s="280"/>
      <c r="E107" s="280"/>
      <c r="F107" s="280"/>
      <c r="G107" s="280"/>
      <c r="H107" s="280"/>
      <c r="I107" s="280"/>
      <c r="J107" s="280"/>
      <c r="K107" s="280"/>
      <c r="L107" s="280"/>
    </row>
    <row r="108" spans="2:12" x14ac:dyDescent="0.3">
      <c r="B108" s="280"/>
      <c r="C108" s="280"/>
      <c r="D108" s="280"/>
      <c r="E108" s="280"/>
      <c r="F108" s="280"/>
      <c r="G108" s="280"/>
      <c r="H108" s="280"/>
      <c r="I108" s="280"/>
      <c r="J108" s="280"/>
      <c r="K108" s="280"/>
      <c r="L108" s="280"/>
    </row>
    <row r="109" spans="2:12" x14ac:dyDescent="0.3">
      <c r="B109" s="280"/>
      <c r="C109" s="280"/>
      <c r="D109" s="280"/>
      <c r="E109" s="280"/>
      <c r="F109" s="280"/>
      <c r="G109" s="280"/>
      <c r="H109" s="280"/>
      <c r="I109" s="280"/>
      <c r="J109" s="280"/>
      <c r="K109" s="280"/>
      <c r="L109" s="280"/>
    </row>
    <row r="110" spans="2:12" x14ac:dyDescent="0.3">
      <c r="B110" s="280"/>
      <c r="C110" s="280"/>
      <c r="D110" s="280"/>
      <c r="E110" s="280"/>
      <c r="F110" s="280"/>
      <c r="G110" s="280"/>
      <c r="H110" s="280"/>
      <c r="I110" s="280"/>
      <c r="J110" s="280"/>
      <c r="K110" s="280"/>
      <c r="L110" s="280"/>
    </row>
    <row r="111" spans="2:12" x14ac:dyDescent="0.3">
      <c r="B111" s="280"/>
      <c r="C111" s="280"/>
      <c r="D111" s="280"/>
      <c r="E111" s="280"/>
      <c r="F111" s="280"/>
      <c r="G111" s="280"/>
      <c r="H111" s="280"/>
      <c r="I111" s="280"/>
      <c r="J111" s="280"/>
      <c r="K111" s="280"/>
      <c r="L111" s="280"/>
    </row>
    <row r="112" spans="2:12" x14ac:dyDescent="0.3">
      <c r="B112" s="280"/>
      <c r="C112" s="280"/>
      <c r="D112" s="280"/>
      <c r="E112" s="280"/>
      <c r="F112" s="280"/>
      <c r="G112" s="280"/>
      <c r="H112" s="280"/>
      <c r="I112" s="280"/>
      <c r="J112" s="280"/>
      <c r="K112" s="280"/>
      <c r="L112" s="280"/>
    </row>
    <row r="113" spans="2:12" x14ac:dyDescent="0.3">
      <c r="B113" s="280"/>
      <c r="C113" s="280"/>
      <c r="D113" s="280"/>
      <c r="E113" s="280"/>
      <c r="F113" s="280"/>
      <c r="G113" s="280"/>
      <c r="H113" s="280"/>
      <c r="I113" s="280"/>
      <c r="J113" s="280"/>
      <c r="K113" s="280"/>
      <c r="L113" s="280"/>
    </row>
    <row r="114" spans="2:12" x14ac:dyDescent="0.3">
      <c r="B114" s="280"/>
      <c r="C114" s="280"/>
      <c r="D114" s="280"/>
      <c r="E114" s="280"/>
      <c r="F114" s="280"/>
      <c r="G114" s="280"/>
      <c r="H114" s="280"/>
      <c r="I114" s="280"/>
      <c r="J114" s="280"/>
      <c r="K114" s="280"/>
      <c r="L114" s="280"/>
    </row>
    <row r="115" spans="2:12" x14ac:dyDescent="0.3">
      <c r="B115" s="280"/>
      <c r="C115" s="280"/>
      <c r="D115" s="280"/>
      <c r="E115" s="280"/>
      <c r="F115" s="280"/>
      <c r="G115" s="280"/>
      <c r="H115" s="280"/>
      <c r="I115" s="280"/>
      <c r="J115" s="280"/>
      <c r="K115" s="280"/>
      <c r="L115" s="280"/>
    </row>
    <row r="116" spans="2:12" x14ac:dyDescent="0.3">
      <c r="B116" s="280"/>
      <c r="C116" s="280"/>
      <c r="D116" s="280"/>
      <c r="E116" s="280"/>
      <c r="F116" s="280"/>
      <c r="G116" s="280"/>
      <c r="H116" s="280"/>
      <c r="I116" s="280"/>
      <c r="J116" s="280"/>
      <c r="K116" s="280"/>
      <c r="L116" s="280"/>
    </row>
    <row r="117" spans="2:12" x14ac:dyDescent="0.3">
      <c r="B117" s="280"/>
      <c r="C117" s="280"/>
      <c r="D117" s="280"/>
      <c r="E117" s="280"/>
      <c r="F117" s="280"/>
      <c r="G117" s="280"/>
      <c r="H117" s="280"/>
      <c r="I117" s="280"/>
      <c r="J117" s="280"/>
      <c r="K117" s="280"/>
      <c r="L117" s="280"/>
    </row>
    <row r="118" spans="2:12" x14ac:dyDescent="0.3">
      <c r="B118" s="280"/>
      <c r="C118" s="280"/>
      <c r="D118" s="280"/>
      <c r="E118" s="280"/>
      <c r="F118" s="280"/>
      <c r="G118" s="280"/>
      <c r="H118" s="280"/>
      <c r="I118" s="280"/>
      <c r="J118" s="280"/>
      <c r="K118" s="280"/>
      <c r="L118" s="280"/>
    </row>
    <row r="119" spans="2:12" x14ac:dyDescent="0.3">
      <c r="B119" s="280"/>
      <c r="C119" s="280"/>
      <c r="D119" s="280"/>
      <c r="E119" s="280"/>
      <c r="F119" s="280"/>
      <c r="G119" s="280"/>
      <c r="H119" s="280"/>
      <c r="I119" s="280"/>
      <c r="J119" s="280"/>
      <c r="K119" s="280"/>
      <c r="L119" s="280"/>
    </row>
    <row r="120" spans="2:12" x14ac:dyDescent="0.3">
      <c r="B120" s="280"/>
      <c r="C120" s="280"/>
      <c r="D120" s="280"/>
      <c r="E120" s="280"/>
      <c r="F120" s="280"/>
      <c r="G120" s="280"/>
      <c r="H120" s="280"/>
      <c r="I120" s="280"/>
      <c r="J120" s="280"/>
      <c r="K120" s="280"/>
      <c r="L120" s="280"/>
    </row>
    <row r="121" spans="2:12" x14ac:dyDescent="0.3">
      <c r="B121" s="280"/>
      <c r="C121" s="280"/>
      <c r="D121" s="280"/>
      <c r="E121" s="280"/>
      <c r="F121" s="280"/>
      <c r="G121" s="280"/>
      <c r="H121" s="280"/>
      <c r="I121" s="280"/>
      <c r="J121" s="280"/>
      <c r="K121" s="280"/>
      <c r="L121" s="280"/>
    </row>
    <row r="122" spans="2:12" x14ac:dyDescent="0.3">
      <c r="B122" s="280"/>
      <c r="C122" s="280"/>
      <c r="D122" s="280"/>
      <c r="E122" s="280"/>
      <c r="F122" s="280"/>
      <c r="G122" s="280"/>
      <c r="H122" s="280"/>
      <c r="I122" s="280"/>
      <c r="J122" s="280"/>
      <c r="K122" s="280"/>
      <c r="L122" s="280"/>
    </row>
    <row r="123" spans="2:12" x14ac:dyDescent="0.3">
      <c r="B123" s="280"/>
      <c r="C123" s="280"/>
      <c r="D123" s="280"/>
      <c r="E123" s="280"/>
      <c r="F123" s="280"/>
      <c r="G123" s="280"/>
      <c r="H123" s="280"/>
      <c r="I123" s="280"/>
      <c r="J123" s="280"/>
      <c r="K123" s="280"/>
      <c r="L123" s="280"/>
    </row>
    <row r="124" spans="2:12" x14ac:dyDescent="0.3">
      <c r="B124" s="280"/>
      <c r="C124" s="280"/>
      <c r="D124" s="280"/>
      <c r="E124" s="280"/>
      <c r="F124" s="280"/>
      <c r="G124" s="280"/>
      <c r="H124" s="280"/>
      <c r="I124" s="280"/>
      <c r="J124" s="280"/>
      <c r="K124" s="280"/>
      <c r="L124" s="280"/>
    </row>
    <row r="125" spans="2:12" x14ac:dyDescent="0.3">
      <c r="B125" s="280"/>
      <c r="C125" s="280"/>
      <c r="D125" s="280"/>
      <c r="E125" s="280"/>
      <c r="F125" s="280"/>
      <c r="G125" s="280"/>
      <c r="H125" s="280"/>
      <c r="I125" s="280"/>
      <c r="J125" s="280"/>
      <c r="K125" s="280"/>
      <c r="L125" s="280"/>
    </row>
    <row r="126" spans="2:12" x14ac:dyDescent="0.3">
      <c r="B126" s="280"/>
      <c r="C126" s="280"/>
      <c r="D126" s="280"/>
      <c r="E126" s="280"/>
      <c r="F126" s="280"/>
      <c r="G126" s="280"/>
      <c r="H126" s="280"/>
      <c r="I126" s="280"/>
      <c r="J126" s="280"/>
      <c r="K126" s="280"/>
      <c r="L126" s="280"/>
    </row>
    <row r="127" spans="2:12" x14ac:dyDescent="0.3">
      <c r="B127" s="280"/>
      <c r="C127" s="280"/>
      <c r="D127" s="280"/>
      <c r="E127" s="280"/>
      <c r="F127" s="280"/>
      <c r="G127" s="280"/>
      <c r="H127" s="280"/>
      <c r="I127" s="280"/>
      <c r="J127" s="280"/>
      <c r="K127" s="280"/>
      <c r="L127" s="280"/>
    </row>
    <row r="128" spans="2:12" x14ac:dyDescent="0.3">
      <c r="B128" s="280"/>
      <c r="C128" s="280"/>
      <c r="D128" s="280"/>
      <c r="E128" s="280"/>
      <c r="F128" s="280"/>
      <c r="G128" s="280"/>
      <c r="H128" s="280"/>
      <c r="I128" s="280"/>
      <c r="J128" s="280"/>
      <c r="K128" s="280"/>
      <c r="L128" s="280"/>
    </row>
    <row r="129" spans="2:12" x14ac:dyDescent="0.3">
      <c r="B129" s="280"/>
      <c r="C129" s="280"/>
      <c r="D129" s="280"/>
      <c r="E129" s="280"/>
      <c r="F129" s="280"/>
      <c r="G129" s="280"/>
      <c r="H129" s="280"/>
      <c r="I129" s="280"/>
      <c r="J129" s="280"/>
      <c r="K129" s="280"/>
      <c r="L129" s="280"/>
    </row>
    <row r="130" spans="2:12" x14ac:dyDescent="0.3">
      <c r="B130" s="280"/>
      <c r="C130" s="280"/>
      <c r="D130" s="280"/>
      <c r="E130" s="280"/>
      <c r="F130" s="280"/>
      <c r="G130" s="280"/>
      <c r="H130" s="280"/>
      <c r="I130" s="280"/>
      <c r="J130" s="280"/>
      <c r="K130" s="280"/>
      <c r="L130" s="280"/>
    </row>
    <row r="131" spans="2:12" x14ac:dyDescent="0.3">
      <c r="B131" s="280"/>
      <c r="C131" s="280"/>
      <c r="D131" s="280"/>
      <c r="E131" s="280"/>
      <c r="F131" s="280"/>
      <c r="G131" s="280"/>
      <c r="H131" s="280"/>
      <c r="I131" s="280"/>
      <c r="J131" s="280"/>
      <c r="K131" s="280"/>
      <c r="L131" s="280"/>
    </row>
    <row r="132" spans="2:12" x14ac:dyDescent="0.3">
      <c r="B132" s="280"/>
      <c r="C132" s="280"/>
      <c r="D132" s="280"/>
      <c r="E132" s="280"/>
      <c r="F132" s="280"/>
      <c r="G132" s="280"/>
      <c r="H132" s="280"/>
      <c r="I132" s="280"/>
      <c r="J132" s="280"/>
      <c r="K132" s="280"/>
      <c r="L132" s="280"/>
    </row>
    <row r="133" spans="2:12" x14ac:dyDescent="0.3">
      <c r="B133" s="280"/>
      <c r="C133" s="280"/>
      <c r="D133" s="280"/>
      <c r="E133" s="280"/>
      <c r="F133" s="280"/>
      <c r="G133" s="280"/>
      <c r="H133" s="280"/>
      <c r="I133" s="280"/>
      <c r="J133" s="280"/>
      <c r="K133" s="280"/>
      <c r="L133" s="280"/>
    </row>
    <row r="134" spans="2:12" x14ac:dyDescent="0.3">
      <c r="B134" s="280"/>
      <c r="C134" s="280"/>
      <c r="D134" s="280"/>
      <c r="E134" s="280"/>
      <c r="F134" s="280"/>
      <c r="G134" s="280"/>
      <c r="H134" s="280"/>
      <c r="I134" s="280"/>
      <c r="J134" s="280"/>
      <c r="K134" s="280"/>
      <c r="L134" s="280"/>
    </row>
    <row r="135" spans="2:12" x14ac:dyDescent="0.3">
      <c r="B135" s="280"/>
      <c r="C135" s="280"/>
      <c r="D135" s="280"/>
      <c r="E135" s="280"/>
      <c r="F135" s="280"/>
      <c r="G135" s="280"/>
      <c r="H135" s="280"/>
      <c r="I135" s="280"/>
      <c r="J135" s="280"/>
      <c r="K135" s="280"/>
      <c r="L135" s="280"/>
    </row>
    <row r="136" spans="2:12" x14ac:dyDescent="0.3">
      <c r="B136" s="280"/>
      <c r="C136" s="280"/>
      <c r="D136" s="280"/>
      <c r="E136" s="280"/>
      <c r="F136" s="280"/>
      <c r="G136" s="280"/>
      <c r="H136" s="280"/>
      <c r="I136" s="280"/>
      <c r="J136" s="280"/>
      <c r="K136" s="280"/>
      <c r="L136" s="280"/>
    </row>
    <row r="137" spans="2:12" x14ac:dyDescent="0.3">
      <c r="B137" s="280"/>
      <c r="C137" s="280"/>
      <c r="D137" s="280"/>
      <c r="E137" s="280"/>
      <c r="F137" s="280"/>
      <c r="G137" s="280"/>
      <c r="H137" s="280"/>
      <c r="I137" s="280"/>
      <c r="J137" s="280"/>
      <c r="K137" s="280"/>
      <c r="L137" s="280"/>
    </row>
    <row r="138" spans="2:12" x14ac:dyDescent="0.3">
      <c r="B138" s="280"/>
      <c r="C138" s="280"/>
      <c r="D138" s="280"/>
      <c r="E138" s="280"/>
      <c r="F138" s="280"/>
      <c r="G138" s="280"/>
      <c r="H138" s="280"/>
      <c r="I138" s="280"/>
      <c r="J138" s="280"/>
      <c r="K138" s="280"/>
      <c r="L138" s="280"/>
    </row>
    <row r="139" spans="2:12" x14ac:dyDescent="0.3">
      <c r="B139" s="280"/>
      <c r="C139" s="280"/>
      <c r="D139" s="280"/>
      <c r="E139" s="280"/>
      <c r="F139" s="280"/>
      <c r="G139" s="280"/>
      <c r="H139" s="280"/>
      <c r="I139" s="280"/>
      <c r="J139" s="280"/>
      <c r="K139" s="280"/>
      <c r="L139" s="280"/>
    </row>
    <row r="140" spans="2:12" x14ac:dyDescent="0.3">
      <c r="B140" s="280"/>
      <c r="C140" s="280"/>
      <c r="D140" s="280"/>
      <c r="E140" s="280"/>
      <c r="F140" s="280"/>
      <c r="G140" s="280"/>
      <c r="H140" s="280"/>
      <c r="I140" s="280"/>
      <c r="J140" s="280"/>
      <c r="K140" s="280"/>
      <c r="L140" s="280"/>
    </row>
    <row r="141" spans="2:12" x14ac:dyDescent="0.3">
      <c r="B141" s="280"/>
      <c r="C141" s="280"/>
      <c r="D141" s="280"/>
      <c r="E141" s="280"/>
      <c r="F141" s="280"/>
      <c r="G141" s="280"/>
      <c r="H141" s="280"/>
      <c r="I141" s="280"/>
      <c r="J141" s="280"/>
      <c r="K141" s="280"/>
      <c r="L141" s="280"/>
    </row>
    <row r="142" spans="2:12" x14ac:dyDescent="0.3">
      <c r="B142" s="280"/>
      <c r="C142" s="280"/>
      <c r="D142" s="280"/>
      <c r="E142" s="280"/>
      <c r="F142" s="280"/>
      <c r="G142" s="280"/>
      <c r="H142" s="280"/>
      <c r="I142" s="280"/>
      <c r="J142" s="280"/>
      <c r="K142" s="280"/>
      <c r="L142" s="280"/>
    </row>
    <row r="143" spans="2:12" x14ac:dyDescent="0.3">
      <c r="B143" s="280"/>
      <c r="C143" s="280"/>
      <c r="D143" s="280"/>
      <c r="E143" s="280"/>
      <c r="F143" s="280"/>
      <c r="G143" s="280"/>
      <c r="H143" s="280"/>
      <c r="I143" s="280"/>
      <c r="J143" s="280"/>
      <c r="K143" s="280"/>
      <c r="L143" s="280"/>
    </row>
    <row r="144" spans="2:12" x14ac:dyDescent="0.3">
      <c r="B144" s="280"/>
      <c r="C144" s="280"/>
      <c r="D144" s="280"/>
      <c r="E144" s="280"/>
      <c r="F144" s="280"/>
      <c r="G144" s="280"/>
      <c r="H144" s="280"/>
      <c r="I144" s="280"/>
      <c r="J144" s="280"/>
      <c r="K144" s="280"/>
      <c r="L144" s="280"/>
    </row>
    <row r="145" spans="2:12" x14ac:dyDescent="0.3">
      <c r="B145" s="280"/>
      <c r="C145" s="280"/>
      <c r="D145" s="280"/>
      <c r="E145" s="280"/>
      <c r="F145" s="280"/>
      <c r="G145" s="280"/>
      <c r="H145" s="280"/>
      <c r="I145" s="280"/>
      <c r="J145" s="280"/>
      <c r="K145" s="280"/>
      <c r="L145" s="280"/>
    </row>
    <row r="146" spans="2:12" x14ac:dyDescent="0.3">
      <c r="B146" s="280"/>
      <c r="C146" s="280"/>
      <c r="D146" s="280"/>
      <c r="E146" s="280"/>
      <c r="F146" s="280"/>
      <c r="G146" s="280"/>
      <c r="H146" s="280"/>
      <c r="I146" s="280"/>
      <c r="J146" s="280"/>
      <c r="K146" s="280"/>
      <c r="L146" s="280"/>
    </row>
    <row r="147" spans="2:12" x14ac:dyDescent="0.3">
      <c r="B147" s="280"/>
      <c r="C147" s="280"/>
      <c r="D147" s="280"/>
      <c r="E147" s="280"/>
      <c r="F147" s="280"/>
      <c r="G147" s="280"/>
      <c r="H147" s="280"/>
      <c r="I147" s="280"/>
      <c r="J147" s="280"/>
      <c r="K147" s="280"/>
      <c r="L147" s="280"/>
    </row>
    <row r="148" spans="2:12" x14ac:dyDescent="0.3">
      <c r="B148" s="280"/>
      <c r="C148" s="280"/>
      <c r="D148" s="280"/>
      <c r="E148" s="280"/>
      <c r="F148" s="280"/>
      <c r="G148" s="280"/>
      <c r="H148" s="280"/>
      <c r="I148" s="280"/>
      <c r="J148" s="280"/>
      <c r="K148" s="280"/>
      <c r="L148" s="280"/>
    </row>
    <row r="149" spans="2:12" x14ac:dyDescent="0.3">
      <c r="B149" s="280"/>
      <c r="C149" s="280"/>
      <c r="D149" s="280"/>
      <c r="E149" s="280"/>
      <c r="F149" s="280"/>
      <c r="G149" s="280"/>
      <c r="H149" s="280"/>
      <c r="I149" s="280"/>
      <c r="J149" s="280"/>
      <c r="K149" s="280"/>
      <c r="L149" s="280"/>
    </row>
    <row r="150" spans="2:12" x14ac:dyDescent="0.3">
      <c r="B150" s="280"/>
      <c r="C150" s="280"/>
      <c r="D150" s="280"/>
      <c r="E150" s="280"/>
      <c r="F150" s="280"/>
      <c r="G150" s="280"/>
      <c r="H150" s="280"/>
      <c r="I150" s="280"/>
      <c r="J150" s="280"/>
      <c r="K150" s="280"/>
      <c r="L150" s="280"/>
    </row>
    <row r="151" spans="2:12" x14ac:dyDescent="0.3">
      <c r="B151" s="280"/>
      <c r="C151" s="280"/>
      <c r="D151" s="280"/>
      <c r="E151" s="280"/>
      <c r="F151" s="280"/>
      <c r="G151" s="280"/>
      <c r="H151" s="280"/>
      <c r="I151" s="280"/>
      <c r="J151" s="280"/>
      <c r="K151" s="280"/>
      <c r="L151" s="280"/>
    </row>
    <row r="152" spans="2:12" x14ac:dyDescent="0.3">
      <c r="B152" s="280"/>
      <c r="C152" s="280"/>
      <c r="D152" s="280"/>
      <c r="E152" s="280"/>
      <c r="F152" s="280"/>
      <c r="G152" s="280"/>
      <c r="H152" s="280"/>
      <c r="I152" s="280"/>
      <c r="J152" s="280"/>
      <c r="K152" s="280"/>
      <c r="L152" s="280"/>
    </row>
    <row r="153" spans="2:12" x14ac:dyDescent="0.3">
      <c r="B153" s="280"/>
      <c r="C153" s="280"/>
      <c r="D153" s="280"/>
      <c r="E153" s="280"/>
      <c r="F153" s="280"/>
      <c r="G153" s="280"/>
      <c r="H153" s="280"/>
      <c r="I153" s="280"/>
      <c r="J153" s="280"/>
      <c r="K153" s="280"/>
      <c r="L153" s="280"/>
    </row>
    <row r="154" spans="2:12" x14ac:dyDescent="0.3">
      <c r="B154" s="280"/>
      <c r="C154" s="280"/>
      <c r="D154" s="280"/>
      <c r="E154" s="280"/>
      <c r="F154" s="280"/>
      <c r="G154" s="280"/>
      <c r="H154" s="280"/>
      <c r="I154" s="280"/>
      <c r="J154" s="280"/>
      <c r="K154" s="280"/>
      <c r="L154" s="280"/>
    </row>
    <row r="155" spans="2:12" x14ac:dyDescent="0.3">
      <c r="B155" s="280"/>
      <c r="C155" s="280"/>
      <c r="D155" s="280"/>
      <c r="E155" s="280"/>
      <c r="F155" s="280"/>
      <c r="G155" s="280"/>
      <c r="H155" s="280"/>
      <c r="I155" s="280"/>
      <c r="J155" s="280"/>
      <c r="K155" s="280"/>
      <c r="L155" s="280"/>
    </row>
    <row r="156" spans="2:12" x14ac:dyDescent="0.3">
      <c r="B156" s="280"/>
      <c r="C156" s="280"/>
      <c r="D156" s="280"/>
      <c r="E156" s="280"/>
      <c r="F156" s="280"/>
      <c r="G156" s="280"/>
      <c r="H156" s="280"/>
      <c r="I156" s="280"/>
      <c r="J156" s="280"/>
      <c r="K156" s="280"/>
      <c r="L156" s="280"/>
    </row>
    <row r="157" spans="2:12" x14ac:dyDescent="0.3">
      <c r="B157" s="280"/>
      <c r="C157" s="280"/>
      <c r="D157" s="280"/>
      <c r="E157" s="280"/>
      <c r="F157" s="280"/>
      <c r="G157" s="280"/>
      <c r="H157" s="280"/>
      <c r="I157" s="280"/>
      <c r="J157" s="280"/>
      <c r="K157" s="280"/>
      <c r="L157" s="280"/>
    </row>
    <row r="158" spans="2:12" x14ac:dyDescent="0.3">
      <c r="B158" s="280"/>
      <c r="C158" s="280"/>
      <c r="D158" s="280"/>
      <c r="E158" s="280"/>
      <c r="F158" s="280"/>
      <c r="G158" s="280"/>
      <c r="H158" s="280"/>
      <c r="I158" s="280"/>
      <c r="J158" s="280"/>
      <c r="K158" s="280"/>
      <c r="L158" s="280"/>
    </row>
    <row r="159" spans="2:12" x14ac:dyDescent="0.3">
      <c r="B159" s="280"/>
      <c r="C159" s="280"/>
      <c r="D159" s="280"/>
      <c r="E159" s="280"/>
      <c r="F159" s="280"/>
      <c r="G159" s="280"/>
      <c r="H159" s="280"/>
      <c r="I159" s="280"/>
      <c r="J159" s="280"/>
      <c r="K159" s="280"/>
      <c r="L159" s="280"/>
    </row>
    <row r="160" spans="2:12" x14ac:dyDescent="0.3">
      <c r="B160" s="280"/>
      <c r="C160" s="280"/>
      <c r="D160" s="280"/>
      <c r="E160" s="280"/>
      <c r="F160" s="280"/>
      <c r="G160" s="280"/>
      <c r="H160" s="280"/>
      <c r="I160" s="280"/>
      <c r="J160" s="280"/>
      <c r="K160" s="280"/>
      <c r="L160" s="280"/>
    </row>
    <row r="161" spans="2:12" x14ac:dyDescent="0.3">
      <c r="B161" s="280"/>
      <c r="C161" s="280"/>
      <c r="D161" s="280"/>
      <c r="E161" s="280"/>
      <c r="F161" s="280"/>
      <c r="G161" s="280"/>
      <c r="H161" s="280"/>
      <c r="I161" s="280"/>
      <c r="J161" s="280"/>
      <c r="K161" s="280"/>
      <c r="L161" s="280"/>
    </row>
    <row r="162" spans="2:12" x14ac:dyDescent="0.3">
      <c r="B162" s="280"/>
      <c r="C162" s="280"/>
      <c r="D162" s="280"/>
      <c r="E162" s="280"/>
      <c r="F162" s="280"/>
      <c r="G162" s="280"/>
      <c r="H162" s="280"/>
      <c r="I162" s="280"/>
      <c r="J162" s="280"/>
      <c r="K162" s="280"/>
      <c r="L162" s="280"/>
    </row>
    <row r="163" spans="2:12" x14ac:dyDescent="0.3">
      <c r="B163" s="280"/>
      <c r="C163" s="280"/>
      <c r="D163" s="280"/>
      <c r="E163" s="280"/>
      <c r="F163" s="280"/>
      <c r="G163" s="280"/>
      <c r="H163" s="280"/>
      <c r="I163" s="280"/>
      <c r="J163" s="280"/>
      <c r="K163" s="280"/>
      <c r="L163" s="280"/>
    </row>
    <row r="164" spans="2:12" x14ac:dyDescent="0.3">
      <c r="B164" s="280"/>
      <c r="C164" s="280"/>
      <c r="D164" s="280"/>
      <c r="E164" s="280"/>
      <c r="F164" s="280"/>
      <c r="G164" s="280"/>
      <c r="H164" s="280"/>
      <c r="I164" s="280"/>
      <c r="J164" s="280"/>
      <c r="K164" s="280"/>
      <c r="L164" s="280"/>
    </row>
    <row r="165" spans="2:12" x14ac:dyDescent="0.3">
      <c r="B165" s="280"/>
      <c r="C165" s="280"/>
      <c r="D165" s="280"/>
      <c r="E165" s="280"/>
      <c r="F165" s="280"/>
      <c r="G165" s="280"/>
      <c r="H165" s="280"/>
      <c r="I165" s="280"/>
      <c r="J165" s="280"/>
      <c r="K165" s="280"/>
      <c r="L165" s="280"/>
    </row>
    <row r="166" spans="2:12" x14ac:dyDescent="0.3">
      <c r="B166" s="280"/>
      <c r="C166" s="280"/>
      <c r="D166" s="280"/>
      <c r="E166" s="280"/>
      <c r="F166" s="280"/>
      <c r="G166" s="280"/>
      <c r="H166" s="280"/>
      <c r="I166" s="280"/>
      <c r="J166" s="280"/>
      <c r="K166" s="280"/>
      <c r="L166" s="280"/>
    </row>
    <row r="167" spans="2:12" x14ac:dyDescent="0.3">
      <c r="B167" s="280"/>
      <c r="C167" s="280"/>
      <c r="D167" s="280"/>
      <c r="E167" s="280"/>
      <c r="F167" s="280"/>
      <c r="G167" s="280"/>
      <c r="H167" s="280"/>
      <c r="I167" s="280"/>
      <c r="J167" s="280"/>
      <c r="K167" s="280"/>
      <c r="L167" s="280"/>
    </row>
    <row r="168" spans="2:12" x14ac:dyDescent="0.3">
      <c r="B168" s="280"/>
      <c r="C168" s="280"/>
      <c r="D168" s="280"/>
      <c r="E168" s="280"/>
      <c r="F168" s="280"/>
      <c r="G168" s="280"/>
      <c r="H168" s="280"/>
      <c r="I168" s="280"/>
      <c r="J168" s="280"/>
      <c r="K168" s="280"/>
      <c r="L168" s="280"/>
    </row>
    <row r="169" spans="2:12" x14ac:dyDescent="0.3">
      <c r="B169" s="280"/>
      <c r="C169" s="280"/>
      <c r="D169" s="280"/>
      <c r="E169" s="280"/>
      <c r="F169" s="280"/>
      <c r="G169" s="280"/>
      <c r="H169" s="280"/>
      <c r="I169" s="280"/>
      <c r="J169" s="280"/>
      <c r="K169" s="280"/>
      <c r="L169" s="280"/>
    </row>
    <row r="170" spans="2:12" x14ac:dyDescent="0.3">
      <c r="B170" s="280"/>
      <c r="C170" s="280"/>
      <c r="D170" s="280"/>
      <c r="E170" s="280"/>
      <c r="F170" s="280"/>
      <c r="G170" s="280"/>
      <c r="H170" s="280"/>
      <c r="I170" s="280"/>
      <c r="J170" s="280"/>
      <c r="K170" s="280"/>
      <c r="L170" s="280"/>
    </row>
    <row r="171" spans="2:12" x14ac:dyDescent="0.3">
      <c r="B171" s="280"/>
      <c r="C171" s="280"/>
      <c r="D171" s="280"/>
      <c r="E171" s="280"/>
      <c r="F171" s="280"/>
      <c r="G171" s="280"/>
      <c r="H171" s="280"/>
      <c r="I171" s="280"/>
      <c r="J171" s="280"/>
      <c r="K171" s="280"/>
      <c r="L171" s="280"/>
    </row>
    <row r="172" spans="2:12" x14ac:dyDescent="0.3">
      <c r="B172" s="280"/>
      <c r="C172" s="280"/>
      <c r="D172" s="280"/>
      <c r="E172" s="280"/>
      <c r="F172" s="280"/>
      <c r="G172" s="280"/>
      <c r="H172" s="280"/>
      <c r="I172" s="280"/>
      <c r="J172" s="280"/>
      <c r="K172" s="280"/>
      <c r="L172" s="280"/>
    </row>
    <row r="173" spans="2:12" x14ac:dyDescent="0.3">
      <c r="B173" s="280"/>
      <c r="C173" s="280"/>
      <c r="D173" s="280"/>
      <c r="E173" s="280"/>
      <c r="F173" s="280"/>
      <c r="G173" s="280"/>
      <c r="H173" s="280"/>
      <c r="I173" s="280"/>
      <c r="J173" s="280"/>
      <c r="K173" s="280"/>
      <c r="L173" s="280"/>
    </row>
    <row r="174" spans="2:12" x14ac:dyDescent="0.3">
      <c r="B174" s="280"/>
      <c r="C174" s="280"/>
      <c r="D174" s="280"/>
      <c r="E174" s="280"/>
      <c r="F174" s="280"/>
      <c r="G174" s="280"/>
      <c r="H174" s="280"/>
      <c r="I174" s="280"/>
      <c r="J174" s="280"/>
      <c r="K174" s="280"/>
      <c r="L174" s="280"/>
    </row>
    <row r="175" spans="2:12" x14ac:dyDescent="0.3">
      <c r="B175" s="280"/>
      <c r="C175" s="280"/>
      <c r="D175" s="280"/>
      <c r="E175" s="280"/>
      <c r="F175" s="280"/>
      <c r="G175" s="280"/>
      <c r="H175" s="280"/>
      <c r="I175" s="280"/>
      <c r="J175" s="280"/>
      <c r="K175" s="280"/>
      <c r="L175" s="280"/>
    </row>
    <row r="176" spans="2:12" x14ac:dyDescent="0.3">
      <c r="B176" s="280"/>
      <c r="C176" s="280"/>
      <c r="D176" s="280"/>
      <c r="E176" s="280"/>
      <c r="F176" s="280"/>
      <c r="G176" s="280"/>
      <c r="H176" s="280"/>
      <c r="I176" s="280"/>
      <c r="J176" s="280"/>
      <c r="K176" s="280"/>
      <c r="L176" s="280"/>
    </row>
    <row r="177" spans="2:12" x14ac:dyDescent="0.3">
      <c r="B177" s="280"/>
      <c r="C177" s="280"/>
      <c r="D177" s="280"/>
      <c r="E177" s="280"/>
      <c r="F177" s="280"/>
      <c r="G177" s="280"/>
      <c r="H177" s="280"/>
      <c r="I177" s="280"/>
      <c r="J177" s="280"/>
      <c r="K177" s="280"/>
      <c r="L177" s="280"/>
    </row>
    <row r="178" spans="2:12" x14ac:dyDescent="0.3">
      <c r="B178" s="280"/>
      <c r="C178" s="280"/>
      <c r="D178" s="280"/>
      <c r="E178" s="280"/>
      <c r="F178" s="280"/>
      <c r="G178" s="280"/>
      <c r="H178" s="280"/>
      <c r="I178" s="280"/>
      <c r="J178" s="280"/>
      <c r="K178" s="280"/>
      <c r="L178" s="280"/>
    </row>
    <row r="179" spans="2:12" x14ac:dyDescent="0.3">
      <c r="B179" s="280"/>
      <c r="C179" s="280"/>
      <c r="D179" s="280"/>
      <c r="E179" s="280"/>
      <c r="F179" s="280"/>
      <c r="G179" s="280"/>
      <c r="H179" s="280"/>
      <c r="I179" s="280"/>
      <c r="J179" s="280"/>
      <c r="K179" s="280"/>
      <c r="L179" s="280"/>
    </row>
    <row r="180" spans="2:12" x14ac:dyDescent="0.3">
      <c r="B180" s="280"/>
      <c r="C180" s="280"/>
      <c r="D180" s="280"/>
      <c r="E180" s="280"/>
      <c r="F180" s="280"/>
      <c r="G180" s="280"/>
      <c r="H180" s="280"/>
      <c r="I180" s="280"/>
      <c r="J180" s="280"/>
      <c r="K180" s="280"/>
      <c r="L180" s="280"/>
    </row>
    <row r="181" spans="2:12" x14ac:dyDescent="0.3">
      <c r="B181" s="280"/>
      <c r="C181" s="280"/>
      <c r="D181" s="280"/>
      <c r="E181" s="280"/>
      <c r="F181" s="280"/>
      <c r="G181" s="280"/>
      <c r="H181" s="280"/>
      <c r="I181" s="280"/>
      <c r="J181" s="280"/>
      <c r="K181" s="280"/>
      <c r="L181" s="280"/>
    </row>
    <row r="182" spans="2:12" x14ac:dyDescent="0.3">
      <c r="B182" s="280"/>
      <c r="C182" s="280"/>
      <c r="D182" s="280"/>
      <c r="E182" s="280"/>
      <c r="F182" s="280"/>
      <c r="G182" s="280"/>
      <c r="H182" s="280"/>
      <c r="I182" s="280"/>
      <c r="J182" s="280"/>
      <c r="K182" s="280"/>
      <c r="L182" s="280"/>
    </row>
    <row r="183" spans="2:12" x14ac:dyDescent="0.3">
      <c r="B183" s="280"/>
      <c r="C183" s="280"/>
      <c r="D183" s="280"/>
      <c r="E183" s="280"/>
      <c r="F183" s="280"/>
      <c r="G183" s="280"/>
      <c r="H183" s="280"/>
      <c r="I183" s="280"/>
      <c r="J183" s="280"/>
      <c r="K183" s="280"/>
      <c r="L183" s="280"/>
    </row>
    <row r="184" spans="2:12" x14ac:dyDescent="0.3">
      <c r="B184" s="280"/>
      <c r="C184" s="280"/>
      <c r="D184" s="280"/>
      <c r="E184" s="280"/>
      <c r="F184" s="280"/>
      <c r="G184" s="280"/>
      <c r="H184" s="280"/>
      <c r="I184" s="280"/>
      <c r="J184" s="280"/>
      <c r="K184" s="280"/>
      <c r="L184" s="280"/>
    </row>
    <row r="185" spans="2:12" x14ac:dyDescent="0.3">
      <c r="B185" s="280"/>
      <c r="C185" s="280"/>
      <c r="D185" s="280"/>
      <c r="E185" s="280"/>
      <c r="F185" s="280"/>
      <c r="G185" s="280"/>
      <c r="H185" s="280"/>
      <c r="I185" s="280"/>
      <c r="J185" s="280"/>
      <c r="K185" s="280"/>
      <c r="L185" s="280"/>
    </row>
    <row r="186" spans="2:12" x14ac:dyDescent="0.3">
      <c r="B186" s="280"/>
      <c r="C186" s="280"/>
      <c r="D186" s="280"/>
      <c r="E186" s="280"/>
      <c r="F186" s="280"/>
      <c r="G186" s="280"/>
      <c r="H186" s="280"/>
      <c r="I186" s="280"/>
      <c r="J186" s="280"/>
      <c r="K186" s="280"/>
      <c r="L186" s="280"/>
    </row>
    <row r="187" spans="2:12" x14ac:dyDescent="0.3">
      <c r="B187" s="280"/>
      <c r="C187" s="280"/>
      <c r="D187" s="280"/>
      <c r="E187" s="280"/>
      <c r="F187" s="280"/>
      <c r="G187" s="280"/>
      <c r="H187" s="280"/>
      <c r="I187" s="280"/>
      <c r="J187" s="280"/>
      <c r="K187" s="280"/>
      <c r="L187" s="280"/>
    </row>
    <row r="188" spans="2:12" x14ac:dyDescent="0.3">
      <c r="B188" s="280"/>
      <c r="C188" s="280"/>
      <c r="D188" s="280"/>
      <c r="E188" s="280"/>
      <c r="F188" s="280"/>
      <c r="G188" s="280"/>
      <c r="H188" s="280"/>
      <c r="I188" s="280"/>
      <c r="J188" s="280"/>
      <c r="K188" s="280"/>
      <c r="L188" s="280"/>
    </row>
    <row r="189" spans="2:12" x14ac:dyDescent="0.3">
      <c r="B189" s="280"/>
      <c r="C189" s="280"/>
      <c r="D189" s="280"/>
      <c r="E189" s="280"/>
      <c r="F189" s="280"/>
      <c r="G189" s="280"/>
      <c r="H189" s="280"/>
      <c r="I189" s="280"/>
      <c r="J189" s="280"/>
      <c r="K189" s="280"/>
      <c r="L189" s="280"/>
    </row>
    <row r="190" spans="2:12" x14ac:dyDescent="0.3">
      <c r="B190" s="280"/>
      <c r="C190" s="280"/>
      <c r="D190" s="280"/>
      <c r="E190" s="280"/>
      <c r="F190" s="280"/>
      <c r="G190" s="280"/>
      <c r="H190" s="280"/>
      <c r="I190" s="280"/>
      <c r="J190" s="280"/>
      <c r="K190" s="280"/>
      <c r="L190" s="280"/>
    </row>
    <row r="191" spans="2:12" x14ac:dyDescent="0.3">
      <c r="B191" s="280"/>
      <c r="C191" s="280"/>
      <c r="D191" s="280"/>
      <c r="E191" s="280"/>
      <c r="F191" s="280"/>
      <c r="G191" s="280"/>
      <c r="H191" s="280"/>
      <c r="I191" s="280"/>
      <c r="J191" s="280"/>
      <c r="K191" s="280"/>
      <c r="L191" s="280"/>
    </row>
    <row r="192" spans="2:12" x14ac:dyDescent="0.3">
      <c r="B192" s="280"/>
      <c r="C192" s="280"/>
      <c r="D192" s="280"/>
      <c r="E192" s="280"/>
      <c r="F192" s="280"/>
      <c r="G192" s="280"/>
      <c r="H192" s="280"/>
      <c r="I192" s="280"/>
      <c r="J192" s="280"/>
      <c r="K192" s="280"/>
      <c r="L192" s="280"/>
    </row>
    <row r="193" spans="2:12" x14ac:dyDescent="0.3">
      <c r="B193" s="280"/>
      <c r="C193" s="280"/>
      <c r="D193" s="280"/>
      <c r="E193" s="280"/>
      <c r="F193" s="280"/>
      <c r="G193" s="280"/>
      <c r="H193" s="280"/>
      <c r="I193" s="280"/>
      <c r="J193" s="280"/>
      <c r="K193" s="280"/>
      <c r="L193" s="280"/>
    </row>
    <row r="194" spans="2:12" x14ac:dyDescent="0.3">
      <c r="B194" s="280"/>
      <c r="C194" s="280"/>
      <c r="D194" s="280"/>
      <c r="E194" s="280"/>
      <c r="F194" s="280"/>
      <c r="G194" s="280"/>
      <c r="H194" s="280"/>
      <c r="I194" s="280"/>
      <c r="J194" s="280"/>
      <c r="K194" s="280"/>
      <c r="L194" s="280"/>
    </row>
    <row r="195" spans="2:12" x14ac:dyDescent="0.3">
      <c r="B195" s="280"/>
      <c r="C195" s="280"/>
      <c r="D195" s="280"/>
      <c r="E195" s="280"/>
      <c r="F195" s="280"/>
      <c r="G195" s="280"/>
      <c r="H195" s="280"/>
      <c r="I195" s="280"/>
      <c r="J195" s="280"/>
      <c r="K195" s="280"/>
      <c r="L195" s="280"/>
    </row>
    <row r="196" spans="2:12" x14ac:dyDescent="0.3">
      <c r="B196" s="280"/>
      <c r="C196" s="280"/>
      <c r="D196" s="280"/>
      <c r="E196" s="280"/>
      <c r="F196" s="280"/>
      <c r="G196" s="280"/>
      <c r="H196" s="280"/>
      <c r="I196" s="280"/>
      <c r="J196" s="280"/>
      <c r="K196" s="280"/>
      <c r="L196" s="280"/>
    </row>
    <row r="197" spans="2:12" x14ac:dyDescent="0.3">
      <c r="B197" s="280"/>
      <c r="C197" s="280"/>
      <c r="D197" s="280"/>
      <c r="E197" s="280"/>
      <c r="F197" s="280"/>
      <c r="G197" s="280"/>
      <c r="H197" s="280"/>
      <c r="I197" s="280"/>
      <c r="J197" s="280"/>
      <c r="K197" s="280"/>
      <c r="L197" s="280"/>
    </row>
    <row r="198" spans="2:12" x14ac:dyDescent="0.3">
      <c r="B198" s="280"/>
      <c r="C198" s="280"/>
      <c r="D198" s="280"/>
      <c r="E198" s="280"/>
      <c r="F198" s="280"/>
      <c r="G198" s="280"/>
      <c r="H198" s="280"/>
      <c r="I198" s="280"/>
      <c r="J198" s="280"/>
      <c r="K198" s="280"/>
      <c r="L198" s="280"/>
    </row>
    <row r="199" spans="2:12" x14ac:dyDescent="0.3">
      <c r="B199" s="280"/>
      <c r="C199" s="280"/>
      <c r="D199" s="280"/>
      <c r="E199" s="280"/>
      <c r="F199" s="280"/>
      <c r="G199" s="280"/>
      <c r="H199" s="280"/>
      <c r="I199" s="280"/>
      <c r="J199" s="280"/>
      <c r="K199" s="280"/>
      <c r="L199" s="280"/>
    </row>
    <row r="200" spans="2:12" x14ac:dyDescent="0.3">
      <c r="B200" s="280"/>
      <c r="C200" s="280"/>
      <c r="D200" s="280"/>
      <c r="E200" s="280"/>
      <c r="F200" s="280"/>
      <c r="G200" s="280"/>
      <c r="H200" s="280"/>
      <c r="I200" s="280"/>
      <c r="J200" s="280"/>
      <c r="K200" s="280"/>
      <c r="L200" s="280"/>
    </row>
    <row r="201" spans="2:12" x14ac:dyDescent="0.3">
      <c r="B201" s="280"/>
      <c r="C201" s="280"/>
      <c r="D201" s="280"/>
      <c r="E201" s="280"/>
      <c r="F201" s="280"/>
      <c r="G201" s="280"/>
      <c r="H201" s="280"/>
      <c r="I201" s="280"/>
      <c r="J201" s="280"/>
      <c r="K201" s="280"/>
      <c r="L201" s="280"/>
    </row>
  </sheetData>
  <mergeCells count="15">
    <mergeCell ref="B2:O2"/>
    <mergeCell ref="M5:O5"/>
    <mergeCell ref="G5:H5"/>
    <mergeCell ref="J8:K8"/>
    <mergeCell ref="M12:O12"/>
    <mergeCell ref="B8:C8"/>
    <mergeCell ref="E8:F8"/>
    <mergeCell ref="B9:L9"/>
    <mergeCell ref="B3:G3"/>
    <mergeCell ref="B6:C6"/>
    <mergeCell ref="E6:F6"/>
    <mergeCell ref="H3:O3"/>
    <mergeCell ref="G7:H7"/>
    <mergeCell ref="J6:K6"/>
    <mergeCell ref="J5:K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12"/>
  <sheetViews>
    <sheetView tabSelected="1" zoomScaleNormal="100" workbookViewId="0">
      <selection activeCell="C30" sqref="C30"/>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81.5703125" style="3" customWidth="1"/>
    <col min="11" max="11" width="18" customWidth="1"/>
    <col min="12" max="12" width="12" customWidth="1"/>
    <col min="13" max="13" width="24" customWidth="1"/>
  </cols>
  <sheetData>
    <row r="1" spans="1:19" ht="30" customHeight="1" x14ac:dyDescent="0.25">
      <c r="A1" s="6" t="s">
        <v>0</v>
      </c>
      <c r="B1" s="7"/>
      <c r="C1" s="7"/>
      <c r="D1" s="7"/>
      <c r="E1" s="8"/>
      <c r="F1" s="8"/>
      <c r="G1" s="9" t="s">
        <v>1</v>
      </c>
      <c r="H1" s="193">
        <f ca="1">TODAY()</f>
        <v>46277</v>
      </c>
      <c r="I1" s="10"/>
      <c r="J1" s="187"/>
      <c r="K1" s="11"/>
      <c r="L1" s="11"/>
      <c r="M1" s="11"/>
      <c r="N1" s="11"/>
      <c r="O1" s="11"/>
      <c r="P1" s="11"/>
      <c r="Q1" s="11"/>
      <c r="R1" s="11"/>
      <c r="S1" s="2"/>
    </row>
    <row r="2" spans="1:19" ht="21" customHeight="1" x14ac:dyDescent="0.25">
      <c r="A2" s="12" t="s">
        <v>2</v>
      </c>
      <c r="B2" s="12" t="s">
        <v>3</v>
      </c>
      <c r="C2" s="13" t="s">
        <v>4</v>
      </c>
      <c r="D2" s="13" t="s">
        <v>5</v>
      </c>
      <c r="E2" s="14" t="s">
        <v>6</v>
      </c>
      <c r="F2" s="14" t="s">
        <v>7</v>
      </c>
      <c r="G2" s="15" t="s">
        <v>8</v>
      </c>
      <c r="H2" s="12" t="s">
        <v>9</v>
      </c>
      <c r="I2" s="12" t="s">
        <v>10</v>
      </c>
      <c r="J2" s="187"/>
      <c r="K2" s="11"/>
      <c r="L2" s="11"/>
      <c r="M2" s="11"/>
      <c r="N2" s="11"/>
      <c r="O2" s="11"/>
      <c r="P2" s="11"/>
      <c r="Q2" s="11"/>
      <c r="R2" s="11"/>
      <c r="S2" s="2"/>
    </row>
    <row r="3" spans="1:19" ht="24" customHeight="1" x14ac:dyDescent="0.25">
      <c r="A3" s="198">
        <v>20.5</v>
      </c>
      <c r="B3" s="199" t="s">
        <v>11</v>
      </c>
      <c r="C3" s="200" t="s">
        <v>12</v>
      </c>
      <c r="D3" s="198">
        <v>6077</v>
      </c>
      <c r="E3" s="219" t="s">
        <v>13</v>
      </c>
      <c r="F3" s="201">
        <v>15000</v>
      </c>
      <c r="G3" s="201">
        <f>INDEX(Tubex_Dashboard!$H$11:$H$100,MATCH(MRP!D3,Tubex_Dashboard!$F$11:$F$100,0))</f>
        <v>0</v>
      </c>
      <c r="H3" s="202">
        <f t="shared" ref="H3:H8" si="0">F3-G3</f>
        <v>15000</v>
      </c>
      <c r="I3" s="202"/>
    </row>
    <row r="4" spans="1:19" ht="24" customHeight="1" x14ac:dyDescent="0.25">
      <c r="A4" s="198">
        <v>25</v>
      </c>
      <c r="B4" s="199" t="s">
        <v>14</v>
      </c>
      <c r="C4" s="200" t="s">
        <v>15</v>
      </c>
      <c r="D4" s="198">
        <v>6470</v>
      </c>
      <c r="E4" s="201">
        <v>6903</v>
      </c>
      <c r="F4" s="201">
        <v>40000</v>
      </c>
      <c r="G4" s="201">
        <f>INDEX(Tubex_Dashboard!$H$11:$H$100,MATCH(MRP!D4,Tubex_Dashboard!$F$11:$F$100,0))</f>
        <v>41664</v>
      </c>
      <c r="H4" s="202">
        <f t="shared" si="0"/>
        <v>-1664</v>
      </c>
      <c r="I4" s="202"/>
    </row>
    <row r="5" spans="1:19" ht="24" customHeight="1" x14ac:dyDescent="0.25">
      <c r="A5" s="198">
        <v>25</v>
      </c>
      <c r="B5" s="199" t="s">
        <v>11</v>
      </c>
      <c r="C5" s="200" t="s">
        <v>16</v>
      </c>
      <c r="D5" s="198">
        <v>6228</v>
      </c>
      <c r="E5" s="219" t="s">
        <v>13</v>
      </c>
      <c r="F5" s="201">
        <v>20000</v>
      </c>
      <c r="G5" s="201">
        <f>INDEX(Tubex_Dashboard!$H$11:$H$100,MATCH(MRP!D5,Tubex_Dashboard!$F$11:$F$100,0))</f>
        <v>2352</v>
      </c>
      <c r="H5" s="202">
        <f t="shared" si="0"/>
        <v>17648</v>
      </c>
      <c r="I5" s="202"/>
    </row>
    <row r="6" spans="1:19" ht="24" customHeight="1" x14ac:dyDescent="0.25">
      <c r="A6" s="198">
        <v>30</v>
      </c>
      <c r="B6" s="199" t="s">
        <v>11</v>
      </c>
      <c r="C6" s="200" t="s">
        <v>17</v>
      </c>
      <c r="D6" s="198">
        <v>5814</v>
      </c>
      <c r="E6" s="201" t="s">
        <v>18</v>
      </c>
      <c r="F6" s="201">
        <f>17612+50000</f>
        <v>67612</v>
      </c>
      <c r="G6" s="201">
        <f>INDEX(Tubex_Dashboard!$H$11:$H$100,MATCH(MRP!D6,Tubex_Dashboard!$F$11:$F$100,0))</f>
        <v>17612</v>
      </c>
      <c r="H6" s="202">
        <f t="shared" si="0"/>
        <v>50000</v>
      </c>
      <c r="I6" s="202"/>
    </row>
    <row r="7" spans="1:19" ht="24" customHeight="1" x14ac:dyDescent="0.25">
      <c r="A7" s="198">
        <v>30</v>
      </c>
      <c r="B7" s="199" t="s">
        <v>19</v>
      </c>
      <c r="C7" s="200" t="s">
        <v>20</v>
      </c>
      <c r="D7" s="198">
        <v>6206</v>
      </c>
      <c r="E7" s="201">
        <v>6902</v>
      </c>
      <c r="F7" s="201">
        <v>700000</v>
      </c>
      <c r="G7" s="201">
        <f>INDEX(Tubex_Dashboard!$H$11:$H$100,MATCH(MRP!D7,Tubex_Dashboard!$F$11:$F$100,0))</f>
        <v>39984</v>
      </c>
      <c r="H7" s="202">
        <f t="shared" si="0"/>
        <v>660016</v>
      </c>
      <c r="I7" s="202"/>
    </row>
    <row r="8" spans="1:19" ht="24" customHeight="1" x14ac:dyDescent="0.25">
      <c r="A8" s="198">
        <v>32</v>
      </c>
      <c r="B8" s="199" t="s">
        <v>21</v>
      </c>
      <c r="C8" s="200" t="s">
        <v>22</v>
      </c>
      <c r="D8" s="198">
        <v>6515</v>
      </c>
      <c r="E8" s="201">
        <v>6904</v>
      </c>
      <c r="F8" s="201">
        <v>200000</v>
      </c>
      <c r="G8" s="201">
        <f>INDEX(Tubex_Dashboard!$H$11:$H$100,MATCH(MRP!D8,Tubex_Dashboard!$F$11:$F$100,0))</f>
        <v>0</v>
      </c>
      <c r="H8" s="202">
        <f t="shared" si="0"/>
        <v>200000</v>
      </c>
      <c r="I8" s="202"/>
    </row>
    <row r="9" spans="1:19" x14ac:dyDescent="0.25">
      <c r="A9" s="12"/>
      <c r="B9" s="12"/>
      <c r="C9" s="13"/>
      <c r="D9" s="13"/>
      <c r="E9" s="14" t="s">
        <v>23</v>
      </c>
      <c r="F9" s="105">
        <f>SUM(F3:F8)</f>
        <v>1042612</v>
      </c>
      <c r="G9" s="105">
        <f>SUM(G3:G8)</f>
        <v>101612</v>
      </c>
      <c r="H9" s="105">
        <f>SUMIF(H3:H8, "&gt;0")</f>
        <v>942664</v>
      </c>
      <c r="I9" s="12"/>
      <c r="J9" s="187"/>
      <c r="K9" s="11"/>
      <c r="L9" s="11"/>
      <c r="M9" s="11"/>
      <c r="N9" s="11"/>
      <c r="O9" s="11"/>
      <c r="P9" s="11"/>
      <c r="Q9" s="11"/>
      <c r="R9" s="2"/>
    </row>
    <row r="10" spans="1:19" ht="16.5" customHeight="1" x14ac:dyDescent="0.25">
      <c r="A10" s="18" t="s">
        <v>24</v>
      </c>
      <c r="B10" s="19"/>
      <c r="C10" s="19"/>
      <c r="D10" s="19"/>
      <c r="E10" s="20"/>
      <c r="F10" s="20"/>
      <c r="G10" s="21"/>
      <c r="H10" s="20"/>
      <c r="I10" s="19"/>
      <c r="J10" s="187"/>
      <c r="K10" s="11"/>
      <c r="L10" s="11"/>
      <c r="M10" s="11"/>
      <c r="N10" s="11"/>
      <c r="O10" s="11"/>
      <c r="P10" s="11"/>
      <c r="Q10" s="11"/>
      <c r="R10" s="11"/>
      <c r="S10" s="2"/>
    </row>
    <row r="11" spans="1:19" ht="36" customHeight="1" x14ac:dyDescent="0.25">
      <c r="A11" s="12" t="s">
        <v>25</v>
      </c>
      <c r="B11" s="12" t="s">
        <v>26</v>
      </c>
      <c r="C11" s="12" t="s">
        <v>27</v>
      </c>
      <c r="D11" s="12" t="s">
        <v>28</v>
      </c>
      <c r="E11" s="14" t="s">
        <v>7</v>
      </c>
      <c r="F11" s="14" t="s">
        <v>29</v>
      </c>
      <c r="G11" s="15" t="s">
        <v>30</v>
      </c>
      <c r="H11" s="146" t="s">
        <v>31</v>
      </c>
      <c r="I11" s="12" t="s">
        <v>32</v>
      </c>
      <c r="J11" s="157" t="s">
        <v>33</v>
      </c>
      <c r="L11" s="11"/>
      <c r="M11" s="11"/>
      <c r="N11" s="11"/>
      <c r="O11" s="11"/>
      <c r="P11" s="11"/>
      <c r="Q11" s="11"/>
      <c r="R11" s="11"/>
      <c r="S11" s="2"/>
    </row>
    <row r="12" spans="1:19" hidden="1" x14ac:dyDescent="0.25">
      <c r="A12" s="16">
        <v>33</v>
      </c>
      <c r="B12" s="147" t="s">
        <v>34</v>
      </c>
      <c r="C12" s="147" t="s">
        <v>35</v>
      </c>
      <c r="D12" s="147" t="s">
        <v>36</v>
      </c>
      <c r="E12" s="148">
        <f>SUMPRODUCT((TableBOM[Item ID]=A12)*TableBOM[Per 1000 Units]*(1+TableBOM[Scrap %])*SUMIF($D$3:$D$8,TableBOM[Product ID],$H$3:$H$8)/1000)</f>
        <v>0</v>
      </c>
      <c r="F12" s="148">
        <f>IFERROR(INDEX(TableInventory[Store Balance],MATCH(A12,TableInventory[Item ID],0)),0)+IFERROR(INDEX(TableInventory[WIP],MATCH(A12,TableInventory[Item ID],0)),0)</f>
        <v>0</v>
      </c>
      <c r="G12" s="148">
        <f t="shared" ref="G12:G43" si="1">F12-E12</f>
        <v>0</v>
      </c>
      <c r="H12" s="155" t="str">
        <f>IFERROR(IF(SUMPRODUCT((TableBOM[Item ID]=A12)*((SUMIF($D$3:$D$8,TableBOM[Product ID],$H$3:$H$8))&gt;0)*(SUMIF($D$3:$D$8,TableBOM[Product ID],$H$3:$H$8))*TableBOM[Per 1000 Units]*(1+TableBOM[Scrap %]))=0,"-",ROUND(F12*1000*SUMPRODUCT((TableBOM[Item ID]=A12)*((SUMIF($D$3:$D$8,TableBOM[Product ID],$H$3:$H$8))&gt;0)*(SUMIF($D$3:$D$8,TableBOM[Product ID],$H$3:$H$8)))/SUMPRODUCT((TableBOM[Item ID]=A12)*((SUMIF($D$3:$D$8,TableBOM[Product ID],$H$3:$H$8))&gt;0)*(SUMIF($D$3:$D$8,TableBOM[Product ID],$H$3:$H$8))*TableBOM[Per 1000 Units]*(1+TableBOM[Scrap %])),0)),"-")</f>
        <v>-</v>
      </c>
      <c r="I12" s="150" t="str">
        <f t="shared" ref="I12:I43" si="2">IF(E12=0,"Not needed",IF(G12&lt;0,"SHORTAGE",IF(G12&lt;E12*0.1,"LOW","OK")))</f>
        <v>Not needed</v>
      </c>
      <c r="J12" s="155" t="str">
        <f>IF(LEN(IF((COUNTIFS(TableBOM[Product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",""))&gt;1,LEFT(IF((COUNTIFS(TableBOM[Product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",""))-2),"")</f>
        <v/>
      </c>
      <c r="L12" s="11"/>
      <c r="M12" s="11"/>
      <c r="N12" s="11"/>
      <c r="O12" s="11"/>
      <c r="P12" s="11"/>
      <c r="Q12" s="11"/>
      <c r="R12" s="11"/>
      <c r="S12" s="2"/>
    </row>
    <row r="13" spans="1:19" hidden="1" x14ac:dyDescent="0.25">
      <c r="A13" s="16">
        <v>31</v>
      </c>
      <c r="B13" s="147" t="s">
        <v>34</v>
      </c>
      <c r="C13" s="147" t="s">
        <v>37</v>
      </c>
      <c r="D13" s="147" t="s">
        <v>36</v>
      </c>
      <c r="E13" s="148">
        <f>SUMPRODUCT((TableBOM[Item ID]=A13)*TableBOM[Per 1000 Units]*(1+TableBOM[Scrap %])*SUMIF($D$3:$D$8,TableBOM[Product ID],$H$3:$H$8)/1000)</f>
        <v>0</v>
      </c>
      <c r="F13" s="148">
        <f>IFERROR(INDEX(TableInventory[Store Balance],MATCH(A13,TableInventory[Item ID],0)),0)+IFERROR(INDEX(TableInventory[WIP],MATCH(A13,TableInventory[Item ID],0)),0)</f>
        <v>71.5</v>
      </c>
      <c r="G13" s="148">
        <f t="shared" si="1"/>
        <v>71.5</v>
      </c>
      <c r="H13" s="155" t="str">
        <f>IFERROR(IF(SUMPRODUCT((TableBOM[Item ID]=A13)*((SUMIF($D$3:$D$8,TableBOM[Product ID],$H$3:$H$8))&gt;0)*(SUMIF($D$3:$D$8,TableBOM[Product ID],$H$3:$H$8))*TableBOM[Per 1000 Units]*(1+TableBOM[Scrap %]))=0,"-",ROUND(F13*1000*SUMPRODUCT((TableBOM[Item ID]=A13)*((SUMIF($D$3:$D$8,TableBOM[Product ID],$H$3:$H$8))&gt;0)*(SUMIF($D$3:$D$8,TableBOM[Product ID],$H$3:$H$8)))/SUMPRODUCT((TableBOM[Item ID]=A13)*((SUMIF($D$3:$D$8,TableBOM[Product ID],$H$3:$H$8))&gt;0)*(SUMIF($D$3:$D$8,TableBOM[Product ID],$H$3:$H$8))*TableBOM[Per 1000 Units]*(1+TableBOM[Scrap %])),0)),"-")</f>
        <v>-</v>
      </c>
      <c r="I13" s="150" t="str">
        <f t="shared" si="2"/>
        <v>Not needed</v>
      </c>
      <c r="J13" s="155" t="str">
        <f>IF(LEN(IF((COUNTIFS(TableBOM[Product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",""))&gt;1,LEFT(IF((COUNTIFS(TableBOM[Product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",""))-2),"")</f>
        <v/>
      </c>
      <c r="L13" s="11"/>
      <c r="M13" s="11"/>
      <c r="N13" s="11"/>
      <c r="O13" s="11"/>
      <c r="P13" s="11"/>
      <c r="Q13" s="11"/>
      <c r="R13" s="11"/>
      <c r="S13" s="2"/>
    </row>
    <row r="14" spans="1:19" hidden="1" x14ac:dyDescent="0.25">
      <c r="A14" s="16">
        <v>2799</v>
      </c>
      <c r="B14" s="147" t="s">
        <v>34</v>
      </c>
      <c r="C14" s="147" t="s">
        <v>38</v>
      </c>
      <c r="D14" s="147" t="s">
        <v>36</v>
      </c>
      <c r="E14" s="148">
        <f>SUMPRODUCT((TableBOM[Item ID]=A14)*TableBOM[Per 1000 Units]*(1+TableBOM[Scrap %])*SUMIF($D$3:$D$8,TableBOM[Product ID],$H$3:$H$8)/1000)</f>
        <v>0</v>
      </c>
      <c r="F14" s="148">
        <f>IFERROR(INDEX(TableInventory[Store Balance],MATCH(A14,TableInventory[Item ID],0)),0)+IFERROR(INDEX(TableInventory[WIP],MATCH(A14,TableInventory[Item ID],0)),0)</f>
        <v>88</v>
      </c>
      <c r="G14" s="148">
        <f t="shared" si="1"/>
        <v>88</v>
      </c>
      <c r="H14" s="155" t="str">
        <f>IFERROR(IF(SUMPRODUCT((TableBOM[Item ID]=A14)*((SUMIF($D$3:$D$8,TableBOM[Product ID],$H$3:$H$8))&gt;0)*(SUMIF($D$3:$D$8,TableBOM[Product ID],$H$3:$H$8))*TableBOM[Per 1000 Units]*(1+TableBOM[Scrap %]))=0,"-",ROUND(F14*1000*SUMPRODUCT((TableBOM[Item ID]=A14)*((SUMIF($D$3:$D$8,TableBOM[Product ID],$H$3:$H$8))&gt;0)*(SUMIF($D$3:$D$8,TableBOM[Product ID],$H$3:$H$8)))/SUMPRODUCT((TableBOM[Item ID]=A14)*((SUMIF($D$3:$D$8,TableBOM[Product ID],$H$3:$H$8))&gt;0)*(SUMIF($D$3:$D$8,TableBOM[Product ID],$H$3:$H$8))*TableBOM[Per 1000 Units]*(1+TableBOM[Scrap %])),0)),"-")</f>
        <v>-</v>
      </c>
      <c r="I14" s="150" t="str">
        <f t="shared" si="2"/>
        <v>Not needed</v>
      </c>
      <c r="J14" s="155" t="str">
        <f>IF(LEN(IF((COUNTIFS(TableBOM[Product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",""))&gt;1,LEFT(IF((COUNTIFS(TableBOM[Product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",""))-2),"")</f>
        <v/>
      </c>
      <c r="L14" s="11"/>
      <c r="M14" s="11"/>
      <c r="N14" s="11"/>
      <c r="O14" s="11"/>
      <c r="P14" s="11"/>
      <c r="Q14" s="11"/>
      <c r="R14" s="11"/>
      <c r="S14" s="2"/>
    </row>
    <row r="15" spans="1:19" hidden="1" x14ac:dyDescent="0.25">
      <c r="A15" s="16">
        <v>25</v>
      </c>
      <c r="B15" s="147" t="s">
        <v>34</v>
      </c>
      <c r="C15" s="147" t="s">
        <v>39</v>
      </c>
      <c r="D15" s="147" t="s">
        <v>36</v>
      </c>
      <c r="E15" s="149">
        <f>SUMPRODUCT((TableBOM[Item ID]=A15)*TableBOM[Per 1000 Units]*(1+TableBOM[Scrap %])*SUMIF($D$3:$D$8,TableBOM[Product ID],$H$3:$H$8)/1000)</f>
        <v>0</v>
      </c>
      <c r="F15" s="149">
        <f>IFERROR(INDEX(TableInventory[Store Balance],MATCH(A15,TableInventory[Item ID],0)),0)+IFERROR(INDEX(TableInventory[WIP],MATCH(A15,TableInventory[Item ID],0)),0)</f>
        <v>0</v>
      </c>
      <c r="G15" s="153">
        <f t="shared" si="1"/>
        <v>0</v>
      </c>
      <c r="H15" s="155" t="str">
        <f>IFERROR(IF(SUMPRODUCT((TableBOM[Item ID]=A15)*((SUMIF($D$3:$D$8,TableBOM[Product ID],$H$3:$H$8))&gt;0)*(SUMIF($D$3:$D$8,TableBOM[Product ID],$H$3:$H$8))*TableBOM[Per 1000 Units]*(1+TableBOM[Scrap %]))=0,"-",ROUND(F15*1000*SUMPRODUCT((TableBOM[Item ID]=A15)*((SUMIF($D$3:$D$8,TableBOM[Product ID],$H$3:$H$8))&gt;0)*(SUMIF($D$3:$D$8,TableBOM[Product ID],$H$3:$H$8)))/SUMPRODUCT((TableBOM[Item ID]=A15)*((SUMIF($D$3:$D$8,TableBOM[Product ID],$H$3:$H$8))&gt;0)*(SUMIF($D$3:$D$8,TableBOM[Product ID],$H$3:$H$8))*TableBOM[Per 1000 Units]*(1+TableBOM[Scrap %])),0)),"-")</f>
        <v>-</v>
      </c>
      <c r="I15" s="150" t="str">
        <f t="shared" si="2"/>
        <v>Not needed</v>
      </c>
      <c r="J15" s="155" t="str">
        <f>IF(LEN(IF((COUNTIFS(TableBOM[Product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",""))&gt;1,LEFT(IF((COUNTIFS(TableBOM[Product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",""))-2),"")</f>
        <v/>
      </c>
      <c r="L15" s="11"/>
      <c r="M15" s="11"/>
      <c r="N15" s="11"/>
      <c r="O15" s="11"/>
      <c r="P15" s="11"/>
      <c r="Q15" s="11"/>
      <c r="R15" s="11"/>
      <c r="S15" s="2"/>
    </row>
    <row r="16" spans="1:19" hidden="1" x14ac:dyDescent="0.25">
      <c r="A16" s="16">
        <v>22</v>
      </c>
      <c r="B16" s="147" t="s">
        <v>34</v>
      </c>
      <c r="C16" s="147" t="s">
        <v>40</v>
      </c>
      <c r="D16" s="147" t="s">
        <v>36</v>
      </c>
      <c r="E16" s="149">
        <f>SUMPRODUCT((TableBOM[Item ID]=A16)*TableBOM[Per 1000 Units]*(1+TableBOM[Scrap %])*SUMIF($D$3:$D$8,TableBOM[Product ID],$H$3:$H$8)/1000)</f>
        <v>0</v>
      </c>
      <c r="F16" s="149">
        <f>IFERROR(INDEX(TableInventory[Store Balance],MATCH(A16,TableInventory[Item ID],0)),0)+IFERROR(INDEX(TableInventory[WIP],MATCH(A16,TableInventory[Item ID],0)),0)</f>
        <v>0</v>
      </c>
      <c r="G16" s="153">
        <f t="shared" si="1"/>
        <v>0</v>
      </c>
      <c r="H16" s="155" t="str">
        <f>IFERROR(IF(SUMPRODUCT((TableBOM[Item ID]=A16)*((SUMIF($D$3:$D$8,TableBOM[Product ID],$H$3:$H$8))&gt;0)*(SUMIF($D$3:$D$8,TableBOM[Product ID],$H$3:$H$8))*TableBOM[Per 1000 Units]*(1+TableBOM[Scrap %]))=0,"-",ROUND(F16*1000*SUMPRODUCT((TableBOM[Item ID]=A16)*((SUMIF($D$3:$D$8,TableBOM[Product ID],$H$3:$H$8))&gt;0)*(SUMIF($D$3:$D$8,TableBOM[Product ID],$H$3:$H$8)))/SUMPRODUCT((TableBOM[Item ID]=A16)*((SUMIF($D$3:$D$8,TableBOM[Product ID],$H$3:$H$8))&gt;0)*(SUMIF($D$3:$D$8,TableBOM[Product ID],$H$3:$H$8))*TableBOM[Per 1000 Units]*(1+TableBOM[Scrap %])),0)),"-")</f>
        <v>-</v>
      </c>
      <c r="I16" s="150" t="str">
        <f t="shared" si="2"/>
        <v>Not needed</v>
      </c>
      <c r="J16" s="155" t="str">
        <f>IF(LEN(IF((COUNTIFS(TableBOM[Product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",""))&gt;1,LEFT(IF((COUNTIFS(TableBOM[Product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",""))-2),"")</f>
        <v/>
      </c>
    </row>
    <row r="17" spans="1:19" hidden="1" x14ac:dyDescent="0.25">
      <c r="A17" s="16">
        <v>19</v>
      </c>
      <c r="B17" s="147" t="s">
        <v>34</v>
      </c>
      <c r="C17" s="147" t="s">
        <v>41</v>
      </c>
      <c r="D17" s="147" t="s">
        <v>36</v>
      </c>
      <c r="E17" s="148">
        <f>SUMPRODUCT((TableBOM[Item ID]=A17)*TableBOM[Per 1000 Units]*(1+TableBOM[Scrap %])*SUMIF($D$3:$D$8,TableBOM[Product ID],$H$3:$H$8)/1000)</f>
        <v>0</v>
      </c>
      <c r="F17" s="148">
        <f>IFERROR(INDEX(TableInventory[Store Balance],MATCH(A17,TableInventory[Item ID],0)),0)+IFERROR(INDEX(TableInventory[WIP],MATCH(A17,TableInventory[Item ID],0)),0)</f>
        <v>425</v>
      </c>
      <c r="G17" s="148">
        <f t="shared" si="1"/>
        <v>425</v>
      </c>
      <c r="H17" s="155" t="str">
        <f>IFERROR(IF(SUMPRODUCT((TableBOM[Item ID]=A17)*((SUMIF($D$3:$D$8,TableBOM[Product ID],$H$3:$H$8))&gt;0)*(SUMIF($D$3:$D$8,TableBOM[Product ID],$H$3:$H$8))*TableBOM[Per 1000 Units]*(1+TableBOM[Scrap %]))=0,"-",ROUND(F17*1000*SUMPRODUCT((TableBOM[Item ID]=A17)*((SUMIF($D$3:$D$8,TableBOM[Product ID],$H$3:$H$8))&gt;0)*(SUMIF($D$3:$D$8,TableBOM[Product ID],$H$3:$H$8)))/SUMPRODUCT((TableBOM[Item ID]=A17)*((SUMIF($D$3:$D$8,TableBOM[Product ID],$H$3:$H$8))&gt;0)*(SUMIF($D$3:$D$8,TableBOM[Product ID],$H$3:$H$8))*TableBOM[Per 1000 Units]*(1+TableBOM[Scrap %])),0)),"-")</f>
        <v>-</v>
      </c>
      <c r="I17" s="150" t="str">
        <f t="shared" si="2"/>
        <v>Not needed</v>
      </c>
      <c r="J17" s="155" t="str">
        <f>IF(LEN(IF((COUNTIFS(TableBOM[Product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",""))&gt;1,LEFT(IF((COUNTIFS(TableBOM[Product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",""))-2),"")</f>
        <v/>
      </c>
    </row>
    <row r="18" spans="1:19" x14ac:dyDescent="0.25">
      <c r="A18" s="16">
        <v>4179</v>
      </c>
      <c r="B18" s="147" t="s">
        <v>34</v>
      </c>
      <c r="C18" s="147" t="s">
        <v>42</v>
      </c>
      <c r="D18" s="147" t="s">
        <v>36</v>
      </c>
      <c r="E18" s="148">
        <f>SUMPRODUCT((TableBOM[Item ID]=A18)*TableBOM[Per 1000 Units]*(1+TableBOM[Scrap %])*SUMIF($D$3:$D$8,TableBOM[Product ID],$H$3:$H$8)/1000)</f>
        <v>64.960499999999996</v>
      </c>
      <c r="F18" s="148">
        <f>IFERROR(INDEX(TableInventory[Store Balance],MATCH(A18,TableInventory[Item ID],0)),0)+IFERROR(INDEX(TableInventory[WIP],MATCH(A18,TableInventory[Item ID],0)),0)</f>
        <v>132</v>
      </c>
      <c r="G18" s="148">
        <f t="shared" si="1"/>
        <v>67.039500000000004</v>
      </c>
      <c r="H18" s="155">
        <f>IFERROR(IF(SUMPRODUCT((TableBOM[Item ID]=A18)*((SUMIF($D$3:$D$8,TableBOM[Product ID],$H$3:$H$8))&gt;0)*(SUMIF($D$3:$D$8,TableBOM[Product ID],$H$3:$H$8))*TableBOM[Per 1000 Units]*(1+TableBOM[Scrap %]))=0,"-",ROUND(F18*1000*SUMPRODUCT((TableBOM[Item ID]=A18)*((SUMIF($D$3:$D$8,TableBOM[Product ID],$H$3:$H$8))&gt;0)*(SUMIF($D$3:$D$8,TableBOM[Product ID],$H$3:$H$8)))/SUMPRODUCT((TableBOM[Item ID]=A18)*((SUMIF($D$3:$D$8,TableBOM[Product ID],$H$3:$H$8))&gt;0)*(SUMIF($D$3:$D$8,TableBOM[Product ID],$H$3:$H$8))*TableBOM[Per 1000 Units]*(1+TableBOM[Scrap %])),0)),"-")</f>
        <v>30480</v>
      </c>
      <c r="I18" s="150" t="str">
        <f t="shared" si="2"/>
        <v>OK</v>
      </c>
      <c r="J18" s="156" t="str">
        <f>IF(LEN(IF((COUNTIFS(TableBOM[Product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",""))&gt;1,LEFT(IF((COUNTIFS(TableBOM[Product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",""))-2),"")</f>
        <v>VINCE HIS ONLY BEARD &amp; MUSTACHE COLOR CREAM</v>
      </c>
    </row>
    <row r="19" spans="1:19" x14ac:dyDescent="0.25">
      <c r="A19" s="16">
        <v>6</v>
      </c>
      <c r="B19" s="147" t="s">
        <v>34</v>
      </c>
      <c r="C19" s="147" t="s">
        <v>43</v>
      </c>
      <c r="D19" s="147" t="s">
        <v>36</v>
      </c>
      <c r="E19" s="148">
        <f>SUMPRODUCT((TableBOM[Item ID]=A19)*TableBOM[Per 1000 Units]*(1+TableBOM[Scrap %])*SUMIF($D$3:$D$8,TableBOM[Product ID],$H$3:$H$8)/1000)</f>
        <v>105.06393919999999</v>
      </c>
      <c r="F19" s="148">
        <f>IFERROR(INDEX(TableInventory[Store Balance],MATCH(A19,TableInventory[Item ID],0)),0)+IFERROR(INDEX(TableInventory[WIP],MATCH(A19,TableInventory[Item ID],0)),0)</f>
        <v>258</v>
      </c>
      <c r="G19" s="148">
        <f t="shared" si="1"/>
        <v>152.93606080000001</v>
      </c>
      <c r="H19" s="155">
        <f>IFERROR(IF(SUMPRODUCT((TableBOM[Item ID]=A19)*((SUMIF($D$3:$D$8,TableBOM[Product ID],$H$3:$H$8))&gt;0)*(SUMIF($D$3:$D$8,TableBOM[Product ID],$H$3:$H$8))*TableBOM[Per 1000 Units]*(1+TableBOM[Scrap %]))=0,"-",ROUND(F19*1000*SUMPRODUCT((TableBOM[Item ID]=A19)*((SUMIF($D$3:$D$8,TableBOM[Product ID],$H$3:$H$8))&gt;0)*(SUMIF($D$3:$D$8,TableBOM[Product ID],$H$3:$H$8)))/SUMPRODUCT((TableBOM[Item ID]=A19)*((SUMIF($D$3:$D$8,TableBOM[Product ID],$H$3:$H$8))&gt;0)*(SUMIF($D$3:$D$8,TableBOM[Product ID],$H$3:$H$8))*TableBOM[Per 1000 Units]*(1+TableBOM[Scrap %])),0)),"-")</f>
        <v>39287</v>
      </c>
      <c r="I19" s="150" t="str">
        <f t="shared" si="2"/>
        <v>OK</v>
      </c>
      <c r="J19" s="156" t="str">
        <f>IF(LEN(IF((COUNTIFS(TableBOM[Product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",""))&gt;1,LEFT(IF((COUNTIFS(TableBOM[Product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",""))-2),"")</f>
        <v>HIS ONLY HAIR COLOR CREAM 40GM</v>
      </c>
    </row>
    <row r="20" spans="1:19" hidden="1" x14ac:dyDescent="0.25">
      <c r="A20" s="16">
        <v>10</v>
      </c>
      <c r="B20" s="147" t="s">
        <v>34</v>
      </c>
      <c r="C20" s="147" t="s">
        <v>44</v>
      </c>
      <c r="D20" s="147" t="s">
        <v>36</v>
      </c>
      <c r="E20" s="148">
        <f>SUMPRODUCT((TableBOM[Item ID]=A20)*TableBOM[Per 1000 Units]*(1+TableBOM[Scrap %])*SUMIF($D$3:$D$8,TableBOM[Product ID],$H$3:$H$8)/1000)</f>
        <v>0</v>
      </c>
      <c r="F20" s="148">
        <f>IFERROR(INDEX(TableInventory[Store Balance],MATCH(A20,TableInventory[Item ID],0)),0)+IFERROR(INDEX(TableInventory[WIP],MATCH(A20,TableInventory[Item ID],0)),0)</f>
        <v>0</v>
      </c>
      <c r="G20" s="148">
        <f t="shared" si="1"/>
        <v>0</v>
      </c>
      <c r="H20" s="155" t="str">
        <f>IFERROR(IF(SUMPRODUCT((TableBOM[Item ID]=A20)*((SUMIF($D$3:$D$8,TableBOM[Product ID],$H$3:$H$8))&gt;0)*(SUMIF($D$3:$D$8,TableBOM[Product ID],$H$3:$H$8))*TableBOM[Per 1000 Units]*(1+TableBOM[Scrap %]))=0,"-",ROUND(F20*1000*SUMPRODUCT((TableBOM[Item ID]=A20)*((SUMIF($D$3:$D$8,TableBOM[Product ID],$H$3:$H$8))&gt;0)*(SUMIF($D$3:$D$8,TableBOM[Product ID],$H$3:$H$8)))/SUMPRODUCT((TableBOM[Item ID]=A20)*((SUMIF($D$3:$D$8,TableBOM[Product ID],$H$3:$H$8))&gt;0)*(SUMIF($D$3:$D$8,TableBOM[Product ID],$H$3:$H$8))*TableBOM[Per 1000 Units]*(1+TableBOM[Scrap %])),0)),"-")</f>
        <v>-</v>
      </c>
      <c r="I20" s="150" t="str">
        <f t="shared" si="2"/>
        <v>Not needed</v>
      </c>
      <c r="J20" s="155" t="str">
        <f>IF(LEN(IF((COUNTIFS(TableBOM[Product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",""))&gt;1,LEFT(IF((COUNTIFS(TableBOM[Product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",""))-2),"")</f>
        <v/>
      </c>
    </row>
    <row r="21" spans="1:19" hidden="1" x14ac:dyDescent="0.25">
      <c r="A21" s="16">
        <v>2</v>
      </c>
      <c r="B21" s="147" t="s">
        <v>34</v>
      </c>
      <c r="C21" s="147" t="s">
        <v>45</v>
      </c>
      <c r="D21" s="147" t="s">
        <v>36</v>
      </c>
      <c r="E21" s="148">
        <f>SUMPRODUCT((TableBOM[Item ID]=A21)*TableBOM[Per 1000 Units]*(1+TableBOM[Scrap %])*SUMIF($D$3:$D$8,TableBOM[Product ID],$H$3:$H$8)/1000)</f>
        <v>0</v>
      </c>
      <c r="F21" s="148">
        <f>IFERROR(INDEX(TableInventory[Store Balance],MATCH(A21,TableInventory[Item ID],0)),0)+IFERROR(INDEX(TableInventory[WIP],MATCH(A21,TableInventory[Item ID],0)),0)</f>
        <v>0</v>
      </c>
      <c r="G21" s="148">
        <f t="shared" si="1"/>
        <v>0</v>
      </c>
      <c r="H21" s="155" t="str">
        <f>IFERROR(IF(SUMPRODUCT((TableBOM[Item ID]=A21)*((SUMIF($D$3:$D$8,TableBOM[Product ID],$H$3:$H$8))&gt;0)*(SUMIF($D$3:$D$8,TableBOM[Product ID],$H$3:$H$8))*TableBOM[Per 1000 Units]*(1+TableBOM[Scrap %]))=0,"-",ROUND(F21*1000*SUMPRODUCT((TableBOM[Item ID]=A21)*((SUMIF($D$3:$D$8,TableBOM[Product ID],$H$3:$H$8))&gt;0)*(SUMIF($D$3:$D$8,TableBOM[Product ID],$H$3:$H$8)))/SUMPRODUCT((TableBOM[Item ID]=A21)*((SUMIF($D$3:$D$8,TableBOM[Product ID],$H$3:$H$8))&gt;0)*(SUMIF($D$3:$D$8,TableBOM[Product ID],$H$3:$H$8))*TableBOM[Per 1000 Units]*(1+TableBOM[Scrap %])),0)),"-")</f>
        <v>-</v>
      </c>
      <c r="I21" s="150" t="str">
        <f t="shared" si="2"/>
        <v>Not needed</v>
      </c>
      <c r="J21" s="155" t="str">
        <f>IF(LEN(IF((COUNTIFS(TableBOM[Product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",""))&gt;1,LEFT(IF((COUNTIFS(TableBOM[Product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",""))-2),"")</f>
        <v/>
      </c>
    </row>
    <row r="22" spans="1:19" x14ac:dyDescent="0.25">
      <c r="A22" s="16">
        <v>406</v>
      </c>
      <c r="B22" s="147" t="s">
        <v>34</v>
      </c>
      <c r="C22" s="147" t="s">
        <v>46</v>
      </c>
      <c r="D22" s="147" t="s">
        <v>36</v>
      </c>
      <c r="E22" s="148">
        <f>SUMPRODUCT((TableBOM[Item ID]=A22)*TableBOM[Per 1000 Units]*(1+TableBOM[Scrap %])*SUMIF($D$3:$D$8,TableBOM[Product ID],$H$3:$H$8)/1000)</f>
        <v>6248.140800000001</v>
      </c>
      <c r="F22" s="149">
        <f>IFERROR(INDEX(TableInventory[Store Balance],MATCH(A22,TableInventory[Item ID],0)),0)+IFERROR(INDEX(TableInventory[WIP],MATCH(A22,TableInventory[Item ID],0)),0)</f>
        <v>930</v>
      </c>
      <c r="G22" s="148">
        <f t="shared" si="1"/>
        <v>-5318.140800000001</v>
      </c>
      <c r="H22" s="155">
        <f>IFERROR(IF(SUMPRODUCT((TableBOM[Item ID]=A22)*((SUMIF($D$3:$D$8,TableBOM[Product ID],$H$3:$H$8))&gt;0)*(SUMIF($D$3:$D$8,TableBOM[Product ID],$H$3:$H$8))*TableBOM[Per 1000 Units]*(1+TableBOM[Scrap %]))=0,"-",ROUND(F22*1000*SUMPRODUCT((TableBOM[Item ID]=A22)*((SUMIF($D$3:$D$8,TableBOM[Product ID],$H$3:$H$8))&gt;0)*(SUMIF($D$3:$D$8,TableBOM[Product ID],$H$3:$H$8)))/SUMPRODUCT((TableBOM[Item ID]=A22)*((SUMIF($D$3:$D$8,TableBOM[Product ID],$H$3:$H$8))&gt;0)*(SUMIF($D$3:$D$8,TableBOM[Product ID],$H$3:$H$8))*TableBOM[Per 1000 Units]*(1+TableBOM[Scrap %])),0)),"-")</f>
        <v>105682</v>
      </c>
      <c r="I22" s="150" t="str">
        <f t="shared" si="2"/>
        <v>SHORTAGE</v>
      </c>
      <c r="J22" s="156" t="str">
        <f>IF(LEN(IF((COUNTIFS(TableBOM[Product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",""))&gt;1,LEFT(IF((COUNTIFS(TableBOM[Product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",""))-2),"")</f>
        <v>VINCE NURTURAL, HELLO HAIR COLOR</v>
      </c>
      <c r="L22" s="11"/>
      <c r="M22" s="11"/>
      <c r="N22" s="11"/>
      <c r="O22" s="11"/>
      <c r="P22" s="11"/>
      <c r="Q22" s="11"/>
      <c r="R22" s="11"/>
      <c r="S22" s="2"/>
    </row>
    <row r="23" spans="1:19" hidden="1" x14ac:dyDescent="0.25">
      <c r="A23" s="16">
        <v>6961</v>
      </c>
      <c r="B23" s="147" t="s">
        <v>34</v>
      </c>
      <c r="C23" s="147" t="s">
        <v>47</v>
      </c>
      <c r="D23" s="147" t="s">
        <v>36</v>
      </c>
      <c r="E23" s="149">
        <f>SUMPRODUCT((TableBOM[Item ID]=A23)*TableBOM[Per 1000 Units]*(1+TableBOM[Scrap %])*SUMIF($D$3:$D$8,TableBOM[Product ID],$H$3:$H$8)/1000)</f>
        <v>0</v>
      </c>
      <c r="F23" s="149">
        <f>IFERROR(INDEX(TableInventory[Store Balance],MATCH(A23,TableInventory[Item ID],0)),0)+IFERROR(INDEX(TableInventory[WIP],MATCH(A23,TableInventory[Item ID],0)),0)</f>
        <v>0</v>
      </c>
      <c r="G23" s="153">
        <f t="shared" si="1"/>
        <v>0</v>
      </c>
      <c r="H23" s="155" t="str">
        <f>IFERROR(IF(SUMPRODUCT((TableBOM[Item ID]=A23)*((SUMIF($D$3:$D$8,TableBOM[Product ID],$H$3:$H$8))&gt;0)*(SUMIF($D$3:$D$8,TableBOM[Product ID],$H$3:$H$8))*TableBOM[Per 1000 Units]*(1+TableBOM[Scrap %]))=0,"-",ROUND(F23*1000*SUMPRODUCT((TableBOM[Item ID]=A23)*((SUMIF($D$3:$D$8,TableBOM[Product ID],$H$3:$H$8))&gt;0)*(SUMIF($D$3:$D$8,TableBOM[Product ID],$H$3:$H$8)))/SUMPRODUCT((TableBOM[Item ID]=A23)*((SUMIF($D$3:$D$8,TableBOM[Product ID],$H$3:$H$8))&gt;0)*(SUMIF($D$3:$D$8,TableBOM[Product ID],$H$3:$H$8))*TableBOM[Per 1000 Units]*(1+TableBOM[Scrap %])),0)),"-")</f>
        <v>-</v>
      </c>
      <c r="I23" s="150" t="str">
        <f t="shared" si="2"/>
        <v>Not needed</v>
      </c>
      <c r="J23" s="155" t="str">
        <f>IF(LEN(IF((COUNTIFS(TableBOM[Product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",""))&gt;1,LEFT(IF((COUNTIFS(TableBOM[Product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",""))-2),"")</f>
        <v/>
      </c>
      <c r="L23" s="11"/>
      <c r="M23" s="11"/>
      <c r="N23" s="11"/>
      <c r="O23" s="11"/>
      <c r="P23" s="11"/>
      <c r="Q23" s="11"/>
      <c r="R23" s="11"/>
      <c r="S23" s="2"/>
    </row>
    <row r="24" spans="1:19" x14ac:dyDescent="0.25">
      <c r="A24" s="16">
        <v>3935</v>
      </c>
      <c r="B24" s="147" t="s">
        <v>34</v>
      </c>
      <c r="C24" s="147" t="s">
        <v>48</v>
      </c>
      <c r="D24" s="147" t="s">
        <v>36</v>
      </c>
      <c r="E24" s="148">
        <f>SUMPRODUCT((TableBOM[Item ID]=A24)*TableBOM[Per 1000 Units]*(1+TableBOM[Scrap %])*SUMIF($D$3:$D$8,TableBOM[Product ID],$H$3:$H$8)/1000)</f>
        <v>2389.9040000000005</v>
      </c>
      <c r="F24" s="148">
        <f>IFERROR(INDEX(TableInventory[Store Balance],MATCH(A24,TableInventory[Item ID],0)),0)+IFERROR(INDEX(TableInventory[WIP],MATCH(A24,TableInventory[Item ID],0)),0)</f>
        <v>425</v>
      </c>
      <c r="G24" s="148">
        <f t="shared" si="1"/>
        <v>-1964.9040000000005</v>
      </c>
      <c r="H24" s="155">
        <f>IFERROR(IF(SUMPRODUCT((TableBOM[Item ID]=A24)*((SUMIF($D$3:$D$8,TableBOM[Product ID],$H$3:$H$8))&gt;0)*(SUMIF($D$3:$D$8,TableBOM[Product ID],$H$3:$H$8))*TableBOM[Per 1000 Units]*(1+TableBOM[Scrap %]))=0,"-",ROUND(F24*1000*SUMPRODUCT((TableBOM[Item ID]=A24)*((SUMIF($D$3:$D$8,TableBOM[Product ID],$H$3:$H$8))&gt;0)*(SUMIF($D$3:$D$8,TableBOM[Product ID],$H$3:$H$8)))/SUMPRODUCT((TableBOM[Item ID]=A24)*((SUMIF($D$3:$D$8,TableBOM[Product ID],$H$3:$H$8))&gt;0)*(SUMIF($D$3:$D$8,TableBOM[Product ID],$H$3:$H$8))*TableBOM[Per 1000 Units]*(1+TableBOM[Scrap %])),0)),"-")</f>
        <v>35566</v>
      </c>
      <c r="I24" s="150" t="str">
        <f t="shared" si="2"/>
        <v>SHORTAGE</v>
      </c>
      <c r="J24" s="156" t="str">
        <f>IF(LEN(IF((COUNTIFS(TableBOM[Product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",""))&gt;1,LEFT(IF((COUNTIFS(TableBOM[Product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",""))-2),"")</f>
        <v>H.H 100GM</v>
      </c>
      <c r="L24" s="11"/>
      <c r="M24" s="11"/>
      <c r="N24" s="11"/>
      <c r="O24" s="11"/>
      <c r="P24" s="11"/>
      <c r="Q24" s="11"/>
      <c r="R24" s="11"/>
      <c r="S24" s="2"/>
    </row>
    <row r="25" spans="1:19" ht="24" hidden="1" customHeight="1" x14ac:dyDescent="0.25">
      <c r="A25" s="16">
        <v>3503</v>
      </c>
      <c r="B25" s="147" t="s">
        <v>34</v>
      </c>
      <c r="C25" s="147" t="s">
        <v>49</v>
      </c>
      <c r="D25" s="147" t="s">
        <v>36</v>
      </c>
      <c r="E25" s="148">
        <f>SUMPRODUCT((TableBOM[Item ID]=A25)*TableBOM[Per 1000 Units]*(1+TableBOM[Scrap %])*SUMIF($D$3:$D$8,TableBOM[Product ID],$H$3:$H$8)/1000)</f>
        <v>0</v>
      </c>
      <c r="F25" s="148">
        <f>IFERROR(INDEX(TableInventory[Store Balance],MATCH(A25,TableInventory[Item ID],0)),0)+IFERROR(INDEX(TableInventory[WIP],MATCH(A25,TableInventory[Item ID],0)),0)</f>
        <v>328</v>
      </c>
      <c r="G25" s="148">
        <f t="shared" si="1"/>
        <v>328</v>
      </c>
      <c r="H25" s="155" t="str">
        <f>IFERROR(IF(SUMPRODUCT((TableBOM[Item ID]=A25)*((SUMIF($D$3:$D$8,TableBOM[Product ID],$H$3:$H$8))&gt;0)*(SUMIF($D$3:$D$8,TableBOM[Product ID],$H$3:$H$8))*TableBOM[Per 1000 Units]*(1+TableBOM[Scrap %]))=0,"-",ROUND(F25*1000*SUMPRODUCT((TableBOM[Item ID]=A25)*((SUMIF($D$3:$D$8,TableBOM[Product ID],$H$3:$H$8))&gt;0)*(SUMIF($D$3:$D$8,TableBOM[Product ID],$H$3:$H$8)))/SUMPRODUCT((TableBOM[Item ID]=A25)*((SUMIF($D$3:$D$8,TableBOM[Product ID],$H$3:$H$8))&gt;0)*(SUMIF($D$3:$D$8,TableBOM[Product ID],$H$3:$H$8))*TableBOM[Per 1000 Units]*(1+TableBOM[Scrap %])),0)),"-")</f>
        <v>-</v>
      </c>
      <c r="I25" s="154" t="str">
        <f t="shared" si="2"/>
        <v>Not needed</v>
      </c>
      <c r="J25" s="155" t="str">
        <f>IF(LEN(IF((COUNTIFS(TableBOM[Product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",""))&gt;1,LEFT(IF((COUNTIFS(TableBOM[Product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",""))-2),"")</f>
        <v/>
      </c>
    </row>
    <row r="26" spans="1:19" hidden="1" x14ac:dyDescent="0.25">
      <c r="A26" s="16">
        <v>184</v>
      </c>
      <c r="B26" s="147" t="s">
        <v>50</v>
      </c>
      <c r="C26" s="147" t="s">
        <v>51</v>
      </c>
      <c r="D26" s="147" t="s">
        <v>36</v>
      </c>
      <c r="E26" s="148">
        <f>SUMPRODUCT((TableBOM[Item ID]=A26)*TableBOM[Per 1000 Units]*(1+TableBOM[Scrap %])*SUMIF($D$3:$D$8,TableBOM[Product ID],$H$3:$H$8)/1000)</f>
        <v>0</v>
      </c>
      <c r="F26" s="148">
        <f>IFERROR(INDEX(TableInventory[Store Balance],MATCH(A26,TableInventory[Item ID],0)),0)+IFERROR(INDEX(TableInventory[WIP],MATCH(A26,TableInventory[Item ID],0)),0)</f>
        <v>0</v>
      </c>
      <c r="G26" s="148">
        <f t="shared" si="1"/>
        <v>0</v>
      </c>
      <c r="H26" s="155" t="str">
        <f>IFERROR(IF(SUMPRODUCT((TableBOM[Item ID]=A26)*((SUMIF($D$3:$D$8,TableBOM[Product ID],$H$3:$H$8))&gt;0)*(SUMIF($D$3:$D$8,TableBOM[Product ID],$H$3:$H$8))*TableBOM[Per 1000 Units]*(1+TableBOM[Scrap %]))=0,"-",ROUND(F26*1000*SUMPRODUCT((TableBOM[Item ID]=A26)*((SUMIF($D$3:$D$8,TableBOM[Product ID],$H$3:$H$8))&gt;0)*(SUMIF($D$3:$D$8,TableBOM[Product ID],$H$3:$H$8)))/SUMPRODUCT((TableBOM[Item ID]=A26)*((SUMIF($D$3:$D$8,TableBOM[Product ID],$H$3:$H$8))&gt;0)*(SUMIF($D$3:$D$8,TableBOM[Product ID],$H$3:$H$8))*TableBOM[Per 1000 Units]*(1+TableBOM[Scrap %])),0)),"-")</f>
        <v>-</v>
      </c>
      <c r="I26" s="150" t="str">
        <f t="shared" si="2"/>
        <v>Not needed</v>
      </c>
      <c r="J26" s="155" t="str">
        <f>IF(LEN(IF((COUNTIFS(TableBOM[Product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",""))&gt;1,LEFT(IF((COUNTIFS(TableBOM[Product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",""))-2),"")</f>
        <v/>
      </c>
      <c r="L26" s="11"/>
      <c r="M26" s="11"/>
      <c r="N26" s="11"/>
      <c r="O26" s="11"/>
      <c r="P26" s="11"/>
      <c r="Q26" s="11"/>
      <c r="R26" s="11"/>
      <c r="S26" s="2"/>
    </row>
    <row r="27" spans="1:19" hidden="1" x14ac:dyDescent="0.25">
      <c r="A27" s="16">
        <v>185</v>
      </c>
      <c r="B27" s="147" t="s">
        <v>50</v>
      </c>
      <c r="C27" s="147" t="s">
        <v>52</v>
      </c>
      <c r="D27" s="147" t="s">
        <v>53</v>
      </c>
      <c r="E27" s="148">
        <f>SUMPRODUCT((TableBOM[Item ID]=A27)*TableBOM[Per 1000 Units]*(1+TableBOM[Scrap %])*SUMIF($D$3:$D$8,TableBOM[Product ID],$H$3:$H$8)/1000)</f>
        <v>0</v>
      </c>
      <c r="F27" s="148">
        <f>IFERROR(INDEX(TableInventory[Store Balance],MATCH(A27,TableInventory[Item ID],0)),0)+IFERROR(INDEX(TableInventory[WIP],MATCH(A27,TableInventory[Item ID],0)),0)</f>
        <v>50</v>
      </c>
      <c r="G27" s="148">
        <f t="shared" si="1"/>
        <v>50</v>
      </c>
      <c r="H27" s="155" t="str">
        <f>IFERROR(IF(SUMPRODUCT((TableBOM[Item ID]=A27)*((SUMIF($D$3:$D$8,TableBOM[Product ID],$H$3:$H$8))&gt;0)*(SUMIF($D$3:$D$8,TableBOM[Product ID],$H$3:$H$8))*TableBOM[Per 1000 Units]*(1+TableBOM[Scrap %]))=0,"-",ROUND(F27*1000*SUMPRODUCT((TableBOM[Item ID]=A27)*((SUMIF($D$3:$D$8,TableBOM[Product ID],$H$3:$H$8))&gt;0)*(SUMIF($D$3:$D$8,TableBOM[Product ID],$H$3:$H$8)))/SUMPRODUCT((TableBOM[Item ID]=A27)*((SUMIF($D$3:$D$8,TableBOM[Product ID],$H$3:$H$8))&gt;0)*(SUMIF($D$3:$D$8,TableBOM[Product ID],$H$3:$H$8))*TableBOM[Per 1000 Units]*(1+TableBOM[Scrap %])),0)),"-")</f>
        <v>-</v>
      </c>
      <c r="I27" s="150" t="str">
        <f t="shared" si="2"/>
        <v>Not needed</v>
      </c>
      <c r="J27" s="155" t="str">
        <f>IF(LEN(IF((COUNTIFS(TableBOM[Product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",""))&gt;1,LEFT(IF((COUNTIFS(TableBOM[Product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",""))-2),"")</f>
        <v/>
      </c>
      <c r="L27" s="11"/>
      <c r="M27" s="11"/>
      <c r="N27" s="11"/>
      <c r="O27" s="11"/>
      <c r="P27" s="11"/>
      <c r="Q27" s="11"/>
      <c r="R27" s="11"/>
      <c r="S27" s="2"/>
    </row>
    <row r="28" spans="1:19" hidden="1" x14ac:dyDescent="0.25">
      <c r="A28" s="16">
        <v>188</v>
      </c>
      <c r="B28" s="147" t="s">
        <v>50</v>
      </c>
      <c r="C28" s="147" t="s">
        <v>54</v>
      </c>
      <c r="D28" s="147" t="s">
        <v>36</v>
      </c>
      <c r="E28" s="148">
        <f>SUMPRODUCT((TableBOM[Item ID]=A28)*TableBOM[Per 1000 Units]*(1+TableBOM[Scrap %])*SUMIF($D$3:$D$8,TableBOM[Product ID],$H$3:$H$8)/1000)</f>
        <v>0</v>
      </c>
      <c r="F28" s="148">
        <f>IFERROR(INDEX(TableInventory[Store Balance],MATCH(A28,TableInventory[Item ID],0)),0)+IFERROR(INDEX(TableInventory[WIP],MATCH(A28,TableInventory[Item ID],0)),0)</f>
        <v>91</v>
      </c>
      <c r="G28" s="148">
        <f t="shared" si="1"/>
        <v>91</v>
      </c>
      <c r="H28" s="155" t="str">
        <f>IFERROR(IF(SUMPRODUCT((TableBOM[Item ID]=A28)*((SUMIF($D$3:$D$8,TableBOM[Product ID],$H$3:$H$8))&gt;0)*(SUMIF($D$3:$D$8,TableBOM[Product ID],$H$3:$H$8))*TableBOM[Per 1000 Units]*(1+TableBOM[Scrap %]))=0,"-",ROUND(F28*1000*SUMPRODUCT((TableBOM[Item ID]=A28)*((SUMIF($D$3:$D$8,TableBOM[Product ID],$H$3:$H$8))&gt;0)*(SUMIF($D$3:$D$8,TableBOM[Product ID],$H$3:$H$8)))/SUMPRODUCT((TableBOM[Item ID]=A28)*((SUMIF($D$3:$D$8,TableBOM[Product ID],$H$3:$H$8))&gt;0)*(SUMIF($D$3:$D$8,TableBOM[Product ID],$H$3:$H$8))*TableBOM[Per 1000 Units]*(1+TableBOM[Scrap %])),0)),"-")</f>
        <v>-</v>
      </c>
      <c r="I28" s="150" t="str">
        <f t="shared" si="2"/>
        <v>Not needed</v>
      </c>
      <c r="J28" s="155" t="str">
        <f>IF(LEN(IF((COUNTIFS(TableBOM[Product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",""))&gt;1,LEFT(IF((COUNTIFS(TableBOM[Product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",""))-2),"")</f>
        <v/>
      </c>
      <c r="L28" s="11"/>
      <c r="M28" s="11"/>
      <c r="N28" s="11"/>
      <c r="O28" s="11"/>
      <c r="P28" s="11"/>
      <c r="Q28" s="11"/>
      <c r="R28" s="11"/>
      <c r="S28" s="2"/>
    </row>
    <row r="29" spans="1:19" ht="36" hidden="1" customHeight="1" x14ac:dyDescent="0.25">
      <c r="A29" s="16">
        <v>1065</v>
      </c>
      <c r="B29" s="147" t="s">
        <v>50</v>
      </c>
      <c r="C29" s="147" t="s">
        <v>55</v>
      </c>
      <c r="D29" s="147" t="s">
        <v>36</v>
      </c>
      <c r="E29" s="148">
        <f>SUMPRODUCT((TableBOM[Item ID]=A29)*TableBOM[Per 1000 Units]*(1+TableBOM[Scrap %])*SUMIF($D$3:$D$8,TableBOM[Product ID],$H$3:$H$8)/1000)</f>
        <v>0</v>
      </c>
      <c r="F29" s="148">
        <f>IFERROR(INDEX(TableInventory[Store Balance],MATCH(A29,TableInventory[Item ID],0)),0)+IFERROR(INDEX(TableInventory[WIP],MATCH(A29,TableInventory[Item ID],0)),0)</f>
        <v>0</v>
      </c>
      <c r="G29" s="148">
        <f t="shared" si="1"/>
        <v>0</v>
      </c>
      <c r="H29" s="155" t="str">
        <f>IFERROR(IF(SUMPRODUCT((TableBOM[Item ID]=A29)*((SUMIF($D$3:$D$8,TableBOM[Product ID],$H$3:$H$8))&gt;0)*(SUMIF($D$3:$D$8,TableBOM[Product ID],$H$3:$H$8))*TableBOM[Per 1000 Units]*(1+TableBOM[Scrap %]))=0,"-",ROUND(F29*1000*SUMPRODUCT((TableBOM[Item ID]=A29)*((SUMIF($D$3:$D$8,TableBOM[Product ID],$H$3:$H$8))&gt;0)*(SUMIF($D$3:$D$8,TableBOM[Product ID],$H$3:$H$8)))/SUMPRODUCT((TableBOM[Item ID]=A29)*((SUMIF($D$3:$D$8,TableBOM[Product ID],$H$3:$H$8))&gt;0)*(SUMIF($D$3:$D$8,TableBOM[Product ID],$H$3:$H$8))*TableBOM[Per 1000 Units]*(1+TableBOM[Scrap %])),0)),"-")</f>
        <v>-</v>
      </c>
      <c r="I29" s="150" t="str">
        <f t="shared" si="2"/>
        <v>Not needed</v>
      </c>
      <c r="J29" s="155" t="str">
        <f>IF(LEN(IF((COUNTIFS(TableBOM[Product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",""))&gt;1,LEFT(IF((COUNTIFS(TableBOM[Product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",""))-2),"")</f>
        <v/>
      </c>
      <c r="L29" s="11"/>
      <c r="M29" s="11"/>
      <c r="N29" s="11"/>
      <c r="O29" s="11"/>
      <c r="P29" s="11"/>
      <c r="Q29" s="11"/>
      <c r="R29" s="11"/>
      <c r="S29" s="2"/>
    </row>
    <row r="30" spans="1:19" x14ac:dyDescent="0.25">
      <c r="A30" s="16">
        <v>4155</v>
      </c>
      <c r="B30" s="147" t="s">
        <v>50</v>
      </c>
      <c r="C30" s="147" t="s">
        <v>56</v>
      </c>
      <c r="D30" s="147" t="s">
        <v>36</v>
      </c>
      <c r="E30" s="148">
        <f>SUMPRODUCT((TableBOM[Item ID]=A30)*TableBOM[Per 1000 Units]*(1+TableBOM[Scrap %])*SUMIF($D$3:$D$8,TableBOM[Product ID],$H$3:$H$8)/1000)</f>
        <v>266.35433879999999</v>
      </c>
      <c r="F30" s="148">
        <f>IFERROR(INDEX(TableInventory[Store Balance],MATCH(A30,TableInventory[Item ID],0)),0)+IFERROR(INDEX(TableInventory[WIP],MATCH(A30,TableInventory[Item ID],0)),0)</f>
        <v>0</v>
      </c>
      <c r="G30" s="148">
        <f t="shared" si="1"/>
        <v>-266.35433879999999</v>
      </c>
      <c r="H30" s="155">
        <f>IFERROR(IF(SUMPRODUCT((TableBOM[Item ID]=A30)*((SUMIF($D$3:$D$8,TableBOM[Product ID],$H$3:$H$8))&gt;0)*(SUMIF($D$3:$D$8,TableBOM[Product ID],$H$3:$H$8))*TableBOM[Per 1000 Units]*(1+TableBOM[Scrap %]))=0,"-",ROUND(F30*1000*SUMPRODUCT((TableBOM[Item ID]=A30)*((SUMIF($D$3:$D$8,TableBOM[Product ID],$H$3:$H$8))&gt;0)*(SUMIF($D$3:$D$8,TableBOM[Product ID],$H$3:$H$8)))/SUMPRODUCT((TableBOM[Item ID]=A30)*((SUMIF($D$3:$D$8,TableBOM[Product ID],$H$3:$H$8))&gt;0)*(SUMIF($D$3:$D$8,TableBOM[Product ID],$H$3:$H$8))*TableBOM[Per 1000 Units]*(1+TableBOM[Scrap %])),0)),"-")</f>
        <v>0</v>
      </c>
      <c r="I30" s="150" t="str">
        <f t="shared" si="2"/>
        <v>SHORTAGE</v>
      </c>
      <c r="J30" s="156" t="str">
        <f>IF(LEN(IF((COUNTIFS(TableBOM[Product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",""))&gt;1,LEFT(IF((COUNTIFS(TableBOM[Product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",""))-2),"")</f>
        <v>VINCE HIS ONLY BEARD &amp; MUSTACHE COLOR CREAM, HIS ONLY HAIR COLOR CREAM 40GM, VINCE NURTURAL, HELLO HAIR COLOR, H.H 100GM</v>
      </c>
      <c r="L30" s="11"/>
      <c r="M30" s="11"/>
      <c r="N30" s="11"/>
      <c r="O30" s="11"/>
      <c r="P30" s="11"/>
      <c r="Q30" s="11"/>
      <c r="R30" s="11"/>
      <c r="S30" s="2"/>
    </row>
    <row r="31" spans="1:19" hidden="1" x14ac:dyDescent="0.25">
      <c r="A31" s="16">
        <v>170</v>
      </c>
      <c r="B31" s="147" t="s">
        <v>57</v>
      </c>
      <c r="C31" s="147" t="s">
        <v>58</v>
      </c>
      <c r="D31" s="147" t="s">
        <v>36</v>
      </c>
      <c r="E31" s="148">
        <f>SUMPRODUCT((TableBOM[Item ID]=A31)*TableBOM[Per 1000 Units]*(1+TableBOM[Scrap %])*SUMIF($D$3:$D$8,TableBOM[Product ID],$H$3:$H$8)/1000)</f>
        <v>0</v>
      </c>
      <c r="F31" s="148">
        <f>IFERROR(INDEX(TableInventory[Store Balance],MATCH(A31,TableInventory[Item ID],0)),0)+IFERROR(INDEX(TableInventory[WIP],MATCH(A31,TableInventory[Item ID],0)),0)</f>
        <v>0</v>
      </c>
      <c r="G31" s="148">
        <f t="shared" si="1"/>
        <v>0</v>
      </c>
      <c r="H31" s="155" t="str">
        <f>IFERROR(IF(SUMPRODUCT((TableBOM[Item ID]=A31)*((SUMIF($D$3:$D$8,TableBOM[Product ID],$H$3:$H$8))&gt;0)*(SUMIF($D$3:$D$8,TableBOM[Product ID],$H$3:$H$8))*TableBOM[Per 1000 Units]*(1+TableBOM[Scrap %]))=0,"-",ROUND(F31*1000*SUMPRODUCT((TableBOM[Item ID]=A31)*((SUMIF($D$3:$D$8,TableBOM[Product ID],$H$3:$H$8))&gt;0)*(SUMIF($D$3:$D$8,TableBOM[Product ID],$H$3:$H$8)))/SUMPRODUCT((TableBOM[Item ID]=A31)*((SUMIF($D$3:$D$8,TableBOM[Product ID],$H$3:$H$8))&gt;0)*(SUMIF($D$3:$D$8,TableBOM[Product ID],$H$3:$H$8))*TableBOM[Per 1000 Units]*(1+TableBOM[Scrap %])),0)),"-")</f>
        <v>-</v>
      </c>
      <c r="I31" s="150" t="str">
        <f t="shared" si="2"/>
        <v>Not needed</v>
      </c>
      <c r="J31" s="155" t="str">
        <f>IF(LEN(IF((COUNTIFS(TableBOM[Product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",""))&gt;1,LEFT(IF((COUNTIFS(TableBOM[Product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",""))-2),"")</f>
        <v/>
      </c>
      <c r="L31" s="11"/>
      <c r="M31" s="11"/>
      <c r="N31" s="11"/>
      <c r="O31" s="11"/>
      <c r="P31" s="11"/>
      <c r="Q31" s="11"/>
      <c r="R31" s="11"/>
      <c r="S31" s="2"/>
    </row>
    <row r="32" spans="1:19" hidden="1" x14ac:dyDescent="0.25">
      <c r="A32" s="16">
        <v>175</v>
      </c>
      <c r="B32" s="147" t="s">
        <v>57</v>
      </c>
      <c r="C32" s="147" t="s">
        <v>59</v>
      </c>
      <c r="D32" s="147" t="s">
        <v>36</v>
      </c>
      <c r="E32" s="148">
        <f>SUMPRODUCT((TableBOM[Item ID]=A32)*TableBOM[Per 1000 Units]*(1+TableBOM[Scrap %])*SUMIF($D$3:$D$8,TableBOM[Product ID],$H$3:$H$8)/1000)</f>
        <v>0</v>
      </c>
      <c r="F32" s="148">
        <f>IFERROR(INDEX(TableInventory[Store Balance],MATCH(A32,TableInventory[Item ID],0)),0)+IFERROR(INDEX(TableInventory[WIP],MATCH(A32,TableInventory[Item ID],0)),0)</f>
        <v>30</v>
      </c>
      <c r="G32" s="148">
        <f t="shared" si="1"/>
        <v>30</v>
      </c>
      <c r="H32" s="155" t="str">
        <f>IFERROR(IF(SUMPRODUCT((TableBOM[Item ID]=A32)*((SUMIF($D$3:$D$8,TableBOM[Product ID],$H$3:$H$8))&gt;0)*(SUMIF($D$3:$D$8,TableBOM[Product ID],$H$3:$H$8))*TableBOM[Per 1000 Units]*(1+TableBOM[Scrap %]))=0,"-",ROUND(F32*1000*SUMPRODUCT((TableBOM[Item ID]=A32)*((SUMIF($D$3:$D$8,TableBOM[Product ID],$H$3:$H$8))&gt;0)*(SUMIF($D$3:$D$8,TableBOM[Product ID],$H$3:$H$8)))/SUMPRODUCT((TableBOM[Item ID]=A32)*((SUMIF($D$3:$D$8,TableBOM[Product ID],$H$3:$H$8))&gt;0)*(SUMIF($D$3:$D$8,TableBOM[Product ID],$H$3:$H$8))*TableBOM[Per 1000 Units]*(1+TableBOM[Scrap %])),0)),"-")</f>
        <v>-</v>
      </c>
      <c r="I32" s="150" t="str">
        <f t="shared" si="2"/>
        <v>Not needed</v>
      </c>
      <c r="J32" s="155" t="str">
        <f>IF(LEN(IF((COUNTIFS(TableBOM[Product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",""))&gt;1,LEFT(IF((COUNTIFS(TableBOM[Product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",""))-2),"")</f>
        <v/>
      </c>
      <c r="L32" s="11"/>
      <c r="M32" s="11"/>
      <c r="N32" s="11"/>
      <c r="O32" s="11"/>
      <c r="P32" s="11"/>
      <c r="Q32" s="11"/>
      <c r="R32" s="11"/>
      <c r="S32" s="2"/>
    </row>
    <row r="33" spans="1:19" hidden="1" x14ac:dyDescent="0.25">
      <c r="A33" s="16">
        <v>192</v>
      </c>
      <c r="B33" s="147" t="s">
        <v>57</v>
      </c>
      <c r="C33" s="147" t="s">
        <v>60</v>
      </c>
      <c r="D33" s="147" t="s">
        <v>36</v>
      </c>
      <c r="E33" s="148">
        <f>SUMPRODUCT((TableBOM[Item ID]=A33)*TableBOM[Per 1000 Units]*(1+TableBOM[Scrap %])*SUMIF($D$3:$D$8,TableBOM[Product ID],$H$3:$H$8)/1000)</f>
        <v>0</v>
      </c>
      <c r="F33" s="148">
        <f>IFERROR(INDEX(TableInventory[Store Balance],MATCH(A33,TableInventory[Item ID],0)),0)+IFERROR(INDEX(TableInventory[WIP],MATCH(A33,TableInventory[Item ID],0)),0)</f>
        <v>50</v>
      </c>
      <c r="G33" s="148">
        <f t="shared" si="1"/>
        <v>50</v>
      </c>
      <c r="H33" s="155" t="str">
        <f>IFERROR(IF(SUMPRODUCT((TableBOM[Item ID]=A33)*((SUMIF($D$3:$D$8,TableBOM[Product ID],$H$3:$H$8))&gt;0)*(SUMIF($D$3:$D$8,TableBOM[Product ID],$H$3:$H$8))*TableBOM[Per 1000 Units]*(1+TableBOM[Scrap %]))=0,"-",ROUND(F33*1000*SUMPRODUCT((TableBOM[Item ID]=A33)*((SUMIF($D$3:$D$8,TableBOM[Product ID],$H$3:$H$8))&gt;0)*(SUMIF($D$3:$D$8,TableBOM[Product ID],$H$3:$H$8)))/SUMPRODUCT((TableBOM[Item ID]=A33)*((SUMIF($D$3:$D$8,TableBOM[Product ID],$H$3:$H$8))&gt;0)*(SUMIF($D$3:$D$8,TableBOM[Product ID],$H$3:$H$8))*TableBOM[Per 1000 Units]*(1+TableBOM[Scrap %])),0)),"-")</f>
        <v>-</v>
      </c>
      <c r="I33" s="150" t="str">
        <f t="shared" si="2"/>
        <v>Not needed</v>
      </c>
      <c r="J33" s="155" t="str">
        <f>IF(LEN(IF((COUNTIFS(TableBOM[Product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",""))&gt;1,LEFT(IF((COUNTIFS(TableBOM[Product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",""))-2),"")</f>
        <v/>
      </c>
      <c r="L33" s="11"/>
      <c r="M33" s="11"/>
      <c r="N33" s="11"/>
      <c r="O33" s="11"/>
      <c r="P33" s="11"/>
      <c r="Q33" s="11"/>
      <c r="R33" s="11"/>
      <c r="S33" s="2"/>
    </row>
    <row r="34" spans="1:19" x14ac:dyDescent="0.25">
      <c r="A34" s="16">
        <v>3595</v>
      </c>
      <c r="B34" s="147" t="s">
        <v>57</v>
      </c>
      <c r="C34" s="147" t="s">
        <v>61</v>
      </c>
      <c r="D34" s="147" t="s">
        <v>36</v>
      </c>
      <c r="E34" s="148">
        <f>SUMPRODUCT((TableBOM[Item ID]=A34)*TableBOM[Per 1000 Units]*(1+TableBOM[Scrap %])*SUMIF($D$3:$D$8,TableBOM[Product ID],$H$3:$H$8)/1000)</f>
        <v>710.66922080000006</v>
      </c>
      <c r="F34" s="148">
        <f>IFERROR(INDEX(TableInventory[Store Balance],MATCH(A34,TableInventory[Item ID],0)),0)+IFERROR(INDEX(TableInventory[WIP],MATCH(A34,TableInventory[Item ID],0)),0)</f>
        <v>90</v>
      </c>
      <c r="G34" s="148">
        <f t="shared" si="1"/>
        <v>-620.66922080000006</v>
      </c>
      <c r="H34" s="155">
        <f>IFERROR(IF(SUMPRODUCT((TableBOM[Item ID]=A34)*((SUMIF($D$3:$D$8,TableBOM[Product ID],$H$3:$H$8))&gt;0)*(SUMIF($D$3:$D$8,TableBOM[Product ID],$H$3:$H$8))*TableBOM[Per 1000 Units]*(1+TableBOM[Scrap %]))=0,"-",ROUND(F34*1000*SUMPRODUCT((TableBOM[Item ID]=A34)*((SUMIF($D$3:$D$8,TableBOM[Product ID],$H$3:$H$8))&gt;0)*(SUMIF($D$3:$D$8,TableBOM[Product ID],$H$3:$H$8)))/SUMPRODUCT((TableBOM[Item ID]=A34)*((SUMIF($D$3:$D$8,TableBOM[Product ID],$H$3:$H$8))&gt;0)*(SUMIF($D$3:$D$8,TableBOM[Product ID],$H$3:$H$8))*TableBOM[Per 1000 Units]*(1+TableBOM[Scrap %])),0)),"-")</f>
        <v>119192</v>
      </c>
      <c r="I34" s="150" t="str">
        <f t="shared" si="2"/>
        <v>SHORTAGE</v>
      </c>
      <c r="J34" s="156" t="str">
        <f>IF(LEN(IF((COUNTIFS(TableBOM[Product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",""))&gt;1,LEFT(IF((COUNTIFS(TableBOM[Product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",""))-2),"")</f>
        <v>VINCE HIS ONLY BEARD &amp; MUSTACHE COLOR CREAM, HIS ONLY HAIR COLOR CREAM 40GM, VINCE NURTURAL, HELLO HAIR COLOR, H.H 100GM</v>
      </c>
      <c r="L34" s="11"/>
      <c r="M34" s="11"/>
      <c r="N34" s="11"/>
      <c r="O34" s="11"/>
      <c r="P34" s="11"/>
      <c r="Q34" s="11"/>
      <c r="R34" s="11"/>
      <c r="S34" s="2"/>
    </row>
    <row r="35" spans="1:19" hidden="1" x14ac:dyDescent="0.25">
      <c r="A35" s="16">
        <v>3869</v>
      </c>
      <c r="B35" s="147" t="s">
        <v>57</v>
      </c>
      <c r="C35" s="147" t="s">
        <v>62</v>
      </c>
      <c r="D35" s="147" t="s">
        <v>36</v>
      </c>
      <c r="E35" s="148">
        <f>SUMPRODUCT((TableBOM[Item ID]=A35)*TableBOM[Per 1000 Units]*(1+TableBOM[Scrap %])*SUMIF($D$3:$D$8,TableBOM[Product ID],$H$3:$H$8)/1000)</f>
        <v>0</v>
      </c>
      <c r="F35" s="148">
        <f>IFERROR(INDEX(TableInventory[Store Balance],MATCH(A35,TableInventory[Item ID],0)),0)+IFERROR(INDEX(TableInventory[WIP],MATCH(A35,TableInventory[Item ID],0)),0)</f>
        <v>60</v>
      </c>
      <c r="G35" s="148">
        <f t="shared" si="1"/>
        <v>60</v>
      </c>
      <c r="H35" s="155" t="str">
        <f>IFERROR(IF(SUMPRODUCT((TableBOM[Item ID]=A35)*((SUMIF($D$3:$D$8,TableBOM[Product ID],$H$3:$H$8))&gt;0)*(SUMIF($D$3:$D$8,TableBOM[Product ID],$H$3:$H$8))*TableBOM[Per 1000 Units]*(1+TableBOM[Scrap %]))=0,"-",ROUND(F35*1000*SUMPRODUCT((TableBOM[Item ID]=A35)*((SUMIF($D$3:$D$8,TableBOM[Product ID],$H$3:$H$8))&gt;0)*(SUMIF($D$3:$D$8,TableBOM[Product ID],$H$3:$H$8)))/SUMPRODUCT((TableBOM[Item ID]=A35)*((SUMIF($D$3:$D$8,TableBOM[Product ID],$H$3:$H$8))&gt;0)*(SUMIF($D$3:$D$8,TableBOM[Product ID],$H$3:$H$8))*TableBOM[Per 1000 Units]*(1+TableBOM[Scrap %])),0)),"-")</f>
        <v>-</v>
      </c>
      <c r="I35" s="150" t="str">
        <f t="shared" si="2"/>
        <v>Not needed</v>
      </c>
      <c r="J35" s="155" t="str">
        <f>IF(LEN(IF((COUNTIFS(TableBOM[Product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",""))&gt;1,LEFT(IF((COUNTIFS(TableBOM[Product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",""))-2),"")</f>
        <v/>
      </c>
      <c r="L35" s="11"/>
      <c r="M35" s="11"/>
      <c r="N35" s="11"/>
      <c r="O35" s="11"/>
      <c r="P35" s="11"/>
      <c r="Q35" s="11"/>
      <c r="R35" s="11"/>
      <c r="S35" s="2"/>
    </row>
    <row r="36" spans="1:19" hidden="1" x14ac:dyDescent="0.25">
      <c r="A36" s="16">
        <v>4156</v>
      </c>
      <c r="B36" s="147" t="s">
        <v>57</v>
      </c>
      <c r="C36" s="147" t="s">
        <v>63</v>
      </c>
      <c r="D36" s="147" t="s">
        <v>36</v>
      </c>
      <c r="E36" s="148">
        <f>SUMPRODUCT((TableBOM[Item ID]=A36)*TableBOM[Per 1000 Units]*(1+TableBOM[Scrap %])*SUMIF($D$3:$D$8,TableBOM[Product ID],$H$3:$H$8)/1000)</f>
        <v>0</v>
      </c>
      <c r="F36" s="148">
        <f>IFERROR(INDEX(TableInventory[Store Balance],MATCH(A36,TableInventory[Item ID],0)),0)+IFERROR(INDEX(TableInventory[WIP],MATCH(A36,TableInventory[Item ID],0)),0)</f>
        <v>0</v>
      </c>
      <c r="G36" s="148">
        <f t="shared" si="1"/>
        <v>0</v>
      </c>
      <c r="H36" s="155" t="str">
        <f>IFERROR(IF(SUMPRODUCT((TableBOM[Item ID]=A36)*((SUMIF($D$3:$D$8,TableBOM[Product ID],$H$3:$H$8))&gt;0)*(SUMIF($D$3:$D$8,TableBOM[Product ID],$H$3:$H$8))*TableBOM[Per 1000 Units]*(1+TableBOM[Scrap %]))=0,"-",ROUND(F36*1000*SUMPRODUCT((TableBOM[Item ID]=A36)*((SUMIF($D$3:$D$8,TableBOM[Product ID],$H$3:$H$8))&gt;0)*(SUMIF($D$3:$D$8,TableBOM[Product ID],$H$3:$H$8)))/SUMPRODUCT((TableBOM[Item ID]=A36)*((SUMIF($D$3:$D$8,TableBOM[Product ID],$H$3:$H$8))&gt;0)*(SUMIF($D$3:$D$8,TableBOM[Product ID],$H$3:$H$8))*TableBOM[Per 1000 Units]*(1+TableBOM[Scrap %])),0)),"-")</f>
        <v>-</v>
      </c>
      <c r="I36" s="150" t="str">
        <f t="shared" si="2"/>
        <v>Not needed</v>
      </c>
      <c r="J36" s="155" t="str">
        <f>IF(LEN(IF((COUNTIFS(TableBOM[Product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",""))&gt;1,LEFT(IF((COUNTIFS(TableBOM[Product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",""))-2),"")</f>
        <v/>
      </c>
    </row>
    <row r="37" spans="1:19" hidden="1" x14ac:dyDescent="0.25">
      <c r="A37" s="16">
        <v>4157</v>
      </c>
      <c r="B37" s="147" t="s">
        <v>57</v>
      </c>
      <c r="C37" s="147" t="s">
        <v>64</v>
      </c>
      <c r="D37" s="147" t="s">
        <v>36</v>
      </c>
      <c r="E37" s="148">
        <f>SUMPRODUCT((TableBOM[Item ID]=A37)*TableBOM[Per 1000 Units]*(1+TableBOM[Scrap %])*SUMIF($D$3:$D$8,TableBOM[Product ID],$H$3:$H$8)/1000)</f>
        <v>0</v>
      </c>
      <c r="F37" s="148">
        <f>IFERROR(INDEX(TableInventory[Store Balance],MATCH(A37,TableInventory[Item ID],0)),0)+IFERROR(INDEX(TableInventory[WIP],MATCH(A37,TableInventory[Item ID],0)),0)</f>
        <v>240</v>
      </c>
      <c r="G37" s="148">
        <f t="shared" si="1"/>
        <v>240</v>
      </c>
      <c r="H37" s="155" t="str">
        <f>IFERROR(IF(SUMPRODUCT((TableBOM[Item ID]=A37)*((SUMIF($D$3:$D$8,TableBOM[Product ID],$H$3:$H$8))&gt;0)*(SUMIF($D$3:$D$8,TableBOM[Product ID],$H$3:$H$8))*TableBOM[Per 1000 Units]*(1+TableBOM[Scrap %]))=0,"-",ROUND(F37*1000*SUMPRODUCT((TableBOM[Item ID]=A37)*((SUMIF($D$3:$D$8,TableBOM[Product ID],$H$3:$H$8))&gt;0)*(SUMIF($D$3:$D$8,TableBOM[Product ID],$H$3:$H$8)))/SUMPRODUCT((TableBOM[Item ID]=A37)*((SUMIF($D$3:$D$8,TableBOM[Product ID],$H$3:$H$8))&gt;0)*(SUMIF($D$3:$D$8,TableBOM[Product ID],$H$3:$H$8))*TableBOM[Per 1000 Units]*(1+TableBOM[Scrap %])),0)),"-")</f>
        <v>-</v>
      </c>
      <c r="I37" s="150" t="str">
        <f t="shared" si="2"/>
        <v>Not needed</v>
      </c>
      <c r="J37" s="155" t="str">
        <f>IF(LEN(IF((COUNTIFS(TableBOM[Product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",""))&gt;1,LEFT(IF((COUNTIFS(TableBOM[Product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",""))-2),"")</f>
        <v/>
      </c>
    </row>
    <row r="38" spans="1:19" hidden="1" x14ac:dyDescent="0.25">
      <c r="A38" s="16">
        <v>5895</v>
      </c>
      <c r="B38" s="147" t="s">
        <v>57</v>
      </c>
      <c r="C38" s="147" t="s">
        <v>65</v>
      </c>
      <c r="D38" s="147" t="s">
        <v>36</v>
      </c>
      <c r="E38" s="148">
        <f>SUMPRODUCT((TableBOM[Item ID]=A38)*TableBOM[Per 1000 Units]*(1+TableBOM[Scrap %])*SUMIF($D$3:$D$8,TableBOM[Product ID],$H$3:$H$8)/1000)</f>
        <v>0</v>
      </c>
      <c r="F38" s="148">
        <f>IFERROR(INDEX(TableInventory[Store Balance],MATCH(A38,TableInventory[Item ID],0)),0)+IFERROR(INDEX(TableInventory[WIP],MATCH(A38,TableInventory[Item ID],0)),0)</f>
        <v>50</v>
      </c>
      <c r="G38" s="148">
        <f t="shared" si="1"/>
        <v>50</v>
      </c>
      <c r="H38" s="155" t="str">
        <f>IFERROR(IF(SUMPRODUCT((TableBOM[Item ID]=A38)*((SUMIF($D$3:$D$8,TableBOM[Product ID],$H$3:$H$8))&gt;0)*(SUMIF($D$3:$D$8,TableBOM[Product ID],$H$3:$H$8))*TableBOM[Per 1000 Units]*(1+TableBOM[Scrap %]))=0,"-",ROUND(F38*1000*SUMPRODUCT((TableBOM[Item ID]=A38)*((SUMIF($D$3:$D$8,TableBOM[Product ID],$H$3:$H$8))&gt;0)*(SUMIF($D$3:$D$8,TableBOM[Product ID],$H$3:$H$8)))/SUMPRODUCT((TableBOM[Item ID]=A38)*((SUMIF($D$3:$D$8,TableBOM[Product ID],$H$3:$H$8))&gt;0)*(SUMIF($D$3:$D$8,TableBOM[Product ID],$H$3:$H$8))*TableBOM[Per 1000 Units]*(1+TableBOM[Scrap %])),0)),"-")</f>
        <v>-</v>
      </c>
      <c r="I38" s="150" t="str">
        <f t="shared" si="2"/>
        <v>Not needed</v>
      </c>
      <c r="J38" s="155" t="str">
        <f>IF(LEN(IF((COUNTIFS(TableBOM[Product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",""))&gt;1,LEFT(IF((COUNTIFS(TableBOM[Product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",""))-2),"")</f>
        <v/>
      </c>
      <c r="L38" s="11"/>
      <c r="M38" s="11"/>
      <c r="N38" s="11"/>
      <c r="O38" s="11"/>
      <c r="P38" s="11"/>
      <c r="Q38" s="11"/>
      <c r="R38" s="11"/>
      <c r="S38" s="2"/>
    </row>
    <row r="39" spans="1:19" hidden="1" x14ac:dyDescent="0.25">
      <c r="A39" s="16">
        <v>5974</v>
      </c>
      <c r="B39" s="147" t="s">
        <v>57</v>
      </c>
      <c r="C39" s="147" t="s">
        <v>66</v>
      </c>
      <c r="D39" s="147" t="s">
        <v>53</v>
      </c>
      <c r="E39" s="148">
        <f>SUMPRODUCT((TableBOM[Item ID]=A39)*TableBOM[Per 1000 Units]*(1+TableBOM[Scrap %])*SUMIF($D$3:$D$8,TableBOM[Product ID],$H$3:$H$8)/1000)</f>
        <v>0</v>
      </c>
      <c r="F39" s="148">
        <f>IFERROR(INDEX(TableInventory[Store Balance],MATCH(A39,TableInventory[Item ID],0)),0)+IFERROR(INDEX(TableInventory[WIP],MATCH(A39,TableInventory[Item ID],0)),0)</f>
        <v>25</v>
      </c>
      <c r="G39" s="148">
        <f t="shared" si="1"/>
        <v>25</v>
      </c>
      <c r="H39" s="155" t="str">
        <f>IFERROR(IF(SUMPRODUCT((TableBOM[Item ID]=A39)*((SUMIF($D$3:$D$8,TableBOM[Product ID],$H$3:$H$8))&gt;0)*(SUMIF($D$3:$D$8,TableBOM[Product ID],$H$3:$H$8))*TableBOM[Per 1000 Units]*(1+TableBOM[Scrap %]))=0,"-",ROUND(F39*1000*SUMPRODUCT((TableBOM[Item ID]=A39)*((SUMIF($D$3:$D$8,TableBOM[Product ID],$H$3:$H$8))&gt;0)*(SUMIF($D$3:$D$8,TableBOM[Product ID],$H$3:$H$8)))/SUMPRODUCT((TableBOM[Item ID]=A39)*((SUMIF($D$3:$D$8,TableBOM[Product ID],$H$3:$H$8))&gt;0)*(SUMIF($D$3:$D$8,TableBOM[Product ID],$H$3:$H$8))*TableBOM[Per 1000 Units]*(1+TableBOM[Scrap %])),0)),"-")</f>
        <v>-</v>
      </c>
      <c r="I39" s="150" t="str">
        <f t="shared" si="2"/>
        <v>Not needed</v>
      </c>
      <c r="J39" s="155" t="str">
        <f>IF(LEN(IF((COUNTIFS(TableBOM[Product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",""))&gt;1,LEFT(IF((COUNTIFS(TableBOM[Product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",""))-2),"")</f>
        <v/>
      </c>
    </row>
    <row r="40" spans="1:19" hidden="1" x14ac:dyDescent="0.25">
      <c r="A40" s="16">
        <v>177</v>
      </c>
      <c r="B40" s="147" t="s">
        <v>57</v>
      </c>
      <c r="C40" s="147" t="s">
        <v>67</v>
      </c>
      <c r="D40" s="147" t="s">
        <v>36</v>
      </c>
      <c r="E40" s="148">
        <f>SUMPRODUCT((TableBOM[Item ID]=A40)*TableBOM[Per 1000 Units]*(1+TableBOM[Scrap %])*SUMIF($D$3:$D$8,TableBOM[Product ID],$H$3:$H$8)/1000)</f>
        <v>0</v>
      </c>
      <c r="F40" s="148">
        <f>IFERROR(INDEX(TableInventory[Store Balance],MATCH(A40,TableInventory[Item ID],0)),0)+IFERROR(INDEX(TableInventory[WIP],MATCH(A40,TableInventory[Item ID],0)),0)</f>
        <v>450</v>
      </c>
      <c r="G40" s="148">
        <f t="shared" si="1"/>
        <v>450</v>
      </c>
      <c r="H40" s="155" t="str">
        <f>IFERROR(IF(SUMPRODUCT((TableBOM[Item ID]=A40)*((SUMIF($D$3:$D$8,TableBOM[Product ID],$H$3:$H$8))&gt;0)*(SUMIF($D$3:$D$8,TableBOM[Product ID],$H$3:$H$8))*TableBOM[Per 1000 Units]*(1+TableBOM[Scrap %]))=0,"-",ROUND(F40*1000*SUMPRODUCT((TableBOM[Item ID]=A40)*((SUMIF($D$3:$D$8,TableBOM[Product ID],$H$3:$H$8))&gt;0)*(SUMIF($D$3:$D$8,TableBOM[Product ID],$H$3:$H$8)))/SUMPRODUCT((TableBOM[Item ID]=A40)*((SUMIF($D$3:$D$8,TableBOM[Product ID],$H$3:$H$8))&gt;0)*(SUMIF($D$3:$D$8,TableBOM[Product ID],$H$3:$H$8))*TableBOM[Per 1000 Units]*(1+TableBOM[Scrap %])),0)),"-")</f>
        <v>-</v>
      </c>
      <c r="I40" s="150" t="str">
        <f t="shared" si="2"/>
        <v>Not needed</v>
      </c>
      <c r="J40" s="155" t="str">
        <f>IF(LEN(IF((COUNTIFS(TableBOM[Product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",""))&gt;1,LEFT(IF((COUNTIFS(TableBOM[Product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",""))-2),"")</f>
        <v/>
      </c>
    </row>
    <row r="41" spans="1:19" hidden="1" x14ac:dyDescent="0.25">
      <c r="A41" s="16">
        <v>6132</v>
      </c>
      <c r="B41" s="147" t="s">
        <v>57</v>
      </c>
      <c r="C41" s="147" t="s">
        <v>68</v>
      </c>
      <c r="D41" s="147" t="s">
        <v>36</v>
      </c>
      <c r="E41" s="148">
        <f>SUMPRODUCT((TableBOM[Item ID]=A41)*TableBOM[Per 1000 Units]*(1+TableBOM[Scrap %])*SUMIF($D$3:$D$8,TableBOM[Product ID],$H$3:$H$8)/1000)</f>
        <v>0</v>
      </c>
      <c r="F41" s="148">
        <f>IFERROR(INDEX(TableInventory[Store Balance],MATCH(A41,TableInventory[Item ID],0)),0)+IFERROR(INDEX(TableInventory[WIP],MATCH(A41,TableInventory[Item ID],0)),0)</f>
        <v>60</v>
      </c>
      <c r="G41" s="148">
        <f t="shared" si="1"/>
        <v>60</v>
      </c>
      <c r="H41" s="155" t="str">
        <f>IFERROR(IF(SUMPRODUCT((TableBOM[Item ID]=A41)*((SUMIF($D$3:$D$8,TableBOM[Product ID],$H$3:$H$8))&gt;0)*(SUMIF($D$3:$D$8,TableBOM[Product ID],$H$3:$H$8))*TableBOM[Per 1000 Units]*(1+TableBOM[Scrap %]))=0,"-",ROUND(F41*1000*SUMPRODUCT((TableBOM[Item ID]=A41)*((SUMIF($D$3:$D$8,TableBOM[Product ID],$H$3:$H$8))&gt;0)*(SUMIF($D$3:$D$8,TableBOM[Product ID],$H$3:$H$8)))/SUMPRODUCT((TableBOM[Item ID]=A41)*((SUMIF($D$3:$D$8,TableBOM[Product ID],$H$3:$H$8))&gt;0)*(SUMIF($D$3:$D$8,TableBOM[Product ID],$H$3:$H$8))*TableBOM[Per 1000 Units]*(1+TableBOM[Scrap %])),0)),"-")</f>
        <v>-</v>
      </c>
      <c r="I41" s="150" t="str">
        <f t="shared" si="2"/>
        <v>Not needed</v>
      </c>
      <c r="J41" s="155" t="str">
        <f>IF(LEN(IF((COUNTIFS(TableBOM[Product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",""))&gt;1,LEFT(IF((COUNTIFS(TableBOM[Product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",""))-2),"")</f>
        <v/>
      </c>
    </row>
    <row r="42" spans="1:19" x14ac:dyDescent="0.25">
      <c r="A42" s="16">
        <v>186</v>
      </c>
      <c r="B42" s="147" t="s">
        <v>69</v>
      </c>
      <c r="C42" s="147" t="s">
        <v>70</v>
      </c>
      <c r="D42" s="147" t="s">
        <v>36</v>
      </c>
      <c r="E42" s="148">
        <f>SUMPRODUCT((TableBOM[Item ID]=A42)*TableBOM[Per 1000 Units]*(1+TableBOM[Scrap %])*SUMIF($D$3:$D$8,TableBOM[Product ID],$H$3:$H$8)/1000)</f>
        <v>368.73812800000007</v>
      </c>
      <c r="F42" s="148">
        <f>IFERROR(INDEX(TableInventory[Store Balance],MATCH(A42,TableInventory[Item ID],0)),0)+IFERROR(INDEX(TableInventory[WIP],MATCH(A42,TableInventory[Item ID],0)),0)</f>
        <v>495</v>
      </c>
      <c r="G42" s="148">
        <f t="shared" si="1"/>
        <v>126.26187199999993</v>
      </c>
      <c r="H42" s="155">
        <f>IFERROR(IF(SUMPRODUCT((TableBOM[Item ID]=A42)*((SUMIF($D$3:$D$8,TableBOM[Product ID],$H$3:$H$8))&gt;0)*(SUMIF($D$3:$D$8,TableBOM[Product ID],$H$3:$H$8))*TableBOM[Per 1000 Units]*(1+TableBOM[Scrap %]))=0,"-",ROUND(F42*1000*SUMPRODUCT((TableBOM[Item ID]=A42)*((SUMIF($D$3:$D$8,TableBOM[Product ID],$H$3:$H$8))&gt;0)*(SUMIF($D$3:$D$8,TableBOM[Product ID],$H$3:$H$8)))/SUMPRODUCT((TableBOM[Item ID]=A42)*((SUMIF($D$3:$D$8,TableBOM[Product ID],$H$3:$H$8))&gt;0)*(SUMIF($D$3:$D$8,TableBOM[Product ID],$H$3:$H$8))*TableBOM[Per 1000 Units]*(1+TableBOM[Scrap %])),0)),"-")</f>
        <v>1245311</v>
      </c>
      <c r="I42" s="150" t="str">
        <f t="shared" si="2"/>
        <v>OK</v>
      </c>
      <c r="J42" s="156" t="str">
        <f>IF(LEN(IF((COUNTIFS(TableBOM[Product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",""))&gt;1,LEFT(IF((COUNTIFS(TableBOM[Product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",""))-2),"")</f>
        <v>HIS ONLY HAIR COLOR CREAM 40GM, VINCE NURTURAL, HELLO HAIR COLOR, H.H 100GM</v>
      </c>
    </row>
    <row r="43" spans="1:19" hidden="1" x14ac:dyDescent="0.25">
      <c r="A43" s="16">
        <v>69</v>
      </c>
      <c r="B43" s="147" t="s">
        <v>71</v>
      </c>
      <c r="C43" s="147" t="s">
        <v>72</v>
      </c>
      <c r="D43" s="147" t="s">
        <v>73</v>
      </c>
      <c r="E43" s="148">
        <f>SUMPRODUCT((TableBOM[Item ID]=A43)*TableBOM[Per 1000 Units]*(1+TableBOM[Scrap %])*SUMIF($D$3:$D$8,TableBOM[Product ID],$H$3:$H$8)/1000)</f>
        <v>0</v>
      </c>
      <c r="F43" s="148">
        <f>IFERROR(INDEX(TableInventory[Store Balance],MATCH(A43,TableInventory[Item ID],0)),0)+IFERROR(INDEX(TableInventory[WIP],MATCH(A43,TableInventory[Item ID],0)),0)</f>
        <v>0</v>
      </c>
      <c r="G43" s="148">
        <f t="shared" si="1"/>
        <v>0</v>
      </c>
      <c r="H43" s="155" t="str">
        <f>IFERROR(IF(SUMPRODUCT((TableBOM[Item ID]=A43)*((SUMIF($D$3:$D$8,TableBOM[Product ID],$H$3:$H$8))&gt;0)*(SUMIF($D$3:$D$8,TableBOM[Product ID],$H$3:$H$8))*TableBOM[Per 1000 Units]*(1+TableBOM[Scrap %]))=0,"-",ROUND(F43*1000*SUMPRODUCT((TableBOM[Item ID]=A43)*((SUMIF($D$3:$D$8,TableBOM[Product ID],$H$3:$H$8))&gt;0)*(SUMIF($D$3:$D$8,TableBOM[Product ID],$H$3:$H$8)))/SUMPRODUCT((TableBOM[Item ID]=A43)*((SUMIF($D$3:$D$8,TableBOM[Product ID],$H$3:$H$8))&gt;0)*(SUMIF($D$3:$D$8,TableBOM[Product ID],$H$3:$H$8))*TableBOM[Per 1000 Units]*(1+TableBOM[Scrap %])),0)),"-")</f>
        <v>-</v>
      </c>
      <c r="I43" s="150" t="str">
        <f t="shared" si="2"/>
        <v>Not needed</v>
      </c>
      <c r="J43" s="155" t="str">
        <f>IF(LEN(IF((COUNTIFS(TableBOM[Product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",""))&gt;1,LEFT(IF((COUNTIFS(TableBOM[Product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",""))-2),"")</f>
        <v/>
      </c>
    </row>
    <row r="44" spans="1:19" hidden="1" x14ac:dyDescent="0.25">
      <c r="A44" s="16">
        <v>99</v>
      </c>
      <c r="B44" s="147" t="s">
        <v>71</v>
      </c>
      <c r="C44" s="147" t="s">
        <v>74</v>
      </c>
      <c r="D44" s="147" t="s">
        <v>73</v>
      </c>
      <c r="E44" s="148">
        <f>SUMPRODUCT((TableBOM[Item ID]=A44)*TableBOM[Per 1000 Units]*(1+TableBOM[Scrap %])*SUMIF($D$3:$D$8,TableBOM[Product ID],$H$3:$H$8)/1000)</f>
        <v>0</v>
      </c>
      <c r="F44" s="148">
        <f>IFERROR(INDEX(TableInventory[Store Balance],MATCH(A44,TableInventory[Item ID],0)),0)+IFERROR(INDEX(TableInventory[WIP],MATCH(A44,TableInventory[Item ID],0)),0)</f>
        <v>10000</v>
      </c>
      <c r="G44" s="148">
        <f t="shared" ref="G44:G75" si="3">F44-E44</f>
        <v>10000</v>
      </c>
      <c r="H44" s="155" t="str">
        <f>IFERROR(IF(SUMPRODUCT((TableBOM[Item ID]=A44)*((SUMIF($D$3:$D$8,TableBOM[Product ID],$H$3:$H$8))&gt;0)*(SUMIF($D$3:$D$8,TableBOM[Product ID],$H$3:$H$8))*TableBOM[Per 1000 Units]*(1+TableBOM[Scrap %]))=0,"-",ROUND(F44*1000*SUMPRODUCT((TableBOM[Item ID]=A44)*((SUMIF($D$3:$D$8,TableBOM[Product ID],$H$3:$H$8))&gt;0)*(SUMIF($D$3:$D$8,TableBOM[Product ID],$H$3:$H$8)))/SUMPRODUCT((TableBOM[Item ID]=A44)*((SUMIF($D$3:$D$8,TableBOM[Product ID],$H$3:$H$8))&gt;0)*(SUMIF($D$3:$D$8,TableBOM[Product ID],$H$3:$H$8))*TableBOM[Per 1000 Units]*(1+TableBOM[Scrap %])),0)),"-")</f>
        <v>-</v>
      </c>
      <c r="I44" s="150" t="str">
        <f t="shared" ref="I44:I75" si="4">IF(E44=0,"Not needed",IF(G44&lt;0,"SHORTAGE",IF(G44&lt;E44*0.1,"LOW","OK")))</f>
        <v>Not needed</v>
      </c>
      <c r="J44" s="155" t="str">
        <f>IF(LEN(IF((COUNTIFS(TableBOM[Product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",""))&gt;1,LEFT(IF((COUNTIFS(TableBOM[Product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",""))-2),"")</f>
        <v/>
      </c>
      <c r="L44" s="11"/>
      <c r="M44" s="11"/>
      <c r="N44" s="11"/>
      <c r="O44" s="11"/>
      <c r="P44" s="11"/>
      <c r="Q44" s="11"/>
      <c r="R44" s="11"/>
      <c r="S44" s="2"/>
    </row>
    <row r="45" spans="1:19" hidden="1" x14ac:dyDescent="0.25">
      <c r="A45" s="16">
        <v>72</v>
      </c>
      <c r="B45" s="147" t="s">
        <v>71</v>
      </c>
      <c r="C45" s="147" t="s">
        <v>75</v>
      </c>
      <c r="D45" s="147" t="s">
        <v>73</v>
      </c>
      <c r="E45" s="148">
        <f>SUMPRODUCT((TableBOM[Item ID]=A45)*TableBOM[Per 1000 Units]*(1+TableBOM[Scrap %])*SUMIF($D$3:$D$8,TableBOM[Product ID],$H$3:$H$8)/1000)</f>
        <v>0</v>
      </c>
      <c r="F45" s="148">
        <f>IFERROR(INDEX(TableInventory[Store Balance],MATCH(A45,TableInventory[Item ID],0)),0)+IFERROR(INDEX(TableInventory[WIP],MATCH(A45,TableInventory[Item ID],0)),0)</f>
        <v>23741</v>
      </c>
      <c r="G45" s="148">
        <f t="shared" si="3"/>
        <v>23741</v>
      </c>
      <c r="H45" s="155" t="str">
        <f>IFERROR(IF(SUMPRODUCT((TableBOM[Item ID]=A45)*((SUMIF($D$3:$D$8,TableBOM[Product ID],$H$3:$H$8))&gt;0)*(SUMIF($D$3:$D$8,TableBOM[Product ID],$H$3:$H$8))*TableBOM[Per 1000 Units]*(1+TableBOM[Scrap %]))=0,"-",ROUND(F45*1000*SUMPRODUCT((TableBOM[Item ID]=A45)*((SUMIF($D$3:$D$8,TableBOM[Product ID],$H$3:$H$8))&gt;0)*(SUMIF($D$3:$D$8,TableBOM[Product ID],$H$3:$H$8)))/SUMPRODUCT((TableBOM[Item ID]=A45)*((SUMIF($D$3:$D$8,TableBOM[Product ID],$H$3:$H$8))&gt;0)*(SUMIF($D$3:$D$8,TableBOM[Product ID],$H$3:$H$8))*TableBOM[Per 1000 Units]*(1+TableBOM[Scrap %])),0)),"-")</f>
        <v>-</v>
      </c>
      <c r="I45" s="150" t="str">
        <f t="shared" si="4"/>
        <v>Not needed</v>
      </c>
      <c r="J45" s="155" t="str">
        <f>IF(LEN(IF((COUNTIFS(TableBOM[Product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",""))&gt;1,LEFT(IF((COUNTIFS(TableBOM[Product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",""))-2),"")</f>
        <v/>
      </c>
      <c r="L45" s="11"/>
      <c r="M45" s="11"/>
      <c r="N45" s="11"/>
      <c r="O45" s="11"/>
      <c r="P45" s="11"/>
      <c r="Q45" s="11"/>
      <c r="R45" s="11"/>
      <c r="S45" s="2"/>
    </row>
    <row r="46" spans="1:19" hidden="1" x14ac:dyDescent="0.25">
      <c r="A46" s="16">
        <v>79</v>
      </c>
      <c r="B46" s="147" t="s">
        <v>71</v>
      </c>
      <c r="C46" s="147" t="s">
        <v>76</v>
      </c>
      <c r="D46" s="147" t="s">
        <v>73</v>
      </c>
      <c r="E46" s="148">
        <f>SUMPRODUCT((TableBOM[Item ID]=A46)*TableBOM[Per 1000 Units]*(1+TableBOM[Scrap %])*SUMIF($D$3:$D$8,TableBOM[Product ID],$H$3:$H$8)/1000)</f>
        <v>0</v>
      </c>
      <c r="F46" s="148">
        <f>IFERROR(INDEX(TableInventory[Store Balance],MATCH(A46,TableInventory[Item ID],0)),0)+IFERROR(INDEX(TableInventory[WIP],MATCH(A46,TableInventory[Item ID],0)),0)</f>
        <v>83600</v>
      </c>
      <c r="G46" s="148">
        <f t="shared" si="3"/>
        <v>83600</v>
      </c>
      <c r="H46" s="155" t="str">
        <f>IFERROR(IF(SUMPRODUCT((TableBOM[Item ID]=A46)*((SUMIF($D$3:$D$8,TableBOM[Product ID],$H$3:$H$8))&gt;0)*(SUMIF($D$3:$D$8,TableBOM[Product ID],$H$3:$H$8))*TableBOM[Per 1000 Units]*(1+TableBOM[Scrap %]))=0,"-",ROUND(F46*1000*SUMPRODUCT((TableBOM[Item ID]=A46)*((SUMIF($D$3:$D$8,TableBOM[Product ID],$H$3:$H$8))&gt;0)*(SUMIF($D$3:$D$8,TableBOM[Product ID],$H$3:$H$8)))/SUMPRODUCT((TableBOM[Item ID]=A46)*((SUMIF($D$3:$D$8,TableBOM[Product ID],$H$3:$H$8))&gt;0)*(SUMIF($D$3:$D$8,TableBOM[Product ID],$H$3:$H$8))*TableBOM[Per 1000 Units]*(1+TableBOM[Scrap %])),0)),"-")</f>
        <v>-</v>
      </c>
      <c r="I46" s="150" t="str">
        <f t="shared" si="4"/>
        <v>Not needed</v>
      </c>
      <c r="J46" s="155" t="str">
        <f>IF(LEN(IF((COUNTIFS(TableBOM[Product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",""))&gt;1,LEFT(IF((COUNTIFS(TableBOM[Product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",""))-2),"")</f>
        <v/>
      </c>
      <c r="L46" s="11"/>
      <c r="M46" s="11"/>
      <c r="N46" s="11"/>
      <c r="O46" s="11"/>
      <c r="P46" s="11"/>
      <c r="Q46" s="11"/>
      <c r="R46" s="11"/>
      <c r="S46" s="2"/>
    </row>
    <row r="47" spans="1:19" hidden="1" x14ac:dyDescent="0.25">
      <c r="A47" s="16">
        <v>80</v>
      </c>
      <c r="B47" s="147" t="s">
        <v>71</v>
      </c>
      <c r="C47" s="147" t="s">
        <v>77</v>
      </c>
      <c r="D47" s="147" t="s">
        <v>73</v>
      </c>
      <c r="E47" s="148">
        <f>SUMPRODUCT((TableBOM[Item ID]=A47)*TableBOM[Per 1000 Units]*(1+TableBOM[Scrap %])*SUMIF($D$3:$D$8,TableBOM[Product ID],$H$3:$H$8)/1000)</f>
        <v>0</v>
      </c>
      <c r="F47" s="148">
        <f>IFERROR(INDEX(TableInventory[Store Balance],MATCH(A47,TableInventory[Item ID],0)),0)+IFERROR(INDEX(TableInventory[WIP],MATCH(A47,TableInventory[Item ID],0)),0)</f>
        <v>100000</v>
      </c>
      <c r="G47" s="148">
        <f t="shared" si="3"/>
        <v>100000</v>
      </c>
      <c r="H47" s="155" t="str">
        <f>IFERROR(IF(SUMPRODUCT((TableBOM[Item ID]=A47)*((SUMIF($D$3:$D$8,TableBOM[Product ID],$H$3:$H$8))&gt;0)*(SUMIF($D$3:$D$8,TableBOM[Product ID],$H$3:$H$8))*TableBOM[Per 1000 Units]*(1+TableBOM[Scrap %]))=0,"-",ROUND(F47*1000*SUMPRODUCT((TableBOM[Item ID]=A47)*((SUMIF($D$3:$D$8,TableBOM[Product ID],$H$3:$H$8))&gt;0)*(SUMIF($D$3:$D$8,TableBOM[Product ID],$H$3:$H$8)))/SUMPRODUCT((TableBOM[Item ID]=A47)*((SUMIF($D$3:$D$8,TableBOM[Product ID],$H$3:$H$8))&gt;0)*(SUMIF($D$3:$D$8,TableBOM[Product ID],$H$3:$H$8))*TableBOM[Per 1000 Units]*(1+TableBOM[Scrap %])),0)),"-")</f>
        <v>-</v>
      </c>
      <c r="I47" s="150" t="str">
        <f t="shared" si="4"/>
        <v>Not needed</v>
      </c>
      <c r="J47" s="155" t="str">
        <f>IF(LEN(IF((COUNTIFS(TableBOM[Product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",""))&gt;1,LEFT(IF((COUNTIFS(TableBOM[Product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",""))-2),"")</f>
        <v/>
      </c>
    </row>
    <row r="48" spans="1:19" hidden="1" x14ac:dyDescent="0.25">
      <c r="A48" s="16">
        <v>81</v>
      </c>
      <c r="B48" s="147" t="s">
        <v>71</v>
      </c>
      <c r="C48" s="147" t="s">
        <v>78</v>
      </c>
      <c r="D48" s="147" t="s">
        <v>73</v>
      </c>
      <c r="E48" s="148">
        <f>SUMPRODUCT((TableBOM[Item ID]=A48)*TableBOM[Per 1000 Units]*(1+TableBOM[Scrap %])*SUMIF($D$3:$D$8,TableBOM[Product ID],$H$3:$H$8)/1000)</f>
        <v>0</v>
      </c>
      <c r="F48" s="148">
        <f>IFERROR(INDEX(TableInventory[Store Balance],MATCH(A48,TableInventory[Item ID],0)),0)+IFERROR(INDEX(TableInventory[WIP],MATCH(A48,TableInventory[Item ID],0)),0)</f>
        <v>553124</v>
      </c>
      <c r="G48" s="148">
        <f t="shared" si="3"/>
        <v>553124</v>
      </c>
      <c r="H48" s="155" t="str">
        <f>IFERROR(IF(SUMPRODUCT((TableBOM[Item ID]=A48)*((SUMIF($D$3:$D$8,TableBOM[Product ID],$H$3:$H$8))&gt;0)*(SUMIF($D$3:$D$8,TableBOM[Product ID],$H$3:$H$8))*TableBOM[Per 1000 Units]*(1+TableBOM[Scrap %]))=0,"-",ROUND(F48*1000*SUMPRODUCT((TableBOM[Item ID]=A48)*((SUMIF($D$3:$D$8,TableBOM[Product ID],$H$3:$H$8))&gt;0)*(SUMIF($D$3:$D$8,TableBOM[Product ID],$H$3:$H$8)))/SUMPRODUCT((TableBOM[Item ID]=A48)*((SUMIF($D$3:$D$8,TableBOM[Product ID],$H$3:$H$8))&gt;0)*(SUMIF($D$3:$D$8,TableBOM[Product ID],$H$3:$H$8))*TableBOM[Per 1000 Units]*(1+TableBOM[Scrap %])),0)),"-")</f>
        <v>-</v>
      </c>
      <c r="I48" s="150" t="str">
        <f t="shared" si="4"/>
        <v>Not needed</v>
      </c>
      <c r="J48" s="155" t="str">
        <f>IF(LEN(IF((COUNTIFS(TableBOM[Product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",""))&gt;1,LEFT(IF((COUNTIFS(TableBOM[Product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",""))-2),"")</f>
        <v/>
      </c>
    </row>
    <row r="49" spans="1:10" hidden="1" x14ac:dyDescent="0.25">
      <c r="A49" s="16">
        <v>1800</v>
      </c>
      <c r="B49" s="147" t="s">
        <v>71</v>
      </c>
      <c r="C49" s="147" t="s">
        <v>79</v>
      </c>
      <c r="D49" s="147" t="s">
        <v>73</v>
      </c>
      <c r="E49" s="148">
        <f>SUMPRODUCT((TableBOM[Item ID]=A49)*TableBOM[Per 1000 Units]*(1+TableBOM[Scrap %])*SUMIF($D$3:$D$8,TableBOM[Product ID],$H$3:$H$8)/1000)</f>
        <v>0</v>
      </c>
      <c r="F49" s="148">
        <f>IFERROR(INDEX(TableInventory[Store Balance],MATCH(A49,TableInventory[Item ID],0)),0)+IFERROR(INDEX(TableInventory[WIP],MATCH(A49,TableInventory[Item ID],0)),0)</f>
        <v>0</v>
      </c>
      <c r="G49" s="148">
        <f t="shared" si="3"/>
        <v>0</v>
      </c>
      <c r="H49" s="155" t="str">
        <f>IFERROR(IF(SUMPRODUCT((TableBOM[Item ID]=A49)*((SUMIF($D$3:$D$8,TableBOM[Product ID],$H$3:$H$8))&gt;0)*(SUMIF($D$3:$D$8,TableBOM[Product ID],$H$3:$H$8))*TableBOM[Per 1000 Units]*(1+TableBOM[Scrap %]))=0,"-",ROUND(F49*1000*SUMPRODUCT((TableBOM[Item ID]=A49)*((SUMIF($D$3:$D$8,TableBOM[Product ID],$H$3:$H$8))&gt;0)*(SUMIF($D$3:$D$8,TableBOM[Product ID],$H$3:$H$8)))/SUMPRODUCT((TableBOM[Item ID]=A49)*((SUMIF($D$3:$D$8,TableBOM[Product ID],$H$3:$H$8))&gt;0)*(SUMIF($D$3:$D$8,TableBOM[Product ID],$H$3:$H$8))*TableBOM[Per 1000 Units]*(1+TableBOM[Scrap %])),0)),"-")</f>
        <v>-</v>
      </c>
      <c r="I49" s="150" t="str">
        <f t="shared" si="4"/>
        <v>Not needed</v>
      </c>
      <c r="J49" s="155" t="str">
        <f>IF(LEN(IF((COUNTIFS(TableBOM[Product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",""))&gt;1,LEFT(IF((COUNTIFS(TableBOM[Product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",""))-2),"")</f>
        <v/>
      </c>
    </row>
    <row r="50" spans="1:10" hidden="1" x14ac:dyDescent="0.25">
      <c r="A50" s="16">
        <v>3211</v>
      </c>
      <c r="B50" s="147" t="s">
        <v>71</v>
      </c>
      <c r="C50" s="147" t="s">
        <v>80</v>
      </c>
      <c r="D50" s="147" t="s">
        <v>73</v>
      </c>
      <c r="E50" s="153">
        <f>SUMPRODUCT((TableBOM[Item ID]=A50)*TableBOM[Per 1000 Units]*(1+TableBOM[Scrap %])*SUMIF($D$3:$D$8,TableBOM[Product ID],$H$3:$H$8)/1000)</f>
        <v>0</v>
      </c>
      <c r="F50" s="153">
        <f>IFERROR(INDEX(TableInventory[Store Balance],MATCH(A50,TableInventory[Item ID],0)),0)+IFERROR(INDEX(TableInventory[WIP],MATCH(A50,TableInventory[Item ID],0)),0)</f>
        <v>4000</v>
      </c>
      <c r="G50" s="153">
        <f t="shared" si="3"/>
        <v>4000</v>
      </c>
      <c r="H50" s="155" t="str">
        <f>IFERROR(IF(SUMPRODUCT((TableBOM[Item ID]=A50)*((SUMIF($D$3:$D$8,TableBOM[Product ID],$H$3:$H$8))&gt;0)*(SUMIF($D$3:$D$8,TableBOM[Product ID],$H$3:$H$8))*TableBOM[Per 1000 Units]*(1+TableBOM[Scrap %]))=0,"-",ROUND(F50*1000*SUMPRODUCT((TableBOM[Item ID]=A50)*((SUMIF($D$3:$D$8,TableBOM[Product ID],$H$3:$H$8))&gt;0)*(SUMIF($D$3:$D$8,TableBOM[Product ID],$H$3:$H$8)))/SUMPRODUCT((TableBOM[Item ID]=A50)*((SUMIF($D$3:$D$8,TableBOM[Product ID],$H$3:$H$8))&gt;0)*(SUMIF($D$3:$D$8,TableBOM[Product ID],$H$3:$H$8))*TableBOM[Per 1000 Units]*(1+TableBOM[Scrap %])),0)),"-")</f>
        <v>-</v>
      </c>
      <c r="I50" s="150" t="str">
        <f t="shared" si="4"/>
        <v>Not needed</v>
      </c>
      <c r="J50" s="155" t="str">
        <f>IF(LEN(IF((COUNTIFS(TableBOM[Product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",""))&gt;1,LEFT(IF((COUNTIFS(TableBOM[Product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",""))-2),"")</f>
        <v/>
      </c>
    </row>
    <row r="51" spans="1:10" hidden="1" x14ac:dyDescent="0.25">
      <c r="A51" s="16">
        <v>4015</v>
      </c>
      <c r="B51" s="147" t="s">
        <v>71</v>
      </c>
      <c r="C51" s="147" t="s">
        <v>81</v>
      </c>
      <c r="D51" s="147" t="s">
        <v>73</v>
      </c>
      <c r="E51" s="148">
        <f>SUMPRODUCT((TableBOM[Item ID]=A51)*TableBOM[Per 1000 Units]*(1+TableBOM[Scrap %])*SUMIF($D$3:$D$8,TableBOM[Product ID],$H$3:$H$8)/1000)</f>
        <v>0</v>
      </c>
      <c r="F51" s="148">
        <f>IFERROR(INDEX(TableInventory[Store Balance],MATCH(A51,TableInventory[Item ID],0)),0)+IFERROR(INDEX(TableInventory[WIP],MATCH(A51,TableInventory[Item ID],0)),0)</f>
        <v>475000</v>
      </c>
      <c r="G51" s="148">
        <f t="shared" si="3"/>
        <v>475000</v>
      </c>
      <c r="H51" s="155" t="str">
        <f>IFERROR(IF(SUMPRODUCT((TableBOM[Item ID]=A51)*((SUMIF($D$3:$D$8,TableBOM[Product ID],$H$3:$H$8))&gt;0)*(SUMIF($D$3:$D$8,TableBOM[Product ID],$H$3:$H$8))*TableBOM[Per 1000 Units]*(1+TableBOM[Scrap %]))=0,"-",ROUND(F51*1000*SUMPRODUCT((TableBOM[Item ID]=A51)*((SUMIF($D$3:$D$8,TableBOM[Product ID],$H$3:$H$8))&gt;0)*(SUMIF($D$3:$D$8,TableBOM[Product ID],$H$3:$H$8)))/SUMPRODUCT((TableBOM[Item ID]=A51)*((SUMIF($D$3:$D$8,TableBOM[Product ID],$H$3:$H$8))&gt;0)*(SUMIF($D$3:$D$8,TableBOM[Product ID],$H$3:$H$8))*TableBOM[Per 1000 Units]*(1+TableBOM[Scrap %])),0)),"-")</f>
        <v>-</v>
      </c>
      <c r="I51" s="150" t="str">
        <f t="shared" si="4"/>
        <v>Not needed</v>
      </c>
      <c r="J51" s="155" t="str">
        <f>IF(LEN(IF((COUNTIFS(TableBOM[Product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",""))&gt;1,LEFT(IF((COUNTIFS(TableBOM[Product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",""))-2),"")</f>
        <v/>
      </c>
    </row>
    <row r="52" spans="1:10" hidden="1" x14ac:dyDescent="0.25">
      <c r="A52" s="16">
        <v>4044</v>
      </c>
      <c r="B52" s="147" t="s">
        <v>71</v>
      </c>
      <c r="C52" s="147" t="s">
        <v>82</v>
      </c>
      <c r="D52" s="147" t="s">
        <v>73</v>
      </c>
      <c r="E52" s="148">
        <f>SUMPRODUCT((TableBOM[Item ID]=A52)*TableBOM[Per 1000 Units]*(1+TableBOM[Scrap %])*SUMIF($D$3:$D$8,TableBOM[Product ID],$H$3:$H$8)/1000)</f>
        <v>0</v>
      </c>
      <c r="F52" s="148">
        <f>IFERROR(INDEX(TableInventory[Store Balance],MATCH(A52,TableInventory[Item ID],0)),0)+IFERROR(INDEX(TableInventory[WIP],MATCH(A52,TableInventory[Item ID],0)),0)</f>
        <v>0</v>
      </c>
      <c r="G52" s="148">
        <f t="shared" si="3"/>
        <v>0</v>
      </c>
      <c r="H52" s="155" t="str">
        <f>IFERROR(IF(SUMPRODUCT((TableBOM[Item ID]=A52)*((SUMIF($D$3:$D$8,TableBOM[Product ID],$H$3:$H$8))&gt;0)*(SUMIF($D$3:$D$8,TableBOM[Product ID],$H$3:$H$8))*TableBOM[Per 1000 Units]*(1+TableBOM[Scrap %]))=0,"-",ROUND(F52*1000*SUMPRODUCT((TableBOM[Item ID]=A52)*((SUMIF($D$3:$D$8,TableBOM[Product ID],$H$3:$H$8))&gt;0)*(SUMIF($D$3:$D$8,TableBOM[Product ID],$H$3:$H$8)))/SUMPRODUCT((TableBOM[Item ID]=A52)*((SUMIF($D$3:$D$8,TableBOM[Product ID],$H$3:$H$8))&gt;0)*(SUMIF($D$3:$D$8,TableBOM[Product ID],$H$3:$H$8))*TableBOM[Per 1000 Units]*(1+TableBOM[Scrap %])),0)),"-")</f>
        <v>-</v>
      </c>
      <c r="I52" s="150" t="str">
        <f t="shared" si="4"/>
        <v>Not needed</v>
      </c>
      <c r="J52" s="155" t="str">
        <f>IF(LEN(IF((COUNTIFS(TableBOM[Product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",""))&gt;1,LEFT(IF((COUNTIFS(TableBOM[Product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",""))-2),"")</f>
        <v/>
      </c>
    </row>
    <row r="53" spans="1:10" hidden="1" x14ac:dyDescent="0.25">
      <c r="A53" s="16">
        <v>4088</v>
      </c>
      <c r="B53" s="147" t="s">
        <v>71</v>
      </c>
      <c r="C53" s="147" t="s">
        <v>83</v>
      </c>
      <c r="D53" s="147" t="s">
        <v>73</v>
      </c>
      <c r="E53" s="148">
        <f>SUMPRODUCT((TableBOM[Item ID]=A53)*TableBOM[Per 1000 Units]*(1+TableBOM[Scrap %])*SUMIF($D$3:$D$8,TableBOM[Product ID],$H$3:$H$8)/1000)</f>
        <v>0</v>
      </c>
      <c r="F53" s="148">
        <f>IFERROR(INDEX(TableInventory[Store Balance],MATCH(A53,TableInventory[Item ID],0)),0)+IFERROR(INDEX(TableInventory[WIP],MATCH(A53,TableInventory[Item ID],0)),0)</f>
        <v>60000</v>
      </c>
      <c r="G53" s="148">
        <f t="shared" si="3"/>
        <v>60000</v>
      </c>
      <c r="H53" s="155" t="str">
        <f>IFERROR(IF(SUMPRODUCT((TableBOM[Item ID]=A53)*((SUMIF($D$3:$D$8,TableBOM[Product ID],$H$3:$H$8))&gt;0)*(SUMIF($D$3:$D$8,TableBOM[Product ID],$H$3:$H$8))*TableBOM[Per 1000 Units]*(1+TableBOM[Scrap %]))=0,"-",ROUND(F53*1000*SUMPRODUCT((TableBOM[Item ID]=A53)*((SUMIF($D$3:$D$8,TableBOM[Product ID],$H$3:$H$8))&gt;0)*(SUMIF($D$3:$D$8,TableBOM[Product ID],$H$3:$H$8)))/SUMPRODUCT((TableBOM[Item ID]=A53)*((SUMIF($D$3:$D$8,TableBOM[Product ID],$H$3:$H$8))&gt;0)*(SUMIF($D$3:$D$8,TableBOM[Product ID],$H$3:$H$8))*TableBOM[Per 1000 Units]*(1+TableBOM[Scrap %])),0)),"-")</f>
        <v>-</v>
      </c>
      <c r="I53" s="150" t="str">
        <f t="shared" si="4"/>
        <v>Not needed</v>
      </c>
      <c r="J53" s="155" t="str">
        <f>IF(LEN(IF((COUNTIFS(TableBOM[Product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",""))&gt;1,LEFT(IF((COUNTIFS(TableBOM[Product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",""))-2),"")</f>
        <v/>
      </c>
    </row>
    <row r="54" spans="1:10" hidden="1" x14ac:dyDescent="0.25">
      <c r="A54" s="16">
        <v>4143</v>
      </c>
      <c r="B54" s="147" t="s">
        <v>71</v>
      </c>
      <c r="C54" s="147" t="s">
        <v>84</v>
      </c>
      <c r="D54" s="147" t="s">
        <v>73</v>
      </c>
      <c r="E54" s="148">
        <f>SUMPRODUCT((TableBOM[Item ID]=A54)*TableBOM[Per 1000 Units]*(1+TableBOM[Scrap %])*SUMIF($D$3:$D$8,TableBOM[Product ID],$H$3:$H$8)/1000)</f>
        <v>0</v>
      </c>
      <c r="F54" s="148">
        <f>IFERROR(INDEX(TableInventory[Store Balance],MATCH(A54,TableInventory[Item ID],0)),0)+IFERROR(INDEX(TableInventory[WIP],MATCH(A54,TableInventory[Item ID],0)),0)</f>
        <v>65000</v>
      </c>
      <c r="G54" s="148">
        <f t="shared" si="3"/>
        <v>65000</v>
      </c>
      <c r="H54" s="155" t="str">
        <f>IFERROR(IF(SUMPRODUCT((TableBOM[Item ID]=A54)*((SUMIF($D$3:$D$8,TableBOM[Product ID],$H$3:$H$8))&gt;0)*(SUMIF($D$3:$D$8,TableBOM[Product ID],$H$3:$H$8))*TableBOM[Per 1000 Units]*(1+TableBOM[Scrap %]))=0,"-",ROUND(F54*1000*SUMPRODUCT((TableBOM[Item ID]=A54)*((SUMIF($D$3:$D$8,TableBOM[Product ID],$H$3:$H$8))&gt;0)*(SUMIF($D$3:$D$8,TableBOM[Product ID],$H$3:$H$8)))/SUMPRODUCT((TableBOM[Item ID]=A54)*((SUMIF($D$3:$D$8,TableBOM[Product ID],$H$3:$H$8))&gt;0)*(SUMIF($D$3:$D$8,TableBOM[Product ID],$H$3:$H$8))*TableBOM[Per 1000 Units]*(1+TableBOM[Scrap %])),0)),"-")</f>
        <v>-</v>
      </c>
      <c r="I54" s="150" t="str">
        <f t="shared" si="4"/>
        <v>Not needed</v>
      </c>
      <c r="J54" s="155" t="str">
        <f>IF(LEN(IF((COUNTIFS(TableBOM[Product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",""))&gt;1,LEFT(IF((COUNTIFS(TableBOM[Product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",""))-2),"")</f>
        <v/>
      </c>
    </row>
    <row r="55" spans="1:10" hidden="1" x14ac:dyDescent="0.25">
      <c r="A55" s="16">
        <v>6971</v>
      </c>
      <c r="B55" s="147" t="s">
        <v>71</v>
      </c>
      <c r="C55" s="147" t="s">
        <v>85</v>
      </c>
      <c r="D55" s="147" t="s">
        <v>73</v>
      </c>
      <c r="E55" s="148">
        <f>SUMPRODUCT((TableBOM[Item ID]=A55)*TableBOM[Per 1000 Units]*(1+TableBOM[Scrap %])*SUMIF($D$3:$D$8,TableBOM[Product ID],$H$3:$H$8)/1000)</f>
        <v>0</v>
      </c>
      <c r="F55" s="148">
        <f>IFERROR(INDEX(TableInventory[Store Balance],MATCH(A55,TableInventory[Item ID],0)),0)+IFERROR(INDEX(TableInventory[WIP],MATCH(A55,TableInventory[Item ID],0)),0)</f>
        <v>0</v>
      </c>
      <c r="G55" s="148">
        <f t="shared" si="3"/>
        <v>0</v>
      </c>
      <c r="H55" s="155" t="str">
        <f>IFERROR(IF(SUMPRODUCT((TableBOM[Item ID]=A55)*((SUMIF($D$3:$D$8,TableBOM[Product ID],$H$3:$H$8))&gt;0)*(SUMIF($D$3:$D$8,TableBOM[Product ID],$H$3:$H$8))*TableBOM[Per 1000 Units]*(1+TableBOM[Scrap %]))=0,"-",ROUND(F55*1000*SUMPRODUCT((TableBOM[Item ID]=A55)*((SUMIF($D$3:$D$8,TableBOM[Product ID],$H$3:$H$8))&gt;0)*(SUMIF($D$3:$D$8,TableBOM[Product ID],$H$3:$H$8)))/SUMPRODUCT((TableBOM[Item ID]=A55)*((SUMIF($D$3:$D$8,TableBOM[Product ID],$H$3:$H$8))&gt;0)*(SUMIF($D$3:$D$8,TableBOM[Product ID],$H$3:$H$8))*TableBOM[Per 1000 Units]*(1+TableBOM[Scrap %])),0)),"-")</f>
        <v>-</v>
      </c>
      <c r="I55" s="150" t="str">
        <f t="shared" si="4"/>
        <v>Not needed</v>
      </c>
      <c r="J55" s="155" t="str">
        <f>IF(LEN(IF((COUNTIFS(TableBOM[Product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",""))&gt;1,LEFT(IF((COUNTIFS(TableBOM[Product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",""))-2),"")</f>
        <v/>
      </c>
    </row>
    <row r="56" spans="1:10" x14ac:dyDescent="0.25">
      <c r="A56" s="16">
        <v>7370</v>
      </c>
      <c r="B56" s="147" t="s">
        <v>71</v>
      </c>
      <c r="C56" s="147" t="s">
        <v>86</v>
      </c>
      <c r="D56" s="147" t="s">
        <v>73</v>
      </c>
      <c r="E56" s="148">
        <f>SUMPRODUCT((TableBOM[Item ID]=A56)*TableBOM[Per 1000 Units]*(1+TableBOM[Scrap %])*SUMIF($D$3:$D$8,TableBOM[Product ID],$H$3:$H$8)/1000)</f>
        <v>15300</v>
      </c>
      <c r="F56" s="148">
        <f>IFERROR(INDEX(TableInventory[Store Balance],MATCH(A56,TableInventory[Item ID],0)),0)+IFERROR(INDEX(TableInventory[WIP],MATCH(A56,TableInventory[Item ID],0)),0)</f>
        <v>47000</v>
      </c>
      <c r="G56" s="148">
        <f t="shared" si="3"/>
        <v>31700</v>
      </c>
      <c r="H56" s="155">
        <f>IFERROR(IF(SUMPRODUCT((TableBOM[Item ID]=A56)*((SUMIF($D$3:$D$8,TableBOM[Product ID],$H$3:$H$8))&gt;0)*(SUMIF($D$3:$D$8,TableBOM[Product ID],$H$3:$H$8))*TableBOM[Per 1000 Units]*(1+TableBOM[Scrap %]))=0,"-",ROUND(F56*1000*SUMPRODUCT((TableBOM[Item ID]=A56)*((SUMIF($D$3:$D$8,TableBOM[Product ID],$H$3:$H$8))&gt;0)*(SUMIF($D$3:$D$8,TableBOM[Product ID],$H$3:$H$8)))/SUMPRODUCT((TableBOM[Item ID]=A56)*((SUMIF($D$3:$D$8,TableBOM[Product ID],$H$3:$H$8))&gt;0)*(SUMIF($D$3:$D$8,TableBOM[Product ID],$H$3:$H$8))*TableBOM[Per 1000 Units]*(1+TableBOM[Scrap %])),0)),"-")</f>
        <v>46078</v>
      </c>
      <c r="I56" s="150" t="str">
        <f t="shared" si="4"/>
        <v>OK</v>
      </c>
      <c r="J56" s="156" t="str">
        <f>IF(LEN(IF((COUNTIFS(TableBOM[Product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",""))&gt;1,LEFT(IF((COUNTIFS(TableBOM[Product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",""))-2),"")</f>
        <v>VINCE HIS ONLY BEARD &amp; MUSTACHE COLOR CREAM</v>
      </c>
    </row>
    <row r="57" spans="1:10" x14ac:dyDescent="0.25">
      <c r="A57" s="16">
        <v>68</v>
      </c>
      <c r="B57" s="147" t="s">
        <v>71</v>
      </c>
      <c r="C57" s="147" t="s">
        <v>87</v>
      </c>
      <c r="D57" s="147" t="s">
        <v>73</v>
      </c>
      <c r="E57" s="148">
        <f>SUMPRODUCT((TableBOM[Item ID]=A57)*TableBOM[Per 1000 Units]*(1+TableBOM[Scrap %])*SUMIF($D$3:$D$8,TableBOM[Product ID],$H$3:$H$8)/1000)</f>
        <v>689520</v>
      </c>
      <c r="F57" s="148">
        <f>IFERROR(INDEX(TableInventory[Store Balance],MATCH(A57,TableInventory[Item ID],0)),0)+IFERROR(INDEX(TableInventory[WIP],MATCH(A57,TableInventory[Item ID],0)),0)</f>
        <v>0</v>
      </c>
      <c r="G57" s="148">
        <f t="shared" si="3"/>
        <v>-689520</v>
      </c>
      <c r="H57" s="155">
        <f>IFERROR(IF(SUMPRODUCT((TableBOM[Item ID]=A57)*((SUMIF($D$3:$D$8,TableBOM[Product ID],$H$3:$H$8))&gt;0)*(SUMIF($D$3:$D$8,TableBOM[Product ID],$H$3:$H$8))*TableBOM[Per 1000 Units]*(1+TableBOM[Scrap %]))=0,"-",ROUND(F57*1000*SUMPRODUCT((TableBOM[Item ID]=A57)*((SUMIF($D$3:$D$8,TableBOM[Product ID],$H$3:$H$8))&gt;0)*(SUMIF($D$3:$D$8,TableBOM[Product ID],$H$3:$H$8)))/SUMPRODUCT((TableBOM[Item ID]=A57)*((SUMIF($D$3:$D$8,TableBOM[Product ID],$H$3:$H$8))&gt;0)*(SUMIF($D$3:$D$8,TableBOM[Product ID],$H$3:$H$8))*TableBOM[Per 1000 Units]*(1+TableBOM[Scrap %])),0)),"-")</f>
        <v>0</v>
      </c>
      <c r="I57" s="150" t="str">
        <f t="shared" si="4"/>
        <v>SHORTAGE</v>
      </c>
      <c r="J57" s="156" t="str">
        <f>IF(LEN(IF((COUNTIFS(TableBOM[Product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",""))&gt;1,LEFT(IF((COUNTIFS(TableBOM[Product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",""))-2),"")</f>
        <v>HIS ONLY HAIR COLOR CREAM 40GM, HELLO HAIR COLOR</v>
      </c>
    </row>
    <row r="58" spans="1:10" hidden="1" x14ac:dyDescent="0.25">
      <c r="A58" s="16">
        <v>102</v>
      </c>
      <c r="B58" s="147" t="s">
        <v>71</v>
      </c>
      <c r="C58" s="147" t="s">
        <v>88</v>
      </c>
      <c r="D58" s="147" t="s">
        <v>73</v>
      </c>
      <c r="E58" s="148">
        <f>SUMPRODUCT((TableBOM[Item ID]=A58)*TableBOM[Per 1000 Units]*(1+TableBOM[Scrap %])*SUMIF($D$3:$D$8,TableBOM[Product ID],$H$3:$H$8)/1000)</f>
        <v>0</v>
      </c>
      <c r="F58" s="148">
        <f>IFERROR(INDEX(TableInventory[Store Balance],MATCH(A58,TableInventory[Item ID],0)),0)+IFERROR(INDEX(TableInventory[WIP],MATCH(A58,TableInventory[Item ID],0)),0)</f>
        <v>30000</v>
      </c>
      <c r="G58" s="148">
        <f t="shared" si="3"/>
        <v>30000</v>
      </c>
      <c r="H58" s="155" t="str">
        <f>IFERROR(IF(SUMPRODUCT((TableBOM[Item ID]=A58)*((SUMIF($D$3:$D$8,TableBOM[Product ID],$H$3:$H$8))&gt;0)*(SUMIF($D$3:$D$8,TableBOM[Product ID],$H$3:$H$8))*TableBOM[Per 1000 Units]*(1+TableBOM[Scrap %]))=0,"-",ROUND(F58*1000*SUMPRODUCT((TableBOM[Item ID]=A58)*((SUMIF($D$3:$D$8,TableBOM[Product ID],$H$3:$H$8))&gt;0)*(SUMIF($D$3:$D$8,TableBOM[Product ID],$H$3:$H$8)))/SUMPRODUCT((TableBOM[Item ID]=A58)*((SUMIF($D$3:$D$8,TableBOM[Product ID],$H$3:$H$8))&gt;0)*(SUMIF($D$3:$D$8,TableBOM[Product ID],$H$3:$H$8))*TableBOM[Per 1000 Units]*(1+TableBOM[Scrap %])),0)),"-")</f>
        <v>-</v>
      </c>
      <c r="I58" s="150" t="str">
        <f t="shared" si="4"/>
        <v>Not needed</v>
      </c>
      <c r="J58" s="155" t="str">
        <f>IF(LEN(IF((COUNTIFS(TableBOM[Product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",""))&gt;1,LEFT(IF((COUNTIFS(TableBOM[Product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",""))-2),"")</f>
        <v/>
      </c>
    </row>
    <row r="59" spans="1:10" x14ac:dyDescent="0.25">
      <c r="A59" s="16">
        <v>1073</v>
      </c>
      <c r="B59" s="147" t="s">
        <v>71</v>
      </c>
      <c r="C59" s="147" t="s">
        <v>89</v>
      </c>
      <c r="D59" s="147" t="s">
        <v>73</v>
      </c>
      <c r="E59" s="148">
        <f>SUMPRODUCT((TableBOM[Item ID]=A59)*TableBOM[Per 1000 Units]*(1+TableBOM[Scrap %])*SUMIF($D$3:$D$8,TableBOM[Product ID],$H$3:$H$8)/1000)</f>
        <v>204000</v>
      </c>
      <c r="F59" s="148">
        <f>IFERROR(INDEX(TableInventory[Store Balance],MATCH(A59,TableInventory[Item ID],0)),0)+IFERROR(INDEX(TableInventory[WIP],MATCH(A59,TableInventory[Item ID],0)),0)</f>
        <v>120000</v>
      </c>
      <c r="G59" s="148">
        <f t="shared" si="3"/>
        <v>-84000</v>
      </c>
      <c r="H59" s="155">
        <f>IFERROR(IF(SUMPRODUCT((TableBOM[Item ID]=A59)*((SUMIF($D$3:$D$8,TableBOM[Product ID],$H$3:$H$8))&gt;0)*(SUMIF($D$3:$D$8,TableBOM[Product ID],$H$3:$H$8))*TableBOM[Per 1000 Units]*(1+TableBOM[Scrap %]))=0,"-",ROUND(F59*1000*SUMPRODUCT((TableBOM[Item ID]=A59)*((SUMIF($D$3:$D$8,TableBOM[Product ID],$H$3:$H$8))&gt;0)*(SUMIF($D$3:$D$8,TableBOM[Product ID],$H$3:$H$8)))/SUMPRODUCT((TableBOM[Item ID]=A59)*((SUMIF($D$3:$D$8,TableBOM[Product ID],$H$3:$H$8))&gt;0)*(SUMIF($D$3:$D$8,TableBOM[Product ID],$H$3:$H$8))*TableBOM[Per 1000 Units]*(1+TableBOM[Scrap %])),0)),"-")</f>
        <v>117647</v>
      </c>
      <c r="I59" s="150" t="str">
        <f t="shared" si="4"/>
        <v>SHORTAGE</v>
      </c>
      <c r="J59" s="156" t="str">
        <f>IF(LEN(IF((COUNTIFS(TableBOM[Product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",""))&gt;1,LEFT(IF((COUNTIFS(TableBOM[Product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",""))-2),"")</f>
        <v>H.H 100GM</v>
      </c>
    </row>
    <row r="60" spans="1:10" hidden="1" x14ac:dyDescent="0.25">
      <c r="A60" s="16">
        <v>1285</v>
      </c>
      <c r="B60" s="147" t="s">
        <v>71</v>
      </c>
      <c r="C60" s="147" t="s">
        <v>90</v>
      </c>
      <c r="D60" s="147" t="s">
        <v>73</v>
      </c>
      <c r="E60" s="148">
        <f>SUMPRODUCT((TableBOM[Item ID]=A60)*TableBOM[Per 1000 Units]*(1+TableBOM[Scrap %])*SUMIF($D$3:$D$8,TableBOM[Product ID],$H$3:$H$8)/1000)</f>
        <v>0</v>
      </c>
      <c r="F60" s="148">
        <f>IFERROR(INDEX(TableInventory[Store Balance],MATCH(A60,TableInventory[Item ID],0)),0)+IFERROR(INDEX(TableInventory[WIP],MATCH(A60,TableInventory[Item ID],0)),0)</f>
        <v>208000</v>
      </c>
      <c r="G60" s="148">
        <f t="shared" si="3"/>
        <v>208000</v>
      </c>
      <c r="H60" s="155" t="str">
        <f>IFERROR(IF(SUMPRODUCT((TableBOM[Item ID]=A60)*((SUMIF($D$3:$D$8,TableBOM[Product ID],$H$3:$H$8))&gt;0)*(SUMIF($D$3:$D$8,TableBOM[Product ID],$H$3:$H$8))*TableBOM[Per 1000 Units]*(1+TableBOM[Scrap %]))=0,"-",ROUND(F60*1000*SUMPRODUCT((TableBOM[Item ID]=A60)*((SUMIF($D$3:$D$8,TableBOM[Product ID],$H$3:$H$8))&gt;0)*(SUMIF($D$3:$D$8,TableBOM[Product ID],$H$3:$H$8)))/SUMPRODUCT((TableBOM[Item ID]=A60)*((SUMIF($D$3:$D$8,TableBOM[Product ID],$H$3:$H$8))&gt;0)*(SUMIF($D$3:$D$8,TableBOM[Product ID],$H$3:$H$8))*TableBOM[Per 1000 Units]*(1+TableBOM[Scrap %])),0)),"-")</f>
        <v>-</v>
      </c>
      <c r="I60" s="150" t="str">
        <f t="shared" si="4"/>
        <v>Not needed</v>
      </c>
      <c r="J60" s="155" t="str">
        <f>IF(LEN(IF((COUNTIFS(TableBOM[Product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",""))&gt;1,LEFT(IF((COUNTIFS(TableBOM[Product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",""))-2),"")</f>
        <v/>
      </c>
    </row>
    <row r="61" spans="1:10" hidden="1" x14ac:dyDescent="0.25">
      <c r="A61" s="16">
        <v>3522</v>
      </c>
      <c r="B61" s="147" t="s">
        <v>71</v>
      </c>
      <c r="C61" s="147" t="s">
        <v>91</v>
      </c>
      <c r="D61" s="147" t="s">
        <v>73</v>
      </c>
      <c r="E61" s="148">
        <f>SUMPRODUCT((TableBOM[Item ID]=A61)*TableBOM[Per 1000 Units]*(1+TableBOM[Scrap %])*SUMIF($D$3:$D$8,TableBOM[Product ID],$H$3:$H$8)/1000)</f>
        <v>0</v>
      </c>
      <c r="F61" s="148">
        <f>IFERROR(INDEX(TableInventory[Store Balance],MATCH(A61,TableInventory[Item ID],0)),0)+IFERROR(INDEX(TableInventory[WIP],MATCH(A61,TableInventory[Item ID],0)),0)</f>
        <v>75000</v>
      </c>
      <c r="G61" s="148">
        <f t="shared" si="3"/>
        <v>75000</v>
      </c>
      <c r="H61" s="155" t="str">
        <f>IFERROR(IF(SUMPRODUCT((TableBOM[Item ID]=A61)*((SUMIF($D$3:$D$8,TableBOM[Product ID],$H$3:$H$8))&gt;0)*(SUMIF($D$3:$D$8,TableBOM[Product ID],$H$3:$H$8))*TableBOM[Per 1000 Units]*(1+TableBOM[Scrap %]))=0,"-",ROUND(F61*1000*SUMPRODUCT((TableBOM[Item ID]=A61)*((SUMIF($D$3:$D$8,TableBOM[Product ID],$H$3:$H$8))&gt;0)*(SUMIF($D$3:$D$8,TableBOM[Product ID],$H$3:$H$8)))/SUMPRODUCT((TableBOM[Item ID]=A61)*((SUMIF($D$3:$D$8,TableBOM[Product ID],$H$3:$H$8))&gt;0)*(SUMIF($D$3:$D$8,TableBOM[Product ID],$H$3:$H$8))*TableBOM[Per 1000 Units]*(1+TableBOM[Scrap %])),0)),"-")</f>
        <v>-</v>
      </c>
      <c r="I61" s="150" t="str">
        <f t="shared" si="4"/>
        <v>Not needed</v>
      </c>
      <c r="J61" s="155" t="str">
        <f>IF(LEN(IF((COUNTIFS(TableBOM[Product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",""))&gt;1,LEFT(IF((COUNTIFS(TableBOM[Product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",""))-2),"")</f>
        <v/>
      </c>
    </row>
    <row r="62" spans="1:10" hidden="1" x14ac:dyDescent="0.25">
      <c r="A62" s="16">
        <v>3866</v>
      </c>
      <c r="B62" s="147" t="s">
        <v>71</v>
      </c>
      <c r="C62" s="147" t="s">
        <v>92</v>
      </c>
      <c r="D62" s="147" t="s">
        <v>73</v>
      </c>
      <c r="E62" s="148">
        <f>SUMPRODUCT((TableBOM[Item ID]=A62)*TableBOM[Per 1000 Units]*(1+TableBOM[Scrap %])*SUMIF($D$3:$D$8,TableBOM[Product ID],$H$3:$H$8)/1000)</f>
        <v>0</v>
      </c>
      <c r="F62" s="148">
        <f>IFERROR(INDEX(TableInventory[Store Balance],MATCH(A62,TableInventory[Item ID],0)),0)+IFERROR(INDEX(TableInventory[WIP],MATCH(A62,TableInventory[Item ID],0)),0)</f>
        <v>0</v>
      </c>
      <c r="G62" s="148">
        <f t="shared" si="3"/>
        <v>0</v>
      </c>
      <c r="H62" s="155" t="str">
        <f>IFERROR(IF(SUMPRODUCT((TableBOM[Item ID]=A62)*((SUMIF($D$3:$D$8,TableBOM[Product ID],$H$3:$H$8))&gt;0)*(SUMIF($D$3:$D$8,TableBOM[Product ID],$H$3:$H$8))*TableBOM[Per 1000 Units]*(1+TableBOM[Scrap %]))=0,"-",ROUND(F62*1000*SUMPRODUCT((TableBOM[Item ID]=A62)*((SUMIF($D$3:$D$8,TableBOM[Product ID],$H$3:$H$8))&gt;0)*(SUMIF($D$3:$D$8,TableBOM[Product ID],$H$3:$H$8)))/SUMPRODUCT((TableBOM[Item ID]=A62)*((SUMIF($D$3:$D$8,TableBOM[Product ID],$H$3:$H$8))&gt;0)*(SUMIF($D$3:$D$8,TableBOM[Product ID],$H$3:$H$8))*TableBOM[Per 1000 Units]*(1+TableBOM[Scrap %])),0)),"-")</f>
        <v>-</v>
      </c>
      <c r="I62" s="150" t="str">
        <f t="shared" si="4"/>
        <v>Not needed</v>
      </c>
      <c r="J62" s="155" t="str">
        <f>IF(LEN(IF((COUNTIFS(TableBOM[Product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",""))&gt;1,LEFT(IF((COUNTIFS(TableBOM[Product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",""))-2),"")</f>
        <v/>
      </c>
    </row>
    <row r="63" spans="1:10" x14ac:dyDescent="0.25">
      <c r="A63" s="16">
        <v>578</v>
      </c>
      <c r="B63" s="147" t="s">
        <v>71</v>
      </c>
      <c r="C63" s="147" t="s">
        <v>93</v>
      </c>
      <c r="D63" s="147" t="s">
        <v>73</v>
      </c>
      <c r="E63" s="148">
        <f>SUMPRODUCT((TableBOM[Item ID]=A63)*TableBOM[Per 1000 Units]*(1+TableBOM[Scrap %])*SUMIF($D$3:$D$8,TableBOM[Product ID],$H$3:$H$8)/1000)</f>
        <v>51000</v>
      </c>
      <c r="F63" s="148">
        <f>IFERROR(INDEX(TableInventory[Store Balance],MATCH(A63,TableInventory[Item ID],0)),0)+IFERROR(INDEX(TableInventory[WIP],MATCH(A63,TableInventory[Item ID],0)),0)</f>
        <v>30000</v>
      </c>
      <c r="G63" s="148">
        <f t="shared" si="3"/>
        <v>-21000</v>
      </c>
      <c r="H63" s="155">
        <f>IFERROR(IF(SUMPRODUCT((TableBOM[Item ID]=A63)*((SUMIF($D$3:$D$8,TableBOM[Product ID],$H$3:$H$8))&gt;0)*(SUMIF($D$3:$D$8,TableBOM[Product ID],$H$3:$H$8))*TableBOM[Per 1000 Units]*(1+TableBOM[Scrap %]))=0,"-",ROUND(F63*1000*SUMPRODUCT((TableBOM[Item ID]=A63)*((SUMIF($D$3:$D$8,TableBOM[Product ID],$H$3:$H$8))&gt;0)*(SUMIF($D$3:$D$8,TableBOM[Product ID],$H$3:$H$8)))/SUMPRODUCT((TableBOM[Item ID]=A63)*((SUMIF($D$3:$D$8,TableBOM[Product ID],$H$3:$H$8))&gt;0)*(SUMIF($D$3:$D$8,TableBOM[Product ID],$H$3:$H$8))*TableBOM[Per 1000 Units]*(1+TableBOM[Scrap %])),0)),"-")</f>
        <v>29412</v>
      </c>
      <c r="I63" s="150" t="str">
        <f t="shared" si="4"/>
        <v>SHORTAGE</v>
      </c>
      <c r="J63" s="156" t="str">
        <f>IF(LEN(IF((COUNTIFS(TableBOM[Product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",""))&gt;1,LEFT(IF((COUNTIFS(TableBOM[Product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",""))-2),"")</f>
        <v>VINCE NURTURAL</v>
      </c>
    </row>
    <row r="64" spans="1:10" hidden="1" x14ac:dyDescent="0.25">
      <c r="A64" s="16">
        <v>9902</v>
      </c>
      <c r="B64" s="147" t="s">
        <v>71</v>
      </c>
      <c r="C64" s="147" t="s">
        <v>94</v>
      </c>
      <c r="D64" s="147" t="s">
        <v>73</v>
      </c>
      <c r="E64" s="148">
        <f>SUMPRODUCT((TableBOM[Item ID]=A64)*TableBOM[Per 1000 Units]*(1+TableBOM[Scrap %])*SUMIF($D$3:$D$8,TableBOM[Product ID],$H$3:$H$8)/1000)</f>
        <v>0</v>
      </c>
      <c r="F64" s="148">
        <f>IFERROR(INDEX(TableInventory[Store Balance],MATCH(A64,TableInventory[Item ID],0)),0)+IFERROR(INDEX(TableInventory[WIP],MATCH(A64,TableInventory[Item ID],0)),0)</f>
        <v>0</v>
      </c>
      <c r="G64" s="148">
        <f t="shared" si="3"/>
        <v>0</v>
      </c>
      <c r="H64" s="155" t="str">
        <f>IFERROR(IF(SUMPRODUCT((TableBOM[Item ID]=A64)*((SUMIF($D$3:$D$8,TableBOM[Product ID],$H$3:$H$8))&gt;0)*(SUMIF($D$3:$D$8,TableBOM[Product ID],$H$3:$H$8))*TableBOM[Per 1000 Units]*(1+TableBOM[Scrap %]))=0,"-",ROUND(F64*1000*SUMPRODUCT((TableBOM[Item ID]=A64)*((SUMIF($D$3:$D$8,TableBOM[Product ID],$H$3:$H$8))&gt;0)*(SUMIF($D$3:$D$8,TableBOM[Product ID],$H$3:$H$8)))/SUMPRODUCT((TableBOM[Item ID]=A64)*((SUMIF($D$3:$D$8,TableBOM[Product ID],$H$3:$H$8))&gt;0)*(SUMIF($D$3:$D$8,TableBOM[Product ID],$H$3:$H$8))*TableBOM[Per 1000 Units]*(1+TableBOM[Scrap %])),0)),"-")</f>
        <v>-</v>
      </c>
      <c r="I64" s="150" t="str">
        <f t="shared" si="4"/>
        <v>Not needed</v>
      </c>
      <c r="J64" s="155" t="str">
        <f>IF(LEN(IF((COUNTIFS(TableBOM[Product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",""))&gt;1,LEFT(IF((COUNTIFS(TableBOM[Product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",""))-2),"")</f>
        <v/>
      </c>
    </row>
    <row r="65" spans="1:19" ht="24" hidden="1" customHeight="1" x14ac:dyDescent="0.25">
      <c r="A65" s="16">
        <v>9903</v>
      </c>
      <c r="B65" s="147" t="s">
        <v>95</v>
      </c>
      <c r="C65" s="147" t="s">
        <v>96</v>
      </c>
      <c r="D65" s="147" t="s">
        <v>73</v>
      </c>
      <c r="E65" s="148">
        <f>SUMPRODUCT((TableBOM[Item ID]=A65)*TableBOM[Per 1000 Units]*(1+TableBOM[Scrap %])*SUMIF($D$3:$D$8,TableBOM[Product ID],$H$3:$H$8)/1000)</f>
        <v>0</v>
      </c>
      <c r="F65" s="148">
        <f>IFERROR(INDEX(TableInventory[Store Balance],MATCH(A65,TableInventory[Item ID],0)),0)+IFERROR(INDEX(TableInventory[WIP],MATCH(A65,TableInventory[Item ID],0)),0)</f>
        <v>0</v>
      </c>
      <c r="G65" s="148">
        <f t="shared" si="3"/>
        <v>0</v>
      </c>
      <c r="H65" s="155" t="str">
        <f>IFERROR(IF(SUMPRODUCT((TableBOM[Item ID]=A65)*((SUMIF($D$3:$D$8,TableBOM[Product ID],$H$3:$H$8))&gt;0)*(SUMIF($D$3:$D$8,TableBOM[Product ID],$H$3:$H$8))*TableBOM[Per 1000 Units]*(1+TableBOM[Scrap %]))=0,"-",ROUND(F65*1000*SUMPRODUCT((TableBOM[Item ID]=A65)*((SUMIF($D$3:$D$8,TableBOM[Product ID],$H$3:$H$8))&gt;0)*(SUMIF($D$3:$D$8,TableBOM[Product ID],$H$3:$H$8)))/SUMPRODUCT((TableBOM[Item ID]=A65)*((SUMIF($D$3:$D$8,TableBOM[Product ID],$H$3:$H$8))&gt;0)*(SUMIF($D$3:$D$8,TableBOM[Product ID],$H$3:$H$8))*TableBOM[Per 1000 Units]*(1+TableBOM[Scrap %])),0)),"-")</f>
        <v>-</v>
      </c>
      <c r="I65" s="150" t="str">
        <f t="shared" si="4"/>
        <v>Not needed</v>
      </c>
      <c r="J65" s="155" t="str">
        <f>IF(LEN(IF((COUNTIFS(TableBOM[Product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",""))&gt;1,LEFT(IF((COUNTIFS(TableBOM[Product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",""))-2),"")</f>
        <v/>
      </c>
    </row>
    <row r="66" spans="1:19" hidden="1" x14ac:dyDescent="0.25">
      <c r="A66" s="16">
        <v>36</v>
      </c>
      <c r="B66" s="147" t="s">
        <v>95</v>
      </c>
      <c r="C66" s="147" t="s">
        <v>97</v>
      </c>
      <c r="D66" s="147" t="s">
        <v>73</v>
      </c>
      <c r="E66" s="148">
        <f>SUMPRODUCT((TableBOM[Item ID]=A66)*TableBOM[Per 1000 Units]*(1+TableBOM[Scrap %])*SUMIF($D$3:$D$8,TableBOM[Product ID],$H$3:$H$8)/1000)</f>
        <v>0</v>
      </c>
      <c r="F66" s="148">
        <f>IFERROR(INDEX(TableInventory[Store Balance],MATCH(A66,TableInventory[Item ID],0)),0)+IFERROR(INDEX(TableInventory[WIP],MATCH(A66,TableInventory[Item ID],0)),0)</f>
        <v>0</v>
      </c>
      <c r="G66" s="148">
        <f t="shared" si="3"/>
        <v>0</v>
      </c>
      <c r="H66" s="155" t="str">
        <f>IFERROR(IF(SUMPRODUCT((TableBOM[Item ID]=A66)*((SUMIF($D$3:$D$8,TableBOM[Product ID],$H$3:$H$8))&gt;0)*(SUMIF($D$3:$D$8,TableBOM[Product ID],$H$3:$H$8))*TableBOM[Per 1000 Units]*(1+TableBOM[Scrap %]))=0,"-",ROUND(F66*1000*SUMPRODUCT((TableBOM[Item ID]=A66)*((SUMIF($D$3:$D$8,TableBOM[Product ID],$H$3:$H$8))&gt;0)*(SUMIF($D$3:$D$8,TableBOM[Product ID],$H$3:$H$8)))/SUMPRODUCT((TableBOM[Item ID]=A66)*((SUMIF($D$3:$D$8,TableBOM[Product ID],$H$3:$H$8))&gt;0)*(SUMIF($D$3:$D$8,TableBOM[Product ID],$H$3:$H$8))*TableBOM[Per 1000 Units]*(1+TableBOM[Scrap %])),0)),"-")</f>
        <v>-</v>
      </c>
      <c r="I66" s="150" t="str">
        <f t="shared" si="4"/>
        <v>Not needed</v>
      </c>
      <c r="J66" s="155" t="str">
        <f>IF(LEN(IF((COUNTIFS(TableBOM[Product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",""))&gt;1,LEFT(IF((COUNTIFS(TableBOM[Product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",""))-2),"")</f>
        <v/>
      </c>
    </row>
    <row r="67" spans="1:19" hidden="1" x14ac:dyDescent="0.25">
      <c r="A67" s="16">
        <v>200</v>
      </c>
      <c r="B67" s="147" t="s">
        <v>95</v>
      </c>
      <c r="C67" s="147" t="s">
        <v>98</v>
      </c>
      <c r="D67" s="147" t="s">
        <v>73</v>
      </c>
      <c r="E67" s="148">
        <f>SUMPRODUCT((TableBOM[Item ID]=A67)*TableBOM[Per 1000 Units]*(1+TableBOM[Scrap %])*SUMIF($D$3:$D$8,TableBOM[Product ID],$H$3:$H$8)/1000)</f>
        <v>0</v>
      </c>
      <c r="F67" s="148">
        <f>IFERROR(INDEX(TableInventory[Store Balance],MATCH(A67,TableInventory[Item ID],0)),0)+IFERROR(INDEX(TableInventory[WIP],MATCH(A67,TableInventory[Item ID],0)),0)</f>
        <v>0</v>
      </c>
      <c r="G67" s="148">
        <f t="shared" si="3"/>
        <v>0</v>
      </c>
      <c r="H67" s="155" t="str">
        <f>IFERROR(IF(SUMPRODUCT((TableBOM[Item ID]=A67)*((SUMIF($D$3:$D$8,TableBOM[Product ID],$H$3:$H$8))&gt;0)*(SUMIF($D$3:$D$8,TableBOM[Product ID],$H$3:$H$8))*TableBOM[Per 1000 Units]*(1+TableBOM[Scrap %]))=0,"-",ROUND(F67*1000*SUMPRODUCT((TableBOM[Item ID]=A67)*((SUMIF($D$3:$D$8,TableBOM[Product ID],$H$3:$H$8))&gt;0)*(SUMIF($D$3:$D$8,TableBOM[Product ID],$H$3:$H$8)))/SUMPRODUCT((TableBOM[Item ID]=A67)*((SUMIF($D$3:$D$8,TableBOM[Product ID],$H$3:$H$8))&gt;0)*(SUMIF($D$3:$D$8,TableBOM[Product ID],$H$3:$H$8))*TableBOM[Per 1000 Units]*(1+TableBOM[Scrap %])),0)),"-")</f>
        <v>-</v>
      </c>
      <c r="I67" s="150" t="str">
        <f t="shared" si="4"/>
        <v>Not needed</v>
      </c>
      <c r="J67" s="155" t="str">
        <f>IF(LEN(IF((COUNTIFS(TableBOM[Product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",""))&gt;1,LEFT(IF((COUNTIFS(TableBOM[Product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",""))-2),"")</f>
        <v/>
      </c>
    </row>
    <row r="68" spans="1:19" hidden="1" x14ac:dyDescent="0.25">
      <c r="A68" s="16">
        <v>39</v>
      </c>
      <c r="B68" s="147" t="s">
        <v>95</v>
      </c>
      <c r="C68" s="147" t="s">
        <v>99</v>
      </c>
      <c r="D68" s="147" t="s">
        <v>73</v>
      </c>
      <c r="E68" s="148">
        <f>SUMPRODUCT((TableBOM[Item ID]=A68)*TableBOM[Per 1000 Units]*(1+TableBOM[Scrap %])*SUMIF($D$3:$D$8,TableBOM[Product ID],$H$3:$H$8)/1000)</f>
        <v>0</v>
      </c>
      <c r="F68" s="148">
        <f>IFERROR(INDEX(TableInventory[Store Balance],MATCH(A68,TableInventory[Item ID],0)),0)+IFERROR(INDEX(TableInventory[WIP],MATCH(A68,TableInventory[Item ID],0)),0)</f>
        <v>0</v>
      </c>
      <c r="G68" s="148">
        <f t="shared" si="3"/>
        <v>0</v>
      </c>
      <c r="H68" s="155" t="str">
        <f>IFERROR(IF(SUMPRODUCT((TableBOM[Item ID]=A68)*((SUMIF($D$3:$D$8,TableBOM[Product ID],$H$3:$H$8))&gt;0)*(SUMIF($D$3:$D$8,TableBOM[Product ID],$H$3:$H$8))*TableBOM[Per 1000 Units]*(1+TableBOM[Scrap %]))=0,"-",ROUND(F68*1000*SUMPRODUCT((TableBOM[Item ID]=A68)*((SUMIF($D$3:$D$8,TableBOM[Product ID],$H$3:$H$8))&gt;0)*(SUMIF($D$3:$D$8,TableBOM[Product ID],$H$3:$H$8)))/SUMPRODUCT((TableBOM[Item ID]=A68)*((SUMIF($D$3:$D$8,TableBOM[Product ID],$H$3:$H$8))&gt;0)*(SUMIF($D$3:$D$8,TableBOM[Product ID],$H$3:$H$8))*TableBOM[Per 1000 Units]*(1+TableBOM[Scrap %])),0)),"-")</f>
        <v>-</v>
      </c>
      <c r="I68" s="150" t="str">
        <f t="shared" si="4"/>
        <v>Not needed</v>
      </c>
      <c r="J68" s="155" t="str">
        <f>IF(LEN(IF((COUNTIFS(TableBOM[Product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",""))&gt;1,LEFT(IF((COUNTIFS(TableBOM[Product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",""))-2),"")</f>
        <v/>
      </c>
    </row>
    <row r="69" spans="1:19" ht="24" customHeight="1" x14ac:dyDescent="0.25">
      <c r="A69" s="16">
        <v>3619</v>
      </c>
      <c r="B69" s="147" t="s">
        <v>95</v>
      </c>
      <c r="C69" s="147" t="s">
        <v>100</v>
      </c>
      <c r="D69" s="147" t="s">
        <v>73</v>
      </c>
      <c r="E69" s="148">
        <f>SUMPRODUCT((TableBOM[Item ID]=A69)*TableBOM[Per 1000 Units]*(1+TableBOM[Scrap %])*SUMIF($D$3:$D$8,TableBOM[Product ID],$H$3:$H$8)/1000)</f>
        <v>28.05</v>
      </c>
      <c r="F69" s="148">
        <f>IFERROR(INDEX(TableInventory[Store Balance],MATCH(A69,TableInventory[Item ID],0)),0)+IFERROR(INDEX(TableInventory[WIP],MATCH(A69,TableInventory[Item ID],0)),0)</f>
        <v>280</v>
      </c>
      <c r="G69" s="148">
        <f t="shared" si="3"/>
        <v>251.95</v>
      </c>
      <c r="H69" s="155">
        <f>IFERROR(IF(SUMPRODUCT((TableBOM[Item ID]=A69)*((SUMIF($D$3:$D$8,TableBOM[Product ID],$H$3:$H$8))&gt;0)*(SUMIF($D$3:$D$8,TableBOM[Product ID],$H$3:$H$8))*TableBOM[Per 1000 Units]*(1+TableBOM[Scrap %]))=0,"-",ROUND(F69*1000*SUMPRODUCT((TableBOM[Item ID]=A69)*((SUMIF($D$3:$D$8,TableBOM[Product ID],$H$3:$H$8))&gt;0)*(SUMIF($D$3:$D$8,TableBOM[Product ID],$H$3:$H$8)))/SUMPRODUCT((TableBOM[Item ID]=A69)*((SUMIF($D$3:$D$8,TableBOM[Product ID],$H$3:$H$8))&gt;0)*(SUMIF($D$3:$D$8,TableBOM[Product ID],$H$3:$H$8))*TableBOM[Per 1000 Units]*(1+TableBOM[Scrap %])),0)),"-")</f>
        <v>149733</v>
      </c>
      <c r="I69" s="150" t="str">
        <f t="shared" si="4"/>
        <v>OK</v>
      </c>
      <c r="J69" s="156" t="str">
        <f>IF(LEN(IF((COUNTIFS(TableBOM[Product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",""))&gt;1,LEFT(IF((COUNTIFS(TableBOM[Product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",""))-2),"")</f>
        <v>VINCE HIS ONLY BEARD &amp; MUSTACHE COLOR CREAM</v>
      </c>
    </row>
    <row r="70" spans="1:19" x14ac:dyDescent="0.25">
      <c r="A70" s="16">
        <v>3598</v>
      </c>
      <c r="B70" s="147" t="s">
        <v>95</v>
      </c>
      <c r="C70" s="147" t="s">
        <v>101</v>
      </c>
      <c r="D70" s="147" t="s">
        <v>73</v>
      </c>
      <c r="E70" s="148">
        <f>SUMPRODUCT((TableBOM[Item ID]=A70)*TableBOM[Per 1000 Units]*(1+TableBOM[Scrap %])*SUMIF($D$3:$D$8,TableBOM[Product ID],$H$3:$H$8)/1000)</f>
        <v>3333.87077056</v>
      </c>
      <c r="F70" s="148">
        <f>IFERROR(INDEX(TableInventory[Store Balance],MATCH(A70,TableInventory[Item ID],0)),0)+IFERROR(INDEX(TableInventory[WIP],MATCH(A70,TableInventory[Item ID],0)),0)</f>
        <v>503</v>
      </c>
      <c r="G70" s="148">
        <f t="shared" si="3"/>
        <v>-2830.87077056</v>
      </c>
      <c r="H70" s="155">
        <f>IFERROR(IF(SUMPRODUCT((TableBOM[Item ID]=A70)*((SUMIF($D$3:$D$8,TableBOM[Product ID],$H$3:$H$8))&gt;0)*(SUMIF($D$3:$D$8,TableBOM[Product ID],$H$3:$H$8))*TableBOM[Per 1000 Units]*(1+TableBOM[Scrap %]))=0,"-",ROUND(F70*1000*SUMPRODUCT((TableBOM[Item ID]=A70)*((SUMIF($D$3:$D$8,TableBOM[Product ID],$H$3:$H$8))&gt;0)*(SUMIF($D$3:$D$8,TableBOM[Product ID],$H$3:$H$8)))/SUMPRODUCT((TableBOM[Item ID]=A70)*((SUMIF($D$3:$D$8,TableBOM[Product ID],$H$3:$H$8))&gt;0)*(SUMIF($D$3:$D$8,TableBOM[Product ID],$H$3:$H$8))*TableBOM[Per 1000 Units]*(1+TableBOM[Scrap %])),0)),"-")</f>
        <v>109608</v>
      </c>
      <c r="I70" s="150" t="str">
        <f t="shared" si="4"/>
        <v>SHORTAGE</v>
      </c>
      <c r="J70" s="156" t="str">
        <f>IF(LEN(IF((COUNTIFS(TableBOM[Product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",""))&gt;1,LEFT(IF((COUNTIFS(TableBOM[Product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",""))-2),"")</f>
        <v>HIS ONLY HAIR COLOR CREAM 40GM, VINCE NURTURAL, HELLO HAIR COLOR</v>
      </c>
    </row>
    <row r="71" spans="1:19" ht="36" hidden="1" customHeight="1" x14ac:dyDescent="0.25">
      <c r="A71" s="16">
        <v>45</v>
      </c>
      <c r="B71" s="147" t="s">
        <v>95</v>
      </c>
      <c r="C71" s="147" t="s">
        <v>102</v>
      </c>
      <c r="D71" s="147" t="s">
        <v>73</v>
      </c>
      <c r="E71" s="148">
        <f>SUMPRODUCT((TableBOM[Item ID]=A71)*TableBOM[Per 1000 Units]*(1+TableBOM[Scrap %])*SUMIF($D$3:$D$8,TableBOM[Product ID],$H$3:$H$8)/1000)</f>
        <v>0</v>
      </c>
      <c r="F71" s="148">
        <f>IFERROR(INDEX(TableInventory[Store Balance],MATCH(A71,TableInventory[Item ID],0)),0)+IFERROR(INDEX(TableInventory[WIP],MATCH(A71,TableInventory[Item ID],0)),0)</f>
        <v>0</v>
      </c>
      <c r="G71" s="148">
        <f t="shared" si="3"/>
        <v>0</v>
      </c>
      <c r="H71" s="155" t="str">
        <f>IFERROR(IF(SUMPRODUCT((TableBOM[Item ID]=A71)*((SUMIF($D$3:$D$8,TableBOM[Product ID],$H$3:$H$8))&gt;0)*(SUMIF($D$3:$D$8,TableBOM[Product ID],$H$3:$H$8))*TableBOM[Per 1000 Units]*(1+TableBOM[Scrap %]))=0,"-",ROUND(F71*1000*SUMPRODUCT((TableBOM[Item ID]=A71)*((SUMIF($D$3:$D$8,TableBOM[Product ID],$H$3:$H$8))&gt;0)*(SUMIF($D$3:$D$8,TableBOM[Product ID],$H$3:$H$8)))/SUMPRODUCT((TableBOM[Item ID]=A71)*((SUMIF($D$3:$D$8,TableBOM[Product ID],$H$3:$H$8))&gt;0)*(SUMIF($D$3:$D$8,TableBOM[Product ID],$H$3:$H$8))*TableBOM[Per 1000 Units]*(1+TableBOM[Scrap %])),0)),"-")</f>
        <v>-</v>
      </c>
      <c r="I71" s="150" t="str">
        <f t="shared" si="4"/>
        <v>Not needed</v>
      </c>
      <c r="J71" s="155" t="str">
        <f>IF(LEN(IF((COUNTIFS(TableBOM[Product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",""))&gt;1,LEFT(IF((COUNTIFS(TableBOM[Product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",""))-2),"")</f>
        <v/>
      </c>
    </row>
    <row r="72" spans="1:19" x14ac:dyDescent="0.25">
      <c r="A72" s="16">
        <v>3988</v>
      </c>
      <c r="B72" s="147" t="s">
        <v>95</v>
      </c>
      <c r="C72" s="147" t="s">
        <v>103</v>
      </c>
      <c r="D72" s="147" t="s">
        <v>73</v>
      </c>
      <c r="E72" s="148">
        <f>SUMPRODUCT((TableBOM[Item ID]=A72)*TableBOM[Per 1000 Units]*(1+TableBOM[Scrap %])*SUMIF($D$3:$D$8,TableBOM[Product ID],$H$3:$H$8)/1000)</f>
        <v>1333.2</v>
      </c>
      <c r="F72" s="148">
        <f>IFERROR(INDEX(TableInventory[Store Balance],MATCH(A72,TableInventory[Item ID],0)),0)+IFERROR(INDEX(TableInventory[WIP],MATCH(A72,TableInventory[Item ID],0)),0)</f>
        <v>349</v>
      </c>
      <c r="G72" s="148">
        <f t="shared" si="3"/>
        <v>-984.2</v>
      </c>
      <c r="H72" s="155">
        <f>IFERROR(IF(SUMPRODUCT((TableBOM[Item ID]=A72)*((SUMIF($D$3:$D$8,TableBOM[Product ID],$H$3:$H$8))&gt;0)*(SUMIF($D$3:$D$8,TableBOM[Product ID],$H$3:$H$8))*TableBOM[Per 1000 Units]*(1+TableBOM[Scrap %]))=0,"-",ROUND(F72*1000*SUMPRODUCT((TableBOM[Item ID]=A72)*((SUMIF($D$3:$D$8,TableBOM[Product ID],$H$3:$H$8))&gt;0)*(SUMIF($D$3:$D$8,TableBOM[Product ID],$H$3:$H$8)))/SUMPRODUCT((TableBOM[Item ID]=A72)*((SUMIF($D$3:$D$8,TableBOM[Product ID],$H$3:$H$8))&gt;0)*(SUMIF($D$3:$D$8,TableBOM[Product ID],$H$3:$H$8))*TableBOM[Per 1000 Units]*(1+TableBOM[Scrap %])),0)),"-")</f>
        <v>52355</v>
      </c>
      <c r="I72" s="150" t="str">
        <f t="shared" si="4"/>
        <v>SHORTAGE</v>
      </c>
      <c r="J72" s="156" t="str">
        <f>IF(LEN(IF((COUNTIFS(TableBOM[Product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",""))&gt;1,LEFT(IF((COUNTIFS(TableBOM[Product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",""))-2),"")</f>
        <v>H.H 100GM</v>
      </c>
    </row>
    <row r="73" spans="1:19" ht="15" hidden="1" customHeight="1" x14ac:dyDescent="0.25">
      <c r="A73" s="16">
        <v>5977</v>
      </c>
      <c r="B73" s="147" t="s">
        <v>95</v>
      </c>
      <c r="C73" s="147" t="s">
        <v>104</v>
      </c>
      <c r="D73" s="147" t="s">
        <v>73</v>
      </c>
      <c r="E73" s="148">
        <f>SUMPRODUCT((TableBOM[Item ID]=A73)*TableBOM[Per 1000 Units]*(1+TableBOM[Scrap %])*SUMIF($D$3:$D$8,TableBOM[Product ID],$H$3:$H$8)/1000)</f>
        <v>0</v>
      </c>
      <c r="F73" s="148">
        <f>IFERROR(INDEX(TableInventory[Store Balance],MATCH(A73,TableInventory[Item ID],0)),0)+IFERROR(INDEX(TableInventory[WIP],MATCH(A73,TableInventory[Item ID],0)),0)</f>
        <v>168</v>
      </c>
      <c r="G73" s="148">
        <f t="shared" si="3"/>
        <v>168</v>
      </c>
      <c r="H73" s="155" t="str">
        <f>IFERROR(IF(SUMPRODUCT((TableBOM[Item ID]=A73)*((SUMIF($D$3:$D$8,TableBOM[Product ID],$H$3:$H$8))&gt;0)*(SUMIF($D$3:$D$8,TableBOM[Product ID],$H$3:$H$8))*TableBOM[Per 1000 Units]*(1+TableBOM[Scrap %]))=0,"-",ROUND(F73*1000*SUMPRODUCT((TableBOM[Item ID]=A73)*((SUMIF($D$3:$D$8,TableBOM[Product ID],$H$3:$H$8))&gt;0)*(SUMIF($D$3:$D$8,TableBOM[Product ID],$H$3:$H$8)))/SUMPRODUCT((TableBOM[Item ID]=A73)*((SUMIF($D$3:$D$8,TableBOM[Product ID],$H$3:$H$8))&gt;0)*(SUMIF($D$3:$D$8,TableBOM[Product ID],$H$3:$H$8))*TableBOM[Per 1000 Units]*(1+TableBOM[Scrap %])),0)),"-")</f>
        <v>-</v>
      </c>
      <c r="I73" s="150" t="str">
        <f t="shared" si="4"/>
        <v>Not needed</v>
      </c>
      <c r="J73" s="155" t="str">
        <f>IF(LEN(IF((COUNTIFS(TableBOM[Product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",""))&gt;1,LEFT(IF((COUNTIFS(TableBOM[Product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",""))-2),"")</f>
        <v/>
      </c>
    </row>
    <row r="74" spans="1:19" ht="15" customHeight="1" x14ac:dyDescent="0.25">
      <c r="A74" s="16">
        <v>194</v>
      </c>
      <c r="B74" s="147" t="s">
        <v>105</v>
      </c>
      <c r="C74" s="147" t="s">
        <v>106</v>
      </c>
      <c r="D74" s="147" t="s">
        <v>36</v>
      </c>
      <c r="E74" s="148">
        <f>SUMPRODUCT((TableBOM[Item ID]=A74)*TableBOM[Per 1000 Units]*(1+TableBOM[Scrap %])*SUMIF($D$3:$D$8,TableBOM[Product ID],$H$3:$H$8)/1000)</f>
        <v>8.3167656096800009</v>
      </c>
      <c r="F74" s="148">
        <f>IFERROR(INDEX(TableInventory[Store Balance],MATCH(A74,TableInventory[Item ID],0)),0)+IFERROR(INDEX(TableInventory[WIP],MATCH(A74,TableInventory[Item ID],0)),0)</f>
        <v>32.5</v>
      </c>
      <c r="G74" s="148">
        <f t="shared" si="3"/>
        <v>24.183234390319999</v>
      </c>
      <c r="H74" s="155">
        <f>IFERROR(IF(SUMPRODUCT((TableBOM[Item ID]=A74)*((SUMIF($D$3:$D$8,TableBOM[Product ID],$H$3:$H$8))&gt;0)*(SUMIF($D$3:$D$8,TableBOM[Product ID],$H$3:$H$8))*TableBOM[Per 1000 Units]*(1+TableBOM[Scrap %]))=0,"-",ROUND(F74*1000*SUMPRODUCT((TableBOM[Item ID]=A74)*((SUMIF($D$3:$D$8,TableBOM[Product ID],$H$3:$H$8))&gt;0)*(SUMIF($D$3:$D$8,TableBOM[Product ID],$H$3:$H$8)))/SUMPRODUCT((TableBOM[Item ID]=A74)*((SUMIF($D$3:$D$8,TableBOM[Product ID],$H$3:$H$8))&gt;0)*(SUMIF($D$3:$D$8,TableBOM[Product ID],$H$3:$H$8))*TableBOM[Per 1000 Units]*(1+TableBOM[Scrap %])),0)),"-")</f>
        <v>3483607</v>
      </c>
      <c r="I74" s="150" t="str">
        <f t="shared" si="4"/>
        <v>OK</v>
      </c>
      <c r="J74" s="156" t="str">
        <f>IF(LEN(IF((COUNTIFS(TableBOM[Product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",""))&gt;1,LEFT(IF((COUNTIFS(TableBOM[Product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",""))-2),"")</f>
        <v>VINCE HIS ONLY BEARD &amp; MUSTACHE COLOR CREAM, HIS ONLY HAIR COLOR CREAM 40GM, HELLO HAIR COLOR, H.H 100GM</v>
      </c>
    </row>
    <row r="75" spans="1:19" ht="15" hidden="1" customHeight="1" x14ac:dyDescent="0.25">
      <c r="A75" s="16">
        <v>4165</v>
      </c>
      <c r="B75" s="147" t="s">
        <v>105</v>
      </c>
      <c r="C75" s="147" t="s">
        <v>107</v>
      </c>
      <c r="D75" s="147" t="s">
        <v>36</v>
      </c>
      <c r="E75" s="148">
        <f>SUMPRODUCT((TableBOM[Item ID]=A75)*TableBOM[Per 1000 Units]*(1+TableBOM[Scrap %])*SUMIF($D$3:$D$8,TableBOM[Product ID],$H$3:$H$8)/1000)</f>
        <v>0</v>
      </c>
      <c r="F75" s="148">
        <f>IFERROR(INDEX(TableInventory[Store Balance],MATCH(A75,TableInventory[Item ID],0)),0)+IFERROR(INDEX(TableInventory[WIP],MATCH(A75,TableInventory[Item ID],0)),0)</f>
        <v>0</v>
      </c>
      <c r="G75" s="148">
        <f t="shared" si="3"/>
        <v>0</v>
      </c>
      <c r="H75" s="155" t="str">
        <f>IFERROR(IF(SUMPRODUCT((TableBOM[Item ID]=A75)*((SUMIF($D$3:$D$8,TableBOM[Product ID],$H$3:$H$8))&gt;0)*(SUMIF($D$3:$D$8,TableBOM[Product ID],$H$3:$H$8))*TableBOM[Per 1000 Units]*(1+TableBOM[Scrap %]))=0,"-",ROUND(F75*1000*SUMPRODUCT((TableBOM[Item ID]=A75)*((SUMIF($D$3:$D$8,TableBOM[Product ID],$H$3:$H$8))&gt;0)*(SUMIF($D$3:$D$8,TableBOM[Product ID],$H$3:$H$8)))/SUMPRODUCT((TableBOM[Item ID]=A75)*((SUMIF($D$3:$D$8,TableBOM[Product ID],$H$3:$H$8))&gt;0)*(SUMIF($D$3:$D$8,TableBOM[Product ID],$H$3:$H$8))*TableBOM[Per 1000 Units]*(1+TableBOM[Scrap %])),0)),"-")</f>
        <v>-</v>
      </c>
      <c r="I75" s="150" t="str">
        <f t="shared" si="4"/>
        <v>Not needed</v>
      </c>
      <c r="J75" s="155" t="str">
        <f>IF(LEN(IF((COUNTIFS(TableBOM[Product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",""))&gt;1,LEFT(IF((COUNTIFS(TableBOM[Product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",""))-2),"")</f>
        <v/>
      </c>
      <c r="L75" s="11"/>
      <c r="M75" s="11"/>
      <c r="N75" s="11"/>
      <c r="O75" s="11"/>
      <c r="P75" s="11"/>
      <c r="Q75" s="11"/>
      <c r="R75" s="11"/>
      <c r="S75" s="2"/>
    </row>
    <row r="76" spans="1:19" ht="15" customHeight="1" x14ac:dyDescent="0.25">
      <c r="A76" s="16">
        <v>3635</v>
      </c>
      <c r="B76" s="147" t="s">
        <v>108</v>
      </c>
      <c r="C76" s="147" t="s">
        <v>109</v>
      </c>
      <c r="D76" s="147" t="s">
        <v>73</v>
      </c>
      <c r="E76" s="148">
        <f>SUMPRODUCT((TableBOM[Item ID]=A76)*TableBOM[Per 1000 Units]*(1+TableBOM[Scrap %])*SUMIF($D$3:$D$8,TableBOM[Product ID],$H$3:$H$8)/1000)</f>
        <v>161.1612552</v>
      </c>
      <c r="F76" s="148">
        <f>IFERROR(INDEX(TableInventory[Store Balance],MATCH(A76,TableInventory[Item ID],0)),0)+IFERROR(INDEX(TableInventory[WIP],MATCH(A76,TableInventory[Item ID],0)),0)</f>
        <v>336</v>
      </c>
      <c r="G76" s="148">
        <f t="shared" ref="G76:G107" si="5">F76-E76</f>
        <v>174.8387448</v>
      </c>
      <c r="H76" s="155">
        <f>IFERROR(IF(SUMPRODUCT((TableBOM[Item ID]=A76)*((SUMIF($D$3:$D$8,TableBOM[Product ID],$H$3:$H$8))&gt;0)*(SUMIF($D$3:$D$8,TableBOM[Product ID],$H$3:$H$8))*TableBOM[Per 1000 Units]*(1+TableBOM[Scrap %]))=0,"-",ROUND(F76*1000*SUMPRODUCT((TableBOM[Item ID]=A76)*((SUMIF($D$3:$D$8,TableBOM[Product ID],$H$3:$H$8))&gt;0)*(SUMIF($D$3:$D$8,TableBOM[Product ID],$H$3:$H$8)))/SUMPRODUCT((TableBOM[Item ID]=A76)*((SUMIF($D$3:$D$8,TableBOM[Product ID],$H$3:$H$8))&gt;0)*(SUMIF($D$3:$D$8,TableBOM[Product ID],$H$3:$H$8))*TableBOM[Per 1000 Units]*(1+TableBOM[Scrap %])),0)),"-")</f>
        <v>1963569</v>
      </c>
      <c r="I76" s="150" t="str">
        <f t="shared" ref="I76:I93" si="6">IF(E76=0,"Not needed",IF(G76&lt;0,"SHORTAGE",IF(G76&lt;E76*0.1,"LOW","OK")))</f>
        <v>OK</v>
      </c>
      <c r="J76" s="156" t="str">
        <f>IF(LEN(IF((COUNTIFS(TableBOM[Product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",""))&gt;1,LEFT(IF((COUNTIFS(TableBOM[Product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",""))-2),"")</f>
        <v>VINCE HIS ONLY BEARD &amp; MUSTACHE COLOR CREAM, HIS ONLY HAIR COLOR CREAM 40GM, VINCE NURTURAL, HELLO HAIR COLOR, H.H 100GM</v>
      </c>
    </row>
    <row r="77" spans="1:19" ht="15" hidden="1" customHeight="1" x14ac:dyDescent="0.25">
      <c r="A77" s="16">
        <v>190</v>
      </c>
      <c r="B77" s="147" t="s">
        <v>110</v>
      </c>
      <c r="C77" s="147" t="s">
        <v>111</v>
      </c>
      <c r="D77" s="147" t="s">
        <v>53</v>
      </c>
      <c r="E77" s="148">
        <f>SUMPRODUCT((TableBOM[Item ID]=A77)*TableBOM[Per 1000 Units]*(1+TableBOM[Scrap %])*SUMIF($D$3:$D$8,TableBOM[Product ID],$H$3:$H$8)/1000)</f>
        <v>0</v>
      </c>
      <c r="F77" s="148">
        <f>IFERROR(INDEX(TableInventory[Store Balance],MATCH(A77,TableInventory[Item ID],0)),0)+IFERROR(INDEX(TableInventory[WIP],MATCH(A77,TableInventory[Item ID],0)),0)</f>
        <v>150</v>
      </c>
      <c r="G77" s="148">
        <f t="shared" si="5"/>
        <v>150</v>
      </c>
      <c r="H77" s="155" t="str">
        <f>IFERROR(IF(SUMPRODUCT((TableBOM[Item ID]=A77)*((SUMIF($D$3:$D$8,TableBOM[Product ID],$H$3:$H$8))&gt;0)*(SUMIF($D$3:$D$8,TableBOM[Product ID],$H$3:$H$8))*TableBOM[Per 1000 Units]*(1+TableBOM[Scrap %]))=0,"-",ROUND(F77*1000*SUMPRODUCT((TableBOM[Item ID]=A77)*((SUMIF($D$3:$D$8,TableBOM[Product ID],$H$3:$H$8))&gt;0)*(SUMIF($D$3:$D$8,TableBOM[Product ID],$H$3:$H$8)))/SUMPRODUCT((TableBOM[Item ID]=A77)*((SUMIF($D$3:$D$8,TableBOM[Product ID],$H$3:$H$8))&gt;0)*(SUMIF($D$3:$D$8,TableBOM[Product ID],$H$3:$H$8))*TableBOM[Per 1000 Units]*(1+TableBOM[Scrap %])),0)),"-")</f>
        <v>-</v>
      </c>
      <c r="I77" s="150" t="str">
        <f t="shared" si="6"/>
        <v>Not needed</v>
      </c>
      <c r="J77" s="155" t="str">
        <f>IF(LEN(IF((COUNTIFS(TableBOM[Product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",""))&gt;1,LEFT(IF((COUNTIFS(TableBOM[Product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",""))-2),"")</f>
        <v/>
      </c>
    </row>
    <row r="78" spans="1:19" ht="15" hidden="1" customHeight="1" x14ac:dyDescent="0.25">
      <c r="A78" s="16">
        <v>191</v>
      </c>
      <c r="B78" s="147" t="s">
        <v>110</v>
      </c>
      <c r="C78" s="147" t="s">
        <v>112</v>
      </c>
      <c r="D78" s="147" t="s">
        <v>53</v>
      </c>
      <c r="E78" s="148">
        <f>SUMPRODUCT((TableBOM[Item ID]=A78)*TableBOM[Per 1000 Units]*(1+TableBOM[Scrap %])*SUMIF($D$3:$D$8,TableBOM[Product ID],$H$3:$H$8)/1000)</f>
        <v>0</v>
      </c>
      <c r="F78" s="148">
        <f>IFERROR(INDEX(TableInventory[Store Balance],MATCH(A78,TableInventory[Item ID],0)),0)+IFERROR(INDEX(TableInventory[WIP],MATCH(A78,TableInventory[Item ID],0)),0)</f>
        <v>40</v>
      </c>
      <c r="G78" s="148">
        <f t="shared" si="5"/>
        <v>40</v>
      </c>
      <c r="H78" s="155" t="str">
        <f>IFERROR(IF(SUMPRODUCT((TableBOM[Item ID]=A78)*((SUMIF($D$3:$D$8,TableBOM[Product ID],$H$3:$H$8))&gt;0)*(SUMIF($D$3:$D$8,TableBOM[Product ID],$H$3:$H$8))*TableBOM[Per 1000 Units]*(1+TableBOM[Scrap %]))=0,"-",ROUND(F78*1000*SUMPRODUCT((TableBOM[Item ID]=A78)*((SUMIF($D$3:$D$8,TableBOM[Product ID],$H$3:$H$8))&gt;0)*(SUMIF($D$3:$D$8,TableBOM[Product ID],$H$3:$H$8)))/SUMPRODUCT((TableBOM[Item ID]=A78)*((SUMIF($D$3:$D$8,TableBOM[Product ID],$H$3:$H$8))&gt;0)*(SUMIF($D$3:$D$8,TableBOM[Product ID],$H$3:$H$8))*TableBOM[Per 1000 Units]*(1+TableBOM[Scrap %])),0)),"-")</f>
        <v>-</v>
      </c>
      <c r="I78" s="150" t="str">
        <f t="shared" si="6"/>
        <v>Not needed</v>
      </c>
      <c r="J78" s="155" t="str">
        <f>IF(LEN(IF((COUNTIFS(TableBOM[Product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",""))&gt;1,LEFT(IF((COUNTIFS(TableBOM[Product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",""))-2),"")</f>
        <v/>
      </c>
    </row>
    <row r="79" spans="1:19" ht="15" hidden="1" customHeight="1" x14ac:dyDescent="0.25">
      <c r="A79" s="16">
        <v>2680</v>
      </c>
      <c r="B79" s="147" t="s">
        <v>113</v>
      </c>
      <c r="C79" s="147" t="s">
        <v>114</v>
      </c>
      <c r="D79" s="147" t="s">
        <v>36</v>
      </c>
      <c r="E79" s="148">
        <f>SUMPRODUCT((TableBOM[Item ID]=A79)*TableBOM[Per 1000 Units]*(1+TableBOM[Scrap %])*SUMIF($D$3:$D$8,TableBOM[Product ID],$H$3:$H$8)/1000)</f>
        <v>0</v>
      </c>
      <c r="F79" s="148">
        <f>IFERROR(INDEX(TableInventory[Store Balance],MATCH(A79,TableInventory[Item ID],0)),0)+IFERROR(INDEX(TableInventory[WIP],MATCH(A79,TableInventory[Item ID],0)),0)</f>
        <v>860</v>
      </c>
      <c r="G79" s="148">
        <f t="shared" si="5"/>
        <v>860</v>
      </c>
      <c r="H79" s="155" t="str">
        <f>IFERROR(IF(SUMPRODUCT((TableBOM[Item ID]=A79)*((SUMIF($D$3:$D$8,TableBOM[Product ID],$H$3:$H$8))&gt;0)*(SUMIF($D$3:$D$8,TableBOM[Product ID],$H$3:$H$8))*TableBOM[Per 1000 Units]*(1+TableBOM[Scrap %]))=0,"-",ROUND(F79*1000*SUMPRODUCT((TableBOM[Item ID]=A79)*((SUMIF($D$3:$D$8,TableBOM[Product ID],$H$3:$H$8))&gt;0)*(SUMIF($D$3:$D$8,TableBOM[Product ID],$H$3:$H$8)))/SUMPRODUCT((TableBOM[Item ID]=A79)*((SUMIF($D$3:$D$8,TableBOM[Product ID],$H$3:$H$8))&gt;0)*(SUMIF($D$3:$D$8,TableBOM[Product ID],$H$3:$H$8))*TableBOM[Per 1000 Units]*(1+TableBOM[Scrap %])),0)),"-")</f>
        <v>-</v>
      </c>
      <c r="I79" s="150" t="str">
        <f t="shared" si="6"/>
        <v>Not needed</v>
      </c>
      <c r="J79" s="155" t="str">
        <f>IF(LEN(IF((COUNTIFS(TableBOM[Product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",""))&gt;1,LEFT(IF((COUNTIFS(TableBOM[Product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",""))-2),"")</f>
        <v/>
      </c>
    </row>
    <row r="80" spans="1:19" ht="15" hidden="1" customHeight="1" x14ac:dyDescent="0.25">
      <c r="A80" s="16">
        <v>3492</v>
      </c>
      <c r="B80" s="147" t="s">
        <v>115</v>
      </c>
      <c r="C80" s="147" t="s">
        <v>116</v>
      </c>
      <c r="D80" s="147" t="s">
        <v>36</v>
      </c>
      <c r="E80" s="148">
        <f>SUMPRODUCT((TableBOM[Item ID]=A80)*TableBOM[Per 1000 Units]*(1+TableBOM[Scrap %])*SUMIF($D$3:$D$8,TableBOM[Product ID],$H$3:$H$8)/1000)</f>
        <v>0</v>
      </c>
      <c r="F80" s="148">
        <f>IFERROR(INDEX(TableInventory[Store Balance],MATCH(A80,TableInventory[Item ID],0)),0)+IFERROR(INDEX(TableInventory[WIP],MATCH(A80,TableInventory[Item ID],0)),0)</f>
        <v>75</v>
      </c>
      <c r="G80" s="148">
        <f t="shared" si="5"/>
        <v>75</v>
      </c>
      <c r="H80" s="155" t="str">
        <f>IFERROR(IF(SUMPRODUCT((TableBOM[Item ID]=A80)*((SUMIF($D$3:$D$8,TableBOM[Product ID],$H$3:$H$8))&gt;0)*(SUMIF($D$3:$D$8,TableBOM[Product ID],$H$3:$H$8))*TableBOM[Per 1000 Units]*(1+TableBOM[Scrap %]))=0,"-",ROUND(F80*1000*SUMPRODUCT((TableBOM[Item ID]=A80)*((SUMIF($D$3:$D$8,TableBOM[Product ID],$H$3:$H$8))&gt;0)*(SUMIF($D$3:$D$8,TableBOM[Product ID],$H$3:$H$8)))/SUMPRODUCT((TableBOM[Item ID]=A80)*((SUMIF($D$3:$D$8,TableBOM[Product ID],$H$3:$H$8))&gt;0)*(SUMIF($D$3:$D$8,TableBOM[Product ID],$H$3:$H$8))*TableBOM[Per 1000 Units]*(1+TableBOM[Scrap %])),0)),"-")</f>
        <v>-</v>
      </c>
      <c r="I80" s="150" t="str">
        <f t="shared" si="6"/>
        <v>Not needed</v>
      </c>
      <c r="J80" s="155" t="str">
        <f>IF(LEN(IF((COUNTIFS(TableBOM[Product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",""))&gt;1,LEFT(IF((COUNTIFS(TableBOM[Product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",""))-2),"")</f>
        <v/>
      </c>
    </row>
    <row r="81" spans="1:10" ht="15" hidden="1" customHeight="1" x14ac:dyDescent="0.25">
      <c r="A81" s="16">
        <v>4002</v>
      </c>
      <c r="B81" s="147" t="s">
        <v>115</v>
      </c>
      <c r="C81" s="147" t="s">
        <v>117</v>
      </c>
      <c r="D81" s="147" t="s">
        <v>36</v>
      </c>
      <c r="E81" s="148">
        <f>SUMPRODUCT((TableBOM[Item ID]=A81)*TableBOM[Per 1000 Units]*(1+TableBOM[Scrap %])*SUMIF($D$3:$D$8,TableBOM[Product ID],$H$3:$H$8)/1000)</f>
        <v>0</v>
      </c>
      <c r="F81" s="148">
        <f>IFERROR(INDEX(TableInventory[Store Balance],MATCH(A81,TableInventory[Item ID],0)),0)+IFERROR(INDEX(TableInventory[WIP],MATCH(A81,TableInventory[Item ID],0)),0)</f>
        <v>25</v>
      </c>
      <c r="G81" s="148">
        <f t="shared" si="5"/>
        <v>25</v>
      </c>
      <c r="H81" s="155" t="str">
        <f>IFERROR(IF(SUMPRODUCT((TableBOM[Item ID]=A81)*((SUMIF($D$3:$D$8,TableBOM[Product ID],$H$3:$H$8))&gt;0)*(SUMIF($D$3:$D$8,TableBOM[Product ID],$H$3:$H$8))*TableBOM[Per 1000 Units]*(1+TableBOM[Scrap %]))=0,"-",ROUND(F81*1000*SUMPRODUCT((TableBOM[Item ID]=A81)*((SUMIF($D$3:$D$8,TableBOM[Product ID],$H$3:$H$8))&gt;0)*(SUMIF($D$3:$D$8,TableBOM[Product ID],$H$3:$H$8)))/SUMPRODUCT((TableBOM[Item ID]=A81)*((SUMIF($D$3:$D$8,TableBOM[Product ID],$H$3:$H$8))&gt;0)*(SUMIF($D$3:$D$8,TableBOM[Product ID],$H$3:$H$8))*TableBOM[Per 1000 Units]*(1+TableBOM[Scrap %])),0)),"-")</f>
        <v>-</v>
      </c>
      <c r="I81" s="150" t="str">
        <f t="shared" si="6"/>
        <v>Not needed</v>
      </c>
      <c r="J81" s="155" t="str">
        <f>IF(LEN(IF((COUNTIFS(TableBOM[Product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",""))&gt;1,LEFT(IF((COUNTIFS(TableBOM[Product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",""))-2),"")</f>
        <v/>
      </c>
    </row>
    <row r="82" spans="1:10" ht="15" hidden="1" customHeight="1" x14ac:dyDescent="0.25">
      <c r="A82" s="16">
        <v>4002</v>
      </c>
      <c r="B82" s="147" t="s">
        <v>115</v>
      </c>
      <c r="C82" s="147" t="s">
        <v>117</v>
      </c>
      <c r="D82" s="147" t="s">
        <v>36</v>
      </c>
      <c r="E82" s="148">
        <f>SUMPRODUCT((TableBOM[Item ID]=A82)*TableBOM[Per 1000 Units]*(1+TableBOM[Scrap %])*SUMIF($D$3:$D$8,TableBOM[Product ID],$H$3:$H$8)/1000)</f>
        <v>0</v>
      </c>
      <c r="F82" s="148">
        <f>IFERROR(INDEX(TableInventory[Store Balance],MATCH(A82,TableInventory[Item ID],0)),0)+IFERROR(INDEX(TableInventory[WIP],MATCH(A82,TableInventory[Item ID],0)),0)</f>
        <v>25</v>
      </c>
      <c r="G82" s="148">
        <f t="shared" si="5"/>
        <v>25</v>
      </c>
      <c r="H82" s="155" t="str">
        <f>IFERROR(IF(SUMPRODUCT((TableBOM[Item ID]=A82)*((SUMIF($D$3:$D$8,TableBOM[Product ID],$H$3:$H$8))&gt;0)*(SUMIF($D$3:$D$8,TableBOM[Product ID],$H$3:$H$8))*TableBOM[Per 1000 Units]*(1+TableBOM[Scrap %]))=0,"-",ROUND(F82*1000*SUMPRODUCT((TableBOM[Item ID]=A82)*((SUMIF($D$3:$D$8,TableBOM[Product ID],$H$3:$H$8))&gt;0)*(SUMIF($D$3:$D$8,TableBOM[Product ID],$H$3:$H$8)))/SUMPRODUCT((TableBOM[Item ID]=A82)*((SUMIF($D$3:$D$8,TableBOM[Product ID],$H$3:$H$8))&gt;0)*(SUMIF($D$3:$D$8,TableBOM[Product ID],$H$3:$H$8))*TableBOM[Per 1000 Units]*(1+TableBOM[Scrap %])),0)),"-")</f>
        <v>-</v>
      </c>
      <c r="I82" s="150" t="str">
        <f t="shared" si="6"/>
        <v>Not needed</v>
      </c>
      <c r="J82" s="155" t="str">
        <f>IF(LEN(IF((COUNTIFS(TableBOM[Product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",""))&gt;1,LEFT(IF((COUNTIFS(TableBOM[Product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",""))-2),"")</f>
        <v/>
      </c>
    </row>
    <row r="83" spans="1:10" ht="15" hidden="1" customHeight="1" x14ac:dyDescent="0.25">
      <c r="A83" s="16">
        <v>4310</v>
      </c>
      <c r="B83" s="147" t="s">
        <v>115</v>
      </c>
      <c r="C83" s="147" t="s">
        <v>118</v>
      </c>
      <c r="D83" s="147" t="s">
        <v>36</v>
      </c>
      <c r="E83" s="148">
        <f>SUMPRODUCT((TableBOM[Item ID]=A83)*TableBOM[Per 1000 Units]*(1+TableBOM[Scrap %])*SUMIF($D$3:$D$8,TableBOM[Product ID],$H$3:$H$8)/1000)</f>
        <v>0</v>
      </c>
      <c r="F83" s="148">
        <f>IFERROR(INDEX(TableInventory[Store Balance],MATCH(A83,TableInventory[Item ID],0)),0)+IFERROR(INDEX(TableInventory[WIP],MATCH(A83,TableInventory[Item ID],0)),0)</f>
        <v>36.229999999999997</v>
      </c>
      <c r="G83" s="148">
        <f t="shared" si="5"/>
        <v>36.229999999999997</v>
      </c>
      <c r="H83" s="155" t="str">
        <f>IFERROR(IF(SUMPRODUCT((TableBOM[Item ID]=A83)*((SUMIF($D$3:$D$8,TableBOM[Product ID],$H$3:$H$8))&gt;0)*(SUMIF($D$3:$D$8,TableBOM[Product ID],$H$3:$H$8))*TableBOM[Per 1000 Units]*(1+TableBOM[Scrap %]))=0,"-",ROUND(F83*1000*SUMPRODUCT((TableBOM[Item ID]=A83)*((SUMIF($D$3:$D$8,TableBOM[Product ID],$H$3:$H$8))&gt;0)*(SUMIF($D$3:$D$8,TableBOM[Product ID],$H$3:$H$8)))/SUMPRODUCT((TableBOM[Item ID]=A83)*((SUMIF($D$3:$D$8,TableBOM[Product ID],$H$3:$H$8))&gt;0)*(SUMIF($D$3:$D$8,TableBOM[Product ID],$H$3:$H$8))*TableBOM[Per 1000 Units]*(1+TableBOM[Scrap %])),0)),"-")</f>
        <v>-</v>
      </c>
      <c r="I83" s="150" t="str">
        <f t="shared" si="6"/>
        <v>Not needed</v>
      </c>
      <c r="J83" s="155" t="str">
        <f>IF(LEN(IF((COUNTIFS(TableBOM[Product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",""))&gt;1,LEFT(IF((COUNTIFS(TableBOM[Product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",""))-2),"")</f>
        <v/>
      </c>
    </row>
    <row r="84" spans="1:10" ht="15" hidden="1" customHeight="1" x14ac:dyDescent="0.25">
      <c r="A84" s="16">
        <v>5625</v>
      </c>
      <c r="B84" s="147" t="s">
        <v>115</v>
      </c>
      <c r="C84" s="147" t="s">
        <v>119</v>
      </c>
      <c r="D84" s="147" t="s">
        <v>36</v>
      </c>
      <c r="E84" s="148">
        <f>SUMPRODUCT((TableBOM[Item ID]=A84)*TableBOM[Per 1000 Units]*(1+TableBOM[Scrap %])*SUMIF($D$3:$D$8,TableBOM[Product ID],$H$3:$H$8)/1000)</f>
        <v>0</v>
      </c>
      <c r="F84" s="148">
        <f>IFERROR(INDEX(TableInventory[Store Balance],MATCH(A84,TableInventory[Item ID],0)),0)+IFERROR(INDEX(TableInventory[WIP],MATCH(A84,TableInventory[Item ID],0)),0)</f>
        <v>48.5</v>
      </c>
      <c r="G84" s="148">
        <f t="shared" si="5"/>
        <v>48.5</v>
      </c>
      <c r="H84" s="155" t="str">
        <f>IFERROR(IF(SUMPRODUCT((TableBOM[Item ID]=A84)*((SUMIF($D$3:$D$8,TableBOM[Product ID],$H$3:$H$8))&gt;0)*(SUMIF($D$3:$D$8,TableBOM[Product ID],$H$3:$H$8))*TableBOM[Per 1000 Units]*(1+TableBOM[Scrap %]))=0,"-",ROUND(F84*1000*SUMPRODUCT((TableBOM[Item ID]=A84)*((SUMIF($D$3:$D$8,TableBOM[Product ID],$H$3:$H$8))&gt;0)*(SUMIF($D$3:$D$8,TableBOM[Product ID],$H$3:$H$8)))/SUMPRODUCT((TableBOM[Item ID]=A84)*((SUMIF($D$3:$D$8,TableBOM[Product ID],$H$3:$H$8))&gt;0)*(SUMIF($D$3:$D$8,TableBOM[Product ID],$H$3:$H$8))*TableBOM[Per 1000 Units]*(1+TableBOM[Scrap %])),0)),"-")</f>
        <v>-</v>
      </c>
      <c r="I84" s="150" t="str">
        <f t="shared" si="6"/>
        <v>Not needed</v>
      </c>
      <c r="J84" s="155" t="str">
        <f>IF(LEN(IF((COUNTIFS(TableBOM[Product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",""))&gt;1,LEFT(IF((COUNTIFS(TableBOM[Product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",""))-2),"")</f>
        <v/>
      </c>
    </row>
    <row r="85" spans="1:10" ht="15" hidden="1" customHeight="1" x14ac:dyDescent="0.25">
      <c r="A85" s="16">
        <v>5816</v>
      </c>
      <c r="B85" s="147" t="s">
        <v>115</v>
      </c>
      <c r="C85" s="147" t="s">
        <v>120</v>
      </c>
      <c r="D85" s="147" t="s">
        <v>36</v>
      </c>
      <c r="E85" s="148">
        <f>SUMPRODUCT((TableBOM[Item ID]=A85)*TableBOM[Per 1000 Units]*(1+TableBOM[Scrap %])*SUMIF($D$3:$D$8,TableBOM[Product ID],$H$3:$H$8)/1000)</f>
        <v>0</v>
      </c>
      <c r="F85" s="148">
        <f>IFERROR(INDEX(TableInventory[Store Balance],MATCH(A85,TableInventory[Item ID],0)),0)+IFERROR(INDEX(TableInventory[WIP],MATCH(A85,TableInventory[Item ID],0)),0)</f>
        <v>0</v>
      </c>
      <c r="G85" s="148">
        <f t="shared" si="5"/>
        <v>0</v>
      </c>
      <c r="H85" s="155" t="str">
        <f>IFERROR(IF(SUMPRODUCT((TableBOM[Item ID]=A85)*((SUMIF($D$3:$D$8,TableBOM[Product ID],$H$3:$H$8))&gt;0)*(SUMIF($D$3:$D$8,TableBOM[Product ID],$H$3:$H$8))*TableBOM[Per 1000 Units]*(1+TableBOM[Scrap %]))=0,"-",ROUND(F85*1000*SUMPRODUCT((TableBOM[Item ID]=A85)*((SUMIF($D$3:$D$8,TableBOM[Product ID],$H$3:$H$8))&gt;0)*(SUMIF($D$3:$D$8,TableBOM[Product ID],$H$3:$H$8)))/SUMPRODUCT((TableBOM[Item ID]=A85)*((SUMIF($D$3:$D$8,TableBOM[Product ID],$H$3:$H$8))&gt;0)*(SUMIF($D$3:$D$8,TableBOM[Product ID],$H$3:$H$8))*TableBOM[Per 1000 Units]*(1+TableBOM[Scrap %])),0)),"-")</f>
        <v>-</v>
      </c>
      <c r="I85" s="150" t="str">
        <f t="shared" si="6"/>
        <v>Not needed</v>
      </c>
      <c r="J85" s="155" t="str">
        <f>IF(LEN(IF((COUNTIFS(TableBOM[Product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",""))&gt;1,LEFT(IF((COUNTIFS(TableBOM[Product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",""))-2),"")</f>
        <v/>
      </c>
    </row>
    <row r="86" spans="1:10" ht="16.5" hidden="1" customHeight="1" x14ac:dyDescent="0.25">
      <c r="A86" s="16">
        <v>6135</v>
      </c>
      <c r="B86" s="147" t="s">
        <v>115</v>
      </c>
      <c r="C86" s="147" t="s">
        <v>121</v>
      </c>
      <c r="D86" s="147" t="s">
        <v>36</v>
      </c>
      <c r="E86" s="148">
        <f>SUMPRODUCT((TableBOM[Item ID]=A86)*TableBOM[Per 1000 Units]*(1+TableBOM[Scrap %])*SUMIF($D$3:$D$8,TableBOM[Product ID],$H$3:$H$8)/1000)</f>
        <v>0</v>
      </c>
      <c r="F86" s="148">
        <f>IFERROR(INDEX(TableInventory[Store Balance],MATCH(A86,TableInventory[Item ID],0)),0)+IFERROR(INDEX(TableInventory[WIP],MATCH(A86,TableInventory[Item ID],0)),0)</f>
        <v>200</v>
      </c>
      <c r="G86" s="148">
        <f t="shared" si="5"/>
        <v>200</v>
      </c>
      <c r="H86" s="155" t="str">
        <f>IFERROR(IF(SUMPRODUCT((TableBOM[Item ID]=A86)*((SUMIF($D$3:$D$8,TableBOM[Product ID],$H$3:$H$8))&gt;0)*(SUMIF($D$3:$D$8,TableBOM[Product ID],$H$3:$H$8))*TableBOM[Per 1000 Units]*(1+TableBOM[Scrap %]))=0,"-",ROUND(F86*1000*SUMPRODUCT((TableBOM[Item ID]=A86)*((SUMIF($D$3:$D$8,TableBOM[Product ID],$H$3:$H$8))&gt;0)*(SUMIF($D$3:$D$8,TableBOM[Product ID],$H$3:$H$8)))/SUMPRODUCT((TableBOM[Item ID]=A86)*((SUMIF($D$3:$D$8,TableBOM[Product ID],$H$3:$H$8))&gt;0)*(SUMIF($D$3:$D$8,TableBOM[Product ID],$H$3:$H$8))*TableBOM[Per 1000 Units]*(1+TableBOM[Scrap %])),0)),"-")</f>
        <v>-</v>
      </c>
      <c r="I86" s="150" t="str">
        <f t="shared" si="6"/>
        <v>Not needed</v>
      </c>
      <c r="J86" s="155" t="str">
        <f>IF(LEN(IF((COUNTIFS(TableBOM[Product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",""))&gt;1,LEFT(IF((COUNTIFS(TableBOM[Product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",""))-2),"")</f>
        <v/>
      </c>
    </row>
    <row r="87" spans="1:10" ht="15" hidden="1" customHeight="1" x14ac:dyDescent="0.25">
      <c r="A87" s="16">
        <v>7133</v>
      </c>
      <c r="B87" s="147" t="s">
        <v>115</v>
      </c>
      <c r="C87" s="147" t="s">
        <v>122</v>
      </c>
      <c r="D87" s="147" t="s">
        <v>36</v>
      </c>
      <c r="E87" s="148">
        <f>SUMPRODUCT((TableBOM[Item ID]=A87)*TableBOM[Per 1000 Units]*(1+TableBOM[Scrap %])*SUMIF($D$3:$D$8,TableBOM[Product ID],$H$3:$H$8)/1000)</f>
        <v>0</v>
      </c>
      <c r="F87" s="148">
        <f>IFERROR(INDEX(TableInventory[Store Balance],MATCH(A87,TableInventory[Item ID],0)),0)+IFERROR(INDEX(TableInventory[WIP],MATCH(A87,TableInventory[Item ID],0)),0)</f>
        <v>20</v>
      </c>
      <c r="G87" s="148">
        <f t="shared" si="5"/>
        <v>20</v>
      </c>
      <c r="H87" s="155" t="str">
        <f>IFERROR(IF(SUMPRODUCT((TableBOM[Item ID]=A87)*((SUMIF($D$3:$D$8,TableBOM[Product ID],$H$3:$H$8))&gt;0)*(SUMIF($D$3:$D$8,TableBOM[Product ID],$H$3:$H$8))*TableBOM[Per 1000 Units]*(1+TableBOM[Scrap %]))=0,"-",ROUND(F87*1000*SUMPRODUCT((TableBOM[Item ID]=A87)*((SUMIF($D$3:$D$8,TableBOM[Product ID],$H$3:$H$8))&gt;0)*(SUMIF($D$3:$D$8,TableBOM[Product ID],$H$3:$H$8)))/SUMPRODUCT((TableBOM[Item ID]=A87)*((SUMIF($D$3:$D$8,TableBOM[Product ID],$H$3:$H$8))&gt;0)*(SUMIF($D$3:$D$8,TableBOM[Product ID],$H$3:$H$8))*TableBOM[Per 1000 Units]*(1+TableBOM[Scrap %])),0)),"-")</f>
        <v>-</v>
      </c>
      <c r="I87" s="150" t="str">
        <f t="shared" si="6"/>
        <v>Not needed</v>
      </c>
      <c r="J87" s="155" t="str">
        <f>IF(LEN(IF((COUNTIFS(TableBOM[Product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",""))&gt;1,LEFT(IF((COUNTIFS(TableBOM[Product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",""))-2),"")</f>
        <v/>
      </c>
    </row>
    <row r="88" spans="1:10" ht="15" hidden="1" customHeight="1" x14ac:dyDescent="0.25">
      <c r="A88" s="16">
        <v>7412</v>
      </c>
      <c r="B88" s="147" t="s">
        <v>115</v>
      </c>
      <c r="C88" s="147" t="s">
        <v>123</v>
      </c>
      <c r="D88" s="147" t="s">
        <v>36</v>
      </c>
      <c r="E88" s="148">
        <f>SUMPRODUCT((TableBOM[Item ID]=A88)*TableBOM[Per 1000 Units]*(1+TableBOM[Scrap %])*SUMIF($D$3:$D$8,TableBOM[Product ID],$H$3:$H$8)/1000)</f>
        <v>0</v>
      </c>
      <c r="F88" s="148">
        <f>IFERROR(INDEX(TableInventory[Store Balance],MATCH(A88,TableInventory[Item ID],0)),0)+IFERROR(INDEX(TableInventory[WIP],MATCH(A88,TableInventory[Item ID],0)),0)</f>
        <v>25</v>
      </c>
      <c r="G88" s="148">
        <f t="shared" si="5"/>
        <v>25</v>
      </c>
      <c r="H88" s="155" t="str">
        <f>IFERROR(IF(SUMPRODUCT((TableBOM[Item ID]=A88)*((SUMIF($D$3:$D$8,TableBOM[Product ID],$H$3:$H$8))&gt;0)*(SUMIF($D$3:$D$8,TableBOM[Product ID],$H$3:$H$8))*TableBOM[Per 1000 Units]*(1+TableBOM[Scrap %]))=0,"-",ROUND(F88*1000*SUMPRODUCT((TableBOM[Item ID]=A88)*((SUMIF($D$3:$D$8,TableBOM[Product ID],$H$3:$H$8))&gt;0)*(SUMIF($D$3:$D$8,TableBOM[Product ID],$H$3:$H$8)))/SUMPRODUCT((TableBOM[Item ID]=A88)*((SUMIF($D$3:$D$8,TableBOM[Product ID],$H$3:$H$8))&gt;0)*(SUMIF($D$3:$D$8,TableBOM[Product ID],$H$3:$H$8))*TableBOM[Per 1000 Units]*(1+TableBOM[Scrap %])),0)),"-")</f>
        <v>-</v>
      </c>
      <c r="I88" s="150" t="str">
        <f t="shared" si="6"/>
        <v>Not needed</v>
      </c>
      <c r="J88" s="155" t="str">
        <f>IF(LEN(IF((COUNTIFS(TableBOM[Product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",""))&gt;1,LEFT(IF((COUNTIFS(TableBOM[Product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",""))-2),"")</f>
        <v/>
      </c>
    </row>
    <row r="89" spans="1:10" ht="15" hidden="1" customHeight="1" x14ac:dyDescent="0.25">
      <c r="A89" s="16">
        <v>3752</v>
      </c>
      <c r="B89" s="147" t="s">
        <v>124</v>
      </c>
      <c r="C89" s="147" t="s">
        <v>125</v>
      </c>
      <c r="D89" s="147" t="s">
        <v>36</v>
      </c>
      <c r="E89" s="148">
        <f>SUMPRODUCT((TableBOM[Item ID]=A89)*TableBOM[Per 1000 Units]*(1+TableBOM[Scrap %])*SUMIF($D$3:$D$8,TableBOM[Product ID],$H$3:$H$8)/1000)</f>
        <v>0</v>
      </c>
      <c r="F89" s="148">
        <f>IFERROR(INDEX(TableInventory[Store Balance],MATCH(A89,TableInventory[Item ID],0)),0)+IFERROR(INDEX(TableInventory[WIP],MATCH(A89,TableInventory[Item ID],0)),0)</f>
        <v>56</v>
      </c>
      <c r="G89" s="148">
        <f t="shared" si="5"/>
        <v>56</v>
      </c>
      <c r="H89" s="155" t="str">
        <f>IFERROR(IF(SUMPRODUCT((TableBOM[Item ID]=A89)*((SUMIF($D$3:$D$8,TableBOM[Product ID],$H$3:$H$8))&gt;0)*(SUMIF($D$3:$D$8,TableBOM[Product ID],$H$3:$H$8))*TableBOM[Per 1000 Units]*(1+TableBOM[Scrap %]))=0,"-",ROUND(F89*1000*SUMPRODUCT((TableBOM[Item ID]=A89)*((SUMIF($D$3:$D$8,TableBOM[Product ID],$H$3:$H$8))&gt;0)*(SUMIF($D$3:$D$8,TableBOM[Product ID],$H$3:$H$8)))/SUMPRODUCT((TableBOM[Item ID]=A89)*((SUMIF($D$3:$D$8,TableBOM[Product ID],$H$3:$H$8))&gt;0)*(SUMIF($D$3:$D$8,TableBOM[Product ID],$H$3:$H$8))*TableBOM[Per 1000 Units]*(1+TableBOM[Scrap %])),0)),"-")</f>
        <v>-</v>
      </c>
      <c r="I89" s="150" t="str">
        <f t="shared" si="6"/>
        <v>Not needed</v>
      </c>
      <c r="J89" s="155" t="str">
        <f>IF(LEN(IF((COUNTIFS(TableBOM[Product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",""))&gt;1,LEFT(IF((COUNTIFS(TableBOM[Product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",""))-2),"")</f>
        <v/>
      </c>
    </row>
    <row r="90" spans="1:10" ht="15" hidden="1" customHeight="1" x14ac:dyDescent="0.25">
      <c r="A90" s="16">
        <v>4248</v>
      </c>
      <c r="B90" s="147" t="s">
        <v>124</v>
      </c>
      <c r="C90" s="147" t="s">
        <v>126</v>
      </c>
      <c r="D90" s="147" t="s">
        <v>36</v>
      </c>
      <c r="E90" s="148">
        <f>SUMPRODUCT((TableBOM[Item ID]=A90)*TableBOM[Per 1000 Units]*(1+TableBOM[Scrap %])*SUMIF($D$3:$D$8,TableBOM[Product ID],$H$3:$H$8)/1000)</f>
        <v>0</v>
      </c>
      <c r="F90" s="148">
        <f>IFERROR(INDEX(TableInventory[Store Balance],MATCH(A90,TableInventory[Item ID],0)),0)+IFERROR(INDEX(TableInventory[WIP],MATCH(A90,TableInventory[Item ID],0)),0)</f>
        <v>250</v>
      </c>
      <c r="G90" s="148">
        <f t="shared" si="5"/>
        <v>250</v>
      </c>
      <c r="H90" s="155" t="str">
        <f>IFERROR(IF(SUMPRODUCT((TableBOM[Item ID]=A90)*((SUMIF($D$3:$D$8,TableBOM[Product ID],$H$3:$H$8))&gt;0)*(SUMIF($D$3:$D$8,TableBOM[Product ID],$H$3:$H$8))*TableBOM[Per 1000 Units]*(1+TableBOM[Scrap %]))=0,"-",ROUND(F90*1000*SUMPRODUCT((TableBOM[Item ID]=A90)*((SUMIF($D$3:$D$8,TableBOM[Product ID],$H$3:$H$8))&gt;0)*(SUMIF($D$3:$D$8,TableBOM[Product ID],$H$3:$H$8)))/SUMPRODUCT((TableBOM[Item ID]=A90)*((SUMIF($D$3:$D$8,TableBOM[Product ID],$H$3:$H$8))&gt;0)*(SUMIF($D$3:$D$8,TableBOM[Product ID],$H$3:$H$8))*TableBOM[Per 1000 Units]*(1+TableBOM[Scrap %])),0)),"-")</f>
        <v>-</v>
      </c>
      <c r="I90" s="150" t="str">
        <f t="shared" si="6"/>
        <v>Not needed</v>
      </c>
      <c r="J90" s="155" t="str">
        <f>IF(LEN(IF((COUNTIFS(TableBOM[Product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",""))&gt;1,LEFT(IF((COUNTIFS(TableBOM[Product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",""))-2),"")</f>
        <v/>
      </c>
    </row>
    <row r="91" spans="1:10" ht="15" hidden="1" customHeight="1" x14ac:dyDescent="0.25">
      <c r="A91" s="16">
        <v>6042</v>
      </c>
      <c r="B91" s="147" t="s">
        <v>124</v>
      </c>
      <c r="C91" s="147" t="s">
        <v>127</v>
      </c>
      <c r="D91" s="147" t="s">
        <v>36</v>
      </c>
      <c r="E91" s="148">
        <f>SUMPRODUCT((TableBOM[Item ID]=A91)*TableBOM[Per 1000 Units]*(1+TableBOM[Scrap %])*SUMIF($D$3:$D$8,TableBOM[Product ID],$H$3:$H$8)/1000)</f>
        <v>0</v>
      </c>
      <c r="F91" s="148">
        <f>IFERROR(INDEX(TableInventory[Store Balance],MATCH(A91,TableInventory[Item ID],0)),0)+IFERROR(INDEX(TableInventory[WIP],MATCH(A91,TableInventory[Item ID],0)),0)</f>
        <v>25</v>
      </c>
      <c r="G91" s="148">
        <f t="shared" si="5"/>
        <v>25</v>
      </c>
      <c r="H91" s="155" t="str">
        <f>IFERROR(IF(SUMPRODUCT((TableBOM[Item ID]=A91)*((SUMIF($D$3:$D$8,TableBOM[Product ID],$H$3:$H$8))&gt;0)*(SUMIF($D$3:$D$8,TableBOM[Product ID],$H$3:$H$8))*TableBOM[Per 1000 Units]*(1+TableBOM[Scrap %]))=0,"-",ROUND(F91*1000*SUMPRODUCT((TableBOM[Item ID]=A91)*((SUMIF($D$3:$D$8,TableBOM[Product ID],$H$3:$H$8))&gt;0)*(SUMIF($D$3:$D$8,TableBOM[Product ID],$H$3:$H$8)))/SUMPRODUCT((TableBOM[Item ID]=A91)*((SUMIF($D$3:$D$8,TableBOM[Product ID],$H$3:$H$8))&gt;0)*(SUMIF($D$3:$D$8,TableBOM[Product ID],$H$3:$H$8))*TableBOM[Per 1000 Units]*(1+TableBOM[Scrap %])),0)),"-")</f>
        <v>-</v>
      </c>
      <c r="I91" s="150" t="str">
        <f t="shared" si="6"/>
        <v>Not needed</v>
      </c>
      <c r="J91" s="155" t="str">
        <f>IF(LEN(IF((COUNTIFS(TableBOM[Product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",""))&gt;1,LEFT(IF((COUNTIFS(TableBOM[Product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",""))-2),"")</f>
        <v/>
      </c>
    </row>
    <row r="92" spans="1:10" ht="15" hidden="1" customHeight="1" x14ac:dyDescent="0.25">
      <c r="A92" s="16">
        <v>2267</v>
      </c>
      <c r="B92" s="147" t="s">
        <v>128</v>
      </c>
      <c r="C92" s="147" t="s">
        <v>129</v>
      </c>
      <c r="D92" s="147" t="s">
        <v>73</v>
      </c>
      <c r="E92" s="148">
        <f>SUMPRODUCT((TableBOM[Item ID]=A92)*TableBOM[Per 1000 Units]*(1+TableBOM[Scrap %])*SUMIF($D$3:$D$8,TableBOM[Product ID],$H$3:$H$8)/1000)</f>
        <v>0</v>
      </c>
      <c r="F92" s="148">
        <f>IFERROR(INDEX(TableInventory[Store Balance],MATCH(A92,TableInventory[Item ID],0)),0)+IFERROR(INDEX(TableInventory[WIP],MATCH(A92,TableInventory[Item ID],0)),0)</f>
        <v>75</v>
      </c>
      <c r="G92" s="148">
        <f t="shared" si="5"/>
        <v>75</v>
      </c>
      <c r="H92" s="155" t="str">
        <f>IFERROR(IF(SUMPRODUCT((TableBOM[Item ID]=A92)*((SUMIF($D$3:$D$8,TableBOM[Product ID],$H$3:$H$8))&gt;0)*(SUMIF($D$3:$D$8,TableBOM[Product ID],$H$3:$H$8))*TableBOM[Per 1000 Units]*(1+TableBOM[Scrap %]))=0,"-",ROUND(F92*1000*SUMPRODUCT((TableBOM[Item ID]=A92)*((SUMIF($D$3:$D$8,TableBOM[Product ID],$H$3:$H$8))&gt;0)*(SUMIF($D$3:$D$8,TableBOM[Product ID],$H$3:$H$8)))/SUMPRODUCT((TableBOM[Item ID]=A92)*((SUMIF($D$3:$D$8,TableBOM[Product ID],$H$3:$H$8))&gt;0)*(SUMIF($D$3:$D$8,TableBOM[Product ID],$H$3:$H$8))*TableBOM[Per 1000 Units]*(1+TableBOM[Scrap %])),0)),"-")</f>
        <v>-</v>
      </c>
      <c r="I92" s="150" t="str">
        <f t="shared" si="6"/>
        <v>Not needed</v>
      </c>
      <c r="J92" s="155" t="str">
        <f>IF(LEN(IF((COUNTIFS(TableBOM[Product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",""))&gt;1,LEFT(IF((COUNTIFS(TableBOM[Product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",""))-2),"")</f>
        <v/>
      </c>
    </row>
    <row r="93" spans="1:10" ht="18.75" hidden="1" customHeight="1" x14ac:dyDescent="0.25">
      <c r="A93" s="16">
        <v>3043</v>
      </c>
      <c r="B93" s="147" t="s">
        <v>130</v>
      </c>
      <c r="C93" s="147" t="s">
        <v>131</v>
      </c>
      <c r="D93" s="147" t="s">
        <v>132</v>
      </c>
      <c r="E93" s="148">
        <f>SUMPRODUCT((TableBOM[Item ID]=A93)*TableBOM[Per 1000 Units]*(1+TableBOM[Scrap %])*SUMIF($D$3:$D$8,TableBOM[Product ID],$H$3:$H$8)/1000)</f>
        <v>0</v>
      </c>
      <c r="F93" s="148">
        <f>IFERROR(INDEX(TableInventory[Store Balance],MATCH(A93,TableInventory[Item ID],0)),0)+IFERROR(INDEX(TableInventory[WIP],MATCH(A93,TableInventory[Item ID],0)),0)</f>
        <v>0</v>
      </c>
      <c r="G93" s="148">
        <f t="shared" si="5"/>
        <v>0</v>
      </c>
      <c r="H93" s="155" t="str">
        <f>IFERROR(IF(SUMPRODUCT((TableBOM[Item ID]=A93)*((SUMIF($D$3:$D$8,TableBOM[Product ID],$H$3:$H$8))&gt;0)*(SUMIF($D$3:$D$8,TableBOM[Product ID],$H$3:$H$8))*TableBOM[Per 1000 Units]*(1+TableBOM[Scrap %]))=0,"-",ROUND(F93*1000*SUMPRODUCT((TableBOM[Item ID]=A93)*((SUMIF($D$3:$D$8,TableBOM[Product ID],$H$3:$H$8))&gt;0)*(SUMIF($D$3:$D$8,TableBOM[Product ID],$H$3:$H$8)))/SUMPRODUCT((TableBOM[Item ID]=A93)*((SUMIF($D$3:$D$8,TableBOM[Product ID],$H$3:$H$8))&gt;0)*(SUMIF($D$3:$D$8,TableBOM[Product ID],$H$3:$H$8))*TableBOM[Per 1000 Units]*(1+TableBOM[Scrap %])),0)),"-")</f>
        <v>-</v>
      </c>
      <c r="I93" s="150" t="str">
        <f t="shared" si="6"/>
        <v>Not needed</v>
      </c>
      <c r="J93" s="155" t="str">
        <f>IF(LEN(IF((COUNTIFS(TableBOM[Product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",""))&gt;1,LEFT(IF((COUNTIFS(TableBOM[Product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",""))-2),"")</f>
        <v/>
      </c>
    </row>
    <row r="94" spans="1:10" ht="18.75" customHeight="1" x14ac:dyDescent="0.25">
      <c r="A94" s="16"/>
      <c r="B94" s="16"/>
      <c r="C94" s="16"/>
      <c r="D94" s="16"/>
      <c r="E94" s="24"/>
      <c r="F94" s="24"/>
      <c r="G94" s="17"/>
      <c r="H94" s="22"/>
      <c r="I94" s="23"/>
    </row>
    <row r="95" spans="1:10" ht="15" customHeight="1" x14ac:dyDescent="0.25">
      <c r="A95" s="16"/>
      <c r="B95" s="16"/>
      <c r="C95" s="16"/>
      <c r="D95" s="16"/>
      <c r="E95" s="24"/>
      <c r="F95" s="24"/>
      <c r="G95" s="17"/>
      <c r="H95" s="22"/>
      <c r="I95" s="23"/>
    </row>
    <row r="96" spans="1:10" ht="19.5" customHeight="1" x14ac:dyDescent="0.25">
      <c r="A96" s="113" t="s">
        <v>133</v>
      </c>
      <c r="B96" s="113"/>
      <c r="C96" s="113"/>
      <c r="D96" s="113"/>
      <c r="E96" s="113"/>
      <c r="F96" s="113"/>
      <c r="G96" s="113"/>
      <c r="H96" s="113"/>
      <c r="I96" s="113"/>
    </row>
    <row r="97" spans="1:19" ht="24" customHeight="1" x14ac:dyDescent="0.25">
      <c r="A97" s="12" t="s">
        <v>2</v>
      </c>
      <c r="B97" s="12" t="s">
        <v>3</v>
      </c>
      <c r="C97" s="13" t="s">
        <v>4</v>
      </c>
      <c r="D97" s="13" t="s">
        <v>5</v>
      </c>
      <c r="E97" s="14" t="s">
        <v>6</v>
      </c>
      <c r="F97" s="14" t="s">
        <v>7</v>
      </c>
      <c r="G97" s="15" t="s">
        <v>8</v>
      </c>
      <c r="H97" s="12" t="s">
        <v>9</v>
      </c>
      <c r="I97" s="12" t="s">
        <v>10</v>
      </c>
      <c r="J97" s="187"/>
      <c r="K97" s="11"/>
      <c r="L97" s="11"/>
      <c r="M97" s="11"/>
      <c r="N97" s="11"/>
      <c r="O97" s="11"/>
      <c r="P97" s="11"/>
      <c r="Q97" s="11"/>
      <c r="R97" s="11"/>
      <c r="S97" s="2"/>
    </row>
    <row r="98" spans="1:19" ht="19.5" customHeight="1" x14ac:dyDescent="0.25">
      <c r="A98" s="203" t="s">
        <v>134</v>
      </c>
      <c r="B98" s="203" t="s">
        <v>135</v>
      </c>
      <c r="C98" s="204" t="s">
        <v>136</v>
      </c>
      <c r="D98" s="205">
        <v>8018</v>
      </c>
      <c r="E98" s="206" t="s">
        <v>137</v>
      </c>
      <c r="F98" s="206">
        <v>25000</v>
      </c>
      <c r="G98" s="206">
        <f>INDEX(Tubex_Dashboard!$H$11:$H$100,MATCH(MRP!D98,Tubex_Dashboard!$F$11:$F$100,0))</f>
        <v>0</v>
      </c>
      <c r="H98" s="207">
        <f>F98-G98</f>
        <v>25000</v>
      </c>
      <c r="I98" s="208"/>
    </row>
    <row r="99" spans="1:19" ht="19.5" customHeight="1" x14ac:dyDescent="0.25">
      <c r="A99" s="203" t="s">
        <v>138</v>
      </c>
      <c r="B99" s="203" t="s">
        <v>14</v>
      </c>
      <c r="C99" s="204" t="s">
        <v>139</v>
      </c>
      <c r="D99" s="205">
        <v>8005</v>
      </c>
      <c r="E99" s="206" t="s">
        <v>140</v>
      </c>
      <c r="F99" s="206">
        <v>60160</v>
      </c>
      <c r="G99" s="206">
        <f>INDEX(Tubex_Dashboard!$H$11:$H$100,MATCH(MRP!D99,Tubex_Dashboard!$F$11:$F$100,0))</f>
        <v>32880</v>
      </c>
      <c r="H99" s="207">
        <f>F99-G99</f>
        <v>27280</v>
      </c>
      <c r="I99" s="208"/>
    </row>
    <row r="100" spans="1:19" ht="24" customHeight="1" x14ac:dyDescent="0.25">
      <c r="A100" s="203" t="s">
        <v>141</v>
      </c>
      <c r="B100" s="203" t="s">
        <v>11</v>
      </c>
      <c r="C100" s="204" t="s">
        <v>142</v>
      </c>
      <c r="D100" s="205">
        <v>8015</v>
      </c>
      <c r="E100" s="206">
        <v>344</v>
      </c>
      <c r="F100" s="206">
        <v>9480</v>
      </c>
      <c r="G100" s="206">
        <f>INDEX(Tubex_Dashboard!$H$11:$H$100,MATCH(MRP!D100,Tubex_Dashboard!$F$11:$F$100,0))</f>
        <v>0</v>
      </c>
      <c r="H100" s="207">
        <f>F100-G100</f>
        <v>9480</v>
      </c>
      <c r="I100" s="208"/>
    </row>
    <row r="101" spans="1:19" ht="24" customHeight="1" x14ac:dyDescent="0.25">
      <c r="A101" s="203" t="s">
        <v>143</v>
      </c>
      <c r="B101" s="203" t="s">
        <v>135</v>
      </c>
      <c r="C101" s="204" t="s">
        <v>144</v>
      </c>
      <c r="D101" s="205">
        <v>8001</v>
      </c>
      <c r="E101" s="201" t="s">
        <v>145</v>
      </c>
      <c r="F101" s="206">
        <f>500000+100000+53187+100000</f>
        <v>753187</v>
      </c>
      <c r="G101" s="206">
        <f>INDEX(Tubex_Dashboard!$H$11:$H$100,MATCH(MRP!D101,Tubex_Dashboard!$F$11:$F$100,0))</f>
        <v>89240</v>
      </c>
      <c r="H101" s="207">
        <f>F101-G101</f>
        <v>663947</v>
      </c>
      <c r="I101" s="208"/>
    </row>
    <row r="102" spans="1:19" ht="19.5" customHeight="1" x14ac:dyDescent="0.25">
      <c r="A102" s="203" t="s">
        <v>146</v>
      </c>
      <c r="B102" s="203" t="s">
        <v>14</v>
      </c>
      <c r="C102" s="204" t="s">
        <v>147</v>
      </c>
      <c r="D102" s="205">
        <v>8006</v>
      </c>
      <c r="E102" s="206">
        <v>351</v>
      </c>
      <c r="F102" s="206">
        <v>47000</v>
      </c>
      <c r="G102" s="206">
        <f>INDEX(Tubex_Dashboard!$H$11:$H$100,MATCH(MRP!D102,Tubex_Dashboard!$F$11:$F$100,0))</f>
        <v>0</v>
      </c>
      <c r="H102" s="207">
        <f>F102-G102</f>
        <v>47000</v>
      </c>
      <c r="I102" s="208"/>
    </row>
    <row r="103" spans="1:19" ht="15" customHeight="1" x14ac:dyDescent="0.25">
      <c r="A103" s="12"/>
      <c r="B103" s="12"/>
      <c r="C103" s="13"/>
      <c r="D103" s="13"/>
      <c r="E103" s="14" t="s">
        <v>23</v>
      </c>
      <c r="F103" s="105">
        <f>SUM(F98:F102)</f>
        <v>894827</v>
      </c>
      <c r="G103" s="105">
        <f>SUM(G98:G102)</f>
        <v>122120</v>
      </c>
      <c r="H103" s="105">
        <f>SUMIF(H98:H102, "&gt;0")</f>
        <v>772707</v>
      </c>
      <c r="I103" s="12"/>
      <c r="J103" s="187"/>
      <c r="K103" s="11"/>
      <c r="L103" s="11"/>
      <c r="M103" s="11"/>
      <c r="N103" s="11"/>
      <c r="O103" s="11"/>
      <c r="P103" s="11"/>
      <c r="Q103" s="11"/>
      <c r="R103" s="2"/>
    </row>
    <row r="104" spans="1:19" ht="18.75" customHeight="1" x14ac:dyDescent="0.25">
      <c r="A104" s="114" t="s">
        <v>148</v>
      </c>
      <c r="B104" s="114"/>
      <c r="C104" s="114"/>
      <c r="D104" s="114"/>
      <c r="E104" s="114"/>
      <c r="F104" s="114"/>
      <c r="G104" s="114"/>
      <c r="H104" s="114"/>
      <c r="I104" s="114"/>
    </row>
    <row r="105" spans="1:19" ht="24" customHeight="1" x14ac:dyDescent="0.25">
      <c r="A105" s="29" t="s">
        <v>25</v>
      </c>
      <c r="B105" s="29" t="s">
        <v>26</v>
      </c>
      <c r="C105" s="30" t="s">
        <v>27</v>
      </c>
      <c r="D105" s="29" t="s">
        <v>28</v>
      </c>
      <c r="E105" s="31" t="s">
        <v>7</v>
      </c>
      <c r="F105" s="15" t="s">
        <v>29</v>
      </c>
      <c r="G105" s="15" t="s">
        <v>30</v>
      </c>
      <c r="H105" s="146" t="s">
        <v>31</v>
      </c>
      <c r="I105" s="32" t="s">
        <v>32</v>
      </c>
      <c r="J105" s="188" t="s">
        <v>33</v>
      </c>
    </row>
    <row r="106" spans="1:19" x14ac:dyDescent="0.25">
      <c r="A106" s="186">
        <v>2680</v>
      </c>
      <c r="B106" s="147" t="s">
        <v>113</v>
      </c>
      <c r="C106" s="151" t="s">
        <v>114</v>
      </c>
      <c r="D106" s="16" t="s">
        <v>36</v>
      </c>
      <c r="E106" s="149">
        <f>SUMPRODUCT((TableBOM[Item ID]=A106)*TableBOM[Per 1000 Units]*(1+TableBOM[Scrap %])*SUMIF($D$98:$D$102,TableBOM[Product ID],$H$98:$H$102)/1000)</f>
        <v>19436.931999999997</v>
      </c>
      <c r="F106" s="149">
        <f>IFERROR(INDEX(TableInventory[Store Balance],MATCH(A106,TableInventory[Item ID],0)),0)+IFERROR(INDEX(TableInventory[WIP],MATCH(A106,TableInventory[Item ID],0)),0)</f>
        <v>860</v>
      </c>
      <c r="G106" s="149">
        <f t="shared" ref="G106:G112" si="7">F106-E106</f>
        <v>-18576.931999999997</v>
      </c>
      <c r="H106" s="158">
        <f>IFERROR(IF(SUMPRODUCT((TableBOM[Item ID]=A106)*((SUMIF($D$98:$D$102,TableBOM[Product ID],$H$98:$H$102))&gt;0)*(SUMIF($D$98:$D$102,TableBOM[Product ID],$H$98:$H$102))*TableBOM[Per 1000 Units]*(1+TableBOM[Scrap %]))=0,"-",ROUND(F106*1000*SUMPRODUCT((TableBOM[Item ID]=A106)*((SUMIF($D$98:$D$102,TableBOM[Product ID],$H$98:$H$102))&gt;0)*(SUMIF($D$98:$D$102,TableBOM[Product ID],$H$98:$H$102)))/SUMPRODUCT((TableBOM[Item ID]=A106)*((SUMIF($D$98:$D$102,TableBOM[Product ID],$H$98:$H$102))&gt;0)*(SUMIF($D$98:$D$102,TableBOM[Product ID],$H$98:$H$102))*TableBOM[Per 1000 Units]*(1+TableBOM[Scrap %])),0)),"-")</f>
        <v>34189</v>
      </c>
      <c r="I106" s="152" t="str">
        <f t="shared" ref="I106:I112" si="8">IF(E106=0,"Not needed",IF(G106&lt;0,"SHORTAGE",IF(G106&lt;E106*0.1,"LOW","OK")))</f>
        <v>SHORTAGE</v>
      </c>
      <c r="J106" s="176" t="str">
        <f>IF(LEN(IF((COUNTIFS(TableBOM[Product ID],$D$98,TableBOM[Item ID],$A106)&gt;0)*($H$98&gt;0),"Alpha 75ml TRP, ","") &amp; IF((COUNTIFS(TableBOM[Product ID],$D$99,TableBOM[Item ID],$A106)&gt;0)*($H$99&gt;0),"Samsol Yellow 120ml, ","") &amp; IF((COUNTIFS(TableBOM[Product ID],$D$100,TableBOM[Item ID],$A106)&gt;0)*($H$100&gt;0),"Mablay 130ml White, ","") &amp; IF((COUNTIFS(TableBOM[Product ID],$D$101,TableBOM[Item ID],$A106)&gt;0)*($H$101&gt;0),"Alpha 150ml TRP, ","") &amp; IF((COUNTIFS(TableBOM[Product ID],$D$102,TableBOM[Item ID],$A106)&gt;0)*($H$102&gt;0),"Samsol Yellow 200ml, ",""))&gt;1,LEFT(IF((COUNTIFS(TableBOM[Product ID],$D$98,TableBOM[Item ID],$A106)&gt;0)*($H$98&gt;0),"Alpha 75ml TRP, ","") &amp; IF((COUNTIFS(TableBOM[Product ID],$D$99,TableBOM[Item ID],$A106)&gt;0)*($H$99&gt;0),"Samsol Yellow 120ml, ","") &amp; IF((COUNTIFS(TableBOM[Product ID],$D$100,TableBOM[Item ID],$A106)&gt;0)*($H$100&gt;0),"Mablay 130ml White, ","") &amp; IF((COUNTIFS(TableBOM[Product ID],$D$101,TableBOM[Item ID],$A106)&gt;0)*($H$101&gt;0),"Alpha 150ml TRP, ","") &amp; IF((COUNTIFS(TableBOM[Product ID],$D$102,TableBOM[Item ID],$A106)&gt;0)*($H$102&gt;0),"Samsol Yellow 200ml, ",""),LEN(IF((COUNTIFS(TableBOM[Product ID],$D$98,TableBOM[Item ID],$A106)&gt;0)*($H$98&gt;0),"Alpha 75ml TRP, ","") &amp; IF((COUNTIFS(TableBOM[Product ID],$D$99,TableBOM[Item ID],$A106)&gt;0)*($H$99&gt;0),"Samsol Yellow 120ml, ","") &amp; IF((COUNTIFS(TableBOM[Product ID],$D$100,TableBOM[Item ID],$A106)&gt;0)*($H$100&gt;0),"Mablay 130ml White, ","") &amp; IF((COUNTIFS(TableBOM[Product ID],$D$101,TableBOM[Item ID],$A106)&gt;0)*($H$101&gt;0),"Alpha 150ml TRP, ","") &amp; IF((COUNTIFS(TableBOM[Product ID],$D$102,TableBOM[Item ID],$A106)&gt;0)*($H$102&gt;0),"Samsol Yellow 200ml, ",""))-2),"")</f>
        <v>Alpha 75ml TRP, Samsol Yellow 120ml, Mablay 130ml White, Alpha 150ml TRP, Samsol Yellow 200ml</v>
      </c>
    </row>
    <row r="107" spans="1:19" x14ac:dyDescent="0.25">
      <c r="A107" s="186">
        <v>4002</v>
      </c>
      <c r="B107" s="147" t="s">
        <v>115</v>
      </c>
      <c r="C107" s="151" t="s">
        <v>117</v>
      </c>
      <c r="D107" s="16" t="s">
        <v>36</v>
      </c>
      <c r="E107" s="149">
        <f>SUMPRODUCT((TableBOM[Item ID]=A107)*TableBOM[Per 1000 Units]*(1+TableBOM[Scrap %])*SUMIF($D$98:$D$102,TableBOM[Product ID],$H$98:$H$102)/1000)</f>
        <v>95.797300000000007</v>
      </c>
      <c r="F107" s="149">
        <f>IFERROR(INDEX(TableInventory[Store Balance],MATCH(A107,TableInventory[Item ID],0)),0)+IFERROR(INDEX(TableInventory[WIP],MATCH(A107,TableInventory[Item ID],0)),0)</f>
        <v>25</v>
      </c>
      <c r="G107" s="149">
        <f t="shared" si="7"/>
        <v>-70.797300000000007</v>
      </c>
      <c r="H107" s="158">
        <f>IFERROR(IF(SUMPRODUCT((TableBOM[Item ID]=A107)*((SUMIF($D$98:$D$102,TableBOM[Product ID],$H$98:$H$102))&gt;0)*(SUMIF($D$98:$D$102,TableBOM[Product ID],$H$98:$H$102))*TableBOM[Per 1000 Units]*(1+TableBOM[Scrap %]))=0,"-",ROUND(F107*1000*SUMPRODUCT((TableBOM[Item ID]=A107)*((SUMIF($D$98:$D$102,TableBOM[Product ID],$H$98:$H$102))&gt;0)*(SUMIF($D$98:$D$102,TableBOM[Product ID],$H$98:$H$102)))/SUMPRODUCT((TableBOM[Item ID]=A107)*((SUMIF($D$98:$D$102,TableBOM[Product ID],$H$98:$H$102))&gt;0)*(SUMIF($D$98:$D$102,TableBOM[Product ID],$H$98:$H$102))*TableBOM[Per 1000 Units]*(1+TableBOM[Scrap %])),0)),"-")</f>
        <v>19385</v>
      </c>
      <c r="I107" s="152" t="str">
        <f t="shared" si="8"/>
        <v>SHORTAGE</v>
      </c>
      <c r="J107" s="176" t="str">
        <f>IF(LEN(IF((COUNTIFS(TableBOM[Product ID],$D$98,TableBOM[Item ID],$A107)&gt;0)*($H$98&gt;0),"Alpha 75ml TRP, ","") &amp; IF((COUNTIFS(TableBOM[Product ID],$D$99,TableBOM[Item ID],$A107)&gt;0)*($H$99&gt;0),"Samsol Yellow 120ml, ","") &amp; IF((COUNTIFS(TableBOM[Product ID],$D$100,TableBOM[Item ID],$A107)&gt;0)*($H$100&gt;0),"Mablay 130ml White, ","") &amp; IF((COUNTIFS(TableBOM[Product ID],$D$101,TableBOM[Item ID],$A107)&gt;0)*($H$101&gt;0),"Alpha 150ml TRP, ","") &amp; IF((COUNTIFS(TableBOM[Product ID],$D$102,TableBOM[Item ID],$A107)&gt;0)*($H$102&gt;0),"Samsol Yellow 200ml, ",""))&gt;1,LEFT(IF((COUNTIFS(TableBOM[Product ID],$D$98,TableBOM[Item ID],$A107)&gt;0)*($H$98&gt;0),"Alpha 75ml TRP, ","") &amp; IF((COUNTIFS(TableBOM[Product ID],$D$99,TableBOM[Item ID],$A107)&gt;0)*($H$99&gt;0),"Samsol Yellow 120ml, ","") &amp; IF((COUNTIFS(TableBOM[Product ID],$D$100,TableBOM[Item ID],$A107)&gt;0)*($H$100&gt;0),"Mablay 130ml White, ","") &amp; IF((COUNTIFS(TableBOM[Product ID],$D$101,TableBOM[Item ID],$A107)&gt;0)*($H$101&gt;0),"Alpha 150ml TRP, ","") &amp; IF((COUNTIFS(TableBOM[Product ID],$D$102,TableBOM[Item ID],$A107)&gt;0)*($H$102&gt;0),"Samsol Yellow 200ml, ",""),LEN(IF((COUNTIFS(TableBOM[Product ID],$D$98,TableBOM[Item ID],$A107)&gt;0)*($H$98&gt;0),"Alpha 75ml TRP, ","") &amp; IF((COUNTIFS(TableBOM[Product ID],$D$99,TableBOM[Item ID],$A107)&gt;0)*($H$99&gt;0),"Samsol Yellow 120ml, ","") &amp; IF((COUNTIFS(TableBOM[Product ID],$D$100,TableBOM[Item ID],$A107)&gt;0)*($H$100&gt;0),"Mablay 130ml White, ","") &amp; IF((COUNTIFS(TableBOM[Product ID],$D$101,TableBOM[Item ID],$A107)&gt;0)*($H$101&gt;0),"Alpha 150ml TRP, ","") &amp; IF((COUNTIFS(TableBOM[Product ID],$D$102,TableBOM[Item ID],$A107)&gt;0)*($H$102&gt;0),"Samsol Yellow 200ml, ",""))-2),"")</f>
        <v>Samsol Yellow 120ml, Samsol Yellow 200ml</v>
      </c>
    </row>
    <row r="108" spans="1:19" s="175" customFormat="1" x14ac:dyDescent="0.25">
      <c r="A108" s="186">
        <v>5816</v>
      </c>
      <c r="B108" s="147" t="s">
        <v>115</v>
      </c>
      <c r="C108" s="151" t="s">
        <v>120</v>
      </c>
      <c r="D108" s="16" t="s">
        <v>36</v>
      </c>
      <c r="E108" s="149">
        <f>SUMPRODUCT((TableBOM[Item ID]=A108)*TableBOM[Per 1000 Units]*(1+TableBOM[Scrap %])*SUMIF($D$98:$D$102,TableBOM[Product ID],$H$98:$H$102)/1000)</f>
        <v>9.8117999999999999</v>
      </c>
      <c r="F108" s="149">
        <f>IFERROR(INDEX(TableInventory[Store Balance],MATCH(A108,TableInventory[Item ID],0)),0)+IFERROR(INDEX(TableInventory[WIP],MATCH(A108,TableInventory[Item ID],0)),0)</f>
        <v>0</v>
      </c>
      <c r="G108" s="149">
        <f t="shared" si="7"/>
        <v>-9.8117999999999999</v>
      </c>
      <c r="H108" s="158">
        <f>IFERROR(IF(SUMPRODUCT((TableBOM[Item ID]=A108)*((SUMIF($D$98:$D$102,TableBOM[Product ID],$H$98:$H$102))&gt;0)*(SUMIF($D$98:$D$102,TableBOM[Product ID],$H$98:$H$102))*TableBOM[Per 1000 Units]*(1+TableBOM[Scrap %]))=0,"-",ROUND(F108*1000*SUMPRODUCT((TableBOM[Item ID]=A108)*((SUMIF($D$98:$D$102,TableBOM[Product ID],$H$98:$H$102))&gt;0)*(SUMIF($D$98:$D$102,TableBOM[Product ID],$H$98:$H$102)))/SUMPRODUCT((TableBOM[Item ID]=A108)*((SUMIF($D$98:$D$102,TableBOM[Product ID],$H$98:$H$102))&gt;0)*(SUMIF($D$98:$D$102,TableBOM[Product ID],$H$98:$H$102))*TableBOM[Per 1000 Units]*(1+TableBOM[Scrap %])),0)),"-")</f>
        <v>0</v>
      </c>
      <c r="I108" s="152" t="str">
        <f t="shared" si="8"/>
        <v>SHORTAGE</v>
      </c>
      <c r="J108" s="176" t="str">
        <f>IF(LEN(IF((COUNTIFS(TableBOM[Product ID],$D$98,TableBOM[Item ID],$A108)&gt;0)*($H$98&gt;0),"Alpha 75ml TRP, ","") &amp; IF((COUNTIFS(TableBOM[Product ID],$D$99,TableBOM[Item ID],$A108)&gt;0)*($H$99&gt;0),"Samsol Yellow 120ml, ","") &amp; IF((COUNTIFS(TableBOM[Product ID],$D$100,TableBOM[Item ID],$A108)&gt;0)*($H$100&gt;0),"Mablay 130ml White, ","") &amp; IF((COUNTIFS(TableBOM[Product ID],$D$101,TableBOM[Item ID],$A108)&gt;0)*($H$101&gt;0),"Alpha 150ml TRP, ","") &amp; IF((COUNTIFS(TableBOM[Product ID],$D$102,TableBOM[Item ID],$A108)&gt;0)*($H$102&gt;0),"Samsol Yellow 200ml, ",""))&gt;1,LEFT(IF((COUNTIFS(TableBOM[Product ID],$D$98,TableBOM[Item ID],$A108)&gt;0)*($H$98&gt;0),"Alpha 75ml TRP, ","") &amp; IF((COUNTIFS(TableBOM[Product ID],$D$99,TableBOM[Item ID],$A108)&gt;0)*($H$99&gt;0),"Samsol Yellow 120ml, ","") &amp; IF((COUNTIFS(TableBOM[Product ID],$D$100,TableBOM[Item ID],$A108)&gt;0)*($H$100&gt;0),"Mablay 130ml White, ","") &amp; IF((COUNTIFS(TableBOM[Product ID],$D$101,TableBOM[Item ID],$A108)&gt;0)*($H$101&gt;0),"Alpha 150ml TRP, ","") &amp; IF((COUNTIFS(TableBOM[Product ID],$D$102,TableBOM[Item ID],$A108)&gt;0)*($H$102&gt;0),"Samsol Yellow 200ml, ",""),LEN(IF((COUNTIFS(TableBOM[Product ID],$D$98,TableBOM[Item ID],$A108)&gt;0)*($H$98&gt;0),"Alpha 75ml TRP, ","") &amp; IF((COUNTIFS(TableBOM[Product ID],$D$99,TableBOM[Item ID],$A108)&gt;0)*($H$99&gt;0),"Samsol Yellow 120ml, ","") &amp; IF((COUNTIFS(TableBOM[Product ID],$D$100,TableBOM[Item ID],$A108)&gt;0)*($H$100&gt;0),"Mablay 130ml White, ","") &amp; IF((COUNTIFS(TableBOM[Product ID],$D$101,TableBOM[Item ID],$A108)&gt;0)*($H$101&gt;0),"Alpha 150ml TRP, ","") &amp; IF((COUNTIFS(TableBOM[Product ID],$D$102,TableBOM[Item ID],$A108)&gt;0)*($H$102&gt;0),"Samsol Yellow 200ml, ",""))-2),"")</f>
        <v>Mablay 130ml White</v>
      </c>
    </row>
    <row r="109" spans="1:19" x14ac:dyDescent="0.25">
      <c r="A109" s="186">
        <v>5977</v>
      </c>
      <c r="B109" s="147" t="s">
        <v>149</v>
      </c>
      <c r="C109" s="151" t="s">
        <v>104</v>
      </c>
      <c r="D109" s="16" t="s">
        <v>73</v>
      </c>
      <c r="E109" s="149">
        <f>SUMPRODUCT((TableBOM[Item ID]=A109)*TableBOM[Per 1000 Units]*(1+TableBOM[Scrap %])*SUMIF($D$98:$D$102,TableBOM[Product ID],$H$98:$H$102)/1000)</f>
        <v>866.10933134999993</v>
      </c>
      <c r="F109" s="149">
        <f>IFERROR(INDEX(TableInventory[Store Balance],MATCH(A109,TableInventory[Item ID],0)),0)+IFERROR(INDEX(TableInventory[WIP],MATCH(A109,TableInventory[Item ID],0)),0)</f>
        <v>168</v>
      </c>
      <c r="G109" s="149">
        <f t="shared" si="7"/>
        <v>-698.10933134999993</v>
      </c>
      <c r="H109" s="158">
        <f>IFERROR(IF(SUMPRODUCT((TableBOM[Item ID]=A109)*((SUMIF($D$98:$D$102,TableBOM[Product ID],$H$98:$H$102))&gt;0)*(SUMIF($D$98:$D$102,TableBOM[Product ID],$H$98:$H$102))*TableBOM[Per 1000 Units]*(1+TableBOM[Scrap %]))=0,"-",ROUND(F109*1000*SUMPRODUCT((TableBOM[Item ID]=A109)*((SUMIF($D$98:$D$102,TableBOM[Product ID],$H$98:$H$102))&gt;0)*(SUMIF($D$98:$D$102,TableBOM[Product ID],$H$98:$H$102)))/SUMPRODUCT((TableBOM[Item ID]=A109)*((SUMIF($D$98:$D$102,TableBOM[Product ID],$H$98:$H$102))&gt;0)*(SUMIF($D$98:$D$102,TableBOM[Product ID],$H$98:$H$102))*TableBOM[Per 1000 Units]*(1+TableBOM[Scrap %])),0)),"-")</f>
        <v>135475</v>
      </c>
      <c r="I109" s="152" t="str">
        <f t="shared" si="8"/>
        <v>SHORTAGE</v>
      </c>
      <c r="J109" s="156" t="str">
        <f>IF(LEN(IF((COUNTIFS(TableBOM[Product ID],$D$98,TableBOM[Item ID],$A109)&gt;0)*($H$98&gt;0),"Alpha 75ml TRP, ","") &amp; IF((COUNTIFS(TableBOM[Product ID],$D$99,TableBOM[Item ID],$A109)&gt;0)*($H$99&gt;0),"Samsol Yellow 120ml, ","") &amp; IF((COUNTIFS(TableBOM[Product ID],$D$100,TableBOM[Item ID],$A109)&gt;0)*($H$100&gt;0),"Mablay 130ml White, ","") &amp; IF((COUNTIFS(TableBOM[Product ID],$D$101,TableBOM[Item ID],$A109)&gt;0)*($H$101&gt;0),"Alpha 150ml TRP, ","") &amp; IF((COUNTIFS(TableBOM[Product ID],$D$102,TableBOM[Item ID],$A109)&gt;0)*($H$102&gt;0),"Samsol Yellow 200ml, ",""))&gt;1,LEFT(IF((COUNTIFS(TableBOM[Product ID],$D$98,TableBOM[Item ID],$A109)&gt;0)*($H$98&gt;0),"Alpha 75ml TRP, ","") &amp; IF((COUNTIFS(TableBOM[Product ID],$D$99,TableBOM[Item ID],$A109)&gt;0)*($H$99&gt;0),"Samsol Yellow 120ml, ","") &amp; IF((COUNTIFS(TableBOM[Product ID],$D$100,TableBOM[Item ID],$A109)&gt;0)*($H$100&gt;0),"Mablay 130ml White, ","") &amp; IF((COUNTIFS(TableBOM[Product ID],$D$101,TableBOM[Item ID],$A109)&gt;0)*($H$101&gt;0),"Alpha 150ml TRP, ","") &amp; IF((COUNTIFS(TableBOM[Product ID],$D$102,TableBOM[Item ID],$A109)&gt;0)*($H$102&gt;0),"Samsol Yellow 200ml, ",""),LEN(IF((COUNTIFS(TableBOM[Product ID],$D$98,TableBOM[Item ID],$A109)&gt;0)*($H$98&gt;0),"Alpha 75ml TRP, ","") &amp; IF((COUNTIFS(TableBOM[Product ID],$D$99,TableBOM[Item ID],$A109)&gt;0)*($H$99&gt;0),"Samsol Yellow 120ml, ","") &amp; IF((COUNTIFS(TableBOM[Product ID],$D$100,TableBOM[Item ID],$A109)&gt;0)*($H$100&gt;0),"Mablay 130ml White, ","") &amp; IF((COUNTIFS(TableBOM[Product ID],$D$101,TableBOM[Item ID],$A109)&gt;0)*($H$101&gt;0),"Alpha 150ml TRP, ","") &amp; IF((COUNTIFS(TableBOM[Product ID],$D$102,TableBOM[Item ID],$A109)&gt;0)*($H$102&gt;0),"Samsol Yellow 200ml, ",""))-2),"")</f>
        <v>Alpha 75ml TRP, Mablay 130ml White, Alpha 150ml TRP</v>
      </c>
    </row>
    <row r="110" spans="1:19" x14ac:dyDescent="0.25">
      <c r="A110" s="186">
        <v>2267</v>
      </c>
      <c r="B110" s="147" t="s">
        <v>150</v>
      </c>
      <c r="C110" s="151" t="s">
        <v>129</v>
      </c>
      <c r="D110" s="16" t="s">
        <v>73</v>
      </c>
      <c r="E110" s="149">
        <f>SUMPRODUCT((TableBOM[Item ID]=A110)*TableBOM[Per 1000 Units]*(1+TableBOM[Scrap %])*SUMIF($D$98:$D$102,TableBOM[Product ID],$H$98:$H$102)/1000)</f>
        <v>7153.9284547999996</v>
      </c>
      <c r="F110" s="149">
        <f>IFERROR(INDEX(TableInventory[Store Balance],MATCH(A110,TableInventory[Item ID],0)),0)+IFERROR(INDEX(TableInventory[WIP],MATCH(A110,TableInventory[Item ID],0)),0)</f>
        <v>75</v>
      </c>
      <c r="G110" s="149">
        <f t="shared" si="7"/>
        <v>-7078.9284547999996</v>
      </c>
      <c r="H110" s="158">
        <f>IFERROR(IF(SUMPRODUCT((TableBOM[Item ID]=A110)*((SUMIF($D$98:$D$102,TableBOM[Product ID],$H$98:$H$102))&gt;0)*(SUMIF($D$98:$D$102,TableBOM[Product ID],$H$98:$H$102))*TableBOM[Per 1000 Units]*(1+TableBOM[Scrap %]))=0,"-",ROUND(F110*1000*SUMPRODUCT((TableBOM[Item ID]=A110)*((SUMIF($D$98:$D$102,TableBOM[Product ID],$H$98:$H$102))&gt;0)*(SUMIF($D$98:$D$102,TableBOM[Product ID],$H$98:$H$102)))/SUMPRODUCT((TableBOM[Item ID]=A110)*((SUMIF($D$98:$D$102,TableBOM[Product ID],$H$98:$H$102))&gt;0)*(SUMIF($D$98:$D$102,TableBOM[Product ID],$H$98:$H$102))*TableBOM[Per 1000 Units]*(1+TableBOM[Scrap %])),0)),"-")</f>
        <v>7608</v>
      </c>
      <c r="I110" s="152" t="str">
        <f t="shared" si="8"/>
        <v>SHORTAGE</v>
      </c>
      <c r="J110" s="156" t="str">
        <f>IF(LEN(IF((COUNTIFS(TableBOM[Product ID],$D$98,TableBOM[Item ID],$A110)&gt;0)*($H$98&gt;0),"Alpha 75ml TRP, ","") &amp; IF((COUNTIFS(TableBOM[Product ID],$D$99,TableBOM[Item ID],$A110)&gt;0)*($H$99&gt;0),"Samsol Yellow 120ml, ","") &amp; IF((COUNTIFS(TableBOM[Product ID],$D$100,TableBOM[Item ID],$A110)&gt;0)*($H$100&gt;0),"Mablay 130ml White, ","") &amp; IF((COUNTIFS(TableBOM[Product ID],$D$101,TableBOM[Item ID],$A110)&gt;0)*($H$101&gt;0),"Alpha 150ml TRP, ","") &amp; IF((COUNTIFS(TableBOM[Product ID],$D$102,TableBOM[Item ID],$A110)&gt;0)*($H$102&gt;0),"Samsol Yellow 200ml, ",""))&gt;1,LEFT(IF((COUNTIFS(TableBOM[Product ID],$D$98,TableBOM[Item ID],$A110)&gt;0)*($H$98&gt;0),"Alpha 75ml TRP, ","") &amp; IF((COUNTIFS(TableBOM[Product ID],$D$99,TableBOM[Item ID],$A110)&gt;0)*($H$99&gt;0),"Samsol Yellow 120ml, ","") &amp; IF((COUNTIFS(TableBOM[Product ID],$D$100,TableBOM[Item ID],$A110)&gt;0)*($H$100&gt;0),"Mablay 130ml White, ","") &amp; IF((COUNTIFS(TableBOM[Product ID],$D$101,TableBOM[Item ID],$A110)&gt;0)*($H$101&gt;0),"Alpha 150ml TRP, ","") &amp; IF((COUNTIFS(TableBOM[Product ID],$D$102,TableBOM[Item ID],$A110)&gt;0)*($H$102&gt;0),"Samsol Yellow 200ml, ",""),LEN(IF((COUNTIFS(TableBOM[Product ID],$D$98,TableBOM[Item ID],$A110)&gt;0)*($H$98&gt;0),"Alpha 75ml TRP, ","") &amp; IF((COUNTIFS(TableBOM[Product ID],$D$99,TableBOM[Item ID],$A110)&gt;0)*($H$99&gt;0),"Samsol Yellow 120ml, ","") &amp; IF((COUNTIFS(TableBOM[Product ID],$D$100,TableBOM[Item ID],$A110)&gt;0)*($H$100&gt;0),"Mablay 130ml White, ","") &amp; IF((COUNTIFS(TableBOM[Product ID],$D$101,TableBOM[Item ID],$A110)&gt;0)*($H$101&gt;0),"Alpha 150ml TRP, ","") &amp; IF((COUNTIFS(TableBOM[Product ID],$D$102,TableBOM[Item ID],$A110)&gt;0)*($H$102&gt;0),"Samsol Yellow 200ml, ",""))-2),"")</f>
        <v>Alpha 75ml TRP, Samsol Yellow 120ml, Mablay 130ml White, Alpha 150ml TRP</v>
      </c>
    </row>
    <row r="111" spans="1:19" x14ac:dyDescent="0.25">
      <c r="A111" s="186">
        <v>3006</v>
      </c>
      <c r="B111" s="173" t="s">
        <v>150</v>
      </c>
      <c r="C111" s="33" t="s">
        <v>151</v>
      </c>
      <c r="D111" s="16" t="s">
        <v>73</v>
      </c>
      <c r="E111" s="17">
        <f>SUMPRODUCT((TableBOM[Item ID]=A111)*TableBOM[Per 1000 Units]*(1+TableBOM[Scrap %])*SUMIF($D$98:$D$102,TableBOM[Product ID],$H$98:$H$102)/1000)</f>
        <v>450.39865000000003</v>
      </c>
      <c r="F111" s="17">
        <f>IFERROR(INDEX(TableInventory[Store Balance],MATCH(A111,TableInventory[Item ID],0)),0)+IFERROR(INDEX(TableInventory[WIP],MATCH(A111,TableInventory[Item ID],0)),0)</f>
        <v>207</v>
      </c>
      <c r="G111" s="17">
        <f t="shared" si="7"/>
        <v>-243.39865000000003</v>
      </c>
      <c r="H111" s="174">
        <f>IFERROR(IF(SUMPRODUCT((TableBOM[Item ID]=A111)*((SUMIF($D$98:$D$102,TableBOM[Product ID],$H$98:$H$102))&gt;0)*(SUMIF($D$98:$D$102,TableBOM[Product ID],$H$98:$H$102))*TableBOM[Per 1000 Units]*(1+TableBOM[Scrap %]))=0,"-",ROUND(F111*1000*SUMPRODUCT((TableBOM[Item ID]=A111)*((SUMIF($D$98:$D$102,TableBOM[Product ID],$H$98:$H$102))&gt;0)*(SUMIF($D$98:$D$102,TableBOM[Product ID],$H$98:$H$102)))/SUMPRODUCT((TableBOM[Item ID]=A111)*((SUMIF($D$98:$D$102,TableBOM[Product ID],$H$98:$H$102))&gt;0)*(SUMIF($D$98:$D$102,TableBOM[Product ID],$H$98:$H$102))*TableBOM[Per 1000 Units]*(1+TableBOM[Scrap %])),0)),"-")</f>
        <v>21601</v>
      </c>
      <c r="I111" s="33" t="str">
        <f t="shared" si="8"/>
        <v>SHORTAGE</v>
      </c>
      <c r="J111" s="176" t="str">
        <f>IF(LEN(IF((COUNTIFS(TableBOM[Product ID],$D$98,TableBOM[Item ID],$A111)&gt;0)*($H$98&gt;0),"Alpha 75ml TRP, ","") &amp; IF((COUNTIFS(TableBOM[Product ID],$D$99,TableBOM[Item ID],$A111)&gt;0)*($H$99&gt;0),"Samsol Yellow 120ml, ","") &amp; IF((COUNTIFS(TableBOM[Product ID],$D$100,TableBOM[Item ID],$A111)&gt;0)*($H$100&gt;0),"Mablay 130ml White, ","") &amp; IF((COUNTIFS(TableBOM[Product ID],$D$101,TableBOM[Item ID],$A111)&gt;0)*($H$101&gt;0),"Alpha 150ml TRP, ","") &amp; IF((COUNTIFS(TableBOM[Product ID],$D$102,TableBOM[Item ID],$A111)&gt;0)*($H$102&gt;0),"Samsol Yellow 200ml, ",""))&gt;1,LEFT(IF((COUNTIFS(TableBOM[Product ID],$D$98,TableBOM[Item ID],$A111)&gt;0)*($H$98&gt;0),"Alpha 75ml TRP, ","") &amp; IF((COUNTIFS(TableBOM[Product ID],$D$99,TableBOM[Item ID],$A111)&gt;0)*($H$99&gt;0),"Samsol Yellow 120ml, ","") &amp; IF((COUNTIFS(TableBOM[Product ID],$D$100,TableBOM[Item ID],$A111)&gt;0)*($H$100&gt;0),"Mablay 130ml White, ","") &amp; IF((COUNTIFS(TableBOM[Product ID],$D$101,TableBOM[Item ID],$A111)&gt;0)*($H$101&gt;0),"Alpha 150ml TRP, ","") &amp; IF((COUNTIFS(TableBOM[Product ID],$D$102,TableBOM[Item ID],$A111)&gt;0)*($H$102&gt;0),"Samsol Yellow 200ml, ",""),LEN(IF((COUNTIFS(TableBOM[Product ID],$D$98,TableBOM[Item ID],$A111)&gt;0)*($H$98&gt;0),"Alpha 75ml TRP, ","") &amp; IF((COUNTIFS(TableBOM[Product ID],$D$99,TableBOM[Item ID],$A111)&gt;0)*($H$99&gt;0),"Samsol Yellow 120ml, ","") &amp; IF((COUNTIFS(TableBOM[Product ID],$D$100,TableBOM[Item ID],$A111)&gt;0)*($H$100&gt;0),"Mablay 130ml White, ","") &amp; IF((COUNTIFS(TableBOM[Product ID],$D$101,TableBOM[Item ID],$A111)&gt;0)*($H$101&gt;0),"Alpha 150ml TRP, ","") &amp; IF((COUNTIFS(TableBOM[Product ID],$D$102,TableBOM[Item ID],$A111)&gt;0)*($H$102&gt;0),"Samsol Yellow 200ml, ",""))-2),"")</f>
        <v>Samsol Yellow 200ml</v>
      </c>
    </row>
    <row r="112" spans="1:19" x14ac:dyDescent="0.25">
      <c r="A112" s="186">
        <v>3043</v>
      </c>
      <c r="B112" s="147" t="s">
        <v>130</v>
      </c>
      <c r="C112" s="151" t="s">
        <v>131</v>
      </c>
      <c r="D112" s="16" t="s">
        <v>132</v>
      </c>
      <c r="E112" s="149">
        <f>SUMPRODUCT((TableBOM[Item ID]=A112)*TableBOM[Per 1000 Units]*(1+TableBOM[Scrap %])*SUMIF($D$98:$D$102,TableBOM[Product ID],$H$98:$H$102)/1000)</f>
        <v>4.4430652500000001</v>
      </c>
      <c r="F112" s="149">
        <f>IFERROR(INDEX(TableInventory[Store Balance],MATCH(A112,TableInventory[Item ID],0)),0)+IFERROR(INDEX(TableInventory[WIP],MATCH(A112,TableInventory[Item ID],0)),0)</f>
        <v>0</v>
      </c>
      <c r="G112" s="149">
        <f t="shared" si="7"/>
        <v>-4.4430652500000001</v>
      </c>
      <c r="H112" s="158">
        <f>IFERROR(IF(SUMPRODUCT((TableBOM[Item ID]=A112)*((SUMIF($D$98:$D$102,TableBOM[Product ID],$H$98:$H$102))&gt;0)*(SUMIF($D$98:$D$102,TableBOM[Product ID],$H$98:$H$102))*TableBOM[Per 1000 Units]*(1+TableBOM[Scrap %]))=0,"-",ROUND(F112*1000*SUMPRODUCT((TableBOM[Item ID]=A112)*((SUMIF($D$98:$D$102,TableBOM[Product ID],$H$98:$H$102))&gt;0)*(SUMIF($D$98:$D$102,TableBOM[Product ID],$H$98:$H$102)))/SUMPRODUCT((TableBOM[Item ID]=A112)*((SUMIF($D$98:$D$102,TableBOM[Product ID],$H$98:$H$102))&gt;0)*(SUMIF($D$98:$D$102,TableBOM[Product ID],$H$98:$H$102))*TableBOM[Per 1000 Units]*(1+TableBOM[Scrap %])),0)),"-")</f>
        <v>0</v>
      </c>
      <c r="I112" s="151" t="str">
        <f t="shared" si="8"/>
        <v>SHORTAGE</v>
      </c>
      <c r="J112" s="156" t="str">
        <f>IF(LEN(IF((COUNTIFS(TableBOM[Product ID],$D$98,TableBOM[Item ID],$A112)&gt;0)*($H$98&gt;0),"Alpha 75ml TRP, ","") &amp; IF((COUNTIFS(TableBOM[Product ID],$D$99,TableBOM[Item ID],$A112)&gt;0)*($H$99&gt;0),"Samsol Yellow 120ml, ","") &amp; IF((COUNTIFS(TableBOM[Product ID],$D$100,TableBOM[Item ID],$A112)&gt;0)*($H$100&gt;0),"Mablay 130ml White, ","") &amp; IF((COUNTIFS(TableBOM[Product ID],$D$101,TableBOM[Item ID],$A112)&gt;0)*($H$101&gt;0),"Alpha 150ml TRP, ","") &amp; IF((COUNTIFS(TableBOM[Product ID],$D$102,TableBOM[Item ID],$A112)&gt;0)*($H$102&gt;0),"Samsol Yellow 200ml, ",""))&gt;1,LEFT(IF((COUNTIFS(TableBOM[Product ID],$D$98,TableBOM[Item ID],$A112)&gt;0)*($H$98&gt;0),"Alpha 75ml TRP, ","") &amp; IF((COUNTIFS(TableBOM[Product ID],$D$99,TableBOM[Item ID],$A112)&gt;0)*($H$99&gt;0),"Samsol Yellow 120ml, ","") &amp; IF((COUNTIFS(TableBOM[Product ID],$D$100,TableBOM[Item ID],$A112)&gt;0)*($H$100&gt;0),"Mablay 130ml White, ","") &amp; IF((COUNTIFS(TableBOM[Product ID],$D$101,TableBOM[Item ID],$A112)&gt;0)*($H$101&gt;0),"Alpha 150ml TRP, ","") &amp; IF((COUNTIFS(TableBOM[Product ID],$D$102,TableBOM[Item ID],$A112)&gt;0)*($H$102&gt;0),"Samsol Yellow 200ml, ",""),LEN(IF((COUNTIFS(TableBOM[Product ID],$D$98,TableBOM[Item ID],$A112)&gt;0)*($H$98&gt;0),"Alpha 75ml TRP, ","") &amp; IF((COUNTIFS(TableBOM[Product ID],$D$99,TableBOM[Item ID],$A112)&gt;0)*($H$99&gt;0),"Samsol Yellow 120ml, ","") &amp; IF((COUNTIFS(TableBOM[Product ID],$D$100,TableBOM[Item ID],$A112)&gt;0)*($H$100&gt;0),"Mablay 130ml White, ","") &amp; IF((COUNTIFS(TableBOM[Product ID],$D$101,TableBOM[Item ID],$A112)&gt;0)*($H$101&gt;0),"Alpha 150ml TRP, ","") &amp; IF((COUNTIFS(TableBOM[Product ID],$D$102,TableBOM[Item ID],$A112)&gt;0)*($H$102&gt;0),"Samsol Yellow 200ml, ",""))-2),"")</f>
        <v>Alpha 75ml TRP, Samsol Yellow 120ml, Mablay 130ml White, Alpha 150ml TRP, Samsol Yellow 200ml</v>
      </c>
    </row>
  </sheetData>
  <autoFilter ref="A11:J93" xr:uid="{00000000-0009-0000-0000-000001000000}">
    <filterColumn colId="4">
      <filters>
        <filter val="1,333"/>
        <filter val="145"/>
        <filter val="15,300"/>
        <filter val="162"/>
        <filter val="2,390"/>
        <filter val="204,000"/>
        <filter val="268"/>
        <filter val="28"/>
        <filter val="3,354"/>
        <filter val="369"/>
        <filter val="51,000"/>
        <filter val="6,248"/>
        <filter val="65"/>
        <filter val="695,775"/>
        <filter val="715"/>
        <filter val="8"/>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zoomScaleNormal="100" workbookViewId="0">
      <selection activeCell="G8" sqref="G8:I13"/>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53" t="s">
        <v>237</v>
      </c>
      <c r="B1" s="53"/>
      <c r="C1" s="53"/>
      <c r="D1" s="53"/>
      <c r="E1" s="53"/>
      <c r="F1" s="53"/>
      <c r="G1" s="53"/>
      <c r="H1" s="53"/>
      <c r="I1" s="53"/>
      <c r="J1" s="53"/>
      <c r="K1" s="53"/>
      <c r="L1" s="53"/>
      <c r="M1" s="53"/>
      <c r="N1" s="53"/>
      <c r="O1" s="53"/>
      <c r="P1" s="53"/>
      <c r="Q1" s="2"/>
    </row>
    <row r="2" spans="1:19" ht="29.25" customHeight="1" x14ac:dyDescent="0.25">
      <c r="A2" s="54" t="s">
        <v>238</v>
      </c>
      <c r="B2" s="55" t="s">
        <v>239</v>
      </c>
      <c r="C2" s="56" t="s">
        <v>3</v>
      </c>
      <c r="D2" s="56" t="s">
        <v>4</v>
      </c>
      <c r="E2" s="55" t="s">
        <v>240</v>
      </c>
      <c r="F2" s="57" t="s">
        <v>5</v>
      </c>
      <c r="G2" s="58" t="s">
        <v>241</v>
      </c>
      <c r="H2" s="58" t="s">
        <v>242</v>
      </c>
      <c r="I2" s="58" t="s">
        <v>243</v>
      </c>
      <c r="J2" s="59" t="s">
        <v>244</v>
      </c>
      <c r="K2" s="55" t="s">
        <v>245</v>
      </c>
      <c r="L2" s="55" t="s">
        <v>246</v>
      </c>
      <c r="M2" s="55" t="s">
        <v>247</v>
      </c>
      <c r="N2" s="55" t="s">
        <v>248</v>
      </c>
      <c r="O2" s="55" t="s">
        <v>249</v>
      </c>
      <c r="P2" s="55" t="s">
        <v>250</v>
      </c>
      <c r="Q2" s="55" t="s">
        <v>251</v>
      </c>
      <c r="R2" s="55" t="s">
        <v>252</v>
      </c>
    </row>
    <row r="3" spans="1:19" ht="15" customHeight="1" x14ac:dyDescent="0.25">
      <c r="A3" s="220">
        <v>46266</v>
      </c>
      <c r="B3" s="218" t="s">
        <v>253</v>
      </c>
      <c r="C3" s="218" t="s">
        <v>11</v>
      </c>
      <c r="D3" s="218" t="s">
        <v>17</v>
      </c>
      <c r="E3" s="218">
        <v>30</v>
      </c>
      <c r="F3" s="218">
        <v>5814</v>
      </c>
      <c r="G3" s="221">
        <v>16000</v>
      </c>
      <c r="H3" s="221">
        <v>15840</v>
      </c>
      <c r="I3" s="221">
        <v>160</v>
      </c>
      <c r="J3" s="222">
        <f t="shared" ref="J3:J34" si="0">IFERROR(I3/(H3+I3),"")</f>
        <v>0.01</v>
      </c>
      <c r="K3" s="218"/>
      <c r="L3" s="218"/>
      <c r="M3" s="218"/>
      <c r="N3" s="218"/>
      <c r="O3" s="218"/>
      <c r="P3" s="218"/>
      <c r="Q3" s="218"/>
      <c r="R3" s="218"/>
      <c r="S3" s="218"/>
    </row>
    <row r="4" spans="1:19" ht="15" customHeight="1" x14ac:dyDescent="0.25">
      <c r="A4" s="220">
        <v>46266</v>
      </c>
      <c r="B4" s="218" t="s">
        <v>254</v>
      </c>
      <c r="C4" s="218" t="s">
        <v>11</v>
      </c>
      <c r="D4" s="218" t="s">
        <v>17</v>
      </c>
      <c r="E4" s="218">
        <v>30</v>
      </c>
      <c r="F4" s="218">
        <v>5814</v>
      </c>
      <c r="G4" s="221">
        <v>0</v>
      </c>
      <c r="H4" s="221">
        <v>0</v>
      </c>
      <c r="I4" s="221">
        <v>0</v>
      </c>
      <c r="J4" s="222" t="str">
        <f t="shared" si="0"/>
        <v/>
      </c>
      <c r="K4" s="218"/>
      <c r="L4" s="218"/>
      <c r="M4" s="218"/>
      <c r="N4" s="218"/>
      <c r="O4" s="218">
        <v>480</v>
      </c>
      <c r="P4" s="218"/>
      <c r="Q4" s="218"/>
      <c r="R4" s="218"/>
      <c r="S4" s="218"/>
    </row>
    <row r="5" spans="1:19" ht="15" customHeight="1" x14ac:dyDescent="0.25">
      <c r="A5" s="220">
        <v>46266</v>
      </c>
      <c r="B5" s="218" t="s">
        <v>255</v>
      </c>
      <c r="C5" s="218" t="s">
        <v>14</v>
      </c>
      <c r="D5" s="218" t="s">
        <v>139</v>
      </c>
      <c r="E5" s="218" t="s">
        <v>138</v>
      </c>
      <c r="F5" s="218">
        <v>8005</v>
      </c>
      <c r="G5" s="221">
        <v>0</v>
      </c>
      <c r="H5" s="221">
        <v>0</v>
      </c>
      <c r="I5" s="221">
        <v>0</v>
      </c>
      <c r="J5" s="222" t="str">
        <f t="shared" si="0"/>
        <v/>
      </c>
      <c r="K5" s="218">
        <v>960</v>
      </c>
      <c r="L5" s="218"/>
      <c r="M5" s="218"/>
      <c r="N5" s="218"/>
      <c r="O5" s="218"/>
      <c r="P5" s="218"/>
      <c r="Q5" s="218"/>
      <c r="R5" s="218"/>
      <c r="S5" s="218"/>
    </row>
    <row r="6" spans="1:19" ht="15" customHeight="1" x14ac:dyDescent="0.25">
      <c r="A6" s="220">
        <v>46266</v>
      </c>
      <c r="B6" s="218" t="s">
        <v>256</v>
      </c>
      <c r="C6" s="218" t="s">
        <v>11</v>
      </c>
      <c r="D6" s="218" t="s">
        <v>17</v>
      </c>
      <c r="E6" s="218">
        <v>30</v>
      </c>
      <c r="F6" s="218">
        <v>5814</v>
      </c>
      <c r="G6" s="221">
        <v>12200</v>
      </c>
      <c r="H6" s="221">
        <v>12115</v>
      </c>
      <c r="I6" s="221">
        <v>85</v>
      </c>
      <c r="J6" s="222">
        <f t="shared" si="0"/>
        <v>6.9672131147540985E-3</v>
      </c>
      <c r="K6" s="218"/>
      <c r="L6" s="218"/>
      <c r="M6" s="218"/>
      <c r="N6" s="218"/>
      <c r="O6" s="218"/>
      <c r="P6" s="218"/>
      <c r="Q6" s="218"/>
      <c r="R6" s="218"/>
      <c r="S6" s="218"/>
    </row>
    <row r="7" spans="1:19" ht="15" customHeight="1" x14ac:dyDescent="0.25">
      <c r="A7" s="220">
        <v>46266</v>
      </c>
      <c r="B7" s="218" t="s">
        <v>257</v>
      </c>
      <c r="C7" s="218" t="s">
        <v>11</v>
      </c>
      <c r="D7" s="218" t="s">
        <v>17</v>
      </c>
      <c r="E7" s="218">
        <v>30</v>
      </c>
      <c r="F7" s="218">
        <v>5814</v>
      </c>
      <c r="G7" s="221">
        <v>17867</v>
      </c>
      <c r="H7" s="221">
        <v>17612</v>
      </c>
      <c r="I7" s="221">
        <v>255</v>
      </c>
      <c r="J7" s="222">
        <f t="shared" si="0"/>
        <v>1.4272121788772598E-2</v>
      </c>
      <c r="K7" s="218"/>
      <c r="L7" s="218"/>
      <c r="M7" s="218"/>
      <c r="N7" s="218"/>
      <c r="O7" s="218"/>
      <c r="P7" s="218"/>
      <c r="Q7" s="218"/>
      <c r="R7" s="218"/>
      <c r="S7" s="218"/>
    </row>
    <row r="8" spans="1:19" ht="15" customHeight="1" x14ac:dyDescent="0.25">
      <c r="A8" s="220">
        <v>46267</v>
      </c>
      <c r="B8" s="218" t="s">
        <v>253</v>
      </c>
      <c r="C8" s="218" t="s">
        <v>11</v>
      </c>
      <c r="D8" s="218" t="s">
        <v>17</v>
      </c>
      <c r="E8" s="218">
        <v>30</v>
      </c>
      <c r="F8" s="218">
        <v>5814</v>
      </c>
      <c r="G8" s="221">
        <v>0</v>
      </c>
      <c r="H8" s="221">
        <v>0</v>
      </c>
      <c r="I8" s="221">
        <v>0</v>
      </c>
      <c r="J8" s="222" t="str">
        <f t="shared" si="0"/>
        <v/>
      </c>
      <c r="K8" s="218"/>
      <c r="L8" s="218"/>
      <c r="M8" s="218"/>
      <c r="N8" s="218"/>
      <c r="O8" s="218"/>
      <c r="P8" s="218"/>
      <c r="Q8" s="218"/>
      <c r="R8" s="218"/>
      <c r="S8" s="218"/>
    </row>
    <row r="9" spans="1:19" ht="15" customHeight="1" x14ac:dyDescent="0.25">
      <c r="A9" s="220">
        <v>46267</v>
      </c>
      <c r="B9" s="218" t="s">
        <v>254</v>
      </c>
      <c r="C9" s="218" t="s">
        <v>11</v>
      </c>
      <c r="D9" s="218" t="s">
        <v>17</v>
      </c>
      <c r="E9" s="218">
        <v>30</v>
      </c>
      <c r="F9" s="218">
        <v>5814</v>
      </c>
      <c r="G9" s="221">
        <v>0</v>
      </c>
      <c r="H9" s="221">
        <v>0</v>
      </c>
      <c r="I9" s="221">
        <v>0</v>
      </c>
      <c r="J9" s="222" t="str">
        <f t="shared" si="0"/>
        <v/>
      </c>
      <c r="K9" s="218"/>
      <c r="L9" s="218"/>
      <c r="M9" s="218"/>
      <c r="N9" s="218"/>
      <c r="O9" s="218"/>
      <c r="P9" s="218"/>
      <c r="Q9" s="218"/>
      <c r="R9" s="218"/>
      <c r="S9" s="218"/>
    </row>
    <row r="10" spans="1:19" ht="15" customHeight="1" x14ac:dyDescent="0.25">
      <c r="A10" s="220">
        <v>46267</v>
      </c>
      <c r="B10" s="218" t="s">
        <v>255</v>
      </c>
      <c r="C10" s="218" t="s">
        <v>14</v>
      </c>
      <c r="D10" s="218" t="s">
        <v>139</v>
      </c>
      <c r="E10" s="218" t="s">
        <v>138</v>
      </c>
      <c r="F10" s="218">
        <v>8005</v>
      </c>
      <c r="G10" s="221">
        <v>0</v>
      </c>
      <c r="H10" s="221">
        <v>0</v>
      </c>
      <c r="I10" s="221">
        <v>0</v>
      </c>
      <c r="J10" s="222" t="str">
        <f t="shared" si="0"/>
        <v/>
      </c>
      <c r="K10" s="218"/>
      <c r="L10" s="218">
        <v>960</v>
      </c>
      <c r="M10" s="218"/>
      <c r="N10" s="218"/>
      <c r="O10" s="218"/>
      <c r="P10" s="218"/>
      <c r="Q10" s="218"/>
      <c r="R10" s="218"/>
      <c r="S10" s="218"/>
    </row>
    <row r="11" spans="1:19" ht="15" customHeight="1" x14ac:dyDescent="0.25">
      <c r="A11" s="220">
        <v>46267</v>
      </c>
      <c r="B11" s="218" t="s">
        <v>256</v>
      </c>
      <c r="C11" s="218" t="s">
        <v>11</v>
      </c>
      <c r="D11" s="218" t="s">
        <v>17</v>
      </c>
      <c r="E11" s="218">
        <v>30</v>
      </c>
      <c r="F11" s="218">
        <v>5814</v>
      </c>
      <c r="G11" s="221">
        <v>0</v>
      </c>
      <c r="H11" s="221">
        <v>0</v>
      </c>
      <c r="I11" s="221">
        <v>0</v>
      </c>
      <c r="J11" s="222" t="str">
        <f t="shared" si="0"/>
        <v/>
      </c>
      <c r="K11" s="218"/>
      <c r="L11" s="218"/>
      <c r="M11" s="218"/>
      <c r="N11" s="218"/>
      <c r="O11" s="218"/>
      <c r="P11" s="218"/>
      <c r="Q11" s="218"/>
      <c r="R11" s="218"/>
      <c r="S11" s="218"/>
    </row>
    <row r="12" spans="1:19" ht="15" customHeight="1" x14ac:dyDescent="0.25">
      <c r="A12" s="220">
        <v>46267</v>
      </c>
      <c r="B12" s="218" t="s">
        <v>257</v>
      </c>
      <c r="C12" s="218" t="s">
        <v>11</v>
      </c>
      <c r="D12" s="218" t="s">
        <v>17</v>
      </c>
      <c r="E12" s="218">
        <v>30</v>
      </c>
      <c r="F12" s="218">
        <v>5814</v>
      </c>
      <c r="G12" s="221">
        <v>0</v>
      </c>
      <c r="H12" s="221">
        <v>0</v>
      </c>
      <c r="I12" s="221">
        <v>0</v>
      </c>
      <c r="J12" s="222" t="str">
        <f t="shared" si="0"/>
        <v/>
      </c>
      <c r="K12" s="218"/>
      <c r="L12" s="218"/>
      <c r="M12" s="218"/>
      <c r="N12" s="218"/>
      <c r="O12" s="218"/>
      <c r="P12" s="218"/>
      <c r="Q12" s="218"/>
      <c r="R12" s="218"/>
      <c r="S12" s="218"/>
    </row>
    <row r="13" spans="1:19" ht="15" customHeight="1" x14ac:dyDescent="0.25">
      <c r="A13" s="220">
        <v>46268</v>
      </c>
      <c r="B13" s="218" t="s">
        <v>253</v>
      </c>
      <c r="C13" s="218" t="s">
        <v>11</v>
      </c>
      <c r="D13" s="218" t="s">
        <v>17</v>
      </c>
      <c r="E13" s="218">
        <v>30</v>
      </c>
      <c r="F13" s="218">
        <v>5814</v>
      </c>
      <c r="G13" s="221">
        <v>3000</v>
      </c>
      <c r="H13" s="221">
        <v>2940</v>
      </c>
      <c r="I13" s="221">
        <v>60</v>
      </c>
      <c r="J13" s="222">
        <f t="shared" si="0"/>
        <v>0.02</v>
      </c>
      <c r="K13" s="218"/>
      <c r="L13" s="218"/>
      <c r="M13" s="218"/>
      <c r="N13" s="218"/>
      <c r="O13" s="218"/>
      <c r="P13" s="218"/>
      <c r="Q13" s="218"/>
      <c r="R13" s="218"/>
      <c r="S13" s="218"/>
    </row>
    <row r="14" spans="1:19" ht="15" customHeight="1" x14ac:dyDescent="0.25">
      <c r="A14" s="220">
        <v>46268</v>
      </c>
      <c r="B14" s="218" t="s">
        <v>254</v>
      </c>
      <c r="C14" s="218" t="s">
        <v>11</v>
      </c>
      <c r="D14" s="218" t="s">
        <v>17</v>
      </c>
      <c r="E14" s="218">
        <v>30</v>
      </c>
      <c r="F14" s="218">
        <v>5814</v>
      </c>
      <c r="G14" s="221">
        <v>0</v>
      </c>
      <c r="H14" s="221">
        <v>0</v>
      </c>
      <c r="I14" s="221">
        <v>0</v>
      </c>
      <c r="J14" s="222" t="str">
        <f t="shared" si="0"/>
        <v/>
      </c>
      <c r="K14" s="218"/>
      <c r="L14" s="218"/>
      <c r="M14" s="218"/>
      <c r="N14" s="218"/>
      <c r="O14" s="218"/>
      <c r="P14" s="218"/>
      <c r="Q14" s="218"/>
      <c r="R14" s="218"/>
      <c r="S14" s="218"/>
    </row>
    <row r="15" spans="1:19" ht="15" customHeight="1" x14ac:dyDescent="0.25">
      <c r="A15" s="220">
        <v>46268</v>
      </c>
      <c r="B15" s="218" t="s">
        <v>255</v>
      </c>
      <c r="C15" s="218" t="s">
        <v>14</v>
      </c>
      <c r="D15" s="218" t="s">
        <v>139</v>
      </c>
      <c r="E15" s="218" t="s">
        <v>138</v>
      </c>
      <c r="F15" s="218">
        <v>8005</v>
      </c>
      <c r="G15" s="221">
        <v>0</v>
      </c>
      <c r="H15" s="221">
        <v>0</v>
      </c>
      <c r="I15" s="221">
        <v>0</v>
      </c>
      <c r="J15" s="222" t="str">
        <f t="shared" si="0"/>
        <v/>
      </c>
      <c r="K15" s="218"/>
      <c r="L15" s="218">
        <v>960</v>
      </c>
      <c r="M15" s="218"/>
      <c r="N15" s="218"/>
      <c r="O15" s="218"/>
      <c r="P15" s="218"/>
      <c r="Q15" s="218"/>
      <c r="R15" s="218"/>
      <c r="S15" s="218"/>
    </row>
    <row r="16" spans="1:19" ht="15" customHeight="1" x14ac:dyDescent="0.25">
      <c r="A16" s="220">
        <v>46268</v>
      </c>
      <c r="B16" s="218" t="s">
        <v>256</v>
      </c>
      <c r="C16" s="218" t="s">
        <v>11</v>
      </c>
      <c r="D16" s="218" t="s">
        <v>17</v>
      </c>
      <c r="E16" s="218">
        <v>30</v>
      </c>
      <c r="F16" s="218">
        <v>5814</v>
      </c>
      <c r="G16" s="221">
        <v>3500</v>
      </c>
      <c r="H16" s="221">
        <v>3450</v>
      </c>
      <c r="I16" s="221">
        <v>50</v>
      </c>
      <c r="J16" s="222">
        <f t="shared" si="0"/>
        <v>1.4285714285714285E-2</v>
      </c>
      <c r="K16" s="218"/>
      <c r="L16" s="218"/>
      <c r="M16" s="218"/>
      <c r="N16" s="218"/>
      <c r="O16" s="218"/>
      <c r="P16" s="218"/>
      <c r="Q16" s="218"/>
      <c r="R16" s="218"/>
      <c r="S16" s="218"/>
    </row>
    <row r="17" spans="1:19" ht="15" customHeight="1" x14ac:dyDescent="0.25">
      <c r="A17" s="220">
        <v>46268</v>
      </c>
      <c r="B17" s="218" t="s">
        <v>257</v>
      </c>
      <c r="C17" s="218" t="s">
        <v>11</v>
      </c>
      <c r="D17" s="218" t="s">
        <v>17</v>
      </c>
      <c r="E17" s="218">
        <v>30</v>
      </c>
      <c r="F17" s="218">
        <v>5814</v>
      </c>
      <c r="G17" s="221">
        <v>0</v>
      </c>
      <c r="H17" s="221">
        <v>0</v>
      </c>
      <c r="I17" s="221">
        <v>0</v>
      </c>
      <c r="J17" s="222" t="str">
        <f t="shared" si="0"/>
        <v/>
      </c>
      <c r="K17" s="218"/>
      <c r="L17" s="218"/>
      <c r="M17" s="218"/>
      <c r="N17" s="218"/>
      <c r="O17" s="218"/>
      <c r="P17" s="218"/>
      <c r="Q17" s="218"/>
      <c r="R17" s="218"/>
      <c r="S17" s="218"/>
    </row>
    <row r="18" spans="1:19" ht="15" customHeight="1" x14ac:dyDescent="0.25">
      <c r="A18" s="220">
        <v>46270</v>
      </c>
      <c r="B18" s="218" t="s">
        <v>253</v>
      </c>
      <c r="C18" s="218" t="s">
        <v>19</v>
      </c>
      <c r="D18" s="218" t="s">
        <v>20</v>
      </c>
      <c r="E18" s="218">
        <v>30</v>
      </c>
      <c r="F18" s="218">
        <v>6206</v>
      </c>
      <c r="G18" s="221">
        <v>12000</v>
      </c>
      <c r="H18" s="221">
        <v>11825</v>
      </c>
      <c r="I18" s="221">
        <v>175</v>
      </c>
      <c r="J18" s="222">
        <f t="shared" si="0"/>
        <v>1.4583333333333334E-2</v>
      </c>
      <c r="K18" s="218"/>
      <c r="L18" s="218"/>
      <c r="M18" s="218">
        <v>180</v>
      </c>
      <c r="N18" s="218"/>
      <c r="O18" s="218"/>
      <c r="P18" s="218"/>
      <c r="Q18" s="218"/>
      <c r="R18" s="218"/>
      <c r="S18" s="218"/>
    </row>
    <row r="19" spans="1:19" ht="15" customHeight="1" x14ac:dyDescent="0.25">
      <c r="A19" s="220">
        <v>46270</v>
      </c>
      <c r="B19" s="218" t="s">
        <v>254</v>
      </c>
      <c r="C19" s="218" t="s">
        <v>11</v>
      </c>
      <c r="D19" s="218" t="s">
        <v>17</v>
      </c>
      <c r="E19" s="218">
        <v>30</v>
      </c>
      <c r="F19" s="218">
        <v>5814</v>
      </c>
      <c r="G19" s="221">
        <v>11700</v>
      </c>
      <c r="H19" s="221">
        <v>11690</v>
      </c>
      <c r="I19" s="221">
        <v>10</v>
      </c>
      <c r="J19" s="222">
        <f t="shared" si="0"/>
        <v>8.547008547008547E-4</v>
      </c>
      <c r="K19" s="218"/>
      <c r="L19" s="218"/>
      <c r="M19" s="218"/>
      <c r="N19" s="218"/>
      <c r="O19" s="218">
        <v>240</v>
      </c>
      <c r="P19" s="218"/>
      <c r="Q19" s="218"/>
      <c r="R19" s="218"/>
      <c r="S19" s="218"/>
    </row>
    <row r="20" spans="1:19" ht="15" customHeight="1" x14ac:dyDescent="0.25">
      <c r="A20" s="220">
        <v>46270</v>
      </c>
      <c r="B20" s="218" t="s">
        <v>255</v>
      </c>
      <c r="C20" s="218" t="s">
        <v>14</v>
      </c>
      <c r="D20" s="218" t="s">
        <v>139</v>
      </c>
      <c r="E20" s="218" t="s">
        <v>138</v>
      </c>
      <c r="F20" s="218">
        <v>8005</v>
      </c>
      <c r="G20" s="221">
        <v>35410</v>
      </c>
      <c r="H20" s="221">
        <v>32880</v>
      </c>
      <c r="I20" s="221">
        <v>2530</v>
      </c>
      <c r="J20" s="222">
        <f t="shared" si="0"/>
        <v>7.1448743292855124E-2</v>
      </c>
      <c r="K20" s="218">
        <v>70</v>
      </c>
      <c r="L20" s="218">
        <v>480</v>
      </c>
      <c r="M20" s="218"/>
      <c r="N20" s="218">
        <v>100</v>
      </c>
      <c r="O20" s="218"/>
      <c r="P20" s="218"/>
      <c r="Q20" s="218"/>
      <c r="R20" s="218"/>
      <c r="S20" s="218"/>
    </row>
    <row r="21" spans="1:19" ht="15" customHeight="1" x14ac:dyDescent="0.25">
      <c r="A21" s="220">
        <v>46270</v>
      </c>
      <c r="B21" s="218" t="s">
        <v>256</v>
      </c>
      <c r="C21" s="218" t="s">
        <v>19</v>
      </c>
      <c r="D21" s="218" t="s">
        <v>20</v>
      </c>
      <c r="E21" s="218">
        <v>30</v>
      </c>
      <c r="F21" s="218">
        <v>6206</v>
      </c>
      <c r="G21" s="221">
        <v>20500</v>
      </c>
      <c r="H21" s="221">
        <v>20380</v>
      </c>
      <c r="I21" s="221">
        <v>120</v>
      </c>
      <c r="J21" s="222">
        <f t="shared" si="0"/>
        <v>5.8536585365853658E-3</v>
      </c>
      <c r="K21" s="218"/>
      <c r="L21" s="218"/>
      <c r="M21" s="218"/>
      <c r="N21" s="218"/>
      <c r="O21" s="218"/>
      <c r="P21" s="218"/>
      <c r="Q21" s="218"/>
      <c r="R21" s="218"/>
      <c r="S21" s="218"/>
    </row>
    <row r="22" spans="1:19" ht="15" customHeight="1" x14ac:dyDescent="0.25">
      <c r="A22" s="220">
        <v>46270</v>
      </c>
      <c r="B22" s="218" t="s">
        <v>258</v>
      </c>
      <c r="C22" s="218" t="s">
        <v>14</v>
      </c>
      <c r="D22" s="218" t="s">
        <v>15</v>
      </c>
      <c r="E22" s="218">
        <v>25</v>
      </c>
      <c r="F22" s="218">
        <v>6470</v>
      </c>
      <c r="G22" s="221">
        <v>3500</v>
      </c>
      <c r="H22" s="221">
        <v>3470</v>
      </c>
      <c r="I22" s="221">
        <v>30</v>
      </c>
      <c r="J22" s="222">
        <f t="shared" si="0"/>
        <v>8.5714285714285719E-3</v>
      </c>
      <c r="K22" s="218"/>
      <c r="L22" s="218"/>
      <c r="M22" s="218"/>
      <c r="N22" s="218"/>
      <c r="O22" s="218"/>
      <c r="P22" s="218"/>
      <c r="Q22" s="218"/>
      <c r="R22" s="218"/>
      <c r="S22" s="218"/>
    </row>
    <row r="23" spans="1:19" ht="15" customHeight="1" x14ac:dyDescent="0.25">
      <c r="A23" s="220">
        <v>46270</v>
      </c>
      <c r="B23" s="218" t="s">
        <v>257</v>
      </c>
      <c r="C23" s="218" t="s">
        <v>19</v>
      </c>
      <c r="D23" s="218" t="s">
        <v>20</v>
      </c>
      <c r="E23" s="218">
        <v>30</v>
      </c>
      <c r="F23" s="218">
        <v>6206</v>
      </c>
      <c r="G23" s="221">
        <v>16211</v>
      </c>
      <c r="H23" s="221">
        <v>15946</v>
      </c>
      <c r="I23" s="221">
        <v>265</v>
      </c>
      <c r="J23" s="222">
        <f t="shared" si="0"/>
        <v>1.6346924927518353E-2</v>
      </c>
      <c r="K23" s="218"/>
      <c r="L23" s="218"/>
      <c r="M23" s="218">
        <v>120</v>
      </c>
      <c r="N23" s="218"/>
      <c r="O23" s="218"/>
      <c r="P23" s="218"/>
      <c r="Q23" s="218"/>
      <c r="R23" s="218"/>
      <c r="S23" s="218"/>
    </row>
    <row r="24" spans="1:19" ht="15" customHeight="1" x14ac:dyDescent="0.25">
      <c r="A24" s="220">
        <v>46272</v>
      </c>
      <c r="B24" s="218" t="s">
        <v>253</v>
      </c>
      <c r="C24" s="218" t="s">
        <v>19</v>
      </c>
      <c r="D24" s="218" t="s">
        <v>20</v>
      </c>
      <c r="E24" s="218">
        <v>30</v>
      </c>
      <c r="F24" s="218">
        <v>6206</v>
      </c>
      <c r="G24" s="221">
        <v>23000</v>
      </c>
      <c r="H24" s="221">
        <v>22705</v>
      </c>
      <c r="I24" s="221">
        <v>295</v>
      </c>
      <c r="J24" s="222">
        <f t="shared" si="0"/>
        <v>1.2826086956521739E-2</v>
      </c>
      <c r="K24" s="218"/>
      <c r="L24" s="218"/>
      <c r="M24" s="218"/>
      <c r="N24" s="218"/>
      <c r="O24" s="218"/>
      <c r="P24" s="218"/>
      <c r="Q24" s="218"/>
      <c r="R24" s="218"/>
      <c r="S24" s="218"/>
    </row>
    <row r="25" spans="1:19" ht="15" customHeight="1" x14ac:dyDescent="0.25">
      <c r="A25" s="220">
        <v>46272</v>
      </c>
      <c r="B25" s="218" t="s">
        <v>259</v>
      </c>
      <c r="C25" s="218" t="s">
        <v>14</v>
      </c>
      <c r="D25" s="218" t="s">
        <v>15</v>
      </c>
      <c r="E25" s="218">
        <v>25</v>
      </c>
      <c r="F25" s="218">
        <v>6470</v>
      </c>
      <c r="G25" s="221">
        <v>1000</v>
      </c>
      <c r="H25" s="221">
        <v>980</v>
      </c>
      <c r="I25" s="221">
        <v>20</v>
      </c>
      <c r="J25" s="222">
        <f t="shared" si="0"/>
        <v>0.02</v>
      </c>
      <c r="K25" s="218"/>
      <c r="L25" s="218"/>
      <c r="M25" s="218"/>
      <c r="N25" s="218"/>
      <c r="O25" s="218"/>
      <c r="P25" s="218"/>
      <c r="Q25" s="218"/>
      <c r="R25" s="218"/>
      <c r="S25" s="218"/>
    </row>
    <row r="26" spans="1:19" ht="15" customHeight="1" x14ac:dyDescent="0.25">
      <c r="A26" s="220">
        <v>46272</v>
      </c>
      <c r="B26" s="218" t="s">
        <v>254</v>
      </c>
      <c r="C26" s="218" t="s">
        <v>11</v>
      </c>
      <c r="D26" s="218" t="s">
        <v>17</v>
      </c>
      <c r="E26" s="218">
        <v>30</v>
      </c>
      <c r="F26" s="218">
        <v>5814</v>
      </c>
      <c r="G26" s="221">
        <v>13816</v>
      </c>
      <c r="H26" s="221">
        <v>13806</v>
      </c>
      <c r="I26" s="221">
        <v>10</v>
      </c>
      <c r="J26" s="222">
        <f t="shared" si="0"/>
        <v>7.2379849449913142E-4</v>
      </c>
      <c r="K26" s="218"/>
      <c r="L26" s="218"/>
      <c r="M26" s="218"/>
      <c r="N26" s="218"/>
      <c r="O26" s="218">
        <v>200</v>
      </c>
      <c r="P26" s="218"/>
      <c r="Q26" s="218"/>
      <c r="R26" s="218"/>
      <c r="S26" s="218"/>
    </row>
    <row r="27" spans="1:19" ht="15" customHeight="1" x14ac:dyDescent="0.25">
      <c r="A27" s="220">
        <v>46272</v>
      </c>
      <c r="B27" s="218" t="s">
        <v>255</v>
      </c>
      <c r="C27" s="218" t="s">
        <v>135</v>
      </c>
      <c r="D27" s="218" t="s">
        <v>181</v>
      </c>
      <c r="E27" s="218" t="s">
        <v>143</v>
      </c>
      <c r="F27" s="218">
        <v>8001</v>
      </c>
      <c r="G27" s="221">
        <v>6750</v>
      </c>
      <c r="H27" s="221">
        <v>3450</v>
      </c>
      <c r="I27" s="221">
        <v>3300</v>
      </c>
      <c r="J27" s="222">
        <f t="shared" si="0"/>
        <v>0.48888888888888887</v>
      </c>
      <c r="K27" s="218">
        <v>270</v>
      </c>
      <c r="L27" s="218"/>
      <c r="M27" s="218"/>
      <c r="N27" s="218">
        <v>420</v>
      </c>
      <c r="O27" s="218"/>
      <c r="P27" s="218"/>
      <c r="Q27" s="218"/>
      <c r="R27" s="218"/>
      <c r="S27" s="218"/>
    </row>
    <row r="28" spans="1:19" ht="15" customHeight="1" x14ac:dyDescent="0.25">
      <c r="A28" s="220">
        <v>46272</v>
      </c>
      <c r="B28" s="218" t="s">
        <v>256</v>
      </c>
      <c r="C28" s="218" t="s">
        <v>19</v>
      </c>
      <c r="D28" s="218" t="s">
        <v>20</v>
      </c>
      <c r="E28" s="218">
        <v>30</v>
      </c>
      <c r="F28" s="218">
        <v>6206</v>
      </c>
      <c r="G28" s="221">
        <v>21000</v>
      </c>
      <c r="H28" s="221">
        <v>20860</v>
      </c>
      <c r="I28" s="221">
        <v>140</v>
      </c>
      <c r="J28" s="222">
        <f t="shared" si="0"/>
        <v>6.6666666666666671E-3</v>
      </c>
      <c r="K28" s="218"/>
      <c r="L28" s="218"/>
      <c r="M28" s="218"/>
      <c r="N28" s="218"/>
      <c r="O28" s="218"/>
      <c r="P28" s="218"/>
      <c r="Q28" s="218"/>
      <c r="R28" s="218"/>
      <c r="S28" s="218"/>
    </row>
    <row r="29" spans="1:19" ht="15" customHeight="1" x14ac:dyDescent="0.25">
      <c r="A29" s="220">
        <v>46272</v>
      </c>
      <c r="B29" s="218" t="s">
        <v>258</v>
      </c>
      <c r="C29" s="218" t="s">
        <v>14</v>
      </c>
      <c r="D29" s="218" t="s">
        <v>15</v>
      </c>
      <c r="E29" s="218">
        <v>25</v>
      </c>
      <c r="F29" s="218">
        <v>6470</v>
      </c>
      <c r="G29" s="221">
        <v>5500</v>
      </c>
      <c r="H29" s="221">
        <v>5415</v>
      </c>
      <c r="I29" s="221">
        <v>85</v>
      </c>
      <c r="J29" s="222">
        <f t="shared" si="0"/>
        <v>1.5454545454545455E-2</v>
      </c>
      <c r="K29" s="218"/>
      <c r="L29" s="218"/>
      <c r="M29" s="218"/>
      <c r="N29" s="218"/>
      <c r="O29" s="218"/>
      <c r="P29" s="218"/>
      <c r="Q29" s="218"/>
      <c r="R29" s="218"/>
      <c r="S29" s="218"/>
    </row>
    <row r="30" spans="1:19" ht="15" customHeight="1" x14ac:dyDescent="0.25">
      <c r="A30" s="220">
        <v>46272</v>
      </c>
      <c r="B30" s="218" t="s">
        <v>257</v>
      </c>
      <c r="C30" s="218" t="s">
        <v>19</v>
      </c>
      <c r="D30" s="218" t="s">
        <v>20</v>
      </c>
      <c r="E30" s="218">
        <v>30</v>
      </c>
      <c r="F30" s="218">
        <v>6206</v>
      </c>
      <c r="G30" s="221">
        <v>24488</v>
      </c>
      <c r="H30" s="221">
        <v>24038</v>
      </c>
      <c r="I30" s="221">
        <v>450</v>
      </c>
      <c r="J30" s="222">
        <f t="shared" si="0"/>
        <v>1.8376347598823915E-2</v>
      </c>
      <c r="K30" s="218"/>
      <c r="L30" s="218"/>
      <c r="M30" s="218"/>
      <c r="N30" s="218"/>
      <c r="O30" s="218"/>
      <c r="P30" s="218"/>
      <c r="Q30" s="218"/>
      <c r="R30" s="218"/>
      <c r="S30" s="218"/>
    </row>
    <row r="31" spans="1:19" ht="15" customHeight="1" x14ac:dyDescent="0.25">
      <c r="A31" s="220">
        <v>46273</v>
      </c>
      <c r="B31" s="218" t="s">
        <v>253</v>
      </c>
      <c r="C31" s="218" t="s">
        <v>19</v>
      </c>
      <c r="D31" s="218" t="s">
        <v>20</v>
      </c>
      <c r="E31" s="218">
        <v>30</v>
      </c>
      <c r="F31" s="218">
        <v>6206</v>
      </c>
      <c r="G31" s="221">
        <v>6000</v>
      </c>
      <c r="H31" s="221">
        <v>5900</v>
      </c>
      <c r="I31" s="221">
        <v>100</v>
      </c>
      <c r="J31" s="222">
        <f t="shared" si="0"/>
        <v>1.6666666666666666E-2</v>
      </c>
      <c r="K31" s="218"/>
      <c r="L31" s="218"/>
      <c r="M31" s="218"/>
      <c r="N31" s="218"/>
      <c r="O31" s="218"/>
      <c r="P31" s="218"/>
      <c r="Q31" s="218"/>
      <c r="R31" s="218"/>
      <c r="S31" s="218"/>
    </row>
    <row r="32" spans="1:19" ht="15" customHeight="1" x14ac:dyDescent="0.25">
      <c r="A32" s="220">
        <v>46273</v>
      </c>
      <c r="B32" s="218" t="s">
        <v>259</v>
      </c>
      <c r="C32" s="218" t="s">
        <v>14</v>
      </c>
      <c r="D32" s="218" t="s">
        <v>15</v>
      </c>
      <c r="E32" s="218">
        <v>25</v>
      </c>
      <c r="F32" s="218">
        <v>6470</v>
      </c>
      <c r="G32" s="221">
        <v>10000</v>
      </c>
      <c r="H32" s="221">
        <v>9835</v>
      </c>
      <c r="I32" s="221">
        <v>165</v>
      </c>
      <c r="J32" s="222">
        <f t="shared" si="0"/>
        <v>1.6500000000000001E-2</v>
      </c>
      <c r="K32" s="218"/>
      <c r="L32" s="218"/>
      <c r="M32" s="218">
        <v>120</v>
      </c>
      <c r="N32" s="218"/>
      <c r="O32" s="218"/>
      <c r="P32" s="218"/>
      <c r="Q32" s="218"/>
      <c r="R32" s="218"/>
      <c r="S32" s="218"/>
    </row>
    <row r="33" spans="1:19" ht="15" customHeight="1" x14ac:dyDescent="0.25">
      <c r="A33" s="220">
        <v>46273</v>
      </c>
      <c r="B33" s="218" t="s">
        <v>254</v>
      </c>
      <c r="C33" s="218" t="s">
        <v>19</v>
      </c>
      <c r="D33" s="218" t="s">
        <v>20</v>
      </c>
      <c r="E33" s="218">
        <v>30</v>
      </c>
      <c r="F33" s="218">
        <v>6206</v>
      </c>
      <c r="G33" s="221">
        <v>24038</v>
      </c>
      <c r="H33" s="221">
        <v>24023</v>
      </c>
      <c r="I33" s="221">
        <v>15</v>
      </c>
      <c r="J33" s="222">
        <f t="shared" si="0"/>
        <v>6.240119810300358E-4</v>
      </c>
      <c r="K33" s="218"/>
      <c r="L33" s="218"/>
      <c r="M33" s="218"/>
      <c r="N33" s="218"/>
      <c r="O33" s="218"/>
      <c r="P33" s="218"/>
      <c r="Q33" s="218"/>
      <c r="R33" s="218"/>
      <c r="S33" s="218"/>
    </row>
    <row r="34" spans="1:19" ht="15" customHeight="1" x14ac:dyDescent="0.25">
      <c r="A34" s="220">
        <v>46273</v>
      </c>
      <c r="B34" s="218" t="s">
        <v>255</v>
      </c>
      <c r="C34" s="218" t="s">
        <v>135</v>
      </c>
      <c r="D34" s="218" t="s">
        <v>181</v>
      </c>
      <c r="E34" s="218" t="s">
        <v>143</v>
      </c>
      <c r="F34" s="218">
        <v>8001</v>
      </c>
      <c r="G34" s="221">
        <v>24865</v>
      </c>
      <c r="H34" s="221">
        <v>21275</v>
      </c>
      <c r="I34" s="221">
        <v>3590</v>
      </c>
      <c r="J34" s="222">
        <f t="shared" si="0"/>
        <v>0.14437965011059722</v>
      </c>
      <c r="K34" s="218">
        <v>100</v>
      </c>
      <c r="L34" s="218">
        <v>150</v>
      </c>
      <c r="M34" s="218"/>
      <c r="N34" s="218"/>
      <c r="O34" s="218"/>
      <c r="P34" s="218"/>
      <c r="Q34" s="218"/>
      <c r="R34" s="218"/>
      <c r="S34" s="218"/>
    </row>
    <row r="35" spans="1:19" ht="15" customHeight="1" x14ac:dyDescent="0.25">
      <c r="A35" s="220">
        <v>46273</v>
      </c>
      <c r="B35" s="218" t="s">
        <v>256</v>
      </c>
      <c r="C35" s="218" t="s">
        <v>19</v>
      </c>
      <c r="D35" s="218" t="s">
        <v>20</v>
      </c>
      <c r="E35" s="218">
        <v>30</v>
      </c>
      <c r="F35" s="218">
        <v>6206</v>
      </c>
      <c r="G35" s="221">
        <v>11400</v>
      </c>
      <c r="H35" s="221">
        <v>11290</v>
      </c>
      <c r="I35" s="221">
        <v>110</v>
      </c>
      <c r="J35" s="222">
        <f t="shared" ref="J35:J66" si="1">IFERROR(I35/(H35+I35),"")</f>
        <v>9.6491228070175444E-3</v>
      </c>
      <c r="K35" s="218"/>
      <c r="L35" s="218"/>
      <c r="M35" s="218"/>
      <c r="N35" s="218"/>
      <c r="O35" s="218"/>
      <c r="P35" s="218"/>
      <c r="Q35" s="218"/>
      <c r="R35" s="218"/>
      <c r="S35" s="218"/>
    </row>
    <row r="36" spans="1:19" ht="15" customHeight="1" x14ac:dyDescent="0.25">
      <c r="A36" s="220">
        <v>46273</v>
      </c>
      <c r="B36" s="218" t="s">
        <v>258</v>
      </c>
      <c r="C36" s="218" t="s">
        <v>14</v>
      </c>
      <c r="D36" s="218" t="s">
        <v>15</v>
      </c>
      <c r="E36" s="218">
        <v>25</v>
      </c>
      <c r="F36" s="218">
        <v>6470</v>
      </c>
      <c r="G36" s="221">
        <v>12000</v>
      </c>
      <c r="H36" s="221">
        <v>11800</v>
      </c>
      <c r="I36" s="221">
        <v>200</v>
      </c>
      <c r="J36" s="222">
        <f t="shared" si="1"/>
        <v>1.6666666666666666E-2</v>
      </c>
      <c r="K36" s="218">
        <v>120</v>
      </c>
      <c r="L36" s="218"/>
      <c r="M36" s="218"/>
      <c r="N36" s="218"/>
      <c r="O36" s="218"/>
      <c r="P36" s="218"/>
      <c r="Q36" s="218"/>
      <c r="R36" s="218"/>
      <c r="S36" s="218"/>
    </row>
    <row r="37" spans="1:19" ht="15" customHeight="1" x14ac:dyDescent="0.25">
      <c r="A37" s="220">
        <v>46273</v>
      </c>
      <c r="B37" s="218" t="s">
        <v>257</v>
      </c>
      <c r="C37" s="218" t="s">
        <v>14</v>
      </c>
      <c r="D37" s="218" t="s">
        <v>15</v>
      </c>
      <c r="E37" s="218">
        <v>25</v>
      </c>
      <c r="F37" s="218">
        <v>6470</v>
      </c>
      <c r="G37" s="221">
        <v>10254</v>
      </c>
      <c r="H37" s="221">
        <v>9744</v>
      </c>
      <c r="I37" s="221">
        <v>510</v>
      </c>
      <c r="J37" s="222">
        <f t="shared" si="1"/>
        <v>4.9736688121708603E-2</v>
      </c>
      <c r="K37" s="218"/>
      <c r="L37" s="218"/>
      <c r="M37" s="218"/>
      <c r="N37" s="218"/>
      <c r="O37" s="218"/>
      <c r="P37" s="218"/>
      <c r="Q37" s="218"/>
      <c r="R37" s="218"/>
      <c r="S37" s="218"/>
    </row>
    <row r="38" spans="1:19" ht="15" customHeight="1" x14ac:dyDescent="0.25">
      <c r="A38" s="220">
        <v>46274</v>
      </c>
      <c r="B38" s="218" t="s">
        <v>259</v>
      </c>
      <c r="C38" s="218" t="s">
        <v>14</v>
      </c>
      <c r="D38" s="218" t="s">
        <v>15</v>
      </c>
      <c r="E38" s="218">
        <v>25</v>
      </c>
      <c r="F38" s="218">
        <v>6470</v>
      </c>
      <c r="G38" s="221">
        <v>21000</v>
      </c>
      <c r="H38" s="221">
        <v>20635</v>
      </c>
      <c r="I38" s="221">
        <v>365</v>
      </c>
      <c r="J38" s="222">
        <f t="shared" si="1"/>
        <v>1.7380952380952382E-2</v>
      </c>
      <c r="K38" s="218"/>
      <c r="L38" s="218"/>
      <c r="M38" s="218"/>
      <c r="N38" s="218"/>
      <c r="O38" s="218"/>
      <c r="P38" s="218"/>
      <c r="Q38" s="218"/>
      <c r="R38" s="218"/>
      <c r="S38" s="218"/>
    </row>
    <row r="39" spans="1:19" ht="15" customHeight="1" x14ac:dyDescent="0.25">
      <c r="A39" s="220">
        <v>46274</v>
      </c>
      <c r="B39" s="218" t="s">
        <v>254</v>
      </c>
      <c r="C39" s="218" t="s">
        <v>19</v>
      </c>
      <c r="D39" s="218" t="s">
        <v>20</v>
      </c>
      <c r="E39" s="218">
        <v>30</v>
      </c>
      <c r="F39" s="218">
        <v>6206</v>
      </c>
      <c r="G39" s="221">
        <v>13000</v>
      </c>
      <c r="H39" s="221">
        <v>12990</v>
      </c>
      <c r="I39" s="221">
        <v>10</v>
      </c>
      <c r="J39" s="222">
        <f t="shared" si="1"/>
        <v>7.6923076923076923E-4</v>
      </c>
      <c r="K39" s="218"/>
      <c r="L39" s="218"/>
      <c r="M39" s="218"/>
      <c r="N39" s="218"/>
      <c r="O39" s="218"/>
      <c r="P39" s="218"/>
      <c r="Q39" s="218"/>
      <c r="R39" s="218"/>
      <c r="S39" s="218"/>
    </row>
    <row r="40" spans="1:19" ht="15" customHeight="1" x14ac:dyDescent="0.25">
      <c r="A40" s="220">
        <v>46274</v>
      </c>
      <c r="B40" s="218" t="s">
        <v>255</v>
      </c>
      <c r="C40" s="218" t="s">
        <v>135</v>
      </c>
      <c r="D40" s="218" t="s">
        <v>181</v>
      </c>
      <c r="E40" s="218" t="s">
        <v>143</v>
      </c>
      <c r="F40" s="218">
        <v>8001</v>
      </c>
      <c r="G40" s="221">
        <v>24935</v>
      </c>
      <c r="H40" s="221">
        <v>18515</v>
      </c>
      <c r="I40" s="221">
        <v>6420</v>
      </c>
      <c r="J40" s="222">
        <f t="shared" si="1"/>
        <v>0.25746942049328253</v>
      </c>
      <c r="K40" s="218"/>
      <c r="L40" s="218"/>
      <c r="M40" s="218"/>
      <c r="N40" s="218"/>
      <c r="O40" s="218"/>
      <c r="P40" s="218"/>
      <c r="Q40" s="218"/>
      <c r="R40" s="218"/>
      <c r="S40" s="218"/>
    </row>
    <row r="41" spans="1:19" ht="15" customHeight="1" x14ac:dyDescent="0.25">
      <c r="A41" s="220">
        <v>46274</v>
      </c>
      <c r="B41" s="218" t="s">
        <v>258</v>
      </c>
      <c r="C41" s="218" t="s">
        <v>14</v>
      </c>
      <c r="D41" s="218" t="s">
        <v>15</v>
      </c>
      <c r="E41" s="218">
        <v>25</v>
      </c>
      <c r="F41" s="218">
        <v>6470</v>
      </c>
      <c r="G41" s="221">
        <v>22000</v>
      </c>
      <c r="H41" s="221">
        <v>21905</v>
      </c>
      <c r="I41" s="221">
        <v>95</v>
      </c>
      <c r="J41" s="222">
        <f t="shared" si="1"/>
        <v>4.3181818181818182E-3</v>
      </c>
      <c r="K41" s="218"/>
      <c r="L41" s="218"/>
      <c r="M41" s="218"/>
      <c r="N41" s="218"/>
      <c r="O41" s="218"/>
      <c r="P41" s="218"/>
      <c r="Q41" s="218"/>
      <c r="R41" s="218"/>
      <c r="S41" s="218"/>
    </row>
    <row r="42" spans="1:19" ht="15" customHeight="1" x14ac:dyDescent="0.25">
      <c r="A42" s="220">
        <v>46274</v>
      </c>
      <c r="B42" s="218" t="s">
        <v>257</v>
      </c>
      <c r="C42" s="218" t="s">
        <v>14</v>
      </c>
      <c r="D42" s="218" t="s">
        <v>15</v>
      </c>
      <c r="E42" s="218">
        <v>25</v>
      </c>
      <c r="F42" s="218">
        <v>6470</v>
      </c>
      <c r="G42" s="221">
        <v>15820</v>
      </c>
      <c r="H42" s="221">
        <v>15120</v>
      </c>
      <c r="I42" s="221">
        <v>700</v>
      </c>
      <c r="J42" s="222">
        <f t="shared" si="1"/>
        <v>4.4247787610619468E-2</v>
      </c>
      <c r="K42" s="218"/>
      <c r="L42" s="218"/>
      <c r="M42" s="218">
        <v>120</v>
      </c>
      <c r="N42" s="218"/>
      <c r="O42" s="218"/>
      <c r="P42" s="218"/>
      <c r="Q42" s="218"/>
      <c r="R42" s="218"/>
      <c r="S42" s="218"/>
    </row>
    <row r="43" spans="1:19" ht="15" customHeight="1" x14ac:dyDescent="0.25">
      <c r="A43" s="220">
        <v>46275</v>
      </c>
      <c r="B43" s="218" t="s">
        <v>259</v>
      </c>
      <c r="C43" s="218" t="s">
        <v>14</v>
      </c>
      <c r="D43" s="218" t="s">
        <v>15</v>
      </c>
      <c r="E43" s="218">
        <v>25</v>
      </c>
      <c r="F43" s="218">
        <v>6470</v>
      </c>
      <c r="G43" s="221">
        <v>10000</v>
      </c>
      <c r="H43" s="221">
        <v>9720</v>
      </c>
      <c r="I43" s="221">
        <v>280</v>
      </c>
      <c r="J43" s="222">
        <f t="shared" si="1"/>
        <v>2.8000000000000001E-2</v>
      </c>
      <c r="K43" s="218">
        <v>240</v>
      </c>
      <c r="L43" s="218"/>
      <c r="M43" s="218"/>
      <c r="N43" s="218"/>
      <c r="O43" s="218"/>
      <c r="P43" s="218"/>
      <c r="Q43" s="218"/>
      <c r="R43" s="218"/>
      <c r="S43" s="218"/>
    </row>
    <row r="44" spans="1:19" ht="15" customHeight="1" x14ac:dyDescent="0.25">
      <c r="A44" s="220">
        <v>46275</v>
      </c>
      <c r="B44" s="218" t="s">
        <v>255</v>
      </c>
      <c r="C44" s="218" t="s">
        <v>135</v>
      </c>
      <c r="D44" s="218" t="s">
        <v>181</v>
      </c>
      <c r="E44" s="218" t="s">
        <v>143</v>
      </c>
      <c r="F44" s="218">
        <v>8001</v>
      </c>
      <c r="G44" s="221">
        <v>28775</v>
      </c>
      <c r="H44" s="221">
        <v>23575</v>
      </c>
      <c r="I44" s="221">
        <v>5200</v>
      </c>
      <c r="J44" s="222">
        <f t="shared" si="1"/>
        <v>0.18071242397914858</v>
      </c>
      <c r="K44" s="218"/>
      <c r="L44" s="218">
        <v>20</v>
      </c>
      <c r="M44" s="218"/>
      <c r="N44" s="218"/>
      <c r="O44" s="218"/>
      <c r="P44" s="218"/>
      <c r="Q44" s="218"/>
      <c r="R44" s="218"/>
      <c r="S44" s="218"/>
    </row>
    <row r="45" spans="1:19" ht="15" customHeight="1" x14ac:dyDescent="0.25">
      <c r="A45" s="220">
        <v>46275</v>
      </c>
      <c r="B45" s="218" t="s">
        <v>256</v>
      </c>
      <c r="C45" s="218" t="s">
        <v>19</v>
      </c>
      <c r="D45" s="218" t="s">
        <v>20</v>
      </c>
      <c r="E45" s="218">
        <v>30</v>
      </c>
      <c r="F45" s="218">
        <v>6206</v>
      </c>
      <c r="G45" s="221">
        <v>5000</v>
      </c>
      <c r="H45" s="221">
        <v>4935</v>
      </c>
      <c r="I45" s="221">
        <v>65</v>
      </c>
      <c r="J45" s="222">
        <f t="shared" si="1"/>
        <v>1.2999999999999999E-2</v>
      </c>
      <c r="K45" s="218"/>
      <c r="L45" s="218"/>
      <c r="M45" s="218"/>
      <c r="N45" s="218"/>
      <c r="O45" s="218"/>
      <c r="P45" s="218"/>
      <c r="Q45" s="218"/>
      <c r="R45" s="218"/>
      <c r="S45" s="218"/>
    </row>
    <row r="46" spans="1:19" ht="15" customHeight="1" x14ac:dyDescent="0.25">
      <c r="A46" s="220">
        <v>46275</v>
      </c>
      <c r="B46" s="218" t="s">
        <v>258</v>
      </c>
      <c r="C46" s="218" t="s">
        <v>14</v>
      </c>
      <c r="D46" s="218" t="s">
        <v>15</v>
      </c>
      <c r="E46" s="218">
        <v>25</v>
      </c>
      <c r="F46" s="218">
        <v>6470</v>
      </c>
      <c r="G46" s="221">
        <v>10000</v>
      </c>
      <c r="H46" s="221">
        <v>9910</v>
      </c>
      <c r="I46" s="221">
        <v>90</v>
      </c>
      <c r="J46" s="222">
        <f t="shared" si="1"/>
        <v>8.9999999999999993E-3</v>
      </c>
      <c r="K46" s="218"/>
      <c r="L46" s="218"/>
      <c r="M46" s="218"/>
      <c r="N46" s="218">
        <v>120</v>
      </c>
      <c r="O46" s="218"/>
      <c r="P46" s="218"/>
      <c r="Q46" s="218"/>
      <c r="R46" s="218"/>
      <c r="S46" s="218"/>
    </row>
    <row r="47" spans="1:19" ht="15" customHeight="1" x14ac:dyDescent="0.25">
      <c r="A47" s="220">
        <v>46275</v>
      </c>
      <c r="B47" s="218" t="s">
        <v>257</v>
      </c>
      <c r="C47" s="218" t="s">
        <v>14</v>
      </c>
      <c r="D47" s="218" t="s">
        <v>15</v>
      </c>
      <c r="E47" s="218">
        <v>25</v>
      </c>
      <c r="F47" s="218">
        <v>6470</v>
      </c>
      <c r="G47" s="221">
        <v>13860</v>
      </c>
      <c r="H47" s="221">
        <v>13440</v>
      </c>
      <c r="I47" s="221">
        <v>420</v>
      </c>
      <c r="J47" s="222">
        <f t="shared" si="1"/>
        <v>3.0303030303030304E-2</v>
      </c>
      <c r="K47" s="218"/>
      <c r="L47" s="218"/>
      <c r="M47" s="218">
        <v>200</v>
      </c>
      <c r="N47" s="218"/>
      <c r="O47" s="218"/>
      <c r="P47" s="218"/>
      <c r="Q47" s="218"/>
      <c r="R47" s="218"/>
      <c r="S47" s="218"/>
    </row>
    <row r="48" spans="1:19" ht="15" customHeight="1" x14ac:dyDescent="0.25">
      <c r="A48" s="220">
        <v>46276</v>
      </c>
      <c r="B48" s="218" t="s">
        <v>259</v>
      </c>
      <c r="C48" s="218" t="s">
        <v>11</v>
      </c>
      <c r="D48" s="218" t="s">
        <v>16</v>
      </c>
      <c r="E48" s="218">
        <v>25</v>
      </c>
      <c r="F48" s="218">
        <v>6228</v>
      </c>
      <c r="G48" s="221">
        <v>7000</v>
      </c>
      <c r="H48" s="221">
        <v>6740</v>
      </c>
      <c r="I48" s="221">
        <v>260</v>
      </c>
      <c r="J48" s="222">
        <f t="shared" si="1"/>
        <v>3.7142857142857144E-2</v>
      </c>
      <c r="K48" s="218">
        <v>300</v>
      </c>
      <c r="L48" s="218"/>
      <c r="M48" s="218"/>
      <c r="N48" s="218"/>
      <c r="O48" s="218"/>
      <c r="P48" s="218"/>
      <c r="Q48" s="218"/>
      <c r="R48" s="218"/>
      <c r="S48" s="218"/>
    </row>
    <row r="49" spans="1:19" ht="15" customHeight="1" x14ac:dyDescent="0.25">
      <c r="A49" s="220">
        <v>46276</v>
      </c>
      <c r="B49" s="218" t="s">
        <v>255</v>
      </c>
      <c r="C49" s="218" t="s">
        <v>135</v>
      </c>
      <c r="D49" s="218" t="s">
        <v>181</v>
      </c>
      <c r="E49" s="218" t="s">
        <v>143</v>
      </c>
      <c r="F49" s="218">
        <v>8001</v>
      </c>
      <c r="G49" s="221">
        <v>26925</v>
      </c>
      <c r="H49" s="221">
        <v>22425</v>
      </c>
      <c r="I49" s="221">
        <v>4500</v>
      </c>
      <c r="J49" s="222">
        <f t="shared" si="1"/>
        <v>0.16713091922005571</v>
      </c>
      <c r="K49" s="218">
        <v>150</v>
      </c>
      <c r="L49" s="218"/>
      <c r="M49" s="218"/>
      <c r="N49" s="218"/>
      <c r="O49" s="218"/>
      <c r="P49" s="218">
        <v>200</v>
      </c>
      <c r="Q49" s="218"/>
      <c r="R49" s="218"/>
      <c r="S49" s="218"/>
    </row>
    <row r="50" spans="1:19" ht="15" customHeight="1" x14ac:dyDescent="0.25">
      <c r="A50" s="220">
        <v>46276</v>
      </c>
      <c r="B50" s="218" t="s">
        <v>258</v>
      </c>
      <c r="C50" s="218" t="s">
        <v>11</v>
      </c>
      <c r="D50" s="218" t="s">
        <v>16</v>
      </c>
      <c r="E50" s="218">
        <v>25</v>
      </c>
      <c r="F50" s="218">
        <v>6228</v>
      </c>
      <c r="G50" s="221">
        <v>13600</v>
      </c>
      <c r="H50" s="221">
        <v>13485</v>
      </c>
      <c r="I50" s="221">
        <v>115</v>
      </c>
      <c r="J50" s="222">
        <f t="shared" si="1"/>
        <v>8.4558823529411759E-3</v>
      </c>
      <c r="K50" s="218"/>
      <c r="L50" s="218"/>
      <c r="M50" s="218"/>
      <c r="N50" s="218"/>
      <c r="O50" s="218"/>
      <c r="P50" s="218"/>
      <c r="Q50" s="218"/>
      <c r="R50" s="218"/>
      <c r="S50" s="218"/>
    </row>
    <row r="51" spans="1:19" ht="15" customHeight="1" x14ac:dyDescent="0.25">
      <c r="A51" s="220">
        <v>46276</v>
      </c>
      <c r="B51" s="218" t="s">
        <v>257</v>
      </c>
      <c r="C51" s="218" t="s">
        <v>14</v>
      </c>
      <c r="D51" s="218" t="s">
        <v>15</v>
      </c>
      <c r="E51" s="218">
        <v>25</v>
      </c>
      <c r="F51" s="218">
        <v>6470</v>
      </c>
      <c r="G51" s="221">
        <v>3480</v>
      </c>
      <c r="H51" s="221">
        <v>3360</v>
      </c>
      <c r="I51" s="221">
        <v>120</v>
      </c>
      <c r="J51" s="222">
        <f t="shared" si="1"/>
        <v>3.4482758620689655E-2</v>
      </c>
      <c r="K51" s="218"/>
      <c r="L51" s="218"/>
      <c r="M51" s="218"/>
      <c r="N51" s="218"/>
      <c r="O51" s="218"/>
      <c r="P51" s="218"/>
      <c r="Q51" s="218"/>
      <c r="R51" s="218"/>
      <c r="S51" s="218"/>
    </row>
    <row r="52" spans="1:19" ht="15" customHeight="1" x14ac:dyDescent="0.25">
      <c r="A52" s="220">
        <v>46276</v>
      </c>
      <c r="B52" s="218" t="s">
        <v>257</v>
      </c>
      <c r="C52" s="218" t="s">
        <v>11</v>
      </c>
      <c r="D52" s="218" t="s">
        <v>16</v>
      </c>
      <c r="E52" s="218">
        <v>25</v>
      </c>
      <c r="F52" s="218">
        <v>6228</v>
      </c>
      <c r="G52" s="221">
        <v>2462</v>
      </c>
      <c r="H52" s="221">
        <v>2352</v>
      </c>
      <c r="I52" s="221">
        <v>110</v>
      </c>
      <c r="J52" s="222">
        <f t="shared" si="1"/>
        <v>4.4679122664500408E-2</v>
      </c>
      <c r="K52" s="218"/>
      <c r="L52" s="218"/>
      <c r="M52" s="218">
        <v>210</v>
      </c>
      <c r="N52" s="218">
        <v>90</v>
      </c>
      <c r="O52" s="218"/>
      <c r="P52" s="218"/>
      <c r="Q52" s="218"/>
      <c r="R52" s="218"/>
      <c r="S52" s="218"/>
    </row>
    <row r="53" spans="1:19" ht="15" customHeight="1" x14ac:dyDescent="0.25"/>
    <row r="54" spans="1:19" ht="15" customHeight="1" x14ac:dyDescent="0.25"/>
    <row r="55" spans="1:19" ht="15" customHeight="1" x14ac:dyDescent="0.25"/>
    <row r="56" spans="1:19" ht="15" customHeight="1" x14ac:dyDescent="0.25"/>
    <row r="57" spans="1:19" ht="15" customHeight="1" x14ac:dyDescent="0.25"/>
    <row r="58" spans="1:19" ht="15" customHeight="1" x14ac:dyDescent="0.25"/>
    <row r="59" spans="1:19" ht="15" customHeight="1" x14ac:dyDescent="0.25"/>
    <row r="60" spans="1:19" ht="15" customHeight="1" x14ac:dyDescent="0.25"/>
    <row r="61" spans="1:19" ht="15" customHeight="1" x14ac:dyDescent="0.25"/>
    <row r="62" spans="1:19" ht="15" customHeight="1" x14ac:dyDescent="0.25"/>
    <row r="63" spans="1:19" ht="15" customHeight="1" x14ac:dyDescent="0.25"/>
    <row r="64" spans="1:19"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5" activePane="bottomLeft" state="frozen"/>
      <selection activeCell="C1" sqref="C1"/>
      <selection pane="bottomLeft" activeCell="D6" sqref="D6"/>
    </sheetView>
  </sheetViews>
  <sheetFormatPr defaultColWidth="8.7109375" defaultRowHeight="15" x14ac:dyDescent="0.25"/>
  <cols>
    <col min="1" max="1" width="12" customWidth="1"/>
    <col min="2" max="2" width="10" customWidth="1"/>
    <col min="3" max="3" width="36" style="3" customWidth="1"/>
    <col min="4" max="4" width="42" style="3" customWidth="1"/>
    <col min="5" max="5" width="10" customWidth="1"/>
    <col min="6" max="6" width="18" customWidth="1"/>
    <col min="7" max="7" width="10" customWidth="1"/>
    <col min="8" max="8" width="36" style="3" customWidth="1"/>
    <col min="9" max="9" width="8" customWidth="1"/>
    <col min="10" max="10" width="16" style="34" customWidth="1"/>
    <col min="11" max="11" width="18" style="3" customWidth="1"/>
    <col min="12" max="12" width="10" style="35" customWidth="1"/>
    <col min="13" max="13" width="45" style="36" customWidth="1"/>
  </cols>
  <sheetData>
    <row r="1" spans="1:17" ht="32.1" customHeight="1" x14ac:dyDescent="0.25">
      <c r="A1" s="296" t="s">
        <v>260</v>
      </c>
      <c r="B1" s="295"/>
      <c r="C1" s="295"/>
      <c r="D1" s="295"/>
      <c r="E1" s="295"/>
      <c r="F1" s="295"/>
      <c r="G1" s="295"/>
      <c r="H1" s="295"/>
      <c r="I1" s="295"/>
      <c r="J1" s="295"/>
      <c r="K1" s="295"/>
      <c r="L1" s="295"/>
      <c r="M1" s="297"/>
      <c r="N1" s="2"/>
      <c r="O1" s="2"/>
    </row>
    <row r="2" spans="1:17" s="38" customFormat="1" ht="26.1" customHeight="1" x14ac:dyDescent="0.2">
      <c r="A2" s="209" t="s">
        <v>5</v>
      </c>
      <c r="B2" s="209" t="s">
        <v>261</v>
      </c>
      <c r="C2" s="209" t="s">
        <v>3</v>
      </c>
      <c r="D2" s="209" t="s">
        <v>4</v>
      </c>
      <c r="E2" s="209" t="s">
        <v>2</v>
      </c>
      <c r="F2" s="209" t="s">
        <v>262</v>
      </c>
      <c r="G2" s="209" t="s">
        <v>25</v>
      </c>
      <c r="H2" s="209" t="s">
        <v>27</v>
      </c>
      <c r="I2" s="209" t="s">
        <v>28</v>
      </c>
      <c r="J2" s="209" t="s">
        <v>263</v>
      </c>
      <c r="K2" s="209" t="s">
        <v>264</v>
      </c>
      <c r="L2" s="209" t="s">
        <v>265</v>
      </c>
      <c r="M2" s="209" t="s">
        <v>266</v>
      </c>
      <c r="N2" s="37"/>
      <c r="O2" s="37"/>
    </row>
    <row r="3" spans="1:17" ht="20.100000000000001" customHeight="1" x14ac:dyDescent="0.25">
      <c r="A3" s="210">
        <v>9004</v>
      </c>
      <c r="B3" s="210"/>
      <c r="C3" s="211" t="s">
        <v>267</v>
      </c>
      <c r="D3" s="211" t="s">
        <v>183</v>
      </c>
      <c r="E3" s="210">
        <v>13.5</v>
      </c>
      <c r="F3" s="211" t="s">
        <v>34</v>
      </c>
      <c r="G3" s="210">
        <v>31</v>
      </c>
      <c r="H3" s="211" t="s">
        <v>37</v>
      </c>
      <c r="I3" s="210" t="s">
        <v>36</v>
      </c>
      <c r="J3" s="212">
        <v>1.623</v>
      </c>
      <c r="K3" s="211" t="s">
        <v>268</v>
      </c>
      <c r="L3" s="213">
        <v>0.1</v>
      </c>
      <c r="M3" s="211" t="s">
        <v>269</v>
      </c>
      <c r="N3" s="41"/>
      <c r="O3" s="41"/>
      <c r="P3" s="41"/>
      <c r="Q3" s="42"/>
    </row>
    <row r="4" spans="1:17" ht="20.100000000000001" customHeight="1" x14ac:dyDescent="0.25">
      <c r="A4" s="210">
        <v>6561</v>
      </c>
      <c r="B4" s="210">
        <v>190</v>
      </c>
      <c r="C4" s="211" t="s">
        <v>184</v>
      </c>
      <c r="D4" s="211" t="s">
        <v>185</v>
      </c>
      <c r="E4" s="210">
        <v>16</v>
      </c>
      <c r="F4" s="211" t="s">
        <v>34</v>
      </c>
      <c r="G4" s="210">
        <v>2799</v>
      </c>
      <c r="H4" s="211" t="s">
        <v>38</v>
      </c>
      <c r="I4" s="210" t="s">
        <v>36</v>
      </c>
      <c r="J4" s="212">
        <v>2.5188899999999999</v>
      </c>
      <c r="K4" s="211" t="s">
        <v>268</v>
      </c>
      <c r="L4" s="213">
        <v>0.1</v>
      </c>
      <c r="M4" s="211"/>
      <c r="N4" s="41"/>
      <c r="O4" s="41"/>
      <c r="P4" s="41"/>
      <c r="Q4" s="42"/>
    </row>
    <row r="5" spans="1:17" ht="20.100000000000001" customHeight="1" x14ac:dyDescent="0.25">
      <c r="A5" s="214">
        <v>6561</v>
      </c>
      <c r="B5" s="214">
        <v>190</v>
      </c>
      <c r="C5" s="215" t="s">
        <v>184</v>
      </c>
      <c r="D5" s="215" t="s">
        <v>185</v>
      </c>
      <c r="E5" s="214">
        <v>16</v>
      </c>
      <c r="F5" s="215" t="s">
        <v>57</v>
      </c>
      <c r="G5" s="214">
        <v>3595</v>
      </c>
      <c r="H5" s="215" t="s">
        <v>270</v>
      </c>
      <c r="I5" s="214" t="s">
        <v>36</v>
      </c>
      <c r="J5" s="216">
        <v>0.28999999999999998</v>
      </c>
      <c r="K5" s="215" t="s">
        <v>271</v>
      </c>
      <c r="L5" s="217">
        <v>0.1</v>
      </c>
      <c r="M5" s="215"/>
      <c r="N5" s="41"/>
      <c r="O5" s="41"/>
      <c r="P5" s="41"/>
      <c r="Q5" s="42"/>
    </row>
    <row r="6" spans="1:17" ht="20.100000000000001" customHeight="1" x14ac:dyDescent="0.25">
      <c r="A6" s="214">
        <v>6561</v>
      </c>
      <c r="B6" s="214">
        <v>190</v>
      </c>
      <c r="C6" s="215" t="s">
        <v>184</v>
      </c>
      <c r="D6" s="215" t="s">
        <v>185</v>
      </c>
      <c r="E6" s="214">
        <v>16</v>
      </c>
      <c r="F6" s="215" t="s">
        <v>71</v>
      </c>
      <c r="G6" s="214">
        <v>69</v>
      </c>
      <c r="H6" s="215" t="s">
        <v>72</v>
      </c>
      <c r="I6" s="214" t="s">
        <v>73</v>
      </c>
      <c r="J6" s="216">
        <v>1000</v>
      </c>
      <c r="K6" s="215" t="s">
        <v>272</v>
      </c>
      <c r="L6" s="217">
        <v>0.02</v>
      </c>
      <c r="M6" s="215"/>
      <c r="N6" s="41"/>
      <c r="O6" s="41"/>
      <c r="P6" s="41"/>
      <c r="Q6" s="42"/>
    </row>
    <row r="7" spans="1:17" ht="20.100000000000001" customHeight="1" x14ac:dyDescent="0.25">
      <c r="A7" s="214">
        <v>6561</v>
      </c>
      <c r="B7" s="214">
        <v>190</v>
      </c>
      <c r="C7" s="215" t="s">
        <v>184</v>
      </c>
      <c r="D7" s="215" t="s">
        <v>185</v>
      </c>
      <c r="E7" s="214">
        <v>16</v>
      </c>
      <c r="F7" s="215" t="s">
        <v>95</v>
      </c>
      <c r="G7" s="214">
        <v>36</v>
      </c>
      <c r="H7" s="215" t="s">
        <v>97</v>
      </c>
      <c r="I7" s="214" t="s">
        <v>73</v>
      </c>
      <c r="J7" s="216">
        <v>5</v>
      </c>
      <c r="K7" s="215" t="s">
        <v>273</v>
      </c>
      <c r="L7" s="217">
        <v>0.1</v>
      </c>
      <c r="M7" s="215"/>
      <c r="N7" s="41"/>
      <c r="O7" s="41"/>
      <c r="P7" s="41"/>
      <c r="Q7" s="42"/>
    </row>
    <row r="8" spans="1:17" ht="20.100000000000001" customHeight="1" x14ac:dyDescent="0.25">
      <c r="A8" s="214">
        <v>6561</v>
      </c>
      <c r="B8" s="214">
        <v>190</v>
      </c>
      <c r="C8" s="215" t="s">
        <v>184</v>
      </c>
      <c r="D8" s="215" t="s">
        <v>185</v>
      </c>
      <c r="E8" s="214">
        <v>16</v>
      </c>
      <c r="F8" s="215" t="s">
        <v>105</v>
      </c>
      <c r="G8" s="214">
        <v>194</v>
      </c>
      <c r="H8" s="215" t="s">
        <v>106</v>
      </c>
      <c r="I8" s="214" t="s">
        <v>36</v>
      </c>
      <c r="J8" s="216">
        <v>2.6196399999999999E-3</v>
      </c>
      <c r="K8" s="215" t="s">
        <v>274</v>
      </c>
      <c r="L8" s="217">
        <v>0.1</v>
      </c>
      <c r="M8" s="215"/>
      <c r="N8" s="41"/>
      <c r="O8" s="41"/>
      <c r="P8" s="41"/>
      <c r="Q8" s="42"/>
    </row>
    <row r="9" spans="1:17" ht="20.100000000000001" customHeight="1" x14ac:dyDescent="0.25">
      <c r="A9" s="214">
        <v>6561</v>
      </c>
      <c r="B9" s="214">
        <v>190</v>
      </c>
      <c r="C9" s="215" t="s">
        <v>184</v>
      </c>
      <c r="D9" s="215" t="s">
        <v>185</v>
      </c>
      <c r="E9" s="214">
        <v>16</v>
      </c>
      <c r="F9" s="215" t="s">
        <v>50</v>
      </c>
      <c r="G9" s="214">
        <v>4155</v>
      </c>
      <c r="H9" s="215" t="s">
        <v>56</v>
      </c>
      <c r="I9" s="214" t="s">
        <v>53</v>
      </c>
      <c r="J9" s="216">
        <v>0.17</v>
      </c>
      <c r="K9" s="215" t="s">
        <v>275</v>
      </c>
      <c r="L9" s="217">
        <v>0.1</v>
      </c>
      <c r="M9" s="215"/>
      <c r="N9" s="41"/>
      <c r="O9" s="41"/>
      <c r="P9" s="41"/>
      <c r="Q9" s="42"/>
    </row>
    <row r="10" spans="1:17" ht="20.100000000000001" customHeight="1" x14ac:dyDescent="0.25">
      <c r="A10" s="214">
        <v>6561</v>
      </c>
      <c r="B10" s="214">
        <v>190</v>
      </c>
      <c r="C10" s="215" t="s">
        <v>184</v>
      </c>
      <c r="D10" s="215" t="s">
        <v>185</v>
      </c>
      <c r="E10" s="214">
        <v>16</v>
      </c>
      <c r="F10" s="215" t="s">
        <v>110</v>
      </c>
      <c r="G10" s="214">
        <v>190</v>
      </c>
      <c r="H10" s="215" t="s">
        <v>111</v>
      </c>
      <c r="I10" s="214" t="s">
        <v>53</v>
      </c>
      <c r="J10" s="216">
        <v>0.06</v>
      </c>
      <c r="K10" s="215" t="s">
        <v>276</v>
      </c>
      <c r="L10" s="217">
        <v>0.1</v>
      </c>
      <c r="M10" s="215"/>
      <c r="N10" s="41"/>
      <c r="O10" s="41"/>
      <c r="P10" s="41"/>
      <c r="Q10" s="42"/>
    </row>
    <row r="11" spans="1:17" ht="20.100000000000001" customHeight="1" x14ac:dyDescent="0.25">
      <c r="A11" s="214">
        <v>6561</v>
      </c>
      <c r="B11" s="214">
        <v>190</v>
      </c>
      <c r="C11" s="215" t="s">
        <v>184</v>
      </c>
      <c r="D11" s="215" t="s">
        <v>185</v>
      </c>
      <c r="E11" s="214">
        <v>16</v>
      </c>
      <c r="F11" s="215" t="s">
        <v>108</v>
      </c>
      <c r="G11" s="214">
        <v>3635</v>
      </c>
      <c r="H11" s="215" t="s">
        <v>109</v>
      </c>
      <c r="I11" s="214" t="s">
        <v>73</v>
      </c>
      <c r="J11" s="216">
        <v>0.11899999999999999</v>
      </c>
      <c r="K11" s="215" t="s">
        <v>277</v>
      </c>
      <c r="L11" s="217">
        <v>0.1</v>
      </c>
      <c r="M11" s="215"/>
      <c r="N11" s="41"/>
      <c r="O11" s="41"/>
      <c r="P11" s="41"/>
      <c r="Q11" s="42"/>
    </row>
    <row r="12" spans="1:17" ht="20.100000000000001" customHeight="1" x14ac:dyDescent="0.25">
      <c r="A12" s="214">
        <v>6561</v>
      </c>
      <c r="B12" s="214">
        <v>190</v>
      </c>
      <c r="C12" s="215" t="s">
        <v>184</v>
      </c>
      <c r="D12" s="215" t="s">
        <v>185</v>
      </c>
      <c r="E12" s="214">
        <v>16</v>
      </c>
      <c r="F12" s="215" t="s">
        <v>95</v>
      </c>
      <c r="G12" s="214">
        <v>200</v>
      </c>
      <c r="H12" s="215" t="s">
        <v>98</v>
      </c>
      <c r="I12" s="214" t="s">
        <v>73</v>
      </c>
      <c r="J12" s="216">
        <v>0.55000000000000004</v>
      </c>
      <c r="K12" s="215" t="s">
        <v>273</v>
      </c>
      <c r="L12" s="217">
        <v>0.1</v>
      </c>
      <c r="M12" s="215"/>
      <c r="N12" s="41"/>
      <c r="O12" s="41"/>
      <c r="P12" s="41"/>
      <c r="Q12" s="42"/>
    </row>
    <row r="13" spans="1:17" ht="20.100000000000001" customHeight="1" x14ac:dyDescent="0.25">
      <c r="A13" s="210">
        <v>6560</v>
      </c>
      <c r="B13" s="210">
        <v>189</v>
      </c>
      <c r="C13" s="211" t="s">
        <v>184</v>
      </c>
      <c r="D13" s="211" t="s">
        <v>189</v>
      </c>
      <c r="E13" s="210">
        <v>19</v>
      </c>
      <c r="F13" s="211" t="s">
        <v>278</v>
      </c>
      <c r="G13" s="210">
        <v>19</v>
      </c>
      <c r="H13" s="211" t="s">
        <v>41</v>
      </c>
      <c r="I13" s="210" t="s">
        <v>36</v>
      </c>
      <c r="J13" s="212">
        <v>3.367</v>
      </c>
      <c r="K13" s="211" t="s">
        <v>268</v>
      </c>
      <c r="L13" s="213">
        <v>0.1</v>
      </c>
      <c r="M13" s="211"/>
      <c r="N13" s="41"/>
      <c r="O13" s="41"/>
      <c r="P13" s="41"/>
      <c r="Q13" s="42"/>
    </row>
    <row r="14" spans="1:17" ht="20.100000000000001" customHeight="1" x14ac:dyDescent="0.25">
      <c r="A14" s="214">
        <v>6560</v>
      </c>
      <c r="B14" s="214">
        <v>189</v>
      </c>
      <c r="C14" s="215" t="s">
        <v>184</v>
      </c>
      <c r="D14" s="215" t="s">
        <v>189</v>
      </c>
      <c r="E14" s="214">
        <v>19</v>
      </c>
      <c r="F14" s="215" t="s">
        <v>57</v>
      </c>
      <c r="G14" s="214">
        <v>3595</v>
      </c>
      <c r="H14" s="215" t="s">
        <v>270</v>
      </c>
      <c r="I14" s="214" t="s">
        <v>36</v>
      </c>
      <c r="J14" s="216">
        <v>0.31</v>
      </c>
      <c r="K14" s="215" t="s">
        <v>271</v>
      </c>
      <c r="L14" s="217">
        <v>0.1</v>
      </c>
      <c r="M14" s="215"/>
      <c r="N14" s="41"/>
      <c r="O14" s="41"/>
      <c r="P14" s="41"/>
      <c r="Q14" s="42"/>
    </row>
    <row r="15" spans="1:17" ht="20.100000000000001" customHeight="1" x14ac:dyDescent="0.25">
      <c r="A15" s="214">
        <v>6560</v>
      </c>
      <c r="B15" s="214">
        <v>189</v>
      </c>
      <c r="C15" s="215" t="s">
        <v>184</v>
      </c>
      <c r="D15" s="215" t="s">
        <v>189</v>
      </c>
      <c r="E15" s="214">
        <v>19</v>
      </c>
      <c r="F15" s="215" t="s">
        <v>71</v>
      </c>
      <c r="G15" s="214">
        <v>81</v>
      </c>
      <c r="H15" s="215" t="s">
        <v>78</v>
      </c>
      <c r="I15" s="214" t="s">
        <v>73</v>
      </c>
      <c r="J15" s="216">
        <v>1000</v>
      </c>
      <c r="K15" s="215" t="s">
        <v>272</v>
      </c>
      <c r="L15" s="217">
        <v>0.02</v>
      </c>
      <c r="M15" s="215"/>
      <c r="N15" s="41"/>
      <c r="O15" s="41"/>
      <c r="P15" s="41"/>
      <c r="Q15" s="42"/>
    </row>
    <row r="16" spans="1:17" ht="20.100000000000001" customHeight="1" x14ac:dyDescent="0.25">
      <c r="A16" s="214">
        <v>6560</v>
      </c>
      <c r="B16" s="214">
        <v>189</v>
      </c>
      <c r="C16" s="215" t="s">
        <v>184</v>
      </c>
      <c r="D16" s="215" t="s">
        <v>189</v>
      </c>
      <c r="E16" s="214">
        <v>19</v>
      </c>
      <c r="F16" s="215" t="s">
        <v>95</v>
      </c>
      <c r="G16" s="214">
        <v>39</v>
      </c>
      <c r="H16" s="215" t="s">
        <v>99</v>
      </c>
      <c r="I16" s="214" t="s">
        <v>73</v>
      </c>
      <c r="J16" s="216">
        <v>5</v>
      </c>
      <c r="K16" s="215" t="s">
        <v>273</v>
      </c>
      <c r="L16" s="217">
        <v>0.1</v>
      </c>
      <c r="M16" s="215"/>
      <c r="N16" s="41"/>
      <c r="O16" s="41"/>
      <c r="P16" s="41"/>
      <c r="Q16" s="42"/>
    </row>
    <row r="17" spans="1:17" ht="20.100000000000001" customHeight="1" x14ac:dyDescent="0.25">
      <c r="A17" s="214">
        <v>6560</v>
      </c>
      <c r="B17" s="214">
        <v>189</v>
      </c>
      <c r="C17" s="215" t="s">
        <v>184</v>
      </c>
      <c r="D17" s="215" t="s">
        <v>189</v>
      </c>
      <c r="E17" s="214">
        <v>19</v>
      </c>
      <c r="F17" s="215" t="s">
        <v>105</v>
      </c>
      <c r="G17" s="214">
        <v>194</v>
      </c>
      <c r="H17" s="215" t="s">
        <v>106</v>
      </c>
      <c r="I17" s="214" t="s">
        <v>36</v>
      </c>
      <c r="J17" s="216">
        <v>3.3999999999999998E-3</v>
      </c>
      <c r="K17" s="215" t="s">
        <v>274</v>
      </c>
      <c r="L17" s="217">
        <v>0.1</v>
      </c>
      <c r="M17" s="215"/>
      <c r="N17" s="41"/>
      <c r="O17" s="41"/>
      <c r="P17" s="41"/>
      <c r="Q17" s="42"/>
    </row>
    <row r="18" spans="1:17" ht="20.100000000000001" customHeight="1" x14ac:dyDescent="0.25">
      <c r="A18" s="214">
        <v>6560</v>
      </c>
      <c r="B18" s="214">
        <v>189</v>
      </c>
      <c r="C18" s="215" t="s">
        <v>184</v>
      </c>
      <c r="D18" s="215" t="s">
        <v>189</v>
      </c>
      <c r="E18" s="214">
        <v>19</v>
      </c>
      <c r="F18" s="215" t="s">
        <v>108</v>
      </c>
      <c r="G18" s="214">
        <v>3635</v>
      </c>
      <c r="H18" s="215" t="s">
        <v>109</v>
      </c>
      <c r="I18" s="214" t="s">
        <v>73</v>
      </c>
      <c r="J18" s="216">
        <v>0.13800000000000001</v>
      </c>
      <c r="K18" s="215" t="s">
        <v>277</v>
      </c>
      <c r="L18" s="217">
        <v>0.1</v>
      </c>
      <c r="M18" s="215"/>
      <c r="N18" s="41"/>
      <c r="O18" s="41"/>
      <c r="P18" s="41"/>
      <c r="Q18" s="42"/>
    </row>
    <row r="19" spans="1:17" ht="20.100000000000001" customHeight="1" x14ac:dyDescent="0.25">
      <c r="A19" s="214">
        <v>6560</v>
      </c>
      <c r="B19" s="214">
        <v>189</v>
      </c>
      <c r="C19" s="215" t="s">
        <v>184</v>
      </c>
      <c r="D19" s="215" t="s">
        <v>189</v>
      </c>
      <c r="E19" s="214">
        <v>19</v>
      </c>
      <c r="F19" s="215" t="s">
        <v>50</v>
      </c>
      <c r="G19" s="214">
        <v>4155</v>
      </c>
      <c r="H19" s="215" t="s">
        <v>56</v>
      </c>
      <c r="I19" s="214" t="s">
        <v>53</v>
      </c>
      <c r="J19" s="216">
        <v>0.1449</v>
      </c>
      <c r="K19" s="215" t="s">
        <v>275</v>
      </c>
      <c r="L19" s="217">
        <v>0.1</v>
      </c>
      <c r="M19" s="215"/>
      <c r="N19" s="41"/>
      <c r="O19" s="41"/>
      <c r="P19" s="41"/>
      <c r="Q19" s="42"/>
    </row>
    <row r="20" spans="1:17" ht="20.100000000000001" customHeight="1" x14ac:dyDescent="0.25">
      <c r="A20" s="210">
        <v>6559</v>
      </c>
      <c r="B20" s="210">
        <v>188</v>
      </c>
      <c r="C20" s="211" t="s">
        <v>184</v>
      </c>
      <c r="D20" s="211" t="s">
        <v>279</v>
      </c>
      <c r="E20" s="210">
        <v>19</v>
      </c>
      <c r="F20" s="211" t="s">
        <v>278</v>
      </c>
      <c r="G20" s="210">
        <v>19</v>
      </c>
      <c r="H20" s="211" t="s">
        <v>41</v>
      </c>
      <c r="I20" s="210" t="s">
        <v>36</v>
      </c>
      <c r="J20" s="212">
        <v>3.367</v>
      </c>
      <c r="K20" s="211" t="s">
        <v>268</v>
      </c>
      <c r="L20" s="213">
        <v>0.1</v>
      </c>
      <c r="M20" s="211"/>
      <c r="N20" s="41"/>
      <c r="O20" s="41"/>
      <c r="P20" s="41"/>
      <c r="Q20" s="42"/>
    </row>
    <row r="21" spans="1:17" ht="20.100000000000001" customHeight="1" x14ac:dyDescent="0.25">
      <c r="A21" s="214">
        <v>6559</v>
      </c>
      <c r="B21" s="214">
        <v>188</v>
      </c>
      <c r="C21" s="215" t="s">
        <v>184</v>
      </c>
      <c r="D21" s="215" t="s">
        <v>279</v>
      </c>
      <c r="E21" s="214">
        <v>19</v>
      </c>
      <c r="F21" s="215" t="s">
        <v>57</v>
      </c>
      <c r="G21" s="214">
        <v>3595</v>
      </c>
      <c r="H21" s="215" t="s">
        <v>270</v>
      </c>
      <c r="I21" s="214" t="s">
        <v>36</v>
      </c>
      <c r="J21" s="216">
        <v>0.31</v>
      </c>
      <c r="K21" s="215" t="s">
        <v>271</v>
      </c>
      <c r="L21" s="217">
        <v>0.1</v>
      </c>
      <c r="M21" s="215"/>
      <c r="N21" s="41"/>
      <c r="O21" s="41"/>
      <c r="P21" s="41"/>
      <c r="Q21" s="42"/>
    </row>
    <row r="22" spans="1:17" ht="20.100000000000001" customHeight="1" x14ac:dyDescent="0.25">
      <c r="A22" s="214">
        <v>6559</v>
      </c>
      <c r="B22" s="214">
        <v>188</v>
      </c>
      <c r="C22" s="215" t="s">
        <v>184</v>
      </c>
      <c r="D22" s="215" t="s">
        <v>279</v>
      </c>
      <c r="E22" s="214">
        <v>19</v>
      </c>
      <c r="F22" s="215" t="s">
        <v>71</v>
      </c>
      <c r="G22" s="214">
        <v>81</v>
      </c>
      <c r="H22" s="215" t="s">
        <v>78</v>
      </c>
      <c r="I22" s="214" t="s">
        <v>73</v>
      </c>
      <c r="J22" s="216">
        <v>1000</v>
      </c>
      <c r="K22" s="215" t="s">
        <v>272</v>
      </c>
      <c r="L22" s="217">
        <v>0.02</v>
      </c>
      <c r="M22" s="215"/>
      <c r="N22" s="41"/>
      <c r="O22" s="41"/>
      <c r="P22" s="41"/>
      <c r="Q22" s="42"/>
    </row>
    <row r="23" spans="1:17" ht="20.100000000000001" customHeight="1" x14ac:dyDescent="0.25">
      <c r="A23" s="214">
        <v>6559</v>
      </c>
      <c r="B23" s="214">
        <v>188</v>
      </c>
      <c r="C23" s="215" t="s">
        <v>184</v>
      </c>
      <c r="D23" s="215" t="s">
        <v>279</v>
      </c>
      <c r="E23" s="214">
        <v>19</v>
      </c>
      <c r="F23" s="215" t="s">
        <v>95</v>
      </c>
      <c r="G23" s="214">
        <v>39</v>
      </c>
      <c r="H23" s="215" t="s">
        <v>99</v>
      </c>
      <c r="I23" s="214" t="s">
        <v>73</v>
      </c>
      <c r="J23" s="216">
        <v>5</v>
      </c>
      <c r="K23" s="215" t="s">
        <v>273</v>
      </c>
      <c r="L23" s="217">
        <v>0.1</v>
      </c>
      <c r="M23" s="215"/>
      <c r="N23" s="41"/>
      <c r="O23" s="41"/>
      <c r="P23" s="41"/>
      <c r="Q23" s="42"/>
    </row>
    <row r="24" spans="1:17" ht="20.100000000000001" customHeight="1" x14ac:dyDescent="0.25">
      <c r="A24" s="214">
        <v>6559</v>
      </c>
      <c r="B24" s="214">
        <v>188</v>
      </c>
      <c r="C24" s="215" t="s">
        <v>184</v>
      </c>
      <c r="D24" s="215" t="s">
        <v>279</v>
      </c>
      <c r="E24" s="214">
        <v>19</v>
      </c>
      <c r="F24" s="215" t="s">
        <v>105</v>
      </c>
      <c r="G24" s="214">
        <v>194</v>
      </c>
      <c r="H24" s="215" t="s">
        <v>106</v>
      </c>
      <c r="I24" s="214" t="s">
        <v>36</v>
      </c>
      <c r="J24" s="216">
        <v>3.3999999999999998E-3</v>
      </c>
      <c r="K24" s="215" t="s">
        <v>274</v>
      </c>
      <c r="L24" s="217">
        <v>0.1</v>
      </c>
      <c r="M24" s="215"/>
      <c r="N24" s="41"/>
      <c r="O24" s="41"/>
      <c r="P24" s="41"/>
      <c r="Q24" s="42"/>
    </row>
    <row r="25" spans="1:17" ht="20.100000000000001" customHeight="1" x14ac:dyDescent="0.25">
      <c r="A25" s="214">
        <v>6559</v>
      </c>
      <c r="B25" s="214">
        <v>188</v>
      </c>
      <c r="C25" s="215" t="s">
        <v>184</v>
      </c>
      <c r="D25" s="215" t="s">
        <v>279</v>
      </c>
      <c r="E25" s="214">
        <v>19</v>
      </c>
      <c r="F25" s="215" t="s">
        <v>108</v>
      </c>
      <c r="G25" s="214">
        <v>3635</v>
      </c>
      <c r="H25" s="215" t="s">
        <v>109</v>
      </c>
      <c r="I25" s="214" t="s">
        <v>73</v>
      </c>
      <c r="J25" s="216">
        <v>0.13800000000000001</v>
      </c>
      <c r="K25" s="215" t="s">
        <v>277</v>
      </c>
      <c r="L25" s="217">
        <v>0.1</v>
      </c>
      <c r="M25" s="215"/>
      <c r="N25" s="41"/>
      <c r="O25" s="41"/>
      <c r="P25" s="41"/>
      <c r="Q25" s="42"/>
    </row>
    <row r="26" spans="1:17" ht="20.100000000000001" customHeight="1" x14ac:dyDescent="0.25">
      <c r="A26" s="214">
        <v>6559</v>
      </c>
      <c r="B26" s="214">
        <v>188</v>
      </c>
      <c r="C26" s="215" t="s">
        <v>184</v>
      </c>
      <c r="D26" s="215" t="s">
        <v>279</v>
      </c>
      <c r="E26" s="214">
        <v>19</v>
      </c>
      <c r="F26" s="215" t="s">
        <v>50</v>
      </c>
      <c r="G26" s="214">
        <v>4155</v>
      </c>
      <c r="H26" s="215" t="s">
        <v>56</v>
      </c>
      <c r="I26" s="214" t="s">
        <v>53</v>
      </c>
      <c r="J26" s="216">
        <v>0.1449</v>
      </c>
      <c r="K26" s="215" t="s">
        <v>275</v>
      </c>
      <c r="L26" s="217">
        <v>0.1</v>
      </c>
      <c r="M26" s="215"/>
      <c r="N26" s="41"/>
      <c r="O26" s="41"/>
      <c r="P26" s="41"/>
      <c r="Q26" s="42"/>
    </row>
    <row r="27" spans="1:17" ht="20.100000000000001" customHeight="1" x14ac:dyDescent="0.25">
      <c r="A27" s="210">
        <v>1085</v>
      </c>
      <c r="B27" s="210">
        <v>187</v>
      </c>
      <c r="C27" s="211" t="s">
        <v>184</v>
      </c>
      <c r="D27" s="211" t="s">
        <v>188</v>
      </c>
      <c r="E27" s="210">
        <v>19</v>
      </c>
      <c r="F27" s="211" t="s">
        <v>278</v>
      </c>
      <c r="G27" s="210">
        <v>19</v>
      </c>
      <c r="H27" s="211" t="s">
        <v>41</v>
      </c>
      <c r="I27" s="210" t="s">
        <v>36</v>
      </c>
      <c r="J27" s="212">
        <v>3.367</v>
      </c>
      <c r="K27" s="211" t="s">
        <v>268</v>
      </c>
      <c r="L27" s="213">
        <v>0.1</v>
      </c>
      <c r="M27" s="211"/>
      <c r="N27" s="41"/>
      <c r="O27" s="41"/>
      <c r="P27" s="41"/>
      <c r="Q27" s="42"/>
    </row>
    <row r="28" spans="1:17" ht="20.100000000000001" customHeight="1" x14ac:dyDescent="0.25">
      <c r="A28" s="214">
        <v>1085</v>
      </c>
      <c r="B28" s="214">
        <v>187</v>
      </c>
      <c r="C28" s="215" t="s">
        <v>184</v>
      </c>
      <c r="D28" s="215" t="s">
        <v>188</v>
      </c>
      <c r="E28" s="214">
        <v>19</v>
      </c>
      <c r="F28" s="215" t="s">
        <v>57</v>
      </c>
      <c r="G28" s="214">
        <v>3595</v>
      </c>
      <c r="H28" s="215" t="s">
        <v>270</v>
      </c>
      <c r="I28" s="214" t="s">
        <v>36</v>
      </c>
      <c r="J28" s="216">
        <v>0.31</v>
      </c>
      <c r="K28" s="215" t="s">
        <v>271</v>
      </c>
      <c r="L28" s="217">
        <v>0.1</v>
      </c>
      <c r="M28" s="215"/>
      <c r="N28" s="41"/>
      <c r="O28" s="41"/>
      <c r="P28" s="41"/>
      <c r="Q28" s="42"/>
    </row>
    <row r="29" spans="1:17" ht="20.100000000000001" customHeight="1" x14ac:dyDescent="0.25">
      <c r="A29" s="214">
        <v>1085</v>
      </c>
      <c r="B29" s="214">
        <v>187</v>
      </c>
      <c r="C29" s="215" t="s">
        <v>184</v>
      </c>
      <c r="D29" s="215" t="s">
        <v>188</v>
      </c>
      <c r="E29" s="214">
        <v>19</v>
      </c>
      <c r="F29" s="215" t="s">
        <v>71</v>
      </c>
      <c r="G29" s="214">
        <v>81</v>
      </c>
      <c r="H29" s="215" t="s">
        <v>78</v>
      </c>
      <c r="I29" s="214" t="s">
        <v>73</v>
      </c>
      <c r="J29" s="216">
        <v>1000</v>
      </c>
      <c r="K29" s="215" t="s">
        <v>272</v>
      </c>
      <c r="L29" s="217">
        <v>0.02</v>
      </c>
      <c r="M29" s="215"/>
      <c r="N29" s="41"/>
      <c r="O29" s="41"/>
      <c r="P29" s="41"/>
      <c r="Q29" s="42"/>
    </row>
    <row r="30" spans="1:17" ht="20.100000000000001" customHeight="1" x14ac:dyDescent="0.25">
      <c r="A30" s="214">
        <v>1085</v>
      </c>
      <c r="B30" s="214">
        <v>187</v>
      </c>
      <c r="C30" s="215" t="s">
        <v>184</v>
      </c>
      <c r="D30" s="215" t="s">
        <v>188</v>
      </c>
      <c r="E30" s="214">
        <v>19</v>
      </c>
      <c r="F30" s="215" t="s">
        <v>95</v>
      </c>
      <c r="G30" s="214">
        <v>39</v>
      </c>
      <c r="H30" s="215" t="s">
        <v>99</v>
      </c>
      <c r="I30" s="214" t="s">
        <v>73</v>
      </c>
      <c r="J30" s="216">
        <v>5</v>
      </c>
      <c r="K30" s="215" t="s">
        <v>273</v>
      </c>
      <c r="L30" s="217">
        <v>0.1</v>
      </c>
      <c r="M30" s="215"/>
      <c r="N30" s="41"/>
      <c r="O30" s="41"/>
      <c r="P30" s="41"/>
      <c r="Q30" s="42"/>
    </row>
    <row r="31" spans="1:17" ht="20.100000000000001" customHeight="1" x14ac:dyDescent="0.25">
      <c r="A31" s="214">
        <v>1085</v>
      </c>
      <c r="B31" s="214">
        <v>187</v>
      </c>
      <c r="C31" s="215" t="s">
        <v>184</v>
      </c>
      <c r="D31" s="215" t="s">
        <v>188</v>
      </c>
      <c r="E31" s="214">
        <v>19</v>
      </c>
      <c r="F31" s="215" t="s">
        <v>105</v>
      </c>
      <c r="G31" s="214">
        <v>194</v>
      </c>
      <c r="H31" s="215" t="s">
        <v>106</v>
      </c>
      <c r="I31" s="214" t="s">
        <v>36</v>
      </c>
      <c r="J31" s="216">
        <v>3.3999999999999998E-3</v>
      </c>
      <c r="K31" s="215" t="s">
        <v>274</v>
      </c>
      <c r="L31" s="217">
        <v>0.1</v>
      </c>
      <c r="M31" s="215"/>
      <c r="N31" s="41"/>
      <c r="O31" s="41"/>
      <c r="P31" s="41"/>
      <c r="Q31" s="42"/>
    </row>
    <row r="32" spans="1:17" ht="20.100000000000001" customHeight="1" x14ac:dyDescent="0.25">
      <c r="A32" s="214">
        <v>1085</v>
      </c>
      <c r="B32" s="214">
        <v>187</v>
      </c>
      <c r="C32" s="215" t="s">
        <v>184</v>
      </c>
      <c r="D32" s="215" t="s">
        <v>188</v>
      </c>
      <c r="E32" s="214">
        <v>19</v>
      </c>
      <c r="F32" s="215" t="s">
        <v>108</v>
      </c>
      <c r="G32" s="214">
        <v>3635</v>
      </c>
      <c r="H32" s="215" t="s">
        <v>109</v>
      </c>
      <c r="I32" s="214" t="s">
        <v>73</v>
      </c>
      <c r="J32" s="216">
        <v>0.13800000000000001</v>
      </c>
      <c r="K32" s="215" t="s">
        <v>277</v>
      </c>
      <c r="L32" s="217">
        <v>0.1</v>
      </c>
      <c r="M32" s="215"/>
      <c r="N32" s="41"/>
      <c r="O32" s="41"/>
      <c r="P32" s="41"/>
      <c r="Q32" s="42"/>
    </row>
    <row r="33" spans="1:17" ht="20.100000000000001" customHeight="1" x14ac:dyDescent="0.25">
      <c r="A33" s="214">
        <v>1085</v>
      </c>
      <c r="B33" s="214">
        <v>187</v>
      </c>
      <c r="C33" s="215" t="s">
        <v>184</v>
      </c>
      <c r="D33" s="215" t="s">
        <v>188</v>
      </c>
      <c r="E33" s="214">
        <v>19</v>
      </c>
      <c r="F33" s="215" t="s">
        <v>50</v>
      </c>
      <c r="G33" s="214">
        <v>4155</v>
      </c>
      <c r="H33" s="215" t="s">
        <v>56</v>
      </c>
      <c r="I33" s="214" t="s">
        <v>53</v>
      </c>
      <c r="J33" s="216">
        <v>0.1449</v>
      </c>
      <c r="K33" s="215" t="s">
        <v>275</v>
      </c>
      <c r="L33" s="217">
        <v>0.1</v>
      </c>
      <c r="M33" s="215"/>
      <c r="N33" s="41"/>
      <c r="O33" s="41"/>
      <c r="P33" s="41"/>
      <c r="Q33" s="42"/>
    </row>
    <row r="34" spans="1:17" ht="20.100000000000001" customHeight="1" x14ac:dyDescent="0.25">
      <c r="A34" s="210">
        <v>6623</v>
      </c>
      <c r="B34" s="210">
        <v>193</v>
      </c>
      <c r="C34" s="211" t="s">
        <v>14</v>
      </c>
      <c r="D34" s="211" t="s">
        <v>187</v>
      </c>
      <c r="E34" s="210">
        <v>19</v>
      </c>
      <c r="F34" s="211" t="s">
        <v>34</v>
      </c>
      <c r="G34" s="210">
        <v>19</v>
      </c>
      <c r="H34" s="211" t="s">
        <v>41</v>
      </c>
      <c r="I34" s="210" t="s">
        <v>36</v>
      </c>
      <c r="J34" s="212">
        <v>3.367</v>
      </c>
      <c r="K34" s="211" t="s">
        <v>34</v>
      </c>
      <c r="L34" s="213">
        <v>0.1</v>
      </c>
      <c r="M34" s="211"/>
      <c r="N34" s="41"/>
      <c r="O34" s="41"/>
      <c r="P34" s="41"/>
      <c r="Q34" s="42"/>
    </row>
    <row r="35" spans="1:17" ht="20.100000000000001" customHeight="1" x14ac:dyDescent="0.25">
      <c r="A35" s="214">
        <v>6623</v>
      </c>
      <c r="B35" s="214">
        <v>193</v>
      </c>
      <c r="C35" s="215" t="s">
        <v>14</v>
      </c>
      <c r="D35" s="215" t="s">
        <v>187</v>
      </c>
      <c r="E35" s="214">
        <v>19</v>
      </c>
      <c r="F35" s="215" t="s">
        <v>57</v>
      </c>
      <c r="G35" s="214">
        <v>3595</v>
      </c>
      <c r="H35" s="215" t="s">
        <v>280</v>
      </c>
      <c r="I35" s="214" t="s">
        <v>36</v>
      </c>
      <c r="J35" s="216">
        <v>0.31</v>
      </c>
      <c r="K35" s="215" t="s">
        <v>57</v>
      </c>
      <c r="L35" s="217">
        <v>0.1</v>
      </c>
      <c r="M35" s="215"/>
      <c r="N35" s="41"/>
      <c r="O35" s="41"/>
      <c r="P35" s="41"/>
      <c r="Q35" s="42"/>
    </row>
    <row r="36" spans="1:17" ht="20.100000000000001" customHeight="1" x14ac:dyDescent="0.25">
      <c r="A36" s="214">
        <v>6623</v>
      </c>
      <c r="B36" s="214">
        <v>193</v>
      </c>
      <c r="C36" s="215" t="s">
        <v>14</v>
      </c>
      <c r="D36" s="215" t="s">
        <v>187</v>
      </c>
      <c r="E36" s="214">
        <v>19</v>
      </c>
      <c r="F36" s="215" t="s">
        <v>71</v>
      </c>
      <c r="G36" s="214">
        <v>80</v>
      </c>
      <c r="H36" s="215" t="s">
        <v>77</v>
      </c>
      <c r="I36" s="214" t="s">
        <v>281</v>
      </c>
      <c r="J36" s="216">
        <v>1000</v>
      </c>
      <c r="K36" s="215" t="s">
        <v>71</v>
      </c>
      <c r="L36" s="217">
        <v>0.02</v>
      </c>
      <c r="M36" s="215"/>
      <c r="N36" s="41"/>
      <c r="O36" s="41"/>
      <c r="P36" s="41"/>
      <c r="Q36" s="42"/>
    </row>
    <row r="37" spans="1:17" ht="20.100000000000001" customHeight="1" x14ac:dyDescent="0.25">
      <c r="A37" s="214">
        <v>6623</v>
      </c>
      <c r="B37" s="214">
        <v>193</v>
      </c>
      <c r="C37" s="215" t="s">
        <v>14</v>
      </c>
      <c r="D37" s="215" t="s">
        <v>187</v>
      </c>
      <c r="E37" s="214">
        <v>19</v>
      </c>
      <c r="F37" s="215" t="s">
        <v>95</v>
      </c>
      <c r="G37" s="214">
        <v>3619</v>
      </c>
      <c r="H37" s="215" t="s">
        <v>282</v>
      </c>
      <c r="I37" s="214" t="s">
        <v>281</v>
      </c>
      <c r="J37" s="216">
        <v>1.7</v>
      </c>
      <c r="K37" s="215" t="s">
        <v>95</v>
      </c>
      <c r="L37" s="217">
        <v>0.1</v>
      </c>
      <c r="M37" s="215"/>
      <c r="N37" s="41"/>
      <c r="O37" s="41"/>
      <c r="P37" s="41"/>
      <c r="Q37" s="42"/>
    </row>
    <row r="38" spans="1:17" ht="20.100000000000001" customHeight="1" x14ac:dyDescent="0.25">
      <c r="A38" s="214">
        <v>6623</v>
      </c>
      <c r="B38" s="214">
        <v>193</v>
      </c>
      <c r="C38" s="215" t="s">
        <v>14</v>
      </c>
      <c r="D38" s="215" t="s">
        <v>187</v>
      </c>
      <c r="E38" s="214">
        <v>19</v>
      </c>
      <c r="F38" s="215" t="s">
        <v>105</v>
      </c>
      <c r="G38" s="214">
        <v>194</v>
      </c>
      <c r="H38" s="215" t="s">
        <v>106</v>
      </c>
      <c r="I38" s="214" t="s">
        <v>36</v>
      </c>
      <c r="J38" s="216">
        <v>3.3999999999999998E-3</v>
      </c>
      <c r="K38" s="215" t="s">
        <v>105</v>
      </c>
      <c r="L38" s="217">
        <v>0.1</v>
      </c>
      <c r="M38" s="215"/>
      <c r="N38" s="41"/>
      <c r="O38" s="41"/>
      <c r="P38" s="41"/>
      <c r="Q38" s="42"/>
    </row>
    <row r="39" spans="1:17" ht="20.100000000000001" customHeight="1" x14ac:dyDescent="0.25">
      <c r="A39" s="214">
        <v>6623</v>
      </c>
      <c r="B39" s="214">
        <v>193</v>
      </c>
      <c r="C39" s="215" t="s">
        <v>14</v>
      </c>
      <c r="D39" s="215" t="s">
        <v>187</v>
      </c>
      <c r="E39" s="214">
        <v>19</v>
      </c>
      <c r="F39" s="215" t="s">
        <v>50</v>
      </c>
      <c r="G39" s="214">
        <v>4155</v>
      </c>
      <c r="H39" s="215" t="s">
        <v>56</v>
      </c>
      <c r="I39" s="214" t="s">
        <v>53</v>
      </c>
      <c r="J39" s="216">
        <v>0.1449</v>
      </c>
      <c r="K39" s="215" t="s">
        <v>50</v>
      </c>
      <c r="L39" s="217">
        <v>0.1</v>
      </c>
      <c r="M39" s="215"/>
      <c r="N39" s="41"/>
      <c r="O39" s="41"/>
      <c r="P39" s="41"/>
      <c r="Q39" s="42"/>
    </row>
    <row r="40" spans="1:17" ht="20.100000000000001" customHeight="1" x14ac:dyDescent="0.25">
      <c r="A40" s="214">
        <v>6623</v>
      </c>
      <c r="B40" s="214">
        <v>193</v>
      </c>
      <c r="C40" s="215" t="s">
        <v>14</v>
      </c>
      <c r="D40" s="215" t="s">
        <v>187</v>
      </c>
      <c r="E40" s="214">
        <v>19</v>
      </c>
      <c r="F40" s="215" t="s">
        <v>108</v>
      </c>
      <c r="G40" s="214">
        <v>3635</v>
      </c>
      <c r="H40" s="215" t="s">
        <v>109</v>
      </c>
      <c r="I40" s="214" t="s">
        <v>73</v>
      </c>
      <c r="J40" s="216">
        <v>5.8999999999999997E-2</v>
      </c>
      <c r="K40" s="215" t="s">
        <v>108</v>
      </c>
      <c r="L40" s="217">
        <v>0.1</v>
      </c>
      <c r="M40" s="215"/>
      <c r="N40" s="41"/>
      <c r="O40" s="41"/>
      <c r="P40" s="41"/>
      <c r="Q40" s="42"/>
    </row>
    <row r="41" spans="1:17" ht="20.100000000000001" customHeight="1" x14ac:dyDescent="0.25">
      <c r="A41" s="210">
        <v>6624</v>
      </c>
      <c r="B41" s="210">
        <v>192</v>
      </c>
      <c r="C41" s="211" t="s">
        <v>14</v>
      </c>
      <c r="D41" s="211" t="s">
        <v>186</v>
      </c>
      <c r="E41" s="210">
        <v>19</v>
      </c>
      <c r="F41" s="211" t="s">
        <v>34</v>
      </c>
      <c r="G41" s="210">
        <v>19</v>
      </c>
      <c r="H41" s="211" t="s">
        <v>41</v>
      </c>
      <c r="I41" s="210" t="s">
        <v>36</v>
      </c>
      <c r="J41" s="212">
        <v>3.367</v>
      </c>
      <c r="K41" s="211" t="s">
        <v>34</v>
      </c>
      <c r="L41" s="213">
        <v>0.1</v>
      </c>
      <c r="M41" s="211"/>
      <c r="N41" s="41"/>
      <c r="O41" s="41"/>
      <c r="P41" s="41"/>
      <c r="Q41" s="42"/>
    </row>
    <row r="42" spans="1:17" ht="20.100000000000001" customHeight="1" x14ac:dyDescent="0.25">
      <c r="A42" s="214">
        <v>6624</v>
      </c>
      <c r="B42" s="214">
        <v>192</v>
      </c>
      <c r="C42" s="215" t="s">
        <v>14</v>
      </c>
      <c r="D42" s="215" t="s">
        <v>186</v>
      </c>
      <c r="E42" s="214">
        <v>19</v>
      </c>
      <c r="F42" s="215" t="s">
        <v>57</v>
      </c>
      <c r="G42" s="214">
        <v>3595</v>
      </c>
      <c r="H42" s="215" t="s">
        <v>280</v>
      </c>
      <c r="I42" s="214" t="s">
        <v>36</v>
      </c>
      <c r="J42" s="216">
        <v>0.31</v>
      </c>
      <c r="K42" s="215" t="s">
        <v>57</v>
      </c>
      <c r="L42" s="217">
        <v>0.1</v>
      </c>
      <c r="M42" s="215"/>
      <c r="N42" s="41"/>
      <c r="O42" s="41"/>
      <c r="P42" s="41"/>
      <c r="Q42" s="42"/>
    </row>
    <row r="43" spans="1:17" ht="20.100000000000001" customHeight="1" x14ac:dyDescent="0.25">
      <c r="A43" s="214">
        <v>6624</v>
      </c>
      <c r="B43" s="214">
        <v>192</v>
      </c>
      <c r="C43" s="215" t="s">
        <v>14</v>
      </c>
      <c r="D43" s="215" t="s">
        <v>186</v>
      </c>
      <c r="E43" s="214">
        <v>19</v>
      </c>
      <c r="F43" s="215" t="s">
        <v>71</v>
      </c>
      <c r="G43" s="214">
        <v>80</v>
      </c>
      <c r="H43" s="215" t="s">
        <v>77</v>
      </c>
      <c r="I43" s="214" t="s">
        <v>281</v>
      </c>
      <c r="J43" s="216">
        <v>1000</v>
      </c>
      <c r="K43" s="215" t="s">
        <v>71</v>
      </c>
      <c r="L43" s="217">
        <v>0.02</v>
      </c>
      <c r="M43" s="215"/>
      <c r="N43" s="41"/>
      <c r="O43" s="41"/>
      <c r="P43" s="41"/>
      <c r="Q43" s="42"/>
    </row>
    <row r="44" spans="1:17" ht="20.100000000000001" customHeight="1" x14ac:dyDescent="0.25">
      <c r="A44" s="214">
        <v>6624</v>
      </c>
      <c r="B44" s="214">
        <v>192</v>
      </c>
      <c r="C44" s="215" t="s">
        <v>14</v>
      </c>
      <c r="D44" s="215" t="s">
        <v>186</v>
      </c>
      <c r="E44" s="214">
        <v>19</v>
      </c>
      <c r="F44" s="215" t="s">
        <v>95</v>
      </c>
      <c r="G44" s="214">
        <v>3619</v>
      </c>
      <c r="H44" s="215" t="s">
        <v>282</v>
      </c>
      <c r="I44" s="214" t="s">
        <v>281</v>
      </c>
      <c r="J44" s="216">
        <v>1.7</v>
      </c>
      <c r="K44" s="215" t="s">
        <v>95</v>
      </c>
      <c r="L44" s="217">
        <v>0.1</v>
      </c>
      <c r="M44" s="215"/>
      <c r="N44" s="41"/>
      <c r="O44" s="41"/>
      <c r="P44" s="41"/>
      <c r="Q44" s="42"/>
    </row>
    <row r="45" spans="1:17" ht="20.100000000000001" customHeight="1" x14ac:dyDescent="0.25">
      <c r="A45" s="214">
        <v>6624</v>
      </c>
      <c r="B45" s="214">
        <v>192</v>
      </c>
      <c r="C45" s="215" t="s">
        <v>14</v>
      </c>
      <c r="D45" s="215" t="s">
        <v>186</v>
      </c>
      <c r="E45" s="214">
        <v>19</v>
      </c>
      <c r="F45" s="215" t="s">
        <v>105</v>
      </c>
      <c r="G45" s="214">
        <v>194</v>
      </c>
      <c r="H45" s="215" t="s">
        <v>106</v>
      </c>
      <c r="I45" s="214" t="s">
        <v>36</v>
      </c>
      <c r="J45" s="216">
        <v>3.3999999999999998E-3</v>
      </c>
      <c r="K45" s="215" t="s">
        <v>105</v>
      </c>
      <c r="L45" s="217">
        <v>0.1</v>
      </c>
      <c r="M45" s="215"/>
      <c r="N45" s="41"/>
      <c r="O45" s="41"/>
      <c r="P45" s="41"/>
      <c r="Q45" s="42"/>
    </row>
    <row r="46" spans="1:17" ht="20.100000000000001" customHeight="1" x14ac:dyDescent="0.25">
      <c r="A46" s="214">
        <v>6624</v>
      </c>
      <c r="B46" s="214">
        <v>192</v>
      </c>
      <c r="C46" s="215" t="s">
        <v>14</v>
      </c>
      <c r="D46" s="215" t="s">
        <v>186</v>
      </c>
      <c r="E46" s="214">
        <v>19</v>
      </c>
      <c r="F46" s="215" t="s">
        <v>50</v>
      </c>
      <c r="G46" s="214">
        <v>4155</v>
      </c>
      <c r="H46" s="215" t="s">
        <v>56</v>
      </c>
      <c r="I46" s="214" t="s">
        <v>53</v>
      </c>
      <c r="J46" s="216">
        <v>0.1449</v>
      </c>
      <c r="K46" s="215" t="s">
        <v>50</v>
      </c>
      <c r="L46" s="217">
        <v>0.1</v>
      </c>
      <c r="M46" s="215"/>
      <c r="N46" s="41"/>
      <c r="O46" s="41"/>
      <c r="P46" s="41"/>
      <c r="Q46" s="42"/>
    </row>
    <row r="47" spans="1:17" ht="20.100000000000001" customHeight="1" x14ac:dyDescent="0.25">
      <c r="A47" s="214">
        <v>6624</v>
      </c>
      <c r="B47" s="214">
        <v>192</v>
      </c>
      <c r="C47" s="215" t="s">
        <v>14</v>
      </c>
      <c r="D47" s="215" t="s">
        <v>186</v>
      </c>
      <c r="E47" s="214">
        <v>19</v>
      </c>
      <c r="F47" s="215" t="s">
        <v>108</v>
      </c>
      <c r="G47" s="214">
        <v>3635</v>
      </c>
      <c r="H47" s="215" t="s">
        <v>109</v>
      </c>
      <c r="I47" s="214" t="s">
        <v>73</v>
      </c>
      <c r="J47" s="216">
        <v>5.8999999999999997E-2</v>
      </c>
      <c r="K47" s="215" t="s">
        <v>108</v>
      </c>
      <c r="L47" s="217">
        <v>0.1</v>
      </c>
      <c r="M47" s="215"/>
      <c r="N47" s="41"/>
      <c r="O47" s="41"/>
      <c r="P47" s="41"/>
      <c r="Q47" s="42"/>
    </row>
    <row r="48" spans="1:17" ht="20.100000000000001" customHeight="1" x14ac:dyDescent="0.25">
      <c r="A48" s="210">
        <v>6077</v>
      </c>
      <c r="B48" s="210">
        <v>138</v>
      </c>
      <c r="C48" s="211" t="s">
        <v>11</v>
      </c>
      <c r="D48" s="211" t="s">
        <v>12</v>
      </c>
      <c r="E48" s="210">
        <v>20.5</v>
      </c>
      <c r="F48" s="211" t="s">
        <v>34</v>
      </c>
      <c r="G48" s="210">
        <v>4179</v>
      </c>
      <c r="H48" s="211" t="s">
        <v>42</v>
      </c>
      <c r="I48" s="210" t="s">
        <v>36</v>
      </c>
      <c r="J48" s="212">
        <v>3.9369999999999998</v>
      </c>
      <c r="K48" s="211" t="s">
        <v>268</v>
      </c>
      <c r="L48" s="213">
        <v>0.1</v>
      </c>
      <c r="M48" s="211"/>
      <c r="N48" s="41"/>
      <c r="O48" s="41"/>
      <c r="P48" s="41"/>
      <c r="Q48" s="42"/>
    </row>
    <row r="49" spans="1:17" ht="20.100000000000001" customHeight="1" x14ac:dyDescent="0.25">
      <c r="A49" s="214">
        <v>6077</v>
      </c>
      <c r="B49" s="214">
        <v>138</v>
      </c>
      <c r="C49" s="215" t="s">
        <v>11</v>
      </c>
      <c r="D49" s="215" t="s">
        <v>12</v>
      </c>
      <c r="E49" s="214">
        <v>20.5</v>
      </c>
      <c r="F49" s="215" t="s">
        <v>57</v>
      </c>
      <c r="G49" s="214">
        <v>3595</v>
      </c>
      <c r="H49" s="215" t="s">
        <v>270</v>
      </c>
      <c r="I49" s="214" t="s">
        <v>36</v>
      </c>
      <c r="J49" s="216">
        <v>0.31</v>
      </c>
      <c r="K49" s="215" t="s">
        <v>271</v>
      </c>
      <c r="L49" s="217">
        <v>0.1</v>
      </c>
      <c r="M49" s="215"/>
      <c r="N49" s="41"/>
      <c r="O49" s="41"/>
      <c r="P49" s="41"/>
      <c r="Q49" s="42"/>
    </row>
    <row r="50" spans="1:17" ht="20.100000000000001" customHeight="1" x14ac:dyDescent="0.25">
      <c r="A50" s="214">
        <v>6077</v>
      </c>
      <c r="B50" s="214">
        <v>138</v>
      </c>
      <c r="C50" s="215" t="s">
        <v>11</v>
      </c>
      <c r="D50" s="215" t="s">
        <v>12</v>
      </c>
      <c r="E50" s="214">
        <v>20.5</v>
      </c>
      <c r="F50" s="215" t="s">
        <v>71</v>
      </c>
      <c r="G50" s="214">
        <v>7370</v>
      </c>
      <c r="H50" s="215" t="s">
        <v>86</v>
      </c>
      <c r="I50" s="214" t="s">
        <v>73</v>
      </c>
      <c r="J50" s="216">
        <v>1000</v>
      </c>
      <c r="K50" s="215" t="s">
        <v>272</v>
      </c>
      <c r="L50" s="217">
        <v>0.02</v>
      </c>
      <c r="M50" s="215"/>
      <c r="N50" s="41"/>
      <c r="O50" s="41"/>
      <c r="P50" s="41"/>
      <c r="Q50" s="42"/>
    </row>
    <row r="51" spans="1:17" ht="20.100000000000001" customHeight="1" x14ac:dyDescent="0.25">
      <c r="A51" s="214">
        <v>6077</v>
      </c>
      <c r="B51" s="214">
        <v>138</v>
      </c>
      <c r="C51" s="215" t="s">
        <v>11</v>
      </c>
      <c r="D51" s="215" t="s">
        <v>12</v>
      </c>
      <c r="E51" s="214">
        <v>20.5</v>
      </c>
      <c r="F51" s="215" t="s">
        <v>95</v>
      </c>
      <c r="G51" s="214">
        <v>3619</v>
      </c>
      <c r="H51" s="215" t="s">
        <v>100</v>
      </c>
      <c r="I51" s="214" t="s">
        <v>73</v>
      </c>
      <c r="J51" s="216">
        <v>1.7</v>
      </c>
      <c r="K51" s="215" t="s">
        <v>273</v>
      </c>
      <c r="L51" s="217">
        <v>0.1</v>
      </c>
      <c r="M51" s="215"/>
      <c r="N51" s="41"/>
      <c r="O51" s="41"/>
      <c r="P51" s="41"/>
      <c r="Q51" s="42"/>
    </row>
    <row r="52" spans="1:17" ht="20.100000000000001" customHeight="1" x14ac:dyDescent="0.25">
      <c r="A52" s="214">
        <v>6077</v>
      </c>
      <c r="B52" s="214">
        <v>138</v>
      </c>
      <c r="C52" s="215" t="s">
        <v>11</v>
      </c>
      <c r="D52" s="215" t="s">
        <v>12</v>
      </c>
      <c r="E52" s="214">
        <v>20.5</v>
      </c>
      <c r="F52" s="215" t="s">
        <v>105</v>
      </c>
      <c r="G52" s="214">
        <v>194</v>
      </c>
      <c r="H52" s="215" t="s">
        <v>106</v>
      </c>
      <c r="I52" s="214" t="s">
        <v>36</v>
      </c>
      <c r="J52" s="216">
        <v>3.3999999999999998E-3</v>
      </c>
      <c r="K52" s="215" t="s">
        <v>283</v>
      </c>
      <c r="L52" s="217">
        <v>0.1</v>
      </c>
      <c r="M52" s="215"/>
      <c r="N52" s="41"/>
      <c r="O52" s="41"/>
      <c r="P52" s="41"/>
      <c r="Q52" s="42"/>
    </row>
    <row r="53" spans="1:17" ht="20.100000000000001" customHeight="1" x14ac:dyDescent="0.25">
      <c r="A53" s="214">
        <v>6077</v>
      </c>
      <c r="B53" s="214">
        <v>138</v>
      </c>
      <c r="C53" s="215" t="s">
        <v>11</v>
      </c>
      <c r="D53" s="215" t="s">
        <v>12</v>
      </c>
      <c r="E53" s="214">
        <v>20.5</v>
      </c>
      <c r="F53" s="215" t="s">
        <v>50</v>
      </c>
      <c r="G53" s="214">
        <v>4155</v>
      </c>
      <c r="H53" s="215" t="s">
        <v>56</v>
      </c>
      <c r="I53" s="214" t="s">
        <v>36</v>
      </c>
      <c r="J53" s="216">
        <v>0.1449</v>
      </c>
      <c r="K53" s="215" t="s">
        <v>275</v>
      </c>
      <c r="L53" s="217">
        <v>0.1</v>
      </c>
      <c r="M53" s="215"/>
      <c r="N53" s="41"/>
      <c r="O53" s="41"/>
      <c r="P53" s="41"/>
      <c r="Q53" s="42"/>
    </row>
    <row r="54" spans="1:17" ht="20.100000000000001" customHeight="1" x14ac:dyDescent="0.25">
      <c r="A54" s="214">
        <v>6077</v>
      </c>
      <c r="B54" s="214">
        <v>138</v>
      </c>
      <c r="C54" s="215" t="s">
        <v>11</v>
      </c>
      <c r="D54" s="215" t="s">
        <v>12</v>
      </c>
      <c r="E54" s="214">
        <v>20.5</v>
      </c>
      <c r="F54" s="215" t="s">
        <v>108</v>
      </c>
      <c r="G54" s="214">
        <v>3635</v>
      </c>
      <c r="H54" s="215" t="s">
        <v>109</v>
      </c>
      <c r="I54" s="214" t="s">
        <v>73</v>
      </c>
      <c r="J54" s="216">
        <v>5.8999999999999997E-2</v>
      </c>
      <c r="K54" s="215" t="s">
        <v>284</v>
      </c>
      <c r="L54" s="217">
        <v>0.1</v>
      </c>
      <c r="M54" s="215"/>
      <c r="N54" s="41"/>
      <c r="O54" s="41"/>
      <c r="P54" s="41"/>
      <c r="Q54" s="42"/>
    </row>
    <row r="55" spans="1:17" ht="20.100000000000001" customHeight="1" x14ac:dyDescent="0.25">
      <c r="A55" s="210">
        <v>5699</v>
      </c>
      <c r="B55" s="210">
        <v>21</v>
      </c>
      <c r="C55" s="211" t="s">
        <v>14</v>
      </c>
      <c r="D55" s="211" t="s">
        <v>190</v>
      </c>
      <c r="E55" s="210">
        <v>20.5</v>
      </c>
      <c r="F55" s="211" t="s">
        <v>34</v>
      </c>
      <c r="G55" s="210">
        <v>4179</v>
      </c>
      <c r="H55" s="211" t="s">
        <v>42</v>
      </c>
      <c r="I55" s="210" t="s">
        <v>36</v>
      </c>
      <c r="J55" s="212">
        <v>3.9369999999999998</v>
      </c>
      <c r="K55" s="211" t="s">
        <v>268</v>
      </c>
      <c r="L55" s="213">
        <v>0.1</v>
      </c>
      <c r="M55" s="211"/>
      <c r="N55" s="41"/>
      <c r="O55" s="41"/>
      <c r="P55" s="41"/>
      <c r="Q55" s="42"/>
    </row>
    <row r="56" spans="1:17" ht="20.100000000000001" customHeight="1" x14ac:dyDescent="0.25">
      <c r="A56" s="214">
        <v>5699</v>
      </c>
      <c r="B56" s="214">
        <v>21</v>
      </c>
      <c r="C56" s="215" t="s">
        <v>14</v>
      </c>
      <c r="D56" s="215" t="s">
        <v>190</v>
      </c>
      <c r="E56" s="214">
        <v>20.5</v>
      </c>
      <c r="F56" s="215" t="s">
        <v>57</v>
      </c>
      <c r="G56" s="214">
        <v>3595</v>
      </c>
      <c r="H56" s="215" t="s">
        <v>270</v>
      </c>
      <c r="I56" s="214" t="s">
        <v>36</v>
      </c>
      <c r="J56" s="216">
        <v>0.38500000000000001</v>
      </c>
      <c r="K56" s="215" t="s">
        <v>271</v>
      </c>
      <c r="L56" s="217">
        <v>0.1</v>
      </c>
      <c r="M56" s="215"/>
      <c r="N56" s="41"/>
      <c r="O56" s="41"/>
      <c r="P56" s="41"/>
      <c r="Q56" s="42"/>
    </row>
    <row r="57" spans="1:17" ht="20.100000000000001" customHeight="1" x14ac:dyDescent="0.25">
      <c r="A57" s="214">
        <v>5699</v>
      </c>
      <c r="B57" s="214">
        <v>21</v>
      </c>
      <c r="C57" s="215" t="s">
        <v>14</v>
      </c>
      <c r="D57" s="215" t="s">
        <v>190</v>
      </c>
      <c r="E57" s="214">
        <v>20.5</v>
      </c>
      <c r="F57" s="215" t="s">
        <v>71</v>
      </c>
      <c r="G57" s="214">
        <v>6971</v>
      </c>
      <c r="H57" s="215" t="s">
        <v>85</v>
      </c>
      <c r="I57" s="214" t="s">
        <v>73</v>
      </c>
      <c r="J57" s="216">
        <v>1000</v>
      </c>
      <c r="K57" s="215" t="s">
        <v>272</v>
      </c>
      <c r="L57" s="217">
        <v>0.02</v>
      </c>
      <c r="M57" s="215"/>
      <c r="N57" s="41"/>
      <c r="O57" s="41"/>
      <c r="P57" s="41"/>
      <c r="Q57" s="42"/>
    </row>
    <row r="58" spans="1:17" ht="20.100000000000001" customHeight="1" x14ac:dyDescent="0.25">
      <c r="A58" s="214">
        <v>5699</v>
      </c>
      <c r="B58" s="214">
        <v>21</v>
      </c>
      <c r="C58" s="215" t="s">
        <v>14</v>
      </c>
      <c r="D58" s="215" t="s">
        <v>190</v>
      </c>
      <c r="E58" s="214">
        <v>20.5</v>
      </c>
      <c r="F58" s="215" t="s">
        <v>95</v>
      </c>
      <c r="G58" s="214">
        <v>3619</v>
      </c>
      <c r="H58" s="215" t="s">
        <v>100</v>
      </c>
      <c r="I58" s="214" t="s">
        <v>73</v>
      </c>
      <c r="J58" s="216">
        <v>1.9607000000000001</v>
      </c>
      <c r="K58" s="215" t="s">
        <v>273</v>
      </c>
      <c r="L58" s="217">
        <v>0.1</v>
      </c>
      <c r="M58" s="215"/>
      <c r="N58" s="41"/>
      <c r="O58" s="41"/>
      <c r="P58" s="41"/>
      <c r="Q58" s="42"/>
    </row>
    <row r="59" spans="1:17" ht="20.100000000000001" customHeight="1" x14ac:dyDescent="0.25">
      <c r="A59" s="214">
        <v>5699</v>
      </c>
      <c r="B59" s="214">
        <v>21</v>
      </c>
      <c r="C59" s="215" t="s">
        <v>14</v>
      </c>
      <c r="D59" s="215" t="s">
        <v>190</v>
      </c>
      <c r="E59" s="214">
        <v>20.5</v>
      </c>
      <c r="F59" s="215" t="s">
        <v>105</v>
      </c>
      <c r="G59" s="214">
        <v>194</v>
      </c>
      <c r="H59" s="215" t="s">
        <v>106</v>
      </c>
      <c r="I59" s="214" t="s">
        <v>36</v>
      </c>
      <c r="J59" s="216">
        <v>4.0899999999999999E-3</v>
      </c>
      <c r="K59" s="215" t="s">
        <v>274</v>
      </c>
      <c r="L59" s="217">
        <v>0.1</v>
      </c>
      <c r="M59" s="215"/>
      <c r="N59" s="41"/>
      <c r="O59" s="41"/>
      <c r="P59" s="41"/>
      <c r="Q59" s="42"/>
    </row>
    <row r="60" spans="1:17" ht="20.100000000000001" customHeight="1" x14ac:dyDescent="0.25">
      <c r="A60" s="214">
        <v>5699</v>
      </c>
      <c r="B60" s="214">
        <v>21</v>
      </c>
      <c r="C60" s="215" t="s">
        <v>14</v>
      </c>
      <c r="D60" s="215" t="s">
        <v>190</v>
      </c>
      <c r="E60" s="214">
        <v>20.5</v>
      </c>
      <c r="F60" s="215" t="s">
        <v>50</v>
      </c>
      <c r="G60" s="214">
        <v>4155</v>
      </c>
      <c r="H60" s="215" t="s">
        <v>56</v>
      </c>
      <c r="I60" s="214" t="s">
        <v>53</v>
      </c>
      <c r="J60" s="216">
        <v>0.24</v>
      </c>
      <c r="K60" s="215" t="s">
        <v>275</v>
      </c>
      <c r="L60" s="217">
        <v>0.1</v>
      </c>
      <c r="M60" s="215"/>
      <c r="N60" s="41"/>
      <c r="O60" s="41"/>
      <c r="P60" s="41"/>
      <c r="Q60" s="42"/>
    </row>
    <row r="61" spans="1:17" ht="20.100000000000001" customHeight="1" x14ac:dyDescent="0.25">
      <c r="A61" s="214">
        <v>5699</v>
      </c>
      <c r="B61" s="214">
        <v>21</v>
      </c>
      <c r="C61" s="215" t="s">
        <v>14</v>
      </c>
      <c r="D61" s="215" t="s">
        <v>190</v>
      </c>
      <c r="E61" s="214">
        <v>20.5</v>
      </c>
      <c r="F61" s="215" t="s">
        <v>108</v>
      </c>
      <c r="G61" s="214">
        <v>3635</v>
      </c>
      <c r="H61" s="215" t="s">
        <v>109</v>
      </c>
      <c r="I61" s="214" t="s">
        <v>73</v>
      </c>
      <c r="J61" s="216">
        <v>5.8999999999999997E-2</v>
      </c>
      <c r="K61" s="215" t="s">
        <v>277</v>
      </c>
      <c r="L61" s="217">
        <v>0.1</v>
      </c>
      <c r="M61" s="215"/>
      <c r="N61" s="41"/>
      <c r="O61" s="41"/>
      <c r="P61" s="41"/>
      <c r="Q61" s="42"/>
    </row>
    <row r="62" spans="1:17" ht="20.100000000000001" customHeight="1" x14ac:dyDescent="0.25">
      <c r="A62" s="210">
        <v>5698</v>
      </c>
      <c r="B62" s="210">
        <v>22</v>
      </c>
      <c r="C62" s="211" t="s">
        <v>14</v>
      </c>
      <c r="D62" s="211" t="s">
        <v>192</v>
      </c>
      <c r="E62" s="210">
        <v>20.5</v>
      </c>
      <c r="F62" s="211" t="s">
        <v>34</v>
      </c>
      <c r="G62" s="210">
        <v>4179</v>
      </c>
      <c r="H62" s="211" t="s">
        <v>42</v>
      </c>
      <c r="I62" s="210" t="s">
        <v>36</v>
      </c>
      <c r="J62" s="212">
        <v>3.9369999999999998</v>
      </c>
      <c r="K62" s="211" t="s">
        <v>268</v>
      </c>
      <c r="L62" s="213">
        <v>0.1</v>
      </c>
      <c r="M62" s="211"/>
      <c r="N62" s="41"/>
      <c r="O62" s="41"/>
      <c r="P62" s="41"/>
      <c r="Q62" s="42"/>
    </row>
    <row r="63" spans="1:17" ht="20.100000000000001" customHeight="1" x14ac:dyDescent="0.25">
      <c r="A63" s="214">
        <v>5698</v>
      </c>
      <c r="B63" s="214">
        <v>22</v>
      </c>
      <c r="C63" s="215" t="s">
        <v>14</v>
      </c>
      <c r="D63" s="215" t="s">
        <v>192</v>
      </c>
      <c r="E63" s="214">
        <v>20.5</v>
      </c>
      <c r="F63" s="215" t="s">
        <v>57</v>
      </c>
      <c r="G63" s="214">
        <v>3595</v>
      </c>
      <c r="H63" s="215" t="s">
        <v>270</v>
      </c>
      <c r="I63" s="214" t="s">
        <v>36</v>
      </c>
      <c r="J63" s="216">
        <v>0.38500000000000001</v>
      </c>
      <c r="K63" s="215" t="s">
        <v>271</v>
      </c>
      <c r="L63" s="217">
        <v>0.1</v>
      </c>
      <c r="M63" s="215"/>
      <c r="N63" s="41"/>
      <c r="O63" s="41"/>
      <c r="P63" s="41"/>
      <c r="Q63" s="42"/>
    </row>
    <row r="64" spans="1:17" ht="20.100000000000001" customHeight="1" x14ac:dyDescent="0.25">
      <c r="A64" s="214">
        <v>5698</v>
      </c>
      <c r="B64" s="214">
        <v>22</v>
      </c>
      <c r="C64" s="215" t="s">
        <v>14</v>
      </c>
      <c r="D64" s="215" t="s">
        <v>192</v>
      </c>
      <c r="E64" s="214">
        <v>20.5</v>
      </c>
      <c r="F64" s="215" t="s">
        <v>71</v>
      </c>
      <c r="G64" s="214">
        <v>6971</v>
      </c>
      <c r="H64" s="215" t="s">
        <v>85</v>
      </c>
      <c r="I64" s="214" t="s">
        <v>73</v>
      </c>
      <c r="J64" s="216">
        <v>1000</v>
      </c>
      <c r="K64" s="215" t="s">
        <v>272</v>
      </c>
      <c r="L64" s="217">
        <v>0.02</v>
      </c>
      <c r="M64" s="215"/>
      <c r="N64" s="41"/>
      <c r="O64" s="41"/>
      <c r="P64" s="41"/>
      <c r="Q64" s="42"/>
    </row>
    <row r="65" spans="1:17" ht="20.100000000000001" customHeight="1" x14ac:dyDescent="0.25">
      <c r="A65" s="214">
        <v>5698</v>
      </c>
      <c r="B65" s="214">
        <v>22</v>
      </c>
      <c r="C65" s="215" t="s">
        <v>14</v>
      </c>
      <c r="D65" s="215" t="s">
        <v>192</v>
      </c>
      <c r="E65" s="214">
        <v>20.5</v>
      </c>
      <c r="F65" s="215" t="s">
        <v>95</v>
      </c>
      <c r="G65" s="214">
        <v>3619</v>
      </c>
      <c r="H65" s="215" t="s">
        <v>100</v>
      </c>
      <c r="I65" s="214" t="s">
        <v>73</v>
      </c>
      <c r="J65" s="216">
        <v>2.976</v>
      </c>
      <c r="K65" s="215" t="s">
        <v>273</v>
      </c>
      <c r="L65" s="217">
        <v>0.1</v>
      </c>
      <c r="M65" s="215"/>
      <c r="N65" s="41"/>
      <c r="O65" s="41"/>
      <c r="P65" s="41"/>
      <c r="Q65" s="42"/>
    </row>
    <row r="66" spans="1:17" ht="20.100000000000001" customHeight="1" x14ac:dyDescent="0.25">
      <c r="A66" s="214">
        <v>5698</v>
      </c>
      <c r="B66" s="214">
        <v>22</v>
      </c>
      <c r="C66" s="215" t="s">
        <v>14</v>
      </c>
      <c r="D66" s="215" t="s">
        <v>192</v>
      </c>
      <c r="E66" s="214">
        <v>20.5</v>
      </c>
      <c r="F66" s="215" t="s">
        <v>105</v>
      </c>
      <c r="G66" s="214">
        <v>194</v>
      </c>
      <c r="H66" s="215" t="s">
        <v>106</v>
      </c>
      <c r="I66" s="214" t="s">
        <v>36</v>
      </c>
      <c r="J66" s="216">
        <v>4.0899999999999999E-3</v>
      </c>
      <c r="K66" s="215" t="s">
        <v>274</v>
      </c>
      <c r="L66" s="217">
        <v>0.1</v>
      </c>
      <c r="M66" s="215"/>
      <c r="N66" s="41"/>
      <c r="O66" s="41"/>
      <c r="P66" s="41"/>
      <c r="Q66" s="42"/>
    </row>
    <row r="67" spans="1:17" ht="20.100000000000001" customHeight="1" x14ac:dyDescent="0.25">
      <c r="A67" s="214">
        <v>5698</v>
      </c>
      <c r="B67" s="214">
        <v>22</v>
      </c>
      <c r="C67" s="215" t="s">
        <v>14</v>
      </c>
      <c r="D67" s="215" t="s">
        <v>192</v>
      </c>
      <c r="E67" s="214">
        <v>20.5</v>
      </c>
      <c r="F67" s="215" t="s">
        <v>50</v>
      </c>
      <c r="G67" s="214">
        <v>4155</v>
      </c>
      <c r="H67" s="215" t="s">
        <v>56</v>
      </c>
      <c r="I67" s="214" t="s">
        <v>53</v>
      </c>
      <c r="J67" s="216">
        <v>0.24</v>
      </c>
      <c r="K67" s="215" t="s">
        <v>275</v>
      </c>
      <c r="L67" s="217">
        <v>0.1</v>
      </c>
      <c r="M67" s="215"/>
      <c r="N67" s="41"/>
      <c r="O67" s="41"/>
      <c r="P67" s="41"/>
      <c r="Q67" s="42"/>
    </row>
    <row r="68" spans="1:17" ht="20.100000000000001" customHeight="1" x14ac:dyDescent="0.25">
      <c r="A68" s="214">
        <v>5698</v>
      </c>
      <c r="B68" s="214">
        <v>22</v>
      </c>
      <c r="C68" s="215" t="s">
        <v>14</v>
      </c>
      <c r="D68" s="215" t="s">
        <v>192</v>
      </c>
      <c r="E68" s="214">
        <v>20.5</v>
      </c>
      <c r="F68" s="215" t="s">
        <v>108</v>
      </c>
      <c r="G68" s="214">
        <v>3635</v>
      </c>
      <c r="H68" s="215" t="s">
        <v>109</v>
      </c>
      <c r="I68" s="214" t="s">
        <v>73</v>
      </c>
      <c r="J68" s="216">
        <v>5.8999999999999997E-2</v>
      </c>
      <c r="K68" s="215" t="s">
        <v>277</v>
      </c>
      <c r="L68" s="217">
        <v>0.1</v>
      </c>
      <c r="M68" s="215"/>
      <c r="N68" s="41"/>
      <c r="O68" s="41"/>
      <c r="P68" s="41"/>
      <c r="Q68" s="42"/>
    </row>
    <row r="69" spans="1:17" ht="20.100000000000001" customHeight="1" x14ac:dyDescent="0.25">
      <c r="A69" s="210">
        <v>6556</v>
      </c>
      <c r="B69" s="210">
        <v>186</v>
      </c>
      <c r="C69" s="211" t="s">
        <v>14</v>
      </c>
      <c r="D69" s="211" t="s">
        <v>194</v>
      </c>
      <c r="E69" s="210">
        <v>20.5</v>
      </c>
      <c r="F69" s="211" t="s">
        <v>34</v>
      </c>
      <c r="G69" s="210">
        <v>4179</v>
      </c>
      <c r="H69" s="211" t="s">
        <v>42</v>
      </c>
      <c r="I69" s="210" t="s">
        <v>36</v>
      </c>
      <c r="J69" s="212">
        <v>3.9369999999999998</v>
      </c>
      <c r="K69" s="211" t="s">
        <v>268</v>
      </c>
      <c r="L69" s="213">
        <v>0.1</v>
      </c>
      <c r="M69" s="211"/>
      <c r="N69" s="41"/>
      <c r="O69" s="41"/>
      <c r="P69" s="41"/>
      <c r="Q69" s="42"/>
    </row>
    <row r="70" spans="1:17" ht="20.100000000000001" customHeight="1" x14ac:dyDescent="0.25">
      <c r="A70" s="214">
        <v>6556</v>
      </c>
      <c r="B70" s="214">
        <v>186</v>
      </c>
      <c r="C70" s="215" t="s">
        <v>14</v>
      </c>
      <c r="D70" s="215" t="s">
        <v>194</v>
      </c>
      <c r="E70" s="214">
        <v>20.5</v>
      </c>
      <c r="F70" s="215" t="s">
        <v>57</v>
      </c>
      <c r="G70" s="214">
        <v>3595</v>
      </c>
      <c r="H70" s="215" t="s">
        <v>270</v>
      </c>
      <c r="I70" s="214" t="s">
        <v>36</v>
      </c>
      <c r="J70" s="216">
        <v>0.38500000000000001</v>
      </c>
      <c r="K70" s="215" t="s">
        <v>271</v>
      </c>
      <c r="L70" s="217">
        <v>0.1</v>
      </c>
      <c r="M70" s="215"/>
      <c r="N70" s="41"/>
      <c r="O70" s="41"/>
      <c r="P70" s="41"/>
      <c r="Q70" s="42"/>
    </row>
    <row r="71" spans="1:17" ht="20.100000000000001" customHeight="1" x14ac:dyDescent="0.25">
      <c r="A71" s="214">
        <v>6556</v>
      </c>
      <c r="B71" s="214">
        <v>186</v>
      </c>
      <c r="C71" s="215" t="s">
        <v>14</v>
      </c>
      <c r="D71" s="215" t="s">
        <v>194</v>
      </c>
      <c r="E71" s="214">
        <v>20.5</v>
      </c>
      <c r="F71" s="215" t="s">
        <v>71</v>
      </c>
      <c r="G71" s="214">
        <v>6971</v>
      </c>
      <c r="H71" s="215" t="s">
        <v>85</v>
      </c>
      <c r="I71" s="214" t="s">
        <v>73</v>
      </c>
      <c r="J71" s="216">
        <v>1000</v>
      </c>
      <c r="K71" s="215" t="s">
        <v>272</v>
      </c>
      <c r="L71" s="217">
        <v>0.02</v>
      </c>
      <c r="M71" s="215"/>
      <c r="N71" s="41"/>
      <c r="O71" s="41"/>
      <c r="P71" s="41"/>
      <c r="Q71" s="42"/>
    </row>
    <row r="72" spans="1:17" ht="20.100000000000001" customHeight="1" x14ac:dyDescent="0.25">
      <c r="A72" s="214">
        <v>6556</v>
      </c>
      <c r="B72" s="214">
        <v>186</v>
      </c>
      <c r="C72" s="215" t="s">
        <v>14</v>
      </c>
      <c r="D72" s="215" t="s">
        <v>194</v>
      </c>
      <c r="E72" s="214">
        <v>20.5</v>
      </c>
      <c r="F72" s="215" t="s">
        <v>95</v>
      </c>
      <c r="G72" s="214">
        <v>3619</v>
      </c>
      <c r="H72" s="215" t="s">
        <v>100</v>
      </c>
      <c r="I72" s="214" t="s">
        <v>73</v>
      </c>
      <c r="J72" s="216">
        <v>1.9607000000000001</v>
      </c>
      <c r="K72" s="215" t="s">
        <v>273</v>
      </c>
      <c r="L72" s="217">
        <v>0.1</v>
      </c>
      <c r="M72" s="215"/>
      <c r="N72" s="41"/>
      <c r="O72" s="41"/>
      <c r="P72" s="41"/>
      <c r="Q72" s="42"/>
    </row>
    <row r="73" spans="1:17" ht="20.100000000000001" customHeight="1" x14ac:dyDescent="0.25">
      <c r="A73" s="214">
        <v>6556</v>
      </c>
      <c r="B73" s="214">
        <v>186</v>
      </c>
      <c r="C73" s="215" t="s">
        <v>14</v>
      </c>
      <c r="D73" s="215" t="s">
        <v>194</v>
      </c>
      <c r="E73" s="214">
        <v>20.5</v>
      </c>
      <c r="F73" s="215" t="s">
        <v>105</v>
      </c>
      <c r="G73" s="214">
        <v>194</v>
      </c>
      <c r="H73" s="215" t="s">
        <v>106</v>
      </c>
      <c r="I73" s="214" t="s">
        <v>36</v>
      </c>
      <c r="J73" s="216">
        <v>4.0899999999999999E-3</v>
      </c>
      <c r="K73" s="215" t="s">
        <v>274</v>
      </c>
      <c r="L73" s="217">
        <v>0.1</v>
      </c>
      <c r="M73" s="215"/>
      <c r="N73" s="41"/>
      <c r="O73" s="41"/>
      <c r="P73" s="41"/>
      <c r="Q73" s="42"/>
    </row>
    <row r="74" spans="1:17" ht="20.100000000000001" customHeight="1" x14ac:dyDescent="0.25">
      <c r="A74" s="214">
        <v>6556</v>
      </c>
      <c r="B74" s="214">
        <v>186</v>
      </c>
      <c r="C74" s="215" t="s">
        <v>14</v>
      </c>
      <c r="D74" s="215" t="s">
        <v>194</v>
      </c>
      <c r="E74" s="214">
        <v>20.5</v>
      </c>
      <c r="F74" s="215" t="s">
        <v>50</v>
      </c>
      <c r="G74" s="214">
        <v>4155</v>
      </c>
      <c r="H74" s="215" t="s">
        <v>56</v>
      </c>
      <c r="I74" s="214" t="s">
        <v>53</v>
      </c>
      <c r="J74" s="216">
        <v>0.24</v>
      </c>
      <c r="K74" s="215" t="s">
        <v>275</v>
      </c>
      <c r="L74" s="217">
        <v>0.1</v>
      </c>
      <c r="M74" s="215"/>
      <c r="N74" s="41"/>
      <c r="O74" s="41"/>
      <c r="P74" s="41"/>
      <c r="Q74" s="42"/>
    </row>
    <row r="75" spans="1:17" ht="20.100000000000001" customHeight="1" x14ac:dyDescent="0.25">
      <c r="A75" s="214">
        <v>6556</v>
      </c>
      <c r="B75" s="214">
        <v>186</v>
      </c>
      <c r="C75" s="215" t="s">
        <v>14</v>
      </c>
      <c r="D75" s="215" t="s">
        <v>194</v>
      </c>
      <c r="E75" s="214">
        <v>20.5</v>
      </c>
      <c r="F75" s="215" t="s">
        <v>108</v>
      </c>
      <c r="G75" s="214">
        <v>3635</v>
      </c>
      <c r="H75" s="215" t="s">
        <v>109</v>
      </c>
      <c r="I75" s="214" t="s">
        <v>73</v>
      </c>
      <c r="J75" s="216">
        <v>5.8999999999999997E-2</v>
      </c>
      <c r="K75" s="215" t="s">
        <v>277</v>
      </c>
      <c r="L75" s="217">
        <v>0.1</v>
      </c>
      <c r="M75" s="215"/>
      <c r="N75" s="41"/>
      <c r="O75" s="41"/>
      <c r="P75" s="41"/>
      <c r="Q75" s="42"/>
    </row>
    <row r="76" spans="1:17" ht="20.100000000000001" customHeight="1" x14ac:dyDescent="0.25">
      <c r="A76" s="210">
        <v>6557</v>
      </c>
      <c r="B76" s="210">
        <v>185</v>
      </c>
      <c r="C76" s="211" t="s">
        <v>14</v>
      </c>
      <c r="D76" s="211" t="s">
        <v>195</v>
      </c>
      <c r="E76" s="210">
        <v>20.5</v>
      </c>
      <c r="F76" s="211" t="s">
        <v>34</v>
      </c>
      <c r="G76" s="210">
        <v>4179</v>
      </c>
      <c r="H76" s="211" t="s">
        <v>42</v>
      </c>
      <c r="I76" s="210" t="s">
        <v>36</v>
      </c>
      <c r="J76" s="212">
        <v>3.9369999999999998</v>
      </c>
      <c r="K76" s="211" t="s">
        <v>268</v>
      </c>
      <c r="L76" s="213">
        <v>0.1</v>
      </c>
      <c r="M76" s="211"/>
      <c r="N76" s="41"/>
      <c r="O76" s="41"/>
      <c r="P76" s="41"/>
      <c r="Q76" s="42"/>
    </row>
    <row r="77" spans="1:17" ht="20.100000000000001" customHeight="1" x14ac:dyDescent="0.25">
      <c r="A77" s="214">
        <v>6557</v>
      </c>
      <c r="B77" s="214">
        <v>185</v>
      </c>
      <c r="C77" s="215" t="s">
        <v>14</v>
      </c>
      <c r="D77" s="215" t="s">
        <v>195</v>
      </c>
      <c r="E77" s="214">
        <v>20.5</v>
      </c>
      <c r="F77" s="215" t="s">
        <v>57</v>
      </c>
      <c r="G77" s="214">
        <v>3595</v>
      </c>
      <c r="H77" s="215" t="s">
        <v>270</v>
      </c>
      <c r="I77" s="214" t="s">
        <v>36</v>
      </c>
      <c r="J77" s="216">
        <v>0.38500000000000001</v>
      </c>
      <c r="K77" s="215" t="s">
        <v>271</v>
      </c>
      <c r="L77" s="217">
        <v>0.1</v>
      </c>
      <c r="M77" s="215"/>
      <c r="N77" s="41"/>
      <c r="O77" s="41"/>
      <c r="P77" s="41"/>
      <c r="Q77" s="42"/>
    </row>
    <row r="78" spans="1:17" ht="20.100000000000001" customHeight="1" x14ac:dyDescent="0.25">
      <c r="A78" s="214">
        <v>6557</v>
      </c>
      <c r="B78" s="214">
        <v>185</v>
      </c>
      <c r="C78" s="215" t="s">
        <v>14</v>
      </c>
      <c r="D78" s="215" t="s">
        <v>195</v>
      </c>
      <c r="E78" s="214">
        <v>20.5</v>
      </c>
      <c r="F78" s="215" t="s">
        <v>71</v>
      </c>
      <c r="G78" s="214">
        <v>6971</v>
      </c>
      <c r="H78" s="215" t="s">
        <v>85</v>
      </c>
      <c r="I78" s="214" t="s">
        <v>73</v>
      </c>
      <c r="J78" s="216">
        <v>1000</v>
      </c>
      <c r="K78" s="215" t="s">
        <v>272</v>
      </c>
      <c r="L78" s="217">
        <v>0.02</v>
      </c>
      <c r="M78" s="215"/>
      <c r="N78" s="41"/>
      <c r="O78" s="41"/>
      <c r="P78" s="41"/>
      <c r="Q78" s="42"/>
    </row>
    <row r="79" spans="1:17" ht="20.100000000000001" customHeight="1" x14ac:dyDescent="0.25">
      <c r="A79" s="214">
        <v>6557</v>
      </c>
      <c r="B79" s="214">
        <v>185</v>
      </c>
      <c r="C79" s="215" t="s">
        <v>14</v>
      </c>
      <c r="D79" s="215" t="s">
        <v>195</v>
      </c>
      <c r="E79" s="214">
        <v>20.5</v>
      </c>
      <c r="F79" s="215" t="s">
        <v>95</v>
      </c>
      <c r="G79" s="214">
        <v>3619</v>
      </c>
      <c r="H79" s="215" t="s">
        <v>100</v>
      </c>
      <c r="I79" s="214" t="s">
        <v>73</v>
      </c>
      <c r="J79" s="216">
        <v>1.9607000000000001</v>
      </c>
      <c r="K79" s="215" t="s">
        <v>273</v>
      </c>
      <c r="L79" s="217">
        <v>0.1</v>
      </c>
      <c r="M79" s="215"/>
      <c r="N79" s="41"/>
      <c r="O79" s="41"/>
      <c r="P79" s="41"/>
      <c r="Q79" s="42"/>
    </row>
    <row r="80" spans="1:17" ht="20.100000000000001" customHeight="1" x14ac:dyDescent="0.25">
      <c r="A80" s="214">
        <v>6557</v>
      </c>
      <c r="B80" s="214">
        <v>185</v>
      </c>
      <c r="C80" s="215" t="s">
        <v>14</v>
      </c>
      <c r="D80" s="215" t="s">
        <v>195</v>
      </c>
      <c r="E80" s="214">
        <v>20.5</v>
      </c>
      <c r="F80" s="215" t="s">
        <v>105</v>
      </c>
      <c r="G80" s="214">
        <v>194</v>
      </c>
      <c r="H80" s="215" t="s">
        <v>106</v>
      </c>
      <c r="I80" s="214" t="s">
        <v>36</v>
      </c>
      <c r="J80" s="216">
        <v>4.0899999999999999E-3</v>
      </c>
      <c r="K80" s="215" t="s">
        <v>274</v>
      </c>
      <c r="L80" s="217">
        <v>0.1</v>
      </c>
      <c r="M80" s="215"/>
      <c r="N80" s="41"/>
      <c r="O80" s="41"/>
      <c r="P80" s="41"/>
      <c r="Q80" s="42"/>
    </row>
    <row r="81" spans="1:17" ht="20.100000000000001" customHeight="1" x14ac:dyDescent="0.25">
      <c r="A81" s="214">
        <v>6557</v>
      </c>
      <c r="B81" s="214">
        <v>185</v>
      </c>
      <c r="C81" s="215" t="s">
        <v>14</v>
      </c>
      <c r="D81" s="215" t="s">
        <v>195</v>
      </c>
      <c r="E81" s="214">
        <v>20.5</v>
      </c>
      <c r="F81" s="215" t="s">
        <v>50</v>
      </c>
      <c r="G81" s="214">
        <v>4155</v>
      </c>
      <c r="H81" s="215" t="s">
        <v>56</v>
      </c>
      <c r="I81" s="214" t="s">
        <v>53</v>
      </c>
      <c r="J81" s="216">
        <v>0.24</v>
      </c>
      <c r="K81" s="215" t="s">
        <v>275</v>
      </c>
      <c r="L81" s="217">
        <v>0.1</v>
      </c>
      <c r="M81" s="215"/>
      <c r="N81" s="41"/>
      <c r="O81" s="41"/>
      <c r="P81" s="41"/>
      <c r="Q81" s="42"/>
    </row>
    <row r="82" spans="1:17" ht="20.100000000000001" customHeight="1" x14ac:dyDescent="0.25">
      <c r="A82" s="214">
        <v>6557</v>
      </c>
      <c r="B82" s="214">
        <v>185</v>
      </c>
      <c r="C82" s="215" t="s">
        <v>14</v>
      </c>
      <c r="D82" s="215" t="s">
        <v>195</v>
      </c>
      <c r="E82" s="214">
        <v>20.5</v>
      </c>
      <c r="F82" s="215" t="s">
        <v>108</v>
      </c>
      <c r="G82" s="214">
        <v>3635</v>
      </c>
      <c r="H82" s="215" t="s">
        <v>109</v>
      </c>
      <c r="I82" s="214" t="s">
        <v>73</v>
      </c>
      <c r="J82" s="216">
        <v>5.8999999999999997E-2</v>
      </c>
      <c r="K82" s="215" t="s">
        <v>277</v>
      </c>
      <c r="L82" s="217">
        <v>0.1</v>
      </c>
      <c r="M82" s="215"/>
      <c r="N82" s="41"/>
      <c r="O82" s="41"/>
      <c r="P82" s="41"/>
      <c r="Q82" s="42"/>
    </row>
    <row r="83" spans="1:17" ht="20.100000000000001" customHeight="1" x14ac:dyDescent="0.25">
      <c r="A83" s="210">
        <v>5732</v>
      </c>
      <c r="B83" s="210">
        <v>33</v>
      </c>
      <c r="C83" s="211" t="s">
        <v>14</v>
      </c>
      <c r="D83" s="211" t="s">
        <v>193</v>
      </c>
      <c r="E83" s="210">
        <v>20.5</v>
      </c>
      <c r="F83" s="211" t="s">
        <v>34</v>
      </c>
      <c r="G83" s="210">
        <v>4179</v>
      </c>
      <c r="H83" s="211" t="s">
        <v>42</v>
      </c>
      <c r="I83" s="210" t="s">
        <v>36</v>
      </c>
      <c r="J83" s="212">
        <v>3.9369999999999998</v>
      </c>
      <c r="K83" s="211" t="s">
        <v>268</v>
      </c>
      <c r="L83" s="213">
        <v>0.1</v>
      </c>
      <c r="M83" s="211"/>
      <c r="N83" s="41"/>
      <c r="O83" s="41"/>
      <c r="P83" s="41"/>
      <c r="Q83" s="42"/>
    </row>
    <row r="84" spans="1:17" ht="20.100000000000001" customHeight="1" x14ac:dyDescent="0.25">
      <c r="A84" s="214">
        <v>5732</v>
      </c>
      <c r="B84" s="214">
        <v>33</v>
      </c>
      <c r="C84" s="215" t="s">
        <v>14</v>
      </c>
      <c r="D84" s="215" t="s">
        <v>193</v>
      </c>
      <c r="E84" s="214">
        <v>20.5</v>
      </c>
      <c r="F84" s="215" t="s">
        <v>57</v>
      </c>
      <c r="G84" s="214">
        <v>3595</v>
      </c>
      <c r="H84" s="215" t="s">
        <v>270</v>
      </c>
      <c r="I84" s="214" t="s">
        <v>36</v>
      </c>
      <c r="J84" s="216">
        <v>0.38500000000000001</v>
      </c>
      <c r="K84" s="215" t="s">
        <v>271</v>
      </c>
      <c r="L84" s="217">
        <v>0.1</v>
      </c>
      <c r="M84" s="215"/>
      <c r="N84" s="41"/>
      <c r="O84" s="41"/>
      <c r="P84" s="41"/>
      <c r="Q84" s="42"/>
    </row>
    <row r="85" spans="1:17" ht="20.100000000000001" customHeight="1" x14ac:dyDescent="0.25">
      <c r="A85" s="214">
        <v>5732</v>
      </c>
      <c r="B85" s="214">
        <v>33</v>
      </c>
      <c r="C85" s="215" t="s">
        <v>14</v>
      </c>
      <c r="D85" s="215" t="s">
        <v>193</v>
      </c>
      <c r="E85" s="214">
        <v>20.5</v>
      </c>
      <c r="F85" s="215" t="s">
        <v>71</v>
      </c>
      <c r="G85" s="214">
        <v>6971</v>
      </c>
      <c r="H85" s="215" t="s">
        <v>85</v>
      </c>
      <c r="I85" s="214" t="s">
        <v>73</v>
      </c>
      <c r="J85" s="216">
        <v>1000</v>
      </c>
      <c r="K85" s="215" t="s">
        <v>272</v>
      </c>
      <c r="L85" s="217">
        <v>0.02</v>
      </c>
      <c r="M85" s="215"/>
      <c r="N85" s="41"/>
      <c r="O85" s="41"/>
      <c r="P85" s="41"/>
      <c r="Q85" s="42"/>
    </row>
    <row r="86" spans="1:17" ht="20.100000000000001" customHeight="1" x14ac:dyDescent="0.25">
      <c r="A86" s="214">
        <v>5732</v>
      </c>
      <c r="B86" s="214">
        <v>33</v>
      </c>
      <c r="C86" s="215" t="s">
        <v>14</v>
      </c>
      <c r="D86" s="215" t="s">
        <v>193</v>
      </c>
      <c r="E86" s="214">
        <v>20.5</v>
      </c>
      <c r="F86" s="215" t="s">
        <v>95</v>
      </c>
      <c r="G86" s="214">
        <v>3619</v>
      </c>
      <c r="H86" s="215" t="s">
        <v>100</v>
      </c>
      <c r="I86" s="214" t="s">
        <v>73</v>
      </c>
      <c r="J86" s="216">
        <v>1.96</v>
      </c>
      <c r="K86" s="215" t="s">
        <v>273</v>
      </c>
      <c r="L86" s="217">
        <v>0.1</v>
      </c>
      <c r="M86" s="215"/>
      <c r="N86" s="41"/>
      <c r="O86" s="41"/>
      <c r="P86" s="41"/>
      <c r="Q86" s="42"/>
    </row>
    <row r="87" spans="1:17" ht="20.100000000000001" customHeight="1" x14ac:dyDescent="0.25">
      <c r="A87" s="214">
        <v>5732</v>
      </c>
      <c r="B87" s="214">
        <v>33</v>
      </c>
      <c r="C87" s="215" t="s">
        <v>14</v>
      </c>
      <c r="D87" s="215" t="s">
        <v>193</v>
      </c>
      <c r="E87" s="214">
        <v>20.5</v>
      </c>
      <c r="F87" s="215" t="s">
        <v>105</v>
      </c>
      <c r="G87" s="214">
        <v>194</v>
      </c>
      <c r="H87" s="215" t="s">
        <v>106</v>
      </c>
      <c r="I87" s="214" t="s">
        <v>36</v>
      </c>
      <c r="J87" s="216">
        <v>4.0899999999999999E-3</v>
      </c>
      <c r="K87" s="215" t="s">
        <v>283</v>
      </c>
      <c r="L87" s="217">
        <v>0.1</v>
      </c>
      <c r="M87" s="215"/>
      <c r="N87" s="41"/>
      <c r="O87" s="41"/>
      <c r="P87" s="41"/>
      <c r="Q87" s="42"/>
    </row>
    <row r="88" spans="1:17" ht="20.100000000000001" customHeight="1" x14ac:dyDescent="0.25">
      <c r="A88" s="214">
        <v>5732</v>
      </c>
      <c r="B88" s="214">
        <v>33</v>
      </c>
      <c r="C88" s="215" t="s">
        <v>14</v>
      </c>
      <c r="D88" s="215" t="s">
        <v>193</v>
      </c>
      <c r="E88" s="214">
        <v>20.5</v>
      </c>
      <c r="F88" s="215" t="s">
        <v>50</v>
      </c>
      <c r="G88" s="214">
        <v>4155</v>
      </c>
      <c r="H88" s="215" t="s">
        <v>56</v>
      </c>
      <c r="I88" s="214" t="s">
        <v>53</v>
      </c>
      <c r="J88" s="216">
        <v>0.24</v>
      </c>
      <c r="K88" s="215" t="s">
        <v>275</v>
      </c>
      <c r="L88" s="217">
        <v>0.1</v>
      </c>
      <c r="M88" s="215"/>
      <c r="N88" s="41"/>
      <c r="O88" s="41"/>
      <c r="P88" s="41"/>
      <c r="Q88" s="42"/>
    </row>
    <row r="89" spans="1:17" ht="20.100000000000001" customHeight="1" x14ac:dyDescent="0.25">
      <c r="A89" s="214">
        <v>5732</v>
      </c>
      <c r="B89" s="214">
        <v>33</v>
      </c>
      <c r="C89" s="215" t="s">
        <v>14</v>
      </c>
      <c r="D89" s="215" t="s">
        <v>193</v>
      </c>
      <c r="E89" s="214">
        <v>20.5</v>
      </c>
      <c r="F89" s="215" t="s">
        <v>108</v>
      </c>
      <c r="G89" s="214">
        <v>3635</v>
      </c>
      <c r="H89" s="215" t="s">
        <v>109</v>
      </c>
      <c r="I89" s="214" t="s">
        <v>73</v>
      </c>
      <c r="J89" s="216">
        <v>2.996</v>
      </c>
      <c r="K89" s="215" t="s">
        <v>284</v>
      </c>
      <c r="L89" s="217">
        <v>0.1</v>
      </c>
      <c r="M89" s="215"/>
      <c r="N89" s="41"/>
      <c r="O89" s="41"/>
      <c r="P89" s="41"/>
      <c r="Q89" s="42"/>
    </row>
    <row r="90" spans="1:17" ht="20.100000000000001" customHeight="1" x14ac:dyDescent="0.25">
      <c r="A90" s="210">
        <v>5731</v>
      </c>
      <c r="B90" s="210">
        <v>32</v>
      </c>
      <c r="C90" s="211" t="s">
        <v>14</v>
      </c>
      <c r="D90" s="211" t="s">
        <v>191</v>
      </c>
      <c r="E90" s="210">
        <v>20.5</v>
      </c>
      <c r="F90" s="211" t="s">
        <v>34</v>
      </c>
      <c r="G90" s="210">
        <v>4179</v>
      </c>
      <c r="H90" s="211" t="s">
        <v>42</v>
      </c>
      <c r="I90" s="210" t="s">
        <v>36</v>
      </c>
      <c r="J90" s="212">
        <v>3.9369999999999998</v>
      </c>
      <c r="K90" s="211" t="s">
        <v>268</v>
      </c>
      <c r="L90" s="213">
        <v>0.1</v>
      </c>
      <c r="M90" s="211"/>
      <c r="N90" s="41"/>
      <c r="O90" s="41"/>
      <c r="P90" s="41"/>
      <c r="Q90" s="42"/>
    </row>
    <row r="91" spans="1:17" ht="20.100000000000001" customHeight="1" x14ac:dyDescent="0.25">
      <c r="A91" s="214">
        <v>5731</v>
      </c>
      <c r="B91" s="214">
        <v>32</v>
      </c>
      <c r="C91" s="215" t="s">
        <v>14</v>
      </c>
      <c r="D91" s="215" t="s">
        <v>191</v>
      </c>
      <c r="E91" s="214">
        <v>20.5</v>
      </c>
      <c r="F91" s="215" t="s">
        <v>57</v>
      </c>
      <c r="G91" s="214">
        <v>3595</v>
      </c>
      <c r="H91" s="215" t="s">
        <v>270</v>
      </c>
      <c r="I91" s="214" t="s">
        <v>36</v>
      </c>
      <c r="J91" s="216">
        <v>0.38500000000000001</v>
      </c>
      <c r="K91" s="215" t="s">
        <v>271</v>
      </c>
      <c r="L91" s="217">
        <v>0.1</v>
      </c>
      <c r="M91" s="215"/>
      <c r="N91" s="41"/>
      <c r="O91" s="41"/>
      <c r="P91" s="41"/>
      <c r="Q91" s="42"/>
    </row>
    <row r="92" spans="1:17" ht="20.100000000000001" customHeight="1" x14ac:dyDescent="0.25">
      <c r="A92" s="214">
        <v>5731</v>
      </c>
      <c r="B92" s="214">
        <v>32</v>
      </c>
      <c r="C92" s="215" t="s">
        <v>14</v>
      </c>
      <c r="D92" s="215" t="s">
        <v>191</v>
      </c>
      <c r="E92" s="214">
        <v>20.5</v>
      </c>
      <c r="F92" s="215" t="s">
        <v>71</v>
      </c>
      <c r="G92" s="214">
        <v>6971</v>
      </c>
      <c r="H92" s="215" t="s">
        <v>85</v>
      </c>
      <c r="I92" s="214" t="s">
        <v>73</v>
      </c>
      <c r="J92" s="216">
        <v>1000</v>
      </c>
      <c r="K92" s="215" t="s">
        <v>272</v>
      </c>
      <c r="L92" s="217">
        <v>0.02</v>
      </c>
      <c r="M92" s="215"/>
      <c r="N92" s="41"/>
      <c r="O92" s="41"/>
      <c r="P92" s="41"/>
      <c r="Q92" s="42"/>
    </row>
    <row r="93" spans="1:17" ht="20.100000000000001" customHeight="1" x14ac:dyDescent="0.25">
      <c r="A93" s="214">
        <v>5731</v>
      </c>
      <c r="B93" s="214">
        <v>32</v>
      </c>
      <c r="C93" s="215" t="s">
        <v>14</v>
      </c>
      <c r="D93" s="215" t="s">
        <v>191</v>
      </c>
      <c r="E93" s="214">
        <v>20.5</v>
      </c>
      <c r="F93" s="215" t="s">
        <v>95</v>
      </c>
      <c r="G93" s="214">
        <v>3619</v>
      </c>
      <c r="H93" s="215" t="s">
        <v>100</v>
      </c>
      <c r="I93" s="214" t="s">
        <v>73</v>
      </c>
      <c r="J93" s="216">
        <v>1.96</v>
      </c>
      <c r="K93" s="215" t="s">
        <v>273</v>
      </c>
      <c r="L93" s="217">
        <v>0.1</v>
      </c>
      <c r="M93" s="215"/>
      <c r="N93" s="41"/>
      <c r="O93" s="41"/>
      <c r="P93" s="41"/>
      <c r="Q93" s="42"/>
    </row>
    <row r="94" spans="1:17" ht="20.100000000000001" customHeight="1" x14ac:dyDescent="0.25">
      <c r="A94" s="214">
        <v>5731</v>
      </c>
      <c r="B94" s="214">
        <v>32</v>
      </c>
      <c r="C94" s="215" t="s">
        <v>14</v>
      </c>
      <c r="D94" s="215" t="s">
        <v>191</v>
      </c>
      <c r="E94" s="214">
        <v>20.5</v>
      </c>
      <c r="F94" s="215" t="s">
        <v>105</v>
      </c>
      <c r="G94" s="214">
        <v>194</v>
      </c>
      <c r="H94" s="215" t="s">
        <v>106</v>
      </c>
      <c r="I94" s="214" t="s">
        <v>36</v>
      </c>
      <c r="J94" s="216">
        <v>4.0940000000000004E-3</v>
      </c>
      <c r="K94" s="215" t="s">
        <v>274</v>
      </c>
      <c r="L94" s="217">
        <v>0.1</v>
      </c>
      <c r="M94" s="215"/>
      <c r="N94" s="41"/>
      <c r="O94" s="41"/>
      <c r="P94" s="41"/>
      <c r="Q94" s="42"/>
    </row>
    <row r="95" spans="1:17" ht="20.100000000000001" customHeight="1" x14ac:dyDescent="0.25">
      <c r="A95" s="214">
        <v>5731</v>
      </c>
      <c r="B95" s="214">
        <v>32</v>
      </c>
      <c r="C95" s="215" t="s">
        <v>14</v>
      </c>
      <c r="D95" s="215" t="s">
        <v>191</v>
      </c>
      <c r="E95" s="214">
        <v>20.5</v>
      </c>
      <c r="F95" s="215" t="s">
        <v>50</v>
      </c>
      <c r="G95" s="214">
        <v>4155</v>
      </c>
      <c r="H95" s="215" t="s">
        <v>56</v>
      </c>
      <c r="I95" s="214" t="s">
        <v>53</v>
      </c>
      <c r="J95" s="216">
        <v>0.24</v>
      </c>
      <c r="K95" s="215" t="s">
        <v>275</v>
      </c>
      <c r="L95" s="217">
        <v>0.1</v>
      </c>
      <c r="M95" s="215"/>
      <c r="N95" s="41"/>
      <c r="O95" s="41"/>
      <c r="P95" s="41"/>
      <c r="Q95" s="42"/>
    </row>
    <row r="96" spans="1:17" ht="20.100000000000001" customHeight="1" x14ac:dyDescent="0.25">
      <c r="A96" s="214">
        <v>5731</v>
      </c>
      <c r="B96" s="214">
        <v>32</v>
      </c>
      <c r="C96" s="215" t="s">
        <v>14</v>
      </c>
      <c r="D96" s="215" t="s">
        <v>191</v>
      </c>
      <c r="E96" s="214">
        <v>20.5</v>
      </c>
      <c r="F96" s="215" t="s">
        <v>108</v>
      </c>
      <c r="G96" s="214">
        <v>3635</v>
      </c>
      <c r="H96" s="215" t="s">
        <v>109</v>
      </c>
      <c r="I96" s="214" t="s">
        <v>73</v>
      </c>
      <c r="J96" s="216">
        <v>2.996</v>
      </c>
      <c r="K96" s="215" t="s">
        <v>277</v>
      </c>
      <c r="L96" s="217">
        <v>0.1</v>
      </c>
      <c r="M96" s="215"/>
      <c r="N96" s="41"/>
      <c r="O96" s="41"/>
      <c r="P96" s="41"/>
      <c r="Q96" s="42"/>
    </row>
    <row r="97" spans="1:17" ht="20.100000000000001" customHeight="1" x14ac:dyDescent="0.25">
      <c r="A97" s="210">
        <v>6338</v>
      </c>
      <c r="B97" s="210">
        <v>167</v>
      </c>
      <c r="C97" s="211" t="s">
        <v>202</v>
      </c>
      <c r="D97" s="211" t="s">
        <v>203</v>
      </c>
      <c r="E97" s="210">
        <v>25</v>
      </c>
      <c r="F97" s="211" t="s">
        <v>278</v>
      </c>
      <c r="G97" s="210">
        <v>6</v>
      </c>
      <c r="H97" s="211" t="s">
        <v>43</v>
      </c>
      <c r="I97" s="210" t="s">
        <v>36</v>
      </c>
      <c r="J97" s="212">
        <v>5.9169999999999998</v>
      </c>
      <c r="K97" s="211" t="s">
        <v>268</v>
      </c>
      <c r="L97" s="213">
        <v>0.1</v>
      </c>
      <c r="M97" s="211"/>
      <c r="N97" s="41"/>
      <c r="O97" s="41"/>
      <c r="P97" s="41"/>
      <c r="Q97" s="42"/>
    </row>
    <row r="98" spans="1:17" ht="20.100000000000001" customHeight="1" x14ac:dyDescent="0.25">
      <c r="A98" s="214">
        <v>6338</v>
      </c>
      <c r="B98" s="214">
        <v>167</v>
      </c>
      <c r="C98" s="215" t="s">
        <v>202</v>
      </c>
      <c r="D98" s="215" t="s">
        <v>203</v>
      </c>
      <c r="E98" s="214">
        <v>25</v>
      </c>
      <c r="F98" s="215" t="s">
        <v>57</v>
      </c>
      <c r="G98" s="214">
        <v>3595</v>
      </c>
      <c r="H98" s="215" t="s">
        <v>270</v>
      </c>
      <c r="I98" s="214" t="s">
        <v>36</v>
      </c>
      <c r="J98" s="216">
        <v>0.56000000000000005</v>
      </c>
      <c r="K98" s="215" t="s">
        <v>271</v>
      </c>
      <c r="L98" s="217">
        <v>0.1</v>
      </c>
      <c r="M98" s="215"/>
      <c r="N98" s="41"/>
      <c r="O98" s="41"/>
      <c r="P98" s="41"/>
      <c r="Q98" s="42"/>
    </row>
    <row r="99" spans="1:17" ht="20.100000000000001" customHeight="1" x14ac:dyDescent="0.25">
      <c r="A99" s="214">
        <v>6338</v>
      </c>
      <c r="B99" s="214">
        <v>167</v>
      </c>
      <c r="C99" s="215" t="s">
        <v>202</v>
      </c>
      <c r="D99" s="215" t="s">
        <v>203</v>
      </c>
      <c r="E99" s="214">
        <v>25</v>
      </c>
      <c r="F99" s="215" t="s">
        <v>95</v>
      </c>
      <c r="G99" s="214">
        <v>3598</v>
      </c>
      <c r="H99" s="215" t="s">
        <v>101</v>
      </c>
      <c r="I99" s="214" t="s">
        <v>73</v>
      </c>
      <c r="J99" s="216">
        <v>2.976</v>
      </c>
      <c r="K99" s="215" t="s">
        <v>273</v>
      </c>
      <c r="L99" s="217">
        <v>0.1</v>
      </c>
      <c r="M99" s="215"/>
      <c r="N99" s="41"/>
      <c r="O99" s="41"/>
      <c r="P99" s="41"/>
      <c r="Q99" s="42"/>
    </row>
    <row r="100" spans="1:17" ht="20.100000000000001" customHeight="1" x14ac:dyDescent="0.25">
      <c r="A100" s="214">
        <v>6338</v>
      </c>
      <c r="B100" s="214">
        <v>167</v>
      </c>
      <c r="C100" s="215" t="s">
        <v>202</v>
      </c>
      <c r="D100" s="215" t="s">
        <v>203</v>
      </c>
      <c r="E100" s="214">
        <v>25</v>
      </c>
      <c r="F100" s="215" t="s">
        <v>105</v>
      </c>
      <c r="G100" s="214">
        <v>194</v>
      </c>
      <c r="H100" s="215" t="s">
        <v>106</v>
      </c>
      <c r="I100" s="214" t="s">
        <v>36</v>
      </c>
      <c r="J100" s="216">
        <v>5.8700000000000002E-3</v>
      </c>
      <c r="K100" s="215" t="s">
        <v>274</v>
      </c>
      <c r="L100" s="217">
        <v>0.1</v>
      </c>
      <c r="M100" s="215"/>
      <c r="N100" s="41"/>
      <c r="O100" s="41"/>
      <c r="P100" s="41"/>
      <c r="Q100" s="42"/>
    </row>
    <row r="101" spans="1:17" ht="20.100000000000001" customHeight="1" x14ac:dyDescent="0.25">
      <c r="A101" s="214">
        <v>6338</v>
      </c>
      <c r="B101" s="214">
        <v>167</v>
      </c>
      <c r="C101" s="215" t="s">
        <v>202</v>
      </c>
      <c r="D101" s="215" t="s">
        <v>203</v>
      </c>
      <c r="E101" s="214">
        <v>25</v>
      </c>
      <c r="F101" s="215" t="s">
        <v>50</v>
      </c>
      <c r="G101" s="214">
        <v>4155</v>
      </c>
      <c r="H101" s="215" t="s">
        <v>56</v>
      </c>
      <c r="I101" s="214" t="s">
        <v>53</v>
      </c>
      <c r="J101" s="216">
        <v>0.37369999999999998</v>
      </c>
      <c r="K101" s="215" t="s">
        <v>275</v>
      </c>
      <c r="L101" s="217">
        <v>0.1</v>
      </c>
      <c r="M101" s="215"/>
      <c r="N101" s="41"/>
      <c r="O101" s="41"/>
      <c r="P101" s="41"/>
      <c r="Q101" s="42"/>
    </row>
    <row r="102" spans="1:17" ht="20.100000000000001" customHeight="1" x14ac:dyDescent="0.25">
      <c r="A102" s="214">
        <v>6338</v>
      </c>
      <c r="B102" s="214">
        <v>167</v>
      </c>
      <c r="C102" s="215" t="s">
        <v>202</v>
      </c>
      <c r="D102" s="215" t="s">
        <v>203</v>
      </c>
      <c r="E102" s="214">
        <v>25</v>
      </c>
      <c r="F102" s="215" t="s">
        <v>108</v>
      </c>
      <c r="G102" s="214">
        <v>3635</v>
      </c>
      <c r="H102" s="215" t="s">
        <v>109</v>
      </c>
      <c r="I102" s="214" t="s">
        <v>73</v>
      </c>
      <c r="J102" s="216">
        <v>7.9000000000000008E-3</v>
      </c>
      <c r="K102" s="215" t="s">
        <v>277</v>
      </c>
      <c r="L102" s="217">
        <v>0.1</v>
      </c>
      <c r="M102" s="215"/>
      <c r="N102" s="41"/>
      <c r="O102" s="41"/>
      <c r="P102" s="41"/>
      <c r="Q102" s="42"/>
    </row>
    <row r="103" spans="1:17" ht="20.100000000000001" customHeight="1" x14ac:dyDescent="0.25">
      <c r="A103" s="214">
        <v>6338</v>
      </c>
      <c r="B103" s="214">
        <v>167</v>
      </c>
      <c r="C103" s="215" t="s">
        <v>202</v>
      </c>
      <c r="D103" s="215" t="s">
        <v>203</v>
      </c>
      <c r="E103" s="214">
        <v>25</v>
      </c>
      <c r="F103" s="215" t="s">
        <v>285</v>
      </c>
      <c r="G103" s="214">
        <v>3857</v>
      </c>
      <c r="H103" s="215" t="s">
        <v>286</v>
      </c>
      <c r="I103" s="214" t="s">
        <v>36</v>
      </c>
      <c r="J103" s="216">
        <v>0.33</v>
      </c>
      <c r="K103" s="215" t="s">
        <v>287</v>
      </c>
      <c r="L103" s="217">
        <v>0.1</v>
      </c>
      <c r="M103" s="215"/>
      <c r="N103" s="41"/>
      <c r="O103" s="41"/>
      <c r="P103" s="41"/>
      <c r="Q103" s="42"/>
    </row>
    <row r="104" spans="1:17" ht="20.100000000000001" customHeight="1" x14ac:dyDescent="0.25">
      <c r="A104" s="210">
        <v>6228</v>
      </c>
      <c r="B104" s="210">
        <v>150</v>
      </c>
      <c r="C104" s="211" t="s">
        <v>11</v>
      </c>
      <c r="D104" s="211" t="s">
        <v>16</v>
      </c>
      <c r="E104" s="210">
        <v>25</v>
      </c>
      <c r="F104" s="211" t="s">
        <v>34</v>
      </c>
      <c r="G104" s="210">
        <v>6</v>
      </c>
      <c r="H104" s="211" t="s">
        <v>43</v>
      </c>
      <c r="I104" s="210" t="s">
        <v>36</v>
      </c>
      <c r="J104" s="212">
        <v>5.97</v>
      </c>
      <c r="K104" s="211" t="s">
        <v>268</v>
      </c>
      <c r="L104" s="213">
        <v>0.1</v>
      </c>
      <c r="M104" s="211"/>
      <c r="N104" s="41"/>
      <c r="O104" s="41"/>
      <c r="P104" s="41"/>
      <c r="Q104" s="42"/>
    </row>
    <row r="105" spans="1:17" ht="20.100000000000001" customHeight="1" x14ac:dyDescent="0.25">
      <c r="A105" s="214">
        <v>6228</v>
      </c>
      <c r="B105" s="214">
        <v>150</v>
      </c>
      <c r="C105" s="215" t="s">
        <v>11</v>
      </c>
      <c r="D105" s="215" t="s">
        <v>16</v>
      </c>
      <c r="E105" s="214">
        <v>25</v>
      </c>
      <c r="F105" s="215" t="s">
        <v>57</v>
      </c>
      <c r="G105" s="214">
        <v>3595</v>
      </c>
      <c r="H105" s="215" t="s">
        <v>270</v>
      </c>
      <c r="I105" s="214" t="s">
        <v>36</v>
      </c>
      <c r="J105" s="216">
        <v>0.61199999999999999</v>
      </c>
      <c r="K105" s="215" t="s">
        <v>271</v>
      </c>
      <c r="L105" s="217">
        <v>0.1</v>
      </c>
      <c r="M105" s="215"/>
      <c r="N105" s="41"/>
      <c r="O105" s="41"/>
      <c r="P105" s="41"/>
      <c r="Q105" s="42"/>
    </row>
    <row r="106" spans="1:17" ht="20.100000000000001" customHeight="1" x14ac:dyDescent="0.25">
      <c r="A106" s="214">
        <v>6228</v>
      </c>
      <c r="B106" s="214">
        <v>150</v>
      </c>
      <c r="C106" s="215" t="s">
        <v>11</v>
      </c>
      <c r="D106" s="215" t="s">
        <v>16</v>
      </c>
      <c r="E106" s="214">
        <v>25</v>
      </c>
      <c r="F106" s="215" t="s">
        <v>69</v>
      </c>
      <c r="G106" s="214">
        <v>186</v>
      </c>
      <c r="H106" s="215" t="s">
        <v>70</v>
      </c>
      <c r="I106" s="214" t="s">
        <v>36</v>
      </c>
      <c r="J106" s="216">
        <v>0.25</v>
      </c>
      <c r="K106" s="215" t="s">
        <v>288</v>
      </c>
      <c r="L106" s="217">
        <v>0.1</v>
      </c>
      <c r="M106" s="215"/>
      <c r="N106" s="41"/>
      <c r="O106" s="41"/>
      <c r="P106" s="41"/>
      <c r="Q106" s="42"/>
    </row>
    <row r="107" spans="1:17" ht="20.100000000000001" customHeight="1" x14ac:dyDescent="0.25">
      <c r="A107" s="214">
        <v>6228</v>
      </c>
      <c r="B107" s="214">
        <v>150</v>
      </c>
      <c r="C107" s="215" t="s">
        <v>11</v>
      </c>
      <c r="D107" s="215" t="s">
        <v>16</v>
      </c>
      <c r="E107" s="214">
        <v>25</v>
      </c>
      <c r="F107" s="215" t="s">
        <v>71</v>
      </c>
      <c r="G107" s="214">
        <v>68</v>
      </c>
      <c r="H107" s="215" t="s">
        <v>87</v>
      </c>
      <c r="I107" s="214" t="s">
        <v>73</v>
      </c>
      <c r="J107" s="216">
        <v>1000</v>
      </c>
      <c r="K107" s="215" t="s">
        <v>272</v>
      </c>
      <c r="L107" s="217">
        <v>0.02</v>
      </c>
      <c r="M107" s="215"/>
      <c r="N107" s="41"/>
      <c r="O107" s="41"/>
      <c r="P107" s="41"/>
      <c r="Q107" s="42"/>
    </row>
    <row r="108" spans="1:17" ht="20.100000000000001" customHeight="1" x14ac:dyDescent="0.25">
      <c r="A108" s="214">
        <v>6228</v>
      </c>
      <c r="B108" s="214">
        <v>150</v>
      </c>
      <c r="C108" s="215" t="s">
        <v>11</v>
      </c>
      <c r="D108" s="215" t="s">
        <v>16</v>
      </c>
      <c r="E108" s="214">
        <v>25</v>
      </c>
      <c r="F108" s="215" t="s">
        <v>95</v>
      </c>
      <c r="G108" s="214">
        <v>3598</v>
      </c>
      <c r="H108" s="215" t="s">
        <v>101</v>
      </c>
      <c r="I108" s="214" t="s">
        <v>73</v>
      </c>
      <c r="J108" s="216">
        <v>2.976</v>
      </c>
      <c r="K108" s="215" t="s">
        <v>273</v>
      </c>
      <c r="L108" s="217">
        <v>0.1</v>
      </c>
      <c r="M108" s="215"/>
      <c r="N108" s="41"/>
      <c r="O108" s="41"/>
      <c r="P108" s="41"/>
      <c r="Q108" s="42"/>
    </row>
    <row r="109" spans="1:17" ht="20.100000000000001" customHeight="1" x14ac:dyDescent="0.25">
      <c r="A109" s="214">
        <v>6228</v>
      </c>
      <c r="B109" s="214">
        <v>150</v>
      </c>
      <c r="C109" s="215" t="s">
        <v>11</v>
      </c>
      <c r="D109" s="215" t="s">
        <v>16</v>
      </c>
      <c r="E109" s="214">
        <v>25</v>
      </c>
      <c r="F109" s="215" t="s">
        <v>105</v>
      </c>
      <c r="G109" s="214">
        <v>194</v>
      </c>
      <c r="H109" s="215" t="s">
        <v>106</v>
      </c>
      <c r="I109" s="214" t="s">
        <v>36</v>
      </c>
      <c r="J109" s="216">
        <v>6.1538499999999998E-3</v>
      </c>
      <c r="K109" s="215" t="s">
        <v>274</v>
      </c>
      <c r="L109" s="217">
        <v>0.1</v>
      </c>
      <c r="M109" s="215"/>
      <c r="N109" s="41"/>
      <c r="O109" s="41"/>
      <c r="P109" s="41"/>
      <c r="Q109" s="42"/>
    </row>
    <row r="110" spans="1:17" ht="20.100000000000001" customHeight="1" x14ac:dyDescent="0.25">
      <c r="A110" s="214">
        <v>6228</v>
      </c>
      <c r="B110" s="214">
        <v>150</v>
      </c>
      <c r="C110" s="215" t="s">
        <v>11</v>
      </c>
      <c r="D110" s="215" t="s">
        <v>16</v>
      </c>
      <c r="E110" s="214">
        <v>25</v>
      </c>
      <c r="F110" s="215" t="s">
        <v>50</v>
      </c>
      <c r="G110" s="214">
        <v>4155</v>
      </c>
      <c r="H110" s="215" t="s">
        <v>56</v>
      </c>
      <c r="I110" s="214" t="s">
        <v>36</v>
      </c>
      <c r="J110" s="216">
        <v>0.29199999999999998</v>
      </c>
      <c r="K110" s="215" t="s">
        <v>275</v>
      </c>
      <c r="L110" s="217">
        <v>0.1</v>
      </c>
      <c r="M110" s="215"/>
      <c r="N110" s="41"/>
      <c r="O110" s="41"/>
      <c r="P110" s="41"/>
      <c r="Q110" s="42"/>
    </row>
    <row r="111" spans="1:17" ht="20.100000000000001" customHeight="1" x14ac:dyDescent="0.25">
      <c r="A111" s="214">
        <v>6228</v>
      </c>
      <c r="B111" s="214">
        <v>150</v>
      </c>
      <c r="C111" s="215" t="s">
        <v>11</v>
      </c>
      <c r="D111" s="215" t="s">
        <v>16</v>
      </c>
      <c r="E111" s="214">
        <v>25</v>
      </c>
      <c r="F111" s="215" t="s">
        <v>108</v>
      </c>
      <c r="G111" s="214">
        <v>3635</v>
      </c>
      <c r="H111" s="215" t="s">
        <v>109</v>
      </c>
      <c r="I111" s="214" t="s">
        <v>73</v>
      </c>
      <c r="J111" s="216">
        <v>7.9000000000000001E-2</v>
      </c>
      <c r="K111" s="215" t="s">
        <v>277</v>
      </c>
      <c r="L111" s="217">
        <v>0.1</v>
      </c>
      <c r="M111" s="215"/>
      <c r="N111" s="41"/>
      <c r="O111" s="41"/>
      <c r="P111" s="41"/>
      <c r="Q111" s="42"/>
    </row>
    <row r="112" spans="1:17" ht="20.100000000000001" customHeight="1" x14ac:dyDescent="0.25">
      <c r="A112" s="210">
        <v>4227</v>
      </c>
      <c r="B112" s="210">
        <v>20</v>
      </c>
      <c r="C112" s="211" t="s">
        <v>204</v>
      </c>
      <c r="D112" s="211" t="s">
        <v>205</v>
      </c>
      <c r="E112" s="210">
        <v>25</v>
      </c>
      <c r="F112" s="211" t="s">
        <v>34</v>
      </c>
      <c r="G112" s="210">
        <v>6</v>
      </c>
      <c r="H112" s="211" t="s">
        <v>43</v>
      </c>
      <c r="I112" s="210" t="s">
        <v>36</v>
      </c>
      <c r="J112" s="212">
        <v>5.9170999999999996</v>
      </c>
      <c r="K112" s="211" t="s">
        <v>34</v>
      </c>
      <c r="L112" s="213">
        <v>0.1</v>
      </c>
      <c r="M112" s="211"/>
      <c r="N112" s="41"/>
      <c r="O112" s="41"/>
      <c r="P112" s="41"/>
      <c r="Q112" s="42"/>
    </row>
    <row r="113" spans="1:17" ht="20.100000000000001" customHeight="1" x14ac:dyDescent="0.25">
      <c r="A113" s="214">
        <v>4227</v>
      </c>
      <c r="B113" s="214">
        <v>20</v>
      </c>
      <c r="C113" s="215" t="s">
        <v>204</v>
      </c>
      <c r="D113" s="215" t="s">
        <v>205</v>
      </c>
      <c r="E113" s="214">
        <v>25</v>
      </c>
      <c r="F113" s="215" t="s">
        <v>69</v>
      </c>
      <c r="G113" s="214">
        <v>186</v>
      </c>
      <c r="H113" s="215" t="s">
        <v>70</v>
      </c>
      <c r="I113" s="214" t="s">
        <v>36</v>
      </c>
      <c r="J113" s="216">
        <v>0.09</v>
      </c>
      <c r="K113" s="215" t="s">
        <v>69</v>
      </c>
      <c r="L113" s="217">
        <v>0.1</v>
      </c>
      <c r="M113" s="215"/>
      <c r="N113" s="41"/>
      <c r="O113" s="41"/>
      <c r="P113" s="41"/>
      <c r="Q113" s="42"/>
    </row>
    <row r="114" spans="1:17" ht="20.100000000000001" customHeight="1" x14ac:dyDescent="0.25">
      <c r="A114" s="214">
        <v>4227</v>
      </c>
      <c r="B114" s="214">
        <v>20</v>
      </c>
      <c r="C114" s="215" t="s">
        <v>204</v>
      </c>
      <c r="D114" s="215" t="s">
        <v>205</v>
      </c>
      <c r="E114" s="214">
        <v>25</v>
      </c>
      <c r="F114" s="215" t="s">
        <v>71</v>
      </c>
      <c r="G114" s="214">
        <v>3522</v>
      </c>
      <c r="H114" s="215" t="s">
        <v>91</v>
      </c>
      <c r="I114" s="214" t="s">
        <v>73</v>
      </c>
      <c r="J114" s="216">
        <v>1000</v>
      </c>
      <c r="K114" s="215" t="s">
        <v>71</v>
      </c>
      <c r="L114" s="217">
        <v>0.02</v>
      </c>
      <c r="M114" s="215"/>
      <c r="N114" s="41"/>
      <c r="O114" s="41"/>
      <c r="P114" s="41"/>
      <c r="Q114" s="42"/>
    </row>
    <row r="115" spans="1:17" ht="20.100000000000001" customHeight="1" x14ac:dyDescent="0.25">
      <c r="A115" s="214">
        <v>4227</v>
      </c>
      <c r="B115" s="214">
        <v>20</v>
      </c>
      <c r="C115" s="215" t="s">
        <v>204</v>
      </c>
      <c r="D115" s="215" t="s">
        <v>205</v>
      </c>
      <c r="E115" s="214">
        <v>25</v>
      </c>
      <c r="F115" s="215" t="s">
        <v>95</v>
      </c>
      <c r="G115" s="214">
        <v>3598</v>
      </c>
      <c r="H115" s="215" t="s">
        <v>289</v>
      </c>
      <c r="I115" s="214" t="s">
        <v>73</v>
      </c>
      <c r="J115" s="216">
        <v>2.9761000000000002</v>
      </c>
      <c r="K115" s="215" t="s">
        <v>95</v>
      </c>
      <c r="L115" s="217">
        <v>0.1</v>
      </c>
      <c r="M115" s="215"/>
      <c r="N115" s="41"/>
      <c r="O115" s="41"/>
      <c r="P115" s="41"/>
      <c r="Q115" s="42"/>
    </row>
    <row r="116" spans="1:17" ht="20.100000000000001" customHeight="1" x14ac:dyDescent="0.25">
      <c r="A116" s="214">
        <v>4227</v>
      </c>
      <c r="B116" s="214">
        <v>20</v>
      </c>
      <c r="C116" s="215" t="s">
        <v>204</v>
      </c>
      <c r="D116" s="215" t="s">
        <v>205</v>
      </c>
      <c r="E116" s="214">
        <v>25</v>
      </c>
      <c r="F116" s="215" t="s">
        <v>105</v>
      </c>
      <c r="G116" s="214">
        <v>194</v>
      </c>
      <c r="H116" s="215" t="s">
        <v>106</v>
      </c>
      <c r="I116" s="214" t="s">
        <v>36</v>
      </c>
      <c r="J116" s="216">
        <v>8.3199999999999993E-3</v>
      </c>
      <c r="K116" s="215" t="s">
        <v>105</v>
      </c>
      <c r="L116" s="217">
        <v>0.1</v>
      </c>
      <c r="M116" s="215"/>
      <c r="N116" s="41"/>
      <c r="O116" s="41"/>
      <c r="P116" s="41"/>
      <c r="Q116" s="42"/>
    </row>
    <row r="117" spans="1:17" ht="20.100000000000001" customHeight="1" x14ac:dyDescent="0.25">
      <c r="A117" s="214">
        <v>4227</v>
      </c>
      <c r="B117" s="214">
        <v>20</v>
      </c>
      <c r="C117" s="215" t="s">
        <v>204</v>
      </c>
      <c r="D117" s="215" t="s">
        <v>205</v>
      </c>
      <c r="E117" s="214">
        <v>25</v>
      </c>
      <c r="F117" s="215" t="s">
        <v>50</v>
      </c>
      <c r="G117" s="214">
        <v>4155</v>
      </c>
      <c r="H117" s="215" t="s">
        <v>56</v>
      </c>
      <c r="I117" s="214" t="s">
        <v>36</v>
      </c>
      <c r="J117" s="216">
        <v>0.42020000000000002</v>
      </c>
      <c r="K117" s="215" t="s">
        <v>50</v>
      </c>
      <c r="L117" s="217">
        <v>0.1</v>
      </c>
      <c r="M117" s="215"/>
      <c r="N117" s="41"/>
      <c r="O117" s="41"/>
      <c r="P117" s="41"/>
      <c r="Q117" s="42"/>
    </row>
    <row r="118" spans="1:17" ht="20.100000000000001" customHeight="1" x14ac:dyDescent="0.25">
      <c r="A118" s="214">
        <v>4227</v>
      </c>
      <c r="B118" s="214">
        <v>20</v>
      </c>
      <c r="C118" s="215" t="s">
        <v>204</v>
      </c>
      <c r="D118" s="215" t="s">
        <v>205</v>
      </c>
      <c r="E118" s="214">
        <v>25</v>
      </c>
      <c r="F118" s="215" t="s">
        <v>108</v>
      </c>
      <c r="G118" s="214">
        <v>3635</v>
      </c>
      <c r="H118" s="215" t="s">
        <v>109</v>
      </c>
      <c r="I118" s="214" t="s">
        <v>73</v>
      </c>
      <c r="J118" s="216">
        <v>7.9000000000000001E-2</v>
      </c>
      <c r="K118" s="215" t="s">
        <v>108</v>
      </c>
      <c r="L118" s="217">
        <v>0.1</v>
      </c>
      <c r="M118" s="215"/>
      <c r="N118" s="41"/>
      <c r="O118" s="41"/>
      <c r="P118" s="41"/>
      <c r="Q118" s="42"/>
    </row>
    <row r="119" spans="1:17" ht="20.100000000000001" customHeight="1" x14ac:dyDescent="0.25">
      <c r="A119" s="210">
        <v>3447</v>
      </c>
      <c r="B119" s="210">
        <v>34</v>
      </c>
      <c r="C119" s="211" t="s">
        <v>14</v>
      </c>
      <c r="D119" s="211" t="s">
        <v>197</v>
      </c>
      <c r="E119" s="210">
        <v>25</v>
      </c>
      <c r="F119" s="211" t="s">
        <v>34</v>
      </c>
      <c r="G119" s="210">
        <v>6</v>
      </c>
      <c r="H119" s="211" t="s">
        <v>43</v>
      </c>
      <c r="I119" s="210" t="s">
        <v>36</v>
      </c>
      <c r="J119" s="212">
        <v>5.9169999999999998</v>
      </c>
      <c r="K119" s="211" t="s">
        <v>268</v>
      </c>
      <c r="L119" s="213">
        <v>0.1</v>
      </c>
      <c r="M119" s="211"/>
      <c r="N119" s="41"/>
      <c r="O119" s="41"/>
      <c r="P119" s="41"/>
      <c r="Q119" s="42"/>
    </row>
    <row r="120" spans="1:17" ht="20.100000000000001" customHeight="1" x14ac:dyDescent="0.25">
      <c r="A120" s="214">
        <v>3447</v>
      </c>
      <c r="B120" s="214">
        <v>34</v>
      </c>
      <c r="C120" s="215" t="s">
        <v>14</v>
      </c>
      <c r="D120" s="215" t="s">
        <v>197</v>
      </c>
      <c r="E120" s="214">
        <v>25</v>
      </c>
      <c r="F120" s="215" t="s">
        <v>57</v>
      </c>
      <c r="G120" s="214">
        <v>3595</v>
      </c>
      <c r="H120" s="215" t="s">
        <v>270</v>
      </c>
      <c r="I120" s="214" t="s">
        <v>36</v>
      </c>
      <c r="J120" s="216">
        <v>0.61</v>
      </c>
      <c r="K120" s="215" t="s">
        <v>271</v>
      </c>
      <c r="L120" s="217">
        <v>0.1</v>
      </c>
      <c r="M120" s="215"/>
      <c r="N120" s="41"/>
      <c r="O120" s="41"/>
      <c r="P120" s="41"/>
      <c r="Q120" s="42"/>
    </row>
    <row r="121" spans="1:17" ht="20.100000000000001" customHeight="1" x14ac:dyDescent="0.25">
      <c r="A121" s="214">
        <v>3447</v>
      </c>
      <c r="B121" s="214">
        <v>34</v>
      </c>
      <c r="C121" s="215" t="s">
        <v>14</v>
      </c>
      <c r="D121" s="215" t="s">
        <v>197</v>
      </c>
      <c r="E121" s="214">
        <v>25</v>
      </c>
      <c r="F121" s="215" t="s">
        <v>71</v>
      </c>
      <c r="G121" s="214">
        <v>68</v>
      </c>
      <c r="H121" s="215" t="s">
        <v>87</v>
      </c>
      <c r="I121" s="214" t="s">
        <v>73</v>
      </c>
      <c r="J121" s="216">
        <v>1000</v>
      </c>
      <c r="K121" s="215" t="s">
        <v>272</v>
      </c>
      <c r="L121" s="217">
        <v>0.02</v>
      </c>
      <c r="M121" s="215"/>
      <c r="N121" s="41"/>
      <c r="O121" s="41"/>
      <c r="P121" s="41"/>
      <c r="Q121" s="42"/>
    </row>
    <row r="122" spans="1:17" ht="20.100000000000001" customHeight="1" x14ac:dyDescent="0.25">
      <c r="A122" s="214">
        <v>3447</v>
      </c>
      <c r="B122" s="214">
        <v>34</v>
      </c>
      <c r="C122" s="215" t="s">
        <v>14</v>
      </c>
      <c r="D122" s="215" t="s">
        <v>197</v>
      </c>
      <c r="E122" s="214">
        <v>25</v>
      </c>
      <c r="F122" s="215" t="s">
        <v>95</v>
      </c>
      <c r="G122" s="214">
        <v>3598</v>
      </c>
      <c r="H122" s="215" t="s">
        <v>101</v>
      </c>
      <c r="I122" s="214" t="s">
        <v>73</v>
      </c>
      <c r="J122" s="216">
        <v>2.976</v>
      </c>
      <c r="K122" s="215" t="s">
        <v>273</v>
      </c>
      <c r="L122" s="217">
        <v>0.1</v>
      </c>
      <c r="M122" s="215"/>
      <c r="N122" s="41"/>
      <c r="O122" s="41"/>
      <c r="P122" s="41"/>
      <c r="Q122" s="42"/>
    </row>
    <row r="123" spans="1:17" ht="20.100000000000001" customHeight="1" x14ac:dyDescent="0.25">
      <c r="A123" s="214">
        <v>3447</v>
      </c>
      <c r="B123" s="214">
        <v>34</v>
      </c>
      <c r="C123" s="215" t="s">
        <v>14</v>
      </c>
      <c r="D123" s="215" t="s">
        <v>197</v>
      </c>
      <c r="E123" s="214">
        <v>25</v>
      </c>
      <c r="F123" s="215" t="s">
        <v>105</v>
      </c>
      <c r="G123" s="214">
        <v>194</v>
      </c>
      <c r="H123" s="215" t="s">
        <v>106</v>
      </c>
      <c r="I123" s="214" t="s">
        <v>36</v>
      </c>
      <c r="J123" s="216">
        <v>6.1500000000000001E-3</v>
      </c>
      <c r="K123" s="215" t="s">
        <v>274</v>
      </c>
      <c r="L123" s="217">
        <v>0.1</v>
      </c>
      <c r="M123" s="215"/>
      <c r="N123" s="41"/>
      <c r="O123" s="41"/>
      <c r="P123" s="41"/>
      <c r="Q123" s="42"/>
    </row>
    <row r="124" spans="1:17" ht="20.100000000000001" customHeight="1" x14ac:dyDescent="0.25">
      <c r="A124" s="214">
        <v>3447</v>
      </c>
      <c r="B124" s="214">
        <v>34</v>
      </c>
      <c r="C124" s="215" t="s">
        <v>14</v>
      </c>
      <c r="D124" s="215" t="s">
        <v>197</v>
      </c>
      <c r="E124" s="214">
        <v>25</v>
      </c>
      <c r="F124" s="215" t="s">
        <v>50</v>
      </c>
      <c r="G124" s="214">
        <v>4155</v>
      </c>
      <c r="H124" s="215" t="s">
        <v>56</v>
      </c>
      <c r="I124" s="214" t="s">
        <v>53</v>
      </c>
      <c r="J124" s="216">
        <v>0.37369999999999998</v>
      </c>
      <c r="K124" s="215" t="s">
        <v>275</v>
      </c>
      <c r="L124" s="217">
        <v>0.1</v>
      </c>
      <c r="M124" s="215"/>
      <c r="N124" s="41"/>
      <c r="O124" s="41"/>
      <c r="P124" s="41"/>
      <c r="Q124" s="42"/>
    </row>
    <row r="125" spans="1:17" ht="20.100000000000001" customHeight="1" x14ac:dyDescent="0.25">
      <c r="A125" s="214">
        <v>3447</v>
      </c>
      <c r="B125" s="214">
        <v>34</v>
      </c>
      <c r="C125" s="215" t="s">
        <v>14</v>
      </c>
      <c r="D125" s="215" t="s">
        <v>197</v>
      </c>
      <c r="E125" s="214">
        <v>25</v>
      </c>
      <c r="F125" s="215" t="s">
        <v>108</v>
      </c>
      <c r="G125" s="214">
        <v>3635</v>
      </c>
      <c r="H125" s="215" t="s">
        <v>109</v>
      </c>
      <c r="I125" s="214" t="s">
        <v>73</v>
      </c>
      <c r="J125" s="216">
        <v>4.7119999999999997</v>
      </c>
      <c r="K125" s="215" t="s">
        <v>277</v>
      </c>
      <c r="L125" s="217">
        <v>0.1</v>
      </c>
      <c r="M125" s="215"/>
      <c r="N125" s="41"/>
      <c r="O125" s="41"/>
      <c r="P125" s="41"/>
      <c r="Q125" s="42"/>
    </row>
    <row r="126" spans="1:17" ht="20.100000000000001" customHeight="1" x14ac:dyDescent="0.25">
      <c r="A126" s="210">
        <v>5389</v>
      </c>
      <c r="B126" s="210">
        <v>35</v>
      </c>
      <c r="C126" s="211" t="s">
        <v>14</v>
      </c>
      <c r="D126" s="211" t="s">
        <v>196</v>
      </c>
      <c r="E126" s="210">
        <v>25</v>
      </c>
      <c r="F126" s="211" t="s">
        <v>34</v>
      </c>
      <c r="G126" s="210">
        <v>6</v>
      </c>
      <c r="H126" s="211" t="s">
        <v>43</v>
      </c>
      <c r="I126" s="210" t="s">
        <v>36</v>
      </c>
      <c r="J126" s="212">
        <v>5.9169999999999998</v>
      </c>
      <c r="K126" s="211" t="s">
        <v>268</v>
      </c>
      <c r="L126" s="213">
        <v>0.1</v>
      </c>
      <c r="M126" s="211"/>
      <c r="N126" s="41"/>
      <c r="O126" s="41"/>
      <c r="P126" s="41"/>
      <c r="Q126" s="42"/>
    </row>
    <row r="127" spans="1:17" ht="20.100000000000001" customHeight="1" x14ac:dyDescent="0.25">
      <c r="A127" s="214">
        <v>5389</v>
      </c>
      <c r="B127" s="214">
        <v>35</v>
      </c>
      <c r="C127" s="215" t="s">
        <v>14</v>
      </c>
      <c r="D127" s="215" t="s">
        <v>196</v>
      </c>
      <c r="E127" s="214">
        <v>25</v>
      </c>
      <c r="F127" s="215" t="s">
        <v>57</v>
      </c>
      <c r="G127" s="214">
        <v>3595</v>
      </c>
      <c r="H127" s="215" t="s">
        <v>270</v>
      </c>
      <c r="I127" s="214" t="s">
        <v>36</v>
      </c>
      <c r="J127" s="216">
        <v>0.61199999999999999</v>
      </c>
      <c r="K127" s="215" t="s">
        <v>271</v>
      </c>
      <c r="L127" s="217">
        <v>0.1</v>
      </c>
      <c r="M127" s="215"/>
      <c r="N127" s="41"/>
      <c r="O127" s="41"/>
      <c r="P127" s="41"/>
      <c r="Q127" s="42"/>
    </row>
    <row r="128" spans="1:17" ht="20.100000000000001" customHeight="1" x14ac:dyDescent="0.25">
      <c r="A128" s="214">
        <v>5389</v>
      </c>
      <c r="B128" s="214">
        <v>35</v>
      </c>
      <c r="C128" s="215" t="s">
        <v>14</v>
      </c>
      <c r="D128" s="215" t="s">
        <v>196</v>
      </c>
      <c r="E128" s="214">
        <v>25</v>
      </c>
      <c r="F128" s="215" t="s">
        <v>71</v>
      </c>
      <c r="G128" s="214">
        <v>68</v>
      </c>
      <c r="H128" s="215" t="s">
        <v>87</v>
      </c>
      <c r="I128" s="214" t="s">
        <v>73</v>
      </c>
      <c r="J128" s="216">
        <v>1000</v>
      </c>
      <c r="K128" s="215" t="s">
        <v>272</v>
      </c>
      <c r="L128" s="217">
        <v>0.02</v>
      </c>
      <c r="M128" s="215"/>
      <c r="N128" s="41"/>
      <c r="O128" s="41"/>
      <c r="P128" s="41"/>
      <c r="Q128" s="42"/>
    </row>
    <row r="129" spans="1:17" ht="20.100000000000001" customHeight="1" x14ac:dyDescent="0.25">
      <c r="A129" s="214">
        <v>5389</v>
      </c>
      <c r="B129" s="214">
        <v>35</v>
      </c>
      <c r="C129" s="215" t="s">
        <v>14</v>
      </c>
      <c r="D129" s="215" t="s">
        <v>196</v>
      </c>
      <c r="E129" s="214">
        <v>25</v>
      </c>
      <c r="F129" s="215" t="s">
        <v>95</v>
      </c>
      <c r="G129" s="214">
        <v>3598</v>
      </c>
      <c r="H129" s="215" t="s">
        <v>101</v>
      </c>
      <c r="I129" s="214" t="s">
        <v>73</v>
      </c>
      <c r="J129" s="216">
        <v>2.976</v>
      </c>
      <c r="K129" s="215" t="s">
        <v>273</v>
      </c>
      <c r="L129" s="217">
        <v>0.1</v>
      </c>
      <c r="M129" s="215"/>
      <c r="N129" s="41"/>
      <c r="O129" s="41"/>
      <c r="P129" s="41"/>
      <c r="Q129" s="42"/>
    </row>
    <row r="130" spans="1:17" ht="20.100000000000001" customHeight="1" x14ac:dyDescent="0.25">
      <c r="A130" s="214">
        <v>5389</v>
      </c>
      <c r="B130" s="214">
        <v>35</v>
      </c>
      <c r="C130" s="215" t="s">
        <v>14</v>
      </c>
      <c r="D130" s="215" t="s">
        <v>196</v>
      </c>
      <c r="E130" s="214">
        <v>25</v>
      </c>
      <c r="F130" s="215" t="s">
        <v>105</v>
      </c>
      <c r="G130" s="214">
        <v>194</v>
      </c>
      <c r="H130" s="215" t="s">
        <v>106</v>
      </c>
      <c r="I130" s="214" t="s">
        <v>36</v>
      </c>
      <c r="J130" s="216">
        <v>6.1500000000000001E-3</v>
      </c>
      <c r="K130" s="215" t="s">
        <v>274</v>
      </c>
      <c r="L130" s="217">
        <v>0.1</v>
      </c>
      <c r="M130" s="215"/>
      <c r="N130" s="41"/>
      <c r="O130" s="41"/>
      <c r="P130" s="41"/>
      <c r="Q130" s="42"/>
    </row>
    <row r="131" spans="1:17" ht="20.100000000000001" customHeight="1" x14ac:dyDescent="0.25">
      <c r="A131" s="214">
        <v>5389</v>
      </c>
      <c r="B131" s="214">
        <v>35</v>
      </c>
      <c r="C131" s="215" t="s">
        <v>14</v>
      </c>
      <c r="D131" s="215" t="s">
        <v>196</v>
      </c>
      <c r="E131" s="214">
        <v>25</v>
      </c>
      <c r="F131" s="215" t="s">
        <v>50</v>
      </c>
      <c r="G131" s="214">
        <v>4155</v>
      </c>
      <c r="H131" s="215" t="s">
        <v>56</v>
      </c>
      <c r="I131" s="214" t="s">
        <v>53</v>
      </c>
      <c r="J131" s="216">
        <v>0.29199999999999998</v>
      </c>
      <c r="K131" s="215" t="s">
        <v>275</v>
      </c>
      <c r="L131" s="217">
        <v>0.1</v>
      </c>
      <c r="M131" s="215"/>
      <c r="N131" s="41"/>
      <c r="O131" s="41"/>
      <c r="P131" s="41"/>
      <c r="Q131" s="42"/>
    </row>
    <row r="132" spans="1:17" ht="20.100000000000001" customHeight="1" x14ac:dyDescent="0.25">
      <c r="A132" s="214">
        <v>5389</v>
      </c>
      <c r="B132" s="214">
        <v>35</v>
      </c>
      <c r="C132" s="215" t="s">
        <v>14</v>
      </c>
      <c r="D132" s="215" t="s">
        <v>196</v>
      </c>
      <c r="E132" s="214">
        <v>25</v>
      </c>
      <c r="F132" s="215" t="s">
        <v>108</v>
      </c>
      <c r="G132" s="214">
        <v>3635</v>
      </c>
      <c r="H132" s="215" t="s">
        <v>109</v>
      </c>
      <c r="I132" s="214" t="s">
        <v>73</v>
      </c>
      <c r="J132" s="216">
        <v>7.9000000000000001E-2</v>
      </c>
      <c r="K132" s="215" t="s">
        <v>277</v>
      </c>
      <c r="L132" s="217">
        <v>0.1</v>
      </c>
      <c r="M132" s="215"/>
      <c r="N132" s="41"/>
      <c r="O132" s="41"/>
      <c r="P132" s="41"/>
      <c r="Q132" s="42"/>
    </row>
    <row r="133" spans="1:17" ht="20.100000000000001" customHeight="1" x14ac:dyDescent="0.25">
      <c r="A133" s="210">
        <v>6532</v>
      </c>
      <c r="B133" s="210">
        <v>181</v>
      </c>
      <c r="C133" s="211" t="s">
        <v>14</v>
      </c>
      <c r="D133" s="211" t="s">
        <v>199</v>
      </c>
      <c r="E133" s="210">
        <v>25</v>
      </c>
      <c r="F133" s="211" t="s">
        <v>34</v>
      </c>
      <c r="G133" s="210">
        <v>6</v>
      </c>
      <c r="H133" s="211" t="s">
        <v>43</v>
      </c>
      <c r="I133" s="210" t="s">
        <v>36</v>
      </c>
      <c r="J133" s="212">
        <v>5.9169999999999998</v>
      </c>
      <c r="K133" s="211" t="s">
        <v>268</v>
      </c>
      <c r="L133" s="213">
        <v>0.1</v>
      </c>
      <c r="M133" s="211"/>
      <c r="N133" s="41"/>
      <c r="O133" s="41"/>
      <c r="P133" s="41"/>
      <c r="Q133" s="42"/>
    </row>
    <row r="134" spans="1:17" ht="20.100000000000001" customHeight="1" x14ac:dyDescent="0.25">
      <c r="A134" s="214">
        <v>6532</v>
      </c>
      <c r="B134" s="214">
        <v>181</v>
      </c>
      <c r="C134" s="215" t="s">
        <v>14</v>
      </c>
      <c r="D134" s="215" t="s">
        <v>199</v>
      </c>
      <c r="E134" s="214">
        <v>25</v>
      </c>
      <c r="F134" s="215" t="s">
        <v>57</v>
      </c>
      <c r="G134" s="214">
        <v>3595</v>
      </c>
      <c r="H134" s="215" t="s">
        <v>270</v>
      </c>
      <c r="I134" s="214" t="s">
        <v>36</v>
      </c>
      <c r="J134" s="216">
        <v>0.61199999999999999</v>
      </c>
      <c r="K134" s="215" t="s">
        <v>271</v>
      </c>
      <c r="L134" s="217">
        <v>0.1</v>
      </c>
      <c r="M134" s="215"/>
      <c r="N134" s="41"/>
      <c r="O134" s="41"/>
      <c r="P134" s="41"/>
      <c r="Q134" s="42"/>
    </row>
    <row r="135" spans="1:17" ht="20.100000000000001" customHeight="1" x14ac:dyDescent="0.25">
      <c r="A135" s="214">
        <v>6532</v>
      </c>
      <c r="B135" s="214">
        <v>181</v>
      </c>
      <c r="C135" s="215" t="s">
        <v>14</v>
      </c>
      <c r="D135" s="215" t="s">
        <v>199</v>
      </c>
      <c r="E135" s="214">
        <v>25</v>
      </c>
      <c r="F135" s="215" t="s">
        <v>71</v>
      </c>
      <c r="G135" s="214">
        <v>68</v>
      </c>
      <c r="H135" s="215" t="s">
        <v>87</v>
      </c>
      <c r="I135" s="214" t="s">
        <v>73</v>
      </c>
      <c r="J135" s="216">
        <v>1000</v>
      </c>
      <c r="K135" s="215" t="s">
        <v>272</v>
      </c>
      <c r="L135" s="217">
        <v>0.02</v>
      </c>
      <c r="M135" s="215"/>
      <c r="N135" s="41"/>
      <c r="O135" s="41"/>
      <c r="P135" s="41"/>
      <c r="Q135" s="42"/>
    </row>
    <row r="136" spans="1:17" ht="20.100000000000001" customHeight="1" x14ac:dyDescent="0.25">
      <c r="A136" s="214">
        <v>6532</v>
      </c>
      <c r="B136" s="214">
        <v>181</v>
      </c>
      <c r="C136" s="215" t="s">
        <v>14</v>
      </c>
      <c r="D136" s="215" t="s">
        <v>199</v>
      </c>
      <c r="E136" s="214">
        <v>25</v>
      </c>
      <c r="F136" s="215" t="s">
        <v>95</v>
      </c>
      <c r="G136" s="214">
        <v>3598</v>
      </c>
      <c r="H136" s="215" t="s">
        <v>101</v>
      </c>
      <c r="I136" s="214" t="s">
        <v>73</v>
      </c>
      <c r="J136" s="216">
        <v>2.976</v>
      </c>
      <c r="K136" s="215" t="s">
        <v>273</v>
      </c>
      <c r="L136" s="217">
        <v>0.1</v>
      </c>
      <c r="M136" s="215"/>
      <c r="N136" s="41"/>
      <c r="O136" s="41"/>
      <c r="P136" s="41"/>
      <c r="Q136" s="42"/>
    </row>
    <row r="137" spans="1:17" ht="20.100000000000001" customHeight="1" x14ac:dyDescent="0.25">
      <c r="A137" s="214">
        <v>6532</v>
      </c>
      <c r="B137" s="214">
        <v>181</v>
      </c>
      <c r="C137" s="215" t="s">
        <v>14</v>
      </c>
      <c r="D137" s="215" t="s">
        <v>199</v>
      </c>
      <c r="E137" s="214">
        <v>25</v>
      </c>
      <c r="F137" s="215" t="s">
        <v>105</v>
      </c>
      <c r="G137" s="214">
        <v>194</v>
      </c>
      <c r="H137" s="215" t="s">
        <v>106</v>
      </c>
      <c r="I137" s="214" t="s">
        <v>36</v>
      </c>
      <c r="J137" s="216">
        <v>6.1538499999999998E-3</v>
      </c>
      <c r="K137" s="215" t="s">
        <v>274</v>
      </c>
      <c r="L137" s="217">
        <v>0.1</v>
      </c>
      <c r="M137" s="215"/>
      <c r="N137" s="41"/>
      <c r="O137" s="41"/>
      <c r="P137" s="41"/>
      <c r="Q137" s="42"/>
    </row>
    <row r="138" spans="1:17" ht="20.100000000000001" customHeight="1" x14ac:dyDescent="0.25">
      <c r="A138" s="214">
        <v>6532</v>
      </c>
      <c r="B138" s="214">
        <v>181</v>
      </c>
      <c r="C138" s="215" t="s">
        <v>14</v>
      </c>
      <c r="D138" s="215" t="s">
        <v>199</v>
      </c>
      <c r="E138" s="214">
        <v>25</v>
      </c>
      <c r="F138" s="215" t="s">
        <v>50</v>
      </c>
      <c r="G138" s="214">
        <v>4155</v>
      </c>
      <c r="H138" s="215" t="s">
        <v>56</v>
      </c>
      <c r="I138" s="214" t="s">
        <v>53</v>
      </c>
      <c r="J138" s="216">
        <v>0.29199999999999998</v>
      </c>
      <c r="K138" s="215" t="s">
        <v>275</v>
      </c>
      <c r="L138" s="217">
        <v>0.1</v>
      </c>
      <c r="M138" s="215"/>
      <c r="N138" s="41"/>
      <c r="O138" s="41"/>
      <c r="P138" s="41"/>
      <c r="Q138" s="42"/>
    </row>
    <row r="139" spans="1:17" ht="20.100000000000001" customHeight="1" x14ac:dyDescent="0.25">
      <c r="A139" s="214">
        <v>6532</v>
      </c>
      <c r="B139" s="214">
        <v>181</v>
      </c>
      <c r="C139" s="215" t="s">
        <v>14</v>
      </c>
      <c r="D139" s="215" t="s">
        <v>199</v>
      </c>
      <c r="E139" s="214">
        <v>25</v>
      </c>
      <c r="F139" s="215" t="s">
        <v>108</v>
      </c>
      <c r="G139" s="214">
        <v>3635</v>
      </c>
      <c r="H139" s="215" t="s">
        <v>109</v>
      </c>
      <c r="I139" s="214" t="s">
        <v>73</v>
      </c>
      <c r="J139" s="216">
        <v>7.9000000000000001E-2</v>
      </c>
      <c r="K139" s="215" t="s">
        <v>277</v>
      </c>
      <c r="L139" s="217">
        <v>0.1</v>
      </c>
      <c r="M139" s="215"/>
      <c r="N139" s="41"/>
      <c r="O139" s="41"/>
      <c r="P139" s="41"/>
      <c r="Q139" s="42"/>
    </row>
    <row r="140" spans="1:17" ht="20.100000000000001" customHeight="1" x14ac:dyDescent="0.25">
      <c r="A140" s="210">
        <v>3726</v>
      </c>
      <c r="B140" s="210">
        <v>9</v>
      </c>
      <c r="C140" s="211" t="s">
        <v>14</v>
      </c>
      <c r="D140" s="211" t="s">
        <v>198</v>
      </c>
      <c r="E140" s="210">
        <v>25</v>
      </c>
      <c r="F140" s="211" t="s">
        <v>34</v>
      </c>
      <c r="G140" s="210">
        <v>6</v>
      </c>
      <c r="H140" s="211" t="s">
        <v>43</v>
      </c>
      <c r="I140" s="210" t="s">
        <v>36</v>
      </c>
      <c r="J140" s="212">
        <v>5.9169999999999998</v>
      </c>
      <c r="K140" s="211" t="s">
        <v>268</v>
      </c>
      <c r="L140" s="213">
        <v>0.1</v>
      </c>
      <c r="M140" s="211"/>
      <c r="N140" s="41"/>
      <c r="O140" s="41"/>
      <c r="P140" s="41"/>
      <c r="Q140" s="42"/>
    </row>
    <row r="141" spans="1:17" ht="20.100000000000001" customHeight="1" x14ac:dyDescent="0.25">
      <c r="A141" s="214">
        <v>3726</v>
      </c>
      <c r="B141" s="214">
        <v>9</v>
      </c>
      <c r="C141" s="215" t="s">
        <v>14</v>
      </c>
      <c r="D141" s="215" t="s">
        <v>198</v>
      </c>
      <c r="E141" s="214">
        <v>25</v>
      </c>
      <c r="F141" s="215" t="s">
        <v>57</v>
      </c>
      <c r="G141" s="214">
        <v>3595</v>
      </c>
      <c r="H141" s="215" t="s">
        <v>270</v>
      </c>
      <c r="I141" s="214" t="s">
        <v>36</v>
      </c>
      <c r="J141" s="216">
        <v>0.61199999999999999</v>
      </c>
      <c r="K141" s="215" t="s">
        <v>271</v>
      </c>
      <c r="L141" s="217">
        <v>0.1</v>
      </c>
      <c r="M141" s="215"/>
      <c r="N141" s="41"/>
      <c r="O141" s="41"/>
      <c r="P141" s="41"/>
      <c r="Q141" s="42"/>
    </row>
    <row r="142" spans="1:17" ht="20.100000000000001" customHeight="1" x14ac:dyDescent="0.25">
      <c r="A142" s="214">
        <v>3726</v>
      </c>
      <c r="B142" s="214">
        <v>9</v>
      </c>
      <c r="C142" s="215" t="s">
        <v>14</v>
      </c>
      <c r="D142" s="215" t="s">
        <v>198</v>
      </c>
      <c r="E142" s="214">
        <v>25</v>
      </c>
      <c r="F142" s="215" t="s">
        <v>71</v>
      </c>
      <c r="G142" s="214">
        <v>68</v>
      </c>
      <c r="H142" s="215" t="s">
        <v>87</v>
      </c>
      <c r="I142" s="214" t="s">
        <v>73</v>
      </c>
      <c r="J142" s="216">
        <v>1000</v>
      </c>
      <c r="K142" s="215" t="s">
        <v>272</v>
      </c>
      <c r="L142" s="217">
        <v>0.02</v>
      </c>
      <c r="M142" s="215"/>
      <c r="N142" s="41"/>
      <c r="O142" s="41"/>
      <c r="P142" s="41"/>
      <c r="Q142" s="42"/>
    </row>
    <row r="143" spans="1:17" ht="20.100000000000001" customHeight="1" x14ac:dyDescent="0.25">
      <c r="A143" s="214">
        <v>3726</v>
      </c>
      <c r="B143" s="214">
        <v>9</v>
      </c>
      <c r="C143" s="215" t="s">
        <v>14</v>
      </c>
      <c r="D143" s="215" t="s">
        <v>198</v>
      </c>
      <c r="E143" s="214">
        <v>25</v>
      </c>
      <c r="F143" s="215" t="s">
        <v>95</v>
      </c>
      <c r="G143" s="214">
        <v>3598</v>
      </c>
      <c r="H143" s="215" t="s">
        <v>101</v>
      </c>
      <c r="I143" s="214" t="s">
        <v>73</v>
      </c>
      <c r="J143" s="216">
        <v>2.976</v>
      </c>
      <c r="K143" s="215" t="s">
        <v>273</v>
      </c>
      <c r="L143" s="217">
        <v>0.1</v>
      </c>
      <c r="M143" s="215"/>
      <c r="N143" s="41"/>
      <c r="O143" s="41"/>
      <c r="P143" s="41"/>
      <c r="Q143" s="42"/>
    </row>
    <row r="144" spans="1:17" ht="20.100000000000001" customHeight="1" x14ac:dyDescent="0.25">
      <c r="A144" s="214">
        <v>3726</v>
      </c>
      <c r="B144" s="214">
        <v>9</v>
      </c>
      <c r="C144" s="215" t="s">
        <v>14</v>
      </c>
      <c r="D144" s="215" t="s">
        <v>198</v>
      </c>
      <c r="E144" s="214">
        <v>25</v>
      </c>
      <c r="F144" s="215" t="s">
        <v>105</v>
      </c>
      <c r="G144" s="214">
        <v>194</v>
      </c>
      <c r="H144" s="215" t="s">
        <v>106</v>
      </c>
      <c r="I144" s="214" t="s">
        <v>36</v>
      </c>
      <c r="J144" s="216">
        <v>6.1500000000000001E-3</v>
      </c>
      <c r="K144" s="215" t="s">
        <v>274</v>
      </c>
      <c r="L144" s="217">
        <v>0.1</v>
      </c>
      <c r="M144" s="215"/>
      <c r="N144" s="41"/>
      <c r="O144" s="41"/>
      <c r="P144" s="41"/>
      <c r="Q144" s="42"/>
    </row>
    <row r="145" spans="1:17" ht="20.100000000000001" customHeight="1" x14ac:dyDescent="0.25">
      <c r="A145" s="214">
        <v>3726</v>
      </c>
      <c r="B145" s="214">
        <v>9</v>
      </c>
      <c r="C145" s="215" t="s">
        <v>14</v>
      </c>
      <c r="D145" s="215" t="s">
        <v>198</v>
      </c>
      <c r="E145" s="214">
        <v>25</v>
      </c>
      <c r="F145" s="215" t="s">
        <v>50</v>
      </c>
      <c r="G145" s="214">
        <v>4155</v>
      </c>
      <c r="H145" s="215" t="s">
        <v>56</v>
      </c>
      <c r="I145" s="214" t="s">
        <v>53</v>
      </c>
      <c r="J145" s="216">
        <v>0.29199999999999998</v>
      </c>
      <c r="K145" s="215" t="s">
        <v>275</v>
      </c>
      <c r="L145" s="217">
        <v>0.1</v>
      </c>
      <c r="M145" s="215"/>
      <c r="N145" s="41"/>
      <c r="O145" s="41"/>
      <c r="P145" s="41"/>
      <c r="Q145" s="42"/>
    </row>
    <row r="146" spans="1:17" ht="20.100000000000001" customHeight="1" x14ac:dyDescent="0.25">
      <c r="A146" s="214">
        <v>3726</v>
      </c>
      <c r="B146" s="214">
        <v>9</v>
      </c>
      <c r="C146" s="215" t="s">
        <v>14</v>
      </c>
      <c r="D146" s="215" t="s">
        <v>198</v>
      </c>
      <c r="E146" s="214">
        <v>25</v>
      </c>
      <c r="F146" s="215" t="s">
        <v>108</v>
      </c>
      <c r="G146" s="214">
        <v>3635</v>
      </c>
      <c r="H146" s="215" t="s">
        <v>109</v>
      </c>
      <c r="I146" s="214" t="s">
        <v>73</v>
      </c>
      <c r="J146" s="216">
        <v>7.9000000000000001E-2</v>
      </c>
      <c r="K146" s="215" t="s">
        <v>277</v>
      </c>
      <c r="L146" s="217">
        <v>0.1</v>
      </c>
      <c r="M146" s="215"/>
      <c r="N146" s="41"/>
      <c r="O146" s="41"/>
      <c r="P146" s="41"/>
      <c r="Q146" s="42"/>
    </row>
    <row r="147" spans="1:17" ht="20.100000000000001" customHeight="1" x14ac:dyDescent="0.25">
      <c r="A147" s="210">
        <v>6470</v>
      </c>
      <c r="B147" s="210">
        <v>177</v>
      </c>
      <c r="C147" s="211" t="s">
        <v>14</v>
      </c>
      <c r="D147" s="211" t="s">
        <v>15</v>
      </c>
      <c r="E147" s="210">
        <v>25</v>
      </c>
      <c r="F147" s="211" t="s">
        <v>34</v>
      </c>
      <c r="G147" s="210">
        <v>6</v>
      </c>
      <c r="H147" s="211" t="s">
        <v>43</v>
      </c>
      <c r="I147" s="210" t="s">
        <v>36</v>
      </c>
      <c r="J147" s="212">
        <v>5.9169999999999998</v>
      </c>
      <c r="K147" s="211" t="s">
        <v>268</v>
      </c>
      <c r="L147" s="213">
        <v>0.1</v>
      </c>
      <c r="M147" s="211"/>
      <c r="N147" s="41"/>
      <c r="O147" s="41"/>
      <c r="P147" s="41"/>
      <c r="Q147" s="42"/>
    </row>
    <row r="148" spans="1:17" ht="20.100000000000001" customHeight="1" x14ac:dyDescent="0.25">
      <c r="A148" s="214">
        <v>6470</v>
      </c>
      <c r="B148" s="214">
        <v>177</v>
      </c>
      <c r="C148" s="215" t="s">
        <v>14</v>
      </c>
      <c r="D148" s="215" t="s">
        <v>15</v>
      </c>
      <c r="E148" s="214">
        <v>25</v>
      </c>
      <c r="F148" s="215" t="s">
        <v>57</v>
      </c>
      <c r="G148" s="214">
        <v>3595</v>
      </c>
      <c r="H148" s="215" t="s">
        <v>270</v>
      </c>
      <c r="I148" s="214" t="s">
        <v>36</v>
      </c>
      <c r="J148" s="216">
        <v>0.61199999999999999</v>
      </c>
      <c r="K148" s="215" t="s">
        <v>271</v>
      </c>
      <c r="L148" s="217">
        <v>0.1</v>
      </c>
      <c r="M148" s="215"/>
      <c r="N148" s="41"/>
      <c r="O148" s="41"/>
      <c r="P148" s="41"/>
      <c r="Q148" s="42"/>
    </row>
    <row r="149" spans="1:17" ht="20.100000000000001" customHeight="1" x14ac:dyDescent="0.25">
      <c r="A149" s="214">
        <v>6470</v>
      </c>
      <c r="B149" s="214">
        <v>177</v>
      </c>
      <c r="C149" s="215" t="s">
        <v>14</v>
      </c>
      <c r="D149" s="215" t="s">
        <v>15</v>
      </c>
      <c r="E149" s="214">
        <v>25</v>
      </c>
      <c r="F149" s="215" t="s">
        <v>71</v>
      </c>
      <c r="G149" s="214">
        <v>68</v>
      </c>
      <c r="H149" s="215" t="s">
        <v>87</v>
      </c>
      <c r="I149" s="214" t="s">
        <v>73</v>
      </c>
      <c r="J149" s="216">
        <v>1000</v>
      </c>
      <c r="K149" s="215" t="s">
        <v>272</v>
      </c>
      <c r="L149" s="217">
        <v>0.02</v>
      </c>
      <c r="M149" s="215"/>
      <c r="N149" s="41"/>
      <c r="O149" s="41"/>
      <c r="P149" s="41"/>
      <c r="Q149" s="42"/>
    </row>
    <row r="150" spans="1:17" ht="20.100000000000001" customHeight="1" x14ac:dyDescent="0.25">
      <c r="A150" s="214">
        <v>6470</v>
      </c>
      <c r="B150" s="214">
        <v>177</v>
      </c>
      <c r="C150" s="215" t="s">
        <v>14</v>
      </c>
      <c r="D150" s="215" t="s">
        <v>15</v>
      </c>
      <c r="E150" s="214">
        <v>25</v>
      </c>
      <c r="F150" s="215" t="s">
        <v>95</v>
      </c>
      <c r="G150" s="214">
        <v>3598</v>
      </c>
      <c r="H150" s="215" t="s">
        <v>101</v>
      </c>
      <c r="I150" s="214" t="s">
        <v>73</v>
      </c>
      <c r="J150" s="216">
        <v>2.976</v>
      </c>
      <c r="K150" s="215" t="s">
        <v>273</v>
      </c>
      <c r="L150" s="217">
        <v>0.1</v>
      </c>
      <c r="M150" s="215"/>
      <c r="N150" s="41"/>
      <c r="O150" s="41"/>
      <c r="P150" s="41"/>
      <c r="Q150" s="42"/>
    </row>
    <row r="151" spans="1:17" ht="20.100000000000001" customHeight="1" x14ac:dyDescent="0.25">
      <c r="A151" s="214">
        <v>6470</v>
      </c>
      <c r="B151" s="214">
        <v>177</v>
      </c>
      <c r="C151" s="215" t="s">
        <v>14</v>
      </c>
      <c r="D151" s="215" t="s">
        <v>15</v>
      </c>
      <c r="E151" s="214">
        <v>25</v>
      </c>
      <c r="F151" s="215" t="s">
        <v>105</v>
      </c>
      <c r="G151" s="214">
        <v>194</v>
      </c>
      <c r="H151" s="215" t="s">
        <v>106</v>
      </c>
      <c r="I151" s="214" t="s">
        <v>36</v>
      </c>
      <c r="J151" s="216">
        <v>6.1539999999999997E-3</v>
      </c>
      <c r="K151" s="215" t="s">
        <v>274</v>
      </c>
      <c r="L151" s="217">
        <v>0.1</v>
      </c>
      <c r="M151" s="215"/>
      <c r="N151" s="41"/>
      <c r="O151" s="41"/>
      <c r="P151" s="41"/>
      <c r="Q151" s="42"/>
    </row>
    <row r="152" spans="1:17" ht="20.100000000000001" customHeight="1" x14ac:dyDescent="0.25">
      <c r="A152" s="214">
        <v>6470</v>
      </c>
      <c r="B152" s="214">
        <v>177</v>
      </c>
      <c r="C152" s="215" t="s">
        <v>14</v>
      </c>
      <c r="D152" s="215" t="s">
        <v>15</v>
      </c>
      <c r="E152" s="214">
        <v>25</v>
      </c>
      <c r="F152" s="215" t="s">
        <v>50</v>
      </c>
      <c r="G152" s="214">
        <v>4155</v>
      </c>
      <c r="H152" s="215" t="s">
        <v>56</v>
      </c>
      <c r="I152" s="214" t="s">
        <v>53</v>
      </c>
      <c r="J152" s="216">
        <v>0.29199999999999998</v>
      </c>
      <c r="K152" s="215" t="s">
        <v>275</v>
      </c>
      <c r="L152" s="217">
        <v>0.1</v>
      </c>
      <c r="M152" s="215"/>
      <c r="N152" s="41"/>
      <c r="O152" s="41"/>
      <c r="P152" s="41"/>
      <c r="Q152" s="42"/>
    </row>
    <row r="153" spans="1:17" ht="20.100000000000001" customHeight="1" x14ac:dyDescent="0.25">
      <c r="A153" s="214">
        <v>6470</v>
      </c>
      <c r="B153" s="214">
        <v>177</v>
      </c>
      <c r="C153" s="215" t="s">
        <v>14</v>
      </c>
      <c r="D153" s="215" t="s">
        <v>15</v>
      </c>
      <c r="E153" s="214">
        <v>25</v>
      </c>
      <c r="F153" s="215" t="s">
        <v>108</v>
      </c>
      <c r="G153" s="214">
        <v>3635</v>
      </c>
      <c r="H153" s="215" t="s">
        <v>109</v>
      </c>
      <c r="I153" s="214" t="s">
        <v>73</v>
      </c>
      <c r="J153" s="216">
        <v>7.9000000000000001E-2</v>
      </c>
      <c r="K153" s="215" t="s">
        <v>277</v>
      </c>
      <c r="L153" s="217">
        <v>0.1</v>
      </c>
      <c r="M153" s="215"/>
      <c r="N153" s="41"/>
      <c r="O153" s="41"/>
      <c r="P153" s="41"/>
      <c r="Q153" s="42"/>
    </row>
    <row r="154" spans="1:17" ht="20.100000000000001" customHeight="1" x14ac:dyDescent="0.25">
      <c r="A154" s="214">
        <v>6470</v>
      </c>
      <c r="B154" s="214">
        <v>177</v>
      </c>
      <c r="C154" s="215" t="s">
        <v>14</v>
      </c>
      <c r="D154" s="215" t="s">
        <v>15</v>
      </c>
      <c r="E154" s="214">
        <v>25</v>
      </c>
      <c r="F154" s="215" t="s">
        <v>285</v>
      </c>
      <c r="G154" s="214">
        <v>3754</v>
      </c>
      <c r="H154" s="215" t="s">
        <v>290</v>
      </c>
      <c r="I154" s="214" t="s">
        <v>36</v>
      </c>
      <c r="J154" s="216">
        <v>2.5000000000000001E-2</v>
      </c>
      <c r="K154" s="215" t="s">
        <v>287</v>
      </c>
      <c r="L154" s="217">
        <v>0.1</v>
      </c>
      <c r="M154" s="215"/>
      <c r="N154" s="41"/>
      <c r="O154" s="41"/>
      <c r="P154" s="41"/>
      <c r="Q154" s="42"/>
    </row>
    <row r="155" spans="1:17" ht="20.100000000000001" customHeight="1" x14ac:dyDescent="0.25">
      <c r="A155" s="214">
        <v>6470</v>
      </c>
      <c r="B155" s="214">
        <v>177</v>
      </c>
      <c r="C155" s="215" t="s">
        <v>14</v>
      </c>
      <c r="D155" s="215" t="s">
        <v>15</v>
      </c>
      <c r="E155" s="214">
        <v>25</v>
      </c>
      <c r="F155" s="215" t="s">
        <v>285</v>
      </c>
      <c r="G155" s="214">
        <v>3955</v>
      </c>
      <c r="H155" s="215" t="s">
        <v>291</v>
      </c>
      <c r="I155" s="214" t="s">
        <v>36</v>
      </c>
      <c r="J155" s="216">
        <v>2.5000000000000001E-2</v>
      </c>
      <c r="K155" s="215" t="s">
        <v>287</v>
      </c>
      <c r="L155" s="217">
        <v>0.1</v>
      </c>
      <c r="M155" s="215"/>
      <c r="N155" s="41"/>
      <c r="O155" s="41"/>
      <c r="P155" s="41"/>
      <c r="Q155" s="42"/>
    </row>
    <row r="156" spans="1:17" ht="20.100000000000001" customHeight="1" x14ac:dyDescent="0.25">
      <c r="A156" s="210">
        <v>6506</v>
      </c>
      <c r="B156" s="210">
        <v>179</v>
      </c>
      <c r="C156" s="211" t="s">
        <v>14</v>
      </c>
      <c r="D156" s="211" t="s">
        <v>200</v>
      </c>
      <c r="E156" s="210">
        <v>25</v>
      </c>
      <c r="F156" s="211" t="s">
        <v>34</v>
      </c>
      <c r="G156" s="210">
        <v>6</v>
      </c>
      <c r="H156" s="211" t="s">
        <v>43</v>
      </c>
      <c r="I156" s="210" t="s">
        <v>36</v>
      </c>
      <c r="J156" s="212">
        <v>5.9169999999999998</v>
      </c>
      <c r="K156" s="211" t="s">
        <v>268</v>
      </c>
      <c r="L156" s="213">
        <v>0.1</v>
      </c>
      <c r="M156" s="211"/>
      <c r="N156" s="41"/>
      <c r="O156" s="41"/>
      <c r="P156" s="41"/>
      <c r="Q156" s="42"/>
    </row>
    <row r="157" spans="1:17" ht="20.100000000000001" customHeight="1" x14ac:dyDescent="0.25">
      <c r="A157" s="214">
        <v>6506</v>
      </c>
      <c r="B157" s="214">
        <v>179</v>
      </c>
      <c r="C157" s="215" t="s">
        <v>14</v>
      </c>
      <c r="D157" s="215" t="s">
        <v>200</v>
      </c>
      <c r="E157" s="214">
        <v>25</v>
      </c>
      <c r="F157" s="215" t="s">
        <v>57</v>
      </c>
      <c r="G157" s="214">
        <v>3595</v>
      </c>
      <c r="H157" s="215" t="s">
        <v>270</v>
      </c>
      <c r="I157" s="214" t="s">
        <v>36</v>
      </c>
      <c r="J157" s="216">
        <v>0.61199999999999999</v>
      </c>
      <c r="K157" s="215" t="s">
        <v>271</v>
      </c>
      <c r="L157" s="217">
        <v>0.1</v>
      </c>
      <c r="M157" s="215"/>
      <c r="N157" s="41"/>
      <c r="O157" s="41"/>
      <c r="P157" s="41"/>
      <c r="Q157" s="42"/>
    </row>
    <row r="158" spans="1:17" ht="20.100000000000001" customHeight="1" x14ac:dyDescent="0.25">
      <c r="A158" s="214">
        <v>6506</v>
      </c>
      <c r="B158" s="214">
        <v>179</v>
      </c>
      <c r="C158" s="215" t="s">
        <v>14</v>
      </c>
      <c r="D158" s="215" t="s">
        <v>200</v>
      </c>
      <c r="E158" s="214">
        <v>25</v>
      </c>
      <c r="F158" s="215" t="s">
        <v>71</v>
      </c>
      <c r="G158" s="214">
        <v>68</v>
      </c>
      <c r="H158" s="215" t="s">
        <v>87</v>
      </c>
      <c r="I158" s="214" t="s">
        <v>73</v>
      </c>
      <c r="J158" s="216">
        <v>1000</v>
      </c>
      <c r="K158" s="215" t="s">
        <v>272</v>
      </c>
      <c r="L158" s="217">
        <v>0.02</v>
      </c>
      <c r="M158" s="215"/>
      <c r="N158" s="41"/>
      <c r="O158" s="41"/>
      <c r="P158" s="41"/>
      <c r="Q158" s="42"/>
    </row>
    <row r="159" spans="1:17" ht="20.100000000000001" customHeight="1" x14ac:dyDescent="0.25">
      <c r="A159" s="214">
        <v>6506</v>
      </c>
      <c r="B159" s="214">
        <v>179</v>
      </c>
      <c r="C159" s="215" t="s">
        <v>14</v>
      </c>
      <c r="D159" s="215" t="s">
        <v>200</v>
      </c>
      <c r="E159" s="214">
        <v>25</v>
      </c>
      <c r="F159" s="215" t="s">
        <v>95</v>
      </c>
      <c r="G159" s="214">
        <v>3598</v>
      </c>
      <c r="H159" s="215" t="s">
        <v>101</v>
      </c>
      <c r="I159" s="214" t="s">
        <v>73</v>
      </c>
      <c r="J159" s="216">
        <v>2.976</v>
      </c>
      <c r="K159" s="215" t="s">
        <v>273</v>
      </c>
      <c r="L159" s="217">
        <v>0.1</v>
      </c>
      <c r="M159" s="215"/>
      <c r="N159" s="41"/>
      <c r="O159" s="41"/>
      <c r="P159" s="41"/>
      <c r="Q159" s="42"/>
    </row>
    <row r="160" spans="1:17" ht="20.100000000000001" customHeight="1" x14ac:dyDescent="0.25">
      <c r="A160" s="214">
        <v>6506</v>
      </c>
      <c r="B160" s="214">
        <v>179</v>
      </c>
      <c r="C160" s="215" t="s">
        <v>14</v>
      </c>
      <c r="D160" s="215" t="s">
        <v>200</v>
      </c>
      <c r="E160" s="214">
        <v>25</v>
      </c>
      <c r="F160" s="215" t="s">
        <v>105</v>
      </c>
      <c r="G160" s="214">
        <v>194</v>
      </c>
      <c r="H160" s="215" t="s">
        <v>106</v>
      </c>
      <c r="I160" s="214" t="s">
        <v>36</v>
      </c>
      <c r="J160" s="216">
        <v>6.1539999999999997E-3</v>
      </c>
      <c r="K160" s="215" t="s">
        <v>274</v>
      </c>
      <c r="L160" s="217">
        <v>0.1</v>
      </c>
      <c r="M160" s="215"/>
      <c r="N160" s="41"/>
      <c r="O160" s="41"/>
      <c r="P160" s="41"/>
      <c r="Q160" s="42"/>
    </row>
    <row r="161" spans="1:17" ht="20.100000000000001" customHeight="1" x14ac:dyDescent="0.25">
      <c r="A161" s="214">
        <v>6506</v>
      </c>
      <c r="B161" s="214">
        <v>179</v>
      </c>
      <c r="C161" s="215" t="s">
        <v>14</v>
      </c>
      <c r="D161" s="215" t="s">
        <v>200</v>
      </c>
      <c r="E161" s="214">
        <v>25</v>
      </c>
      <c r="F161" s="215" t="s">
        <v>50</v>
      </c>
      <c r="G161" s="214">
        <v>4155</v>
      </c>
      <c r="H161" s="215" t="s">
        <v>56</v>
      </c>
      <c r="I161" s="214" t="s">
        <v>53</v>
      </c>
      <c r="J161" s="216">
        <v>0.29199999999999998</v>
      </c>
      <c r="K161" s="215" t="s">
        <v>275</v>
      </c>
      <c r="L161" s="217">
        <v>0.1</v>
      </c>
      <c r="M161" s="215"/>
      <c r="N161" s="41"/>
      <c r="O161" s="41"/>
      <c r="P161" s="41"/>
      <c r="Q161" s="42"/>
    </row>
    <row r="162" spans="1:17" ht="20.100000000000001" customHeight="1" x14ac:dyDescent="0.25">
      <c r="A162" s="214">
        <v>6506</v>
      </c>
      <c r="B162" s="214">
        <v>179</v>
      </c>
      <c r="C162" s="215" t="s">
        <v>14</v>
      </c>
      <c r="D162" s="215" t="s">
        <v>200</v>
      </c>
      <c r="E162" s="214">
        <v>25</v>
      </c>
      <c r="F162" s="215" t="s">
        <v>108</v>
      </c>
      <c r="G162" s="214">
        <v>3635</v>
      </c>
      <c r="H162" s="215" t="s">
        <v>109</v>
      </c>
      <c r="I162" s="214" t="s">
        <v>73</v>
      </c>
      <c r="J162" s="216">
        <v>7.9000000000000001E-2</v>
      </c>
      <c r="K162" s="215" t="s">
        <v>277</v>
      </c>
      <c r="L162" s="217">
        <v>0.1</v>
      </c>
      <c r="M162" s="215"/>
      <c r="N162" s="41"/>
      <c r="O162" s="41"/>
      <c r="P162" s="41"/>
      <c r="Q162" s="42"/>
    </row>
    <row r="163" spans="1:17" ht="20.100000000000001" customHeight="1" x14ac:dyDescent="0.25">
      <c r="A163" s="210">
        <v>6337</v>
      </c>
      <c r="B163" s="210">
        <v>166</v>
      </c>
      <c r="C163" s="211" t="s">
        <v>211</v>
      </c>
      <c r="D163" s="211" t="s">
        <v>213</v>
      </c>
      <c r="E163" s="210">
        <v>30</v>
      </c>
      <c r="F163" s="211" t="s">
        <v>34</v>
      </c>
      <c r="G163" s="210">
        <v>406</v>
      </c>
      <c r="H163" s="211" t="s">
        <v>46</v>
      </c>
      <c r="I163" s="210" t="s">
        <v>36</v>
      </c>
      <c r="J163" s="212">
        <v>8</v>
      </c>
      <c r="K163" s="211" t="s">
        <v>268</v>
      </c>
      <c r="L163" s="213">
        <v>0.1</v>
      </c>
      <c r="M163" s="211"/>
      <c r="N163" s="41"/>
      <c r="O163" s="41"/>
      <c r="P163" s="41"/>
      <c r="Q163" s="42"/>
    </row>
    <row r="164" spans="1:17" ht="20.100000000000001" customHeight="1" x14ac:dyDescent="0.25">
      <c r="A164" s="214">
        <v>6337</v>
      </c>
      <c r="B164" s="214">
        <v>166</v>
      </c>
      <c r="C164" s="215" t="s">
        <v>211</v>
      </c>
      <c r="D164" s="215" t="s">
        <v>213</v>
      </c>
      <c r="E164" s="214">
        <v>30</v>
      </c>
      <c r="F164" s="215" t="s">
        <v>57</v>
      </c>
      <c r="G164" s="214">
        <v>3595</v>
      </c>
      <c r="H164" s="215" t="s">
        <v>270</v>
      </c>
      <c r="I164" s="214" t="s">
        <v>36</v>
      </c>
      <c r="J164" s="216">
        <v>0.67</v>
      </c>
      <c r="K164" s="215" t="s">
        <v>271</v>
      </c>
      <c r="L164" s="217">
        <v>0.1</v>
      </c>
      <c r="M164" s="215"/>
      <c r="N164" s="41"/>
      <c r="O164" s="41"/>
      <c r="P164" s="41"/>
      <c r="Q164" s="42"/>
    </row>
    <row r="165" spans="1:17" ht="20.100000000000001" customHeight="1" x14ac:dyDescent="0.25">
      <c r="A165" s="214">
        <v>6337</v>
      </c>
      <c r="B165" s="214">
        <v>166</v>
      </c>
      <c r="C165" s="215" t="s">
        <v>211</v>
      </c>
      <c r="D165" s="215" t="s">
        <v>213</v>
      </c>
      <c r="E165" s="214">
        <v>30</v>
      </c>
      <c r="F165" s="215" t="s">
        <v>69</v>
      </c>
      <c r="G165" s="214">
        <v>186</v>
      </c>
      <c r="H165" s="215" t="s">
        <v>70</v>
      </c>
      <c r="I165" s="214" t="s">
        <v>36</v>
      </c>
      <c r="J165" s="216">
        <v>0.28000000000000003</v>
      </c>
      <c r="K165" s="215" t="s">
        <v>288</v>
      </c>
      <c r="L165" s="217">
        <v>0.1</v>
      </c>
      <c r="M165" s="215"/>
      <c r="N165" s="41"/>
      <c r="O165" s="41"/>
      <c r="P165" s="41"/>
      <c r="Q165" s="42"/>
    </row>
    <row r="166" spans="1:17" ht="20.100000000000001" customHeight="1" x14ac:dyDescent="0.25">
      <c r="A166" s="214">
        <v>6337</v>
      </c>
      <c r="B166" s="214">
        <v>166</v>
      </c>
      <c r="C166" s="215" t="s">
        <v>211</v>
      </c>
      <c r="D166" s="215" t="s">
        <v>213</v>
      </c>
      <c r="E166" s="214">
        <v>30</v>
      </c>
      <c r="F166" s="215" t="s">
        <v>71</v>
      </c>
      <c r="G166" s="214">
        <v>578</v>
      </c>
      <c r="H166" s="215" t="s">
        <v>93</v>
      </c>
      <c r="I166" s="214" t="s">
        <v>73</v>
      </c>
      <c r="J166" s="216">
        <v>1000</v>
      </c>
      <c r="K166" s="215" t="s">
        <v>272</v>
      </c>
      <c r="L166" s="217">
        <v>0.02</v>
      </c>
      <c r="M166" s="215"/>
      <c r="N166" s="41"/>
      <c r="O166" s="41"/>
      <c r="P166" s="41"/>
      <c r="Q166" s="42"/>
    </row>
    <row r="167" spans="1:17" ht="20.100000000000001" customHeight="1" x14ac:dyDescent="0.25">
      <c r="A167" s="214">
        <v>6337</v>
      </c>
      <c r="B167" s="214">
        <v>166</v>
      </c>
      <c r="C167" s="215" t="s">
        <v>211</v>
      </c>
      <c r="D167" s="215" t="s">
        <v>213</v>
      </c>
      <c r="E167" s="214">
        <v>30</v>
      </c>
      <c r="F167" s="215" t="s">
        <v>95</v>
      </c>
      <c r="G167" s="214">
        <v>45</v>
      </c>
      <c r="H167" s="215" t="s">
        <v>102</v>
      </c>
      <c r="I167" s="214" t="s">
        <v>73</v>
      </c>
      <c r="J167" s="216">
        <v>6.6665999999999999</v>
      </c>
      <c r="K167" s="215" t="s">
        <v>273</v>
      </c>
      <c r="L167" s="217">
        <v>0.1</v>
      </c>
      <c r="M167" s="215"/>
      <c r="N167" s="41"/>
      <c r="O167" s="41"/>
      <c r="P167" s="41"/>
      <c r="Q167" s="42"/>
    </row>
    <row r="168" spans="1:17" ht="20.100000000000001" customHeight="1" x14ac:dyDescent="0.25">
      <c r="A168" s="214">
        <v>6337</v>
      </c>
      <c r="B168" s="214">
        <v>166</v>
      </c>
      <c r="C168" s="215" t="s">
        <v>211</v>
      </c>
      <c r="D168" s="215" t="s">
        <v>213</v>
      </c>
      <c r="E168" s="214">
        <v>30</v>
      </c>
      <c r="F168" s="215" t="s">
        <v>50</v>
      </c>
      <c r="G168" s="214">
        <v>4155</v>
      </c>
      <c r="H168" s="215" t="s">
        <v>56</v>
      </c>
      <c r="I168" s="214" t="s">
        <v>36</v>
      </c>
      <c r="J168" s="216">
        <v>0.28000000000000003</v>
      </c>
      <c r="K168" s="215" t="s">
        <v>275</v>
      </c>
      <c r="L168" s="217">
        <v>0.1</v>
      </c>
      <c r="M168" s="215"/>
      <c r="N168" s="41"/>
      <c r="O168" s="41"/>
      <c r="P168" s="41"/>
      <c r="Q168" s="42"/>
    </row>
    <row r="169" spans="1:17" ht="20.100000000000001" customHeight="1" x14ac:dyDescent="0.25">
      <c r="A169" s="214">
        <v>6337</v>
      </c>
      <c r="B169" s="214">
        <v>166</v>
      </c>
      <c r="C169" s="215" t="s">
        <v>211</v>
      </c>
      <c r="D169" s="215" t="s">
        <v>213</v>
      </c>
      <c r="E169" s="214">
        <v>30</v>
      </c>
      <c r="F169" s="215" t="s">
        <v>108</v>
      </c>
      <c r="G169" s="214">
        <v>3635</v>
      </c>
      <c r="H169" s="215" t="s">
        <v>109</v>
      </c>
      <c r="I169" s="214" t="s">
        <v>73</v>
      </c>
      <c r="J169" s="216">
        <v>0.156</v>
      </c>
      <c r="K169" s="215" t="s">
        <v>284</v>
      </c>
      <c r="L169" s="217">
        <v>0.1</v>
      </c>
      <c r="M169" s="215"/>
      <c r="N169" s="41"/>
      <c r="O169" s="41"/>
      <c r="P169" s="41"/>
      <c r="Q169" s="42"/>
    </row>
    <row r="170" spans="1:17" ht="20.100000000000001" customHeight="1" x14ac:dyDescent="0.25">
      <c r="A170" s="214">
        <v>6337</v>
      </c>
      <c r="B170" s="214">
        <v>166</v>
      </c>
      <c r="C170" s="215" t="s">
        <v>211</v>
      </c>
      <c r="D170" s="215" t="s">
        <v>213</v>
      </c>
      <c r="E170" s="214">
        <v>30</v>
      </c>
      <c r="F170" s="215" t="s">
        <v>105</v>
      </c>
      <c r="G170" s="214">
        <v>194</v>
      </c>
      <c r="H170" s="215" t="s">
        <v>106</v>
      </c>
      <c r="I170" s="214" t="s">
        <v>36</v>
      </c>
      <c r="J170" s="216">
        <v>8.3199999999999993E-3</v>
      </c>
      <c r="K170" s="215" t="s">
        <v>105</v>
      </c>
      <c r="L170" s="217">
        <v>0.1</v>
      </c>
      <c r="M170" s="215"/>
      <c r="N170" s="41"/>
      <c r="O170" s="41"/>
      <c r="P170" s="41"/>
      <c r="Q170" s="42"/>
    </row>
    <row r="171" spans="1:17" ht="20.100000000000001" customHeight="1" x14ac:dyDescent="0.25">
      <c r="A171" s="210">
        <v>6416</v>
      </c>
      <c r="B171" s="210">
        <v>171</v>
      </c>
      <c r="C171" s="211" t="s">
        <v>211</v>
      </c>
      <c r="D171" s="211" t="s">
        <v>212</v>
      </c>
      <c r="E171" s="210">
        <v>30</v>
      </c>
      <c r="F171" s="211" t="s">
        <v>34</v>
      </c>
      <c r="G171" s="210">
        <v>406</v>
      </c>
      <c r="H171" s="211" t="s">
        <v>46</v>
      </c>
      <c r="I171" s="210" t="s">
        <v>36</v>
      </c>
      <c r="J171" s="212">
        <v>8</v>
      </c>
      <c r="K171" s="211" t="s">
        <v>268</v>
      </c>
      <c r="L171" s="213">
        <v>0.1</v>
      </c>
      <c r="M171" s="211"/>
      <c r="N171" s="41"/>
      <c r="O171" s="41"/>
      <c r="P171" s="41"/>
      <c r="Q171" s="42"/>
    </row>
    <row r="172" spans="1:17" ht="20.100000000000001" customHeight="1" x14ac:dyDescent="0.25">
      <c r="A172" s="214">
        <v>6416</v>
      </c>
      <c r="B172" s="214">
        <v>171</v>
      </c>
      <c r="C172" s="215" t="s">
        <v>211</v>
      </c>
      <c r="D172" s="215" t="s">
        <v>212</v>
      </c>
      <c r="E172" s="214">
        <v>30</v>
      </c>
      <c r="F172" s="215" t="s">
        <v>57</v>
      </c>
      <c r="G172" s="214">
        <v>3595</v>
      </c>
      <c r="H172" s="215" t="s">
        <v>270</v>
      </c>
      <c r="I172" s="214" t="s">
        <v>36</v>
      </c>
      <c r="J172" s="216">
        <v>0.67</v>
      </c>
      <c r="K172" s="215" t="s">
        <v>271</v>
      </c>
      <c r="L172" s="217">
        <v>0.1</v>
      </c>
      <c r="M172" s="215"/>
      <c r="N172" s="41"/>
      <c r="O172" s="41"/>
      <c r="P172" s="41"/>
      <c r="Q172" s="42"/>
    </row>
    <row r="173" spans="1:17" ht="20.100000000000001" customHeight="1" x14ac:dyDescent="0.25">
      <c r="A173" s="214">
        <v>6416</v>
      </c>
      <c r="B173" s="214">
        <v>171</v>
      </c>
      <c r="C173" s="215" t="s">
        <v>211</v>
      </c>
      <c r="D173" s="215" t="s">
        <v>212</v>
      </c>
      <c r="E173" s="214">
        <v>30</v>
      </c>
      <c r="F173" s="215" t="s">
        <v>69</v>
      </c>
      <c r="G173" s="214">
        <v>186</v>
      </c>
      <c r="H173" s="215" t="s">
        <v>70</v>
      </c>
      <c r="I173" s="214" t="s">
        <v>36</v>
      </c>
      <c r="J173" s="216">
        <v>0.28000000000000003</v>
      </c>
      <c r="K173" s="215" t="s">
        <v>288</v>
      </c>
      <c r="L173" s="217">
        <v>0.1</v>
      </c>
      <c r="M173" s="215"/>
      <c r="N173" s="41"/>
      <c r="O173" s="41"/>
      <c r="P173" s="41"/>
      <c r="Q173" s="42"/>
    </row>
    <row r="174" spans="1:17" ht="20.100000000000001" customHeight="1" x14ac:dyDescent="0.25">
      <c r="A174" s="214">
        <v>6416</v>
      </c>
      <c r="B174" s="214">
        <v>171</v>
      </c>
      <c r="C174" s="215" t="s">
        <v>211</v>
      </c>
      <c r="D174" s="215" t="s">
        <v>212</v>
      </c>
      <c r="E174" s="214">
        <v>30</v>
      </c>
      <c r="F174" s="215" t="s">
        <v>71</v>
      </c>
      <c r="G174" s="214">
        <v>578</v>
      </c>
      <c r="H174" s="215" t="s">
        <v>93</v>
      </c>
      <c r="I174" s="214" t="s">
        <v>73</v>
      </c>
      <c r="J174" s="216">
        <v>1000</v>
      </c>
      <c r="K174" s="215" t="s">
        <v>272</v>
      </c>
      <c r="L174" s="217">
        <v>0.02</v>
      </c>
      <c r="M174" s="215"/>
      <c r="N174" s="41"/>
      <c r="O174" s="41"/>
      <c r="P174" s="41"/>
      <c r="Q174" s="42"/>
    </row>
    <row r="175" spans="1:17" ht="20.100000000000001" customHeight="1" x14ac:dyDescent="0.25">
      <c r="A175" s="214">
        <v>6416</v>
      </c>
      <c r="B175" s="214">
        <v>171</v>
      </c>
      <c r="C175" s="215" t="s">
        <v>211</v>
      </c>
      <c r="D175" s="215" t="s">
        <v>212</v>
      </c>
      <c r="E175" s="214">
        <v>30</v>
      </c>
      <c r="F175" s="215" t="s">
        <v>95</v>
      </c>
      <c r="G175" s="214">
        <v>3598</v>
      </c>
      <c r="H175" s="215" t="s">
        <v>101</v>
      </c>
      <c r="I175" s="214" t="s">
        <v>73</v>
      </c>
      <c r="J175" s="216">
        <v>4.2016</v>
      </c>
      <c r="K175" s="215" t="s">
        <v>273</v>
      </c>
      <c r="L175" s="217">
        <v>0.1</v>
      </c>
      <c r="M175" s="215"/>
      <c r="N175" s="41"/>
      <c r="O175" s="41"/>
      <c r="P175" s="41"/>
      <c r="Q175" s="42"/>
    </row>
    <row r="176" spans="1:17" ht="20.100000000000001" customHeight="1" x14ac:dyDescent="0.25">
      <c r="A176" s="214">
        <v>6416</v>
      </c>
      <c r="B176" s="214">
        <v>171</v>
      </c>
      <c r="C176" s="215" t="s">
        <v>211</v>
      </c>
      <c r="D176" s="215" t="s">
        <v>212</v>
      </c>
      <c r="E176" s="214">
        <v>30</v>
      </c>
      <c r="F176" s="215" t="s">
        <v>50</v>
      </c>
      <c r="G176" s="214">
        <v>4155</v>
      </c>
      <c r="H176" s="215" t="s">
        <v>56</v>
      </c>
      <c r="I176" s="214" t="s">
        <v>36</v>
      </c>
      <c r="J176" s="216">
        <v>0.28000000000000003</v>
      </c>
      <c r="K176" s="215" t="s">
        <v>275</v>
      </c>
      <c r="L176" s="217">
        <v>0.1</v>
      </c>
      <c r="M176" s="215"/>
      <c r="N176" s="41"/>
      <c r="O176" s="41"/>
      <c r="P176" s="41"/>
      <c r="Q176" s="42"/>
    </row>
    <row r="177" spans="1:17" ht="20.100000000000001" customHeight="1" x14ac:dyDescent="0.25">
      <c r="A177" s="214">
        <v>6416</v>
      </c>
      <c r="B177" s="214">
        <v>171</v>
      </c>
      <c r="C177" s="215" t="s">
        <v>211</v>
      </c>
      <c r="D177" s="215" t="s">
        <v>212</v>
      </c>
      <c r="E177" s="214">
        <v>30</v>
      </c>
      <c r="F177" s="215" t="s">
        <v>108</v>
      </c>
      <c r="G177" s="214">
        <v>3635</v>
      </c>
      <c r="H177" s="215" t="s">
        <v>109</v>
      </c>
      <c r="I177" s="214" t="s">
        <v>73</v>
      </c>
      <c r="J177" s="216">
        <v>0.156</v>
      </c>
      <c r="K177" s="215" t="s">
        <v>284</v>
      </c>
      <c r="L177" s="217">
        <v>0.1</v>
      </c>
      <c r="M177" s="215"/>
      <c r="N177" s="41"/>
      <c r="O177" s="41"/>
      <c r="P177" s="41"/>
      <c r="Q177" s="42"/>
    </row>
    <row r="178" spans="1:17" ht="20.100000000000001" customHeight="1" x14ac:dyDescent="0.25">
      <c r="A178" s="214">
        <v>6416</v>
      </c>
      <c r="B178" s="214">
        <v>171</v>
      </c>
      <c r="C178" s="215" t="s">
        <v>211</v>
      </c>
      <c r="D178" s="215" t="s">
        <v>212</v>
      </c>
      <c r="E178" s="214">
        <v>30</v>
      </c>
      <c r="F178" s="215" t="s">
        <v>105</v>
      </c>
      <c r="G178" s="214">
        <v>194</v>
      </c>
      <c r="H178" s="215" t="s">
        <v>106</v>
      </c>
      <c r="I178" s="214" t="s">
        <v>36</v>
      </c>
      <c r="J178" s="216">
        <v>8.3199999999999993E-3</v>
      </c>
      <c r="K178" s="215" t="s">
        <v>105</v>
      </c>
      <c r="L178" s="217">
        <v>0.1</v>
      </c>
      <c r="M178" s="215"/>
      <c r="N178" s="41"/>
      <c r="O178" s="41"/>
      <c r="P178" s="41"/>
      <c r="Q178" s="42"/>
    </row>
    <row r="179" spans="1:17" ht="20.100000000000001" customHeight="1" x14ac:dyDescent="0.25">
      <c r="A179" s="210">
        <v>6206</v>
      </c>
      <c r="B179" s="210">
        <v>149</v>
      </c>
      <c r="C179" s="211" t="s">
        <v>19</v>
      </c>
      <c r="D179" s="211" t="s">
        <v>20</v>
      </c>
      <c r="E179" s="210">
        <v>30</v>
      </c>
      <c r="F179" s="211" t="s">
        <v>34</v>
      </c>
      <c r="G179" s="210">
        <v>406</v>
      </c>
      <c r="H179" s="211" t="s">
        <v>46</v>
      </c>
      <c r="I179" s="210" t="s">
        <v>36</v>
      </c>
      <c r="J179" s="212">
        <v>8</v>
      </c>
      <c r="K179" s="211" t="s">
        <v>268</v>
      </c>
      <c r="L179" s="213">
        <v>0.1</v>
      </c>
      <c r="M179" s="211"/>
      <c r="N179" s="41"/>
      <c r="O179" s="41"/>
      <c r="P179" s="41"/>
      <c r="Q179" s="42"/>
    </row>
    <row r="180" spans="1:17" ht="20.100000000000001" customHeight="1" x14ac:dyDescent="0.25">
      <c r="A180" s="214">
        <v>6206</v>
      </c>
      <c r="B180" s="214">
        <v>149</v>
      </c>
      <c r="C180" s="215" t="s">
        <v>19</v>
      </c>
      <c r="D180" s="215" t="s">
        <v>20</v>
      </c>
      <c r="E180" s="214">
        <v>30</v>
      </c>
      <c r="F180" s="215" t="s">
        <v>57</v>
      </c>
      <c r="G180" s="214">
        <v>3595</v>
      </c>
      <c r="H180" s="215" t="s">
        <v>270</v>
      </c>
      <c r="I180" s="214" t="s">
        <v>36</v>
      </c>
      <c r="J180" s="216">
        <v>0.67</v>
      </c>
      <c r="K180" s="215" t="s">
        <v>271</v>
      </c>
      <c r="L180" s="217">
        <v>0.1</v>
      </c>
      <c r="M180" s="215"/>
      <c r="N180" s="41"/>
      <c r="O180" s="41"/>
      <c r="P180" s="41"/>
      <c r="Q180" s="42"/>
    </row>
    <row r="181" spans="1:17" ht="20.100000000000001" customHeight="1" x14ac:dyDescent="0.25">
      <c r="A181" s="214">
        <v>6206</v>
      </c>
      <c r="B181" s="214">
        <v>149</v>
      </c>
      <c r="C181" s="215" t="s">
        <v>19</v>
      </c>
      <c r="D181" s="215" t="s">
        <v>20</v>
      </c>
      <c r="E181" s="214">
        <v>30</v>
      </c>
      <c r="F181" s="215" t="s">
        <v>69</v>
      </c>
      <c r="G181" s="214">
        <v>186</v>
      </c>
      <c r="H181" s="215" t="s">
        <v>70</v>
      </c>
      <c r="I181" s="214" t="s">
        <v>36</v>
      </c>
      <c r="J181" s="216">
        <v>0.28000000000000003</v>
      </c>
      <c r="K181" s="215" t="s">
        <v>288</v>
      </c>
      <c r="L181" s="217">
        <v>0.1</v>
      </c>
      <c r="M181" s="215"/>
      <c r="N181" s="41"/>
      <c r="O181" s="41"/>
      <c r="P181" s="41"/>
      <c r="Q181" s="42"/>
    </row>
    <row r="182" spans="1:17" ht="20.100000000000001" customHeight="1" x14ac:dyDescent="0.25">
      <c r="A182" s="214">
        <v>6206</v>
      </c>
      <c r="B182" s="214">
        <v>149</v>
      </c>
      <c r="C182" s="215" t="s">
        <v>19</v>
      </c>
      <c r="D182" s="215" t="s">
        <v>20</v>
      </c>
      <c r="E182" s="214">
        <v>30</v>
      </c>
      <c r="F182" s="215" t="s">
        <v>71</v>
      </c>
      <c r="G182" s="214">
        <v>68</v>
      </c>
      <c r="H182" s="215" t="s">
        <v>87</v>
      </c>
      <c r="I182" s="214" t="s">
        <v>73</v>
      </c>
      <c r="J182" s="216">
        <v>1000</v>
      </c>
      <c r="K182" s="215" t="s">
        <v>272</v>
      </c>
      <c r="L182" s="217">
        <v>0.02</v>
      </c>
      <c r="M182" s="215"/>
      <c r="N182" s="41"/>
      <c r="O182" s="41"/>
      <c r="P182" s="41"/>
      <c r="Q182" s="42"/>
    </row>
    <row r="183" spans="1:17" ht="20.100000000000001" customHeight="1" x14ac:dyDescent="0.25">
      <c r="A183" s="214">
        <v>6206</v>
      </c>
      <c r="B183" s="214">
        <v>149</v>
      </c>
      <c r="C183" s="215" t="s">
        <v>19</v>
      </c>
      <c r="D183" s="215" t="s">
        <v>20</v>
      </c>
      <c r="E183" s="214">
        <v>30</v>
      </c>
      <c r="F183" s="215" t="s">
        <v>95</v>
      </c>
      <c r="G183" s="214">
        <v>3598</v>
      </c>
      <c r="H183" s="215" t="s">
        <v>101</v>
      </c>
      <c r="I183" s="214" t="s">
        <v>73</v>
      </c>
      <c r="J183" s="216">
        <v>4.2016</v>
      </c>
      <c r="K183" s="215" t="s">
        <v>273</v>
      </c>
      <c r="L183" s="217">
        <v>0.1</v>
      </c>
      <c r="M183" s="215"/>
      <c r="N183" s="41"/>
      <c r="O183" s="41"/>
      <c r="P183" s="41"/>
      <c r="Q183" s="42"/>
    </row>
    <row r="184" spans="1:17" ht="20.100000000000001" customHeight="1" x14ac:dyDescent="0.25">
      <c r="A184" s="214">
        <v>6206</v>
      </c>
      <c r="B184" s="214">
        <v>149</v>
      </c>
      <c r="C184" s="215" t="s">
        <v>19</v>
      </c>
      <c r="D184" s="215" t="s">
        <v>20</v>
      </c>
      <c r="E184" s="214">
        <v>30</v>
      </c>
      <c r="F184" s="215" t="s">
        <v>105</v>
      </c>
      <c r="G184" s="214">
        <v>194</v>
      </c>
      <c r="H184" s="215" t="s">
        <v>106</v>
      </c>
      <c r="I184" s="214" t="s">
        <v>36</v>
      </c>
      <c r="J184" s="216">
        <v>8.3199999999999993E-3</v>
      </c>
      <c r="K184" s="215" t="s">
        <v>274</v>
      </c>
      <c r="L184" s="217">
        <v>0.1</v>
      </c>
      <c r="M184" s="215"/>
      <c r="N184" s="41"/>
      <c r="O184" s="41"/>
      <c r="P184" s="41"/>
      <c r="Q184" s="42"/>
    </row>
    <row r="185" spans="1:17" ht="20.100000000000001" customHeight="1" x14ac:dyDescent="0.25">
      <c r="A185" s="214">
        <v>6206</v>
      </c>
      <c r="B185" s="214">
        <v>149</v>
      </c>
      <c r="C185" s="215" t="s">
        <v>19</v>
      </c>
      <c r="D185" s="215" t="s">
        <v>20</v>
      </c>
      <c r="E185" s="214">
        <v>30</v>
      </c>
      <c r="F185" s="215" t="s">
        <v>50</v>
      </c>
      <c r="G185" s="214">
        <v>4155</v>
      </c>
      <c r="H185" s="215" t="s">
        <v>56</v>
      </c>
      <c r="I185" s="214" t="s">
        <v>36</v>
      </c>
      <c r="J185" s="216">
        <v>0.28000000000000003</v>
      </c>
      <c r="K185" s="215" t="s">
        <v>275</v>
      </c>
      <c r="L185" s="217">
        <v>0.1</v>
      </c>
      <c r="M185" s="215"/>
      <c r="N185" s="41"/>
      <c r="O185" s="41"/>
      <c r="P185" s="41"/>
      <c r="Q185" s="42"/>
    </row>
    <row r="186" spans="1:17" ht="20.100000000000001" customHeight="1" x14ac:dyDescent="0.25">
      <c r="A186" s="214">
        <v>6206</v>
      </c>
      <c r="B186" s="214">
        <v>149</v>
      </c>
      <c r="C186" s="215" t="s">
        <v>19</v>
      </c>
      <c r="D186" s="215" t="s">
        <v>20</v>
      </c>
      <c r="E186" s="214">
        <v>30</v>
      </c>
      <c r="F186" s="215" t="s">
        <v>108</v>
      </c>
      <c r="G186" s="214">
        <v>3635</v>
      </c>
      <c r="H186" s="215" t="s">
        <v>109</v>
      </c>
      <c r="I186" s="214" t="s">
        <v>73</v>
      </c>
      <c r="J186" s="216">
        <v>0.156</v>
      </c>
      <c r="K186" s="215" t="s">
        <v>277</v>
      </c>
      <c r="L186" s="217">
        <v>0.1</v>
      </c>
      <c r="M186" s="215"/>
      <c r="N186" s="41"/>
      <c r="O186" s="41"/>
      <c r="P186" s="41"/>
      <c r="Q186" s="42"/>
    </row>
    <row r="187" spans="1:17" ht="20.100000000000001" customHeight="1" x14ac:dyDescent="0.25">
      <c r="A187" s="214">
        <v>6206</v>
      </c>
      <c r="B187" s="214">
        <v>149</v>
      </c>
      <c r="C187" s="215" t="s">
        <v>19</v>
      </c>
      <c r="D187" s="215" t="s">
        <v>20</v>
      </c>
      <c r="E187" s="214">
        <v>30</v>
      </c>
      <c r="F187" s="215" t="s">
        <v>285</v>
      </c>
      <c r="G187" s="214">
        <v>6935</v>
      </c>
      <c r="H187" s="215" t="s">
        <v>292</v>
      </c>
      <c r="I187" s="214" t="s">
        <v>36</v>
      </c>
      <c r="J187" s="216">
        <v>3.3000000000000002E-2</v>
      </c>
      <c r="K187" s="215" t="s">
        <v>287</v>
      </c>
      <c r="L187" s="217">
        <v>0.1</v>
      </c>
      <c r="M187" s="215"/>
      <c r="N187" s="41"/>
      <c r="O187" s="41"/>
      <c r="P187" s="41"/>
      <c r="Q187" s="42"/>
    </row>
    <row r="188" spans="1:17" ht="20.100000000000001" customHeight="1" x14ac:dyDescent="0.25">
      <c r="A188" s="210">
        <v>5814</v>
      </c>
      <c r="B188" s="210">
        <v>95</v>
      </c>
      <c r="C188" s="211" t="s">
        <v>11</v>
      </c>
      <c r="D188" s="211" t="s">
        <v>17</v>
      </c>
      <c r="E188" s="210">
        <v>30</v>
      </c>
      <c r="F188" s="211" t="s">
        <v>34</v>
      </c>
      <c r="G188" s="210">
        <v>406</v>
      </c>
      <c r="H188" s="211" t="s">
        <v>46</v>
      </c>
      <c r="I188" s="210" t="s">
        <v>36</v>
      </c>
      <c r="J188" s="212">
        <v>8</v>
      </c>
      <c r="K188" s="211" t="s">
        <v>268</v>
      </c>
      <c r="L188" s="213">
        <v>0.1</v>
      </c>
      <c r="M188" s="211"/>
      <c r="N188" s="41"/>
      <c r="O188" s="41"/>
      <c r="P188" s="41"/>
      <c r="Q188" s="42"/>
    </row>
    <row r="189" spans="1:17" ht="20.100000000000001" customHeight="1" x14ac:dyDescent="0.25">
      <c r="A189" s="214">
        <v>5814</v>
      </c>
      <c r="B189" s="214">
        <v>95</v>
      </c>
      <c r="C189" s="215" t="s">
        <v>11</v>
      </c>
      <c r="D189" s="215" t="s">
        <v>17</v>
      </c>
      <c r="E189" s="214">
        <v>30</v>
      </c>
      <c r="F189" s="215" t="s">
        <v>57</v>
      </c>
      <c r="G189" s="214">
        <v>3595</v>
      </c>
      <c r="H189" s="215" t="s">
        <v>270</v>
      </c>
      <c r="I189" s="214" t="s">
        <v>36</v>
      </c>
      <c r="J189" s="216">
        <v>0.66839999999999999</v>
      </c>
      <c r="K189" s="215" t="s">
        <v>271</v>
      </c>
      <c r="L189" s="217">
        <v>0.1</v>
      </c>
      <c r="M189" s="215"/>
      <c r="N189" s="41"/>
      <c r="O189" s="41"/>
      <c r="P189" s="41"/>
      <c r="Q189" s="42"/>
    </row>
    <row r="190" spans="1:17" ht="20.100000000000001" customHeight="1" x14ac:dyDescent="0.25">
      <c r="A190" s="214">
        <v>5814</v>
      </c>
      <c r="B190" s="214">
        <v>95</v>
      </c>
      <c r="C190" s="215" t="s">
        <v>11</v>
      </c>
      <c r="D190" s="215" t="s">
        <v>17</v>
      </c>
      <c r="E190" s="214">
        <v>30</v>
      </c>
      <c r="F190" s="215" t="s">
        <v>69</v>
      </c>
      <c r="G190" s="214">
        <v>186</v>
      </c>
      <c r="H190" s="215" t="s">
        <v>70</v>
      </c>
      <c r="I190" s="214" t="s">
        <v>36</v>
      </c>
      <c r="J190" s="216">
        <v>0.12</v>
      </c>
      <c r="K190" s="215" t="s">
        <v>288</v>
      </c>
      <c r="L190" s="217">
        <v>0.1</v>
      </c>
      <c r="M190" s="215"/>
      <c r="N190" s="41"/>
      <c r="O190" s="41"/>
      <c r="P190" s="41"/>
      <c r="Q190" s="42"/>
    </row>
    <row r="191" spans="1:17" ht="20.100000000000001" customHeight="1" x14ac:dyDescent="0.25">
      <c r="A191" s="214">
        <v>5814</v>
      </c>
      <c r="B191" s="214">
        <v>95</v>
      </c>
      <c r="C191" s="215" t="s">
        <v>11</v>
      </c>
      <c r="D191" s="215" t="s">
        <v>17</v>
      </c>
      <c r="E191" s="214">
        <v>30</v>
      </c>
      <c r="F191" s="215" t="s">
        <v>71</v>
      </c>
      <c r="G191" s="214">
        <v>578</v>
      </c>
      <c r="H191" s="215" t="s">
        <v>93</v>
      </c>
      <c r="I191" s="214" t="s">
        <v>73</v>
      </c>
      <c r="J191" s="216">
        <v>1000</v>
      </c>
      <c r="K191" s="215" t="s">
        <v>272</v>
      </c>
      <c r="L191" s="217">
        <v>0.02</v>
      </c>
      <c r="M191" s="215"/>
      <c r="N191" s="41"/>
      <c r="O191" s="41"/>
      <c r="P191" s="41"/>
      <c r="Q191" s="42"/>
    </row>
    <row r="192" spans="1:17" ht="20.100000000000001" customHeight="1" x14ac:dyDescent="0.25">
      <c r="A192" s="214">
        <v>5814</v>
      </c>
      <c r="B192" s="214">
        <v>95</v>
      </c>
      <c r="C192" s="215" t="s">
        <v>11</v>
      </c>
      <c r="D192" s="215" t="s">
        <v>17</v>
      </c>
      <c r="E192" s="214">
        <v>30</v>
      </c>
      <c r="F192" s="215" t="s">
        <v>50</v>
      </c>
      <c r="G192" s="214">
        <v>4155</v>
      </c>
      <c r="H192" s="215" t="s">
        <v>56</v>
      </c>
      <c r="I192" s="214" t="s">
        <v>36</v>
      </c>
      <c r="J192" s="216">
        <v>0.2959</v>
      </c>
      <c r="K192" s="215" t="s">
        <v>275</v>
      </c>
      <c r="L192" s="217">
        <v>0.1</v>
      </c>
      <c r="M192" s="215"/>
      <c r="N192" s="41"/>
      <c r="O192" s="41"/>
      <c r="P192" s="41"/>
      <c r="Q192" s="42"/>
    </row>
    <row r="193" spans="1:17" ht="20.100000000000001" customHeight="1" x14ac:dyDescent="0.25">
      <c r="A193" s="214">
        <v>5814</v>
      </c>
      <c r="B193" s="214">
        <v>95</v>
      </c>
      <c r="C193" s="215" t="s">
        <v>11</v>
      </c>
      <c r="D193" s="215" t="s">
        <v>17</v>
      </c>
      <c r="E193" s="214">
        <v>30</v>
      </c>
      <c r="F193" s="215" t="s">
        <v>108</v>
      </c>
      <c r="G193" s="214">
        <v>3635</v>
      </c>
      <c r="H193" s="215" t="s">
        <v>109</v>
      </c>
      <c r="I193" s="214" t="s">
        <v>73</v>
      </c>
      <c r="J193" s="216">
        <v>0.156</v>
      </c>
      <c r="K193" s="215" t="s">
        <v>277</v>
      </c>
      <c r="L193" s="217">
        <v>0.1</v>
      </c>
      <c r="M193" s="215"/>
      <c r="N193" s="41"/>
      <c r="O193" s="41"/>
      <c r="P193" s="41"/>
      <c r="Q193" s="42"/>
    </row>
    <row r="194" spans="1:17" ht="20.100000000000001" customHeight="1" x14ac:dyDescent="0.25">
      <c r="A194" s="214">
        <v>5814</v>
      </c>
      <c r="B194" s="214">
        <v>95</v>
      </c>
      <c r="C194" s="215" t="s">
        <v>11</v>
      </c>
      <c r="D194" s="215" t="s">
        <v>17</v>
      </c>
      <c r="E194" s="214">
        <v>30</v>
      </c>
      <c r="F194" s="215" t="s">
        <v>95</v>
      </c>
      <c r="G194" s="214">
        <v>3598</v>
      </c>
      <c r="H194" s="215" t="s">
        <v>101</v>
      </c>
      <c r="I194" s="214" t="s">
        <v>73</v>
      </c>
      <c r="J194" s="216">
        <v>4.202</v>
      </c>
      <c r="K194" s="215" t="s">
        <v>273</v>
      </c>
      <c r="L194" s="217">
        <v>0.1</v>
      </c>
      <c r="M194" s="215"/>
      <c r="N194" s="41"/>
      <c r="O194" s="41"/>
      <c r="P194" s="41"/>
      <c r="Q194" s="42"/>
    </row>
    <row r="195" spans="1:17" ht="20.100000000000001" customHeight="1" x14ac:dyDescent="0.25">
      <c r="A195" s="210">
        <v>6151</v>
      </c>
      <c r="B195" s="210">
        <v>146</v>
      </c>
      <c r="C195" s="211" t="s">
        <v>216</v>
      </c>
      <c r="D195" s="211" t="s">
        <v>217</v>
      </c>
      <c r="E195" s="210">
        <v>30</v>
      </c>
      <c r="F195" s="211" t="s">
        <v>278</v>
      </c>
      <c r="G195" s="210">
        <v>406</v>
      </c>
      <c r="H195" s="211" t="s">
        <v>46</v>
      </c>
      <c r="I195" s="210" t="s">
        <v>36</v>
      </c>
      <c r="J195" s="212">
        <v>8</v>
      </c>
      <c r="K195" s="211" t="s">
        <v>34</v>
      </c>
      <c r="L195" s="213">
        <v>0.1</v>
      </c>
      <c r="M195" s="211"/>
      <c r="N195" s="41"/>
      <c r="O195" s="41"/>
      <c r="P195" s="41"/>
      <c r="Q195" s="42"/>
    </row>
    <row r="196" spans="1:17" ht="20.100000000000001" customHeight="1" x14ac:dyDescent="0.25">
      <c r="A196" s="214">
        <v>6151</v>
      </c>
      <c r="B196" s="214">
        <v>146</v>
      </c>
      <c r="C196" s="215" t="s">
        <v>216</v>
      </c>
      <c r="D196" s="215" t="s">
        <v>217</v>
      </c>
      <c r="E196" s="214">
        <v>30</v>
      </c>
      <c r="F196" s="215" t="s">
        <v>57</v>
      </c>
      <c r="G196" s="214">
        <v>3595</v>
      </c>
      <c r="H196" s="215" t="s">
        <v>270</v>
      </c>
      <c r="I196" s="214" t="s">
        <v>36</v>
      </c>
      <c r="J196" s="216">
        <v>0.67</v>
      </c>
      <c r="K196" s="215" t="s">
        <v>57</v>
      </c>
      <c r="L196" s="217">
        <v>0.1</v>
      </c>
      <c r="M196" s="215"/>
      <c r="N196" s="41"/>
      <c r="O196" s="41"/>
      <c r="P196" s="41"/>
      <c r="Q196" s="42"/>
    </row>
    <row r="197" spans="1:17" ht="20.100000000000001" customHeight="1" x14ac:dyDescent="0.25">
      <c r="A197" s="214">
        <v>6151</v>
      </c>
      <c r="B197" s="214">
        <v>146</v>
      </c>
      <c r="C197" s="215" t="s">
        <v>216</v>
      </c>
      <c r="D197" s="215" t="s">
        <v>217</v>
      </c>
      <c r="E197" s="214">
        <v>30</v>
      </c>
      <c r="F197" s="215" t="s">
        <v>69</v>
      </c>
      <c r="G197" s="214">
        <v>186</v>
      </c>
      <c r="H197" s="215" t="s">
        <v>70</v>
      </c>
      <c r="I197" s="214" t="s">
        <v>36</v>
      </c>
      <c r="J197" s="216">
        <v>0.28000000000000003</v>
      </c>
      <c r="K197" s="215" t="s">
        <v>69</v>
      </c>
      <c r="L197" s="217">
        <v>0.1</v>
      </c>
      <c r="M197" s="215"/>
      <c r="N197" s="41"/>
      <c r="O197" s="41"/>
      <c r="P197" s="41"/>
      <c r="Q197" s="42"/>
    </row>
    <row r="198" spans="1:17" ht="20.100000000000001" customHeight="1" x14ac:dyDescent="0.25">
      <c r="A198" s="214">
        <v>6151</v>
      </c>
      <c r="B198" s="214">
        <v>146</v>
      </c>
      <c r="C198" s="215" t="s">
        <v>216</v>
      </c>
      <c r="D198" s="215" t="s">
        <v>217</v>
      </c>
      <c r="E198" s="214">
        <v>30</v>
      </c>
      <c r="F198" s="215" t="s">
        <v>71</v>
      </c>
      <c r="G198" s="214">
        <v>578</v>
      </c>
      <c r="H198" s="215" t="s">
        <v>293</v>
      </c>
      <c r="I198" s="214" t="s">
        <v>281</v>
      </c>
      <c r="J198" s="216">
        <v>1000</v>
      </c>
      <c r="K198" s="215" t="s">
        <v>71</v>
      </c>
      <c r="L198" s="217">
        <v>0.02</v>
      </c>
      <c r="M198" s="215"/>
      <c r="N198" s="41"/>
      <c r="O198" s="41"/>
      <c r="P198" s="41"/>
      <c r="Q198" s="42"/>
    </row>
    <row r="199" spans="1:17" ht="20.100000000000001" customHeight="1" x14ac:dyDescent="0.25">
      <c r="A199" s="214">
        <v>6151</v>
      </c>
      <c r="B199" s="214">
        <v>146</v>
      </c>
      <c r="C199" s="215" t="s">
        <v>216</v>
      </c>
      <c r="D199" s="215" t="s">
        <v>217</v>
      </c>
      <c r="E199" s="214">
        <v>30</v>
      </c>
      <c r="F199" s="215" t="s">
        <v>95</v>
      </c>
      <c r="G199" s="214">
        <v>3988</v>
      </c>
      <c r="H199" s="215" t="s">
        <v>294</v>
      </c>
      <c r="I199" s="214" t="s">
        <v>281</v>
      </c>
      <c r="J199" s="216">
        <v>4.2016</v>
      </c>
      <c r="K199" s="215" t="s">
        <v>95</v>
      </c>
      <c r="L199" s="217">
        <v>0.1</v>
      </c>
      <c r="M199" s="215"/>
      <c r="N199" s="41"/>
      <c r="O199" s="41"/>
      <c r="P199" s="41"/>
      <c r="Q199" s="42"/>
    </row>
    <row r="200" spans="1:17" ht="20.100000000000001" customHeight="1" x14ac:dyDescent="0.25">
      <c r="A200" s="214">
        <v>6151</v>
      </c>
      <c r="B200" s="214">
        <v>146</v>
      </c>
      <c r="C200" s="215" t="s">
        <v>216</v>
      </c>
      <c r="D200" s="215" t="s">
        <v>217</v>
      </c>
      <c r="E200" s="214">
        <v>30</v>
      </c>
      <c r="F200" s="215" t="s">
        <v>295</v>
      </c>
      <c r="G200" s="214">
        <v>194</v>
      </c>
      <c r="H200" s="215" t="s">
        <v>106</v>
      </c>
      <c r="I200" s="214" t="s">
        <v>36</v>
      </c>
      <c r="J200" s="216">
        <v>8.3199999999999993E-3</v>
      </c>
      <c r="K200" s="215" t="s">
        <v>36</v>
      </c>
      <c r="L200" s="217">
        <v>0.1</v>
      </c>
      <c r="M200" s="215"/>
      <c r="N200" s="41"/>
      <c r="O200" s="41"/>
      <c r="P200" s="41"/>
      <c r="Q200" s="42"/>
    </row>
    <row r="201" spans="1:17" ht="20.100000000000001" customHeight="1" x14ac:dyDescent="0.25">
      <c r="A201" s="214">
        <v>6151</v>
      </c>
      <c r="B201" s="214">
        <v>146</v>
      </c>
      <c r="C201" s="215" t="s">
        <v>216</v>
      </c>
      <c r="D201" s="215" t="s">
        <v>217</v>
      </c>
      <c r="E201" s="214">
        <v>30</v>
      </c>
      <c r="F201" s="215" t="s">
        <v>50</v>
      </c>
      <c r="G201" s="214">
        <v>4155</v>
      </c>
      <c r="H201" s="215" t="s">
        <v>56</v>
      </c>
      <c r="I201" s="214" t="s">
        <v>36</v>
      </c>
      <c r="J201" s="216">
        <v>0.28000000000000003</v>
      </c>
      <c r="K201" s="215" t="s">
        <v>50</v>
      </c>
      <c r="L201" s="217">
        <v>0.1</v>
      </c>
      <c r="M201" s="215"/>
      <c r="N201" s="41"/>
      <c r="O201" s="41"/>
      <c r="P201" s="41"/>
      <c r="Q201" s="42"/>
    </row>
    <row r="202" spans="1:17" ht="20.100000000000001" customHeight="1" x14ac:dyDescent="0.25">
      <c r="A202" s="214">
        <v>6151</v>
      </c>
      <c r="B202" s="214">
        <v>146</v>
      </c>
      <c r="C202" s="215" t="s">
        <v>216</v>
      </c>
      <c r="D202" s="215" t="s">
        <v>217</v>
      </c>
      <c r="E202" s="214">
        <v>30</v>
      </c>
      <c r="F202" s="215" t="s">
        <v>108</v>
      </c>
      <c r="G202" s="214">
        <v>3635</v>
      </c>
      <c r="H202" s="215" t="s">
        <v>109</v>
      </c>
      <c r="I202" s="214" t="s">
        <v>73</v>
      </c>
      <c r="J202" s="216">
        <v>0.156</v>
      </c>
      <c r="K202" s="215" t="s">
        <v>108</v>
      </c>
      <c r="L202" s="217">
        <v>0.1</v>
      </c>
      <c r="M202" s="215"/>
      <c r="N202" s="41"/>
      <c r="O202" s="41"/>
      <c r="P202" s="41"/>
      <c r="Q202" s="42"/>
    </row>
    <row r="203" spans="1:17" ht="20.100000000000001" customHeight="1" x14ac:dyDescent="0.25">
      <c r="A203" s="214">
        <v>6151</v>
      </c>
      <c r="B203" s="214">
        <v>146</v>
      </c>
      <c r="C203" s="215" t="s">
        <v>216</v>
      </c>
      <c r="D203" s="215" t="s">
        <v>217</v>
      </c>
      <c r="E203" s="214">
        <v>30</v>
      </c>
      <c r="F203" s="215" t="s">
        <v>285</v>
      </c>
      <c r="G203" s="214">
        <v>6935</v>
      </c>
      <c r="H203" s="215" t="s">
        <v>292</v>
      </c>
      <c r="I203" s="214" t="s">
        <v>36</v>
      </c>
      <c r="J203" s="216">
        <v>3.3000000000000002E-2</v>
      </c>
      <c r="K203" s="215" t="s">
        <v>285</v>
      </c>
      <c r="L203" s="217">
        <v>0.1</v>
      </c>
      <c r="M203" s="215"/>
      <c r="N203" s="41"/>
      <c r="O203" s="41"/>
      <c r="P203" s="41"/>
      <c r="Q203" s="42"/>
    </row>
    <row r="204" spans="1:17" ht="20.100000000000001" customHeight="1" x14ac:dyDescent="0.25">
      <c r="A204" s="210">
        <v>2909</v>
      </c>
      <c r="B204" s="210">
        <v>56</v>
      </c>
      <c r="C204" s="211" t="s">
        <v>296</v>
      </c>
      <c r="D204" s="211" t="s">
        <v>215</v>
      </c>
      <c r="E204" s="210">
        <v>30</v>
      </c>
      <c r="F204" s="211" t="s">
        <v>278</v>
      </c>
      <c r="G204" s="210">
        <v>406</v>
      </c>
      <c r="H204" s="211" t="s">
        <v>46</v>
      </c>
      <c r="I204" s="210" t="s">
        <v>36</v>
      </c>
      <c r="J204" s="212">
        <v>8</v>
      </c>
      <c r="K204" s="211" t="s">
        <v>34</v>
      </c>
      <c r="L204" s="213">
        <v>0.1</v>
      </c>
      <c r="M204" s="211"/>
      <c r="N204" s="41"/>
      <c r="O204" s="41"/>
      <c r="P204" s="41"/>
      <c r="Q204" s="42"/>
    </row>
    <row r="205" spans="1:17" ht="20.100000000000001" customHeight="1" x14ac:dyDescent="0.25">
      <c r="A205" s="214">
        <v>2909</v>
      </c>
      <c r="B205" s="214">
        <v>56</v>
      </c>
      <c r="C205" s="215" t="s">
        <v>296</v>
      </c>
      <c r="D205" s="215" t="s">
        <v>215</v>
      </c>
      <c r="E205" s="214">
        <v>30</v>
      </c>
      <c r="F205" s="215" t="s">
        <v>57</v>
      </c>
      <c r="G205" s="214">
        <v>3595</v>
      </c>
      <c r="H205" s="215" t="s">
        <v>270</v>
      </c>
      <c r="I205" s="214" t="s">
        <v>36</v>
      </c>
      <c r="J205" s="216">
        <v>0.67</v>
      </c>
      <c r="K205" s="215" t="s">
        <v>57</v>
      </c>
      <c r="L205" s="217">
        <v>0.1</v>
      </c>
      <c r="M205" s="215"/>
      <c r="N205" s="41"/>
      <c r="O205" s="41"/>
      <c r="P205" s="41"/>
      <c r="Q205" s="42"/>
    </row>
    <row r="206" spans="1:17" ht="20.100000000000001" customHeight="1" x14ac:dyDescent="0.25">
      <c r="A206" s="214">
        <v>2909</v>
      </c>
      <c r="B206" s="214">
        <v>56</v>
      </c>
      <c r="C206" s="215" t="s">
        <v>296</v>
      </c>
      <c r="D206" s="215" t="s">
        <v>215</v>
      </c>
      <c r="E206" s="214">
        <v>30</v>
      </c>
      <c r="F206" s="215" t="s">
        <v>95</v>
      </c>
      <c r="G206" s="214">
        <v>45</v>
      </c>
      <c r="H206" s="215" t="s">
        <v>297</v>
      </c>
      <c r="I206" s="214" t="s">
        <v>281</v>
      </c>
      <c r="J206" s="216">
        <v>6.6665999999999999</v>
      </c>
      <c r="K206" s="215" t="s">
        <v>95</v>
      </c>
      <c r="L206" s="217">
        <v>0.1</v>
      </c>
      <c r="M206" s="215"/>
      <c r="N206" s="41"/>
      <c r="O206" s="41"/>
      <c r="P206" s="41"/>
      <c r="Q206" s="42"/>
    </row>
    <row r="207" spans="1:17" ht="20.100000000000001" customHeight="1" x14ac:dyDescent="0.25">
      <c r="A207" s="214">
        <v>2909</v>
      </c>
      <c r="B207" s="214">
        <v>56</v>
      </c>
      <c r="C207" s="215" t="s">
        <v>296</v>
      </c>
      <c r="D207" s="215" t="s">
        <v>215</v>
      </c>
      <c r="E207" s="214">
        <v>30</v>
      </c>
      <c r="F207" s="215" t="s">
        <v>295</v>
      </c>
      <c r="G207" s="214">
        <v>194</v>
      </c>
      <c r="H207" s="215" t="s">
        <v>106</v>
      </c>
      <c r="I207" s="214" t="s">
        <v>36</v>
      </c>
      <c r="J207" s="216">
        <v>8.3199999999999993E-3</v>
      </c>
      <c r="K207" s="215" t="s">
        <v>36</v>
      </c>
      <c r="L207" s="217">
        <v>0.1</v>
      </c>
      <c r="M207" s="215"/>
      <c r="N207" s="41"/>
      <c r="O207" s="41"/>
      <c r="P207" s="41"/>
      <c r="Q207" s="42"/>
    </row>
    <row r="208" spans="1:17" ht="20.100000000000001" customHeight="1" x14ac:dyDescent="0.25">
      <c r="A208" s="214">
        <v>2909</v>
      </c>
      <c r="B208" s="214">
        <v>56</v>
      </c>
      <c r="C208" s="215" t="s">
        <v>296</v>
      </c>
      <c r="D208" s="215" t="s">
        <v>215</v>
      </c>
      <c r="E208" s="214">
        <v>30</v>
      </c>
      <c r="F208" s="215" t="s">
        <v>50</v>
      </c>
      <c r="G208" s="214">
        <v>4155</v>
      </c>
      <c r="H208" s="215" t="s">
        <v>56</v>
      </c>
      <c r="I208" s="214" t="s">
        <v>36</v>
      </c>
      <c r="J208" s="216">
        <v>0.28000000000000003</v>
      </c>
      <c r="K208" s="215" t="s">
        <v>50</v>
      </c>
      <c r="L208" s="217">
        <v>0.1</v>
      </c>
      <c r="M208" s="215"/>
      <c r="N208" s="41"/>
      <c r="O208" s="41"/>
      <c r="P208" s="41"/>
      <c r="Q208" s="42"/>
    </row>
    <row r="209" spans="1:17" ht="20.100000000000001" customHeight="1" x14ac:dyDescent="0.25">
      <c r="A209" s="214">
        <v>2909</v>
      </c>
      <c r="B209" s="214">
        <v>56</v>
      </c>
      <c r="C209" s="215" t="s">
        <v>296</v>
      </c>
      <c r="D209" s="215" t="s">
        <v>215</v>
      </c>
      <c r="E209" s="214">
        <v>30</v>
      </c>
      <c r="F209" s="215" t="s">
        <v>108</v>
      </c>
      <c r="G209" s="214">
        <v>3635</v>
      </c>
      <c r="H209" s="215" t="s">
        <v>109</v>
      </c>
      <c r="I209" s="214" t="s">
        <v>73</v>
      </c>
      <c r="J209" s="216">
        <v>0.156</v>
      </c>
      <c r="K209" s="215" t="s">
        <v>108</v>
      </c>
      <c r="L209" s="217">
        <v>0.1</v>
      </c>
      <c r="M209" s="215"/>
      <c r="N209" s="41"/>
      <c r="O209" s="41"/>
      <c r="P209" s="41"/>
      <c r="Q209" s="42"/>
    </row>
    <row r="210" spans="1:17" ht="20.100000000000001" customHeight="1" x14ac:dyDescent="0.25">
      <c r="A210" s="210">
        <v>4050</v>
      </c>
      <c r="B210" s="210">
        <v>19</v>
      </c>
      <c r="C210" s="211" t="s">
        <v>208</v>
      </c>
      <c r="D210" s="211" t="s">
        <v>209</v>
      </c>
      <c r="E210" s="210">
        <v>30</v>
      </c>
      <c r="F210" s="211" t="s">
        <v>34</v>
      </c>
      <c r="G210" s="210">
        <v>406</v>
      </c>
      <c r="H210" s="211" t="s">
        <v>46</v>
      </c>
      <c r="I210" s="210" t="s">
        <v>36</v>
      </c>
      <c r="J210" s="212">
        <v>8</v>
      </c>
      <c r="K210" s="211" t="s">
        <v>268</v>
      </c>
      <c r="L210" s="213">
        <v>0.1</v>
      </c>
      <c r="M210" s="211"/>
      <c r="N210" s="41"/>
      <c r="O210" s="41"/>
      <c r="P210" s="41"/>
      <c r="Q210" s="42"/>
    </row>
    <row r="211" spans="1:17" ht="20.100000000000001" customHeight="1" x14ac:dyDescent="0.25">
      <c r="A211" s="214">
        <v>4050</v>
      </c>
      <c r="B211" s="214">
        <v>19</v>
      </c>
      <c r="C211" s="215" t="s">
        <v>208</v>
      </c>
      <c r="D211" s="215" t="s">
        <v>209</v>
      </c>
      <c r="E211" s="214">
        <v>30</v>
      </c>
      <c r="F211" s="215" t="s">
        <v>57</v>
      </c>
      <c r="G211" s="214">
        <v>3595</v>
      </c>
      <c r="H211" s="215" t="s">
        <v>270</v>
      </c>
      <c r="I211" s="214" t="s">
        <v>36</v>
      </c>
      <c r="J211" s="216">
        <v>0.66839999999999999</v>
      </c>
      <c r="K211" s="215" t="s">
        <v>271</v>
      </c>
      <c r="L211" s="217">
        <v>0.1</v>
      </c>
      <c r="M211" s="215"/>
      <c r="N211" s="41"/>
      <c r="O211" s="41"/>
      <c r="P211" s="41"/>
      <c r="Q211" s="42"/>
    </row>
    <row r="212" spans="1:17" ht="20.100000000000001" customHeight="1" x14ac:dyDescent="0.25">
      <c r="A212" s="214">
        <v>4050</v>
      </c>
      <c r="B212" s="214">
        <v>19</v>
      </c>
      <c r="C212" s="215" t="s">
        <v>208</v>
      </c>
      <c r="D212" s="215" t="s">
        <v>209</v>
      </c>
      <c r="E212" s="214">
        <v>30</v>
      </c>
      <c r="F212" s="215" t="s">
        <v>69</v>
      </c>
      <c r="G212" s="214">
        <v>186</v>
      </c>
      <c r="H212" s="215" t="s">
        <v>70</v>
      </c>
      <c r="I212" s="214" t="s">
        <v>36</v>
      </c>
      <c r="J212" s="216">
        <v>0.12</v>
      </c>
      <c r="K212" s="215" t="s">
        <v>288</v>
      </c>
      <c r="L212" s="217">
        <v>0.1</v>
      </c>
      <c r="M212" s="215"/>
      <c r="N212" s="41"/>
      <c r="O212" s="41"/>
      <c r="P212" s="41"/>
      <c r="Q212" s="42"/>
    </row>
    <row r="213" spans="1:17" ht="20.100000000000001" customHeight="1" x14ac:dyDescent="0.25">
      <c r="A213" s="214">
        <v>4050</v>
      </c>
      <c r="B213" s="214">
        <v>19</v>
      </c>
      <c r="C213" s="215" t="s">
        <v>208</v>
      </c>
      <c r="D213" s="215" t="s">
        <v>209</v>
      </c>
      <c r="E213" s="214">
        <v>30</v>
      </c>
      <c r="F213" s="215" t="s">
        <v>71</v>
      </c>
      <c r="G213" s="214">
        <v>578</v>
      </c>
      <c r="H213" s="215" t="s">
        <v>93</v>
      </c>
      <c r="I213" s="214" t="s">
        <v>73</v>
      </c>
      <c r="J213" s="216">
        <v>1000</v>
      </c>
      <c r="K213" s="215" t="s">
        <v>272</v>
      </c>
      <c r="L213" s="217">
        <v>0.02</v>
      </c>
      <c r="M213" s="215"/>
      <c r="N213" s="41"/>
      <c r="O213" s="41"/>
      <c r="P213" s="41"/>
      <c r="Q213" s="42"/>
    </row>
    <row r="214" spans="1:17" ht="20.100000000000001" customHeight="1" x14ac:dyDescent="0.25">
      <c r="A214" s="214">
        <v>4050</v>
      </c>
      <c r="B214" s="214">
        <v>19</v>
      </c>
      <c r="C214" s="215" t="s">
        <v>208</v>
      </c>
      <c r="D214" s="215" t="s">
        <v>209</v>
      </c>
      <c r="E214" s="214">
        <v>30</v>
      </c>
      <c r="F214" s="215" t="s">
        <v>95</v>
      </c>
      <c r="G214" s="214">
        <v>45</v>
      </c>
      <c r="H214" s="215" t="s">
        <v>102</v>
      </c>
      <c r="I214" s="214" t="s">
        <v>73</v>
      </c>
      <c r="J214" s="216">
        <v>6.6660000000000004</v>
      </c>
      <c r="K214" s="215" t="s">
        <v>273</v>
      </c>
      <c r="L214" s="217">
        <v>0.1</v>
      </c>
      <c r="M214" s="215"/>
      <c r="N214" s="41"/>
      <c r="O214" s="41"/>
      <c r="P214" s="41"/>
      <c r="Q214" s="42"/>
    </row>
    <row r="215" spans="1:17" ht="20.100000000000001" customHeight="1" x14ac:dyDescent="0.25">
      <c r="A215" s="214">
        <v>4050</v>
      </c>
      <c r="B215" s="214">
        <v>19</v>
      </c>
      <c r="C215" s="215" t="s">
        <v>208</v>
      </c>
      <c r="D215" s="215" t="s">
        <v>209</v>
      </c>
      <c r="E215" s="214">
        <v>30</v>
      </c>
      <c r="F215" s="215" t="s">
        <v>105</v>
      </c>
      <c r="G215" s="214">
        <v>194</v>
      </c>
      <c r="H215" s="215" t="s">
        <v>106</v>
      </c>
      <c r="I215" s="214" t="s">
        <v>36</v>
      </c>
      <c r="J215" s="216">
        <v>8.3199999999999993E-3</v>
      </c>
      <c r="K215" s="215" t="s">
        <v>274</v>
      </c>
      <c r="L215" s="217">
        <v>0.1</v>
      </c>
      <c r="M215" s="215"/>
      <c r="N215" s="41"/>
      <c r="O215" s="41"/>
      <c r="P215" s="41"/>
      <c r="Q215" s="42"/>
    </row>
    <row r="216" spans="1:17" ht="20.100000000000001" customHeight="1" x14ac:dyDescent="0.25">
      <c r="A216" s="214">
        <v>4050</v>
      </c>
      <c r="B216" s="214">
        <v>19</v>
      </c>
      <c r="C216" s="215" t="s">
        <v>208</v>
      </c>
      <c r="D216" s="215" t="s">
        <v>209</v>
      </c>
      <c r="E216" s="214">
        <v>30</v>
      </c>
      <c r="F216" s="215" t="s">
        <v>50</v>
      </c>
      <c r="G216" s="214">
        <v>4155</v>
      </c>
      <c r="H216" s="215" t="s">
        <v>56</v>
      </c>
      <c r="I216" s="214" t="s">
        <v>36</v>
      </c>
      <c r="J216" s="216">
        <v>0.2959</v>
      </c>
      <c r="K216" s="215" t="s">
        <v>275</v>
      </c>
      <c r="L216" s="217">
        <v>0.1</v>
      </c>
      <c r="M216" s="215"/>
      <c r="N216" s="41"/>
      <c r="O216" s="41"/>
      <c r="P216" s="41"/>
      <c r="Q216" s="42"/>
    </row>
    <row r="217" spans="1:17" ht="20.100000000000001" customHeight="1" x14ac:dyDescent="0.25">
      <c r="A217" s="214">
        <v>4050</v>
      </c>
      <c r="B217" s="214">
        <v>19</v>
      </c>
      <c r="C217" s="215" t="s">
        <v>208</v>
      </c>
      <c r="D217" s="215" t="s">
        <v>209</v>
      </c>
      <c r="E217" s="214">
        <v>30</v>
      </c>
      <c r="F217" s="215" t="s">
        <v>108</v>
      </c>
      <c r="G217" s="214">
        <v>3635</v>
      </c>
      <c r="H217" s="215" t="s">
        <v>109</v>
      </c>
      <c r="I217" s="214" t="s">
        <v>73</v>
      </c>
      <c r="J217" s="216">
        <v>0.156</v>
      </c>
      <c r="K217" s="215" t="s">
        <v>277</v>
      </c>
      <c r="L217" s="217">
        <v>0.1</v>
      </c>
      <c r="M217" s="215"/>
      <c r="N217" s="41"/>
      <c r="O217" s="41"/>
      <c r="P217" s="41"/>
      <c r="Q217" s="42"/>
    </row>
    <row r="218" spans="1:17" ht="20.100000000000001" customHeight="1" x14ac:dyDescent="0.25">
      <c r="A218" s="210">
        <v>6312</v>
      </c>
      <c r="B218" s="210">
        <v>157</v>
      </c>
      <c r="C218" s="211" t="s">
        <v>208</v>
      </c>
      <c r="D218" s="211" t="s">
        <v>210</v>
      </c>
      <c r="E218" s="210">
        <v>30</v>
      </c>
      <c r="F218" s="211" t="s">
        <v>34</v>
      </c>
      <c r="G218" s="210">
        <v>406</v>
      </c>
      <c r="H218" s="211" t="s">
        <v>46</v>
      </c>
      <c r="I218" s="210" t="s">
        <v>36</v>
      </c>
      <c r="J218" s="212">
        <v>8</v>
      </c>
      <c r="K218" s="211" t="s">
        <v>268</v>
      </c>
      <c r="L218" s="213">
        <v>0.1</v>
      </c>
      <c r="M218" s="211"/>
      <c r="N218" s="41"/>
      <c r="O218" s="41"/>
      <c r="P218" s="41"/>
      <c r="Q218" s="42"/>
    </row>
    <row r="219" spans="1:17" ht="20.100000000000001" customHeight="1" x14ac:dyDescent="0.25">
      <c r="A219" s="214">
        <v>6312</v>
      </c>
      <c r="B219" s="214">
        <v>157</v>
      </c>
      <c r="C219" s="215" t="s">
        <v>208</v>
      </c>
      <c r="D219" s="215" t="s">
        <v>210</v>
      </c>
      <c r="E219" s="214">
        <v>30</v>
      </c>
      <c r="F219" s="215" t="s">
        <v>57</v>
      </c>
      <c r="G219" s="214">
        <v>3595</v>
      </c>
      <c r="H219" s="215" t="s">
        <v>270</v>
      </c>
      <c r="I219" s="214" t="s">
        <v>36</v>
      </c>
      <c r="J219" s="216">
        <v>0.67</v>
      </c>
      <c r="K219" s="215" t="s">
        <v>271</v>
      </c>
      <c r="L219" s="217">
        <v>0.1</v>
      </c>
      <c r="M219" s="215"/>
      <c r="N219" s="41"/>
      <c r="O219" s="41"/>
      <c r="P219" s="41"/>
      <c r="Q219" s="42"/>
    </row>
    <row r="220" spans="1:17" ht="20.100000000000001" customHeight="1" x14ac:dyDescent="0.25">
      <c r="A220" s="214">
        <v>6312</v>
      </c>
      <c r="B220" s="214">
        <v>157</v>
      </c>
      <c r="C220" s="215" t="s">
        <v>208</v>
      </c>
      <c r="D220" s="215" t="s">
        <v>210</v>
      </c>
      <c r="E220" s="214">
        <v>30</v>
      </c>
      <c r="F220" s="215" t="s">
        <v>95</v>
      </c>
      <c r="G220" s="214">
        <v>45</v>
      </c>
      <c r="H220" s="215" t="s">
        <v>102</v>
      </c>
      <c r="I220" s="214" t="s">
        <v>73</v>
      </c>
      <c r="J220" s="216">
        <v>6.6665999999999999</v>
      </c>
      <c r="K220" s="215" t="s">
        <v>273</v>
      </c>
      <c r="L220" s="217">
        <v>0.1</v>
      </c>
      <c r="M220" s="215"/>
      <c r="N220" s="41"/>
      <c r="O220" s="41"/>
      <c r="P220" s="41"/>
      <c r="Q220" s="42"/>
    </row>
    <row r="221" spans="1:17" ht="20.100000000000001" customHeight="1" x14ac:dyDescent="0.25">
      <c r="A221" s="214">
        <v>6312</v>
      </c>
      <c r="B221" s="214">
        <v>157</v>
      </c>
      <c r="C221" s="215" t="s">
        <v>208</v>
      </c>
      <c r="D221" s="215" t="s">
        <v>210</v>
      </c>
      <c r="E221" s="214">
        <v>30</v>
      </c>
      <c r="F221" s="215" t="s">
        <v>50</v>
      </c>
      <c r="G221" s="214">
        <v>4155</v>
      </c>
      <c r="H221" s="215" t="s">
        <v>56</v>
      </c>
      <c r="I221" s="214" t="s">
        <v>36</v>
      </c>
      <c r="J221" s="216">
        <v>0.28000000000000003</v>
      </c>
      <c r="K221" s="215" t="s">
        <v>275</v>
      </c>
      <c r="L221" s="217">
        <v>0.1</v>
      </c>
      <c r="M221" s="215"/>
      <c r="N221" s="41"/>
      <c r="O221" s="41"/>
      <c r="P221" s="41"/>
      <c r="Q221" s="42"/>
    </row>
    <row r="222" spans="1:17" ht="20.100000000000001" customHeight="1" x14ac:dyDescent="0.25">
      <c r="A222" s="214">
        <v>6312</v>
      </c>
      <c r="B222" s="214">
        <v>157</v>
      </c>
      <c r="C222" s="215" t="s">
        <v>208</v>
      </c>
      <c r="D222" s="215" t="s">
        <v>210</v>
      </c>
      <c r="E222" s="214">
        <v>30</v>
      </c>
      <c r="F222" s="215" t="s">
        <v>108</v>
      </c>
      <c r="G222" s="214">
        <v>3635</v>
      </c>
      <c r="H222" s="215" t="s">
        <v>109</v>
      </c>
      <c r="I222" s="214" t="s">
        <v>73</v>
      </c>
      <c r="J222" s="216">
        <v>0.156</v>
      </c>
      <c r="K222" s="215" t="s">
        <v>284</v>
      </c>
      <c r="L222" s="217">
        <v>0.1</v>
      </c>
      <c r="M222" s="215"/>
      <c r="N222" s="41"/>
      <c r="O222" s="41"/>
      <c r="P222" s="41"/>
      <c r="Q222" s="42"/>
    </row>
    <row r="223" spans="1:17" ht="20.100000000000001" customHeight="1" x14ac:dyDescent="0.25">
      <c r="A223" s="214">
        <v>6312</v>
      </c>
      <c r="B223" s="214">
        <v>157</v>
      </c>
      <c r="C223" s="215" t="s">
        <v>208</v>
      </c>
      <c r="D223" s="215" t="s">
        <v>210</v>
      </c>
      <c r="E223" s="214">
        <v>30</v>
      </c>
      <c r="F223" s="215" t="s">
        <v>105</v>
      </c>
      <c r="G223" s="214">
        <v>194</v>
      </c>
      <c r="H223" s="215" t="s">
        <v>106</v>
      </c>
      <c r="I223" s="214" t="s">
        <v>36</v>
      </c>
      <c r="J223" s="216">
        <v>8.3199999999999993E-3</v>
      </c>
      <c r="K223" s="215" t="s">
        <v>105</v>
      </c>
      <c r="L223" s="217">
        <v>0.1</v>
      </c>
      <c r="M223" s="215"/>
      <c r="N223" s="41"/>
      <c r="O223" s="41"/>
      <c r="P223" s="41"/>
      <c r="Q223" s="42"/>
    </row>
    <row r="224" spans="1:17" ht="20.100000000000001" customHeight="1" x14ac:dyDescent="0.25">
      <c r="A224" s="210">
        <v>6595</v>
      </c>
      <c r="B224" s="210">
        <v>191</v>
      </c>
      <c r="C224" s="211" t="s">
        <v>206</v>
      </c>
      <c r="D224" s="211" t="s">
        <v>207</v>
      </c>
      <c r="E224" s="210">
        <v>30</v>
      </c>
      <c r="F224" s="211" t="s">
        <v>34</v>
      </c>
      <c r="G224" s="210">
        <v>406</v>
      </c>
      <c r="H224" s="211" t="s">
        <v>46</v>
      </c>
      <c r="I224" s="210" t="s">
        <v>36</v>
      </c>
      <c r="J224" s="212">
        <v>8</v>
      </c>
      <c r="K224" s="211" t="s">
        <v>268</v>
      </c>
      <c r="L224" s="213">
        <v>0.1</v>
      </c>
      <c r="M224" s="211"/>
      <c r="N224" s="41"/>
      <c r="O224" s="41"/>
      <c r="P224" s="41"/>
      <c r="Q224" s="42"/>
    </row>
    <row r="225" spans="1:17" ht="20.100000000000001" customHeight="1" x14ac:dyDescent="0.25">
      <c r="A225" s="214">
        <v>6595</v>
      </c>
      <c r="B225" s="214">
        <v>191</v>
      </c>
      <c r="C225" s="215" t="s">
        <v>206</v>
      </c>
      <c r="D225" s="215" t="s">
        <v>207</v>
      </c>
      <c r="E225" s="214">
        <v>30</v>
      </c>
      <c r="F225" s="215" t="s">
        <v>57</v>
      </c>
      <c r="G225" s="214">
        <v>3595</v>
      </c>
      <c r="H225" s="215" t="s">
        <v>270</v>
      </c>
      <c r="I225" s="214" t="s">
        <v>36</v>
      </c>
      <c r="J225" s="216">
        <v>0.67</v>
      </c>
      <c r="K225" s="215" t="s">
        <v>271</v>
      </c>
      <c r="L225" s="217">
        <v>0.1</v>
      </c>
      <c r="M225" s="215"/>
      <c r="N225" s="41"/>
      <c r="O225" s="41"/>
      <c r="P225" s="41"/>
      <c r="Q225" s="42"/>
    </row>
    <row r="226" spans="1:17" ht="20.100000000000001" customHeight="1" x14ac:dyDescent="0.25">
      <c r="A226" s="214">
        <v>6595</v>
      </c>
      <c r="B226" s="214">
        <v>191</v>
      </c>
      <c r="C226" s="215" t="s">
        <v>206</v>
      </c>
      <c r="D226" s="215" t="s">
        <v>207</v>
      </c>
      <c r="E226" s="214">
        <v>30</v>
      </c>
      <c r="F226" s="215" t="s">
        <v>69</v>
      </c>
      <c r="G226" s="214">
        <v>186</v>
      </c>
      <c r="H226" s="215" t="s">
        <v>70</v>
      </c>
      <c r="I226" s="214" t="s">
        <v>36</v>
      </c>
      <c r="J226" s="216">
        <v>0.28000000000000003</v>
      </c>
      <c r="K226" s="215" t="s">
        <v>288</v>
      </c>
      <c r="L226" s="217">
        <v>0.1</v>
      </c>
      <c r="M226" s="215"/>
      <c r="N226" s="41"/>
      <c r="O226" s="41"/>
      <c r="P226" s="41"/>
      <c r="Q226" s="42"/>
    </row>
    <row r="227" spans="1:17" ht="20.100000000000001" customHeight="1" x14ac:dyDescent="0.25">
      <c r="A227" s="214">
        <v>6595</v>
      </c>
      <c r="B227" s="214">
        <v>191</v>
      </c>
      <c r="C227" s="215" t="s">
        <v>206</v>
      </c>
      <c r="D227" s="215" t="s">
        <v>207</v>
      </c>
      <c r="E227" s="214">
        <v>30</v>
      </c>
      <c r="F227" s="215" t="s">
        <v>71</v>
      </c>
      <c r="G227" s="214">
        <v>3211</v>
      </c>
      <c r="H227" s="215" t="s">
        <v>80</v>
      </c>
      <c r="I227" s="214" t="s">
        <v>73</v>
      </c>
      <c r="J227" s="216">
        <v>1000</v>
      </c>
      <c r="K227" s="215" t="s">
        <v>272</v>
      </c>
      <c r="L227" s="217">
        <v>0.02</v>
      </c>
      <c r="M227" s="215"/>
      <c r="N227" s="41"/>
      <c r="O227" s="41"/>
      <c r="P227" s="41"/>
      <c r="Q227" s="42"/>
    </row>
    <row r="228" spans="1:17" ht="20.100000000000001" customHeight="1" x14ac:dyDescent="0.25">
      <c r="A228" s="214">
        <v>6595</v>
      </c>
      <c r="B228" s="214">
        <v>191</v>
      </c>
      <c r="C228" s="215" t="s">
        <v>206</v>
      </c>
      <c r="D228" s="215" t="s">
        <v>207</v>
      </c>
      <c r="E228" s="214">
        <v>30</v>
      </c>
      <c r="F228" s="215" t="s">
        <v>95</v>
      </c>
      <c r="G228" s="214">
        <v>3598</v>
      </c>
      <c r="H228" s="215" t="s">
        <v>101</v>
      </c>
      <c r="I228" s="214" t="s">
        <v>73</v>
      </c>
      <c r="J228" s="216">
        <v>4.2016</v>
      </c>
      <c r="K228" s="215" t="s">
        <v>273</v>
      </c>
      <c r="L228" s="217">
        <v>0.1</v>
      </c>
      <c r="M228" s="215"/>
      <c r="N228" s="41"/>
      <c r="O228" s="41"/>
      <c r="P228" s="41"/>
      <c r="Q228" s="42"/>
    </row>
    <row r="229" spans="1:17" ht="20.100000000000001" customHeight="1" x14ac:dyDescent="0.25">
      <c r="A229" s="214">
        <v>6595</v>
      </c>
      <c r="B229" s="214">
        <v>191</v>
      </c>
      <c r="C229" s="215" t="s">
        <v>206</v>
      </c>
      <c r="D229" s="215" t="s">
        <v>207</v>
      </c>
      <c r="E229" s="214">
        <v>30</v>
      </c>
      <c r="F229" s="215" t="s">
        <v>50</v>
      </c>
      <c r="G229" s="214">
        <v>4155</v>
      </c>
      <c r="H229" s="215" t="s">
        <v>56</v>
      </c>
      <c r="I229" s="214" t="s">
        <v>53</v>
      </c>
      <c r="J229" s="216">
        <v>0.28000000000000003</v>
      </c>
      <c r="K229" s="215" t="s">
        <v>275</v>
      </c>
      <c r="L229" s="217">
        <v>0.1</v>
      </c>
      <c r="M229" s="215"/>
      <c r="N229" s="41"/>
      <c r="O229" s="41"/>
      <c r="P229" s="41"/>
      <c r="Q229" s="42"/>
    </row>
    <row r="230" spans="1:17" ht="20.100000000000001" customHeight="1" x14ac:dyDescent="0.25">
      <c r="A230" s="214">
        <v>6595</v>
      </c>
      <c r="B230" s="214">
        <v>191</v>
      </c>
      <c r="C230" s="215" t="s">
        <v>206</v>
      </c>
      <c r="D230" s="215" t="s">
        <v>207</v>
      </c>
      <c r="E230" s="214">
        <v>30</v>
      </c>
      <c r="F230" s="215" t="s">
        <v>105</v>
      </c>
      <c r="G230" s="214">
        <v>194</v>
      </c>
      <c r="H230" s="215" t="s">
        <v>106</v>
      </c>
      <c r="I230" s="214" t="s">
        <v>36</v>
      </c>
      <c r="J230" s="216">
        <v>8.3219999999999995E-3</v>
      </c>
      <c r="K230" s="215" t="s">
        <v>274</v>
      </c>
      <c r="L230" s="217">
        <v>0.1</v>
      </c>
      <c r="M230" s="215"/>
      <c r="N230" s="41"/>
      <c r="O230" s="41"/>
      <c r="P230" s="41"/>
      <c r="Q230" s="42"/>
    </row>
    <row r="231" spans="1:17" ht="20.100000000000001" customHeight="1" x14ac:dyDescent="0.25">
      <c r="A231" s="214">
        <v>6595</v>
      </c>
      <c r="B231" s="214">
        <v>191</v>
      </c>
      <c r="C231" s="215" t="s">
        <v>206</v>
      </c>
      <c r="D231" s="215" t="s">
        <v>207</v>
      </c>
      <c r="E231" s="214">
        <v>30</v>
      </c>
      <c r="F231" s="215" t="s">
        <v>108</v>
      </c>
      <c r="G231" s="214">
        <v>3635</v>
      </c>
      <c r="H231" s="215" t="s">
        <v>109</v>
      </c>
      <c r="I231" s="214" t="s">
        <v>73</v>
      </c>
      <c r="J231" s="216">
        <v>0.156</v>
      </c>
      <c r="K231" s="215" t="s">
        <v>277</v>
      </c>
      <c r="L231" s="217">
        <v>0.1</v>
      </c>
      <c r="M231" s="215"/>
      <c r="N231" s="41"/>
      <c r="O231" s="41"/>
      <c r="P231" s="41"/>
      <c r="Q231" s="42"/>
    </row>
    <row r="232" spans="1:17" ht="20.100000000000001" customHeight="1" x14ac:dyDescent="0.25">
      <c r="A232" s="210">
        <v>6515</v>
      </c>
      <c r="B232" s="210">
        <v>180</v>
      </c>
      <c r="C232" s="211" t="s">
        <v>21</v>
      </c>
      <c r="D232" s="211" t="s">
        <v>22</v>
      </c>
      <c r="E232" s="210">
        <v>32</v>
      </c>
      <c r="F232" s="211" t="s">
        <v>34</v>
      </c>
      <c r="G232" s="210">
        <v>3935</v>
      </c>
      <c r="H232" s="211" t="s">
        <v>48</v>
      </c>
      <c r="I232" s="210" t="s">
        <v>36</v>
      </c>
      <c r="J232" s="212">
        <v>10.863200000000001</v>
      </c>
      <c r="K232" s="211" t="s">
        <v>268</v>
      </c>
      <c r="L232" s="213">
        <v>0.1</v>
      </c>
      <c r="M232" s="211"/>
      <c r="N232" s="41"/>
      <c r="O232" s="41"/>
      <c r="P232" s="41"/>
      <c r="Q232" s="42"/>
    </row>
    <row r="233" spans="1:17" ht="20.100000000000001" customHeight="1" x14ac:dyDescent="0.25">
      <c r="A233" s="214">
        <v>6515</v>
      </c>
      <c r="B233" s="214">
        <v>180</v>
      </c>
      <c r="C233" s="215" t="s">
        <v>21</v>
      </c>
      <c r="D233" s="215" t="s">
        <v>22</v>
      </c>
      <c r="E233" s="214">
        <v>32</v>
      </c>
      <c r="F233" s="215" t="s">
        <v>57</v>
      </c>
      <c r="G233" s="214">
        <v>3595</v>
      </c>
      <c r="H233" s="215" t="s">
        <v>270</v>
      </c>
      <c r="I233" s="214" t="s">
        <v>36</v>
      </c>
      <c r="J233" s="216">
        <v>0.78</v>
      </c>
      <c r="K233" s="215" t="s">
        <v>271</v>
      </c>
      <c r="L233" s="217">
        <v>0.1</v>
      </c>
      <c r="M233" s="215"/>
      <c r="N233" s="41"/>
      <c r="O233" s="41"/>
      <c r="P233" s="41"/>
      <c r="Q233" s="42"/>
    </row>
    <row r="234" spans="1:17" ht="20.100000000000001" customHeight="1" x14ac:dyDescent="0.25">
      <c r="A234" s="214">
        <v>6515</v>
      </c>
      <c r="B234" s="214">
        <v>180</v>
      </c>
      <c r="C234" s="215" t="s">
        <v>21</v>
      </c>
      <c r="D234" s="215" t="s">
        <v>22</v>
      </c>
      <c r="E234" s="214">
        <v>32</v>
      </c>
      <c r="F234" s="215" t="s">
        <v>69</v>
      </c>
      <c r="G234" s="214">
        <v>186</v>
      </c>
      <c r="H234" s="215" t="s">
        <v>70</v>
      </c>
      <c r="I234" s="214" t="s">
        <v>36</v>
      </c>
      <c r="J234" s="216">
        <v>0.7</v>
      </c>
      <c r="K234" s="215" t="s">
        <v>288</v>
      </c>
      <c r="L234" s="217">
        <v>0.1</v>
      </c>
      <c r="M234" s="215"/>
      <c r="N234" s="41"/>
      <c r="O234" s="41"/>
      <c r="P234" s="41"/>
      <c r="Q234" s="42"/>
    </row>
    <row r="235" spans="1:17" ht="20.100000000000001" customHeight="1" x14ac:dyDescent="0.25">
      <c r="A235" s="214">
        <v>6515</v>
      </c>
      <c r="B235" s="214">
        <v>180</v>
      </c>
      <c r="C235" s="215" t="s">
        <v>21</v>
      </c>
      <c r="D235" s="215" t="s">
        <v>22</v>
      </c>
      <c r="E235" s="214">
        <v>32</v>
      </c>
      <c r="F235" s="215" t="s">
        <v>71</v>
      </c>
      <c r="G235" s="214">
        <v>1073</v>
      </c>
      <c r="H235" s="215" t="s">
        <v>89</v>
      </c>
      <c r="I235" s="214" t="s">
        <v>73</v>
      </c>
      <c r="J235" s="216">
        <v>1000</v>
      </c>
      <c r="K235" s="215" t="s">
        <v>272</v>
      </c>
      <c r="L235" s="217">
        <v>0.02</v>
      </c>
      <c r="M235" s="215"/>
      <c r="N235" s="41"/>
      <c r="O235" s="41"/>
      <c r="P235" s="41"/>
      <c r="Q235" s="42"/>
    </row>
    <row r="236" spans="1:17" ht="20.100000000000001" customHeight="1" x14ac:dyDescent="0.25">
      <c r="A236" s="214">
        <v>6515</v>
      </c>
      <c r="B236" s="214">
        <v>180</v>
      </c>
      <c r="C236" s="215" t="s">
        <v>21</v>
      </c>
      <c r="D236" s="215" t="s">
        <v>22</v>
      </c>
      <c r="E236" s="214">
        <v>32</v>
      </c>
      <c r="F236" s="215" t="s">
        <v>95</v>
      </c>
      <c r="G236" s="214">
        <v>3988</v>
      </c>
      <c r="H236" s="215" t="s">
        <v>298</v>
      </c>
      <c r="I236" s="214" t="s">
        <v>73</v>
      </c>
      <c r="J236" s="216">
        <v>6.06</v>
      </c>
      <c r="K236" s="215" t="s">
        <v>273</v>
      </c>
      <c r="L236" s="217">
        <v>0.1</v>
      </c>
      <c r="M236" s="215"/>
      <c r="N236" s="41"/>
      <c r="O236" s="41"/>
      <c r="P236" s="41"/>
      <c r="Q236" s="42"/>
    </row>
    <row r="237" spans="1:17" ht="20.100000000000001" customHeight="1" x14ac:dyDescent="0.25">
      <c r="A237" s="214">
        <v>6515</v>
      </c>
      <c r="B237" s="214">
        <v>180</v>
      </c>
      <c r="C237" s="215" t="s">
        <v>21</v>
      </c>
      <c r="D237" s="215" t="s">
        <v>22</v>
      </c>
      <c r="E237" s="214">
        <v>32</v>
      </c>
      <c r="F237" s="215" t="s">
        <v>105</v>
      </c>
      <c r="G237" s="214">
        <v>194</v>
      </c>
      <c r="H237" s="215" t="s">
        <v>106</v>
      </c>
      <c r="I237" s="214" t="s">
        <v>36</v>
      </c>
      <c r="J237" s="216">
        <v>9.5999999999999992E-3</v>
      </c>
      <c r="K237" s="215" t="s">
        <v>274</v>
      </c>
      <c r="L237" s="217">
        <v>0.1</v>
      </c>
      <c r="M237" s="215"/>
      <c r="N237" s="41"/>
      <c r="O237" s="41"/>
      <c r="P237" s="41"/>
      <c r="Q237" s="42"/>
    </row>
    <row r="238" spans="1:17" ht="20.100000000000001" customHeight="1" x14ac:dyDescent="0.25">
      <c r="A238" s="214">
        <v>6515</v>
      </c>
      <c r="B238" s="214">
        <v>180</v>
      </c>
      <c r="C238" s="215" t="s">
        <v>21</v>
      </c>
      <c r="D238" s="215" t="s">
        <v>22</v>
      </c>
      <c r="E238" s="214">
        <v>32</v>
      </c>
      <c r="F238" s="215" t="s">
        <v>50</v>
      </c>
      <c r="G238" s="214">
        <v>4155</v>
      </c>
      <c r="H238" s="215" t="s">
        <v>56</v>
      </c>
      <c r="I238" s="214" t="s">
        <v>36</v>
      </c>
      <c r="J238" s="216">
        <v>0.17849999999999999</v>
      </c>
      <c r="K238" s="215" t="s">
        <v>275</v>
      </c>
      <c r="L238" s="217">
        <v>0.1</v>
      </c>
      <c r="M238" s="215"/>
      <c r="N238" s="41"/>
      <c r="O238" s="41"/>
      <c r="P238" s="41"/>
      <c r="Q238" s="42"/>
    </row>
    <row r="239" spans="1:17" ht="20.100000000000001" customHeight="1" x14ac:dyDescent="0.25">
      <c r="A239" s="214">
        <v>6515</v>
      </c>
      <c r="B239" s="214">
        <v>180</v>
      </c>
      <c r="C239" s="215" t="s">
        <v>21</v>
      </c>
      <c r="D239" s="215" t="s">
        <v>22</v>
      </c>
      <c r="E239" s="214">
        <v>32</v>
      </c>
      <c r="F239" s="215" t="s">
        <v>108</v>
      </c>
      <c r="G239" s="214">
        <v>3635</v>
      </c>
      <c r="H239" s="215" t="s">
        <v>109</v>
      </c>
      <c r="I239" s="214" t="s">
        <v>73</v>
      </c>
      <c r="J239" s="216">
        <v>0.16800000000000001</v>
      </c>
      <c r="K239" s="215" t="s">
        <v>277</v>
      </c>
      <c r="L239" s="217">
        <v>0.1</v>
      </c>
      <c r="M239" s="215"/>
      <c r="N239" s="41"/>
      <c r="O239" s="41"/>
      <c r="P239" s="41"/>
      <c r="Q239" s="42"/>
    </row>
    <row r="240" spans="1:17" ht="20.100000000000001" customHeight="1" x14ac:dyDescent="0.25">
      <c r="A240" s="210">
        <v>5782</v>
      </c>
      <c r="B240" s="210">
        <v>70</v>
      </c>
      <c r="C240" s="211" t="s">
        <v>218</v>
      </c>
      <c r="D240" s="211" t="s">
        <v>219</v>
      </c>
      <c r="E240" s="210">
        <v>32</v>
      </c>
      <c r="F240" s="211" t="s">
        <v>34</v>
      </c>
      <c r="G240" s="210">
        <v>3935</v>
      </c>
      <c r="H240" s="211" t="s">
        <v>48</v>
      </c>
      <c r="I240" s="210" t="s">
        <v>36</v>
      </c>
      <c r="J240" s="212">
        <v>10.863200000000001</v>
      </c>
      <c r="K240" s="211" t="s">
        <v>268</v>
      </c>
      <c r="L240" s="213">
        <v>0.1</v>
      </c>
      <c r="M240" s="211"/>
      <c r="N240" s="41"/>
      <c r="O240" s="41"/>
      <c r="P240" s="41"/>
      <c r="Q240" s="42"/>
    </row>
    <row r="241" spans="1:17" ht="20.100000000000001" customHeight="1" x14ac:dyDescent="0.25">
      <c r="A241" s="214">
        <v>5782</v>
      </c>
      <c r="B241" s="214">
        <v>70</v>
      </c>
      <c r="C241" s="215" t="s">
        <v>218</v>
      </c>
      <c r="D241" s="215" t="s">
        <v>219</v>
      </c>
      <c r="E241" s="214">
        <v>32</v>
      </c>
      <c r="F241" s="215" t="s">
        <v>57</v>
      </c>
      <c r="G241" s="214">
        <v>3595</v>
      </c>
      <c r="H241" s="215" t="s">
        <v>270</v>
      </c>
      <c r="I241" s="214" t="s">
        <v>36</v>
      </c>
      <c r="J241" s="216">
        <v>0.78</v>
      </c>
      <c r="K241" s="215" t="s">
        <v>271</v>
      </c>
      <c r="L241" s="217">
        <v>0.1</v>
      </c>
      <c r="M241" s="215"/>
      <c r="N241" s="41"/>
      <c r="O241" s="41"/>
      <c r="P241" s="41"/>
      <c r="Q241" s="42"/>
    </row>
    <row r="242" spans="1:17" ht="20.100000000000001" customHeight="1" x14ac:dyDescent="0.25">
      <c r="A242" s="214">
        <v>5782</v>
      </c>
      <c r="B242" s="214">
        <v>70</v>
      </c>
      <c r="C242" s="215" t="s">
        <v>218</v>
      </c>
      <c r="D242" s="215" t="s">
        <v>219</v>
      </c>
      <c r="E242" s="214">
        <v>32</v>
      </c>
      <c r="F242" s="215" t="s">
        <v>69</v>
      </c>
      <c r="G242" s="214">
        <v>186</v>
      </c>
      <c r="H242" s="215" t="s">
        <v>70</v>
      </c>
      <c r="I242" s="214" t="s">
        <v>36</v>
      </c>
      <c r="J242" s="216">
        <v>0.7</v>
      </c>
      <c r="K242" s="215" t="s">
        <v>288</v>
      </c>
      <c r="L242" s="217">
        <v>0.1</v>
      </c>
      <c r="M242" s="215"/>
      <c r="N242" s="41"/>
      <c r="O242" s="41"/>
      <c r="P242" s="41"/>
      <c r="Q242" s="42"/>
    </row>
    <row r="243" spans="1:17" ht="20.100000000000001" customHeight="1" x14ac:dyDescent="0.25">
      <c r="A243" s="214">
        <v>5782</v>
      </c>
      <c r="B243" s="214">
        <v>70</v>
      </c>
      <c r="C243" s="215" t="s">
        <v>218</v>
      </c>
      <c r="D243" s="215" t="s">
        <v>219</v>
      </c>
      <c r="E243" s="214">
        <v>32</v>
      </c>
      <c r="F243" s="215" t="s">
        <v>71</v>
      </c>
      <c r="G243" s="214">
        <v>1285</v>
      </c>
      <c r="H243" s="215" t="s">
        <v>90</v>
      </c>
      <c r="I243" s="214" t="s">
        <v>73</v>
      </c>
      <c r="J243" s="216">
        <v>1000</v>
      </c>
      <c r="K243" s="215" t="s">
        <v>272</v>
      </c>
      <c r="L243" s="217">
        <v>0.02</v>
      </c>
      <c r="M243" s="215"/>
      <c r="N243" s="41"/>
      <c r="O243" s="41"/>
      <c r="P243" s="41"/>
      <c r="Q243" s="42"/>
    </row>
    <row r="244" spans="1:17" ht="20.100000000000001" customHeight="1" x14ac:dyDescent="0.25">
      <c r="A244" s="214">
        <v>5782</v>
      </c>
      <c r="B244" s="214">
        <v>70</v>
      </c>
      <c r="C244" s="215" t="s">
        <v>218</v>
      </c>
      <c r="D244" s="215" t="s">
        <v>219</v>
      </c>
      <c r="E244" s="214">
        <v>32</v>
      </c>
      <c r="F244" s="215" t="s">
        <v>95</v>
      </c>
      <c r="G244" s="214">
        <v>3988</v>
      </c>
      <c r="H244" s="215" t="s">
        <v>298</v>
      </c>
      <c r="I244" s="214" t="s">
        <v>73</v>
      </c>
      <c r="J244" s="216">
        <v>6.06</v>
      </c>
      <c r="K244" s="215" t="s">
        <v>273</v>
      </c>
      <c r="L244" s="217">
        <v>0.1</v>
      </c>
      <c r="M244" s="215"/>
      <c r="N244" s="41"/>
      <c r="O244" s="41"/>
      <c r="P244" s="41"/>
      <c r="Q244" s="42"/>
    </row>
    <row r="245" spans="1:17" ht="20.100000000000001" customHeight="1" x14ac:dyDescent="0.25">
      <c r="A245" s="214">
        <v>5782</v>
      </c>
      <c r="B245" s="214">
        <v>70</v>
      </c>
      <c r="C245" s="215" t="s">
        <v>218</v>
      </c>
      <c r="D245" s="215" t="s">
        <v>219</v>
      </c>
      <c r="E245" s="214">
        <v>32</v>
      </c>
      <c r="F245" s="215" t="s">
        <v>105</v>
      </c>
      <c r="G245" s="214">
        <v>194</v>
      </c>
      <c r="H245" s="215" t="s">
        <v>106</v>
      </c>
      <c r="I245" s="214" t="s">
        <v>36</v>
      </c>
      <c r="J245" s="216">
        <v>9.5999999999999992E-3</v>
      </c>
      <c r="K245" s="215" t="s">
        <v>274</v>
      </c>
      <c r="L245" s="217">
        <v>0.1</v>
      </c>
      <c r="M245" s="215"/>
      <c r="N245" s="41"/>
      <c r="O245" s="41"/>
      <c r="P245" s="41"/>
      <c r="Q245" s="42"/>
    </row>
    <row r="246" spans="1:17" ht="20.100000000000001" customHeight="1" x14ac:dyDescent="0.25">
      <c r="A246" s="214">
        <v>5782</v>
      </c>
      <c r="B246" s="214">
        <v>70</v>
      </c>
      <c r="C246" s="215" t="s">
        <v>218</v>
      </c>
      <c r="D246" s="215" t="s">
        <v>219</v>
      </c>
      <c r="E246" s="214">
        <v>32</v>
      </c>
      <c r="F246" s="215" t="s">
        <v>50</v>
      </c>
      <c r="G246" s="214">
        <v>4155</v>
      </c>
      <c r="H246" s="215" t="s">
        <v>56</v>
      </c>
      <c r="I246" s="214" t="s">
        <v>53</v>
      </c>
      <c r="J246" s="216">
        <v>0.17849999999999999</v>
      </c>
      <c r="K246" s="215" t="s">
        <v>275</v>
      </c>
      <c r="L246" s="217">
        <v>0.1</v>
      </c>
      <c r="M246" s="215"/>
      <c r="N246" s="41"/>
      <c r="O246" s="41"/>
      <c r="P246" s="41"/>
      <c r="Q246" s="42"/>
    </row>
    <row r="247" spans="1:17" ht="20.100000000000001" customHeight="1" x14ac:dyDescent="0.25">
      <c r="A247" s="214">
        <v>5782</v>
      </c>
      <c r="B247" s="214">
        <v>70</v>
      </c>
      <c r="C247" s="215" t="s">
        <v>218</v>
      </c>
      <c r="D247" s="215" t="s">
        <v>219</v>
      </c>
      <c r="E247" s="214">
        <v>32</v>
      </c>
      <c r="F247" s="215" t="s">
        <v>108</v>
      </c>
      <c r="G247" s="214">
        <v>3635</v>
      </c>
      <c r="H247" s="215" t="s">
        <v>109</v>
      </c>
      <c r="I247" s="214" t="s">
        <v>73</v>
      </c>
      <c r="J247" s="216">
        <v>0.16800000000000001</v>
      </c>
      <c r="K247" s="215" t="s">
        <v>277</v>
      </c>
      <c r="L247" s="217">
        <v>0.1</v>
      </c>
      <c r="M247" s="215"/>
      <c r="N247" s="41"/>
      <c r="O247" s="41"/>
      <c r="P247" s="41"/>
      <c r="Q247" s="42"/>
    </row>
    <row r="248" spans="1:17" ht="20.100000000000001" customHeight="1" x14ac:dyDescent="0.25">
      <c r="A248" s="210">
        <v>6020</v>
      </c>
      <c r="B248" s="210">
        <v>130</v>
      </c>
      <c r="C248" s="211" t="s">
        <v>220</v>
      </c>
      <c r="D248" s="211" t="s">
        <v>223</v>
      </c>
      <c r="E248" s="210">
        <v>35</v>
      </c>
      <c r="F248" s="211" t="s">
        <v>34</v>
      </c>
      <c r="G248" s="210">
        <v>3503</v>
      </c>
      <c r="H248" s="211" t="s">
        <v>49</v>
      </c>
      <c r="I248" s="210" t="s">
        <v>36</v>
      </c>
      <c r="J248" s="212">
        <v>12.82</v>
      </c>
      <c r="K248" s="211" t="s">
        <v>268</v>
      </c>
      <c r="L248" s="213">
        <v>0.1</v>
      </c>
      <c r="M248" s="211"/>
      <c r="N248" s="41"/>
      <c r="O248" s="41"/>
      <c r="P248" s="41"/>
      <c r="Q248" s="42"/>
    </row>
    <row r="249" spans="1:17" ht="20.100000000000001" customHeight="1" x14ac:dyDescent="0.25">
      <c r="A249" s="214">
        <v>6020</v>
      </c>
      <c r="B249" s="214">
        <v>130</v>
      </c>
      <c r="C249" s="215" t="s">
        <v>220</v>
      </c>
      <c r="D249" s="215" t="s">
        <v>223</v>
      </c>
      <c r="E249" s="214">
        <v>35</v>
      </c>
      <c r="F249" s="215" t="s">
        <v>57</v>
      </c>
      <c r="G249" s="214">
        <v>4156</v>
      </c>
      <c r="H249" s="215" t="s">
        <v>63</v>
      </c>
      <c r="I249" s="214" t="s">
        <v>36</v>
      </c>
      <c r="J249" s="216">
        <v>1.2</v>
      </c>
      <c r="K249" s="215" t="s">
        <v>271</v>
      </c>
      <c r="L249" s="217">
        <v>0.1</v>
      </c>
      <c r="M249" s="215"/>
      <c r="N249" s="41"/>
      <c r="O249" s="41"/>
      <c r="P249" s="41"/>
      <c r="Q249" s="42"/>
    </row>
    <row r="250" spans="1:17" ht="20.100000000000001" customHeight="1" x14ac:dyDescent="0.25">
      <c r="A250" s="214">
        <v>6020</v>
      </c>
      <c r="B250" s="214">
        <v>130</v>
      </c>
      <c r="C250" s="215" t="s">
        <v>220</v>
      </c>
      <c r="D250" s="215" t="s">
        <v>223</v>
      </c>
      <c r="E250" s="214">
        <v>35</v>
      </c>
      <c r="F250" s="215" t="s">
        <v>57</v>
      </c>
      <c r="G250" s="214">
        <v>177</v>
      </c>
      <c r="H250" s="215" t="s">
        <v>67</v>
      </c>
      <c r="I250" s="214" t="s">
        <v>36</v>
      </c>
      <c r="J250" s="216">
        <v>0.78</v>
      </c>
      <c r="K250" s="215" t="s">
        <v>271</v>
      </c>
      <c r="L250" s="217">
        <v>0.1</v>
      </c>
      <c r="M250" s="215"/>
      <c r="N250" s="41"/>
      <c r="O250" s="41"/>
      <c r="P250" s="41"/>
      <c r="Q250" s="42"/>
    </row>
    <row r="251" spans="1:17" ht="20.100000000000001" customHeight="1" x14ac:dyDescent="0.25">
      <c r="A251" s="214">
        <v>6020</v>
      </c>
      <c r="B251" s="214">
        <v>130</v>
      </c>
      <c r="C251" s="215" t="s">
        <v>220</v>
      </c>
      <c r="D251" s="215" t="s">
        <v>223</v>
      </c>
      <c r="E251" s="214">
        <v>35</v>
      </c>
      <c r="F251" s="215" t="s">
        <v>71</v>
      </c>
      <c r="G251" s="214">
        <v>1073</v>
      </c>
      <c r="H251" s="215" t="s">
        <v>89</v>
      </c>
      <c r="I251" s="214" t="s">
        <v>73</v>
      </c>
      <c r="J251" s="216">
        <v>1000</v>
      </c>
      <c r="K251" s="215" t="s">
        <v>272</v>
      </c>
      <c r="L251" s="217">
        <v>0.02</v>
      </c>
      <c r="M251" s="215"/>
      <c r="N251" s="41"/>
      <c r="O251" s="41"/>
      <c r="P251" s="41"/>
      <c r="Q251" s="42"/>
    </row>
    <row r="252" spans="1:17" ht="20.100000000000001" customHeight="1" x14ac:dyDescent="0.25">
      <c r="A252" s="214">
        <v>6020</v>
      </c>
      <c r="B252" s="214">
        <v>130</v>
      </c>
      <c r="C252" s="215" t="s">
        <v>220</v>
      </c>
      <c r="D252" s="215" t="s">
        <v>223</v>
      </c>
      <c r="E252" s="214">
        <v>35</v>
      </c>
      <c r="F252" s="215" t="s">
        <v>95</v>
      </c>
      <c r="G252" s="214">
        <v>3988</v>
      </c>
      <c r="H252" s="215" t="s">
        <v>298</v>
      </c>
      <c r="I252" s="214" t="s">
        <v>73</v>
      </c>
      <c r="J252" s="216">
        <v>6.06</v>
      </c>
      <c r="K252" s="215" t="s">
        <v>273</v>
      </c>
      <c r="L252" s="217">
        <v>0.1</v>
      </c>
      <c r="M252" s="215"/>
      <c r="N252" s="41"/>
      <c r="O252" s="41"/>
      <c r="P252" s="41"/>
      <c r="Q252" s="42"/>
    </row>
    <row r="253" spans="1:17" ht="20.100000000000001" customHeight="1" x14ac:dyDescent="0.25">
      <c r="A253" s="214">
        <v>6020</v>
      </c>
      <c r="B253" s="214">
        <v>130</v>
      </c>
      <c r="C253" s="215" t="s">
        <v>220</v>
      </c>
      <c r="D253" s="215" t="s">
        <v>223</v>
      </c>
      <c r="E253" s="214">
        <v>35</v>
      </c>
      <c r="F253" s="215" t="s">
        <v>105</v>
      </c>
      <c r="G253" s="214">
        <v>194</v>
      </c>
      <c r="H253" s="215" t="s">
        <v>106</v>
      </c>
      <c r="I253" s="214" t="s">
        <v>36</v>
      </c>
      <c r="J253" s="216">
        <v>1.333E-2</v>
      </c>
      <c r="K253" s="215" t="s">
        <v>274</v>
      </c>
      <c r="L253" s="217">
        <v>0.1</v>
      </c>
      <c r="M253" s="215"/>
      <c r="N253" s="41"/>
      <c r="O253" s="41"/>
      <c r="P253" s="41"/>
      <c r="Q253" s="42"/>
    </row>
    <row r="254" spans="1:17" ht="20.100000000000001" customHeight="1" x14ac:dyDescent="0.25">
      <c r="A254" s="214">
        <v>6020</v>
      </c>
      <c r="B254" s="214">
        <v>130</v>
      </c>
      <c r="C254" s="215" t="s">
        <v>220</v>
      </c>
      <c r="D254" s="215" t="s">
        <v>223</v>
      </c>
      <c r="E254" s="214">
        <v>35</v>
      </c>
      <c r="F254" s="215" t="s">
        <v>108</v>
      </c>
      <c r="G254" s="214">
        <v>3635</v>
      </c>
      <c r="H254" s="215" t="s">
        <v>109</v>
      </c>
      <c r="I254" s="214" t="s">
        <v>73</v>
      </c>
      <c r="J254" s="216">
        <v>0.16800000000000001</v>
      </c>
      <c r="K254" s="215" t="s">
        <v>277</v>
      </c>
      <c r="L254" s="217">
        <v>0.1</v>
      </c>
      <c r="M254" s="215"/>
      <c r="N254" s="41"/>
      <c r="O254" s="41"/>
      <c r="P254" s="41"/>
      <c r="Q254" s="42"/>
    </row>
    <row r="255" spans="1:17" ht="20.100000000000001" customHeight="1" x14ac:dyDescent="0.25">
      <c r="A255" s="214">
        <v>6020</v>
      </c>
      <c r="B255" s="214">
        <v>130</v>
      </c>
      <c r="C255" s="215" t="s">
        <v>220</v>
      </c>
      <c r="D255" s="215" t="s">
        <v>223</v>
      </c>
      <c r="E255" s="214">
        <v>35</v>
      </c>
      <c r="F255" s="215" t="s">
        <v>50</v>
      </c>
      <c r="G255" s="214">
        <v>4155</v>
      </c>
      <c r="H255" s="215" t="s">
        <v>56</v>
      </c>
      <c r="I255" s="214" t="s">
        <v>36</v>
      </c>
      <c r="J255" s="216">
        <v>0.5</v>
      </c>
      <c r="K255" s="215" t="s">
        <v>275</v>
      </c>
      <c r="L255" s="217">
        <v>0.1</v>
      </c>
      <c r="M255" s="215"/>
      <c r="N255" s="41"/>
      <c r="O255" s="41"/>
      <c r="P255" s="41"/>
      <c r="Q255" s="42"/>
    </row>
    <row r="256" spans="1:17" ht="20.100000000000001" customHeight="1" x14ac:dyDescent="0.25">
      <c r="A256" s="214">
        <v>6020</v>
      </c>
      <c r="B256" s="214">
        <v>130</v>
      </c>
      <c r="C256" s="215" t="s">
        <v>220</v>
      </c>
      <c r="D256" s="215" t="s">
        <v>223</v>
      </c>
      <c r="E256" s="214">
        <v>35</v>
      </c>
      <c r="F256" s="215" t="s">
        <v>69</v>
      </c>
      <c r="G256" s="214">
        <v>186</v>
      </c>
      <c r="H256" s="215" t="s">
        <v>70</v>
      </c>
      <c r="I256" s="214" t="s">
        <v>36</v>
      </c>
      <c r="J256" s="216">
        <v>0.7</v>
      </c>
      <c r="K256" s="215" t="s">
        <v>288</v>
      </c>
      <c r="L256" s="217">
        <v>0.1</v>
      </c>
      <c r="M256" s="215"/>
      <c r="N256" s="41"/>
      <c r="O256" s="41"/>
      <c r="P256" s="41"/>
      <c r="Q256" s="42"/>
    </row>
    <row r="257" spans="1:17" ht="20.100000000000001" customHeight="1" x14ac:dyDescent="0.25">
      <c r="A257" s="210">
        <v>6021</v>
      </c>
      <c r="B257" s="210">
        <v>131</v>
      </c>
      <c r="C257" s="211" t="s">
        <v>220</v>
      </c>
      <c r="D257" s="211" t="s">
        <v>224</v>
      </c>
      <c r="E257" s="210">
        <v>35</v>
      </c>
      <c r="F257" s="211" t="s">
        <v>34</v>
      </c>
      <c r="G257" s="210">
        <v>3503</v>
      </c>
      <c r="H257" s="211" t="s">
        <v>49</v>
      </c>
      <c r="I257" s="210" t="s">
        <v>36</v>
      </c>
      <c r="J257" s="212">
        <v>12.82</v>
      </c>
      <c r="K257" s="211" t="s">
        <v>268</v>
      </c>
      <c r="L257" s="213">
        <v>0.1</v>
      </c>
      <c r="M257" s="211"/>
      <c r="N257" s="41"/>
      <c r="O257" s="41"/>
      <c r="P257" s="41"/>
      <c r="Q257" s="42"/>
    </row>
    <row r="258" spans="1:17" ht="20.100000000000001" customHeight="1" x14ac:dyDescent="0.25">
      <c r="A258" s="214">
        <v>6021</v>
      </c>
      <c r="B258" s="214">
        <v>131</v>
      </c>
      <c r="C258" s="215" t="s">
        <v>220</v>
      </c>
      <c r="D258" s="215" t="s">
        <v>224</v>
      </c>
      <c r="E258" s="214">
        <v>35</v>
      </c>
      <c r="F258" s="215" t="s">
        <v>57</v>
      </c>
      <c r="G258" s="214">
        <v>4156</v>
      </c>
      <c r="H258" s="215" t="s">
        <v>63</v>
      </c>
      <c r="I258" s="214" t="s">
        <v>36</v>
      </c>
      <c r="J258" s="216">
        <v>1.2</v>
      </c>
      <c r="K258" s="215" t="s">
        <v>271</v>
      </c>
      <c r="L258" s="217">
        <v>0.1</v>
      </c>
      <c r="M258" s="215"/>
      <c r="N258" s="41"/>
      <c r="O258" s="41"/>
      <c r="P258" s="41"/>
      <c r="Q258" s="42"/>
    </row>
    <row r="259" spans="1:17" ht="20.100000000000001" customHeight="1" x14ac:dyDescent="0.25">
      <c r="A259" s="214">
        <v>6021</v>
      </c>
      <c r="B259" s="214">
        <v>131</v>
      </c>
      <c r="C259" s="215" t="s">
        <v>220</v>
      </c>
      <c r="D259" s="215" t="s">
        <v>224</v>
      </c>
      <c r="E259" s="214">
        <v>35</v>
      </c>
      <c r="F259" s="215" t="s">
        <v>57</v>
      </c>
      <c r="G259" s="214">
        <v>177</v>
      </c>
      <c r="H259" s="215" t="s">
        <v>67</v>
      </c>
      <c r="I259" s="214" t="s">
        <v>36</v>
      </c>
      <c r="J259" s="216">
        <v>0.78</v>
      </c>
      <c r="K259" s="215" t="s">
        <v>271</v>
      </c>
      <c r="L259" s="217">
        <v>0.1</v>
      </c>
      <c r="M259" s="215"/>
      <c r="N259" s="41"/>
      <c r="O259" s="41"/>
      <c r="P259" s="41"/>
      <c r="Q259" s="42"/>
    </row>
    <row r="260" spans="1:17" ht="20.100000000000001" customHeight="1" x14ac:dyDescent="0.25">
      <c r="A260" s="214">
        <v>6021</v>
      </c>
      <c r="B260" s="214">
        <v>131</v>
      </c>
      <c r="C260" s="215" t="s">
        <v>220</v>
      </c>
      <c r="D260" s="215" t="s">
        <v>224</v>
      </c>
      <c r="E260" s="214">
        <v>35</v>
      </c>
      <c r="F260" s="215" t="s">
        <v>71</v>
      </c>
      <c r="G260" s="214">
        <v>1073</v>
      </c>
      <c r="H260" s="215" t="s">
        <v>89</v>
      </c>
      <c r="I260" s="214" t="s">
        <v>73</v>
      </c>
      <c r="J260" s="216">
        <v>1000</v>
      </c>
      <c r="K260" s="215" t="s">
        <v>272</v>
      </c>
      <c r="L260" s="217">
        <v>0.02</v>
      </c>
      <c r="M260" s="215"/>
      <c r="N260" s="41"/>
      <c r="O260" s="41"/>
      <c r="P260" s="41"/>
      <c r="Q260" s="42"/>
    </row>
    <row r="261" spans="1:17" ht="20.100000000000001" customHeight="1" x14ac:dyDescent="0.25">
      <c r="A261" s="214">
        <v>6021</v>
      </c>
      <c r="B261" s="214">
        <v>131</v>
      </c>
      <c r="C261" s="215" t="s">
        <v>220</v>
      </c>
      <c r="D261" s="215" t="s">
        <v>224</v>
      </c>
      <c r="E261" s="214">
        <v>35</v>
      </c>
      <c r="F261" s="215" t="s">
        <v>95</v>
      </c>
      <c r="G261" s="214">
        <v>3988</v>
      </c>
      <c r="H261" s="215" t="s">
        <v>298</v>
      </c>
      <c r="I261" s="214" t="s">
        <v>73</v>
      </c>
      <c r="J261" s="216">
        <v>6.06</v>
      </c>
      <c r="K261" s="215" t="s">
        <v>273</v>
      </c>
      <c r="L261" s="217">
        <v>0.1</v>
      </c>
      <c r="M261" s="215"/>
      <c r="N261" s="41"/>
      <c r="O261" s="41"/>
      <c r="P261" s="41"/>
      <c r="Q261" s="42"/>
    </row>
    <row r="262" spans="1:17" ht="20.100000000000001" customHeight="1" x14ac:dyDescent="0.25">
      <c r="A262" s="214">
        <v>6021</v>
      </c>
      <c r="B262" s="214">
        <v>131</v>
      </c>
      <c r="C262" s="215" t="s">
        <v>220</v>
      </c>
      <c r="D262" s="215" t="s">
        <v>224</v>
      </c>
      <c r="E262" s="214">
        <v>35</v>
      </c>
      <c r="F262" s="215" t="s">
        <v>105</v>
      </c>
      <c r="G262" s="214">
        <v>194</v>
      </c>
      <c r="H262" s="215" t="s">
        <v>106</v>
      </c>
      <c r="I262" s="214" t="s">
        <v>36</v>
      </c>
      <c r="J262" s="216">
        <v>1.333E-2</v>
      </c>
      <c r="K262" s="215" t="s">
        <v>274</v>
      </c>
      <c r="L262" s="217">
        <v>0.1</v>
      </c>
      <c r="M262" s="215"/>
      <c r="N262" s="41"/>
      <c r="O262" s="41"/>
      <c r="P262" s="41"/>
      <c r="Q262" s="42"/>
    </row>
    <row r="263" spans="1:17" ht="20.100000000000001" customHeight="1" x14ac:dyDescent="0.25">
      <c r="A263" s="214">
        <v>6021</v>
      </c>
      <c r="B263" s="214">
        <v>131</v>
      </c>
      <c r="C263" s="215" t="s">
        <v>220</v>
      </c>
      <c r="D263" s="215" t="s">
        <v>224</v>
      </c>
      <c r="E263" s="214">
        <v>35</v>
      </c>
      <c r="F263" s="215" t="s">
        <v>108</v>
      </c>
      <c r="G263" s="214">
        <v>3635</v>
      </c>
      <c r="H263" s="215" t="s">
        <v>109</v>
      </c>
      <c r="I263" s="214" t="s">
        <v>73</v>
      </c>
      <c r="J263" s="216">
        <v>0.16800000000000001</v>
      </c>
      <c r="K263" s="215" t="s">
        <v>277</v>
      </c>
      <c r="L263" s="217">
        <v>0.1</v>
      </c>
      <c r="M263" s="215"/>
      <c r="N263" s="41"/>
      <c r="O263" s="41"/>
      <c r="P263" s="41"/>
      <c r="Q263" s="42"/>
    </row>
    <row r="264" spans="1:17" ht="20.100000000000001" customHeight="1" x14ac:dyDescent="0.25">
      <c r="A264" s="214">
        <v>6021</v>
      </c>
      <c r="B264" s="214">
        <v>131</v>
      </c>
      <c r="C264" s="215" t="s">
        <v>220</v>
      </c>
      <c r="D264" s="215" t="s">
        <v>224</v>
      </c>
      <c r="E264" s="214">
        <v>35</v>
      </c>
      <c r="F264" s="215" t="s">
        <v>50</v>
      </c>
      <c r="G264" s="214">
        <v>4155</v>
      </c>
      <c r="H264" s="215" t="s">
        <v>56</v>
      </c>
      <c r="I264" s="214" t="s">
        <v>36</v>
      </c>
      <c r="J264" s="216">
        <v>0.5</v>
      </c>
      <c r="K264" s="215" t="s">
        <v>275</v>
      </c>
      <c r="L264" s="217">
        <v>0.1</v>
      </c>
      <c r="M264" s="215"/>
      <c r="N264" s="41"/>
      <c r="O264" s="41"/>
      <c r="P264" s="41"/>
      <c r="Q264" s="42"/>
    </row>
    <row r="265" spans="1:17" ht="20.100000000000001" customHeight="1" x14ac:dyDescent="0.25">
      <c r="A265" s="214">
        <v>6021</v>
      </c>
      <c r="B265" s="214">
        <v>131</v>
      </c>
      <c r="C265" s="215" t="s">
        <v>220</v>
      </c>
      <c r="D265" s="215" t="s">
        <v>224</v>
      </c>
      <c r="E265" s="214">
        <v>35</v>
      </c>
      <c r="F265" s="215" t="s">
        <v>69</v>
      </c>
      <c r="G265" s="214">
        <v>186</v>
      </c>
      <c r="H265" s="215" t="s">
        <v>70</v>
      </c>
      <c r="I265" s="214" t="s">
        <v>36</v>
      </c>
      <c r="J265" s="216">
        <v>0.7</v>
      </c>
      <c r="K265" s="215" t="s">
        <v>288</v>
      </c>
      <c r="L265" s="217">
        <v>0.1</v>
      </c>
      <c r="M265" s="215"/>
      <c r="N265" s="41"/>
      <c r="O265" s="41"/>
      <c r="P265" s="41"/>
      <c r="Q265" s="42"/>
    </row>
    <row r="266" spans="1:17" ht="20.100000000000001" customHeight="1" x14ac:dyDescent="0.25">
      <c r="A266" s="210">
        <v>6530</v>
      </c>
      <c r="B266" s="210">
        <v>182</v>
      </c>
      <c r="C266" s="211" t="s">
        <v>220</v>
      </c>
      <c r="D266" s="211" t="s">
        <v>221</v>
      </c>
      <c r="E266" s="210">
        <v>35</v>
      </c>
      <c r="F266" s="211" t="s">
        <v>34</v>
      </c>
      <c r="G266" s="210">
        <v>3503</v>
      </c>
      <c r="H266" s="211" t="s">
        <v>49</v>
      </c>
      <c r="I266" s="210" t="s">
        <v>36</v>
      </c>
      <c r="J266" s="212">
        <v>12.82</v>
      </c>
      <c r="K266" s="211" t="s">
        <v>268</v>
      </c>
      <c r="L266" s="213">
        <v>0.1</v>
      </c>
      <c r="M266" s="211"/>
      <c r="N266" s="41"/>
      <c r="O266" s="41"/>
      <c r="P266" s="41"/>
      <c r="Q266" s="42"/>
    </row>
    <row r="267" spans="1:17" ht="20.100000000000001" customHeight="1" x14ac:dyDescent="0.25">
      <c r="A267" s="214">
        <v>6530</v>
      </c>
      <c r="B267" s="214">
        <v>182</v>
      </c>
      <c r="C267" s="215" t="s">
        <v>220</v>
      </c>
      <c r="D267" s="215" t="s">
        <v>221</v>
      </c>
      <c r="E267" s="214">
        <v>35</v>
      </c>
      <c r="F267" s="215" t="s">
        <v>57</v>
      </c>
      <c r="G267" s="214">
        <v>3595</v>
      </c>
      <c r="H267" s="215" t="s">
        <v>270</v>
      </c>
      <c r="I267" s="214" t="s">
        <v>36</v>
      </c>
      <c r="J267" s="216">
        <v>0.78</v>
      </c>
      <c r="K267" s="215" t="s">
        <v>271</v>
      </c>
      <c r="L267" s="217">
        <v>0.1</v>
      </c>
      <c r="M267" s="215"/>
      <c r="N267" s="41"/>
      <c r="O267" s="41"/>
      <c r="P267" s="41"/>
      <c r="Q267" s="42"/>
    </row>
    <row r="268" spans="1:17" ht="20.100000000000001" customHeight="1" x14ac:dyDescent="0.25">
      <c r="A268" s="214">
        <v>6530</v>
      </c>
      <c r="B268" s="214">
        <v>182</v>
      </c>
      <c r="C268" s="215" t="s">
        <v>220</v>
      </c>
      <c r="D268" s="215" t="s">
        <v>221</v>
      </c>
      <c r="E268" s="214">
        <v>35</v>
      </c>
      <c r="F268" s="215" t="s">
        <v>71</v>
      </c>
      <c r="G268" s="214">
        <v>578</v>
      </c>
      <c r="H268" s="215" t="s">
        <v>93</v>
      </c>
      <c r="I268" s="214" t="s">
        <v>73</v>
      </c>
      <c r="J268" s="216">
        <v>1000</v>
      </c>
      <c r="K268" s="215" t="s">
        <v>272</v>
      </c>
      <c r="L268" s="217">
        <v>0.02</v>
      </c>
      <c r="M268" s="215"/>
      <c r="N268" s="41"/>
      <c r="O268" s="41"/>
      <c r="P268" s="41"/>
      <c r="Q268" s="42"/>
    </row>
    <row r="269" spans="1:17" ht="20.100000000000001" customHeight="1" x14ac:dyDescent="0.25">
      <c r="A269" s="214">
        <v>6530</v>
      </c>
      <c r="B269" s="214">
        <v>182</v>
      </c>
      <c r="C269" s="215" t="s">
        <v>220</v>
      </c>
      <c r="D269" s="215" t="s">
        <v>221</v>
      </c>
      <c r="E269" s="214">
        <v>35</v>
      </c>
      <c r="F269" s="215" t="s">
        <v>95</v>
      </c>
      <c r="G269" s="214">
        <v>3988</v>
      </c>
      <c r="H269" s="215" t="s">
        <v>298</v>
      </c>
      <c r="I269" s="214" t="s">
        <v>73</v>
      </c>
      <c r="J269" s="216">
        <v>6.06</v>
      </c>
      <c r="K269" s="215" t="s">
        <v>273</v>
      </c>
      <c r="L269" s="217">
        <v>0.1</v>
      </c>
      <c r="M269" s="215"/>
      <c r="N269" s="41"/>
      <c r="O269" s="41"/>
      <c r="P269" s="41"/>
      <c r="Q269" s="42"/>
    </row>
    <row r="270" spans="1:17" ht="20.100000000000001" customHeight="1" x14ac:dyDescent="0.25">
      <c r="A270" s="214">
        <v>6530</v>
      </c>
      <c r="B270" s="214">
        <v>182</v>
      </c>
      <c r="C270" s="215" t="s">
        <v>220</v>
      </c>
      <c r="D270" s="215" t="s">
        <v>221</v>
      </c>
      <c r="E270" s="214">
        <v>35</v>
      </c>
      <c r="F270" s="215" t="s">
        <v>105</v>
      </c>
      <c r="G270" s="214">
        <v>194</v>
      </c>
      <c r="H270" s="215" t="s">
        <v>106</v>
      </c>
      <c r="I270" s="214" t="s">
        <v>36</v>
      </c>
      <c r="J270" s="216">
        <v>1.3299999999999999E-2</v>
      </c>
      <c r="K270" s="215" t="s">
        <v>274</v>
      </c>
      <c r="L270" s="217">
        <v>0.1</v>
      </c>
      <c r="M270" s="215"/>
      <c r="N270" s="41"/>
      <c r="O270" s="41"/>
      <c r="P270" s="41"/>
      <c r="Q270" s="42"/>
    </row>
    <row r="271" spans="1:17" ht="20.100000000000001" customHeight="1" x14ac:dyDescent="0.25">
      <c r="A271" s="214">
        <v>6530</v>
      </c>
      <c r="B271" s="214">
        <v>182</v>
      </c>
      <c r="C271" s="215" t="s">
        <v>220</v>
      </c>
      <c r="D271" s="215" t="s">
        <v>221</v>
      </c>
      <c r="E271" s="214">
        <v>35</v>
      </c>
      <c r="F271" s="215" t="s">
        <v>50</v>
      </c>
      <c r="G271" s="214">
        <v>4155</v>
      </c>
      <c r="H271" s="215" t="s">
        <v>56</v>
      </c>
      <c r="I271" s="214" t="s">
        <v>36</v>
      </c>
      <c r="J271" s="216">
        <v>0.16</v>
      </c>
      <c r="K271" s="215" t="s">
        <v>275</v>
      </c>
      <c r="L271" s="217">
        <v>0.1</v>
      </c>
      <c r="M271" s="215"/>
      <c r="N271" s="41"/>
      <c r="O271" s="41"/>
      <c r="P271" s="41"/>
      <c r="Q271" s="42"/>
    </row>
    <row r="272" spans="1:17" ht="20.100000000000001" customHeight="1" x14ac:dyDescent="0.25">
      <c r="A272" s="214">
        <v>6530</v>
      </c>
      <c r="B272" s="214">
        <v>182</v>
      </c>
      <c r="C272" s="215" t="s">
        <v>220</v>
      </c>
      <c r="D272" s="215" t="s">
        <v>221</v>
      </c>
      <c r="E272" s="214">
        <v>35</v>
      </c>
      <c r="F272" s="215" t="s">
        <v>108</v>
      </c>
      <c r="G272" s="214">
        <v>3635</v>
      </c>
      <c r="H272" s="215" t="s">
        <v>109</v>
      </c>
      <c r="I272" s="214" t="s">
        <v>73</v>
      </c>
      <c r="J272" s="216">
        <v>0.16800000000000001</v>
      </c>
      <c r="K272" s="215" t="s">
        <v>277</v>
      </c>
      <c r="L272" s="217">
        <v>0.1</v>
      </c>
      <c r="M272" s="215"/>
      <c r="N272" s="41"/>
      <c r="O272" s="41"/>
      <c r="P272" s="41"/>
      <c r="Q272" s="42"/>
    </row>
    <row r="273" spans="1:17" ht="20.100000000000001" customHeight="1" x14ac:dyDescent="0.25">
      <c r="A273" s="210">
        <v>6531</v>
      </c>
      <c r="B273" s="210">
        <v>183</v>
      </c>
      <c r="C273" s="211" t="s">
        <v>220</v>
      </c>
      <c r="D273" s="211" t="s">
        <v>222</v>
      </c>
      <c r="E273" s="210">
        <v>35</v>
      </c>
      <c r="F273" s="211" t="s">
        <v>34</v>
      </c>
      <c r="G273" s="210">
        <v>3503</v>
      </c>
      <c r="H273" s="211" t="s">
        <v>49</v>
      </c>
      <c r="I273" s="210" t="s">
        <v>36</v>
      </c>
      <c r="J273" s="212">
        <v>12.82</v>
      </c>
      <c r="K273" s="211" t="s">
        <v>268</v>
      </c>
      <c r="L273" s="213">
        <v>0.1</v>
      </c>
      <c r="M273" s="211"/>
      <c r="N273" s="41"/>
      <c r="O273" s="41"/>
      <c r="P273" s="41"/>
      <c r="Q273" s="42"/>
    </row>
    <row r="274" spans="1:17" ht="20.100000000000001" customHeight="1" x14ac:dyDescent="0.25">
      <c r="A274" s="214">
        <v>6531</v>
      </c>
      <c r="B274" s="214">
        <v>183</v>
      </c>
      <c r="C274" s="215" t="s">
        <v>220</v>
      </c>
      <c r="D274" s="215" t="s">
        <v>222</v>
      </c>
      <c r="E274" s="214">
        <v>35</v>
      </c>
      <c r="F274" s="215" t="s">
        <v>57</v>
      </c>
      <c r="G274" s="214">
        <v>3595</v>
      </c>
      <c r="H274" s="215" t="s">
        <v>270</v>
      </c>
      <c r="I274" s="214" t="s">
        <v>36</v>
      </c>
      <c r="J274" s="216">
        <v>0.78</v>
      </c>
      <c r="K274" s="215" t="s">
        <v>271</v>
      </c>
      <c r="L274" s="217">
        <v>0.1</v>
      </c>
      <c r="M274" s="215"/>
      <c r="N274" s="41"/>
      <c r="O274" s="41"/>
      <c r="P274" s="41"/>
      <c r="Q274" s="42"/>
    </row>
    <row r="275" spans="1:17" ht="20.100000000000001" customHeight="1" x14ac:dyDescent="0.25">
      <c r="A275" s="214">
        <v>6531</v>
      </c>
      <c r="B275" s="214">
        <v>183</v>
      </c>
      <c r="C275" s="215" t="s">
        <v>220</v>
      </c>
      <c r="D275" s="215" t="s">
        <v>222</v>
      </c>
      <c r="E275" s="214">
        <v>35</v>
      </c>
      <c r="F275" s="215" t="s">
        <v>71</v>
      </c>
      <c r="G275" s="214">
        <v>578</v>
      </c>
      <c r="H275" s="215" t="s">
        <v>93</v>
      </c>
      <c r="I275" s="214" t="s">
        <v>73</v>
      </c>
      <c r="J275" s="216">
        <v>1000</v>
      </c>
      <c r="K275" s="215" t="s">
        <v>272</v>
      </c>
      <c r="L275" s="217">
        <v>0.02</v>
      </c>
      <c r="M275" s="215"/>
      <c r="N275" s="41"/>
      <c r="O275" s="41"/>
      <c r="P275" s="41"/>
      <c r="Q275" s="42"/>
    </row>
    <row r="276" spans="1:17" ht="20.100000000000001" customHeight="1" x14ac:dyDescent="0.25">
      <c r="A276" s="214">
        <v>6531</v>
      </c>
      <c r="B276" s="214">
        <v>183</v>
      </c>
      <c r="C276" s="215" t="s">
        <v>220</v>
      </c>
      <c r="D276" s="215" t="s">
        <v>222</v>
      </c>
      <c r="E276" s="214">
        <v>35</v>
      </c>
      <c r="F276" s="215" t="s">
        <v>95</v>
      </c>
      <c r="G276" s="214">
        <v>3988</v>
      </c>
      <c r="H276" s="215" t="s">
        <v>298</v>
      </c>
      <c r="I276" s="214" t="s">
        <v>73</v>
      </c>
      <c r="J276" s="216">
        <v>6.06</v>
      </c>
      <c r="K276" s="215" t="s">
        <v>273</v>
      </c>
      <c r="L276" s="217">
        <v>0.1</v>
      </c>
      <c r="M276" s="215"/>
      <c r="N276" s="41"/>
      <c r="O276" s="41"/>
      <c r="P276" s="41"/>
      <c r="Q276" s="42"/>
    </row>
    <row r="277" spans="1:17" ht="20.100000000000001" customHeight="1" x14ac:dyDescent="0.25">
      <c r="A277" s="214">
        <v>6531</v>
      </c>
      <c r="B277" s="214">
        <v>183</v>
      </c>
      <c r="C277" s="215" t="s">
        <v>220</v>
      </c>
      <c r="D277" s="215" t="s">
        <v>222</v>
      </c>
      <c r="E277" s="214">
        <v>35</v>
      </c>
      <c r="F277" s="215" t="s">
        <v>105</v>
      </c>
      <c r="G277" s="214">
        <v>194</v>
      </c>
      <c r="H277" s="215" t="s">
        <v>106</v>
      </c>
      <c r="I277" s="214" t="s">
        <v>36</v>
      </c>
      <c r="J277" s="216">
        <v>1.3299999999999999E-2</v>
      </c>
      <c r="K277" s="215" t="s">
        <v>274</v>
      </c>
      <c r="L277" s="217">
        <v>0.1</v>
      </c>
      <c r="M277" s="215"/>
      <c r="N277" s="41"/>
      <c r="O277" s="41"/>
      <c r="P277" s="41"/>
      <c r="Q277" s="42"/>
    </row>
    <row r="278" spans="1:17" ht="20.100000000000001" customHeight="1" x14ac:dyDescent="0.25">
      <c r="A278" s="214">
        <v>6531</v>
      </c>
      <c r="B278" s="214">
        <v>183</v>
      </c>
      <c r="C278" s="215" t="s">
        <v>220</v>
      </c>
      <c r="D278" s="215" t="s">
        <v>222</v>
      </c>
      <c r="E278" s="214">
        <v>35</v>
      </c>
      <c r="F278" s="215" t="s">
        <v>50</v>
      </c>
      <c r="G278" s="214">
        <v>4155</v>
      </c>
      <c r="H278" s="215" t="s">
        <v>56</v>
      </c>
      <c r="I278" s="214" t="s">
        <v>36</v>
      </c>
      <c r="J278" s="216">
        <v>0.16</v>
      </c>
      <c r="K278" s="215" t="s">
        <v>275</v>
      </c>
      <c r="L278" s="217">
        <v>0.1</v>
      </c>
      <c r="M278" s="215"/>
    </row>
    <row r="279" spans="1:17" ht="20.100000000000001" customHeight="1" x14ac:dyDescent="0.25">
      <c r="A279" s="214">
        <v>6531</v>
      </c>
      <c r="B279" s="214">
        <v>183</v>
      </c>
      <c r="C279" s="215" t="s">
        <v>220</v>
      </c>
      <c r="D279" s="215" t="s">
        <v>222</v>
      </c>
      <c r="E279" s="214">
        <v>35</v>
      </c>
      <c r="F279" s="215" t="s">
        <v>108</v>
      </c>
      <c r="G279" s="214">
        <v>3635</v>
      </c>
      <c r="H279" s="215" t="s">
        <v>109</v>
      </c>
      <c r="I279" s="214" t="s">
        <v>73</v>
      </c>
      <c r="J279" s="216">
        <v>0.16800000000000001</v>
      </c>
      <c r="K279" s="215" t="s">
        <v>277</v>
      </c>
      <c r="L279" s="217">
        <v>0.1</v>
      </c>
      <c r="M279" s="215"/>
    </row>
    <row r="280" spans="1:17" ht="20.100000000000001" customHeight="1" x14ac:dyDescent="0.25">
      <c r="A280" s="210">
        <v>8018</v>
      </c>
      <c r="B280" s="210">
        <v>818</v>
      </c>
      <c r="C280" s="211" t="s">
        <v>135</v>
      </c>
      <c r="D280" s="211" t="s">
        <v>136</v>
      </c>
      <c r="E280" s="210" t="s">
        <v>134</v>
      </c>
      <c r="F280" s="211" t="s">
        <v>113</v>
      </c>
      <c r="G280" s="210">
        <v>2680</v>
      </c>
      <c r="H280" s="211" t="s">
        <v>114</v>
      </c>
      <c r="I280" s="210" t="s">
        <v>36</v>
      </c>
      <c r="J280" s="212">
        <v>22</v>
      </c>
      <c r="K280" s="211" t="s">
        <v>299</v>
      </c>
      <c r="L280" s="213">
        <v>0.15</v>
      </c>
      <c r="M280" s="211" t="s">
        <v>300</v>
      </c>
    </row>
    <row r="281" spans="1:17" ht="20.100000000000001" customHeight="1" x14ac:dyDescent="0.25">
      <c r="A281" s="214">
        <v>8018</v>
      </c>
      <c r="B281" s="214">
        <v>818</v>
      </c>
      <c r="C281" s="215" t="s">
        <v>135</v>
      </c>
      <c r="D281" s="215" t="s">
        <v>136</v>
      </c>
      <c r="E281" s="214" t="s">
        <v>134</v>
      </c>
      <c r="F281" s="215" t="s">
        <v>301</v>
      </c>
      <c r="G281" s="214">
        <v>5977</v>
      </c>
      <c r="H281" s="215" t="s">
        <v>104</v>
      </c>
      <c r="I281" s="214" t="s">
        <v>73</v>
      </c>
      <c r="J281" s="216">
        <v>0.625</v>
      </c>
      <c r="K281" s="215" t="s">
        <v>302</v>
      </c>
      <c r="L281" s="217">
        <v>0.15</v>
      </c>
      <c r="M281" s="215"/>
    </row>
    <row r="282" spans="1:17" ht="20.100000000000001" customHeight="1" x14ac:dyDescent="0.25">
      <c r="A282" s="214">
        <v>8018</v>
      </c>
      <c r="B282" s="214">
        <v>818</v>
      </c>
      <c r="C282" s="215" t="s">
        <v>135</v>
      </c>
      <c r="D282" s="215" t="s">
        <v>136</v>
      </c>
      <c r="E282" s="214" t="s">
        <v>134</v>
      </c>
      <c r="F282" s="215" t="s">
        <v>128</v>
      </c>
      <c r="G282" s="214">
        <v>2267</v>
      </c>
      <c r="H282" s="215" t="s">
        <v>129</v>
      </c>
      <c r="I282" s="214" t="s">
        <v>73</v>
      </c>
      <c r="J282" s="216">
        <v>5</v>
      </c>
      <c r="K282" s="215" t="s">
        <v>150</v>
      </c>
      <c r="L282" s="217">
        <v>0.15</v>
      </c>
      <c r="M282" s="215"/>
      <c r="N282" s="41"/>
      <c r="O282" s="41"/>
      <c r="P282" s="41"/>
      <c r="Q282" s="42"/>
    </row>
    <row r="283" spans="1:17" ht="20.100000000000001" customHeight="1" x14ac:dyDescent="0.25">
      <c r="A283" s="214">
        <v>8018</v>
      </c>
      <c r="B283" s="214">
        <v>818</v>
      </c>
      <c r="C283" s="215" t="s">
        <v>135</v>
      </c>
      <c r="D283" s="215" t="s">
        <v>136</v>
      </c>
      <c r="E283" s="214" t="s">
        <v>134</v>
      </c>
      <c r="F283" s="215" t="s">
        <v>108</v>
      </c>
      <c r="G283" s="214">
        <v>3635</v>
      </c>
      <c r="H283" s="215" t="s">
        <v>109</v>
      </c>
      <c r="I283" s="214" t="s">
        <v>73</v>
      </c>
      <c r="J283" s="216">
        <v>1.6E-2</v>
      </c>
      <c r="K283" s="215" t="s">
        <v>277</v>
      </c>
      <c r="L283" s="217">
        <v>0.15</v>
      </c>
      <c r="M283" s="215"/>
      <c r="N283" s="41"/>
      <c r="O283" s="41"/>
      <c r="P283" s="41"/>
      <c r="Q283" s="42"/>
    </row>
    <row r="284" spans="1:17" ht="20.100000000000001" customHeight="1" x14ac:dyDescent="0.25">
      <c r="A284" s="214">
        <v>8018</v>
      </c>
      <c r="B284" s="214">
        <v>818</v>
      </c>
      <c r="C284" s="215" t="s">
        <v>135</v>
      </c>
      <c r="D284" s="215" t="s">
        <v>136</v>
      </c>
      <c r="E284" s="214" t="s">
        <v>134</v>
      </c>
      <c r="F284" s="215" t="s">
        <v>131</v>
      </c>
      <c r="G284" s="214">
        <v>3043</v>
      </c>
      <c r="H284" s="215" t="s">
        <v>131</v>
      </c>
      <c r="I284" s="214" t="s">
        <v>132</v>
      </c>
      <c r="J284" s="216">
        <v>5.0000000000000001E-3</v>
      </c>
      <c r="K284" s="215" t="s">
        <v>303</v>
      </c>
      <c r="L284" s="217">
        <v>0.15</v>
      </c>
      <c r="M284" s="215"/>
      <c r="N284" s="41"/>
      <c r="O284" s="41"/>
      <c r="P284" s="41"/>
      <c r="Q284" s="42"/>
    </row>
    <row r="285" spans="1:17" ht="20.100000000000001" customHeight="1" x14ac:dyDescent="0.25">
      <c r="A285" s="210">
        <v>8011</v>
      </c>
      <c r="B285" s="210">
        <v>811</v>
      </c>
      <c r="C285" s="211" t="s">
        <v>14</v>
      </c>
      <c r="D285" s="211" t="s">
        <v>225</v>
      </c>
      <c r="E285" s="210" t="s">
        <v>138</v>
      </c>
      <c r="F285" s="211" t="s">
        <v>113</v>
      </c>
      <c r="G285" s="210">
        <v>2680</v>
      </c>
      <c r="H285" s="211" t="s">
        <v>114</v>
      </c>
      <c r="I285" s="210" t="s">
        <v>36</v>
      </c>
      <c r="J285" s="212">
        <v>17.46</v>
      </c>
      <c r="K285" s="211" t="s">
        <v>299</v>
      </c>
      <c r="L285" s="213">
        <v>0.15</v>
      </c>
      <c r="M285" s="211"/>
      <c r="N285" s="41"/>
      <c r="O285" s="41"/>
      <c r="P285" s="41"/>
      <c r="Q285" s="42"/>
    </row>
    <row r="286" spans="1:17" ht="20.100000000000001" customHeight="1" x14ac:dyDescent="0.25">
      <c r="A286" s="214">
        <v>8011</v>
      </c>
      <c r="B286" s="214">
        <v>811</v>
      </c>
      <c r="C286" s="215" t="s">
        <v>14</v>
      </c>
      <c r="D286" s="215" t="s">
        <v>225</v>
      </c>
      <c r="E286" s="214" t="s">
        <v>138</v>
      </c>
      <c r="F286" s="215" t="s">
        <v>115</v>
      </c>
      <c r="G286" s="214">
        <v>7412</v>
      </c>
      <c r="H286" s="215" t="s">
        <v>123</v>
      </c>
      <c r="I286" s="214" t="s">
        <v>36</v>
      </c>
      <c r="J286" s="216">
        <v>0.54</v>
      </c>
      <c r="K286" s="215" t="s">
        <v>304</v>
      </c>
      <c r="L286" s="217">
        <v>0.15</v>
      </c>
      <c r="M286" s="215"/>
      <c r="N286" s="41"/>
      <c r="O286" s="41"/>
      <c r="P286" s="41"/>
      <c r="Q286" s="42"/>
    </row>
    <row r="287" spans="1:17" ht="20.100000000000001" customHeight="1" x14ac:dyDescent="0.25">
      <c r="A287" s="214">
        <v>8011</v>
      </c>
      <c r="B287" s="214">
        <v>811</v>
      </c>
      <c r="C287" s="215" t="s">
        <v>14</v>
      </c>
      <c r="D287" s="215" t="s">
        <v>225</v>
      </c>
      <c r="E287" s="214" t="s">
        <v>138</v>
      </c>
      <c r="F287" s="215" t="s">
        <v>128</v>
      </c>
      <c r="G287" s="214">
        <v>2267</v>
      </c>
      <c r="H287" s="215" t="s">
        <v>129</v>
      </c>
      <c r="I287" s="214" t="s">
        <v>73</v>
      </c>
      <c r="J287" s="216">
        <v>8.3330000000000002</v>
      </c>
      <c r="K287" s="215" t="s">
        <v>150</v>
      </c>
      <c r="L287" s="217">
        <v>0.15</v>
      </c>
      <c r="M287" s="215"/>
      <c r="N287" s="41"/>
      <c r="O287" s="41"/>
      <c r="P287" s="41"/>
      <c r="Q287" s="42"/>
    </row>
    <row r="288" spans="1:17" ht="20.100000000000001" customHeight="1" x14ac:dyDescent="0.25">
      <c r="A288" s="214">
        <v>8011</v>
      </c>
      <c r="B288" s="214">
        <v>811</v>
      </c>
      <c r="C288" s="215" t="s">
        <v>14</v>
      </c>
      <c r="D288" s="215" t="s">
        <v>225</v>
      </c>
      <c r="E288" s="214" t="s">
        <v>138</v>
      </c>
      <c r="F288" s="215" t="s">
        <v>131</v>
      </c>
      <c r="G288" s="214">
        <v>3043</v>
      </c>
      <c r="H288" s="215" t="s">
        <v>131</v>
      </c>
      <c r="I288" s="214" t="s">
        <v>132</v>
      </c>
      <c r="J288" s="216">
        <v>5.0000000000000001E-3</v>
      </c>
      <c r="K288" s="215" t="s">
        <v>303</v>
      </c>
      <c r="L288" s="217">
        <v>0.15</v>
      </c>
      <c r="M288" s="215"/>
      <c r="N288" s="41"/>
      <c r="O288" s="41"/>
      <c r="P288" s="41"/>
      <c r="Q288" s="42"/>
    </row>
    <row r="289" spans="1:17" ht="20.100000000000001" customHeight="1" x14ac:dyDescent="0.25">
      <c r="A289" s="210">
        <v>8005</v>
      </c>
      <c r="B289" s="210">
        <v>805</v>
      </c>
      <c r="C289" s="211" t="s">
        <v>14</v>
      </c>
      <c r="D289" s="211" t="s">
        <v>139</v>
      </c>
      <c r="E289" s="210" t="s">
        <v>138</v>
      </c>
      <c r="F289" s="211" t="s">
        <v>113</v>
      </c>
      <c r="G289" s="210">
        <v>2680</v>
      </c>
      <c r="H289" s="211" t="s">
        <v>114</v>
      </c>
      <c r="I289" s="210" t="s">
        <v>36</v>
      </c>
      <c r="J289" s="212">
        <v>17.100000000000001</v>
      </c>
      <c r="K289" s="211" t="s">
        <v>299</v>
      </c>
      <c r="L289" s="213">
        <v>0.15</v>
      </c>
      <c r="M289" s="211"/>
      <c r="N289" s="41"/>
      <c r="O289" s="41"/>
      <c r="P289" s="41"/>
      <c r="Q289" s="42"/>
    </row>
    <row r="290" spans="1:17" ht="20.100000000000001" customHeight="1" x14ac:dyDescent="0.25">
      <c r="A290" s="214">
        <v>8005</v>
      </c>
      <c r="B290" s="214">
        <v>805</v>
      </c>
      <c r="C290" s="215" t="s">
        <v>14</v>
      </c>
      <c r="D290" s="215" t="s">
        <v>139</v>
      </c>
      <c r="E290" s="214" t="s">
        <v>138</v>
      </c>
      <c r="F290" s="215" t="s">
        <v>115</v>
      </c>
      <c r="G290" s="214">
        <v>4002</v>
      </c>
      <c r="H290" s="215" t="s">
        <v>117</v>
      </c>
      <c r="I290" s="214" t="s">
        <v>36</v>
      </c>
      <c r="J290" s="216">
        <v>0.9</v>
      </c>
      <c r="K290" s="215" t="s">
        <v>304</v>
      </c>
      <c r="L290" s="217">
        <v>0.15</v>
      </c>
      <c r="M290" s="215"/>
      <c r="N290" s="41"/>
      <c r="O290" s="41"/>
      <c r="P290" s="41"/>
      <c r="Q290" s="42"/>
    </row>
    <row r="291" spans="1:17" ht="20.100000000000001" customHeight="1" x14ac:dyDescent="0.25">
      <c r="A291" s="214">
        <v>8005</v>
      </c>
      <c r="B291" s="214">
        <v>805</v>
      </c>
      <c r="C291" s="215" t="s">
        <v>14</v>
      </c>
      <c r="D291" s="215" t="s">
        <v>139</v>
      </c>
      <c r="E291" s="214" t="s">
        <v>138</v>
      </c>
      <c r="F291" s="215" t="s">
        <v>128</v>
      </c>
      <c r="G291" s="214">
        <v>2267</v>
      </c>
      <c r="H291" s="215" t="s">
        <v>129</v>
      </c>
      <c r="I291" s="214" t="s">
        <v>73</v>
      </c>
      <c r="J291" s="216">
        <v>8.3330000000000002</v>
      </c>
      <c r="K291" s="215" t="s">
        <v>150</v>
      </c>
      <c r="L291" s="217">
        <v>0.15</v>
      </c>
      <c r="M291" s="215"/>
      <c r="N291" s="41"/>
      <c r="O291" s="41"/>
      <c r="P291" s="41"/>
      <c r="Q291" s="42"/>
    </row>
    <row r="292" spans="1:17" ht="20.100000000000001" customHeight="1" x14ac:dyDescent="0.25">
      <c r="A292" s="214">
        <v>8005</v>
      </c>
      <c r="B292" s="214">
        <v>805</v>
      </c>
      <c r="C292" s="215" t="s">
        <v>14</v>
      </c>
      <c r="D292" s="215" t="s">
        <v>139</v>
      </c>
      <c r="E292" s="214" t="s">
        <v>138</v>
      </c>
      <c r="F292" s="215" t="s">
        <v>131</v>
      </c>
      <c r="G292" s="214">
        <v>3043</v>
      </c>
      <c r="H292" s="215" t="s">
        <v>131</v>
      </c>
      <c r="I292" s="214" t="s">
        <v>132</v>
      </c>
      <c r="J292" s="216">
        <v>5.0000000000000001E-3</v>
      </c>
      <c r="K292" s="215" t="s">
        <v>303</v>
      </c>
      <c r="L292" s="217">
        <v>0.15</v>
      </c>
      <c r="M292" s="215"/>
      <c r="N292" s="41"/>
      <c r="O292" s="41"/>
      <c r="P292" s="41"/>
      <c r="Q292" s="42"/>
    </row>
    <row r="293" spans="1:17" ht="20.100000000000001" customHeight="1" x14ac:dyDescent="0.25">
      <c r="A293" s="210">
        <v>8012</v>
      </c>
      <c r="B293" s="210">
        <v>812</v>
      </c>
      <c r="C293" s="211" t="s">
        <v>14</v>
      </c>
      <c r="D293" s="211" t="s">
        <v>226</v>
      </c>
      <c r="E293" s="210" t="s">
        <v>138</v>
      </c>
      <c r="F293" s="211" t="s">
        <v>113</v>
      </c>
      <c r="G293" s="210">
        <v>2680</v>
      </c>
      <c r="H293" s="211" t="s">
        <v>114</v>
      </c>
      <c r="I293" s="210" t="s">
        <v>36</v>
      </c>
      <c r="J293" s="212">
        <v>17.100000000000001</v>
      </c>
      <c r="K293" s="211" t="s">
        <v>299</v>
      </c>
      <c r="L293" s="213">
        <v>0.15</v>
      </c>
      <c r="M293" s="211"/>
      <c r="N293" s="41"/>
      <c r="O293" s="41"/>
      <c r="P293" s="41"/>
      <c r="Q293" s="42"/>
    </row>
    <row r="294" spans="1:17" ht="20.100000000000001" customHeight="1" x14ac:dyDescent="0.25">
      <c r="A294" s="214">
        <v>8012</v>
      </c>
      <c r="B294" s="214">
        <v>812</v>
      </c>
      <c r="C294" s="215" t="s">
        <v>14</v>
      </c>
      <c r="D294" s="215" t="s">
        <v>226</v>
      </c>
      <c r="E294" s="214" t="s">
        <v>138</v>
      </c>
      <c r="F294" s="215" t="s">
        <v>115</v>
      </c>
      <c r="G294" s="214">
        <v>5816</v>
      </c>
      <c r="H294" s="215" t="s">
        <v>120</v>
      </c>
      <c r="I294" s="214" t="s">
        <v>36</v>
      </c>
      <c r="J294" s="216">
        <v>0.9</v>
      </c>
      <c r="K294" s="215" t="s">
        <v>304</v>
      </c>
      <c r="L294" s="217">
        <v>0.15</v>
      </c>
      <c r="M294" s="215"/>
    </row>
    <row r="295" spans="1:17" ht="20.100000000000001" customHeight="1" x14ac:dyDescent="0.25">
      <c r="A295" s="214">
        <v>8012</v>
      </c>
      <c r="B295" s="214">
        <v>812</v>
      </c>
      <c r="C295" s="215" t="s">
        <v>14</v>
      </c>
      <c r="D295" s="215" t="s">
        <v>226</v>
      </c>
      <c r="E295" s="214" t="s">
        <v>138</v>
      </c>
      <c r="F295" s="215" t="s">
        <v>128</v>
      </c>
      <c r="G295" s="214">
        <v>2267</v>
      </c>
      <c r="H295" s="215" t="s">
        <v>129</v>
      </c>
      <c r="I295" s="214" t="s">
        <v>73</v>
      </c>
      <c r="J295" s="216">
        <v>8.3330000000000002</v>
      </c>
      <c r="K295" s="215" t="s">
        <v>150</v>
      </c>
      <c r="L295" s="217">
        <v>0.15</v>
      </c>
      <c r="M295" s="215"/>
    </row>
    <row r="296" spans="1:17" ht="20.100000000000001" customHeight="1" x14ac:dyDescent="0.25">
      <c r="A296" s="214">
        <v>8012</v>
      </c>
      <c r="B296" s="214">
        <v>812</v>
      </c>
      <c r="C296" s="215" t="s">
        <v>14</v>
      </c>
      <c r="D296" s="215" t="s">
        <v>226</v>
      </c>
      <c r="E296" s="214" t="s">
        <v>138</v>
      </c>
      <c r="F296" s="215" t="s">
        <v>131</v>
      </c>
      <c r="G296" s="214">
        <v>3043</v>
      </c>
      <c r="H296" s="215" t="s">
        <v>131</v>
      </c>
      <c r="I296" s="214" t="s">
        <v>132</v>
      </c>
      <c r="J296" s="216">
        <v>5.0000000000000001E-3</v>
      </c>
      <c r="K296" s="215" t="s">
        <v>303</v>
      </c>
      <c r="L296" s="217">
        <v>0.15</v>
      </c>
      <c r="M296" s="215"/>
      <c r="N296" s="41"/>
      <c r="O296" s="41"/>
      <c r="P296" s="41"/>
      <c r="Q296" s="42"/>
    </row>
    <row r="297" spans="1:17" ht="20.100000000000001" customHeight="1" x14ac:dyDescent="0.25">
      <c r="A297" s="210">
        <v>8015</v>
      </c>
      <c r="B297" s="210"/>
      <c r="C297" s="211" t="s">
        <v>11</v>
      </c>
      <c r="D297" s="211" t="s">
        <v>142</v>
      </c>
      <c r="E297" s="210" t="s">
        <v>141</v>
      </c>
      <c r="F297" s="211" t="s">
        <v>113</v>
      </c>
      <c r="G297" s="210">
        <v>2680</v>
      </c>
      <c r="H297" s="211" t="s">
        <v>114</v>
      </c>
      <c r="I297" s="210" t="s">
        <v>36</v>
      </c>
      <c r="J297" s="212">
        <v>17.100000000000001</v>
      </c>
      <c r="K297" s="211" t="s">
        <v>299</v>
      </c>
      <c r="L297" s="213">
        <v>0.15</v>
      </c>
      <c r="M297" s="211"/>
      <c r="N297" s="41"/>
      <c r="O297" s="41"/>
      <c r="P297" s="41"/>
      <c r="Q297" s="42"/>
    </row>
    <row r="298" spans="1:17" ht="20.100000000000001" customHeight="1" x14ac:dyDescent="0.25">
      <c r="A298" s="214">
        <v>8015</v>
      </c>
      <c r="B298" s="214"/>
      <c r="C298" s="215" t="s">
        <v>11</v>
      </c>
      <c r="D298" s="215" t="s">
        <v>142</v>
      </c>
      <c r="E298" s="214" t="s">
        <v>141</v>
      </c>
      <c r="F298" s="215" t="s">
        <v>115</v>
      </c>
      <c r="G298" s="214">
        <v>5816</v>
      </c>
      <c r="H298" s="215" t="s">
        <v>120</v>
      </c>
      <c r="I298" s="214" t="s">
        <v>36</v>
      </c>
      <c r="J298" s="216">
        <v>0.9</v>
      </c>
      <c r="K298" s="215" t="s">
        <v>305</v>
      </c>
      <c r="L298" s="217">
        <v>0.15</v>
      </c>
      <c r="M298" s="215"/>
      <c r="N298" s="41"/>
      <c r="O298" s="41"/>
      <c r="P298" s="41"/>
      <c r="Q298" s="42"/>
    </row>
    <row r="299" spans="1:17" ht="20.100000000000001" customHeight="1" x14ac:dyDescent="0.25">
      <c r="A299" s="214">
        <v>8015</v>
      </c>
      <c r="B299" s="214"/>
      <c r="C299" s="215" t="s">
        <v>11</v>
      </c>
      <c r="D299" s="215" t="s">
        <v>142</v>
      </c>
      <c r="E299" s="214" t="s">
        <v>141</v>
      </c>
      <c r="F299" s="215" t="s">
        <v>301</v>
      </c>
      <c r="G299" s="214">
        <v>5977</v>
      </c>
      <c r="H299" s="215" t="s">
        <v>104</v>
      </c>
      <c r="I299" s="214" t="s">
        <v>73</v>
      </c>
      <c r="J299" s="216">
        <v>1.667</v>
      </c>
      <c r="K299" s="215" t="s">
        <v>302</v>
      </c>
      <c r="L299" s="217">
        <v>0.15</v>
      </c>
      <c r="M299" s="215"/>
      <c r="N299" s="41"/>
      <c r="O299" s="41"/>
      <c r="P299" s="41"/>
      <c r="Q299" s="42"/>
    </row>
    <row r="300" spans="1:17" ht="20.100000000000001" customHeight="1" x14ac:dyDescent="0.25">
      <c r="A300" s="214">
        <v>8015</v>
      </c>
      <c r="B300" s="214"/>
      <c r="C300" s="215" t="s">
        <v>11</v>
      </c>
      <c r="D300" s="215" t="s">
        <v>142</v>
      </c>
      <c r="E300" s="214" t="s">
        <v>141</v>
      </c>
      <c r="F300" s="215" t="s">
        <v>128</v>
      </c>
      <c r="G300" s="214">
        <v>2267</v>
      </c>
      <c r="H300" s="215" t="s">
        <v>129</v>
      </c>
      <c r="I300" s="214" t="s">
        <v>73</v>
      </c>
      <c r="J300" s="216">
        <v>10</v>
      </c>
      <c r="K300" s="215" t="s">
        <v>150</v>
      </c>
      <c r="L300" s="217">
        <v>0.15</v>
      </c>
      <c r="M300" s="215"/>
      <c r="N300" s="41"/>
      <c r="O300" s="41"/>
      <c r="P300" s="41"/>
      <c r="Q300" s="42"/>
    </row>
    <row r="301" spans="1:17" ht="20.100000000000001" customHeight="1" x14ac:dyDescent="0.25">
      <c r="A301" s="214">
        <v>8015</v>
      </c>
      <c r="B301" s="214"/>
      <c r="C301" s="215" t="s">
        <v>11</v>
      </c>
      <c r="D301" s="215" t="s">
        <v>142</v>
      </c>
      <c r="E301" s="214" t="s">
        <v>141</v>
      </c>
      <c r="F301" s="215" t="s">
        <v>108</v>
      </c>
      <c r="G301" s="214">
        <v>3635</v>
      </c>
      <c r="H301" s="215" t="s">
        <v>109</v>
      </c>
      <c r="I301" s="214" t="s">
        <v>73</v>
      </c>
      <c r="J301" s="216">
        <v>4.2000000000000003E-2</v>
      </c>
      <c r="K301" s="215" t="s">
        <v>277</v>
      </c>
      <c r="L301" s="217">
        <v>0.15</v>
      </c>
      <c r="M301" s="215"/>
      <c r="N301" s="41"/>
      <c r="O301" s="41"/>
      <c r="P301" s="41"/>
      <c r="Q301" s="42"/>
    </row>
    <row r="302" spans="1:17" ht="20.100000000000001" customHeight="1" x14ac:dyDescent="0.25">
      <c r="A302" s="214">
        <v>8015</v>
      </c>
      <c r="B302" s="214"/>
      <c r="C302" s="215" t="s">
        <v>11</v>
      </c>
      <c r="D302" s="215" t="s">
        <v>142</v>
      </c>
      <c r="E302" s="214" t="s">
        <v>141</v>
      </c>
      <c r="F302" s="215" t="s">
        <v>131</v>
      </c>
      <c r="G302" s="214">
        <v>3043</v>
      </c>
      <c r="H302" s="215" t="s">
        <v>131</v>
      </c>
      <c r="I302" s="214" t="s">
        <v>132</v>
      </c>
      <c r="J302" s="216">
        <v>5.0000000000000001E-3</v>
      </c>
      <c r="K302" s="215" t="s">
        <v>303</v>
      </c>
      <c r="L302" s="217">
        <v>0.15</v>
      </c>
      <c r="M302" s="215"/>
      <c r="N302" s="41"/>
      <c r="O302" s="41"/>
      <c r="P302" s="41"/>
      <c r="Q302" s="42"/>
    </row>
    <row r="303" spans="1:17" ht="20.100000000000001" customHeight="1" x14ac:dyDescent="0.25">
      <c r="A303" s="210">
        <v>8010</v>
      </c>
      <c r="B303" s="210">
        <v>810</v>
      </c>
      <c r="C303" s="211" t="s">
        <v>11</v>
      </c>
      <c r="D303" s="211" t="s">
        <v>227</v>
      </c>
      <c r="E303" s="210" t="s">
        <v>141</v>
      </c>
      <c r="F303" s="211" t="s">
        <v>113</v>
      </c>
      <c r="G303" s="210">
        <v>2680</v>
      </c>
      <c r="H303" s="211" t="s">
        <v>114</v>
      </c>
      <c r="I303" s="210" t="s">
        <v>36</v>
      </c>
      <c r="J303" s="212">
        <v>18</v>
      </c>
      <c r="K303" s="211" t="s">
        <v>299</v>
      </c>
      <c r="L303" s="213">
        <v>0.15</v>
      </c>
      <c r="M303" s="211"/>
      <c r="N303" s="41"/>
      <c r="O303" s="41"/>
      <c r="P303" s="41"/>
      <c r="Q303" s="42"/>
    </row>
    <row r="304" spans="1:17" ht="20.100000000000001" customHeight="1" x14ac:dyDescent="0.25">
      <c r="A304" s="214">
        <v>8010</v>
      </c>
      <c r="B304" s="214">
        <v>810</v>
      </c>
      <c r="C304" s="215" t="s">
        <v>11</v>
      </c>
      <c r="D304" s="215" t="s">
        <v>227</v>
      </c>
      <c r="E304" s="214" t="s">
        <v>141</v>
      </c>
      <c r="F304" s="215" t="s">
        <v>301</v>
      </c>
      <c r="G304" s="214">
        <v>5977</v>
      </c>
      <c r="H304" s="215" t="s">
        <v>104</v>
      </c>
      <c r="I304" s="214" t="s">
        <v>73</v>
      </c>
      <c r="J304" s="216">
        <v>1.667</v>
      </c>
      <c r="K304" s="215" t="s">
        <v>302</v>
      </c>
      <c r="L304" s="217">
        <v>0.15</v>
      </c>
      <c r="M304" s="215"/>
      <c r="N304" s="41"/>
      <c r="O304" s="41"/>
      <c r="P304" s="41"/>
      <c r="Q304" s="42"/>
    </row>
    <row r="305" spans="1:17" ht="20.100000000000001" customHeight="1" x14ac:dyDescent="0.25">
      <c r="A305" s="214">
        <v>8010</v>
      </c>
      <c r="B305" s="214">
        <v>810</v>
      </c>
      <c r="C305" s="215" t="s">
        <v>11</v>
      </c>
      <c r="D305" s="215" t="s">
        <v>227</v>
      </c>
      <c r="E305" s="214" t="s">
        <v>141</v>
      </c>
      <c r="F305" s="215" t="s">
        <v>128</v>
      </c>
      <c r="G305" s="214">
        <v>2267</v>
      </c>
      <c r="H305" s="215" t="s">
        <v>129</v>
      </c>
      <c r="I305" s="214" t="s">
        <v>73</v>
      </c>
      <c r="J305" s="216">
        <v>10</v>
      </c>
      <c r="K305" s="215" t="s">
        <v>150</v>
      </c>
      <c r="L305" s="217">
        <v>0.15</v>
      </c>
      <c r="M305" s="215"/>
      <c r="N305" s="41"/>
      <c r="O305" s="41"/>
      <c r="P305" s="41"/>
      <c r="Q305" s="42"/>
    </row>
    <row r="306" spans="1:17" ht="20.100000000000001" customHeight="1" x14ac:dyDescent="0.25">
      <c r="A306" s="214">
        <v>8010</v>
      </c>
      <c r="B306" s="214">
        <v>810</v>
      </c>
      <c r="C306" s="215" t="s">
        <v>11</v>
      </c>
      <c r="D306" s="215" t="s">
        <v>227</v>
      </c>
      <c r="E306" s="214" t="s">
        <v>141</v>
      </c>
      <c r="F306" s="215" t="s">
        <v>108</v>
      </c>
      <c r="G306" s="214">
        <v>3635</v>
      </c>
      <c r="H306" s="215" t="s">
        <v>109</v>
      </c>
      <c r="I306" s="214" t="s">
        <v>73</v>
      </c>
      <c r="J306" s="216">
        <v>4.2000000000000003E-2</v>
      </c>
      <c r="K306" s="215" t="s">
        <v>277</v>
      </c>
      <c r="L306" s="217">
        <v>0.15</v>
      </c>
      <c r="M306" s="215"/>
      <c r="N306" s="41"/>
      <c r="O306" s="41"/>
      <c r="P306" s="41"/>
      <c r="Q306" s="42"/>
    </row>
    <row r="307" spans="1:17" ht="20.100000000000001" customHeight="1" x14ac:dyDescent="0.25">
      <c r="A307" s="214">
        <v>8010</v>
      </c>
      <c r="B307" s="214">
        <v>810</v>
      </c>
      <c r="C307" s="215" t="s">
        <v>11</v>
      </c>
      <c r="D307" s="215" t="s">
        <v>227</v>
      </c>
      <c r="E307" s="214" t="s">
        <v>141</v>
      </c>
      <c r="F307" s="215" t="s">
        <v>131</v>
      </c>
      <c r="G307" s="214">
        <v>3043</v>
      </c>
      <c r="H307" s="215" t="s">
        <v>131</v>
      </c>
      <c r="I307" s="214" t="s">
        <v>132</v>
      </c>
      <c r="J307" s="216">
        <v>5.0000000000000001E-3</v>
      </c>
      <c r="K307" s="215" t="s">
        <v>303</v>
      </c>
      <c r="L307" s="217">
        <v>0.15</v>
      </c>
      <c r="M307" s="215"/>
      <c r="N307" s="41"/>
      <c r="O307" s="41"/>
      <c r="P307" s="41"/>
      <c r="Q307" s="42"/>
    </row>
    <row r="308" spans="1:17" ht="20.100000000000001" customHeight="1" x14ac:dyDescent="0.25">
      <c r="A308" s="210">
        <v>8001</v>
      </c>
      <c r="B308" s="210">
        <v>800</v>
      </c>
      <c r="C308" s="211" t="s">
        <v>135</v>
      </c>
      <c r="D308" s="211" t="s">
        <v>181</v>
      </c>
      <c r="E308" s="210" t="s">
        <v>143</v>
      </c>
      <c r="F308" s="211" t="s">
        <v>113</v>
      </c>
      <c r="G308" s="210">
        <v>2680</v>
      </c>
      <c r="H308" s="211" t="s">
        <v>114</v>
      </c>
      <c r="I308" s="210" t="s">
        <v>36</v>
      </c>
      <c r="J308" s="212">
        <v>22</v>
      </c>
      <c r="K308" s="211" t="s">
        <v>299</v>
      </c>
      <c r="L308" s="213">
        <v>0.15</v>
      </c>
      <c r="M308" s="211"/>
      <c r="N308" s="41"/>
      <c r="O308" s="41"/>
      <c r="P308" s="41"/>
      <c r="Q308" s="42"/>
    </row>
    <row r="309" spans="1:17" ht="20.100000000000001" customHeight="1" x14ac:dyDescent="0.25">
      <c r="A309" s="214">
        <v>8001</v>
      </c>
      <c r="B309" s="214">
        <v>800</v>
      </c>
      <c r="C309" s="215" t="s">
        <v>135</v>
      </c>
      <c r="D309" s="215" t="s">
        <v>181</v>
      </c>
      <c r="E309" s="214" t="s">
        <v>143</v>
      </c>
      <c r="F309" s="215" t="s">
        <v>301</v>
      </c>
      <c r="G309" s="214">
        <v>5977</v>
      </c>
      <c r="H309" s="215" t="s">
        <v>104</v>
      </c>
      <c r="I309" s="214" t="s">
        <v>73</v>
      </c>
      <c r="J309" s="216">
        <v>1.087</v>
      </c>
      <c r="K309" s="215" t="s">
        <v>302</v>
      </c>
      <c r="L309" s="217">
        <v>0.15</v>
      </c>
      <c r="M309" s="215"/>
      <c r="N309" s="41"/>
      <c r="O309" s="41"/>
      <c r="P309" s="41"/>
      <c r="Q309" s="42"/>
    </row>
    <row r="310" spans="1:17" ht="20.100000000000001" customHeight="1" x14ac:dyDescent="0.25">
      <c r="A310" s="214">
        <v>8001</v>
      </c>
      <c r="B310" s="214">
        <v>800</v>
      </c>
      <c r="C310" s="215" t="s">
        <v>135</v>
      </c>
      <c r="D310" s="215" t="s">
        <v>181</v>
      </c>
      <c r="E310" s="214" t="s">
        <v>143</v>
      </c>
      <c r="F310" s="215" t="s">
        <v>128</v>
      </c>
      <c r="G310" s="214">
        <v>2267</v>
      </c>
      <c r="H310" s="215" t="s">
        <v>129</v>
      </c>
      <c r="I310" s="214" t="s">
        <v>73</v>
      </c>
      <c r="J310" s="216">
        <v>8.6959999999999997</v>
      </c>
      <c r="K310" s="215" t="s">
        <v>150</v>
      </c>
      <c r="L310" s="217">
        <v>0.15</v>
      </c>
      <c r="M310" s="215"/>
      <c r="N310" s="41"/>
      <c r="O310" s="41"/>
      <c r="P310" s="41"/>
      <c r="Q310" s="42"/>
    </row>
    <row r="311" spans="1:17" ht="20.100000000000001" customHeight="1" x14ac:dyDescent="0.25">
      <c r="A311" s="214">
        <v>8001</v>
      </c>
      <c r="B311" s="214">
        <v>800</v>
      </c>
      <c r="C311" s="215" t="s">
        <v>135</v>
      </c>
      <c r="D311" s="215" t="s">
        <v>181</v>
      </c>
      <c r="E311" s="214" t="s">
        <v>143</v>
      </c>
      <c r="F311" s="215" t="s">
        <v>108</v>
      </c>
      <c r="G311" s="214">
        <v>3635</v>
      </c>
      <c r="H311" s="215" t="s">
        <v>109</v>
      </c>
      <c r="I311" s="214" t="s">
        <v>73</v>
      </c>
      <c r="J311" s="216">
        <v>2.7E-2</v>
      </c>
      <c r="K311" s="215" t="s">
        <v>277</v>
      </c>
      <c r="L311" s="217">
        <v>0.15</v>
      </c>
      <c r="M311" s="215"/>
      <c r="N311" s="41"/>
      <c r="O311" s="41"/>
      <c r="P311" s="41"/>
      <c r="Q311" s="42"/>
    </row>
    <row r="312" spans="1:17" ht="20.100000000000001" customHeight="1" x14ac:dyDescent="0.25">
      <c r="A312" s="214">
        <v>8001</v>
      </c>
      <c r="B312" s="214">
        <v>800</v>
      </c>
      <c r="C312" s="215" t="s">
        <v>135</v>
      </c>
      <c r="D312" s="215" t="s">
        <v>181</v>
      </c>
      <c r="E312" s="214" t="s">
        <v>143</v>
      </c>
      <c r="F312" s="215" t="s">
        <v>131</v>
      </c>
      <c r="G312" s="214">
        <v>3043</v>
      </c>
      <c r="H312" s="215" t="s">
        <v>131</v>
      </c>
      <c r="I312" s="214" t="s">
        <v>132</v>
      </c>
      <c r="J312" s="216">
        <v>5.0000000000000001E-3</v>
      </c>
      <c r="K312" s="215" t="s">
        <v>303</v>
      </c>
      <c r="L312" s="217">
        <v>0.15</v>
      </c>
      <c r="M312" s="215"/>
      <c r="N312" s="41"/>
      <c r="O312" s="41"/>
      <c r="P312" s="41"/>
      <c r="Q312" s="42"/>
    </row>
    <row r="313" spans="1:17" ht="20.100000000000001" customHeight="1" x14ac:dyDescent="0.25">
      <c r="A313" s="210">
        <v>8017</v>
      </c>
      <c r="B313" s="210">
        <v>817</v>
      </c>
      <c r="C313" s="211" t="s">
        <v>228</v>
      </c>
      <c r="D313" s="211" t="s">
        <v>144</v>
      </c>
      <c r="E313" s="210" t="s">
        <v>143</v>
      </c>
      <c r="F313" s="211" t="s">
        <v>113</v>
      </c>
      <c r="G313" s="210">
        <v>2680</v>
      </c>
      <c r="H313" s="211" t="s">
        <v>114</v>
      </c>
      <c r="I313" s="210" t="s">
        <v>36</v>
      </c>
      <c r="J313" s="212">
        <v>22</v>
      </c>
      <c r="K313" s="211" t="s">
        <v>299</v>
      </c>
      <c r="L313" s="213">
        <v>0.15</v>
      </c>
      <c r="M313" s="211"/>
      <c r="N313" s="41"/>
      <c r="O313" s="41"/>
      <c r="P313" s="41"/>
      <c r="Q313" s="42"/>
    </row>
    <row r="314" spans="1:17" ht="20.100000000000001" customHeight="1" x14ac:dyDescent="0.25">
      <c r="A314" s="214">
        <v>8017</v>
      </c>
      <c r="B314" s="214">
        <v>817</v>
      </c>
      <c r="C314" s="215" t="s">
        <v>228</v>
      </c>
      <c r="D314" s="215" t="s">
        <v>144</v>
      </c>
      <c r="E314" s="214" t="s">
        <v>143</v>
      </c>
      <c r="F314" s="215" t="s">
        <v>301</v>
      </c>
      <c r="G314" s="214">
        <v>5977</v>
      </c>
      <c r="H314" s="215" t="s">
        <v>104</v>
      </c>
      <c r="I314" s="214" t="s">
        <v>73</v>
      </c>
      <c r="J314" s="216">
        <v>1.087</v>
      </c>
      <c r="K314" s="215" t="s">
        <v>302</v>
      </c>
      <c r="L314" s="217">
        <v>0.15</v>
      </c>
      <c r="M314" s="215"/>
      <c r="N314" s="41"/>
      <c r="O314" s="41"/>
      <c r="P314" s="41"/>
      <c r="Q314" s="42"/>
    </row>
    <row r="315" spans="1:17" ht="20.100000000000001" customHeight="1" x14ac:dyDescent="0.25">
      <c r="A315" s="214">
        <v>8017</v>
      </c>
      <c r="B315" s="214">
        <v>817</v>
      </c>
      <c r="C315" s="215" t="s">
        <v>228</v>
      </c>
      <c r="D315" s="215" t="s">
        <v>144</v>
      </c>
      <c r="E315" s="214" t="s">
        <v>143</v>
      </c>
      <c r="F315" s="215" t="s">
        <v>128</v>
      </c>
      <c r="G315" s="214">
        <v>2267</v>
      </c>
      <c r="H315" s="215" t="s">
        <v>129</v>
      </c>
      <c r="I315" s="214" t="s">
        <v>73</v>
      </c>
      <c r="J315" s="216">
        <v>8.6959999999999997</v>
      </c>
      <c r="K315" s="215" t="s">
        <v>150</v>
      </c>
      <c r="L315" s="217">
        <v>0.15</v>
      </c>
      <c r="M315" s="215"/>
      <c r="N315" s="41"/>
      <c r="O315" s="41"/>
      <c r="P315" s="41"/>
      <c r="Q315" s="42"/>
    </row>
    <row r="316" spans="1:17" ht="20.100000000000001" customHeight="1" x14ac:dyDescent="0.25">
      <c r="A316" s="214">
        <v>8017</v>
      </c>
      <c r="B316" s="214">
        <v>817</v>
      </c>
      <c r="C316" s="215" t="s">
        <v>228</v>
      </c>
      <c r="D316" s="215" t="s">
        <v>144</v>
      </c>
      <c r="E316" s="214" t="s">
        <v>143</v>
      </c>
      <c r="F316" s="215" t="s">
        <v>108</v>
      </c>
      <c r="G316" s="214">
        <v>3635</v>
      </c>
      <c r="H316" s="215" t="s">
        <v>109</v>
      </c>
      <c r="I316" s="214" t="s">
        <v>73</v>
      </c>
      <c r="J316" s="216">
        <v>2.7E-2</v>
      </c>
      <c r="K316" s="215" t="s">
        <v>277</v>
      </c>
      <c r="L316" s="217">
        <v>0.15</v>
      </c>
      <c r="M316" s="215"/>
      <c r="N316" s="41"/>
      <c r="O316" s="41"/>
      <c r="P316" s="41"/>
      <c r="Q316" s="42"/>
    </row>
    <row r="317" spans="1:17" ht="20.100000000000001" customHeight="1" x14ac:dyDescent="0.25">
      <c r="A317" s="214">
        <v>8017</v>
      </c>
      <c r="B317" s="214">
        <v>817</v>
      </c>
      <c r="C317" s="215" t="s">
        <v>228</v>
      </c>
      <c r="D317" s="215" t="s">
        <v>144</v>
      </c>
      <c r="E317" s="214" t="s">
        <v>143</v>
      </c>
      <c r="F317" s="215" t="s">
        <v>131</v>
      </c>
      <c r="G317" s="214">
        <v>3043</v>
      </c>
      <c r="H317" s="215" t="s">
        <v>131</v>
      </c>
      <c r="I317" s="214" t="s">
        <v>132</v>
      </c>
      <c r="J317" s="216">
        <v>5.0000000000000001E-3</v>
      </c>
      <c r="K317" s="215" t="s">
        <v>303</v>
      </c>
      <c r="L317" s="217">
        <v>0.15</v>
      </c>
      <c r="M317" s="215"/>
      <c r="N317" s="41"/>
      <c r="O317" s="41"/>
      <c r="P317" s="41"/>
      <c r="Q317" s="42"/>
    </row>
    <row r="318" spans="1:17" ht="20.100000000000001" customHeight="1" x14ac:dyDescent="0.25">
      <c r="A318" s="210">
        <v>8008</v>
      </c>
      <c r="B318" s="210">
        <v>808</v>
      </c>
      <c r="C318" s="211" t="s">
        <v>14</v>
      </c>
      <c r="D318" s="211" t="s">
        <v>232</v>
      </c>
      <c r="E318" s="210" t="s">
        <v>146</v>
      </c>
      <c r="F318" s="211" t="s">
        <v>113</v>
      </c>
      <c r="G318" s="210">
        <v>2680</v>
      </c>
      <c r="H318" s="211" t="s">
        <v>114</v>
      </c>
      <c r="I318" s="210" t="s">
        <v>36</v>
      </c>
      <c r="J318" s="212">
        <v>24.25</v>
      </c>
      <c r="K318" s="211" t="s">
        <v>299</v>
      </c>
      <c r="L318" s="213">
        <v>0.15</v>
      </c>
      <c r="M318" s="211"/>
      <c r="N318" s="41"/>
      <c r="O318" s="41"/>
      <c r="P318" s="41"/>
      <c r="Q318" s="42"/>
    </row>
    <row r="319" spans="1:17" ht="20.100000000000001" customHeight="1" x14ac:dyDescent="0.25">
      <c r="A319" s="214">
        <v>8008</v>
      </c>
      <c r="B319" s="214">
        <v>808</v>
      </c>
      <c r="C319" s="215" t="s">
        <v>14</v>
      </c>
      <c r="D319" s="215" t="s">
        <v>232</v>
      </c>
      <c r="E319" s="214" t="s">
        <v>146</v>
      </c>
      <c r="F319" s="215" t="s">
        <v>115</v>
      </c>
      <c r="G319" s="214">
        <v>7412</v>
      </c>
      <c r="H319" s="215" t="s">
        <v>123</v>
      </c>
      <c r="I319" s="214" t="s">
        <v>36</v>
      </c>
      <c r="J319" s="216">
        <v>0.75</v>
      </c>
      <c r="K319" s="215" t="s">
        <v>304</v>
      </c>
      <c r="L319" s="217">
        <v>0.15</v>
      </c>
      <c r="M319" s="215"/>
      <c r="N319" s="41"/>
      <c r="O319" s="41"/>
      <c r="P319" s="41"/>
      <c r="Q319" s="42"/>
    </row>
    <row r="320" spans="1:17" ht="20.100000000000001" customHeight="1" x14ac:dyDescent="0.25">
      <c r="A320" s="214">
        <v>8008</v>
      </c>
      <c r="B320" s="214">
        <v>808</v>
      </c>
      <c r="C320" s="215" t="s">
        <v>14</v>
      </c>
      <c r="D320" s="215" t="s">
        <v>232</v>
      </c>
      <c r="E320" s="214" t="s">
        <v>146</v>
      </c>
      <c r="F320" s="215" t="s">
        <v>128</v>
      </c>
      <c r="G320" s="214">
        <v>3006</v>
      </c>
      <c r="H320" s="215" t="s">
        <v>151</v>
      </c>
      <c r="I320" s="214" t="s">
        <v>73</v>
      </c>
      <c r="J320" s="216">
        <v>8.3330000000000002</v>
      </c>
      <c r="K320" s="215" t="s">
        <v>150</v>
      </c>
      <c r="L320" s="217">
        <v>0.15</v>
      </c>
      <c r="M320" s="215"/>
      <c r="N320" s="41"/>
      <c r="O320" s="41"/>
      <c r="P320" s="41"/>
      <c r="Q320" s="42"/>
    </row>
    <row r="321" spans="1:17" ht="20.100000000000001" customHeight="1" x14ac:dyDescent="0.25">
      <c r="A321" s="214">
        <v>8008</v>
      </c>
      <c r="B321" s="214">
        <v>808</v>
      </c>
      <c r="C321" s="215" t="s">
        <v>14</v>
      </c>
      <c r="D321" s="215" t="s">
        <v>232</v>
      </c>
      <c r="E321" s="214" t="s">
        <v>146</v>
      </c>
      <c r="F321" s="215" t="s">
        <v>131</v>
      </c>
      <c r="G321" s="214">
        <v>3043</v>
      </c>
      <c r="H321" s="215" t="s">
        <v>131</v>
      </c>
      <c r="I321" s="214" t="s">
        <v>132</v>
      </c>
      <c r="J321" s="216">
        <v>5.0000000000000001E-3</v>
      </c>
      <c r="K321" s="215" t="s">
        <v>303</v>
      </c>
      <c r="L321" s="217">
        <v>0.15</v>
      </c>
      <c r="M321" s="215"/>
      <c r="N321" s="41"/>
      <c r="O321" s="41"/>
      <c r="P321" s="41"/>
      <c r="Q321" s="42"/>
    </row>
    <row r="322" spans="1:17" ht="20.100000000000001" customHeight="1" x14ac:dyDescent="0.25">
      <c r="A322" s="210">
        <v>8016</v>
      </c>
      <c r="B322" s="210">
        <v>816</v>
      </c>
      <c r="C322" s="211" t="s">
        <v>14</v>
      </c>
      <c r="D322" s="211" t="s">
        <v>231</v>
      </c>
      <c r="E322" s="210" t="s">
        <v>146</v>
      </c>
      <c r="F322" s="211" t="s">
        <v>113</v>
      </c>
      <c r="G322" s="210">
        <v>2680</v>
      </c>
      <c r="H322" s="211" t="s">
        <v>114</v>
      </c>
      <c r="I322" s="210" t="s">
        <v>36</v>
      </c>
      <c r="J322" s="212">
        <v>23.75</v>
      </c>
      <c r="K322" s="211" t="s">
        <v>299</v>
      </c>
      <c r="L322" s="213">
        <v>0.15</v>
      </c>
      <c r="M322" s="211"/>
      <c r="N322" s="41"/>
      <c r="O322" s="41"/>
      <c r="P322" s="41"/>
      <c r="Q322" s="42"/>
    </row>
    <row r="323" spans="1:17" ht="20.100000000000001" customHeight="1" x14ac:dyDescent="0.25">
      <c r="A323" s="214">
        <v>8016</v>
      </c>
      <c r="B323" s="214">
        <v>816</v>
      </c>
      <c r="C323" s="215" t="s">
        <v>14</v>
      </c>
      <c r="D323" s="215" t="s">
        <v>231</v>
      </c>
      <c r="E323" s="214" t="s">
        <v>146</v>
      </c>
      <c r="F323" s="215" t="s">
        <v>115</v>
      </c>
      <c r="G323" s="214">
        <v>5816</v>
      </c>
      <c r="H323" s="215" t="s">
        <v>120</v>
      </c>
      <c r="I323" s="214" t="s">
        <v>36</v>
      </c>
      <c r="J323" s="216">
        <v>1.25</v>
      </c>
      <c r="K323" s="215" t="s">
        <v>304</v>
      </c>
      <c r="L323" s="217">
        <v>0.15</v>
      </c>
      <c r="M323" s="215"/>
      <c r="N323" s="41"/>
      <c r="O323" s="41"/>
      <c r="P323" s="41"/>
      <c r="Q323" s="42"/>
    </row>
    <row r="324" spans="1:17" ht="20.100000000000001" customHeight="1" x14ac:dyDescent="0.25">
      <c r="A324" s="214">
        <v>8016</v>
      </c>
      <c r="B324" s="214">
        <v>816</v>
      </c>
      <c r="C324" s="215" t="s">
        <v>14</v>
      </c>
      <c r="D324" s="215" t="s">
        <v>231</v>
      </c>
      <c r="E324" s="214" t="s">
        <v>146</v>
      </c>
      <c r="F324" s="215" t="s">
        <v>128</v>
      </c>
      <c r="G324" s="214">
        <v>3006</v>
      </c>
      <c r="H324" s="215" t="s">
        <v>151</v>
      </c>
      <c r="I324" s="214" t="s">
        <v>73</v>
      </c>
      <c r="J324" s="216">
        <v>8.3330000000000002</v>
      </c>
      <c r="K324" s="215" t="s">
        <v>150</v>
      </c>
      <c r="L324" s="217">
        <v>0.15</v>
      </c>
      <c r="M324" s="215"/>
      <c r="N324" s="41"/>
      <c r="O324" s="41"/>
      <c r="P324" s="41"/>
      <c r="Q324" s="42"/>
    </row>
    <row r="325" spans="1:17" ht="20.100000000000001" customHeight="1" x14ac:dyDescent="0.25">
      <c r="A325" s="214">
        <v>8016</v>
      </c>
      <c r="B325" s="214">
        <v>816</v>
      </c>
      <c r="C325" s="215" t="s">
        <v>14</v>
      </c>
      <c r="D325" s="215" t="s">
        <v>231</v>
      </c>
      <c r="E325" s="214" t="s">
        <v>146</v>
      </c>
      <c r="F325" s="215" t="s">
        <v>131</v>
      </c>
      <c r="G325" s="214">
        <v>3043</v>
      </c>
      <c r="H325" s="215" t="s">
        <v>131</v>
      </c>
      <c r="I325" s="214" t="s">
        <v>132</v>
      </c>
      <c r="J325" s="216">
        <v>5.0000000000000001E-3</v>
      </c>
      <c r="K325" s="215" t="s">
        <v>303</v>
      </c>
      <c r="L325" s="217">
        <v>0.15</v>
      </c>
      <c r="M325" s="215"/>
      <c r="N325" s="41"/>
      <c r="O325" s="41"/>
      <c r="P325" s="41"/>
      <c r="Q325" s="42"/>
    </row>
    <row r="326" spans="1:17" ht="20.100000000000001" customHeight="1" x14ac:dyDescent="0.25">
      <c r="A326" s="210">
        <v>8006</v>
      </c>
      <c r="B326" s="210">
        <v>806</v>
      </c>
      <c r="C326" s="211" t="s">
        <v>14</v>
      </c>
      <c r="D326" s="211" t="s">
        <v>147</v>
      </c>
      <c r="E326" s="210" t="s">
        <v>146</v>
      </c>
      <c r="F326" s="211" t="s">
        <v>113</v>
      </c>
      <c r="G326" s="210">
        <v>2680</v>
      </c>
      <c r="H326" s="211" t="s">
        <v>114</v>
      </c>
      <c r="I326" s="210" t="s">
        <v>36</v>
      </c>
      <c r="J326" s="212">
        <v>23.75</v>
      </c>
      <c r="K326" s="211" t="s">
        <v>299</v>
      </c>
      <c r="L326" s="213">
        <v>0.15</v>
      </c>
      <c r="M326" s="211"/>
      <c r="N326" s="41"/>
      <c r="O326" s="41"/>
      <c r="P326" s="41"/>
      <c r="Q326" s="42"/>
    </row>
    <row r="327" spans="1:17" ht="20.100000000000001" customHeight="1" x14ac:dyDescent="0.25">
      <c r="A327" s="214">
        <v>8006</v>
      </c>
      <c r="B327" s="214">
        <v>806</v>
      </c>
      <c r="C327" s="215" t="s">
        <v>14</v>
      </c>
      <c r="D327" s="215" t="s">
        <v>147</v>
      </c>
      <c r="E327" s="214" t="s">
        <v>146</v>
      </c>
      <c r="F327" s="215" t="s">
        <v>115</v>
      </c>
      <c r="G327" s="214">
        <v>4002</v>
      </c>
      <c r="H327" s="215" t="s">
        <v>117</v>
      </c>
      <c r="I327" s="214" t="s">
        <v>36</v>
      </c>
      <c r="J327" s="216">
        <v>1.25</v>
      </c>
      <c r="K327" s="215" t="s">
        <v>304</v>
      </c>
      <c r="L327" s="217">
        <v>0.15</v>
      </c>
      <c r="M327" s="215"/>
      <c r="N327" s="41"/>
      <c r="O327" s="41"/>
      <c r="P327" s="41"/>
      <c r="Q327" s="42"/>
    </row>
    <row r="328" spans="1:17" ht="20.100000000000001" customHeight="1" x14ac:dyDescent="0.25">
      <c r="A328" s="214">
        <v>8006</v>
      </c>
      <c r="B328" s="214">
        <v>806</v>
      </c>
      <c r="C328" s="215" t="s">
        <v>14</v>
      </c>
      <c r="D328" s="215" t="s">
        <v>147</v>
      </c>
      <c r="E328" s="214" t="s">
        <v>146</v>
      </c>
      <c r="F328" s="215" t="s">
        <v>128</v>
      </c>
      <c r="G328" s="214">
        <v>3006</v>
      </c>
      <c r="H328" s="215" t="s">
        <v>151</v>
      </c>
      <c r="I328" s="214" t="s">
        <v>73</v>
      </c>
      <c r="J328" s="216">
        <v>8.3330000000000002</v>
      </c>
      <c r="K328" s="215" t="s">
        <v>150</v>
      </c>
      <c r="L328" s="217">
        <v>0.15</v>
      </c>
      <c r="M328" s="215"/>
      <c r="N328" s="41"/>
      <c r="O328" s="41"/>
      <c r="P328" s="41"/>
      <c r="Q328" s="42"/>
    </row>
    <row r="329" spans="1:17" ht="20.100000000000001" customHeight="1" x14ac:dyDescent="0.25">
      <c r="A329" s="214">
        <v>8006</v>
      </c>
      <c r="B329" s="214">
        <v>806</v>
      </c>
      <c r="C329" s="215" t="s">
        <v>14</v>
      </c>
      <c r="D329" s="215" t="s">
        <v>147</v>
      </c>
      <c r="E329" s="214" t="s">
        <v>146</v>
      </c>
      <c r="F329" s="215" t="s">
        <v>131</v>
      </c>
      <c r="G329" s="214">
        <v>3043</v>
      </c>
      <c r="H329" s="215" t="s">
        <v>131</v>
      </c>
      <c r="I329" s="214" t="s">
        <v>132</v>
      </c>
      <c r="J329" s="216">
        <v>5.0000000000000001E-3</v>
      </c>
      <c r="K329" s="215" t="s">
        <v>303</v>
      </c>
      <c r="L329" s="217">
        <v>0.15</v>
      </c>
      <c r="M329" s="215"/>
    </row>
    <row r="330" spans="1:17" ht="20.100000000000001" customHeight="1" x14ac:dyDescent="0.25">
      <c r="A330" s="210">
        <v>8007</v>
      </c>
      <c r="B330" s="210">
        <v>807</v>
      </c>
      <c r="C330" s="211" t="s">
        <v>14</v>
      </c>
      <c r="D330" s="211" t="s">
        <v>229</v>
      </c>
      <c r="E330" s="210" t="s">
        <v>146</v>
      </c>
      <c r="F330" s="211" t="s">
        <v>113</v>
      </c>
      <c r="G330" s="210">
        <v>2680</v>
      </c>
      <c r="H330" s="211" t="s">
        <v>114</v>
      </c>
      <c r="I330" s="210" t="s">
        <v>36</v>
      </c>
      <c r="J330" s="212">
        <v>23.75</v>
      </c>
      <c r="K330" s="211" t="s">
        <v>299</v>
      </c>
      <c r="L330" s="213">
        <v>0.15</v>
      </c>
      <c r="M330" s="211"/>
    </row>
    <row r="331" spans="1:17" ht="20.100000000000001" customHeight="1" x14ac:dyDescent="0.25">
      <c r="A331" s="214">
        <v>8007</v>
      </c>
      <c r="B331" s="214">
        <v>807</v>
      </c>
      <c r="C331" s="215" t="s">
        <v>14</v>
      </c>
      <c r="D331" s="215" t="s">
        <v>229</v>
      </c>
      <c r="E331" s="214" t="s">
        <v>146</v>
      </c>
      <c r="F331" s="215" t="s">
        <v>115</v>
      </c>
      <c r="G331" s="214">
        <v>5816</v>
      </c>
      <c r="H331" s="215" t="s">
        <v>120</v>
      </c>
      <c r="I331" s="214" t="s">
        <v>36</v>
      </c>
      <c r="J331" s="216">
        <v>1.25</v>
      </c>
      <c r="K331" s="215" t="s">
        <v>304</v>
      </c>
      <c r="L331" s="217">
        <v>0.15</v>
      </c>
      <c r="M331" s="215"/>
    </row>
    <row r="332" spans="1:17" ht="20.100000000000001" customHeight="1" x14ac:dyDescent="0.25">
      <c r="A332" s="214">
        <v>8007</v>
      </c>
      <c r="B332" s="214">
        <v>807</v>
      </c>
      <c r="C332" s="215" t="s">
        <v>14</v>
      </c>
      <c r="D332" s="215" t="s">
        <v>229</v>
      </c>
      <c r="E332" s="214" t="s">
        <v>146</v>
      </c>
      <c r="F332" s="215" t="s">
        <v>128</v>
      </c>
      <c r="G332" s="214">
        <v>3006</v>
      </c>
      <c r="H332" s="215" t="s">
        <v>151</v>
      </c>
      <c r="I332" s="214" t="s">
        <v>73</v>
      </c>
      <c r="J332" s="216">
        <v>8.3330000000000002</v>
      </c>
      <c r="K332" s="215" t="s">
        <v>150</v>
      </c>
      <c r="L332" s="217">
        <v>0.15</v>
      </c>
      <c r="M332" s="215"/>
    </row>
    <row r="333" spans="1:17" ht="20.100000000000001" customHeight="1" x14ac:dyDescent="0.25">
      <c r="A333" s="214">
        <v>8007</v>
      </c>
      <c r="B333" s="214">
        <v>807</v>
      </c>
      <c r="C333" s="215" t="s">
        <v>14</v>
      </c>
      <c r="D333" s="215" t="s">
        <v>229</v>
      </c>
      <c r="E333" s="214" t="s">
        <v>146</v>
      </c>
      <c r="F333" s="215" t="s">
        <v>131</v>
      </c>
      <c r="G333" s="214">
        <v>3043</v>
      </c>
      <c r="H333" s="215" t="s">
        <v>131</v>
      </c>
      <c r="I333" s="214" t="s">
        <v>132</v>
      </c>
      <c r="J333" s="216">
        <v>5.0000000000000001E-3</v>
      </c>
      <c r="K333" s="215" t="s">
        <v>303</v>
      </c>
      <c r="L333" s="217">
        <v>0.15</v>
      </c>
      <c r="M333" s="215"/>
    </row>
    <row r="334" spans="1:17" ht="20.100000000000001" customHeight="1" x14ac:dyDescent="0.25">
      <c r="A334" s="210">
        <v>8014</v>
      </c>
      <c r="B334" s="210">
        <v>814</v>
      </c>
      <c r="C334" s="211" t="s">
        <v>14</v>
      </c>
      <c r="D334" s="211" t="s">
        <v>230</v>
      </c>
      <c r="E334" s="210" t="s">
        <v>146</v>
      </c>
      <c r="F334" s="211" t="s">
        <v>113</v>
      </c>
      <c r="G334" s="210">
        <v>2680</v>
      </c>
      <c r="H334" s="211" t="s">
        <v>114</v>
      </c>
      <c r="I334" s="210" t="s">
        <v>36</v>
      </c>
      <c r="J334" s="212">
        <v>23.75</v>
      </c>
      <c r="K334" s="211" t="s">
        <v>299</v>
      </c>
      <c r="L334" s="213">
        <v>0.15</v>
      </c>
      <c r="M334" s="211"/>
    </row>
    <row r="335" spans="1:17" ht="20.100000000000001" customHeight="1" x14ac:dyDescent="0.25">
      <c r="A335" s="214">
        <v>8014</v>
      </c>
      <c r="B335" s="214">
        <v>814</v>
      </c>
      <c r="C335" s="215" t="s">
        <v>14</v>
      </c>
      <c r="D335" s="215" t="s">
        <v>230</v>
      </c>
      <c r="E335" s="214" t="s">
        <v>146</v>
      </c>
      <c r="F335" s="215" t="s">
        <v>128</v>
      </c>
      <c r="G335" s="214">
        <v>3006</v>
      </c>
      <c r="H335" s="215" t="s">
        <v>151</v>
      </c>
      <c r="I335" s="214" t="s">
        <v>73</v>
      </c>
      <c r="J335" s="216">
        <v>8.3330000000000002</v>
      </c>
      <c r="K335" s="215" t="s">
        <v>150</v>
      </c>
      <c r="L335" s="217">
        <v>0.15</v>
      </c>
      <c r="M335" s="215"/>
    </row>
    <row r="336" spans="1:17" ht="20.100000000000001" customHeight="1" x14ac:dyDescent="0.25">
      <c r="A336" s="214">
        <v>8014</v>
      </c>
      <c r="B336" s="214">
        <v>814</v>
      </c>
      <c r="C336" s="215" t="s">
        <v>14</v>
      </c>
      <c r="D336" s="215" t="s">
        <v>230</v>
      </c>
      <c r="E336" s="214" t="s">
        <v>146</v>
      </c>
      <c r="F336" s="215" t="s">
        <v>131</v>
      </c>
      <c r="G336" s="214">
        <v>3043</v>
      </c>
      <c r="H336" s="215" t="s">
        <v>131</v>
      </c>
      <c r="I336" s="214" t="s">
        <v>132</v>
      </c>
      <c r="J336" s="216">
        <v>5.0000000000000001E-3</v>
      </c>
      <c r="K336" s="215" t="s">
        <v>303</v>
      </c>
      <c r="L336" s="217">
        <v>0.15</v>
      </c>
      <c r="M336" s="215"/>
      <c r="N336" s="41"/>
      <c r="O336" s="41"/>
      <c r="P336" s="41"/>
      <c r="Q336" s="42"/>
    </row>
    <row r="337" spans="1:17" ht="20.100000000000001" customHeight="1" x14ac:dyDescent="0.25">
      <c r="A337" s="210">
        <v>8009</v>
      </c>
      <c r="B337" s="210">
        <v>809</v>
      </c>
      <c r="C337" s="211" t="s">
        <v>11</v>
      </c>
      <c r="D337" s="211" t="s">
        <v>233</v>
      </c>
      <c r="E337" s="210" t="s">
        <v>234</v>
      </c>
      <c r="F337" s="211" t="s">
        <v>113</v>
      </c>
      <c r="G337" s="210">
        <v>2680</v>
      </c>
      <c r="H337" s="211" t="s">
        <v>114</v>
      </c>
      <c r="I337" s="210" t="s">
        <v>36</v>
      </c>
      <c r="J337" s="212">
        <v>25</v>
      </c>
      <c r="K337" s="211" t="s">
        <v>299</v>
      </c>
      <c r="L337" s="213">
        <v>0.15</v>
      </c>
      <c r="M337" s="211"/>
      <c r="N337" s="41"/>
      <c r="O337" s="41"/>
      <c r="P337" s="41"/>
      <c r="Q337" s="42"/>
    </row>
    <row r="338" spans="1:17" ht="20.100000000000001" customHeight="1" x14ac:dyDescent="0.25">
      <c r="A338" s="214">
        <v>8009</v>
      </c>
      <c r="B338" s="214">
        <v>809</v>
      </c>
      <c r="C338" s="215" t="s">
        <v>11</v>
      </c>
      <c r="D338" s="215" t="s">
        <v>233</v>
      </c>
      <c r="E338" s="214" t="s">
        <v>234</v>
      </c>
      <c r="F338" s="215" t="s">
        <v>301</v>
      </c>
      <c r="G338" s="214">
        <v>3621</v>
      </c>
      <c r="H338" s="215" t="s">
        <v>306</v>
      </c>
      <c r="I338" s="214" t="s">
        <v>73</v>
      </c>
      <c r="J338" s="216">
        <v>7.1429999999999998</v>
      </c>
      <c r="K338" s="215" t="s">
        <v>302</v>
      </c>
      <c r="L338" s="217">
        <v>0.15</v>
      </c>
      <c r="M338" s="215"/>
      <c r="N338" s="41"/>
      <c r="O338" s="41"/>
      <c r="P338" s="41"/>
      <c r="Q338" s="42"/>
    </row>
    <row r="339" spans="1:17" ht="20.100000000000001" customHeight="1" x14ac:dyDescent="0.25">
      <c r="A339" s="214">
        <v>8009</v>
      </c>
      <c r="B339" s="214">
        <v>809</v>
      </c>
      <c r="C339" s="215" t="s">
        <v>11</v>
      </c>
      <c r="D339" s="215" t="s">
        <v>233</v>
      </c>
      <c r="E339" s="214" t="s">
        <v>234</v>
      </c>
      <c r="F339" s="215" t="s">
        <v>128</v>
      </c>
      <c r="G339" s="214">
        <v>3006</v>
      </c>
      <c r="H339" s="215" t="s">
        <v>151</v>
      </c>
      <c r="I339" s="214" t="s">
        <v>73</v>
      </c>
      <c r="J339" s="216">
        <v>11.111000000000001</v>
      </c>
      <c r="K339" s="215" t="s">
        <v>150</v>
      </c>
      <c r="L339" s="217">
        <v>0.15</v>
      </c>
      <c r="M339" s="215"/>
      <c r="N339" s="41"/>
      <c r="O339" s="41"/>
      <c r="P339" s="41"/>
      <c r="Q339" s="42"/>
    </row>
    <row r="340" spans="1:17" ht="20.100000000000001" customHeight="1" x14ac:dyDescent="0.25">
      <c r="A340" s="214">
        <v>8009</v>
      </c>
      <c r="B340" s="214">
        <v>809</v>
      </c>
      <c r="C340" s="215" t="s">
        <v>11</v>
      </c>
      <c r="D340" s="215" t="s">
        <v>233</v>
      </c>
      <c r="E340" s="214" t="s">
        <v>234</v>
      </c>
      <c r="F340" s="215" t="s">
        <v>108</v>
      </c>
      <c r="G340" s="214">
        <v>3635</v>
      </c>
      <c r="H340" s="215" t="s">
        <v>109</v>
      </c>
      <c r="I340" s="214" t="s">
        <v>73</v>
      </c>
      <c r="J340" s="216">
        <v>0.17899999999999999</v>
      </c>
      <c r="K340" s="215" t="s">
        <v>277</v>
      </c>
      <c r="L340" s="217">
        <v>0.15</v>
      </c>
      <c r="M340" s="215"/>
      <c r="N340" s="41"/>
      <c r="O340" s="41"/>
      <c r="P340" s="41"/>
      <c r="Q340" s="42"/>
    </row>
    <row r="341" spans="1:17" ht="20.100000000000001" customHeight="1" x14ac:dyDescent="0.25">
      <c r="A341" s="214">
        <v>8009</v>
      </c>
      <c r="B341" s="214">
        <v>809</v>
      </c>
      <c r="C341" s="215" t="s">
        <v>11</v>
      </c>
      <c r="D341" s="215" t="s">
        <v>233</v>
      </c>
      <c r="E341" s="214" t="s">
        <v>234</v>
      </c>
      <c r="F341" s="215" t="s">
        <v>131</v>
      </c>
      <c r="G341" s="214">
        <v>3043</v>
      </c>
      <c r="H341" s="215" t="s">
        <v>131</v>
      </c>
      <c r="I341" s="214" t="s">
        <v>132</v>
      </c>
      <c r="J341" s="216">
        <v>5.0000000000000001E-3</v>
      </c>
      <c r="K341" s="215" t="s">
        <v>303</v>
      </c>
      <c r="L341" s="217">
        <v>0.15</v>
      </c>
      <c r="M341" s="215"/>
      <c r="N341" s="41"/>
      <c r="O341" s="41"/>
      <c r="P341" s="41"/>
      <c r="Q341" s="42"/>
    </row>
    <row r="342" spans="1:17" ht="20.100000000000001" customHeight="1" x14ac:dyDescent="0.25">
      <c r="A342" s="210">
        <v>8013</v>
      </c>
      <c r="B342" s="210">
        <v>813</v>
      </c>
      <c r="C342" s="211" t="s">
        <v>11</v>
      </c>
      <c r="D342" s="211" t="s">
        <v>235</v>
      </c>
      <c r="E342" s="210" t="s">
        <v>236</v>
      </c>
      <c r="F342" s="211" t="s">
        <v>113</v>
      </c>
      <c r="G342" s="210">
        <v>2680</v>
      </c>
      <c r="H342" s="211" t="s">
        <v>114</v>
      </c>
      <c r="I342" s="210" t="s">
        <v>36</v>
      </c>
      <c r="J342" s="212">
        <v>50</v>
      </c>
      <c r="K342" s="211" t="s">
        <v>299</v>
      </c>
      <c r="L342" s="213">
        <v>0.15</v>
      </c>
      <c r="M342" s="211"/>
      <c r="N342" s="41"/>
      <c r="O342" s="41"/>
      <c r="P342" s="41"/>
      <c r="Q342" s="42"/>
    </row>
    <row r="343" spans="1:17" ht="20.100000000000001" customHeight="1" x14ac:dyDescent="0.25">
      <c r="A343" s="214">
        <v>8013</v>
      </c>
      <c r="B343" s="214">
        <v>813</v>
      </c>
      <c r="C343" s="215" t="s">
        <v>11</v>
      </c>
      <c r="D343" s="215" t="s">
        <v>235</v>
      </c>
      <c r="E343" s="214" t="s">
        <v>236</v>
      </c>
      <c r="F343" s="215" t="s">
        <v>301</v>
      </c>
      <c r="G343" s="214">
        <v>3621</v>
      </c>
      <c r="H343" s="215" t="s">
        <v>306</v>
      </c>
      <c r="I343" s="214" t="s">
        <v>73</v>
      </c>
      <c r="J343" s="216">
        <v>2.778</v>
      </c>
      <c r="K343" s="215" t="s">
        <v>302</v>
      </c>
      <c r="L343" s="217">
        <v>0.15</v>
      </c>
      <c r="M343" s="215"/>
      <c r="N343" s="41"/>
      <c r="O343" s="41"/>
      <c r="P343" s="41"/>
      <c r="Q343" s="42"/>
    </row>
    <row r="344" spans="1:17" ht="20.100000000000001" customHeight="1" x14ac:dyDescent="0.25">
      <c r="A344" s="214">
        <v>8013</v>
      </c>
      <c r="B344" s="214">
        <v>813</v>
      </c>
      <c r="C344" s="215" t="s">
        <v>11</v>
      </c>
      <c r="D344" s="215" t="s">
        <v>235</v>
      </c>
      <c r="E344" s="214" t="s">
        <v>236</v>
      </c>
      <c r="F344" s="215" t="s">
        <v>128</v>
      </c>
      <c r="G344" s="214">
        <v>3006</v>
      </c>
      <c r="H344" s="215" t="s">
        <v>151</v>
      </c>
      <c r="I344" s="214" t="s">
        <v>73</v>
      </c>
      <c r="J344" s="216">
        <v>16.667000000000002</v>
      </c>
      <c r="K344" s="215" t="s">
        <v>150</v>
      </c>
      <c r="L344" s="217">
        <v>0.15</v>
      </c>
      <c r="M344" s="215"/>
      <c r="N344" s="41"/>
      <c r="O344" s="41"/>
      <c r="P344" s="41"/>
      <c r="Q344" s="42"/>
    </row>
    <row r="345" spans="1:17" ht="20.100000000000001" customHeight="1" x14ac:dyDescent="0.25">
      <c r="A345" s="214">
        <v>8013</v>
      </c>
      <c r="B345" s="214">
        <v>813</v>
      </c>
      <c r="C345" s="215" t="s">
        <v>11</v>
      </c>
      <c r="D345" s="215" t="s">
        <v>235</v>
      </c>
      <c r="E345" s="214" t="s">
        <v>236</v>
      </c>
      <c r="F345" s="215" t="s">
        <v>108</v>
      </c>
      <c r="G345" s="214">
        <v>3635</v>
      </c>
      <c r="H345" s="215" t="s">
        <v>109</v>
      </c>
      <c r="I345" s="214" t="s">
        <v>73</v>
      </c>
      <c r="J345" s="216">
        <v>6.9000000000000006E-2</v>
      </c>
      <c r="K345" s="215" t="s">
        <v>277</v>
      </c>
      <c r="L345" s="217">
        <v>0.15</v>
      </c>
      <c r="M345" s="215"/>
      <c r="N345" s="41"/>
      <c r="O345" s="41"/>
      <c r="P345" s="41"/>
      <c r="Q345" s="42"/>
    </row>
    <row r="346" spans="1:17" ht="20.100000000000001" customHeight="1" thickBot="1" x14ac:dyDescent="0.3">
      <c r="A346" s="214">
        <v>8013</v>
      </c>
      <c r="B346" s="214">
        <v>813</v>
      </c>
      <c r="C346" s="215" t="s">
        <v>11</v>
      </c>
      <c r="D346" s="215" t="s">
        <v>235</v>
      </c>
      <c r="E346" s="214" t="s">
        <v>236</v>
      </c>
      <c r="F346" s="215" t="s">
        <v>131</v>
      </c>
      <c r="G346" s="214">
        <v>3043</v>
      </c>
      <c r="H346" s="215" t="s">
        <v>131</v>
      </c>
      <c r="I346" s="214" t="s">
        <v>132</v>
      </c>
      <c r="J346" s="216">
        <v>5.0000000000000001E-3</v>
      </c>
      <c r="K346" s="215" t="s">
        <v>303</v>
      </c>
      <c r="L346" s="217">
        <v>0.15</v>
      </c>
      <c r="M346" s="215"/>
      <c r="N346" s="41"/>
      <c r="O346" s="41"/>
      <c r="P346" s="41"/>
      <c r="Q346" s="42"/>
    </row>
    <row r="347" spans="1:17" ht="20.100000000000001" customHeight="1" x14ac:dyDescent="0.25">
      <c r="A347" s="210">
        <v>8000</v>
      </c>
      <c r="B347" s="210"/>
      <c r="C347" s="211"/>
      <c r="D347" s="211" t="s">
        <v>307</v>
      </c>
      <c r="E347" s="210"/>
      <c r="F347" s="211" t="s">
        <v>124</v>
      </c>
      <c r="G347" s="210">
        <v>3752</v>
      </c>
      <c r="H347" s="211" t="s">
        <v>125</v>
      </c>
      <c r="I347" s="210" t="s">
        <v>36</v>
      </c>
      <c r="J347" s="212">
        <v>23.215</v>
      </c>
      <c r="K347" s="211" t="s">
        <v>308</v>
      </c>
      <c r="L347" s="213">
        <v>0.05</v>
      </c>
      <c r="M347" s="211" t="s">
        <v>309</v>
      </c>
      <c r="N347" s="41"/>
      <c r="O347" s="41"/>
      <c r="P347" s="41"/>
      <c r="Q347" s="42"/>
    </row>
    <row r="348" spans="1:17" ht="20.100000000000001" customHeight="1" x14ac:dyDescent="0.25">
      <c r="A348" s="214">
        <v>8000</v>
      </c>
      <c r="B348" s="214"/>
      <c r="C348" s="215"/>
      <c r="D348" s="215" t="s">
        <v>307</v>
      </c>
      <c r="E348" s="214"/>
      <c r="F348" s="215" t="s">
        <v>124</v>
      </c>
      <c r="G348" s="214">
        <v>4248</v>
      </c>
      <c r="H348" s="215" t="s">
        <v>126</v>
      </c>
      <c r="I348" s="214" t="s">
        <v>36</v>
      </c>
      <c r="J348" s="216">
        <v>23.215</v>
      </c>
      <c r="K348" s="215" t="s">
        <v>308</v>
      </c>
      <c r="L348" s="217">
        <v>0.05</v>
      </c>
      <c r="M348" s="215" t="s">
        <v>310</v>
      </c>
      <c r="N348" s="41"/>
      <c r="O348" s="41"/>
      <c r="P348" s="41"/>
      <c r="Q348" s="42"/>
    </row>
    <row r="349" spans="1:17" ht="20.100000000000001" customHeight="1" x14ac:dyDescent="0.25">
      <c r="A349" s="214">
        <v>8000</v>
      </c>
      <c r="B349" s="214"/>
      <c r="C349" s="215"/>
      <c r="D349" s="215" t="s">
        <v>307</v>
      </c>
      <c r="E349" s="214"/>
      <c r="F349" s="215" t="s">
        <v>124</v>
      </c>
      <c r="G349" s="214">
        <v>6042</v>
      </c>
      <c r="H349" s="215" t="s">
        <v>127</v>
      </c>
      <c r="I349" s="214" t="s">
        <v>36</v>
      </c>
      <c r="J349" s="216">
        <v>23.215</v>
      </c>
      <c r="K349" s="215" t="s">
        <v>308</v>
      </c>
      <c r="L349" s="217">
        <v>0.05</v>
      </c>
      <c r="M349" s="215" t="s">
        <v>311</v>
      </c>
    </row>
    <row r="350" spans="1:17" ht="15" customHeight="1" x14ac:dyDescent="0.25">
      <c r="A350" s="135"/>
      <c r="B350" s="135"/>
      <c r="C350" s="135"/>
      <c r="D350" s="136"/>
      <c r="E350" s="135"/>
      <c r="F350" s="135"/>
      <c r="G350" s="135"/>
      <c r="H350" s="135"/>
      <c r="I350" s="137"/>
      <c r="J350" s="138"/>
      <c r="K350" s="139"/>
      <c r="L350" s="139"/>
      <c r="M350" s="141"/>
    </row>
    <row r="351" spans="1:17" ht="15" customHeight="1" x14ac:dyDescent="0.25">
      <c r="A351" s="135"/>
      <c r="B351" s="135"/>
      <c r="C351" s="135"/>
      <c r="D351" s="136"/>
      <c r="E351" s="135"/>
      <c r="F351" s="135"/>
      <c r="G351" s="135"/>
      <c r="H351" s="135"/>
      <c r="I351" s="137"/>
      <c r="J351" s="138"/>
      <c r="K351" s="139"/>
      <c r="L351" s="139"/>
      <c r="M351" s="141"/>
    </row>
    <row r="352" spans="1:17" ht="15" customHeight="1" x14ac:dyDescent="0.25">
      <c r="A352" s="135"/>
      <c r="B352" s="135"/>
      <c r="C352" s="135"/>
      <c r="D352" s="136"/>
      <c r="E352" s="135"/>
      <c r="F352" s="135"/>
      <c r="G352" s="135"/>
      <c r="H352" s="135"/>
      <c r="I352" s="137"/>
      <c r="J352" s="138"/>
      <c r="K352" s="139"/>
      <c r="L352" s="139"/>
      <c r="M352" s="141"/>
    </row>
    <row r="353" spans="1:13" ht="15" customHeight="1" x14ac:dyDescent="0.25">
      <c r="A353" s="135"/>
      <c r="B353" s="135"/>
      <c r="C353" s="135"/>
      <c r="D353" s="136"/>
      <c r="E353" s="135"/>
      <c r="F353" s="135"/>
      <c r="G353" s="135"/>
      <c r="H353" s="135"/>
      <c r="I353" s="137"/>
      <c r="J353" s="138"/>
      <c r="K353" s="139"/>
      <c r="L353" s="139"/>
      <c r="M353" s="141"/>
    </row>
    <row r="354" spans="1:13" ht="15" customHeight="1" x14ac:dyDescent="0.25"/>
    <row r="355" spans="1:13" ht="15" customHeight="1" x14ac:dyDescent="0.25"/>
    <row r="356" spans="1:13" ht="15" customHeight="1" x14ac:dyDescent="0.25"/>
  </sheetData>
  <mergeCells count="1">
    <mergeCell ref="A1:M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3.28515625" customWidth="1"/>
    <col min="4" max="4" width="6" customWidth="1"/>
    <col min="5" max="5" width="8.5703125" style="43" customWidth="1"/>
    <col min="6" max="6" width="8.85546875" style="43" customWidth="1"/>
    <col min="7" max="7" width="11.140625" style="43" customWidth="1"/>
    <col min="8" max="8" width="8.85546875" style="44" customWidth="1"/>
    <col min="9" max="9" width="7" style="43" hidden="1" customWidth="1"/>
    <col min="10" max="10" width="16.140625" style="126" customWidth="1"/>
    <col min="11" max="11" width="18" style="128" customWidth="1"/>
  </cols>
  <sheetData>
    <row r="1" spans="1:11" ht="19.5" customHeight="1" x14ac:dyDescent="0.35">
      <c r="A1" s="298" t="s">
        <v>312</v>
      </c>
      <c r="B1" s="295"/>
      <c r="C1" s="295"/>
      <c r="D1" s="295"/>
      <c r="E1" s="295"/>
      <c r="F1" s="295"/>
      <c r="G1" s="295"/>
      <c r="H1" s="295"/>
      <c r="I1" s="45" t="s">
        <v>1</v>
      </c>
      <c r="J1" s="194">
        <f ca="1">TODAY()</f>
        <v>46277</v>
      </c>
    </row>
    <row r="2" spans="1:11" s="46" customFormat="1" ht="36" customHeight="1" x14ac:dyDescent="0.25">
      <c r="A2" s="12" t="s">
        <v>25</v>
      </c>
      <c r="B2" s="12" t="s">
        <v>26</v>
      </c>
      <c r="C2" s="12" t="s">
        <v>313</v>
      </c>
      <c r="D2" s="12" t="s">
        <v>28</v>
      </c>
      <c r="E2" s="15" t="s">
        <v>314</v>
      </c>
      <c r="F2" s="15" t="s">
        <v>315</v>
      </c>
      <c r="G2" s="15" t="s">
        <v>316</v>
      </c>
      <c r="H2" s="15" t="s">
        <v>317</v>
      </c>
      <c r="I2" s="15" t="s">
        <v>318</v>
      </c>
      <c r="J2" s="125" t="s">
        <v>319</v>
      </c>
      <c r="K2" s="177" t="s">
        <v>320</v>
      </c>
    </row>
    <row r="3" spans="1:11" ht="15" customHeight="1" x14ac:dyDescent="0.25">
      <c r="A3" s="25">
        <v>31</v>
      </c>
      <c r="B3" s="25" t="s">
        <v>278</v>
      </c>
      <c r="C3" s="26" t="s">
        <v>37</v>
      </c>
      <c r="D3" s="25" t="s">
        <v>36</v>
      </c>
      <c r="E3" s="27">
        <v>71.5</v>
      </c>
      <c r="F3" s="27">
        <v>0</v>
      </c>
      <c r="G3" s="27">
        <v>0</v>
      </c>
      <c r="H3" s="28">
        <f t="shared" ref="H3:H10" si="0">E3+F3-G3</f>
        <v>71.5</v>
      </c>
      <c r="I3" s="27"/>
      <c r="J3" s="189">
        <f>IFERROR(IF(H3+I3="","-",ROUND((H3+I3)/(IFERROR(IF(AVERAGEIF(TableBOM[Item ID],A3,TableBOM[Per 1000 Units])&gt;0,AVERAGEIF(TableBOM[Item ID],A3,TableBOM[Per 1000 Units]),AVERAGEIF(TableBOM[Material Category],B3,TableBOM[Per 1000 Units])),AVERAGEIF(TableBOM[Material Category],B3,TableBOM[Per 1000 Units]))/1000),0)),"-")</f>
        <v>44054</v>
      </c>
    </row>
    <row r="4" spans="1:11" ht="15" customHeight="1" x14ac:dyDescent="0.25">
      <c r="A4" s="25">
        <v>2799</v>
      </c>
      <c r="B4" s="25" t="s">
        <v>278</v>
      </c>
      <c r="C4" s="26" t="s">
        <v>38</v>
      </c>
      <c r="D4" s="25" t="s">
        <v>36</v>
      </c>
      <c r="E4" s="27">
        <v>88</v>
      </c>
      <c r="F4" s="27">
        <v>0</v>
      </c>
      <c r="G4" s="27">
        <v>0</v>
      </c>
      <c r="H4" s="28">
        <f t="shared" si="0"/>
        <v>88</v>
      </c>
      <c r="I4" s="27"/>
      <c r="J4" s="189">
        <f>IFERROR(IF(H4+I4="","-",ROUND((H4+I4)/(IFERROR(IF(AVERAGEIF(TableBOM[Item ID],A4,TableBOM[Per 1000 Units])&gt;0,AVERAGEIF(TableBOM[Item ID],A4,TableBOM[Per 1000 Units]),AVERAGEIF(TableBOM[Material Category],B4,TableBOM[Per 1000 Units])),AVERAGEIF(TableBOM[Material Category],B4,TableBOM[Per 1000 Units]))/1000),0)),"-")</f>
        <v>34936</v>
      </c>
    </row>
    <row r="5" spans="1:11" s="47" customFormat="1" ht="15" customHeight="1" x14ac:dyDescent="0.25">
      <c r="A5" s="25">
        <v>19</v>
      </c>
      <c r="B5" s="25" t="s">
        <v>278</v>
      </c>
      <c r="C5" s="26" t="s">
        <v>41</v>
      </c>
      <c r="D5" s="25" t="s">
        <v>36</v>
      </c>
      <c r="E5" s="27">
        <v>425</v>
      </c>
      <c r="F5" s="27">
        <v>0</v>
      </c>
      <c r="G5" s="27">
        <v>0</v>
      </c>
      <c r="H5" s="28">
        <f t="shared" si="0"/>
        <v>425</v>
      </c>
      <c r="I5" s="27"/>
      <c r="J5" s="189">
        <f>IFERROR(IF(H5+I5="","-",ROUND((H5+I5)/(IFERROR(IF(AVERAGEIF(TableBOM[Item ID],A5,TableBOM[Per 1000 Units])&gt;0,AVERAGEIF(TableBOM[Item ID],A5,TableBOM[Per 1000 Units]),AVERAGEIF(TableBOM[Material Category],B5,TableBOM[Per 1000 Units])),AVERAGEIF(TableBOM[Material Category],B5,TableBOM[Per 1000 Units]))/1000),0)),"-")</f>
        <v>126225</v>
      </c>
      <c r="K5" s="129"/>
    </row>
    <row r="6" spans="1:11" ht="15" customHeight="1" x14ac:dyDescent="0.25">
      <c r="A6" s="25">
        <v>4179</v>
      </c>
      <c r="B6" s="25" t="s">
        <v>278</v>
      </c>
      <c r="C6" s="26" t="s">
        <v>42</v>
      </c>
      <c r="D6" s="25" t="s">
        <v>36</v>
      </c>
      <c r="E6" s="27">
        <v>132</v>
      </c>
      <c r="F6" s="27">
        <v>0</v>
      </c>
      <c r="G6" s="27">
        <v>0</v>
      </c>
      <c r="H6" s="28">
        <f t="shared" si="0"/>
        <v>132</v>
      </c>
      <c r="I6" s="27"/>
      <c r="J6" s="189">
        <f>IFERROR(IF(H6+I6="","-",ROUND((H6+I6)/(IFERROR(IF(AVERAGEIF(TableBOM[Item ID],A6,TableBOM[Per 1000 Units])&gt;0,AVERAGEIF(TableBOM[Item ID],A6,TableBOM[Per 1000 Units]),AVERAGEIF(TableBOM[Material Category],B6,TableBOM[Per 1000 Units])),AVERAGEIF(TableBOM[Material Category],B6,TableBOM[Per 1000 Units]))/1000),0)),"-")</f>
        <v>33528</v>
      </c>
    </row>
    <row r="7" spans="1:11" ht="15" customHeight="1" x14ac:dyDescent="0.25">
      <c r="A7" s="25">
        <v>6</v>
      </c>
      <c r="B7" s="25" t="s">
        <v>278</v>
      </c>
      <c r="C7" s="26" t="s">
        <v>43</v>
      </c>
      <c r="D7" s="25" t="s">
        <v>36</v>
      </c>
      <c r="E7" s="27">
        <v>518</v>
      </c>
      <c r="F7" s="27">
        <v>0</v>
      </c>
      <c r="G7" s="27">
        <v>260</v>
      </c>
      <c r="H7" s="28">
        <f t="shared" si="0"/>
        <v>258</v>
      </c>
      <c r="I7" s="27"/>
      <c r="J7" s="189">
        <f>IFERROR(IF(H7+I7="","-",ROUND((H7+I7)/(IFERROR(IF(AVERAGEIF(TableBOM[Item ID],A7,TableBOM[Per 1000 Units])&gt;0,AVERAGEIF(TableBOM[Item ID],A7,TableBOM[Per 1000 Units]),AVERAGEIF(TableBOM[Material Category],B7,TableBOM[Per 1000 Units])),AVERAGEIF(TableBOM[Material Category],B7,TableBOM[Per 1000 Units]))/1000),0)),"-")</f>
        <v>43560</v>
      </c>
    </row>
    <row r="8" spans="1:11" ht="15" customHeight="1" x14ac:dyDescent="0.25">
      <c r="A8" s="25">
        <v>406</v>
      </c>
      <c r="B8" s="25" t="s">
        <v>278</v>
      </c>
      <c r="C8" s="26" t="s">
        <v>46</v>
      </c>
      <c r="D8" s="25" t="s">
        <v>36</v>
      </c>
      <c r="E8" s="27">
        <v>926</v>
      </c>
      <c r="F8" s="27">
        <v>575</v>
      </c>
      <c r="G8" s="27">
        <v>626</v>
      </c>
      <c r="H8" s="28">
        <f t="shared" si="0"/>
        <v>875</v>
      </c>
      <c r="I8" s="27">
        <v>55</v>
      </c>
      <c r="J8" s="189">
        <f>IFERROR(IF(H8+I8="","-",ROUND((H8+I8)/(IFERROR(IF(AVERAGEIF(TableBOM[Item ID],A8,TableBOM[Per 1000 Units])&gt;0,AVERAGEIF(TableBOM[Item ID],A8,TableBOM[Per 1000 Units]),AVERAGEIF(TableBOM[Material Category],B8,TableBOM[Per 1000 Units])),AVERAGEIF(TableBOM[Material Category],B8,TableBOM[Per 1000 Units]))/1000),0)),"-")</f>
        <v>116250</v>
      </c>
    </row>
    <row r="9" spans="1:11" ht="15" customHeight="1" x14ac:dyDescent="0.25">
      <c r="A9" s="25">
        <v>3935</v>
      </c>
      <c r="B9" s="25" t="s">
        <v>278</v>
      </c>
      <c r="C9" s="26" t="s">
        <v>48</v>
      </c>
      <c r="D9" s="25" t="s">
        <v>36</v>
      </c>
      <c r="E9" s="27">
        <v>425</v>
      </c>
      <c r="F9" s="27">
        <v>0</v>
      </c>
      <c r="G9" s="27">
        <v>0</v>
      </c>
      <c r="H9" s="28">
        <f t="shared" si="0"/>
        <v>425</v>
      </c>
      <c r="I9" s="27"/>
      <c r="J9" s="189">
        <f>IFERROR(IF(H9+I9="","-",ROUND((H9+I9)/(IFERROR(IF(AVERAGEIF(TableBOM[Item ID],A9,TableBOM[Per 1000 Units])&gt;0,AVERAGEIF(TableBOM[Item ID],A9,TableBOM[Per 1000 Units]),AVERAGEIF(TableBOM[Material Category],B9,TableBOM[Per 1000 Units])),AVERAGEIF(TableBOM[Material Category],B9,TableBOM[Per 1000 Units]))/1000),0)),"-")</f>
        <v>39123</v>
      </c>
    </row>
    <row r="10" spans="1:11" ht="15" customHeight="1" x14ac:dyDescent="0.25">
      <c r="A10" s="25">
        <v>3503</v>
      </c>
      <c r="B10" s="25" t="s">
        <v>278</v>
      </c>
      <c r="C10" s="26" t="s">
        <v>49</v>
      </c>
      <c r="D10" s="25" t="s">
        <v>36</v>
      </c>
      <c r="E10" s="27">
        <v>328</v>
      </c>
      <c r="F10" s="27">
        <v>0</v>
      </c>
      <c r="G10" s="27">
        <v>0</v>
      </c>
      <c r="H10" s="28">
        <f t="shared" si="0"/>
        <v>328</v>
      </c>
      <c r="I10" s="27"/>
      <c r="J10" s="189">
        <f>IFERROR(IF(H10+I10="","-",ROUND((H10+I10)/(IFERROR(IF(AVERAGEIF(TableBOM[Item ID],A10,TableBOM[Per 1000 Units])&gt;0,AVERAGEIF(TableBOM[Item ID],A10,TableBOM[Per 1000 Units]),AVERAGEIF(TableBOM[Material Category],B10,TableBOM[Per 1000 Units])),AVERAGEIF(TableBOM[Material Category],B10,TableBOM[Per 1000 Units]))/1000),0)),"-")</f>
        <v>25585</v>
      </c>
    </row>
    <row r="11" spans="1:11" ht="15" customHeight="1" x14ac:dyDescent="0.25"/>
    <row r="12" spans="1:11" ht="18.75" customHeight="1" x14ac:dyDescent="0.35">
      <c r="A12" s="48" t="s">
        <v>321</v>
      </c>
      <c r="B12" s="49"/>
      <c r="C12" s="49"/>
      <c r="D12" s="49"/>
      <c r="E12" s="49"/>
      <c r="F12" s="49"/>
      <c r="G12" s="49"/>
      <c r="H12" s="45" t="s">
        <v>1</v>
      </c>
      <c r="I12" s="49"/>
      <c r="J12" s="194">
        <f ca="1">TODAY()</f>
        <v>46277</v>
      </c>
    </row>
    <row r="13" spans="1:11" ht="36" customHeight="1" x14ac:dyDescent="0.25">
      <c r="A13" s="12" t="s">
        <v>25</v>
      </c>
      <c r="B13" s="12" t="s">
        <v>26</v>
      </c>
      <c r="C13" s="12" t="s">
        <v>313</v>
      </c>
      <c r="D13" s="12" t="s">
        <v>28</v>
      </c>
      <c r="E13" s="12" t="s">
        <v>314</v>
      </c>
      <c r="F13" s="12" t="s">
        <v>315</v>
      </c>
      <c r="G13" s="12" t="s">
        <v>316</v>
      </c>
      <c r="H13" s="12" t="s">
        <v>317</v>
      </c>
      <c r="I13" s="12" t="s">
        <v>322</v>
      </c>
      <c r="J13" s="127" t="s">
        <v>323</v>
      </c>
    </row>
    <row r="14" spans="1:11" ht="15" hidden="1" customHeight="1" x14ac:dyDescent="0.25">
      <c r="A14" s="178">
        <v>184</v>
      </c>
      <c r="B14" s="178" t="s">
        <v>275</v>
      </c>
      <c r="C14" s="179" t="s">
        <v>324</v>
      </c>
      <c r="D14" s="178" t="s">
        <v>36</v>
      </c>
      <c r="E14" s="180">
        <v>0</v>
      </c>
      <c r="F14" s="180">
        <v>0</v>
      </c>
      <c r="G14" s="180">
        <v>0</v>
      </c>
      <c r="H14" s="181">
        <f t="shared" ref="H14:H45" si="1">E14+F14-G14</f>
        <v>0</v>
      </c>
      <c r="I14" s="180"/>
      <c r="J14" s="190">
        <f>IFERROR(IF(H14+I14="","-",ROUND((H14+I14)/(IFERROR(IF(AVERAGEIF(TableBOM[Item ID],A14,TableBOM[Per 1000 Units])&gt;0,AVERAGEIF(TableBOM[Item ID],A14,TableBOM[Per 1000 Units]),AVERAGEIF(TableBOM[Material Category],B14,TableBOM[Per 1000 Units])),AVERAGEIF(TableBOM[Material Category],B14,TableBOM[Per 1000 Units]))/1000),0)),"-")</f>
        <v>0</v>
      </c>
      <c r="K14" s="182" t="s">
        <v>325</v>
      </c>
    </row>
    <row r="15" spans="1:11" ht="15" customHeight="1" x14ac:dyDescent="0.25">
      <c r="A15" s="115">
        <v>185</v>
      </c>
      <c r="B15" s="115" t="s">
        <v>275</v>
      </c>
      <c r="C15" s="116" t="s">
        <v>52</v>
      </c>
      <c r="D15" s="115" t="s">
        <v>53</v>
      </c>
      <c r="E15" s="117">
        <v>50</v>
      </c>
      <c r="F15" s="117">
        <v>0</v>
      </c>
      <c r="G15" s="117">
        <v>0</v>
      </c>
      <c r="H15" s="118">
        <f t="shared" si="1"/>
        <v>50</v>
      </c>
      <c r="I15" s="117"/>
      <c r="J15" s="191">
        <f>IFERROR(IF(H15+I15="","-",ROUND((H15+I15)/(IFERROR(IF(AVERAGEIF(TableBOM[Item ID],A15,TableBOM[Per 1000 Units])&gt;0,AVERAGEIF(TableBOM[Item ID],A15,TableBOM[Per 1000 Units]),AVERAGEIF(TableBOM[Material Category],B15,TableBOM[Per 1000 Units])),AVERAGEIF(TableBOM[Material Category],B15,TableBOM[Per 1000 Units]))/1000),0)),"-")</f>
        <v>192152</v>
      </c>
    </row>
    <row r="16" spans="1:11" ht="15" customHeight="1" x14ac:dyDescent="0.25">
      <c r="A16" s="115">
        <v>188</v>
      </c>
      <c r="B16" s="115" t="s">
        <v>275</v>
      </c>
      <c r="C16" s="116" t="s">
        <v>326</v>
      </c>
      <c r="D16" s="115" t="s">
        <v>36</v>
      </c>
      <c r="E16" s="117">
        <v>91</v>
      </c>
      <c r="F16" s="117">
        <v>0</v>
      </c>
      <c r="G16" s="117">
        <v>0</v>
      </c>
      <c r="H16" s="118">
        <f t="shared" si="1"/>
        <v>91</v>
      </c>
      <c r="I16" s="117">
        <v>0</v>
      </c>
      <c r="J16" s="191">
        <f>IFERROR(IF(H16+I16="","-",ROUND((H16+I16)/(IFERROR(IF(AVERAGEIF(TableBOM[Item ID],A16,TableBOM[Per 1000 Units])&gt;0,AVERAGEIF(TableBOM[Item ID],A16,TableBOM[Per 1000 Units]),AVERAGEIF(TableBOM[Material Category],B16,TableBOM[Per 1000 Units])),AVERAGEIF(TableBOM[Material Category],B16,TableBOM[Per 1000 Units]))/1000),0)),"-")</f>
        <v>349716</v>
      </c>
    </row>
    <row r="17" spans="1:16" ht="15" hidden="1" customHeight="1" x14ac:dyDescent="0.25">
      <c r="A17" s="178">
        <v>1065</v>
      </c>
      <c r="B17" s="178" t="s">
        <v>275</v>
      </c>
      <c r="C17" s="179" t="s">
        <v>327</v>
      </c>
      <c r="D17" s="178" t="s">
        <v>36</v>
      </c>
      <c r="E17" s="180">
        <v>0</v>
      </c>
      <c r="F17" s="180">
        <v>0</v>
      </c>
      <c r="G17" s="180">
        <v>0</v>
      </c>
      <c r="H17" s="181">
        <f t="shared" si="1"/>
        <v>0</v>
      </c>
      <c r="I17" s="180"/>
      <c r="J17" s="190">
        <f>IFERROR(IF(H17+I17="","-",ROUND((H17+I17)/(IFERROR(IF(AVERAGEIF(TableBOM[Item ID],A17,TableBOM[Per 1000 Units])&gt;0,AVERAGEIF(TableBOM[Item ID],A17,TableBOM[Per 1000 Units]),AVERAGEIF(TableBOM[Material Category],B17,TableBOM[Per 1000 Units])),AVERAGEIF(TableBOM[Material Category],B17,TableBOM[Per 1000 Units]))/1000),0)),"-")</f>
        <v>0</v>
      </c>
      <c r="K17" s="182" t="s">
        <v>325</v>
      </c>
    </row>
    <row r="18" spans="1:16" ht="15" customHeight="1" x14ac:dyDescent="0.25">
      <c r="A18" s="115">
        <v>4155</v>
      </c>
      <c r="B18" s="115" t="s">
        <v>275</v>
      </c>
      <c r="C18" s="116" t="s">
        <v>328</v>
      </c>
      <c r="D18" s="115" t="s">
        <v>36</v>
      </c>
      <c r="E18" s="117">
        <v>50</v>
      </c>
      <c r="F18" s="117">
        <v>0</v>
      </c>
      <c r="G18" s="117">
        <v>50</v>
      </c>
      <c r="H18" s="118">
        <f t="shared" si="1"/>
        <v>0</v>
      </c>
      <c r="I18" s="117"/>
      <c r="J18" s="191">
        <f>IFERROR(IF(H18+I18="","-",ROUND((H18+I18)/(IFERROR(IF(AVERAGEIF(TableBOM[Item ID],A18,TableBOM[Per 1000 Units])&gt;0,AVERAGEIF(TableBOM[Item ID],A18,TableBOM[Per 1000 Units]),AVERAGEIF(TableBOM[Material Category],B18,TableBOM[Per 1000 Units])),AVERAGEIF(TableBOM[Material Category],B18,TableBOM[Per 1000 Units]))/1000),0)),"-")</f>
        <v>0</v>
      </c>
    </row>
    <row r="19" spans="1:16" ht="15" hidden="1" customHeight="1" x14ac:dyDescent="0.25">
      <c r="A19" s="178">
        <v>170</v>
      </c>
      <c r="B19" s="178" t="s">
        <v>271</v>
      </c>
      <c r="C19" s="179" t="s">
        <v>58</v>
      </c>
      <c r="D19" s="178" t="s">
        <v>36</v>
      </c>
      <c r="E19" s="180">
        <v>0</v>
      </c>
      <c r="F19" s="180">
        <v>0</v>
      </c>
      <c r="G19" s="180">
        <v>0</v>
      </c>
      <c r="H19" s="181">
        <f t="shared" si="1"/>
        <v>0</v>
      </c>
      <c r="I19" s="180"/>
      <c r="J19" s="190">
        <f>IFERROR(IF(H19+I19="","-",ROUND((H19+I19)/(IFERROR(IF(AVERAGEIF(TableBOM[Item ID],A19,TableBOM[Per 1000 Units])&gt;0,AVERAGEIF(TableBOM[Item ID],A19,TableBOM[Per 1000 Units]),AVERAGEIF(TableBOM[Material Category],B19,TableBOM[Per 1000 Units])),AVERAGEIF(TableBOM[Material Category],B19,TableBOM[Per 1000 Units]))/1000),0)),"-")</f>
        <v>0</v>
      </c>
      <c r="K19" s="182" t="s">
        <v>325</v>
      </c>
    </row>
    <row r="20" spans="1:16" ht="15" customHeight="1" x14ac:dyDescent="0.25">
      <c r="A20" s="115">
        <v>175</v>
      </c>
      <c r="B20" s="115" t="s">
        <v>271</v>
      </c>
      <c r="C20" s="116" t="s">
        <v>59</v>
      </c>
      <c r="D20" s="115" t="s">
        <v>36</v>
      </c>
      <c r="E20" s="117">
        <v>30</v>
      </c>
      <c r="F20" s="117">
        <v>0</v>
      </c>
      <c r="G20" s="117">
        <v>0</v>
      </c>
      <c r="H20" s="118">
        <f t="shared" si="1"/>
        <v>30</v>
      </c>
      <c r="I20" s="117">
        <v>0</v>
      </c>
      <c r="J20" s="191">
        <f>IFERROR(IF(H20+I20="","-",ROUND((H20+I20)/(IFERROR(IF(AVERAGEIF(TableBOM[Item ID],A20,TableBOM[Per 1000 Units])&gt;0,AVERAGEIF(TableBOM[Item ID],A20,TableBOM[Per 1000 Units]),AVERAGEIF(TableBOM[Material Category],B20,TableBOM[Per 1000 Units])),AVERAGEIF(TableBOM[Material Category],B20,TableBOM[Per 1000 Units]))/1000),0)),"-")</f>
        <v>50873</v>
      </c>
    </row>
    <row r="21" spans="1:16" ht="15" customHeight="1" x14ac:dyDescent="0.25">
      <c r="A21" s="115">
        <v>192</v>
      </c>
      <c r="B21" s="115" t="s">
        <v>271</v>
      </c>
      <c r="C21" s="116" t="s">
        <v>60</v>
      </c>
      <c r="D21" s="115" t="s">
        <v>36</v>
      </c>
      <c r="E21" s="117">
        <v>50</v>
      </c>
      <c r="F21" s="117">
        <v>0</v>
      </c>
      <c r="G21" s="117">
        <v>0</v>
      </c>
      <c r="H21" s="118">
        <f t="shared" si="1"/>
        <v>50</v>
      </c>
      <c r="I21" s="117">
        <v>0</v>
      </c>
      <c r="J21" s="191">
        <f>IFERROR(IF(H21+I21="","-",ROUND((H21+I21)/(IFERROR(IF(AVERAGEIF(TableBOM[Item ID],A21,TableBOM[Per 1000 Units])&gt;0,AVERAGEIF(TableBOM[Item ID],A21,TableBOM[Per 1000 Units]),AVERAGEIF(TableBOM[Material Category],B21,TableBOM[Per 1000 Units])),AVERAGEIF(TableBOM[Material Category],B21,TableBOM[Per 1000 Units]))/1000),0)),"-")</f>
        <v>84788</v>
      </c>
    </row>
    <row r="22" spans="1:16" ht="15" customHeight="1" x14ac:dyDescent="0.25">
      <c r="A22" s="115">
        <v>3595</v>
      </c>
      <c r="B22" s="115" t="s">
        <v>271</v>
      </c>
      <c r="C22" s="116" t="s">
        <v>61</v>
      </c>
      <c r="D22" s="115" t="s">
        <v>36</v>
      </c>
      <c r="E22" s="117">
        <v>60</v>
      </c>
      <c r="F22" s="117">
        <v>120</v>
      </c>
      <c r="G22" s="117">
        <v>90</v>
      </c>
      <c r="H22" s="118">
        <f t="shared" si="1"/>
        <v>90</v>
      </c>
      <c r="I22" s="117"/>
      <c r="J22" s="191">
        <f>IFERROR(IF(H22+I22="","-",ROUND((H22+I22)/(IFERROR(IF(AVERAGEIF(TableBOM[Item ID],A22,TableBOM[Per 1000 Units])&gt;0,AVERAGEIF(TableBOM[Item ID],A22,TableBOM[Per 1000 Units]),AVERAGEIF(TableBOM[Material Category],B22,TableBOM[Per 1000 Units])),AVERAGEIF(TableBOM[Material Category],B22,TableBOM[Per 1000 Units]))/1000),0)),"-")</f>
        <v>165864</v>
      </c>
    </row>
    <row r="23" spans="1:16" ht="15" customHeight="1" x14ac:dyDescent="0.25">
      <c r="A23" s="115">
        <v>3869</v>
      </c>
      <c r="B23" s="115" t="s">
        <v>271</v>
      </c>
      <c r="C23" s="116" t="s">
        <v>62</v>
      </c>
      <c r="D23" s="115" t="s">
        <v>36</v>
      </c>
      <c r="E23" s="117">
        <v>60</v>
      </c>
      <c r="F23" s="117">
        <v>0</v>
      </c>
      <c r="G23" s="117">
        <v>0</v>
      </c>
      <c r="H23" s="118">
        <f t="shared" si="1"/>
        <v>60</v>
      </c>
      <c r="I23" s="117">
        <v>0</v>
      </c>
      <c r="J23" s="191">
        <f>IFERROR(IF(H23+I23="","-",ROUND((H23+I23)/(IFERROR(IF(AVERAGEIF(TableBOM[Item ID],A23,TableBOM[Per 1000 Units])&gt;0,AVERAGEIF(TableBOM[Item ID],A23,TableBOM[Per 1000 Units]),AVERAGEIF(TableBOM[Material Category],B23,TableBOM[Per 1000 Units])),AVERAGEIF(TableBOM[Material Category],B23,TableBOM[Per 1000 Units]))/1000),0)),"-")</f>
        <v>101746</v>
      </c>
    </row>
    <row r="24" spans="1:16" ht="15" hidden="1" customHeight="1" x14ac:dyDescent="0.25">
      <c r="A24" s="178">
        <v>4156</v>
      </c>
      <c r="B24" s="178" t="s">
        <v>271</v>
      </c>
      <c r="C24" s="179" t="s">
        <v>63</v>
      </c>
      <c r="D24" s="178" t="s">
        <v>36</v>
      </c>
      <c r="E24" s="180">
        <v>0</v>
      </c>
      <c r="F24" s="180">
        <v>0</v>
      </c>
      <c r="G24" s="180">
        <v>0</v>
      </c>
      <c r="H24" s="181">
        <f t="shared" si="1"/>
        <v>0</v>
      </c>
      <c r="I24" s="180"/>
      <c r="J24" s="190">
        <f>IFERROR(IF(H24+I24="","-",ROUND((H24+I24)/(IFERROR(IF(AVERAGEIF(TableBOM[Item ID],A24,TableBOM[Per 1000 Units])&gt;0,AVERAGEIF(TableBOM[Item ID],A24,TableBOM[Per 1000 Units]),AVERAGEIF(TableBOM[Material Category],B24,TableBOM[Per 1000 Units])),AVERAGEIF(TableBOM[Material Category],B24,TableBOM[Per 1000 Units]))/1000),0)),"-")</f>
        <v>0</v>
      </c>
      <c r="K24" s="182" t="s">
        <v>325</v>
      </c>
    </row>
    <row r="25" spans="1:16" ht="15" customHeight="1" x14ac:dyDescent="0.25">
      <c r="A25" s="115">
        <v>4157</v>
      </c>
      <c r="B25" s="115" t="s">
        <v>271</v>
      </c>
      <c r="C25" s="116" t="s">
        <v>64</v>
      </c>
      <c r="D25" s="115" t="s">
        <v>36</v>
      </c>
      <c r="E25" s="117">
        <v>240</v>
      </c>
      <c r="F25" s="117">
        <v>0</v>
      </c>
      <c r="G25" s="117">
        <v>0</v>
      </c>
      <c r="H25" s="118">
        <f t="shared" si="1"/>
        <v>240</v>
      </c>
      <c r="I25" s="117">
        <v>0</v>
      </c>
      <c r="J25" s="191">
        <f>IFERROR(IF(H25+I25="","-",ROUND((H25+I25)/(IFERROR(IF(AVERAGEIF(TableBOM[Item ID],A25,TableBOM[Per 1000 Units])&gt;0,AVERAGEIF(TableBOM[Item ID],A25,TableBOM[Per 1000 Units]),AVERAGEIF(TableBOM[Material Category],B25,TableBOM[Per 1000 Units])),AVERAGEIF(TableBOM[Material Category],B25,TableBOM[Per 1000 Units]))/1000),0)),"-")</f>
        <v>406983</v>
      </c>
    </row>
    <row r="26" spans="1:16" ht="15" customHeight="1" x14ac:dyDescent="0.25">
      <c r="A26" s="115">
        <v>5895</v>
      </c>
      <c r="B26" s="115" t="s">
        <v>271</v>
      </c>
      <c r="C26" s="116" t="s">
        <v>65</v>
      </c>
      <c r="D26" s="115" t="s">
        <v>36</v>
      </c>
      <c r="E26" s="117">
        <v>50</v>
      </c>
      <c r="F26" s="117">
        <v>0</v>
      </c>
      <c r="G26" s="117">
        <v>0</v>
      </c>
      <c r="H26" s="118">
        <f t="shared" si="1"/>
        <v>50</v>
      </c>
      <c r="I26" s="117">
        <v>0</v>
      </c>
      <c r="J26" s="191">
        <f>IFERROR(IF(H26+I26="","-",ROUND((H26+I26)/(IFERROR(IF(AVERAGEIF(TableBOM[Item ID],A26,TableBOM[Per 1000 Units])&gt;0,AVERAGEIF(TableBOM[Item ID],A26,TableBOM[Per 1000 Units]),AVERAGEIF(TableBOM[Material Category],B26,TableBOM[Per 1000 Units])),AVERAGEIF(TableBOM[Material Category],B26,TableBOM[Per 1000 Units]))/1000),0)),"-")</f>
        <v>84788</v>
      </c>
    </row>
    <row r="27" spans="1:16" ht="15" customHeight="1" x14ac:dyDescent="0.25">
      <c r="A27" s="115">
        <v>5974</v>
      </c>
      <c r="B27" s="115" t="s">
        <v>271</v>
      </c>
      <c r="C27" s="116" t="s">
        <v>66</v>
      </c>
      <c r="D27" s="115" t="s">
        <v>53</v>
      </c>
      <c r="E27" s="117">
        <v>50</v>
      </c>
      <c r="F27" s="117">
        <v>0</v>
      </c>
      <c r="G27" s="117">
        <v>25</v>
      </c>
      <c r="H27" s="118">
        <f t="shared" si="1"/>
        <v>25</v>
      </c>
      <c r="I27" s="117">
        <v>0</v>
      </c>
      <c r="J27" s="191">
        <f>IFERROR(IF(H27+I27="","-",ROUND((H27+I27)/(IFERROR(IF(AVERAGEIF(TableBOM[Item ID],A27,TableBOM[Per 1000 Units])&gt;0,AVERAGEIF(TableBOM[Item ID],A27,TableBOM[Per 1000 Units]),AVERAGEIF(TableBOM[Material Category],B27,TableBOM[Per 1000 Units])),AVERAGEIF(TableBOM[Material Category],B27,TableBOM[Per 1000 Units]))/1000),0)),"-")</f>
        <v>42394</v>
      </c>
      <c r="K27" s="130"/>
      <c r="L27" s="119"/>
      <c r="M27" s="119"/>
      <c r="N27" s="119"/>
      <c r="O27" s="119"/>
      <c r="P27" s="119"/>
    </row>
    <row r="28" spans="1:16" ht="15" customHeight="1" x14ac:dyDescent="0.25">
      <c r="A28" s="115">
        <v>177</v>
      </c>
      <c r="B28" s="115" t="s">
        <v>271</v>
      </c>
      <c r="C28" s="116" t="s">
        <v>67</v>
      </c>
      <c r="D28" s="115" t="s">
        <v>36</v>
      </c>
      <c r="E28" s="117">
        <v>450</v>
      </c>
      <c r="F28" s="117">
        <v>0</v>
      </c>
      <c r="G28" s="117">
        <v>0</v>
      </c>
      <c r="H28" s="118">
        <f t="shared" si="1"/>
        <v>450</v>
      </c>
      <c r="I28" s="117"/>
      <c r="J28" s="191">
        <f>IFERROR(IF(H28+I28="","-",ROUND((H28+I28)/(IFERROR(IF(AVERAGEIF(TableBOM[Item ID],A28,TableBOM[Per 1000 Units])&gt;0,AVERAGEIF(TableBOM[Item ID],A28,TableBOM[Per 1000 Units]),AVERAGEIF(TableBOM[Material Category],B28,TableBOM[Per 1000 Units])),AVERAGEIF(TableBOM[Material Category],B28,TableBOM[Per 1000 Units]))/1000),0)),"-")</f>
        <v>576923</v>
      </c>
      <c r="K28" s="130"/>
      <c r="L28" s="119"/>
      <c r="M28" s="119"/>
      <c r="N28" s="119"/>
      <c r="O28" s="119"/>
      <c r="P28" s="119"/>
    </row>
    <row r="29" spans="1:16" ht="15" customHeight="1" x14ac:dyDescent="0.25">
      <c r="A29" s="115">
        <v>6132</v>
      </c>
      <c r="B29" s="115" t="s">
        <v>271</v>
      </c>
      <c r="C29" s="116" t="s">
        <v>68</v>
      </c>
      <c r="D29" s="115" t="s">
        <v>36</v>
      </c>
      <c r="E29" s="117">
        <v>60</v>
      </c>
      <c r="F29" s="117">
        <v>0</v>
      </c>
      <c r="G29" s="117">
        <v>0</v>
      </c>
      <c r="H29" s="118">
        <f t="shared" si="1"/>
        <v>60</v>
      </c>
      <c r="I29" s="117"/>
      <c r="J29" s="191">
        <f>IFERROR(IF(H29+I29="","-",ROUND((H29+I29)/(IFERROR(IF(AVERAGEIF(TableBOM[Item ID],A29,TableBOM[Per 1000 Units])&gt;0,AVERAGEIF(TableBOM[Item ID],A29,TableBOM[Per 1000 Units]),AVERAGEIF(TableBOM[Material Category],B29,TableBOM[Per 1000 Units])),AVERAGEIF(TableBOM[Material Category],B29,TableBOM[Per 1000 Units]))/1000),0)),"-")</f>
        <v>101746</v>
      </c>
      <c r="K29" s="131"/>
      <c r="L29" s="120"/>
      <c r="M29" s="120"/>
      <c r="N29" s="120"/>
      <c r="O29" s="120"/>
      <c r="P29" s="120"/>
    </row>
    <row r="30" spans="1:16" ht="15" customHeight="1" x14ac:dyDescent="0.25">
      <c r="A30" s="115">
        <v>186</v>
      </c>
      <c r="B30" s="115" t="s">
        <v>288</v>
      </c>
      <c r="C30" s="116" t="s">
        <v>70</v>
      </c>
      <c r="D30" s="115" t="s">
        <v>36</v>
      </c>
      <c r="E30" s="117">
        <v>510</v>
      </c>
      <c r="F30" s="117">
        <v>0</v>
      </c>
      <c r="G30" s="117">
        <v>15</v>
      </c>
      <c r="H30" s="118">
        <f t="shared" si="1"/>
        <v>495</v>
      </c>
      <c r="I30" s="117"/>
      <c r="J30" s="191">
        <f>IFERROR(IF(H30+I30="","-",ROUND((H30+I30)/(IFERROR(IF(AVERAGEIF(TableBOM[Item ID],A30,TableBOM[Per 1000 Units])&gt;0,AVERAGEIF(TableBOM[Item ID],A30,TableBOM[Per 1000 Units]),AVERAGEIF(TableBOM[Material Category],B30,TableBOM[Per 1000 Units])),AVERAGEIF(TableBOM[Material Category],B30,TableBOM[Per 1000 Units]))/1000),0)),"-")</f>
        <v>1346234</v>
      </c>
      <c r="K30" s="130"/>
      <c r="L30" s="119"/>
      <c r="M30" s="119"/>
      <c r="N30" s="119"/>
      <c r="O30" s="119"/>
      <c r="P30" s="119"/>
    </row>
    <row r="31" spans="1:16" ht="15" customHeight="1" x14ac:dyDescent="0.25">
      <c r="A31" s="115">
        <v>194</v>
      </c>
      <c r="B31" s="115" t="s">
        <v>295</v>
      </c>
      <c r="C31" s="116" t="s">
        <v>106</v>
      </c>
      <c r="D31" s="115" t="s">
        <v>36</v>
      </c>
      <c r="E31" s="117">
        <v>32.5</v>
      </c>
      <c r="F31" s="117">
        <v>0</v>
      </c>
      <c r="G31" s="117">
        <v>0</v>
      </c>
      <c r="H31" s="118">
        <f t="shared" si="1"/>
        <v>32.5</v>
      </c>
      <c r="I31" s="117"/>
      <c r="J31" s="191">
        <f>IFERROR(IF(H31+I31="","-",ROUND((H31+I31)/(IFERROR(IF(AVERAGEIF(TableBOM[Item ID],A31,TableBOM[Per 1000 Units])&gt;0,AVERAGEIF(TableBOM[Item ID],A31,TableBOM[Per 1000 Units]),AVERAGEIF(TableBOM[Material Category],B31,TableBOM[Per 1000 Units])),AVERAGEIF(TableBOM[Material Category],B31,TableBOM[Per 1000 Units]))/1000),0)),"-")</f>
        <v>4798202</v>
      </c>
      <c r="K31" s="130"/>
      <c r="L31" s="119"/>
      <c r="M31" s="119"/>
      <c r="N31" s="119"/>
      <c r="O31" s="119"/>
      <c r="P31" s="119"/>
    </row>
    <row r="32" spans="1:16" ht="15" hidden="1" customHeight="1" x14ac:dyDescent="0.25">
      <c r="A32" s="178">
        <v>69</v>
      </c>
      <c r="B32" s="178" t="s">
        <v>329</v>
      </c>
      <c r="C32" s="179" t="s">
        <v>72</v>
      </c>
      <c r="D32" s="178" t="s">
        <v>73</v>
      </c>
      <c r="E32" s="180">
        <v>0</v>
      </c>
      <c r="F32" s="180">
        <v>0</v>
      </c>
      <c r="G32" s="180">
        <v>0</v>
      </c>
      <c r="H32" s="181">
        <f t="shared" si="1"/>
        <v>0</v>
      </c>
      <c r="I32" s="180"/>
      <c r="J32" s="190">
        <f>IFERROR(IF(H32+I32="","-",ROUND((H32+I32)/(IFERROR(IF(AVERAGEIF(TableBOM[Item ID],A32,TableBOM[Per 1000 Units])&gt;0,AVERAGEIF(TableBOM[Item ID],A32,TableBOM[Per 1000 Units]),AVERAGEIF(TableBOM[Material Category],B32,TableBOM[Per 1000 Units])),AVERAGEIF(TableBOM[Material Category],B32,TableBOM[Per 1000 Units]))/1000),0)),"-")</f>
        <v>0</v>
      </c>
      <c r="K32" s="183" t="s">
        <v>325</v>
      </c>
      <c r="L32" s="119"/>
      <c r="M32" s="119"/>
      <c r="N32" s="119"/>
      <c r="O32" s="119"/>
      <c r="P32" s="119"/>
    </row>
    <row r="33" spans="1:16" ht="15" customHeight="1" x14ac:dyDescent="0.25">
      <c r="A33" s="115">
        <v>99</v>
      </c>
      <c r="B33" s="115" t="s">
        <v>329</v>
      </c>
      <c r="C33" s="116" t="s">
        <v>74</v>
      </c>
      <c r="D33" s="115" t="s">
        <v>281</v>
      </c>
      <c r="E33" s="117">
        <v>10000</v>
      </c>
      <c r="F33" s="117">
        <v>0</v>
      </c>
      <c r="G33" s="117">
        <v>0</v>
      </c>
      <c r="H33" s="118">
        <f t="shared" si="1"/>
        <v>10000</v>
      </c>
      <c r="I33" s="117"/>
      <c r="J33" s="191">
        <f>IFERROR(IF(H33+I33="","-",ROUND((H33+I33)/(IFERROR(IF(AVERAGEIF(TableBOM[Item ID],A33,TableBOM[Per 1000 Units])&gt;0,AVERAGEIF(TableBOM[Item ID],A33,TableBOM[Per 1000 Units]),AVERAGEIF(TableBOM[Material Category],B33,TableBOM[Per 1000 Units])),AVERAGEIF(TableBOM[Material Category],B33,TableBOM[Per 1000 Units]))/1000),0)),"-")</f>
        <v>10000</v>
      </c>
      <c r="K33" s="131"/>
      <c r="L33" s="120"/>
      <c r="M33" s="120"/>
      <c r="N33" s="120"/>
      <c r="O33" s="120"/>
      <c r="P33" s="120"/>
    </row>
    <row r="34" spans="1:16" ht="15" customHeight="1" x14ac:dyDescent="0.25">
      <c r="A34" s="115">
        <v>72</v>
      </c>
      <c r="B34" s="115" t="s">
        <v>329</v>
      </c>
      <c r="C34" s="116" t="s">
        <v>75</v>
      </c>
      <c r="D34" s="115" t="s">
        <v>281</v>
      </c>
      <c r="E34" s="117">
        <v>23741</v>
      </c>
      <c r="F34" s="117">
        <v>0</v>
      </c>
      <c r="G34" s="117">
        <v>0</v>
      </c>
      <c r="H34" s="118">
        <f t="shared" si="1"/>
        <v>23741</v>
      </c>
      <c r="I34" s="117"/>
      <c r="J34" s="191">
        <f>IFERROR(IF(H34+I34="","-",ROUND((H34+I34)/(IFERROR(IF(AVERAGEIF(TableBOM[Item ID],A34,TableBOM[Per 1000 Units])&gt;0,AVERAGEIF(TableBOM[Item ID],A34,TableBOM[Per 1000 Units]),AVERAGEIF(TableBOM[Material Category],B34,TableBOM[Per 1000 Units])),AVERAGEIF(TableBOM[Material Category],B34,TableBOM[Per 1000 Units]))/1000),0)),"-")</f>
        <v>23741</v>
      </c>
      <c r="K34" s="130"/>
      <c r="L34" s="119"/>
      <c r="M34" s="119"/>
      <c r="N34" s="119"/>
      <c r="O34" s="119"/>
      <c r="P34" s="119"/>
    </row>
    <row r="35" spans="1:16" ht="15" customHeight="1" x14ac:dyDescent="0.25">
      <c r="A35" s="115">
        <v>79</v>
      </c>
      <c r="B35" s="115" t="s">
        <v>329</v>
      </c>
      <c r="C35" s="116" t="s">
        <v>76</v>
      </c>
      <c r="D35" s="115" t="s">
        <v>281</v>
      </c>
      <c r="E35" s="117">
        <v>83600</v>
      </c>
      <c r="F35" s="117">
        <v>0</v>
      </c>
      <c r="G35" s="117">
        <v>0</v>
      </c>
      <c r="H35" s="118">
        <f t="shared" si="1"/>
        <v>83600</v>
      </c>
      <c r="I35" s="117"/>
      <c r="J35" s="191">
        <f>IFERROR(IF(H35+I35="","-",ROUND((H35+I35)/(IFERROR(IF(AVERAGEIF(TableBOM[Item ID],A35,TableBOM[Per 1000 Units])&gt;0,AVERAGEIF(TableBOM[Item ID],A35,TableBOM[Per 1000 Units]),AVERAGEIF(TableBOM[Material Category],B35,TableBOM[Per 1000 Units])),AVERAGEIF(TableBOM[Material Category],B35,TableBOM[Per 1000 Units]))/1000),0)),"-")</f>
        <v>83600</v>
      </c>
      <c r="K35" s="130"/>
      <c r="L35" s="119"/>
      <c r="M35" s="119"/>
      <c r="N35" s="119"/>
      <c r="O35" s="119"/>
      <c r="P35" s="119"/>
    </row>
    <row r="36" spans="1:16" ht="15" customHeight="1" x14ac:dyDescent="0.25">
      <c r="A36" s="115">
        <v>80</v>
      </c>
      <c r="B36" s="115" t="s">
        <v>329</v>
      </c>
      <c r="C36" s="116" t="s">
        <v>77</v>
      </c>
      <c r="D36" s="115" t="s">
        <v>73</v>
      </c>
      <c r="E36" s="117">
        <v>100000</v>
      </c>
      <c r="F36" s="117">
        <v>0</v>
      </c>
      <c r="G36" s="117">
        <v>0</v>
      </c>
      <c r="H36" s="118">
        <f t="shared" si="1"/>
        <v>100000</v>
      </c>
      <c r="I36" s="117">
        <v>0</v>
      </c>
      <c r="J36" s="191">
        <f>IFERROR(IF(H36+I36="","-",ROUND((H36+I36)/(IFERROR(IF(AVERAGEIF(TableBOM[Item ID],A36,TableBOM[Per 1000 Units])&gt;0,AVERAGEIF(TableBOM[Item ID],A36,TableBOM[Per 1000 Units]),AVERAGEIF(TableBOM[Material Category],B36,TableBOM[Per 1000 Units])),AVERAGEIF(TableBOM[Material Category],B36,TableBOM[Per 1000 Units]))/1000),0)),"-")</f>
        <v>100000</v>
      </c>
      <c r="K36" s="131"/>
      <c r="L36" s="120"/>
      <c r="M36" s="120"/>
      <c r="N36" s="120"/>
      <c r="O36" s="120"/>
      <c r="P36" s="120"/>
    </row>
    <row r="37" spans="1:16" ht="15" customHeight="1" x14ac:dyDescent="0.25">
      <c r="A37" s="115">
        <v>81</v>
      </c>
      <c r="B37" s="115" t="s">
        <v>329</v>
      </c>
      <c r="C37" s="116" t="s">
        <v>78</v>
      </c>
      <c r="D37" s="115" t="s">
        <v>73</v>
      </c>
      <c r="E37" s="117">
        <v>553124</v>
      </c>
      <c r="F37" s="117">
        <v>0</v>
      </c>
      <c r="G37" s="117">
        <v>0</v>
      </c>
      <c r="H37" s="118">
        <f t="shared" si="1"/>
        <v>553124</v>
      </c>
      <c r="I37" s="117"/>
      <c r="J37" s="191">
        <f>IFERROR(IF(H37+I37="","-",ROUND((H37+I37)/(IFERROR(IF(AVERAGEIF(TableBOM[Item ID],A37,TableBOM[Per 1000 Units])&gt;0,AVERAGEIF(TableBOM[Item ID],A37,TableBOM[Per 1000 Units]),AVERAGEIF(TableBOM[Material Category],B37,TableBOM[Per 1000 Units])),AVERAGEIF(TableBOM[Material Category],B37,TableBOM[Per 1000 Units]))/1000),0)),"-")</f>
        <v>553124</v>
      </c>
      <c r="K37" s="131"/>
      <c r="L37" s="120"/>
      <c r="M37" s="120"/>
      <c r="N37" s="120"/>
      <c r="O37" s="120"/>
      <c r="P37" s="120"/>
    </row>
    <row r="38" spans="1:16" ht="15" hidden="1" customHeight="1" x14ac:dyDescent="0.25">
      <c r="A38" s="178">
        <v>1800</v>
      </c>
      <c r="B38" s="178" t="s">
        <v>329</v>
      </c>
      <c r="C38" s="179" t="s">
        <v>79</v>
      </c>
      <c r="D38" s="178" t="s">
        <v>73</v>
      </c>
      <c r="E38" s="180">
        <v>0</v>
      </c>
      <c r="F38" s="180">
        <v>0</v>
      </c>
      <c r="G38" s="180">
        <v>0</v>
      </c>
      <c r="H38" s="181">
        <f t="shared" si="1"/>
        <v>0</v>
      </c>
      <c r="I38" s="180"/>
      <c r="J38" s="190">
        <f>IFERROR(IF(H38+I38="","-",ROUND((H38+I38)/(IFERROR(IF(AVERAGEIF(TableBOM[Item ID],A38,TableBOM[Per 1000 Units])&gt;0,AVERAGEIF(TableBOM[Item ID],A38,TableBOM[Per 1000 Units]),AVERAGEIF(TableBOM[Material Category],B38,TableBOM[Per 1000 Units])),AVERAGEIF(TableBOM[Material Category],B38,TableBOM[Per 1000 Units]))/1000),0)),"-")</f>
        <v>0</v>
      </c>
      <c r="K38" s="184" t="s">
        <v>325</v>
      </c>
      <c r="L38" s="120"/>
      <c r="M38" s="120"/>
      <c r="N38" s="120"/>
      <c r="O38" s="120"/>
      <c r="P38" s="120"/>
    </row>
    <row r="39" spans="1:16" ht="15" customHeight="1" x14ac:dyDescent="0.25">
      <c r="A39" s="115">
        <v>3211</v>
      </c>
      <c r="B39" s="115" t="s">
        <v>329</v>
      </c>
      <c r="C39" s="116" t="s">
        <v>80</v>
      </c>
      <c r="D39" s="115" t="s">
        <v>73</v>
      </c>
      <c r="E39" s="117">
        <v>4000</v>
      </c>
      <c r="F39" s="117">
        <v>0</v>
      </c>
      <c r="G39" s="117">
        <v>0</v>
      </c>
      <c r="H39" s="118">
        <f t="shared" si="1"/>
        <v>4000</v>
      </c>
      <c r="I39" s="117"/>
      <c r="J39" s="191">
        <f>IFERROR(IF(H39+I39="","-",ROUND((H39+I39)/(IFERROR(IF(AVERAGEIF(TableBOM[Item ID],A39,TableBOM[Per 1000 Units])&gt;0,AVERAGEIF(TableBOM[Item ID],A39,TableBOM[Per 1000 Units]),AVERAGEIF(TableBOM[Material Category],B39,TableBOM[Per 1000 Units])),AVERAGEIF(TableBOM[Material Category],B39,TableBOM[Per 1000 Units]))/1000),0)),"-")</f>
        <v>4000</v>
      </c>
    </row>
    <row r="40" spans="1:16" ht="15" customHeight="1" x14ac:dyDescent="0.25">
      <c r="A40" s="115">
        <v>4015</v>
      </c>
      <c r="B40" s="115" t="s">
        <v>329</v>
      </c>
      <c r="C40" s="116" t="s">
        <v>81</v>
      </c>
      <c r="D40" s="115" t="s">
        <v>73</v>
      </c>
      <c r="E40" s="117">
        <v>475000</v>
      </c>
      <c r="F40" s="117">
        <v>0</v>
      </c>
      <c r="G40" s="117">
        <v>0</v>
      </c>
      <c r="H40" s="118">
        <f t="shared" si="1"/>
        <v>475000</v>
      </c>
      <c r="I40" s="117"/>
      <c r="J40" s="191">
        <f>IFERROR(IF(H40+I40="","-",ROUND((H40+I40)/(IFERROR(IF(AVERAGEIF(TableBOM[Item ID],A40,TableBOM[Per 1000 Units])&gt;0,AVERAGEIF(TableBOM[Item ID],A40,TableBOM[Per 1000 Units]),AVERAGEIF(TableBOM[Material Category],B40,TableBOM[Per 1000 Units])),AVERAGEIF(TableBOM[Material Category],B40,TableBOM[Per 1000 Units]))/1000),0)),"-")</f>
        <v>475000</v>
      </c>
    </row>
    <row r="41" spans="1:16" ht="15" hidden="1" customHeight="1" x14ac:dyDescent="0.25">
      <c r="A41" s="178">
        <v>4044</v>
      </c>
      <c r="B41" s="178" t="s">
        <v>329</v>
      </c>
      <c r="C41" s="179" t="s">
        <v>82</v>
      </c>
      <c r="D41" s="178" t="s">
        <v>73</v>
      </c>
      <c r="E41" s="180">
        <v>0</v>
      </c>
      <c r="F41" s="180">
        <v>0</v>
      </c>
      <c r="G41" s="180">
        <v>0</v>
      </c>
      <c r="H41" s="181">
        <f t="shared" si="1"/>
        <v>0</v>
      </c>
      <c r="I41" s="180"/>
      <c r="J41" s="190">
        <f>IFERROR(IF(H41+I41="","-",ROUND((H41+I41)/(IFERROR(IF(AVERAGEIF(TableBOM[Item ID],A41,TableBOM[Per 1000 Units])&gt;0,AVERAGEIF(TableBOM[Item ID],A41,TableBOM[Per 1000 Units]),AVERAGEIF(TableBOM[Material Category],B41,TableBOM[Per 1000 Units])),AVERAGEIF(TableBOM[Material Category],B41,TableBOM[Per 1000 Units]))/1000),0)),"-")</f>
        <v>0</v>
      </c>
      <c r="K41" s="182" t="s">
        <v>325</v>
      </c>
    </row>
    <row r="42" spans="1:16" ht="15" customHeight="1" x14ac:dyDescent="0.25">
      <c r="A42" s="115">
        <v>4088</v>
      </c>
      <c r="B42" s="115" t="s">
        <v>329</v>
      </c>
      <c r="C42" s="116" t="s">
        <v>83</v>
      </c>
      <c r="D42" s="115" t="s">
        <v>73</v>
      </c>
      <c r="E42" s="117">
        <v>60000</v>
      </c>
      <c r="F42" s="117">
        <v>0</v>
      </c>
      <c r="G42" s="117">
        <v>0</v>
      </c>
      <c r="H42" s="118">
        <f t="shared" si="1"/>
        <v>60000</v>
      </c>
      <c r="I42" s="117"/>
      <c r="J42" s="191">
        <f>IFERROR(IF(H42+I42="","-",ROUND((H42+I42)/(IFERROR(IF(AVERAGEIF(TableBOM[Item ID],A42,TableBOM[Per 1000 Units])&gt;0,AVERAGEIF(TableBOM[Item ID],A42,TableBOM[Per 1000 Units]),AVERAGEIF(TableBOM[Material Category],B42,TableBOM[Per 1000 Units])),AVERAGEIF(TableBOM[Material Category],B42,TableBOM[Per 1000 Units]))/1000),0)),"-")</f>
        <v>60000</v>
      </c>
    </row>
    <row r="43" spans="1:16" ht="15" customHeight="1" x14ac:dyDescent="0.25">
      <c r="A43" s="115">
        <v>4143</v>
      </c>
      <c r="B43" s="115" t="s">
        <v>329</v>
      </c>
      <c r="C43" s="116" t="s">
        <v>84</v>
      </c>
      <c r="D43" s="115" t="s">
        <v>73</v>
      </c>
      <c r="E43" s="117">
        <v>65000</v>
      </c>
      <c r="F43" s="117">
        <v>0</v>
      </c>
      <c r="G43" s="117">
        <v>0</v>
      </c>
      <c r="H43" s="118">
        <f t="shared" si="1"/>
        <v>65000</v>
      </c>
      <c r="I43" s="117">
        <v>0</v>
      </c>
      <c r="J43" s="191">
        <f>IFERROR(IF(H43+I43="","-",ROUND((H43+I43)/(IFERROR(IF(AVERAGEIF(TableBOM[Item ID],A43,TableBOM[Per 1000 Units])&gt;0,AVERAGEIF(TableBOM[Item ID],A43,TableBOM[Per 1000 Units]),AVERAGEIF(TableBOM[Material Category],B43,TableBOM[Per 1000 Units])),AVERAGEIF(TableBOM[Material Category],B43,TableBOM[Per 1000 Units]))/1000),0)),"-")</f>
        <v>65000</v>
      </c>
    </row>
    <row r="44" spans="1:16" ht="15" hidden="1" customHeight="1" x14ac:dyDescent="0.25">
      <c r="A44" s="178">
        <v>6971</v>
      </c>
      <c r="B44" s="178" t="s">
        <v>329</v>
      </c>
      <c r="C44" s="179" t="s">
        <v>85</v>
      </c>
      <c r="D44" s="178" t="s">
        <v>73</v>
      </c>
      <c r="E44" s="180">
        <v>0</v>
      </c>
      <c r="F44" s="180">
        <v>0</v>
      </c>
      <c r="G44" s="180">
        <v>0</v>
      </c>
      <c r="H44" s="181">
        <f t="shared" si="1"/>
        <v>0</v>
      </c>
      <c r="I44" s="180"/>
      <c r="J44" s="190">
        <f>IFERROR(IF(H44+I44="","-",ROUND((H44+I44)/(IFERROR(IF(AVERAGEIF(TableBOM[Item ID],A44,TableBOM[Per 1000 Units])&gt;0,AVERAGEIF(TableBOM[Item ID],A44,TableBOM[Per 1000 Units]),AVERAGEIF(TableBOM[Material Category],B44,TableBOM[Per 1000 Units])),AVERAGEIF(TableBOM[Material Category],B44,TableBOM[Per 1000 Units]))/1000),0)),"-")</f>
        <v>0</v>
      </c>
      <c r="K44" s="183" t="s">
        <v>325</v>
      </c>
      <c r="L44" s="119"/>
      <c r="M44" s="119"/>
      <c r="N44" s="119"/>
      <c r="O44" s="119"/>
      <c r="P44" s="119"/>
    </row>
    <row r="45" spans="1:16" ht="15" customHeight="1" x14ac:dyDescent="0.25">
      <c r="A45" s="115">
        <v>7370</v>
      </c>
      <c r="B45" s="115" t="s">
        <v>329</v>
      </c>
      <c r="C45" s="116" t="s">
        <v>86</v>
      </c>
      <c r="D45" s="115" t="s">
        <v>73</v>
      </c>
      <c r="E45" s="117">
        <v>47000</v>
      </c>
      <c r="F45" s="117">
        <v>0</v>
      </c>
      <c r="G45" s="117">
        <v>0</v>
      </c>
      <c r="H45" s="118">
        <f t="shared" si="1"/>
        <v>47000</v>
      </c>
      <c r="I45" s="117">
        <v>0</v>
      </c>
      <c r="J45" s="191">
        <f>IFERROR(IF(H45+I45="","-",ROUND((H45+I45)/(IFERROR(IF(AVERAGEIF(TableBOM[Item ID],A45,TableBOM[Per 1000 Units])&gt;0,AVERAGEIF(TableBOM[Item ID],A45,TableBOM[Per 1000 Units]),AVERAGEIF(TableBOM[Material Category],B45,TableBOM[Per 1000 Units])),AVERAGEIF(TableBOM[Material Category],B45,TableBOM[Per 1000 Units]))/1000),0)),"-")</f>
        <v>47000</v>
      </c>
      <c r="K45" s="131"/>
      <c r="L45" s="120"/>
      <c r="M45" s="120"/>
      <c r="N45" s="120"/>
      <c r="O45" s="120"/>
      <c r="P45" s="120"/>
    </row>
    <row r="46" spans="1:16" ht="15" customHeight="1" x14ac:dyDescent="0.25">
      <c r="A46" s="115">
        <v>68</v>
      </c>
      <c r="B46" s="115" t="s">
        <v>329</v>
      </c>
      <c r="C46" s="116" t="s">
        <v>87</v>
      </c>
      <c r="D46" s="115" t="s">
        <v>73</v>
      </c>
      <c r="E46" s="117">
        <v>120000</v>
      </c>
      <c r="F46" s="117">
        <v>0</v>
      </c>
      <c r="G46" s="117">
        <v>120000</v>
      </c>
      <c r="H46" s="118">
        <f t="shared" ref="H46:H77" si="2">E46+F46-G46</f>
        <v>0</v>
      </c>
      <c r="I46" s="117"/>
      <c r="J46" s="191">
        <f>IFERROR(IF(H46+I46="","-",ROUND((H46+I46)/(IFERROR(IF(AVERAGEIF(TableBOM[Item ID],A46,TableBOM[Per 1000 Units])&gt;0,AVERAGEIF(TableBOM[Item ID],A46,TableBOM[Per 1000 Units]),AVERAGEIF(TableBOM[Material Category],B46,TableBOM[Per 1000 Units])),AVERAGEIF(TableBOM[Material Category],B46,TableBOM[Per 1000 Units]))/1000),0)),"-")</f>
        <v>0</v>
      </c>
      <c r="K46" s="130"/>
      <c r="L46" s="119"/>
      <c r="M46" s="119"/>
      <c r="N46" s="119"/>
      <c r="O46" s="119"/>
      <c r="P46" s="119"/>
    </row>
    <row r="47" spans="1:16" ht="15" customHeight="1" x14ac:dyDescent="0.25">
      <c r="A47" s="115">
        <v>102</v>
      </c>
      <c r="B47" s="115" t="s">
        <v>329</v>
      </c>
      <c r="C47" s="116" t="s">
        <v>88</v>
      </c>
      <c r="D47" s="115" t="s">
        <v>281</v>
      </c>
      <c r="E47" s="117">
        <v>30000</v>
      </c>
      <c r="F47" s="117">
        <v>0</v>
      </c>
      <c r="G47" s="117">
        <v>0</v>
      </c>
      <c r="H47" s="118">
        <f t="shared" si="2"/>
        <v>30000</v>
      </c>
      <c r="I47" s="117"/>
      <c r="J47" s="191">
        <f>IFERROR(IF(H47+I47="","-",ROUND((H47+I47)/(IFERROR(IF(AVERAGEIF(TableBOM[Item ID],A47,TableBOM[Per 1000 Units])&gt;0,AVERAGEIF(TableBOM[Item ID],A47,TableBOM[Per 1000 Units]),AVERAGEIF(TableBOM[Material Category],B47,TableBOM[Per 1000 Units])),AVERAGEIF(TableBOM[Material Category],B47,TableBOM[Per 1000 Units]))/1000),0)),"-")</f>
        <v>30000</v>
      </c>
      <c r="K47" s="130"/>
      <c r="L47" s="119"/>
      <c r="M47" s="119"/>
      <c r="N47" s="119"/>
      <c r="O47" s="119"/>
      <c r="P47" s="119"/>
    </row>
    <row r="48" spans="1:16" ht="15" customHeight="1" x14ac:dyDescent="0.25">
      <c r="A48" s="115">
        <v>1073</v>
      </c>
      <c r="B48" s="115" t="s">
        <v>329</v>
      </c>
      <c r="C48" s="116" t="s">
        <v>89</v>
      </c>
      <c r="D48" s="115" t="s">
        <v>73</v>
      </c>
      <c r="E48" s="117">
        <v>120000</v>
      </c>
      <c r="F48" s="117">
        <v>0</v>
      </c>
      <c r="G48" s="117">
        <v>0</v>
      </c>
      <c r="H48" s="118">
        <f t="shared" si="2"/>
        <v>120000</v>
      </c>
      <c r="I48" s="117"/>
      <c r="J48" s="191">
        <f>IFERROR(IF(H48+I48="","-",ROUND((H48+I48)/(IFERROR(IF(AVERAGEIF(TableBOM[Item ID],A48,TableBOM[Per 1000 Units])&gt;0,AVERAGEIF(TableBOM[Item ID],A48,TableBOM[Per 1000 Units]),AVERAGEIF(TableBOM[Material Category],B48,TableBOM[Per 1000 Units])),AVERAGEIF(TableBOM[Material Category],B48,TableBOM[Per 1000 Units]))/1000),0)),"-")</f>
        <v>120000</v>
      </c>
      <c r="K48" s="130"/>
      <c r="L48" s="119"/>
      <c r="M48" s="119"/>
      <c r="N48" s="119"/>
      <c r="O48" s="119"/>
      <c r="P48" s="119"/>
    </row>
    <row r="49" spans="1:16" ht="15" customHeight="1" x14ac:dyDescent="0.25">
      <c r="A49" s="115">
        <v>1285</v>
      </c>
      <c r="B49" s="115" t="s">
        <v>329</v>
      </c>
      <c r="C49" s="116" t="s">
        <v>90</v>
      </c>
      <c r="D49" s="115" t="s">
        <v>73</v>
      </c>
      <c r="E49" s="117">
        <v>208000</v>
      </c>
      <c r="F49" s="117">
        <v>0</v>
      </c>
      <c r="G49" s="117">
        <v>0</v>
      </c>
      <c r="H49" s="118">
        <f t="shared" si="2"/>
        <v>208000</v>
      </c>
      <c r="I49" s="117"/>
      <c r="J49" s="191">
        <f>IFERROR(IF(H49+I49="","-",ROUND((H49+I49)/(IFERROR(IF(AVERAGEIF(TableBOM[Item ID],A49,TableBOM[Per 1000 Units])&gt;0,AVERAGEIF(TableBOM[Item ID],A49,TableBOM[Per 1000 Units]),AVERAGEIF(TableBOM[Material Category],B49,TableBOM[Per 1000 Units])),AVERAGEIF(TableBOM[Material Category],B49,TableBOM[Per 1000 Units]))/1000),0)),"-")</f>
        <v>208000</v>
      </c>
      <c r="K49" s="131"/>
      <c r="L49" s="120"/>
      <c r="M49" s="120"/>
      <c r="N49" s="120"/>
      <c r="O49" s="120"/>
      <c r="P49" s="120"/>
    </row>
    <row r="50" spans="1:16" ht="15" customHeight="1" x14ac:dyDescent="0.25">
      <c r="A50" s="115">
        <v>3522</v>
      </c>
      <c r="B50" s="115" t="s">
        <v>329</v>
      </c>
      <c r="C50" s="116" t="s">
        <v>91</v>
      </c>
      <c r="D50" s="115" t="s">
        <v>73</v>
      </c>
      <c r="E50" s="117">
        <v>75000</v>
      </c>
      <c r="F50" s="117">
        <v>0</v>
      </c>
      <c r="G50" s="117">
        <v>0</v>
      </c>
      <c r="H50" s="118">
        <f t="shared" si="2"/>
        <v>75000</v>
      </c>
      <c r="I50" s="117">
        <v>0</v>
      </c>
      <c r="J50" s="191">
        <f>IFERROR(IF(H50+I50="","-",ROUND((H50+I50)/(IFERROR(IF(AVERAGEIF(TableBOM[Item ID],A50,TableBOM[Per 1000 Units])&gt;0,AVERAGEIF(TableBOM[Item ID],A50,TableBOM[Per 1000 Units]),AVERAGEIF(TableBOM[Material Category],B50,TableBOM[Per 1000 Units])),AVERAGEIF(TableBOM[Material Category],B50,TableBOM[Per 1000 Units]))/1000),0)),"-")</f>
        <v>75000</v>
      </c>
      <c r="K50" s="131"/>
      <c r="L50" s="120"/>
      <c r="M50" s="120"/>
      <c r="N50" s="120"/>
      <c r="O50" s="120"/>
      <c r="P50" s="120"/>
    </row>
    <row r="51" spans="1:16" ht="15" hidden="1" customHeight="1" x14ac:dyDescent="0.25">
      <c r="A51" s="178">
        <v>3866</v>
      </c>
      <c r="B51" s="178" t="s">
        <v>329</v>
      </c>
      <c r="C51" s="179" t="s">
        <v>92</v>
      </c>
      <c r="D51" s="178" t="s">
        <v>73</v>
      </c>
      <c r="E51" s="180">
        <v>0</v>
      </c>
      <c r="F51" s="180">
        <v>0</v>
      </c>
      <c r="G51" s="180">
        <v>0</v>
      </c>
      <c r="H51" s="181">
        <f t="shared" si="2"/>
        <v>0</v>
      </c>
      <c r="I51" s="180"/>
      <c r="J51" s="190">
        <f>IFERROR(IF(H51+I51="","-",ROUND((H51+I51)/(IFERROR(IF(AVERAGEIF(TableBOM[Item ID],A51,TableBOM[Per 1000 Units])&gt;0,AVERAGEIF(TableBOM[Item ID],A51,TableBOM[Per 1000 Units]),AVERAGEIF(TableBOM[Material Category],B51,TableBOM[Per 1000 Units])),AVERAGEIF(TableBOM[Material Category],B51,TableBOM[Per 1000 Units]))/1000),0)),"-")</f>
        <v>0</v>
      </c>
      <c r="K51" s="184" t="s">
        <v>325</v>
      </c>
      <c r="L51" s="120"/>
      <c r="M51" s="120"/>
      <c r="N51" s="120"/>
      <c r="O51" s="120"/>
      <c r="P51" s="120"/>
    </row>
    <row r="52" spans="1:16" ht="15" customHeight="1" x14ac:dyDescent="0.25">
      <c r="A52" s="121">
        <v>578</v>
      </c>
      <c r="B52" s="121" t="s">
        <v>329</v>
      </c>
      <c r="C52" s="122" t="s">
        <v>93</v>
      </c>
      <c r="D52" s="121" t="s">
        <v>73</v>
      </c>
      <c r="E52" s="123">
        <v>5000</v>
      </c>
      <c r="F52" s="123">
        <v>30000</v>
      </c>
      <c r="G52" s="123">
        <v>5000</v>
      </c>
      <c r="H52" s="124">
        <f t="shared" si="2"/>
        <v>30000</v>
      </c>
      <c r="I52" s="123"/>
      <c r="J52" s="192">
        <f>IFERROR(IF(H52+I52="","-",ROUND((H52+I52)/(IFERROR(IF(AVERAGEIF(TableBOM[Item ID],A52,TableBOM[Per 1000 Units])&gt;0,AVERAGEIF(TableBOM[Item ID],A52,TableBOM[Per 1000 Units]),AVERAGEIF(TableBOM[Material Category],B52,TableBOM[Per 1000 Units])),AVERAGEIF(TableBOM[Material Category],B52,TableBOM[Per 1000 Units]))/1000),0)),"-")</f>
        <v>30000</v>
      </c>
      <c r="K52" s="130"/>
      <c r="L52" s="119"/>
      <c r="M52" s="119"/>
      <c r="N52" s="119"/>
      <c r="O52" s="119"/>
      <c r="P52" s="119"/>
    </row>
    <row r="53" spans="1:16" ht="15" hidden="1" customHeight="1" x14ac:dyDescent="0.25">
      <c r="A53" s="178">
        <v>36</v>
      </c>
      <c r="B53" s="178" t="s">
        <v>149</v>
      </c>
      <c r="C53" s="179" t="s">
        <v>97</v>
      </c>
      <c r="D53" s="178" t="s">
        <v>73</v>
      </c>
      <c r="E53" s="180">
        <v>0</v>
      </c>
      <c r="F53" s="180">
        <v>0</v>
      </c>
      <c r="G53" s="180">
        <v>0</v>
      </c>
      <c r="H53" s="181">
        <f t="shared" si="2"/>
        <v>0</v>
      </c>
      <c r="I53" s="180"/>
      <c r="J53" s="190">
        <f>IFERROR(IF(H53+I53="","-",ROUND((H53+I53)/(IFERROR(IF(AVERAGEIF(TableBOM[Item ID],A53,TableBOM[Per 1000 Units])&gt;0,AVERAGEIF(TableBOM[Item ID],A53,TableBOM[Per 1000 Units]),AVERAGEIF(TableBOM[Material Category],B53,TableBOM[Per 1000 Units])),AVERAGEIF(TableBOM[Material Category],B53,TableBOM[Per 1000 Units]))/1000),0)),"-")</f>
        <v>0</v>
      </c>
      <c r="K53" s="183" t="s">
        <v>325</v>
      </c>
      <c r="L53" s="119"/>
      <c r="M53" s="119"/>
      <c r="N53" s="119"/>
      <c r="O53" s="119"/>
      <c r="P53" s="119"/>
    </row>
    <row r="54" spans="1:16" ht="15" hidden="1" customHeight="1" x14ac:dyDescent="0.25">
      <c r="A54" s="178">
        <v>200</v>
      </c>
      <c r="B54" s="178" t="s">
        <v>149</v>
      </c>
      <c r="C54" s="179" t="s">
        <v>98</v>
      </c>
      <c r="D54" s="178" t="s">
        <v>73</v>
      </c>
      <c r="E54" s="180">
        <v>0</v>
      </c>
      <c r="F54" s="180">
        <v>0</v>
      </c>
      <c r="G54" s="180">
        <v>0</v>
      </c>
      <c r="H54" s="181">
        <f t="shared" si="2"/>
        <v>0</v>
      </c>
      <c r="I54" s="180"/>
      <c r="J54" s="190">
        <f>IFERROR(IF(H54+I54="","-",ROUND((H54+I54)/(IFERROR(IF(AVERAGEIF(TableBOM[Item ID],A54,TableBOM[Per 1000 Units])&gt;0,AVERAGEIF(TableBOM[Item ID],A54,TableBOM[Per 1000 Units]),AVERAGEIF(TableBOM[Material Category],B54,TableBOM[Per 1000 Units])),AVERAGEIF(TableBOM[Material Category],B54,TableBOM[Per 1000 Units]))/1000),0)),"-")</f>
        <v>0</v>
      </c>
      <c r="K54" s="183" t="s">
        <v>325</v>
      </c>
      <c r="L54" s="119"/>
      <c r="M54" s="119"/>
      <c r="N54" s="119"/>
      <c r="O54" s="119"/>
      <c r="P54" s="119"/>
    </row>
    <row r="55" spans="1:16" ht="15" hidden="1" customHeight="1" x14ac:dyDescent="0.25">
      <c r="A55" s="178">
        <v>39</v>
      </c>
      <c r="B55" s="178" t="s">
        <v>149</v>
      </c>
      <c r="C55" s="179" t="s">
        <v>99</v>
      </c>
      <c r="D55" s="178" t="s">
        <v>73</v>
      </c>
      <c r="E55" s="180">
        <v>0</v>
      </c>
      <c r="F55" s="180">
        <v>0</v>
      </c>
      <c r="G55" s="180">
        <v>0</v>
      </c>
      <c r="H55" s="181">
        <f t="shared" si="2"/>
        <v>0</v>
      </c>
      <c r="I55" s="180"/>
      <c r="J55" s="190">
        <f>IFERROR(IF(H55+I55="","-",ROUND((H55+I55)/(IFERROR(IF(AVERAGEIF(TableBOM[Item ID],A55,TableBOM[Per 1000 Units])&gt;0,AVERAGEIF(TableBOM[Item ID],A55,TableBOM[Per 1000 Units]),AVERAGEIF(TableBOM[Material Category],B55,TableBOM[Per 1000 Units])),AVERAGEIF(TableBOM[Material Category],B55,TableBOM[Per 1000 Units]))/1000),0)),"-")</f>
        <v>0</v>
      </c>
      <c r="K55" s="184" t="s">
        <v>325</v>
      </c>
      <c r="L55" s="120"/>
      <c r="M55" s="120"/>
      <c r="N55" s="120"/>
      <c r="O55" s="120"/>
      <c r="P55" s="120"/>
    </row>
    <row r="56" spans="1:16" ht="15" customHeight="1" x14ac:dyDescent="0.25">
      <c r="A56" s="115">
        <v>3619</v>
      </c>
      <c r="B56" s="115" t="s">
        <v>149</v>
      </c>
      <c r="C56" s="116" t="s">
        <v>100</v>
      </c>
      <c r="D56" s="115" t="s">
        <v>73</v>
      </c>
      <c r="E56" s="117">
        <v>280</v>
      </c>
      <c r="F56" s="117">
        <v>0</v>
      </c>
      <c r="G56" s="117">
        <v>0</v>
      </c>
      <c r="H56" s="118">
        <f t="shared" si="2"/>
        <v>280</v>
      </c>
      <c r="I56" s="117"/>
      <c r="J56" s="191">
        <f>IFERROR(IF(H56+I56="","-",ROUND((H56+I56)/(IFERROR(IF(AVERAGEIF(TableBOM[Item ID],A56,TableBOM[Per 1000 Units])&gt;0,AVERAGEIF(TableBOM[Item ID],A56,TableBOM[Per 1000 Units]),AVERAGEIF(TableBOM[Material Category],B56,TableBOM[Per 1000 Units])),AVERAGEIF(TableBOM[Material Category],B56,TableBOM[Per 1000 Units]))/1000),0)),"-")</f>
        <v>140955</v>
      </c>
      <c r="K56" s="130"/>
      <c r="L56" s="119"/>
      <c r="M56" s="119"/>
      <c r="N56" s="119"/>
      <c r="O56" s="119"/>
      <c r="P56" s="119"/>
    </row>
    <row r="57" spans="1:16" ht="15" customHeight="1" x14ac:dyDescent="0.25">
      <c r="A57" s="115">
        <v>3598</v>
      </c>
      <c r="B57" s="115" t="s">
        <v>149</v>
      </c>
      <c r="C57" s="116" t="s">
        <v>101</v>
      </c>
      <c r="D57" s="115" t="s">
        <v>73</v>
      </c>
      <c r="E57" s="117">
        <v>1096</v>
      </c>
      <c r="F57" s="117">
        <v>0</v>
      </c>
      <c r="G57" s="117">
        <v>593</v>
      </c>
      <c r="H57" s="118">
        <f t="shared" si="2"/>
        <v>503</v>
      </c>
      <c r="I57" s="117"/>
      <c r="J57" s="191">
        <f>IFERROR(IF(H57+I57="","-",ROUND((H57+I57)/(IFERROR(IF(AVERAGEIF(TableBOM[Item ID],A57,TableBOM[Per 1000 Units])&gt;0,AVERAGEIF(TableBOM[Item ID],A57,TableBOM[Per 1000 Units]),AVERAGEIF(TableBOM[Material Category],B57,TableBOM[Per 1000 Units])),AVERAGEIF(TableBOM[Material Category],B57,TableBOM[Per 1000 Units]))/1000),0)),"-")</f>
        <v>150008</v>
      </c>
      <c r="K57" s="130"/>
      <c r="L57" s="119"/>
      <c r="M57" s="119"/>
      <c r="N57" s="119"/>
      <c r="O57" s="119"/>
      <c r="P57" s="119"/>
    </row>
    <row r="58" spans="1:16" ht="15" customHeight="1" x14ac:dyDescent="0.25">
      <c r="A58" s="115">
        <v>45</v>
      </c>
      <c r="B58" s="115" t="s">
        <v>149</v>
      </c>
      <c r="C58" s="116" t="s">
        <v>102</v>
      </c>
      <c r="D58" s="115" t="s">
        <v>73</v>
      </c>
      <c r="E58" s="117">
        <v>460</v>
      </c>
      <c r="F58" s="117">
        <v>0</v>
      </c>
      <c r="G58" s="117">
        <v>460</v>
      </c>
      <c r="H58" s="118">
        <f t="shared" si="2"/>
        <v>0</v>
      </c>
      <c r="I58" s="117"/>
      <c r="J58" s="191">
        <f>IFERROR(IF(H58+I58="","-",ROUND((H58+I58)/(IFERROR(IF(AVERAGEIF(TableBOM[Item ID],A58,TableBOM[Per 1000 Units])&gt;0,AVERAGEIF(TableBOM[Item ID],A58,TableBOM[Per 1000 Units]),AVERAGEIF(TableBOM[Material Category],B58,TableBOM[Per 1000 Units])),AVERAGEIF(TableBOM[Material Category],B58,TableBOM[Per 1000 Units]))/1000),0)),"-")</f>
        <v>0</v>
      </c>
      <c r="K58" s="130"/>
      <c r="L58" s="119"/>
      <c r="M58" s="119"/>
      <c r="N58" s="119"/>
      <c r="O58" s="119"/>
      <c r="P58" s="119"/>
    </row>
    <row r="59" spans="1:16" ht="15" customHeight="1" x14ac:dyDescent="0.25">
      <c r="A59" s="115">
        <v>3988</v>
      </c>
      <c r="B59" s="115" t="s">
        <v>149</v>
      </c>
      <c r="C59" s="116" t="s">
        <v>103</v>
      </c>
      <c r="D59" s="115" t="s">
        <v>73</v>
      </c>
      <c r="E59" s="117">
        <v>349</v>
      </c>
      <c r="F59" s="117">
        <v>0</v>
      </c>
      <c r="G59" s="117">
        <v>0</v>
      </c>
      <c r="H59" s="118">
        <f t="shared" si="2"/>
        <v>349</v>
      </c>
      <c r="I59" s="117"/>
      <c r="J59" s="191">
        <f>IFERROR(IF(H59+I59="","-",ROUND((H59+I59)/(IFERROR(IF(AVERAGEIF(TableBOM[Item ID],A59,TableBOM[Per 1000 Units])&gt;0,AVERAGEIF(TableBOM[Item ID],A59,TableBOM[Per 1000 Units]),AVERAGEIF(TableBOM[Material Category],B59,TableBOM[Per 1000 Units])),AVERAGEIF(TableBOM[Material Category],B59,TableBOM[Per 1000 Units]))/1000),0)),"-")</f>
        <v>60229</v>
      </c>
      <c r="K59" s="131"/>
      <c r="L59" s="120"/>
      <c r="M59" s="120"/>
      <c r="N59" s="120"/>
      <c r="O59" s="120"/>
      <c r="P59" s="120"/>
    </row>
    <row r="60" spans="1:16" ht="15" customHeight="1" x14ac:dyDescent="0.25">
      <c r="A60" s="115">
        <v>5977</v>
      </c>
      <c r="B60" s="115" t="s">
        <v>149</v>
      </c>
      <c r="C60" s="116" t="s">
        <v>104</v>
      </c>
      <c r="D60" s="115" t="s">
        <v>73</v>
      </c>
      <c r="E60" s="117">
        <v>227</v>
      </c>
      <c r="F60" s="117">
        <v>0</v>
      </c>
      <c r="G60" s="117">
        <v>59</v>
      </c>
      <c r="H60" s="118">
        <f t="shared" si="2"/>
        <v>168</v>
      </c>
      <c r="I60" s="117"/>
      <c r="J60" s="191">
        <f>IFERROR(IF(H60+I60="","-",ROUND((H60+I60)/(IFERROR(IF(AVERAGEIF(TableBOM[Item ID],A60,TableBOM[Per 1000 Units])&gt;0,AVERAGEIF(TableBOM[Item ID],A60,TableBOM[Per 1000 Units]),AVERAGEIF(TableBOM[Material Category],B60,TableBOM[Per 1000 Units])),AVERAGEIF(TableBOM[Material Category],B60,TableBOM[Per 1000 Units]))/1000),0)),"-")</f>
        <v>136964</v>
      </c>
      <c r="K60" s="131"/>
      <c r="L60" s="120"/>
      <c r="M60" s="120"/>
      <c r="N60" s="120"/>
      <c r="O60" s="120"/>
      <c r="P60" s="120"/>
    </row>
    <row r="61" spans="1:16" ht="15" customHeight="1" x14ac:dyDescent="0.25">
      <c r="A61" s="115">
        <v>3635</v>
      </c>
      <c r="B61" s="115" t="s">
        <v>284</v>
      </c>
      <c r="C61" s="116" t="s">
        <v>109</v>
      </c>
      <c r="D61" s="115" t="s">
        <v>73</v>
      </c>
      <c r="E61" s="117">
        <v>381</v>
      </c>
      <c r="F61" s="117">
        <v>0</v>
      </c>
      <c r="G61" s="117">
        <v>45</v>
      </c>
      <c r="H61" s="118">
        <f t="shared" si="2"/>
        <v>336</v>
      </c>
      <c r="I61" s="117"/>
      <c r="J61" s="191">
        <f>IFERROR(IF(H61+I61="","-",ROUND((H61+I61)/(IFERROR(IF(AVERAGEIF(TableBOM[Item ID],A61,TableBOM[Per 1000 Units])&gt;0,AVERAGEIF(TableBOM[Item ID],A61,TableBOM[Per 1000 Units]),AVERAGEIF(TableBOM[Material Category],B61,TableBOM[Per 1000 Units])),AVERAGEIF(TableBOM[Material Category],B61,TableBOM[Per 1000 Units]))/1000),0)),"-")</f>
        <v>983967</v>
      </c>
      <c r="K61" s="131"/>
      <c r="L61" s="120"/>
      <c r="M61" s="120"/>
      <c r="N61" s="120"/>
      <c r="O61" s="120"/>
      <c r="P61" s="120"/>
    </row>
    <row r="62" spans="1:16" ht="15" customHeight="1" x14ac:dyDescent="0.25">
      <c r="A62" s="115">
        <v>190</v>
      </c>
      <c r="B62" s="115" t="s">
        <v>276</v>
      </c>
      <c r="C62" s="116" t="s">
        <v>111</v>
      </c>
      <c r="D62" s="115" t="s">
        <v>53</v>
      </c>
      <c r="E62" s="117">
        <v>200</v>
      </c>
      <c r="F62" s="117">
        <v>0</v>
      </c>
      <c r="G62" s="117">
        <v>50</v>
      </c>
      <c r="H62" s="118">
        <f t="shared" si="2"/>
        <v>150</v>
      </c>
      <c r="I62" s="117"/>
      <c r="J62" s="191">
        <f>IFERROR(IF(H62+I62="","-",ROUND((H62+I62)/(IFERROR(IF(AVERAGEIF(TableBOM[Item ID],A62,TableBOM[Per 1000 Units])&gt;0,AVERAGEIF(TableBOM[Item ID],A62,TableBOM[Per 1000 Units]),AVERAGEIF(TableBOM[Material Category],B62,TableBOM[Per 1000 Units])),AVERAGEIF(TableBOM[Material Category],B62,TableBOM[Per 1000 Units]))/1000),0)),"-")</f>
        <v>2500000</v>
      </c>
      <c r="K62" s="131"/>
      <c r="L62" s="120"/>
      <c r="M62" s="120"/>
      <c r="N62" s="120"/>
      <c r="O62" s="120"/>
      <c r="P62" s="120"/>
    </row>
    <row r="63" spans="1:16" ht="15" customHeight="1" x14ac:dyDescent="0.25">
      <c r="A63" s="115">
        <v>191</v>
      </c>
      <c r="B63" s="115" t="s">
        <v>276</v>
      </c>
      <c r="C63" s="116" t="s">
        <v>330</v>
      </c>
      <c r="D63" s="115" t="s">
        <v>53</v>
      </c>
      <c r="E63" s="117">
        <v>75</v>
      </c>
      <c r="F63" s="117">
        <v>0</v>
      </c>
      <c r="G63" s="117">
        <v>35</v>
      </c>
      <c r="H63" s="118">
        <f t="shared" si="2"/>
        <v>40</v>
      </c>
      <c r="I63" s="117">
        <v>0</v>
      </c>
      <c r="J63" s="191">
        <f>IFERROR(IF(H63+I63="","-",ROUND((H63+I63)/(IFERROR(IF(AVERAGEIF(TableBOM[Item ID],A63,TableBOM[Per 1000 Units])&gt;0,AVERAGEIF(TableBOM[Item ID],A63,TableBOM[Per 1000 Units]),AVERAGEIF(TableBOM[Material Category],B63,TableBOM[Per 1000 Units])),AVERAGEIF(TableBOM[Material Category],B63,TableBOM[Per 1000 Units]))/1000),0)),"-")</f>
        <v>666667</v>
      </c>
      <c r="K63" s="130"/>
      <c r="L63" s="119"/>
      <c r="M63" s="119"/>
      <c r="N63" s="119"/>
      <c r="O63" s="119"/>
      <c r="P63" s="119"/>
    </row>
    <row r="64" spans="1:16" ht="15" customHeight="1" x14ac:dyDescent="0.25">
      <c r="A64" s="115">
        <v>104</v>
      </c>
      <c r="B64" s="115" t="s">
        <v>287</v>
      </c>
      <c r="C64" s="116" t="s">
        <v>331</v>
      </c>
      <c r="D64" s="115" t="s">
        <v>36</v>
      </c>
      <c r="E64" s="117">
        <v>2</v>
      </c>
      <c r="F64" s="117">
        <v>0</v>
      </c>
      <c r="G64" s="117">
        <v>0</v>
      </c>
      <c r="H64" s="118">
        <f t="shared" si="2"/>
        <v>2</v>
      </c>
      <c r="I64" s="117"/>
      <c r="J64" s="191">
        <f>IFERROR(IF(H64+I64="","-",ROUND((H64+I64)/(IFERROR(IF(AVERAGEIF(TableBOM[Item ID],A64,TableBOM[Per 1000 Units])&gt;0,AVERAGEIF(TableBOM[Item ID],A64,TableBOM[Per 1000 Units]),AVERAGEIF(TableBOM[Material Category],B64,TableBOM[Per 1000 Units])),AVERAGEIF(TableBOM[Material Category],B64,TableBOM[Per 1000 Units]))/1000),0)),"-")</f>
        <v>22422</v>
      </c>
      <c r="K64" s="131"/>
      <c r="L64" s="120"/>
      <c r="M64" s="120"/>
      <c r="N64" s="120"/>
      <c r="O64" s="120"/>
      <c r="P64" s="120"/>
    </row>
    <row r="65" spans="1:16" ht="15" customHeight="1" x14ac:dyDescent="0.25">
      <c r="A65" s="115">
        <v>105</v>
      </c>
      <c r="B65" s="115" t="s">
        <v>287</v>
      </c>
      <c r="C65" s="116" t="s">
        <v>332</v>
      </c>
      <c r="D65" s="115" t="s">
        <v>36</v>
      </c>
      <c r="E65" s="117">
        <v>1</v>
      </c>
      <c r="F65" s="117">
        <v>0</v>
      </c>
      <c r="G65" s="117">
        <v>0</v>
      </c>
      <c r="H65" s="118">
        <f t="shared" si="2"/>
        <v>1</v>
      </c>
      <c r="I65" s="117"/>
      <c r="J65" s="191">
        <f>IFERROR(IF(H65+I65="","-",ROUND((H65+I65)/(IFERROR(IF(AVERAGEIF(TableBOM[Item ID],A65,TableBOM[Per 1000 Units])&gt;0,AVERAGEIF(TableBOM[Item ID],A65,TableBOM[Per 1000 Units]),AVERAGEIF(TableBOM[Material Category],B65,TableBOM[Per 1000 Units])),AVERAGEIF(TableBOM[Material Category],B65,TableBOM[Per 1000 Units]))/1000),0)),"-")</f>
        <v>11211</v>
      </c>
      <c r="K65" s="131"/>
      <c r="L65" s="120"/>
      <c r="M65" s="120"/>
      <c r="N65" s="120"/>
      <c r="O65" s="120"/>
      <c r="P65" s="120"/>
    </row>
    <row r="66" spans="1:16" ht="15" customHeight="1" x14ac:dyDescent="0.25">
      <c r="A66" s="115">
        <v>110</v>
      </c>
      <c r="B66" s="115" t="s">
        <v>287</v>
      </c>
      <c r="C66" s="116" t="s">
        <v>333</v>
      </c>
      <c r="D66" s="115" t="s">
        <v>36</v>
      </c>
      <c r="E66" s="117">
        <v>2</v>
      </c>
      <c r="F66" s="117">
        <v>0</v>
      </c>
      <c r="G66" s="117">
        <v>0</v>
      </c>
      <c r="H66" s="118">
        <f t="shared" si="2"/>
        <v>2</v>
      </c>
      <c r="I66" s="117"/>
      <c r="J66" s="191">
        <f>IFERROR(IF(H66+I66="","-",ROUND((H66+I66)/(IFERROR(IF(AVERAGEIF(TableBOM[Item ID],A66,TableBOM[Per 1000 Units])&gt;0,AVERAGEIF(TableBOM[Item ID],A66,TableBOM[Per 1000 Units]),AVERAGEIF(TableBOM[Material Category],B66,TableBOM[Per 1000 Units])),AVERAGEIF(TableBOM[Material Category],B66,TableBOM[Per 1000 Units]))/1000),0)),"-")</f>
        <v>22422</v>
      </c>
      <c r="K66" s="130"/>
      <c r="L66" s="119"/>
      <c r="M66" s="119"/>
      <c r="N66" s="119"/>
      <c r="O66" s="119"/>
      <c r="P66" s="119"/>
    </row>
    <row r="67" spans="1:16" ht="15" customHeight="1" x14ac:dyDescent="0.25">
      <c r="A67" s="178">
        <v>124</v>
      </c>
      <c r="B67" s="178" t="s">
        <v>287</v>
      </c>
      <c r="C67" s="179" t="s">
        <v>334</v>
      </c>
      <c r="D67" s="178" t="s">
        <v>36</v>
      </c>
      <c r="E67" s="180">
        <v>0</v>
      </c>
      <c r="F67" s="180">
        <v>0</v>
      </c>
      <c r="G67" s="180">
        <v>0</v>
      </c>
      <c r="H67" s="181">
        <f t="shared" si="2"/>
        <v>0</v>
      </c>
      <c r="I67" s="180"/>
      <c r="J67" s="190">
        <f>IFERROR(IF(H67+I67="","-",ROUND((H67+I67)/(IFERROR(IF(AVERAGEIF(TableBOM[Item ID],A67,TableBOM[Per 1000 Units])&gt;0,AVERAGEIF(TableBOM[Item ID],A67,TableBOM[Per 1000 Units]),AVERAGEIF(TableBOM[Material Category],B67,TableBOM[Per 1000 Units])),AVERAGEIF(TableBOM[Material Category],B67,TableBOM[Per 1000 Units]))/1000),0)),"-")</f>
        <v>0</v>
      </c>
      <c r="K67" s="184" t="s">
        <v>325</v>
      </c>
      <c r="L67" s="120"/>
      <c r="M67" s="120"/>
      <c r="N67" s="120"/>
      <c r="O67" s="120"/>
      <c r="P67" s="120"/>
    </row>
    <row r="68" spans="1:16" ht="15" customHeight="1" x14ac:dyDescent="0.25">
      <c r="A68" s="115">
        <v>127</v>
      </c>
      <c r="B68" s="115" t="s">
        <v>287</v>
      </c>
      <c r="C68" s="116" t="s">
        <v>335</v>
      </c>
      <c r="D68" s="115" t="s">
        <v>36</v>
      </c>
      <c r="E68" s="117">
        <v>2</v>
      </c>
      <c r="F68" s="117">
        <v>0</v>
      </c>
      <c r="G68" s="117">
        <v>0</v>
      </c>
      <c r="H68" s="118">
        <f t="shared" si="2"/>
        <v>2</v>
      </c>
      <c r="I68" s="117"/>
      <c r="J68" s="191">
        <f>IFERROR(IF(H68+I68="","-",ROUND((H68+I68)/(IFERROR(IF(AVERAGEIF(TableBOM[Item ID],A68,TableBOM[Per 1000 Units])&gt;0,AVERAGEIF(TableBOM[Item ID],A68,TableBOM[Per 1000 Units]),AVERAGEIF(TableBOM[Material Category],B68,TableBOM[Per 1000 Units])),AVERAGEIF(TableBOM[Material Category],B68,TableBOM[Per 1000 Units]))/1000),0)),"-")</f>
        <v>22422</v>
      </c>
      <c r="K68" s="131"/>
      <c r="L68" s="120"/>
      <c r="M68" s="120"/>
      <c r="N68" s="120"/>
      <c r="O68" s="120"/>
      <c r="P68" s="120"/>
    </row>
    <row r="69" spans="1:16" ht="15" customHeight="1" x14ac:dyDescent="0.25">
      <c r="A69" s="115">
        <v>129</v>
      </c>
      <c r="B69" s="115" t="s">
        <v>287</v>
      </c>
      <c r="C69" s="116" t="s">
        <v>336</v>
      </c>
      <c r="D69" s="115" t="s">
        <v>36</v>
      </c>
      <c r="E69" s="117">
        <v>2</v>
      </c>
      <c r="F69" s="117">
        <v>0</v>
      </c>
      <c r="G69" s="117">
        <v>0</v>
      </c>
      <c r="H69" s="118">
        <f t="shared" si="2"/>
        <v>2</v>
      </c>
      <c r="I69" s="117"/>
      <c r="J69" s="191">
        <f>IFERROR(IF(H69+I69="","-",ROUND((H69+I69)/(IFERROR(IF(AVERAGEIF(TableBOM[Item ID],A69,TableBOM[Per 1000 Units])&gt;0,AVERAGEIF(TableBOM[Item ID],A69,TableBOM[Per 1000 Units]),AVERAGEIF(TableBOM[Material Category],B69,TableBOM[Per 1000 Units])),AVERAGEIF(TableBOM[Material Category],B69,TableBOM[Per 1000 Units]))/1000),0)),"-")</f>
        <v>22422</v>
      </c>
      <c r="K69" s="131"/>
      <c r="L69" s="120"/>
      <c r="M69" s="120"/>
      <c r="N69" s="120"/>
      <c r="O69" s="120"/>
      <c r="P69" s="120"/>
    </row>
    <row r="70" spans="1:16" ht="15" customHeight="1" x14ac:dyDescent="0.25">
      <c r="A70" s="115">
        <v>130</v>
      </c>
      <c r="B70" s="115" t="s">
        <v>287</v>
      </c>
      <c r="C70" s="116" t="s">
        <v>337</v>
      </c>
      <c r="D70" s="115" t="s">
        <v>36</v>
      </c>
      <c r="E70" s="117">
        <v>1</v>
      </c>
      <c r="F70" s="117">
        <v>0</v>
      </c>
      <c r="G70" s="117">
        <v>0</v>
      </c>
      <c r="H70" s="118">
        <f t="shared" si="2"/>
        <v>1</v>
      </c>
      <c r="I70" s="117"/>
      <c r="J70" s="191">
        <f>IFERROR(IF(H70+I70="","-",ROUND((H70+I70)/(IFERROR(IF(AVERAGEIF(TableBOM[Item ID],A70,TableBOM[Per 1000 Units])&gt;0,AVERAGEIF(TableBOM[Item ID],A70,TableBOM[Per 1000 Units]),AVERAGEIF(TableBOM[Material Category],B70,TableBOM[Per 1000 Units])),AVERAGEIF(TableBOM[Material Category],B70,TableBOM[Per 1000 Units]))/1000),0)),"-")</f>
        <v>11211</v>
      </c>
      <c r="K70" s="130"/>
      <c r="L70" s="119"/>
      <c r="M70" s="119"/>
      <c r="N70" s="119"/>
      <c r="O70" s="119"/>
      <c r="P70" s="119"/>
    </row>
    <row r="71" spans="1:16" ht="15" customHeight="1" x14ac:dyDescent="0.25">
      <c r="A71" s="178">
        <v>1928</v>
      </c>
      <c r="B71" s="178" t="s">
        <v>287</v>
      </c>
      <c r="C71" s="179" t="s">
        <v>338</v>
      </c>
      <c r="D71" s="178" t="s">
        <v>36</v>
      </c>
      <c r="E71" s="180">
        <v>0</v>
      </c>
      <c r="F71" s="180">
        <v>0</v>
      </c>
      <c r="G71" s="180">
        <v>0</v>
      </c>
      <c r="H71" s="181">
        <f t="shared" si="2"/>
        <v>0</v>
      </c>
      <c r="I71" s="180"/>
      <c r="J71" s="190">
        <f>IFERROR(IF(H71+I71="","-",ROUND((H71+I71)/(IFERROR(IF(AVERAGEIF(TableBOM[Item ID],A71,TableBOM[Per 1000 Units])&gt;0,AVERAGEIF(TableBOM[Item ID],A71,TableBOM[Per 1000 Units]),AVERAGEIF(TableBOM[Material Category],B71,TableBOM[Per 1000 Units])),AVERAGEIF(TableBOM[Material Category],B71,TableBOM[Per 1000 Units]))/1000),0)),"-")</f>
        <v>0</v>
      </c>
      <c r="K71" s="184" t="s">
        <v>325</v>
      </c>
      <c r="L71" s="120"/>
      <c r="M71" s="120"/>
      <c r="N71" s="120"/>
      <c r="O71" s="120"/>
      <c r="P71" s="120"/>
    </row>
    <row r="72" spans="1:16" ht="15" customHeight="1" x14ac:dyDescent="0.25">
      <c r="A72" s="178">
        <v>2284</v>
      </c>
      <c r="B72" s="178" t="s">
        <v>287</v>
      </c>
      <c r="C72" s="179" t="s">
        <v>339</v>
      </c>
      <c r="D72" s="178" t="s">
        <v>36</v>
      </c>
      <c r="E72" s="180">
        <v>0</v>
      </c>
      <c r="F72" s="180">
        <v>0</v>
      </c>
      <c r="G72" s="180">
        <v>0</v>
      </c>
      <c r="H72" s="181">
        <f t="shared" si="2"/>
        <v>0</v>
      </c>
      <c r="I72" s="180"/>
      <c r="J72" s="190">
        <f>IFERROR(IF(H72+I72="","-",ROUND((H72+I72)/(IFERROR(IF(AVERAGEIF(TableBOM[Item ID],A72,TableBOM[Per 1000 Units])&gt;0,AVERAGEIF(TableBOM[Item ID],A72,TableBOM[Per 1000 Units]),AVERAGEIF(TableBOM[Material Category],B72,TableBOM[Per 1000 Units])),AVERAGEIF(TableBOM[Material Category],B72,TableBOM[Per 1000 Units]))/1000),0)),"-")</f>
        <v>0</v>
      </c>
      <c r="K72" s="183" t="s">
        <v>325</v>
      </c>
      <c r="L72" s="119"/>
      <c r="M72" s="119"/>
      <c r="N72" s="119"/>
      <c r="O72" s="119"/>
      <c r="P72" s="119"/>
    </row>
    <row r="73" spans="1:16" ht="15" customHeight="1" x14ac:dyDescent="0.25">
      <c r="A73" s="178">
        <v>3642</v>
      </c>
      <c r="B73" s="178" t="s">
        <v>287</v>
      </c>
      <c r="C73" s="179" t="s">
        <v>340</v>
      </c>
      <c r="D73" s="178" t="s">
        <v>36</v>
      </c>
      <c r="E73" s="180">
        <v>0</v>
      </c>
      <c r="F73" s="180">
        <v>0</v>
      </c>
      <c r="G73" s="180">
        <v>0</v>
      </c>
      <c r="H73" s="181">
        <f t="shared" si="2"/>
        <v>0</v>
      </c>
      <c r="I73" s="180"/>
      <c r="J73" s="190">
        <f>IFERROR(IF(H73+I73="","-",ROUND((H73+I73)/(IFERROR(IF(AVERAGEIF(TableBOM[Item ID],A73,TableBOM[Per 1000 Units])&gt;0,AVERAGEIF(TableBOM[Item ID],A73,TableBOM[Per 1000 Units]),AVERAGEIF(TableBOM[Material Category],B73,TableBOM[Per 1000 Units])),AVERAGEIF(TableBOM[Material Category],B73,TableBOM[Per 1000 Units]))/1000),0)),"-")</f>
        <v>0</v>
      </c>
      <c r="K73" s="184" t="s">
        <v>325</v>
      </c>
      <c r="L73" s="120"/>
      <c r="M73" s="120"/>
      <c r="N73" s="120"/>
      <c r="O73" s="120"/>
      <c r="P73" s="120"/>
    </row>
    <row r="74" spans="1:16" ht="15" customHeight="1" x14ac:dyDescent="0.25">
      <c r="A74" s="115">
        <v>3734</v>
      </c>
      <c r="B74" s="115" t="s">
        <v>287</v>
      </c>
      <c r="C74" s="116" t="s">
        <v>341</v>
      </c>
      <c r="D74" s="115" t="s">
        <v>36</v>
      </c>
      <c r="E74" s="117">
        <v>1</v>
      </c>
      <c r="F74" s="117">
        <v>0</v>
      </c>
      <c r="G74" s="117">
        <v>0</v>
      </c>
      <c r="H74" s="118">
        <f t="shared" si="2"/>
        <v>1</v>
      </c>
      <c r="I74" s="117"/>
      <c r="J74" s="191">
        <f>IFERROR(IF(H74+I74="","-",ROUND((H74+I74)/(IFERROR(IF(AVERAGEIF(TableBOM[Item ID],A74,TableBOM[Per 1000 Units])&gt;0,AVERAGEIF(TableBOM[Item ID],A74,TableBOM[Per 1000 Units]),AVERAGEIF(TableBOM[Material Category],B74,TableBOM[Per 1000 Units])),AVERAGEIF(TableBOM[Material Category],B74,TableBOM[Per 1000 Units]))/1000),0)),"-")</f>
        <v>11211</v>
      </c>
      <c r="K74" s="131"/>
      <c r="L74" s="120"/>
      <c r="M74" s="120"/>
      <c r="N74" s="120"/>
      <c r="O74" s="120"/>
      <c r="P74" s="120"/>
    </row>
    <row r="75" spans="1:16" ht="15" customHeight="1" x14ac:dyDescent="0.25">
      <c r="A75" s="115">
        <v>3736</v>
      </c>
      <c r="B75" s="115" t="s">
        <v>287</v>
      </c>
      <c r="C75" s="116" t="s">
        <v>342</v>
      </c>
      <c r="D75" s="115" t="s">
        <v>36</v>
      </c>
      <c r="E75" s="117">
        <v>2.4</v>
      </c>
      <c r="F75" s="117">
        <v>0</v>
      </c>
      <c r="G75" s="117">
        <v>0</v>
      </c>
      <c r="H75" s="118">
        <f t="shared" si="2"/>
        <v>2.4</v>
      </c>
      <c r="I75" s="117"/>
      <c r="J75" s="191">
        <f>IFERROR(IF(H75+I75="","-",ROUND((H75+I75)/(IFERROR(IF(AVERAGEIF(TableBOM[Item ID],A75,TableBOM[Per 1000 Units])&gt;0,AVERAGEIF(TableBOM[Item ID],A75,TableBOM[Per 1000 Units]),AVERAGEIF(TableBOM[Material Category],B75,TableBOM[Per 1000 Units])),AVERAGEIF(TableBOM[Material Category],B75,TableBOM[Per 1000 Units]))/1000),0)),"-")</f>
        <v>26906</v>
      </c>
      <c r="K75" s="130"/>
      <c r="L75" s="119"/>
      <c r="M75" s="119"/>
      <c r="N75" s="119"/>
      <c r="O75" s="119"/>
      <c r="P75" s="119"/>
    </row>
    <row r="76" spans="1:16" ht="15" customHeight="1" x14ac:dyDescent="0.25">
      <c r="A76" s="115">
        <v>3754</v>
      </c>
      <c r="B76" s="115" t="s">
        <v>287</v>
      </c>
      <c r="C76" s="116" t="s">
        <v>290</v>
      </c>
      <c r="D76" s="115" t="s">
        <v>36</v>
      </c>
      <c r="E76" s="117">
        <v>3</v>
      </c>
      <c r="F76" s="117">
        <v>0</v>
      </c>
      <c r="G76" s="117">
        <v>1</v>
      </c>
      <c r="H76" s="118">
        <f t="shared" si="2"/>
        <v>2</v>
      </c>
      <c r="I76" s="117"/>
      <c r="J76" s="191">
        <f>IFERROR(IF(H76+I76="","-",ROUND((H76+I76)/(IFERROR(IF(AVERAGEIF(TableBOM[Item ID],A76,TableBOM[Per 1000 Units])&gt;0,AVERAGEIF(TableBOM[Item ID],A76,TableBOM[Per 1000 Units]),AVERAGEIF(TableBOM[Material Category],B76,TableBOM[Per 1000 Units])),AVERAGEIF(TableBOM[Material Category],B76,TableBOM[Per 1000 Units]))/1000),0)),"-")</f>
        <v>80000</v>
      </c>
      <c r="K76" s="130"/>
      <c r="L76" s="119"/>
      <c r="M76" s="119"/>
      <c r="N76" s="119"/>
      <c r="O76" s="119"/>
      <c r="P76" s="119"/>
    </row>
    <row r="77" spans="1:16" ht="15" customHeight="1" x14ac:dyDescent="0.25">
      <c r="A77" s="178">
        <v>3755</v>
      </c>
      <c r="B77" s="178" t="s">
        <v>287</v>
      </c>
      <c r="C77" s="179" t="s">
        <v>343</v>
      </c>
      <c r="D77" s="178" t="s">
        <v>36</v>
      </c>
      <c r="E77" s="180">
        <v>0</v>
      </c>
      <c r="F77" s="180">
        <v>0</v>
      </c>
      <c r="G77" s="180">
        <v>0</v>
      </c>
      <c r="H77" s="181">
        <f t="shared" si="2"/>
        <v>0</v>
      </c>
      <c r="I77" s="180"/>
      <c r="J77" s="190">
        <f>IFERROR(IF(H77+I77="","-",ROUND((H77+I77)/(IFERROR(IF(AVERAGEIF(TableBOM[Item ID],A77,TableBOM[Per 1000 Units])&gt;0,AVERAGEIF(TableBOM[Item ID],A77,TableBOM[Per 1000 Units]),AVERAGEIF(TableBOM[Material Category],B77,TableBOM[Per 1000 Units])),AVERAGEIF(TableBOM[Material Category],B77,TableBOM[Per 1000 Units]))/1000),0)),"-")</f>
        <v>0</v>
      </c>
      <c r="K77" s="183" t="s">
        <v>325</v>
      </c>
      <c r="L77" s="119"/>
      <c r="M77" s="119"/>
      <c r="N77" s="119"/>
      <c r="O77" s="119"/>
      <c r="P77" s="119"/>
    </row>
    <row r="78" spans="1:16" ht="15" customHeight="1" x14ac:dyDescent="0.25">
      <c r="A78" s="115">
        <v>3800</v>
      </c>
      <c r="B78" s="115" t="s">
        <v>287</v>
      </c>
      <c r="C78" s="116" t="s">
        <v>344</v>
      </c>
      <c r="D78" s="115" t="s">
        <v>36</v>
      </c>
      <c r="E78" s="117">
        <v>1</v>
      </c>
      <c r="F78" s="117">
        <v>0</v>
      </c>
      <c r="G78" s="117">
        <v>0</v>
      </c>
      <c r="H78" s="118">
        <f t="shared" ref="H78:H109" si="3">E78+F78-G78</f>
        <v>1</v>
      </c>
      <c r="I78" s="117"/>
      <c r="J78" s="191">
        <f>IFERROR(IF(H78+I78="","-",ROUND((H78+I78)/(IFERROR(IF(AVERAGEIF(TableBOM[Item ID],A78,TableBOM[Per 1000 Units])&gt;0,AVERAGEIF(TableBOM[Item ID],A78,TableBOM[Per 1000 Units]),AVERAGEIF(TableBOM[Material Category],B78,TableBOM[Per 1000 Units])),AVERAGEIF(TableBOM[Material Category],B78,TableBOM[Per 1000 Units]))/1000),0)),"-")</f>
        <v>11211</v>
      </c>
      <c r="K78" s="131"/>
      <c r="L78" s="120"/>
      <c r="M78" s="120"/>
      <c r="N78" s="120"/>
      <c r="O78" s="120"/>
      <c r="P78" s="120"/>
    </row>
    <row r="79" spans="1:16" ht="15" customHeight="1" x14ac:dyDescent="0.25">
      <c r="A79" s="178">
        <v>3857</v>
      </c>
      <c r="B79" s="178" t="s">
        <v>287</v>
      </c>
      <c r="C79" s="179" t="s">
        <v>286</v>
      </c>
      <c r="D79" s="178" t="s">
        <v>36</v>
      </c>
      <c r="E79" s="180">
        <v>0</v>
      </c>
      <c r="F79" s="180">
        <v>0</v>
      </c>
      <c r="G79" s="180">
        <v>0</v>
      </c>
      <c r="H79" s="181">
        <f t="shared" si="3"/>
        <v>0</v>
      </c>
      <c r="I79" s="180"/>
      <c r="J79" s="190">
        <f>IFERROR(IF(H79+I79="","-",ROUND((H79+I79)/(IFERROR(IF(AVERAGEIF(TableBOM[Item ID],A79,TableBOM[Per 1000 Units])&gt;0,AVERAGEIF(TableBOM[Item ID],A79,TableBOM[Per 1000 Units]),AVERAGEIF(TableBOM[Material Category],B79,TableBOM[Per 1000 Units])),AVERAGEIF(TableBOM[Material Category],B79,TableBOM[Per 1000 Units]))/1000),0)),"-")</f>
        <v>0</v>
      </c>
      <c r="K79" s="185" t="s">
        <v>325</v>
      </c>
    </row>
    <row r="80" spans="1:16" ht="15" customHeight="1" x14ac:dyDescent="0.25">
      <c r="A80" s="178">
        <v>3858</v>
      </c>
      <c r="B80" s="178" t="s">
        <v>287</v>
      </c>
      <c r="C80" s="179" t="s">
        <v>345</v>
      </c>
      <c r="D80" s="178" t="s">
        <v>36</v>
      </c>
      <c r="E80" s="180">
        <v>0</v>
      </c>
      <c r="F80" s="180">
        <v>0</v>
      </c>
      <c r="G80" s="180">
        <v>0</v>
      </c>
      <c r="H80" s="181">
        <f t="shared" si="3"/>
        <v>0</v>
      </c>
      <c r="I80" s="180"/>
      <c r="J80" s="190">
        <f>IFERROR(IF(H80+I80="","-",ROUND((H80+I80)/(IFERROR(IF(AVERAGEIF(TableBOM[Item ID],A80,TableBOM[Per 1000 Units])&gt;0,AVERAGEIF(TableBOM[Item ID],A80,TableBOM[Per 1000 Units]),AVERAGEIF(TableBOM[Material Category],B80,TableBOM[Per 1000 Units])),AVERAGEIF(TableBOM[Material Category],B80,TableBOM[Per 1000 Units]))/1000),0)),"-")</f>
        <v>0</v>
      </c>
      <c r="K80" s="185" t="s">
        <v>325</v>
      </c>
    </row>
    <row r="81" spans="1:11" ht="15" customHeight="1" x14ac:dyDescent="0.25">
      <c r="A81" s="115">
        <v>3955</v>
      </c>
      <c r="B81" s="115" t="s">
        <v>287</v>
      </c>
      <c r="C81" s="116" t="s">
        <v>291</v>
      </c>
      <c r="D81" s="115" t="s">
        <v>36</v>
      </c>
      <c r="E81" s="117">
        <v>1</v>
      </c>
      <c r="F81" s="117">
        <v>0</v>
      </c>
      <c r="G81" s="117">
        <v>0</v>
      </c>
      <c r="H81" s="118">
        <f t="shared" si="3"/>
        <v>1</v>
      </c>
      <c r="I81" s="117"/>
      <c r="J81" s="191">
        <f>IFERROR(IF(H81+I81="","-",ROUND((H81+I81)/(IFERROR(IF(AVERAGEIF(TableBOM[Item ID],A81,TableBOM[Per 1000 Units])&gt;0,AVERAGEIF(TableBOM[Item ID],A81,TableBOM[Per 1000 Units]),AVERAGEIF(TableBOM[Material Category],B81,TableBOM[Per 1000 Units])),AVERAGEIF(TableBOM[Material Category],B81,TableBOM[Per 1000 Units]))/1000),0)),"-")</f>
        <v>40000</v>
      </c>
    </row>
    <row r="82" spans="1:11" ht="15" customHeight="1" x14ac:dyDescent="0.25">
      <c r="A82" s="115">
        <v>3968</v>
      </c>
      <c r="B82" s="115" t="s">
        <v>287</v>
      </c>
      <c r="C82" s="116" t="s">
        <v>346</v>
      </c>
      <c r="D82" s="115" t="s">
        <v>36</v>
      </c>
      <c r="E82" s="117">
        <v>3</v>
      </c>
      <c r="F82" s="117">
        <v>0</v>
      </c>
      <c r="G82" s="117">
        <v>0</v>
      </c>
      <c r="H82" s="118">
        <f t="shared" si="3"/>
        <v>3</v>
      </c>
      <c r="I82" s="117"/>
      <c r="J82" s="191">
        <f>IFERROR(IF(H82+I82="","-",ROUND((H82+I82)/(IFERROR(IF(AVERAGEIF(TableBOM[Item ID],A82,TableBOM[Per 1000 Units])&gt;0,AVERAGEIF(TableBOM[Item ID],A82,TableBOM[Per 1000 Units]),AVERAGEIF(TableBOM[Material Category],B82,TableBOM[Per 1000 Units])),AVERAGEIF(TableBOM[Material Category],B82,TableBOM[Per 1000 Units]))/1000),0)),"-")</f>
        <v>33632</v>
      </c>
    </row>
    <row r="83" spans="1:11" ht="15" customHeight="1" x14ac:dyDescent="0.25">
      <c r="A83" s="115">
        <v>4216</v>
      </c>
      <c r="B83" s="115" t="s">
        <v>287</v>
      </c>
      <c r="C83" s="116" t="s">
        <v>347</v>
      </c>
      <c r="D83" s="115" t="s">
        <v>36</v>
      </c>
      <c r="E83" s="117">
        <v>1</v>
      </c>
      <c r="F83" s="117">
        <v>0</v>
      </c>
      <c r="G83" s="117">
        <v>0</v>
      </c>
      <c r="H83" s="118">
        <f t="shared" si="3"/>
        <v>1</v>
      </c>
      <c r="I83" s="117"/>
      <c r="J83" s="191">
        <f>IFERROR(IF(H83+I83="","-",ROUND((H83+I83)/(IFERROR(IF(AVERAGEIF(TableBOM[Item ID],A83,TableBOM[Per 1000 Units])&gt;0,AVERAGEIF(TableBOM[Item ID],A83,TableBOM[Per 1000 Units]),AVERAGEIF(TableBOM[Material Category],B83,TableBOM[Per 1000 Units])),AVERAGEIF(TableBOM[Material Category],B83,TableBOM[Per 1000 Units]))/1000),0)),"-")</f>
        <v>11211</v>
      </c>
    </row>
    <row r="84" spans="1:11" ht="15" customHeight="1" x14ac:dyDescent="0.25">
      <c r="A84" s="115">
        <v>4306</v>
      </c>
      <c r="B84" s="115" t="s">
        <v>287</v>
      </c>
      <c r="C84" s="116" t="s">
        <v>348</v>
      </c>
      <c r="D84" s="115" t="s">
        <v>36</v>
      </c>
      <c r="E84" s="117">
        <v>3</v>
      </c>
      <c r="F84" s="117">
        <v>0</v>
      </c>
      <c r="G84" s="117">
        <v>0</v>
      </c>
      <c r="H84" s="118">
        <f t="shared" si="3"/>
        <v>3</v>
      </c>
      <c r="I84" s="117"/>
      <c r="J84" s="191">
        <f>IFERROR(IF(H84+I84="","-",ROUND((H84+I84)/(IFERROR(IF(AVERAGEIF(TableBOM[Item ID],A84,TableBOM[Per 1000 Units])&gt;0,AVERAGEIF(TableBOM[Item ID],A84,TableBOM[Per 1000 Units]),AVERAGEIF(TableBOM[Material Category],B84,TableBOM[Per 1000 Units])),AVERAGEIF(TableBOM[Material Category],B84,TableBOM[Per 1000 Units]))/1000),0)),"-")</f>
        <v>33632</v>
      </c>
    </row>
    <row r="85" spans="1:11" ht="15" customHeight="1" x14ac:dyDescent="0.25">
      <c r="A85" s="115">
        <v>5107</v>
      </c>
      <c r="B85" s="115" t="s">
        <v>287</v>
      </c>
      <c r="C85" s="116" t="s">
        <v>349</v>
      </c>
      <c r="D85" s="115" t="s">
        <v>36</v>
      </c>
      <c r="E85" s="117">
        <v>1</v>
      </c>
      <c r="F85" s="117">
        <v>0</v>
      </c>
      <c r="G85" s="117">
        <v>1</v>
      </c>
      <c r="H85" s="118">
        <f t="shared" si="3"/>
        <v>0</v>
      </c>
      <c r="I85" s="117"/>
      <c r="J85" s="191">
        <f>IFERROR(IF(H85+I85="","-",ROUND((H85+I85)/(IFERROR(IF(AVERAGEIF(TableBOM[Item ID],A85,TableBOM[Per 1000 Units])&gt;0,AVERAGEIF(TableBOM[Item ID],A85,TableBOM[Per 1000 Units]),AVERAGEIF(TableBOM[Material Category],B85,TableBOM[Per 1000 Units])),AVERAGEIF(TableBOM[Material Category],B85,TableBOM[Per 1000 Units]))/1000),0)),"-")</f>
        <v>0</v>
      </c>
    </row>
    <row r="86" spans="1:11" ht="15" customHeight="1" x14ac:dyDescent="0.25">
      <c r="A86" s="178">
        <v>6038</v>
      </c>
      <c r="B86" s="178" t="s">
        <v>287</v>
      </c>
      <c r="C86" s="179" t="s">
        <v>350</v>
      </c>
      <c r="D86" s="178" t="s">
        <v>36</v>
      </c>
      <c r="E86" s="180">
        <v>0</v>
      </c>
      <c r="F86" s="180">
        <v>0</v>
      </c>
      <c r="G86" s="180">
        <v>0</v>
      </c>
      <c r="H86" s="181">
        <f t="shared" si="3"/>
        <v>0</v>
      </c>
      <c r="I86" s="180"/>
      <c r="J86" s="190">
        <f>IFERROR(IF(H86+I86="","-",ROUND((H86+I86)/(IFERROR(IF(AVERAGEIF(TableBOM[Item ID],A86,TableBOM[Per 1000 Units])&gt;0,AVERAGEIF(TableBOM[Item ID],A86,TableBOM[Per 1000 Units]),AVERAGEIF(TableBOM[Material Category],B86,TableBOM[Per 1000 Units])),AVERAGEIF(TableBOM[Material Category],B86,TableBOM[Per 1000 Units]))/1000),0)),"-")</f>
        <v>0</v>
      </c>
      <c r="K86" s="182" t="s">
        <v>325</v>
      </c>
    </row>
    <row r="87" spans="1:11" ht="15" customHeight="1" x14ac:dyDescent="0.25">
      <c r="A87" s="115">
        <v>6040</v>
      </c>
      <c r="B87" s="115" t="s">
        <v>287</v>
      </c>
      <c r="C87" s="116" t="s">
        <v>351</v>
      </c>
      <c r="D87" s="115" t="s">
        <v>36</v>
      </c>
      <c r="E87" s="117">
        <v>1</v>
      </c>
      <c r="F87" s="117">
        <v>0</v>
      </c>
      <c r="G87" s="117">
        <v>0</v>
      </c>
      <c r="H87" s="118">
        <f t="shared" si="3"/>
        <v>1</v>
      </c>
      <c r="I87" s="117"/>
      <c r="J87" s="191">
        <f>IFERROR(IF(H87+I87="","-",ROUND((H87+I87)/(IFERROR(IF(AVERAGEIF(TableBOM[Item ID],A87,TableBOM[Per 1000 Units])&gt;0,AVERAGEIF(TableBOM[Item ID],A87,TableBOM[Per 1000 Units]),AVERAGEIF(TableBOM[Material Category],B87,TableBOM[Per 1000 Units])),AVERAGEIF(TableBOM[Material Category],B87,TableBOM[Per 1000 Units]))/1000),0)),"-")</f>
        <v>11211</v>
      </c>
    </row>
    <row r="88" spans="1:11" ht="15" customHeight="1" x14ac:dyDescent="0.25">
      <c r="A88" s="178">
        <v>6935</v>
      </c>
      <c r="B88" s="178" t="s">
        <v>287</v>
      </c>
      <c r="C88" s="179" t="s">
        <v>292</v>
      </c>
      <c r="D88" s="178" t="s">
        <v>36</v>
      </c>
      <c r="E88" s="180">
        <v>0</v>
      </c>
      <c r="F88" s="180">
        <v>0</v>
      </c>
      <c r="G88" s="180">
        <v>0</v>
      </c>
      <c r="H88" s="181">
        <f t="shared" si="3"/>
        <v>0</v>
      </c>
      <c r="I88" s="180"/>
      <c r="J88" s="190">
        <f>IFERROR(IF(H88+I88="","-",ROUND((H88+I88)/(IFERROR(IF(AVERAGEIF(TableBOM[Item ID],A88,TableBOM[Per 1000 Units])&gt;0,AVERAGEIF(TableBOM[Item ID],A88,TableBOM[Per 1000 Units]),AVERAGEIF(TableBOM[Material Category],B88,TableBOM[Per 1000 Units])),AVERAGEIF(TableBOM[Material Category],B88,TableBOM[Per 1000 Units]))/1000),0)),"-")</f>
        <v>0</v>
      </c>
      <c r="K88" s="182" t="s">
        <v>325</v>
      </c>
    </row>
    <row r="89" spans="1:11" ht="15" customHeight="1" x14ac:dyDescent="0.25">
      <c r="A89" s="178">
        <v>7094</v>
      </c>
      <c r="B89" s="178" t="s">
        <v>287</v>
      </c>
      <c r="C89" s="179" t="s">
        <v>352</v>
      </c>
      <c r="D89" s="178" t="s">
        <v>36</v>
      </c>
      <c r="E89" s="180">
        <v>0</v>
      </c>
      <c r="F89" s="180">
        <v>0</v>
      </c>
      <c r="G89" s="180">
        <v>0</v>
      </c>
      <c r="H89" s="181">
        <f t="shared" si="3"/>
        <v>0</v>
      </c>
      <c r="I89" s="180"/>
      <c r="J89" s="190">
        <f>IFERROR(IF(H89+I89="","-",ROUND((H89+I89)/(IFERROR(IF(AVERAGEIF(TableBOM[Item ID],A89,TableBOM[Per 1000 Units])&gt;0,AVERAGEIF(TableBOM[Item ID],A89,TableBOM[Per 1000 Units]),AVERAGEIF(TableBOM[Material Category],B89,TableBOM[Per 1000 Units])),AVERAGEIF(TableBOM[Material Category],B89,TableBOM[Per 1000 Units]))/1000),0)),"-")</f>
        <v>0</v>
      </c>
      <c r="K89" s="182" t="s">
        <v>325</v>
      </c>
    </row>
    <row r="90" spans="1:11" ht="15" customHeight="1" x14ac:dyDescent="0.25">
      <c r="A90" s="178">
        <v>7095</v>
      </c>
      <c r="B90" s="178" t="s">
        <v>287</v>
      </c>
      <c r="C90" s="179" t="s">
        <v>353</v>
      </c>
      <c r="D90" s="178" t="s">
        <v>36</v>
      </c>
      <c r="E90" s="180">
        <v>0</v>
      </c>
      <c r="F90" s="180">
        <v>0</v>
      </c>
      <c r="G90" s="180">
        <v>0</v>
      </c>
      <c r="H90" s="181">
        <f t="shared" si="3"/>
        <v>0</v>
      </c>
      <c r="I90" s="180"/>
      <c r="J90" s="190">
        <f>IFERROR(IF(H90+I90="","-",ROUND((H90+I90)/(IFERROR(IF(AVERAGEIF(TableBOM[Item ID],A90,TableBOM[Per 1000 Units])&gt;0,AVERAGEIF(TableBOM[Item ID],A90,TableBOM[Per 1000 Units]),AVERAGEIF(TableBOM[Material Category],B90,TableBOM[Per 1000 Units])),AVERAGEIF(TableBOM[Material Category],B90,TableBOM[Per 1000 Units]))/1000),0)),"-")</f>
        <v>0</v>
      </c>
      <c r="K90" s="182" t="s">
        <v>325</v>
      </c>
    </row>
    <row r="91" spans="1:11" ht="15" customHeight="1" x14ac:dyDescent="0.25">
      <c r="A91" s="178">
        <v>7152</v>
      </c>
      <c r="B91" s="178" t="s">
        <v>287</v>
      </c>
      <c r="C91" s="179" t="s">
        <v>354</v>
      </c>
      <c r="D91" s="178" t="s">
        <v>36</v>
      </c>
      <c r="E91" s="180">
        <v>0</v>
      </c>
      <c r="F91" s="180">
        <v>0</v>
      </c>
      <c r="G91" s="180">
        <v>0</v>
      </c>
      <c r="H91" s="181">
        <f t="shared" si="3"/>
        <v>0</v>
      </c>
      <c r="I91" s="180"/>
      <c r="J91" s="190">
        <f>IFERROR(IF(H91+I91="","-",ROUND((H91+I91)/(IFERROR(IF(AVERAGEIF(TableBOM[Item ID],A91,TableBOM[Per 1000 Units])&gt;0,AVERAGEIF(TableBOM[Item ID],A91,TableBOM[Per 1000 Units]),AVERAGEIF(TableBOM[Material Category],B91,TableBOM[Per 1000 Units])),AVERAGEIF(TableBOM[Material Category],B91,TableBOM[Per 1000 Units]))/1000),0)),"-")</f>
        <v>0</v>
      </c>
      <c r="K91" s="185" t="s">
        <v>325</v>
      </c>
    </row>
    <row r="92" spans="1:11" ht="15" customHeight="1" x14ac:dyDescent="0.25">
      <c r="A92" s="25">
        <v>7398</v>
      </c>
      <c r="B92" s="25" t="s">
        <v>287</v>
      </c>
      <c r="C92" s="26" t="s">
        <v>355</v>
      </c>
      <c r="D92" s="25" t="s">
        <v>36</v>
      </c>
      <c r="E92" s="27">
        <v>1</v>
      </c>
      <c r="F92" s="27">
        <v>0</v>
      </c>
      <c r="G92" s="27">
        <v>0</v>
      </c>
      <c r="H92" s="28">
        <f t="shared" si="3"/>
        <v>1</v>
      </c>
      <c r="I92" s="27"/>
      <c r="J92" s="189">
        <f>IFERROR(IF(H92+I92="","-",ROUND((H92+I92)/(IFERROR(IF(AVERAGEIF(TableBOM[Item ID],A92,TableBOM[Per 1000 Units])&gt;0,AVERAGEIF(TableBOM[Item ID],A92,TableBOM[Per 1000 Units]),AVERAGEIF(TableBOM[Material Category],B92,TableBOM[Per 1000 Units])),AVERAGEIF(TableBOM[Material Category],B92,TableBOM[Per 1000 Units]))/1000),0)),"-")</f>
        <v>11211</v>
      </c>
    </row>
    <row r="93" spans="1:11" ht="15" customHeight="1" x14ac:dyDescent="0.25"/>
    <row r="94" spans="1:11" ht="18.75" customHeight="1" x14ac:dyDescent="0.35">
      <c r="A94" s="48" t="s">
        <v>356</v>
      </c>
      <c r="B94" s="49"/>
      <c r="C94" s="49"/>
      <c r="D94" s="49"/>
      <c r="E94" s="49"/>
      <c r="F94" s="49"/>
      <c r="G94" s="49"/>
      <c r="H94" s="49"/>
      <c r="I94" s="49"/>
      <c r="J94" s="195">
        <f ca="1">TODAY()</f>
        <v>46277</v>
      </c>
    </row>
    <row r="95" spans="1:11" ht="36" customHeight="1" x14ac:dyDescent="0.25">
      <c r="A95" s="12" t="s">
        <v>25</v>
      </c>
      <c r="B95" s="12" t="s">
        <v>26</v>
      </c>
      <c r="C95" s="12" t="s">
        <v>313</v>
      </c>
      <c r="D95" s="12" t="s">
        <v>28</v>
      </c>
      <c r="E95" s="12" t="s">
        <v>314</v>
      </c>
      <c r="F95" s="12" t="s">
        <v>315</v>
      </c>
      <c r="G95" s="12" t="s">
        <v>316</v>
      </c>
      <c r="H95" s="12" t="s">
        <v>317</v>
      </c>
      <c r="I95" s="12" t="s">
        <v>322</v>
      </c>
      <c r="J95" s="127" t="s">
        <v>323</v>
      </c>
    </row>
    <row r="96" spans="1:11" ht="15" customHeight="1" x14ac:dyDescent="0.25">
      <c r="A96" s="25">
        <v>2680</v>
      </c>
      <c r="B96" s="25" t="s">
        <v>299</v>
      </c>
      <c r="C96" s="26" t="s">
        <v>114</v>
      </c>
      <c r="D96" s="25" t="s">
        <v>36</v>
      </c>
      <c r="E96" s="27">
        <v>1775</v>
      </c>
      <c r="F96" s="27">
        <v>2300</v>
      </c>
      <c r="G96" s="27">
        <v>3215</v>
      </c>
      <c r="H96" s="28">
        <f t="shared" ref="H96:H111" si="4">E96+F96-G96</f>
        <v>860</v>
      </c>
      <c r="I96" s="27">
        <v>0</v>
      </c>
      <c r="J96" s="189">
        <f>IFERROR(IF(H96+I96="","-",ROUND((H96+I96)/(IFERROR(IF(AVERAGEIF(TableBOM[Item ID],A96,TableBOM[Per 1000 Units])&gt;0,AVERAGEIF(TableBOM[Item ID],A96,TableBOM[Per 1000 Units]),AVERAGEIF(TableBOM[Material Category],B96,TableBOM[Per 1000 Units])),AVERAGEIF(TableBOM[Material Category],B96,TableBOM[Per 1000 Units]))/1000),0)),"-")</f>
        <v>37175</v>
      </c>
    </row>
    <row r="97" spans="1:11" ht="15" customHeight="1" x14ac:dyDescent="0.25">
      <c r="A97" s="25">
        <v>3492</v>
      </c>
      <c r="B97" s="25" t="s">
        <v>305</v>
      </c>
      <c r="C97" s="26" t="s">
        <v>116</v>
      </c>
      <c r="D97" s="25" t="s">
        <v>36</v>
      </c>
      <c r="E97" s="27">
        <v>75</v>
      </c>
      <c r="F97" s="27">
        <v>0</v>
      </c>
      <c r="G97" s="27">
        <v>0</v>
      </c>
      <c r="H97" s="28">
        <f t="shared" si="4"/>
        <v>75</v>
      </c>
      <c r="I97" s="27">
        <v>0</v>
      </c>
      <c r="J97" s="189">
        <f>IFERROR(IF(H97+I97="","-",ROUND((H97+I97)/(IFERROR(IF(AVERAGEIF(TableBOM[Item ID],A97,TableBOM[Per 1000 Units])&gt;0,AVERAGEIF(TableBOM[Item ID],A97,TableBOM[Per 1000 Units]),AVERAGEIF(TableBOM[Material Category],B97,TableBOM[Per 1000 Units])),AVERAGEIF(TableBOM[Material Category],B97,TableBOM[Per 1000 Units]))/1000),0)),"-")</f>
        <v>77519</v>
      </c>
    </row>
    <row r="98" spans="1:11" ht="15" customHeight="1" x14ac:dyDescent="0.25">
      <c r="A98" s="25">
        <v>4002</v>
      </c>
      <c r="B98" s="25" t="s">
        <v>305</v>
      </c>
      <c r="C98" s="26" t="s">
        <v>117</v>
      </c>
      <c r="D98" s="25" t="s">
        <v>36</v>
      </c>
      <c r="E98" s="27">
        <v>50</v>
      </c>
      <c r="F98" s="27">
        <v>0</v>
      </c>
      <c r="G98" s="27">
        <v>25</v>
      </c>
      <c r="H98" s="28">
        <f t="shared" si="4"/>
        <v>25</v>
      </c>
      <c r="I98" s="27">
        <v>0</v>
      </c>
      <c r="J98" s="189">
        <f>IFERROR(IF(H98+I98="","-",ROUND((H98+I98)/(IFERROR(IF(AVERAGEIF(TableBOM[Item ID],A98,TableBOM[Per 1000 Units])&gt;0,AVERAGEIF(TableBOM[Item ID],A98,TableBOM[Per 1000 Units]),AVERAGEIF(TableBOM[Material Category],B98,TableBOM[Per 1000 Units])),AVERAGEIF(TableBOM[Material Category],B98,TableBOM[Per 1000 Units]))/1000),0)),"-")</f>
        <v>23256</v>
      </c>
    </row>
    <row r="99" spans="1:11" s="132" customFormat="1" ht="15" hidden="1" customHeight="1" x14ac:dyDescent="0.25">
      <c r="A99" s="178">
        <v>4070</v>
      </c>
      <c r="B99" s="178" t="s">
        <v>305</v>
      </c>
      <c r="C99" s="179" t="s">
        <v>357</v>
      </c>
      <c r="D99" s="178" t="s">
        <v>36</v>
      </c>
      <c r="E99" s="180">
        <v>0</v>
      </c>
      <c r="F99" s="180">
        <v>0</v>
      </c>
      <c r="G99" s="180">
        <v>0</v>
      </c>
      <c r="H99" s="181">
        <f t="shared" si="4"/>
        <v>0</v>
      </c>
      <c r="I99" s="180">
        <v>0</v>
      </c>
      <c r="J99" s="190">
        <f>IFERROR(IF(H99+I99="","-",ROUND((H99+I99)/(IFERROR(IF(AVERAGEIF(TableBOM[Item ID],A99,TableBOM[Per 1000 Units])&gt;0,AVERAGEIF(TableBOM[Item ID],A99,TableBOM[Per 1000 Units]),AVERAGEIF(TableBOM[Material Category],B99,TableBOM[Per 1000 Units])),AVERAGEIF(TableBOM[Material Category],B99,TableBOM[Per 1000 Units]))/1000),0)),"-")</f>
        <v>0</v>
      </c>
      <c r="K99" s="182" t="s">
        <v>325</v>
      </c>
    </row>
    <row r="100" spans="1:11" ht="15" customHeight="1" x14ac:dyDescent="0.25">
      <c r="A100" s="25">
        <v>4310</v>
      </c>
      <c r="B100" s="25" t="s">
        <v>305</v>
      </c>
      <c r="C100" s="26" t="s">
        <v>118</v>
      </c>
      <c r="D100" s="25" t="s">
        <v>36</v>
      </c>
      <c r="E100" s="27">
        <v>36.229999999999997</v>
      </c>
      <c r="F100" s="27">
        <v>0</v>
      </c>
      <c r="G100" s="27">
        <v>0</v>
      </c>
      <c r="H100" s="28">
        <f t="shared" si="4"/>
        <v>36.229999999999997</v>
      </c>
      <c r="I100" s="27">
        <v>0</v>
      </c>
      <c r="J100" s="189">
        <f>IFERROR(IF(H100+I100="","-",ROUND((H100+I100)/(IFERROR(IF(AVERAGEIF(TableBOM[Item ID],A100,TableBOM[Per 1000 Units])&gt;0,AVERAGEIF(TableBOM[Item ID],A100,TableBOM[Per 1000 Units]),AVERAGEIF(TableBOM[Material Category],B100,TableBOM[Per 1000 Units])),AVERAGEIF(TableBOM[Material Category],B100,TableBOM[Per 1000 Units]))/1000),0)),"-")</f>
        <v>37447</v>
      </c>
    </row>
    <row r="101" spans="1:11" ht="15" customHeight="1" x14ac:dyDescent="0.25">
      <c r="A101" s="25">
        <v>5625</v>
      </c>
      <c r="B101" s="25" t="s">
        <v>305</v>
      </c>
      <c r="C101" s="26" t="s">
        <v>119</v>
      </c>
      <c r="D101" s="25" t="s">
        <v>36</v>
      </c>
      <c r="E101" s="27">
        <v>48.5</v>
      </c>
      <c r="F101" s="27">
        <v>0</v>
      </c>
      <c r="G101" s="27">
        <v>0</v>
      </c>
      <c r="H101" s="28">
        <f t="shared" si="4"/>
        <v>48.5</v>
      </c>
      <c r="I101" s="27">
        <v>0</v>
      </c>
      <c r="J101" s="189">
        <f>IFERROR(IF(H101+I101="","-",ROUND((H101+I101)/(IFERROR(IF(AVERAGEIF(TableBOM[Item ID],A101,TableBOM[Per 1000 Units])&gt;0,AVERAGEIF(TableBOM[Item ID],A101,TableBOM[Per 1000 Units]),AVERAGEIF(TableBOM[Material Category],B101,TableBOM[Per 1000 Units])),AVERAGEIF(TableBOM[Material Category],B101,TableBOM[Per 1000 Units]))/1000),0)),"-")</f>
        <v>50129</v>
      </c>
    </row>
    <row r="102" spans="1:11" s="132" customFormat="1" ht="15" hidden="1" customHeight="1" x14ac:dyDescent="0.25">
      <c r="A102" s="178">
        <v>5816</v>
      </c>
      <c r="B102" s="178" t="s">
        <v>305</v>
      </c>
      <c r="C102" s="179" t="s">
        <v>120</v>
      </c>
      <c r="D102" s="178" t="s">
        <v>36</v>
      </c>
      <c r="E102" s="180">
        <v>0</v>
      </c>
      <c r="F102" s="180">
        <v>0</v>
      </c>
      <c r="G102" s="180">
        <v>0</v>
      </c>
      <c r="H102" s="181">
        <f t="shared" si="4"/>
        <v>0</v>
      </c>
      <c r="I102" s="180">
        <v>0</v>
      </c>
      <c r="J102" s="190">
        <f>IFERROR(IF(H102+I102="","-",ROUND((H102+I102)/(IFERROR(IF(AVERAGEIF(TableBOM[Item ID],A102,TableBOM[Per 1000 Units])&gt;0,AVERAGEIF(TableBOM[Item ID],A102,TableBOM[Per 1000 Units]),AVERAGEIF(TableBOM[Material Category],B102,TableBOM[Per 1000 Units])),AVERAGEIF(TableBOM[Material Category],B102,TableBOM[Per 1000 Units]))/1000),0)),"-")</f>
        <v>0</v>
      </c>
      <c r="K102" s="182" t="s">
        <v>325</v>
      </c>
    </row>
    <row r="103" spans="1:11" ht="15" customHeight="1" x14ac:dyDescent="0.25">
      <c r="A103" s="25">
        <v>6135</v>
      </c>
      <c r="B103" s="25" t="s">
        <v>305</v>
      </c>
      <c r="C103" s="26" t="s">
        <v>121</v>
      </c>
      <c r="D103" s="25" t="s">
        <v>36</v>
      </c>
      <c r="E103" s="27">
        <v>200</v>
      </c>
      <c r="F103" s="27">
        <v>0</v>
      </c>
      <c r="G103" s="27">
        <v>0</v>
      </c>
      <c r="H103" s="28">
        <f t="shared" si="4"/>
        <v>200</v>
      </c>
      <c r="I103" s="27">
        <v>0</v>
      </c>
      <c r="J103" s="189">
        <f>IFERROR(IF(H103+I103="","-",ROUND((H103+I103)/(IFERROR(IF(AVERAGEIF(TableBOM[Item ID],A103,TableBOM[Per 1000 Units])&gt;0,AVERAGEIF(TableBOM[Item ID],A103,TableBOM[Per 1000 Units]),AVERAGEIF(TableBOM[Material Category],B103,TableBOM[Per 1000 Units])),AVERAGEIF(TableBOM[Material Category],B103,TableBOM[Per 1000 Units]))/1000),0)),"-")</f>
        <v>206718</v>
      </c>
    </row>
    <row r="104" spans="1:11" ht="15" customHeight="1" x14ac:dyDescent="0.25">
      <c r="A104" s="25">
        <v>7133</v>
      </c>
      <c r="B104" s="25" t="s">
        <v>305</v>
      </c>
      <c r="C104" s="26" t="s">
        <v>122</v>
      </c>
      <c r="D104" s="25" t="s">
        <v>36</v>
      </c>
      <c r="E104" s="27">
        <v>20</v>
      </c>
      <c r="F104" s="27">
        <v>0</v>
      </c>
      <c r="G104" s="27">
        <v>0</v>
      </c>
      <c r="H104" s="28">
        <f t="shared" si="4"/>
        <v>20</v>
      </c>
      <c r="I104" s="27">
        <v>0</v>
      </c>
      <c r="J104" s="189">
        <f>IFERROR(IF(H104+I104="","-",ROUND((H104+I104)/(IFERROR(IF(AVERAGEIF(TableBOM[Item ID],A104,TableBOM[Per 1000 Units])&gt;0,AVERAGEIF(TableBOM[Item ID],A104,TableBOM[Per 1000 Units]),AVERAGEIF(TableBOM[Material Category],B104,TableBOM[Per 1000 Units])),AVERAGEIF(TableBOM[Material Category],B104,TableBOM[Per 1000 Units]))/1000),0)),"-")</f>
        <v>20672</v>
      </c>
    </row>
    <row r="105" spans="1:11" ht="15" customHeight="1" x14ac:dyDescent="0.25">
      <c r="A105" s="25">
        <v>7412</v>
      </c>
      <c r="B105" s="25" t="s">
        <v>305</v>
      </c>
      <c r="C105" s="26" t="s">
        <v>123</v>
      </c>
      <c r="D105" s="25" t="s">
        <v>36</v>
      </c>
      <c r="E105" s="27">
        <v>25</v>
      </c>
      <c r="F105" s="27">
        <v>0</v>
      </c>
      <c r="G105" s="27">
        <v>0</v>
      </c>
      <c r="H105" s="28">
        <f t="shared" si="4"/>
        <v>25</v>
      </c>
      <c r="I105" s="27">
        <v>0</v>
      </c>
      <c r="J105" s="189">
        <f>IFERROR(IF(H105+I105="","-",ROUND((H105+I105)/(IFERROR(IF(AVERAGEIF(TableBOM[Item ID],A105,TableBOM[Per 1000 Units])&gt;0,AVERAGEIF(TableBOM[Item ID],A105,TableBOM[Per 1000 Units]),AVERAGEIF(TableBOM[Material Category],B105,TableBOM[Per 1000 Units])),AVERAGEIF(TableBOM[Material Category],B105,TableBOM[Per 1000 Units]))/1000),0)),"-")</f>
        <v>38760</v>
      </c>
    </row>
    <row r="106" spans="1:11" ht="15" customHeight="1" x14ac:dyDescent="0.25">
      <c r="A106" s="25">
        <v>2267</v>
      </c>
      <c r="B106" s="25" t="s">
        <v>150</v>
      </c>
      <c r="C106" s="26" t="s">
        <v>129</v>
      </c>
      <c r="D106" s="25" t="s">
        <v>73</v>
      </c>
      <c r="E106" s="27">
        <v>182</v>
      </c>
      <c r="F106" s="27">
        <v>0</v>
      </c>
      <c r="G106" s="27">
        <v>107</v>
      </c>
      <c r="H106" s="28">
        <f t="shared" si="4"/>
        <v>75</v>
      </c>
      <c r="I106" s="27"/>
      <c r="J106" s="189">
        <f>IFERROR(IF(H106+I106="","-",ROUND((H106+I106)/(IFERROR(IF(AVERAGEIF(TableBOM[Item ID],A106,TableBOM[Per 1000 Units])&gt;0,AVERAGEIF(TableBOM[Item ID],A106,TableBOM[Per 1000 Units]),AVERAGEIF(TableBOM[Material Category],B106,TableBOM[Per 1000 Units])),AVERAGEIF(TableBOM[Material Category],B106,TableBOM[Per 1000 Units]))/1000),0)),"-")</f>
        <v>8903</v>
      </c>
    </row>
    <row r="107" spans="1:11" ht="15" customHeight="1" x14ac:dyDescent="0.25">
      <c r="A107" s="25">
        <v>3006</v>
      </c>
      <c r="B107" s="25" t="s">
        <v>150</v>
      </c>
      <c r="C107" s="26" t="s">
        <v>151</v>
      </c>
      <c r="D107" s="25" t="s">
        <v>73</v>
      </c>
      <c r="E107" s="27">
        <v>207</v>
      </c>
      <c r="F107" s="27">
        <v>0</v>
      </c>
      <c r="G107" s="27">
        <v>0</v>
      </c>
      <c r="H107" s="28">
        <f t="shared" si="4"/>
        <v>207</v>
      </c>
      <c r="I107" s="27"/>
      <c r="J107" s="189">
        <f>IFERROR(IF(H107+I107="","-",ROUND((H107+I107)/(IFERROR(IF(AVERAGEIF(TableBOM[Item ID],A107,TableBOM[Per 1000 Units])&gt;0,AVERAGEIF(TableBOM[Item ID],A107,TableBOM[Per 1000 Units]),AVERAGEIF(TableBOM[Material Category],B107,TableBOM[Per 1000 Units])),AVERAGEIF(TableBOM[Material Category],B107,TableBOM[Per 1000 Units]))/1000),0)),"-")</f>
        <v>20866</v>
      </c>
    </row>
    <row r="108" spans="1:11" ht="15" customHeight="1" x14ac:dyDescent="0.25">
      <c r="A108" s="25">
        <v>3752</v>
      </c>
      <c r="B108" s="25" t="s">
        <v>308</v>
      </c>
      <c r="C108" s="26" t="s">
        <v>125</v>
      </c>
      <c r="D108" s="25" t="s">
        <v>36</v>
      </c>
      <c r="E108" s="27">
        <v>56</v>
      </c>
      <c r="F108" s="27">
        <v>0</v>
      </c>
      <c r="G108" s="27">
        <v>0</v>
      </c>
      <c r="H108" s="28">
        <f t="shared" si="4"/>
        <v>56</v>
      </c>
      <c r="I108" s="27"/>
      <c r="J108" s="189">
        <f>IFERROR(IF(H108+I108="","-",ROUND((H108+I108)/(IFERROR(IF(AVERAGEIF(TableBOM[Item ID],A108,TableBOM[Per 1000 Units])&gt;0,AVERAGEIF(TableBOM[Item ID],A108,TableBOM[Per 1000 Units]),AVERAGEIF(TableBOM[Material Category],B108,TableBOM[Per 1000 Units])),AVERAGEIF(TableBOM[Material Category],B108,TableBOM[Per 1000 Units]))/1000),0)),"-")</f>
        <v>2412</v>
      </c>
    </row>
    <row r="109" spans="1:11" ht="15" customHeight="1" x14ac:dyDescent="0.25">
      <c r="A109" s="25">
        <v>4248</v>
      </c>
      <c r="B109" s="25" t="s">
        <v>308</v>
      </c>
      <c r="C109" s="26" t="s">
        <v>126</v>
      </c>
      <c r="D109" s="25" t="s">
        <v>36</v>
      </c>
      <c r="E109" s="27">
        <v>250</v>
      </c>
      <c r="F109" s="27">
        <v>0</v>
      </c>
      <c r="G109" s="27">
        <v>0</v>
      </c>
      <c r="H109" s="28">
        <f t="shared" si="4"/>
        <v>250</v>
      </c>
      <c r="I109" s="27"/>
      <c r="J109" s="189">
        <f>IFERROR(IF(H109+I109="","-",ROUND((H109+I109)/(IFERROR(IF(AVERAGEIF(TableBOM[Item ID],A109,TableBOM[Per 1000 Units])&gt;0,AVERAGEIF(TableBOM[Item ID],A109,TableBOM[Per 1000 Units]),AVERAGEIF(TableBOM[Material Category],B109,TableBOM[Per 1000 Units])),AVERAGEIF(TableBOM[Material Category],B109,TableBOM[Per 1000 Units]))/1000),0)),"-")</f>
        <v>10769</v>
      </c>
    </row>
    <row r="110" spans="1:11" ht="15" customHeight="1" x14ac:dyDescent="0.25">
      <c r="A110" s="25">
        <v>6042</v>
      </c>
      <c r="B110" s="25" t="s">
        <v>308</v>
      </c>
      <c r="C110" s="26" t="s">
        <v>127</v>
      </c>
      <c r="D110" s="25" t="s">
        <v>36</v>
      </c>
      <c r="E110" s="27">
        <v>25</v>
      </c>
      <c r="F110" s="27">
        <v>0</v>
      </c>
      <c r="G110" s="27">
        <v>0</v>
      </c>
      <c r="H110" s="28">
        <f t="shared" si="4"/>
        <v>25</v>
      </c>
      <c r="I110" s="27"/>
      <c r="J110" s="189">
        <f>IFERROR(IF(H110+I110="","-",ROUND((H110+I110)/(IFERROR(IF(AVERAGEIF(TableBOM[Item ID],A110,TableBOM[Per 1000 Units])&gt;0,AVERAGEIF(TableBOM[Item ID],A110,TableBOM[Per 1000 Units]),AVERAGEIF(TableBOM[Material Category],B110,TableBOM[Per 1000 Units])),AVERAGEIF(TableBOM[Material Category],B110,TableBOM[Per 1000 Units]))/1000),0)),"-")</f>
        <v>1077</v>
      </c>
    </row>
    <row r="111" spans="1:11" ht="15" customHeight="1" x14ac:dyDescent="0.25">
      <c r="A111" s="178">
        <v>3043</v>
      </c>
      <c r="B111" s="178" t="s">
        <v>303</v>
      </c>
      <c r="C111" s="179" t="s">
        <v>131</v>
      </c>
      <c r="D111" s="178" t="s">
        <v>132</v>
      </c>
      <c r="E111" s="180">
        <v>0</v>
      </c>
      <c r="F111" s="180">
        <v>0</v>
      </c>
      <c r="G111" s="180">
        <v>0</v>
      </c>
      <c r="H111" s="181">
        <f t="shared" si="4"/>
        <v>0</v>
      </c>
      <c r="I111" s="180"/>
      <c r="J111" s="190">
        <f>IFERROR(IF(H111+I111="","-",ROUND((H111+I111)/(IFERROR(IF(AVERAGEIF(TableBOM[Item ID],A111,TableBOM[Per 1000 Units])&gt;0,AVERAGEIF(TableBOM[Item ID],A111,TableBOM[Per 1000 Units]),AVERAGEIF(TableBOM[Material Category],B111,TableBOM[Per 1000 Units])),AVERAGEIF(TableBOM[Material Category],B111,TableBOM[Per 1000 Units]))/1000),0)),"-")</f>
        <v>0</v>
      </c>
      <c r="K111" s="185" t="s">
        <v>325</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0" t="s">
        <v>358</v>
      </c>
      <c r="B1" s="50"/>
      <c r="C1" s="50"/>
      <c r="D1" s="50"/>
      <c r="E1" s="50"/>
      <c r="F1" s="50"/>
      <c r="G1" s="50"/>
      <c r="H1" s="50"/>
      <c r="I1" s="50"/>
      <c r="J1" s="50"/>
      <c r="K1" s="50"/>
      <c r="L1" s="50"/>
      <c r="M1" s="50"/>
      <c r="N1" s="50"/>
      <c r="O1" s="50"/>
      <c r="P1" s="50"/>
      <c r="Q1" s="50"/>
      <c r="R1" s="50"/>
      <c r="S1" s="50"/>
    </row>
    <row r="2" spans="1:19" ht="15" customHeight="1" x14ac:dyDescent="0.25">
      <c r="A2" s="29" t="s">
        <v>5</v>
      </c>
      <c r="B2" s="29" t="s">
        <v>261</v>
      </c>
      <c r="C2" s="29" t="s">
        <v>3</v>
      </c>
      <c r="D2" s="29" t="s">
        <v>4</v>
      </c>
      <c r="E2" s="29" t="s">
        <v>359</v>
      </c>
      <c r="F2" s="29" t="s">
        <v>360</v>
      </c>
      <c r="G2" s="29" t="s">
        <v>288</v>
      </c>
      <c r="H2" s="29" t="s">
        <v>361</v>
      </c>
      <c r="I2" s="51" t="s">
        <v>362</v>
      </c>
      <c r="J2" s="51" t="s">
        <v>363</v>
      </c>
      <c r="K2" s="51" t="s">
        <v>364</v>
      </c>
      <c r="L2" s="51" t="s">
        <v>365</v>
      </c>
      <c r="M2" s="51" t="s">
        <v>366</v>
      </c>
      <c r="N2" s="51" t="s">
        <v>367</v>
      </c>
      <c r="O2" s="51" t="s">
        <v>368</v>
      </c>
      <c r="P2" s="51" t="s">
        <v>369</v>
      </c>
      <c r="Q2" s="51" t="s">
        <v>370</v>
      </c>
      <c r="R2" s="51" t="s">
        <v>370</v>
      </c>
      <c r="S2" s="51" t="s">
        <v>370</v>
      </c>
    </row>
    <row r="3" spans="1:19" ht="15" hidden="1" customHeight="1" x14ac:dyDescent="0.25">
      <c r="A3" s="39">
        <v>9004</v>
      </c>
      <c r="B3" s="39">
        <v>904</v>
      </c>
      <c r="C3" s="39" t="s">
        <v>182</v>
      </c>
      <c r="D3" s="40" t="s">
        <v>183</v>
      </c>
      <c r="E3" s="39">
        <v>12.5</v>
      </c>
      <c r="F3" s="39">
        <v>0</v>
      </c>
      <c r="G3" s="39" t="s">
        <v>371</v>
      </c>
      <c r="H3" s="39">
        <v>0</v>
      </c>
      <c r="I3" s="52"/>
      <c r="J3" s="41" t="str">
        <f>IF(I3="","",IFERROR(SUMPRODUCT((TableBOM[Product ID]=A3)*(TableBOM[Material Category]="SLUG")*TableBOM[Per 1000 Units]*(1+TableBOM[Scrap %]))*I3/1000,0))</f>
        <v/>
      </c>
      <c r="K3" s="41" t="str">
        <f>IF(I3="","",IFERROR(SUMPRODUCT((TableBOM[Product ID]=A3)*(TableBOM[Material Category]="BASE COAT")*TableBOM[Per 1000 Units]*(1+TableBOM[Scrap %]))*I3/1000,0))</f>
        <v/>
      </c>
      <c r="L3" s="41" t="str">
        <f>IF(I3="","",IFERROR(SUMPRODUCT((TableBOM[Product ID]=A3)*(TableBOM[Material Category]="LACQUER")*TableBOM[Per 1000 Units]*(1+TableBOM[Scrap %]))*I3/1000,0))</f>
        <v/>
      </c>
      <c r="M3" s="41" t="str">
        <f>IF(I3="","",IFERROR(SUMPRODUCT((TableBOM[Product ID]=A3)*(TableBOM[Material Category]="LATEX")*TableBOM[Per 1000 Units]*(1+TableBOM[Scrap %]))*I3/1000,0))</f>
        <v/>
      </c>
      <c r="N3" s="41" t="str">
        <f>IF(I3="","",IFERROR(SUMPRODUCT((TableBOM[Product ID]=A3)*(TableBOM[Material Category]="ZINC")*TableBOM[Per 1000 Units]*(1+TableBOM[Scrap %]))*I3/1000,0))</f>
        <v/>
      </c>
      <c r="O3" s="41" t="str">
        <f>IF(I3="","",IFERROR(SUMPRODUCT((TableBOM[Product ID]=A3)*(TableBOM[Material Category]="CAP")*TableBOM[Per 1000 Units]*(1+TableBOM[Scrap %]))*I3/1000,0))</f>
        <v/>
      </c>
      <c r="P3" s="41" t="str">
        <f>IF(I3="","",IFERROR(SUMPRODUCT((TableBOM[Product ID]=A3)*(TableBOM[Material Category]="CARTON")*TableBOM[Per 1000 Units]*(1+TableBOM[Scrap %]))*I3/1000,0))</f>
        <v/>
      </c>
      <c r="Q3" s="41"/>
      <c r="R3" s="41"/>
      <c r="S3" s="41"/>
    </row>
    <row r="4" spans="1:19" ht="15" hidden="1" customHeight="1" x14ac:dyDescent="0.25">
      <c r="A4" s="39">
        <v>6561</v>
      </c>
      <c r="B4" s="39">
        <v>190</v>
      </c>
      <c r="C4" s="39" t="s">
        <v>184</v>
      </c>
      <c r="D4" s="40" t="s">
        <v>185</v>
      </c>
      <c r="E4" s="39">
        <v>16</v>
      </c>
      <c r="F4" s="39">
        <v>100</v>
      </c>
      <c r="G4" s="39" t="s">
        <v>371</v>
      </c>
      <c r="H4" s="39">
        <v>588</v>
      </c>
      <c r="I4" s="52"/>
      <c r="J4" s="41" t="str">
        <f>IF(I4="","",IFERROR(SUMPRODUCT((TableBOM[Product ID]=A4)*(TableBOM[Material Category]="SLUG")*TableBOM[Per 1000 Units]*(1+TableBOM[Scrap %]))*I4/1000,0))</f>
        <v/>
      </c>
      <c r="K4" s="41" t="str">
        <f>IF(I4="","",IFERROR(SUMPRODUCT((TableBOM[Product ID]=A4)*(TableBOM[Material Category]="BASE COAT")*TableBOM[Per 1000 Units]*(1+TableBOM[Scrap %]))*I4/1000,0))</f>
        <v/>
      </c>
      <c r="L4" s="41" t="str">
        <f>IF(I4="","",IFERROR(SUMPRODUCT((TableBOM[Product ID]=A4)*(TableBOM[Material Category]="LACQUER")*TableBOM[Per 1000 Units]*(1+TableBOM[Scrap %]))*I4/1000,0))</f>
        <v/>
      </c>
      <c r="M4" s="41" t="str">
        <f>IF(I4="","",IFERROR(SUMPRODUCT((TableBOM[Product ID]=A4)*(TableBOM[Material Category]="LATEX")*TableBOM[Per 1000 Units]*(1+TableBOM[Scrap %]))*I4/1000,0))</f>
        <v/>
      </c>
      <c r="N4" s="41" t="str">
        <f>IF(I4="","",IFERROR(SUMPRODUCT((TableBOM[Product ID]=A4)*(TableBOM[Material Category]="ZINC")*TableBOM[Per 1000 Units]*(1+TableBOM[Scrap %]))*I4/1000,0))</f>
        <v/>
      </c>
      <c r="O4" s="41" t="str">
        <f>IF(I4="","",IFERROR(SUMPRODUCT((TableBOM[Product ID]=A4)*(TableBOM[Material Category]="CAP")*TableBOM[Per 1000 Units]*(1+TableBOM[Scrap %]))*I4/1000,0))</f>
        <v/>
      </c>
      <c r="P4" s="41" t="str">
        <f>IF(I4="","",IFERROR(SUMPRODUCT((TableBOM[Product ID]=A4)*(TableBOM[Material Category]="CARTON")*TableBOM[Per 1000 Units]*(1+TableBOM[Scrap %]))*I4/1000,0))</f>
        <v/>
      </c>
      <c r="Q4" s="41"/>
      <c r="R4" s="41"/>
      <c r="S4" s="41"/>
    </row>
    <row r="5" spans="1:19" ht="15" hidden="1" customHeight="1" x14ac:dyDescent="0.25">
      <c r="A5" s="39">
        <v>1085</v>
      </c>
      <c r="B5" s="39">
        <v>187</v>
      </c>
      <c r="C5" s="39" t="s">
        <v>184</v>
      </c>
      <c r="D5" s="40" t="s">
        <v>188</v>
      </c>
      <c r="E5" s="39">
        <v>19</v>
      </c>
      <c r="F5" s="39">
        <v>106</v>
      </c>
      <c r="G5" s="39" t="s">
        <v>371</v>
      </c>
      <c r="H5" s="39">
        <v>588</v>
      </c>
      <c r="I5" s="52"/>
      <c r="J5" s="41" t="str">
        <f>IF(I5="","",IFERROR(SUMPRODUCT((TableBOM[Product ID]=A5)*(TableBOM[Material Category]="SLUG")*TableBOM[Per 1000 Units]*(1+TableBOM[Scrap %]))*I5/1000,0))</f>
        <v/>
      </c>
      <c r="K5" s="41" t="str">
        <f>IF(I5="","",IFERROR(SUMPRODUCT((TableBOM[Product ID]=A5)*(TableBOM[Material Category]="BASE COAT")*TableBOM[Per 1000 Units]*(1+TableBOM[Scrap %]))*I5/1000,0))</f>
        <v/>
      </c>
      <c r="L5" s="41" t="str">
        <f>IF(I5="","",IFERROR(SUMPRODUCT((TableBOM[Product ID]=A5)*(TableBOM[Material Category]="LACQUER")*TableBOM[Per 1000 Units]*(1+TableBOM[Scrap %]))*I5/1000,0))</f>
        <v/>
      </c>
      <c r="M5" s="41" t="str">
        <f>IF(I5="","",IFERROR(SUMPRODUCT((TableBOM[Product ID]=A5)*(TableBOM[Material Category]="LATEX")*TableBOM[Per 1000 Units]*(1+TableBOM[Scrap %]))*I5/1000,0))</f>
        <v/>
      </c>
      <c r="N5" s="41" t="str">
        <f>IF(I5="","",IFERROR(SUMPRODUCT((TableBOM[Product ID]=A5)*(TableBOM[Material Category]="ZINC")*TableBOM[Per 1000 Units]*(1+TableBOM[Scrap %]))*I5/1000,0))</f>
        <v/>
      </c>
      <c r="O5" s="41" t="str">
        <f>IF(I5="","",IFERROR(SUMPRODUCT((TableBOM[Product ID]=A5)*(TableBOM[Material Category]="CAP")*TableBOM[Per 1000 Units]*(1+TableBOM[Scrap %]))*I5/1000,0))</f>
        <v/>
      </c>
      <c r="P5" s="41" t="str">
        <f>IF(I5="","",IFERROR(SUMPRODUCT((TableBOM[Product ID]=A5)*(TableBOM[Material Category]="CARTON")*TableBOM[Per 1000 Units]*(1+TableBOM[Scrap %]))*I5/1000,0))</f>
        <v/>
      </c>
      <c r="Q5" s="41"/>
      <c r="R5" s="41"/>
      <c r="S5" s="41"/>
    </row>
    <row r="6" spans="1:19" ht="15" hidden="1" customHeight="1" x14ac:dyDescent="0.25">
      <c r="A6" s="39">
        <v>6559</v>
      </c>
      <c r="B6" s="39">
        <v>188</v>
      </c>
      <c r="C6" s="39" t="s">
        <v>184</v>
      </c>
      <c r="D6" s="40" t="s">
        <v>279</v>
      </c>
      <c r="E6" s="39">
        <v>19</v>
      </c>
      <c r="F6" s="39">
        <v>106</v>
      </c>
      <c r="G6" s="39" t="s">
        <v>371</v>
      </c>
      <c r="H6" s="39">
        <v>588</v>
      </c>
      <c r="I6" s="52"/>
      <c r="J6" s="41" t="str">
        <f>IF(I6="","",IFERROR(SUMPRODUCT((TableBOM[Product ID]=A6)*(TableBOM[Material Category]="SLUG")*TableBOM[Per 1000 Units]*(1+TableBOM[Scrap %]))*I6/1000,0))</f>
        <v/>
      </c>
      <c r="K6" s="41" t="str">
        <f>IF(I6="","",IFERROR(SUMPRODUCT((TableBOM[Product ID]=A6)*(TableBOM[Material Category]="BASE COAT")*TableBOM[Per 1000 Units]*(1+TableBOM[Scrap %]))*I6/1000,0))</f>
        <v/>
      </c>
      <c r="L6" s="41" t="str">
        <f>IF(I6="","",IFERROR(SUMPRODUCT((TableBOM[Product ID]=A6)*(TableBOM[Material Category]="LACQUER")*TableBOM[Per 1000 Units]*(1+TableBOM[Scrap %]))*I6/1000,0))</f>
        <v/>
      </c>
      <c r="M6" s="41" t="str">
        <f>IF(I6="","",IFERROR(SUMPRODUCT((TableBOM[Product ID]=A6)*(TableBOM[Material Category]="LATEX")*TableBOM[Per 1000 Units]*(1+TableBOM[Scrap %]))*I6/1000,0))</f>
        <v/>
      </c>
      <c r="N6" s="41" t="str">
        <f>IF(I6="","",IFERROR(SUMPRODUCT((TableBOM[Product ID]=A6)*(TableBOM[Material Category]="ZINC")*TableBOM[Per 1000 Units]*(1+TableBOM[Scrap %]))*I6/1000,0))</f>
        <v/>
      </c>
      <c r="O6" s="41" t="str">
        <f>IF(I6="","",IFERROR(SUMPRODUCT((TableBOM[Product ID]=A6)*(TableBOM[Material Category]="CAP")*TableBOM[Per 1000 Units]*(1+TableBOM[Scrap %]))*I6/1000,0))</f>
        <v/>
      </c>
      <c r="P6" s="41" t="str">
        <f>IF(I6="","",IFERROR(SUMPRODUCT((TableBOM[Product ID]=A6)*(TableBOM[Material Category]="CARTON")*TableBOM[Per 1000 Units]*(1+TableBOM[Scrap %]))*I6/1000,0))</f>
        <v/>
      </c>
      <c r="Q6" s="41"/>
      <c r="R6" s="41"/>
      <c r="S6" s="41"/>
    </row>
    <row r="7" spans="1:19" ht="15" hidden="1" customHeight="1" x14ac:dyDescent="0.25">
      <c r="A7" s="39">
        <v>6560</v>
      </c>
      <c r="B7" s="39">
        <v>189</v>
      </c>
      <c r="C7" s="39" t="s">
        <v>184</v>
      </c>
      <c r="D7" s="40" t="s">
        <v>189</v>
      </c>
      <c r="E7" s="39">
        <v>19</v>
      </c>
      <c r="F7" s="39">
        <v>106</v>
      </c>
      <c r="G7" s="39" t="s">
        <v>371</v>
      </c>
      <c r="H7" s="39">
        <v>588</v>
      </c>
      <c r="I7" s="52"/>
      <c r="J7" s="41" t="str">
        <f>IF(I7="","",IFERROR(SUMPRODUCT((TableBOM[Product ID]=A7)*(TableBOM[Material Category]="SLUG")*TableBOM[Per 1000 Units]*(1+TableBOM[Scrap %]))*I7/1000,0))</f>
        <v/>
      </c>
      <c r="K7" s="41" t="str">
        <f>IF(I7="","",IFERROR(SUMPRODUCT((TableBOM[Product ID]=A7)*(TableBOM[Material Category]="BASE COAT")*TableBOM[Per 1000 Units]*(1+TableBOM[Scrap %]))*I7/1000,0))</f>
        <v/>
      </c>
      <c r="L7" s="41" t="str">
        <f>IF(I7="","",IFERROR(SUMPRODUCT((TableBOM[Product ID]=A7)*(TableBOM[Material Category]="LACQUER")*TableBOM[Per 1000 Units]*(1+TableBOM[Scrap %]))*I7/1000,0))</f>
        <v/>
      </c>
      <c r="M7" s="41" t="str">
        <f>IF(I7="","",IFERROR(SUMPRODUCT((TableBOM[Product ID]=A7)*(TableBOM[Material Category]="LATEX")*TableBOM[Per 1000 Units]*(1+TableBOM[Scrap %]))*I7/1000,0))</f>
        <v/>
      </c>
      <c r="N7" s="41" t="str">
        <f>IF(I7="","",IFERROR(SUMPRODUCT((TableBOM[Product ID]=A7)*(TableBOM[Material Category]="ZINC")*TableBOM[Per 1000 Units]*(1+TableBOM[Scrap %]))*I7/1000,0))</f>
        <v/>
      </c>
      <c r="O7" s="41" t="str">
        <f>IF(I7="","",IFERROR(SUMPRODUCT((TableBOM[Product ID]=A7)*(TableBOM[Material Category]="CAP")*TableBOM[Per 1000 Units]*(1+TableBOM[Scrap %]))*I7/1000,0))</f>
        <v/>
      </c>
      <c r="P7" s="41" t="str">
        <f>IF(I7="","",IFERROR(SUMPRODUCT((TableBOM[Product ID]=A7)*(TableBOM[Material Category]="CARTON")*TableBOM[Per 1000 Units]*(1+TableBOM[Scrap %]))*I7/1000,0))</f>
        <v/>
      </c>
      <c r="Q7" s="41"/>
      <c r="R7" s="41"/>
      <c r="S7" s="41"/>
    </row>
    <row r="8" spans="1:19" ht="15" hidden="1" customHeight="1" x14ac:dyDescent="0.25">
      <c r="A8" s="39">
        <v>6623</v>
      </c>
      <c r="B8" s="39">
        <v>193</v>
      </c>
      <c r="C8" s="39" t="s">
        <v>14</v>
      </c>
      <c r="D8" s="40" t="s">
        <v>187</v>
      </c>
      <c r="E8" s="39">
        <v>19</v>
      </c>
      <c r="F8" s="39">
        <v>120</v>
      </c>
      <c r="G8" s="39" t="s">
        <v>371</v>
      </c>
      <c r="H8" s="39">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39">
        <v>6624</v>
      </c>
      <c r="B9" s="39">
        <v>192</v>
      </c>
      <c r="C9" s="39" t="s">
        <v>14</v>
      </c>
      <c r="D9" s="40" t="s">
        <v>186</v>
      </c>
      <c r="E9" s="39">
        <v>19</v>
      </c>
      <c r="F9" s="39">
        <v>120</v>
      </c>
      <c r="G9" s="39" t="s">
        <v>371</v>
      </c>
      <c r="H9" s="39">
        <v>510</v>
      </c>
      <c r="I9" s="52"/>
      <c r="J9" s="41" t="str">
        <f>IF(I9="","",IFERROR(SUMPRODUCT((TableBOM[Product ID]=A9)*(TableBOM[Material Category]="SLUG")*TableBOM[Per 1000 Units]*(1+TableBOM[Scrap %]))*I9/1000,0))</f>
        <v/>
      </c>
      <c r="K9" s="41" t="str">
        <f>IF(I9="","",IFERROR(SUMPRODUCT((TableBOM[Product ID]=A9)*(TableBOM[Material Category]="BASE COAT")*TableBOM[Per 1000 Units]*(1+TableBOM[Scrap %]))*I9/1000,0))</f>
        <v/>
      </c>
      <c r="L9" s="41" t="str">
        <f>IF(I9="","",IFERROR(SUMPRODUCT((TableBOM[Product ID]=A9)*(TableBOM[Material Category]="LACQUER")*TableBOM[Per 1000 Units]*(1+TableBOM[Scrap %]))*I9/1000,0))</f>
        <v/>
      </c>
      <c r="M9" s="41" t="str">
        <f>IF(I9="","",IFERROR(SUMPRODUCT((TableBOM[Product ID]=A9)*(TableBOM[Material Category]="LATEX")*TableBOM[Per 1000 Units]*(1+TableBOM[Scrap %]))*I9/1000,0))</f>
        <v/>
      </c>
      <c r="N9" s="41" t="str">
        <f>IF(I9="","",IFERROR(SUMPRODUCT((TableBOM[Product ID]=A9)*(TableBOM[Material Category]="ZINC")*TableBOM[Per 1000 Units]*(1+TableBOM[Scrap %]))*I9/1000,0))</f>
        <v/>
      </c>
      <c r="O9" s="41" t="str">
        <f>IF(I9="","",IFERROR(SUMPRODUCT((TableBOM[Product ID]=A9)*(TableBOM[Material Category]="CAP")*TableBOM[Per 1000 Units]*(1+TableBOM[Scrap %]))*I9/1000,0))</f>
        <v/>
      </c>
      <c r="P9" s="41" t="str">
        <f>IF(I9="","",IFERROR(SUMPRODUCT((TableBOM[Product ID]=A9)*(TableBOM[Material Category]="CARTON")*TableBOM[Per 1000 Units]*(1+TableBOM[Scrap %]))*I9/1000,0))</f>
        <v/>
      </c>
      <c r="Q9" s="41"/>
      <c r="R9" s="41"/>
      <c r="S9" s="41"/>
    </row>
    <row r="10" spans="1:19" ht="15" hidden="1" customHeight="1" x14ac:dyDescent="0.25">
      <c r="A10" s="39">
        <v>6077</v>
      </c>
      <c r="B10" s="39">
        <v>138</v>
      </c>
      <c r="C10" s="39" t="s">
        <v>11</v>
      </c>
      <c r="D10" s="40" t="s">
        <v>12</v>
      </c>
      <c r="E10" s="39">
        <v>20.5</v>
      </c>
      <c r="F10" s="39">
        <v>120</v>
      </c>
      <c r="G10" s="39" t="s">
        <v>372</v>
      </c>
      <c r="H10" s="39">
        <v>200</v>
      </c>
      <c r="I10" s="52"/>
      <c r="J10" s="41" t="str">
        <f>IF(I10="","",IFERROR(SUMPRODUCT((TableBOM[Product ID]=A10)*(TableBOM[Material Category]="SLUG")*TableBOM[Per 1000 Units]*(1+TableBOM[Scrap %]))*I10/1000,0))</f>
        <v/>
      </c>
      <c r="K10" s="41" t="str">
        <f>IF(I10="","",IFERROR(SUMPRODUCT((TableBOM[Product ID]=A10)*(TableBOM[Material Category]="BASE COAT")*TableBOM[Per 1000 Units]*(1+TableBOM[Scrap %]))*I10/1000,0))</f>
        <v/>
      </c>
      <c r="L10" s="41" t="str">
        <f>IF(I10="","",IFERROR(SUMPRODUCT((TableBOM[Product ID]=A10)*(TableBOM[Material Category]="LACQUER")*TableBOM[Per 1000 Units]*(1+TableBOM[Scrap %]))*I10/1000,0))</f>
        <v/>
      </c>
      <c r="M10" s="41" t="str">
        <f>IF(I10="","",IFERROR(SUMPRODUCT((TableBOM[Product ID]=A10)*(TableBOM[Material Category]="LATEX")*TableBOM[Per 1000 Units]*(1+TableBOM[Scrap %]))*I10/1000,0))</f>
        <v/>
      </c>
      <c r="N10" s="41" t="str">
        <f>IF(I10="","",IFERROR(SUMPRODUCT((TableBOM[Product ID]=A10)*(TableBOM[Material Category]="ZINC")*TableBOM[Per 1000 Units]*(1+TableBOM[Scrap %]))*I10/1000,0))</f>
        <v/>
      </c>
      <c r="O10" s="41" t="str">
        <f>IF(I10="","",IFERROR(SUMPRODUCT((TableBOM[Product ID]=A10)*(TableBOM[Material Category]="CAP")*TableBOM[Per 1000 Units]*(1+TableBOM[Scrap %]))*I10/1000,0))</f>
        <v/>
      </c>
      <c r="P10" s="41" t="str">
        <f>IF(I10="","",IFERROR(SUMPRODUCT((TableBOM[Product ID]=A10)*(TableBOM[Material Category]="CARTON")*TableBOM[Per 1000 Units]*(1+TableBOM[Scrap %]))*I10/1000,0))</f>
        <v/>
      </c>
      <c r="Q10" s="41"/>
      <c r="R10" s="41"/>
      <c r="S10" s="41"/>
    </row>
    <row r="11" spans="1:19" ht="15" hidden="1" customHeight="1" x14ac:dyDescent="0.25">
      <c r="A11" s="39">
        <v>5698</v>
      </c>
      <c r="B11" s="39">
        <v>22</v>
      </c>
      <c r="C11" s="39" t="s">
        <v>14</v>
      </c>
      <c r="D11" s="40" t="s">
        <v>192</v>
      </c>
      <c r="E11" s="39">
        <v>20.5</v>
      </c>
      <c r="F11" s="39">
        <v>120</v>
      </c>
      <c r="G11" s="39" t="s">
        <v>371</v>
      </c>
      <c r="H11" s="39">
        <v>336</v>
      </c>
      <c r="I11" s="52"/>
      <c r="J11" s="41" t="str">
        <f>IF(I11="","",IFERROR(SUMPRODUCT((TableBOM[Product ID]=A11)*(TableBOM[Material Category]="SLUG")*TableBOM[Per 1000 Units]*(1+TableBOM[Scrap %]))*I11/1000,0))</f>
        <v/>
      </c>
      <c r="K11" s="41" t="str">
        <f>IF(I11="","",IFERROR(SUMPRODUCT((TableBOM[Product ID]=A11)*(TableBOM[Material Category]="BASE COAT")*TableBOM[Per 1000 Units]*(1+TableBOM[Scrap %]))*I11/1000,0))</f>
        <v/>
      </c>
      <c r="L11" s="41" t="str">
        <f>IF(I11="","",IFERROR(SUMPRODUCT((TableBOM[Product ID]=A11)*(TableBOM[Material Category]="LACQUER")*TableBOM[Per 1000 Units]*(1+TableBOM[Scrap %]))*I11/1000,0))</f>
        <v/>
      </c>
      <c r="M11" s="41" t="str">
        <f>IF(I11="","",IFERROR(SUMPRODUCT((TableBOM[Product ID]=A11)*(TableBOM[Material Category]="LATEX")*TableBOM[Per 1000 Units]*(1+TableBOM[Scrap %]))*I11/1000,0))</f>
        <v/>
      </c>
      <c r="N11" s="41" t="str">
        <f>IF(I11="","",IFERROR(SUMPRODUCT((TableBOM[Product ID]=A11)*(TableBOM[Material Category]="ZINC")*TableBOM[Per 1000 Units]*(1+TableBOM[Scrap %]))*I11/1000,0))</f>
        <v/>
      </c>
      <c r="O11" s="41" t="str">
        <f>IF(I11="","",IFERROR(SUMPRODUCT((TableBOM[Product ID]=A11)*(TableBOM[Material Category]="CAP")*TableBOM[Per 1000 Units]*(1+TableBOM[Scrap %]))*I11/1000,0))</f>
        <v/>
      </c>
      <c r="P11" s="41" t="str">
        <f>IF(I11="","",IFERROR(SUMPRODUCT((TableBOM[Product ID]=A11)*(TableBOM[Material Category]="CARTON")*TableBOM[Per 1000 Units]*(1+TableBOM[Scrap %]))*I11/1000,0))</f>
        <v/>
      </c>
      <c r="Q11" s="41"/>
      <c r="R11" s="41"/>
      <c r="S11" s="41"/>
    </row>
    <row r="12" spans="1:19" ht="15" hidden="1" customHeight="1" x14ac:dyDescent="0.25">
      <c r="A12" s="39">
        <v>5699</v>
      </c>
      <c r="B12" s="39">
        <v>21</v>
      </c>
      <c r="C12" s="39" t="s">
        <v>14</v>
      </c>
      <c r="D12" s="40" t="s">
        <v>190</v>
      </c>
      <c r="E12" s="39">
        <v>20.5</v>
      </c>
      <c r="F12" s="39">
        <v>120</v>
      </c>
      <c r="G12" s="39" t="s">
        <v>371</v>
      </c>
      <c r="H12" s="39">
        <v>336</v>
      </c>
      <c r="I12" s="52"/>
      <c r="J12" s="41" t="str">
        <f>IF(I12="","",IFERROR(SUMPRODUCT((TableBOM[Product ID]=A12)*(TableBOM[Material Category]="SLUG")*TableBOM[Per 1000 Units]*(1+TableBOM[Scrap %]))*I12/1000,0))</f>
        <v/>
      </c>
      <c r="K12" s="41" t="str">
        <f>IF(I12="","",IFERROR(SUMPRODUCT((TableBOM[Product ID]=A12)*(TableBOM[Material Category]="BASE COAT")*TableBOM[Per 1000 Units]*(1+TableBOM[Scrap %]))*I12/1000,0))</f>
        <v/>
      </c>
      <c r="L12" s="41" t="str">
        <f>IF(I12="","",IFERROR(SUMPRODUCT((TableBOM[Product ID]=A12)*(TableBOM[Material Category]="LACQUER")*TableBOM[Per 1000 Units]*(1+TableBOM[Scrap %]))*I12/1000,0))</f>
        <v/>
      </c>
      <c r="M12" s="41" t="str">
        <f>IF(I12="","",IFERROR(SUMPRODUCT((TableBOM[Product ID]=A12)*(TableBOM[Material Category]="LATEX")*TableBOM[Per 1000 Units]*(1+TableBOM[Scrap %]))*I12/1000,0))</f>
        <v/>
      </c>
      <c r="N12" s="41" t="str">
        <f>IF(I12="","",IFERROR(SUMPRODUCT((TableBOM[Product ID]=A12)*(TableBOM[Material Category]="ZINC")*TableBOM[Per 1000 Units]*(1+TableBOM[Scrap %]))*I12/1000,0))</f>
        <v/>
      </c>
      <c r="O12" s="41" t="str">
        <f>IF(I12="","",IFERROR(SUMPRODUCT((TableBOM[Product ID]=A12)*(TableBOM[Material Category]="CAP")*TableBOM[Per 1000 Units]*(1+TableBOM[Scrap %]))*I12/1000,0))</f>
        <v/>
      </c>
      <c r="P12" s="41" t="str">
        <f>IF(I12="","",IFERROR(SUMPRODUCT((TableBOM[Product ID]=A12)*(TableBOM[Material Category]="CARTON")*TableBOM[Per 1000 Units]*(1+TableBOM[Scrap %]))*I12/1000,0))</f>
        <v/>
      </c>
      <c r="Q12" s="41"/>
      <c r="R12" s="41"/>
      <c r="S12" s="41"/>
    </row>
    <row r="13" spans="1:19" ht="15" hidden="1" customHeight="1" x14ac:dyDescent="0.25">
      <c r="A13" s="39">
        <v>5731</v>
      </c>
      <c r="B13" s="39">
        <v>32</v>
      </c>
      <c r="C13" s="39" t="s">
        <v>14</v>
      </c>
      <c r="D13" s="40" t="s">
        <v>191</v>
      </c>
      <c r="E13" s="39">
        <v>20.5</v>
      </c>
      <c r="F13" s="39">
        <v>120</v>
      </c>
      <c r="G13" s="39" t="s">
        <v>371</v>
      </c>
      <c r="H13" s="39">
        <v>510</v>
      </c>
      <c r="I13" s="52"/>
      <c r="J13" s="41" t="str">
        <f>IF(I13="","",IFERROR(SUMPRODUCT((TableBOM[Product ID]=A13)*(TableBOM[Material Category]="SLUG")*TableBOM[Per 1000 Units]*(1+TableBOM[Scrap %]))*I13/1000,0))</f>
        <v/>
      </c>
      <c r="K13" s="41" t="str">
        <f>IF(I13="","",IFERROR(SUMPRODUCT((TableBOM[Product ID]=A13)*(TableBOM[Material Category]="BASE COAT")*TableBOM[Per 1000 Units]*(1+TableBOM[Scrap %]))*I13/1000,0))</f>
        <v/>
      </c>
      <c r="L13" s="41" t="str">
        <f>IF(I13="","",IFERROR(SUMPRODUCT((TableBOM[Product ID]=A13)*(TableBOM[Material Category]="LACQUER")*TableBOM[Per 1000 Units]*(1+TableBOM[Scrap %]))*I13/1000,0))</f>
        <v/>
      </c>
      <c r="M13" s="41" t="str">
        <f>IF(I13="","",IFERROR(SUMPRODUCT((TableBOM[Product ID]=A13)*(TableBOM[Material Category]="LATEX")*TableBOM[Per 1000 Units]*(1+TableBOM[Scrap %]))*I13/1000,0))</f>
        <v/>
      </c>
      <c r="N13" s="41" t="str">
        <f>IF(I13="","",IFERROR(SUMPRODUCT((TableBOM[Product ID]=A13)*(TableBOM[Material Category]="ZINC")*TableBOM[Per 1000 Units]*(1+TableBOM[Scrap %]))*I13/1000,0))</f>
        <v/>
      </c>
      <c r="O13" s="41" t="str">
        <f>IF(I13="","",IFERROR(SUMPRODUCT((TableBOM[Product ID]=A13)*(TableBOM[Material Category]="CAP")*TableBOM[Per 1000 Units]*(1+TableBOM[Scrap %]))*I13/1000,0))</f>
        <v/>
      </c>
      <c r="P13" s="41" t="str">
        <f>IF(I13="","",IFERROR(SUMPRODUCT((TableBOM[Product ID]=A13)*(TableBOM[Material Category]="CARTON")*TableBOM[Per 1000 Units]*(1+TableBOM[Scrap %]))*I13/1000,0))</f>
        <v/>
      </c>
      <c r="Q13" s="41"/>
      <c r="R13" s="41"/>
      <c r="S13" s="41"/>
    </row>
    <row r="14" spans="1:19" ht="15" hidden="1" customHeight="1" x14ac:dyDescent="0.25">
      <c r="A14" s="39">
        <v>5732</v>
      </c>
      <c r="B14" s="39">
        <v>33</v>
      </c>
      <c r="C14" s="39" t="s">
        <v>14</v>
      </c>
      <c r="D14" s="40" t="s">
        <v>193</v>
      </c>
      <c r="E14" s="39">
        <v>20.5</v>
      </c>
      <c r="F14" s="39">
        <v>120</v>
      </c>
      <c r="G14" s="39" t="s">
        <v>371</v>
      </c>
      <c r="H14" s="39">
        <v>510</v>
      </c>
      <c r="I14" s="52"/>
      <c r="J14" s="41" t="str">
        <f>IF(I14="","",IFERROR(SUMPRODUCT((TableBOM[Product ID]=A14)*(TableBOM[Material Category]="SLUG")*TableBOM[Per 1000 Units]*(1+TableBOM[Scrap %]))*I14/1000,0))</f>
        <v/>
      </c>
      <c r="K14" s="41" t="str">
        <f>IF(I14="","",IFERROR(SUMPRODUCT((TableBOM[Product ID]=A14)*(TableBOM[Material Category]="BASE COAT")*TableBOM[Per 1000 Units]*(1+TableBOM[Scrap %]))*I14/1000,0))</f>
        <v/>
      </c>
      <c r="L14" s="41" t="str">
        <f>IF(I14="","",IFERROR(SUMPRODUCT((TableBOM[Product ID]=A14)*(TableBOM[Material Category]="LACQUER")*TableBOM[Per 1000 Units]*(1+TableBOM[Scrap %]))*I14/1000,0))</f>
        <v/>
      </c>
      <c r="M14" s="41" t="str">
        <f>IF(I14="","",IFERROR(SUMPRODUCT((TableBOM[Product ID]=A14)*(TableBOM[Material Category]="LATEX")*TableBOM[Per 1000 Units]*(1+TableBOM[Scrap %]))*I14/1000,0))</f>
        <v/>
      </c>
      <c r="N14" s="41" t="str">
        <f>IF(I14="","",IFERROR(SUMPRODUCT((TableBOM[Product ID]=A14)*(TableBOM[Material Category]="ZINC")*TableBOM[Per 1000 Units]*(1+TableBOM[Scrap %]))*I14/1000,0))</f>
        <v/>
      </c>
      <c r="O14" s="41" t="str">
        <f>IF(I14="","",IFERROR(SUMPRODUCT((TableBOM[Product ID]=A14)*(TableBOM[Material Category]="CAP")*TableBOM[Per 1000 Units]*(1+TableBOM[Scrap %]))*I14/1000,0))</f>
        <v/>
      </c>
      <c r="P14" s="41" t="str">
        <f>IF(I14="","",IFERROR(SUMPRODUCT((TableBOM[Product ID]=A14)*(TableBOM[Material Category]="CARTON")*TableBOM[Per 1000 Units]*(1+TableBOM[Scrap %]))*I14/1000,0))</f>
        <v/>
      </c>
      <c r="Q14" s="41"/>
      <c r="R14" s="41"/>
      <c r="S14" s="41"/>
    </row>
    <row r="15" spans="1:19" ht="15" hidden="1" customHeight="1" x14ac:dyDescent="0.25">
      <c r="A15" s="39">
        <v>6556</v>
      </c>
      <c r="B15" s="39">
        <v>186</v>
      </c>
      <c r="C15" s="39" t="s">
        <v>14</v>
      </c>
      <c r="D15" s="40" t="s">
        <v>194</v>
      </c>
      <c r="E15" s="39">
        <v>20.5</v>
      </c>
      <c r="F15" s="39">
        <v>120</v>
      </c>
      <c r="G15" s="39" t="s">
        <v>371</v>
      </c>
      <c r="H15" s="39">
        <v>510</v>
      </c>
      <c r="I15" s="52"/>
      <c r="J15" s="41" t="str">
        <f>IF(I15="","",IFERROR(SUMPRODUCT((TableBOM[Product ID]=A15)*(TableBOM[Material Category]="SLUG")*TableBOM[Per 1000 Units]*(1+TableBOM[Scrap %]))*I15/1000,0))</f>
        <v/>
      </c>
      <c r="K15" s="41" t="str">
        <f>IF(I15="","",IFERROR(SUMPRODUCT((TableBOM[Product ID]=A15)*(TableBOM[Material Category]="BASE COAT")*TableBOM[Per 1000 Units]*(1+TableBOM[Scrap %]))*I15/1000,0))</f>
        <v/>
      </c>
      <c r="L15" s="41" t="str">
        <f>IF(I15="","",IFERROR(SUMPRODUCT((TableBOM[Product ID]=A15)*(TableBOM[Material Category]="LACQUER")*TableBOM[Per 1000 Units]*(1+TableBOM[Scrap %]))*I15/1000,0))</f>
        <v/>
      </c>
      <c r="M15" s="41" t="str">
        <f>IF(I15="","",IFERROR(SUMPRODUCT((TableBOM[Product ID]=A15)*(TableBOM[Material Category]="LATEX")*TableBOM[Per 1000 Units]*(1+TableBOM[Scrap %]))*I15/1000,0))</f>
        <v/>
      </c>
      <c r="N15" s="41" t="str">
        <f>IF(I15="","",IFERROR(SUMPRODUCT((TableBOM[Product ID]=A15)*(TableBOM[Material Category]="ZINC")*TableBOM[Per 1000 Units]*(1+TableBOM[Scrap %]))*I15/1000,0))</f>
        <v/>
      </c>
      <c r="O15" s="41" t="str">
        <f>IF(I15="","",IFERROR(SUMPRODUCT((TableBOM[Product ID]=A15)*(TableBOM[Material Category]="CAP")*TableBOM[Per 1000 Units]*(1+TableBOM[Scrap %]))*I15/1000,0))</f>
        <v/>
      </c>
      <c r="P15" s="41" t="str">
        <f>IF(I15="","",IFERROR(SUMPRODUCT((TableBOM[Product ID]=A15)*(TableBOM[Material Category]="CARTON")*TableBOM[Per 1000 Units]*(1+TableBOM[Scrap %]))*I15/1000,0))</f>
        <v/>
      </c>
      <c r="Q15" s="41"/>
      <c r="R15" s="41"/>
      <c r="S15" s="41"/>
    </row>
    <row r="16" spans="1:19" ht="15" hidden="1" customHeight="1" x14ac:dyDescent="0.25">
      <c r="A16" s="39">
        <v>6557</v>
      </c>
      <c r="B16" s="39">
        <v>185</v>
      </c>
      <c r="C16" s="39" t="s">
        <v>14</v>
      </c>
      <c r="D16" s="40" t="s">
        <v>195</v>
      </c>
      <c r="E16" s="39">
        <v>20.5</v>
      </c>
      <c r="F16" s="39">
        <v>120</v>
      </c>
      <c r="G16" s="39" t="s">
        <v>371</v>
      </c>
      <c r="H16" s="39">
        <v>510</v>
      </c>
      <c r="I16" s="52"/>
      <c r="J16" s="41" t="str">
        <f>IF(I16="","",IFERROR(SUMPRODUCT((TableBOM[Product ID]=A16)*(TableBOM[Material Category]="SLUG")*TableBOM[Per 1000 Units]*(1+TableBOM[Scrap %]))*I16/1000,0))</f>
        <v/>
      </c>
      <c r="K16" s="41" t="str">
        <f>IF(I16="","",IFERROR(SUMPRODUCT((TableBOM[Product ID]=A16)*(TableBOM[Material Category]="BASE COAT")*TableBOM[Per 1000 Units]*(1+TableBOM[Scrap %]))*I16/1000,0))</f>
        <v/>
      </c>
      <c r="L16" s="41" t="str">
        <f>IF(I16="","",IFERROR(SUMPRODUCT((TableBOM[Product ID]=A16)*(TableBOM[Material Category]="LACQUER")*TableBOM[Per 1000 Units]*(1+TableBOM[Scrap %]))*I16/1000,0))</f>
        <v/>
      </c>
      <c r="M16" s="41" t="str">
        <f>IF(I16="","",IFERROR(SUMPRODUCT((TableBOM[Product ID]=A16)*(TableBOM[Material Category]="LATEX")*TableBOM[Per 1000 Units]*(1+TableBOM[Scrap %]))*I16/1000,0))</f>
        <v/>
      </c>
      <c r="N16" s="41" t="str">
        <f>IF(I16="","",IFERROR(SUMPRODUCT((TableBOM[Product ID]=A16)*(TableBOM[Material Category]="ZINC")*TableBOM[Per 1000 Units]*(1+TableBOM[Scrap %]))*I16/1000,0))</f>
        <v/>
      </c>
      <c r="O16" s="41" t="str">
        <f>IF(I16="","",IFERROR(SUMPRODUCT((TableBOM[Product ID]=A16)*(TableBOM[Material Category]="CAP")*TableBOM[Per 1000 Units]*(1+TableBOM[Scrap %]))*I16/1000,0))</f>
        <v/>
      </c>
      <c r="P16" s="41" t="str">
        <f>IF(I16="","",IFERROR(SUMPRODUCT((TableBOM[Product ID]=A16)*(TableBOM[Material Category]="CARTON")*TableBOM[Per 1000 Units]*(1+TableBOM[Scrap %]))*I16/1000,0))</f>
        <v/>
      </c>
      <c r="Q16" s="41"/>
      <c r="R16" s="41"/>
      <c r="S16" s="41"/>
    </row>
    <row r="17" spans="1:19" ht="15" hidden="1" customHeight="1" x14ac:dyDescent="0.25">
      <c r="A17" s="39">
        <v>6228</v>
      </c>
      <c r="B17" s="39">
        <v>150</v>
      </c>
      <c r="C17" s="39" t="s">
        <v>11</v>
      </c>
      <c r="D17" s="40" t="s">
        <v>16</v>
      </c>
      <c r="E17" s="39">
        <v>25</v>
      </c>
      <c r="F17" s="39">
        <v>130</v>
      </c>
      <c r="G17" s="39" t="s">
        <v>372</v>
      </c>
      <c r="H17" s="39">
        <v>336</v>
      </c>
      <c r="I17" s="52"/>
      <c r="J17" s="41" t="str">
        <f>IF(I17="","",IFERROR(SUMPRODUCT((TableBOM[Product ID]=A17)*(TableBOM[Material Category]="SLUG")*TableBOM[Per 1000 Units]*(1+TableBOM[Scrap %]))*I17/1000,0))</f>
        <v/>
      </c>
      <c r="K17" s="41" t="str">
        <f>IF(I17="","",IFERROR(SUMPRODUCT((TableBOM[Product ID]=A17)*(TableBOM[Material Category]="BASE COAT")*TableBOM[Per 1000 Units]*(1+TableBOM[Scrap %]))*I17/1000,0))</f>
        <v/>
      </c>
      <c r="L17" s="41" t="str">
        <f>IF(I17="","",IFERROR(SUMPRODUCT((TableBOM[Product ID]=A17)*(TableBOM[Material Category]="LACQUER")*TableBOM[Per 1000 Units]*(1+TableBOM[Scrap %]))*I17/1000,0))</f>
        <v/>
      </c>
      <c r="M17" s="41" t="str">
        <f>IF(I17="","",IFERROR(SUMPRODUCT((TableBOM[Product ID]=A17)*(TableBOM[Material Category]="LATEX")*TableBOM[Per 1000 Units]*(1+TableBOM[Scrap %]))*I17/1000,0))</f>
        <v/>
      </c>
      <c r="N17" s="41" t="str">
        <f>IF(I17="","",IFERROR(SUMPRODUCT((TableBOM[Product ID]=A17)*(TableBOM[Material Category]="ZINC")*TableBOM[Per 1000 Units]*(1+TableBOM[Scrap %]))*I17/1000,0))</f>
        <v/>
      </c>
      <c r="O17" s="41" t="str">
        <f>IF(I17="","",IFERROR(SUMPRODUCT((TableBOM[Product ID]=A17)*(TableBOM[Material Category]="CAP")*TableBOM[Per 1000 Units]*(1+TableBOM[Scrap %]))*I17/1000,0))</f>
        <v/>
      </c>
      <c r="P17" s="41" t="str">
        <f>IF(I17="","",IFERROR(SUMPRODUCT((TableBOM[Product ID]=A17)*(TableBOM[Material Category]="CARTON")*TableBOM[Per 1000 Units]*(1+TableBOM[Scrap %]))*I17/1000,0))</f>
        <v/>
      </c>
      <c r="Q17" s="41"/>
      <c r="R17" s="41"/>
      <c r="S17" s="41"/>
    </row>
    <row r="18" spans="1:19" ht="15" customHeight="1" x14ac:dyDescent="0.25">
      <c r="A18" s="39">
        <v>3447</v>
      </c>
      <c r="B18" s="39">
        <v>34</v>
      </c>
      <c r="C18" s="39" t="s">
        <v>14</v>
      </c>
      <c r="D18" s="40" t="s">
        <v>197</v>
      </c>
      <c r="E18" s="39">
        <v>25</v>
      </c>
      <c r="F18" s="39">
        <v>150</v>
      </c>
      <c r="G18" s="39" t="s">
        <v>371</v>
      </c>
      <c r="H18" s="39">
        <v>336</v>
      </c>
      <c r="I18" s="52"/>
      <c r="J18" s="41" t="str">
        <f>IF(I18="","",IFERROR(SUMPRODUCT((TableBOM[Product ID]=A18)*(TableBOM[Material Category]="SLUG")*TableBOM[Per 1000 Units]*(1+TableBOM[Scrap %]))*I18/1000,0))</f>
        <v/>
      </c>
      <c r="K18" s="41" t="str">
        <f>IF(I18="","",IFERROR(SUMPRODUCT((TableBOM[Product ID]=A18)*(TableBOM[Material Category]="BASE COAT")*TableBOM[Per 1000 Units]*(1+TableBOM[Scrap %]))*I18/1000,0))</f>
        <v/>
      </c>
      <c r="L18" s="41" t="str">
        <f>IF(I18="","",IFERROR(SUMPRODUCT((TableBOM[Product ID]=A18)*(TableBOM[Material Category]="LACQUER")*TableBOM[Per 1000 Units]*(1+TableBOM[Scrap %]))*I18/1000,0))</f>
        <v/>
      </c>
      <c r="M18" s="41" t="str">
        <f>IF(I18="","",IFERROR(SUMPRODUCT((TableBOM[Product ID]=A18)*(TableBOM[Material Category]="LATEX")*TableBOM[Per 1000 Units]*(1+TableBOM[Scrap %]))*I18/1000,0))</f>
        <v/>
      </c>
      <c r="N18" s="41" t="str">
        <f>IF(I18="","",IFERROR(SUMPRODUCT((TableBOM[Product ID]=A18)*(TableBOM[Material Category]="ZINC")*TableBOM[Per 1000 Units]*(1+TableBOM[Scrap %]))*I18/1000,0))</f>
        <v/>
      </c>
      <c r="O18" s="41" t="str">
        <f>IF(I18="","",IFERROR(SUMPRODUCT((TableBOM[Product ID]=A18)*(TableBOM[Material Category]="CAP")*TableBOM[Per 1000 Units]*(1+TableBOM[Scrap %]))*I18/1000,0))</f>
        <v/>
      </c>
      <c r="P18" s="41" t="str">
        <f>IF(I18="","",IFERROR(SUMPRODUCT((TableBOM[Product ID]=A18)*(TableBOM[Material Category]="CARTON")*TableBOM[Per 1000 Units]*(1+TableBOM[Scrap %]))*I18/1000,0))</f>
        <v/>
      </c>
      <c r="Q18" s="41"/>
      <c r="R18" s="41"/>
      <c r="S18" s="41"/>
    </row>
    <row r="19" spans="1:19" ht="15" customHeight="1" x14ac:dyDescent="0.25">
      <c r="A19" s="39">
        <v>3726</v>
      </c>
      <c r="B19" s="39">
        <v>9</v>
      </c>
      <c r="C19" s="39" t="s">
        <v>14</v>
      </c>
      <c r="D19" s="40" t="s">
        <v>198</v>
      </c>
      <c r="E19" s="39">
        <v>25</v>
      </c>
      <c r="F19" s="39">
        <v>150</v>
      </c>
      <c r="G19" s="39" t="s">
        <v>371</v>
      </c>
      <c r="H19" s="39">
        <v>336</v>
      </c>
      <c r="I19" s="52"/>
      <c r="J19" s="41" t="str">
        <f>IF(I19="","",IFERROR(SUMPRODUCT((TableBOM[Product ID]=A19)*(TableBOM[Material Category]="SLUG")*TableBOM[Per 1000 Units]*(1+TableBOM[Scrap %]))*I19/1000,0))</f>
        <v/>
      </c>
      <c r="K19" s="41" t="str">
        <f>IF(I19="","",IFERROR(SUMPRODUCT((TableBOM[Product ID]=A19)*(TableBOM[Material Category]="BASE COAT")*TableBOM[Per 1000 Units]*(1+TableBOM[Scrap %]))*I19/1000,0))</f>
        <v/>
      </c>
      <c r="L19" s="41" t="str">
        <f>IF(I19="","",IFERROR(SUMPRODUCT((TableBOM[Product ID]=A19)*(TableBOM[Material Category]="LACQUER")*TableBOM[Per 1000 Units]*(1+TableBOM[Scrap %]))*I19/1000,0))</f>
        <v/>
      </c>
      <c r="M19" s="41" t="str">
        <f>IF(I19="","",IFERROR(SUMPRODUCT((TableBOM[Product ID]=A19)*(TableBOM[Material Category]="LATEX")*TableBOM[Per 1000 Units]*(1+TableBOM[Scrap %]))*I19/1000,0))</f>
        <v/>
      </c>
      <c r="N19" s="41" t="str">
        <f>IF(I19="","",IFERROR(SUMPRODUCT((TableBOM[Product ID]=A19)*(TableBOM[Material Category]="ZINC")*TableBOM[Per 1000 Units]*(1+TableBOM[Scrap %]))*I19/1000,0))</f>
        <v/>
      </c>
      <c r="O19" s="41" t="str">
        <f>IF(I19="","",IFERROR(SUMPRODUCT((TableBOM[Product ID]=A19)*(TableBOM[Material Category]="CAP")*TableBOM[Per 1000 Units]*(1+TableBOM[Scrap %]))*I19/1000,0))</f>
        <v/>
      </c>
      <c r="P19" s="41" t="str">
        <f>IF(I19="","",IFERROR(SUMPRODUCT((TableBOM[Product ID]=A19)*(TableBOM[Material Category]="CARTON")*TableBOM[Per 1000 Units]*(1+TableBOM[Scrap %]))*I19/1000,0))</f>
        <v/>
      </c>
      <c r="Q19" s="41"/>
      <c r="R19" s="41"/>
      <c r="S19" s="41"/>
    </row>
    <row r="20" spans="1:19" ht="15" customHeight="1" x14ac:dyDescent="0.25">
      <c r="A20" s="39">
        <v>6470</v>
      </c>
      <c r="B20" s="39">
        <v>177</v>
      </c>
      <c r="C20" s="39" t="s">
        <v>14</v>
      </c>
      <c r="D20" s="40" t="s">
        <v>15</v>
      </c>
      <c r="E20" s="39">
        <v>25</v>
      </c>
      <c r="F20" s="39">
        <v>150</v>
      </c>
      <c r="G20" s="39" t="s">
        <v>371</v>
      </c>
      <c r="H20" s="39">
        <v>336</v>
      </c>
      <c r="I20" s="52"/>
      <c r="J20" s="41" t="str">
        <f>IF(I20="","",IFERROR(SUMPRODUCT((TableBOM[Product ID]=A20)*(TableBOM[Material Category]="SLUG")*TableBOM[Per 1000 Units]*(1+TableBOM[Scrap %]))*I20/1000,0))</f>
        <v/>
      </c>
      <c r="K20" s="41" t="str">
        <f>IF(I20="","",IFERROR(SUMPRODUCT((TableBOM[Product ID]=A20)*(TableBOM[Material Category]="BASE COAT")*TableBOM[Per 1000 Units]*(1+TableBOM[Scrap %]))*I20/1000,0))</f>
        <v/>
      </c>
      <c r="L20" s="41" t="str">
        <f>IF(I20="","",IFERROR(SUMPRODUCT((TableBOM[Product ID]=A20)*(TableBOM[Material Category]="LACQUER")*TableBOM[Per 1000 Units]*(1+TableBOM[Scrap %]))*I20/1000,0))</f>
        <v/>
      </c>
      <c r="M20" s="41" t="str">
        <f>IF(I20="","",IFERROR(SUMPRODUCT((TableBOM[Product ID]=A20)*(TableBOM[Material Category]="LATEX")*TableBOM[Per 1000 Units]*(1+TableBOM[Scrap %]))*I20/1000,0))</f>
        <v/>
      </c>
      <c r="N20" s="41" t="str">
        <f>IF(I20="","",IFERROR(SUMPRODUCT((TableBOM[Product ID]=A20)*(TableBOM[Material Category]="ZINC")*TableBOM[Per 1000 Units]*(1+TableBOM[Scrap %]))*I20/1000,0))</f>
        <v/>
      </c>
      <c r="O20" s="41" t="str">
        <f>IF(I20="","",IFERROR(SUMPRODUCT((TableBOM[Product ID]=A20)*(TableBOM[Material Category]="CAP")*TableBOM[Per 1000 Units]*(1+TableBOM[Scrap %]))*I20/1000,0))</f>
        <v/>
      </c>
      <c r="P20" s="41" t="str">
        <f>IF(I20="","",IFERROR(SUMPRODUCT((TableBOM[Product ID]=A20)*(TableBOM[Material Category]="CARTON")*TableBOM[Per 1000 Units]*(1+TableBOM[Scrap %]))*I20/1000,0))</f>
        <v/>
      </c>
      <c r="Q20" s="41"/>
      <c r="R20" s="41"/>
      <c r="S20" s="41"/>
    </row>
    <row r="21" spans="1:19" ht="15" customHeight="1" x14ac:dyDescent="0.25">
      <c r="A21" s="39">
        <v>6506</v>
      </c>
      <c r="B21" s="39">
        <v>179</v>
      </c>
      <c r="C21" s="39" t="s">
        <v>14</v>
      </c>
      <c r="D21" s="40" t="s">
        <v>200</v>
      </c>
      <c r="E21" s="39">
        <v>25</v>
      </c>
      <c r="F21" s="39">
        <v>150</v>
      </c>
      <c r="G21" s="39" t="s">
        <v>371</v>
      </c>
      <c r="H21" s="39">
        <v>336</v>
      </c>
      <c r="I21" s="52"/>
      <c r="J21" s="41" t="str">
        <f>IF(I21="","",IFERROR(SUMPRODUCT((TableBOM[Product ID]=A21)*(TableBOM[Material Category]="SLUG")*TableBOM[Per 1000 Units]*(1+TableBOM[Scrap %]))*I21/1000,0))</f>
        <v/>
      </c>
      <c r="K21" s="41" t="str">
        <f>IF(I21="","",IFERROR(SUMPRODUCT((TableBOM[Product ID]=A21)*(TableBOM[Material Category]="BASE COAT")*TableBOM[Per 1000 Units]*(1+TableBOM[Scrap %]))*I21/1000,0))</f>
        <v/>
      </c>
      <c r="L21" s="41" t="str">
        <f>IF(I21="","",IFERROR(SUMPRODUCT((TableBOM[Product ID]=A21)*(TableBOM[Material Category]="LACQUER")*TableBOM[Per 1000 Units]*(1+TableBOM[Scrap %]))*I21/1000,0))</f>
        <v/>
      </c>
      <c r="M21" s="41" t="str">
        <f>IF(I21="","",IFERROR(SUMPRODUCT((TableBOM[Product ID]=A21)*(TableBOM[Material Category]="LATEX")*TableBOM[Per 1000 Units]*(1+TableBOM[Scrap %]))*I21/1000,0))</f>
        <v/>
      </c>
      <c r="N21" s="41" t="str">
        <f>IF(I21="","",IFERROR(SUMPRODUCT((TableBOM[Product ID]=A21)*(TableBOM[Material Category]="ZINC")*TableBOM[Per 1000 Units]*(1+TableBOM[Scrap %]))*I21/1000,0))</f>
        <v/>
      </c>
      <c r="O21" s="41" t="str">
        <f>IF(I21="","",IFERROR(SUMPRODUCT((TableBOM[Product ID]=A21)*(TableBOM[Material Category]="CAP")*TableBOM[Per 1000 Units]*(1+TableBOM[Scrap %]))*I21/1000,0))</f>
        <v/>
      </c>
      <c r="P21" s="41" t="str">
        <f>IF(I21="","",IFERROR(SUMPRODUCT((TableBOM[Product ID]=A21)*(TableBOM[Material Category]="CARTON")*TableBOM[Per 1000 Units]*(1+TableBOM[Scrap %]))*I21/1000,0))</f>
        <v/>
      </c>
      <c r="Q21" s="41"/>
      <c r="R21" s="41"/>
      <c r="S21" s="41"/>
    </row>
    <row r="22" spans="1:19" ht="15" customHeight="1" x14ac:dyDescent="0.25">
      <c r="A22" s="39">
        <v>6532</v>
      </c>
      <c r="B22" s="39">
        <v>181</v>
      </c>
      <c r="C22" s="39" t="s">
        <v>14</v>
      </c>
      <c r="D22" s="40" t="s">
        <v>199</v>
      </c>
      <c r="E22" s="39">
        <v>25</v>
      </c>
      <c r="F22" s="39">
        <v>150</v>
      </c>
      <c r="G22" s="39" t="s">
        <v>371</v>
      </c>
      <c r="H22" s="39">
        <v>336</v>
      </c>
      <c r="I22" s="52">
        <v>17472</v>
      </c>
      <c r="J22" s="41">
        <f>IF(I22="","",IFERROR(SUMPRODUCT((TableBOM[Product ID]=A22)*(TableBOM[Material Category]="SLUG")*TableBOM[Per 1000 Units]*(1+TableBOM[Scrap %]))*I22/1000,0))</f>
        <v>113.7200064</v>
      </c>
      <c r="K22" s="41">
        <f>IF(I22="","",IFERROR(SUMPRODUCT((TableBOM[Product ID]=A22)*(TableBOM[Material Category]="BASE COAT")*TableBOM[Per 1000 Units]*(1+TableBOM[Scrap %]))*I22/1000,0))</f>
        <v>11.762150400000001</v>
      </c>
      <c r="L22" s="41">
        <f>IF(I22="","",IFERROR(SUMPRODUCT((TableBOM[Product ID]=A22)*(TableBOM[Material Category]="LACQUER")*TableBOM[Per 1000 Units]*(1+TableBOM[Scrap %]))*I22/1000,0))</f>
        <v>5.6120063999999994</v>
      </c>
      <c r="M22" s="41">
        <f>IF(I22="","",IFERROR(SUMPRODUCT((TableBOM[Product ID]=A22)*(TableBOM[Material Category]="LATEX")*TableBOM[Per 1000 Units]*(1+TableBOM[Scrap %]))*I22/1000,0))</f>
        <v>0</v>
      </c>
      <c r="N22" s="41">
        <f>IF(I22="","",IFERROR(SUMPRODUCT((TableBOM[Product ID]=A22)*(TableBOM[Material Category]="ZINC")*TableBOM[Per 1000 Units]*(1+TableBOM[Scrap %]))*I22/1000,0))</f>
        <v>0</v>
      </c>
      <c r="O22" s="41">
        <f>IF(I22="","",IFERROR(SUMPRODUCT((TableBOM[Product ID]=A22)*(TableBOM[Material Category]="CAP")*TableBOM[Per 1000 Units]*(1+TableBOM[Scrap %]))*I22/1000,0))</f>
        <v>17821.439999999999</v>
      </c>
      <c r="P22" s="41">
        <f>IF(I22="","",IFERROR(SUMPRODUCT((TableBOM[Product ID]=A22)*(TableBOM[Material Category]="CARTON")*TableBOM[Per 1000 Units]*(1+TableBOM[Scrap %]))*I22/1000,0))</f>
        <v>57.196339200000004</v>
      </c>
      <c r="Q22" s="41"/>
      <c r="R22" s="41"/>
      <c r="S22" s="41"/>
    </row>
    <row r="23" spans="1:19" ht="15" hidden="1" customHeight="1" x14ac:dyDescent="0.25">
      <c r="A23" s="39">
        <v>6338</v>
      </c>
      <c r="B23" s="39">
        <v>167</v>
      </c>
      <c r="C23" s="39" t="s">
        <v>202</v>
      </c>
      <c r="D23" s="40" t="s">
        <v>203</v>
      </c>
      <c r="E23" s="39">
        <v>25</v>
      </c>
      <c r="F23" s="39">
        <v>155</v>
      </c>
      <c r="G23" s="39" t="s">
        <v>371</v>
      </c>
      <c r="H23" s="39">
        <v>336</v>
      </c>
      <c r="I23" s="52"/>
      <c r="J23" s="41" t="str">
        <f>IF(I23="","",IFERROR(SUMPRODUCT((TableBOM[Product ID]=A23)*(TableBOM[Material Category]="SLUG")*TableBOM[Per 1000 Units]*(1+TableBOM[Scrap %]))*I23/1000,0))</f>
        <v/>
      </c>
      <c r="K23" s="41" t="str">
        <f>IF(I23="","",IFERROR(SUMPRODUCT((TableBOM[Product ID]=A23)*(TableBOM[Material Category]="BASE COAT")*TableBOM[Per 1000 Units]*(1+TableBOM[Scrap %]))*I23/1000,0))</f>
        <v/>
      </c>
      <c r="L23" s="41" t="str">
        <f>IF(I23="","",IFERROR(SUMPRODUCT((TableBOM[Product ID]=A23)*(TableBOM[Material Category]="LACQUER")*TableBOM[Per 1000 Units]*(1+TableBOM[Scrap %]))*I23/1000,0))</f>
        <v/>
      </c>
      <c r="M23" s="41" t="str">
        <f>IF(I23="","",IFERROR(SUMPRODUCT((TableBOM[Product ID]=A23)*(TableBOM[Material Category]="LATEX")*TableBOM[Per 1000 Units]*(1+TableBOM[Scrap %]))*I23/1000,0))</f>
        <v/>
      </c>
      <c r="N23" s="41" t="str">
        <f>IF(I23="","",IFERROR(SUMPRODUCT((TableBOM[Product ID]=A23)*(TableBOM[Material Category]="ZINC")*TableBOM[Per 1000 Units]*(1+TableBOM[Scrap %]))*I23/1000,0))</f>
        <v/>
      </c>
      <c r="O23" s="41" t="str">
        <f>IF(I23="","",IFERROR(SUMPRODUCT((TableBOM[Product ID]=A23)*(TableBOM[Material Category]="CAP")*TableBOM[Per 1000 Units]*(1+TableBOM[Scrap %]))*I23/1000,0))</f>
        <v/>
      </c>
      <c r="P23" s="41" t="str">
        <f>IF(I23="","",IFERROR(SUMPRODUCT((TableBOM[Product ID]=A23)*(TableBOM[Material Category]="CARTON")*TableBOM[Per 1000 Units]*(1+TableBOM[Scrap %]))*I23/1000,0))</f>
        <v/>
      </c>
      <c r="Q23" s="41"/>
      <c r="R23" s="41"/>
      <c r="S23" s="41"/>
    </row>
    <row r="24" spans="1:19" ht="15" hidden="1" customHeight="1" x14ac:dyDescent="0.25">
      <c r="A24" s="39">
        <v>6337</v>
      </c>
      <c r="B24" s="39">
        <v>166</v>
      </c>
      <c r="C24" s="39" t="s">
        <v>211</v>
      </c>
      <c r="D24" s="40" t="s">
        <v>213</v>
      </c>
      <c r="E24" s="39">
        <v>30</v>
      </c>
      <c r="F24" s="39">
        <v>130</v>
      </c>
      <c r="G24" s="39" t="s">
        <v>372</v>
      </c>
      <c r="H24" s="39">
        <v>150</v>
      </c>
      <c r="I24" s="52"/>
      <c r="J24" s="41" t="str">
        <f>IF(I24="","",IFERROR(SUMPRODUCT((TableBOM[Product ID]=A24)*(TableBOM[Material Category]="SLUG")*TableBOM[Per 1000 Units]*(1+TableBOM[Scrap %]))*I24/1000,0))</f>
        <v/>
      </c>
      <c r="K24" s="41" t="str">
        <f>IF(I24="","",IFERROR(SUMPRODUCT((TableBOM[Product ID]=A24)*(TableBOM[Material Category]="BASE COAT")*TableBOM[Per 1000 Units]*(1+TableBOM[Scrap %]))*I24/1000,0))</f>
        <v/>
      </c>
      <c r="L24" s="41" t="str">
        <f>IF(I24="","",IFERROR(SUMPRODUCT((TableBOM[Product ID]=A24)*(TableBOM[Material Category]="LACQUER")*TableBOM[Per 1000 Units]*(1+TableBOM[Scrap %]))*I24/1000,0))</f>
        <v/>
      </c>
      <c r="M24" s="41" t="str">
        <f>IF(I24="","",IFERROR(SUMPRODUCT((TableBOM[Product ID]=A24)*(TableBOM[Material Category]="LATEX")*TableBOM[Per 1000 Units]*(1+TableBOM[Scrap %]))*I24/1000,0))</f>
        <v/>
      </c>
      <c r="N24" s="41" t="str">
        <f>IF(I24="","",IFERROR(SUMPRODUCT((TableBOM[Product ID]=A24)*(TableBOM[Material Category]="ZINC")*TableBOM[Per 1000 Units]*(1+TableBOM[Scrap %]))*I24/1000,0))</f>
        <v/>
      </c>
      <c r="O24" s="41" t="str">
        <f>IF(I24="","",IFERROR(SUMPRODUCT((TableBOM[Product ID]=A24)*(TableBOM[Material Category]="CAP")*TableBOM[Per 1000 Units]*(1+TableBOM[Scrap %]))*I24/1000,0))</f>
        <v/>
      </c>
      <c r="P24" s="41" t="str">
        <f>IF(I24="","",IFERROR(SUMPRODUCT((TableBOM[Product ID]=A24)*(TableBOM[Material Category]="CARTON")*TableBOM[Per 1000 Units]*(1+TableBOM[Scrap %]))*I24/1000,0))</f>
        <v/>
      </c>
      <c r="Q24" s="41"/>
      <c r="R24" s="41"/>
      <c r="S24" s="41"/>
    </row>
    <row r="25" spans="1:19" ht="15" hidden="1" customHeight="1" x14ac:dyDescent="0.25">
      <c r="A25" s="39">
        <v>6416</v>
      </c>
      <c r="B25" s="39">
        <v>171</v>
      </c>
      <c r="C25" s="39" t="s">
        <v>211</v>
      </c>
      <c r="D25" s="40" t="s">
        <v>212</v>
      </c>
      <c r="E25" s="39">
        <v>30</v>
      </c>
      <c r="F25" s="39">
        <v>130</v>
      </c>
      <c r="G25" s="39" t="s">
        <v>372</v>
      </c>
      <c r="H25" s="39">
        <v>150</v>
      </c>
      <c r="I25" s="52"/>
      <c r="J25" s="41" t="str">
        <f>IF(I25="","",IFERROR(SUMPRODUCT((TableBOM[Product ID]=A25)*(TableBOM[Material Category]="SLUG")*TableBOM[Per 1000 Units]*(1+TableBOM[Scrap %]))*I25/1000,0))</f>
        <v/>
      </c>
      <c r="K25" s="41" t="str">
        <f>IF(I25="","",IFERROR(SUMPRODUCT((TableBOM[Product ID]=A25)*(TableBOM[Material Category]="BASE COAT")*TableBOM[Per 1000 Units]*(1+TableBOM[Scrap %]))*I25/1000,0))</f>
        <v/>
      </c>
      <c r="L25" s="41" t="str">
        <f>IF(I25="","",IFERROR(SUMPRODUCT((TableBOM[Product ID]=A25)*(TableBOM[Material Category]="LACQUER")*TableBOM[Per 1000 Units]*(1+TableBOM[Scrap %]))*I25/1000,0))</f>
        <v/>
      </c>
      <c r="M25" s="41" t="str">
        <f>IF(I25="","",IFERROR(SUMPRODUCT((TableBOM[Product ID]=A25)*(TableBOM[Material Category]="LATEX")*TableBOM[Per 1000 Units]*(1+TableBOM[Scrap %]))*I25/1000,0))</f>
        <v/>
      </c>
      <c r="N25" s="41" t="str">
        <f>IF(I25="","",IFERROR(SUMPRODUCT((TableBOM[Product ID]=A25)*(TableBOM[Material Category]="ZINC")*TableBOM[Per 1000 Units]*(1+TableBOM[Scrap %]))*I25/1000,0))</f>
        <v/>
      </c>
      <c r="O25" s="41" t="str">
        <f>IF(I25="","",IFERROR(SUMPRODUCT((TableBOM[Product ID]=A25)*(TableBOM[Material Category]="CAP")*TableBOM[Per 1000 Units]*(1+TableBOM[Scrap %]))*I25/1000,0))</f>
        <v/>
      </c>
      <c r="P25" s="41" t="str">
        <f>IF(I25="","",IFERROR(SUMPRODUCT((TableBOM[Product ID]=A25)*(TableBOM[Material Category]="CARTON")*TableBOM[Per 1000 Units]*(1+TableBOM[Scrap %]))*I25/1000,0))</f>
        <v/>
      </c>
      <c r="Q25" s="41"/>
      <c r="R25" s="41"/>
      <c r="S25" s="41"/>
    </row>
    <row r="26" spans="1:19" ht="15" hidden="1" customHeight="1" x14ac:dyDescent="0.25">
      <c r="A26" s="39">
        <v>6206</v>
      </c>
      <c r="B26" s="39">
        <v>149</v>
      </c>
      <c r="C26" s="39" t="s">
        <v>19</v>
      </c>
      <c r="D26" s="40" t="s">
        <v>20</v>
      </c>
      <c r="E26" s="39">
        <v>30</v>
      </c>
      <c r="F26" s="39">
        <v>130</v>
      </c>
      <c r="G26" s="39" t="s">
        <v>372</v>
      </c>
      <c r="H26" s="39">
        <v>245</v>
      </c>
      <c r="I26" s="52"/>
      <c r="J26" s="41" t="str">
        <f>IF(I26="","",IFERROR(SUMPRODUCT((TableBOM[Product ID]=A26)*(TableBOM[Material Category]="SLUG")*TableBOM[Per 1000 Units]*(1+TableBOM[Scrap %]))*I26/1000,0))</f>
        <v/>
      </c>
      <c r="K26" s="41" t="str">
        <f>IF(I26="","",IFERROR(SUMPRODUCT((TableBOM[Product ID]=A26)*(TableBOM[Material Category]="BASE COAT")*TableBOM[Per 1000 Units]*(1+TableBOM[Scrap %]))*I26/1000,0))</f>
        <v/>
      </c>
      <c r="L26" s="41" t="str">
        <f>IF(I26="","",IFERROR(SUMPRODUCT((TableBOM[Product ID]=A26)*(TableBOM[Material Category]="LACQUER")*TableBOM[Per 1000 Units]*(1+TableBOM[Scrap %]))*I26/1000,0))</f>
        <v/>
      </c>
      <c r="M26" s="41" t="str">
        <f>IF(I26="","",IFERROR(SUMPRODUCT((TableBOM[Product ID]=A26)*(TableBOM[Material Category]="LATEX")*TableBOM[Per 1000 Units]*(1+TableBOM[Scrap %]))*I26/1000,0))</f>
        <v/>
      </c>
      <c r="N26" s="41" t="str">
        <f>IF(I26="","",IFERROR(SUMPRODUCT((TableBOM[Product ID]=A26)*(TableBOM[Material Category]="ZINC")*TableBOM[Per 1000 Units]*(1+TableBOM[Scrap %]))*I26/1000,0))</f>
        <v/>
      </c>
      <c r="O26" s="41" t="str">
        <f>IF(I26="","",IFERROR(SUMPRODUCT((TableBOM[Product ID]=A26)*(TableBOM[Material Category]="CAP")*TableBOM[Per 1000 Units]*(1+TableBOM[Scrap %]))*I26/1000,0))</f>
        <v/>
      </c>
      <c r="P26" s="41" t="str">
        <f>IF(I26="","",IFERROR(SUMPRODUCT((TableBOM[Product ID]=A26)*(TableBOM[Material Category]="CARTON")*TableBOM[Per 1000 Units]*(1+TableBOM[Scrap %]))*I26/1000,0))</f>
        <v/>
      </c>
      <c r="Q26" s="41"/>
      <c r="R26" s="41"/>
      <c r="S26" s="41"/>
    </row>
    <row r="27" spans="1:19" ht="15" hidden="1" customHeight="1" x14ac:dyDescent="0.25">
      <c r="A27" s="39">
        <v>5814</v>
      </c>
      <c r="B27" s="39">
        <v>95</v>
      </c>
      <c r="C27" s="39" t="s">
        <v>11</v>
      </c>
      <c r="D27" s="40" t="s">
        <v>17</v>
      </c>
      <c r="E27" s="39">
        <v>30</v>
      </c>
      <c r="F27" s="39">
        <v>130</v>
      </c>
      <c r="G27" s="39" t="s">
        <v>372</v>
      </c>
      <c r="H27" s="39">
        <v>150</v>
      </c>
      <c r="I27" s="52"/>
      <c r="J27" s="41" t="str">
        <f>IF(I27="","",IFERROR(SUMPRODUCT((TableBOM[Product ID]=A27)*(TableBOM[Material Category]="SLUG")*TableBOM[Per 1000 Units]*(1+TableBOM[Scrap %]))*I27/1000,0))</f>
        <v/>
      </c>
      <c r="K27" s="41" t="str">
        <f>IF(I27="","",IFERROR(SUMPRODUCT((TableBOM[Product ID]=A27)*(TableBOM[Material Category]="BASE COAT")*TableBOM[Per 1000 Units]*(1+TableBOM[Scrap %]))*I27/1000,0))</f>
        <v/>
      </c>
      <c r="L27" s="41" t="str">
        <f>IF(I27="","",IFERROR(SUMPRODUCT((TableBOM[Product ID]=A27)*(TableBOM[Material Category]="LACQUER")*TableBOM[Per 1000 Units]*(1+TableBOM[Scrap %]))*I27/1000,0))</f>
        <v/>
      </c>
      <c r="M27" s="41" t="str">
        <f>IF(I27="","",IFERROR(SUMPRODUCT((TableBOM[Product ID]=A27)*(TableBOM[Material Category]="LATEX")*TableBOM[Per 1000 Units]*(1+TableBOM[Scrap %]))*I27/1000,0))</f>
        <v/>
      </c>
      <c r="N27" s="41" t="str">
        <f>IF(I27="","",IFERROR(SUMPRODUCT((TableBOM[Product ID]=A27)*(TableBOM[Material Category]="ZINC")*TableBOM[Per 1000 Units]*(1+TableBOM[Scrap %]))*I27/1000,0))</f>
        <v/>
      </c>
      <c r="O27" s="41" t="str">
        <f>IF(I27="","",IFERROR(SUMPRODUCT((TableBOM[Product ID]=A27)*(TableBOM[Material Category]="CAP")*TableBOM[Per 1000 Units]*(1+TableBOM[Scrap %]))*I27/1000,0))</f>
        <v/>
      </c>
      <c r="P27" s="41" t="str">
        <f>IF(I27="","",IFERROR(SUMPRODUCT((TableBOM[Product ID]=A27)*(TableBOM[Material Category]="CARTON")*TableBOM[Per 1000 Units]*(1+TableBOM[Scrap %]))*I27/1000,0))</f>
        <v/>
      </c>
      <c r="Q27" s="41"/>
      <c r="R27" s="41"/>
      <c r="S27" s="41"/>
    </row>
    <row r="28" spans="1:19" ht="15" hidden="1" customHeight="1" x14ac:dyDescent="0.25">
      <c r="A28" s="39">
        <v>9002</v>
      </c>
      <c r="B28" s="39">
        <v>901</v>
      </c>
      <c r="C28" s="39" t="s">
        <v>11</v>
      </c>
      <c r="D28" s="40" t="s">
        <v>214</v>
      </c>
      <c r="E28" s="39">
        <v>30</v>
      </c>
      <c r="F28" s="39">
        <v>130</v>
      </c>
      <c r="G28" s="39" t="s">
        <v>371</v>
      </c>
      <c r="H28" s="39">
        <v>245</v>
      </c>
      <c r="I28" s="52"/>
      <c r="J28" s="41" t="str">
        <f>IF(I28="","",IFERROR(SUMPRODUCT((TableBOM[Product ID]=A28)*(TableBOM[Material Category]="SLUG")*TableBOM[Per 1000 Units]*(1+TableBOM[Scrap %]))*I28/1000,0))</f>
        <v/>
      </c>
      <c r="K28" s="41" t="str">
        <f>IF(I28="","",IFERROR(SUMPRODUCT((TableBOM[Product ID]=A28)*(TableBOM[Material Category]="BASE COAT")*TableBOM[Per 1000 Units]*(1+TableBOM[Scrap %]))*I28/1000,0))</f>
        <v/>
      </c>
      <c r="L28" s="41" t="str">
        <f>IF(I28="","",IFERROR(SUMPRODUCT((TableBOM[Product ID]=A28)*(TableBOM[Material Category]="LACQUER")*TableBOM[Per 1000 Units]*(1+TableBOM[Scrap %]))*I28/1000,0))</f>
        <v/>
      </c>
      <c r="M28" s="41" t="str">
        <f>IF(I28="","",IFERROR(SUMPRODUCT((TableBOM[Product ID]=A28)*(TableBOM[Material Category]="LATEX")*TableBOM[Per 1000 Units]*(1+TableBOM[Scrap %]))*I28/1000,0))</f>
        <v/>
      </c>
      <c r="N28" s="41" t="str">
        <f>IF(I28="","",IFERROR(SUMPRODUCT((TableBOM[Product ID]=A28)*(TableBOM[Material Category]="ZINC")*TableBOM[Per 1000 Units]*(1+TableBOM[Scrap %]))*I28/1000,0))</f>
        <v/>
      </c>
      <c r="O28" s="41" t="str">
        <f>IF(I28="","",IFERROR(SUMPRODUCT((TableBOM[Product ID]=A28)*(TableBOM[Material Category]="CAP")*TableBOM[Per 1000 Units]*(1+TableBOM[Scrap %]))*I28/1000,0))</f>
        <v/>
      </c>
      <c r="P28" s="41" t="str">
        <f>IF(I28="","",IFERROR(SUMPRODUCT((TableBOM[Product ID]=A28)*(TableBOM[Material Category]="CARTON")*TableBOM[Per 1000 Units]*(1+TableBOM[Scrap %]))*I28/1000,0))</f>
        <v/>
      </c>
      <c r="Q28" s="41"/>
      <c r="R28" s="41"/>
      <c r="S28" s="41"/>
    </row>
    <row r="29" spans="1:19" ht="15" hidden="1" customHeight="1" x14ac:dyDescent="0.25">
      <c r="A29" s="39">
        <v>4050</v>
      </c>
      <c r="B29" s="39">
        <v>19</v>
      </c>
      <c r="C29" s="39" t="s">
        <v>208</v>
      </c>
      <c r="D29" s="40" t="s">
        <v>209</v>
      </c>
      <c r="E29" s="39">
        <v>30</v>
      </c>
      <c r="F29" s="39">
        <v>130</v>
      </c>
      <c r="G29" s="39" t="s">
        <v>372</v>
      </c>
      <c r="H29" s="39">
        <v>150</v>
      </c>
      <c r="I29" s="52"/>
      <c r="J29" s="41" t="str">
        <f>IF(I29="","",IFERROR(SUMPRODUCT((TableBOM[Product ID]=A29)*(TableBOM[Material Category]="SLUG")*TableBOM[Per 1000 Units]*(1+TableBOM[Scrap %]))*I29/1000,0))</f>
        <v/>
      </c>
      <c r="K29" s="41" t="str">
        <f>IF(I29="","",IFERROR(SUMPRODUCT((TableBOM[Product ID]=A29)*(TableBOM[Material Category]="BASE COAT")*TableBOM[Per 1000 Units]*(1+TableBOM[Scrap %]))*I29/1000,0))</f>
        <v/>
      </c>
      <c r="L29" s="41" t="str">
        <f>IF(I29="","",IFERROR(SUMPRODUCT((TableBOM[Product ID]=A29)*(TableBOM[Material Category]="LACQUER")*TableBOM[Per 1000 Units]*(1+TableBOM[Scrap %]))*I29/1000,0))</f>
        <v/>
      </c>
      <c r="M29" s="41" t="str">
        <f>IF(I29="","",IFERROR(SUMPRODUCT((TableBOM[Product ID]=A29)*(TableBOM[Material Category]="LATEX")*TableBOM[Per 1000 Units]*(1+TableBOM[Scrap %]))*I29/1000,0))</f>
        <v/>
      </c>
      <c r="N29" s="41" t="str">
        <f>IF(I29="","",IFERROR(SUMPRODUCT((TableBOM[Product ID]=A29)*(TableBOM[Material Category]="ZINC")*TableBOM[Per 1000 Units]*(1+TableBOM[Scrap %]))*I29/1000,0))</f>
        <v/>
      </c>
      <c r="O29" s="41" t="str">
        <f>IF(I29="","",IFERROR(SUMPRODUCT((TableBOM[Product ID]=A29)*(TableBOM[Material Category]="CAP")*TableBOM[Per 1000 Units]*(1+TableBOM[Scrap %]))*I29/1000,0))</f>
        <v/>
      </c>
      <c r="P29" s="41" t="str">
        <f>IF(I29="","",IFERROR(SUMPRODUCT((TableBOM[Product ID]=A29)*(TableBOM[Material Category]="CARTON")*TableBOM[Per 1000 Units]*(1+TableBOM[Scrap %]))*I29/1000,0))</f>
        <v/>
      </c>
      <c r="Q29" s="41"/>
      <c r="R29" s="41"/>
      <c r="S29" s="41"/>
    </row>
    <row r="30" spans="1:19" ht="15" hidden="1" customHeight="1" x14ac:dyDescent="0.25">
      <c r="A30" s="39">
        <v>6312</v>
      </c>
      <c r="B30" s="39">
        <v>157</v>
      </c>
      <c r="C30" s="39" t="s">
        <v>208</v>
      </c>
      <c r="D30" s="40" t="s">
        <v>210</v>
      </c>
      <c r="E30" s="39">
        <v>30</v>
      </c>
      <c r="F30" s="39">
        <v>130</v>
      </c>
      <c r="G30" s="39" t="s">
        <v>371</v>
      </c>
      <c r="H30" s="39">
        <v>150</v>
      </c>
      <c r="I30" s="52"/>
      <c r="J30" s="41" t="str">
        <f>IF(I30="","",IFERROR(SUMPRODUCT((TableBOM[Product ID]=A30)*(TableBOM[Material Category]="SLUG")*TableBOM[Per 1000 Units]*(1+TableBOM[Scrap %]))*I30/1000,0))</f>
        <v/>
      </c>
      <c r="K30" s="41" t="str">
        <f>IF(I30="","",IFERROR(SUMPRODUCT((TableBOM[Product ID]=A30)*(TableBOM[Material Category]="BASE COAT")*TableBOM[Per 1000 Units]*(1+TableBOM[Scrap %]))*I30/1000,0))</f>
        <v/>
      </c>
      <c r="L30" s="41" t="str">
        <f>IF(I30="","",IFERROR(SUMPRODUCT((TableBOM[Product ID]=A30)*(TableBOM[Material Category]="LACQUER")*TableBOM[Per 1000 Units]*(1+TableBOM[Scrap %]))*I30/1000,0))</f>
        <v/>
      </c>
      <c r="M30" s="41" t="str">
        <f>IF(I30="","",IFERROR(SUMPRODUCT((TableBOM[Product ID]=A30)*(TableBOM[Material Category]="LATEX")*TableBOM[Per 1000 Units]*(1+TableBOM[Scrap %]))*I30/1000,0))</f>
        <v/>
      </c>
      <c r="N30" s="41" t="str">
        <f>IF(I30="","",IFERROR(SUMPRODUCT((TableBOM[Product ID]=A30)*(TableBOM[Material Category]="ZINC")*TableBOM[Per 1000 Units]*(1+TableBOM[Scrap %]))*I30/1000,0))</f>
        <v/>
      </c>
      <c r="O30" s="41" t="str">
        <f>IF(I30="","",IFERROR(SUMPRODUCT((TableBOM[Product ID]=A30)*(TableBOM[Material Category]="CAP")*TableBOM[Per 1000 Units]*(1+TableBOM[Scrap %]))*I30/1000,0))</f>
        <v/>
      </c>
      <c r="P30" s="41" t="str">
        <f>IF(I30="","",IFERROR(SUMPRODUCT((TableBOM[Product ID]=A30)*(TableBOM[Material Category]="CARTON")*TableBOM[Per 1000 Units]*(1+TableBOM[Scrap %]))*I30/1000,0))</f>
        <v/>
      </c>
      <c r="Q30" s="41"/>
      <c r="R30" s="41"/>
      <c r="S30" s="41"/>
    </row>
    <row r="31" spans="1:19" ht="15" hidden="1" customHeight="1" x14ac:dyDescent="0.25">
      <c r="A31" s="39">
        <v>6595</v>
      </c>
      <c r="B31" s="39">
        <v>191</v>
      </c>
      <c r="C31" s="39" t="s">
        <v>206</v>
      </c>
      <c r="D31" s="40" t="s">
        <v>207</v>
      </c>
      <c r="E31" s="39">
        <v>30</v>
      </c>
      <c r="F31" s="39">
        <v>130</v>
      </c>
      <c r="G31" s="39" t="s">
        <v>372</v>
      </c>
      <c r="H31" s="39">
        <v>245</v>
      </c>
      <c r="I31" s="52"/>
      <c r="J31" s="41" t="str">
        <f>IF(I31="","",IFERROR(SUMPRODUCT((TableBOM[Product ID]=A31)*(TableBOM[Material Category]="SLUG")*TableBOM[Per 1000 Units]*(1+TableBOM[Scrap %]))*I31/1000,0))</f>
        <v/>
      </c>
      <c r="K31" s="41" t="str">
        <f>IF(I31="","",IFERROR(SUMPRODUCT((TableBOM[Product ID]=A31)*(TableBOM[Material Category]="BASE COAT")*TableBOM[Per 1000 Units]*(1+TableBOM[Scrap %]))*I31/1000,0))</f>
        <v/>
      </c>
      <c r="L31" s="41" t="str">
        <f>IF(I31="","",IFERROR(SUMPRODUCT((TableBOM[Product ID]=A31)*(TableBOM[Material Category]="LACQUER")*TableBOM[Per 1000 Units]*(1+TableBOM[Scrap %]))*I31/1000,0))</f>
        <v/>
      </c>
      <c r="M31" s="41" t="str">
        <f>IF(I31="","",IFERROR(SUMPRODUCT((TableBOM[Product ID]=A31)*(TableBOM[Material Category]="LATEX")*TableBOM[Per 1000 Units]*(1+TableBOM[Scrap %]))*I31/1000,0))</f>
        <v/>
      </c>
      <c r="N31" s="41" t="str">
        <f>IF(I31="","",IFERROR(SUMPRODUCT((TableBOM[Product ID]=A31)*(TableBOM[Material Category]="ZINC")*TableBOM[Per 1000 Units]*(1+TableBOM[Scrap %]))*I31/1000,0))</f>
        <v/>
      </c>
      <c r="O31" s="41" t="str">
        <f>IF(I31="","",IFERROR(SUMPRODUCT((TableBOM[Product ID]=A31)*(TableBOM[Material Category]="CAP")*TableBOM[Per 1000 Units]*(1+TableBOM[Scrap %]))*I31/1000,0))</f>
        <v/>
      </c>
      <c r="P31" s="41" t="str">
        <f>IF(I31="","",IFERROR(SUMPRODUCT((TableBOM[Product ID]=A31)*(TableBOM[Material Category]="CARTON")*TableBOM[Per 1000 Units]*(1+TableBOM[Scrap %]))*I31/1000,0))</f>
        <v/>
      </c>
      <c r="Q31" s="41"/>
      <c r="R31" s="41"/>
      <c r="S31" s="41"/>
    </row>
    <row r="32" spans="1:19" ht="15" hidden="1" customHeight="1" x14ac:dyDescent="0.25">
      <c r="A32" s="39">
        <v>5782</v>
      </c>
      <c r="B32" s="39">
        <v>70</v>
      </c>
      <c r="C32" s="39" t="s">
        <v>218</v>
      </c>
      <c r="D32" s="40" t="s">
        <v>219</v>
      </c>
      <c r="E32" s="39">
        <v>32</v>
      </c>
      <c r="F32" s="39">
        <v>155</v>
      </c>
      <c r="G32" s="39" t="s">
        <v>372</v>
      </c>
      <c r="H32" s="39">
        <v>230</v>
      </c>
      <c r="I32" s="52"/>
      <c r="J32" s="41" t="str">
        <f>IF(I32="","",IFERROR(SUMPRODUCT((TableBOM[Product ID]=A32)*(TableBOM[Material Category]="SLUG")*TableBOM[Per 1000 Units]*(1+TableBOM[Scrap %]))*I32/1000,0))</f>
        <v/>
      </c>
      <c r="K32" s="41" t="str">
        <f>IF(I32="","",IFERROR(SUMPRODUCT((TableBOM[Product ID]=A32)*(TableBOM[Material Category]="BASE COAT")*TableBOM[Per 1000 Units]*(1+TableBOM[Scrap %]))*I32/1000,0))</f>
        <v/>
      </c>
      <c r="L32" s="41" t="str">
        <f>IF(I32="","",IFERROR(SUMPRODUCT((TableBOM[Product ID]=A32)*(TableBOM[Material Category]="LACQUER")*TableBOM[Per 1000 Units]*(1+TableBOM[Scrap %]))*I32/1000,0))</f>
        <v/>
      </c>
      <c r="M32" s="41" t="str">
        <f>IF(I32="","",IFERROR(SUMPRODUCT((TableBOM[Product ID]=A32)*(TableBOM[Material Category]="LATEX")*TableBOM[Per 1000 Units]*(1+TableBOM[Scrap %]))*I32/1000,0))</f>
        <v/>
      </c>
      <c r="N32" s="41" t="str">
        <f>IF(I32="","",IFERROR(SUMPRODUCT((TableBOM[Product ID]=A32)*(TableBOM[Material Category]="ZINC")*TableBOM[Per 1000 Units]*(1+TableBOM[Scrap %]))*I32/1000,0))</f>
        <v/>
      </c>
      <c r="O32" s="41" t="str">
        <f>IF(I32="","",IFERROR(SUMPRODUCT((TableBOM[Product ID]=A32)*(TableBOM[Material Category]="CAP")*TableBOM[Per 1000 Units]*(1+TableBOM[Scrap %]))*I32/1000,0))</f>
        <v/>
      </c>
      <c r="P32" s="41" t="str">
        <f>IF(I32="","",IFERROR(SUMPRODUCT((TableBOM[Product ID]=A32)*(TableBOM[Material Category]="CARTON")*TableBOM[Per 1000 Units]*(1+TableBOM[Scrap %]))*I32/1000,0))</f>
        <v/>
      </c>
      <c r="Q32" s="41"/>
      <c r="R32" s="41"/>
      <c r="S32" s="41"/>
    </row>
    <row r="33" spans="1:19" ht="15" hidden="1" customHeight="1" x14ac:dyDescent="0.25">
      <c r="A33" s="39">
        <v>6515</v>
      </c>
      <c r="B33" s="39">
        <v>180</v>
      </c>
      <c r="C33" s="39" t="s">
        <v>21</v>
      </c>
      <c r="D33" s="40" t="s">
        <v>22</v>
      </c>
      <c r="E33" s="39">
        <v>32</v>
      </c>
      <c r="F33" s="39">
        <v>180</v>
      </c>
      <c r="G33" s="39" t="s">
        <v>372</v>
      </c>
      <c r="H33" s="39">
        <v>336</v>
      </c>
      <c r="I33" s="52"/>
      <c r="J33" s="41" t="str">
        <f>IF(I33="","",IFERROR(SUMPRODUCT((TableBOM[Product ID]=A33)*(TableBOM[Material Category]="SLUG")*TableBOM[Per 1000 Units]*(1+TableBOM[Scrap %]))*I33/1000,0))</f>
        <v/>
      </c>
      <c r="K33" s="41" t="str">
        <f>IF(I33="","",IFERROR(SUMPRODUCT((TableBOM[Product ID]=A33)*(TableBOM[Material Category]="BASE COAT")*TableBOM[Per 1000 Units]*(1+TableBOM[Scrap %]))*I33/1000,0))</f>
        <v/>
      </c>
      <c r="L33" s="41" t="str">
        <f>IF(I33="","",IFERROR(SUMPRODUCT((TableBOM[Product ID]=A33)*(TableBOM[Material Category]="LACQUER")*TableBOM[Per 1000 Units]*(1+TableBOM[Scrap %]))*I33/1000,0))</f>
        <v/>
      </c>
      <c r="M33" s="41" t="str">
        <f>IF(I33="","",IFERROR(SUMPRODUCT((TableBOM[Product ID]=A33)*(TableBOM[Material Category]="LATEX")*TableBOM[Per 1000 Units]*(1+TableBOM[Scrap %]))*I33/1000,0))</f>
        <v/>
      </c>
      <c r="N33" s="41" t="str">
        <f>IF(I33="","",IFERROR(SUMPRODUCT((TableBOM[Product ID]=A33)*(TableBOM[Material Category]="ZINC")*TableBOM[Per 1000 Units]*(1+TableBOM[Scrap %]))*I33/1000,0))</f>
        <v/>
      </c>
      <c r="O33" s="41" t="str">
        <f>IF(I33="","",IFERROR(SUMPRODUCT((TableBOM[Product ID]=A33)*(TableBOM[Material Category]="CAP")*TableBOM[Per 1000 Units]*(1+TableBOM[Scrap %]))*I33/1000,0))</f>
        <v/>
      </c>
      <c r="P33" s="41" t="str">
        <f>IF(I33="","",IFERROR(SUMPRODUCT((TableBOM[Product ID]=A33)*(TableBOM[Material Category]="CARTON")*TableBOM[Per 1000 Units]*(1+TableBOM[Scrap %]))*I33/1000,0))</f>
        <v/>
      </c>
      <c r="Q33" s="41"/>
      <c r="R33" s="41"/>
      <c r="S33" s="41"/>
    </row>
    <row r="34" spans="1:19" ht="15" hidden="1" customHeight="1" x14ac:dyDescent="0.25">
      <c r="A34" s="39">
        <v>6020</v>
      </c>
      <c r="B34" s="39">
        <v>130</v>
      </c>
      <c r="C34" s="39" t="s">
        <v>220</v>
      </c>
      <c r="D34" s="40" t="s">
        <v>223</v>
      </c>
      <c r="E34" s="39">
        <v>35</v>
      </c>
      <c r="F34" s="39">
        <v>165</v>
      </c>
      <c r="G34" s="39" t="s">
        <v>372</v>
      </c>
      <c r="H34" s="39">
        <v>180</v>
      </c>
      <c r="I34" s="52"/>
      <c r="J34" s="41" t="str">
        <f>IF(I34="","",IFERROR(SUMPRODUCT((TableBOM[Product ID]=A34)*(TableBOM[Material Category]="SLUG")*TableBOM[Per 1000 Units]*(1+TableBOM[Scrap %]))*I34/1000,0))</f>
        <v/>
      </c>
      <c r="K34" s="41" t="str">
        <f>IF(I34="","",IFERROR(SUMPRODUCT((TableBOM[Product ID]=A34)*(TableBOM[Material Category]="BASE COAT")*TableBOM[Per 1000 Units]*(1+TableBOM[Scrap %]))*I34/1000,0))</f>
        <v/>
      </c>
      <c r="L34" s="41" t="str">
        <f>IF(I34="","",IFERROR(SUMPRODUCT((TableBOM[Product ID]=A34)*(TableBOM[Material Category]="LACQUER")*TableBOM[Per 1000 Units]*(1+TableBOM[Scrap %]))*I34/1000,0))</f>
        <v/>
      </c>
      <c r="M34" s="41" t="str">
        <f>IF(I34="","",IFERROR(SUMPRODUCT((TableBOM[Product ID]=A34)*(TableBOM[Material Category]="LATEX")*TableBOM[Per 1000 Units]*(1+TableBOM[Scrap %]))*I34/1000,0))</f>
        <v/>
      </c>
      <c r="N34" s="41" t="str">
        <f>IF(I34="","",IFERROR(SUMPRODUCT((TableBOM[Product ID]=A34)*(TableBOM[Material Category]="ZINC")*TableBOM[Per 1000 Units]*(1+TableBOM[Scrap %]))*I34/1000,0))</f>
        <v/>
      </c>
      <c r="O34" s="41" t="str">
        <f>IF(I34="","",IFERROR(SUMPRODUCT((TableBOM[Product ID]=A34)*(TableBOM[Material Category]="CAP")*TableBOM[Per 1000 Units]*(1+TableBOM[Scrap %]))*I34/1000,0))</f>
        <v/>
      </c>
      <c r="P34" s="41" t="str">
        <f>IF(I34="","",IFERROR(SUMPRODUCT((TableBOM[Product ID]=A34)*(TableBOM[Material Category]="CARTON")*TableBOM[Per 1000 Units]*(1+TableBOM[Scrap %]))*I34/1000,0))</f>
        <v/>
      </c>
      <c r="Q34" s="41"/>
      <c r="R34" s="41"/>
      <c r="S34" s="41"/>
    </row>
    <row r="35" spans="1:19" ht="15" hidden="1" customHeight="1" x14ac:dyDescent="0.25">
      <c r="A35" s="39">
        <v>6021</v>
      </c>
      <c r="B35" s="39">
        <v>131</v>
      </c>
      <c r="C35" s="39" t="s">
        <v>220</v>
      </c>
      <c r="D35" s="40" t="s">
        <v>224</v>
      </c>
      <c r="E35" s="39">
        <v>35</v>
      </c>
      <c r="F35" s="39">
        <v>165</v>
      </c>
      <c r="G35" s="39" t="s">
        <v>372</v>
      </c>
      <c r="H35" s="39">
        <v>180</v>
      </c>
      <c r="I35" s="52"/>
      <c r="J35" s="41" t="str">
        <f>IF(I35="","",IFERROR(SUMPRODUCT((TableBOM[Product ID]=A35)*(TableBOM[Material Category]="SLUG")*TableBOM[Per 1000 Units]*(1+TableBOM[Scrap %]))*I35/1000,0))</f>
        <v/>
      </c>
      <c r="K35" s="41" t="str">
        <f>IF(I35="","",IFERROR(SUMPRODUCT((TableBOM[Product ID]=A35)*(TableBOM[Material Category]="BASE COAT")*TableBOM[Per 1000 Units]*(1+TableBOM[Scrap %]))*I35/1000,0))</f>
        <v/>
      </c>
      <c r="L35" s="41" t="str">
        <f>IF(I35="","",IFERROR(SUMPRODUCT((TableBOM[Product ID]=A35)*(TableBOM[Material Category]="LACQUER")*TableBOM[Per 1000 Units]*(1+TableBOM[Scrap %]))*I35/1000,0))</f>
        <v/>
      </c>
      <c r="M35" s="41" t="str">
        <f>IF(I35="","",IFERROR(SUMPRODUCT((TableBOM[Product ID]=A35)*(TableBOM[Material Category]="LATEX")*TableBOM[Per 1000 Units]*(1+TableBOM[Scrap %]))*I35/1000,0))</f>
        <v/>
      </c>
      <c r="N35" s="41" t="str">
        <f>IF(I35="","",IFERROR(SUMPRODUCT((TableBOM[Product ID]=A35)*(TableBOM[Material Category]="ZINC")*TableBOM[Per 1000 Units]*(1+TableBOM[Scrap %]))*I35/1000,0))</f>
        <v/>
      </c>
      <c r="O35" s="41" t="str">
        <f>IF(I35="","",IFERROR(SUMPRODUCT((TableBOM[Product ID]=A35)*(TableBOM[Material Category]="CAP")*TableBOM[Per 1000 Units]*(1+TableBOM[Scrap %]))*I35/1000,0))</f>
        <v/>
      </c>
      <c r="P35" s="41" t="str">
        <f>IF(I35="","",IFERROR(SUMPRODUCT((TableBOM[Product ID]=A35)*(TableBOM[Material Category]="CARTON")*TableBOM[Per 1000 Units]*(1+TableBOM[Scrap %]))*I35/1000,0))</f>
        <v/>
      </c>
      <c r="Q35" s="41"/>
      <c r="R35" s="41"/>
      <c r="S35" s="41"/>
    </row>
    <row r="36" spans="1:19" ht="15" hidden="1" customHeight="1" x14ac:dyDescent="0.25">
      <c r="A36" s="39">
        <v>6530</v>
      </c>
      <c r="B36" s="39">
        <v>182</v>
      </c>
      <c r="C36" s="39" t="s">
        <v>220</v>
      </c>
      <c r="D36" s="40" t="s">
        <v>221</v>
      </c>
      <c r="E36" s="39">
        <v>35</v>
      </c>
      <c r="F36" s="39">
        <v>170</v>
      </c>
      <c r="G36" s="39" t="s">
        <v>372</v>
      </c>
      <c r="H36" s="39">
        <v>336</v>
      </c>
      <c r="I36" s="52"/>
      <c r="J36" s="41" t="str">
        <f>IF(I36="","",IFERROR(SUMPRODUCT((TableBOM[Product ID]=A36)*(TableBOM[Material Category]="SLUG")*TableBOM[Per 1000 Units]*(1+TableBOM[Scrap %]))*I36/1000,0))</f>
        <v/>
      </c>
      <c r="K36" s="41" t="str">
        <f>IF(I36="","",IFERROR(SUMPRODUCT((TableBOM[Product ID]=A36)*(TableBOM[Material Category]="BASE COAT")*TableBOM[Per 1000 Units]*(1+TableBOM[Scrap %]))*I36/1000,0))</f>
        <v/>
      </c>
      <c r="L36" s="41" t="str">
        <f>IF(I36="","",IFERROR(SUMPRODUCT((TableBOM[Product ID]=A36)*(TableBOM[Material Category]="LACQUER")*TableBOM[Per 1000 Units]*(1+TableBOM[Scrap %]))*I36/1000,0))</f>
        <v/>
      </c>
      <c r="M36" s="41" t="str">
        <f>IF(I36="","",IFERROR(SUMPRODUCT((TableBOM[Product ID]=A36)*(TableBOM[Material Category]="LATEX")*TableBOM[Per 1000 Units]*(1+TableBOM[Scrap %]))*I36/1000,0))</f>
        <v/>
      </c>
      <c r="N36" s="41" t="str">
        <f>IF(I36="","",IFERROR(SUMPRODUCT((TableBOM[Product ID]=A36)*(TableBOM[Material Category]="ZINC")*TableBOM[Per 1000 Units]*(1+TableBOM[Scrap %]))*I36/1000,0))</f>
        <v/>
      </c>
      <c r="O36" s="41" t="str">
        <f>IF(I36="","",IFERROR(SUMPRODUCT((TableBOM[Product ID]=A36)*(TableBOM[Material Category]="CAP")*TableBOM[Per 1000 Units]*(1+TableBOM[Scrap %]))*I36/1000,0))</f>
        <v/>
      </c>
      <c r="P36" s="41" t="str">
        <f>IF(I36="","",IFERROR(SUMPRODUCT((TableBOM[Product ID]=A36)*(TableBOM[Material Category]="CARTON")*TableBOM[Per 1000 Units]*(1+TableBOM[Scrap %]))*I36/1000,0))</f>
        <v/>
      </c>
      <c r="Q36" s="41"/>
      <c r="R36" s="41"/>
      <c r="S36" s="41"/>
    </row>
    <row r="37" spans="1:19" ht="15" hidden="1" customHeight="1" x14ac:dyDescent="0.25">
      <c r="A37" s="39">
        <v>6531</v>
      </c>
      <c r="B37" s="39">
        <v>183</v>
      </c>
      <c r="C37" s="39" t="s">
        <v>220</v>
      </c>
      <c r="D37" s="40" t="s">
        <v>222</v>
      </c>
      <c r="E37" s="39">
        <v>35</v>
      </c>
      <c r="F37" s="39">
        <v>170</v>
      </c>
      <c r="G37" s="39" t="s">
        <v>372</v>
      </c>
      <c r="H37" s="39">
        <v>180</v>
      </c>
      <c r="I37" s="52">
        <v>22000</v>
      </c>
      <c r="J37" s="41">
        <f>IF(I37="","",IFERROR(SUMPRODUCT((TableBOM[Product ID]=A37)*(TableBOM[Material Category]="SLUG")*TableBOM[Per 1000 Units]*(1+TableBOM[Scrap %]))*I37/1000,0))</f>
        <v>310.24400000000009</v>
      </c>
      <c r="K37" s="41">
        <f>IF(I37="","",IFERROR(SUMPRODUCT((TableBOM[Product ID]=A37)*(TableBOM[Material Category]="BASE COAT")*TableBOM[Per 1000 Units]*(1+TableBOM[Scrap %]))*I37/1000,0))</f>
        <v>18.876000000000005</v>
      </c>
      <c r="L37" s="41">
        <f>IF(I37="","",IFERROR(SUMPRODUCT((TableBOM[Product ID]=A37)*(TableBOM[Material Category]="LACQUER")*TableBOM[Per 1000 Units]*(1+TableBOM[Scrap %]))*I37/1000,0))</f>
        <v>3.8720000000000003</v>
      </c>
      <c r="M37" s="41">
        <f>IF(I37="","",IFERROR(SUMPRODUCT((TableBOM[Product ID]=A37)*(TableBOM[Material Category]="LATEX")*TableBOM[Per 1000 Units]*(1+TableBOM[Scrap %]))*I37/1000,0))</f>
        <v>0</v>
      </c>
      <c r="N37" s="41">
        <f>IF(I37="","",IFERROR(SUMPRODUCT((TableBOM[Product ID]=A37)*(TableBOM[Material Category]="ZINC")*TableBOM[Per 1000 Units]*(1+TableBOM[Scrap %]))*I37/1000,0))</f>
        <v>0</v>
      </c>
      <c r="O37" s="41">
        <f>IF(I37="","",IFERROR(SUMPRODUCT((TableBOM[Product ID]=A37)*(TableBOM[Material Category]="CAP")*TableBOM[Per 1000 Units]*(1+TableBOM[Scrap %]))*I37/1000,0))</f>
        <v>22440</v>
      </c>
      <c r="P37" s="41">
        <f>IF(I37="","",IFERROR(SUMPRODUCT((TableBOM[Product ID]=A37)*(TableBOM[Material Category]="CARTON")*TableBOM[Per 1000 Units]*(1+TableBOM[Scrap %]))*I37/1000,0))</f>
        <v>146.65199999999999</v>
      </c>
      <c r="Q37" s="41"/>
      <c r="R37" s="41"/>
      <c r="S37" s="41"/>
    </row>
    <row r="38" spans="1:19" ht="15" hidden="1" customHeight="1" x14ac:dyDescent="0.25">
      <c r="A38" s="39">
        <v>8005</v>
      </c>
      <c r="B38" s="39">
        <v>805</v>
      </c>
      <c r="C38" s="39" t="s">
        <v>14</v>
      </c>
      <c r="D38" s="40" t="s">
        <v>139</v>
      </c>
      <c r="E38" s="39" t="s">
        <v>138</v>
      </c>
      <c r="F38" s="39">
        <v>0</v>
      </c>
      <c r="G38" s="39" t="s">
        <v>371</v>
      </c>
      <c r="H38" s="39">
        <v>0</v>
      </c>
      <c r="I38" s="52"/>
      <c r="J38" s="41" t="str">
        <f>IF(I38="","",IFERROR(SUMPRODUCT((TableBOM[Product ID]=A38)*(TableBOM[Material Category]="SLUG")*TableBOM[Per 1000 Units]*(1+TableBOM[Scrap %]))*I38/1000,0))</f>
        <v/>
      </c>
      <c r="K38" s="41" t="str">
        <f>IF(I38="","",IFERROR(SUMPRODUCT((TableBOM[Product ID]=A38)*(TableBOM[Material Category]="BASE COAT")*TableBOM[Per 1000 Units]*(1+TableBOM[Scrap %]))*I38/1000,0))</f>
        <v/>
      </c>
      <c r="L38" s="41" t="str">
        <f>IF(I38="","",IFERROR(SUMPRODUCT((TableBOM[Product ID]=A38)*(TableBOM[Material Category]="LACQUER")*TableBOM[Per 1000 Units]*(1+TableBOM[Scrap %]))*I38/1000,0))</f>
        <v/>
      </c>
      <c r="M38" s="41" t="str">
        <f>IF(I38="","",IFERROR(SUMPRODUCT((TableBOM[Product ID]=A38)*(TableBOM[Material Category]="LATEX")*TableBOM[Per 1000 Units]*(1+TableBOM[Scrap %]))*I38/1000,0))</f>
        <v/>
      </c>
      <c r="N38" s="41" t="str">
        <f>IF(I38="","",IFERROR(SUMPRODUCT((TableBOM[Product ID]=A38)*(TableBOM[Material Category]="ZINC")*TableBOM[Per 1000 Units]*(1+TableBOM[Scrap %]))*I38/1000,0))</f>
        <v/>
      </c>
      <c r="O38" s="41" t="str">
        <f>IF(I38="","",IFERROR(SUMPRODUCT((TableBOM[Product ID]=A38)*(TableBOM[Material Category]="CAP")*TableBOM[Per 1000 Units]*(1+TableBOM[Scrap %]))*I38/1000,0))</f>
        <v/>
      </c>
      <c r="P38" s="41" t="str">
        <f>IF(I38="","",IFERROR(SUMPRODUCT((TableBOM[Product ID]=A38)*(TableBOM[Material Category]="CARTON")*TableBOM[Per 1000 Units]*(1+TableBOM[Scrap %]))*I38/1000,0))</f>
        <v/>
      </c>
      <c r="Q38" s="41"/>
      <c r="R38" s="41"/>
      <c r="S38" s="41"/>
    </row>
    <row r="39" spans="1:19" ht="15" hidden="1" customHeight="1" x14ac:dyDescent="0.25">
      <c r="A39" s="39">
        <v>8011</v>
      </c>
      <c r="B39" s="39">
        <v>811</v>
      </c>
      <c r="C39" s="39" t="s">
        <v>14</v>
      </c>
      <c r="D39" s="40" t="s">
        <v>225</v>
      </c>
      <c r="E39" s="39" t="s">
        <v>138</v>
      </c>
      <c r="F39" s="39">
        <v>0</v>
      </c>
      <c r="G39" s="39" t="s">
        <v>371</v>
      </c>
      <c r="H39" s="39">
        <v>0</v>
      </c>
      <c r="I39" s="52"/>
      <c r="J39" s="41" t="str">
        <f>IF(I39="","",IFERROR(SUMPRODUCT((TableBOM[Product ID]=A39)*(TableBOM[Material Category]="SLUG")*TableBOM[Per 1000 Units]*(1+TableBOM[Scrap %]))*I39/1000,0))</f>
        <v/>
      </c>
      <c r="K39" s="41" t="str">
        <f>IF(I39="","",IFERROR(SUMPRODUCT((TableBOM[Product ID]=A39)*(TableBOM[Material Category]="BASE COAT")*TableBOM[Per 1000 Units]*(1+TableBOM[Scrap %]))*I39/1000,0))</f>
        <v/>
      </c>
      <c r="L39" s="41" t="str">
        <f>IF(I39="","",IFERROR(SUMPRODUCT((TableBOM[Product ID]=A39)*(TableBOM[Material Category]="LACQUER")*TableBOM[Per 1000 Units]*(1+TableBOM[Scrap %]))*I39/1000,0))</f>
        <v/>
      </c>
      <c r="M39" s="41" t="str">
        <f>IF(I39="","",IFERROR(SUMPRODUCT((TableBOM[Product ID]=A39)*(TableBOM[Material Category]="LATEX")*TableBOM[Per 1000 Units]*(1+TableBOM[Scrap %]))*I39/1000,0))</f>
        <v/>
      </c>
      <c r="N39" s="41" t="str">
        <f>IF(I39="","",IFERROR(SUMPRODUCT((TableBOM[Product ID]=A39)*(TableBOM[Material Category]="ZINC")*TableBOM[Per 1000 Units]*(1+TableBOM[Scrap %]))*I39/1000,0))</f>
        <v/>
      </c>
      <c r="O39" s="41" t="str">
        <f>IF(I39="","",IFERROR(SUMPRODUCT((TableBOM[Product ID]=A39)*(TableBOM[Material Category]="CAP")*TableBOM[Per 1000 Units]*(1+TableBOM[Scrap %]))*I39/1000,0))</f>
        <v/>
      </c>
      <c r="P39" s="41" t="str">
        <f>IF(I39="","",IFERROR(SUMPRODUCT((TableBOM[Product ID]=A39)*(TableBOM[Material Category]="CARTON")*TableBOM[Per 1000 Units]*(1+TableBOM[Scrap %]))*I39/1000,0))</f>
        <v/>
      </c>
      <c r="Q39" s="41"/>
      <c r="R39" s="41"/>
      <c r="S39" s="41"/>
    </row>
    <row r="40" spans="1:19" ht="15" hidden="1" customHeight="1" x14ac:dyDescent="0.25">
      <c r="A40" s="39">
        <v>8012</v>
      </c>
      <c r="B40" s="39">
        <v>812</v>
      </c>
      <c r="C40" s="39" t="s">
        <v>14</v>
      </c>
      <c r="D40" s="40" t="s">
        <v>226</v>
      </c>
      <c r="E40" s="39" t="s">
        <v>138</v>
      </c>
      <c r="F40" s="39">
        <v>0</v>
      </c>
      <c r="G40" s="39" t="s">
        <v>371</v>
      </c>
      <c r="H40" s="39">
        <v>0</v>
      </c>
      <c r="I40" s="52"/>
      <c r="J40" s="41" t="str">
        <f>IF(I40="","",IFERROR(SUMPRODUCT((TableBOM[Product ID]=A40)*(TableBOM[Material Category]="SLUG")*TableBOM[Per 1000 Units]*(1+TableBOM[Scrap %]))*I40/1000,0))</f>
        <v/>
      </c>
      <c r="K40" s="41" t="str">
        <f>IF(I40="","",IFERROR(SUMPRODUCT((TableBOM[Product ID]=A40)*(TableBOM[Material Category]="BASE COAT")*TableBOM[Per 1000 Units]*(1+TableBOM[Scrap %]))*I40/1000,0))</f>
        <v/>
      </c>
      <c r="L40" s="41" t="str">
        <f>IF(I40="","",IFERROR(SUMPRODUCT((TableBOM[Product ID]=A40)*(TableBOM[Material Category]="LACQUER")*TableBOM[Per 1000 Units]*(1+TableBOM[Scrap %]))*I40/1000,0))</f>
        <v/>
      </c>
      <c r="M40" s="41" t="str">
        <f>IF(I40="","",IFERROR(SUMPRODUCT((TableBOM[Product ID]=A40)*(TableBOM[Material Category]="LATEX")*TableBOM[Per 1000 Units]*(1+TableBOM[Scrap %]))*I40/1000,0))</f>
        <v/>
      </c>
      <c r="N40" s="41" t="str">
        <f>IF(I40="","",IFERROR(SUMPRODUCT((TableBOM[Product ID]=A40)*(TableBOM[Material Category]="ZINC")*TableBOM[Per 1000 Units]*(1+TableBOM[Scrap %]))*I40/1000,0))</f>
        <v/>
      </c>
      <c r="O40" s="41" t="str">
        <f>IF(I40="","",IFERROR(SUMPRODUCT((TableBOM[Product ID]=A40)*(TableBOM[Material Category]="CAP")*TableBOM[Per 1000 Units]*(1+TableBOM[Scrap %]))*I40/1000,0))</f>
        <v/>
      </c>
      <c r="P40" s="41" t="str">
        <f>IF(I40="","",IFERROR(SUMPRODUCT((TableBOM[Product ID]=A40)*(TableBOM[Material Category]="CARTON")*TableBOM[Per 1000 Units]*(1+TableBOM[Scrap %]))*I40/1000,0))</f>
        <v/>
      </c>
      <c r="Q40" s="41"/>
      <c r="R40" s="41"/>
      <c r="S40" s="41"/>
    </row>
    <row r="41" spans="1:19" ht="15" hidden="1" customHeight="1" x14ac:dyDescent="0.25">
      <c r="A41" s="39">
        <v>8010</v>
      </c>
      <c r="B41" s="39">
        <v>810</v>
      </c>
      <c r="C41" s="39" t="s">
        <v>11</v>
      </c>
      <c r="D41" t="s">
        <v>227</v>
      </c>
      <c r="E41" s="39" t="s">
        <v>141</v>
      </c>
      <c r="F41" s="39">
        <v>0</v>
      </c>
      <c r="G41" s="39" t="s">
        <v>371</v>
      </c>
      <c r="H41" s="39">
        <v>0</v>
      </c>
      <c r="I41" s="52"/>
      <c r="J41" s="41" t="str">
        <f>IF(I41="","",IFERROR(SUMPRODUCT((TableBOM[Product ID]=A41)*(TableBOM[Material Category]="SLUG")*TableBOM[Per 1000 Units]*(1+TableBOM[Scrap %]))*I41/1000,0))</f>
        <v/>
      </c>
      <c r="K41" s="41" t="str">
        <f>IF(I41="","",IFERROR(SUMPRODUCT((TableBOM[Product ID]=A41)*(TableBOM[Material Category]="BASE COAT")*TableBOM[Per 1000 Units]*(1+TableBOM[Scrap %]))*I41/1000,0))</f>
        <v/>
      </c>
      <c r="L41" s="41" t="str">
        <f>IF(I41="","",IFERROR(SUMPRODUCT((TableBOM[Product ID]=A41)*(TableBOM[Material Category]="LACQUER")*TableBOM[Per 1000 Units]*(1+TableBOM[Scrap %]))*I41/1000,0))</f>
        <v/>
      </c>
      <c r="M41" s="41" t="str">
        <f>IF(I41="","",IFERROR(SUMPRODUCT((TableBOM[Product ID]=A41)*(TableBOM[Material Category]="LATEX")*TableBOM[Per 1000 Units]*(1+TableBOM[Scrap %]))*I41/1000,0))</f>
        <v/>
      </c>
      <c r="N41" s="41" t="str">
        <f>IF(I41="","",IFERROR(SUMPRODUCT((TableBOM[Product ID]=A41)*(TableBOM[Material Category]="ZINC")*TableBOM[Per 1000 Units]*(1+TableBOM[Scrap %]))*I41/1000,0))</f>
        <v/>
      </c>
      <c r="O41" s="41" t="str">
        <f>IF(I41="","",IFERROR(SUMPRODUCT((TableBOM[Product ID]=A41)*(TableBOM[Material Category]="CAP")*TableBOM[Per 1000 Units]*(1+TableBOM[Scrap %]))*I41/1000,0))</f>
        <v/>
      </c>
      <c r="P41" s="41" t="str">
        <f>IF(I41="","",IFERROR(SUMPRODUCT((TableBOM[Product ID]=A41)*(TableBOM[Material Category]="CARTON")*TableBOM[Per 1000 Units]*(1+TableBOM[Scrap %]))*I41/1000,0))</f>
        <v/>
      </c>
      <c r="Q41" s="41"/>
      <c r="R41" s="41"/>
      <c r="S41" s="41"/>
    </row>
    <row r="42" spans="1:19" hidden="1" x14ac:dyDescent="0.25">
      <c r="A42" s="39">
        <v>8015</v>
      </c>
      <c r="B42" s="39"/>
      <c r="C42" s="39" t="s">
        <v>11</v>
      </c>
      <c r="D42" s="40" t="s">
        <v>142</v>
      </c>
      <c r="E42" s="39" t="s">
        <v>141</v>
      </c>
      <c r="F42" s="39"/>
      <c r="G42" s="39"/>
      <c r="H42" s="39"/>
      <c r="I42" s="52"/>
      <c r="J42" s="41" t="str">
        <f>IF(I42="","",IFERROR(SUMPRODUCT((TableBOM[Product ID]=A42)*(TableBOM[Material Category]="SLUG")*TableBOM[Per 1000 Units]*(1+TableBOM[Scrap %]))*I42/1000,0))</f>
        <v/>
      </c>
      <c r="K42" s="41" t="str">
        <f>IF(I42="","",IFERROR(SUMPRODUCT((TableBOM[Product ID]=A42)*(TableBOM[Material Category]="BASE COAT")*TableBOM[Per 1000 Units]*(1+TableBOM[Scrap %]))*I42/1000,0))</f>
        <v/>
      </c>
      <c r="L42" s="41" t="str">
        <f>IF(I42="","",IFERROR(SUMPRODUCT((TableBOM[Product ID]=A42)*(TableBOM[Material Category]="LACQUER")*TableBOM[Per 1000 Units]*(1+TableBOM[Scrap %]))*I42/1000,0))</f>
        <v/>
      </c>
      <c r="M42" s="41" t="str">
        <f>IF(I42="","",IFERROR(SUMPRODUCT((TableBOM[Product ID]=A42)*(TableBOM[Material Category]="LATEX")*TableBOM[Per 1000 Units]*(1+TableBOM[Scrap %]))*I42/1000,0))</f>
        <v/>
      </c>
      <c r="N42" s="41" t="str">
        <f>IF(I42="","",IFERROR(SUMPRODUCT((TableBOM[Product ID]=A42)*(TableBOM[Material Category]="ZINC")*TableBOM[Per 1000 Units]*(1+TableBOM[Scrap %]))*I42/1000,0))</f>
        <v/>
      </c>
      <c r="O42" s="41" t="str">
        <f>IF(I42="","",IFERROR(SUMPRODUCT((TableBOM[Product ID]=A42)*(TableBOM[Material Category]="CAP")*TableBOM[Per 1000 Units]*(1+TableBOM[Scrap %]))*I42/1000,0))</f>
        <v/>
      </c>
      <c r="P42" s="41" t="str">
        <f>IF(I42="","",IFERROR(SUMPRODUCT((TableBOM[Product ID]=A42)*(TableBOM[Material Category]="CARTON")*TableBOM[Per 1000 Units]*(1+TableBOM[Scrap %]))*I42/1000,0))</f>
        <v/>
      </c>
      <c r="Q42" s="41"/>
      <c r="R42" s="41"/>
      <c r="S42" s="41"/>
    </row>
    <row r="43" spans="1:19" ht="15" hidden="1" customHeight="1" x14ac:dyDescent="0.25">
      <c r="A43" s="39">
        <v>8001</v>
      </c>
      <c r="B43" s="39">
        <v>800</v>
      </c>
      <c r="C43" s="39" t="s">
        <v>135</v>
      </c>
      <c r="D43" s="40" t="s">
        <v>181</v>
      </c>
      <c r="E43" s="39" t="s">
        <v>143</v>
      </c>
      <c r="F43" s="39">
        <v>0</v>
      </c>
      <c r="G43" s="39" t="s">
        <v>371</v>
      </c>
      <c r="H43" s="39">
        <v>0</v>
      </c>
      <c r="I43" s="52">
        <v>45000</v>
      </c>
      <c r="J43" s="41">
        <f>IF(I43="","",IFERROR(SUMPRODUCT((TableBOM[Product ID]=A43)*(TableBOM[Material Category]="SLUG")*TableBOM[Per 1000 Units]*(1+TableBOM[Scrap %]))*I43/1000,0))</f>
        <v>0</v>
      </c>
      <c r="K43" s="41">
        <f>IF(I43="","",IFERROR(SUMPRODUCT((TableBOM[Product ID]=A43)*(TableBOM[Material Category]="BASE COAT")*TableBOM[Per 1000 Units]*(1+TableBOM[Scrap %]))*I43/1000,0))</f>
        <v>0</v>
      </c>
      <c r="L43" s="41">
        <f>IF(I43="","",IFERROR(SUMPRODUCT((TableBOM[Product ID]=A43)*(TableBOM[Material Category]="LACQUER")*TableBOM[Per 1000 Units]*(1+TableBOM[Scrap %]))*I43/1000,0))</f>
        <v>0</v>
      </c>
      <c r="M43" s="41">
        <f>IF(I43="","",IFERROR(SUMPRODUCT((TableBOM[Product ID]=A43)*(TableBOM[Material Category]="LATEX")*TableBOM[Per 1000 Units]*(1+TableBOM[Scrap %]))*I43/1000,0))</f>
        <v>0</v>
      </c>
      <c r="N43" s="41">
        <f>IF(I43="","",IFERROR(SUMPRODUCT((TableBOM[Product ID]=A43)*(TableBOM[Material Category]="ZINC")*TableBOM[Per 1000 Units]*(1+TableBOM[Scrap %]))*I43/1000,0))</f>
        <v>0</v>
      </c>
      <c r="O43" s="41">
        <f>IF(I43="","",IFERROR(SUMPRODUCT((TableBOM[Product ID]=A43)*(TableBOM[Material Category]="CAP")*TableBOM[Per 1000 Units]*(1+TableBOM[Scrap %]))*I43/1000,0))</f>
        <v>0</v>
      </c>
      <c r="P43" s="41">
        <f>IF(I43="","",IFERROR(SUMPRODUCT((TableBOM[Product ID]=A43)*(TableBOM[Material Category]="CARTON")*TableBOM[Per 1000 Units]*(1+TableBOM[Scrap %]))*I43/1000,0))</f>
        <v>0</v>
      </c>
      <c r="Q43" s="41"/>
      <c r="R43" s="41"/>
      <c r="S43" s="41"/>
    </row>
    <row r="44" spans="1:19" ht="15" hidden="1" customHeight="1" x14ac:dyDescent="0.25">
      <c r="A44" s="39">
        <v>8006</v>
      </c>
      <c r="B44" s="39">
        <v>806</v>
      </c>
      <c r="C44" s="39" t="s">
        <v>14</v>
      </c>
      <c r="D44" s="40" t="s">
        <v>147</v>
      </c>
      <c r="E44" s="39" t="s">
        <v>146</v>
      </c>
      <c r="F44" s="39">
        <v>0</v>
      </c>
      <c r="G44" s="39" t="s">
        <v>371</v>
      </c>
      <c r="H44" s="39">
        <v>0</v>
      </c>
      <c r="I44" s="52"/>
      <c r="J44" s="41" t="str">
        <f>IF(I44="","",IFERROR(SUMPRODUCT((TableBOM[Product ID]=A44)*(TableBOM[Material Category]="SLUG")*TableBOM[Per 1000 Units]*(1+TableBOM[Scrap %]))*I44/1000,0))</f>
        <v/>
      </c>
      <c r="K44" s="41" t="str">
        <f>IF(I44="","",IFERROR(SUMPRODUCT((TableBOM[Product ID]=A44)*(TableBOM[Material Category]="BASE COAT")*TableBOM[Per 1000 Units]*(1+TableBOM[Scrap %]))*I44/1000,0))</f>
        <v/>
      </c>
      <c r="L44" s="41" t="str">
        <f>IF(I44="","",IFERROR(SUMPRODUCT((TableBOM[Product ID]=A44)*(TableBOM[Material Category]="LACQUER")*TableBOM[Per 1000 Units]*(1+TableBOM[Scrap %]))*I44/1000,0))</f>
        <v/>
      </c>
      <c r="M44" s="41" t="str">
        <f>IF(I44="","",IFERROR(SUMPRODUCT((TableBOM[Product ID]=A44)*(TableBOM[Material Category]="LATEX")*TableBOM[Per 1000 Units]*(1+TableBOM[Scrap %]))*I44/1000,0))</f>
        <v/>
      </c>
      <c r="N44" s="41" t="str">
        <f>IF(I44="","",IFERROR(SUMPRODUCT((TableBOM[Product ID]=A44)*(TableBOM[Material Category]="ZINC")*TableBOM[Per 1000 Units]*(1+TableBOM[Scrap %]))*I44/1000,0))</f>
        <v/>
      </c>
      <c r="O44" s="41" t="str">
        <f>IF(I44="","",IFERROR(SUMPRODUCT((TableBOM[Product ID]=A44)*(TableBOM[Material Category]="CAP")*TableBOM[Per 1000 Units]*(1+TableBOM[Scrap %]))*I44/1000,0))</f>
        <v/>
      </c>
      <c r="P44" s="41" t="str">
        <f>IF(I44="","",IFERROR(SUMPRODUCT((TableBOM[Product ID]=A44)*(TableBOM[Material Category]="CARTON")*TableBOM[Per 1000 Units]*(1+TableBOM[Scrap %]))*I44/1000,0))</f>
        <v/>
      </c>
      <c r="Q44" s="41"/>
      <c r="R44" s="41"/>
      <c r="S44" s="41"/>
    </row>
    <row r="45" spans="1:19" ht="15" hidden="1" customHeight="1" x14ac:dyDescent="0.25">
      <c r="A45" s="39">
        <v>8007</v>
      </c>
      <c r="B45" s="39">
        <v>807</v>
      </c>
      <c r="C45" s="39" t="s">
        <v>14</v>
      </c>
      <c r="D45" s="40" t="s">
        <v>229</v>
      </c>
      <c r="E45" s="39" t="s">
        <v>146</v>
      </c>
      <c r="F45" s="39">
        <v>0</v>
      </c>
      <c r="G45" s="39" t="s">
        <v>371</v>
      </c>
      <c r="H45" s="39">
        <v>0</v>
      </c>
      <c r="I45" s="52"/>
      <c r="J45" s="41" t="str">
        <f>IF(I45="","",IFERROR(SUMPRODUCT((TableBOM[Product ID]=A45)*(TableBOM[Material Category]="SLUG")*TableBOM[Per 1000 Units]*(1+TableBOM[Scrap %]))*I45/1000,0))</f>
        <v/>
      </c>
      <c r="K45" s="41" t="str">
        <f>IF(I45="","",IFERROR(SUMPRODUCT((TableBOM[Product ID]=A45)*(TableBOM[Material Category]="BASE COAT")*TableBOM[Per 1000 Units]*(1+TableBOM[Scrap %]))*I45/1000,0))</f>
        <v/>
      </c>
      <c r="L45" s="41" t="str">
        <f>IF(I45="","",IFERROR(SUMPRODUCT((TableBOM[Product ID]=A45)*(TableBOM[Material Category]="LACQUER")*TableBOM[Per 1000 Units]*(1+TableBOM[Scrap %]))*I45/1000,0))</f>
        <v/>
      </c>
      <c r="M45" s="41" t="str">
        <f>IF(I45="","",IFERROR(SUMPRODUCT((TableBOM[Product ID]=A45)*(TableBOM[Material Category]="LATEX")*TableBOM[Per 1000 Units]*(1+TableBOM[Scrap %]))*I45/1000,0))</f>
        <v/>
      </c>
      <c r="N45" s="41" t="str">
        <f>IF(I45="","",IFERROR(SUMPRODUCT((TableBOM[Product ID]=A45)*(TableBOM[Material Category]="ZINC")*TableBOM[Per 1000 Units]*(1+TableBOM[Scrap %]))*I45/1000,0))</f>
        <v/>
      </c>
      <c r="O45" s="41" t="str">
        <f>IF(I45="","",IFERROR(SUMPRODUCT((TableBOM[Product ID]=A45)*(TableBOM[Material Category]="CAP")*TableBOM[Per 1000 Units]*(1+TableBOM[Scrap %]))*I45/1000,0))</f>
        <v/>
      </c>
      <c r="P45" s="41" t="str">
        <f>IF(I45="","",IFERROR(SUMPRODUCT((TableBOM[Product ID]=A45)*(TableBOM[Material Category]="CARTON")*TableBOM[Per 1000 Units]*(1+TableBOM[Scrap %]))*I45/1000,0))</f>
        <v/>
      </c>
      <c r="Q45" s="41"/>
      <c r="R45" s="41"/>
      <c r="S45" s="41"/>
    </row>
    <row r="46" spans="1:19" ht="15" hidden="1" customHeight="1" x14ac:dyDescent="0.25">
      <c r="A46" s="39">
        <v>8008</v>
      </c>
      <c r="B46" s="39">
        <v>808</v>
      </c>
      <c r="C46" s="39" t="s">
        <v>14</v>
      </c>
      <c r="D46" s="40" t="s">
        <v>232</v>
      </c>
      <c r="E46" s="39" t="s">
        <v>146</v>
      </c>
      <c r="F46" s="39">
        <v>0</v>
      </c>
      <c r="G46" s="39" t="s">
        <v>371</v>
      </c>
      <c r="H46" s="39">
        <v>0</v>
      </c>
      <c r="I46" s="52"/>
      <c r="J46" s="41" t="str">
        <f>IF(I46="","",IFERROR(SUMPRODUCT((TableBOM[Product ID]=A46)*(TableBOM[Material Category]="SLUG")*TableBOM[Per 1000 Units]*(1+TableBOM[Scrap %]))*I46/1000,0))</f>
        <v/>
      </c>
      <c r="K46" s="41" t="str">
        <f>IF(I46="","",IFERROR(SUMPRODUCT((TableBOM[Product ID]=A46)*(TableBOM[Material Category]="BASE COAT")*TableBOM[Per 1000 Units]*(1+TableBOM[Scrap %]))*I46/1000,0))</f>
        <v/>
      </c>
      <c r="L46" s="41" t="str">
        <f>IF(I46="","",IFERROR(SUMPRODUCT((TableBOM[Product ID]=A46)*(TableBOM[Material Category]="LACQUER")*TableBOM[Per 1000 Units]*(1+TableBOM[Scrap %]))*I46/1000,0))</f>
        <v/>
      </c>
      <c r="M46" s="41" t="str">
        <f>IF(I46="","",IFERROR(SUMPRODUCT((TableBOM[Product ID]=A46)*(TableBOM[Material Category]="LATEX")*TableBOM[Per 1000 Units]*(1+TableBOM[Scrap %]))*I46/1000,0))</f>
        <v/>
      </c>
      <c r="N46" s="41" t="str">
        <f>IF(I46="","",IFERROR(SUMPRODUCT((TableBOM[Product ID]=A46)*(TableBOM[Material Category]="ZINC")*TableBOM[Per 1000 Units]*(1+TableBOM[Scrap %]))*I46/1000,0))</f>
        <v/>
      </c>
      <c r="O46" s="41" t="str">
        <f>IF(I46="","",IFERROR(SUMPRODUCT((TableBOM[Product ID]=A46)*(TableBOM[Material Category]="CAP")*TableBOM[Per 1000 Units]*(1+TableBOM[Scrap %]))*I46/1000,0))</f>
        <v/>
      </c>
      <c r="P46" s="41" t="str">
        <f>IF(I46="","",IFERROR(SUMPRODUCT((TableBOM[Product ID]=A46)*(TableBOM[Material Category]="CARTON")*TableBOM[Per 1000 Units]*(1+TableBOM[Scrap %]))*I46/1000,0))</f>
        <v/>
      </c>
      <c r="Q46" s="41"/>
      <c r="R46" s="41"/>
      <c r="S46" s="41"/>
    </row>
    <row r="47" spans="1:19" ht="15" hidden="1" customHeight="1" x14ac:dyDescent="0.25">
      <c r="A47" s="39">
        <v>8014</v>
      </c>
      <c r="B47" s="39">
        <v>814</v>
      </c>
      <c r="C47" s="39" t="s">
        <v>14</v>
      </c>
      <c r="D47" s="40" t="s">
        <v>230</v>
      </c>
      <c r="E47" s="39" t="s">
        <v>146</v>
      </c>
      <c r="F47" s="39">
        <v>0</v>
      </c>
      <c r="G47" s="39" t="s">
        <v>371</v>
      </c>
      <c r="H47" s="39">
        <v>0</v>
      </c>
      <c r="I47" s="52"/>
      <c r="J47" s="41" t="str">
        <f>IF(I47="","",IFERROR(SUMPRODUCT((TableBOM[Product ID]=A47)*(TableBOM[Material Category]="SLUG")*TableBOM[Per 1000 Units]*(1+TableBOM[Scrap %]))*I47/1000,0))</f>
        <v/>
      </c>
      <c r="K47" s="41" t="str">
        <f>IF(I47="","",IFERROR(SUMPRODUCT((TableBOM[Product ID]=A47)*(TableBOM[Material Category]="BASE COAT")*TableBOM[Per 1000 Units]*(1+TableBOM[Scrap %]))*I47/1000,0))</f>
        <v/>
      </c>
      <c r="L47" s="41" t="str">
        <f>IF(I47="","",IFERROR(SUMPRODUCT((TableBOM[Product ID]=A47)*(TableBOM[Material Category]="LACQUER")*TableBOM[Per 1000 Units]*(1+TableBOM[Scrap %]))*I47/1000,0))</f>
        <v/>
      </c>
      <c r="M47" s="41" t="str">
        <f>IF(I47="","",IFERROR(SUMPRODUCT((TableBOM[Product ID]=A47)*(TableBOM[Material Category]="LATEX")*TableBOM[Per 1000 Units]*(1+TableBOM[Scrap %]))*I47/1000,0))</f>
        <v/>
      </c>
      <c r="N47" s="41" t="str">
        <f>IF(I47="","",IFERROR(SUMPRODUCT((TableBOM[Product ID]=A47)*(TableBOM[Material Category]="ZINC")*TableBOM[Per 1000 Units]*(1+TableBOM[Scrap %]))*I47/1000,0))</f>
        <v/>
      </c>
      <c r="O47" s="41" t="str">
        <f>IF(I47="","",IFERROR(SUMPRODUCT((TableBOM[Product ID]=A47)*(TableBOM[Material Category]="CAP")*TableBOM[Per 1000 Units]*(1+TableBOM[Scrap %]))*I47/1000,0))</f>
        <v/>
      </c>
      <c r="P47" s="41" t="str">
        <f>IF(I47="","",IFERROR(SUMPRODUCT((TableBOM[Product ID]=A47)*(TableBOM[Material Category]="CARTON")*TableBOM[Per 1000 Units]*(1+TableBOM[Scrap %]))*I47/1000,0))</f>
        <v/>
      </c>
      <c r="Q47" s="41"/>
      <c r="R47" s="41"/>
      <c r="S47" s="41"/>
    </row>
    <row r="48" spans="1:19" ht="15" hidden="1" customHeight="1" x14ac:dyDescent="0.25">
      <c r="A48" s="135">
        <v>8016</v>
      </c>
      <c r="B48" s="135">
        <v>816</v>
      </c>
      <c r="C48" s="135" t="s">
        <v>14</v>
      </c>
      <c r="D48" s="136" t="s">
        <v>231</v>
      </c>
      <c r="E48" s="135" t="s">
        <v>146</v>
      </c>
      <c r="F48" s="135">
        <v>0</v>
      </c>
      <c r="G48" s="135" t="s">
        <v>371</v>
      </c>
      <c r="H48" s="135">
        <v>0</v>
      </c>
      <c r="I48" s="140"/>
      <c r="J48" s="139" t="str">
        <f>IF(I48="","",IFERROR(SUMPRODUCT((TableBOM[Product ID]=A48)*(TableBOM[Material Category]="SLUG")*TableBOM[Per 1000 Units]*(1+TableBOM[Scrap %]))*I48/1000,0))</f>
        <v/>
      </c>
      <c r="K48" s="139" t="str">
        <f>IF(I48="","",IFERROR(SUMPRODUCT((TableBOM[Product ID]=A48)*(TableBOM[Material Category]="BASE COAT")*TableBOM[Per 1000 Units]*(1+TableBOM[Scrap %]))*I48/1000,0))</f>
        <v/>
      </c>
      <c r="L48" s="139" t="str">
        <f>IF(I48="","",IFERROR(SUMPRODUCT((TableBOM[Product ID]=A48)*(TableBOM[Material Category]="LACQUER")*TableBOM[Per 1000 Units]*(1+TableBOM[Scrap %]))*I48/1000,0))</f>
        <v/>
      </c>
      <c r="M48" s="139" t="str">
        <f>IF(I48="","",IFERROR(SUMPRODUCT((TableBOM[Product ID]=A48)*(TableBOM[Material Category]="LATEX")*TableBOM[Per 1000 Units]*(1+TableBOM[Scrap %]))*I48/1000,0))</f>
        <v/>
      </c>
      <c r="N48" s="139" t="str">
        <f>IF(I48="","",IFERROR(SUMPRODUCT((TableBOM[Product ID]=A48)*(TableBOM[Material Category]="ZINC")*TableBOM[Per 1000 Units]*(1+TableBOM[Scrap %]))*I48/1000,0))</f>
        <v/>
      </c>
      <c r="O48" s="139" t="str">
        <f>IF(I48="","",IFERROR(SUMPRODUCT((TableBOM[Product ID]=A48)*(TableBOM[Material Category]="CAP")*TableBOM[Per 1000 Units]*(1+TableBOM[Scrap %]))*I48/1000,0))</f>
        <v/>
      </c>
      <c r="P48" s="139" t="str">
        <f>IF(I48="","",IFERROR(SUMPRODUCT((TableBOM[Product ID]=A48)*(TableBOM[Material Category]="CARTON")*TableBOM[Per 1000 Units]*(1+TableBOM[Scrap %]))*I48/1000,0))</f>
        <v/>
      </c>
      <c r="Q48" s="139"/>
      <c r="R48" s="139"/>
      <c r="S48" s="139"/>
    </row>
    <row r="49" spans="1:19" ht="15" hidden="1" customHeight="1" x14ac:dyDescent="0.25">
      <c r="A49" s="39">
        <v>8009</v>
      </c>
      <c r="B49" s="39">
        <v>809</v>
      </c>
      <c r="C49" s="39" t="s">
        <v>11</v>
      </c>
      <c r="D49" s="40" t="s">
        <v>233</v>
      </c>
      <c r="E49" s="39" t="s">
        <v>234</v>
      </c>
      <c r="F49" s="39">
        <v>0</v>
      </c>
      <c r="G49" s="39" t="s">
        <v>371</v>
      </c>
      <c r="H49" s="39">
        <v>0</v>
      </c>
      <c r="I49" s="52"/>
      <c r="J49" s="41" t="str">
        <f>IF(I49="","",IFERROR(SUMPRODUCT((TableBOM[Product ID]=A49)*(TableBOM[Material Category]="SLUG")*TableBOM[Per 1000 Units]*(1+TableBOM[Scrap %]))*I49/1000,0))</f>
        <v/>
      </c>
      <c r="K49" s="41" t="str">
        <f>IF(I49="","",IFERROR(SUMPRODUCT((TableBOM[Product ID]=A49)*(TableBOM[Material Category]="BASE COAT")*TableBOM[Per 1000 Units]*(1+TableBOM[Scrap %]))*I49/1000,0))</f>
        <v/>
      </c>
      <c r="L49" s="41" t="str">
        <f>IF(I49="","",IFERROR(SUMPRODUCT((TableBOM[Product ID]=A49)*(TableBOM[Material Category]="LACQUER")*TableBOM[Per 1000 Units]*(1+TableBOM[Scrap %]))*I49/1000,0))</f>
        <v/>
      </c>
      <c r="M49" s="41" t="str">
        <f>IF(I49="","",IFERROR(SUMPRODUCT((TableBOM[Product ID]=A49)*(TableBOM[Material Category]="LATEX")*TableBOM[Per 1000 Units]*(1+TableBOM[Scrap %]))*I49/1000,0))</f>
        <v/>
      </c>
      <c r="N49" s="41" t="str">
        <f>IF(I49="","",IFERROR(SUMPRODUCT((TableBOM[Product ID]=A49)*(TableBOM[Material Category]="ZINC")*TableBOM[Per 1000 Units]*(1+TableBOM[Scrap %]))*I49/1000,0))</f>
        <v/>
      </c>
      <c r="O49" s="41" t="str">
        <f>IF(I49="","",IFERROR(SUMPRODUCT((TableBOM[Product ID]=A49)*(TableBOM[Material Category]="CAP")*TableBOM[Per 1000 Units]*(1+TableBOM[Scrap %]))*I49/1000,0))</f>
        <v/>
      </c>
      <c r="P49" s="41" t="str">
        <f>IF(I49="","",IFERROR(SUMPRODUCT((TableBOM[Product ID]=A49)*(TableBOM[Material Category]="CARTON")*TableBOM[Per 1000 Units]*(1+TableBOM[Scrap %]))*I49/1000,0))</f>
        <v/>
      </c>
      <c r="Q49" s="41"/>
      <c r="R49" s="41"/>
      <c r="S49" s="41"/>
    </row>
    <row r="50" spans="1:19" ht="15" hidden="1" customHeight="1" x14ac:dyDescent="0.25">
      <c r="A50" s="39">
        <v>8013</v>
      </c>
      <c r="B50" s="39">
        <v>813</v>
      </c>
      <c r="C50" s="39" t="s">
        <v>11</v>
      </c>
      <c r="D50" s="40" t="s">
        <v>235</v>
      </c>
      <c r="E50" s="39" t="s">
        <v>236</v>
      </c>
      <c r="F50" s="39">
        <v>0</v>
      </c>
      <c r="G50" s="39" t="s">
        <v>371</v>
      </c>
      <c r="H50" s="39">
        <v>0</v>
      </c>
      <c r="I50" s="52"/>
      <c r="J50" s="41" t="str">
        <f>IF(I50="","",IFERROR(SUMPRODUCT((TableBOM[Product ID]=A50)*(TableBOM[Material Category]="SLUG")*TableBOM[Per 1000 Units]*(1+TableBOM[Scrap %]))*I50/1000,0))</f>
        <v/>
      </c>
      <c r="K50" s="41" t="str">
        <f>IF(I50="","",IFERROR(SUMPRODUCT((TableBOM[Product ID]=A50)*(TableBOM[Material Category]="BASE COAT")*TableBOM[Per 1000 Units]*(1+TableBOM[Scrap %]))*I50/1000,0))</f>
        <v/>
      </c>
      <c r="L50" s="41" t="str">
        <f>IF(I50="","",IFERROR(SUMPRODUCT((TableBOM[Product ID]=A50)*(TableBOM[Material Category]="LACQUER")*TableBOM[Per 1000 Units]*(1+TableBOM[Scrap %]))*I50/1000,0))</f>
        <v/>
      </c>
      <c r="M50" s="41" t="str">
        <f>IF(I50="","",IFERROR(SUMPRODUCT((TableBOM[Product ID]=A50)*(TableBOM[Material Category]="LATEX")*TableBOM[Per 1000 Units]*(1+TableBOM[Scrap %]))*I50/1000,0))</f>
        <v/>
      </c>
      <c r="N50" s="41" t="str">
        <f>IF(I50="","",IFERROR(SUMPRODUCT((TableBOM[Product ID]=A50)*(TableBOM[Material Category]="ZINC")*TableBOM[Per 1000 Units]*(1+TableBOM[Scrap %]))*I50/1000,0))</f>
        <v/>
      </c>
      <c r="O50" s="41" t="str">
        <f>IF(I50="","",IFERROR(SUMPRODUCT((TableBOM[Product ID]=A50)*(TableBOM[Material Category]="CAP")*TableBOM[Per 1000 Units]*(1+TableBOM[Scrap %]))*I50/1000,0))</f>
        <v/>
      </c>
      <c r="P50" s="41" t="str">
        <f>IF(I50="","",IFERROR(SUMPRODUCT((TableBOM[Product ID]=A50)*(TableBOM[Material Category]="CARTON")*TableBOM[Per 1000 Units]*(1+TableBOM[Scrap %]))*I50/1000,0))</f>
        <v/>
      </c>
      <c r="Q50" s="41"/>
      <c r="R50" s="41"/>
      <c r="S50" s="41"/>
    </row>
    <row r="51" spans="1:19" ht="15" hidden="1" customHeight="1" x14ac:dyDescent="0.25">
      <c r="A51" s="39">
        <v>2909</v>
      </c>
      <c r="B51" s="39">
        <v>56</v>
      </c>
      <c r="C51" s="39" t="s">
        <v>208</v>
      </c>
      <c r="D51" s="40" t="s">
        <v>215</v>
      </c>
      <c r="E51" s="39">
        <v>30</v>
      </c>
      <c r="F51" s="39">
        <v>130</v>
      </c>
      <c r="G51" s="39" t="s">
        <v>371</v>
      </c>
      <c r="H51" s="39">
        <v>150</v>
      </c>
      <c r="I51" s="52"/>
      <c r="J51" s="41" t="str">
        <f>IF(I51="","",IFERROR(SUMPRODUCT((TableBOM[Product ID]=A51)*(TableBOM[Material Category]="SLUG")*TableBOM[Per 1000 Units]*(1+TableBOM[Scrap %]))*I51/1000,0))</f>
        <v/>
      </c>
      <c r="K51" s="41" t="str">
        <f>IF(I51="","",IFERROR(SUMPRODUCT((TableBOM[Product ID]=A51)*(TableBOM[Material Category]="BASE COAT")*TableBOM[Per 1000 Units]*(1+TableBOM[Scrap %]))*I51/1000,0))</f>
        <v/>
      </c>
      <c r="L51" s="41" t="str">
        <f>IF(I51="","",IFERROR(SUMPRODUCT((TableBOM[Product ID]=A51)*(TableBOM[Material Category]="LACQUER")*TableBOM[Per 1000 Units]*(1+TableBOM[Scrap %]))*I51/1000,0))</f>
        <v/>
      </c>
      <c r="M51" s="41" t="str">
        <f>IF(I51="","",IFERROR(SUMPRODUCT((TableBOM[Product ID]=A51)*(TableBOM[Material Category]="LATEX")*TableBOM[Per 1000 Units]*(1+TableBOM[Scrap %]))*I51/1000,0))</f>
        <v/>
      </c>
      <c r="N51" s="41" t="str">
        <f>IF(I51="","",IFERROR(SUMPRODUCT((TableBOM[Product ID]=A51)*(TableBOM[Material Category]="ZINC")*TableBOM[Per 1000 Units]*(1+TableBOM[Scrap %]))*I51/1000,0))</f>
        <v/>
      </c>
      <c r="O51" s="41" t="str">
        <f>IF(I51="","",IFERROR(SUMPRODUCT((TableBOM[Product ID]=A51)*(TableBOM[Material Category]="CAP")*TableBOM[Per 1000 Units]*(1+TableBOM[Scrap %]))*I51/1000,0))</f>
        <v/>
      </c>
      <c r="P51" s="41" t="str">
        <f>IF(I51="","",IFERROR(SUMPRODUCT((TableBOM[Product ID]=A51)*(TableBOM[Material Category]="CARTON")*TableBOM[Per 1000 Units]*(1+TableBOM[Scrap %]))*I51/1000,0))</f>
        <v/>
      </c>
      <c r="Q51" s="41"/>
      <c r="R51" s="41"/>
      <c r="S51" s="41"/>
    </row>
    <row r="52" spans="1:19" ht="15" hidden="1" customHeight="1" x14ac:dyDescent="0.25">
      <c r="A52" s="39">
        <v>4227</v>
      </c>
      <c r="B52" s="39">
        <v>20</v>
      </c>
      <c r="C52" s="39" t="s">
        <v>204</v>
      </c>
      <c r="D52" s="40" t="s">
        <v>205</v>
      </c>
      <c r="E52" s="39">
        <v>25</v>
      </c>
      <c r="F52" s="39">
        <v>150</v>
      </c>
      <c r="G52" s="39" t="s">
        <v>372</v>
      </c>
      <c r="H52" s="39">
        <v>336</v>
      </c>
      <c r="I52" s="52"/>
      <c r="J52" s="41" t="str">
        <f>IF(I52="","",IFERROR(SUMPRODUCT((TableBOM[Product ID]=A52)*(TableBOM[Material Category]="SLUG")*TableBOM[Per 1000 Units]*(1+TableBOM[Scrap %]))*I52/1000,0))</f>
        <v/>
      </c>
      <c r="K52" s="41" t="str">
        <f>IF(I52="","",IFERROR(SUMPRODUCT((TableBOM[Product ID]=A52)*(TableBOM[Material Category]="BASE COAT")*TableBOM[Per 1000 Units]*(1+TableBOM[Scrap %]))*I52/1000,0))</f>
        <v/>
      </c>
      <c r="L52" s="41" t="str">
        <f>IF(I52="","",IFERROR(SUMPRODUCT((TableBOM[Product ID]=A52)*(TableBOM[Material Category]="LACQUER")*TableBOM[Per 1000 Units]*(1+TableBOM[Scrap %]))*I52/1000,0))</f>
        <v/>
      </c>
      <c r="M52" s="41" t="str">
        <f>IF(I52="","",IFERROR(SUMPRODUCT((TableBOM[Product ID]=A52)*(TableBOM[Material Category]="LATEX")*TableBOM[Per 1000 Units]*(1+TableBOM[Scrap %]))*I52/1000,0))</f>
        <v/>
      </c>
      <c r="N52" s="41" t="str">
        <f>IF(I52="","",IFERROR(SUMPRODUCT((TableBOM[Product ID]=A52)*(TableBOM[Material Category]="ZINC")*TableBOM[Per 1000 Units]*(1+TableBOM[Scrap %]))*I52/1000,0))</f>
        <v/>
      </c>
      <c r="O52" s="41" t="str">
        <f>IF(I52="","",IFERROR(SUMPRODUCT((TableBOM[Product ID]=A52)*(TableBOM[Material Category]="CAP")*TableBOM[Per 1000 Units]*(1+TableBOM[Scrap %]))*I52/1000,0))</f>
        <v/>
      </c>
      <c r="P52" s="41" t="str">
        <f>IF(I52="","",IFERROR(SUMPRODUCT((TableBOM[Product ID]=A52)*(TableBOM[Material Category]="CARTON")*TableBOM[Per 1000 Units]*(1+TableBOM[Scrap %]))*I52/1000,0))</f>
        <v/>
      </c>
      <c r="Q52" s="41"/>
      <c r="R52" s="41"/>
      <c r="S52" s="41"/>
    </row>
    <row r="53" spans="1:19" ht="15" customHeight="1" x14ac:dyDescent="0.25">
      <c r="A53" s="39">
        <v>5389</v>
      </c>
      <c r="B53" s="39">
        <v>35</v>
      </c>
      <c r="C53" s="39" t="s">
        <v>14</v>
      </c>
      <c r="D53" s="40" t="s">
        <v>196</v>
      </c>
      <c r="E53" s="39">
        <v>25</v>
      </c>
      <c r="F53" s="39">
        <v>150</v>
      </c>
      <c r="G53" s="39" t="s">
        <v>371</v>
      </c>
      <c r="H53" s="39">
        <v>336</v>
      </c>
      <c r="I53" s="52"/>
      <c r="J53" s="41" t="str">
        <f>IF(I53="","",IFERROR(SUMPRODUCT((TableBOM[Product ID]=A53)*(TableBOM[Material Category]="SLUG")*TableBOM[Per 1000 Units]*(1+TableBOM[Scrap %]))*I53/1000,0))</f>
        <v/>
      </c>
      <c r="K53" s="41" t="str">
        <f>IF(I53="","",IFERROR(SUMPRODUCT((TableBOM[Product ID]=A53)*(TableBOM[Material Category]="BASE COAT")*TableBOM[Per 1000 Units]*(1+TableBOM[Scrap %]))*I53/1000,0))</f>
        <v/>
      </c>
      <c r="L53" s="41" t="str">
        <f>IF(I53="","",IFERROR(SUMPRODUCT((TableBOM[Product ID]=A53)*(TableBOM[Material Category]="LACQUER")*TableBOM[Per 1000 Units]*(1+TableBOM[Scrap %]))*I53/1000,0))</f>
        <v/>
      </c>
      <c r="M53" s="41" t="str">
        <f>IF(I53="","",IFERROR(SUMPRODUCT((TableBOM[Product ID]=A53)*(TableBOM[Material Category]="LATEX")*TableBOM[Per 1000 Units]*(1+TableBOM[Scrap %]))*I53/1000,0))</f>
        <v/>
      </c>
      <c r="N53" s="41" t="str">
        <f>IF(I53="","",IFERROR(SUMPRODUCT((TableBOM[Product ID]=A53)*(TableBOM[Material Category]="ZINC")*TableBOM[Per 1000 Units]*(1+TableBOM[Scrap %]))*I53/1000,0))</f>
        <v/>
      </c>
      <c r="O53" s="41" t="str">
        <f>IF(I53="","",IFERROR(SUMPRODUCT((TableBOM[Product ID]=A53)*(TableBOM[Material Category]="CAP")*TableBOM[Per 1000 Units]*(1+TableBOM[Scrap %]))*I53/1000,0))</f>
        <v/>
      </c>
      <c r="P53" s="41" t="str">
        <f>IF(I53="","",IFERROR(SUMPRODUCT((TableBOM[Product ID]=A53)*(TableBOM[Material Category]="CARTON")*TableBOM[Per 1000 Units]*(1+TableBOM[Scrap %]))*I53/1000,0))</f>
        <v/>
      </c>
      <c r="Q53" s="41"/>
      <c r="R53" s="41"/>
      <c r="S53" s="41"/>
    </row>
    <row r="54" spans="1:19" hidden="1" x14ac:dyDescent="0.25">
      <c r="A54" s="39">
        <v>6151</v>
      </c>
      <c r="B54" s="39">
        <v>146</v>
      </c>
      <c r="C54" s="39" t="s">
        <v>216</v>
      </c>
      <c r="D54" s="40" t="s">
        <v>217</v>
      </c>
      <c r="E54" s="39">
        <v>30</v>
      </c>
      <c r="F54" s="39">
        <v>130</v>
      </c>
      <c r="G54" s="39" t="s">
        <v>372</v>
      </c>
      <c r="H54" s="39">
        <v>238</v>
      </c>
      <c r="I54" s="52"/>
      <c r="J54" s="41" t="str">
        <f>IF(I54="","",IFERROR(SUMPRODUCT((TableBOM[Product ID]=A54)*(TableBOM[Material Category]="SLUG")*TableBOM[Per 1000 Units]*(1+TableBOM[Scrap %]))*I54/1000,0))</f>
        <v/>
      </c>
      <c r="K54" s="41" t="str">
        <f>IF(I54="","",IFERROR(SUMPRODUCT((TableBOM[Product ID]=A54)*(TableBOM[Material Category]="BASE COAT")*TableBOM[Per 1000 Units]*(1+TableBOM[Scrap %]))*I54/1000,0))</f>
        <v/>
      </c>
      <c r="L54" s="41" t="str">
        <f>IF(I54="","",IFERROR(SUMPRODUCT((TableBOM[Product ID]=A54)*(TableBOM[Material Category]="LACQUER")*TableBOM[Per 1000 Units]*(1+TableBOM[Scrap %]))*I54/1000,0))</f>
        <v/>
      </c>
      <c r="M54" s="41" t="str">
        <f>IF(I54="","",IFERROR(SUMPRODUCT((TableBOM[Product ID]=A54)*(TableBOM[Material Category]="LATEX")*TableBOM[Per 1000 Units]*(1+TableBOM[Scrap %]))*I54/1000,0))</f>
        <v/>
      </c>
      <c r="N54" s="41" t="str">
        <f>IF(I54="","",IFERROR(SUMPRODUCT((TableBOM[Product ID]=A54)*(TableBOM[Material Category]="ZINC")*TableBOM[Per 1000 Units]*(1+TableBOM[Scrap %]))*I54/1000,0))</f>
        <v/>
      </c>
      <c r="O54" s="41" t="str">
        <f>IF(I54="","",IFERROR(SUMPRODUCT((TableBOM[Product ID]=A54)*(TableBOM[Material Category]="CAP")*TableBOM[Per 1000 Units]*(1+TableBOM[Scrap %]))*I54/1000,0))</f>
        <v/>
      </c>
      <c r="P54" s="41" t="str">
        <f>IF(I54="","",IFERROR(SUMPRODUCT((TableBOM[Product ID]=A54)*(TableBOM[Material Category]="CARTON")*TableBOM[Per 1000 Units]*(1+TableBOM[Scrap %]))*I54/1000,0))</f>
        <v/>
      </c>
      <c r="Q54" s="41"/>
      <c r="R54" s="41"/>
      <c r="S54" s="41"/>
    </row>
    <row r="55" spans="1:19" hidden="1" x14ac:dyDescent="0.25">
      <c r="A55" s="135">
        <v>8017</v>
      </c>
      <c r="B55" s="135">
        <v>817</v>
      </c>
      <c r="C55" s="135" t="s">
        <v>228</v>
      </c>
      <c r="D55" s="136" t="s">
        <v>144</v>
      </c>
      <c r="E55" s="135" t="s">
        <v>143</v>
      </c>
      <c r="F55" s="135"/>
      <c r="G55" s="135" t="s">
        <v>371</v>
      </c>
      <c r="H55" s="135"/>
      <c r="I55" s="140"/>
      <c r="J55" s="139" t="str">
        <f>IF(I55="","",IFERROR(SUMPRODUCT((TableBOM[Product ID]=A55)*(TableBOM[Material Category]="SLUG")*TableBOM[Per 1000 Units]*(1+TableBOM[Scrap %]))*I55/1000,0))</f>
        <v/>
      </c>
      <c r="K55" s="139" t="str">
        <f>IF(I55="","",IFERROR(SUMPRODUCT((TableBOM[Product ID]=A55)*(TableBOM[Material Category]="BASE COAT")*TableBOM[Per 1000 Units]*(1+TableBOM[Scrap %]))*I55/1000,0))</f>
        <v/>
      </c>
      <c r="L55" s="139" t="str">
        <f>IF(I55="","",IFERROR(SUMPRODUCT((TableBOM[Product ID]=A55)*(TableBOM[Material Category]="LACQUER")*TableBOM[Per 1000 Units]*(1+TableBOM[Scrap %]))*I55/1000,0))</f>
        <v/>
      </c>
      <c r="M55" s="139" t="str">
        <f>IF(I55="","",IFERROR(SUMPRODUCT((TableBOM[Product ID]=A55)*(TableBOM[Material Category]="LATEX")*TableBOM[Per 1000 Units]*(1+TableBOM[Scrap %]))*I55/1000,0))</f>
        <v/>
      </c>
      <c r="N55" s="139" t="str">
        <f>IF(I55="","",IFERROR(SUMPRODUCT((TableBOM[Product ID]=A55)*(TableBOM[Material Category]="ZINC")*TableBOM[Per 1000 Units]*(1+TableBOM[Scrap %]))*I55/1000,0))</f>
        <v/>
      </c>
      <c r="O55" s="139" t="str">
        <f>IF(I55="","",IFERROR(SUMPRODUCT((TableBOM[Product ID]=A55)*(TableBOM[Material Category]="CAP")*TableBOM[Per 1000 Units]*(1+TableBOM[Scrap %]))*I55/1000,0))</f>
        <v/>
      </c>
      <c r="P55" s="139" t="str">
        <f>IF(I55="","",IFERROR(SUMPRODUCT((TableBOM[Product ID]=A55)*(TableBOM[Material Category]="CARTON")*TableBOM[Per 1000 Units]*(1+TableBOM[Scrap %]))*I55/1000,0))</f>
        <v/>
      </c>
      <c r="Q55" s="41"/>
      <c r="R55" s="41"/>
      <c r="S55" s="41"/>
    </row>
    <row r="56" spans="1:19" x14ac:dyDescent="0.25">
      <c r="A56" s="196">
        <v>8018</v>
      </c>
      <c r="B56" s="196">
        <v>818</v>
      </c>
      <c r="C56" s="196" t="s">
        <v>135</v>
      </c>
      <c r="D56" s="197" t="s">
        <v>136</v>
      </c>
      <c r="E56" s="196" t="s">
        <v>134</v>
      </c>
      <c r="F56" s="196">
        <v>0</v>
      </c>
      <c r="G56" s="196" t="s">
        <v>371</v>
      </c>
      <c r="H56" s="196">
        <v>0</v>
      </c>
      <c r="I56" s="52"/>
      <c r="J56" s="41" t="str">
        <f>IF(I56="","",IFERROR(SUMPRODUCT((TableBOM[Product ID]=A56)*(TableBOM[Material Category]="SLUG")*TableBOM[Per 1000 Units]*(1+TableBOM[Scrap %]))*I56/1000,0))</f>
        <v/>
      </c>
      <c r="K56" s="41" t="str">
        <f>IF(I56="","",IFERROR(SUMPRODUCT((TableBOM[Product ID]=A56)*(TableBOM[Material Category]="BASE COAT")*TableBOM[Per 1000 Units]*(1+TableBOM[Scrap %]))*I56/1000,0))</f>
        <v/>
      </c>
      <c r="L56" s="41" t="str">
        <f>IF(I56="","",IFERROR(SUMPRODUCT((TableBOM[Product ID]=A56)*(TableBOM[Material Category]="LACQUER")*TableBOM[Per 1000 Units]*(1+TableBOM[Scrap %]))*I56/1000,0))</f>
        <v/>
      </c>
      <c r="M56" s="41" t="str">
        <f>IF(I56="","",IFERROR(SUMPRODUCT((TableBOM[Product ID]=A56)*(TableBOM[Material Category]="LATEX")*TableBOM[Per 1000 Units]*(1+TableBOM[Scrap %]))*I56/1000,0))</f>
        <v/>
      </c>
      <c r="N56" s="41" t="str">
        <f>IF(I56="","",IFERROR(SUMPRODUCT((TableBOM[Product ID]=A56)*(TableBOM[Material Category]="ZINC")*TableBOM[Per 1000 Units]*(1+TableBOM[Scrap %]))*I56/1000,0))</f>
        <v/>
      </c>
      <c r="O56" s="41" t="str">
        <f>IF(I56="","",IFERROR(SUMPRODUCT((TableBOM[Product ID]=A56)*(TableBOM[Material Category]="CAP")*TableBOM[Per 1000 Units]*(1+TableBOM[Scrap %]))*I56/1000,0))</f>
        <v/>
      </c>
      <c r="P56" s="41" t="str">
        <f>IF(I56="","",IFERROR(SUMPRODUCT((TableBOM[Product ID]=A56)*(TableBOM[Material Category]="CARTON")*TableBOM[Per 1000 Units]*(1+TableBOM[Scrap %]))*I56/1000,0))</f>
        <v/>
      </c>
      <c r="Q56" s="41"/>
      <c r="R56" s="41"/>
      <c r="S56" s="41"/>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299" t="s">
        <v>373</v>
      </c>
      <c r="B1" s="300"/>
      <c r="C1" s="300"/>
      <c r="D1" s="300"/>
      <c r="E1" s="300"/>
      <c r="F1" s="300"/>
      <c r="G1" s="300"/>
      <c r="H1" s="300"/>
      <c r="I1" s="300"/>
      <c r="J1" s="300"/>
      <c r="K1" s="300"/>
    </row>
    <row r="2" spans="1:11" x14ac:dyDescent="0.25">
      <c r="A2" s="61" t="s">
        <v>374</v>
      </c>
      <c r="B2" s="62"/>
      <c r="C2" s="63"/>
      <c r="D2" s="63"/>
      <c r="E2" s="63"/>
      <c r="F2" s="63"/>
      <c r="G2" s="63"/>
      <c r="H2" s="63"/>
      <c r="I2" s="63"/>
      <c r="J2" s="63"/>
      <c r="K2" s="63"/>
    </row>
    <row r="3" spans="1:11" ht="6" customHeight="1" x14ac:dyDescent="0.25">
      <c r="A3" s="64"/>
      <c r="B3" s="64"/>
      <c r="C3" s="64"/>
      <c r="D3" s="64"/>
      <c r="E3" s="64"/>
      <c r="F3" s="64"/>
      <c r="G3" s="64"/>
      <c r="H3" s="64"/>
      <c r="I3" s="64"/>
      <c r="J3" s="64"/>
      <c r="K3" s="64"/>
    </row>
    <row r="4" spans="1:11" ht="21.95" customHeight="1" x14ac:dyDescent="0.25">
      <c r="A4" s="299" t="s">
        <v>375</v>
      </c>
      <c r="B4" s="300"/>
      <c r="C4" s="300"/>
      <c r="D4" s="300"/>
      <c r="E4" s="300"/>
      <c r="F4" s="300"/>
      <c r="G4" s="300"/>
      <c r="H4" s="300"/>
      <c r="I4" s="300"/>
      <c r="J4" s="300"/>
      <c r="K4" s="300"/>
    </row>
    <row r="5" spans="1:11" ht="18" customHeight="1" x14ac:dyDescent="0.25">
      <c r="A5" s="65" t="s">
        <v>376</v>
      </c>
      <c r="B5" s="65" t="s">
        <v>377</v>
      </c>
      <c r="C5" s="66" t="s">
        <v>3</v>
      </c>
      <c r="D5" s="66" t="s">
        <v>378</v>
      </c>
      <c r="E5" s="66" t="s">
        <v>2</v>
      </c>
      <c r="F5" s="66" t="s">
        <v>379</v>
      </c>
      <c r="G5" s="66" t="s">
        <v>380</v>
      </c>
      <c r="H5" s="66" t="s">
        <v>381</v>
      </c>
      <c r="I5" s="66" t="s">
        <v>32</v>
      </c>
      <c r="J5" s="66"/>
      <c r="K5" s="66"/>
    </row>
    <row r="6" spans="1:11" ht="108" customHeight="1" x14ac:dyDescent="0.25">
      <c r="A6" s="62">
        <v>9002</v>
      </c>
      <c r="B6" s="62">
        <v>901</v>
      </c>
      <c r="C6" s="63" t="s">
        <v>11</v>
      </c>
      <c r="D6" s="63" t="s">
        <v>214</v>
      </c>
      <c r="E6" s="63">
        <v>30</v>
      </c>
      <c r="F6" s="63" t="s">
        <v>382</v>
      </c>
      <c r="G6" s="63" t="s">
        <v>383</v>
      </c>
      <c r="H6" s="67" t="s">
        <v>384</v>
      </c>
      <c r="I6" s="68" t="s">
        <v>385</v>
      </c>
      <c r="J6" s="63"/>
      <c r="K6" s="63"/>
    </row>
    <row r="7" spans="1:11" ht="132" customHeight="1" x14ac:dyDescent="0.25">
      <c r="A7" s="69">
        <v>6624</v>
      </c>
      <c r="B7" s="69" t="s">
        <v>386</v>
      </c>
      <c r="C7" s="70" t="s">
        <v>387</v>
      </c>
      <c r="D7" s="70" t="s">
        <v>388</v>
      </c>
      <c r="E7" s="70">
        <v>19</v>
      </c>
      <c r="F7" s="70" t="s">
        <v>389</v>
      </c>
      <c r="G7" s="70" t="s">
        <v>390</v>
      </c>
      <c r="H7" s="71" t="s">
        <v>384</v>
      </c>
      <c r="I7" s="72" t="s">
        <v>385</v>
      </c>
      <c r="J7" s="70"/>
      <c r="K7" s="70"/>
    </row>
    <row r="8" spans="1:11" ht="132" customHeight="1" x14ac:dyDescent="0.25">
      <c r="A8" s="62">
        <v>9004</v>
      </c>
      <c r="B8" s="62">
        <v>904</v>
      </c>
      <c r="C8" s="63" t="s">
        <v>182</v>
      </c>
      <c r="D8" s="63" t="s">
        <v>183</v>
      </c>
      <c r="E8" s="63">
        <v>12.5</v>
      </c>
      <c r="F8" s="63" t="s">
        <v>391</v>
      </c>
      <c r="G8" s="63" t="s">
        <v>392</v>
      </c>
      <c r="H8" s="67" t="s">
        <v>384</v>
      </c>
      <c r="I8" s="68" t="s">
        <v>385</v>
      </c>
      <c r="J8" s="63"/>
      <c r="K8" s="63"/>
    </row>
    <row r="9" spans="1:11" ht="108" customHeight="1" x14ac:dyDescent="0.25">
      <c r="A9" s="69">
        <v>9006</v>
      </c>
      <c r="B9" s="69">
        <v>906</v>
      </c>
      <c r="C9" s="70" t="s">
        <v>387</v>
      </c>
      <c r="D9" s="70" t="s">
        <v>201</v>
      </c>
      <c r="E9" s="70">
        <v>25</v>
      </c>
      <c r="F9" s="70" t="s">
        <v>393</v>
      </c>
      <c r="G9" s="70" t="s">
        <v>394</v>
      </c>
      <c r="H9" s="71" t="s">
        <v>384</v>
      </c>
      <c r="I9" s="72" t="s">
        <v>385</v>
      </c>
      <c r="J9" s="70"/>
      <c r="K9" s="70"/>
    </row>
    <row r="10" spans="1:11" ht="6" customHeight="1" x14ac:dyDescent="0.25">
      <c r="A10" s="73"/>
      <c r="B10" s="73"/>
      <c r="C10" s="64"/>
      <c r="D10" s="73"/>
      <c r="E10" s="73"/>
      <c r="F10" s="73"/>
      <c r="G10" s="74"/>
      <c r="H10" s="73"/>
      <c r="I10" s="73"/>
      <c r="J10" s="64"/>
      <c r="K10" s="73"/>
    </row>
    <row r="11" spans="1:11" ht="6" customHeight="1" x14ac:dyDescent="0.25">
      <c r="A11" s="75"/>
      <c r="B11" s="64"/>
      <c r="C11" s="64"/>
      <c r="D11" s="64"/>
      <c r="E11" s="64"/>
      <c r="F11" s="64"/>
      <c r="G11" s="64"/>
      <c r="H11" s="64"/>
      <c r="I11" s="64"/>
      <c r="J11" s="64"/>
      <c r="K11" s="73"/>
    </row>
    <row r="12" spans="1:11" ht="21.95" customHeight="1" x14ac:dyDescent="0.25">
      <c r="A12" s="299" t="s">
        <v>395</v>
      </c>
      <c r="B12" s="300"/>
      <c r="C12" s="300"/>
      <c r="D12" s="300"/>
      <c r="E12" s="300"/>
      <c r="F12" s="300"/>
      <c r="G12" s="300"/>
      <c r="H12" s="300"/>
      <c r="I12" s="300"/>
      <c r="J12" s="300"/>
      <c r="K12" s="300"/>
    </row>
    <row r="13" spans="1:11" ht="18" customHeight="1" x14ac:dyDescent="0.25">
      <c r="A13" s="65" t="s">
        <v>376</v>
      </c>
      <c r="B13" s="65" t="s">
        <v>378</v>
      </c>
      <c r="C13" s="66"/>
      <c r="D13" s="66" t="s">
        <v>396</v>
      </c>
      <c r="E13" s="66" t="s">
        <v>25</v>
      </c>
      <c r="F13" s="66" t="s">
        <v>397</v>
      </c>
      <c r="G13" s="66" t="s">
        <v>398</v>
      </c>
      <c r="H13" s="66" t="s">
        <v>381</v>
      </c>
      <c r="I13" s="66" t="s">
        <v>399</v>
      </c>
      <c r="J13" s="66"/>
      <c r="K13" s="66"/>
    </row>
    <row r="14" spans="1:11" ht="60" customHeight="1" x14ac:dyDescent="0.25">
      <c r="A14" s="62">
        <v>6020</v>
      </c>
      <c r="B14" s="62" t="s">
        <v>223</v>
      </c>
      <c r="C14" s="63"/>
      <c r="D14" s="63" t="s">
        <v>50</v>
      </c>
      <c r="E14" s="63" t="s">
        <v>400</v>
      </c>
      <c r="F14" s="63" t="s">
        <v>401</v>
      </c>
      <c r="G14" s="63" t="s">
        <v>402</v>
      </c>
      <c r="H14" s="67" t="s">
        <v>403</v>
      </c>
      <c r="I14" s="63" t="s">
        <v>404</v>
      </c>
      <c r="J14" s="63"/>
      <c r="K14" s="63"/>
    </row>
    <row r="15" spans="1:11" ht="24" customHeight="1" x14ac:dyDescent="0.25">
      <c r="A15" s="69">
        <v>6021</v>
      </c>
      <c r="B15" s="69" t="s">
        <v>224</v>
      </c>
      <c r="C15" s="70"/>
      <c r="D15" s="70" t="s">
        <v>50</v>
      </c>
      <c r="E15" s="70" t="s">
        <v>400</v>
      </c>
      <c r="F15" s="70" t="s">
        <v>401</v>
      </c>
      <c r="G15" s="70" t="s">
        <v>402</v>
      </c>
      <c r="H15" s="71" t="s">
        <v>403</v>
      </c>
      <c r="I15" s="70" t="s">
        <v>405</v>
      </c>
      <c r="J15" s="70"/>
      <c r="K15" s="70"/>
    </row>
    <row r="16" spans="1:11" ht="24" customHeight="1" x14ac:dyDescent="0.25">
      <c r="A16" s="62">
        <v>6020</v>
      </c>
      <c r="B16" s="62" t="s">
        <v>223</v>
      </c>
      <c r="C16" s="63"/>
      <c r="D16" s="63" t="s">
        <v>57</v>
      </c>
      <c r="E16" s="63" t="s">
        <v>406</v>
      </c>
      <c r="F16" s="63" t="s">
        <v>407</v>
      </c>
      <c r="G16" s="63" t="s">
        <v>408</v>
      </c>
      <c r="H16" s="67" t="s">
        <v>384</v>
      </c>
      <c r="I16" s="63" t="s">
        <v>409</v>
      </c>
      <c r="J16" s="63"/>
      <c r="K16" s="63"/>
    </row>
    <row r="17" spans="1:11" ht="24" customHeight="1" x14ac:dyDescent="0.25">
      <c r="A17" s="69">
        <v>6021</v>
      </c>
      <c r="B17" s="69" t="s">
        <v>224</v>
      </c>
      <c r="C17" s="70"/>
      <c r="D17" s="70" t="s">
        <v>57</v>
      </c>
      <c r="E17" s="70" t="s">
        <v>406</v>
      </c>
      <c r="F17" s="70" t="s">
        <v>407</v>
      </c>
      <c r="G17" s="70" t="s">
        <v>408</v>
      </c>
      <c r="H17" s="71" t="s">
        <v>384</v>
      </c>
      <c r="I17" s="70" t="s">
        <v>405</v>
      </c>
      <c r="J17" s="70"/>
      <c r="K17" s="70"/>
    </row>
    <row r="18" spans="1:11" ht="24" customHeight="1" x14ac:dyDescent="0.25">
      <c r="A18" s="62">
        <v>5731</v>
      </c>
      <c r="B18" s="62" t="s">
        <v>410</v>
      </c>
      <c r="C18" s="63"/>
      <c r="D18" s="63" t="s">
        <v>108</v>
      </c>
      <c r="E18" s="63" t="s">
        <v>411</v>
      </c>
      <c r="F18" s="63" t="s">
        <v>412</v>
      </c>
      <c r="G18" s="63" t="s">
        <v>413</v>
      </c>
      <c r="H18" s="67" t="s">
        <v>384</v>
      </c>
      <c r="I18" s="63" t="s">
        <v>414</v>
      </c>
      <c r="J18" s="63"/>
      <c r="K18" s="63"/>
    </row>
    <row r="19" spans="1:11" ht="24" customHeight="1" x14ac:dyDescent="0.25">
      <c r="A19" s="69">
        <v>5732</v>
      </c>
      <c r="B19" s="69" t="s">
        <v>415</v>
      </c>
      <c r="C19" s="70"/>
      <c r="D19" s="70" t="s">
        <v>108</v>
      </c>
      <c r="E19" s="70" t="s">
        <v>411</v>
      </c>
      <c r="F19" s="70" t="s">
        <v>412</v>
      </c>
      <c r="G19" s="70" t="s">
        <v>413</v>
      </c>
      <c r="H19" s="71" t="s">
        <v>384</v>
      </c>
      <c r="I19" s="70" t="s">
        <v>414</v>
      </c>
      <c r="J19" s="70"/>
      <c r="K19" s="70"/>
    </row>
    <row r="20" spans="1:11" ht="48" customHeight="1" x14ac:dyDescent="0.25">
      <c r="A20" s="62">
        <v>6338</v>
      </c>
      <c r="B20" s="62" t="s">
        <v>203</v>
      </c>
      <c r="C20" s="63"/>
      <c r="D20" s="63" t="s">
        <v>57</v>
      </c>
      <c r="E20" s="63" t="s">
        <v>416</v>
      </c>
      <c r="F20" s="63" t="s">
        <v>417</v>
      </c>
      <c r="G20" s="63" t="s">
        <v>418</v>
      </c>
      <c r="H20" s="67" t="s">
        <v>384</v>
      </c>
      <c r="I20" s="63" t="s">
        <v>419</v>
      </c>
      <c r="J20" s="63"/>
      <c r="K20" s="63"/>
    </row>
    <row r="21" spans="1:11" ht="24" customHeight="1" x14ac:dyDescent="0.25">
      <c r="A21" s="69">
        <v>6531</v>
      </c>
      <c r="B21" s="69" t="s">
        <v>222</v>
      </c>
      <c r="C21" s="70"/>
      <c r="D21" s="70" t="s">
        <v>50</v>
      </c>
      <c r="E21" s="70" t="s">
        <v>400</v>
      </c>
      <c r="F21" s="70" t="s">
        <v>420</v>
      </c>
      <c r="G21" s="70" t="s">
        <v>421</v>
      </c>
      <c r="H21" s="76" t="s">
        <v>422</v>
      </c>
      <c r="I21" s="70" t="s">
        <v>423</v>
      </c>
      <c r="J21" s="70"/>
      <c r="K21" s="70"/>
    </row>
    <row r="22" spans="1:11" ht="6" customHeight="1" x14ac:dyDescent="0.25">
      <c r="A22" s="75"/>
      <c r="B22" s="64"/>
      <c r="C22" s="64"/>
      <c r="D22" s="64"/>
      <c r="E22" s="64"/>
      <c r="F22" s="64"/>
      <c r="G22" s="64"/>
      <c r="H22" s="64"/>
      <c r="I22" s="64"/>
      <c r="J22" s="64"/>
      <c r="K22" s="74"/>
    </row>
    <row r="23" spans="1:11" ht="21.95" customHeight="1" x14ac:dyDescent="0.25">
      <c r="A23" s="299" t="s">
        <v>424</v>
      </c>
      <c r="B23" s="300"/>
      <c r="C23" s="300"/>
      <c r="D23" s="300"/>
      <c r="E23" s="300"/>
      <c r="F23" s="300"/>
      <c r="G23" s="300"/>
      <c r="H23" s="300"/>
      <c r="I23" s="300"/>
      <c r="J23" s="300"/>
      <c r="K23" s="300"/>
    </row>
    <row r="24" spans="1:11" ht="18" customHeight="1" x14ac:dyDescent="0.25">
      <c r="A24" s="65" t="s">
        <v>376</v>
      </c>
      <c r="B24" s="65" t="s">
        <v>378</v>
      </c>
      <c r="C24" s="66"/>
      <c r="D24" s="66" t="s">
        <v>425</v>
      </c>
      <c r="E24" s="66" t="s">
        <v>25</v>
      </c>
      <c r="F24" s="66" t="s">
        <v>426</v>
      </c>
      <c r="G24" s="66" t="s">
        <v>427</v>
      </c>
      <c r="H24" s="66" t="s">
        <v>381</v>
      </c>
      <c r="I24" s="66"/>
      <c r="J24" s="66"/>
      <c r="K24" s="66"/>
    </row>
    <row r="25" spans="1:11" ht="96" customHeight="1" x14ac:dyDescent="0.25">
      <c r="A25" s="62" t="s">
        <v>428</v>
      </c>
      <c r="B25" s="62" t="s">
        <v>429</v>
      </c>
      <c r="C25" s="63"/>
      <c r="D25" s="63" t="s">
        <v>430</v>
      </c>
      <c r="E25" s="63">
        <v>177</v>
      </c>
      <c r="F25" s="63" t="s">
        <v>431</v>
      </c>
      <c r="G25" s="63" t="s">
        <v>432</v>
      </c>
      <c r="H25" s="67" t="s">
        <v>403</v>
      </c>
      <c r="I25" s="63"/>
      <c r="J25" s="63"/>
      <c r="K25" s="63"/>
    </row>
    <row r="26" spans="1:11" ht="18" customHeight="1" x14ac:dyDescent="0.25">
      <c r="A26" s="65">
        <v>6312</v>
      </c>
      <c r="B26" s="65" t="s">
        <v>210</v>
      </c>
      <c r="C26" s="66"/>
      <c r="D26" s="66" t="s">
        <v>71</v>
      </c>
      <c r="E26" s="66">
        <v>578</v>
      </c>
      <c r="F26" s="66" t="s">
        <v>433</v>
      </c>
      <c r="G26" s="66" t="s">
        <v>434</v>
      </c>
      <c r="H26" s="66" t="s">
        <v>384</v>
      </c>
      <c r="I26" s="66"/>
      <c r="J26" s="66"/>
      <c r="K26" s="66"/>
    </row>
    <row r="27" spans="1:11" ht="72" customHeight="1" x14ac:dyDescent="0.25">
      <c r="A27" s="62">
        <v>6338</v>
      </c>
      <c r="B27" s="62" t="s">
        <v>203</v>
      </c>
      <c r="C27" s="63"/>
      <c r="D27" s="63" t="s">
        <v>71</v>
      </c>
      <c r="E27" s="63" t="s">
        <v>435</v>
      </c>
      <c r="F27" s="63" t="s">
        <v>436</v>
      </c>
      <c r="G27" s="63" t="s">
        <v>437</v>
      </c>
      <c r="H27" s="67" t="s">
        <v>384</v>
      </c>
      <c r="I27" s="63"/>
      <c r="J27" s="63"/>
      <c r="K27" s="63"/>
    </row>
    <row r="28" spans="1:11" ht="108" customHeight="1" x14ac:dyDescent="0.25">
      <c r="A28" s="69">
        <v>5814</v>
      </c>
      <c r="B28" s="69" t="s">
        <v>17</v>
      </c>
      <c r="C28" s="70"/>
      <c r="D28" s="70" t="s">
        <v>95</v>
      </c>
      <c r="E28" s="70" t="s">
        <v>435</v>
      </c>
      <c r="F28" s="70" t="s">
        <v>436</v>
      </c>
      <c r="G28" s="70" t="s">
        <v>438</v>
      </c>
      <c r="H28" s="71" t="s">
        <v>384</v>
      </c>
      <c r="I28" s="70"/>
      <c r="J28" s="70"/>
      <c r="K28" s="70"/>
    </row>
    <row r="29" spans="1:11" ht="18" customHeight="1" x14ac:dyDescent="0.25">
      <c r="A29" s="65">
        <v>6312</v>
      </c>
      <c r="B29" s="65" t="s">
        <v>210</v>
      </c>
      <c r="C29" s="66"/>
      <c r="D29" s="66" t="s">
        <v>69</v>
      </c>
      <c r="E29" s="66">
        <v>186</v>
      </c>
      <c r="F29" s="66" t="s">
        <v>439</v>
      </c>
      <c r="G29" s="66" t="s">
        <v>440</v>
      </c>
      <c r="H29" s="66" t="s">
        <v>422</v>
      </c>
      <c r="I29" s="66"/>
      <c r="J29" s="66"/>
      <c r="K29" s="66"/>
    </row>
    <row r="30" spans="1:11" ht="18" customHeight="1" x14ac:dyDescent="0.25">
      <c r="A30" s="65">
        <v>6077</v>
      </c>
      <c r="B30" s="65" t="s">
        <v>441</v>
      </c>
      <c r="C30" s="66"/>
      <c r="D30" s="66" t="s">
        <v>69</v>
      </c>
      <c r="E30" s="66">
        <v>186</v>
      </c>
      <c r="F30" s="66" t="s">
        <v>439</v>
      </c>
      <c r="G30" s="66" t="s">
        <v>442</v>
      </c>
      <c r="H30" s="66" t="s">
        <v>422</v>
      </c>
      <c r="I30" s="66"/>
      <c r="J30" s="66"/>
      <c r="K30" s="66"/>
    </row>
    <row r="31" spans="1:11" ht="72" customHeight="1" x14ac:dyDescent="0.25">
      <c r="A31" s="62">
        <v>6530</v>
      </c>
      <c r="B31" s="62" t="s">
        <v>221</v>
      </c>
      <c r="C31" s="63"/>
      <c r="D31" s="63" t="s">
        <v>69</v>
      </c>
      <c r="E31" s="63">
        <v>186</v>
      </c>
      <c r="F31" s="63" t="s">
        <v>439</v>
      </c>
      <c r="G31" s="63" t="s">
        <v>443</v>
      </c>
      <c r="H31" s="77" t="s">
        <v>422</v>
      </c>
      <c r="I31" s="63"/>
      <c r="J31" s="63"/>
      <c r="K31" s="63"/>
    </row>
    <row r="32" spans="1:11" ht="18" customHeight="1" x14ac:dyDescent="0.25">
      <c r="A32" s="65">
        <v>6531</v>
      </c>
      <c r="B32" s="65" t="s">
        <v>222</v>
      </c>
      <c r="C32" s="66"/>
      <c r="D32" s="66" t="s">
        <v>69</v>
      </c>
      <c r="E32" s="66">
        <v>186</v>
      </c>
      <c r="F32" s="66" t="s">
        <v>439</v>
      </c>
      <c r="G32" s="66" t="s">
        <v>444</v>
      </c>
      <c r="H32" s="66" t="s">
        <v>422</v>
      </c>
      <c r="I32" s="66"/>
      <c r="J32" s="66"/>
      <c r="K32" s="66"/>
    </row>
    <row r="33" spans="1:11" ht="6" customHeight="1" x14ac:dyDescent="0.25">
      <c r="A33" s="75"/>
      <c r="B33" s="64"/>
      <c r="C33" s="64"/>
      <c r="D33" s="64"/>
      <c r="E33" s="64"/>
      <c r="F33" s="64"/>
      <c r="G33" s="64"/>
      <c r="H33" s="64"/>
      <c r="I33" s="64"/>
      <c r="J33" s="64"/>
      <c r="K33" s="73"/>
    </row>
    <row r="34" spans="1:11" ht="21.95" customHeight="1" x14ac:dyDescent="0.25">
      <c r="A34" s="299" t="s">
        <v>445</v>
      </c>
      <c r="B34" s="300"/>
      <c r="C34" s="300"/>
      <c r="D34" s="300"/>
      <c r="E34" s="300"/>
      <c r="F34" s="300"/>
      <c r="G34" s="300"/>
      <c r="H34" s="300"/>
      <c r="I34" s="300"/>
      <c r="J34" s="300"/>
      <c r="K34" s="300"/>
    </row>
    <row r="35" spans="1:11" ht="18" customHeight="1" x14ac:dyDescent="0.25">
      <c r="A35" s="65" t="s">
        <v>376</v>
      </c>
      <c r="B35" s="65" t="s">
        <v>377</v>
      </c>
      <c r="C35" s="66" t="s">
        <v>378</v>
      </c>
      <c r="D35" s="66" t="s">
        <v>396</v>
      </c>
      <c r="E35" s="66" t="s">
        <v>446</v>
      </c>
      <c r="F35" s="66" t="s">
        <v>447</v>
      </c>
      <c r="G35" s="66" t="s">
        <v>448</v>
      </c>
      <c r="H35" s="66" t="s">
        <v>449</v>
      </c>
      <c r="I35" s="66" t="s">
        <v>426</v>
      </c>
      <c r="J35" s="66"/>
      <c r="K35" s="66"/>
    </row>
    <row r="36" spans="1:11" x14ac:dyDescent="0.25">
      <c r="A36" s="62">
        <v>6337</v>
      </c>
      <c r="B36" s="62">
        <v>166</v>
      </c>
      <c r="C36" s="63" t="s">
        <v>450</v>
      </c>
      <c r="D36" s="63" t="s">
        <v>57</v>
      </c>
      <c r="E36" s="63">
        <v>170</v>
      </c>
      <c r="F36" s="63" t="s">
        <v>58</v>
      </c>
      <c r="G36" s="63">
        <v>3595</v>
      </c>
      <c r="H36" s="63" t="s">
        <v>270</v>
      </c>
      <c r="I36" s="63" t="s">
        <v>451</v>
      </c>
      <c r="J36" s="63"/>
      <c r="K36" s="63"/>
    </row>
    <row r="37" spans="1:11" x14ac:dyDescent="0.25">
      <c r="A37" s="69">
        <v>6337</v>
      </c>
      <c r="B37" s="69">
        <v>166</v>
      </c>
      <c r="C37" s="70" t="s">
        <v>450</v>
      </c>
      <c r="D37" s="70" t="s">
        <v>50</v>
      </c>
      <c r="E37" s="70">
        <v>1065</v>
      </c>
      <c r="F37" s="70" t="s">
        <v>55</v>
      </c>
      <c r="G37" s="70">
        <v>4155</v>
      </c>
      <c r="H37" s="70" t="s">
        <v>56</v>
      </c>
      <c r="I37" s="70" t="s">
        <v>420</v>
      </c>
      <c r="J37" s="70"/>
      <c r="K37" s="70"/>
    </row>
    <row r="38" spans="1:11" x14ac:dyDescent="0.25">
      <c r="A38" s="62">
        <v>6338</v>
      </c>
      <c r="B38" s="62">
        <v>167</v>
      </c>
      <c r="C38" s="63" t="s">
        <v>203</v>
      </c>
      <c r="D38" s="63" t="s">
        <v>57</v>
      </c>
      <c r="E38" s="63">
        <v>170</v>
      </c>
      <c r="F38" s="63" t="s">
        <v>58</v>
      </c>
      <c r="G38" s="63">
        <v>3595</v>
      </c>
      <c r="H38" s="63" t="s">
        <v>270</v>
      </c>
      <c r="I38" s="63" t="s">
        <v>452</v>
      </c>
      <c r="J38" s="63"/>
      <c r="K38" s="63"/>
    </row>
    <row r="39" spans="1:11" x14ac:dyDescent="0.25">
      <c r="A39" s="69">
        <v>6338</v>
      </c>
      <c r="B39" s="69">
        <v>167</v>
      </c>
      <c r="C39" s="70" t="s">
        <v>203</v>
      </c>
      <c r="D39" s="70" t="s">
        <v>50</v>
      </c>
      <c r="E39" s="70">
        <v>184</v>
      </c>
      <c r="F39" s="70" t="s">
        <v>51</v>
      </c>
      <c r="G39" s="70">
        <v>185</v>
      </c>
      <c r="H39" s="70" t="s">
        <v>52</v>
      </c>
      <c r="I39" s="70" t="s">
        <v>453</v>
      </c>
      <c r="J39" s="70"/>
      <c r="K39" s="70"/>
    </row>
    <row r="40" spans="1:11" x14ac:dyDescent="0.25">
      <c r="A40" s="62">
        <v>6312</v>
      </c>
      <c r="B40" s="62">
        <v>157</v>
      </c>
      <c r="C40" s="63" t="s">
        <v>454</v>
      </c>
      <c r="D40" s="63" t="s">
        <v>57</v>
      </c>
      <c r="E40" s="63">
        <v>170</v>
      </c>
      <c r="F40" s="63" t="s">
        <v>58</v>
      </c>
      <c r="G40" s="63">
        <v>3595</v>
      </c>
      <c r="H40" s="63" t="s">
        <v>270</v>
      </c>
      <c r="I40" s="63" t="s">
        <v>451</v>
      </c>
      <c r="J40" s="63"/>
      <c r="K40" s="63"/>
    </row>
    <row r="41" spans="1:11" x14ac:dyDescent="0.25">
      <c r="A41" s="69">
        <v>6312</v>
      </c>
      <c r="B41" s="69">
        <v>157</v>
      </c>
      <c r="C41" s="70" t="s">
        <v>454</v>
      </c>
      <c r="D41" s="70" t="s">
        <v>50</v>
      </c>
      <c r="E41" s="70">
        <v>1065</v>
      </c>
      <c r="F41" s="70" t="s">
        <v>55</v>
      </c>
      <c r="G41" s="70">
        <v>4155</v>
      </c>
      <c r="H41" s="70" t="s">
        <v>56</v>
      </c>
      <c r="I41" s="70" t="s">
        <v>420</v>
      </c>
      <c r="J41" s="70"/>
      <c r="K41" s="70"/>
    </row>
    <row r="42" spans="1:11" x14ac:dyDescent="0.25">
      <c r="A42" s="62">
        <v>6228</v>
      </c>
      <c r="B42" s="62">
        <v>150</v>
      </c>
      <c r="C42" s="63" t="s">
        <v>455</v>
      </c>
      <c r="D42" s="63" t="s">
        <v>57</v>
      </c>
      <c r="E42" s="63">
        <v>170</v>
      </c>
      <c r="F42" s="63" t="s">
        <v>58</v>
      </c>
      <c r="G42" s="63">
        <v>3595</v>
      </c>
      <c r="H42" s="63" t="s">
        <v>270</v>
      </c>
      <c r="I42" s="63" t="s">
        <v>456</v>
      </c>
      <c r="J42" s="63"/>
      <c r="K42" s="63"/>
    </row>
    <row r="43" spans="1:11" x14ac:dyDescent="0.25">
      <c r="A43" s="69">
        <v>5782</v>
      </c>
      <c r="B43" s="69">
        <v>70</v>
      </c>
      <c r="C43" s="70" t="s">
        <v>219</v>
      </c>
      <c r="D43" s="70" t="s">
        <v>57</v>
      </c>
      <c r="E43" s="70">
        <v>170</v>
      </c>
      <c r="F43" s="70" t="s">
        <v>58</v>
      </c>
      <c r="G43" s="70">
        <v>3595</v>
      </c>
      <c r="H43" s="70" t="s">
        <v>270</v>
      </c>
      <c r="I43" s="70" t="s">
        <v>407</v>
      </c>
      <c r="J43" s="70"/>
      <c r="K43" s="70"/>
    </row>
    <row r="44" spans="1:11" x14ac:dyDescent="0.25">
      <c r="A44" s="62">
        <v>5782</v>
      </c>
      <c r="B44" s="62">
        <v>70</v>
      </c>
      <c r="C44" s="63" t="s">
        <v>219</v>
      </c>
      <c r="D44" s="63" t="s">
        <v>50</v>
      </c>
      <c r="E44" s="63">
        <v>184</v>
      </c>
      <c r="F44" s="63" t="s">
        <v>51</v>
      </c>
      <c r="G44" s="63">
        <v>185</v>
      </c>
      <c r="H44" s="63" t="s">
        <v>52</v>
      </c>
      <c r="I44" s="63" t="s">
        <v>457</v>
      </c>
      <c r="J44" s="63"/>
      <c r="K44" s="63"/>
    </row>
    <row r="45" spans="1:11" x14ac:dyDescent="0.25">
      <c r="A45" s="69">
        <v>3447</v>
      </c>
      <c r="B45" s="69">
        <v>34</v>
      </c>
      <c r="C45" s="70" t="s">
        <v>197</v>
      </c>
      <c r="D45" s="70" t="s">
        <v>57</v>
      </c>
      <c r="E45" s="70">
        <v>4156</v>
      </c>
      <c r="F45" s="70" t="s">
        <v>63</v>
      </c>
      <c r="G45" s="70">
        <v>3595</v>
      </c>
      <c r="H45" s="70" t="s">
        <v>270</v>
      </c>
      <c r="I45" s="70" t="s">
        <v>458</v>
      </c>
      <c r="J45" s="70"/>
      <c r="K45" s="70"/>
    </row>
    <row r="46" spans="1:11" x14ac:dyDescent="0.25">
      <c r="A46" s="62">
        <v>3447</v>
      </c>
      <c r="B46" s="62">
        <v>34</v>
      </c>
      <c r="C46" s="63" t="s">
        <v>197</v>
      </c>
      <c r="D46" s="63" t="s">
        <v>71</v>
      </c>
      <c r="E46" s="63">
        <v>3866</v>
      </c>
      <c r="F46" s="63" t="s">
        <v>459</v>
      </c>
      <c r="G46" s="63">
        <v>68</v>
      </c>
      <c r="H46" s="63" t="s">
        <v>460</v>
      </c>
      <c r="I46" s="63" t="s">
        <v>433</v>
      </c>
      <c r="J46" s="63"/>
      <c r="K46" s="63"/>
    </row>
    <row r="47" spans="1:11" x14ac:dyDescent="0.25">
      <c r="A47" s="69">
        <v>3447</v>
      </c>
      <c r="B47" s="69">
        <v>34</v>
      </c>
      <c r="C47" s="70" t="s">
        <v>197</v>
      </c>
      <c r="D47" s="70" t="s">
        <v>50</v>
      </c>
      <c r="E47" s="70">
        <v>184</v>
      </c>
      <c r="F47" s="70" t="s">
        <v>51</v>
      </c>
      <c r="G47" s="70">
        <v>185</v>
      </c>
      <c r="H47" s="70" t="s">
        <v>52</v>
      </c>
      <c r="I47" s="70" t="s">
        <v>453</v>
      </c>
      <c r="J47" s="70"/>
      <c r="K47" s="70"/>
    </row>
    <row r="48" spans="1:11" x14ac:dyDescent="0.25">
      <c r="A48" s="62">
        <v>5732</v>
      </c>
      <c r="B48" s="62">
        <v>33</v>
      </c>
      <c r="C48" s="63" t="s">
        <v>415</v>
      </c>
      <c r="D48" s="63" t="s">
        <v>57</v>
      </c>
      <c r="E48" s="63">
        <v>4156</v>
      </c>
      <c r="F48" s="63" t="s">
        <v>63</v>
      </c>
      <c r="G48" s="63">
        <v>3595</v>
      </c>
      <c r="H48" s="63" t="s">
        <v>270</v>
      </c>
      <c r="I48" s="63" t="s">
        <v>461</v>
      </c>
      <c r="J48" s="63"/>
      <c r="K48" s="63"/>
    </row>
    <row r="49" spans="1:11" x14ac:dyDescent="0.25">
      <c r="A49" s="69">
        <v>5732</v>
      </c>
      <c r="B49" s="69">
        <v>33</v>
      </c>
      <c r="C49" s="70" t="s">
        <v>415</v>
      </c>
      <c r="D49" s="70" t="s">
        <v>71</v>
      </c>
      <c r="E49" s="70">
        <v>4044</v>
      </c>
      <c r="F49" s="70" t="s">
        <v>462</v>
      </c>
      <c r="G49" s="70">
        <v>6971</v>
      </c>
      <c r="H49" s="70" t="s">
        <v>463</v>
      </c>
      <c r="I49" s="70" t="s">
        <v>433</v>
      </c>
      <c r="J49" s="70"/>
      <c r="K49" s="70"/>
    </row>
    <row r="50" spans="1:11" x14ac:dyDescent="0.25">
      <c r="A50" s="62">
        <v>5732</v>
      </c>
      <c r="B50" s="62">
        <v>33</v>
      </c>
      <c r="C50" s="63" t="s">
        <v>415</v>
      </c>
      <c r="D50" s="63" t="s">
        <v>50</v>
      </c>
      <c r="E50" s="63">
        <v>184</v>
      </c>
      <c r="F50" s="63" t="s">
        <v>51</v>
      </c>
      <c r="G50" s="63">
        <v>185</v>
      </c>
      <c r="H50" s="63" t="s">
        <v>52</v>
      </c>
      <c r="I50" s="63" t="s">
        <v>464</v>
      </c>
      <c r="J50" s="63"/>
      <c r="K50" s="63"/>
    </row>
    <row r="51" spans="1:11" x14ac:dyDescent="0.25">
      <c r="A51" s="69">
        <v>5731</v>
      </c>
      <c r="B51" s="69">
        <v>32</v>
      </c>
      <c r="C51" s="70" t="s">
        <v>410</v>
      </c>
      <c r="D51" s="70" t="s">
        <v>57</v>
      </c>
      <c r="E51" s="70">
        <v>4156</v>
      </c>
      <c r="F51" s="70" t="s">
        <v>63</v>
      </c>
      <c r="G51" s="70">
        <v>3595</v>
      </c>
      <c r="H51" s="70" t="s">
        <v>270</v>
      </c>
      <c r="I51" s="70" t="s">
        <v>461</v>
      </c>
      <c r="J51" s="70"/>
      <c r="K51" s="70"/>
    </row>
    <row r="52" spans="1:11" x14ac:dyDescent="0.25">
      <c r="A52" s="62">
        <v>5731</v>
      </c>
      <c r="B52" s="62">
        <v>32</v>
      </c>
      <c r="C52" s="63" t="s">
        <v>410</v>
      </c>
      <c r="D52" s="63" t="s">
        <v>71</v>
      </c>
      <c r="E52" s="63">
        <v>4044</v>
      </c>
      <c r="F52" s="63" t="s">
        <v>462</v>
      </c>
      <c r="G52" s="63">
        <v>6971</v>
      </c>
      <c r="H52" s="63" t="s">
        <v>463</v>
      </c>
      <c r="I52" s="63" t="s">
        <v>433</v>
      </c>
      <c r="J52" s="63"/>
      <c r="K52" s="63"/>
    </row>
    <row r="53" spans="1:11" x14ac:dyDescent="0.25">
      <c r="A53" s="69">
        <v>5731</v>
      </c>
      <c r="B53" s="69">
        <v>32</v>
      </c>
      <c r="C53" s="70" t="s">
        <v>410</v>
      </c>
      <c r="D53" s="70" t="s">
        <v>50</v>
      </c>
      <c r="E53" s="70">
        <v>184</v>
      </c>
      <c r="F53" s="70" t="s">
        <v>51</v>
      </c>
      <c r="G53" s="70">
        <v>185</v>
      </c>
      <c r="H53" s="70" t="s">
        <v>52</v>
      </c>
      <c r="I53" s="70" t="s">
        <v>464</v>
      </c>
      <c r="J53" s="70"/>
      <c r="K53" s="70"/>
    </row>
    <row r="54" spans="1:11" x14ac:dyDescent="0.25">
      <c r="A54" s="62">
        <v>6532</v>
      </c>
      <c r="B54" s="62">
        <v>181</v>
      </c>
      <c r="C54" s="63" t="s">
        <v>199</v>
      </c>
      <c r="D54" s="63" t="s">
        <v>57</v>
      </c>
      <c r="E54" s="63">
        <v>170</v>
      </c>
      <c r="F54" s="63" t="s">
        <v>58</v>
      </c>
      <c r="G54" s="63">
        <v>3595</v>
      </c>
      <c r="H54" s="63" t="s">
        <v>270</v>
      </c>
      <c r="I54" s="63" t="s">
        <v>456</v>
      </c>
      <c r="J54" s="63"/>
      <c r="K54" s="63"/>
    </row>
    <row r="55" spans="1:11" x14ac:dyDescent="0.25">
      <c r="A55" s="69">
        <v>6532</v>
      </c>
      <c r="B55" s="69">
        <v>181</v>
      </c>
      <c r="C55" s="70" t="s">
        <v>199</v>
      </c>
      <c r="D55" s="70" t="s">
        <v>50</v>
      </c>
      <c r="E55" s="70">
        <v>184</v>
      </c>
      <c r="F55" s="70" t="s">
        <v>51</v>
      </c>
      <c r="G55" s="70">
        <v>185</v>
      </c>
      <c r="H55" s="70" t="s">
        <v>52</v>
      </c>
      <c r="I55" s="70" t="s">
        <v>465</v>
      </c>
      <c r="J55" s="70"/>
      <c r="K55" s="70"/>
    </row>
    <row r="56" spans="1:11" x14ac:dyDescent="0.25">
      <c r="A56" s="62">
        <v>3726</v>
      </c>
      <c r="B56" s="62">
        <v>9</v>
      </c>
      <c r="C56" s="63" t="s">
        <v>198</v>
      </c>
      <c r="D56" s="63" t="s">
        <v>57</v>
      </c>
      <c r="E56" s="63">
        <v>170</v>
      </c>
      <c r="F56" s="63" t="s">
        <v>58</v>
      </c>
      <c r="G56" s="63">
        <v>3595</v>
      </c>
      <c r="H56" s="63" t="s">
        <v>270</v>
      </c>
      <c r="I56" s="63" t="s">
        <v>456</v>
      </c>
      <c r="J56" s="63"/>
      <c r="K56" s="63"/>
    </row>
    <row r="57" spans="1:11" x14ac:dyDescent="0.25">
      <c r="A57" s="69">
        <v>3726</v>
      </c>
      <c r="B57" s="69">
        <v>9</v>
      </c>
      <c r="C57" s="70" t="s">
        <v>198</v>
      </c>
      <c r="D57" s="70" t="s">
        <v>50</v>
      </c>
      <c r="E57" s="70">
        <v>184</v>
      </c>
      <c r="F57" s="70" t="s">
        <v>51</v>
      </c>
      <c r="G57" s="70">
        <v>185</v>
      </c>
      <c r="H57" s="70" t="s">
        <v>52</v>
      </c>
      <c r="I57" s="70" t="s">
        <v>465</v>
      </c>
      <c r="J57" s="70"/>
      <c r="K57" s="70"/>
    </row>
    <row r="58" spans="1:11" x14ac:dyDescent="0.25">
      <c r="A58" s="62">
        <v>6077</v>
      </c>
      <c r="B58" s="62">
        <v>138</v>
      </c>
      <c r="C58" s="63" t="s">
        <v>441</v>
      </c>
      <c r="D58" s="63" t="s">
        <v>57</v>
      </c>
      <c r="E58" s="63">
        <v>170</v>
      </c>
      <c r="F58" s="63" t="s">
        <v>58</v>
      </c>
      <c r="G58" s="63">
        <v>3595</v>
      </c>
      <c r="H58" s="63" t="s">
        <v>270</v>
      </c>
      <c r="I58" s="63" t="s">
        <v>466</v>
      </c>
      <c r="J58" s="63"/>
      <c r="K58" s="63"/>
    </row>
    <row r="59" spans="1:11" x14ac:dyDescent="0.25">
      <c r="A59" s="69">
        <v>5814</v>
      </c>
      <c r="B59" s="69">
        <v>95</v>
      </c>
      <c r="C59" s="70" t="s">
        <v>17</v>
      </c>
      <c r="D59" s="70" t="s">
        <v>57</v>
      </c>
      <c r="E59" s="70">
        <v>170</v>
      </c>
      <c r="F59" s="70" t="s">
        <v>58</v>
      </c>
      <c r="G59" s="70">
        <v>3595</v>
      </c>
      <c r="H59" s="70" t="s">
        <v>270</v>
      </c>
      <c r="I59" s="70" t="s">
        <v>467</v>
      </c>
      <c r="J59" s="70"/>
      <c r="K59" s="70"/>
    </row>
    <row r="60" spans="1:11" x14ac:dyDescent="0.25">
      <c r="A60" s="62">
        <v>5814</v>
      </c>
      <c r="B60" s="62">
        <v>95</v>
      </c>
      <c r="C60" s="63" t="s">
        <v>17</v>
      </c>
      <c r="D60" s="63" t="s">
        <v>50</v>
      </c>
      <c r="E60" s="63">
        <v>1065</v>
      </c>
      <c r="F60" s="63" t="s">
        <v>55</v>
      </c>
      <c r="G60" s="63">
        <v>4155</v>
      </c>
      <c r="H60" s="63" t="s">
        <v>56</v>
      </c>
      <c r="I60" s="63" t="s">
        <v>468</v>
      </c>
      <c r="J60" s="63"/>
      <c r="K60" s="63"/>
    </row>
    <row r="61" spans="1:11" x14ac:dyDescent="0.25">
      <c r="A61" s="69">
        <v>9002</v>
      </c>
      <c r="B61" s="69">
        <v>901</v>
      </c>
      <c r="C61" s="70" t="s">
        <v>214</v>
      </c>
      <c r="D61" s="70" t="s">
        <v>57</v>
      </c>
      <c r="E61" s="70">
        <v>170</v>
      </c>
      <c r="F61" s="70" t="s">
        <v>58</v>
      </c>
      <c r="G61" s="70">
        <v>3595</v>
      </c>
      <c r="H61" s="70" t="s">
        <v>270</v>
      </c>
      <c r="I61" s="70" t="s">
        <v>451</v>
      </c>
      <c r="J61" s="70"/>
      <c r="K61" s="70"/>
    </row>
    <row r="62" spans="1:11" x14ac:dyDescent="0.25">
      <c r="A62" s="62">
        <v>9002</v>
      </c>
      <c r="B62" s="62">
        <v>901</v>
      </c>
      <c r="C62" s="63" t="s">
        <v>214</v>
      </c>
      <c r="D62" s="63" t="s">
        <v>50</v>
      </c>
      <c r="E62" s="63">
        <v>1065</v>
      </c>
      <c r="F62" s="63" t="s">
        <v>55</v>
      </c>
      <c r="G62" s="63">
        <v>4155</v>
      </c>
      <c r="H62" s="63" t="s">
        <v>56</v>
      </c>
      <c r="I62" s="63" t="s">
        <v>420</v>
      </c>
      <c r="J62" s="63"/>
      <c r="K62" s="63"/>
    </row>
    <row r="63" spans="1:11" x14ac:dyDescent="0.25">
      <c r="A63" s="69">
        <v>9002</v>
      </c>
      <c r="B63" s="69">
        <v>901</v>
      </c>
      <c r="C63" s="70" t="s">
        <v>214</v>
      </c>
      <c r="D63" s="70" t="s">
        <v>95</v>
      </c>
      <c r="E63" s="70">
        <v>3988</v>
      </c>
      <c r="F63" s="70" t="s">
        <v>298</v>
      </c>
      <c r="G63" s="70">
        <v>3598</v>
      </c>
      <c r="H63" s="70" t="s">
        <v>101</v>
      </c>
      <c r="I63" s="70" t="s">
        <v>469</v>
      </c>
      <c r="J63" s="70"/>
      <c r="K63" s="70"/>
    </row>
    <row r="64" spans="1:11" ht="6" customHeight="1" x14ac:dyDescent="0.25">
      <c r="A64" s="78"/>
      <c r="B64" s="64"/>
      <c r="C64" s="64"/>
      <c r="D64" s="64"/>
      <c r="E64" s="64"/>
      <c r="F64" s="64"/>
      <c r="G64" s="64"/>
      <c r="H64" s="64"/>
      <c r="I64" s="64"/>
      <c r="J64" s="79"/>
      <c r="K64" s="79"/>
    </row>
    <row r="65" spans="1:11" ht="21.95" customHeight="1" x14ac:dyDescent="0.25">
      <c r="A65" s="299" t="s">
        <v>470</v>
      </c>
      <c r="B65" s="300"/>
      <c r="C65" s="300"/>
      <c r="D65" s="300"/>
      <c r="E65" s="300"/>
      <c r="F65" s="300"/>
      <c r="G65" s="300"/>
      <c r="H65" s="300"/>
      <c r="I65" s="300"/>
      <c r="J65" s="300"/>
      <c r="K65" s="300"/>
    </row>
    <row r="66" spans="1:11" ht="18" customHeight="1" x14ac:dyDescent="0.25">
      <c r="A66" s="65" t="s">
        <v>26</v>
      </c>
      <c r="B66" s="65" t="s">
        <v>471</v>
      </c>
      <c r="C66" s="66" t="s">
        <v>472</v>
      </c>
      <c r="D66" s="66" t="s">
        <v>473</v>
      </c>
      <c r="E66" s="66" t="s">
        <v>474</v>
      </c>
      <c r="F66" s="66" t="s">
        <v>32</v>
      </c>
      <c r="G66" s="66" t="s">
        <v>381</v>
      </c>
      <c r="H66" s="66"/>
      <c r="I66" s="66"/>
      <c r="J66" s="66"/>
      <c r="K66" s="66"/>
    </row>
    <row r="67" spans="1:11" ht="18" customHeight="1" x14ac:dyDescent="0.25">
      <c r="A67" s="65" t="s">
        <v>475</v>
      </c>
      <c r="B67" s="65" t="s">
        <v>476</v>
      </c>
      <c r="C67" s="66" t="s">
        <v>477</v>
      </c>
      <c r="D67" s="66" t="s">
        <v>478</v>
      </c>
      <c r="E67" s="66" t="s">
        <v>479</v>
      </c>
      <c r="F67" s="66" t="s">
        <v>385</v>
      </c>
      <c r="G67" s="66" t="s">
        <v>384</v>
      </c>
      <c r="H67" s="66"/>
      <c r="I67" s="66"/>
      <c r="J67" s="66"/>
      <c r="K67" s="66"/>
    </row>
    <row r="68" spans="1:11" ht="120" customHeight="1" x14ac:dyDescent="0.25">
      <c r="A68" s="62" t="s">
        <v>480</v>
      </c>
      <c r="B68" s="62" t="s">
        <v>481</v>
      </c>
      <c r="C68" s="63" t="s">
        <v>482</v>
      </c>
      <c r="D68" s="63" t="s">
        <v>483</v>
      </c>
      <c r="E68" s="63" t="s">
        <v>484</v>
      </c>
      <c r="F68" s="63" t="s">
        <v>485</v>
      </c>
      <c r="G68" s="63" t="s">
        <v>486</v>
      </c>
      <c r="H68" s="63"/>
      <c r="I68" s="63"/>
      <c r="J68" s="63"/>
      <c r="K68" s="63"/>
    </row>
    <row r="69" spans="1:11" ht="72" customHeight="1" x14ac:dyDescent="0.25">
      <c r="A69" s="69" t="s">
        <v>487</v>
      </c>
      <c r="B69" s="69" t="s">
        <v>488</v>
      </c>
      <c r="C69" s="70" t="s">
        <v>489</v>
      </c>
      <c r="D69" s="70" t="s">
        <v>490</v>
      </c>
      <c r="E69" s="70" t="s">
        <v>491</v>
      </c>
      <c r="F69" s="70" t="s">
        <v>492</v>
      </c>
      <c r="G69" s="76" t="s">
        <v>422</v>
      </c>
      <c r="H69" s="70"/>
      <c r="I69" s="70"/>
      <c r="J69" s="70"/>
      <c r="K69" s="70"/>
    </row>
    <row r="70" spans="1:11" ht="72" customHeight="1" x14ac:dyDescent="0.25">
      <c r="A70" s="62" t="s">
        <v>493</v>
      </c>
      <c r="B70" s="62" t="s">
        <v>494</v>
      </c>
      <c r="C70" s="63" t="s">
        <v>495</v>
      </c>
      <c r="D70" s="63" t="s">
        <v>386</v>
      </c>
      <c r="E70" s="63" t="s">
        <v>496</v>
      </c>
      <c r="F70" s="63" t="s">
        <v>492</v>
      </c>
      <c r="G70" s="77" t="s">
        <v>422</v>
      </c>
      <c r="H70" s="63"/>
      <c r="I70" s="63"/>
      <c r="J70" s="63"/>
      <c r="K70" s="63"/>
    </row>
    <row r="71" spans="1:11" ht="132" customHeight="1" x14ac:dyDescent="0.25">
      <c r="A71" s="69" t="s">
        <v>497</v>
      </c>
      <c r="B71" s="69" t="s">
        <v>498</v>
      </c>
      <c r="C71" s="70" t="s">
        <v>499</v>
      </c>
      <c r="D71" s="70" t="s">
        <v>500</v>
      </c>
      <c r="E71" s="70" t="s">
        <v>501</v>
      </c>
      <c r="F71" s="70" t="s">
        <v>502</v>
      </c>
      <c r="G71" s="76" t="s">
        <v>422</v>
      </c>
      <c r="H71" s="70"/>
      <c r="I71" s="70"/>
      <c r="J71" s="70"/>
      <c r="K71" s="70"/>
    </row>
    <row r="72" spans="1:11" ht="108" customHeight="1" x14ac:dyDescent="0.25">
      <c r="A72" s="62" t="s">
        <v>503</v>
      </c>
      <c r="B72" s="62" t="s">
        <v>504</v>
      </c>
      <c r="C72" s="63" t="s">
        <v>505</v>
      </c>
      <c r="D72" s="63" t="s">
        <v>386</v>
      </c>
      <c r="E72" s="63" t="s">
        <v>506</v>
      </c>
      <c r="F72" s="68" t="s">
        <v>385</v>
      </c>
      <c r="G72" s="67" t="s">
        <v>403</v>
      </c>
      <c r="H72" s="63"/>
      <c r="I72" s="63"/>
      <c r="J72" s="63"/>
      <c r="K72" s="63"/>
    </row>
    <row r="73" spans="1:11" ht="132" customHeight="1" x14ac:dyDescent="0.25">
      <c r="A73" s="69" t="s">
        <v>507</v>
      </c>
      <c r="B73" s="69" t="s">
        <v>508</v>
      </c>
      <c r="C73" s="70" t="s">
        <v>509</v>
      </c>
      <c r="D73" s="70" t="s">
        <v>386</v>
      </c>
      <c r="E73" s="70" t="s">
        <v>510</v>
      </c>
      <c r="F73" s="70" t="s">
        <v>502</v>
      </c>
      <c r="G73" s="76" t="s">
        <v>422</v>
      </c>
      <c r="H73" s="70"/>
      <c r="I73" s="70"/>
      <c r="J73" s="70"/>
      <c r="K73" s="70"/>
    </row>
    <row r="74" spans="1:11" ht="6" customHeight="1" x14ac:dyDescent="0.25">
      <c r="A74" s="64"/>
      <c r="B74" s="64"/>
      <c r="C74" s="64"/>
      <c r="D74" s="64"/>
      <c r="E74" s="64"/>
      <c r="F74" s="64"/>
      <c r="G74" s="64"/>
      <c r="H74" s="64"/>
      <c r="I74" s="64"/>
      <c r="J74" s="64"/>
      <c r="K74" s="64"/>
    </row>
    <row r="75" spans="1:11" ht="21.95" customHeight="1" x14ac:dyDescent="0.25">
      <c r="A75" s="299" t="s">
        <v>511</v>
      </c>
      <c r="B75" s="300"/>
      <c r="C75" s="300"/>
      <c r="D75" s="300"/>
      <c r="E75" s="300"/>
      <c r="F75" s="300"/>
      <c r="G75" s="300"/>
      <c r="H75" s="300"/>
      <c r="I75" s="300"/>
      <c r="J75" s="300"/>
      <c r="K75" s="300"/>
    </row>
    <row r="76" spans="1:11" ht="18" customHeight="1" x14ac:dyDescent="0.25">
      <c r="A76" s="65" t="s">
        <v>25</v>
      </c>
      <c r="B76" s="65" t="s">
        <v>512</v>
      </c>
      <c r="C76" s="66"/>
      <c r="D76" s="66" t="s">
        <v>513</v>
      </c>
      <c r="E76" s="66" t="s">
        <v>514</v>
      </c>
      <c r="F76" s="66"/>
      <c r="G76" s="66"/>
      <c r="H76" s="66" t="s">
        <v>381</v>
      </c>
      <c r="I76" s="66"/>
      <c r="J76" s="66"/>
      <c r="K76" s="66"/>
    </row>
    <row r="77" spans="1:11" ht="132" customHeight="1" x14ac:dyDescent="0.25">
      <c r="A77" s="62">
        <v>4155</v>
      </c>
      <c r="B77" s="62" t="s">
        <v>328</v>
      </c>
      <c r="C77" s="63" t="s">
        <v>515</v>
      </c>
      <c r="D77" s="63" t="s">
        <v>56</v>
      </c>
      <c r="E77" s="63" t="s">
        <v>516</v>
      </c>
      <c r="F77" s="63"/>
      <c r="G77" s="63"/>
      <c r="H77" s="67" t="s">
        <v>384</v>
      </c>
      <c r="I77" s="63"/>
      <c r="J77" s="63"/>
      <c r="K77" s="63"/>
    </row>
    <row r="78" spans="1:11" ht="96" customHeight="1" x14ac:dyDescent="0.25">
      <c r="A78" s="69">
        <v>1065</v>
      </c>
      <c r="B78" s="69" t="s">
        <v>327</v>
      </c>
      <c r="C78" s="70" t="s">
        <v>515</v>
      </c>
      <c r="D78" s="70" t="s">
        <v>55</v>
      </c>
      <c r="E78" s="70" t="s">
        <v>517</v>
      </c>
      <c r="F78" s="70"/>
      <c r="G78" s="70"/>
      <c r="H78" s="76" t="s">
        <v>422</v>
      </c>
      <c r="I78" s="70"/>
      <c r="J78" s="70"/>
      <c r="K78" s="70"/>
    </row>
    <row r="79" spans="1:11" ht="96" customHeight="1" x14ac:dyDescent="0.25">
      <c r="A79" s="62">
        <v>184</v>
      </c>
      <c r="B79" s="62" t="s">
        <v>324</v>
      </c>
      <c r="C79" s="63" t="s">
        <v>515</v>
      </c>
      <c r="D79" s="63" t="s">
        <v>51</v>
      </c>
      <c r="E79" s="63" t="s">
        <v>518</v>
      </c>
      <c r="F79" s="63"/>
      <c r="G79" s="63"/>
      <c r="H79" s="77" t="s">
        <v>422</v>
      </c>
      <c r="I79" s="63"/>
      <c r="J79" s="63"/>
      <c r="K79" s="63"/>
    </row>
    <row r="80" spans="1:11" ht="6" customHeight="1" x14ac:dyDescent="0.25">
      <c r="A80" s="64"/>
      <c r="B80" s="64"/>
      <c r="C80" s="64"/>
      <c r="D80" s="64"/>
      <c r="E80" s="64"/>
      <c r="F80" s="64"/>
      <c r="G80" s="64"/>
      <c r="H80" s="64"/>
      <c r="I80" s="64"/>
      <c r="J80" s="64"/>
      <c r="K80" s="64"/>
    </row>
    <row r="81" spans="1:11" ht="21.95" customHeight="1" x14ac:dyDescent="0.25">
      <c r="A81" s="299" t="s">
        <v>519</v>
      </c>
      <c r="B81" s="300"/>
      <c r="C81" s="300"/>
      <c r="D81" s="300"/>
      <c r="E81" s="300"/>
      <c r="F81" s="300"/>
      <c r="G81" s="300"/>
      <c r="H81" s="300"/>
      <c r="I81" s="300"/>
      <c r="J81" s="300"/>
      <c r="K81" s="300"/>
    </row>
    <row r="82" spans="1:11" ht="18" customHeight="1" x14ac:dyDescent="0.25">
      <c r="A82" s="65" t="s">
        <v>376</v>
      </c>
      <c r="B82" s="65" t="s">
        <v>377</v>
      </c>
      <c r="C82" s="66" t="s">
        <v>378</v>
      </c>
      <c r="D82" s="66" t="s">
        <v>520</v>
      </c>
      <c r="E82" s="66" t="s">
        <v>521</v>
      </c>
      <c r="F82" s="66" t="s">
        <v>380</v>
      </c>
      <c r="G82" s="66"/>
      <c r="H82" s="66" t="s">
        <v>381</v>
      </c>
      <c r="I82" s="66"/>
      <c r="J82" s="66"/>
      <c r="K82" s="66"/>
    </row>
    <row r="83" spans="1:11" ht="24" customHeight="1" x14ac:dyDescent="0.25">
      <c r="A83" s="62">
        <v>6337</v>
      </c>
      <c r="B83" s="62">
        <v>166</v>
      </c>
      <c r="C83" s="63" t="s">
        <v>213</v>
      </c>
      <c r="D83" s="63" t="s">
        <v>522</v>
      </c>
      <c r="E83" s="63" t="s">
        <v>523</v>
      </c>
      <c r="F83" s="63" t="s">
        <v>524</v>
      </c>
      <c r="G83" s="63"/>
      <c r="H83" s="67" t="s">
        <v>384</v>
      </c>
      <c r="I83" s="63"/>
      <c r="J83" s="63"/>
      <c r="K83" s="63"/>
    </row>
    <row r="84" spans="1:11" ht="24" customHeight="1" x14ac:dyDescent="0.25">
      <c r="A84" s="69">
        <v>6416</v>
      </c>
      <c r="B84" s="69">
        <v>171</v>
      </c>
      <c r="C84" s="70" t="s">
        <v>212</v>
      </c>
      <c r="D84" s="70" t="s">
        <v>522</v>
      </c>
      <c r="E84" s="70" t="s">
        <v>523</v>
      </c>
      <c r="F84" s="70" t="s">
        <v>524</v>
      </c>
      <c r="G84" s="70"/>
      <c r="H84" s="71" t="s">
        <v>384</v>
      </c>
      <c r="I84" s="70"/>
      <c r="J84" s="70"/>
      <c r="K84" s="70"/>
    </row>
    <row r="85" spans="1:11" ht="24" customHeight="1" x14ac:dyDescent="0.25">
      <c r="A85" s="62">
        <v>6206</v>
      </c>
      <c r="B85" s="62">
        <v>120</v>
      </c>
      <c r="C85" s="63" t="s">
        <v>20</v>
      </c>
      <c r="D85" s="63" t="s">
        <v>522</v>
      </c>
      <c r="E85" s="63" t="s">
        <v>523</v>
      </c>
      <c r="F85" s="63" t="s">
        <v>524</v>
      </c>
      <c r="G85" s="63"/>
      <c r="H85" s="67" t="s">
        <v>384</v>
      </c>
      <c r="I85" s="63"/>
      <c r="J85" s="63"/>
      <c r="K85" s="63"/>
    </row>
    <row r="86" spans="1:11" ht="24" customHeight="1" x14ac:dyDescent="0.25">
      <c r="A86" s="69">
        <v>5814</v>
      </c>
      <c r="B86" s="69">
        <v>95</v>
      </c>
      <c r="C86" s="70" t="s">
        <v>17</v>
      </c>
      <c r="D86" s="70" t="s">
        <v>522</v>
      </c>
      <c r="E86" s="70" t="s">
        <v>523</v>
      </c>
      <c r="F86" s="70" t="s">
        <v>524</v>
      </c>
      <c r="G86" s="70"/>
      <c r="H86" s="71" t="s">
        <v>384</v>
      </c>
      <c r="I86" s="70"/>
      <c r="J86" s="70"/>
      <c r="K86" s="70"/>
    </row>
    <row r="87" spans="1:11" ht="24" customHeight="1" x14ac:dyDescent="0.25">
      <c r="A87" s="62">
        <v>9002</v>
      </c>
      <c r="B87" s="62">
        <v>901</v>
      </c>
      <c r="C87" s="63" t="s">
        <v>214</v>
      </c>
      <c r="D87" s="63" t="s">
        <v>522</v>
      </c>
      <c r="E87" s="63" t="s">
        <v>523</v>
      </c>
      <c r="F87" s="63" t="s">
        <v>524</v>
      </c>
      <c r="G87" s="63"/>
      <c r="H87" s="67" t="s">
        <v>384</v>
      </c>
      <c r="I87" s="63"/>
      <c r="J87" s="63"/>
      <c r="K87" s="63"/>
    </row>
    <row r="88" spans="1:11" ht="24" customHeight="1" x14ac:dyDescent="0.25">
      <c r="A88" s="69">
        <v>4050</v>
      </c>
      <c r="B88" s="69">
        <v>142</v>
      </c>
      <c r="C88" s="70" t="s">
        <v>209</v>
      </c>
      <c r="D88" s="70" t="s">
        <v>522</v>
      </c>
      <c r="E88" s="70" t="s">
        <v>523</v>
      </c>
      <c r="F88" s="70" t="s">
        <v>524</v>
      </c>
      <c r="G88" s="70"/>
      <c r="H88" s="71" t="s">
        <v>384</v>
      </c>
      <c r="I88" s="70"/>
      <c r="J88" s="70"/>
      <c r="K88" s="70"/>
    </row>
    <row r="89" spans="1:11" ht="24" customHeight="1" x14ac:dyDescent="0.25">
      <c r="A89" s="62">
        <v>6312</v>
      </c>
      <c r="B89" s="62">
        <v>157</v>
      </c>
      <c r="C89" s="63" t="s">
        <v>210</v>
      </c>
      <c r="D89" s="63" t="s">
        <v>522</v>
      </c>
      <c r="E89" s="63" t="s">
        <v>523</v>
      </c>
      <c r="F89" s="63" t="s">
        <v>524</v>
      </c>
      <c r="G89" s="63"/>
      <c r="H89" s="67" t="s">
        <v>384</v>
      </c>
      <c r="I89" s="63"/>
      <c r="J89" s="63"/>
      <c r="K89" s="63"/>
    </row>
    <row r="90" spans="1:11" ht="24" customHeight="1" x14ac:dyDescent="0.25">
      <c r="A90" s="69">
        <v>6595</v>
      </c>
      <c r="B90" s="69">
        <v>192</v>
      </c>
      <c r="C90" s="70" t="s">
        <v>207</v>
      </c>
      <c r="D90" s="70" t="s">
        <v>522</v>
      </c>
      <c r="E90" s="70" t="s">
        <v>523</v>
      </c>
      <c r="F90" s="70" t="s">
        <v>524</v>
      </c>
      <c r="G90" s="70"/>
      <c r="H90" s="71" t="s">
        <v>384</v>
      </c>
      <c r="I90" s="70"/>
      <c r="J90" s="70"/>
      <c r="K90" s="70"/>
    </row>
    <row r="91" spans="1:11" ht="6" customHeight="1" x14ac:dyDescent="0.25">
      <c r="A91" s="73"/>
      <c r="B91" s="64"/>
      <c r="C91" s="64"/>
      <c r="D91" s="64"/>
      <c r="E91" s="64"/>
      <c r="F91" s="64"/>
      <c r="G91" s="64"/>
      <c r="H91" s="64"/>
      <c r="I91" s="64"/>
      <c r="J91" s="64"/>
      <c r="K91" s="64"/>
    </row>
    <row r="92" spans="1:11" ht="21.95" customHeight="1" x14ac:dyDescent="0.25">
      <c r="A92" s="299" t="s">
        <v>525</v>
      </c>
      <c r="B92" s="300"/>
      <c r="C92" s="300"/>
      <c r="D92" s="300"/>
      <c r="E92" s="300"/>
      <c r="F92" s="300"/>
      <c r="G92" s="300"/>
      <c r="H92" s="300"/>
      <c r="I92" s="300"/>
      <c r="J92" s="300"/>
      <c r="K92" s="300"/>
    </row>
    <row r="93" spans="1:11" x14ac:dyDescent="0.25">
      <c r="A93" s="62" t="s">
        <v>526</v>
      </c>
      <c r="B93" s="62"/>
      <c r="C93" s="63"/>
      <c r="D93" s="63"/>
      <c r="E93" s="63"/>
      <c r="F93" s="63"/>
      <c r="G93" s="63"/>
      <c r="H93" s="63"/>
      <c r="I93" s="63"/>
      <c r="J93" s="63"/>
      <c r="K93" s="63"/>
    </row>
    <row r="94" spans="1:11" ht="18" customHeight="1" x14ac:dyDescent="0.25">
      <c r="A94" s="65" t="s">
        <v>527</v>
      </c>
      <c r="B94" s="65"/>
      <c r="C94" s="66" t="s">
        <v>471</v>
      </c>
      <c r="D94" s="66"/>
      <c r="E94" s="66"/>
      <c r="F94" s="66"/>
      <c r="G94" s="66"/>
      <c r="H94" s="66"/>
      <c r="I94" s="66"/>
      <c r="J94" s="66"/>
      <c r="K94" s="66"/>
    </row>
    <row r="95" spans="1:11" ht="24" customHeight="1" x14ac:dyDescent="0.25">
      <c r="A95" s="62" t="s">
        <v>528</v>
      </c>
      <c r="B95" s="62"/>
      <c r="C95" s="63" t="s">
        <v>529</v>
      </c>
      <c r="D95" s="63"/>
      <c r="E95" s="63"/>
      <c r="F95" s="63"/>
      <c r="G95" s="63"/>
      <c r="H95" s="63"/>
      <c r="I95" s="63"/>
      <c r="J95" s="63"/>
      <c r="K95" s="63"/>
    </row>
    <row r="96" spans="1:11" ht="24" customHeight="1" x14ac:dyDescent="0.25">
      <c r="A96" s="69" t="s">
        <v>530</v>
      </c>
      <c r="B96" s="69"/>
      <c r="C96" s="70" t="s">
        <v>531</v>
      </c>
      <c r="D96" s="70"/>
      <c r="E96" s="70"/>
      <c r="F96" s="70"/>
      <c r="G96" s="70"/>
      <c r="H96" s="70"/>
      <c r="I96" s="70"/>
      <c r="J96" s="70"/>
      <c r="K96" s="70"/>
    </row>
    <row r="97" spans="1:11" x14ac:dyDescent="0.25">
      <c r="A97" s="62" t="s">
        <v>532</v>
      </c>
      <c r="B97" s="62"/>
      <c r="C97" s="63" t="s">
        <v>533</v>
      </c>
      <c r="D97" s="63"/>
      <c r="E97" s="63"/>
      <c r="F97" s="63"/>
      <c r="G97" s="63"/>
      <c r="H97" s="63"/>
      <c r="I97" s="63"/>
      <c r="J97" s="63"/>
      <c r="K97" s="63"/>
    </row>
    <row r="98" spans="1:11" ht="24" customHeight="1" x14ac:dyDescent="0.25">
      <c r="A98" s="69" t="s">
        <v>534</v>
      </c>
      <c r="B98" s="69"/>
      <c r="C98" s="70" t="s">
        <v>535</v>
      </c>
      <c r="D98" s="70"/>
      <c r="E98" s="70"/>
      <c r="F98" s="70"/>
      <c r="G98" s="70"/>
      <c r="H98" s="70"/>
      <c r="I98" s="70"/>
      <c r="J98" s="70"/>
      <c r="K98" s="70"/>
    </row>
    <row r="99" spans="1:11" ht="24" customHeight="1" x14ac:dyDescent="0.25">
      <c r="A99" s="62" t="s">
        <v>536</v>
      </c>
      <c r="B99" s="62"/>
      <c r="C99" s="63" t="s">
        <v>537</v>
      </c>
      <c r="D99" s="63"/>
      <c r="E99" s="63"/>
      <c r="F99" s="63"/>
      <c r="G99" s="63"/>
      <c r="H99" s="63"/>
      <c r="I99" s="63"/>
      <c r="J99" s="63"/>
      <c r="K99" s="63"/>
    </row>
    <row r="100" spans="1:11" ht="36" customHeight="1" x14ac:dyDescent="0.25">
      <c r="A100" s="69" t="s">
        <v>538</v>
      </c>
      <c r="B100" s="69"/>
      <c r="C100" s="70" t="s">
        <v>539</v>
      </c>
      <c r="D100" s="70"/>
      <c r="E100" s="70"/>
      <c r="F100" s="70"/>
      <c r="G100" s="70"/>
      <c r="H100" s="70"/>
      <c r="I100" s="70"/>
      <c r="J100" s="70"/>
      <c r="K100" s="70"/>
    </row>
    <row r="101" spans="1:11" ht="6" customHeight="1" x14ac:dyDescent="0.25">
      <c r="A101" s="64"/>
      <c r="B101" s="64"/>
      <c r="C101" s="64"/>
      <c r="D101" s="64"/>
      <c r="E101" s="64"/>
      <c r="F101" s="64"/>
      <c r="G101" s="64"/>
      <c r="H101" s="64"/>
      <c r="I101" s="64"/>
      <c r="J101" s="64"/>
      <c r="K101" s="64"/>
    </row>
    <row r="102" spans="1:11" ht="18" customHeight="1" x14ac:dyDescent="0.25">
      <c r="A102" s="65" t="s">
        <v>540</v>
      </c>
      <c r="B102" s="65" t="s">
        <v>541</v>
      </c>
      <c r="C102" s="66" t="s">
        <v>542</v>
      </c>
      <c r="D102" s="66"/>
      <c r="E102" s="66"/>
      <c r="F102" s="66"/>
      <c r="G102" s="66"/>
      <c r="H102" s="66" t="s">
        <v>381</v>
      </c>
      <c r="I102" s="66"/>
      <c r="J102" s="66"/>
      <c r="K102" s="66"/>
    </row>
    <row r="103" spans="1:11" ht="36" customHeight="1" x14ac:dyDescent="0.25">
      <c r="A103" s="62" t="s">
        <v>480</v>
      </c>
      <c r="B103" s="62" t="s">
        <v>543</v>
      </c>
      <c r="C103" s="63" t="s">
        <v>544</v>
      </c>
      <c r="D103" s="63"/>
      <c r="E103" s="63"/>
      <c r="F103" s="63"/>
      <c r="G103" s="63"/>
      <c r="H103" s="67" t="s">
        <v>384</v>
      </c>
      <c r="I103" s="63"/>
      <c r="J103" s="63"/>
      <c r="K103" s="63"/>
    </row>
    <row r="104" spans="1:11" ht="24" customHeight="1" x14ac:dyDescent="0.25">
      <c r="A104" s="69" t="s">
        <v>545</v>
      </c>
      <c r="B104" s="69" t="s">
        <v>546</v>
      </c>
      <c r="C104" s="70" t="s">
        <v>547</v>
      </c>
      <c r="D104" s="70"/>
      <c r="E104" s="70"/>
      <c r="F104" s="70"/>
      <c r="G104" s="70"/>
      <c r="H104" s="76" t="s">
        <v>422</v>
      </c>
      <c r="I104" s="70"/>
      <c r="J104" s="70"/>
      <c r="K104" s="70"/>
    </row>
    <row r="105" spans="1:11" ht="24" customHeight="1" x14ac:dyDescent="0.25">
      <c r="A105" s="62" t="s">
        <v>548</v>
      </c>
      <c r="B105" s="62" t="s">
        <v>549</v>
      </c>
      <c r="C105" s="63" t="s">
        <v>550</v>
      </c>
      <c r="D105" s="63"/>
      <c r="E105" s="63"/>
      <c r="F105" s="63"/>
      <c r="G105" s="63"/>
      <c r="H105" s="77" t="s">
        <v>422</v>
      </c>
      <c r="I105" s="63"/>
      <c r="J105" s="63"/>
      <c r="K105" s="63"/>
    </row>
    <row r="106" spans="1:11" ht="24" customHeight="1" x14ac:dyDescent="0.25">
      <c r="A106" s="69" t="s">
        <v>551</v>
      </c>
      <c r="B106" s="69" t="s">
        <v>552</v>
      </c>
      <c r="C106" s="70" t="s">
        <v>553</v>
      </c>
      <c r="D106" s="70"/>
      <c r="E106" s="70"/>
      <c r="F106" s="70"/>
      <c r="G106" s="70"/>
      <c r="H106" s="70" t="s">
        <v>486</v>
      </c>
      <c r="I106" s="70"/>
      <c r="J106" s="70"/>
      <c r="K106" s="70"/>
    </row>
    <row r="107" spans="1:11" ht="6" customHeight="1" x14ac:dyDescent="0.25">
      <c r="A107" s="73"/>
      <c r="B107" s="64"/>
      <c r="C107" s="73"/>
      <c r="D107" s="64"/>
      <c r="E107" s="73"/>
      <c r="F107" s="64"/>
      <c r="G107" s="73"/>
      <c r="H107" s="64"/>
      <c r="I107" s="73"/>
      <c r="J107" s="73"/>
      <c r="K107" s="64"/>
    </row>
    <row r="108" spans="1:11" ht="18" customHeight="1" x14ac:dyDescent="0.25">
      <c r="A108" s="65" t="s">
        <v>554</v>
      </c>
      <c r="B108" s="65" t="s">
        <v>25</v>
      </c>
      <c r="C108" s="66" t="s">
        <v>555</v>
      </c>
      <c r="D108" s="66"/>
      <c r="E108" s="66" t="s">
        <v>556</v>
      </c>
      <c r="F108" s="66"/>
      <c r="G108" s="66" t="s">
        <v>557</v>
      </c>
      <c r="H108" s="66" t="s">
        <v>558</v>
      </c>
      <c r="I108" s="66" t="s">
        <v>559</v>
      </c>
      <c r="J108" s="66"/>
      <c r="K108" s="66"/>
    </row>
    <row r="109" spans="1:11" x14ac:dyDescent="0.25">
      <c r="A109" s="62">
        <v>1</v>
      </c>
      <c r="B109" s="62">
        <v>3734</v>
      </c>
      <c r="C109" s="63" t="s">
        <v>341</v>
      </c>
      <c r="D109" s="63"/>
      <c r="E109" s="63">
        <v>55</v>
      </c>
      <c r="F109" s="63"/>
      <c r="G109" s="63">
        <v>4.58</v>
      </c>
      <c r="H109" s="63">
        <v>6.38</v>
      </c>
      <c r="I109" s="63" t="s">
        <v>560</v>
      </c>
      <c r="J109" s="63"/>
      <c r="K109" s="63"/>
    </row>
    <row r="110" spans="1:11" x14ac:dyDescent="0.25">
      <c r="A110" s="69">
        <v>2</v>
      </c>
      <c r="B110" s="69">
        <v>6038</v>
      </c>
      <c r="C110" s="70" t="s">
        <v>350</v>
      </c>
      <c r="D110" s="70"/>
      <c r="E110" s="70">
        <v>25</v>
      </c>
      <c r="F110" s="70"/>
      <c r="G110" s="70">
        <v>2.08</v>
      </c>
      <c r="H110" s="70">
        <v>2.9</v>
      </c>
      <c r="I110" s="70" t="s">
        <v>561</v>
      </c>
      <c r="J110" s="70"/>
      <c r="K110" s="70"/>
    </row>
    <row r="111" spans="1:11" x14ac:dyDescent="0.25">
      <c r="A111" s="62">
        <v>3</v>
      </c>
      <c r="B111" s="62">
        <v>3858</v>
      </c>
      <c r="C111" s="63" t="s">
        <v>345</v>
      </c>
      <c r="D111" s="63"/>
      <c r="E111" s="80">
        <v>24.1</v>
      </c>
      <c r="F111" s="63"/>
      <c r="G111" s="80">
        <v>2.0099999999999998</v>
      </c>
      <c r="H111" s="63">
        <v>2.8</v>
      </c>
      <c r="I111" s="63" t="s">
        <v>562</v>
      </c>
      <c r="J111" s="63"/>
      <c r="K111" s="63"/>
    </row>
    <row r="112" spans="1:11" x14ac:dyDescent="0.25">
      <c r="A112" s="69">
        <v>4</v>
      </c>
      <c r="B112" s="69">
        <v>3754</v>
      </c>
      <c r="C112" s="70" t="s">
        <v>290</v>
      </c>
      <c r="D112" s="70"/>
      <c r="E112" s="81">
        <v>23</v>
      </c>
      <c r="F112" s="70"/>
      <c r="G112" s="81">
        <v>1.92</v>
      </c>
      <c r="H112" s="70">
        <v>2.67</v>
      </c>
      <c r="I112" s="70" t="s">
        <v>563</v>
      </c>
      <c r="J112" s="70"/>
      <c r="K112" s="70"/>
    </row>
    <row r="113" spans="1:11" x14ac:dyDescent="0.25">
      <c r="A113" s="62">
        <v>5</v>
      </c>
      <c r="B113" s="62">
        <v>3755</v>
      </c>
      <c r="C113" s="63" t="s">
        <v>343</v>
      </c>
      <c r="D113" s="63"/>
      <c r="E113" s="80">
        <v>21</v>
      </c>
      <c r="F113" s="63"/>
      <c r="G113" s="80">
        <v>1.75</v>
      </c>
      <c r="H113" s="63">
        <v>2.44</v>
      </c>
      <c r="I113" s="63" t="s">
        <v>564</v>
      </c>
      <c r="J113" s="63"/>
      <c r="K113" s="63"/>
    </row>
    <row r="114" spans="1:11" x14ac:dyDescent="0.25">
      <c r="A114" s="69">
        <v>6</v>
      </c>
      <c r="B114" s="69">
        <v>1928</v>
      </c>
      <c r="C114" s="70" t="s">
        <v>565</v>
      </c>
      <c r="D114" s="70"/>
      <c r="E114" s="81">
        <v>20</v>
      </c>
      <c r="F114" s="70"/>
      <c r="G114" s="81">
        <v>1.67</v>
      </c>
      <c r="H114" s="70">
        <v>2.3199999999999998</v>
      </c>
      <c r="I114" s="70" t="s">
        <v>566</v>
      </c>
      <c r="J114" s="70"/>
      <c r="K114" s="70"/>
    </row>
    <row r="115" spans="1:11" x14ac:dyDescent="0.25">
      <c r="A115" s="62">
        <v>7</v>
      </c>
      <c r="B115" s="62">
        <v>7094</v>
      </c>
      <c r="C115" s="63" t="s">
        <v>567</v>
      </c>
      <c r="D115" s="63"/>
      <c r="E115" s="80">
        <v>20</v>
      </c>
      <c r="F115" s="63"/>
      <c r="G115" s="80">
        <v>1.67</v>
      </c>
      <c r="H115" s="63">
        <v>2.3199999999999998</v>
      </c>
      <c r="I115" s="63" t="s">
        <v>566</v>
      </c>
      <c r="J115" s="63"/>
      <c r="K115" s="63"/>
    </row>
    <row r="116" spans="1:11" x14ac:dyDescent="0.25">
      <c r="A116" s="69">
        <v>8</v>
      </c>
      <c r="B116" s="69">
        <v>3736</v>
      </c>
      <c r="C116" s="70" t="s">
        <v>342</v>
      </c>
      <c r="D116" s="70"/>
      <c r="E116" s="81">
        <v>13.8</v>
      </c>
      <c r="F116" s="70"/>
      <c r="G116" s="81">
        <v>1.1499999999999999</v>
      </c>
      <c r="H116" s="70">
        <v>1.6</v>
      </c>
      <c r="I116" s="70" t="s">
        <v>568</v>
      </c>
      <c r="J116" s="70"/>
      <c r="K116" s="70"/>
    </row>
    <row r="117" spans="1:11" x14ac:dyDescent="0.25">
      <c r="A117" s="62">
        <v>9</v>
      </c>
      <c r="B117" s="62">
        <v>3955</v>
      </c>
      <c r="C117" s="63" t="s">
        <v>291</v>
      </c>
      <c r="D117" s="63"/>
      <c r="E117" s="80">
        <v>11</v>
      </c>
      <c r="F117" s="63"/>
      <c r="G117" s="80">
        <v>0.92</v>
      </c>
      <c r="H117" s="63">
        <v>1.28</v>
      </c>
      <c r="I117" s="63" t="s">
        <v>569</v>
      </c>
      <c r="J117" s="63"/>
      <c r="K117" s="63"/>
    </row>
    <row r="118" spans="1:11" x14ac:dyDescent="0.25">
      <c r="A118" s="69">
        <v>10</v>
      </c>
      <c r="B118" s="69">
        <v>7398</v>
      </c>
      <c r="C118" s="70" t="s">
        <v>355</v>
      </c>
      <c r="D118" s="70"/>
      <c r="E118" s="81">
        <v>9</v>
      </c>
      <c r="F118" s="70"/>
      <c r="G118" s="81">
        <v>0.75</v>
      </c>
      <c r="H118" s="70">
        <v>1.04</v>
      </c>
      <c r="I118" s="70" t="s">
        <v>570</v>
      </c>
      <c r="J118" s="70"/>
      <c r="K118" s="70"/>
    </row>
    <row r="119" spans="1:11" x14ac:dyDescent="0.25">
      <c r="A119" s="62" t="s">
        <v>571</v>
      </c>
      <c r="B119" s="62"/>
      <c r="C119" s="63"/>
      <c r="D119" s="63"/>
      <c r="E119" s="80"/>
      <c r="F119" s="63"/>
      <c r="G119" s="80"/>
      <c r="H119" s="63"/>
      <c r="I119" s="63"/>
      <c r="J119" s="63"/>
      <c r="K119" s="63"/>
    </row>
    <row r="120" spans="1:11" ht="6" customHeight="1" x14ac:dyDescent="0.25">
      <c r="A120" s="73"/>
      <c r="B120" s="73"/>
      <c r="C120" s="73"/>
      <c r="D120" s="64"/>
      <c r="E120" s="82"/>
      <c r="F120" s="64"/>
      <c r="G120" s="82"/>
      <c r="H120" s="64"/>
      <c r="I120" s="73"/>
      <c r="J120" s="73"/>
      <c r="K120" s="64"/>
    </row>
    <row r="121" spans="1:11" ht="6" customHeight="1" x14ac:dyDescent="0.25">
      <c r="A121" s="73"/>
      <c r="B121" s="73"/>
      <c r="C121" s="73"/>
      <c r="D121" s="64"/>
      <c r="E121" s="82"/>
      <c r="F121" s="64"/>
      <c r="G121" s="82"/>
      <c r="H121" s="64"/>
      <c r="I121" s="73"/>
      <c r="J121" s="73"/>
      <c r="K121" s="64"/>
    </row>
    <row r="122" spans="1:11" ht="6" customHeight="1" x14ac:dyDescent="0.25">
      <c r="A122" s="73"/>
      <c r="B122" s="73"/>
      <c r="C122" s="73"/>
      <c r="D122" s="64"/>
      <c r="E122" s="82"/>
      <c r="F122" s="64"/>
      <c r="G122" s="82"/>
      <c r="H122" s="64"/>
      <c r="I122" s="73"/>
      <c r="J122" s="73"/>
      <c r="K122" s="64"/>
    </row>
    <row r="123" spans="1:11" ht="6" customHeight="1" x14ac:dyDescent="0.25">
      <c r="A123" s="73"/>
      <c r="B123" s="73"/>
      <c r="C123" s="73"/>
      <c r="D123" s="64"/>
      <c r="E123" s="82"/>
      <c r="F123" s="64"/>
      <c r="G123" s="82"/>
      <c r="H123" s="64"/>
      <c r="I123" s="73"/>
      <c r="J123" s="73"/>
      <c r="K123" s="64"/>
    </row>
    <row r="124" spans="1:11" ht="6" customHeight="1" x14ac:dyDescent="0.25">
      <c r="A124" s="73"/>
      <c r="B124" s="73"/>
      <c r="C124" s="73"/>
      <c r="D124" s="64"/>
      <c r="E124" s="82"/>
      <c r="F124" s="64"/>
      <c r="G124" s="82"/>
      <c r="H124" s="64"/>
      <c r="I124" s="73"/>
      <c r="J124" s="73"/>
      <c r="K124" s="64"/>
    </row>
    <row r="125" spans="1:11" ht="6" customHeight="1" x14ac:dyDescent="0.25">
      <c r="A125" s="83"/>
      <c r="B125" s="64"/>
      <c r="C125" s="64"/>
      <c r="D125" s="64"/>
      <c r="E125" s="64"/>
      <c r="F125" s="64"/>
      <c r="G125" s="64"/>
      <c r="H125" s="64"/>
      <c r="I125" s="64"/>
      <c r="J125" s="64"/>
      <c r="K125" s="64"/>
    </row>
    <row r="126" spans="1:11" ht="6" customHeight="1" x14ac:dyDescent="0.25">
      <c r="A126" s="83"/>
      <c r="B126" s="64"/>
      <c r="C126" s="73"/>
      <c r="D126" s="64"/>
      <c r="E126" s="64"/>
      <c r="F126" s="64"/>
      <c r="G126" s="64"/>
      <c r="H126" s="64"/>
      <c r="I126" s="64"/>
      <c r="J126" s="64"/>
      <c r="K126" s="64"/>
    </row>
    <row r="127" spans="1:11" ht="6" customHeight="1" x14ac:dyDescent="0.25">
      <c r="A127" s="83"/>
      <c r="B127" s="64"/>
      <c r="C127" s="73"/>
      <c r="D127" s="64"/>
      <c r="E127" s="64"/>
      <c r="F127" s="64"/>
      <c r="G127" s="64"/>
      <c r="H127" s="64"/>
      <c r="I127" s="64"/>
      <c r="J127" s="64"/>
      <c r="K127" s="64"/>
    </row>
    <row r="128" spans="1:11" ht="6" customHeight="1" x14ac:dyDescent="0.25">
      <c r="A128" s="83"/>
      <c r="B128" s="64"/>
      <c r="C128" s="73"/>
      <c r="D128" s="64"/>
      <c r="E128" s="64"/>
      <c r="F128" s="64"/>
      <c r="G128" s="64"/>
      <c r="H128" s="64"/>
      <c r="I128" s="64"/>
      <c r="J128" s="64"/>
      <c r="K128" s="64"/>
    </row>
    <row r="129" spans="1:11" ht="6" customHeight="1" x14ac:dyDescent="0.25">
      <c r="A129" s="83"/>
      <c r="B129" s="64"/>
      <c r="C129" s="73"/>
      <c r="D129" s="64"/>
      <c r="E129" s="64"/>
      <c r="F129" s="64"/>
      <c r="G129" s="64"/>
      <c r="H129" s="64"/>
      <c r="I129" s="64"/>
      <c r="J129" s="64"/>
      <c r="K129" s="64"/>
    </row>
    <row r="130" spans="1:11" ht="6" customHeight="1" x14ac:dyDescent="0.25">
      <c r="A130" s="83"/>
      <c r="B130" s="64"/>
      <c r="C130" s="73"/>
      <c r="D130" s="64"/>
      <c r="E130" s="64"/>
      <c r="F130" s="64"/>
      <c r="G130" s="64"/>
      <c r="H130" s="64"/>
      <c r="I130" s="64"/>
      <c r="J130" s="64"/>
      <c r="K130" s="64"/>
    </row>
    <row r="131" spans="1:11" ht="6" customHeight="1" x14ac:dyDescent="0.25">
      <c r="A131" s="83"/>
      <c r="B131" s="64"/>
      <c r="C131" s="64"/>
      <c r="D131" s="64"/>
      <c r="E131" s="64"/>
      <c r="F131" s="64"/>
      <c r="G131" s="64"/>
      <c r="H131" s="64"/>
      <c r="I131" s="64"/>
      <c r="J131" s="64"/>
      <c r="K131" s="64"/>
    </row>
    <row r="132" spans="1:11" ht="6" customHeight="1" x14ac:dyDescent="0.25">
      <c r="A132" s="84"/>
      <c r="B132" s="84"/>
      <c r="C132" s="84"/>
      <c r="D132" s="64"/>
      <c r="E132" s="64"/>
      <c r="F132" s="64"/>
      <c r="G132" s="64"/>
      <c r="H132" s="64"/>
      <c r="I132" s="84"/>
      <c r="J132" s="64"/>
      <c r="K132" s="64"/>
    </row>
    <row r="133" spans="1:11" ht="6" customHeight="1" x14ac:dyDescent="0.25">
      <c r="A133" s="83"/>
      <c r="B133" s="84"/>
      <c r="C133" s="73"/>
      <c r="D133" s="64"/>
      <c r="E133" s="64"/>
      <c r="F133" s="64"/>
      <c r="G133" s="64"/>
      <c r="H133" s="64"/>
      <c r="I133" s="84"/>
      <c r="J133" s="64"/>
      <c r="K133" s="64"/>
    </row>
    <row r="134" spans="1:11" ht="6" customHeight="1" x14ac:dyDescent="0.25">
      <c r="A134" s="83"/>
      <c r="B134" s="84"/>
      <c r="C134" s="73"/>
      <c r="D134" s="64"/>
      <c r="E134" s="64"/>
      <c r="F134" s="64"/>
      <c r="G134" s="64"/>
      <c r="H134" s="64"/>
      <c r="I134" s="84"/>
      <c r="J134" s="64"/>
      <c r="K134" s="64"/>
    </row>
    <row r="135" spans="1:11" ht="6" customHeight="1" x14ac:dyDescent="0.25">
      <c r="A135" s="83"/>
      <c r="B135" s="84"/>
      <c r="C135" s="73"/>
      <c r="D135" s="64"/>
      <c r="E135" s="64"/>
      <c r="F135" s="64"/>
      <c r="G135" s="64"/>
      <c r="H135" s="64"/>
      <c r="I135" s="84"/>
      <c r="J135" s="64"/>
      <c r="K135" s="64"/>
    </row>
    <row r="136" spans="1:11" ht="6" customHeight="1" x14ac:dyDescent="0.25">
      <c r="A136" s="83"/>
      <c r="B136" s="84"/>
      <c r="C136" s="73"/>
      <c r="D136" s="64"/>
      <c r="E136" s="64"/>
      <c r="F136" s="64"/>
      <c r="G136" s="64"/>
      <c r="H136" s="64"/>
      <c r="I136" s="84"/>
      <c r="J136" s="64"/>
      <c r="K136" s="64"/>
    </row>
    <row r="137" spans="1:11" ht="6" customHeight="1" x14ac:dyDescent="0.25">
      <c r="A137" s="83"/>
      <c r="B137" s="84"/>
      <c r="C137" s="73"/>
      <c r="D137" s="64"/>
      <c r="E137" s="64"/>
      <c r="F137" s="64"/>
      <c r="G137" s="64"/>
      <c r="H137" s="64"/>
      <c r="I137" s="84"/>
      <c r="J137" s="64"/>
      <c r="K137" s="64"/>
    </row>
    <row r="138" spans="1:11" ht="6" customHeight="1" x14ac:dyDescent="0.25">
      <c r="A138" s="83"/>
      <c r="B138" s="64"/>
      <c r="C138" s="64"/>
      <c r="D138" s="64"/>
      <c r="E138" s="64"/>
      <c r="F138" s="64"/>
      <c r="G138" s="64"/>
      <c r="H138" s="64"/>
      <c r="I138" s="64"/>
      <c r="J138" s="64"/>
      <c r="K138" s="64"/>
    </row>
    <row r="139" spans="1:11" ht="6" customHeight="1" x14ac:dyDescent="0.25">
      <c r="A139" s="84"/>
      <c r="B139" s="84"/>
      <c r="C139" s="84"/>
      <c r="D139" s="64"/>
      <c r="E139" s="84"/>
      <c r="F139" s="64"/>
      <c r="G139" s="84"/>
      <c r="H139" s="64"/>
      <c r="I139" s="84"/>
      <c r="J139" s="64"/>
      <c r="K139" s="84"/>
    </row>
    <row r="140" spans="1:11" ht="6" customHeight="1" x14ac:dyDescent="0.25">
      <c r="A140" s="84"/>
      <c r="B140" s="84"/>
      <c r="C140" s="84"/>
      <c r="D140" s="64"/>
      <c r="E140" s="85"/>
      <c r="F140" s="64"/>
      <c r="G140" s="86"/>
      <c r="H140" s="64"/>
      <c r="I140" s="86"/>
      <c r="J140" s="64"/>
      <c r="K140" s="84"/>
    </row>
    <row r="141" spans="1:11" ht="6" customHeight="1" x14ac:dyDescent="0.25">
      <c r="A141" s="84"/>
      <c r="B141" s="84"/>
      <c r="C141" s="84"/>
      <c r="D141" s="64"/>
      <c r="E141" s="85"/>
      <c r="F141" s="64"/>
      <c r="G141" s="86"/>
      <c r="H141" s="64"/>
      <c r="I141" s="86"/>
      <c r="J141" s="64"/>
      <c r="K141" s="84"/>
    </row>
    <row r="142" spans="1:11" ht="6" customHeight="1" x14ac:dyDescent="0.25">
      <c r="A142" s="84"/>
      <c r="B142" s="84"/>
      <c r="C142" s="84"/>
      <c r="D142" s="64"/>
      <c r="E142" s="85"/>
      <c r="F142" s="64"/>
      <c r="G142" s="86"/>
      <c r="H142" s="64"/>
      <c r="I142" s="86"/>
      <c r="J142" s="64"/>
      <c r="K142" s="84"/>
    </row>
    <row r="143" spans="1:11" ht="6" customHeight="1" x14ac:dyDescent="0.25">
      <c r="A143" s="84"/>
      <c r="B143" s="84"/>
      <c r="C143" s="84"/>
      <c r="D143" s="64"/>
      <c r="E143" s="85"/>
      <c r="F143" s="64"/>
      <c r="G143" s="86"/>
      <c r="H143" s="64"/>
      <c r="I143" s="86"/>
      <c r="J143" s="64"/>
      <c r="K143" s="84"/>
    </row>
    <row r="144" spans="1:11" ht="6" customHeight="1" x14ac:dyDescent="0.25">
      <c r="A144" s="84"/>
      <c r="B144" s="84"/>
      <c r="C144" s="84"/>
      <c r="D144" s="64"/>
      <c r="E144" s="85"/>
      <c r="F144" s="64"/>
      <c r="G144" s="86"/>
      <c r="H144" s="64"/>
      <c r="I144" s="86"/>
      <c r="J144" s="64"/>
      <c r="K144" s="84"/>
    </row>
    <row r="145" spans="1:11" ht="6" customHeight="1" x14ac:dyDescent="0.25">
      <c r="A145" s="84"/>
      <c r="B145" s="84"/>
      <c r="C145" s="84"/>
      <c r="D145" s="64"/>
      <c r="E145" s="85"/>
      <c r="F145" s="64"/>
      <c r="G145" s="86"/>
      <c r="H145" s="64"/>
      <c r="I145" s="86"/>
      <c r="J145" s="64"/>
      <c r="K145" s="84"/>
    </row>
    <row r="146" spans="1:11" ht="6" customHeight="1" x14ac:dyDescent="0.25">
      <c r="A146" s="84"/>
      <c r="B146" s="84"/>
      <c r="C146" s="84"/>
      <c r="D146" s="64"/>
      <c r="E146" s="85"/>
      <c r="F146" s="64"/>
      <c r="G146" s="86"/>
      <c r="H146" s="64"/>
      <c r="I146" s="86"/>
      <c r="J146" s="64"/>
      <c r="K146" s="84"/>
    </row>
    <row r="147" spans="1:11" ht="6" customHeight="1" x14ac:dyDescent="0.25">
      <c r="A147" s="84"/>
      <c r="B147" s="84"/>
      <c r="C147" s="84"/>
      <c r="D147" s="64"/>
      <c r="E147" s="85"/>
      <c r="F147" s="64"/>
      <c r="G147" s="86"/>
      <c r="H147" s="64"/>
      <c r="I147" s="86"/>
      <c r="J147" s="64"/>
      <c r="K147" s="84"/>
    </row>
    <row r="148" spans="1:11" ht="6" customHeight="1" x14ac:dyDescent="0.25">
      <c r="A148" s="84"/>
      <c r="B148" s="84"/>
      <c r="C148" s="84"/>
      <c r="D148" s="64"/>
      <c r="E148" s="85"/>
      <c r="F148" s="64"/>
      <c r="G148" s="86"/>
      <c r="H148" s="64"/>
      <c r="I148" s="86"/>
      <c r="J148" s="64"/>
      <c r="K148" s="84"/>
    </row>
    <row r="149" spans="1:11" ht="6" customHeight="1" x14ac:dyDescent="0.25">
      <c r="A149" s="84"/>
      <c r="B149" s="84"/>
      <c r="C149" s="84"/>
      <c r="D149" s="64"/>
      <c r="E149" s="85"/>
      <c r="F149" s="64"/>
      <c r="G149" s="86"/>
      <c r="H149" s="64"/>
      <c r="I149" s="86"/>
      <c r="J149" s="64"/>
      <c r="K149" s="84"/>
    </row>
    <row r="150" spans="1:11" ht="6" customHeight="1" x14ac:dyDescent="0.25">
      <c r="A150" s="73"/>
      <c r="B150" s="64"/>
      <c r="C150" s="64"/>
      <c r="D150" s="64"/>
      <c r="E150" s="64"/>
      <c r="F150" s="64"/>
      <c r="G150" s="64"/>
      <c r="H150" s="64"/>
      <c r="I150" s="64"/>
      <c r="J150" s="64"/>
      <c r="K150" s="64"/>
    </row>
    <row r="151" spans="1:11" ht="6" customHeight="1" x14ac:dyDescent="0.25">
      <c r="A151" s="64"/>
      <c r="B151" s="64"/>
      <c r="C151" s="64"/>
      <c r="D151" s="64"/>
      <c r="E151" s="64"/>
      <c r="F151" s="64"/>
      <c r="G151" s="64"/>
      <c r="H151" s="64"/>
      <c r="I151" s="64"/>
      <c r="J151" s="64"/>
      <c r="K151" s="64"/>
    </row>
    <row r="152" spans="1:11" ht="6" customHeight="1" x14ac:dyDescent="0.25">
      <c r="A152" s="64"/>
      <c r="B152" s="64"/>
      <c r="C152" s="64"/>
      <c r="D152" s="64"/>
      <c r="E152" s="64"/>
      <c r="F152" s="64"/>
      <c r="G152" s="64"/>
      <c r="H152" s="64"/>
      <c r="I152" s="64"/>
      <c r="J152" s="64"/>
      <c r="K152" s="64"/>
    </row>
    <row r="153" spans="1:11" ht="6" customHeight="1" x14ac:dyDescent="0.25">
      <c r="A153" s="64"/>
      <c r="B153" s="64"/>
      <c r="C153" s="64"/>
      <c r="D153" s="64"/>
      <c r="E153" s="64"/>
      <c r="F153" s="64"/>
      <c r="G153" s="64"/>
      <c r="H153" s="64"/>
      <c r="I153" s="64"/>
      <c r="J153" s="64"/>
      <c r="K153" s="64"/>
    </row>
    <row r="154" spans="1:11" ht="6" customHeight="1" x14ac:dyDescent="0.25">
      <c r="A154" s="64"/>
      <c r="B154" s="64"/>
      <c r="C154" s="64"/>
      <c r="D154" s="64"/>
      <c r="E154" s="64"/>
      <c r="F154" s="64"/>
      <c r="G154" s="64"/>
      <c r="H154" s="64"/>
      <c r="I154" s="64"/>
      <c r="J154" s="64"/>
      <c r="K154" s="64"/>
    </row>
    <row r="155" spans="1:11" ht="6" customHeight="1" x14ac:dyDescent="0.25">
      <c r="A155" s="64"/>
      <c r="B155" s="64"/>
      <c r="C155" s="64"/>
      <c r="D155" s="64"/>
      <c r="E155" s="64"/>
      <c r="F155" s="64"/>
      <c r="G155" s="64"/>
      <c r="H155" s="64"/>
      <c r="I155" s="64"/>
      <c r="J155" s="64"/>
      <c r="K155" s="64"/>
    </row>
    <row r="156" spans="1:11" ht="6" customHeight="1" x14ac:dyDescent="0.25">
      <c r="A156" s="64"/>
      <c r="B156" s="64"/>
      <c r="C156" s="64"/>
      <c r="D156" s="64"/>
      <c r="E156" s="64"/>
      <c r="F156" s="64"/>
      <c r="G156" s="64"/>
      <c r="H156" s="64"/>
      <c r="I156" s="64"/>
      <c r="J156" s="64"/>
      <c r="K156" s="64"/>
    </row>
    <row r="157" spans="1:11" ht="6" customHeight="1" x14ac:dyDescent="0.25">
      <c r="A157" s="64"/>
      <c r="B157" s="64"/>
      <c r="C157" s="64"/>
      <c r="D157" s="64"/>
      <c r="E157" s="64"/>
      <c r="F157" s="64"/>
      <c r="G157" s="64"/>
      <c r="H157" s="64"/>
      <c r="I157" s="64"/>
      <c r="J157" s="64"/>
      <c r="K157" s="64"/>
    </row>
    <row r="158" spans="1:11" ht="6" customHeight="1" x14ac:dyDescent="0.25">
      <c r="A158" s="64"/>
      <c r="B158" s="64"/>
      <c r="C158" s="64"/>
      <c r="D158" s="64"/>
      <c r="E158" s="64"/>
      <c r="F158" s="64"/>
      <c r="G158" s="64"/>
      <c r="H158" s="64"/>
      <c r="I158" s="64"/>
      <c r="J158" s="64"/>
      <c r="K158" s="64"/>
    </row>
    <row r="159" spans="1:11" ht="6" customHeight="1" x14ac:dyDescent="0.25">
      <c r="A159" s="64"/>
      <c r="B159" s="64"/>
      <c r="C159" s="64"/>
      <c r="D159" s="64"/>
      <c r="E159" s="64"/>
      <c r="F159" s="64"/>
      <c r="G159" s="64"/>
      <c r="H159" s="64"/>
      <c r="I159" s="64"/>
      <c r="J159" s="64"/>
      <c r="K159" s="64"/>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02" t="s">
        <v>572</v>
      </c>
      <c r="B1" s="300"/>
      <c r="C1" s="300"/>
      <c r="D1" s="300"/>
      <c r="E1" s="300"/>
      <c r="F1" s="300"/>
      <c r="G1" s="300"/>
      <c r="H1" s="300"/>
    </row>
    <row r="2" spans="1:12" ht="15.75" customHeight="1" x14ac:dyDescent="0.25">
      <c r="A2" s="301" t="s">
        <v>573</v>
      </c>
      <c r="B2" s="300"/>
      <c r="C2" s="300"/>
      <c r="D2" s="300"/>
      <c r="E2" s="300"/>
      <c r="F2" s="300"/>
      <c r="G2" s="300"/>
      <c r="H2" s="300"/>
    </row>
    <row r="3" spans="1:12" ht="19.5" customHeight="1" x14ac:dyDescent="0.25">
      <c r="A3" s="60" t="s">
        <v>574</v>
      </c>
      <c r="B3" s="60" t="s">
        <v>376</v>
      </c>
      <c r="C3" s="60" t="s">
        <v>3</v>
      </c>
      <c r="D3" s="60" t="s">
        <v>575</v>
      </c>
      <c r="E3" s="60" t="s">
        <v>576</v>
      </c>
      <c r="F3" s="60" t="s">
        <v>577</v>
      </c>
      <c r="G3" s="60" t="s">
        <v>32</v>
      </c>
      <c r="H3" s="60" t="s">
        <v>578</v>
      </c>
      <c r="I3" s="60" t="s">
        <v>579</v>
      </c>
    </row>
    <row r="4" spans="1:12" ht="15" customHeight="1" x14ac:dyDescent="0.25">
      <c r="A4" s="223">
        <v>1</v>
      </c>
      <c r="B4" s="223">
        <v>8001</v>
      </c>
      <c r="C4" s="224" t="s">
        <v>135</v>
      </c>
      <c r="D4" s="224" t="s">
        <v>181</v>
      </c>
      <c r="E4" s="223" t="s">
        <v>580</v>
      </c>
      <c r="F4" s="225">
        <v>54280</v>
      </c>
      <c r="G4" s="223" t="s">
        <v>581</v>
      </c>
      <c r="H4" s="226" t="s">
        <v>582</v>
      </c>
      <c r="I4" s="227"/>
      <c r="J4" s="228"/>
      <c r="K4" s="228"/>
      <c r="L4" s="228"/>
    </row>
    <row r="5" spans="1:12" ht="15" customHeight="1" x14ac:dyDescent="0.25">
      <c r="A5" s="223">
        <v>2</v>
      </c>
      <c r="B5" s="223">
        <v>8005</v>
      </c>
      <c r="C5" s="224" t="s">
        <v>14</v>
      </c>
      <c r="D5" s="224" t="s">
        <v>139</v>
      </c>
      <c r="E5" s="223" t="s">
        <v>583</v>
      </c>
      <c r="F5" s="225">
        <v>1680</v>
      </c>
      <c r="G5" s="223" t="s">
        <v>581</v>
      </c>
      <c r="H5" s="226" t="s">
        <v>582</v>
      </c>
      <c r="I5" s="227"/>
      <c r="J5" s="228"/>
      <c r="K5" s="228"/>
      <c r="L5" s="228"/>
    </row>
    <row r="6" spans="1:12" ht="15" customHeight="1" x14ac:dyDescent="0.25">
      <c r="A6" s="223">
        <v>3</v>
      </c>
      <c r="B6" s="223">
        <v>6470</v>
      </c>
      <c r="C6" s="224" t="s">
        <v>14</v>
      </c>
      <c r="D6" s="224" t="s">
        <v>15</v>
      </c>
      <c r="E6" s="223" t="s">
        <v>584</v>
      </c>
      <c r="F6" s="225">
        <v>40000</v>
      </c>
      <c r="G6" s="223" t="s">
        <v>581</v>
      </c>
      <c r="H6" s="226" t="s">
        <v>582</v>
      </c>
      <c r="I6" s="227"/>
      <c r="J6" s="228"/>
      <c r="K6" s="228"/>
      <c r="L6" s="228"/>
    </row>
    <row r="7" spans="1:12" ht="15" customHeight="1" x14ac:dyDescent="0.25">
      <c r="A7" s="223">
        <v>4</v>
      </c>
      <c r="B7" s="223">
        <v>4050</v>
      </c>
      <c r="C7" s="224" t="s">
        <v>208</v>
      </c>
      <c r="D7" s="224" t="s">
        <v>209</v>
      </c>
      <c r="E7" s="223" t="s">
        <v>585</v>
      </c>
      <c r="F7" s="225">
        <v>9450</v>
      </c>
      <c r="G7" s="223" t="s">
        <v>581</v>
      </c>
      <c r="H7" s="226" t="s">
        <v>582</v>
      </c>
      <c r="I7" s="227"/>
      <c r="J7" s="228"/>
      <c r="K7" s="228"/>
      <c r="L7" s="228"/>
    </row>
    <row r="8" spans="1:12" ht="15" customHeight="1" x14ac:dyDescent="0.25">
      <c r="A8" s="223">
        <v>5</v>
      </c>
      <c r="B8" s="223">
        <v>6337</v>
      </c>
      <c r="C8" s="224" t="s">
        <v>211</v>
      </c>
      <c r="D8" s="224" t="s">
        <v>213</v>
      </c>
      <c r="E8" s="223" t="s">
        <v>585</v>
      </c>
      <c r="F8" s="225">
        <v>15680</v>
      </c>
      <c r="G8" s="223" t="s">
        <v>581</v>
      </c>
      <c r="H8" s="226" t="s">
        <v>582</v>
      </c>
      <c r="I8" s="227"/>
      <c r="J8" s="228"/>
      <c r="K8" s="228"/>
      <c r="L8" s="228"/>
    </row>
    <row r="9" spans="1:12" ht="15" customHeight="1" x14ac:dyDescent="0.25">
      <c r="A9" s="223">
        <v>6</v>
      </c>
      <c r="B9" s="223">
        <v>6416</v>
      </c>
      <c r="C9" s="224" t="s">
        <v>211</v>
      </c>
      <c r="D9" s="224" t="s">
        <v>212</v>
      </c>
      <c r="E9" s="223" t="s">
        <v>585</v>
      </c>
      <c r="F9" s="225">
        <v>15435</v>
      </c>
      <c r="G9" s="223" t="s">
        <v>581</v>
      </c>
      <c r="H9" s="226" t="s">
        <v>582</v>
      </c>
      <c r="I9" s="227"/>
      <c r="J9" s="228"/>
      <c r="K9" s="228"/>
      <c r="L9" s="228"/>
    </row>
    <row r="10" spans="1:12" ht="15" customHeight="1" x14ac:dyDescent="0.25">
      <c r="A10" s="223">
        <v>7</v>
      </c>
      <c r="B10" s="223">
        <v>5782</v>
      </c>
      <c r="C10" s="224" t="s">
        <v>218</v>
      </c>
      <c r="D10" s="224" t="s">
        <v>219</v>
      </c>
      <c r="E10" s="223" t="s">
        <v>586</v>
      </c>
      <c r="F10" s="225">
        <v>74464</v>
      </c>
      <c r="G10" s="223" t="s">
        <v>581</v>
      </c>
      <c r="H10" s="226" t="s">
        <v>582</v>
      </c>
      <c r="I10" s="227"/>
      <c r="J10" s="228"/>
      <c r="K10" s="228"/>
      <c r="L10" s="228"/>
    </row>
    <row r="11" spans="1:12" ht="15" customHeight="1" x14ac:dyDescent="0.25">
      <c r="A11" s="223">
        <v>8</v>
      </c>
      <c r="B11" s="223">
        <v>6531</v>
      </c>
      <c r="C11" s="224" t="s">
        <v>220</v>
      </c>
      <c r="D11" s="224" t="s">
        <v>222</v>
      </c>
      <c r="E11" s="223" t="s">
        <v>587</v>
      </c>
      <c r="F11" s="225">
        <v>4320</v>
      </c>
      <c r="G11" s="223" t="s">
        <v>581</v>
      </c>
      <c r="H11" s="226" t="s">
        <v>582</v>
      </c>
      <c r="I11" s="227"/>
      <c r="J11" s="228"/>
      <c r="K11" s="228"/>
      <c r="L11" s="228"/>
    </row>
    <row r="12" spans="1:12" ht="15" customHeight="1" x14ac:dyDescent="0.25">
      <c r="A12" s="223">
        <v>9</v>
      </c>
      <c r="B12" s="223">
        <v>6530</v>
      </c>
      <c r="C12" s="224" t="s">
        <v>220</v>
      </c>
      <c r="D12" s="224" t="s">
        <v>221</v>
      </c>
      <c r="E12" s="223" t="s">
        <v>587</v>
      </c>
      <c r="F12" s="225">
        <v>4500</v>
      </c>
      <c r="G12" s="223" t="s">
        <v>581</v>
      </c>
      <c r="H12" s="226" t="s">
        <v>582</v>
      </c>
      <c r="I12" s="227"/>
      <c r="J12" s="228"/>
      <c r="K12" s="228"/>
      <c r="L12" s="228"/>
    </row>
    <row r="13" spans="1:12" ht="15" customHeight="1" x14ac:dyDescent="0.25">
      <c r="A13" s="223">
        <v>10</v>
      </c>
      <c r="B13" s="223">
        <v>3726</v>
      </c>
      <c r="C13" s="224" t="s">
        <v>14</v>
      </c>
      <c r="D13" s="224" t="s">
        <v>198</v>
      </c>
      <c r="E13" s="223" t="s">
        <v>584</v>
      </c>
      <c r="F13" s="225">
        <v>46000</v>
      </c>
      <c r="G13" s="223" t="s">
        <v>581</v>
      </c>
      <c r="H13" s="226" t="s">
        <v>588</v>
      </c>
      <c r="I13" s="227"/>
      <c r="J13" s="228"/>
      <c r="K13" s="228"/>
      <c r="L13" s="228"/>
    </row>
    <row r="14" spans="1:12" ht="15" customHeight="1" x14ac:dyDescent="0.25">
      <c r="A14" s="223">
        <v>11</v>
      </c>
      <c r="B14" s="223">
        <v>3447</v>
      </c>
      <c r="C14" s="224" t="s">
        <v>14</v>
      </c>
      <c r="D14" s="224" t="s">
        <v>197</v>
      </c>
      <c r="E14" s="223" t="s">
        <v>584</v>
      </c>
      <c r="F14" s="225">
        <v>16000</v>
      </c>
      <c r="G14" s="223" t="s">
        <v>581</v>
      </c>
      <c r="H14" s="226" t="s">
        <v>589</v>
      </c>
      <c r="I14" s="227"/>
      <c r="J14" s="228"/>
      <c r="K14" s="228"/>
      <c r="L14" s="228"/>
    </row>
    <row r="15" spans="1:12" ht="15" customHeight="1" x14ac:dyDescent="0.25">
      <c r="A15" s="223">
        <v>12</v>
      </c>
      <c r="B15" s="223">
        <v>8001</v>
      </c>
      <c r="C15" s="224" t="s">
        <v>135</v>
      </c>
      <c r="D15" s="224" t="s">
        <v>181</v>
      </c>
      <c r="E15" s="223" t="s">
        <v>580</v>
      </c>
      <c r="F15" s="225">
        <v>20240</v>
      </c>
      <c r="G15" s="223" t="s">
        <v>581</v>
      </c>
      <c r="H15" s="226" t="s">
        <v>590</v>
      </c>
      <c r="I15" s="227"/>
      <c r="J15" s="228"/>
      <c r="K15" s="228"/>
      <c r="L15" s="228"/>
    </row>
    <row r="16" spans="1:12" ht="15" customHeight="1" x14ac:dyDescent="0.25">
      <c r="A16" s="223">
        <v>13</v>
      </c>
      <c r="B16" s="223">
        <v>8001</v>
      </c>
      <c r="C16" s="224" t="s">
        <v>135</v>
      </c>
      <c r="D16" s="224" t="s">
        <v>181</v>
      </c>
      <c r="E16" s="223" t="s">
        <v>580</v>
      </c>
      <c r="F16" s="225">
        <v>34960</v>
      </c>
      <c r="G16" s="223" t="s">
        <v>581</v>
      </c>
      <c r="H16" s="226" t="s">
        <v>591</v>
      </c>
      <c r="I16" s="227"/>
      <c r="J16" s="228"/>
      <c r="K16" s="228"/>
      <c r="L16" s="228"/>
    </row>
    <row r="17" spans="1:12" ht="15" customHeight="1" x14ac:dyDescent="0.25">
      <c r="A17" s="223">
        <v>14</v>
      </c>
      <c r="B17" s="223">
        <v>6206</v>
      </c>
      <c r="C17" s="224" t="s">
        <v>19</v>
      </c>
      <c r="D17" s="224" t="s">
        <v>20</v>
      </c>
      <c r="E17" s="223" t="s">
        <v>585</v>
      </c>
      <c r="F17" s="225">
        <v>39000</v>
      </c>
      <c r="G17" s="223" t="s">
        <v>581</v>
      </c>
      <c r="H17" s="226" t="s">
        <v>591</v>
      </c>
      <c r="I17" s="227"/>
      <c r="J17" s="228"/>
      <c r="K17" s="228"/>
      <c r="L17" s="228"/>
    </row>
    <row r="18" spans="1:12" ht="15" customHeight="1" x14ac:dyDescent="0.25">
      <c r="A18" s="229">
        <v>15</v>
      </c>
      <c r="B18" s="229">
        <v>6530</v>
      </c>
      <c r="C18" s="230" t="s">
        <v>220</v>
      </c>
      <c r="D18" s="230" t="s">
        <v>221</v>
      </c>
      <c r="E18" s="229" t="s">
        <v>587</v>
      </c>
      <c r="F18" s="231">
        <v>11340</v>
      </c>
      <c r="G18" s="229" t="s">
        <v>592</v>
      </c>
      <c r="H18" s="232" t="s">
        <v>593</v>
      </c>
      <c r="I18" s="227"/>
      <c r="J18" s="228"/>
      <c r="K18" s="228"/>
      <c r="L18" s="228"/>
    </row>
    <row r="19" spans="1:12" ht="15" customHeight="1" x14ac:dyDescent="0.25">
      <c r="A19" s="223">
        <v>16</v>
      </c>
      <c r="B19" s="223">
        <v>5699</v>
      </c>
      <c r="C19" s="224" t="s">
        <v>14</v>
      </c>
      <c r="D19" s="224" t="s">
        <v>190</v>
      </c>
      <c r="E19" s="223" t="s">
        <v>594</v>
      </c>
      <c r="F19" s="225">
        <v>14790</v>
      </c>
      <c r="G19" s="223" t="s">
        <v>581</v>
      </c>
      <c r="H19" s="226" t="s">
        <v>595</v>
      </c>
      <c r="I19" s="227"/>
      <c r="J19" s="228"/>
      <c r="K19" s="228"/>
      <c r="L19" s="228"/>
    </row>
    <row r="20" spans="1:12" ht="15" customHeight="1" x14ac:dyDescent="0.25">
      <c r="A20" s="223">
        <v>17</v>
      </c>
      <c r="B20" s="223">
        <v>5731</v>
      </c>
      <c r="C20" s="224" t="s">
        <v>14</v>
      </c>
      <c r="D20" s="224" t="s">
        <v>191</v>
      </c>
      <c r="E20" s="223" t="s">
        <v>594</v>
      </c>
      <c r="F20" s="225">
        <v>13770</v>
      </c>
      <c r="G20" s="223" t="s">
        <v>581</v>
      </c>
      <c r="H20" s="226" t="s">
        <v>595</v>
      </c>
      <c r="I20" s="227"/>
      <c r="J20" s="228"/>
      <c r="K20" s="228"/>
      <c r="L20" s="228"/>
    </row>
    <row r="21" spans="1:12" ht="15" customHeight="1" x14ac:dyDescent="0.25">
      <c r="A21" s="229">
        <v>18</v>
      </c>
      <c r="B21" s="229">
        <v>6624</v>
      </c>
      <c r="C21" s="230" t="s">
        <v>14</v>
      </c>
      <c r="D21" s="230" t="s">
        <v>186</v>
      </c>
      <c r="E21" s="229" t="s">
        <v>596</v>
      </c>
      <c r="F21" s="231">
        <v>15876</v>
      </c>
      <c r="G21" s="229" t="s">
        <v>592</v>
      </c>
      <c r="H21" s="232" t="s">
        <v>595</v>
      </c>
      <c r="I21" s="227"/>
      <c r="J21" s="228"/>
      <c r="K21" s="228"/>
      <c r="L21" s="228"/>
    </row>
    <row r="22" spans="1:12" ht="15" customHeight="1" x14ac:dyDescent="0.25">
      <c r="A22" s="229">
        <v>19</v>
      </c>
      <c r="B22" s="229">
        <v>5731</v>
      </c>
      <c r="C22" s="230" t="s">
        <v>14</v>
      </c>
      <c r="D22" s="230" t="s">
        <v>191</v>
      </c>
      <c r="E22" s="229" t="s">
        <v>594</v>
      </c>
      <c r="F22" s="231">
        <v>33660</v>
      </c>
      <c r="G22" s="229" t="s">
        <v>592</v>
      </c>
      <c r="H22" s="232" t="s">
        <v>595</v>
      </c>
      <c r="I22" s="227"/>
      <c r="J22" s="228"/>
      <c r="K22" s="228"/>
      <c r="L22" s="228"/>
    </row>
    <row r="23" spans="1:12" ht="15" customHeight="1" x14ac:dyDescent="0.25">
      <c r="A23" s="233"/>
      <c r="B23" s="233"/>
      <c r="C23" s="234"/>
      <c r="D23" s="234"/>
      <c r="E23" s="233"/>
      <c r="F23" s="235"/>
      <c r="G23" s="233"/>
      <c r="H23" s="236"/>
      <c r="I23" s="227"/>
      <c r="J23" s="228"/>
      <c r="K23" s="228"/>
      <c r="L23" s="228"/>
    </row>
    <row r="24" spans="1:12" ht="15" customHeight="1" x14ac:dyDescent="0.25">
      <c r="A24" s="233"/>
      <c r="B24" s="233"/>
      <c r="C24" s="234"/>
      <c r="D24" s="234"/>
      <c r="E24" s="233"/>
      <c r="F24" s="235"/>
      <c r="G24" s="233"/>
      <c r="H24" s="236"/>
      <c r="I24" s="227"/>
      <c r="J24" s="228"/>
      <c r="K24" s="228"/>
      <c r="L24" s="228"/>
    </row>
    <row r="25" spans="1:12" ht="15" customHeight="1" x14ac:dyDescent="0.25">
      <c r="A25" s="233"/>
      <c r="B25" s="233"/>
      <c r="C25" s="234"/>
      <c r="D25" s="234"/>
      <c r="E25" s="233"/>
      <c r="F25" s="235"/>
      <c r="G25" s="233"/>
      <c r="H25" s="236"/>
      <c r="I25" s="227"/>
      <c r="J25" s="228"/>
      <c r="K25" s="228"/>
      <c r="L25" s="228"/>
    </row>
    <row r="26" spans="1:12" ht="15" customHeight="1" x14ac:dyDescent="0.25">
      <c r="A26" s="233"/>
      <c r="B26" s="233"/>
      <c r="C26" s="234"/>
      <c r="D26" s="234"/>
      <c r="E26" s="233"/>
      <c r="F26" s="235"/>
      <c r="G26" s="233"/>
      <c r="H26" s="236"/>
      <c r="I26" s="227"/>
      <c r="J26" s="228"/>
      <c r="K26" s="228"/>
      <c r="L26" s="228"/>
    </row>
    <row r="27" spans="1:12" ht="15" customHeight="1" x14ac:dyDescent="0.25">
      <c r="A27" s="233"/>
      <c r="B27" s="233"/>
      <c r="C27" s="234"/>
      <c r="D27" s="234"/>
      <c r="E27" s="233"/>
      <c r="F27" s="235"/>
      <c r="G27" s="233"/>
      <c r="H27" s="236"/>
      <c r="I27" s="227"/>
      <c r="J27" s="228"/>
      <c r="K27" s="228"/>
      <c r="L27" s="228"/>
    </row>
    <row r="28" spans="1:12" ht="15" customHeight="1" x14ac:dyDescent="0.25">
      <c r="A28" s="228"/>
      <c r="B28" s="228"/>
      <c r="C28" s="228"/>
      <c r="D28" s="228"/>
      <c r="E28" s="228"/>
      <c r="F28" s="228"/>
      <c r="G28" s="228"/>
      <c r="H28" s="228"/>
      <c r="I28" s="237"/>
      <c r="J28" s="228"/>
      <c r="K28" s="228"/>
      <c r="L28" s="228"/>
    </row>
    <row r="29" spans="1:12" ht="15" customHeight="1" x14ac:dyDescent="0.25">
      <c r="A29" s="228"/>
      <c r="B29" s="228"/>
      <c r="C29" s="228"/>
      <c r="D29" s="228"/>
      <c r="E29" s="228"/>
      <c r="F29" s="228"/>
      <c r="G29" s="228"/>
      <c r="H29" s="228"/>
      <c r="I29" s="237"/>
      <c r="J29" s="228"/>
      <c r="K29" s="228"/>
      <c r="L29" s="228"/>
    </row>
    <row r="30" spans="1:12" ht="15" customHeight="1" x14ac:dyDescent="0.25">
      <c r="A30" s="228"/>
      <c r="B30" s="228"/>
      <c r="C30" s="228"/>
      <c r="D30" s="228"/>
      <c r="E30" s="228"/>
      <c r="F30" s="228"/>
      <c r="G30" s="228"/>
      <c r="H30" s="228"/>
      <c r="I30" s="237"/>
      <c r="J30" s="228"/>
      <c r="K30" s="228"/>
      <c r="L30" s="228"/>
    </row>
    <row r="31" spans="1:12" ht="15" customHeight="1" x14ac:dyDescent="0.25">
      <c r="A31" s="228"/>
      <c r="B31" s="228"/>
      <c r="C31" s="228"/>
      <c r="D31" s="228"/>
      <c r="E31" s="228"/>
      <c r="F31" s="228"/>
      <c r="G31" s="228"/>
      <c r="H31" s="228"/>
      <c r="I31" s="237"/>
      <c r="J31" s="228"/>
      <c r="K31" s="228"/>
      <c r="L31" s="228"/>
    </row>
    <row r="32" spans="1:12" ht="15" customHeight="1" x14ac:dyDescent="0.25">
      <c r="A32" s="228"/>
      <c r="B32" s="228"/>
      <c r="C32" s="228"/>
      <c r="D32" s="228"/>
      <c r="E32" s="228"/>
      <c r="F32" s="228"/>
      <c r="G32" s="228"/>
      <c r="H32" s="228"/>
      <c r="I32" s="237"/>
      <c r="J32" s="228"/>
      <c r="K32" s="228"/>
      <c r="L32" s="228"/>
    </row>
    <row r="33" spans="1:12" ht="15" customHeight="1" x14ac:dyDescent="0.25">
      <c r="A33" s="228"/>
      <c r="B33" s="228"/>
      <c r="C33" s="228"/>
      <c r="D33" s="228"/>
      <c r="E33" s="228"/>
      <c r="F33" s="228"/>
      <c r="G33" s="228"/>
      <c r="H33" s="228"/>
      <c r="I33" s="237"/>
      <c r="J33" s="228"/>
      <c r="K33" s="228"/>
      <c r="L33" s="228"/>
    </row>
    <row r="34" spans="1:12" ht="15" customHeight="1" x14ac:dyDescent="0.25">
      <c r="A34" s="228"/>
      <c r="B34" s="228"/>
      <c r="C34" s="228"/>
      <c r="D34" s="228"/>
      <c r="E34" s="228"/>
      <c r="F34" s="228"/>
      <c r="G34" s="228"/>
      <c r="H34" s="228"/>
      <c r="I34" s="237"/>
      <c r="J34" s="228"/>
      <c r="K34" s="228"/>
      <c r="L34" s="228"/>
    </row>
    <row r="35" spans="1:12" ht="15" customHeight="1" x14ac:dyDescent="0.25">
      <c r="A35" s="228"/>
      <c r="B35" s="228"/>
      <c r="C35" s="228"/>
      <c r="D35" s="228"/>
      <c r="E35" s="228"/>
      <c r="F35" s="228"/>
      <c r="G35" s="228"/>
      <c r="H35" s="228"/>
      <c r="I35" s="237"/>
      <c r="J35" s="228"/>
      <c r="K35" s="228"/>
      <c r="L35" s="228"/>
    </row>
    <row r="36" spans="1:12" ht="15" customHeight="1" x14ac:dyDescent="0.25">
      <c r="A36" s="228"/>
      <c r="B36" s="228"/>
      <c r="C36" s="228"/>
      <c r="D36" s="228"/>
      <c r="E36" s="228"/>
      <c r="F36" s="228"/>
      <c r="G36" s="228"/>
      <c r="H36" s="228"/>
      <c r="I36" s="237"/>
      <c r="J36" s="228"/>
      <c r="K36" s="228"/>
      <c r="L36" s="228"/>
    </row>
    <row r="37" spans="1:12" ht="15" customHeight="1" x14ac:dyDescent="0.25">
      <c r="A37" s="228"/>
      <c r="B37" s="228"/>
      <c r="C37" s="228"/>
      <c r="D37" s="228"/>
      <c r="E37" s="228"/>
      <c r="F37" s="228"/>
      <c r="G37" s="228"/>
      <c r="H37" s="228"/>
      <c r="I37" s="237"/>
      <c r="J37" s="228"/>
      <c r="K37" s="228"/>
      <c r="L37" s="228"/>
    </row>
    <row r="38" spans="1:12" ht="15" customHeight="1" x14ac:dyDescent="0.25">
      <c r="A38" s="228"/>
      <c r="B38" s="228"/>
      <c r="C38" s="228"/>
      <c r="D38" s="228"/>
      <c r="E38" s="228"/>
      <c r="F38" s="228"/>
      <c r="G38" s="228"/>
      <c r="H38" s="228"/>
      <c r="I38" s="237"/>
      <c r="J38" s="228"/>
      <c r="K38" s="228"/>
      <c r="L38" s="228"/>
    </row>
    <row r="39" spans="1:12" ht="15" customHeight="1" x14ac:dyDescent="0.25">
      <c r="A39" s="228"/>
      <c r="B39" s="228"/>
      <c r="C39" s="228"/>
      <c r="D39" s="228"/>
      <c r="E39" s="228"/>
      <c r="F39" s="228"/>
      <c r="G39" s="228"/>
      <c r="H39" s="228"/>
      <c r="I39" s="237"/>
      <c r="J39" s="228"/>
      <c r="K39" s="228"/>
      <c r="L39" s="228"/>
    </row>
    <row r="40" spans="1:12" ht="15" customHeight="1" x14ac:dyDescent="0.25">
      <c r="A40" s="228"/>
      <c r="B40" s="228"/>
      <c r="C40" s="228"/>
      <c r="D40" s="228"/>
      <c r="E40" s="228"/>
      <c r="F40" s="228"/>
      <c r="G40" s="228"/>
      <c r="H40" s="228"/>
      <c r="I40" s="237"/>
      <c r="J40" s="228"/>
      <c r="K40" s="228"/>
      <c r="L40" s="228"/>
    </row>
    <row r="41" spans="1:12" ht="15" customHeight="1" x14ac:dyDescent="0.25">
      <c r="A41" s="228"/>
      <c r="B41" s="228"/>
      <c r="C41" s="228"/>
      <c r="D41" s="228"/>
      <c r="E41" s="228"/>
      <c r="F41" s="228"/>
      <c r="G41" s="228"/>
      <c r="H41" s="228"/>
      <c r="I41" s="237"/>
      <c r="J41" s="228"/>
      <c r="K41" s="228"/>
      <c r="L41" s="228"/>
    </row>
    <row r="42" spans="1:12" ht="15" customHeight="1" x14ac:dyDescent="0.25">
      <c r="A42" s="228"/>
      <c r="B42" s="228"/>
      <c r="C42" s="228"/>
      <c r="D42" s="228"/>
      <c r="E42" s="228"/>
      <c r="F42" s="228"/>
      <c r="G42" s="228"/>
      <c r="H42" s="228"/>
      <c r="I42" s="237"/>
      <c r="J42" s="228"/>
      <c r="K42" s="228"/>
      <c r="L42" s="228"/>
    </row>
    <row r="43" spans="1:12" ht="15" customHeight="1" x14ac:dyDescent="0.25">
      <c r="A43" s="228"/>
      <c r="B43" s="228"/>
      <c r="C43" s="228"/>
      <c r="D43" s="228"/>
      <c r="E43" s="228"/>
      <c r="F43" s="228"/>
      <c r="G43" s="228"/>
      <c r="H43" s="228"/>
      <c r="I43" s="237"/>
      <c r="J43" s="228"/>
      <c r="K43" s="228"/>
      <c r="L43" s="228"/>
    </row>
    <row r="44" spans="1:12" ht="15" customHeight="1" x14ac:dyDescent="0.25">
      <c r="A44" s="228"/>
      <c r="B44" s="228"/>
      <c r="C44" s="228"/>
      <c r="D44" s="228"/>
      <c r="E44" s="228"/>
      <c r="F44" s="228"/>
      <c r="G44" s="228"/>
      <c r="H44" s="228"/>
      <c r="I44" s="237"/>
      <c r="J44" s="228"/>
      <c r="K44" s="228"/>
      <c r="L44" s="228"/>
    </row>
    <row r="45" spans="1:12" ht="15" customHeight="1" x14ac:dyDescent="0.25">
      <c r="A45" s="228"/>
      <c r="B45" s="228"/>
      <c r="C45" s="228"/>
      <c r="D45" s="228"/>
      <c r="E45" s="228"/>
      <c r="F45" s="228"/>
      <c r="G45" s="228"/>
      <c r="H45" s="228"/>
      <c r="I45" s="237"/>
      <c r="J45" s="228"/>
      <c r="K45" s="228"/>
      <c r="L45" s="228"/>
    </row>
    <row r="46" spans="1:12" ht="15" customHeight="1" x14ac:dyDescent="0.25">
      <c r="A46" s="228"/>
      <c r="B46" s="228"/>
      <c r="C46" s="228"/>
      <c r="D46" s="228"/>
      <c r="E46" s="228"/>
      <c r="F46" s="228"/>
      <c r="G46" s="228"/>
      <c r="H46" s="228"/>
      <c r="I46" s="237"/>
      <c r="J46" s="228"/>
      <c r="K46" s="228"/>
      <c r="L46" s="228"/>
    </row>
    <row r="47" spans="1:12" ht="15" customHeight="1" x14ac:dyDescent="0.25">
      <c r="A47" s="228"/>
      <c r="B47" s="228"/>
      <c r="C47" s="228"/>
      <c r="D47" s="228"/>
      <c r="E47" s="228"/>
      <c r="F47" s="228"/>
      <c r="G47" s="228"/>
      <c r="H47" s="228"/>
      <c r="I47" s="237"/>
      <c r="J47" s="228"/>
      <c r="K47" s="228"/>
      <c r="L47" s="228"/>
    </row>
    <row r="48" spans="1:12" ht="15" customHeight="1" x14ac:dyDescent="0.25">
      <c r="A48" s="228"/>
      <c r="B48" s="228"/>
      <c r="C48" s="228"/>
      <c r="D48" s="228"/>
      <c r="E48" s="228"/>
      <c r="F48" s="228"/>
      <c r="G48" s="228"/>
      <c r="H48" s="228"/>
      <c r="I48" s="237"/>
      <c r="J48" s="228"/>
      <c r="K48" s="228"/>
      <c r="L48" s="228"/>
    </row>
    <row r="49" spans="1:12" ht="15" customHeight="1" x14ac:dyDescent="0.25">
      <c r="A49" s="228"/>
      <c r="B49" s="228"/>
      <c r="C49" s="228"/>
      <c r="D49" s="228"/>
      <c r="E49" s="228"/>
      <c r="F49" s="228"/>
      <c r="G49" s="228"/>
      <c r="H49" s="228"/>
      <c r="I49" s="237"/>
      <c r="J49" s="228"/>
      <c r="K49" s="228"/>
      <c r="L49" s="228"/>
    </row>
    <row r="50" spans="1:12" ht="15" customHeight="1" x14ac:dyDescent="0.25">
      <c r="A50" s="228"/>
      <c r="B50" s="228"/>
      <c r="C50" s="228"/>
      <c r="D50" s="228"/>
      <c r="E50" s="228"/>
      <c r="F50" s="228"/>
      <c r="G50" s="228"/>
      <c r="H50" s="228"/>
      <c r="I50" s="237"/>
      <c r="J50" s="228"/>
      <c r="K50" s="228"/>
      <c r="L50" s="228"/>
    </row>
    <row r="51" spans="1:12" ht="15" customHeight="1" x14ac:dyDescent="0.25">
      <c r="A51" s="228"/>
      <c r="B51" s="228"/>
      <c r="C51" s="228"/>
      <c r="D51" s="228"/>
      <c r="E51" s="228"/>
      <c r="F51" s="228"/>
      <c r="G51" s="228"/>
      <c r="H51" s="228"/>
      <c r="I51" s="237"/>
      <c r="J51" s="228"/>
      <c r="K51" s="228"/>
      <c r="L51" s="228"/>
    </row>
    <row r="52" spans="1:12" ht="15" customHeight="1" x14ac:dyDescent="0.25">
      <c r="A52" s="228"/>
      <c r="B52" s="228"/>
      <c r="C52" s="228"/>
      <c r="D52" s="228"/>
      <c r="E52" s="228"/>
      <c r="F52" s="228"/>
      <c r="G52" s="228"/>
      <c r="H52" s="228"/>
      <c r="I52" s="237"/>
      <c r="J52" s="228"/>
      <c r="K52" s="228"/>
      <c r="L52" s="228"/>
    </row>
    <row r="53" spans="1:12" ht="15" customHeight="1" x14ac:dyDescent="0.25">
      <c r="A53" s="228"/>
      <c r="B53" s="228"/>
      <c r="C53" s="228"/>
      <c r="D53" s="228"/>
      <c r="E53" s="228"/>
      <c r="F53" s="228"/>
      <c r="G53" s="228"/>
      <c r="H53" s="228"/>
      <c r="I53" s="237"/>
      <c r="J53" s="228"/>
      <c r="K53" s="228"/>
      <c r="L53" s="228"/>
    </row>
    <row r="54" spans="1:12" ht="15" customHeight="1" x14ac:dyDescent="0.25">
      <c r="A54" s="228"/>
      <c r="B54" s="228"/>
      <c r="C54" s="228"/>
      <c r="D54" s="228"/>
      <c r="E54" s="228"/>
      <c r="F54" s="228"/>
      <c r="G54" s="228"/>
      <c r="H54" s="228"/>
      <c r="I54" s="237"/>
      <c r="J54" s="228"/>
      <c r="K54" s="228"/>
      <c r="L54" s="228"/>
    </row>
    <row r="55" spans="1:12" ht="15" customHeight="1" x14ac:dyDescent="0.25">
      <c r="A55" s="228"/>
      <c r="B55" s="228"/>
      <c r="C55" s="228"/>
      <c r="D55" s="228"/>
      <c r="E55" s="228"/>
      <c r="F55" s="228"/>
      <c r="G55" s="228"/>
      <c r="H55" s="228"/>
      <c r="I55" s="237"/>
      <c r="J55" s="228"/>
      <c r="K55" s="228"/>
      <c r="L55" s="228"/>
    </row>
    <row r="56" spans="1:12" ht="15" customHeight="1" x14ac:dyDescent="0.25">
      <c r="A56" s="228"/>
      <c r="B56" s="228"/>
      <c r="C56" s="228"/>
      <c r="D56" s="228"/>
      <c r="E56" s="228"/>
      <c r="F56" s="228"/>
      <c r="G56" s="228"/>
      <c r="H56" s="228"/>
      <c r="I56" s="237"/>
      <c r="J56" s="228"/>
      <c r="K56" s="228"/>
      <c r="L56" s="228"/>
    </row>
    <row r="57" spans="1:12" ht="15" customHeight="1" x14ac:dyDescent="0.25">
      <c r="A57" s="228"/>
      <c r="B57" s="228"/>
      <c r="C57" s="228"/>
      <c r="D57" s="228"/>
      <c r="E57" s="228"/>
      <c r="F57" s="228"/>
      <c r="G57" s="228"/>
      <c r="H57" s="228"/>
      <c r="I57" s="237"/>
      <c r="J57" s="228"/>
      <c r="K57" s="228"/>
      <c r="L57" s="228"/>
    </row>
    <row r="58" spans="1:12" ht="15" customHeight="1" x14ac:dyDescent="0.25">
      <c r="A58" s="228"/>
      <c r="B58" s="228"/>
      <c r="C58" s="228"/>
      <c r="D58" s="228"/>
      <c r="E58" s="228"/>
      <c r="F58" s="228"/>
      <c r="G58" s="228"/>
      <c r="H58" s="228"/>
      <c r="I58" s="237"/>
      <c r="J58" s="228"/>
      <c r="K58" s="228"/>
      <c r="L58" s="228"/>
    </row>
    <row r="59" spans="1:12" ht="15" customHeight="1" x14ac:dyDescent="0.25">
      <c r="A59" s="228"/>
      <c r="B59" s="228"/>
      <c r="C59" s="228"/>
      <c r="D59" s="228"/>
      <c r="E59" s="228"/>
      <c r="F59" s="228"/>
      <c r="G59" s="228"/>
      <c r="H59" s="228"/>
      <c r="I59" s="237"/>
      <c r="J59" s="228"/>
      <c r="K59" s="228"/>
      <c r="L59" s="228"/>
    </row>
    <row r="60" spans="1:12" ht="15" customHeight="1" x14ac:dyDescent="0.25">
      <c r="A60" s="228"/>
      <c r="B60" s="228"/>
      <c r="C60" s="228"/>
      <c r="D60" s="228"/>
      <c r="E60" s="228"/>
      <c r="F60" s="228"/>
      <c r="G60" s="228"/>
      <c r="H60" s="228"/>
      <c r="I60" s="237"/>
      <c r="J60" s="228"/>
      <c r="K60" s="228"/>
      <c r="L60" s="228"/>
    </row>
    <row r="61" spans="1:12" ht="15" customHeight="1" x14ac:dyDescent="0.25">
      <c r="A61" s="228"/>
      <c r="B61" s="228"/>
      <c r="C61" s="228"/>
      <c r="D61" s="228"/>
      <c r="E61" s="228"/>
      <c r="F61" s="228"/>
      <c r="G61" s="228"/>
      <c r="H61" s="228"/>
      <c r="I61" s="237"/>
      <c r="J61" s="228"/>
      <c r="K61" s="228"/>
      <c r="L61" s="228"/>
    </row>
    <row r="62" spans="1:12" ht="15" customHeight="1" x14ac:dyDescent="0.25">
      <c r="A62" s="228"/>
      <c r="B62" s="228"/>
      <c r="C62" s="228"/>
      <c r="D62" s="228"/>
      <c r="E62" s="228"/>
      <c r="F62" s="228"/>
      <c r="G62" s="228"/>
      <c r="H62" s="228"/>
      <c r="I62" s="237"/>
      <c r="J62" s="228"/>
      <c r="K62" s="228"/>
      <c r="L62" s="228"/>
    </row>
    <row r="63" spans="1:12" ht="15" customHeight="1" x14ac:dyDescent="0.25">
      <c r="A63" s="228"/>
      <c r="B63" s="228"/>
      <c r="C63" s="228"/>
      <c r="D63" s="228"/>
      <c r="E63" s="228"/>
      <c r="F63" s="228"/>
      <c r="G63" s="228"/>
      <c r="H63" s="228"/>
      <c r="I63" s="237"/>
      <c r="J63" s="228"/>
      <c r="K63" s="228"/>
      <c r="L63" s="228"/>
    </row>
    <row r="64" spans="1:12" ht="15" customHeight="1" x14ac:dyDescent="0.25">
      <c r="A64" s="228"/>
      <c r="B64" s="228"/>
      <c r="C64" s="228"/>
      <c r="D64" s="228"/>
      <c r="E64" s="228"/>
      <c r="F64" s="228"/>
      <c r="G64" s="228"/>
      <c r="H64" s="228"/>
      <c r="I64" s="237"/>
      <c r="J64" s="228"/>
      <c r="K64" s="228"/>
      <c r="L64" s="228"/>
    </row>
    <row r="65" spans="1:12" ht="15" customHeight="1" x14ac:dyDescent="0.25">
      <c r="A65" s="228"/>
      <c r="B65" s="228"/>
      <c r="C65" s="228"/>
      <c r="D65" s="228"/>
      <c r="E65" s="228"/>
      <c r="F65" s="228"/>
      <c r="G65" s="228"/>
      <c r="H65" s="228"/>
      <c r="I65" s="237"/>
      <c r="J65" s="228"/>
      <c r="K65" s="228"/>
      <c r="L65" s="228"/>
    </row>
    <row r="66" spans="1:12" ht="15" customHeight="1" x14ac:dyDescent="0.25">
      <c r="A66" s="228"/>
      <c r="B66" s="228"/>
      <c r="C66" s="228"/>
      <c r="D66" s="228"/>
      <c r="E66" s="228"/>
      <c r="F66" s="228"/>
      <c r="G66" s="228"/>
      <c r="H66" s="228"/>
      <c r="I66" s="237"/>
      <c r="J66" s="228"/>
      <c r="K66" s="228"/>
      <c r="L66" s="228"/>
    </row>
    <row r="67" spans="1:12" ht="15" customHeight="1" x14ac:dyDescent="0.25">
      <c r="A67" s="228"/>
      <c r="B67" s="228"/>
      <c r="C67" s="228"/>
      <c r="D67" s="228"/>
      <c r="E67" s="228"/>
      <c r="F67" s="228"/>
      <c r="G67" s="228"/>
      <c r="H67" s="228"/>
      <c r="I67" s="237"/>
      <c r="J67" s="228"/>
      <c r="K67" s="228"/>
      <c r="L67" s="228"/>
    </row>
    <row r="68" spans="1:12" ht="15" customHeight="1" x14ac:dyDescent="0.25">
      <c r="A68" s="228"/>
      <c r="B68" s="228"/>
      <c r="C68" s="228"/>
      <c r="D68" s="228"/>
      <c r="E68" s="228"/>
      <c r="F68" s="228"/>
      <c r="G68" s="228"/>
      <c r="H68" s="228"/>
      <c r="I68" s="237"/>
      <c r="J68" s="228"/>
      <c r="K68" s="228"/>
      <c r="L68" s="228"/>
    </row>
    <row r="69" spans="1:12" ht="15" customHeight="1" x14ac:dyDescent="0.25">
      <c r="A69" s="228"/>
      <c r="B69" s="228"/>
      <c r="C69" s="228"/>
      <c r="D69" s="228"/>
      <c r="E69" s="228"/>
      <c r="F69" s="228"/>
      <c r="G69" s="228"/>
      <c r="H69" s="228"/>
      <c r="I69" s="237"/>
      <c r="J69" s="228"/>
      <c r="K69" s="228"/>
      <c r="L69" s="228"/>
    </row>
    <row r="70" spans="1:12" ht="15" customHeight="1" x14ac:dyDescent="0.25">
      <c r="A70" s="228"/>
      <c r="B70" s="228"/>
      <c r="C70" s="228"/>
      <c r="D70" s="228"/>
      <c r="E70" s="228"/>
      <c r="F70" s="228"/>
      <c r="G70" s="228"/>
      <c r="H70" s="228"/>
      <c r="I70" s="237"/>
      <c r="J70" s="228"/>
      <c r="K70" s="228"/>
      <c r="L70" s="228"/>
    </row>
    <row r="71" spans="1:12" ht="15" customHeight="1" x14ac:dyDescent="0.25">
      <c r="A71" s="228"/>
      <c r="B71" s="228"/>
      <c r="C71" s="228"/>
      <c r="D71" s="228"/>
      <c r="E71" s="228"/>
      <c r="F71" s="228"/>
      <c r="G71" s="228"/>
      <c r="H71" s="228"/>
      <c r="I71" s="237"/>
      <c r="J71" s="228"/>
      <c r="K71" s="228"/>
      <c r="L71" s="228"/>
    </row>
    <row r="72" spans="1:12" ht="15" customHeight="1" x14ac:dyDescent="0.25">
      <c r="A72" s="228"/>
      <c r="B72" s="228"/>
      <c r="C72" s="228"/>
      <c r="D72" s="228"/>
      <c r="E72" s="228"/>
      <c r="F72" s="228"/>
      <c r="G72" s="228"/>
      <c r="H72" s="228"/>
      <c r="I72" s="237"/>
      <c r="J72" s="228"/>
      <c r="K72" s="228"/>
      <c r="L72" s="228"/>
    </row>
    <row r="73" spans="1:12" ht="15" customHeight="1" x14ac:dyDescent="0.25">
      <c r="A73" s="228"/>
      <c r="B73" s="228"/>
      <c r="C73" s="228"/>
      <c r="D73" s="228"/>
      <c r="E73" s="228"/>
      <c r="F73" s="228"/>
      <c r="G73" s="228"/>
      <c r="H73" s="228"/>
      <c r="I73" s="237"/>
      <c r="J73" s="228"/>
      <c r="K73" s="228"/>
      <c r="L73" s="228"/>
    </row>
    <row r="74" spans="1:12" ht="15" customHeight="1" x14ac:dyDescent="0.25">
      <c r="A74" s="228"/>
      <c r="B74" s="228"/>
      <c r="C74" s="228"/>
      <c r="D74" s="228"/>
      <c r="E74" s="228"/>
      <c r="F74" s="228"/>
      <c r="G74" s="228"/>
      <c r="H74" s="228"/>
      <c r="I74" s="237"/>
      <c r="J74" s="228"/>
      <c r="K74" s="228"/>
      <c r="L74" s="228"/>
    </row>
    <row r="75" spans="1:12" ht="15" customHeight="1" x14ac:dyDescent="0.25">
      <c r="A75" s="228"/>
      <c r="B75" s="228"/>
      <c r="C75" s="228"/>
      <c r="D75" s="228"/>
      <c r="E75" s="228"/>
      <c r="F75" s="228"/>
      <c r="G75" s="228"/>
      <c r="H75" s="228"/>
      <c r="I75" s="237"/>
      <c r="J75" s="228"/>
      <c r="K75" s="228"/>
      <c r="L75" s="228"/>
    </row>
    <row r="76" spans="1:12" ht="15" customHeight="1" x14ac:dyDescent="0.25">
      <c r="A76" s="228"/>
      <c r="B76" s="228"/>
      <c r="C76" s="228"/>
      <c r="D76" s="228"/>
      <c r="E76" s="228"/>
      <c r="F76" s="228"/>
      <c r="G76" s="228"/>
      <c r="H76" s="228"/>
      <c r="I76" s="237"/>
      <c r="J76" s="228"/>
      <c r="K76" s="228"/>
      <c r="L76" s="228"/>
    </row>
    <row r="77" spans="1:12" ht="15" customHeight="1" x14ac:dyDescent="0.25">
      <c r="A77" s="228"/>
      <c r="B77" s="228"/>
      <c r="C77" s="228"/>
      <c r="D77" s="228"/>
      <c r="E77" s="228"/>
      <c r="F77" s="228"/>
      <c r="G77" s="228"/>
      <c r="H77" s="228"/>
      <c r="I77" s="237"/>
      <c r="J77" s="228"/>
      <c r="K77" s="228"/>
      <c r="L77" s="228"/>
    </row>
    <row r="78" spans="1:12" ht="15" customHeight="1" x14ac:dyDescent="0.25">
      <c r="A78" s="228"/>
      <c r="B78" s="228"/>
      <c r="C78" s="228"/>
      <c r="D78" s="228"/>
      <c r="E78" s="228"/>
      <c r="F78" s="228"/>
      <c r="G78" s="228"/>
      <c r="H78" s="228"/>
      <c r="I78" s="237"/>
      <c r="J78" s="228"/>
      <c r="K78" s="228"/>
      <c r="L78" s="228"/>
    </row>
    <row r="79" spans="1:12" ht="15" customHeight="1" x14ac:dyDescent="0.25">
      <c r="A79" s="228"/>
      <c r="B79" s="228"/>
      <c r="C79" s="228"/>
      <c r="D79" s="228"/>
      <c r="E79" s="228"/>
      <c r="F79" s="228"/>
      <c r="G79" s="228"/>
      <c r="H79" s="228"/>
      <c r="I79" s="237"/>
      <c r="J79" s="228"/>
      <c r="K79" s="228"/>
      <c r="L79" s="228"/>
    </row>
    <row r="80" spans="1:12" ht="15" customHeight="1" x14ac:dyDescent="0.25">
      <c r="A80" s="228"/>
      <c r="B80" s="228"/>
      <c r="C80" s="228"/>
      <c r="D80" s="228"/>
      <c r="E80" s="228"/>
      <c r="F80" s="228"/>
      <c r="G80" s="228"/>
      <c r="H80" s="228"/>
      <c r="I80" s="237"/>
      <c r="J80" s="228"/>
      <c r="K80" s="228"/>
      <c r="L80" s="228"/>
    </row>
    <row r="81" spans="1:12" ht="15" customHeight="1" x14ac:dyDescent="0.25">
      <c r="A81" s="228"/>
      <c r="B81" s="228"/>
      <c r="C81" s="228"/>
      <c r="D81" s="228"/>
      <c r="E81" s="228"/>
      <c r="F81" s="228"/>
      <c r="G81" s="228"/>
      <c r="H81" s="228"/>
      <c r="I81" s="237"/>
      <c r="J81" s="228"/>
      <c r="K81" s="228"/>
      <c r="L81" s="228"/>
    </row>
    <row r="82" spans="1:12" ht="15" customHeight="1" x14ac:dyDescent="0.25">
      <c r="A82" s="228"/>
      <c r="B82" s="228"/>
      <c r="C82" s="228"/>
      <c r="D82" s="228"/>
      <c r="E82" s="228"/>
      <c r="F82" s="228"/>
      <c r="G82" s="228"/>
      <c r="H82" s="228"/>
      <c r="I82" s="237"/>
      <c r="J82" s="228"/>
      <c r="K82" s="228"/>
      <c r="L82" s="228"/>
    </row>
    <row r="83" spans="1:12" ht="15" customHeight="1" x14ac:dyDescent="0.25">
      <c r="A83" s="228"/>
      <c r="B83" s="228"/>
      <c r="C83" s="228"/>
      <c r="D83" s="228"/>
      <c r="E83" s="228"/>
      <c r="F83" s="228"/>
      <c r="G83" s="228"/>
      <c r="H83" s="228"/>
      <c r="I83" s="237"/>
      <c r="J83" s="228"/>
      <c r="K83" s="228"/>
      <c r="L83" s="228"/>
    </row>
    <row r="84" spans="1:12" ht="15" customHeight="1" x14ac:dyDescent="0.25">
      <c r="A84" s="228"/>
      <c r="B84" s="228"/>
      <c r="C84" s="228"/>
      <c r="D84" s="228"/>
      <c r="E84" s="228"/>
      <c r="F84" s="228"/>
      <c r="G84" s="228"/>
      <c r="H84" s="228"/>
      <c r="I84" s="237"/>
      <c r="J84" s="228"/>
      <c r="K84" s="228"/>
      <c r="L84" s="228"/>
    </row>
    <row r="85" spans="1:12" ht="15" customHeight="1" x14ac:dyDescent="0.25">
      <c r="A85" s="228"/>
      <c r="B85" s="228"/>
      <c r="C85" s="228"/>
      <c r="D85" s="228"/>
      <c r="E85" s="228"/>
      <c r="F85" s="228"/>
      <c r="G85" s="228"/>
      <c r="H85" s="228"/>
      <c r="I85" s="237"/>
      <c r="J85" s="228"/>
      <c r="K85" s="228"/>
      <c r="L85" s="228"/>
    </row>
    <row r="86" spans="1:12" ht="15" customHeight="1" x14ac:dyDescent="0.25">
      <c r="A86" s="228"/>
      <c r="B86" s="228"/>
      <c r="C86" s="228"/>
      <c r="D86" s="228"/>
      <c r="E86" s="228"/>
      <c r="F86" s="228"/>
      <c r="G86" s="228"/>
      <c r="H86" s="228"/>
      <c r="I86" s="237"/>
      <c r="J86" s="228"/>
      <c r="K86" s="228"/>
      <c r="L86" s="228"/>
    </row>
    <row r="87" spans="1:12" ht="15" customHeight="1" x14ac:dyDescent="0.25">
      <c r="A87" s="228"/>
      <c r="B87" s="228"/>
      <c r="C87" s="228"/>
      <c r="D87" s="228"/>
      <c r="E87" s="228"/>
      <c r="F87" s="228"/>
      <c r="G87" s="228"/>
      <c r="H87" s="228"/>
      <c r="I87" s="237"/>
      <c r="J87" s="228"/>
      <c r="K87" s="228"/>
      <c r="L87" s="228"/>
    </row>
    <row r="88" spans="1:12" ht="15" customHeight="1" x14ac:dyDescent="0.25">
      <c r="A88" s="228"/>
      <c r="B88" s="228"/>
      <c r="C88" s="228"/>
      <c r="D88" s="228"/>
      <c r="E88" s="228"/>
      <c r="F88" s="228"/>
      <c r="G88" s="228"/>
      <c r="H88" s="228"/>
      <c r="I88" s="237"/>
      <c r="J88" s="228"/>
      <c r="K88" s="228"/>
      <c r="L88" s="228"/>
    </row>
    <row r="89" spans="1:12" ht="15" customHeight="1" x14ac:dyDescent="0.25">
      <c r="A89" s="228"/>
      <c r="B89" s="228"/>
      <c r="C89" s="228"/>
      <c r="D89" s="228"/>
      <c r="E89" s="228"/>
      <c r="F89" s="228"/>
      <c r="G89" s="228"/>
      <c r="H89" s="228"/>
      <c r="I89" s="237"/>
      <c r="J89" s="228"/>
      <c r="K89" s="228"/>
      <c r="L89" s="228"/>
    </row>
    <row r="90" spans="1:12" ht="15" customHeight="1" x14ac:dyDescent="0.25">
      <c r="A90" s="228"/>
      <c r="B90" s="228"/>
      <c r="C90" s="228"/>
      <c r="D90" s="228"/>
      <c r="E90" s="228"/>
      <c r="F90" s="228"/>
      <c r="G90" s="228"/>
      <c r="H90" s="228"/>
      <c r="I90" s="237"/>
      <c r="J90" s="228"/>
      <c r="K90" s="228"/>
      <c r="L90" s="228"/>
    </row>
    <row r="91" spans="1:12" ht="15" customHeight="1" x14ac:dyDescent="0.25">
      <c r="A91" s="228"/>
      <c r="B91" s="228"/>
      <c r="C91" s="228"/>
      <c r="D91" s="228"/>
      <c r="E91" s="228"/>
      <c r="F91" s="228"/>
      <c r="G91" s="228"/>
      <c r="H91" s="228"/>
      <c r="I91" s="237"/>
      <c r="J91" s="228"/>
      <c r="K91" s="228"/>
      <c r="L91" s="228"/>
    </row>
    <row r="92" spans="1:12" ht="15" customHeight="1" x14ac:dyDescent="0.25">
      <c r="A92" s="228"/>
      <c r="B92" s="228"/>
      <c r="C92" s="228"/>
      <c r="D92" s="228"/>
      <c r="E92" s="228"/>
      <c r="F92" s="228"/>
      <c r="G92" s="228"/>
      <c r="H92" s="228"/>
      <c r="I92" s="237"/>
      <c r="J92" s="228"/>
      <c r="K92" s="228"/>
      <c r="L92" s="228"/>
    </row>
    <row r="93" spans="1:12" ht="15" customHeight="1" x14ac:dyDescent="0.25">
      <c r="A93" s="228"/>
      <c r="B93" s="228"/>
      <c r="C93" s="228"/>
      <c r="D93" s="228"/>
      <c r="E93" s="228"/>
      <c r="F93" s="228"/>
      <c r="G93" s="228"/>
      <c r="H93" s="228"/>
      <c r="I93" s="237"/>
      <c r="J93" s="228"/>
      <c r="K93" s="228"/>
      <c r="L93" s="228"/>
    </row>
    <row r="94" spans="1:12" ht="15" customHeight="1" x14ac:dyDescent="0.25">
      <c r="A94" s="228"/>
      <c r="B94" s="228"/>
      <c r="C94" s="228"/>
      <c r="D94" s="228"/>
      <c r="E94" s="228"/>
      <c r="F94" s="228"/>
      <c r="G94" s="228"/>
      <c r="H94" s="228"/>
      <c r="I94" s="237"/>
      <c r="J94" s="228"/>
      <c r="K94" s="228"/>
      <c r="L94" s="228"/>
    </row>
    <row r="95" spans="1:12" ht="15" customHeight="1" x14ac:dyDescent="0.25">
      <c r="A95" s="228"/>
      <c r="B95" s="228"/>
      <c r="C95" s="228"/>
      <c r="D95" s="228"/>
      <c r="E95" s="228"/>
      <c r="F95" s="228"/>
      <c r="G95" s="228"/>
      <c r="H95" s="228"/>
      <c r="I95" s="237"/>
      <c r="J95" s="228"/>
      <c r="K95" s="228"/>
      <c r="L95" s="228"/>
    </row>
    <row r="96" spans="1:12" ht="15" customHeight="1" x14ac:dyDescent="0.25">
      <c r="A96" s="228"/>
      <c r="B96" s="228"/>
      <c r="C96" s="228"/>
      <c r="D96" s="228"/>
      <c r="E96" s="228"/>
      <c r="F96" s="228"/>
      <c r="G96" s="228"/>
      <c r="H96" s="228"/>
      <c r="I96" s="237"/>
      <c r="J96" s="228"/>
      <c r="K96" s="228"/>
      <c r="L96" s="228"/>
    </row>
    <row r="97" spans="1:12" ht="15" customHeight="1" x14ac:dyDescent="0.25">
      <c r="A97" s="228"/>
      <c r="B97" s="228"/>
      <c r="C97" s="228"/>
      <c r="D97" s="228"/>
      <c r="E97" s="228"/>
      <c r="F97" s="228"/>
      <c r="G97" s="228"/>
      <c r="H97" s="228"/>
      <c r="I97" s="237"/>
      <c r="J97" s="228"/>
      <c r="K97" s="228"/>
      <c r="L97" s="228"/>
    </row>
    <row r="98" spans="1:12" ht="15" customHeight="1" x14ac:dyDescent="0.25">
      <c r="A98" s="228"/>
      <c r="B98" s="228"/>
      <c r="C98" s="228"/>
      <c r="D98" s="228"/>
      <c r="E98" s="228"/>
      <c r="F98" s="228"/>
      <c r="G98" s="228"/>
      <c r="H98" s="228"/>
      <c r="I98" s="237"/>
      <c r="J98" s="228"/>
      <c r="K98" s="228"/>
      <c r="L98" s="228"/>
    </row>
    <row r="99" spans="1:12" ht="15" customHeight="1" x14ac:dyDescent="0.25">
      <c r="A99" s="228"/>
      <c r="B99" s="228"/>
      <c r="C99" s="228"/>
      <c r="D99" s="228"/>
      <c r="E99" s="228"/>
      <c r="F99" s="228"/>
      <c r="G99" s="228"/>
      <c r="H99" s="228"/>
      <c r="I99" s="237"/>
      <c r="J99" s="228"/>
      <c r="K99" s="228"/>
      <c r="L99" s="228"/>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03" t="s">
        <v>597</v>
      </c>
      <c r="B1" s="300"/>
      <c r="C1" s="300"/>
      <c r="D1" s="300"/>
      <c r="E1" s="300"/>
      <c r="F1" s="300"/>
      <c r="G1" s="300"/>
    </row>
    <row r="2" spans="1:7" ht="27.95" customHeight="1" x14ac:dyDescent="0.25">
      <c r="A2" s="159" t="s">
        <v>598</v>
      </c>
      <c r="B2" s="159" t="s">
        <v>599</v>
      </c>
      <c r="C2" s="159" t="s">
        <v>600</v>
      </c>
      <c r="D2" s="159" t="s">
        <v>601</v>
      </c>
      <c r="E2" s="159" t="s">
        <v>602</v>
      </c>
      <c r="F2" s="159" t="s">
        <v>32</v>
      </c>
      <c r="G2" s="159" t="s">
        <v>603</v>
      </c>
    </row>
    <row r="3" spans="1:7" ht="285" customHeight="1" x14ac:dyDescent="0.25">
      <c r="A3" s="160" t="s">
        <v>604</v>
      </c>
      <c r="B3" s="161" t="s">
        <v>605</v>
      </c>
      <c r="C3" s="162" t="s">
        <v>606</v>
      </c>
      <c r="D3" s="163" t="s">
        <v>607</v>
      </c>
      <c r="E3" s="164" t="s">
        <v>608</v>
      </c>
      <c r="F3" s="165" t="s">
        <v>609</v>
      </c>
      <c r="G3" s="166" t="s">
        <v>610</v>
      </c>
    </row>
    <row r="4" spans="1:7" ht="225" customHeight="1" x14ac:dyDescent="0.25">
      <c r="A4" s="167" t="s">
        <v>611</v>
      </c>
      <c r="B4" s="168" t="s">
        <v>605</v>
      </c>
      <c r="C4" s="169" t="s">
        <v>612</v>
      </c>
      <c r="D4" s="170" t="s">
        <v>613</v>
      </c>
      <c r="E4" s="171" t="s">
        <v>614</v>
      </c>
      <c r="F4" s="165" t="s">
        <v>609</v>
      </c>
      <c r="G4" s="166" t="s">
        <v>610</v>
      </c>
    </row>
    <row r="5" spans="1:7" ht="255" customHeight="1" x14ac:dyDescent="0.25">
      <c r="A5" s="160" t="s">
        <v>615</v>
      </c>
      <c r="B5" s="161" t="s">
        <v>605</v>
      </c>
      <c r="C5" s="162" t="s">
        <v>616</v>
      </c>
      <c r="D5" s="163" t="s">
        <v>617</v>
      </c>
      <c r="E5" s="164" t="s">
        <v>618</v>
      </c>
      <c r="F5" s="165" t="s">
        <v>609</v>
      </c>
      <c r="G5" s="166" t="s">
        <v>619</v>
      </c>
    </row>
    <row r="6" spans="1:7" ht="255" customHeight="1" x14ac:dyDescent="0.25">
      <c r="A6" s="167" t="s">
        <v>620</v>
      </c>
      <c r="B6" s="168" t="s">
        <v>605</v>
      </c>
      <c r="C6" s="169" t="s">
        <v>621</v>
      </c>
      <c r="D6" s="170" t="s">
        <v>622</v>
      </c>
      <c r="E6" s="171" t="s">
        <v>623</v>
      </c>
      <c r="F6" s="165" t="s">
        <v>609</v>
      </c>
      <c r="G6" s="172" t="s">
        <v>624</v>
      </c>
    </row>
    <row r="7" spans="1:7" ht="255" customHeight="1" x14ac:dyDescent="0.25">
      <c r="A7" s="160" t="s">
        <v>625</v>
      </c>
      <c r="B7" s="161" t="s">
        <v>605</v>
      </c>
      <c r="C7" s="162" t="s">
        <v>626</v>
      </c>
      <c r="D7" s="163" t="s">
        <v>627</v>
      </c>
      <c r="E7" s="164" t="s">
        <v>628</v>
      </c>
      <c r="F7" s="165" t="s">
        <v>609</v>
      </c>
      <c r="G7" s="172" t="s">
        <v>629</v>
      </c>
    </row>
    <row r="8" spans="1:7" ht="240" customHeight="1" x14ac:dyDescent="0.25">
      <c r="A8" s="167" t="s">
        <v>630</v>
      </c>
      <c r="B8" s="168" t="s">
        <v>631</v>
      </c>
      <c r="C8" s="169" t="s">
        <v>632</v>
      </c>
      <c r="D8" s="170" t="s">
        <v>633</v>
      </c>
      <c r="E8" s="171" t="s">
        <v>634</v>
      </c>
      <c r="F8" s="165" t="s">
        <v>609</v>
      </c>
      <c r="G8" s="166" t="s">
        <v>635</v>
      </c>
    </row>
    <row r="9" spans="1:7" ht="270" customHeight="1" x14ac:dyDescent="0.25">
      <c r="A9" s="160" t="s">
        <v>636</v>
      </c>
      <c r="B9" s="161" t="s">
        <v>631</v>
      </c>
      <c r="C9" s="162" t="s">
        <v>637</v>
      </c>
      <c r="D9" s="163" t="s">
        <v>638</v>
      </c>
      <c r="E9" s="164" t="s">
        <v>639</v>
      </c>
      <c r="F9" s="165" t="s">
        <v>609</v>
      </c>
      <c r="G9" s="166" t="s">
        <v>640</v>
      </c>
    </row>
    <row r="10" spans="1:7" ht="270" customHeight="1" x14ac:dyDescent="0.25">
      <c r="A10" s="167" t="s">
        <v>641</v>
      </c>
      <c r="B10" s="168" t="s">
        <v>631</v>
      </c>
      <c r="C10" s="169" t="s">
        <v>642</v>
      </c>
      <c r="D10" s="170" t="s">
        <v>643</v>
      </c>
      <c r="E10" s="171" t="s">
        <v>644</v>
      </c>
      <c r="F10" s="165" t="s">
        <v>609</v>
      </c>
      <c r="G10" s="166" t="s">
        <v>619</v>
      </c>
    </row>
    <row r="11" spans="1:7" ht="240" customHeight="1" x14ac:dyDescent="0.25">
      <c r="A11" s="160" t="s">
        <v>645</v>
      </c>
      <c r="B11" s="161" t="s">
        <v>646</v>
      </c>
      <c r="C11" s="162" t="s">
        <v>647</v>
      </c>
      <c r="D11" s="163" t="s">
        <v>648</v>
      </c>
      <c r="E11" s="164" t="s">
        <v>649</v>
      </c>
      <c r="F11" s="165" t="s">
        <v>609</v>
      </c>
      <c r="G11" s="166" t="s">
        <v>650</v>
      </c>
    </row>
    <row r="12" spans="1:7" ht="240" customHeight="1" x14ac:dyDescent="0.25">
      <c r="A12" s="167" t="s">
        <v>651</v>
      </c>
      <c r="B12" s="168" t="s">
        <v>646</v>
      </c>
      <c r="C12" s="169" t="s">
        <v>652</v>
      </c>
      <c r="D12" s="170" t="s">
        <v>653</v>
      </c>
      <c r="E12" s="171" t="s">
        <v>654</v>
      </c>
      <c r="F12" s="165" t="s">
        <v>609</v>
      </c>
      <c r="G12" s="166" t="s">
        <v>655</v>
      </c>
    </row>
    <row r="13" spans="1:7" ht="240" customHeight="1" x14ac:dyDescent="0.25">
      <c r="A13" s="160" t="s">
        <v>656</v>
      </c>
      <c r="B13" s="161" t="s">
        <v>646</v>
      </c>
      <c r="C13" s="162" t="s">
        <v>657</v>
      </c>
      <c r="D13" s="163" t="s">
        <v>658</v>
      </c>
      <c r="E13" s="164" t="s">
        <v>659</v>
      </c>
      <c r="F13" s="165" t="s">
        <v>609</v>
      </c>
      <c r="G13" s="172" t="s">
        <v>660</v>
      </c>
    </row>
    <row r="14" spans="1:7" ht="375" customHeight="1" x14ac:dyDescent="0.25">
      <c r="A14" s="167" t="s">
        <v>661</v>
      </c>
      <c r="B14" s="168" t="s">
        <v>662</v>
      </c>
      <c r="C14" s="169" t="s">
        <v>663</v>
      </c>
      <c r="D14" s="170" t="s">
        <v>664</v>
      </c>
      <c r="E14" s="171" t="s">
        <v>665</v>
      </c>
      <c r="F14" s="165" t="s">
        <v>609</v>
      </c>
      <c r="G14" s="172" t="s">
        <v>666</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2026-09-12T06:31:47Z</dcterms:modified>
  <cp:category>Operations</cp:category>
  <dc:language>en-US</dc:language>
</cp:coreProperties>
</file>