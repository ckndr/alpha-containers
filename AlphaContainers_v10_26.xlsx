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lpha\"/>
    </mc:Choice>
  </mc:AlternateContent>
  <xr:revisionPtr revIDLastSave="0" documentId="13_ncr:1_{94668D51-B5F2-4797-AF41-1EDFDCF60BF5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Tubex_Dashboard" sheetId="1" r:id="rId1"/>
    <sheet name="MRP" sheetId="2" r:id="rId2"/>
    <sheet name="BOM" sheetId="3" r:id="rId3"/>
    <sheet name="Inventory" sheetId="4" r:id="rId4"/>
    <sheet name="Product_Catalog" sheetId="5" r:id="rId5"/>
    <sheet name="Production_Log" sheetId="6" r:id="rId6"/>
    <sheet name="BOM Issues" sheetId="7" r:id="rId7"/>
    <sheet name="FG Stock" sheetId="8" r:id="rId8"/>
    <sheet name="Notes &amp; Guide" sheetId="9" r:id="rId9"/>
  </sheets>
  <definedNames>
    <definedName name="_xlnm._FilterDatabase" localSheetId="6" hidden="1">'BOM Issues'!$A$52:$J$64</definedName>
    <definedName name="_xlnm._FilterDatabase" localSheetId="1" hidden="1">MRP!$A$15:$J$98</definedName>
    <definedName name="_xlnm._FilterDatabase" localSheetId="4" hidden="1">Product_Catalog!$A$2:$P$53</definedName>
    <definedName name="_xlnm._FilterDatabase" localSheetId="5" hidden="1">Production_Log!$A$2:$S$80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2" i="6" l="1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113" i="4"/>
  <c r="H112" i="4"/>
  <c r="H111" i="4"/>
  <c r="J110" i="4"/>
  <c r="H110" i="4"/>
  <c r="J109" i="4"/>
  <c r="H109" i="4"/>
  <c r="J108" i="4"/>
  <c r="H108" i="4"/>
  <c r="H107" i="4"/>
  <c r="J107" i="4" s="1"/>
  <c r="J106" i="4"/>
  <c r="H106" i="4"/>
  <c r="J105" i="4"/>
  <c r="H105" i="4"/>
  <c r="H104" i="4"/>
  <c r="J103" i="4"/>
  <c r="H103" i="4"/>
  <c r="J102" i="4"/>
  <c r="H102" i="4"/>
  <c r="H101" i="4"/>
  <c r="J100" i="4"/>
  <c r="H100" i="4"/>
  <c r="J99" i="4"/>
  <c r="H99" i="4"/>
  <c r="H98" i="4"/>
  <c r="J94" i="4"/>
  <c r="H94" i="4"/>
  <c r="H133" i="2" s="1"/>
  <c r="J93" i="4"/>
  <c r="H93" i="4"/>
  <c r="H137" i="2" s="1"/>
  <c r="J92" i="4"/>
  <c r="H92" i="4"/>
  <c r="H138" i="2" s="1"/>
  <c r="J91" i="4"/>
  <c r="H91" i="4"/>
  <c r="H130" i="2" s="1"/>
  <c r="H90" i="4"/>
  <c r="J90" i="4" s="1"/>
  <c r="J89" i="4"/>
  <c r="H89" i="4"/>
  <c r="H135" i="2" s="1"/>
  <c r="J88" i="4"/>
  <c r="H88" i="4"/>
  <c r="H125" i="2" s="1"/>
  <c r="J87" i="4"/>
  <c r="H87" i="4"/>
  <c r="H136" i="2" s="1"/>
  <c r="J86" i="4"/>
  <c r="H86" i="4"/>
  <c r="J85" i="4"/>
  <c r="H85" i="4"/>
  <c r="J84" i="4"/>
  <c r="H84" i="4"/>
  <c r="H83" i="4"/>
  <c r="J82" i="4"/>
  <c r="H82" i="4"/>
  <c r="H126" i="2" s="1"/>
  <c r="H81" i="4"/>
  <c r="J80" i="4"/>
  <c r="H80" i="4"/>
  <c r="J79" i="4"/>
  <c r="H79" i="4"/>
  <c r="H128" i="2" s="1"/>
  <c r="H78" i="4"/>
  <c r="J77" i="4"/>
  <c r="H77" i="4"/>
  <c r="H131" i="2" s="1"/>
  <c r="J76" i="4"/>
  <c r="H76" i="4"/>
  <c r="H124" i="2" s="1"/>
  <c r="J75" i="4"/>
  <c r="H75" i="4"/>
  <c r="J74" i="4"/>
  <c r="H74" i="4"/>
  <c r="J73" i="4"/>
  <c r="H73" i="4"/>
  <c r="H129" i="2" s="1"/>
  <c r="J72" i="4"/>
  <c r="H72" i="4"/>
  <c r="J71" i="4"/>
  <c r="H71" i="4"/>
  <c r="J70" i="4"/>
  <c r="H70" i="4"/>
  <c r="J69" i="4"/>
  <c r="H69" i="4"/>
  <c r="J68" i="4"/>
  <c r="H68" i="4"/>
  <c r="J67" i="4"/>
  <c r="H67" i="4"/>
  <c r="J66" i="4"/>
  <c r="H66" i="4"/>
  <c r="H65" i="4"/>
  <c r="J65" i="4" s="1"/>
  <c r="H64" i="4"/>
  <c r="J64" i="4" s="1"/>
  <c r="H63" i="4"/>
  <c r="H62" i="4"/>
  <c r="H61" i="4"/>
  <c r="J61" i="4" s="1"/>
  <c r="H60" i="4"/>
  <c r="J60" i="4" s="1"/>
  <c r="H59" i="4"/>
  <c r="J59" i="4" s="1"/>
  <c r="H58" i="4"/>
  <c r="J58" i="4" s="1"/>
  <c r="H57" i="4"/>
  <c r="J57" i="4" s="1"/>
  <c r="H56" i="4"/>
  <c r="J56" i="4" s="1"/>
  <c r="H55" i="4"/>
  <c r="J55" i="4" s="1"/>
  <c r="J54" i="4"/>
  <c r="H54" i="4"/>
  <c r="J53" i="4"/>
  <c r="H53" i="4"/>
  <c r="H52" i="4"/>
  <c r="J52" i="4" s="1"/>
  <c r="H51" i="4"/>
  <c r="J51" i="4" s="1"/>
  <c r="H50" i="4"/>
  <c r="J50" i="4" s="1"/>
  <c r="H49" i="4"/>
  <c r="J49" i="4" s="1"/>
  <c r="H48" i="4"/>
  <c r="J48" i="4" s="1"/>
  <c r="J47" i="4"/>
  <c r="H47" i="4"/>
  <c r="H46" i="4"/>
  <c r="J46" i="4" s="1"/>
  <c r="H45" i="4"/>
  <c r="J45" i="4" s="1"/>
  <c r="H44" i="4"/>
  <c r="J44" i="4" s="1"/>
  <c r="J43" i="4"/>
  <c r="H43" i="4"/>
  <c r="J42" i="4"/>
  <c r="H42" i="4"/>
  <c r="J41" i="4"/>
  <c r="H41" i="4"/>
  <c r="F58" i="2" s="1"/>
  <c r="J40" i="4"/>
  <c r="H40" i="4"/>
  <c r="F57" i="2" s="1"/>
  <c r="H39" i="4"/>
  <c r="J38" i="4"/>
  <c r="H38" i="4"/>
  <c r="F55" i="2" s="1"/>
  <c r="H37" i="4"/>
  <c r="H36" i="4"/>
  <c r="J35" i="4"/>
  <c r="H35" i="4"/>
  <c r="F52" i="2" s="1"/>
  <c r="J34" i="4"/>
  <c r="H34" i="4"/>
  <c r="F51" i="2" s="1"/>
  <c r="J33" i="4"/>
  <c r="H33" i="4"/>
  <c r="F50" i="2" s="1"/>
  <c r="H32" i="4"/>
  <c r="H31" i="4"/>
  <c r="J31" i="4" s="1"/>
  <c r="H30" i="4"/>
  <c r="J30" i="4" s="1"/>
  <c r="J29" i="4"/>
  <c r="H29" i="4"/>
  <c r="J28" i="4"/>
  <c r="H28" i="4"/>
  <c r="J27" i="4"/>
  <c r="H27" i="4"/>
  <c r="J26" i="4"/>
  <c r="H26" i="4"/>
  <c r="J25" i="4"/>
  <c r="H25" i="4"/>
  <c r="H24" i="4"/>
  <c r="J24" i="4" s="1"/>
  <c r="J23" i="4"/>
  <c r="H23" i="4"/>
  <c r="H22" i="4"/>
  <c r="J22" i="4" s="1"/>
  <c r="J21" i="4"/>
  <c r="H21" i="4"/>
  <c r="J20" i="4"/>
  <c r="H20" i="4"/>
  <c r="H19" i="4"/>
  <c r="J19" i="4" s="1"/>
  <c r="H18" i="4"/>
  <c r="J18" i="4" s="1"/>
  <c r="H17" i="4"/>
  <c r="J17" i="4" s="1"/>
  <c r="J16" i="4"/>
  <c r="H16" i="4"/>
  <c r="H15" i="4"/>
  <c r="J15" i="4" s="1"/>
  <c r="H14" i="4"/>
  <c r="J14" i="4" s="1"/>
  <c r="J12" i="4"/>
  <c r="H10" i="4"/>
  <c r="J10" i="4" s="1"/>
  <c r="H9" i="4"/>
  <c r="J9" i="4" s="1"/>
  <c r="H8" i="4"/>
  <c r="J8" i="4" s="1"/>
  <c r="H7" i="4"/>
  <c r="J7" i="4" s="1"/>
  <c r="H6" i="4"/>
  <c r="J6" i="4" s="1"/>
  <c r="H5" i="4"/>
  <c r="J5" i="4" s="1"/>
  <c r="H4" i="4"/>
  <c r="J4" i="4" s="1"/>
  <c r="J3" i="4"/>
  <c r="H3" i="4"/>
  <c r="J1" i="4"/>
  <c r="F164" i="2"/>
  <c r="E164" i="2"/>
  <c r="C164" i="2"/>
  <c r="B164" i="2"/>
  <c r="F163" i="2"/>
  <c r="E163" i="2"/>
  <c r="C163" i="2"/>
  <c r="B163" i="2"/>
  <c r="F162" i="2"/>
  <c r="E162" i="2"/>
  <c r="C162" i="2"/>
  <c r="B162" i="2"/>
  <c r="F161" i="2"/>
  <c r="E161" i="2"/>
  <c r="C161" i="2"/>
  <c r="B161" i="2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G148" i="2" s="1"/>
  <c r="F148" i="2"/>
  <c r="H147" i="2"/>
  <c r="I147" i="2" s="1"/>
  <c r="G147" i="2" s="1"/>
  <c r="F147" i="2"/>
  <c r="H146" i="2"/>
  <c r="I146" i="2" s="1"/>
  <c r="G146" i="2" s="1"/>
  <c r="F146" i="2"/>
  <c r="H145" i="2"/>
  <c r="I145" i="2" s="1"/>
  <c r="G145" i="2" s="1"/>
  <c r="F145" i="2"/>
  <c r="H144" i="2"/>
  <c r="I144" i="2" s="1"/>
  <c r="G144" i="2" s="1"/>
  <c r="F144" i="2"/>
  <c r="H143" i="2"/>
  <c r="I143" i="2" s="1"/>
  <c r="G143" i="2" s="1"/>
  <c r="F143" i="2"/>
  <c r="H142" i="2"/>
  <c r="I142" i="2" s="1"/>
  <c r="G142" i="2" s="1"/>
  <c r="F142" i="2"/>
  <c r="H141" i="2"/>
  <c r="I141" i="2" s="1"/>
  <c r="G141" i="2" s="1"/>
  <c r="F141" i="2"/>
  <c r="H140" i="2"/>
  <c r="H139" i="2"/>
  <c r="I139" i="2" s="1"/>
  <c r="G139" i="2" s="1"/>
  <c r="F139" i="2"/>
  <c r="F109" i="2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K98" i="2"/>
  <c r="F98" i="2"/>
  <c r="K97" i="2"/>
  <c r="F97" i="2"/>
  <c r="K96" i="2"/>
  <c r="F96" i="2"/>
  <c r="K95" i="2"/>
  <c r="F95" i="2"/>
  <c r="K94" i="2"/>
  <c r="F94" i="2"/>
  <c r="K93" i="2"/>
  <c r="F93" i="2"/>
  <c r="K92" i="2"/>
  <c r="F92" i="2"/>
  <c r="K91" i="2"/>
  <c r="F91" i="2"/>
  <c r="K90" i="2"/>
  <c r="F90" i="2"/>
  <c r="K89" i="2"/>
  <c r="F89" i="2"/>
  <c r="K88" i="2"/>
  <c r="F88" i="2"/>
  <c r="K87" i="2"/>
  <c r="F87" i="2"/>
  <c r="K86" i="2"/>
  <c r="F86" i="2"/>
  <c r="K85" i="2"/>
  <c r="F85" i="2"/>
  <c r="K84" i="2"/>
  <c r="F84" i="2"/>
  <c r="K83" i="2"/>
  <c r="F83" i="2"/>
  <c r="K82" i="2"/>
  <c r="F82" i="2"/>
  <c r="K81" i="2"/>
  <c r="F81" i="2"/>
  <c r="K80" i="2"/>
  <c r="F80" i="2"/>
  <c r="K79" i="2"/>
  <c r="F79" i="2"/>
  <c r="K78" i="2"/>
  <c r="F78" i="2"/>
  <c r="K77" i="2"/>
  <c r="F77" i="2"/>
  <c r="K76" i="2"/>
  <c r="F76" i="2"/>
  <c r="K75" i="2"/>
  <c r="F75" i="2"/>
  <c r="K74" i="2"/>
  <c r="F74" i="2"/>
  <c r="K73" i="2"/>
  <c r="F73" i="2"/>
  <c r="K72" i="2"/>
  <c r="F72" i="2"/>
  <c r="K71" i="2"/>
  <c r="F71" i="2"/>
  <c r="K70" i="2"/>
  <c r="F70" i="2"/>
  <c r="K69" i="2"/>
  <c r="F69" i="2"/>
  <c r="K68" i="2"/>
  <c r="F68" i="2"/>
  <c r="K67" i="2"/>
  <c r="F67" i="2"/>
  <c r="K66" i="2"/>
  <c r="F66" i="2"/>
  <c r="K65" i="2"/>
  <c r="F65" i="2"/>
  <c r="K64" i="2"/>
  <c r="F64" i="2"/>
  <c r="K63" i="2"/>
  <c r="F63" i="2"/>
  <c r="K62" i="2"/>
  <c r="F62" i="2"/>
  <c r="K61" i="2"/>
  <c r="F61" i="2"/>
  <c r="K60" i="2"/>
  <c r="F60" i="2"/>
  <c r="K59" i="2"/>
  <c r="F59" i="2"/>
  <c r="K58" i="2"/>
  <c r="K50" i="2"/>
  <c r="K49" i="2"/>
  <c r="K48" i="2"/>
  <c r="F48" i="2"/>
  <c r="K47" i="2"/>
  <c r="F47" i="2"/>
  <c r="K46" i="2"/>
  <c r="F46" i="2"/>
  <c r="K45" i="2"/>
  <c r="F45" i="2"/>
  <c r="K44" i="2"/>
  <c r="F44" i="2"/>
  <c r="K43" i="2"/>
  <c r="F43" i="2"/>
  <c r="K42" i="2"/>
  <c r="F42" i="2"/>
  <c r="K41" i="2"/>
  <c r="F41" i="2"/>
  <c r="K40" i="2"/>
  <c r="F40" i="2"/>
  <c r="K39" i="2"/>
  <c r="F39" i="2"/>
  <c r="K38" i="2"/>
  <c r="F38" i="2"/>
  <c r="K37" i="2"/>
  <c r="F37" i="2"/>
  <c r="K36" i="2"/>
  <c r="F36" i="2"/>
  <c r="K35" i="2"/>
  <c r="F35" i="2"/>
  <c r="K34" i="2"/>
  <c r="F34" i="2"/>
  <c r="K33" i="2"/>
  <c r="F33" i="2"/>
  <c r="K32" i="2"/>
  <c r="F32" i="2"/>
  <c r="K31" i="2"/>
  <c r="F31" i="2"/>
  <c r="K30" i="2"/>
  <c r="F30" i="2"/>
  <c r="K29" i="2"/>
  <c r="F29" i="2"/>
  <c r="K28" i="2"/>
  <c r="F28" i="2"/>
  <c r="K27" i="2"/>
  <c r="F27" i="2"/>
  <c r="K26" i="2"/>
  <c r="F26" i="2"/>
  <c r="K25" i="2"/>
  <c r="F25" i="2"/>
  <c r="K24" i="2"/>
  <c r="F24" i="2"/>
  <c r="K23" i="2"/>
  <c r="F23" i="2"/>
  <c r="K22" i="2"/>
  <c r="F22" i="2"/>
  <c r="K21" i="2"/>
  <c r="F21" i="2"/>
  <c r="K20" i="2"/>
  <c r="F20" i="2"/>
  <c r="K19" i="2"/>
  <c r="F19" i="2"/>
  <c r="K18" i="2"/>
  <c r="F18" i="2"/>
  <c r="K17" i="2"/>
  <c r="F17" i="2"/>
  <c r="K16" i="2"/>
  <c r="F16" i="2"/>
  <c r="F13" i="2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1" i="2"/>
  <c r="J61" i="1"/>
  <c r="H61" i="1"/>
  <c r="J60" i="1"/>
  <c r="H60" i="1"/>
  <c r="I61" i="1" s="1"/>
  <c r="J59" i="1"/>
  <c r="H59" i="1"/>
  <c r="I60" i="1" s="1"/>
  <c r="J58" i="1"/>
  <c r="H58" i="1"/>
  <c r="I59" i="1" s="1"/>
  <c r="J57" i="1"/>
  <c r="H57" i="1"/>
  <c r="I58" i="1" s="1"/>
  <c r="J56" i="1"/>
  <c r="H56" i="1"/>
  <c r="I57" i="1" s="1"/>
  <c r="J55" i="1"/>
  <c r="H55" i="1"/>
  <c r="I56" i="1" s="1"/>
  <c r="J54" i="1"/>
  <c r="H54" i="1"/>
  <c r="I55" i="1" s="1"/>
  <c r="J53" i="1"/>
  <c r="H53" i="1"/>
  <c r="I54" i="1" s="1"/>
  <c r="J52" i="1"/>
  <c r="H52" i="1"/>
  <c r="I53" i="1" s="1"/>
  <c r="J51" i="1"/>
  <c r="H51" i="1"/>
  <c r="I52" i="1" s="1"/>
  <c r="J21" i="1"/>
  <c r="H21" i="1"/>
  <c r="I51" i="1" s="1"/>
  <c r="J50" i="1"/>
  <c r="H50" i="1"/>
  <c r="I21" i="1" s="1"/>
  <c r="J49" i="1"/>
  <c r="H49" i="1"/>
  <c r="I50" i="1" s="1"/>
  <c r="J48" i="1"/>
  <c r="H48" i="1"/>
  <c r="I49" i="1" s="1"/>
  <c r="J47" i="1"/>
  <c r="H47" i="1"/>
  <c r="I48" i="1" s="1"/>
  <c r="J46" i="1"/>
  <c r="H46" i="1"/>
  <c r="I47" i="1" s="1"/>
  <c r="J45" i="1"/>
  <c r="H45" i="1"/>
  <c r="I46" i="1" s="1"/>
  <c r="J44" i="1"/>
  <c r="H44" i="1"/>
  <c r="I45" i="1" s="1"/>
  <c r="J43" i="1"/>
  <c r="H43" i="1"/>
  <c r="I44" i="1" s="1"/>
  <c r="J42" i="1"/>
  <c r="H42" i="1"/>
  <c r="I43" i="1" s="1"/>
  <c r="J41" i="1"/>
  <c r="H41" i="1"/>
  <c r="I42" i="1" s="1"/>
  <c r="J40" i="1"/>
  <c r="H40" i="1"/>
  <c r="I41" i="1" s="1"/>
  <c r="J39" i="1"/>
  <c r="H39" i="1"/>
  <c r="I40" i="1" s="1"/>
  <c r="J38" i="1"/>
  <c r="H38" i="1"/>
  <c r="I39" i="1" s="1"/>
  <c r="J12" i="1"/>
  <c r="H12" i="1"/>
  <c r="J37" i="1"/>
  <c r="H37" i="1"/>
  <c r="I37" i="1" s="1"/>
  <c r="J36" i="1"/>
  <c r="H36" i="1"/>
  <c r="I36" i="1" s="1"/>
  <c r="J35" i="1"/>
  <c r="H35" i="1"/>
  <c r="K33" i="1"/>
  <c r="G33" i="1"/>
  <c r="H32" i="1"/>
  <c r="H31" i="1"/>
  <c r="H30" i="1"/>
  <c r="H29" i="1"/>
  <c r="H28" i="1"/>
  <c r="H27" i="1"/>
  <c r="K25" i="1"/>
  <c r="G25" i="1"/>
  <c r="H24" i="1"/>
  <c r="H23" i="1"/>
  <c r="H22" i="1"/>
  <c r="J20" i="1"/>
  <c r="H20" i="1"/>
  <c r="I20" i="1" s="1"/>
  <c r="H19" i="1"/>
  <c r="T18" i="1"/>
  <c r="U18" i="1" s="1"/>
  <c r="H18" i="1"/>
  <c r="T17" i="1"/>
  <c r="U17" i="1" s="1"/>
  <c r="H17" i="1"/>
  <c r="T16" i="1"/>
  <c r="U16" i="1" s="1"/>
  <c r="H16" i="1"/>
  <c r="T15" i="1"/>
  <c r="U15" i="1" s="1"/>
  <c r="H15" i="1"/>
  <c r="J14" i="1"/>
  <c r="H14" i="1"/>
  <c r="I14" i="1" s="1"/>
  <c r="T13" i="1"/>
  <c r="U13" i="1" s="1"/>
  <c r="H13" i="1"/>
  <c r="T11" i="1"/>
  <c r="U11" i="1" s="1"/>
  <c r="H11" i="1"/>
  <c r="T10" i="1"/>
  <c r="U10" i="1" s="1"/>
  <c r="T9" i="1"/>
  <c r="J8" i="1"/>
  <c r="G8" i="1" a="1"/>
  <c r="G8" i="1" s="1"/>
  <c r="B8" i="1"/>
  <c r="J6" i="1"/>
  <c r="G6" i="1" a="1"/>
  <c r="G6" i="1" s="1"/>
  <c r="B6" i="1"/>
  <c r="H3" i="1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K51" i="2" l="1"/>
  <c r="K52" i="2"/>
  <c r="K53" i="2"/>
  <c r="K54" i="2"/>
  <c r="K55" i="2"/>
  <c r="K56" i="2"/>
  <c r="K57" i="2"/>
  <c r="J113" i="4"/>
  <c r="F120" i="2"/>
  <c r="J112" i="4"/>
  <c r="F118" i="2"/>
  <c r="J111" i="4"/>
  <c r="F117" i="2"/>
  <c r="J104" i="4"/>
  <c r="F115" i="2"/>
  <c r="J101" i="4"/>
  <c r="F114" i="2"/>
  <c r="J98" i="4"/>
  <c r="F113" i="2"/>
  <c r="I133" i="2"/>
  <c r="G133" i="2" s="1"/>
  <c r="F133" i="2"/>
  <c r="I137" i="2"/>
  <c r="G137" i="2" s="1"/>
  <c r="F137" i="2"/>
  <c r="I138" i="2"/>
  <c r="G138" i="2" s="1"/>
  <c r="F138" i="2"/>
  <c r="I130" i="2"/>
  <c r="G130" i="2" s="1"/>
  <c r="F130" i="2"/>
  <c r="I135" i="2"/>
  <c r="G135" i="2" s="1"/>
  <c r="F135" i="2"/>
  <c r="I125" i="2"/>
  <c r="G125" i="2" s="1"/>
  <c r="F125" i="2"/>
  <c r="I136" i="2"/>
  <c r="G136" i="2" s="1"/>
  <c r="F136" i="2"/>
  <c r="J83" i="4"/>
  <c r="H132" i="2"/>
  <c r="I126" i="2"/>
  <c r="G126" i="2" s="1"/>
  <c r="F126" i="2"/>
  <c r="J81" i="4"/>
  <c r="H134" i="2"/>
  <c r="I128" i="2"/>
  <c r="G128" i="2" s="1"/>
  <c r="F128" i="2"/>
  <c r="J78" i="4"/>
  <c r="H127" i="2"/>
  <c r="I131" i="2"/>
  <c r="G131" i="2" s="1"/>
  <c r="F131" i="2"/>
  <c r="I124" i="2"/>
  <c r="G124" i="2" s="1"/>
  <c r="F124" i="2"/>
  <c r="I129" i="2"/>
  <c r="G129" i="2" s="1"/>
  <c r="F129" i="2"/>
  <c r="F119" i="2"/>
  <c r="J63" i="4"/>
  <c r="F116" i="2"/>
  <c r="J62" i="4"/>
  <c r="J39" i="4"/>
  <c r="F56" i="2"/>
  <c r="F54" i="2"/>
  <c r="J37" i="4"/>
  <c r="F53" i="2"/>
  <c r="J36" i="4"/>
  <c r="J32" i="4"/>
  <c r="F49" i="2"/>
  <c r="I140" i="2"/>
  <c r="G140" i="2" s="1"/>
  <c r="F140" i="2"/>
  <c r="H103" i="2"/>
  <c r="G109" i="2"/>
  <c r="H3" i="2"/>
  <c r="G13" i="2"/>
  <c r="I38" i="1"/>
  <c r="I12" i="1"/>
  <c r="I35" i="1"/>
  <c r="D6" i="1"/>
  <c r="J32" i="1"/>
  <c r="I32" i="1"/>
  <c r="I31" i="1"/>
  <c r="J31" i="1"/>
  <c r="H33" i="1"/>
  <c r="D8" i="1"/>
  <c r="J30" i="1"/>
  <c r="I30" i="1"/>
  <c r="J29" i="1"/>
  <c r="I29" i="1"/>
  <c r="J28" i="1"/>
  <c r="I28" i="1"/>
  <c r="J27" i="1"/>
  <c r="I27" i="1"/>
  <c r="J24" i="1"/>
  <c r="I24" i="1"/>
  <c r="I23" i="1"/>
  <c r="J23" i="1"/>
  <c r="I22" i="1"/>
  <c r="J22" i="1"/>
  <c r="J19" i="1"/>
  <c r="I19" i="1"/>
  <c r="J18" i="1"/>
  <c r="I18" i="1"/>
  <c r="J17" i="1"/>
  <c r="I17" i="1"/>
  <c r="J16" i="1"/>
  <c r="I16" i="1"/>
  <c r="J15" i="1"/>
  <c r="I15" i="1"/>
  <c r="J13" i="1"/>
  <c r="I13" i="1"/>
  <c r="J11" i="1"/>
  <c r="I11" i="1"/>
  <c r="H25" i="1"/>
  <c r="N15" i="1"/>
  <c r="U9" i="1"/>
  <c r="I25" i="1" l="1"/>
  <c r="E118" i="2"/>
  <c r="E119" i="2"/>
  <c r="E120" i="2"/>
  <c r="I132" i="2"/>
  <c r="G132" i="2" s="1"/>
  <c r="F132" i="2"/>
  <c r="I134" i="2"/>
  <c r="G134" i="2" s="1"/>
  <c r="F134" i="2"/>
  <c r="I127" i="2"/>
  <c r="G127" i="2" s="1"/>
  <c r="F127" i="2"/>
  <c r="L118" i="2"/>
  <c r="L119" i="2"/>
  <c r="L120" i="2"/>
  <c r="H109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E59" i="2"/>
  <c r="H59" i="2"/>
  <c r="I59" i="2"/>
  <c r="E61" i="2"/>
  <c r="H61" i="2"/>
  <c r="I61" i="2"/>
  <c r="E63" i="2"/>
  <c r="H63" i="2"/>
  <c r="I63" i="2"/>
  <c r="E65" i="2"/>
  <c r="H65" i="2"/>
  <c r="I65" i="2"/>
  <c r="E66" i="2"/>
  <c r="H66" i="2"/>
  <c r="I66" i="2"/>
  <c r="E68" i="2"/>
  <c r="H68" i="2"/>
  <c r="I68" i="2"/>
  <c r="E70" i="2"/>
  <c r="H70" i="2"/>
  <c r="I70" i="2"/>
  <c r="E72" i="2"/>
  <c r="H72" i="2"/>
  <c r="I72" i="2"/>
  <c r="E74" i="2"/>
  <c r="H74" i="2"/>
  <c r="I74" i="2"/>
  <c r="E76" i="2"/>
  <c r="H76" i="2"/>
  <c r="I76" i="2"/>
  <c r="E78" i="2"/>
  <c r="H78" i="2"/>
  <c r="I78" i="2"/>
  <c r="E80" i="2"/>
  <c r="H80" i="2"/>
  <c r="I80" i="2"/>
  <c r="E82" i="2"/>
  <c r="H82" i="2"/>
  <c r="I82" i="2"/>
  <c r="E84" i="2"/>
  <c r="H84" i="2"/>
  <c r="I84" i="2"/>
  <c r="E86" i="2"/>
  <c r="H86" i="2"/>
  <c r="I86" i="2"/>
  <c r="E88" i="2"/>
  <c r="H88" i="2"/>
  <c r="I88" i="2"/>
  <c r="E90" i="2"/>
  <c r="H90" i="2"/>
  <c r="I90" i="2"/>
  <c r="E91" i="2"/>
  <c r="H91" i="2"/>
  <c r="I91" i="2"/>
  <c r="E92" i="2"/>
  <c r="H92" i="2"/>
  <c r="I92" i="2"/>
  <c r="E93" i="2"/>
  <c r="H93" i="2"/>
  <c r="I93" i="2"/>
  <c r="E94" i="2"/>
  <c r="H94" i="2"/>
  <c r="I94" i="2"/>
  <c r="E95" i="2"/>
  <c r="H95" i="2"/>
  <c r="I95" i="2"/>
  <c r="E96" i="2"/>
  <c r="H96" i="2"/>
  <c r="I96" i="2"/>
  <c r="E97" i="2"/>
  <c r="H97" i="2"/>
  <c r="I97" i="2"/>
  <c r="E98" i="2"/>
  <c r="H98" i="2"/>
  <c r="I98" i="2"/>
  <c r="I58" i="2"/>
  <c r="E60" i="2"/>
  <c r="H60" i="2"/>
  <c r="I60" i="2"/>
  <c r="E62" i="2"/>
  <c r="H62" i="2"/>
  <c r="I62" i="2"/>
  <c r="E64" i="2"/>
  <c r="H64" i="2"/>
  <c r="I64" i="2"/>
  <c r="E67" i="2"/>
  <c r="H67" i="2"/>
  <c r="I67" i="2"/>
  <c r="E69" i="2"/>
  <c r="H69" i="2"/>
  <c r="I69" i="2"/>
  <c r="E71" i="2"/>
  <c r="H71" i="2"/>
  <c r="I71" i="2"/>
  <c r="E73" i="2"/>
  <c r="H73" i="2"/>
  <c r="I73" i="2"/>
  <c r="E75" i="2"/>
  <c r="H75" i="2"/>
  <c r="I75" i="2"/>
  <c r="E77" i="2"/>
  <c r="H77" i="2"/>
  <c r="I77" i="2"/>
  <c r="E79" i="2"/>
  <c r="H79" i="2"/>
  <c r="I79" i="2"/>
  <c r="E81" i="2"/>
  <c r="H81" i="2"/>
  <c r="I81" i="2"/>
  <c r="E83" i="2"/>
  <c r="H83" i="2"/>
  <c r="I83" i="2"/>
  <c r="E85" i="2"/>
  <c r="H85" i="2"/>
  <c r="I85" i="2"/>
  <c r="E87" i="2"/>
  <c r="H87" i="2"/>
  <c r="I87" i="2"/>
  <c r="E89" i="2"/>
  <c r="H89" i="2"/>
  <c r="I89" i="2"/>
  <c r="H13" i="2"/>
  <c r="E16" i="2"/>
  <c r="H16" i="2"/>
  <c r="I16" i="2"/>
  <c r="E17" i="2"/>
  <c r="H17" i="2"/>
  <c r="I17" i="2"/>
  <c r="E18" i="2"/>
  <c r="H18" i="2"/>
  <c r="I18" i="2"/>
  <c r="E19" i="2"/>
  <c r="H19" i="2"/>
  <c r="I19" i="2"/>
  <c r="E20" i="2"/>
  <c r="H20" i="2"/>
  <c r="I20" i="2"/>
  <c r="E21" i="2"/>
  <c r="H21" i="2"/>
  <c r="I21" i="2"/>
  <c r="E22" i="2"/>
  <c r="H22" i="2"/>
  <c r="I22" i="2"/>
  <c r="E23" i="2"/>
  <c r="H23" i="2"/>
  <c r="I23" i="2"/>
  <c r="E24" i="2"/>
  <c r="H24" i="2"/>
  <c r="I24" i="2"/>
  <c r="E25" i="2"/>
  <c r="H25" i="2"/>
  <c r="I25" i="2"/>
  <c r="E26" i="2"/>
  <c r="H26" i="2"/>
  <c r="I26" i="2"/>
  <c r="E27" i="2"/>
  <c r="H27" i="2"/>
  <c r="I27" i="2"/>
  <c r="E28" i="2"/>
  <c r="H28" i="2"/>
  <c r="I28" i="2"/>
  <c r="E29" i="2"/>
  <c r="H29" i="2"/>
  <c r="I29" i="2"/>
  <c r="E30" i="2"/>
  <c r="H30" i="2"/>
  <c r="I30" i="2"/>
  <c r="E31" i="2"/>
  <c r="H31" i="2"/>
  <c r="I31" i="2"/>
  <c r="E32" i="2"/>
  <c r="H32" i="2"/>
  <c r="I32" i="2"/>
  <c r="E33" i="2"/>
  <c r="H33" i="2"/>
  <c r="I33" i="2"/>
  <c r="E34" i="2"/>
  <c r="H34" i="2"/>
  <c r="I34" i="2"/>
  <c r="E35" i="2"/>
  <c r="H35" i="2"/>
  <c r="I35" i="2"/>
  <c r="E36" i="2"/>
  <c r="H36" i="2"/>
  <c r="I36" i="2"/>
  <c r="E37" i="2"/>
  <c r="H37" i="2"/>
  <c r="I37" i="2"/>
  <c r="E38" i="2"/>
  <c r="H38" i="2"/>
  <c r="I38" i="2"/>
  <c r="E39" i="2"/>
  <c r="H39" i="2"/>
  <c r="I39" i="2"/>
  <c r="E40" i="2"/>
  <c r="H40" i="2"/>
  <c r="I40" i="2"/>
  <c r="E41" i="2"/>
  <c r="H41" i="2"/>
  <c r="I41" i="2"/>
  <c r="E42" i="2"/>
  <c r="H42" i="2"/>
  <c r="I42" i="2"/>
  <c r="E43" i="2"/>
  <c r="H43" i="2"/>
  <c r="I43" i="2"/>
  <c r="E44" i="2"/>
  <c r="H44" i="2"/>
  <c r="I44" i="2"/>
  <c r="E45" i="2"/>
  <c r="H45" i="2"/>
  <c r="I45" i="2"/>
  <c r="E46" i="2"/>
  <c r="H46" i="2"/>
  <c r="I46" i="2"/>
  <c r="E47" i="2"/>
  <c r="H47" i="2"/>
  <c r="I47" i="2"/>
  <c r="E48" i="2"/>
  <c r="H48" i="2"/>
  <c r="I48" i="2"/>
  <c r="E49" i="2"/>
  <c r="H49" i="2"/>
  <c r="I49" i="2"/>
  <c r="E50" i="2"/>
  <c r="H50" i="2"/>
  <c r="I50" i="2"/>
  <c r="E51" i="2"/>
  <c r="H51" i="2"/>
  <c r="I51" i="2"/>
  <c r="E52" i="2"/>
  <c r="H52" i="2"/>
  <c r="I52" i="2"/>
  <c r="E53" i="2"/>
  <c r="H53" i="2"/>
  <c r="I53" i="2"/>
  <c r="E54" i="2"/>
  <c r="H54" i="2"/>
  <c r="I54" i="2"/>
  <c r="E55" i="2"/>
  <c r="H55" i="2"/>
  <c r="I55" i="2"/>
  <c r="E56" i="2"/>
  <c r="H56" i="2"/>
  <c r="I56" i="2"/>
  <c r="E57" i="2"/>
  <c r="H57" i="2"/>
  <c r="I57" i="2"/>
  <c r="E58" i="2"/>
  <c r="H58" i="2"/>
  <c r="M10" i="1"/>
  <c r="N10" i="1"/>
  <c r="O10" i="1" s="1"/>
  <c r="M11" i="1"/>
  <c r="N11" i="1"/>
  <c r="O11" i="1" s="1"/>
  <c r="M12" i="1"/>
  <c r="N12" i="1"/>
  <c r="O12" i="1" s="1"/>
  <c r="M13" i="1"/>
  <c r="N13" i="1"/>
  <c r="O13" i="1" s="1"/>
  <c r="M14" i="1"/>
  <c r="N14" i="1"/>
  <c r="O14" i="1" s="1"/>
  <c r="M7" i="1"/>
  <c r="N7" i="1"/>
  <c r="O7" i="1" s="1"/>
  <c r="M8" i="1"/>
  <c r="N8" i="1"/>
  <c r="O8" i="1" s="1"/>
  <c r="M9" i="1"/>
  <c r="N9" i="1"/>
  <c r="O9" i="1" s="1"/>
  <c r="G118" i="2"/>
  <c r="J118" i="2" s="1"/>
  <c r="G119" i="2"/>
  <c r="J119" i="2" s="1"/>
  <c r="I33" i="1"/>
  <c r="G120" i="2"/>
  <c r="J120" i="2" s="1"/>
  <c r="E115" i="2"/>
  <c r="E114" i="2"/>
  <c r="E117" i="2"/>
  <c r="E113" i="2"/>
  <c r="E116" i="2"/>
  <c r="G59" i="2" l="1"/>
  <c r="J59" i="2"/>
  <c r="L59" i="2"/>
  <c r="G61" i="2"/>
  <c r="J61" i="2"/>
  <c r="L61" i="2"/>
  <c r="G63" i="2"/>
  <c r="J63" i="2" s="1"/>
  <c r="L63" i="2"/>
  <c r="G65" i="2"/>
  <c r="J65" i="2"/>
  <c r="L65" i="2"/>
  <c r="G66" i="2"/>
  <c r="J66" i="2"/>
  <c r="L66" i="2"/>
  <c r="G68" i="2"/>
  <c r="J68" i="2"/>
  <c r="L68" i="2"/>
  <c r="G70" i="2"/>
  <c r="J70" i="2"/>
  <c r="L70" i="2"/>
  <c r="G72" i="2"/>
  <c r="J72" i="2" s="1"/>
  <c r="L72" i="2"/>
  <c r="G74" i="2"/>
  <c r="J74" i="2"/>
  <c r="L74" i="2"/>
  <c r="G76" i="2"/>
  <c r="J76" i="2" s="1"/>
  <c r="L76" i="2"/>
  <c r="G78" i="2"/>
  <c r="J78" i="2" s="1"/>
  <c r="L78" i="2"/>
  <c r="G80" i="2"/>
  <c r="J80" i="2" s="1"/>
  <c r="L80" i="2"/>
  <c r="G82" i="2"/>
  <c r="J82" i="2"/>
  <c r="L82" i="2"/>
  <c r="G84" i="2"/>
  <c r="J84" i="2"/>
  <c r="L84" i="2"/>
  <c r="G86" i="2"/>
  <c r="J86" i="2"/>
  <c r="L86" i="2"/>
  <c r="G88" i="2"/>
  <c r="J88" i="2"/>
  <c r="L88" i="2"/>
  <c r="G90" i="2"/>
  <c r="J90" i="2"/>
  <c r="L90" i="2"/>
  <c r="G91" i="2"/>
  <c r="J91" i="2"/>
  <c r="L91" i="2"/>
  <c r="G92" i="2"/>
  <c r="J92" i="2"/>
  <c r="L92" i="2"/>
  <c r="G93" i="2"/>
  <c r="J93" i="2"/>
  <c r="L93" i="2"/>
  <c r="G94" i="2"/>
  <c r="J94" i="2"/>
  <c r="L94" i="2"/>
  <c r="G95" i="2"/>
  <c r="J95" i="2"/>
  <c r="L95" i="2"/>
  <c r="G96" i="2"/>
  <c r="J96" i="2"/>
  <c r="L96" i="2"/>
  <c r="G97" i="2"/>
  <c r="J97" i="2"/>
  <c r="L97" i="2"/>
  <c r="G98" i="2"/>
  <c r="J98" i="2"/>
  <c r="L98" i="2"/>
  <c r="G60" i="2"/>
  <c r="J60" i="2"/>
  <c r="L60" i="2"/>
  <c r="G62" i="2"/>
  <c r="J62" i="2"/>
  <c r="L62" i="2"/>
  <c r="G64" i="2"/>
  <c r="J64" i="2"/>
  <c r="L64" i="2"/>
  <c r="G67" i="2"/>
  <c r="J67" i="2"/>
  <c r="L67" i="2"/>
  <c r="G69" i="2"/>
  <c r="J69" i="2"/>
  <c r="L69" i="2"/>
  <c r="G71" i="2"/>
  <c r="J71" i="2"/>
  <c r="L71" i="2"/>
  <c r="G73" i="2"/>
  <c r="J73" i="2" s="1"/>
  <c r="L73" i="2"/>
  <c r="G75" i="2"/>
  <c r="J75" i="2" s="1"/>
  <c r="L75" i="2"/>
  <c r="G77" i="2"/>
  <c r="J77" i="2"/>
  <c r="L77" i="2"/>
  <c r="G79" i="2"/>
  <c r="J79" i="2"/>
  <c r="L79" i="2"/>
  <c r="G81" i="2"/>
  <c r="J81" i="2"/>
  <c r="L81" i="2"/>
  <c r="G83" i="2"/>
  <c r="J83" i="2"/>
  <c r="L83" i="2"/>
  <c r="G85" i="2"/>
  <c r="J85" i="2"/>
  <c r="L85" i="2"/>
  <c r="G87" i="2"/>
  <c r="J87" i="2"/>
  <c r="L87" i="2"/>
  <c r="G89" i="2"/>
  <c r="J89" i="2"/>
  <c r="L89" i="2"/>
  <c r="G16" i="2"/>
  <c r="J16" i="2"/>
  <c r="L16" i="2"/>
  <c r="G17" i="2"/>
  <c r="J17" i="2"/>
  <c r="L17" i="2"/>
  <c r="G18" i="2"/>
  <c r="J18" i="2" s="1"/>
  <c r="L18" i="2"/>
  <c r="G19" i="2"/>
  <c r="J19" i="2"/>
  <c r="L19" i="2"/>
  <c r="G20" i="2"/>
  <c r="J20" i="2"/>
  <c r="L20" i="2"/>
  <c r="G21" i="2"/>
  <c r="L21" i="2"/>
  <c r="G22" i="2"/>
  <c r="J22" i="2"/>
  <c r="L22" i="2"/>
  <c r="G23" i="2"/>
  <c r="J23" i="2"/>
  <c r="L23" i="2"/>
  <c r="G24" i="2"/>
  <c r="J24" i="2"/>
  <c r="L24" i="2"/>
  <c r="G25" i="2"/>
  <c r="J25" i="2"/>
  <c r="L25" i="2"/>
  <c r="G26" i="2"/>
  <c r="J26" i="2"/>
  <c r="L26" i="2"/>
  <c r="G27" i="2"/>
  <c r="J27" i="2"/>
  <c r="L27" i="2"/>
  <c r="G28" i="2"/>
  <c r="J28" i="2"/>
  <c r="L28" i="2"/>
  <c r="G29" i="2"/>
  <c r="L29" i="2"/>
  <c r="G30" i="2"/>
  <c r="J30" i="2"/>
  <c r="L30" i="2"/>
  <c r="G31" i="2"/>
  <c r="J31" i="2"/>
  <c r="L31" i="2"/>
  <c r="G32" i="2"/>
  <c r="J32" i="2"/>
  <c r="L32" i="2"/>
  <c r="G33" i="2"/>
  <c r="J33" i="2"/>
  <c r="L33" i="2"/>
  <c r="G34" i="2"/>
  <c r="J34" i="2"/>
  <c r="L34" i="2"/>
  <c r="G35" i="2"/>
  <c r="J35" i="2"/>
  <c r="L35" i="2"/>
  <c r="G36" i="2"/>
  <c r="J36" i="2"/>
  <c r="L36" i="2"/>
  <c r="G37" i="2"/>
  <c r="J37" i="2"/>
  <c r="L37" i="2"/>
  <c r="G38" i="2"/>
  <c r="J38" i="2" s="1"/>
  <c r="L38" i="2"/>
  <c r="G39" i="2"/>
  <c r="J39" i="2"/>
  <c r="L39" i="2"/>
  <c r="G40" i="2"/>
  <c r="J40" i="2"/>
  <c r="L40" i="2"/>
  <c r="G41" i="2"/>
  <c r="J41" i="2"/>
  <c r="L41" i="2"/>
  <c r="G42" i="2"/>
  <c r="J42" i="2"/>
  <c r="L42" i="2"/>
  <c r="G43" i="2"/>
  <c r="J43" i="2"/>
  <c r="L43" i="2"/>
  <c r="G44" i="2"/>
  <c r="J44" i="2"/>
  <c r="L44" i="2"/>
  <c r="G45" i="2"/>
  <c r="J45" i="2"/>
  <c r="L45" i="2"/>
  <c r="G46" i="2"/>
  <c r="J46" i="2"/>
  <c r="L46" i="2"/>
  <c r="G47" i="2"/>
  <c r="J47" i="2"/>
  <c r="L47" i="2"/>
  <c r="G48" i="2"/>
  <c r="J48" i="2"/>
  <c r="L48" i="2"/>
  <c r="G49" i="2"/>
  <c r="L49" i="2"/>
  <c r="G50" i="2"/>
  <c r="J50" i="2"/>
  <c r="L50" i="2"/>
  <c r="G51" i="2"/>
  <c r="J51" i="2"/>
  <c r="L51" i="2"/>
  <c r="G52" i="2"/>
  <c r="J52" i="2"/>
  <c r="L52" i="2"/>
  <c r="G53" i="2"/>
  <c r="J53" i="2"/>
  <c r="L53" i="2"/>
  <c r="G54" i="2"/>
  <c r="J54" i="2"/>
  <c r="L54" i="2"/>
  <c r="G55" i="2"/>
  <c r="J55" i="2"/>
  <c r="L55" i="2"/>
  <c r="G56" i="2"/>
  <c r="J56" i="2"/>
  <c r="L56" i="2"/>
  <c r="G57" i="2"/>
  <c r="J57" i="2"/>
  <c r="L57" i="2"/>
  <c r="G58" i="2"/>
  <c r="J58" i="2"/>
  <c r="L58" i="2"/>
  <c r="G115" i="2"/>
  <c r="L115" i="2"/>
  <c r="J115" i="2"/>
  <c r="L114" i="2"/>
  <c r="G114" i="2"/>
  <c r="J114" i="2" s="1"/>
  <c r="L117" i="2"/>
  <c r="G117" i="2"/>
  <c r="J117" i="2" s="1"/>
  <c r="G113" i="2"/>
  <c r="L113" i="2"/>
  <c r="J113" i="2"/>
  <c r="G116" i="2"/>
  <c r="L116" i="2"/>
  <c r="J1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NOTE (manual): 30k Pressed, 9k Printed, 22k WIP</t>
        </r>
      </text>
    </comment>
    <comment ref="J78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NOTE (manual): OK (Reuse Old Cartons)</t>
        </r>
      </text>
    </comment>
  </commentList>
</comments>
</file>

<file path=xl/sharedStrings.xml><?xml version="1.0" encoding="utf-8"?>
<sst xmlns="http://schemas.openxmlformats.org/spreadsheetml/2006/main" count="4593" uniqueCount="879">
  <si>
    <t xml:space="preserve">  PRODUCT CATALOG — Master lookup for all products</t>
  </si>
  <si>
    <t>Product ID</t>
  </si>
  <si>
    <t>BOM ID</t>
  </si>
  <si>
    <t>Customer</t>
  </si>
  <si>
    <t>Product Name</t>
  </si>
  <si>
    <t>Dia (mm)</t>
  </si>
  <si>
    <t>Length (mm)</t>
  </si>
  <si>
    <t>Latex</t>
  </si>
  <si>
    <t>Pcs/Carton</t>
  </si>
  <si>
    <t># of Pieces</t>
  </si>
  <si>
    <t>Slug (kg)</t>
  </si>
  <si>
    <t>Base Coat (kg)</t>
  </si>
  <si>
    <t>Lacquer (kg)</t>
  </si>
  <si>
    <t>Latex (kg)</t>
  </si>
  <si>
    <t>Zinc (kg)</t>
  </si>
  <si>
    <t>Caps (PCS)</t>
  </si>
  <si>
    <t>Cartons (PCS)</t>
  </si>
  <si>
    <t>Ink Used</t>
  </si>
  <si>
    <t>Bahadur</t>
  </si>
  <si>
    <t>BAHADUR TUBE 12.5MM</t>
  </si>
  <si>
    <t>No</t>
  </si>
  <si>
    <t>Brookes Pharma Private Limited</t>
  </si>
  <si>
    <t>ECZEMUS OINTMENT 0.03% 10G</t>
  </si>
  <si>
    <t>PYODINE GEL 20GM</t>
  </si>
  <si>
    <t>PHLOGIN GEL 20G</t>
  </si>
  <si>
    <t>CONTRATUBEX GEL 20G</t>
  </si>
  <si>
    <t>Samsol International Private Limited</t>
  </si>
  <si>
    <t>S-43 DIA 19MM</t>
  </si>
  <si>
    <t>S-45 DIA 19MM</t>
  </si>
  <si>
    <t>Mablay Beauty PVT LTD.</t>
  </si>
  <si>
    <t>VINCE HIS BEARD &amp; MUSTACHE COLOR</t>
  </si>
  <si>
    <t>Yes</t>
  </si>
  <si>
    <t>S-45 DIA 20.5</t>
  </si>
  <si>
    <t>S-43 DIA 20.5</t>
  </si>
  <si>
    <t>SAMSOL HAIR COLOR 45 DIA 20.5 MM</t>
  </si>
  <si>
    <t>SAMSOL HAIR COLOR 43 DIA 20.5 MM</t>
  </si>
  <si>
    <t>SAMSOL HAIR COLOR 39 SMALL PURPLE</t>
  </si>
  <si>
    <t>SAMSOL HAIR COLOR 41 SMALL PURPLE</t>
  </si>
  <si>
    <t>HIS ONLY HAIR COLOR CREAM 40GM</t>
  </si>
  <si>
    <t>S 43 25MM</t>
  </si>
  <si>
    <t>TUBES</t>
  </si>
  <si>
    <t>TUBES COMMON RED</t>
  </si>
  <si>
    <t>TUBES MEN BLUE</t>
  </si>
  <si>
    <t>TUBE COMMON PURPLE</t>
  </si>
  <si>
    <t>SAMSOL RED 25MM</t>
  </si>
  <si>
    <t>DTM</t>
  </si>
  <si>
    <t>DTM DIA 25MM</t>
  </si>
  <si>
    <t>Al-Rehman Group</t>
  </si>
  <si>
    <t>ACTIVE PRO HAIR COLOR CREAM 60ML</t>
  </si>
  <si>
    <t>SIGNATURE HAIR COLOR CREAM 60ML</t>
  </si>
  <si>
    <t>Golden Pearl Cosmetics (PVT) LTD</t>
  </si>
  <si>
    <t>HELLO HAIR COLOR</t>
  </si>
  <si>
    <t>VINCE NURTURAL</t>
  </si>
  <si>
    <t>VINCE NURTURAL (Varnish)</t>
  </si>
  <si>
    <t>Professional Beauty Solution (PVT) LTD.Pakistan</t>
  </si>
  <si>
    <t>EAZICOLOR PREMIUM HAIR COLOUR 60ML</t>
  </si>
  <si>
    <t>HIBA S HAIR COLOR 60ML</t>
  </si>
  <si>
    <t>Seatle (Private) Limited</t>
  </si>
  <si>
    <t>DOWFEN GEL 50G</t>
  </si>
  <si>
    <t>Mega Grey</t>
  </si>
  <si>
    <t>M.G</t>
  </si>
  <si>
    <t>Hola Hair</t>
  </si>
  <si>
    <t>H.H 100GM</t>
  </si>
  <si>
    <t>Adore</t>
  </si>
  <si>
    <t>ANVIL 43</t>
  </si>
  <si>
    <t>ANVIL 45</t>
  </si>
  <si>
    <t>V- HC BROWN</t>
  </si>
  <si>
    <t>V-HC BLACK</t>
  </si>
  <si>
    <t>Alpha Labs PVT LTD</t>
  </si>
  <si>
    <t>TRANSPARENT BOTTLE 150ML</t>
  </si>
  <si>
    <t>150 ml</t>
  </si>
  <si>
    <t>PET BOTTLE SMALL (120ML) YELLOW</t>
  </si>
  <si>
    <t>120 ml</t>
  </si>
  <si>
    <t>BLACK SMALL BOTTLE 120ML</t>
  </si>
  <si>
    <t>WHITE SMALL BOTTLE 120ML</t>
  </si>
  <si>
    <t>PET BOTTLE SMALL (130ML) TRANSPARENT</t>
  </si>
  <si>
    <t>130 ml</t>
  </si>
  <si>
    <t>BT-200 ML YELLOW</t>
  </si>
  <si>
    <t>200 ml</t>
  </si>
  <si>
    <t>PET BOTTLE LARGE 200ML WHITE</t>
  </si>
  <si>
    <t>BLACK BOTTLE 200ML</t>
  </si>
  <si>
    <t>TRANSPARENT BOTTLE 300ML</t>
  </si>
  <si>
    <t>300 ml</t>
  </si>
  <si>
    <t>TRANSPARENT JAR 500ML</t>
  </si>
  <si>
    <t>500 ml</t>
  </si>
  <si>
    <t>BT-200ML MUSTARD OIL (TRANSPARENT)</t>
  </si>
  <si>
    <t>EAZI COLOR PERMANENT HAIR COLOUR 60ML</t>
  </si>
  <si>
    <t>Professional Beauty Solution (Pvt) Ltd</t>
  </si>
  <si>
    <t>BELINI HAIR COLOR 50ML</t>
  </si>
  <si>
    <t>Habib Hanif Inc</t>
  </si>
  <si>
    <t>S-45</t>
  </si>
  <si>
    <t>Mateen Sons</t>
  </si>
  <si>
    <t>GP DIA 30MM</t>
  </si>
  <si>
    <t>TUBEX  — May 2026 Month to Date Report</t>
  </si>
  <si>
    <t>Report Date (Yesterday's Production):</t>
  </si>
  <si>
    <t>TUBE — YESTERDAY</t>
  </si>
  <si>
    <t>TUBE — MTD</t>
  </si>
  <si>
    <t>TUBE — REJECT %</t>
  </si>
  <si>
    <t>Dispatch — MTD</t>
  </si>
  <si>
    <t>Press &amp; Printing Downtime — MTD</t>
  </si>
  <si>
    <t>Category</t>
  </si>
  <si>
    <t>Hours (MTD)</t>
  </si>
  <si>
    <t>% Share</t>
  </si>
  <si>
    <t>PET — YESTERDAY</t>
  </si>
  <si>
    <t>PET — MTD</t>
  </si>
  <si>
    <t>PET — REJECT %</t>
  </si>
  <si>
    <t>Summary of Production &amp; Dispatch - MTD</t>
  </si>
  <si>
    <t>Mechanical</t>
  </si>
  <si>
    <t>Type</t>
  </si>
  <si>
    <t>Dia</t>
  </si>
  <si>
    <t>Prod ID</t>
  </si>
  <si>
    <t>Orders</t>
  </si>
  <si>
    <t>MTD Produced</t>
  </si>
  <si>
    <t>Remaining</t>
  </si>
  <si>
    <t>MTD Compliance</t>
  </si>
  <si>
    <t>Dispatch</t>
  </si>
  <si>
    <t>Electrical</t>
  </si>
  <si>
    <t>TUBE</t>
  </si>
  <si>
    <t>Workers Shortage</t>
  </si>
  <si>
    <t>Power Shutdown</t>
  </si>
  <si>
    <t>Material Shortage</t>
  </si>
  <si>
    <t>TOTAL</t>
  </si>
  <si>
    <t>100%</t>
  </si>
  <si>
    <t>Gas Shutdown</t>
  </si>
  <si>
    <t>Changeover</t>
  </si>
  <si>
    <t>Operations</t>
  </si>
  <si>
    <t>PET</t>
  </si>
  <si>
    <t>May 2026 Tube Required Orders</t>
  </si>
  <si>
    <t>Date:</t>
  </si>
  <si>
    <t>Job Order #</t>
  </si>
  <si>
    <t>Required Qty</t>
  </si>
  <si>
    <t>Produced</t>
  </si>
  <si>
    <t>Remaining Balance</t>
  </si>
  <si>
    <t>6880 &amp; 6881</t>
  </si>
  <si>
    <t>TOTAL:</t>
  </si>
  <si>
    <t>MAY TUBES MATERIAL REQUIREMENT PLAN</t>
  </si>
  <si>
    <t>Item ID</t>
  </si>
  <si>
    <t>Item Name</t>
  </si>
  <si>
    <t>UOM</t>
  </si>
  <si>
    <t>Current Stock (Store + WIP)</t>
  </si>
  <si>
    <t>Surplus / (Deficit)</t>
  </si>
  <si>
    <t>Product Name(s)</t>
  </si>
  <si>
    <t>Job Order #(s)</t>
  </si>
  <si>
    <t>Status</t>
  </si>
  <si>
    <t>FG Caps On Hold (pcs)</t>
  </si>
  <si>
    <t>ORDER QTY</t>
  </si>
  <si>
    <t>SLUG</t>
  </si>
  <si>
    <t>12.5X4.5X4.8</t>
  </si>
  <si>
    <t>kg</t>
  </si>
  <si>
    <t>13.5X4.2</t>
  </si>
  <si>
    <t>16x4.5</t>
  </si>
  <si>
    <t>16X4.8 S/M</t>
  </si>
  <si>
    <t>19X4.2</t>
  </si>
  <si>
    <t>19X4.5 S/M</t>
  </si>
  <si>
    <t>20.5x4.5</t>
  </si>
  <si>
    <t>25X4.5 S/M</t>
  </si>
  <si>
    <t>25X4.8 S/M</t>
  </si>
  <si>
    <t>30X4.3</t>
  </si>
  <si>
    <t>30X4.5 S/M</t>
  </si>
  <si>
    <t>32X5.2</t>
  </si>
  <si>
    <t>32x5.0</t>
  </si>
  <si>
    <t>35X5.0</t>
  </si>
  <si>
    <t>LACQUER</t>
  </si>
  <si>
    <t>LACQUER IMP 49989</t>
  </si>
  <si>
    <t>EPOXY LACQUER (1500)</t>
  </si>
  <si>
    <t>L</t>
  </si>
  <si>
    <t>LACQUER RHENANIA (ACTEGA COLL 299)</t>
  </si>
  <si>
    <t>PIGMENTED LACQUER 57300</t>
  </si>
  <si>
    <t>E/P LACQUER 4000 A/R</t>
  </si>
  <si>
    <t>BASE COAT</t>
  </si>
  <si>
    <t>WHITE 5711200001</t>
  </si>
  <si>
    <t>GOLD 5725100018</t>
  </si>
  <si>
    <t>TRANSPARENT 234-786</t>
  </si>
  <si>
    <t>POLYSTER BASE COAT WHITE 23410</t>
  </si>
  <si>
    <t>POLYESTER BASE COAT BEIGE 234-999</t>
  </si>
  <si>
    <t>BEIGE 5711200007</t>
  </si>
  <si>
    <t>SILVER METALLIC 5725100011</t>
  </si>
  <si>
    <t>GOLD METALLIC ALM-550-234</t>
  </si>
  <si>
    <t>P11 TBX HT VARNISH (PC 176)</t>
  </si>
  <si>
    <t>YELLOW IMP 5711200008</t>
  </si>
  <si>
    <t>VR SCHEKOLIN 57251</t>
  </si>
  <si>
    <t>LATEX</t>
  </si>
  <si>
    <t>LATEX IMP 574010002</t>
  </si>
  <si>
    <t>ZINC POWDER</t>
  </si>
  <si>
    <t>ZINC STEARATE</t>
  </si>
  <si>
    <t>ZINC ARCHIMATE</t>
  </si>
  <si>
    <t>CAP</t>
  </si>
  <si>
    <t>M-7 S/M F/P (S) WHITE</t>
  </si>
  <si>
    <t>PCS</t>
  </si>
  <si>
    <t>M-7 OPHTHALMIC  PINK</t>
  </si>
  <si>
    <t>M-9 S/M SPR BLACK DIA 16MM</t>
  </si>
  <si>
    <t>M-9 S/M SPR WHITE LORINE</t>
  </si>
  <si>
    <t>M-9 S/M SPR WHITE DIA 19</t>
  </si>
  <si>
    <t>M-9 S/M F/P WHITE (S)</t>
  </si>
  <si>
    <t>M-9 S/M SPR BLACK DIA 19</t>
  </si>
  <si>
    <t>M-9 S/M SPR WHITE DIA 22 AUTO</t>
  </si>
  <si>
    <t>M-9 S/M F/P ORANGE (NORMAL)</t>
  </si>
  <si>
    <t>M-9 S/M SPR BEIGE DIA 20.5</t>
  </si>
  <si>
    <t>M-9 S/M SPR WHITE DIA 16MM</t>
  </si>
  <si>
    <t>M-9 S/M F/P Normal White</t>
  </si>
  <si>
    <t>M-9 S/M SPR WHITE DIA 20.5MM</t>
  </si>
  <si>
    <t>M-9 S/M SPR BLACK DIA 20.5MM</t>
  </si>
  <si>
    <t>M-11 S/M SPR WHITE DIA 25MM</t>
  </si>
  <si>
    <t>M-11 S/M SPR ORANGE DIA 25</t>
  </si>
  <si>
    <t>M-11 S/M F/P BLACK</t>
  </si>
  <si>
    <t>M-11 S/M F/P WHITE (LARGE)</t>
  </si>
  <si>
    <t>M-11 S/M SPR DARK BLUE DIA 25MM</t>
  </si>
  <si>
    <t>M-11 S/M SPR BEIGE DIA 25</t>
  </si>
  <si>
    <t>M-12 S/M SPR WHITE DIA 30</t>
  </si>
  <si>
    <t>CAP 12.5MM (est)</t>
  </si>
  <si>
    <t>CARTON</t>
  </si>
  <si>
    <t>CARTON 12.5MM (est)</t>
  </si>
  <si>
    <t>16X200 3Ply</t>
  </si>
  <si>
    <t>DIA 16 5Ply</t>
  </si>
  <si>
    <t>19X200 3Ply</t>
  </si>
  <si>
    <t>20.5x510 5ply</t>
  </si>
  <si>
    <t>25x336 5Ply</t>
  </si>
  <si>
    <t>30X150 3Ply</t>
  </si>
  <si>
    <t>35x165 5ply</t>
  </si>
  <si>
    <t>MASTER CARTON 38"X24"X15.5"</t>
  </si>
  <si>
    <t>TAPE</t>
  </si>
  <si>
    <t>PACKING TAPE 2" OF 60 YARDS</t>
  </si>
  <si>
    <t>THINNER</t>
  </si>
  <si>
    <t>THINNER FOR LACQUER SOL R/C</t>
  </si>
  <si>
    <t>THINNER LACQUER SOL EPOXY</t>
  </si>
  <si>
    <t>PET RESIN</t>
  </si>
  <si>
    <t>PET RESIN A-84</t>
  </si>
  <si>
    <t>MASTER BATCH</t>
  </si>
  <si>
    <t>MASTER BATCH (PA M27) GREEN</t>
  </si>
  <si>
    <t>MASTER BATCH YELLOW CMN# 3087</t>
  </si>
  <si>
    <t>MASTER BATCH ONCOLOR YELLOW NE12340208-ZN</t>
  </si>
  <si>
    <t>MASTER BATCH BEIGE (RCW-25)</t>
  </si>
  <si>
    <t>MASTER BATCH AMBAR BR-535n</t>
  </si>
  <si>
    <t>MASTER BATCH WHITE PRC-MC ET02340000</t>
  </si>
  <si>
    <t>MASTER BATCH RENOL-GREEN NE60340193-MN</t>
  </si>
  <si>
    <t>MASTER BATCH GREEN PE63340532-ZN FA</t>
  </si>
  <si>
    <t>MASTER BATCH BLACK DP# 6411</t>
  </si>
  <si>
    <t>GRANULES</t>
  </si>
  <si>
    <t>HIGH DENSITY POLY ETHYLINE (HDPE) 200050</t>
  </si>
  <si>
    <t>LOW DENSITY POLY ETHYLENE ( LDPE 4025AS AB247Y01)</t>
  </si>
  <si>
    <t>HDPE BLOW NATURAL ( MARLEX )</t>
  </si>
  <si>
    <t>POLY BAG</t>
  </si>
  <si>
    <t>POLY BAG 20X30 (LDPE)</t>
  </si>
  <si>
    <t>POLY BAG 24X36 (LDPE)</t>
  </si>
  <si>
    <t>PACKING</t>
  </si>
  <si>
    <t>PLASTIC DOORI</t>
  </si>
  <si>
    <t>ROLL</t>
  </si>
  <si>
    <t>May PET 2026 Required Pet Orders</t>
  </si>
  <si>
    <t>336 &amp; 337</t>
  </si>
  <si>
    <t>340</t>
  </si>
  <si>
    <t>334 &amp; 338</t>
  </si>
  <si>
    <t>335</t>
  </si>
  <si>
    <t>339</t>
  </si>
  <si>
    <t>May PET MATERIAL REQUIREMENT PLAN</t>
  </si>
  <si>
    <t>MASTER CARTON</t>
  </si>
  <si>
    <t xml:space="preserve">  INK — Avg Monthly Usage  |  Data: May 2025 – Apr 2026  |  271.9 kg issued  /  8,617,293 tubes  =  31.6 g / 1,000 tubes</t>
  </si>
  <si>
    <t>Avg Monthly
Usage (kg)</t>
  </si>
  <si>
    <t>Days of
Stock Left</t>
  </si>
  <si>
    <t>Current Stock
(Store + WIP)</t>
  </si>
  <si>
    <t>Surplus /
(Deficit)</t>
  </si>
  <si>
    <t>g / 1,000
tubes (ref)</t>
  </si>
  <si>
    <t>INK</t>
  </si>
  <si>
    <t>MAGENTA (LOCAL) 32500</t>
  </si>
  <si>
    <t>INK BLUE PC</t>
  </si>
  <si>
    <t>GOLD (LOCAL) 97035</t>
  </si>
  <si>
    <t>RED BRONZE (LOCAL) 32519</t>
  </si>
  <si>
    <t>INK BLUE ES 164</t>
  </si>
  <si>
    <t>BLACK (LOCAL) 77842</t>
  </si>
  <si>
    <t>INK GOLD V0221267AT-401363 IMPORTED</t>
  </si>
  <si>
    <t>WHITE (LOCAL) 07094</t>
  </si>
  <si>
    <t>GERANIUM (EVER SHINE) ES-130</t>
  </si>
  <si>
    <t>PURPLE 48054</t>
  </si>
  <si>
    <t>ORANGE (LOCAL)</t>
  </si>
  <si>
    <t>INK CYAN PROCESS 51650</t>
  </si>
  <si>
    <t>YELLOW LEMON 18600</t>
  </si>
  <si>
    <t>INK GREEN ES 166</t>
  </si>
  <si>
    <t>INK BLACK 158000 IMPORTED</t>
  </si>
  <si>
    <t>SILVER (LOCAL)</t>
  </si>
  <si>
    <t>YELLOW (PASTAL-C)</t>
  </si>
  <si>
    <t>GREEN 165000</t>
  </si>
  <si>
    <t>MEGENTA RED 152166</t>
  </si>
  <si>
    <t>DARK BLUE EAZI COLOR 401168</t>
  </si>
  <si>
    <t>GREEN PC</t>
  </si>
  <si>
    <t>BLUE 165743</t>
  </si>
  <si>
    <t>BROWN 157662</t>
  </si>
  <si>
    <t>BLUE BRONZE (LOCAL) 51168</t>
  </si>
  <si>
    <t>INK JET BLACK 77842</t>
  </si>
  <si>
    <t>VIOLET 501 IMP</t>
  </si>
  <si>
    <t>Not needed</t>
  </si>
  <si>
    <t>VIOLET 502 IMP</t>
  </si>
  <si>
    <t>BLUE 126039</t>
  </si>
  <si>
    <t>VIOLET 400484</t>
  </si>
  <si>
    <t>PINK FLUORESCENT</t>
  </si>
  <si>
    <t>VIOLET TUB 400011</t>
  </si>
  <si>
    <t>GOLD V0221267-RF-401363</t>
  </si>
  <si>
    <t>FG STOCK — CAPS ON HOLD  |  Detail breakdown for Col K above</t>
  </si>
  <si>
    <t>These tubes are already made but cannot be dispatched because the cap is out of stock. Col K (FG Caps On Hold) in the cap rows above pulls the FG qty from this section. Col L (ORDER QTY) = Production caps needed + FG caps on hold - Current stock. ORDER FROM COL L ONLY — it already includes the FG cap requirement shown here.</t>
  </si>
  <si>
    <t>PID</t>
  </si>
  <si>
    <t>Cap Item ID</t>
  </si>
  <si>
    <t>Cap Item Name</t>
  </si>
  <si>
    <t>FG Qty On Hold</t>
  </si>
  <si>
    <t>Notes</t>
  </si>
  <si>
    <t>Included in ORDER QTY above</t>
  </si>
  <si>
    <t xml:space="preserve">  BILL OF MATERIALS — Customer-Specific</t>
  </si>
  <si>
    <t>Material Category</t>
  </si>
  <si>
    <t>Per 1000 Units</t>
  </si>
  <si>
    <t>Material Group</t>
  </si>
  <si>
    <t>Scrap %</t>
  </si>
  <si>
    <t>Change Note</t>
  </si>
  <si>
    <t>Aluminum Slugs</t>
  </si>
  <si>
    <t>Updated manually, update in erp</t>
  </si>
  <si>
    <t>POLYSTER BASE COAT WHITE 234</t>
  </si>
  <si>
    <t>Base Coat</t>
  </si>
  <si>
    <t>Item name kept as ERP ('POLYSTER BASE COAT WHITE 234'). Rehan wrote 'BASE COAT WHITE 23410 CT' — corrected. (16-Apr-2026) — Verify in ERP</t>
  </si>
  <si>
    <t>Caps</t>
  </si>
  <si>
    <t>Value changed manually v9.30 (16-Apr-2026) — Update in ERP BOM</t>
  </si>
  <si>
    <t>Cartons</t>
  </si>
  <si>
    <t>Zinc Stearate</t>
  </si>
  <si>
    <t>Lacquer</t>
  </si>
  <si>
    <t>Thinner</t>
  </si>
  <si>
    <t>Packing Tape</t>
  </si>
  <si>
    <t>JALI</t>
  </si>
  <si>
    <t>16X200 J</t>
  </si>
  <si>
    <t>pcs</t>
  </si>
  <si>
    <t>Jali</t>
  </si>
  <si>
    <t>19X200 J</t>
  </si>
  <si>
    <t>IRON AND METAL</t>
  </si>
  <si>
    <t>DIA 19 (1800) 5Ply</t>
  </si>
  <si>
    <t>Iron &amp; Metal</t>
  </si>
  <si>
    <t>NEW material line added manually v9.30 (16-Apr-2026) — Add to ERP BOM</t>
  </si>
  <si>
    <t>Zinc</t>
  </si>
  <si>
    <t>Tape</t>
  </si>
  <si>
    <t>STATIONARY</t>
  </si>
  <si>
    <t>CARTON LABEL</t>
  </si>
  <si>
    <t>Labels</t>
  </si>
  <si>
    <t>Muhammad Hashim Khan</t>
  </si>
  <si>
    <t>Ink</t>
  </si>
  <si>
    <t>Item name kept as ERP ('25x336 5Ply'). Rehan wrote '25x336 5Ply L21.5 W14.5 H7' — corrected. (16-Apr-2026) — Verify in ERP</t>
  </si>
  <si>
    <t>Slug changed 30X4.3 (ID 2) → 30X4.5 S/M (ID 406) per Sikander 21-Apr-2026. ERP update required.</t>
  </si>
  <si>
    <t>Replaces Item 4165 (ZINC ARCHIMATE). ERP BOM update required.</t>
  </si>
  <si>
    <t>30X150 J</t>
  </si>
  <si>
    <t>35x180 5ply</t>
  </si>
  <si>
    <t>Manually Changed from 5.0. Update needed in ERP</t>
  </si>
  <si>
    <t>YELLOW BASE COAT (Item ID unknown — confirm with ERP)</t>
  </si>
  <si>
    <t>Rate 0.78 kg estimated (matches all other 35mm BC products: 6530/6531). Item ID unknown — confirm with Rehan.</t>
  </si>
  <si>
    <t>PET Resin</t>
  </si>
  <si>
    <t>Master Carton</t>
  </si>
  <si>
    <t>Poly Bag</t>
  </si>
  <si>
    <t>Packing</t>
  </si>
  <si>
    <t>MASTERBATCH</t>
  </si>
  <si>
    <t>Masterbatch</t>
  </si>
  <si>
    <t>MASTER CARTON 34.7 X 59.5 X 34.5</t>
  </si>
  <si>
    <t>Professional Beauty Solution (Pvt) Ltd.Pakistan</t>
  </si>
  <si>
    <t>30X150 3Ply L18.75" W12.5" H6.5"</t>
  </si>
  <si>
    <t>Zinc Archinate</t>
  </si>
  <si>
    <t>PIGMENTED LACQUAR 57300</t>
  </si>
  <si>
    <t>25x336 5Ply L21.5" W14.5" H7 "</t>
  </si>
  <si>
    <t>LACQUAR IMP 49989</t>
  </si>
  <si>
    <t>M-12 S/M SPR WHITE DIA 30 SCABIN</t>
  </si>
  <si>
    <t>35x180 5ply L21.5" W14.5" H8.5"</t>
  </si>
  <si>
    <t>POLYSTER BASE COAT WHITE 23410 CT</t>
  </si>
  <si>
    <t>20.5x510 5ply L21.5" W14.5" H6"</t>
  </si>
  <si>
    <t>Slugs Inventory — May 2026 MONTH TO DATE</t>
  </si>
  <si>
    <t>Item Name (ERP)</t>
  </si>
  <si>
    <t>Opening</t>
  </si>
  <si>
    <t>Received from Vendor</t>
  </si>
  <si>
    <t>Issued to Production</t>
  </si>
  <si>
    <t>Store Balance</t>
  </si>
  <si>
    <t>Work In Process</t>
  </si>
  <si>
    <t>Pieces Can Be Produced (Store + Floor Stock)</t>
  </si>
  <si>
    <t>Slug</t>
  </si>
  <si>
    <t>Inventory — May 2026 Month to Date</t>
  </si>
  <si>
    <t>LACQUAR RHENANIA (ACTEGA COLL 299)</t>
  </si>
  <si>
    <t>E/P LACQUAR 4000 A/R</t>
  </si>
  <si>
    <t>Zinc Powder</t>
  </si>
  <si>
    <t>Cap</t>
  </si>
  <si>
    <t>Carton</t>
  </si>
  <si>
    <t>THINNER LACQUAR SOL EPOXY</t>
  </si>
  <si>
    <t>BLACK (LOCAL) 77660</t>
  </si>
  <si>
    <t>INK GOLD V0221267AT-401363 IMP</t>
  </si>
  <si>
    <t>PET Inventory — May 2026 Month to Date</t>
  </si>
  <si>
    <t>Master Batch</t>
  </si>
  <si>
    <t>Granules</t>
  </si>
  <si>
    <t xml:space="preserve">  PRODUCTION LOG — One row per machine per product per day.</t>
  </si>
  <si>
    <t>Date</t>
  </si>
  <si>
    <t>Machine</t>
  </si>
  <si>
    <t>Dia / Volume</t>
  </si>
  <si>
    <t>Target Quantity</t>
  </si>
  <si>
    <t>Good Quantity Produced</t>
  </si>
  <si>
    <t>Reject/Scrap Quantity</t>
  </si>
  <si>
    <t>Waste%</t>
  </si>
  <si>
    <t>Mechanical DT</t>
  </si>
  <si>
    <t>Electrical DT</t>
  </si>
  <si>
    <t>Material Shortage DT</t>
  </si>
  <si>
    <t>Changeover DT</t>
  </si>
  <si>
    <t>Operations DT</t>
  </si>
  <si>
    <t>Power Shutdown DT</t>
  </si>
  <si>
    <t>Gas Shutdown DT</t>
  </si>
  <si>
    <t>Workers Shortage DT</t>
  </si>
  <si>
    <t>Lacquer-02</t>
  </si>
  <si>
    <t>Lacquer-03</t>
  </si>
  <si>
    <t>Latex-01</t>
  </si>
  <si>
    <t>PF Machine</t>
  </si>
  <si>
    <t>Press-04</t>
  </si>
  <si>
    <t>Press-06</t>
  </si>
  <si>
    <t>Printing-03</t>
  </si>
  <si>
    <t>Printing-04</t>
  </si>
  <si>
    <t>Press-05</t>
  </si>
  <si>
    <t>H.H 100GM (Varnish)</t>
  </si>
  <si>
    <t>Press-03</t>
  </si>
  <si>
    <t>Press-01</t>
  </si>
  <si>
    <t>Lacquer-04</t>
  </si>
  <si>
    <t>VINCE HIS BEARD &amp; MUSTACHE COLOR (Varnish)</t>
  </si>
  <si>
    <t>HIS ONLY HAIR COLOR CREAM 40GM (Varnish)</t>
  </si>
  <si>
    <t>BOM ISSUES — ERP Action Register (v10.21 · May 2026)</t>
  </si>
  <si>
    <t>Open items only. Fixed/resolved items are removed. Colour code: RED=CRITICAL · ORANGE=HIGH · YELLOW=MEDIUM · WHITE=LOW.</t>
  </si>
  <si>
    <t>S1 — NEW ERP BOMs REQUIRED: TUBE PRODUCTS</t>
  </si>
  <si>
    <t>BOM#</t>
  </si>
  <si>
    <t>Product</t>
  </si>
  <si>
    <t>Issue</t>
  </si>
  <si>
    <t>ERP Action Required</t>
  </si>
  <si>
    <t>Priority</t>
  </si>
  <si>
    <t>Placeholder PID — varnish pass</t>
  </si>
  <si>
    <t>Create ERP BOM: Slug(2)+BC(3595)+Lac(4155)+Zinc(194)+Cap(578)+Carton(3598)+Tape(3635).</t>
  </si>
  <si>
    <t>HIGH</t>
  </si>
  <si>
    <t>OPEN</t>
  </si>
  <si>
    <t>—</t>
  </si>
  <si>
    <t>Samsol International</t>
  </si>
  <si>
    <t>S-43 DIA 19</t>
  </si>
  <si>
    <t>Real ERP PID confirmed (was 9003)</t>
  </si>
  <si>
    <t>Create ERP BOM: Slug(22)+BC(3595)+Lac(185)+Cap(80)+Carton(39 or 3619 — confirm)+Zinc(194)+Tape(3635).</t>
  </si>
  <si>
    <t>Placeholder PID. Carton ID 9903 is fake.</t>
  </si>
  <si>
    <t>Create ERP BOM. Confirm real carton Item ID. Lacquer Item ID unknown — add once confirmed.</t>
  </si>
  <si>
    <t>Placeholder PID</t>
  </si>
  <si>
    <t>Create ERP BOM: Slug(6)+BC(3595)+Lac(185)+Cap(68)+Carton(3598)+Zinc(194)+Tape(3635).</t>
  </si>
  <si>
    <t>S3 — BOM RATE CORRECTIONS: Fix quantities in existing ERP BOMs</t>
  </si>
  <si>
    <t>Material</t>
  </si>
  <si>
    <t>Current ERP Rate</t>
  </si>
  <si>
    <t>Correct Rate</t>
  </si>
  <si>
    <t>4155</t>
  </si>
  <si>
    <t>0.16 kg</t>
  </si>
  <si>
    <t>0.50 kg</t>
  </si>
  <si>
    <t>CRITICAL</t>
  </si>
  <si>
    <t>Floor measurement. 3× understatement.</t>
  </si>
  <si>
    <t>Same spec as Anvil 43.</t>
  </si>
  <si>
    <t>4156</t>
  </si>
  <si>
    <t>0.78 kg</t>
  </si>
  <si>
    <t>1.20 kg</t>
  </si>
  <si>
    <t>Floor wet measurement.</t>
  </si>
  <si>
    <t>SAMSOL HC 45 20.5MM</t>
  </si>
  <si>
    <t>3635</t>
  </si>
  <si>
    <t>2.996 PCS</t>
  </si>
  <si>
    <t>0.059 PCS</t>
  </si>
  <si>
    <t>50× data entry error.</t>
  </si>
  <si>
    <t>SAMSOL HC 43 20.5MM</t>
  </si>
  <si>
    <t>any</t>
  </si>
  <si>
    <t>5,600,000 kg</t>
  </si>
  <si>
    <t>~0.56 kg</t>
  </si>
  <si>
    <t>ERP data entry error — magnitude wrong.</t>
  </si>
  <si>
    <t>0.28 kg</t>
  </si>
  <si>
    <t>0.47 kg</t>
  </si>
  <si>
    <t>MEDIUM</t>
  </si>
  <si>
    <t>Floor dry measurement.</t>
  </si>
  <si>
    <t>S4 — MISSING MATERIAL LINES: Add to existing ERP BOMs</t>
  </si>
  <si>
    <t>Missing Material</t>
  </si>
  <si>
    <t>Rate</t>
  </si>
  <si>
    <t>Reason / Evidence</t>
  </si>
  <si>
    <t>6020/6021</t>
  </si>
  <si>
    <t>ANVIL 43 / ANVIL 45</t>
  </si>
  <si>
    <t>YELLOW BASE COAT</t>
  </si>
  <si>
    <t>0.78 kg (est — matches all 35mm)</t>
  </si>
  <si>
    <t>Added to local BOM (red font). Item ID 177 confirmed per S6. ADD to ERP BOM.</t>
  </si>
  <si>
    <t>1,000 PCS</t>
  </si>
  <si>
    <t>No cap in ERP BOM. Same 30mm white cap used by all 30mm products.</t>
  </si>
  <si>
    <t>UNKNOWN</t>
  </si>
  <si>
    <t>TBD</t>
  </si>
  <si>
    <t>No cap line in ERP BOM at all. Confirm Item ID with Rehan.</t>
  </si>
  <si>
    <t>ERP BOM#95 has no carton despite 150 pcs/carton in header. Confirm Item ID.</t>
  </si>
  <si>
    <t>0.28 kg (est)</t>
  </si>
  <si>
    <t>Product_Catalog=Yes but not in BOM. Same rate as Active Pro 30mm.</t>
  </si>
  <si>
    <t>VINCE HIS</t>
  </si>
  <si>
    <t>Product_Catalog=Yes but not in BOM. Confirm rate with Rehan.</t>
  </si>
  <si>
    <t>Header shows Latex=Yes but no latex line in BOM.</t>
  </si>
  <si>
    <t>Product_Catalog=Yes but not in BOM.</t>
  </si>
  <si>
    <t>S5 — ITEM ID CHANGES: Applied in local BOM. Must be replicated in ERP (delete old line, add new line)</t>
  </si>
  <si>
    <t>Old Item ID</t>
  </si>
  <si>
    <t>Old ERP Name</t>
  </si>
  <si>
    <t>New Item ID</t>
  </si>
  <si>
    <t>New ERP Name</t>
  </si>
  <si>
    <t>ACTIVE PRO 60ML</t>
  </si>
  <si>
    <t>0.67 kg</t>
  </si>
  <si>
    <t>0.56 kg</t>
  </si>
  <si>
    <t>0.3737 kg</t>
  </si>
  <si>
    <t>HIBA S HAIR COLOR</t>
  </si>
  <si>
    <t>HIS ONLY HC 40GM</t>
  </si>
  <si>
    <t>0.612 kg</t>
  </si>
  <si>
    <t>0.1785 kg</t>
  </si>
  <si>
    <t>0.61 kg</t>
  </si>
  <si>
    <t>M-11 SPR BEIGE DIA 25</t>
  </si>
  <si>
    <t>M-11 SPR WHITE DIA 25MM</t>
  </si>
  <si>
    <t>0.385 kg</t>
  </si>
  <si>
    <t>M-9 SPR BEIGE DIA 20.5</t>
  </si>
  <si>
    <t>M-9 SPR WHITE DIA 20.5MM</t>
  </si>
  <si>
    <t>0.24 kg</t>
  </si>
  <si>
    <t>0.292 kg</t>
  </si>
  <si>
    <t>0.31 kg</t>
  </si>
  <si>
    <t>0.6684 kg</t>
  </si>
  <si>
    <t>0.2959 kg</t>
  </si>
  <si>
    <t>6.06 PCS</t>
  </si>
  <si>
    <t>S6 — ITEM ID QUERIES: Confirm with Rehan before finalising</t>
  </si>
  <si>
    <t>Detail</t>
  </si>
  <si>
    <t>Item / ID 1</t>
  </si>
  <si>
    <t>Item / ID 2</t>
  </si>
  <si>
    <t>Question / Issue</t>
  </si>
  <si>
    <t>PID 6624 Carton</t>
  </si>
  <si>
    <t>S-43 DIA 19 (19mm product)</t>
  </si>
  <si>
    <t>3619 = 20.5mm carton</t>
  </si>
  <si>
    <t>39 = 19mm carton (expected)</t>
  </si>
  <si>
    <t>BOM originally had 20.5mm carton for 19mm product — likely Rehan data entry error. Which is correct?</t>
  </si>
  <si>
    <t>Gold Inks</t>
  </si>
  <si>
    <t>Item IDs 7094 vs 6935</t>
  </si>
  <si>
    <t>ID 7094 = INK GOLD IMP V0221267AT</t>
  </si>
  <si>
    <t>ID 6935 = GOLD V0221267-RF</t>
  </si>
  <si>
    <t>Same material or different? 7094 has 20 kg consumption; 6935 has zero. Possible duplicate.</t>
  </si>
  <si>
    <t>Verify</t>
  </si>
  <si>
    <t>LOW</t>
  </si>
  <si>
    <t>PID 5698 vs 5731</t>
  </si>
  <si>
    <t>S-45 DIA 20.5 (Samsol)</t>
  </si>
  <si>
    <t>5698 BOM#22 (old)</t>
  </si>
  <si>
    <t>5731 BOM#32 (newer)</t>
  </si>
  <si>
    <t>Is PID 5698 obsolete, superseded by 5731? Confirm ERP.</t>
  </si>
  <si>
    <t>Confirm</t>
  </si>
  <si>
    <t>PID 6077</t>
  </si>
  <si>
    <t>VINCE HIS BOM#138</t>
  </si>
  <si>
    <t>ERP BOM#138</t>
  </si>
  <si>
    <t>BOM#138 not in ERP BOMs file provided. Does it exist in ERP?</t>
  </si>
  <si>
    <t>Zinc Archimate</t>
  </si>
  <si>
    <t>PIDs 6337/6416/6312</t>
  </si>
  <si>
    <t>ZINC ARCHIMATE (Item 4165)</t>
  </si>
  <si>
    <t>ZINC STEARATE (Item 194)</t>
  </si>
  <si>
    <t>4165 is obsolete — replaced by 194. Local BOM fixed. ERP BOM# 157/166/171 must remove 4165, add 194.</t>
  </si>
  <si>
    <t>Local Fixed — ERP Pending</t>
  </si>
  <si>
    <t>Anvil Yellow BC</t>
  </si>
  <si>
    <t>PID 6020/6021</t>
  </si>
  <si>
    <t>Item 177 = YELLOW IMP 5711200008</t>
  </si>
  <si>
    <t>Confirm Item ID 177 is correct for Yellow Base Coat. Rate 0.78 kg/1000 is estimated (red font).</t>
  </si>
  <si>
    <t>Bahadur Lacquer</t>
  </si>
  <si>
    <t>PID 9004</t>
  </si>
  <si>
    <t>Item 185 (est)</t>
  </si>
  <si>
    <t>Lacquer line added to local BOM at 0.17 kg (same as 16mm). Confirm actual rate with Aurangzeb.</t>
  </si>
  <si>
    <t>S7 — ERP ITEM NAME CORRECTIONS: LACQUER spelling (LACQUAR → LACQUER). Fixed in local BOM. ERP item master still incorrect.</t>
  </si>
  <si>
    <t>Old ERP Name (wrong)</t>
  </si>
  <si>
    <t>Correct Name</t>
  </si>
  <si>
    <t>Affected Products</t>
  </si>
  <si>
    <t>→</t>
  </si>
  <si>
    <t>ACTIVE PRO, SIGNATURE, HELLO HC, VINCE NURTURAL, VINCE NURTURAL (Varnish), HIBA HC, VINCE HIS</t>
  </si>
  <si>
    <t>Obsolete in local BOM (replaced by 4155). May still appear in old ERP BOMs.</t>
  </si>
  <si>
    <t>Obsolete in local BOM (replaced by 185). May still appear in old ERP BOMs.</t>
  </si>
  <si>
    <t>S8 — SLUG CHANGE: 30mm diameter products — 30×4.3 (Item 2) → 30×4.5 S/M (Item 406). Effective 21-Apr-2026. Local BOM updated. ERP pending.</t>
  </si>
  <si>
    <t>Old Slug</t>
  </si>
  <si>
    <t>New Slug</t>
  </si>
  <si>
    <t>30×4.3 (Item 2)</t>
  </si>
  <si>
    <t>30×4.5 S/M (Item 406)</t>
  </si>
  <si>
    <t>Replace slug line in ERP BOM</t>
  </si>
  <si>
    <t>S9 — INK MANAGEMENT (Historical Average Method — BOM-based tracking not applicable)</t>
  </si>
  <si>
    <t>Ink consumption tracked via MRP sheet ink section using 12-month ERP averages (May 2025–Apr 2026). DO NOT create ink BOMs in ERP — Aurangzeb's team custom-mixes every batch. Refresh quarterly.</t>
  </si>
  <si>
    <t>Rule</t>
  </si>
  <si>
    <t>Order trigger</t>
  </si>
  <si>
    <t>Order when Days of Stock &lt; 30 (under 1 month supply)</t>
  </si>
  <si>
    <t>Safety stock</t>
  </si>
  <si>
    <t>≥ 2 months stock for high-volume inks (avg &gt; 1 kg/mo)</t>
  </si>
  <si>
    <t>Min order qty</t>
  </si>
  <si>
    <t>High-vol (&gt;1 kg/mo): 5 kg. Low-vol: 2 kg.</t>
  </si>
  <si>
    <t>Mixing buffer</t>
  </si>
  <si>
    <t>30% uplift on avg — manual mixing causes ±20-30% monthly variance.</t>
  </si>
  <si>
    <t>Dormant stock</t>
  </si>
  <si>
    <t>avg=0 but stock on hand: review with Aurangzeb before writing off.</t>
  </si>
  <si>
    <t>Quarterly refresh</t>
  </si>
  <si>
    <t>Each quarter (Aug/Nov/Feb/May): pull ERP stock report → update col E in MRP ink section.</t>
  </si>
  <si>
    <t>Open Query</t>
  </si>
  <si>
    <t>Item ID(s)</t>
  </si>
  <si>
    <t>Question / Action</t>
  </si>
  <si>
    <t>7094 / 6935</t>
  </si>
  <si>
    <t>ID 7094 consumed 20 kg in 12mo. ID 6935 = zero. Same material under two IDs? Ask Rehan to consolidate.</t>
  </si>
  <si>
    <t>Violet 400484</t>
  </si>
  <si>
    <t>3800</t>
  </si>
  <si>
    <t>Zero consumption 12 months. ~1 kg in stock. Still needed? If not → write off.</t>
  </si>
  <si>
    <t>Pink Fluorescent</t>
  </si>
  <si>
    <t>4216</t>
  </si>
  <si>
    <t>Zero consumption 12 months. ~1 kg in stock. Occasional job or obsolete?</t>
  </si>
  <si>
    <t>Ink Jet Black</t>
  </si>
  <si>
    <t>3642</t>
  </si>
  <si>
    <t>Only 1 kg consumed (Apr 2026). One-off or recurring? Avg set to 0.08 — confirm.</t>
  </si>
  <si>
    <t>Rank</t>
  </si>
  <si>
    <t>Ink Name</t>
  </si>
  <si>
    <t>12mo kg</t>
  </si>
  <si>
    <t>Avg/mo kg</t>
  </si>
  <si>
    <t>g/1000 tubes</t>
  </si>
  <si>
    <t>% of Total</t>
  </si>
  <si>
    <t>20.2%</t>
  </si>
  <si>
    <t>9.2%</t>
  </si>
  <si>
    <t>8.9%</t>
  </si>
  <si>
    <t>8.5%</t>
  </si>
  <si>
    <t>7.7%</t>
  </si>
  <si>
    <t>7.4%</t>
  </si>
  <si>
    <t>INK GOLD IMP V0221267AT</t>
  </si>
  <si>
    <t>5.1%</t>
  </si>
  <si>
    <t>4.0%</t>
  </si>
  <si>
    <t>3.3%</t>
  </si>
  <si>
    <t>Top 10 inks = 81.7% of all consumption. Remaining 15 inks share 18.3%.  Source: ERP ST_Stk_Cons_YFI.rpt · May 2025–Apr 2026 · 8,617,293 pcs produced.</t>
  </si>
  <si>
    <t>FG STOCK IN HAND — Last Updated: 13-May-2026</t>
  </si>
  <si>
    <t>Shows latest date only from FG Stock In hand (Production.xlsx). Older dates are discarded. Re-run update_production.py to refresh.</t>
  </si>
  <si>
    <t>Sr.</t>
  </si>
  <si>
    <t>Product (Catalog Name)</t>
  </si>
  <si>
    <t>Dia / Vol</t>
  </si>
  <si>
    <t>FG Qty (pcs)</t>
  </si>
  <si>
    <t>Dispatch Remarks</t>
  </si>
  <si>
    <t>Cap Item ID (auto)</t>
  </si>
  <si>
    <t>25</t>
  </si>
  <si>
    <t>OK</t>
  </si>
  <si>
    <t>Ready for dispatch</t>
  </si>
  <si>
    <t>20.5</t>
  </si>
  <si>
    <t>30</t>
  </si>
  <si>
    <t>32</t>
  </si>
  <si>
    <t>Not Ready</t>
  </si>
  <si>
    <t>To be dispatch after packing</t>
  </si>
  <si>
    <t>Inprogress on Varnish</t>
  </si>
  <si>
    <t>35</t>
  </si>
  <si>
    <t>Inprogress on Latex</t>
  </si>
  <si>
    <t>Cap Not Available</t>
  </si>
  <si>
    <t>19</t>
  </si>
  <si>
    <t>ALPHA CONTAINERS — PROJECT REFERENCE GUIDE</t>
  </si>
  <si>
    <t>Last Updated</t>
  </si>
  <si>
    <t>14-May-2026 (v10.26)</t>
  </si>
  <si>
    <t>File: AlphaContainers_v10.21.xlsx  |  9 sheets  |  TableBOM A2:M322</t>
  </si>
  <si>
    <t>S0 — NEXT TUBEX VISIT BRIEFING</t>
  </si>
  <si>
    <t>Update this section before each visit. Clear items only after confirmed.</t>
  </si>
  <si>
    <t>#</t>
  </si>
  <si>
    <t>Topic</t>
  </si>
  <si>
    <t>Owner</t>
  </si>
  <si>
    <t>ERP vs Excel Gap — Unapproved POs</t>
  </si>
  <si>
    <t>Saqib told Imran to stop recording unapproved PO production in ERP. This creates a gap between ERP records and Excel Production_Log. Need a resolution process.</t>
  </si>
  <si>
    <t>Saqib (private 1-on-1)</t>
  </si>
  <si>
    <t>Drum Testing — Lacquer BOM Rates Wrong</t>
  </si>
  <si>
    <t>BOM rates for lacquer are systematically understated (50%+ gap confirmed). Propose drum-weight testing to Saqib. Framing document ready.</t>
  </si>
  <si>
    <t>Saqib</t>
  </si>
  <si>
    <t>Finished Goods Visibility</t>
  </si>
  <si>
    <t>FG Stock sheet now updated daily by script. Verify Imran is entering accurate data every morning. Define what 'OK' vs 'Not Ready' means precisely.</t>
  </si>
  <si>
    <t>Aurangzeb / Imran</t>
  </si>
  <si>
    <t>Over-production Policy</t>
  </si>
  <si>
    <t>Common commodity products: over-production acceptable. Custom/rare orders: must not exceed target. Needs formal Saqib sign-off.</t>
  </si>
  <si>
    <t>Close Old Bugged ERP Orders</t>
  </si>
  <si>
    <t>Old ERP Job Orders inflate WIP numbers. Flag to Rehan for ERP cleanup.</t>
  </si>
  <si>
    <t>Rehan</t>
  </si>
  <si>
    <t>PET BOM Creation (all 11 PIDs)</t>
  </si>
  <si>
    <t>None of the PET products have ERP BOMs. See BOM Issues S2 for full list. Rehan to create.</t>
  </si>
  <si>
    <t>PID 6624 Carton Confirmation</t>
  </si>
  <si>
    <t>S-43 DIA 19 carton: Item 3619 (20.5mm) or Item 39 (19mm)? Likely 39 — Rehan to confirm.</t>
  </si>
  <si>
    <t>Anvil Yellow BC Item ID</t>
  </si>
  <si>
    <t>Confirm Item 177 is correct for Yellow Base Coat (6020/6021). Rate 0.78 kg est (red).</t>
  </si>
  <si>
    <t>120ml PET Bottle Weight</t>
  </si>
  <si>
    <t>PIDs 8005/8011/8012 show 15g estimated. Confirm by weighing on floor.</t>
  </si>
  <si>
    <t>Aurangzeb</t>
  </si>
  <si>
    <t>Yellow Masterbatch</t>
  </si>
  <si>
    <t>Item 4070 (ONCOLOR YELLOW) vs Item 4002 (YELLOW CMN#3087). Which is used for Samsol bottles?</t>
  </si>
  <si>
    <t>S1 — PEOPLE</t>
  </si>
  <si>
    <t>Name</t>
  </si>
  <si>
    <t>Role</t>
  </si>
  <si>
    <t>Since</t>
  </si>
  <si>
    <t>Sikander</t>
  </si>
  <si>
    <t>Planning &amp; Procurement Lead — both plants (Aerosol base, Tubex weekly visits)</t>
  </si>
  <si>
    <t>Reports to Saqib. ~10 yrs supply chain: BOPET film, SAP ERP, export logistics.</t>
  </si>
  <si>
    <t>Mar 2026</t>
  </si>
  <si>
    <t>Production Manager, Tubex</t>
  </si>
  <si>
    <t>Reviews AlphaContainers. Approves plan changes. Roman Urdu voice notes.</t>
  </si>
  <si>
    <t>Tubex</t>
  </si>
  <si>
    <t>Production Engineer / Floor Supervisor</t>
  </si>
  <si>
    <t>Floor measurements, physical data. Hindi voice notes.</t>
  </si>
  <si>
    <t>Store Manager</t>
  </si>
  <si>
    <t>Manages inventory, ERP store reports, ERP Item IDs and BOM confirmations.</t>
  </si>
  <si>
    <t>Imran</t>
  </si>
  <si>
    <t>Data Entry — maintains daily Production.xlsx</t>
  </si>
  <si>
    <t>Naming differs from catalog. Tracks by Job Order number.</t>
  </si>
  <si>
    <t>Seth</t>
  </si>
  <si>
    <t>Senior Stakeholder</t>
  </si>
  <si>
    <t>Reviews file periodically.</t>
  </si>
  <si>
    <t>S2 — PLANTS &amp; MACHINES</t>
  </si>
  <si>
    <t>Plant</t>
  </si>
  <si>
    <t>Capacity / Notes</t>
  </si>
  <si>
    <t>Running — aluminum collapsible tube manufacturing</t>
  </si>
  <si>
    <t>Pline-03 and Pline-04: 22,500 pcs/day each. Mon–Sat (26 days/month typical).</t>
  </si>
  <si>
    <t>PET Line</t>
  </si>
  <si>
    <t>Running — PET bottle line</t>
  </si>
  <si>
    <t>PF Machine. Separate KPI card in dashboard.</t>
  </si>
  <si>
    <t>Aerosol</t>
  </si>
  <si>
    <t>Not installed yet</t>
  </si>
  <si>
    <t>Sikander's primary base.</t>
  </si>
  <si>
    <t>Diameter conflict</t>
  </si>
  <si>
    <t>Both machines MUST run different diameters on the same day.</t>
  </si>
  <si>
    <t>Changeover cost</t>
  </si>
  <si>
    <t>5,000 pcs deduction on the day the outgoing product finishes (not next day). Same-dia plate swap = no deduction.</t>
  </si>
  <si>
    <t>Scrap factor</t>
  </si>
  <si>
    <t>10% built into BOM formulas. Covers rejected tubes only — NOT solvent evaporation.</t>
  </si>
  <si>
    <t>Confirmed orders run before Expected orders unless Saqib overrides.</t>
  </si>
  <si>
    <t>Exact quantities</t>
  </si>
  <si>
    <t>Plan exactly the ordered amount. No rounding up without approval.</t>
  </si>
  <si>
    <t>S3 — SHEET MAP (9 sheets)</t>
  </si>
  <si>
    <t>Sheet</t>
  </si>
  <si>
    <t>Purpose</t>
  </si>
  <si>
    <t>Key Details</t>
  </si>
  <si>
    <t>Tubex_Dashboard</t>
  </si>
  <si>
    <t>KPIs: Tube (Printing only, no Varnish, no PET) + PET. Downtime. Active orders with MTD compliance.</t>
  </si>
  <si>
    <t>Filters: SEARCH('(Varnish)') excludes varnish passes. PF Machine for PET KPIs.</t>
  </si>
  <si>
    <t>MRP</t>
  </si>
  <si>
    <t>Active orders + Material Requirement Plan. Tube orders rows 3–10, PET rows 101–106. Ink section rows 122–150.</t>
  </si>
  <si>
    <t>MRP D column (Product ID) MUST be hardcoded — if blank, all SUMIF material reqs = 0 (silent failure).</t>
  </si>
  <si>
    <t>BOM</t>
  </si>
  <si>
    <t>All product BOMs. TableBOM = A2:M345 (322 tube rows + 7 for PID 6623, 7 for PID 6624, remainder PET/historical). Cols: PID|BOM|Customer|Product|Dia|MatCat|ItemID|ItemName|UOM|Per1000|MatGroup|Scrap%|Note</t>
  </si>
  <si>
    <t>Cols: PID|BOM|Customer|Product|Dia|MatCat|ItemID|ItemName|UOM|Per1000|MatGroup|Scrap%|ChangeNote</t>
  </si>
  <si>
    <t>Inventory</t>
  </si>
  <si>
    <t>ERP items. E=Opening, F=Received, G=Issued, H=Store Balance, I=WIP, J=Total.</t>
  </si>
  <si>
    <t>Category order: Slug→Lacquer→Base Coat→Latex→Zinc→Cap→Carton→Tape→Thinner→Ink→PET Resin→MB→Poly Bag→Packing</t>
  </si>
  <si>
    <t>Product_Catalog</t>
  </si>
  <si>
    <t>SINGLE SOURCE OF TRUTH for customer and product names. Calculator cols I–P.</t>
  </si>
  <si>
    <t>To rename a customer: update col C only. All other sheets derive from here by PID.</t>
  </si>
  <si>
    <t>Production_Log</t>
  </si>
  <si>
    <t>Full production history (TableProduction). Cols A–S.</t>
  </si>
  <si>
    <t>Auto-updated daily by update_production.py v15. Never edit manually.</t>
  </si>
  <si>
    <t>BOM Issues</t>
  </si>
  <si>
    <t>ERP action register — open items only. Priority colour-coded. 9 sections.</t>
  </si>
  <si>
    <t>Sections: S1=Tube BOMs, S2=PET BOMs, S3=Rate corrections, S4=Missing lines, S5=Item ID changes, S6=Queries, S7=Lacquer spelling, S8=Slug change, S9=Ink.</t>
  </si>
  <si>
    <t>FG Stock</t>
  </si>
  <si>
    <t>Finished Goods stock in hand — latest date from Imran's Production.xlsx. Wipe-and-rewrite by update_production.py. Col I = Cap Item ID (auto-lookup from TableBOM). Row color: green=OK/Ready, orange=Not Ready/In Progress. Status 'Cap Not Available' drives MRP col K (FG Caps On Hold).</t>
  </si>
  <si>
    <t>Auto-updated by update_production.py v15. Green=Ready, Orange=Not Ready/In Progress.</t>
  </si>
  <si>
    <t>Notes &amp; Guide</t>
  </si>
  <si>
    <t>This sheet. Project context, rules, open actions.</t>
  </si>
  <si>
    <t>S4 — PYTHON SCRIPTS</t>
  </si>
  <si>
    <t>Script</t>
  </si>
  <si>
    <t>Description</t>
  </si>
  <si>
    <t>update_production.py v18</t>
  </si>
  <si>
    <t>WIPE-AND-REWRITE: clears Production_Log and FG Stock, rewrites from Production.xlsx. ALIASES (key: product+dia) and FG_ALIASES (key: product+dia+customer) map Imran names → catalog names + PIDs. PID_TO_CUSTOMER overrides customer per product. v18: Vivid H.C Brown → 6530, Vivid H.C Black → 6531, Vince His (Varnish) 20.5mm → 6077 (placeholder — see action item 21).</t>
  </si>
  <si>
    <t>Both Production_Log and FG Stock updated in a single run. FG data: latest date only, older dates discarded.</t>
  </si>
  <si>
    <t>update_inventory.py v2</t>
  </si>
  <si>
    <t>Reads Inventory.pdf (ERP Item Wise Consolidated Report). Updates cols E/F/G by Item ID match. Does NOT add new items.</t>
  </si>
  <si>
    <t>Overwrites same Excel file (no versioning). Run separately.</t>
  </si>
  <si>
    <t>update_dispatch.py v10</t>
  </si>
  <si>
    <t>Reads dispatch.xls (tubes) and dispatch_pet.xls (PET). Matches ERP product names → Product_Catalog via NAME_FIXES dict + auto-resolve. Writes MTD dispatch qty to Dashboard col K. v10: added 6623 (S-43 DIA 19MM) and 6624 (S-45 DIA 19MM) safety anchors. Ignores today's dispatch entries to avoid partial-day data.</t>
  </si>
  <si>
    <t>update_mrp.py v3</t>
  </si>
  <si>
    <t>Updates MRP remaining balance (col H only). Leaves all other columns untouched.</t>
  </si>
  <si>
    <t>Run All Updates.bat</t>
  </si>
  <si>
    <t>Runs all scripts sequentially, then git add/commit/push for GitHub Pages deployment.</t>
  </si>
  <si>
    <t>All scripts and .bat files use os.path.dirname(__file__) — no hardcoded paths.</t>
  </si>
  <si>
    <t>S5 — CRITICAL RULES</t>
  </si>
  <si>
    <t>VERSIONING</t>
  </si>
  <si>
    <t>Increment version on EVERY save. Minor = x.y+1. Major restructure = x+1.0. NEVER overwrite same version.</t>
  </si>
  <si>
    <t>RED FONT</t>
  </si>
  <si>
    <t>Red font = placeholder or unconfirmed. Never overwrite without ERP or floor confirmation.</t>
  </si>
  <si>
    <t>ERP ITEM IDs</t>
  </si>
  <si>
    <t>NEVER alter ERP Item IDs without Rehan confirmation. Equivalencies: ID 170=3595 (White BC), 4156=3869 (Beige BC).</t>
  </si>
  <si>
    <t>LACQUER SPELLING</t>
  </si>
  <si>
    <t>Correct: LACQUER. If LACQUAR appears anywhere it is a new error — fix immediately.</t>
  </si>
  <si>
    <t>VARNISH TAGS</t>
  </si>
  <si>
    <t>Never strip '(Varnish)' from product names. Dashboard and KPI formulas depend on SEARCH('(Varnish)') filter.</t>
  </si>
  <si>
    <t>INVENTORY RULE</t>
  </si>
  <si>
    <t>NEVER add items from ERP PDF unless asked. Only BOM-relevant items belong. Confirm which items and date range before executing.</t>
  </si>
  <si>
    <t>JALI ITEMS</t>
  </si>
  <si>
    <t>Items 52, 54, 57 (Jali cartons), 199 (19mm 5Ply), 495 (Carton Label), 3621 (Master Carton) — in BOM but intentionally excluded from Inventory.</t>
  </si>
  <si>
    <t>PRODUCT CATALOG</t>
  </si>
  <si>
    <t>Single source of truth. To rename: update col C only. All other sheets derive by PID.</t>
  </si>
  <si>
    <t>MHK ACCOUNT</t>
  </si>
  <si>
    <t>Muhammad Hashim Khan = cash/no-GST ERP placeholder. Not a real customer. See S6 for brand mappings.</t>
  </si>
  <si>
    <t>NEGATIVE INVENTORY</t>
  </si>
  <si>
    <t>Negative issued quantities = legitimate ERP reversal (WIP material returned to store). Not an error.</t>
  </si>
  <si>
    <t>COATING BUFFER</t>
  </si>
  <si>
    <t>Interim until drum testing: order all lacquers and base coats with 50% buffer.</t>
  </si>
  <si>
    <t>openpyxl insert_rows</t>
  </si>
  <si>
    <t>Does NOT auto-update formula references below insertion. Always fix manually.</t>
  </si>
  <si>
    <t>LibreOffice limits</t>
  </si>
  <si>
    <t>No TEXTJOIN. Cross-sheet refs must use ! notation (dot notation = #NAME?). Avoid CSE arrays — use scalar SUMPRODUCT.</t>
  </si>
  <si>
    <t>OVER-PRODUCTION</t>
  </si>
  <si>
    <t>Acceptable for commodity products. Never exceed targets on rare/custom orders without Saqib approval.</t>
  </si>
  <si>
    <t>S6 — CUSTOMER &amp; ERP CONTEXT</t>
  </si>
  <si>
    <t>MHK Mapping — PIDs 3447, 5699, 6515</t>
  </si>
  <si>
    <t>→ Samsol International Private Limited</t>
  </si>
  <si>
    <t>ERP cash/no-GST placeholder</t>
  </si>
  <si>
    <t>MHK Mapping — PIDs 6020, 6021, 6530, 6531</t>
  </si>
  <si>
    <t>→ Adore</t>
  </si>
  <si>
    <t>MHK Mapping — PID 5782</t>
  </si>
  <si>
    <t>→ Mega Grey</t>
  </si>
  <si>
    <t>MHK Mapping — PID 6338</t>
  </si>
  <si>
    <t>→ DTM</t>
  </si>
  <si>
    <t>MHK Mapping — PID 6470</t>
  </si>
  <si>
    <t>→ Customer unknown — confirm</t>
  </si>
  <si>
    <t>MHK Mapping — PID 9002</t>
  </si>
  <si>
    <t>→ Mablay Beauty (Vince Nurtural varnish pass)</t>
  </si>
  <si>
    <t>Varnish Pass Logic</t>
  </si>
  <si>
    <t>Products with 2 passes: Vince Nurtural, H.H 100GM, Vince His, Hiba HC.</t>
  </si>
  <si>
    <t>Pass 1 = print (counted in KPIs). Pass 2 = '(Varnish)' in name (excluded from tube KPI counts).</t>
  </si>
  <si>
    <t>PIDs — Vince Nurtural</t>
  </si>
  <si>
    <t>5814 = print pass. 9002 = varnish pass (placeholder PID).</t>
  </si>
  <si>
    <t>S-43 / S-45 19mm Split</t>
  </si>
  <si>
    <t>TWO separate ERP products at 19mm Samsol: PID 6623 = S-43 DIA 19MM (BOM 193) — print pass, purple, M-9 white cap. PID 6624 = S-45 DIA 19MM (BOM 192) — separate SKU. BOM names are authoritative. Product_Catalog was previously wrong (6624 mislabeled as S-43) — corrected in v10.22. Scripts v17+ correctly route samsol 43 → 6623, samsol 45 → 6624 at 19mm.</t>
  </si>
  <si>
    <t>S-43 / S-45 20.5mm Split</t>
  </si>
  <si>
    <t>PID 5699 = S-43 DIA 20.5 (Samsol). PID 5731 = SAMSOL HC 45 DIA 20.5MM. Both on hold in FG Stock due to caps (Item 6971). 67,530 + 58,000 = 125,530 caps required. See MRP row 61 col K.</t>
  </si>
  <si>
    <t>Alpha Lab</t>
  </si>
  <si>
    <t>Alpha Containers' Karachi subsidiary. Buys PET bottles for internal redistribution. PIDs 8001 (150ml), 8010 (130ml).</t>
  </si>
  <si>
    <t>ERP Item ID: 2680</t>
  </si>
  <si>
    <t>Masterbatch IDs</t>
  </si>
  <si>
    <t>Yellow=4070 (ONCOLOR YELLOW, 5%), White=5816 (5%), Black=7412 (3%).</t>
  </si>
  <si>
    <t>⚠ Open: confirm Yellow MB — 4070 vs 4002 (YELLOW CMN#3087).</t>
  </si>
  <si>
    <t>PET Bottle Weights</t>
  </si>
  <si>
    <t>120ml: 15g est (unconfirmed). 130ml: 18g confirmed. 150ml: unknown. 200ml: 25g confirmed. 300ml: 25g. 500ml: 50g.</t>
  </si>
  <si>
    <t>S7 — COATING CONSUMPTION STUDY</t>
  </si>
  <si>
    <t>Item</t>
  </si>
  <si>
    <t>Why old sheet removed</t>
  </si>
  <si>
    <t>Jan–Mar 2026 data (3 months) too short. BOMs were wrong during that period. Removed v9.32.</t>
  </si>
  <si>
    <t>Method</t>
  </si>
  <si>
    <t>6+ months ERP issuance (Inventory col G) vs Production_Log output by material category. Ratio = Actual / BOM Theoretical. Ratio &gt;1 = BOM understates.</t>
  </si>
  <si>
    <t>12-month preferred for ink.</t>
  </si>
  <si>
    <t>Recommended period</t>
  </si>
  <si>
    <t>Jun 2025–Nov 2025 (pre-Sikander, avoids transition noise).</t>
  </si>
  <si>
    <t>Interim rule</t>
  </si>
  <si>
    <t>Order 50% buffer on ALL lacquers and base coats until drum testing confirms actual rates.</t>
  </si>
  <si>
    <t>White BC ~25% understated. Epoxy Lacquer ~123% understated.</t>
  </si>
  <si>
    <t>Drum testing issue</t>
  </si>
  <si>
    <t>Drums get partially refilled. Simple weigh-before/after method proposed to Saqib. Pending approval.</t>
  </si>
  <si>
    <t>S8 — OPEN ACTION ITEMS</t>
  </si>
  <si>
    <t>Task</t>
  </si>
  <si>
    <t>Apply Item ID changes from BOM Issues S5 to ERP system</t>
  </si>
  <si>
    <t>See BOM Issues S5 for full list.</t>
  </si>
  <si>
    <t>ERP team</t>
  </si>
  <si>
    <t>Confirm Anvil Yellow BC Item ID with Rehan</t>
  </si>
  <si>
    <t>Likely Item 177 (YELLOW IMP 5711200008). Rate 0.78 kg/1000 est (red font in BOM).</t>
  </si>
  <si>
    <t>Fix Anvil 43/45 lacquer ERP rate: 0.16 → 0.50 kg/1000</t>
  </si>
  <si>
    <t>BOM Issues S3. 3× understatement confirmed by floor measurement.</t>
  </si>
  <si>
    <t>Fix DTM base coat ERP: 5,600,000 → 0.56 kg</t>
  </si>
  <si>
    <t>Data entry error — magnitude wrong. BOM Issues S3.</t>
  </si>
  <si>
    <t>Add cap (Item 578) to HIBA S HAIR COLOR ERP BOM (6312)</t>
  </si>
  <si>
    <t>BOM Issues S4.</t>
  </si>
  <si>
    <t>Add carton line to VINCE NURTURAL ERP BOM#95</t>
  </si>
  <si>
    <t>Item ID unknown — confirm with Rehan.</t>
  </si>
  <si>
    <t>Create ERP BOMs: tube placeholders 9004 (BAHADUR 12.5MM) and 9006 (SAMSOL RED 25MM). NOTE: 9002 (VINCE NURTURAL Varnish) removed — no varnish-only BOMs per decision May 2026.</t>
  </si>
  <si>
    <t>9003 resolved → now PID 6624 (confirmed ERP PID).</t>
  </si>
  <si>
    <t>Create ERP BOMs: all 11 PET products (8001–8014)</t>
  </si>
  <si>
    <t>Only resin line exists for most. Cap/carton/label IDs all unknown.</t>
  </si>
  <si>
    <t>Confirm carton for PID 6624 (S-45 DIA 19MM, BOM 192) with Rehan. Old action was based on wrong name — product is S-45 not S-43. PID 6623 (S-43 DIA 19MM) uses carton Item 3619 (per uploaded BOM doc).</t>
  </si>
  <si>
    <t>3619 = 20.5mm carton, 39 = 19mm. Likely 39 is correct.</t>
  </si>
  <si>
    <t>Confirm TUBES COMMON RED (PID 6470) real customer</t>
  </si>
  <si>
    <t>Currently under MHK placeholder.</t>
  </si>
  <si>
    <t>Redo Coating Analysis — 6-month methodology</t>
  </si>
  <si>
    <t>See S7 for methodology. Build after ERP BOMs corrected.</t>
  </si>
  <si>
    <t>Weigh 120ml PET bottles (PIDs 8005/8011/8012)</t>
  </si>
  <si>
    <t>15g is unconfirmed estimate (red in BOM).</t>
  </si>
  <si>
    <t>Confirm Yellow Masterbatch: Item 4070 vs Item 4002</t>
  </si>
  <si>
    <t>4070=ONCOLOR YELLOW, 4002=YELLOW CMN#3087. Which used for Samsol?</t>
  </si>
  <si>
    <t>Fix tape rate Samsol HC 43/45: 2.996 → 0.059 PCS in ERP</t>
  </si>
  <si>
    <t>50× data entry error. BOM Issues S3.</t>
  </si>
  <si>
    <t>Confirm PID 5698 vs 5731 (S-45 20.5mm) — is 5698 obsolete?</t>
  </si>
  <si>
    <t>Confirm PID 6077 VINCE HIS BOM#138 exists in ERP</t>
  </si>
  <si>
    <t>ERP item names: LACQUAR → LACQUER (Items 4155, 1065, 184)</t>
  </si>
  <si>
    <t>Fixed locally in v10.9. ERP item master still incorrect.</t>
  </si>
  <si>
    <t>V-HC BROWN/BLACK (6530/6531): local BOM lacquer rate may be wrong</t>
  </si>
  <si>
    <t>BOM Issues S3. Same understatement issue as Anvil.</t>
  </si>
  <si>
    <t>Create ERP BOM for PID 8014 (BT-200ML MUSTARD OIL)</t>
  </si>
  <si>
    <t>New product May 2026. Confirm weight and masterbatch.</t>
  </si>
  <si>
    <t>Rehan / Aurangzeb</t>
  </si>
  <si>
    <t>20 — RESOLVED</t>
  </si>
  <si>
    <t>RESOLVED: PID 6624 ERP BOM# = 192 (S-45 DIA 19MM, confirmed from BOM sheet). PID 6623 ERP BOM# = 193 (S-43 DIA 19MM, per ERP BOM document uploaded May 2026).</t>
  </si>
  <si>
    <t>BOM# cleared in Product_Catalog (was placeholder 903). Confirm real ERP BOM# once BOM is created.</t>
  </si>
  <si>
    <t>21 — CLOSED</t>
  </si>
  <si>
    <t>CLOSED (May 2026): No varnish-only BOMs or PIDs. Varnish passes are logged in Production_Log by product name with '(Varnish)' tag and PID=None. Dashboard filters by name tag. No PID assignment needed. PID 9002 BOM rows deleted from BOM sheet.</t>
  </si>
  <si>
    <t>22</t>
  </si>
  <si>
    <t>Ghost inventory rows: Item 170 (WHITE BC, alias of 3595) and Item 3869 (BEIGE BC, alias of 4156) both have 0 balances in Inventory. These are stale ERP alias IDs — all BOMs use canonical IDs 3595/4156. Confirm with Rehan these are safe to archive/zero-out in ERP. Do NOT order from these IDs.</t>
  </si>
  <si>
    <t>23</t>
  </si>
  <si>
    <t>Item 2 (30X4.3 slug, old spec) still in BOM for PIDs 2909 and 6151 (both inactive). Slug transition to Item 406 (30X4.5 S/M) happened April 2026. Update these two BOM rows to Item 406 when those orders resume, so MRP row 25 doesn't show false requirement if they're ever ordered again.</t>
  </si>
  <si>
    <t>Remarks</t>
  </si>
  <si>
    <t>CAPS Not Approved</t>
  </si>
  <si>
    <t>Hold Due to Payment Issue</t>
  </si>
  <si>
    <t>SLUG in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</si>
</sst>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-mmm\-yyyy"/>
    <numFmt numFmtId="165" formatCode="0.0%"/>
    <numFmt numFmtId="166" formatCode="0.0"/>
    <numFmt numFmtId="167" formatCode="0.#"/>
    <numFmt numFmtId="168" formatCode="m/d/yyyy"/>
    <numFmt numFmtId="169" formatCode="0.000"/>
    <numFmt numFmtId="170" formatCode="#,##0.0"/>
    <numFmt numFmtId="171" formatCode="_(* #,##0.00_);_(* \(#,##0.00\);_(* \-??_);_(@_)"/>
  </numFmts>
  <fonts count="4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rgb="FF000000"/>
      <name val="Segoe UI"/>
      <family val="2"/>
      <charset val="1"/>
    </font>
    <font>
      <b/>
      <sz val="18"/>
      <color rgb="FFFFFFFF"/>
      <name val="Segoe UI"/>
      <family val="2"/>
      <charset val="1"/>
    </font>
    <font>
      <b/>
      <sz val="12"/>
      <color rgb="FFBDD7EE"/>
      <name val="Segoe UI"/>
      <family val="2"/>
      <charset val="1"/>
    </font>
    <font>
      <b/>
      <sz val="12"/>
      <color rgb="FFFFFFFF"/>
      <name val="Segoe UI"/>
      <family val="2"/>
      <charset val="1"/>
    </font>
    <font>
      <sz val="18"/>
      <color rgb="FFFFFFFF"/>
      <name val="Segoe UI"/>
      <family val="2"/>
      <charset val="1"/>
    </font>
    <font>
      <b/>
      <sz val="11"/>
      <color theme="0"/>
      <name val="Segoe UI"/>
      <family val="2"/>
      <charset val="1"/>
    </font>
    <font>
      <b/>
      <sz val="9"/>
      <color rgb="FFFFFFFF"/>
      <name val="Segoe UI"/>
      <family val="2"/>
      <charset val="1"/>
    </font>
    <font>
      <b/>
      <sz val="12"/>
      <color rgb="FFB4E0E0"/>
      <name val="Segoe UI"/>
      <family val="2"/>
      <charset val="1"/>
    </font>
    <font>
      <sz val="9"/>
      <name val="Segoe UI"/>
      <family val="2"/>
      <charset val="1"/>
    </font>
    <font>
      <b/>
      <sz val="15"/>
      <color theme="0"/>
      <name val="Segoe U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Segoe UI"/>
      <family val="2"/>
      <charset val="1"/>
    </font>
    <font>
      <sz val="11"/>
      <name val="Calibri"/>
      <family val="2"/>
      <charset val="1"/>
    </font>
    <font>
      <b/>
      <sz val="13"/>
      <color rgb="FFFFFFFF"/>
      <name val="Segoe UI"/>
      <family val="2"/>
      <charset val="1"/>
    </font>
    <font>
      <sz val="9"/>
      <color rgb="FF1A1A2E"/>
      <name val="Segoe UI"/>
      <family val="2"/>
      <charset val="1"/>
    </font>
    <font>
      <b/>
      <sz val="9"/>
      <color rgb="FF1A1A2E"/>
      <name val="Segoe UI"/>
      <family val="2"/>
      <charset val="1"/>
    </font>
    <font>
      <b/>
      <sz val="11"/>
      <color rgb="FFFFFFFF"/>
      <name val="Segoe UI"/>
      <family val="2"/>
      <charset val="1"/>
    </font>
    <font>
      <b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"/>
      <name val="Calibri"/>
      <family val="2"/>
      <charset val="1"/>
    </font>
    <font>
      <i/>
      <sz val="9"/>
      <name val="Calibri"/>
      <family val="2"/>
      <charset val="1"/>
    </font>
    <font>
      <sz val="10"/>
      <color rgb="FF888888"/>
      <name val="Calibri"/>
      <family val="2"/>
      <charset val="1"/>
    </font>
    <font>
      <b/>
      <sz val="14"/>
      <color rgb="FFFFFFFF"/>
      <name val="Segoe UI"/>
      <family val="2"/>
      <charset val="1"/>
    </font>
    <font>
      <b/>
      <sz val="10"/>
      <color rgb="FFFFFFFF"/>
      <name val="Segoe UI"/>
      <family val="2"/>
      <charset val="1"/>
    </font>
    <font>
      <sz val="10"/>
      <color theme="1"/>
      <name val="Calibri"/>
      <family val="2"/>
      <charset val="1"/>
    </font>
    <font>
      <sz val="9"/>
      <color rgb="FF00B050"/>
      <name val="Segoe UI"/>
      <family val="2"/>
      <charset val="1"/>
    </font>
    <font>
      <sz val="9"/>
      <color rgb="FFFF0000"/>
      <name val="Segoe UI"/>
      <family val="2"/>
      <charset val="1"/>
    </font>
    <font>
      <sz val="11"/>
      <color rgb="FFFF0000"/>
      <name val="Calibri"/>
      <family val="2"/>
      <charset val="1"/>
    </font>
    <font>
      <b/>
      <sz val="8"/>
      <color rgb="FFFFFFFF"/>
      <name val="Segoe UI"/>
      <family val="2"/>
      <charset val="1"/>
    </font>
    <font>
      <b/>
      <sz val="9"/>
      <color rgb="FF0000AA"/>
      <name val="Segoe UI"/>
      <family val="2"/>
      <charset val="1"/>
    </font>
    <font>
      <i/>
      <sz val="8"/>
      <color rgb="FF555577"/>
      <name val="Segoe UI"/>
      <family val="2"/>
      <charset val="1"/>
    </font>
    <font>
      <i/>
      <sz val="9"/>
      <color rgb="FF1A1A2E"/>
      <name val="Segoe UI"/>
      <family val="2"/>
      <charset val="1"/>
    </font>
    <font>
      <b/>
      <sz val="15"/>
      <color rgb="FFFFFFFF"/>
      <name val="Segoe UI"/>
      <family val="2"/>
      <charset val="1"/>
    </font>
    <font>
      <sz val="9"/>
      <color rgb="FF1A1A2E"/>
      <name val="Segoe UI"/>
    </font>
    <font>
      <b/>
      <sz val="9"/>
      <color rgb="FF1A1A2E"/>
      <name val="Segoe UI"/>
    </font>
    <font>
      <sz val="11"/>
      <color theme="1"/>
      <name val="Calibri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2F2F2"/>
        <bgColor rgb="FFF2F3F4"/>
      </patternFill>
    </fill>
    <fill>
      <patternFill patternType="solid">
        <fgColor rgb="FF1F3864"/>
        <bgColor rgb="FF2E4057"/>
      </patternFill>
    </fill>
    <fill>
      <patternFill patternType="solid">
        <fgColor rgb="FF2E4D8F"/>
        <bgColor rgb="FF2E4057"/>
      </patternFill>
    </fill>
    <fill>
      <patternFill patternType="solid">
        <fgColor rgb="FF1F6B75"/>
        <bgColor rgb="FF008080"/>
      </patternFill>
    </fill>
    <fill>
      <patternFill patternType="solid">
        <fgColor theme="4" tint="0.79979857783745845"/>
        <bgColor rgb="FFE8EDF5"/>
      </patternFill>
    </fill>
    <fill>
      <patternFill patternType="solid">
        <fgColor theme="0" tint="-0.14999847407452621"/>
        <bgColor rgb="FFD5D8DC"/>
      </patternFill>
    </fill>
    <fill>
      <patternFill patternType="solid">
        <fgColor rgb="FFF7F9FC"/>
        <bgColor rgb="FFF5F5F5"/>
      </patternFill>
    </fill>
    <fill>
      <patternFill patternType="solid">
        <fgColor rgb="FFEDF2FB"/>
        <bgColor rgb="FFF0F3F8"/>
      </patternFill>
    </fill>
    <fill>
      <patternFill patternType="solid">
        <fgColor rgb="FFF5F5F5"/>
        <bgColor rgb="FFF2F4F8"/>
      </patternFill>
    </fill>
    <fill>
      <patternFill patternType="solid">
        <fgColor rgb="FF2E4057"/>
        <bgColor rgb="FF1F3864"/>
      </patternFill>
    </fill>
    <fill>
      <patternFill patternType="solid">
        <fgColor rgb="FFEBF5FB"/>
        <bgColor rgb="FFEDF2FB"/>
      </patternFill>
    </fill>
    <fill>
      <patternFill patternType="solid">
        <fgColor rgb="FFF2F3F4"/>
        <bgColor rgb="FFF2F2F2"/>
      </patternFill>
    </fill>
    <fill>
      <patternFill patternType="solid">
        <fgColor rgb="FF1A1A2E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E8EDF5"/>
        <bgColor rgb="FFEDF2FB"/>
      </patternFill>
    </fill>
    <fill>
      <patternFill patternType="solid">
        <fgColor rgb="FFFDF0E0"/>
        <bgColor rgb="FFFDF3DC"/>
      </patternFill>
    </fill>
    <fill>
      <patternFill patternType="solid">
        <fgColor rgb="FFFCE4E4"/>
        <bgColor rgb="FFFDEBD0"/>
      </patternFill>
    </fill>
    <fill>
      <patternFill patternType="solid">
        <fgColor rgb="FFFFFCE0"/>
        <bgColor rgb="FFFDF3DC"/>
      </patternFill>
    </fill>
    <fill>
      <patternFill patternType="solid">
        <fgColor rgb="FFFDF3DC"/>
        <bgColor rgb="FFFDF0E0"/>
      </patternFill>
    </fill>
    <fill>
      <patternFill patternType="solid">
        <fgColor rgb="FFF0F3F8"/>
        <bgColor rgb="FFF2F4F8"/>
      </patternFill>
    </fill>
    <fill>
      <patternFill patternType="solid">
        <fgColor rgb="FFF2F4F8"/>
        <bgColor rgb="FFF0F3F8"/>
      </patternFill>
    </fill>
    <fill>
      <patternFill patternType="solid">
        <fgColor rgb="FFD6EAD6"/>
      </patternFill>
    </fill>
    <fill>
      <patternFill patternType="solid">
        <fgColor rgb="FFFDEBD0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2E4D8F"/>
      </top>
      <bottom style="thin">
        <color auto="1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/>
      <top/>
      <bottom style="thin">
        <color rgb="FFD0D5D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9">
    <xf numFmtId="0" fontId="0" fillId="0" borderId="0"/>
    <xf numFmtId="171" fontId="39" fillId="0" borderId="0"/>
    <xf numFmtId="0" fontId="39" fillId="0" borderId="0"/>
    <xf numFmtId="0" fontId="39" fillId="0" borderId="0">
      <alignment horizontal="left"/>
    </xf>
    <xf numFmtId="0" fontId="39" fillId="0" borderId="0"/>
    <xf numFmtId="0" fontId="39" fillId="0" borderId="0"/>
    <xf numFmtId="0" fontId="1" fillId="0" borderId="0"/>
    <xf numFmtId="0" fontId="1" fillId="0" borderId="0">
      <alignment horizontal="left"/>
    </xf>
    <xf numFmtId="0" fontId="39" fillId="0" borderId="0"/>
  </cellStyleXfs>
  <cellXfs count="299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2" fillId="2" borderId="0" xfId="0" applyFont="1" applyFill="1"/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166" fontId="10" fillId="6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vertical="center"/>
    </xf>
    <xf numFmtId="0" fontId="10" fillId="0" borderId="0" xfId="0" applyFont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166" fontId="10" fillId="6" borderId="0" xfId="0" applyNumberFormat="1" applyFont="1" applyFill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8" fillId="4" borderId="4" xfId="0" applyFont="1" applyFill="1" applyBorder="1" applyAlignment="1">
      <alignment horizontal="center" vertical="center" wrapText="1"/>
    </xf>
    <xf numFmtId="9" fontId="8" fillId="4" borderId="4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3" fontId="12" fillId="6" borderId="0" xfId="0" applyNumberFormat="1" applyFont="1" applyFill="1" applyAlignment="1">
      <alignment horizontal="left" vertical="center"/>
    </xf>
    <xf numFmtId="167" fontId="12" fillId="6" borderId="0" xfId="0" applyNumberFormat="1" applyFont="1" applyFill="1" applyAlignment="1">
      <alignment horizontal="center" vertical="center"/>
    </xf>
    <xf numFmtId="3" fontId="12" fillId="6" borderId="0" xfId="0" applyNumberFormat="1" applyFont="1" applyFill="1" applyAlignment="1">
      <alignment horizontal="center" vertical="center" wrapText="1"/>
    </xf>
    <xf numFmtId="3" fontId="12" fillId="6" borderId="0" xfId="0" applyNumberFormat="1" applyFont="1" applyFill="1" applyAlignment="1">
      <alignment horizontal="center" vertical="center"/>
    </xf>
    <xf numFmtId="3" fontId="13" fillId="6" borderId="0" xfId="0" applyNumberFormat="1" applyFont="1" applyFill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166" fontId="10" fillId="0" borderId="6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3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left" vertical="center"/>
    </xf>
    <xf numFmtId="167" fontId="12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 wrapText="1"/>
    </xf>
    <xf numFmtId="0" fontId="13" fillId="0" borderId="0" xfId="0" applyFont="1"/>
    <xf numFmtId="3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3" fontId="12" fillId="7" borderId="0" xfId="0" applyNumberFormat="1" applyFont="1" applyFill="1" applyAlignment="1">
      <alignment horizontal="left" vertical="center"/>
    </xf>
    <xf numFmtId="167" fontId="12" fillId="7" borderId="0" xfId="0" applyNumberFormat="1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center" vertical="center" wrapText="1"/>
    </xf>
    <xf numFmtId="3" fontId="12" fillId="7" borderId="0" xfId="0" applyNumberFormat="1" applyFont="1" applyFill="1" applyAlignment="1">
      <alignment horizontal="center" vertical="center"/>
    </xf>
    <xf numFmtId="3" fontId="13" fillId="7" borderId="0" xfId="0" applyNumberFormat="1" applyFont="1" applyFill="1" applyAlignment="1">
      <alignment horizontal="center" vertical="center"/>
    </xf>
    <xf numFmtId="9" fontId="12" fillId="7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/>
    <xf numFmtId="1" fontId="1" fillId="0" borderId="0" xfId="0" applyNumberFormat="1" applyFont="1" applyAlignment="1">
      <alignment horizontal="left"/>
    </xf>
    <xf numFmtId="0" fontId="1" fillId="0" borderId="0" xfId="0" applyFont="1"/>
    <xf numFmtId="0" fontId="16" fillId="3" borderId="7" xfId="0" applyFont="1" applyFill="1" applyBorder="1" applyAlignment="1">
      <alignment vertical="center"/>
    </xf>
    <xf numFmtId="0" fontId="16" fillId="3" borderId="8" xfId="0" applyFont="1" applyFill="1" applyBorder="1" applyAlignment="1">
      <alignment vertical="center"/>
    </xf>
    <xf numFmtId="2" fontId="16" fillId="3" borderId="8" xfId="0" applyNumberFormat="1" applyFont="1" applyFill="1" applyBorder="1" applyAlignment="1">
      <alignment vertical="center"/>
    </xf>
    <xf numFmtId="1" fontId="16" fillId="3" borderId="8" xfId="0" applyNumberFormat="1" applyFont="1" applyFill="1" applyBorder="1" applyAlignment="1">
      <alignment horizontal="right" vertical="center"/>
    </xf>
    <xf numFmtId="168" fontId="16" fillId="3" borderId="9" xfId="0" applyNumberFormat="1" applyFont="1" applyFill="1" applyBorder="1" applyAlignment="1">
      <alignment horizontal="left" vertical="center"/>
    </xf>
    <xf numFmtId="0" fontId="10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2" fontId="8" fillId="4" borderId="3" xfId="0" applyNumberFormat="1" applyFont="1" applyFill="1" applyBorder="1" applyAlignment="1">
      <alignment horizontal="center" vertical="center" wrapText="1"/>
    </xf>
    <xf numFmtId="1" fontId="8" fillId="4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/>
    </xf>
    <xf numFmtId="1" fontId="18" fillId="8" borderId="3" xfId="0" applyNumberFormat="1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vertical="center"/>
    </xf>
    <xf numFmtId="0" fontId="19" fillId="3" borderId="11" xfId="0" applyFont="1" applyFill="1" applyBorder="1" applyAlignment="1">
      <alignment vertical="center"/>
    </xf>
    <xf numFmtId="2" fontId="19" fillId="3" borderId="11" xfId="0" applyNumberFormat="1" applyFont="1" applyFill="1" applyBorder="1" applyAlignment="1">
      <alignment vertical="center"/>
    </xf>
    <xf numFmtId="1" fontId="19" fillId="3" borderId="11" xfId="0" applyNumberFormat="1" applyFont="1" applyFill="1" applyBorder="1" applyAlignment="1">
      <alignment vertical="center"/>
    </xf>
    <xf numFmtId="3" fontId="17" fillId="8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left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/>
    </xf>
    <xf numFmtId="3" fontId="18" fillId="8" borderId="3" xfId="0" applyNumberFormat="1" applyFont="1" applyFill="1" applyBorder="1" applyAlignment="1">
      <alignment horizontal="center" vertical="center"/>
    </xf>
    <xf numFmtId="1" fontId="17" fillId="8" borderId="3" xfId="0" applyNumberFormat="1" applyFont="1" applyFill="1" applyBorder="1" applyAlignment="1">
      <alignment horizontal="center" vertical="center"/>
    </xf>
    <xf numFmtId="2" fontId="17" fillId="8" borderId="3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3" fontId="17" fillId="9" borderId="12" xfId="0" applyNumberFormat="1" applyFont="1" applyFill="1" applyBorder="1" applyAlignment="1">
      <alignment horizontal="center" vertical="center"/>
    </xf>
    <xf numFmtId="3" fontId="18" fillId="9" borderId="12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left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3" fontId="17" fillId="9" borderId="3" xfId="0" applyNumberFormat="1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3" fontId="17" fillId="8" borderId="12" xfId="0" applyNumberFormat="1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left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/>
    </xf>
    <xf numFmtId="3" fontId="18" fillId="9" borderId="3" xfId="0" applyNumberFormat="1" applyFont="1" applyFill="1" applyBorder="1" applyAlignment="1">
      <alignment horizontal="center" vertical="center"/>
    </xf>
    <xf numFmtId="2" fontId="17" fillId="9" borderId="3" xfId="0" applyNumberFormat="1" applyFont="1" applyFill="1" applyBorder="1" applyAlignment="1">
      <alignment horizontal="center" vertical="center"/>
    </xf>
    <xf numFmtId="3" fontId="18" fillId="8" borderId="12" xfId="0" applyNumberFormat="1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3" fontId="17" fillId="10" borderId="12" xfId="0" applyNumberFormat="1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left" vertical="center" wrapText="1"/>
    </xf>
    <xf numFmtId="0" fontId="17" fillId="10" borderId="12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/>
    </xf>
    <xf numFmtId="1" fontId="16" fillId="3" borderId="8" xfId="0" applyNumberFormat="1" applyFont="1" applyFill="1" applyBorder="1" applyAlignment="1">
      <alignment vertical="center"/>
    </xf>
    <xf numFmtId="0" fontId="16" fillId="3" borderId="9" xfId="0" applyFont="1" applyFill="1" applyBorder="1" applyAlignment="1">
      <alignment vertical="center"/>
    </xf>
    <xf numFmtId="0" fontId="0" fillId="0" borderId="8" xfId="0" applyBorder="1"/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1" fontId="17" fillId="0" borderId="3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1" fontId="14" fillId="8" borderId="3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1" fontId="16" fillId="3" borderId="3" xfId="0" applyNumberFormat="1" applyFont="1" applyFill="1" applyBorder="1" applyAlignment="1">
      <alignment horizontal="center" vertical="center"/>
    </xf>
    <xf numFmtId="1" fontId="16" fillId="3" borderId="0" xfId="0" applyNumberFormat="1" applyFont="1" applyFill="1" applyAlignment="1">
      <alignment horizontal="center" vertical="center"/>
    </xf>
    <xf numFmtId="3" fontId="16" fillId="3" borderId="3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left" vertical="center"/>
    </xf>
    <xf numFmtId="1" fontId="8" fillId="4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left" vertical="center"/>
    </xf>
    <xf numFmtId="1" fontId="17" fillId="8" borderId="3" xfId="0" applyNumberFormat="1" applyFont="1" applyFill="1" applyBorder="1" applyAlignment="1">
      <alignment horizontal="left" vertical="center"/>
    </xf>
    <xf numFmtId="3" fontId="17" fillId="8" borderId="3" xfId="0" applyNumberFormat="1" applyFont="1" applyFill="1" applyBorder="1" applyAlignment="1">
      <alignment horizontal="left" vertical="center"/>
    </xf>
    <xf numFmtId="3" fontId="18" fillId="8" borderId="3" xfId="0" applyNumberFormat="1" applyFont="1" applyFill="1" applyBorder="1" applyAlignment="1">
      <alignment horizontal="left" vertical="center"/>
    </xf>
    <xf numFmtId="0" fontId="18" fillId="8" borderId="3" xfId="0" applyFont="1" applyFill="1" applyBorder="1" applyAlignment="1">
      <alignment horizontal="left" vertical="center"/>
    </xf>
    <xf numFmtId="2" fontId="18" fillId="8" borderId="3" xfId="0" applyNumberFormat="1" applyFont="1" applyFill="1" applyBorder="1" applyAlignment="1">
      <alignment horizontal="center" vertical="center"/>
    </xf>
    <xf numFmtId="0" fontId="21" fillId="0" borderId="0" xfId="0" applyFont="1"/>
    <xf numFmtId="0" fontId="22" fillId="11" borderId="13" xfId="0" applyFont="1" applyFill="1" applyBorder="1" applyAlignment="1">
      <alignment horizontal="center" vertical="center" wrapText="1"/>
    </xf>
    <xf numFmtId="2" fontId="22" fillId="11" borderId="13" xfId="0" applyNumberFormat="1" applyFont="1" applyFill="1" applyBorder="1" applyAlignment="1">
      <alignment horizontal="center" vertical="center" wrapText="1"/>
    </xf>
    <xf numFmtId="1" fontId="22" fillId="11" borderId="13" xfId="0" applyNumberFormat="1" applyFont="1" applyFill="1" applyBorder="1" applyAlignment="1">
      <alignment horizontal="center" vertical="center" wrapText="1"/>
    </xf>
    <xf numFmtId="0" fontId="21" fillId="12" borderId="13" xfId="0" applyFont="1" applyFill="1" applyBorder="1" applyAlignment="1">
      <alignment horizontal="center" vertical="center"/>
    </xf>
    <xf numFmtId="0" fontId="21" fillId="12" borderId="13" xfId="0" applyFont="1" applyFill="1" applyBorder="1" applyAlignment="1">
      <alignment horizontal="left" vertical="center"/>
    </xf>
    <xf numFmtId="2" fontId="23" fillId="12" borderId="13" xfId="0" applyNumberFormat="1" applyFont="1" applyFill="1" applyBorder="1" applyAlignment="1">
      <alignment horizontal="center" vertical="center"/>
    </xf>
    <xf numFmtId="166" fontId="21" fillId="12" borderId="13" xfId="0" applyNumberFormat="1" applyFont="1" applyFill="1" applyBorder="1" applyAlignment="1">
      <alignment horizontal="center" vertical="center"/>
    </xf>
    <xf numFmtId="1" fontId="23" fillId="12" borderId="13" xfId="0" applyNumberFormat="1" applyFont="1" applyFill="1" applyBorder="1" applyAlignment="1">
      <alignment horizontal="center" vertical="center"/>
    </xf>
    <xf numFmtId="2" fontId="21" fillId="12" borderId="13" xfId="0" applyNumberFormat="1" applyFont="1" applyFill="1" applyBorder="1" applyAlignment="1">
      <alignment horizontal="center" vertical="center"/>
    </xf>
    <xf numFmtId="2" fontId="24" fillId="12" borderId="13" xfId="0" applyNumberFormat="1" applyFont="1" applyFill="1" applyBorder="1" applyAlignment="1">
      <alignment horizontal="center" vertical="center"/>
    </xf>
    <xf numFmtId="0" fontId="25" fillId="13" borderId="13" xfId="0" applyFont="1" applyFill="1" applyBorder="1" applyAlignment="1">
      <alignment horizontal="center" vertical="center"/>
    </xf>
    <xf numFmtId="0" fontId="25" fillId="13" borderId="13" xfId="0" applyFont="1" applyFill="1" applyBorder="1" applyAlignment="1">
      <alignment horizontal="left" vertical="center"/>
    </xf>
    <xf numFmtId="2" fontId="25" fillId="13" borderId="13" xfId="0" applyNumberFormat="1" applyFont="1" applyFill="1" applyBorder="1" applyAlignment="1">
      <alignment horizontal="center" vertical="center"/>
    </xf>
    <xf numFmtId="166" fontId="25" fillId="13" borderId="13" xfId="0" applyNumberFormat="1" applyFont="1" applyFill="1" applyBorder="1" applyAlignment="1">
      <alignment horizontal="center" vertical="center"/>
    </xf>
    <xf numFmtId="1" fontId="25" fillId="13" borderId="13" xfId="0" applyNumberFormat="1" applyFont="1" applyFill="1" applyBorder="1" applyAlignment="1">
      <alignment horizontal="center" vertical="center"/>
    </xf>
    <xf numFmtId="169" fontId="15" fillId="0" borderId="0" xfId="0" applyNumberFormat="1" applyFont="1"/>
    <xf numFmtId="9" fontId="12" fillId="0" borderId="0" xfId="0" applyNumberFormat="1" applyFont="1"/>
    <xf numFmtId="0" fontId="0" fillId="0" borderId="3" xfId="0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3" xfId="0" applyFont="1" applyFill="1" applyBorder="1" applyAlignment="1">
      <alignment horizontal="left" vertical="center" wrapText="1"/>
    </xf>
    <xf numFmtId="0" fontId="27" fillId="4" borderId="7" xfId="0" applyFont="1" applyFill="1" applyBorder="1" applyAlignment="1">
      <alignment horizontal="center" vertical="center" wrapText="1"/>
    </xf>
    <xf numFmtId="0" fontId="27" fillId="14" borderId="3" xfId="0" applyFont="1" applyFill="1" applyBorder="1" applyAlignment="1">
      <alignment horizontal="left" wrapText="1"/>
    </xf>
    <xf numFmtId="0" fontId="28" fillId="2" borderId="0" xfId="0" applyFont="1" applyFill="1"/>
    <xf numFmtId="0" fontId="28" fillId="0" borderId="0" xfId="0" applyFont="1"/>
    <xf numFmtId="0" fontId="2" fillId="15" borderId="3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left" vertical="center"/>
    </xf>
    <xf numFmtId="0" fontId="10" fillId="15" borderId="3" xfId="0" applyFont="1" applyFill="1" applyBorder="1" applyAlignment="1">
      <alignment horizontal="center" vertical="center"/>
    </xf>
    <xf numFmtId="169" fontId="10" fillId="15" borderId="3" xfId="0" applyNumberFormat="1" applyFont="1" applyFill="1" applyBorder="1" applyAlignment="1">
      <alignment horizontal="center" vertical="center"/>
    </xf>
    <xf numFmtId="170" fontId="2" fillId="15" borderId="3" xfId="0" applyNumberFormat="1" applyFont="1" applyFill="1" applyBorder="1" applyAlignment="1">
      <alignment horizontal="center" vertical="center"/>
    </xf>
    <xf numFmtId="0" fontId="29" fillId="0" borderId="0" xfId="0" applyFont="1"/>
    <xf numFmtId="170" fontId="30" fillId="15" borderId="3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/>
    <xf numFmtId="0" fontId="16" fillId="3" borderId="11" xfId="0" applyFont="1" applyFill="1" applyBorder="1" applyAlignment="1">
      <alignment horizontal="right"/>
    </xf>
    <xf numFmtId="168" fontId="16" fillId="3" borderId="11" xfId="0" applyNumberFormat="1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31" fillId="0" borderId="0" xfId="0" applyFont="1"/>
    <xf numFmtId="0" fontId="16" fillId="3" borderId="0" xfId="0" applyFont="1" applyFill="1" applyAlignment="1">
      <alignment horizontal="left"/>
    </xf>
    <xf numFmtId="0" fontId="16" fillId="3" borderId="0" xfId="0" applyFont="1" applyFill="1" applyAlignment="1">
      <alignment horizontal="center"/>
    </xf>
    <xf numFmtId="0" fontId="17" fillId="8" borderId="14" xfId="0" applyFont="1" applyFill="1" applyBorder="1" applyAlignment="1">
      <alignment horizontal="center" vertical="center"/>
    </xf>
    <xf numFmtId="0" fontId="17" fillId="15" borderId="14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vertical="center"/>
    </xf>
    <xf numFmtId="0" fontId="32" fillId="4" borderId="3" xfId="0" applyFont="1" applyFill="1" applyBorder="1" applyAlignment="1">
      <alignment horizontal="center" vertical="center" wrapText="1"/>
    </xf>
    <xf numFmtId="0" fontId="33" fillId="15" borderId="3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left" vertical="center"/>
    </xf>
    <xf numFmtId="0" fontId="0" fillId="0" borderId="3" xfId="0" applyBorder="1"/>
    <xf numFmtId="0" fontId="16" fillId="3" borderId="0" xfId="0" applyFont="1" applyFill="1"/>
    <xf numFmtId="164" fontId="27" fillId="4" borderId="15" xfId="0" applyNumberFormat="1" applyFont="1" applyFill="1" applyBorder="1" applyAlignment="1">
      <alignment horizontal="center" wrapText="1"/>
    </xf>
    <xf numFmtId="0" fontId="27" fillId="4" borderId="16" xfId="0" applyFont="1" applyFill="1" applyBorder="1" applyAlignment="1">
      <alignment horizontal="center" wrapText="1"/>
    </xf>
    <xf numFmtId="0" fontId="27" fillId="4" borderId="16" xfId="0" applyFont="1" applyFill="1" applyBorder="1" applyAlignment="1">
      <alignment horizontal="left" wrapText="1"/>
    </xf>
    <xf numFmtId="0" fontId="27" fillId="4" borderId="10" xfId="0" applyFont="1" applyFill="1" applyBorder="1" applyAlignment="1">
      <alignment horizontal="center" wrapText="1"/>
    </xf>
    <xf numFmtId="3" fontId="27" fillId="4" borderId="16" xfId="0" applyNumberFormat="1" applyFont="1" applyFill="1" applyBorder="1" applyAlignment="1">
      <alignment horizontal="center" wrapText="1"/>
    </xf>
    <xf numFmtId="165" fontId="27" fillId="4" borderId="16" xfId="0" applyNumberFormat="1" applyFont="1" applyFill="1" applyBorder="1" applyAlignment="1">
      <alignment horizontal="center" wrapText="1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6" fillId="3" borderId="0" xfId="0" applyFont="1" applyFill="1" applyAlignment="1">
      <alignment horizontal="left" vertical="center"/>
    </xf>
    <xf numFmtId="0" fontId="17" fillId="3" borderId="0" xfId="0" applyFont="1" applyFill="1"/>
    <xf numFmtId="0" fontId="17" fillId="15" borderId="0" xfId="0" applyFont="1" applyFill="1"/>
    <xf numFmtId="0" fontId="34" fillId="16" borderId="0" xfId="0" applyFont="1" applyFill="1" applyAlignment="1">
      <alignment horizontal="left" vertical="center"/>
    </xf>
    <xf numFmtId="0" fontId="17" fillId="16" borderId="0" xfId="0" applyFont="1" applyFill="1"/>
    <xf numFmtId="0" fontId="27" fillId="3" borderId="0" xfId="0" applyFont="1" applyFill="1" applyAlignment="1">
      <alignment horizontal="left" vertical="center"/>
    </xf>
    <xf numFmtId="0" fontId="8" fillId="4" borderId="17" xfId="0" applyFont="1" applyFill="1" applyBorder="1" applyAlignment="1">
      <alignment horizontal="center" vertical="center"/>
    </xf>
    <xf numFmtId="0" fontId="17" fillId="15" borderId="0" xfId="0" applyFont="1" applyFill="1" applyAlignment="1">
      <alignment horizontal="center" vertical="center" wrapText="1"/>
    </xf>
    <xf numFmtId="0" fontId="17" fillId="17" borderId="17" xfId="0" applyFont="1" applyFill="1" applyBorder="1" applyAlignment="1">
      <alignment horizontal="center" vertical="center" wrapText="1"/>
    </xf>
    <xf numFmtId="0" fontId="17" fillId="17" borderId="17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left" vertical="center" wrapText="1"/>
    </xf>
    <xf numFmtId="0" fontId="17" fillId="15" borderId="0" xfId="0" applyFont="1" applyFill="1" applyAlignment="1">
      <alignment horizontal="left" vertical="center" indent="1"/>
    </xf>
    <xf numFmtId="0" fontId="17" fillId="3" borderId="0" xfId="0" applyFont="1" applyFill="1" applyAlignment="1">
      <alignment horizontal="center" vertical="center"/>
    </xf>
    <xf numFmtId="0" fontId="17" fillId="18" borderId="17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left" vertical="center" wrapText="1"/>
    </xf>
    <xf numFmtId="0" fontId="17" fillId="19" borderId="17" xfId="0" applyFont="1" applyFill="1" applyBorder="1" applyAlignment="1">
      <alignment horizontal="center" vertical="center" wrapText="1"/>
    </xf>
    <xf numFmtId="0" fontId="17" fillId="19" borderId="17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left" vertical="center"/>
    </xf>
    <xf numFmtId="0" fontId="17" fillId="20" borderId="17" xfId="0" applyFont="1" applyFill="1" applyBorder="1" applyAlignment="1">
      <alignment horizontal="center" vertical="center" wrapText="1"/>
    </xf>
    <xf numFmtId="0" fontId="17" fillId="20" borderId="17" xfId="0" applyFont="1" applyFill="1" applyBorder="1" applyAlignment="1">
      <alignment horizontal="left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center"/>
    </xf>
    <xf numFmtId="0" fontId="17" fillId="15" borderId="0" xfId="0" applyFont="1" applyFill="1" applyAlignment="1">
      <alignment horizontal="left"/>
    </xf>
    <xf numFmtId="0" fontId="17" fillId="4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left" vertical="top" wrapText="1"/>
    </xf>
    <xf numFmtId="0" fontId="35" fillId="21" borderId="0" xfId="0" applyFont="1" applyFill="1" applyAlignment="1">
      <alignment horizontal="left" vertical="center"/>
    </xf>
    <xf numFmtId="0" fontId="17" fillId="21" borderId="0" xfId="0" applyFont="1" applyFill="1"/>
    <xf numFmtId="0" fontId="17" fillId="21" borderId="17" xfId="0" applyFont="1" applyFill="1" applyBorder="1" applyAlignment="1">
      <alignment horizontal="center" vertical="center" wrapText="1"/>
    </xf>
    <xf numFmtId="0" fontId="17" fillId="21" borderId="17" xfId="0" applyFont="1" applyFill="1" applyBorder="1" applyAlignment="1">
      <alignment horizontal="left" vertical="center" wrapText="1"/>
    </xf>
    <xf numFmtId="0" fontId="17" fillId="15" borderId="0" xfId="0" applyFont="1" applyFill="1" applyAlignment="1">
      <alignment horizontal="center" vertical="center"/>
    </xf>
    <xf numFmtId="2" fontId="17" fillId="21" borderId="17" xfId="0" applyNumberFormat="1" applyFont="1" applyFill="1" applyBorder="1" applyAlignment="1">
      <alignment horizontal="center" vertical="center" wrapText="1"/>
    </xf>
    <xf numFmtId="2" fontId="17" fillId="15" borderId="17" xfId="0" applyNumberFormat="1" applyFont="1" applyFill="1" applyBorder="1" applyAlignment="1">
      <alignment horizontal="center" vertical="center" wrapText="1"/>
    </xf>
    <xf numFmtId="0" fontId="34" fillId="21" borderId="0" xfId="0" applyFont="1" applyFill="1" applyAlignment="1">
      <alignment horizontal="left" vertical="center"/>
    </xf>
    <xf numFmtId="0" fontId="17" fillId="21" borderId="0" xfId="0" applyFont="1" applyFill="1" applyAlignment="1">
      <alignment horizontal="left" vertical="center" wrapText="1"/>
    </xf>
    <xf numFmtId="2" fontId="17" fillId="21" borderId="0" xfId="0" applyNumberFormat="1" applyFont="1" applyFill="1" applyAlignment="1">
      <alignment horizontal="left" vertical="center" wrapText="1"/>
    </xf>
    <xf numFmtId="2" fontId="17" fillId="15" borderId="0" xfId="0" applyNumberFormat="1" applyFont="1" applyFill="1" applyAlignment="1">
      <alignment horizontal="left" vertical="center" wrapText="1"/>
    </xf>
    <xf numFmtId="166" fontId="17" fillId="15" borderId="0" xfId="0" applyNumberFormat="1" applyFont="1" applyFill="1" applyAlignment="1">
      <alignment horizontal="center" vertical="center"/>
    </xf>
    <xf numFmtId="2" fontId="17" fillId="15" borderId="0" xfId="0" applyNumberFormat="1" applyFont="1" applyFill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left" vertical="center"/>
    </xf>
    <xf numFmtId="0" fontId="18" fillId="16" borderId="0" xfId="0" applyFont="1" applyFill="1" applyAlignment="1">
      <alignment horizontal="left" vertical="center"/>
    </xf>
    <xf numFmtId="0" fontId="17" fillId="16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top" wrapText="1"/>
    </xf>
    <xf numFmtId="0" fontId="35" fillId="22" borderId="0" xfId="0" applyFont="1" applyFill="1" applyAlignment="1">
      <alignment horizontal="left" vertical="center"/>
    </xf>
    <xf numFmtId="0" fontId="17" fillId="22" borderId="0" xfId="0" applyFont="1" applyFill="1" applyAlignment="1">
      <alignment vertical="top" wrapText="1"/>
    </xf>
    <xf numFmtId="0" fontId="17" fillId="22" borderId="0" xfId="0" applyFont="1" applyFill="1"/>
    <xf numFmtId="0" fontId="17" fillId="22" borderId="17" xfId="0" applyFont="1" applyFill="1" applyBorder="1" applyAlignment="1">
      <alignment horizontal="left" vertical="center" wrapText="1"/>
    </xf>
    <xf numFmtId="0" fontId="17" fillId="2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15" borderId="0" xfId="0" applyFont="1" applyFill="1" applyAlignment="1">
      <alignment vertical="top" wrapText="1"/>
    </xf>
    <xf numFmtId="0" fontId="17" fillId="15" borderId="0" xfId="0" applyFont="1" applyFill="1" applyAlignment="1">
      <alignment horizontal="center" vertical="top"/>
    </xf>
    <xf numFmtId="0" fontId="37" fillId="23" borderId="20" xfId="0" applyFont="1" applyFill="1" applyBorder="1" applyAlignment="1">
      <alignment horizontal="center" vertical="center"/>
    </xf>
    <xf numFmtId="0" fontId="37" fillId="23" borderId="20" xfId="0" applyFont="1" applyFill="1" applyBorder="1" applyAlignment="1">
      <alignment horizontal="left" vertical="center"/>
    </xf>
    <xf numFmtId="3" fontId="38" fillId="23" borderId="20" xfId="0" applyNumberFormat="1" applyFont="1" applyFill="1" applyBorder="1" applyAlignment="1">
      <alignment horizontal="center" vertical="center"/>
    </xf>
    <xf numFmtId="0" fontId="37" fillId="23" borderId="20" xfId="0" applyFont="1" applyFill="1" applyBorder="1" applyAlignment="1">
      <alignment horizontal="left" vertical="center" wrapText="1"/>
    </xf>
    <xf numFmtId="0" fontId="37" fillId="24" borderId="20" xfId="0" applyFont="1" applyFill="1" applyBorder="1" applyAlignment="1">
      <alignment horizontal="center" vertical="center"/>
    </xf>
    <xf numFmtId="0" fontId="37" fillId="24" borderId="20" xfId="0" applyFont="1" applyFill="1" applyBorder="1" applyAlignment="1">
      <alignment horizontal="left" vertical="center"/>
    </xf>
    <xf numFmtId="3" fontId="38" fillId="24" borderId="20" xfId="0" applyNumberFormat="1" applyFont="1" applyFill="1" applyBorder="1" applyAlignment="1">
      <alignment horizontal="center" vertical="center"/>
    </xf>
    <xf numFmtId="0" fontId="37" fillId="24" borderId="20" xfId="0" applyFont="1" applyFill="1" applyBorder="1" applyAlignment="1">
      <alignment horizontal="left" vertical="center" wrapText="1"/>
    </xf>
    <xf numFmtId="0" fontId="37" fillId="0" borderId="19" xfId="0" applyFont="1" applyBorder="1" applyAlignment="1">
      <alignment horizontal="center" vertical="center"/>
    </xf>
    <xf numFmtId="0" fontId="37" fillId="0" borderId="19" xfId="0" applyFont="1" applyBorder="1" applyAlignment="1">
      <alignment horizontal="left" vertical="center"/>
    </xf>
    <xf numFmtId="3" fontId="37" fillId="0" borderId="19" xfId="0" applyNumberFormat="1" applyFont="1" applyBorder="1" applyAlignment="1">
      <alignment horizontal="center" vertical="center"/>
    </xf>
    <xf numFmtId="0" fontId="37" fillId="0" borderId="19" xfId="0" applyFont="1" applyBorder="1" applyAlignment="1">
      <alignment horizontal="left" vertical="center" wrapText="1"/>
    </xf>
    <xf numFmtId="0" fontId="37" fillId="0" borderId="19" xfId="0" applyFont="1" applyBorder="1"/>
    <xf numFmtId="0" fontId="4" fillId="3" borderId="0" xfId="0" applyFont="1" applyFill="1"/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3" fontId="3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9" fillId="5" borderId="0" xfId="0" applyFont="1" applyFill="1" applyAlignment="1">
      <alignment vertical="center"/>
    </xf>
    <xf numFmtId="0" fontId="11" fillId="3" borderId="3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3" borderId="0" xfId="0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/>
    <xf numFmtId="1" fontId="1" fillId="0" borderId="0" xfId="0" applyNumberFormat="1" applyFont="1" applyAlignment="1">
      <alignment horizontal="left"/>
    </xf>
    <xf numFmtId="0" fontId="1" fillId="0" borderId="0" xfId="0" applyFont="1"/>
    <xf numFmtId="0" fontId="26" fillId="3" borderId="0" xfId="0" applyFont="1" applyFill="1" applyAlignment="1">
      <alignment horizontal="center"/>
    </xf>
    <xf numFmtId="169" fontId="15" fillId="0" borderId="0" xfId="0" applyNumberFormat="1" applyFont="1"/>
    <xf numFmtId="9" fontId="12" fillId="0" borderId="0" xfId="0" applyNumberFormat="1" applyFont="1"/>
    <xf numFmtId="0" fontId="16" fillId="3" borderId="11" xfId="0" applyFont="1" applyFill="1" applyBorder="1" applyAlignment="1">
      <alignment horizontal="center"/>
    </xf>
    <xf numFmtId="0" fontId="0" fillId="0" borderId="11" xfId="0" applyBorder="1"/>
    <xf numFmtId="0" fontId="34" fillId="16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1"/>
    </xf>
  </cellXfs>
  <cellStyles count="9">
    <cellStyle name="Comma 2" xfId="1" xr:uid="{00000000-0005-0000-0000-000006000000}"/>
    <cellStyle name="Normal" xfId="0" builtinId="0"/>
    <cellStyle name="Normal 2" xfId="2" xr:uid="{00000000-0005-0000-0000-000007000000}"/>
    <cellStyle name="Pivot Table Category" xfId="3" xr:uid="{00000000-0005-0000-0000-000008000000}"/>
    <cellStyle name="Pivot Table Corner" xfId="4" xr:uid="{00000000-0005-0000-0000-000009000000}"/>
    <cellStyle name="Pivot Table Field" xfId="5" xr:uid="{00000000-0005-0000-0000-00000A000000}"/>
    <cellStyle name="Pivot Table Result" xfId="6" xr:uid="{00000000-0005-0000-0000-00000B000000}"/>
    <cellStyle name="Pivot Table Title" xfId="7" xr:uid="{00000000-0005-0000-0000-00000C000000}"/>
    <cellStyle name="Pivot Table Value" xfId="8" xr:uid="{00000000-0005-0000-0000-00000D000000}"/>
  </cellStyles>
  <dxfs count="15"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color rgb="FFFF0000"/>
      </font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sz val="9"/>
        <color rgb="FF9C6500"/>
        <name val="Segoe UI"/>
        <charset val="1"/>
      </font>
      <fill>
        <patternFill>
          <bgColor rgb="FFFFEB9C"/>
        </patternFill>
      </fill>
    </dxf>
    <dxf>
      <font>
        <sz val="9"/>
        <color rgb="FF006100"/>
        <name val="Segoe UI"/>
        <charset val="1"/>
      </font>
      <fill>
        <patternFill>
          <bgColor rgb="FFC6EF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  <dxf>
      <font>
        <b/>
        <sz val="9"/>
        <color rgb="FF9C0006"/>
        <name val="Segoe U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DEBD0"/>
      <rgbColor rgb="FFFF00FF"/>
      <rgbColor rgb="FFF0F3F8"/>
      <rgbColor rgb="FF9C0006"/>
      <rgbColor rgb="FF006100"/>
      <rgbColor rgb="FF0000AA"/>
      <rgbColor rgb="FF9C6500"/>
      <rgbColor rgb="FF800080"/>
      <rgbColor rgb="FF1F6B75"/>
      <rgbColor rgb="FFB0B0B0"/>
      <rgbColor rgb="FF888888"/>
      <rgbColor rgb="FFB4E0E0"/>
      <rgbColor rgb="FFF7F9FC"/>
      <rgbColor rgb="FFFFFCE0"/>
      <rgbColor rgb="FFEBF5FB"/>
      <rgbColor rgb="FF660066"/>
      <rgbColor rgb="FFDCE6F2"/>
      <rgbColor rgb="FF0066CC"/>
      <rgbColor rgb="FFD0D8E4"/>
      <rgbColor rgb="FF000080"/>
      <rgbColor rgb="FFFF00FF"/>
      <rgbColor rgb="FFFDF3DC"/>
      <rgbColor rgb="FFF2F4F8"/>
      <rgbColor rgb="FF800080"/>
      <rgbColor rgb="FF800000"/>
      <rgbColor rgb="FF008080"/>
      <rgbColor rgb="FF0000FF"/>
      <rgbColor rgb="FFF2F3F4"/>
      <rgbColor rgb="FFEDF2FB"/>
      <rgbColor rgb="FFC6EFCE"/>
      <rgbColor rgb="FFFFEB9C"/>
      <rgbColor rgb="FFBDD7EE"/>
      <rgbColor rgb="FFD9D9D9"/>
      <rgbColor rgb="FFD0D5DD"/>
      <rgbColor rgb="FFFFC7CE"/>
      <rgbColor rgb="FF4F81BD"/>
      <rgbColor rgb="FFE8EDF5"/>
      <rgbColor rgb="FFD6EAD6"/>
      <rgbColor rgb="FFFCE4E4"/>
      <rgbColor rgb="FFFDF0E0"/>
      <rgbColor rgb="FFF2F2F2"/>
      <rgbColor rgb="FF555577"/>
      <rgbColor rgb="FFD5D8DC"/>
      <rgbColor rgb="FF1F3864"/>
      <rgbColor rgb="FF00B050"/>
      <rgbColor rgb="FF003300"/>
      <rgbColor rgb="FF1A1A2E"/>
      <rgbColor rgb="FF993300"/>
      <rgbColor rgb="FF993366"/>
      <rgbColor rgb="FF2E4D8F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BOM" displayName="TableBOM" ref="A2:M337" totalsRowShown="0">
  <autoFilter ref="A2:M337" xr:uid="{00000000-0009-0000-0100-000001000000}">
    <filterColumn colId="4">
      <filters>
        <filter val="35"/>
      </filters>
    </filterColumn>
    <filterColumn colId="5">
      <filters>
        <filter val="SLUG"/>
      </filters>
    </filterColumn>
  </autoFilter>
  <tableColumns count="13">
    <tableColumn id="1" xr3:uid="{00000000-0010-0000-0000-000001000000}" name="Product ID"/>
    <tableColumn id="2" xr3:uid="{00000000-0010-0000-0000-000002000000}" name="BOM ID"/>
    <tableColumn id="3" xr3:uid="{00000000-0010-0000-0000-000003000000}" name="Customer"/>
    <tableColumn id="4" xr3:uid="{00000000-0010-0000-0000-000004000000}" name="Product Name"/>
    <tableColumn id="5" xr3:uid="{00000000-0010-0000-0000-000005000000}" name="Dia"/>
    <tableColumn id="6" xr3:uid="{00000000-0010-0000-0000-000006000000}" name="Material Category"/>
    <tableColumn id="7" xr3:uid="{00000000-0010-0000-0000-000007000000}" name="Item ID"/>
    <tableColumn id="8" xr3:uid="{00000000-0010-0000-0000-000008000000}" name="Item Name"/>
    <tableColumn id="9" xr3:uid="{00000000-0010-0000-0000-000009000000}" name="UOM"/>
    <tableColumn id="10" xr3:uid="{00000000-0010-0000-0000-00000A000000}" name="Per 1000 Units"/>
    <tableColumn id="11" xr3:uid="{00000000-0010-0000-0000-00000B000000}" name="Material Group"/>
    <tableColumn id="12" xr3:uid="{00000000-0010-0000-0000-00000C000000}" name="Scrap %"/>
    <tableColumn id="13" xr3:uid="{00000000-0010-0000-0000-00000D000000}" name="Change No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Inventory" displayName="TableInventory" ref="A2:J113" totalsRowShown="0">
  <autoFilter ref="A2:J113" xr:uid="{00000000-0009-0000-0100-000002000000}"/>
  <tableColumns count="10">
    <tableColumn id="1" xr3:uid="{00000000-0010-0000-0100-000001000000}" name="Item ID"/>
    <tableColumn id="2" xr3:uid="{00000000-0010-0000-0100-000002000000}" name="Category"/>
    <tableColumn id="3" xr3:uid="{00000000-0010-0000-0100-000003000000}" name="Item Name (ERP)"/>
    <tableColumn id="4" xr3:uid="{00000000-0010-0000-0100-000004000000}" name="UOM"/>
    <tableColumn id="5" xr3:uid="{00000000-0010-0000-0100-000005000000}" name="Opening"/>
    <tableColumn id="6" xr3:uid="{00000000-0010-0000-0100-000006000000}" name="Received from Vendor"/>
    <tableColumn id="7" xr3:uid="{00000000-0010-0000-0100-000007000000}" name="Issued to Production"/>
    <tableColumn id="8" xr3:uid="{00000000-0010-0000-0100-000008000000}" name="Store Balance"/>
    <tableColumn id="9" xr3:uid="{00000000-0010-0000-0100-000009000000}" name="Work In Process"/>
    <tableColumn id="10" xr3:uid="{00000000-0010-0000-0100-00000A000000}" name="Pieces Can Be Produced (Store + Floor Stoc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showGridLines="0" zoomScaleNormal="100" workbookViewId="0">
      <selection activeCell="G30" sqref="G30"/>
    </sheetView>
  </sheetViews>
  <sheetFormatPr defaultColWidth="8.7109375" defaultRowHeight="15" x14ac:dyDescent="0.25"/>
  <cols>
    <col min="1" max="1" width="1.5703125" customWidth="1"/>
    <col min="2" max="2" width="10.42578125" customWidth="1"/>
    <col min="3" max="3" width="32.7109375" customWidth="1"/>
    <col min="4" max="4" width="37" customWidth="1"/>
    <col min="5" max="5" width="8.85546875" style="1" customWidth="1"/>
    <col min="6" max="6" width="9.140625" customWidth="1"/>
    <col min="7" max="7" width="12.85546875" style="2" customWidth="1"/>
    <col min="8" max="9" width="15" customWidth="1"/>
    <col min="10" max="10" width="15.28515625" customWidth="1"/>
    <col min="11" max="11" width="11.140625" customWidth="1"/>
    <col min="12" max="12" width="0.85546875" customWidth="1"/>
    <col min="13" max="13" width="14.7109375" customWidth="1"/>
    <col min="14" max="14" width="13.28515625" customWidth="1"/>
    <col min="15" max="15" width="9.5703125" customWidth="1"/>
  </cols>
  <sheetData>
    <row r="1" spans="1:29" ht="6" customHeight="1" x14ac:dyDescent="0.25">
      <c r="A1" s="3"/>
      <c r="B1" s="3"/>
      <c r="C1" s="3"/>
      <c r="D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42" customHeight="1" x14ac:dyDescent="0.25">
      <c r="A2" s="3"/>
      <c r="B2" s="285" t="s">
        <v>93</v>
      </c>
      <c r="C2" s="275"/>
      <c r="D2" s="275"/>
      <c r="E2" s="276"/>
      <c r="F2" s="275"/>
      <c r="G2" s="277"/>
      <c r="H2" s="275"/>
      <c r="I2" s="275"/>
      <c r="J2" s="275"/>
      <c r="K2" s="275"/>
      <c r="L2" s="275"/>
      <c r="M2" s="275"/>
      <c r="N2" s="275"/>
      <c r="O2" s="275"/>
      <c r="P2" s="3"/>
      <c r="Q2" s="3"/>
      <c r="R2" s="3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21.75" customHeight="1" x14ac:dyDescent="0.3">
      <c r="A3" s="3"/>
      <c r="B3" s="274" t="s">
        <v>94</v>
      </c>
      <c r="C3" s="275"/>
      <c r="D3" s="275"/>
      <c r="E3" s="276"/>
      <c r="F3" s="275"/>
      <c r="G3" s="277"/>
      <c r="H3" s="279">
        <f ca="1">TODAY()-1</f>
        <v>46156</v>
      </c>
      <c r="I3" s="275"/>
      <c r="J3" s="275"/>
      <c r="K3" s="275"/>
      <c r="L3" s="275"/>
      <c r="M3" s="275"/>
      <c r="N3" s="275"/>
      <c r="O3" s="275"/>
      <c r="P3" s="3"/>
      <c r="Q3" s="3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3" customHeight="1" x14ac:dyDescent="0.25">
      <c r="A4" s="3"/>
      <c r="B4" s="3"/>
      <c r="C4" s="3"/>
      <c r="D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27" customHeight="1" x14ac:dyDescent="0.25">
      <c r="A5" s="3"/>
      <c r="B5" s="280" t="s">
        <v>95</v>
      </c>
      <c r="C5" s="275"/>
      <c r="D5" s="5" t="s">
        <v>96</v>
      </c>
      <c r="E5" s="5"/>
      <c r="F5" s="6"/>
      <c r="G5" s="280" t="s">
        <v>97</v>
      </c>
      <c r="H5" s="275"/>
      <c r="I5" s="7"/>
      <c r="J5" s="280" t="s">
        <v>98</v>
      </c>
      <c r="K5" s="275"/>
      <c r="L5" s="3"/>
      <c r="M5" s="8" t="s">
        <v>99</v>
      </c>
      <c r="N5" s="8"/>
      <c r="O5" s="8"/>
      <c r="P5" s="3"/>
      <c r="Q5" s="3"/>
      <c r="R5" s="3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27" customHeight="1" x14ac:dyDescent="0.25">
      <c r="A6" s="3"/>
      <c r="B6" s="278">
        <f>SUMPRODUCT((Production_Log!$A$3:$A$8963=MAX(Production_Log!$A$3:$A$8963))*(LEFT(Production_Log!$B$3:$B$8963,5)="Print")*(ISERROR(SEARCH("(Varnish)",Production_Log!$D$3:$D$8963)))*Production_Log!$H$3:$H$8963)</f>
        <v>8640</v>
      </c>
      <c r="C6" s="275"/>
      <c r="D6" s="9">
        <f ca="1">SUMIF($B$11:$B$61,"TUBE",$H$11:$H$61)</f>
        <v>239880</v>
      </c>
      <c r="E6" s="278"/>
      <c r="F6" s="275"/>
      <c r="G6" s="10">
        <f t="array" ref="G6">IFERROR(SUMPRODUCT((Production_Log!$F$3:$F$8963&lt;&gt;0)*(LEFT(Production_Log!$B$3:$B$8963,5)="Print")*(ISERROR(SEARCH("(Varnish)",Production_Log!$D$3:$D$8963)))*Production_Log!$I$3:$I$8963)/SUMPRODUCT((Production_Log!$F$3:$F$8963&lt;&gt;0)*(LEFT(Production_Log!$B$3:$B$8963,5)="Print")*(ISERROR(SEARCH("(Varnish)",Production_Log!$D$3:$D$8963)))*(Production_Log!$H$3:$H$8963+Production_Log!$I$3:$I$8963)),"-")</f>
        <v>3.3092829215204157E-2</v>
      </c>
      <c r="H6" s="10"/>
      <c r="I6" s="7"/>
      <c r="J6" s="11">
        <f>SUMIF($B$11:$B$61,"TUBE",$K$11:$K$61)</f>
        <v>260603</v>
      </c>
      <c r="K6" s="10"/>
      <c r="L6" s="3"/>
      <c r="M6" s="12" t="s">
        <v>100</v>
      </c>
      <c r="N6" s="12" t="s">
        <v>101</v>
      </c>
      <c r="O6" s="12" t="s">
        <v>102</v>
      </c>
      <c r="P6" s="3"/>
      <c r="Q6" s="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7" customHeight="1" x14ac:dyDescent="0.25">
      <c r="A7" s="3"/>
      <c r="B7" s="281" t="s">
        <v>103</v>
      </c>
      <c r="C7" s="275"/>
      <c r="D7" s="14" t="s">
        <v>104</v>
      </c>
      <c r="E7" s="14"/>
      <c r="F7" s="13"/>
      <c r="G7" s="281" t="s">
        <v>105</v>
      </c>
      <c r="H7" s="275"/>
      <c r="I7" s="15"/>
      <c r="J7" s="13" t="s">
        <v>98</v>
      </c>
      <c r="K7" s="13"/>
      <c r="L7" s="3"/>
      <c r="M7" s="16" t="str">
        <f ca="1">IFERROR(INDEX($S$9:$S$25,MATCH(LARGE($U$9:$U$25,1),$U$9:$U$25,0)),"")</f>
        <v>Operations</v>
      </c>
      <c r="N7" s="17">
        <f ca="1">(IFERROR(INDEX($T$9:$T$25,MATCH(LARGE($U$9:$U$25,1),$U$9:$U$25,0)),""))/60</f>
        <v>79.333333333333329</v>
      </c>
      <c r="O7" s="18">
        <f ca="1">IFERROR(N7/$N$15,"")</f>
        <v>0.32918395573997233</v>
      </c>
      <c r="P7" s="3"/>
      <c r="Q7" s="3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27" customHeight="1" x14ac:dyDescent="0.25">
      <c r="A8" s="3"/>
      <c r="B8" s="286">
        <f>SUMPRODUCT((Production_Log!$A$3:$A$8963=MAX(Production_Log!$A$3:$A$8963))*(Production_Log!$B$3:$B$8963="PF Machine")*Production_Log!$H$3:$H$8963)</f>
        <v>0</v>
      </c>
      <c r="C8" s="275"/>
      <c r="D8" s="19">
        <f ca="1">SUMIF($B$11:$B$61,"PET",$H$11:$H$61)</f>
        <v>44640</v>
      </c>
      <c r="E8" s="286"/>
      <c r="F8" s="275"/>
      <c r="G8" s="20">
        <f t="array" ref="G8">IFERROR(SUMPRODUCT((Production_Log!$B$3:$B$8963="PF Machine")*Production_Log!$I$3:$I$8963)/SUMPRODUCT((Production_Log!$B$3:$B$8963="PF Machine")*(Production_Log!$H$3:$H$8963+Production_Log!$I$3:$I$8963)),0)</f>
        <v>5.1826677994902294E-2</v>
      </c>
      <c r="H8" s="20"/>
      <c r="I8" s="15"/>
      <c r="J8" s="21">
        <f>SUMIF($B$11:$B$61,"PET",$K$11:$K$61)</f>
        <v>107840</v>
      </c>
      <c r="K8" s="20"/>
      <c r="L8" s="3"/>
      <c r="M8" s="22" t="str">
        <f ca="1">IFERROR(INDEX($S$9:$S$25,MATCH(LARGE($U$9:$U$25,2),$U$9:$U$25,0)),"")</f>
        <v>Changeover</v>
      </c>
      <c r="N8" s="23">
        <f ca="1">IFERROR(INDEX($T$9:$T$25,MATCH(LARGE($U$9:$U$25,2),$U$9:$U$25,0)),"")/60</f>
        <v>75.166666666666671</v>
      </c>
      <c r="O8" s="24">
        <f ca="1">IFERROR(N8/$N$15,"")</f>
        <v>0.31189488243430152</v>
      </c>
      <c r="P8" s="3"/>
      <c r="Q8" s="3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20.25" customHeight="1" x14ac:dyDescent="0.25">
      <c r="A9" s="3"/>
      <c r="B9" s="282" t="s">
        <v>106</v>
      </c>
      <c r="C9" s="283"/>
      <c r="D9" s="283"/>
      <c r="E9" s="283"/>
      <c r="F9" s="283"/>
      <c r="G9" s="283"/>
      <c r="H9" s="283"/>
      <c r="I9" s="283"/>
      <c r="J9" s="283"/>
      <c r="K9" s="284"/>
      <c r="M9" s="25" t="str">
        <f ca="1">IFERROR(INDEX($S$9:$S$25,MATCH(LARGE($U$9:$U$25,3),$U$9:$U$25,0)),"")</f>
        <v>Material Shortage</v>
      </c>
      <c r="N9" s="26">
        <f ca="1">IFERROR(INDEX($T$9:$T$25,MATCH(LARGE($U$9:$U$25,3),$U$9:$U$25,0)),"")/60</f>
        <v>49.5</v>
      </c>
      <c r="O9" s="27">
        <f ca="1">IFERROR(N9/$N$15,"")</f>
        <v>0.20539419087136929</v>
      </c>
      <c r="P9" s="3"/>
      <c r="Q9" s="3"/>
      <c r="R9" s="4"/>
      <c r="S9" t="s">
        <v>107</v>
      </c>
      <c r="T9" s="28">
        <f ca="1">SUMPRODUCT((MONTH(Production_Log!$A$3:$A$8963)=MONTH(TODAY()))*(YEAR(Production_Log!$A$3:$A$8963)=YEAR(TODAY()))*Production_Log!$K$3:$K$8963)</f>
        <v>1660</v>
      </c>
      <c r="U9">
        <f ca="1">T9+0.00001</f>
        <v>1660.00001</v>
      </c>
      <c r="V9" s="4"/>
      <c r="W9" s="4"/>
      <c r="X9" s="4"/>
      <c r="Y9" s="4"/>
      <c r="Z9" s="4"/>
      <c r="AA9" s="4"/>
      <c r="AB9" s="4"/>
      <c r="AC9" s="4"/>
    </row>
    <row r="10" spans="1:29" ht="24" customHeight="1" x14ac:dyDescent="0.25">
      <c r="A10" s="3"/>
      <c r="B10" s="29" t="s">
        <v>108</v>
      </c>
      <c r="C10" s="29" t="s">
        <v>3</v>
      </c>
      <c r="D10" s="29" t="s">
        <v>4</v>
      </c>
      <c r="E10" s="29" t="s">
        <v>109</v>
      </c>
      <c r="F10" s="29" t="s">
        <v>110</v>
      </c>
      <c r="G10" s="29" t="s">
        <v>111</v>
      </c>
      <c r="H10" s="29" t="s">
        <v>112</v>
      </c>
      <c r="I10" s="29" t="s">
        <v>113</v>
      </c>
      <c r="J10" s="30" t="s">
        <v>114</v>
      </c>
      <c r="K10" s="31" t="s">
        <v>115</v>
      </c>
      <c r="M10" s="22" t="str">
        <f ca="1">IFERROR(INDEX($S$9:$S$25,MATCH(LARGE($U$9:$U$25,4),$U$9:$U$25,0)),"")</f>
        <v>Mechanical</v>
      </c>
      <c r="N10" s="23">
        <f ca="1">IFERROR(INDEX($T$9:$T$25,MATCH(LARGE($U$9:$U$25,4),$U$9:$U$25,0)),"")/60</f>
        <v>27.666666666666668</v>
      </c>
      <c r="O10" s="24">
        <f ca="1">IFERROR(N10/$N$15,"")</f>
        <v>0.11479944674965423</v>
      </c>
      <c r="P10" s="3"/>
      <c r="Q10" s="3"/>
      <c r="R10" s="4"/>
      <c r="S10" t="s">
        <v>116</v>
      </c>
      <c r="T10" s="28">
        <f ca="1">SUMPRODUCT((MONTH(Production_Log!$A$3:$A$8963)=MONTH(TODAY()))*(YEAR(Production_Log!$A$3:$A$8963)=YEAR(TODAY()))*Production_Log!$L$3:$L$8963)</f>
        <v>30</v>
      </c>
      <c r="U10">
        <f ca="1">T10+0.00002</f>
        <v>30.000019999999999</v>
      </c>
      <c r="V10" s="4"/>
      <c r="W10" s="4"/>
      <c r="X10" s="4"/>
      <c r="Y10" s="4"/>
      <c r="Z10" s="4"/>
      <c r="AA10" s="4"/>
      <c r="AB10" s="4"/>
      <c r="AC10" s="4"/>
    </row>
    <row r="11" spans="1:29" ht="16.5" customHeight="1" x14ac:dyDescent="0.25">
      <c r="A11" s="3"/>
      <c r="B11" s="32" t="s">
        <v>117</v>
      </c>
      <c r="C11" s="33" t="s">
        <v>21</v>
      </c>
      <c r="D11" s="34" t="s">
        <v>22</v>
      </c>
      <c r="E11" s="35">
        <v>16</v>
      </c>
      <c r="F11" s="36">
        <v>6561</v>
      </c>
      <c r="G11" s="37">
        <v>25000</v>
      </c>
      <c r="H11" s="38">
        <f>SUMPRODUCT((Production_Log!$F$3:$F$8963=F11)*(LEFT(Production_Log!$B$3:$B$8963,5)="Print")*(ISERROR(SEARCH("(Varnish)",Production_Log!$D$3:$D$8963)))*Production_Log!$H$3:$H$8963)</f>
        <v>0</v>
      </c>
      <c r="I11" s="37">
        <f t="shared" ref="I11:I24" si="0">G11-H11</f>
        <v>25000</v>
      </c>
      <c r="J11" s="39">
        <f t="shared" ref="J11:J24" si="1">IF(G11=0,"-",H11/G11)</f>
        <v>0</v>
      </c>
      <c r="K11" s="38"/>
      <c r="L11" s="3"/>
      <c r="M11" s="25" t="str">
        <f ca="1">IFERROR(INDEX($S$9:$S$25,MATCH(LARGE($U$9:$U$25,5),$U$9:$U$25,0)),"")</f>
        <v>Power Shutdown</v>
      </c>
      <c r="N11" s="26">
        <f ca="1">IFERROR(INDEX($T$9:$T$25,MATCH(LARGE($U$9:$U$25,5),$U$9:$U$25,0)),"")/60</f>
        <v>8.8333333333333339</v>
      </c>
      <c r="O11" s="27">
        <f ca="1">IFERROR(N11/$N$15,"")</f>
        <v>3.6652835408022132E-2</v>
      </c>
      <c r="P11" s="3"/>
      <c r="Q11" s="3"/>
      <c r="R11" s="3"/>
      <c r="S11" t="s">
        <v>118</v>
      </c>
      <c r="T11" s="28">
        <f ca="1">SUMPRODUCT((MONTH(Production_Log!$A$3:$A$8963)=MONTH(TODAY()))*(YEAR(Production_Log!$A$3:$A$8963)=YEAR(TODAY()))*Production_Log!$R$3:$R$8963)</f>
        <v>0</v>
      </c>
      <c r="U11">
        <f ca="1">T11+0.00003</f>
        <v>3.0000000000000001E-5</v>
      </c>
      <c r="V11" s="4"/>
      <c r="W11" s="4"/>
      <c r="X11" s="4"/>
      <c r="Y11" s="4"/>
      <c r="Z11" s="4"/>
      <c r="AA11" s="4"/>
      <c r="AB11" s="4"/>
      <c r="AC11" s="4"/>
    </row>
    <row r="12" spans="1:29" ht="16.5" customHeight="1" x14ac:dyDescent="0.25">
      <c r="A12" s="3"/>
      <c r="B12" s="32" t="s">
        <v>117</v>
      </c>
      <c r="C12" s="33" t="s">
        <v>26</v>
      </c>
      <c r="D12" s="34" t="s">
        <v>27</v>
      </c>
      <c r="E12" s="35">
        <v>19</v>
      </c>
      <c r="F12" s="36">
        <v>6623</v>
      </c>
      <c r="G12" s="37">
        <v>0</v>
      </c>
      <c r="H12" s="38">
        <f ca="1">SUMPRODUCT((Production_Log!$F$3:$F$8963=F12)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12" s="37">
        <f ca="1">G12-H12</f>
        <v>0</v>
      </c>
      <c r="J12" s="39" t="str">
        <f>IF(G12=0,"-",H12/G12)</f>
        <v>-</v>
      </c>
      <c r="K12" s="38">
        <v>24696</v>
      </c>
      <c r="M12" s="40" t="str">
        <f ca="1">IFERROR(INDEX($S$9:$S$25,MATCH(LARGE($U$9:$U$25,8),$U$9:$U$25,0)),"")</f>
        <v>Workers Shortage</v>
      </c>
      <c r="N12" s="41">
        <f ca="1">IFERROR(INDEX($T$9:$T$25,MATCH(LARGE($U$9:$U$25,8),$U$9:$U$25,0)),"")/60</f>
        <v>0</v>
      </c>
      <c r="O12" s="42">
        <f ca="1">IFERROR(N12/$N$15,"")</f>
        <v>0</v>
      </c>
      <c r="P12" s="3"/>
      <c r="Q12" s="3"/>
      <c r="R12" s="4"/>
      <c r="T12" s="28"/>
      <c r="V12" s="4"/>
      <c r="W12" s="4"/>
      <c r="X12" s="4"/>
      <c r="Y12" s="4"/>
      <c r="Z12" s="4"/>
      <c r="AA12" s="4"/>
      <c r="AB12" s="4"/>
      <c r="AC12" s="4"/>
    </row>
    <row r="13" spans="1:29" ht="16.5" customHeight="1" x14ac:dyDescent="0.25">
      <c r="A13" s="3"/>
      <c r="B13" s="32" t="s">
        <v>117</v>
      </c>
      <c r="C13" s="33" t="s">
        <v>26</v>
      </c>
      <c r="D13" s="34" t="s">
        <v>28</v>
      </c>
      <c r="E13" s="35">
        <v>19</v>
      </c>
      <c r="F13" s="36">
        <v>6624</v>
      </c>
      <c r="G13" s="37">
        <v>10888</v>
      </c>
      <c r="H13" s="38">
        <f>SUMPRODUCT((Production_Log!$F$3:$F$8963=F13)*(LEFT(Production_Log!$B$3:$B$8963,5)="Print")*(ISERROR(SEARCH("(Varnish)",Production_Log!$D$3:$D$8963)))*Production_Log!$H$3:$H$8963)</f>
        <v>0</v>
      </c>
      <c r="I13" s="37">
        <f t="shared" si="0"/>
        <v>10888</v>
      </c>
      <c r="J13" s="39">
        <f t="shared" si="1"/>
        <v>0</v>
      </c>
      <c r="K13" s="38">
        <v>8232</v>
      </c>
      <c r="M13" s="25" t="str">
        <f ca="1">IFERROR(INDEX($S$9:$S$25,MATCH(LARGE($U$9:$U$25,6),$U$9:$U$25,0)),"")</f>
        <v>Electrical</v>
      </c>
      <c r="N13" s="26">
        <f ca="1">IFERROR(INDEX($T$9:$T$25,MATCH(LARGE($U$9:$U$25,6),$U$9:$U$25,0)),"")/60</f>
        <v>0.5</v>
      </c>
      <c r="O13" s="27">
        <f ca="1">IFERROR(N13/$N$15,"")</f>
        <v>2.0746887966804979E-3</v>
      </c>
      <c r="P13" s="3"/>
      <c r="Q13" s="3"/>
      <c r="R13" s="4"/>
      <c r="S13" t="s">
        <v>119</v>
      </c>
      <c r="T13" s="28">
        <f ca="1">SUMPRODUCT((MONTH(Production_Log!$A$3:$A$8963)=MONTH(TODAY()))*(YEAR(Production_Log!$A$3:$A$8963)=YEAR(TODAY()))*Production_Log!$P$3:$P$8963)</f>
        <v>530</v>
      </c>
      <c r="U13">
        <f ca="1">T13+0.00004</f>
        <v>530.00004000000001</v>
      </c>
      <c r="V13" s="4"/>
      <c r="W13" s="4"/>
      <c r="X13" s="4"/>
      <c r="Y13" s="4"/>
      <c r="Z13" s="4"/>
      <c r="AA13" s="4"/>
      <c r="AB13" s="4"/>
      <c r="AC13" s="4"/>
    </row>
    <row r="14" spans="1:29" ht="16.5" customHeight="1" x14ac:dyDescent="0.25">
      <c r="A14" s="3"/>
      <c r="B14" s="32" t="s">
        <v>117</v>
      </c>
      <c r="C14" s="33" t="s">
        <v>21</v>
      </c>
      <c r="D14" s="34" t="s">
        <v>24</v>
      </c>
      <c r="E14" s="35">
        <v>19</v>
      </c>
      <c r="F14" s="36">
        <v>6559</v>
      </c>
      <c r="G14" s="37">
        <v>0</v>
      </c>
      <c r="H14" s="38">
        <f ca="1">SUMPRODUCT((Production_Log!$F$3:$F$8963=F14)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14" s="37">
        <f t="shared" ca="1" si="0"/>
        <v>0</v>
      </c>
      <c r="J14" s="39" t="str">
        <f t="shared" si="1"/>
        <v>-</v>
      </c>
      <c r="K14" s="38">
        <v>35280</v>
      </c>
      <c r="L14" s="3"/>
      <c r="M14" s="40" t="str">
        <f ca="1">IFERROR(INDEX($S$9:$S$25,MATCH(LARGE($U$9:$U$25,7),$U$9:$U$25,0)),"")</f>
        <v>Gas Shutdown</v>
      </c>
      <c r="N14" s="41">
        <f ca="1">IFERROR(INDEX($T$9:$T$25,MATCH(LARGE($U$9:$U$25,7),$U$9:$U$25,0)),"")/60</f>
        <v>0</v>
      </c>
      <c r="O14" s="42">
        <f ca="1">IFERROR(N14/$N$15,"")</f>
        <v>0</v>
      </c>
      <c r="P14" s="3"/>
      <c r="Q14" s="3"/>
      <c r="R14" s="3"/>
      <c r="T14" s="28"/>
      <c r="V14" s="4"/>
      <c r="W14" s="4"/>
      <c r="X14" s="4"/>
      <c r="Y14" s="4"/>
      <c r="Z14" s="4"/>
      <c r="AA14" s="4"/>
      <c r="AB14" s="4"/>
      <c r="AC14" s="4"/>
    </row>
    <row r="15" spans="1:29" ht="16.5" customHeight="1" x14ac:dyDescent="0.25">
      <c r="A15" s="3"/>
      <c r="B15" s="32" t="s">
        <v>117</v>
      </c>
      <c r="C15" s="33" t="s">
        <v>29</v>
      </c>
      <c r="D15" s="34" t="s">
        <v>30</v>
      </c>
      <c r="E15" s="35">
        <v>20.5</v>
      </c>
      <c r="F15" s="36">
        <v>6077</v>
      </c>
      <c r="G15" s="37">
        <v>23970</v>
      </c>
      <c r="H15" s="38">
        <f>SUMPRODUCT((Production_Log!$F$3:$F$8963=F15)*(LEFT(Production_Log!$B$3:$B$8963,5)="Print")*(ISERROR(SEARCH("(Varnish)",Production_Log!$D$3:$D$8963)))*Production_Log!$H$3:$H$8963)</f>
        <v>23970</v>
      </c>
      <c r="I15" s="37">
        <f t="shared" si="0"/>
        <v>0</v>
      </c>
      <c r="J15" s="39">
        <f t="shared" si="1"/>
        <v>1</v>
      </c>
      <c r="K15" s="38"/>
      <c r="L15" s="3"/>
      <c r="M15" s="43" t="s">
        <v>121</v>
      </c>
      <c r="N15" s="43">
        <f ca="1">SUM($T$9:$T$25)/60</f>
        <v>241</v>
      </c>
      <c r="O15" s="43" t="s">
        <v>122</v>
      </c>
      <c r="P15" s="3"/>
      <c r="Q15" s="3"/>
      <c r="R15" s="3"/>
      <c r="S15" t="s">
        <v>120</v>
      </c>
      <c r="T15" s="28">
        <f ca="1">SUMPRODUCT((MONTH(Production_Log!$A$3:$A$8963)=MONTH(TODAY()))*(YEAR(Production_Log!$A$3:$A$8963)=YEAR(TODAY()))*Production_Log!$M$3:$M$8963)</f>
        <v>2970</v>
      </c>
      <c r="U15">
        <f ca="1">T15+0.00005</f>
        <v>2970.0000500000001</v>
      </c>
      <c r="V15" s="4"/>
      <c r="W15" s="4"/>
      <c r="X15" s="4"/>
      <c r="Y15" s="4"/>
      <c r="Z15" s="4"/>
      <c r="AA15" s="4"/>
      <c r="AB15" s="4"/>
      <c r="AC15" s="4"/>
    </row>
    <row r="16" spans="1:29" ht="16.5" customHeight="1" x14ac:dyDescent="0.25">
      <c r="A16" s="3"/>
      <c r="B16" s="32" t="s">
        <v>117</v>
      </c>
      <c r="C16" s="33" t="s">
        <v>29</v>
      </c>
      <c r="D16" s="34" t="s">
        <v>38</v>
      </c>
      <c r="E16" s="35">
        <v>25</v>
      </c>
      <c r="F16" s="36">
        <v>6228</v>
      </c>
      <c r="G16" s="37">
        <v>21840</v>
      </c>
      <c r="H16" s="38">
        <f>SUMPRODUCT((Production_Log!$F$3:$F$8963=F16)*(LEFT(Production_Log!$B$3:$B$8963,5)="Print")*(ISERROR(SEARCH("(Varnish)",Production_Log!$D$3:$D$8963)))*Production_Log!$H$3:$H$8963)</f>
        <v>21840</v>
      </c>
      <c r="I16" s="37">
        <f t="shared" si="0"/>
        <v>0</v>
      </c>
      <c r="J16" s="39">
        <f t="shared" si="1"/>
        <v>1</v>
      </c>
      <c r="K16" s="38"/>
      <c r="L16" s="3"/>
      <c r="P16" s="3"/>
      <c r="Q16" s="3"/>
      <c r="R16" s="3"/>
      <c r="S16" t="s">
        <v>123</v>
      </c>
      <c r="T16" s="28">
        <f ca="1">SUMPRODUCT((MONTH(Production_Log!$A$3:$A$8963)=MONTH(TODAY()))*(YEAR(Production_Log!$A$3:$A$8963)=YEAR(TODAY()))*Production_Log!$Q$3:$Q$8963)</f>
        <v>0</v>
      </c>
      <c r="U16">
        <f ca="1">T16+0.00006</f>
        <v>6.0000000000000002E-5</v>
      </c>
      <c r="V16" s="4"/>
      <c r="W16" s="4"/>
      <c r="X16" s="4"/>
      <c r="Y16" s="4"/>
      <c r="Z16" s="4"/>
      <c r="AA16" s="4"/>
      <c r="AB16" s="4"/>
      <c r="AC16" s="4"/>
    </row>
    <row r="17" spans="1:29" ht="16.5" customHeight="1" x14ac:dyDescent="0.25">
      <c r="A17" s="3"/>
      <c r="B17" s="32" t="s">
        <v>117</v>
      </c>
      <c r="C17" s="33" t="s">
        <v>26</v>
      </c>
      <c r="D17" s="34" t="s">
        <v>39</v>
      </c>
      <c r="E17" s="35">
        <v>25</v>
      </c>
      <c r="F17" s="36">
        <v>3447</v>
      </c>
      <c r="G17" s="37">
        <v>38976</v>
      </c>
      <c r="H17" s="38">
        <f>SUMPRODUCT((Production_Log!$F$3:$F$8963=F17)*(LEFT(Production_Log!$B$3:$B$8963,5)="Print")*(ISERROR(SEARCH("(Varnish)",Production_Log!$D$3:$D$8963)))*Production_Log!$H$3:$H$8963)</f>
        <v>38976</v>
      </c>
      <c r="I17" s="37">
        <f t="shared" si="0"/>
        <v>0</v>
      </c>
      <c r="J17" s="39">
        <f t="shared" si="1"/>
        <v>1</v>
      </c>
      <c r="K17" s="38"/>
      <c r="L17" s="3"/>
      <c r="P17" s="3"/>
      <c r="Q17" s="3"/>
      <c r="R17" s="3"/>
      <c r="S17" t="s">
        <v>124</v>
      </c>
      <c r="T17" s="28">
        <f ca="1">SUMPRODUCT((MONTH(Production_Log!$A$3:$A$8963)=MONTH(TODAY()))*(YEAR(Production_Log!$A$3:$A$8963)=YEAR(TODAY()))*Production_Log!$N$3:$N$8963)</f>
        <v>4510</v>
      </c>
      <c r="U17">
        <f ca="1">T17+0.00007</f>
        <v>4510.0000700000001</v>
      </c>
      <c r="V17" s="4"/>
      <c r="W17" s="4"/>
      <c r="X17" s="4"/>
      <c r="Y17" s="4"/>
      <c r="Z17" s="4"/>
      <c r="AA17" s="4"/>
      <c r="AB17" s="4"/>
      <c r="AC17" s="4"/>
    </row>
    <row r="18" spans="1:29" ht="16.5" customHeight="1" x14ac:dyDescent="0.25">
      <c r="A18" s="3"/>
      <c r="B18" s="32" t="s">
        <v>117</v>
      </c>
      <c r="C18" s="33" t="s">
        <v>29</v>
      </c>
      <c r="D18" s="34" t="s">
        <v>52</v>
      </c>
      <c r="E18" s="35">
        <v>30</v>
      </c>
      <c r="F18" s="36">
        <v>5814</v>
      </c>
      <c r="G18" s="37">
        <v>23562</v>
      </c>
      <c r="H18" s="38">
        <f>SUMPRODUCT((Production_Log!$F$3:$F$8963=F18)*(LEFT(Production_Log!$B$3:$B$8963,5)="Print")*(ISERROR(SEARCH("(Varnish)",Production_Log!$D$3:$D$8963)))*Production_Log!$H$3:$H$8963)</f>
        <v>23562</v>
      </c>
      <c r="I18" s="37">
        <f t="shared" si="0"/>
        <v>0</v>
      </c>
      <c r="J18" s="39">
        <f t="shared" si="1"/>
        <v>1</v>
      </c>
      <c r="K18" s="38"/>
      <c r="M18" s="3"/>
      <c r="N18" s="3"/>
      <c r="O18" s="3"/>
      <c r="P18" s="3"/>
      <c r="Q18" s="3"/>
      <c r="R18" s="4"/>
      <c r="S18" t="s">
        <v>125</v>
      </c>
      <c r="T18" s="28">
        <f ca="1">SUMPRODUCT((MONTH(Production_Log!$A$3:$A$8963)=MONTH(TODAY()))*(YEAR(Production_Log!$A$3:$A$8963)=YEAR(TODAY()))*Production_Log!$O$3:$O$8963)</f>
        <v>4760</v>
      </c>
      <c r="U18">
        <f ca="1">T18+0.00008</f>
        <v>4760.0000799999998</v>
      </c>
      <c r="V18" s="4"/>
      <c r="W18" s="4"/>
      <c r="X18" s="4"/>
      <c r="Y18" s="4"/>
      <c r="Z18" s="4"/>
      <c r="AA18" s="4"/>
      <c r="AB18" s="4"/>
      <c r="AC18" s="4"/>
    </row>
    <row r="19" spans="1:29" ht="16.5" customHeight="1" x14ac:dyDescent="0.25">
      <c r="A19" s="3"/>
      <c r="B19" s="32" t="s">
        <v>117</v>
      </c>
      <c r="C19" s="33" t="s">
        <v>50</v>
      </c>
      <c r="D19" s="34" t="s">
        <v>51</v>
      </c>
      <c r="E19" s="35">
        <v>30</v>
      </c>
      <c r="F19" s="36">
        <v>6206</v>
      </c>
      <c r="G19" s="37">
        <v>87108</v>
      </c>
      <c r="H19" s="38">
        <f>SUMPRODUCT((Production_Log!$F$3:$F$8963=F19)*(LEFT(Production_Log!$B$3:$B$8963,5)="Print")*(ISERROR(SEARCH("(Varnish)",Production_Log!$D$3:$D$8963)))*Production_Log!$H$3:$H$8963)</f>
        <v>87108</v>
      </c>
      <c r="I19" s="37">
        <f t="shared" si="0"/>
        <v>0</v>
      </c>
      <c r="J19" s="39">
        <f t="shared" si="1"/>
        <v>1</v>
      </c>
      <c r="K19" s="38">
        <v>152320</v>
      </c>
      <c r="L19" s="3"/>
      <c r="M19" s="3"/>
      <c r="N19" s="3"/>
      <c r="O19" s="3"/>
      <c r="P19" s="3"/>
      <c r="Q19" s="3"/>
      <c r="R19" s="3"/>
      <c r="T19" s="28"/>
      <c r="V19" s="4"/>
      <c r="W19" s="4"/>
      <c r="X19" s="4"/>
      <c r="Y19" s="4"/>
      <c r="Z19" s="4"/>
      <c r="AA19" s="4"/>
      <c r="AB19" s="4"/>
      <c r="AC19" s="4"/>
    </row>
    <row r="20" spans="1:29" ht="16.5" customHeight="1" x14ac:dyDescent="0.25">
      <c r="A20" s="3"/>
      <c r="B20" s="32" t="s">
        <v>117</v>
      </c>
      <c r="C20" s="33" t="s">
        <v>57</v>
      </c>
      <c r="D20" s="34" t="s">
        <v>58</v>
      </c>
      <c r="E20" s="35">
        <v>30</v>
      </c>
      <c r="F20" s="36">
        <v>6595</v>
      </c>
      <c r="G20" s="37">
        <v>0</v>
      </c>
      <c r="H20" s="38">
        <f ca="1">SUMPRODUCT((Production_Log!$F$3:$F$8963=F20)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20" s="37">
        <f t="shared" ca="1" si="0"/>
        <v>0</v>
      </c>
      <c r="J20" s="39" t="str">
        <f t="shared" si="1"/>
        <v>-</v>
      </c>
      <c r="K20" s="38">
        <v>24990</v>
      </c>
      <c r="L20" s="3"/>
      <c r="M20" s="3"/>
      <c r="N20" s="3"/>
      <c r="O20" s="3"/>
      <c r="P20" s="3"/>
      <c r="Q20" s="3"/>
      <c r="R20" s="3"/>
      <c r="T20" s="28"/>
      <c r="V20" s="4"/>
      <c r="W20" s="4"/>
      <c r="X20" s="4"/>
      <c r="Y20" s="4"/>
      <c r="Z20" s="4"/>
      <c r="AA20" s="4"/>
      <c r="AB20" s="4"/>
      <c r="AC20" s="4"/>
    </row>
    <row r="21" spans="1:29" ht="16.5" customHeight="1" x14ac:dyDescent="0.25">
      <c r="A21" s="3"/>
      <c r="B21" s="32" t="s">
        <v>117</v>
      </c>
      <c r="C21" s="33" t="s">
        <v>47</v>
      </c>
      <c r="D21" s="34" t="s">
        <v>49</v>
      </c>
      <c r="E21" s="35">
        <v>30</v>
      </c>
      <c r="F21" s="36">
        <v>6416</v>
      </c>
      <c r="G21" s="37">
        <v>0</v>
      </c>
      <c r="H21" s="38">
        <f ca="1">SUMPRODUCT((Production_Log!$F$3:$F$8963=F50)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21" s="37">
        <f ca="1">G50-H50</f>
        <v>0</v>
      </c>
      <c r="J21" s="39" t="str">
        <f>IF(G50=0,"-",H50/G50)</f>
        <v>-</v>
      </c>
      <c r="K21" s="38">
        <v>10045</v>
      </c>
      <c r="M21" s="3"/>
      <c r="N21" s="3"/>
      <c r="O21" s="3"/>
      <c r="P21" s="3"/>
      <c r="Q21" s="3"/>
      <c r="R21" s="4"/>
      <c r="T21" s="28"/>
      <c r="V21" s="4"/>
      <c r="W21" s="4"/>
      <c r="X21" s="4"/>
      <c r="Y21" s="4"/>
      <c r="Z21" s="4"/>
      <c r="AA21" s="4"/>
      <c r="AB21" s="4"/>
      <c r="AC21" s="4"/>
    </row>
    <row r="22" spans="1:29" ht="16.5" customHeight="1" x14ac:dyDescent="0.25">
      <c r="A22" s="3"/>
      <c r="B22" s="32" t="s">
        <v>117</v>
      </c>
      <c r="C22" s="33" t="s">
        <v>61</v>
      </c>
      <c r="D22" s="34" t="s">
        <v>62</v>
      </c>
      <c r="E22" s="35">
        <v>32</v>
      </c>
      <c r="F22" s="36">
        <v>6515</v>
      </c>
      <c r="G22" s="37">
        <v>13104</v>
      </c>
      <c r="H22" s="38">
        <f>SUMPRODUCT((Production_Log!$F$3:$F$8963=F22)*(LEFT(Production_Log!$B$3:$B$8963,5)="Print")*(ISERROR(SEARCH("(Varnish)",Production_Log!$D$3:$D$8963)))*Production_Log!$H$3:$H$8963)</f>
        <v>13104</v>
      </c>
      <c r="I22" s="37">
        <f t="shared" si="0"/>
        <v>0</v>
      </c>
      <c r="J22" s="39">
        <f t="shared" si="1"/>
        <v>1</v>
      </c>
      <c r="K22" s="38"/>
      <c r="M22" s="3"/>
      <c r="N22" s="3"/>
      <c r="O22" s="3"/>
      <c r="P22" s="3"/>
      <c r="Q22" s="3"/>
      <c r="R22" s="4"/>
      <c r="T22" s="28"/>
      <c r="V22" s="4"/>
      <c r="W22" s="4"/>
      <c r="X22" s="4"/>
      <c r="Y22" s="4"/>
      <c r="Z22" s="4"/>
      <c r="AA22" s="4"/>
      <c r="AB22" s="4"/>
      <c r="AC22" s="4"/>
    </row>
    <row r="23" spans="1:29" ht="16.5" customHeight="1" x14ac:dyDescent="0.25">
      <c r="A23" s="3"/>
      <c r="B23" s="32" t="s">
        <v>117</v>
      </c>
      <c r="C23" s="33" t="s">
        <v>63</v>
      </c>
      <c r="D23" s="34" t="s">
        <v>66</v>
      </c>
      <c r="E23" s="35">
        <v>35</v>
      </c>
      <c r="F23" s="36">
        <v>6530</v>
      </c>
      <c r="G23" s="37">
        <v>34000</v>
      </c>
      <c r="H23" s="38">
        <f ca="1">SUMPRODUCT((Production_Log!$F$3:$F$8963=F23)*(LEFT(Production_Log!$B$3:$B$8963,5)="Print")*(ISERROR(SEARCH("(Varnish)",Production_Log!$D$3:$D$8963)))*(MONTH(Production_Log!$A$3:$A$8963)=MONTH(TODAY()))*(YEAR(Production_Log!$A$3:$A$8963)=YEAR(TODAY()))*Production_Log!$H$3:$H$8963)</f>
        <v>20700</v>
      </c>
      <c r="I23" s="37">
        <f t="shared" ca="1" si="0"/>
        <v>13300</v>
      </c>
      <c r="J23" s="39">
        <f t="shared" ca="1" si="1"/>
        <v>0.60882352941176465</v>
      </c>
      <c r="K23" s="38">
        <v>5040</v>
      </c>
      <c r="M23" s="3"/>
      <c r="N23" s="3"/>
      <c r="O23" s="3"/>
      <c r="P23" s="3"/>
      <c r="Q23" s="3"/>
      <c r="R23" s="4"/>
      <c r="T23" s="28"/>
      <c r="V23" s="4"/>
      <c r="W23" s="4"/>
      <c r="X23" s="4"/>
      <c r="Y23" s="4"/>
      <c r="Z23" s="4"/>
      <c r="AA23" s="4"/>
      <c r="AB23" s="4"/>
      <c r="AC23" s="4"/>
    </row>
    <row r="24" spans="1:29" ht="16.5" customHeight="1" x14ac:dyDescent="0.25">
      <c r="A24" s="3"/>
      <c r="B24" s="32" t="s">
        <v>117</v>
      </c>
      <c r="C24" s="33" t="s">
        <v>63</v>
      </c>
      <c r="D24" s="34" t="s">
        <v>67</v>
      </c>
      <c r="E24" s="35">
        <v>35</v>
      </c>
      <c r="F24" s="36">
        <v>6531</v>
      </c>
      <c r="G24" s="37">
        <v>10620</v>
      </c>
      <c r="H24" s="38">
        <f ca="1">SUMPRODUCT((Production_Log!$F$3:$F$8963=F24)*(LEFT(Production_Log!$B$3:$B$8963,5)="Print")*(ISERROR(SEARCH("(Varnish)",Production_Log!$D$3:$D$8963)))*(MONTH(Production_Log!$A$3:$A$8963)=MONTH(TODAY()))*(YEAR(Production_Log!$A$3:$A$8963)=YEAR(TODAY()))*Production_Log!$H$3:$H$8963)</f>
        <v>10620</v>
      </c>
      <c r="I24" s="37">
        <f t="shared" ca="1" si="0"/>
        <v>0</v>
      </c>
      <c r="J24" s="39">
        <f t="shared" ca="1" si="1"/>
        <v>1</v>
      </c>
      <c r="K24" s="38"/>
      <c r="M24" s="3"/>
      <c r="N24" s="3"/>
      <c r="O24" s="3"/>
      <c r="P24" s="3"/>
      <c r="Q24" s="3"/>
      <c r="R24" s="4"/>
      <c r="T24" s="28"/>
      <c r="V24" s="4"/>
      <c r="W24" s="4"/>
      <c r="X24" s="4"/>
      <c r="Y24" s="4"/>
      <c r="Z24" s="4"/>
      <c r="AA24" s="4"/>
      <c r="AB24" s="4"/>
      <c r="AC24" s="4"/>
    </row>
    <row r="25" spans="1:29" ht="16.5" customHeight="1" x14ac:dyDescent="0.25">
      <c r="A25" s="3"/>
      <c r="B25" s="44"/>
      <c r="C25" s="45"/>
      <c r="D25" s="46" t="s">
        <v>121</v>
      </c>
      <c r="E25" s="44"/>
      <c r="F25" s="45"/>
      <c r="G25" s="43">
        <f>SUM(G11:G24)</f>
        <v>289068</v>
      </c>
      <c r="H25" s="43">
        <f ca="1">SUM(H11:H24)</f>
        <v>239880</v>
      </c>
      <c r="I25" s="43">
        <f ca="1">SUMIF(I11:I24, "&gt;0")</f>
        <v>49188</v>
      </c>
      <c r="J25" s="43"/>
      <c r="K25" s="43">
        <f>SUM(K11:K24)</f>
        <v>260603</v>
      </c>
      <c r="L25" s="3"/>
      <c r="M25" s="3"/>
      <c r="N25" s="3"/>
      <c r="O25" s="3"/>
      <c r="P25" s="3"/>
      <c r="Q25" s="3"/>
      <c r="R25" s="3"/>
      <c r="T25" s="28"/>
      <c r="V25" s="4"/>
      <c r="W25" s="4"/>
      <c r="X25" s="4"/>
      <c r="Y25" s="4"/>
      <c r="Z25" s="4"/>
      <c r="AA25" s="4"/>
      <c r="AB25" s="4"/>
      <c r="AC25" s="4"/>
    </row>
    <row r="26" spans="1:29" ht="16.5" customHeight="1" x14ac:dyDescent="0.25">
      <c r="A26" s="3"/>
      <c r="B26" s="47"/>
      <c r="C26" s="48"/>
      <c r="D26" s="49"/>
      <c r="E26" s="50"/>
      <c r="F26" s="51"/>
      <c r="G26" s="52"/>
      <c r="H26" s="53"/>
      <c r="I26" s="52"/>
      <c r="J26" s="54"/>
      <c r="K26" s="5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4"/>
      <c r="Y26" s="4"/>
      <c r="Z26" s="4"/>
      <c r="AA26" s="4"/>
      <c r="AB26" s="4"/>
      <c r="AC26" s="4"/>
    </row>
    <row r="27" spans="1:29" ht="16.5" customHeight="1" x14ac:dyDescent="0.25">
      <c r="A27" s="3"/>
      <c r="B27" s="47" t="s">
        <v>126</v>
      </c>
      <c r="C27" s="48" t="s">
        <v>26</v>
      </c>
      <c r="D27" s="49" t="s">
        <v>71</v>
      </c>
      <c r="E27" s="50" t="s">
        <v>72</v>
      </c>
      <c r="F27" s="51">
        <v>8005</v>
      </c>
      <c r="G27" s="52">
        <v>58960</v>
      </c>
      <c r="H27" s="53">
        <f ca="1">SUMPRODUCT((Production_Log!$F$3:$F$8963=F27)*(MONTH(Production_Log!$A$3:$A$8963)=MONTH(TODAY()))*(YEAR(Production_Log!$A$3:$A$8963)=YEAR(TODAY()))*Production_Log!$H$3:$H$8963)</f>
        <v>39120</v>
      </c>
      <c r="I27" s="52">
        <f t="shared" ref="I27:I32" ca="1" si="2">G27-H27</f>
        <v>19840</v>
      </c>
      <c r="J27" s="54">
        <f t="shared" ref="J27:J32" ca="1" si="3">IF(G27=0,"-",H27/G27)</f>
        <v>0.66350067842605154</v>
      </c>
      <c r="K27" s="53">
        <v>51720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4"/>
      <c r="Y27" s="4"/>
      <c r="Z27" s="4"/>
      <c r="AA27" s="4"/>
      <c r="AB27" s="4"/>
      <c r="AC27" s="4"/>
    </row>
    <row r="28" spans="1:29" ht="16.5" customHeight="1" x14ac:dyDescent="0.25">
      <c r="A28" s="3"/>
      <c r="B28" s="47" t="s">
        <v>126</v>
      </c>
      <c r="C28" s="48" t="s">
        <v>68</v>
      </c>
      <c r="D28" s="49" t="s">
        <v>75</v>
      </c>
      <c r="E28" s="50" t="s">
        <v>76</v>
      </c>
      <c r="F28" s="51">
        <v>8010</v>
      </c>
      <c r="G28" s="52">
        <v>5000</v>
      </c>
      <c r="H28" s="53">
        <f ca="1">SUMPRODUCT((Production_Log!$F$3:$F$8963=F28)*(MONTH(Production_Log!$A$3:$A$8963)=MONTH(TODAY()))*(YEAR(Production_Log!$A$3:$A$8963)=YEAR(TODAY()))*Production_Log!$H$3:$H$8963)</f>
        <v>5520</v>
      </c>
      <c r="I28" s="52">
        <f t="shared" ca="1" si="2"/>
        <v>-520</v>
      </c>
      <c r="J28" s="54">
        <f t="shared" ca="1" si="3"/>
        <v>1.1040000000000001</v>
      </c>
      <c r="K28" s="53">
        <v>5520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4"/>
      <c r="Y28" s="4"/>
      <c r="Z28" s="4"/>
      <c r="AA28" s="4"/>
      <c r="AB28" s="4"/>
      <c r="AC28" s="4"/>
    </row>
    <row r="29" spans="1:29" ht="16.5" customHeight="1" x14ac:dyDescent="0.25">
      <c r="A29" s="3"/>
      <c r="B29" s="47" t="s">
        <v>126</v>
      </c>
      <c r="C29" s="48" t="s">
        <v>68</v>
      </c>
      <c r="D29" s="49" t="s">
        <v>69</v>
      </c>
      <c r="E29" s="50" t="s">
        <v>70</v>
      </c>
      <c r="F29" s="51">
        <v>8001</v>
      </c>
      <c r="G29" s="52">
        <v>166960</v>
      </c>
      <c r="H29" s="53">
        <f ca="1">SUMPRODUCT((Production_Log!$F$3:$F$8963=F29)*(MONTH(Production_Log!$A$3:$A$8963)=MONTH(TODAY()))*(YEAR(Production_Log!$A$3:$A$8963)=YEAR(TODAY()))*Production_Log!$H$3:$H$8963)</f>
        <v>0</v>
      </c>
      <c r="I29" s="52">
        <f t="shared" ca="1" si="2"/>
        <v>166960</v>
      </c>
      <c r="J29" s="54">
        <f t="shared" ca="1" si="3"/>
        <v>0</v>
      </c>
      <c r="K29" s="53">
        <v>50600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4"/>
      <c r="Y29" s="4"/>
      <c r="Z29" s="4"/>
      <c r="AA29" s="4"/>
      <c r="AB29" s="4"/>
      <c r="AC29" s="4"/>
    </row>
    <row r="30" spans="1:29" ht="16.5" customHeight="1" x14ac:dyDescent="0.25">
      <c r="A30" s="3"/>
      <c r="B30" s="47" t="s">
        <v>126</v>
      </c>
      <c r="C30" s="48" t="s">
        <v>26</v>
      </c>
      <c r="D30" s="49" t="s">
        <v>79</v>
      </c>
      <c r="E30" s="50" t="s">
        <v>78</v>
      </c>
      <c r="F30" s="51">
        <v>8007</v>
      </c>
      <c r="G30" s="52">
        <v>10000</v>
      </c>
      <c r="H30" s="53">
        <f ca="1">SUMPRODUCT((Production_Log!$F$3:$F$8963=F30)*(MONTH(Production_Log!$A$3:$A$8963)=MONTH(TODAY()))*(YEAR(Production_Log!$A$3:$A$8963)=YEAR(TODAY()))*Production_Log!$H$3:$H$8963)</f>
        <v>0</v>
      </c>
      <c r="I30" s="52">
        <f t="shared" ca="1" si="2"/>
        <v>10000</v>
      </c>
      <c r="J30" s="54">
        <f t="shared" ca="1" si="3"/>
        <v>0</v>
      </c>
      <c r="K30" s="53"/>
      <c r="M30" s="3"/>
      <c r="N30" s="3"/>
      <c r="O30" s="3"/>
      <c r="P30" s="3"/>
      <c r="Q30" s="3"/>
      <c r="R30" s="4"/>
      <c r="T30" s="28"/>
      <c r="V30" s="4"/>
      <c r="W30" s="4"/>
      <c r="X30" s="4"/>
      <c r="Y30" s="4"/>
      <c r="Z30" s="4"/>
      <c r="AA30" s="4"/>
      <c r="AB30" s="4"/>
      <c r="AC30" s="4"/>
    </row>
    <row r="31" spans="1:29" ht="16.5" customHeight="1" x14ac:dyDescent="0.25">
      <c r="A31" s="3"/>
      <c r="B31" s="47" t="s">
        <v>126</v>
      </c>
      <c r="C31" s="48" t="s">
        <v>26</v>
      </c>
      <c r="D31" s="49" t="s">
        <v>77</v>
      </c>
      <c r="E31" s="50" t="s">
        <v>78</v>
      </c>
      <c r="F31" s="51">
        <v>8006</v>
      </c>
      <c r="G31" s="52">
        <v>42400</v>
      </c>
      <c r="H31" s="53">
        <f ca="1">SUMPRODUCT((Production_Log!$F$3:$F$8963=F31)*(MONTH(Production_Log!$A$3:$A$8963)=MONTH(TODAY()))*(YEAR(Production_Log!$A$3:$A$8963)=YEAR(TODAY()))*Production_Log!$H$3:$H$8963)</f>
        <v>0</v>
      </c>
      <c r="I31" s="52">
        <f t="shared" ca="1" si="2"/>
        <v>42400</v>
      </c>
      <c r="J31" s="54">
        <f t="shared" ca="1" si="3"/>
        <v>0</v>
      </c>
      <c r="K31" s="53"/>
      <c r="M31" s="3"/>
      <c r="N31" s="3"/>
      <c r="O31" s="3"/>
      <c r="P31" s="3"/>
      <c r="Q31" s="3"/>
      <c r="R31" s="4"/>
      <c r="T31" s="28"/>
      <c r="V31" s="4"/>
      <c r="W31" s="4"/>
      <c r="X31" s="4"/>
      <c r="Y31" s="4"/>
      <c r="Z31" s="4"/>
      <c r="AA31" s="4"/>
      <c r="AB31" s="4"/>
      <c r="AC31" s="4"/>
    </row>
    <row r="32" spans="1:29" ht="16.5" customHeight="1" x14ac:dyDescent="0.25">
      <c r="A32" s="3"/>
      <c r="B32" s="47" t="s">
        <v>126</v>
      </c>
      <c r="C32" s="48" t="s">
        <v>26</v>
      </c>
      <c r="D32" s="49" t="s">
        <v>85</v>
      </c>
      <c r="E32" s="52" t="s">
        <v>78</v>
      </c>
      <c r="F32" s="51">
        <v>8014</v>
      </c>
      <c r="G32" s="52">
        <v>10000</v>
      </c>
      <c r="H32" s="53">
        <f ca="1">SUMPRODUCT((Production_Log!$F$3:$F$8963=F32)*(MONTH(Production_Log!$A$3:$A$8963)=MONTH(TODAY()))*(YEAR(Production_Log!$A$3:$A$8963)=YEAR(TODAY()))*Production_Log!$H$3:$H$8963)</f>
        <v>0</v>
      </c>
      <c r="I32" s="52">
        <f t="shared" ca="1" si="2"/>
        <v>10000</v>
      </c>
      <c r="J32" s="54">
        <f t="shared" ca="1" si="3"/>
        <v>0</v>
      </c>
      <c r="K32" s="5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4"/>
      <c r="Y32" s="4"/>
      <c r="Z32" s="4"/>
      <c r="AA32" s="4"/>
      <c r="AB32" s="4"/>
      <c r="AC32" s="4"/>
    </row>
    <row r="33" spans="1:29" ht="16.5" customHeight="1" x14ac:dyDescent="0.25">
      <c r="A33" s="3"/>
      <c r="B33" s="44"/>
      <c r="C33" s="45"/>
      <c r="D33" s="46" t="s">
        <v>121</v>
      </c>
      <c r="E33" s="44"/>
      <c r="F33" s="45"/>
      <c r="G33" s="43">
        <f>SUM(G27:G32)</f>
        <v>293320</v>
      </c>
      <c r="H33" s="43">
        <f ca="1">SUM(H27:H32)</f>
        <v>44640</v>
      </c>
      <c r="I33" s="43">
        <f ca="1">SUMIF(I27:I32, "&gt;0")</f>
        <v>249200</v>
      </c>
      <c r="J33" s="43"/>
      <c r="K33" s="43">
        <f>SUM(K27:K32)</f>
        <v>107840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4"/>
      <c r="Y33" s="4"/>
      <c r="Z33" s="4"/>
      <c r="AA33" s="4"/>
      <c r="AB33" s="4"/>
      <c r="AC33" s="4"/>
    </row>
    <row r="34" spans="1:29" ht="16.5" customHeight="1" x14ac:dyDescent="0.25">
      <c r="A34" s="3"/>
      <c r="B34" s="47"/>
      <c r="C34" s="22"/>
      <c r="D34" s="56"/>
      <c r="E34" s="57"/>
      <c r="F34" s="58"/>
      <c r="G34" s="57"/>
      <c r="H34" s="59"/>
      <c r="I34" s="57"/>
      <c r="J34" s="60"/>
      <c r="K34" s="5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4"/>
      <c r="Y34" s="4"/>
      <c r="Z34" s="4"/>
      <c r="AA34" s="4"/>
      <c r="AB34" s="4"/>
      <c r="AC34" s="4"/>
    </row>
    <row r="35" spans="1:29" ht="16.5" customHeight="1" x14ac:dyDescent="0.25">
      <c r="A35" s="3"/>
      <c r="B35" s="61" t="s">
        <v>117</v>
      </c>
      <c r="C35" s="62" t="s">
        <v>18</v>
      </c>
      <c r="D35" s="63" t="s">
        <v>19</v>
      </c>
      <c r="E35" s="64">
        <v>12.5</v>
      </c>
      <c r="F35" s="65">
        <v>9004</v>
      </c>
      <c r="G35" s="66">
        <v>0</v>
      </c>
      <c r="H35" s="67">
        <f ca="1">SUMPRODUCT((Production_Log!$F$3:$F$8963=F35)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35" s="66">
        <f ca="1">G35-H35</f>
        <v>0</v>
      </c>
      <c r="J35" s="68" t="str">
        <f>IF(G35=0,"-",H35/G35)</f>
        <v>-</v>
      </c>
      <c r="K35" s="67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4"/>
      <c r="Y35" s="4"/>
      <c r="Z35" s="4"/>
      <c r="AA35" s="4"/>
      <c r="AB35" s="4"/>
      <c r="AC35" s="4"/>
    </row>
    <row r="36" spans="1:29" ht="16.5" customHeight="1" x14ac:dyDescent="0.25">
      <c r="A36" s="3"/>
      <c r="B36" s="61" t="s">
        <v>117</v>
      </c>
      <c r="C36" s="62" t="s">
        <v>21</v>
      </c>
      <c r="D36" s="63" t="s">
        <v>23</v>
      </c>
      <c r="E36" s="64">
        <v>19</v>
      </c>
      <c r="F36" s="65">
        <v>1085</v>
      </c>
      <c r="G36" s="66">
        <v>0</v>
      </c>
      <c r="H36" s="67">
        <f ca="1">SUMPRODUCT((Production_Log!$F$3:$F$8963=F36)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36" s="66">
        <f ca="1">G36-H36</f>
        <v>0</v>
      </c>
      <c r="J36" s="68" t="str">
        <f>IF(G36=0,"-",H36/G36)</f>
        <v>-</v>
      </c>
      <c r="K36" s="6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4"/>
      <c r="Y36" s="4"/>
      <c r="Z36" s="4"/>
      <c r="AA36" s="4"/>
      <c r="AB36" s="4"/>
      <c r="AC36" s="4"/>
    </row>
    <row r="37" spans="1:29" ht="16.5" customHeight="1" x14ac:dyDescent="0.25">
      <c r="A37" s="3"/>
      <c r="B37" s="61" t="s">
        <v>117</v>
      </c>
      <c r="C37" s="62" t="s">
        <v>21</v>
      </c>
      <c r="D37" s="63" t="s">
        <v>25</v>
      </c>
      <c r="E37" s="64">
        <v>19</v>
      </c>
      <c r="F37" s="65">
        <v>6560</v>
      </c>
      <c r="G37" s="66">
        <v>0</v>
      </c>
      <c r="H37" s="67">
        <f ca="1">SUMPRODUCT((Production_Log!$F$3:$F$8963=F37)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37" s="66">
        <f ca="1">G37-H37</f>
        <v>0</v>
      </c>
      <c r="J37" s="68" t="str">
        <f>IF(G37=0,"-",H37/G37)</f>
        <v>-</v>
      </c>
      <c r="K37" s="67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4"/>
      <c r="Y37" s="4"/>
      <c r="Z37" s="4"/>
      <c r="AA37" s="4"/>
      <c r="AB37" s="4"/>
      <c r="AC37" s="4"/>
    </row>
    <row r="38" spans="1:29" ht="16.5" customHeight="1" x14ac:dyDescent="0.25">
      <c r="A38" s="3"/>
      <c r="B38" s="61" t="s">
        <v>117</v>
      </c>
      <c r="C38" s="62" t="s">
        <v>26</v>
      </c>
      <c r="D38" s="63" t="s">
        <v>32</v>
      </c>
      <c r="E38" s="64">
        <v>20.5</v>
      </c>
      <c r="F38" s="65">
        <v>5698</v>
      </c>
      <c r="G38" s="66">
        <v>0</v>
      </c>
      <c r="H38" s="67">
        <f ca="1">SUMPRODUCT((Production_Log!$F$3:$F$8963=F12)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38" s="66">
        <f ca="1">G12-H12</f>
        <v>0</v>
      </c>
      <c r="J38" s="68" t="str">
        <f>IF(G12=0,"-",H12/G12)</f>
        <v>-</v>
      </c>
      <c r="K38" s="67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4"/>
      <c r="Y38" s="4"/>
      <c r="Z38" s="4"/>
      <c r="AA38" s="4"/>
      <c r="AB38" s="4"/>
      <c r="AC38" s="4"/>
    </row>
    <row r="39" spans="1:29" ht="16.5" customHeight="1" x14ac:dyDescent="0.25">
      <c r="A39" s="3"/>
      <c r="B39" s="61" t="s">
        <v>117</v>
      </c>
      <c r="C39" s="62" t="s">
        <v>26</v>
      </c>
      <c r="D39" s="63" t="s">
        <v>33</v>
      </c>
      <c r="E39" s="64">
        <v>20.5</v>
      </c>
      <c r="F39" s="65">
        <v>5699</v>
      </c>
      <c r="G39" s="66">
        <v>0</v>
      </c>
      <c r="H39" s="67">
        <f ca="1">SUMPRODUCT((Production_Log!$F$3:$F$8963=F38)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39" s="66">
        <f t="shared" ref="I39:I61" ca="1" si="4">G38-H38</f>
        <v>0</v>
      </c>
      <c r="J39" s="68" t="str">
        <f t="shared" ref="J39:J61" si="5">IF(G38=0,"-",H38/G38)</f>
        <v>-</v>
      </c>
      <c r="K39" s="67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4"/>
      <c r="Y39" s="4"/>
      <c r="Z39" s="4"/>
      <c r="AA39" s="4"/>
      <c r="AB39" s="4"/>
      <c r="AC39" s="4"/>
    </row>
    <row r="40" spans="1:29" ht="16.5" customHeight="1" x14ac:dyDescent="0.25">
      <c r="A40" s="3"/>
      <c r="B40" s="61" t="s">
        <v>117</v>
      </c>
      <c r="C40" s="62" t="s">
        <v>26</v>
      </c>
      <c r="D40" s="63" t="s">
        <v>34</v>
      </c>
      <c r="E40" s="64">
        <v>20.5</v>
      </c>
      <c r="F40" s="65">
        <v>5731</v>
      </c>
      <c r="G40" s="66">
        <v>0</v>
      </c>
      <c r="H40" s="67">
        <f ca="1">SUMPRODUCT((Production_Log!$F$3:$F$8963=F39)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0" s="66">
        <f t="shared" ca="1" si="4"/>
        <v>0</v>
      </c>
      <c r="J40" s="68" t="str">
        <f t="shared" si="5"/>
        <v>-</v>
      </c>
      <c r="K40" s="67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4"/>
      <c r="Y40" s="4"/>
      <c r="Z40" s="4"/>
      <c r="AA40" s="4"/>
      <c r="AB40" s="4"/>
      <c r="AC40" s="4"/>
    </row>
    <row r="41" spans="1:29" ht="16.5" customHeight="1" x14ac:dyDescent="0.25">
      <c r="A41" s="3"/>
      <c r="B41" s="61" t="s">
        <v>117</v>
      </c>
      <c r="C41" s="62" t="s">
        <v>26</v>
      </c>
      <c r="D41" s="63" t="s">
        <v>35</v>
      </c>
      <c r="E41" s="64">
        <v>20.5</v>
      </c>
      <c r="F41" s="65">
        <v>5732</v>
      </c>
      <c r="G41" s="66">
        <v>0</v>
      </c>
      <c r="H41" s="67">
        <f ca="1">SUMPRODUCT((Production_Log!$F$3:$F$8963=F40)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1" s="66">
        <f t="shared" ca="1" si="4"/>
        <v>0</v>
      </c>
      <c r="J41" s="68" t="str">
        <f t="shared" si="5"/>
        <v>-</v>
      </c>
      <c r="K41" s="6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4"/>
      <c r="Y41" s="4"/>
      <c r="Z41" s="4"/>
      <c r="AA41" s="4"/>
      <c r="AB41" s="4"/>
      <c r="AC41" s="4"/>
    </row>
    <row r="42" spans="1:29" ht="16.5" customHeight="1" x14ac:dyDescent="0.25">
      <c r="A42" s="3"/>
      <c r="B42" s="61" t="s">
        <v>117</v>
      </c>
      <c r="C42" s="62" t="s">
        <v>26</v>
      </c>
      <c r="D42" s="63" t="s">
        <v>36</v>
      </c>
      <c r="E42" s="64">
        <v>20.5</v>
      </c>
      <c r="F42" s="65">
        <v>6556</v>
      </c>
      <c r="G42" s="66">
        <v>0</v>
      </c>
      <c r="H42" s="67">
        <f ca="1">SUMPRODUCT((Production_Log!$F$3:$F$8963=F41)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2" s="66">
        <f t="shared" ca="1" si="4"/>
        <v>0</v>
      </c>
      <c r="J42" s="68" t="str">
        <f t="shared" si="5"/>
        <v>-</v>
      </c>
      <c r="K42" s="67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4"/>
      <c r="Y42" s="4"/>
      <c r="Z42" s="4"/>
      <c r="AA42" s="4"/>
      <c r="AB42" s="4"/>
      <c r="AC42" s="4"/>
    </row>
    <row r="43" spans="1:29" ht="16.5" customHeight="1" x14ac:dyDescent="0.25">
      <c r="A43" s="3"/>
      <c r="B43" s="61" t="s">
        <v>117</v>
      </c>
      <c r="C43" s="62" t="s">
        <v>26</v>
      </c>
      <c r="D43" s="63" t="s">
        <v>37</v>
      </c>
      <c r="E43" s="64">
        <v>20.5</v>
      </c>
      <c r="F43" s="65">
        <v>6557</v>
      </c>
      <c r="G43" s="66">
        <v>0</v>
      </c>
      <c r="H43" s="67">
        <f ca="1">SUMPRODUCT((Production_Log!$F$3:$F$8963=F42)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3" s="66">
        <f t="shared" ca="1" si="4"/>
        <v>0</v>
      </c>
      <c r="J43" s="68" t="str">
        <f t="shared" si="5"/>
        <v>-</v>
      </c>
      <c r="K43" s="6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  <c r="Y43" s="4"/>
      <c r="Z43" s="4"/>
      <c r="AA43" s="4"/>
      <c r="AB43" s="4"/>
      <c r="AC43" s="4"/>
    </row>
    <row r="44" spans="1:29" ht="16.5" customHeight="1" x14ac:dyDescent="0.25">
      <c r="A44" s="3"/>
      <c r="B44" s="61" t="s">
        <v>117</v>
      </c>
      <c r="C44" s="62" t="s">
        <v>45</v>
      </c>
      <c r="D44" s="63" t="s">
        <v>46</v>
      </c>
      <c r="E44" s="64">
        <v>25</v>
      </c>
      <c r="F44" s="65">
        <v>6338</v>
      </c>
      <c r="G44" s="66">
        <v>0</v>
      </c>
      <c r="H44" s="67">
        <f ca="1">SUMPRODUCT((Production_Log!$F$3:$F$8963=F43)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4" s="66">
        <f t="shared" ca="1" si="4"/>
        <v>0</v>
      </c>
      <c r="J44" s="68" t="str">
        <f t="shared" si="5"/>
        <v>-</v>
      </c>
      <c r="K44" s="67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4"/>
      <c r="Y44" s="4"/>
      <c r="Z44" s="4"/>
      <c r="AA44" s="4"/>
      <c r="AB44" s="4"/>
      <c r="AC44" s="4"/>
    </row>
    <row r="45" spans="1:29" ht="16.5" customHeight="1" x14ac:dyDescent="0.25">
      <c r="A45" s="3"/>
      <c r="B45" s="61" t="s">
        <v>117</v>
      </c>
      <c r="C45" s="62" t="s">
        <v>26</v>
      </c>
      <c r="D45" s="63" t="s">
        <v>44</v>
      </c>
      <c r="E45" s="64">
        <v>25</v>
      </c>
      <c r="F45" s="65">
        <v>9006</v>
      </c>
      <c r="G45" s="66">
        <v>0</v>
      </c>
      <c r="H45" s="67">
        <f ca="1">SUMPRODUCT((Production_Log!$F$3:$F$8963=F44)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5" s="66">
        <f t="shared" ca="1" si="4"/>
        <v>0</v>
      </c>
      <c r="J45" s="68" t="str">
        <f t="shared" si="5"/>
        <v>-</v>
      </c>
      <c r="K45" s="67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4"/>
      <c r="Y45" s="4"/>
      <c r="Z45" s="4"/>
      <c r="AA45" s="4"/>
      <c r="AB45" s="4"/>
      <c r="AC45" s="4"/>
    </row>
    <row r="46" spans="1:29" ht="16.5" customHeight="1" x14ac:dyDescent="0.25">
      <c r="A46" s="3"/>
      <c r="B46" s="61" t="s">
        <v>117</v>
      </c>
      <c r="C46" s="62" t="s">
        <v>26</v>
      </c>
      <c r="D46" s="63" t="s">
        <v>40</v>
      </c>
      <c r="E46" s="64">
        <v>25</v>
      </c>
      <c r="F46" s="65">
        <v>3726</v>
      </c>
      <c r="G46" s="66">
        <v>0</v>
      </c>
      <c r="H46" s="67">
        <f ca="1">SUMPRODUCT((Production_Log!$F$3:$F$8963=F45)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6" s="66">
        <f t="shared" ca="1" si="4"/>
        <v>0</v>
      </c>
      <c r="J46" s="68" t="str">
        <f t="shared" si="5"/>
        <v>-</v>
      </c>
      <c r="K46" s="67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4"/>
      <c r="Y46" s="4"/>
      <c r="Z46" s="4"/>
      <c r="AA46" s="4"/>
      <c r="AB46" s="4"/>
      <c r="AC46" s="4"/>
    </row>
    <row r="47" spans="1:29" ht="16.5" customHeight="1" x14ac:dyDescent="0.25">
      <c r="A47" s="3"/>
      <c r="B47" s="61" t="s">
        <v>117</v>
      </c>
      <c r="C47" s="62" t="s">
        <v>26</v>
      </c>
      <c r="D47" s="63" t="s">
        <v>41</v>
      </c>
      <c r="E47" s="64">
        <v>25</v>
      </c>
      <c r="F47" s="65">
        <v>6470</v>
      </c>
      <c r="G47" s="66">
        <v>0</v>
      </c>
      <c r="H47" s="67">
        <f ca="1">SUMPRODUCT((Production_Log!$F$3:$F$8963=F46)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7" s="66">
        <f t="shared" ca="1" si="4"/>
        <v>0</v>
      </c>
      <c r="J47" s="68" t="str">
        <f t="shared" si="5"/>
        <v>-</v>
      </c>
      <c r="K47" s="67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4"/>
      <c r="Y47" s="4"/>
      <c r="Z47" s="4"/>
      <c r="AA47" s="4"/>
      <c r="AB47" s="4"/>
      <c r="AC47" s="4"/>
    </row>
    <row r="48" spans="1:29" ht="16.5" customHeight="1" x14ac:dyDescent="0.25">
      <c r="A48" s="3"/>
      <c r="B48" s="61" t="s">
        <v>117</v>
      </c>
      <c r="C48" s="62" t="s">
        <v>26</v>
      </c>
      <c r="D48" s="63" t="s">
        <v>42</v>
      </c>
      <c r="E48" s="64">
        <v>25</v>
      </c>
      <c r="F48" s="65">
        <v>6506</v>
      </c>
      <c r="G48" s="66">
        <v>0</v>
      </c>
      <c r="H48" s="67">
        <f ca="1">SUMPRODUCT((Production_Log!$F$3:$F$8963=F47)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8" s="66">
        <f t="shared" ca="1" si="4"/>
        <v>0</v>
      </c>
      <c r="J48" s="68" t="str">
        <f t="shared" si="5"/>
        <v>-</v>
      </c>
      <c r="K48" s="67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4"/>
      <c r="Y48" s="4"/>
      <c r="Z48" s="4"/>
      <c r="AA48" s="4"/>
      <c r="AB48" s="4"/>
      <c r="AC48" s="4"/>
    </row>
    <row r="49" spans="1:29" ht="16.5" customHeight="1" x14ac:dyDescent="0.25">
      <c r="A49" s="3"/>
      <c r="B49" s="61" t="s">
        <v>117</v>
      </c>
      <c r="C49" s="62" t="s">
        <v>26</v>
      </c>
      <c r="D49" s="63" t="s">
        <v>43</v>
      </c>
      <c r="E49" s="64">
        <v>25</v>
      </c>
      <c r="F49" s="65">
        <v>6532</v>
      </c>
      <c r="G49" s="66">
        <v>0</v>
      </c>
      <c r="H49" s="67">
        <f ca="1">SUMPRODUCT((Production_Log!$F$3:$F$8963=F48)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49" s="66">
        <f t="shared" ca="1" si="4"/>
        <v>0</v>
      </c>
      <c r="J49" s="68" t="str">
        <f t="shared" si="5"/>
        <v>-</v>
      </c>
      <c r="K49" s="6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4"/>
      <c r="Y49" s="4"/>
      <c r="Z49" s="4"/>
      <c r="AA49" s="4"/>
      <c r="AB49" s="4"/>
      <c r="AC49" s="4"/>
    </row>
    <row r="50" spans="1:29" ht="16.5" customHeight="1" x14ac:dyDescent="0.25">
      <c r="A50" s="3"/>
      <c r="B50" s="61" t="s">
        <v>117</v>
      </c>
      <c r="C50" s="62" t="s">
        <v>47</v>
      </c>
      <c r="D50" s="63" t="s">
        <v>48</v>
      </c>
      <c r="E50" s="64">
        <v>30</v>
      </c>
      <c r="F50" s="65">
        <v>6337</v>
      </c>
      <c r="G50" s="66">
        <v>0</v>
      </c>
      <c r="H50" s="67">
        <f ca="1">SUMPRODUCT((Production_Log!$F$3:$F$8963=F49)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0" s="66">
        <f t="shared" ca="1" si="4"/>
        <v>0</v>
      </c>
      <c r="J50" s="68" t="str">
        <f t="shared" si="5"/>
        <v>-</v>
      </c>
      <c r="K50" s="6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4"/>
      <c r="Y50" s="4"/>
      <c r="Z50" s="4"/>
      <c r="AA50" s="4"/>
      <c r="AB50" s="4"/>
      <c r="AC50" s="4"/>
    </row>
    <row r="51" spans="1:29" ht="16.5" customHeight="1" x14ac:dyDescent="0.25">
      <c r="A51" s="3"/>
      <c r="B51" s="61" t="s">
        <v>117</v>
      </c>
      <c r="C51" s="62" t="s">
        <v>29</v>
      </c>
      <c r="D51" s="63" t="s">
        <v>53</v>
      </c>
      <c r="E51" s="64">
        <v>30</v>
      </c>
      <c r="F51" s="65">
        <v>9002</v>
      </c>
      <c r="G51" s="66">
        <v>0</v>
      </c>
      <c r="H51" s="67">
        <f ca="1">SUMPRODUCT((Production_Log!$F$3:$F$8963=F21)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1" s="66">
        <f ca="1">G21-H21</f>
        <v>0</v>
      </c>
      <c r="J51" s="68" t="str">
        <f>IF(G21=0,"-",H21/G21)</f>
        <v>-</v>
      </c>
      <c r="K51" s="6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4"/>
      <c r="Y51" s="4"/>
      <c r="Z51" s="4"/>
      <c r="AA51" s="4"/>
      <c r="AB51" s="4"/>
      <c r="AC51" s="4"/>
    </row>
    <row r="52" spans="1:29" ht="16.5" customHeight="1" x14ac:dyDescent="0.25">
      <c r="A52" s="3"/>
      <c r="B52" s="61" t="s">
        <v>117</v>
      </c>
      <c r="C52" s="62" t="s">
        <v>54</v>
      </c>
      <c r="D52" s="63" t="s">
        <v>55</v>
      </c>
      <c r="E52" s="64">
        <v>30</v>
      </c>
      <c r="F52" s="65">
        <v>4050</v>
      </c>
      <c r="G52" s="66">
        <v>0</v>
      </c>
      <c r="H52" s="67">
        <f ca="1">SUMPRODUCT((Production_Log!$F$3:$F$8963=F51)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2" s="66">
        <f t="shared" ca="1" si="4"/>
        <v>0</v>
      </c>
      <c r="J52" s="68" t="str">
        <f t="shared" si="5"/>
        <v>-</v>
      </c>
      <c r="K52" s="6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4"/>
      <c r="Y52" s="4"/>
      <c r="Z52" s="4"/>
      <c r="AA52" s="4"/>
      <c r="AB52" s="4"/>
      <c r="AC52" s="4"/>
    </row>
    <row r="53" spans="1:29" ht="16.5" customHeight="1" x14ac:dyDescent="0.25">
      <c r="A53" s="3"/>
      <c r="B53" s="61" t="s">
        <v>117</v>
      </c>
      <c r="C53" s="62" t="s">
        <v>54</v>
      </c>
      <c r="D53" s="63" t="s">
        <v>56</v>
      </c>
      <c r="E53" s="64">
        <v>30</v>
      </c>
      <c r="F53" s="65">
        <v>6312</v>
      </c>
      <c r="G53" s="66">
        <v>0</v>
      </c>
      <c r="H53" s="67">
        <f ca="1">SUMPRODUCT((Production_Log!$F$3:$F$8963=F52)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3" s="66">
        <f t="shared" ca="1" si="4"/>
        <v>0</v>
      </c>
      <c r="J53" s="68" t="str">
        <f t="shared" si="5"/>
        <v>-</v>
      </c>
      <c r="K53" s="67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4"/>
      <c r="Y53" s="4"/>
      <c r="Z53" s="4"/>
      <c r="AA53" s="4"/>
      <c r="AB53" s="4"/>
      <c r="AC53" s="4"/>
    </row>
    <row r="54" spans="1:29" ht="16.5" customHeight="1" x14ac:dyDescent="0.25">
      <c r="A54" s="3"/>
      <c r="B54" s="61" t="s">
        <v>117</v>
      </c>
      <c r="C54" s="62" t="s">
        <v>59</v>
      </c>
      <c r="D54" s="63" t="s">
        <v>60</v>
      </c>
      <c r="E54" s="64">
        <v>32</v>
      </c>
      <c r="F54" s="65">
        <v>5782</v>
      </c>
      <c r="G54" s="66">
        <v>0</v>
      </c>
      <c r="H54" s="67">
        <f ca="1">SUMPRODUCT((Production_Log!$F$3:$F$8963=F53)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4" s="66">
        <f t="shared" ca="1" si="4"/>
        <v>0</v>
      </c>
      <c r="J54" s="68" t="str">
        <f t="shared" si="5"/>
        <v>-</v>
      </c>
      <c r="K54" s="6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4"/>
      <c r="Y54" s="4"/>
      <c r="Z54" s="4"/>
      <c r="AA54" s="4"/>
      <c r="AB54" s="4"/>
      <c r="AC54" s="4"/>
    </row>
    <row r="55" spans="1:29" ht="16.5" customHeight="1" x14ac:dyDescent="0.25">
      <c r="A55" s="3"/>
      <c r="B55" s="61" t="s">
        <v>117</v>
      </c>
      <c r="C55" s="62" t="s">
        <v>63</v>
      </c>
      <c r="D55" s="63" t="s">
        <v>64</v>
      </c>
      <c r="E55" s="64">
        <v>35</v>
      </c>
      <c r="F55" s="65">
        <v>6020</v>
      </c>
      <c r="G55" s="66">
        <v>0</v>
      </c>
      <c r="H55" s="67">
        <f ca="1">SUMPRODUCT((Production_Log!$F$3:$F$8963=F54)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5" s="66">
        <f t="shared" ca="1" si="4"/>
        <v>0</v>
      </c>
      <c r="J55" s="68" t="str">
        <f t="shared" si="5"/>
        <v>-</v>
      </c>
      <c r="K55" s="6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4"/>
      <c r="Y55" s="4"/>
      <c r="Z55" s="4"/>
      <c r="AA55" s="4"/>
      <c r="AB55" s="4"/>
      <c r="AC55" s="4"/>
    </row>
    <row r="56" spans="1:29" ht="16.5" customHeight="1" x14ac:dyDescent="0.25">
      <c r="A56" s="3"/>
      <c r="B56" s="61" t="s">
        <v>117</v>
      </c>
      <c r="C56" s="62" t="s">
        <v>63</v>
      </c>
      <c r="D56" s="63" t="s">
        <v>65</v>
      </c>
      <c r="E56" s="64">
        <v>35</v>
      </c>
      <c r="F56" s="65">
        <v>6021</v>
      </c>
      <c r="G56" s="66">
        <v>0</v>
      </c>
      <c r="H56" s="67">
        <f ca="1">SUMPRODUCT((Production_Log!$F$3:$F$8963=F55)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I56" s="66">
        <f t="shared" ca="1" si="4"/>
        <v>0</v>
      </c>
      <c r="J56" s="68" t="str">
        <f t="shared" si="5"/>
        <v>-</v>
      </c>
      <c r="K56" s="67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4"/>
      <c r="Y56" s="4"/>
      <c r="Z56" s="4"/>
      <c r="AA56" s="4"/>
      <c r="AB56" s="4"/>
      <c r="AC56" s="4"/>
    </row>
    <row r="57" spans="1:29" ht="16.5" customHeight="1" x14ac:dyDescent="0.25">
      <c r="A57" s="3"/>
      <c r="B57" s="61" t="s">
        <v>126</v>
      </c>
      <c r="C57" s="62" t="s">
        <v>26</v>
      </c>
      <c r="D57" s="63" t="s">
        <v>73</v>
      </c>
      <c r="E57" s="64" t="s">
        <v>72</v>
      </c>
      <c r="F57" s="65">
        <v>8011</v>
      </c>
      <c r="G57" s="66">
        <v>0</v>
      </c>
      <c r="H57" s="67">
        <f ca="1">SUMPRODUCT((Production_Log!$F$3:$F$8963=F56)*(MONTH(Production_Log!$A$3:$A$8963)=MONTH(TODAY()))*(YEAR(Production_Log!$A$3:$A$8963)=YEAR(TODAY()))*Production_Log!$H$3:$H$8963)</f>
        <v>0</v>
      </c>
      <c r="I57" s="66">
        <f t="shared" ca="1" si="4"/>
        <v>0</v>
      </c>
      <c r="J57" s="68" t="str">
        <f t="shared" si="5"/>
        <v>-</v>
      </c>
      <c r="K57" s="67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4"/>
      <c r="Y57" s="4"/>
      <c r="Z57" s="4"/>
      <c r="AA57" s="4"/>
      <c r="AB57" s="4"/>
      <c r="AC57" s="4"/>
    </row>
    <row r="58" spans="1:29" ht="16.5" customHeight="1" x14ac:dyDescent="0.25">
      <c r="A58" s="3"/>
      <c r="B58" s="61" t="s">
        <v>126</v>
      </c>
      <c r="C58" s="62" t="s">
        <v>26</v>
      </c>
      <c r="D58" s="63" t="s">
        <v>74</v>
      </c>
      <c r="E58" s="64" t="s">
        <v>72</v>
      </c>
      <c r="F58" s="65">
        <v>8012</v>
      </c>
      <c r="G58" s="66">
        <v>0</v>
      </c>
      <c r="H58" s="67">
        <f ca="1">SUMPRODUCT((Production_Log!$F$3:$F$8963=F57)*(MONTH(Production_Log!$A$3:$A$8963)=MONTH(TODAY()))*(YEAR(Production_Log!$A$3:$A$8963)=YEAR(TODAY()))*Production_Log!$H$3:$H$8963)</f>
        <v>0</v>
      </c>
      <c r="I58" s="66">
        <f t="shared" ca="1" si="4"/>
        <v>0</v>
      </c>
      <c r="J58" s="68" t="str">
        <f t="shared" si="5"/>
        <v>-</v>
      </c>
      <c r="K58" s="67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4"/>
      <c r="Y58" s="4"/>
      <c r="Z58" s="4"/>
      <c r="AA58" s="4"/>
      <c r="AB58" s="4"/>
      <c r="AC58" s="4"/>
    </row>
    <row r="59" spans="1:29" ht="16.5" customHeight="1" x14ac:dyDescent="0.25">
      <c r="A59" s="3"/>
      <c r="B59" s="61" t="s">
        <v>126</v>
      </c>
      <c r="C59" s="62" t="s">
        <v>26</v>
      </c>
      <c r="D59" s="63" t="s">
        <v>80</v>
      </c>
      <c r="E59" s="64" t="s">
        <v>78</v>
      </c>
      <c r="F59" s="65">
        <v>8008</v>
      </c>
      <c r="G59" s="66">
        <v>0</v>
      </c>
      <c r="H59" s="67">
        <f ca="1">SUMPRODUCT((Production_Log!$F$3:$F$8963=F58)*(MONTH(Production_Log!$A$3:$A$8963)=MONTH(TODAY()))*(YEAR(Production_Log!$A$3:$A$8963)=YEAR(TODAY()))*Production_Log!$H$3:$H$8963)</f>
        <v>0</v>
      </c>
      <c r="I59" s="66">
        <f t="shared" ca="1" si="4"/>
        <v>0</v>
      </c>
      <c r="J59" s="68" t="str">
        <f t="shared" si="5"/>
        <v>-</v>
      </c>
      <c r="K59" s="67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4"/>
      <c r="Y59" s="4"/>
      <c r="Z59" s="4"/>
      <c r="AA59" s="4"/>
      <c r="AB59" s="4"/>
      <c r="AC59" s="4"/>
    </row>
    <row r="60" spans="1:29" ht="16.5" customHeight="1" x14ac:dyDescent="0.25">
      <c r="A60" s="3"/>
      <c r="B60" s="61" t="s">
        <v>126</v>
      </c>
      <c r="C60" s="62" t="s">
        <v>29</v>
      </c>
      <c r="D60" s="63" t="s">
        <v>81</v>
      </c>
      <c r="E60" s="64" t="s">
        <v>82</v>
      </c>
      <c r="F60" s="65">
        <v>8009</v>
      </c>
      <c r="G60" s="66">
        <v>0</v>
      </c>
      <c r="H60" s="67">
        <f ca="1">SUMPRODUCT((Production_Log!$F$3:$F$8963=F59)*(MONTH(Production_Log!$A$3:$A$8963)=MONTH(TODAY()))*(YEAR(Production_Log!$A$3:$A$8963)=YEAR(TODAY()))*Production_Log!$H$3:$H$8963)</f>
        <v>0</v>
      </c>
      <c r="I60" s="66">
        <f t="shared" ca="1" si="4"/>
        <v>0</v>
      </c>
      <c r="J60" s="68" t="str">
        <f t="shared" si="5"/>
        <v>-</v>
      </c>
      <c r="K60" s="67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4"/>
      <c r="Y60" s="4"/>
      <c r="Z60" s="4"/>
      <c r="AA60" s="4"/>
      <c r="AB60" s="4"/>
      <c r="AC60" s="4"/>
    </row>
    <row r="61" spans="1:29" ht="15" customHeight="1" x14ac:dyDescent="0.25">
      <c r="A61" s="3"/>
      <c r="B61" s="61" t="s">
        <v>126</v>
      </c>
      <c r="C61" s="62" t="s">
        <v>29</v>
      </c>
      <c r="D61" s="63" t="s">
        <v>83</v>
      </c>
      <c r="E61" s="64" t="s">
        <v>84</v>
      </c>
      <c r="F61" s="65">
        <v>8013</v>
      </c>
      <c r="G61" s="66">
        <v>0</v>
      </c>
      <c r="H61" s="67">
        <f ca="1">SUMPRODUCT((Production_Log!$F$3:$F$8963=F60)*(MONTH(Production_Log!$A$3:$A$8963)=MONTH(TODAY()))*(YEAR(Production_Log!$A$3:$A$8963)=YEAR(TODAY()))*Production_Log!$H$3:$H$8963)</f>
        <v>0</v>
      </c>
      <c r="I61" s="66">
        <f t="shared" ca="1" si="4"/>
        <v>0</v>
      </c>
      <c r="J61" s="68" t="str">
        <f t="shared" si="5"/>
        <v>-</v>
      </c>
      <c r="K61" s="6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4"/>
      <c r="Y61" s="4"/>
      <c r="Z61" s="4"/>
      <c r="AA61" s="4"/>
      <c r="AB61" s="4"/>
      <c r="AC61" s="4"/>
    </row>
    <row r="68" spans="12:12" ht="15" customHeight="1" x14ac:dyDescent="0.25"/>
    <row r="69" spans="12:12" ht="15" customHeight="1" x14ac:dyDescent="0.25">
      <c r="L69" s="3"/>
    </row>
    <row r="70" spans="12:12" ht="15" customHeight="1" x14ac:dyDescent="0.25">
      <c r="L70" s="3"/>
    </row>
    <row r="71" spans="12:12" ht="15" customHeight="1" x14ac:dyDescent="0.25">
      <c r="L71" s="3"/>
    </row>
  </sheetData>
  <mergeCells count="13">
    <mergeCell ref="B7:C7"/>
    <mergeCell ref="G7:H7"/>
    <mergeCell ref="B5:C5"/>
    <mergeCell ref="B9:K9"/>
    <mergeCell ref="B2:O2"/>
    <mergeCell ref="G5:H5"/>
    <mergeCell ref="B8:C8"/>
    <mergeCell ref="E8:F8"/>
    <mergeCell ref="B3:G3"/>
    <mergeCell ref="B6:C6"/>
    <mergeCell ref="E6:F6"/>
    <mergeCell ref="H3:O3"/>
    <mergeCell ref="J5:K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64"/>
  <sheetViews>
    <sheetView tabSelected="1" topLeftCell="A18" zoomScaleNormal="100" workbookViewId="0">
      <selection activeCell="F73" sqref="F73"/>
    </sheetView>
  </sheetViews>
  <sheetFormatPr defaultColWidth="8.7109375" defaultRowHeight="15" x14ac:dyDescent="0.25"/>
  <cols>
    <col min="1" max="1" width="9" customWidth="1"/>
    <col min="2" max="2" width="30.5703125" customWidth="1"/>
    <col min="3" max="3" width="31.7109375" style="69" customWidth="1"/>
    <col min="4" max="4" width="9.85546875" customWidth="1"/>
    <col min="5" max="5" width="14.5703125" style="70" customWidth="1"/>
    <col min="6" max="6" width="12" style="70" customWidth="1"/>
    <col min="7" max="7" width="11.7109375" style="71" customWidth="1"/>
    <col min="8" max="8" width="26.140625" style="70" customWidth="1"/>
    <col min="9" max="9" width="18.5703125" style="72" hidden="1" customWidth="1"/>
    <col min="10" max="10" width="28.140625" style="69" customWidth="1"/>
    <col min="11" max="11" width="14" customWidth="1"/>
    <col min="12" max="12" width="12" customWidth="1"/>
    <col min="13" max="14" width="24" customWidth="1"/>
    <col min="15" max="15" width="12" customWidth="1"/>
    <col min="16" max="16" width="24" customWidth="1"/>
  </cols>
  <sheetData>
    <row r="1" spans="1:22" ht="30" customHeight="1" x14ac:dyDescent="0.25">
      <c r="A1" s="73" t="s">
        <v>127</v>
      </c>
      <c r="B1" s="74"/>
      <c r="C1" s="74"/>
      <c r="D1" s="74"/>
      <c r="E1" s="75"/>
      <c r="F1" s="75"/>
      <c r="G1" s="76" t="s">
        <v>128</v>
      </c>
      <c r="H1" s="77">
        <f ca="1">TODAY()</f>
        <v>46157</v>
      </c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4"/>
    </row>
    <row r="2" spans="1:22" ht="24" customHeight="1" x14ac:dyDescent="0.25">
      <c r="A2" s="79" t="s">
        <v>109</v>
      </c>
      <c r="B2" s="79" t="s">
        <v>3</v>
      </c>
      <c r="C2" s="80" t="s">
        <v>4</v>
      </c>
      <c r="D2" s="80" t="s">
        <v>1</v>
      </c>
      <c r="E2" s="81" t="s">
        <v>129</v>
      </c>
      <c r="F2" s="81" t="s">
        <v>130</v>
      </c>
      <c r="G2" s="82" t="s">
        <v>131</v>
      </c>
      <c r="H2" s="79" t="s">
        <v>132</v>
      </c>
      <c r="J2" s="79" t="s">
        <v>875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4"/>
    </row>
    <row r="3" spans="1:22" ht="21.75" customHeight="1" x14ac:dyDescent="0.25">
      <c r="A3" s="83">
        <v>16</v>
      </c>
      <c r="B3" s="83" t="s">
        <v>21</v>
      </c>
      <c r="C3" s="84" t="s">
        <v>22</v>
      </c>
      <c r="D3" s="83">
        <v>6561</v>
      </c>
      <c r="E3" s="85">
        <v>6849</v>
      </c>
      <c r="F3" s="85">
        <v>25000</v>
      </c>
      <c r="G3" s="86">
        <f ca="1">SUMPRODUCT((Production_Log!$F$3:$F$8963=D3)*(LEFT(Production_Log!$B$3:$B$8963,5)="Print")*(ISERROR(SEARCH("(Varnish)",Production_Log!$D$3:$D$8963)))*(MONTH(Production_Log!$A$3:$A$8963)=MONTH(TODAY()))*(YEAR(Production_Log!$A$3:$A$8963)=YEAR(TODAY()))*Production_Log!$H$3:$H$8963)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H3" s="87">
        <f t="shared" ref="H3:J12" ca="1" si="0">F3-G3</f>
        <v>25000</v>
      </c>
      <c r="J3" s="87" t="s">
        <v>876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</row>
    <row r="4" spans="1:22" ht="21.75" customHeight="1" x14ac:dyDescent="0.25">
      <c r="A4" s="83">
        <v>19</v>
      </c>
      <c r="B4" s="83" t="s">
        <v>26</v>
      </c>
      <c r="C4" s="84" t="s">
        <v>28</v>
      </c>
      <c r="D4" s="83">
        <v>6624</v>
      </c>
      <c r="E4" s="85" t="s">
        <v>133</v>
      </c>
      <c r="F4" s="85">
        <v>10888</v>
      </c>
      <c r="G4" s="86">
        <f ca="1">SUMPRODUCT((Production_Log!$F$3:$F$8963=D4)*(LEFT(Production_Log!$B$3:$B$8963,5)="Print")*(ISERROR(SEARCH("(Varnish)",Production_Log!$D$3:$D$8963)))*(MONTH(Production_Log!$A$3:$A$8963)=MONTH(TODAY()))*(YEAR(Production_Log!$A$3:$A$8963)=YEAR(TODAY()))*Production_Log!$H$3:$H$8963)</f>
        <v>0</v>
      </c>
      <c r="H4" s="87">
        <f t="shared" ca="1" si="0"/>
        <v>10888</v>
      </c>
      <c r="J4" s="87" t="s">
        <v>878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</row>
    <row r="5" spans="1:22" ht="21.75" customHeight="1" x14ac:dyDescent="0.25">
      <c r="A5" s="83">
        <v>20.5</v>
      </c>
      <c r="B5" s="83" t="s">
        <v>29</v>
      </c>
      <c r="C5" s="84" t="s">
        <v>30</v>
      </c>
      <c r="D5" s="83">
        <v>6077</v>
      </c>
      <c r="E5" s="85">
        <v>6886</v>
      </c>
      <c r="F5" s="85">
        <v>23970</v>
      </c>
      <c r="G5" s="86">
        <f ca="1">SUMPRODUCT((Production_Log!$F$3:$F$8963=D5)*(LEFT(Production_Log!$B$3:$B$8963,5)="Print")*(ISERROR(SEARCH("(Varnish)",Production_Log!$D$3:$D$8963)))*(MONTH(Production_Log!$A$3:$A$8963)=MONTH(TODAY()))*(YEAR(Production_Log!$A$3:$A$8963)=YEAR(TODAY()))*Production_Log!$H$3:$H$8963)</f>
        <v>23970</v>
      </c>
      <c r="H5" s="87">
        <f t="shared" ca="1" si="0"/>
        <v>0</v>
      </c>
      <c r="J5" s="87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</row>
    <row r="6" spans="1:22" ht="21.75" customHeight="1" x14ac:dyDescent="0.25">
      <c r="A6" s="83">
        <v>25</v>
      </c>
      <c r="B6" s="83" t="s">
        <v>29</v>
      </c>
      <c r="C6" s="84" t="s">
        <v>38</v>
      </c>
      <c r="D6" s="83">
        <v>6228</v>
      </c>
      <c r="E6" s="85">
        <v>6885</v>
      </c>
      <c r="F6" s="85">
        <v>21840</v>
      </c>
      <c r="G6" s="86">
        <f ca="1">SUMPRODUCT((Production_Log!$F$3:$F$8963=D6)*(LEFT(Production_Log!$B$3:$B$8963,5)="Print")*(ISERROR(SEARCH("(Varnish)",Production_Log!$D$3:$D$8963)))*(MONTH(Production_Log!$A$3:$A$8963)=MONTH(TODAY()))*(YEAR(Production_Log!$A$3:$A$8963)=YEAR(TODAY()))*Production_Log!$H$3:$H$8963)</f>
        <v>21840</v>
      </c>
      <c r="H6" s="87">
        <f t="shared" ca="1" si="0"/>
        <v>0</v>
      </c>
      <c r="J6" s="87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</row>
    <row r="7" spans="1:22" ht="21.75" customHeight="1" x14ac:dyDescent="0.25">
      <c r="A7" s="83">
        <v>25</v>
      </c>
      <c r="B7" s="83" t="s">
        <v>26</v>
      </c>
      <c r="C7" s="84" t="s">
        <v>39</v>
      </c>
      <c r="D7" s="83">
        <v>3447</v>
      </c>
      <c r="E7" s="85">
        <v>6876</v>
      </c>
      <c r="F7" s="85">
        <v>38976</v>
      </c>
      <c r="G7" s="86">
        <f ca="1">SUMPRODUCT((Production_Log!$F$3:$F$8963=D7)*(LEFT(Production_Log!$B$3:$B$8963,5)="Print")*(ISERROR(SEARCH("(Varnish)",Production_Log!$D$3:$D$8963)))*(MONTH(Production_Log!$A$3:$A$8963)=MONTH(TODAY()))*(YEAR(Production_Log!$A$3:$A$8963)=YEAR(TODAY()))*Production_Log!$H$3:$H$8963)</f>
        <v>38976</v>
      </c>
      <c r="H7" s="87">
        <f t="shared" ca="1" si="0"/>
        <v>0</v>
      </c>
      <c r="J7" s="87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</row>
    <row r="8" spans="1:22" ht="21.75" customHeight="1" x14ac:dyDescent="0.25">
      <c r="A8" s="83">
        <v>30</v>
      </c>
      <c r="B8" s="83" t="s">
        <v>29</v>
      </c>
      <c r="C8" s="84" t="s">
        <v>52</v>
      </c>
      <c r="D8" s="83">
        <v>5814</v>
      </c>
      <c r="E8" s="85">
        <v>6887</v>
      </c>
      <c r="F8" s="85">
        <v>23562</v>
      </c>
      <c r="G8" s="86">
        <f ca="1">SUMPRODUCT((Production_Log!$F$3:$F$8963=D8)*(LEFT(Production_Log!$B$3:$B$8963,5)="Print")*(ISERROR(SEARCH("(Varnish)",Production_Log!$D$3:$D$8963)))*(MONTH(Production_Log!$A$3:$A$8963)=MONTH(TODAY()))*(YEAR(Production_Log!$A$3:$A$8963)=YEAR(TODAY()))*Production_Log!$H$3:$H$8963)</f>
        <v>23562</v>
      </c>
      <c r="H8" s="87">
        <f t="shared" ca="1" si="0"/>
        <v>0</v>
      </c>
      <c r="J8" s="87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</row>
    <row r="9" spans="1:22" ht="21.75" customHeight="1" x14ac:dyDescent="0.25">
      <c r="A9" s="83">
        <v>30</v>
      </c>
      <c r="B9" s="83" t="s">
        <v>50</v>
      </c>
      <c r="C9" s="84" t="s">
        <v>51</v>
      </c>
      <c r="D9" s="83">
        <v>6206</v>
      </c>
      <c r="E9" s="85">
        <v>6862</v>
      </c>
      <c r="F9" s="85">
        <v>87108</v>
      </c>
      <c r="G9" s="86">
        <f ca="1">SUMPRODUCT((Production_Log!$F$3:$F$8963=D9)*(LEFT(Production_Log!$B$3:$B$8963,5)="Print")*(ISERROR(SEARCH("(Varnish)",Production_Log!$D$3:$D$8963)))*(MONTH(Production_Log!$A$3:$A$8963)=MONTH(TODAY()))*(YEAR(Production_Log!$A$3:$A$8963)=YEAR(TODAY()))*Production_Log!$H$3:$H$8963)</f>
        <v>87108</v>
      </c>
      <c r="H9" s="87">
        <f t="shared" ca="1" si="0"/>
        <v>0</v>
      </c>
      <c r="J9" s="87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</row>
    <row r="10" spans="1:22" ht="21.75" customHeight="1" x14ac:dyDescent="0.25">
      <c r="A10" s="83">
        <v>32</v>
      </c>
      <c r="B10" s="83" t="s">
        <v>61</v>
      </c>
      <c r="C10" s="84" t="s">
        <v>62</v>
      </c>
      <c r="D10" s="83">
        <v>6515</v>
      </c>
      <c r="E10" s="85">
        <v>6839</v>
      </c>
      <c r="F10" s="85">
        <v>13104</v>
      </c>
      <c r="G10" s="86">
        <f ca="1">SUMPRODUCT((Production_Log!$F$3:$F$8963=D10)*(LEFT(Production_Log!$B$3:$B$8963,5)="Print")*(ISERROR(SEARCH("(Varnish)",Production_Log!$D$3:$D$8963)))*(MONTH(Production_Log!$A$3:$A$8963)=MONTH(TODAY()))*(YEAR(Production_Log!$A$3:$A$8963)=YEAR(TODAY()))*Production_Log!$H$3:$H$8963)</f>
        <v>13104</v>
      </c>
      <c r="H10" s="87">
        <f t="shared" ca="1" si="0"/>
        <v>0</v>
      </c>
      <c r="J10" s="87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</row>
    <row r="11" spans="1:22" ht="21.75" customHeight="1" x14ac:dyDescent="0.25">
      <c r="A11" s="83">
        <v>35</v>
      </c>
      <c r="B11" s="83" t="s">
        <v>63</v>
      </c>
      <c r="C11" s="84" t="s">
        <v>66</v>
      </c>
      <c r="D11" s="83">
        <v>6530</v>
      </c>
      <c r="E11" s="85">
        <v>6884</v>
      </c>
      <c r="F11" s="85">
        <v>34000</v>
      </c>
      <c r="G11" s="86">
        <f ca="1">SUMPRODUCT((Production_Log!$F$3:$F$8963=D11)*(LEFT(Production_Log!$B$3:$B$8963,5)="Print")*(ISERROR(SEARCH("(Varnish)",Production_Log!$D$3:$D$8963)))*(MONTH(Production_Log!$A$3:$A$8963)=MONTH(TODAY()))*(YEAR(Production_Log!$A$3:$A$8963)=YEAR(TODAY()))*Production_Log!$H$3:$H$8963)</f>
        <v>20700</v>
      </c>
      <c r="H11" s="87">
        <f t="shared" ca="1" si="0"/>
        <v>13300</v>
      </c>
      <c r="J11" s="87" t="s">
        <v>877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</row>
    <row r="12" spans="1:22" ht="21.75" customHeight="1" x14ac:dyDescent="0.25">
      <c r="A12" s="83">
        <v>35</v>
      </c>
      <c r="B12" s="83" t="s">
        <v>63</v>
      </c>
      <c r="C12" s="84" t="s">
        <v>67</v>
      </c>
      <c r="D12" s="83">
        <v>6531</v>
      </c>
      <c r="E12" s="85">
        <v>6883</v>
      </c>
      <c r="F12" s="85">
        <v>10620</v>
      </c>
      <c r="G12" s="86">
        <f ca="1">SUMPRODUCT((Production_Log!$F$3:$F$8963=D12)*(LEFT(Production_Log!$B$3:$B$8963,5)="Print")*(ISERROR(SEARCH("(Varnish)",Production_Log!$D$3:$D$8963)))*(MONTH(Production_Log!$A$3:$A$8963)=MONTH(TODAY()))*(YEAR(Production_Log!$A$3:$A$8963)=YEAR(TODAY()))*Production_Log!$H$3:$H$8963)</f>
        <v>10620</v>
      </c>
      <c r="H12" s="87">
        <f t="shared" ca="1" si="0"/>
        <v>0</v>
      </c>
      <c r="J12" s="8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</row>
    <row r="13" spans="1:22" ht="15" customHeight="1" x14ac:dyDescent="0.25">
      <c r="A13" s="88"/>
      <c r="B13" s="88"/>
      <c r="C13" s="88"/>
      <c r="D13" s="88"/>
      <c r="E13" s="89" t="s">
        <v>134</v>
      </c>
      <c r="F13" s="89">
        <f>SUM(F3:F12)</f>
        <v>289068</v>
      </c>
      <c r="G13" s="89">
        <f ca="1">SUM(G3:G12)</f>
        <v>239880</v>
      </c>
      <c r="H13" s="89">
        <f ca="1">SUMIF(H3:H12, "&gt;0")</f>
        <v>49188</v>
      </c>
      <c r="J13" s="89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4"/>
    </row>
    <row r="14" spans="1:22" ht="27" customHeight="1" x14ac:dyDescent="0.25">
      <c r="A14" s="90" t="s">
        <v>135</v>
      </c>
      <c r="B14" s="91"/>
      <c r="C14" s="91"/>
      <c r="D14" s="91"/>
      <c r="E14" s="92"/>
      <c r="F14" s="92"/>
      <c r="G14" s="93"/>
      <c r="H14" s="92"/>
      <c r="I14" s="91"/>
      <c r="J14" s="91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4"/>
    </row>
    <row r="15" spans="1:22" ht="36" customHeight="1" x14ac:dyDescent="0.25">
      <c r="A15" s="79" t="s">
        <v>136</v>
      </c>
      <c r="B15" s="79" t="s">
        <v>100</v>
      </c>
      <c r="C15" s="79" t="s">
        <v>137</v>
      </c>
      <c r="D15" s="79" t="s">
        <v>138</v>
      </c>
      <c r="E15" s="81" t="s">
        <v>130</v>
      </c>
      <c r="F15" s="81" t="s">
        <v>139</v>
      </c>
      <c r="G15" s="82" t="s">
        <v>140</v>
      </c>
      <c r="H15" s="80" t="s">
        <v>141</v>
      </c>
      <c r="I15" s="80" t="s">
        <v>142</v>
      </c>
      <c r="J15" s="79" t="s">
        <v>143</v>
      </c>
      <c r="K15" s="79" t="s">
        <v>144</v>
      </c>
      <c r="L15" s="79" t="s">
        <v>145</v>
      </c>
      <c r="M15" s="78"/>
      <c r="N15" s="78"/>
      <c r="O15" s="78"/>
      <c r="P15" s="78"/>
      <c r="Q15" s="78"/>
      <c r="R15" s="78"/>
      <c r="S15" s="78"/>
      <c r="T15" s="78"/>
      <c r="U15" s="78"/>
      <c r="V15" s="4"/>
    </row>
    <row r="16" spans="1:22" ht="15" hidden="1" customHeight="1" x14ac:dyDescent="0.25">
      <c r="A16" s="88">
        <v>33</v>
      </c>
      <c r="B16" s="88" t="s">
        <v>146</v>
      </c>
      <c r="C16" s="88" t="s">
        <v>147</v>
      </c>
      <c r="D16" s="88" t="s">
        <v>148</v>
      </c>
      <c r="E16" s="94">
        <f ca="1">SUMPRODUCT((TableBOM[Item ID]=A16)*TableBOM[Per 1000 Units]*(1+TableBOM[Scrap %])*SUMIF($D$3:$D$12,TableBOM[Product ID],$H$3:$H$12)/1000)</f>
        <v>0</v>
      </c>
      <c r="F16" s="94">
        <f>IFERROR(INDEX(TableInventory[Store Balance],MATCH(A16,TableInventory[Item ID],0)),0)+IFERROR(INDEX(TableInventory[Work In Process],MATCH(A16,TableInventory[Item ID],0)),0)</f>
        <v>0</v>
      </c>
      <c r="G16" s="94">
        <f t="shared" ref="G16:G47" ca="1" si="1">F16-E16</f>
        <v>0</v>
      </c>
      <c r="H16" s="95" t="str">
        <f ca="1">IF(LEN(IF((COUNTIFS(TableBOM[Product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",""))&gt;1,LEFT(IF((COUNTIFS(TableBOM[Product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",""),LEN(IF((COUNTIFS(TableBOM[Product ID],$D$3,TableBOM[Item ID],$A16)&gt;0)*($H$3&gt;0),$C$3&amp;", ","")&amp;IF((COUNTIFS(TableBOM[Product ID],$D$4,TableBOM[Item ID],$A16)&gt;0)*($H$4&gt;0),$C$4&amp;", ","")&amp;IF((COUNTIFS(TableBOM[Product ID],$D$5,TableBOM[Item ID],$A16)&gt;0)*($H$5&gt;0),$C$5&amp;", ","")&amp;IF((COUNTIFS(TableBOM[Product ID],$D$6,TableBOM[Item ID],$A16)&gt;0)*($H$6&gt;0),$C$6&amp;", ","")&amp;IF((COUNTIFS(TableBOM[Product ID],$D$7,TableBOM[Item ID],$A16)&gt;0)*($H$7&gt;0),$C$7&amp;", ","")&amp;IF((COUNTIFS(TableBOM[Product ID],$D$8,TableBOM[Item ID],$A16)&gt;0)*($H$8&gt;0),$C$8&amp;", ","")&amp;IF((COUNTIFS(TableBOM[Product ID],$D$9,TableBOM[Item ID],$A16)&gt;0)*($H$9&gt;0),$C$9&amp;", ","")&amp;IF((COUNTIFS(TableBOM[Product ID],$D$10,TableBOM[Item ID],$A16)&gt;0)*($H$10&gt;0),$C$10&amp;", ","")&amp;IF((COUNTIFS(TableBOM[Product ID],$D$12,TableBOM[Item ID],$A16)&gt;0)*($H$12&gt;0),$C$12&amp;", ",""))-2),"")</f>
        <v/>
      </c>
      <c r="I16" s="96" t="str">
        <f ca="1">IF(LEN(IF((COUNTIFS(TableBOM[Product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",""))&gt;1,LEFT(IF((COUNTIFS(TableBOM[Product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",""),LEN(IF((COUNTIFS(TableBOM[Product ID],$D$3,TableBOM[Item ID],$A16)&gt;0)*($H$3&gt;0),$E$3&amp;", ","")&amp;IF((COUNTIFS(TableBOM[Product ID],$D$4,TableBOM[Item ID],$A16)&gt;0)*($H$4&gt;0),$E$4&amp;", ","")&amp;IF((COUNTIFS(TableBOM[Product ID],$D$5,TableBOM[Item ID],$A16)&gt;0)*($H$5&gt;0),$E$5&amp;", ","")&amp;IF((COUNTIFS(TableBOM[Product ID],$D$6,TableBOM[Item ID],$A16)&gt;0)*($H$6&gt;0),$E$6&amp;", ","")&amp;IF((COUNTIFS(TableBOM[Product ID],$D$7,TableBOM[Item ID],$A16)&gt;0)*($H$7&gt;0),$E$7&amp;", ","")&amp;IF((COUNTIFS(TableBOM[Product ID],$D$8,TableBOM[Item ID],$A16)&gt;0)*($H$8&gt;0),$E$8&amp;", ","")&amp;IF((COUNTIFS(TableBOM[Product ID],$D$9,TableBOM[Item ID],$A16)&gt;0)*($H$9&gt;0),$E$9&amp;", ","")&amp;IF((COUNTIFS(TableBOM[Product ID],$D$10,TableBOM[Item ID],$A16)&gt;0)*($H$10&gt;0),$E$10&amp;", ","")&amp;IF((COUNTIFS(TableBOM[Product ID],$D$12,TableBOM[Item ID],$A16)&gt;0)*($H$12&gt;0),$E$12&amp;", ",""))-2),"")</f>
        <v/>
      </c>
      <c r="J16" s="97" t="str">
        <f t="shared" ref="J16:J47" ca="1" si="2">IF(E16=0,"Not needed",IF(G16&lt;0,"SHORTAGE",IF(G16&lt;F16*0.1,"LOW","OK")))</f>
        <v>Not needed</v>
      </c>
      <c r="K16" s="97" t="str">
        <f>IF(B16&lt;&gt;"CAP","",SUMPRODUCT((ISNUMBER(SEARCH("Cap Not Available",'FG Stock'!$H$4:$H$100)))*('FG Stock'!$I$4:$I$100=A16)*'FG Stock'!$F$4:$F$100))</f>
        <v/>
      </c>
      <c r="L16" s="97" t="str">
        <f t="shared" ref="L16:L47" ca="1" si="3">IF(E16=0,"",MAX(0,E16+IFERROR(K16*1,0)-F16))</f>
        <v/>
      </c>
      <c r="M16" s="78"/>
      <c r="N16" s="78"/>
      <c r="O16" s="78"/>
      <c r="P16" s="78"/>
      <c r="Q16" s="78"/>
      <c r="R16" s="78"/>
      <c r="S16" s="78"/>
      <c r="T16" s="78"/>
      <c r="U16" s="78"/>
      <c r="V16" s="4"/>
    </row>
    <row r="17" spans="1:22" ht="15" hidden="1" customHeight="1" x14ac:dyDescent="0.25">
      <c r="A17" s="88">
        <v>31</v>
      </c>
      <c r="B17" s="88" t="s">
        <v>146</v>
      </c>
      <c r="C17" s="88" t="s">
        <v>149</v>
      </c>
      <c r="D17" s="88" t="s">
        <v>148</v>
      </c>
      <c r="E17" s="94">
        <f ca="1">SUMPRODUCT((TableBOM[Item ID]=A17)*TableBOM[Per 1000 Units]*(1+TableBOM[Scrap %])*SUMIF($D$3:$D$12,TableBOM[Product ID],$H$3:$H$12)/1000)</f>
        <v>0</v>
      </c>
      <c r="F17" s="94">
        <f>IFERROR(INDEX(TableInventory[Store Balance],MATCH(A17,TableInventory[Item ID],0)),0)+IFERROR(INDEX(TableInventory[Work In Process],MATCH(A17,TableInventory[Item ID],0)),0)</f>
        <v>71.5</v>
      </c>
      <c r="G17" s="94">
        <f t="shared" ca="1" si="1"/>
        <v>71.5</v>
      </c>
      <c r="H17" s="95" t="str">
        <f ca="1">IF(LEN(IF((COUNTIFS(TableBOM[Product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",""))&gt;1,LEFT(IF((COUNTIFS(TableBOM[Product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",""),LEN(IF((COUNTIFS(TableBOM[Product ID],$D$3,TableBOM[Item ID],$A17)&gt;0)*($H$3&gt;0),$C$3&amp;", ","")&amp;IF((COUNTIFS(TableBOM[Product ID],$D$4,TableBOM[Item ID],$A17)&gt;0)*($H$4&gt;0),$C$4&amp;", ","")&amp;IF((COUNTIFS(TableBOM[Product ID],$D$5,TableBOM[Item ID],$A17)&gt;0)*($H$5&gt;0),$C$5&amp;", ","")&amp;IF((COUNTIFS(TableBOM[Product ID],$D$6,TableBOM[Item ID],$A17)&gt;0)*($H$6&gt;0),$C$6&amp;", ","")&amp;IF((COUNTIFS(TableBOM[Product ID],$D$7,TableBOM[Item ID],$A17)&gt;0)*($H$7&gt;0),$C$7&amp;", ","")&amp;IF((COUNTIFS(TableBOM[Product ID],$D$8,TableBOM[Item ID],$A17)&gt;0)*($H$8&gt;0),$C$8&amp;", ","")&amp;IF((COUNTIFS(TableBOM[Product ID],$D$9,TableBOM[Item ID],$A17)&gt;0)*($H$9&gt;0),$C$9&amp;", ","")&amp;IF((COUNTIFS(TableBOM[Product ID],$D$10,TableBOM[Item ID],$A17)&gt;0)*($H$10&gt;0),$C$10&amp;", ","")&amp;IF((COUNTIFS(TableBOM[Product ID],$D$12,TableBOM[Item ID],$A17)&gt;0)*($H$12&gt;0),$C$12&amp;", ",""))-2),"")</f>
        <v/>
      </c>
      <c r="I17" s="96" t="str">
        <f ca="1">IF(LEN(IF((COUNTIFS(TableBOM[Product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",""))&gt;1,LEFT(IF((COUNTIFS(TableBOM[Product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",""),LEN(IF((COUNTIFS(TableBOM[Product ID],$D$3,TableBOM[Item ID],$A17)&gt;0)*($H$3&gt;0),$E$3&amp;", ","")&amp;IF((COUNTIFS(TableBOM[Product ID],$D$4,TableBOM[Item ID],$A17)&gt;0)*($H$4&gt;0),$E$4&amp;", ","")&amp;IF((COUNTIFS(TableBOM[Product ID],$D$5,TableBOM[Item ID],$A17)&gt;0)*($H$5&gt;0),$E$5&amp;", ","")&amp;IF((COUNTIFS(TableBOM[Product ID],$D$6,TableBOM[Item ID],$A17)&gt;0)*($H$6&gt;0),$E$6&amp;", ","")&amp;IF((COUNTIFS(TableBOM[Product ID],$D$7,TableBOM[Item ID],$A17)&gt;0)*($H$7&gt;0),$E$7&amp;", ","")&amp;IF((COUNTIFS(TableBOM[Product ID],$D$8,TableBOM[Item ID],$A17)&gt;0)*($H$8&gt;0),$E$8&amp;", ","")&amp;IF((COUNTIFS(TableBOM[Product ID],$D$9,TableBOM[Item ID],$A17)&gt;0)*($H$9&gt;0),$E$9&amp;", ","")&amp;IF((COUNTIFS(TableBOM[Product ID],$D$10,TableBOM[Item ID],$A17)&gt;0)*($H$10&gt;0),$E$10&amp;", ","")&amp;IF((COUNTIFS(TableBOM[Product ID],$D$12,TableBOM[Item ID],$A17)&gt;0)*($H$12&gt;0),$E$12&amp;", ",""))-2),"")</f>
        <v/>
      </c>
      <c r="J17" s="97" t="str">
        <f t="shared" ca="1" si="2"/>
        <v>Not needed</v>
      </c>
      <c r="K17" s="97" t="str">
        <f>IF(B17&lt;&gt;"CAP","",SUMPRODUCT((ISNUMBER(SEARCH("Cap Not Available",'FG Stock'!$H$4:$H$100)))*('FG Stock'!$I$4:$I$100=A17)*'FG Stock'!$F$4:$F$100))</f>
        <v/>
      </c>
      <c r="L17" s="97" t="str">
        <f t="shared" ca="1" si="3"/>
        <v/>
      </c>
      <c r="M17" s="78"/>
      <c r="N17" s="78"/>
      <c r="O17" s="78"/>
      <c r="P17" s="78"/>
      <c r="Q17" s="78"/>
      <c r="R17" s="78"/>
      <c r="S17" s="78"/>
      <c r="T17" s="78"/>
      <c r="U17" s="78"/>
      <c r="V17" s="4"/>
    </row>
    <row r="18" spans="1:22" ht="16.5" customHeight="1" x14ac:dyDescent="0.25">
      <c r="A18" s="88">
        <v>2799</v>
      </c>
      <c r="B18" s="88" t="s">
        <v>146</v>
      </c>
      <c r="C18" s="88" t="s">
        <v>150</v>
      </c>
      <c r="D18" s="88" t="s">
        <v>148</v>
      </c>
      <c r="E18" s="94">
        <f ca="1">SUMPRODUCT((TableBOM[Item ID]=A18)*TableBOM[Per 1000 Units]*(1+TableBOM[Scrap %])*SUMIF($D$3:$D$12,TableBOM[Product ID],$H$3:$H$12)/1000)</f>
        <v>69.269475</v>
      </c>
      <c r="F18" s="94">
        <f>IFERROR(INDEX(TableInventory[Store Balance],MATCH(A18,TableInventory[Item ID],0)),0)+IFERROR(INDEX(TableInventory[Work In Process],MATCH(A18,TableInventory[Item ID],0)),0)</f>
        <v>88</v>
      </c>
      <c r="G18" s="98">
        <f t="shared" ca="1" si="1"/>
        <v>18.730525</v>
      </c>
      <c r="H18" s="95" t="str">
        <f ca="1">IF(LEN(IF((COUNTIFS(TableBOM[Product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",""))&gt;1,LEFT(IF((COUNTIFS(TableBOM[Product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",""),LEN(IF((COUNTIFS(TableBOM[Product ID],$D$3,TableBOM[Item ID],$A18)&gt;0)*($H$3&gt;0),$C$3&amp;", ","")&amp;IF((COUNTIFS(TableBOM[Product ID],$D$4,TableBOM[Item ID],$A18)&gt;0)*($H$4&gt;0),$C$4&amp;", ","")&amp;IF((COUNTIFS(TableBOM[Product ID],$D$5,TableBOM[Item ID],$A18)&gt;0)*($H$5&gt;0),$C$5&amp;", ","")&amp;IF((COUNTIFS(TableBOM[Product ID],$D$6,TableBOM[Item ID],$A18)&gt;0)*($H$6&gt;0),$C$6&amp;", ","")&amp;IF((COUNTIFS(TableBOM[Product ID],$D$7,TableBOM[Item ID],$A18)&gt;0)*($H$7&gt;0),$C$7&amp;", ","")&amp;IF((COUNTIFS(TableBOM[Product ID],$D$8,TableBOM[Item ID],$A18)&gt;0)*($H$8&gt;0),$C$8&amp;", ","")&amp;IF((COUNTIFS(TableBOM[Product ID],$D$9,TableBOM[Item ID],$A18)&gt;0)*($H$9&gt;0),$C$9&amp;", ","")&amp;IF((COUNTIFS(TableBOM[Product ID],$D$10,TableBOM[Item ID],$A18)&gt;0)*($H$10&gt;0),$C$10&amp;", ","")&amp;IF((COUNTIFS(TableBOM[Product ID],$D$12,TableBOM[Item ID],$A18)&gt;0)*($H$12&gt;0),$C$12&amp;", ",""))-2),"")</f>
        <v>ECZEMUS OINTMENT 0.03% 10G</v>
      </c>
      <c r="I18" s="96" t="str">
        <f ca="1">IF(LEN(IF((COUNTIFS(TableBOM[Product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",""))&gt;1,LEFT(IF((COUNTIFS(TableBOM[Product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",""),LEN(IF((COUNTIFS(TableBOM[Product ID],$D$3,TableBOM[Item ID],$A18)&gt;0)*($H$3&gt;0),$E$3&amp;", ","")&amp;IF((COUNTIFS(TableBOM[Product ID],$D$4,TableBOM[Item ID],$A18)&gt;0)*($H$4&gt;0),$E$4&amp;", ","")&amp;IF((COUNTIFS(TableBOM[Product ID],$D$5,TableBOM[Item ID],$A18)&gt;0)*($H$5&gt;0),$E$5&amp;", ","")&amp;IF((COUNTIFS(TableBOM[Product ID],$D$6,TableBOM[Item ID],$A18)&gt;0)*($H$6&gt;0),$E$6&amp;", ","")&amp;IF((COUNTIFS(TableBOM[Product ID],$D$7,TableBOM[Item ID],$A18)&gt;0)*($H$7&gt;0),$E$7&amp;", ","")&amp;IF((COUNTIFS(TableBOM[Product ID],$D$8,TableBOM[Item ID],$A18)&gt;0)*($H$8&gt;0),$E$8&amp;", ","")&amp;IF((COUNTIFS(TableBOM[Product ID],$D$9,TableBOM[Item ID],$A18)&gt;0)*($H$9&gt;0),$E$9&amp;", ","")&amp;IF((COUNTIFS(TableBOM[Product ID],$D$10,TableBOM[Item ID],$A18)&gt;0)*($H$10&gt;0),$E$10&amp;", ","")&amp;IF((COUNTIFS(TableBOM[Product ID],$D$12,TableBOM[Item ID],$A18)&gt;0)*($H$12&gt;0),$E$12&amp;", ",""))-2),"")</f>
        <v>6849</v>
      </c>
      <c r="J18" s="97" t="str">
        <f t="shared" ca="1" si="2"/>
        <v>OK</v>
      </c>
      <c r="K18" s="97" t="str">
        <f>IF(B18&lt;&gt;"CAP","",SUMPRODUCT((ISNUMBER(SEARCH("Cap Not Available",'FG Stock'!$H$4:$H$100)))*('FG Stock'!$I$4:$I$100=A18)*'FG Stock'!$F$4:$F$100))</f>
        <v/>
      </c>
      <c r="L18" s="97">
        <f t="shared" ca="1" si="3"/>
        <v>0</v>
      </c>
      <c r="M18" s="78"/>
      <c r="N18" s="78"/>
      <c r="O18" s="78"/>
      <c r="P18" s="78"/>
      <c r="Q18" s="78"/>
      <c r="R18" s="78"/>
      <c r="S18" s="78"/>
      <c r="T18" s="78"/>
      <c r="U18" s="78"/>
      <c r="V18" s="4"/>
    </row>
    <row r="19" spans="1:22" ht="24" hidden="1" customHeight="1" x14ac:dyDescent="0.25">
      <c r="A19" s="88">
        <v>25</v>
      </c>
      <c r="B19" s="88" t="s">
        <v>146</v>
      </c>
      <c r="C19" s="88" t="s">
        <v>151</v>
      </c>
      <c r="D19" s="88" t="s">
        <v>148</v>
      </c>
      <c r="E19" s="99">
        <f ca="1">SUMPRODUCT((TableBOM[Item ID]=A19)*TableBOM[Per 1000 Units]*(1+TableBOM[Scrap %])*SUMIF($D$3:$D$12,TableBOM[Product ID],$H$3:$H$12)/1000)</f>
        <v>0</v>
      </c>
      <c r="F19" s="99">
        <f>IFERROR(INDEX(TableInventory[Store Balance],MATCH(A19,TableInventory[Item ID],0)),0)+IFERROR(INDEX(TableInventory[Work In Process],MATCH(A19,TableInventory[Item ID],0)),0)</f>
        <v>0</v>
      </c>
      <c r="G19" s="100">
        <f t="shared" ca="1" si="1"/>
        <v>0</v>
      </c>
      <c r="H19" s="95" t="str">
        <f ca="1">IF(LEN(IF((COUNTIFS(TableBOM[Product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",""))&gt;1,LEFT(IF((COUNTIFS(TableBOM[Product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",""),LEN(IF((COUNTIFS(TableBOM[Product ID],$D$3,TableBOM[Item ID],$A19)&gt;0)*($H$3&gt;0),$C$3&amp;", ","")&amp;IF((COUNTIFS(TableBOM[Product ID],$D$4,TableBOM[Item ID],$A19)&gt;0)*($H$4&gt;0),$C$4&amp;", ","")&amp;IF((COUNTIFS(TableBOM[Product ID],$D$5,TableBOM[Item ID],$A19)&gt;0)*($H$5&gt;0),$C$5&amp;", ","")&amp;IF((COUNTIFS(TableBOM[Product ID],$D$6,TableBOM[Item ID],$A19)&gt;0)*($H$6&gt;0),$C$6&amp;", ","")&amp;IF((COUNTIFS(TableBOM[Product ID],$D$7,TableBOM[Item ID],$A19)&gt;0)*($H$7&gt;0),$C$7&amp;", ","")&amp;IF((COUNTIFS(TableBOM[Product ID],$D$8,TableBOM[Item ID],$A19)&gt;0)*($H$8&gt;0),$C$8&amp;", ","")&amp;IF((COUNTIFS(TableBOM[Product ID],$D$9,TableBOM[Item ID],$A19)&gt;0)*($H$9&gt;0),$C$9&amp;", ","")&amp;IF((COUNTIFS(TableBOM[Product ID],$D$10,TableBOM[Item ID],$A19)&gt;0)*($H$10&gt;0),$C$10&amp;", ","")&amp;IF((COUNTIFS(TableBOM[Product ID],$D$12,TableBOM[Item ID],$A19)&gt;0)*($H$12&gt;0),$C$12&amp;", ",""))-2),"")</f>
        <v/>
      </c>
      <c r="I19" s="96" t="str">
        <f ca="1">IF(LEN(IF((COUNTIFS(TableBOM[Product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",""))&gt;1,LEFT(IF((COUNTIFS(TableBOM[Product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",""),LEN(IF((COUNTIFS(TableBOM[Product ID],$D$3,TableBOM[Item ID],$A19)&gt;0)*($H$3&gt;0),$E$3&amp;", ","")&amp;IF((COUNTIFS(TableBOM[Product ID],$D$4,TableBOM[Item ID],$A19)&gt;0)*($H$4&gt;0),$E$4&amp;", ","")&amp;IF((COUNTIFS(TableBOM[Product ID],$D$5,TableBOM[Item ID],$A19)&gt;0)*($H$5&gt;0),$E$5&amp;", ","")&amp;IF((COUNTIFS(TableBOM[Product ID],$D$6,TableBOM[Item ID],$A19)&gt;0)*($H$6&gt;0),$E$6&amp;", ","")&amp;IF((COUNTIFS(TableBOM[Product ID],$D$7,TableBOM[Item ID],$A19)&gt;0)*($H$7&gt;0),$E$7&amp;", ","")&amp;IF((COUNTIFS(TableBOM[Product ID],$D$8,TableBOM[Item ID],$A19)&gt;0)*($H$8&gt;0),$E$8&amp;", ","")&amp;IF((COUNTIFS(TableBOM[Product ID],$D$9,TableBOM[Item ID],$A19)&gt;0)*($H$9&gt;0),$E$9&amp;", ","")&amp;IF((COUNTIFS(TableBOM[Product ID],$D$10,TableBOM[Item ID],$A19)&gt;0)*($H$10&gt;0),$E$10&amp;", ","")&amp;IF((COUNTIFS(TableBOM[Product ID],$D$12,TableBOM[Item ID],$A19)&gt;0)*($H$12&gt;0),$E$12&amp;", ",""))-2),"")</f>
        <v/>
      </c>
      <c r="J19" s="97" t="str">
        <f t="shared" ca="1" si="2"/>
        <v>Not needed</v>
      </c>
      <c r="K19" s="97" t="str">
        <f>IF(B19&lt;&gt;"CAP","",SUMPRODUCT((ISNUMBER(SEARCH("Cap Not Available",'FG Stock'!$H$4:$H$100)))*('FG Stock'!$I$4:$I$100=A19)*'FG Stock'!$F$4:$F$100))</f>
        <v/>
      </c>
      <c r="L19" s="97" t="str">
        <f t="shared" ca="1" si="3"/>
        <v/>
      </c>
      <c r="M19" s="78"/>
      <c r="N19" s="78"/>
      <c r="O19" s="78"/>
      <c r="P19" s="78"/>
      <c r="Q19" s="78"/>
      <c r="R19" s="78"/>
      <c r="S19" s="78"/>
      <c r="T19" s="78"/>
      <c r="U19" s="78"/>
      <c r="V19" s="4"/>
    </row>
    <row r="20" spans="1:22" ht="24" hidden="1" customHeight="1" x14ac:dyDescent="0.25">
      <c r="A20" s="88">
        <v>22</v>
      </c>
      <c r="B20" s="88" t="s">
        <v>146</v>
      </c>
      <c r="C20" s="88" t="s">
        <v>152</v>
      </c>
      <c r="D20" s="88" t="s">
        <v>148</v>
      </c>
      <c r="E20" s="99">
        <f ca="1">SUMPRODUCT((TableBOM[Item ID]=A20)*TableBOM[Per 1000 Units]*(1+TableBOM[Scrap %])*SUMIF($D$3:$D$12,TableBOM[Product ID],$H$3:$H$12)/1000)</f>
        <v>0</v>
      </c>
      <c r="F20" s="99">
        <f>IFERROR(INDEX(TableInventory[Store Balance],MATCH(A20,TableInventory[Item ID],0)),0)+IFERROR(INDEX(TableInventory[Work In Process],MATCH(A20,TableInventory[Item ID],0)),0)</f>
        <v>0</v>
      </c>
      <c r="G20" s="100">
        <f t="shared" ca="1" si="1"/>
        <v>0</v>
      </c>
      <c r="H20" s="95" t="str">
        <f ca="1">IF(LEN(IF((COUNTIFS(TableBOM[Product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",""))&gt;1,LEFT(IF((COUNTIFS(TableBOM[Product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",""),LEN(IF((COUNTIFS(TableBOM[Product ID],$D$3,TableBOM[Item ID],$A20)&gt;0)*($H$3&gt;0),$C$3&amp;", ","")&amp;IF((COUNTIFS(TableBOM[Product ID],$D$4,TableBOM[Item ID],$A20)&gt;0)*($H$4&gt;0),$C$4&amp;", ","")&amp;IF((COUNTIFS(TableBOM[Product ID],$D$5,TableBOM[Item ID],$A20)&gt;0)*($H$5&gt;0),$C$5&amp;", ","")&amp;IF((COUNTIFS(TableBOM[Product ID],$D$6,TableBOM[Item ID],$A20)&gt;0)*($H$6&gt;0),$C$6&amp;", ","")&amp;IF((COUNTIFS(TableBOM[Product ID],$D$7,TableBOM[Item ID],$A20)&gt;0)*($H$7&gt;0),$C$7&amp;", ","")&amp;IF((COUNTIFS(TableBOM[Product ID],$D$8,TableBOM[Item ID],$A20)&gt;0)*($H$8&gt;0),$C$8&amp;", ","")&amp;IF((COUNTIFS(TableBOM[Product ID],$D$9,TableBOM[Item ID],$A20)&gt;0)*($H$9&gt;0),$C$9&amp;", ","")&amp;IF((COUNTIFS(TableBOM[Product ID],$D$10,TableBOM[Item ID],$A20)&gt;0)*($H$10&gt;0),$C$10&amp;", ","")&amp;IF((COUNTIFS(TableBOM[Product ID],$D$12,TableBOM[Item ID],$A20)&gt;0)*($H$12&gt;0),$C$12&amp;", ",""))-2),"")</f>
        <v/>
      </c>
      <c r="I20" s="96" t="str">
        <f ca="1">IF(LEN(IF((COUNTIFS(TableBOM[Product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",""))&gt;1,LEFT(IF((COUNTIFS(TableBOM[Product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",""),LEN(IF((COUNTIFS(TableBOM[Product ID],$D$3,TableBOM[Item ID],$A20)&gt;0)*($H$3&gt;0),$E$3&amp;", ","")&amp;IF((COUNTIFS(TableBOM[Product ID],$D$4,TableBOM[Item ID],$A20)&gt;0)*($H$4&gt;0),$E$4&amp;", ","")&amp;IF((COUNTIFS(TableBOM[Product ID],$D$5,TableBOM[Item ID],$A20)&gt;0)*($H$5&gt;0),$E$5&amp;", ","")&amp;IF((COUNTIFS(TableBOM[Product ID],$D$6,TableBOM[Item ID],$A20)&gt;0)*($H$6&gt;0),$E$6&amp;", ","")&amp;IF((COUNTIFS(TableBOM[Product ID],$D$7,TableBOM[Item ID],$A20)&gt;0)*($H$7&gt;0),$E$7&amp;", ","")&amp;IF((COUNTIFS(TableBOM[Product ID],$D$8,TableBOM[Item ID],$A20)&gt;0)*($H$8&gt;0),$E$8&amp;", ","")&amp;IF((COUNTIFS(TableBOM[Product ID],$D$9,TableBOM[Item ID],$A20)&gt;0)*($H$9&gt;0),$E$9&amp;", ","")&amp;IF((COUNTIFS(TableBOM[Product ID],$D$10,TableBOM[Item ID],$A20)&gt;0)*($H$10&gt;0),$E$10&amp;", ","")&amp;IF((COUNTIFS(TableBOM[Product ID],$D$12,TableBOM[Item ID],$A20)&gt;0)*($H$12&gt;0),$E$12&amp;", ",""))-2),"")</f>
        <v/>
      </c>
      <c r="J20" s="97" t="str">
        <f t="shared" ca="1" si="2"/>
        <v>Not needed</v>
      </c>
      <c r="K20" s="97" t="str">
        <f>IF(B20&lt;&gt;"CAP","",SUMPRODUCT((ISNUMBER(SEARCH("Cap Not Available",'FG Stock'!$H$4:$H$100)))*('FG Stock'!$I$4:$I$100=A20)*'FG Stock'!$F$4:$F$100))</f>
        <v/>
      </c>
      <c r="L20" s="97" t="str">
        <f t="shared" ca="1" si="3"/>
        <v/>
      </c>
    </row>
    <row r="21" spans="1:22" ht="19.5" customHeight="1" x14ac:dyDescent="0.25">
      <c r="A21" s="88">
        <v>19</v>
      </c>
      <c r="B21" s="88" t="s">
        <v>146</v>
      </c>
      <c r="C21" s="88" t="s">
        <v>153</v>
      </c>
      <c r="D21" s="88" t="s">
        <v>148</v>
      </c>
      <c r="E21" s="94">
        <f ca="1">SUMPRODUCT((TableBOM[Item ID]=A21)*TableBOM[Per 1000 Units]*(1+TableBOM[Scrap %])*SUMIF($D$3:$D$12,TableBOM[Product ID],$H$3:$H$12)/1000)</f>
        <v>40.325885599999999</v>
      </c>
      <c r="F21" s="94">
        <f>IFERROR(INDEX(TableInventory[Store Balance],MATCH(A21,TableInventory[Item ID],0)),0)+IFERROR(INDEX(TableInventory[Work In Process],MATCH(A21,TableInventory[Item ID],0)),0)</f>
        <v>0</v>
      </c>
      <c r="G21" s="98">
        <f t="shared" ca="1" si="1"/>
        <v>-40.325885599999999</v>
      </c>
      <c r="H21" s="95" t="str">
        <f ca="1">IF(LEN(IF((COUNTIFS(TableBOM[Product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",""))&gt;1,LEFT(IF((COUNTIFS(TableBOM[Product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",""),LEN(IF((COUNTIFS(TableBOM[Product ID],$D$3,TableBOM[Item ID],$A21)&gt;0)*($H$3&gt;0),$C$3&amp;", ","")&amp;IF((COUNTIFS(TableBOM[Product ID],$D$4,TableBOM[Item ID],$A21)&gt;0)*($H$4&gt;0),$C$4&amp;", ","")&amp;IF((COUNTIFS(TableBOM[Product ID],$D$5,TableBOM[Item ID],$A21)&gt;0)*($H$5&gt;0),$C$5&amp;", ","")&amp;IF((COUNTIFS(TableBOM[Product ID],$D$6,TableBOM[Item ID],$A21)&gt;0)*($H$6&gt;0),$C$6&amp;", ","")&amp;IF((COUNTIFS(TableBOM[Product ID],$D$7,TableBOM[Item ID],$A21)&gt;0)*($H$7&gt;0),$C$7&amp;", ","")&amp;IF((COUNTIFS(TableBOM[Product ID],$D$8,TableBOM[Item ID],$A21)&gt;0)*($H$8&gt;0),$C$8&amp;", ","")&amp;IF((COUNTIFS(TableBOM[Product ID],$D$9,TableBOM[Item ID],$A21)&gt;0)*($H$9&gt;0),$C$9&amp;", ","")&amp;IF((COUNTIFS(TableBOM[Product ID],$D$10,TableBOM[Item ID],$A21)&gt;0)*($H$10&gt;0),$C$10&amp;", ","")&amp;IF((COUNTIFS(TableBOM[Product ID],$D$12,TableBOM[Item ID],$A21)&gt;0)*($H$12&gt;0),$C$12&amp;", ",""))-2),"")</f>
        <v>S-45 DIA 19MM</v>
      </c>
      <c r="I21" s="96" t="str">
        <f ca="1">IF(LEN(IF((COUNTIFS(TableBOM[Product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",""))&gt;1,LEFT(IF((COUNTIFS(TableBOM[Product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",""),LEN(IF((COUNTIFS(TableBOM[Product ID],$D$3,TableBOM[Item ID],$A21)&gt;0)*($H$3&gt;0),$E$3&amp;", ","")&amp;IF((COUNTIFS(TableBOM[Product ID],$D$4,TableBOM[Item ID],$A21)&gt;0)*($H$4&gt;0),$E$4&amp;", ","")&amp;IF((COUNTIFS(TableBOM[Product ID],$D$5,TableBOM[Item ID],$A21)&gt;0)*($H$5&gt;0),$E$5&amp;", ","")&amp;IF((COUNTIFS(TableBOM[Product ID],$D$6,TableBOM[Item ID],$A21)&gt;0)*($H$6&gt;0),$E$6&amp;", ","")&amp;IF((COUNTIFS(TableBOM[Product ID],$D$7,TableBOM[Item ID],$A21)&gt;0)*($H$7&gt;0),$E$7&amp;", ","")&amp;IF((COUNTIFS(TableBOM[Product ID],$D$8,TableBOM[Item ID],$A21)&gt;0)*($H$8&gt;0),$E$8&amp;", ","")&amp;IF((COUNTIFS(TableBOM[Product ID],$D$9,TableBOM[Item ID],$A21)&gt;0)*($H$9&gt;0),$E$9&amp;", ","")&amp;IF((COUNTIFS(TableBOM[Product ID],$D$10,TableBOM[Item ID],$A21)&gt;0)*($H$10&gt;0),$E$10&amp;", ","")&amp;IF((COUNTIFS(TableBOM[Product ID],$D$12,TableBOM[Item ID],$A21)&gt;0)*($H$12&gt;0),$E$12&amp;", ",""))-2),"")</f>
        <v>6880 &amp; 6881</v>
      </c>
      <c r="J21" s="97" t="s">
        <v>878</v>
      </c>
      <c r="K21" s="97" t="str">
        <f>IF(B21&lt;&gt;"CAP","",SUMPRODUCT((ISNUMBER(SEARCH("Cap Not Available",'FG Stock'!$H$4:$H$100)))*('FG Stock'!$I$4:$I$100=A21)*'FG Stock'!$F$4:$F$100))</f>
        <v/>
      </c>
      <c r="L21" s="97">
        <f t="shared" ca="1" si="3"/>
        <v>40.325885599999999</v>
      </c>
    </row>
    <row r="22" spans="1:22" ht="24" hidden="1" customHeight="1" x14ac:dyDescent="0.25">
      <c r="A22" s="88">
        <v>4179</v>
      </c>
      <c r="B22" s="88" t="s">
        <v>146</v>
      </c>
      <c r="C22" s="88" t="s">
        <v>154</v>
      </c>
      <c r="D22" s="88" t="s">
        <v>148</v>
      </c>
      <c r="E22" s="94">
        <f ca="1">SUMPRODUCT((TableBOM[Item ID]=A22)*TableBOM[Per 1000 Units]*(1+TableBOM[Scrap %])*SUMIF($D$3:$D$12,TableBOM[Product ID],$H$3:$H$12)/1000)</f>
        <v>0</v>
      </c>
      <c r="F22" s="94">
        <f>IFERROR(INDEX(TableInventory[Store Balance],MATCH(A22,TableInventory[Item ID],0)),0)+IFERROR(INDEX(TableInventory[Work In Process],MATCH(A22,TableInventory[Item ID],0)),0)</f>
        <v>182</v>
      </c>
      <c r="G22" s="98">
        <f t="shared" ca="1" si="1"/>
        <v>182</v>
      </c>
      <c r="H22" s="95" t="str">
        <f ca="1">IF(LEN(IF((COUNTIFS(TableBOM[Product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",""))&gt;1,LEFT(IF((COUNTIFS(TableBOM[Product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",""),LEN(IF((COUNTIFS(TableBOM[Product ID],$D$3,TableBOM[Item ID],$A22)&gt;0)*($H$3&gt;0),$C$3&amp;", ","")&amp;IF((COUNTIFS(TableBOM[Product ID],$D$4,TableBOM[Item ID],$A22)&gt;0)*($H$4&gt;0),$C$4&amp;", ","")&amp;IF((COUNTIFS(TableBOM[Product ID],$D$5,TableBOM[Item ID],$A22)&gt;0)*($H$5&gt;0),$C$5&amp;", ","")&amp;IF((COUNTIFS(TableBOM[Product ID],$D$6,TableBOM[Item ID],$A22)&gt;0)*($H$6&gt;0),$C$6&amp;", ","")&amp;IF((COUNTIFS(TableBOM[Product ID],$D$7,TableBOM[Item ID],$A22)&gt;0)*($H$7&gt;0),$C$7&amp;", ","")&amp;IF((COUNTIFS(TableBOM[Product ID],$D$8,TableBOM[Item ID],$A22)&gt;0)*($H$8&gt;0),$C$8&amp;", ","")&amp;IF((COUNTIFS(TableBOM[Product ID],$D$9,TableBOM[Item ID],$A22)&gt;0)*($H$9&gt;0),$C$9&amp;", ","")&amp;IF((COUNTIFS(TableBOM[Product ID],$D$10,TableBOM[Item ID],$A22)&gt;0)*($H$10&gt;0),$C$10&amp;", ","")&amp;IF((COUNTIFS(TableBOM[Product ID],$D$12,TableBOM[Item ID],$A22)&gt;0)*($H$12&gt;0),$C$12&amp;", ",""))-2),"")</f>
        <v/>
      </c>
      <c r="I22" s="96" t="str">
        <f ca="1">IF(LEN(IF((COUNTIFS(TableBOM[Product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",""))&gt;1,LEFT(IF((COUNTIFS(TableBOM[Product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",""),LEN(IF((COUNTIFS(TableBOM[Product ID],$D$3,TableBOM[Item ID],$A22)&gt;0)*($H$3&gt;0),$E$3&amp;", ","")&amp;IF((COUNTIFS(TableBOM[Product ID],$D$4,TableBOM[Item ID],$A22)&gt;0)*($H$4&gt;0),$E$4&amp;", ","")&amp;IF((COUNTIFS(TableBOM[Product ID],$D$5,TableBOM[Item ID],$A22)&gt;0)*($H$5&gt;0),$E$5&amp;", ","")&amp;IF((COUNTIFS(TableBOM[Product ID],$D$6,TableBOM[Item ID],$A22)&gt;0)*($H$6&gt;0),$E$6&amp;", ","")&amp;IF((COUNTIFS(TableBOM[Product ID],$D$7,TableBOM[Item ID],$A22)&gt;0)*($H$7&gt;0),$E$7&amp;", ","")&amp;IF((COUNTIFS(TableBOM[Product ID],$D$8,TableBOM[Item ID],$A22)&gt;0)*($H$8&gt;0),$E$8&amp;", ","")&amp;IF((COUNTIFS(TableBOM[Product ID],$D$9,TableBOM[Item ID],$A22)&gt;0)*($H$9&gt;0),$E$9&amp;", ","")&amp;IF((COUNTIFS(TableBOM[Product ID],$D$10,TableBOM[Item ID],$A22)&gt;0)*($H$10&gt;0),$E$10&amp;", ","")&amp;IF((COUNTIFS(TableBOM[Product ID],$D$12,TableBOM[Item ID],$A22)&gt;0)*($H$12&gt;0),$E$12&amp;", ",""))-2),"")</f>
        <v/>
      </c>
      <c r="J22" s="97" t="str">
        <f t="shared" ca="1" si="2"/>
        <v>Not needed</v>
      </c>
      <c r="K22" s="97" t="str">
        <f>IF(B22&lt;&gt;"CAP","",SUMPRODUCT((ISNUMBER(SEARCH("Cap Not Available",'FG Stock'!$H$4:$H$100)))*('FG Stock'!$I$4:$I$100=A22)*'FG Stock'!$F$4:$F$100))</f>
        <v/>
      </c>
      <c r="L22" s="97" t="str">
        <f t="shared" ca="1" si="3"/>
        <v/>
      </c>
    </row>
    <row r="23" spans="1:22" ht="24" hidden="1" customHeight="1" x14ac:dyDescent="0.25">
      <c r="A23" s="88">
        <v>6</v>
      </c>
      <c r="B23" s="88" t="s">
        <v>146</v>
      </c>
      <c r="C23" s="88" t="s">
        <v>155</v>
      </c>
      <c r="D23" s="88" t="s">
        <v>148</v>
      </c>
      <c r="E23" s="94">
        <f ca="1">SUMPRODUCT((TableBOM[Item ID]=A23)*TableBOM[Per 1000 Units]*(1+TableBOM[Scrap %])*SUMIF($D$3:$D$12,TableBOM[Product ID],$H$3:$H$12)/1000)</f>
        <v>0</v>
      </c>
      <c r="F23" s="94">
        <f>IFERROR(INDEX(TableInventory[Store Balance],MATCH(A23,TableInventory[Item ID],0)),0)+IFERROR(INDEX(TableInventory[Work In Process],MATCH(A23,TableInventory[Item ID],0)),0)</f>
        <v>460</v>
      </c>
      <c r="G23" s="98">
        <f t="shared" ca="1" si="1"/>
        <v>460</v>
      </c>
      <c r="H23" s="95" t="str">
        <f ca="1">IF(LEN(IF((COUNTIFS(TableBOM[Product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",""))&gt;1,LEFT(IF((COUNTIFS(TableBOM[Product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",""),LEN(IF((COUNTIFS(TableBOM[Product ID],$D$3,TableBOM[Item ID],$A23)&gt;0)*($H$3&gt;0),$C$3&amp;", ","")&amp;IF((COUNTIFS(TableBOM[Product ID],$D$4,TableBOM[Item ID],$A23)&gt;0)*($H$4&gt;0),$C$4&amp;", ","")&amp;IF((COUNTIFS(TableBOM[Product ID],$D$5,TableBOM[Item ID],$A23)&gt;0)*($H$5&gt;0),$C$5&amp;", ","")&amp;IF((COUNTIFS(TableBOM[Product ID],$D$6,TableBOM[Item ID],$A23)&gt;0)*($H$6&gt;0),$C$6&amp;", ","")&amp;IF((COUNTIFS(TableBOM[Product ID],$D$7,TableBOM[Item ID],$A23)&gt;0)*($H$7&gt;0),$C$7&amp;", ","")&amp;IF((COUNTIFS(TableBOM[Product ID],$D$8,TableBOM[Item ID],$A23)&gt;0)*($H$8&gt;0),$C$8&amp;", ","")&amp;IF((COUNTIFS(TableBOM[Product ID],$D$9,TableBOM[Item ID],$A23)&gt;0)*($H$9&gt;0),$C$9&amp;", ","")&amp;IF((COUNTIFS(TableBOM[Product ID],$D$10,TableBOM[Item ID],$A23)&gt;0)*($H$10&gt;0),$C$10&amp;", ","")&amp;IF((COUNTIFS(TableBOM[Product ID],$D$12,TableBOM[Item ID],$A23)&gt;0)*($H$12&gt;0),$C$12&amp;", ",""))-2),"")</f>
        <v/>
      </c>
      <c r="I23" s="96" t="str">
        <f ca="1">IF(LEN(IF((COUNTIFS(TableBOM[Product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",""))&gt;1,LEFT(IF((COUNTIFS(TableBOM[Product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",""),LEN(IF((COUNTIFS(TableBOM[Product ID],$D$3,TableBOM[Item ID],$A23)&gt;0)*($H$3&gt;0),$E$3&amp;", ","")&amp;IF((COUNTIFS(TableBOM[Product ID],$D$4,TableBOM[Item ID],$A23)&gt;0)*($H$4&gt;0),$E$4&amp;", ","")&amp;IF((COUNTIFS(TableBOM[Product ID],$D$5,TableBOM[Item ID],$A23)&gt;0)*($H$5&gt;0),$E$5&amp;", ","")&amp;IF((COUNTIFS(TableBOM[Product ID],$D$6,TableBOM[Item ID],$A23)&gt;0)*($H$6&gt;0),$E$6&amp;", ","")&amp;IF((COUNTIFS(TableBOM[Product ID],$D$7,TableBOM[Item ID],$A23)&gt;0)*($H$7&gt;0),$E$7&amp;", ","")&amp;IF((COUNTIFS(TableBOM[Product ID],$D$8,TableBOM[Item ID],$A23)&gt;0)*($H$8&gt;0),$E$8&amp;", ","")&amp;IF((COUNTIFS(TableBOM[Product ID],$D$9,TableBOM[Item ID],$A23)&gt;0)*($H$9&gt;0),$E$9&amp;", ","")&amp;IF((COUNTIFS(TableBOM[Product ID],$D$10,TableBOM[Item ID],$A23)&gt;0)*($H$10&gt;0),$E$10&amp;", ","")&amp;IF((COUNTIFS(TableBOM[Product ID],$D$12,TableBOM[Item ID],$A23)&gt;0)*($H$12&gt;0),$E$12&amp;", ",""))-2),"")</f>
        <v/>
      </c>
      <c r="J23" s="97" t="str">
        <f t="shared" ca="1" si="2"/>
        <v>Not needed</v>
      </c>
      <c r="K23" s="97" t="str">
        <f>IF(B23&lt;&gt;"CAP","",SUMPRODUCT((ISNUMBER(SEARCH("Cap Not Available",'FG Stock'!$H$4:$H$100)))*('FG Stock'!$I$4:$I$100=A23)*'FG Stock'!$F$4:$F$100))</f>
        <v/>
      </c>
      <c r="L23" s="97" t="str">
        <f t="shared" ca="1" si="3"/>
        <v/>
      </c>
    </row>
    <row r="24" spans="1:22" ht="15" hidden="1" customHeight="1" x14ac:dyDescent="0.25">
      <c r="A24" s="88">
        <v>10</v>
      </c>
      <c r="B24" s="88" t="s">
        <v>146</v>
      </c>
      <c r="C24" s="88" t="s">
        <v>156</v>
      </c>
      <c r="D24" s="88" t="s">
        <v>148</v>
      </c>
      <c r="E24" s="94">
        <f ca="1">SUMPRODUCT((TableBOM[Item ID]=A24)*TableBOM[Per 1000 Units]*(1+TableBOM[Scrap %])*SUMIF($D$3:$D$12,TableBOM[Product ID],$H$3:$H$12)/1000)</f>
        <v>0</v>
      </c>
      <c r="F24" s="94">
        <f>IFERROR(INDEX(TableInventory[Store Balance],MATCH(A24,TableInventory[Item ID],0)),0)+IFERROR(INDEX(TableInventory[Work In Process],MATCH(A24,TableInventory[Item ID],0)),0)</f>
        <v>0</v>
      </c>
      <c r="G24" s="94">
        <f t="shared" ca="1" si="1"/>
        <v>0</v>
      </c>
      <c r="H24" s="95" t="str">
        <f ca="1">IF(LEN(IF((COUNTIFS(TableBOM[Product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",""))&gt;1,LEFT(IF((COUNTIFS(TableBOM[Product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",""),LEN(IF((COUNTIFS(TableBOM[Product ID],$D$3,TableBOM[Item ID],$A24)&gt;0)*($H$3&gt;0),$C$3&amp;", ","")&amp;IF((COUNTIFS(TableBOM[Product ID],$D$4,TableBOM[Item ID],$A24)&gt;0)*($H$4&gt;0),$C$4&amp;", ","")&amp;IF((COUNTIFS(TableBOM[Product ID],$D$5,TableBOM[Item ID],$A24)&gt;0)*($H$5&gt;0),$C$5&amp;", ","")&amp;IF((COUNTIFS(TableBOM[Product ID],$D$6,TableBOM[Item ID],$A24)&gt;0)*($H$6&gt;0),$C$6&amp;", ","")&amp;IF((COUNTIFS(TableBOM[Product ID],$D$7,TableBOM[Item ID],$A24)&gt;0)*($H$7&gt;0),$C$7&amp;", ","")&amp;IF((COUNTIFS(TableBOM[Product ID],$D$8,TableBOM[Item ID],$A24)&gt;0)*($H$8&gt;0),$C$8&amp;", ","")&amp;IF((COUNTIFS(TableBOM[Product ID],$D$9,TableBOM[Item ID],$A24)&gt;0)*($H$9&gt;0),$C$9&amp;", ","")&amp;IF((COUNTIFS(TableBOM[Product ID],$D$10,TableBOM[Item ID],$A24)&gt;0)*($H$10&gt;0),$C$10&amp;", ","")&amp;IF((COUNTIFS(TableBOM[Product ID],$D$12,TableBOM[Item ID],$A24)&gt;0)*($H$12&gt;0),$C$12&amp;", ",""))-2),"")</f>
        <v/>
      </c>
      <c r="I24" s="96" t="str">
        <f ca="1">IF(LEN(IF((COUNTIFS(TableBOM[Product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",""))&gt;1,LEFT(IF((COUNTIFS(TableBOM[Product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",""),LEN(IF((COUNTIFS(TableBOM[Product ID],$D$3,TableBOM[Item ID],$A24)&gt;0)*($H$3&gt;0),$E$3&amp;", ","")&amp;IF((COUNTIFS(TableBOM[Product ID],$D$4,TableBOM[Item ID],$A24)&gt;0)*($H$4&gt;0),$E$4&amp;", ","")&amp;IF((COUNTIFS(TableBOM[Product ID],$D$5,TableBOM[Item ID],$A24)&gt;0)*($H$5&gt;0),$E$5&amp;", ","")&amp;IF((COUNTIFS(TableBOM[Product ID],$D$6,TableBOM[Item ID],$A24)&gt;0)*($H$6&gt;0),$E$6&amp;", ","")&amp;IF((COUNTIFS(TableBOM[Product ID],$D$7,TableBOM[Item ID],$A24)&gt;0)*($H$7&gt;0),$E$7&amp;", ","")&amp;IF((COUNTIFS(TableBOM[Product ID],$D$8,TableBOM[Item ID],$A24)&gt;0)*($H$8&gt;0),$E$8&amp;", ","")&amp;IF((COUNTIFS(TableBOM[Product ID],$D$9,TableBOM[Item ID],$A24)&gt;0)*($H$9&gt;0),$E$9&amp;", ","")&amp;IF((COUNTIFS(TableBOM[Product ID],$D$10,TableBOM[Item ID],$A24)&gt;0)*($H$10&gt;0),$E$10&amp;", ","")&amp;IF((COUNTIFS(TableBOM[Product ID],$D$12,TableBOM[Item ID],$A24)&gt;0)*($H$12&gt;0),$E$12&amp;", ",""))-2),"")</f>
        <v/>
      </c>
      <c r="J24" s="97" t="str">
        <f t="shared" ca="1" si="2"/>
        <v>Not needed</v>
      </c>
      <c r="K24" s="97" t="str">
        <f>IF(B24&lt;&gt;"CAP","",SUMPRODUCT((ISNUMBER(SEARCH("Cap Not Available",'FG Stock'!$H$4:$H$100)))*('FG Stock'!$I$4:$I$100=A24)*'FG Stock'!$F$4:$F$100))</f>
        <v/>
      </c>
      <c r="L24" s="97" t="str">
        <f t="shared" ca="1" si="3"/>
        <v/>
      </c>
    </row>
    <row r="25" spans="1:22" ht="15" hidden="1" customHeight="1" x14ac:dyDescent="0.25">
      <c r="A25" s="88">
        <v>2</v>
      </c>
      <c r="B25" s="88" t="s">
        <v>146</v>
      </c>
      <c r="C25" s="88" t="s">
        <v>157</v>
      </c>
      <c r="D25" s="88" t="s">
        <v>148</v>
      </c>
      <c r="E25" s="94">
        <f ca="1">SUMPRODUCT((TableBOM[Item ID]=A25)*TableBOM[Per 1000 Units]*(1+TableBOM[Scrap %])*SUMIF($D$3:$D$12,TableBOM[Product ID],$H$3:$H$12)/1000)</f>
        <v>0</v>
      </c>
      <c r="F25" s="94">
        <f>IFERROR(INDEX(TableInventory[Store Balance],MATCH(A25,TableInventory[Item ID],0)),0)+IFERROR(INDEX(TableInventory[Work In Process],MATCH(A25,TableInventory[Item ID],0)),0)</f>
        <v>0</v>
      </c>
      <c r="G25" s="94">
        <f t="shared" ca="1" si="1"/>
        <v>0</v>
      </c>
      <c r="H25" s="95" t="str">
        <f ca="1">IF(LEN(IF((COUNTIFS(TableBOM[Product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",""))&gt;1,LEFT(IF((COUNTIFS(TableBOM[Product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",""),LEN(IF((COUNTIFS(TableBOM[Product ID],$D$3,TableBOM[Item ID],$A25)&gt;0)*($H$3&gt;0),$C$3&amp;", ","")&amp;IF((COUNTIFS(TableBOM[Product ID],$D$4,TableBOM[Item ID],$A25)&gt;0)*($H$4&gt;0),$C$4&amp;", ","")&amp;IF((COUNTIFS(TableBOM[Product ID],$D$5,TableBOM[Item ID],$A25)&gt;0)*($H$5&gt;0),$C$5&amp;", ","")&amp;IF((COUNTIFS(TableBOM[Product ID],$D$6,TableBOM[Item ID],$A25)&gt;0)*($H$6&gt;0),$C$6&amp;", ","")&amp;IF((COUNTIFS(TableBOM[Product ID],$D$7,TableBOM[Item ID],$A25)&gt;0)*($H$7&gt;0),$C$7&amp;", ","")&amp;IF((COUNTIFS(TableBOM[Product ID],$D$8,TableBOM[Item ID],$A25)&gt;0)*($H$8&gt;0),$C$8&amp;", ","")&amp;IF((COUNTIFS(TableBOM[Product ID],$D$9,TableBOM[Item ID],$A25)&gt;0)*($H$9&gt;0),$C$9&amp;", ","")&amp;IF((COUNTIFS(TableBOM[Product ID],$D$10,TableBOM[Item ID],$A25)&gt;0)*($H$10&gt;0),$C$10&amp;", ","")&amp;IF((COUNTIFS(TableBOM[Product ID],$D$12,TableBOM[Item ID],$A25)&gt;0)*($H$12&gt;0),$C$12&amp;", ",""))-2),"")</f>
        <v/>
      </c>
      <c r="I25" s="96" t="str">
        <f ca="1">IF(LEN(IF((COUNTIFS(TableBOM[Product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",""))&gt;1,LEFT(IF((COUNTIFS(TableBOM[Product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",""),LEN(IF((COUNTIFS(TableBOM[Product ID],$D$3,TableBOM[Item ID],$A25)&gt;0)*($H$3&gt;0),$E$3&amp;", ","")&amp;IF((COUNTIFS(TableBOM[Product ID],$D$4,TableBOM[Item ID],$A25)&gt;0)*($H$4&gt;0),$E$4&amp;", ","")&amp;IF((COUNTIFS(TableBOM[Product ID],$D$5,TableBOM[Item ID],$A25)&gt;0)*($H$5&gt;0),$E$5&amp;", ","")&amp;IF((COUNTIFS(TableBOM[Product ID],$D$6,TableBOM[Item ID],$A25)&gt;0)*($H$6&gt;0),$E$6&amp;", ","")&amp;IF((COUNTIFS(TableBOM[Product ID],$D$7,TableBOM[Item ID],$A25)&gt;0)*($H$7&gt;0),$E$7&amp;", ","")&amp;IF((COUNTIFS(TableBOM[Product ID],$D$8,TableBOM[Item ID],$A25)&gt;0)*($H$8&gt;0),$E$8&amp;", ","")&amp;IF((COUNTIFS(TableBOM[Product ID],$D$9,TableBOM[Item ID],$A25)&gt;0)*($H$9&gt;0),$E$9&amp;", ","")&amp;IF((COUNTIFS(TableBOM[Product ID],$D$10,TableBOM[Item ID],$A25)&gt;0)*($H$10&gt;0),$E$10&amp;", ","")&amp;IF((COUNTIFS(TableBOM[Product ID],$D$12,TableBOM[Item ID],$A25)&gt;0)*($H$12&gt;0),$E$12&amp;", ",""))-2),"")</f>
        <v/>
      </c>
      <c r="J25" s="97" t="str">
        <f t="shared" ca="1" si="2"/>
        <v>Not needed</v>
      </c>
      <c r="K25" s="97" t="str">
        <f>IF(B25&lt;&gt;"CAP","",SUMPRODUCT((ISNUMBER(SEARCH("Cap Not Available",'FG Stock'!$H$4:$H$100)))*('FG Stock'!$I$4:$I$100=A25)*'FG Stock'!$F$4:$F$100))</f>
        <v/>
      </c>
      <c r="L25" s="97" t="str">
        <f t="shared" ca="1" si="3"/>
        <v/>
      </c>
    </row>
    <row r="26" spans="1:22" ht="24" hidden="1" customHeight="1" x14ac:dyDescent="0.25">
      <c r="A26" s="88">
        <v>406</v>
      </c>
      <c r="B26" s="88" t="s">
        <v>146</v>
      </c>
      <c r="C26" s="88" t="s">
        <v>158</v>
      </c>
      <c r="D26" s="88" t="s">
        <v>148</v>
      </c>
      <c r="E26" s="99">
        <f ca="1">SUMPRODUCT((TableBOM[Item ID]=A26)*TableBOM[Per 1000 Units]*(1+TableBOM[Scrap %])*SUMIF($D$3:$D$12,TableBOM[Product ID],$H$3:$H$12)/1000)</f>
        <v>0</v>
      </c>
      <c r="F26" s="99">
        <f>IFERROR(INDEX(TableInventory[Store Balance],MATCH(A26,TableInventory[Item ID],0)),0)+IFERROR(INDEX(TableInventory[Work In Process],MATCH(A26,TableInventory[Item ID],0)),0)</f>
        <v>1125</v>
      </c>
      <c r="G26" s="89">
        <f t="shared" ca="1" si="1"/>
        <v>1125</v>
      </c>
      <c r="H26" s="95" t="str">
        <f ca="1">IF(LEN(IF((COUNTIFS(TableBOM[Product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",""))&gt;1,LEFT(IF((COUNTIFS(TableBOM[Product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",""),LEN(IF((COUNTIFS(TableBOM[Product ID],$D$3,TableBOM[Item ID],$A26)&gt;0)*($H$3&gt;0),$C$3&amp;", ","")&amp;IF((COUNTIFS(TableBOM[Product ID],$D$4,TableBOM[Item ID],$A26)&gt;0)*($H$4&gt;0),$C$4&amp;", ","")&amp;IF((COUNTIFS(TableBOM[Product ID],$D$5,TableBOM[Item ID],$A26)&gt;0)*($H$5&gt;0),$C$5&amp;", ","")&amp;IF((COUNTIFS(TableBOM[Product ID],$D$6,TableBOM[Item ID],$A26)&gt;0)*($H$6&gt;0),$C$6&amp;", ","")&amp;IF((COUNTIFS(TableBOM[Product ID],$D$7,TableBOM[Item ID],$A26)&gt;0)*($H$7&gt;0),$C$7&amp;", ","")&amp;IF((COUNTIFS(TableBOM[Product ID],$D$8,TableBOM[Item ID],$A26)&gt;0)*($H$8&gt;0),$C$8&amp;", ","")&amp;IF((COUNTIFS(TableBOM[Product ID],$D$9,TableBOM[Item ID],$A26)&gt;0)*($H$9&gt;0),$C$9&amp;", ","")&amp;IF((COUNTIFS(TableBOM[Product ID],$D$10,TableBOM[Item ID],$A26)&gt;0)*($H$10&gt;0),$C$10&amp;", ","")&amp;IF((COUNTIFS(TableBOM[Product ID],$D$12,TableBOM[Item ID],$A26)&gt;0)*($H$12&gt;0),$C$12&amp;", ",""))-2),"")</f>
        <v/>
      </c>
      <c r="I26" s="96" t="str">
        <f ca="1">IF(LEN(IF((COUNTIFS(TableBOM[Product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",""))&gt;1,LEFT(IF((COUNTIFS(TableBOM[Product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",""),LEN(IF((COUNTIFS(TableBOM[Product ID],$D$3,TableBOM[Item ID],$A26)&gt;0)*($H$3&gt;0),$E$3&amp;", ","")&amp;IF((COUNTIFS(TableBOM[Product ID],$D$4,TableBOM[Item ID],$A26)&gt;0)*($H$4&gt;0),$E$4&amp;", ","")&amp;IF((COUNTIFS(TableBOM[Product ID],$D$5,TableBOM[Item ID],$A26)&gt;0)*($H$5&gt;0),$E$5&amp;", ","")&amp;IF((COUNTIFS(TableBOM[Product ID],$D$6,TableBOM[Item ID],$A26)&gt;0)*($H$6&gt;0),$E$6&amp;", ","")&amp;IF((COUNTIFS(TableBOM[Product ID],$D$7,TableBOM[Item ID],$A26)&gt;0)*($H$7&gt;0),$E$7&amp;", ","")&amp;IF((COUNTIFS(TableBOM[Product ID],$D$8,TableBOM[Item ID],$A26)&gt;0)*($H$8&gt;0),$E$8&amp;", ","")&amp;IF((COUNTIFS(TableBOM[Product ID],$D$9,TableBOM[Item ID],$A26)&gt;0)*($H$9&gt;0),$E$9&amp;", ","")&amp;IF((COUNTIFS(TableBOM[Product ID],$D$10,TableBOM[Item ID],$A26)&gt;0)*($H$10&gt;0),$E$10&amp;", ","")&amp;IF((COUNTIFS(TableBOM[Product ID],$D$12,TableBOM[Item ID],$A26)&gt;0)*($H$12&gt;0),$E$12&amp;", ",""))-2),"")</f>
        <v/>
      </c>
      <c r="J26" s="97" t="str">
        <f t="shared" ca="1" si="2"/>
        <v>Not needed</v>
      </c>
      <c r="K26" s="97" t="str">
        <f>IF(B26&lt;&gt;"CAP","",SUMPRODUCT((ISNUMBER(SEARCH("Cap Not Available",'FG Stock'!$H$4:$H$100)))*('FG Stock'!$I$4:$I$100=A26)*'FG Stock'!$F$4:$F$100))</f>
        <v/>
      </c>
      <c r="L26" s="97" t="str">
        <f t="shared" ca="1" si="3"/>
        <v/>
      </c>
      <c r="M26" s="78"/>
      <c r="N26" s="78"/>
      <c r="O26" s="78"/>
      <c r="P26" s="78"/>
      <c r="Q26" s="78"/>
      <c r="R26" s="78"/>
      <c r="S26" s="78"/>
      <c r="T26" s="78"/>
      <c r="U26" s="78"/>
      <c r="V26" s="4"/>
    </row>
    <row r="27" spans="1:22" ht="15" hidden="1" customHeight="1" x14ac:dyDescent="0.25">
      <c r="A27" s="88">
        <v>6961</v>
      </c>
      <c r="B27" s="88" t="s">
        <v>146</v>
      </c>
      <c r="C27" s="88" t="s">
        <v>159</v>
      </c>
      <c r="D27" s="88" t="s">
        <v>148</v>
      </c>
      <c r="E27" s="99">
        <f ca="1">SUMPRODUCT((TableBOM[Item ID]=A27)*TableBOM[Per 1000 Units]*(1+TableBOM[Scrap %])*SUMIF($D$3:$D$12,TableBOM[Product ID],$H$3:$H$12)/1000)</f>
        <v>0</v>
      </c>
      <c r="F27" s="99">
        <f>IFERROR(INDEX(TableInventory[Store Balance],MATCH(A27,TableInventory[Item ID],0)),0)+IFERROR(INDEX(TableInventory[Work In Process],MATCH(A27,TableInventory[Item ID],0)),0)</f>
        <v>0</v>
      </c>
      <c r="G27" s="100">
        <f t="shared" ca="1" si="1"/>
        <v>0</v>
      </c>
      <c r="H27" s="95" t="str">
        <f ca="1">IF(LEN(IF((COUNTIFS(TableBOM[Product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",""))&gt;1,LEFT(IF((COUNTIFS(TableBOM[Product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",""),LEN(IF((COUNTIFS(TableBOM[Product ID],$D$3,TableBOM[Item ID],$A27)&gt;0)*($H$3&gt;0),$C$3&amp;", ","")&amp;IF((COUNTIFS(TableBOM[Product ID],$D$4,TableBOM[Item ID],$A27)&gt;0)*($H$4&gt;0),$C$4&amp;", ","")&amp;IF((COUNTIFS(TableBOM[Product ID],$D$5,TableBOM[Item ID],$A27)&gt;0)*($H$5&gt;0),$C$5&amp;", ","")&amp;IF((COUNTIFS(TableBOM[Product ID],$D$6,TableBOM[Item ID],$A27)&gt;0)*($H$6&gt;0),$C$6&amp;", ","")&amp;IF((COUNTIFS(TableBOM[Product ID],$D$7,TableBOM[Item ID],$A27)&gt;0)*($H$7&gt;0),$C$7&amp;", ","")&amp;IF((COUNTIFS(TableBOM[Product ID],$D$8,TableBOM[Item ID],$A27)&gt;0)*($H$8&gt;0),$C$8&amp;", ","")&amp;IF((COUNTIFS(TableBOM[Product ID],$D$9,TableBOM[Item ID],$A27)&gt;0)*($H$9&gt;0),$C$9&amp;", ","")&amp;IF((COUNTIFS(TableBOM[Product ID],$D$10,TableBOM[Item ID],$A27)&gt;0)*($H$10&gt;0),$C$10&amp;", ","")&amp;IF((COUNTIFS(TableBOM[Product ID],$D$12,TableBOM[Item ID],$A27)&gt;0)*($H$12&gt;0),$C$12&amp;", ",""))-2),"")</f>
        <v/>
      </c>
      <c r="I27" s="96" t="str">
        <f ca="1">IF(LEN(IF((COUNTIFS(TableBOM[Product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",""))&gt;1,LEFT(IF((COUNTIFS(TableBOM[Product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",""),LEN(IF((COUNTIFS(TableBOM[Product ID],$D$3,TableBOM[Item ID],$A27)&gt;0)*($H$3&gt;0),$E$3&amp;", ","")&amp;IF((COUNTIFS(TableBOM[Product ID],$D$4,TableBOM[Item ID],$A27)&gt;0)*($H$4&gt;0),$E$4&amp;", ","")&amp;IF((COUNTIFS(TableBOM[Product ID],$D$5,TableBOM[Item ID],$A27)&gt;0)*($H$5&gt;0),$E$5&amp;", ","")&amp;IF((COUNTIFS(TableBOM[Product ID],$D$6,TableBOM[Item ID],$A27)&gt;0)*($H$6&gt;0),$E$6&amp;", ","")&amp;IF((COUNTIFS(TableBOM[Product ID],$D$7,TableBOM[Item ID],$A27)&gt;0)*($H$7&gt;0),$E$7&amp;", ","")&amp;IF((COUNTIFS(TableBOM[Product ID],$D$8,TableBOM[Item ID],$A27)&gt;0)*($H$8&gt;0),$E$8&amp;", ","")&amp;IF((COUNTIFS(TableBOM[Product ID],$D$9,TableBOM[Item ID],$A27)&gt;0)*($H$9&gt;0),$E$9&amp;", ","")&amp;IF((COUNTIFS(TableBOM[Product ID],$D$10,TableBOM[Item ID],$A27)&gt;0)*($H$10&gt;0),$E$10&amp;", ","")&amp;IF((COUNTIFS(TableBOM[Product ID],$D$12,TableBOM[Item ID],$A27)&gt;0)*($H$12&gt;0),$E$12&amp;", ",""))-2),"")</f>
        <v/>
      </c>
      <c r="J27" s="97" t="str">
        <f t="shared" ca="1" si="2"/>
        <v>Not needed</v>
      </c>
      <c r="K27" s="97" t="str">
        <f>IF(B27&lt;&gt;"CAP","",SUMPRODUCT((ISNUMBER(SEARCH("Cap Not Available",'FG Stock'!$H$4:$H$100)))*('FG Stock'!$I$4:$I$100=A27)*'FG Stock'!$F$4:$F$100))</f>
        <v/>
      </c>
      <c r="L27" s="97" t="str">
        <f t="shared" ca="1" si="3"/>
        <v/>
      </c>
      <c r="M27" s="78"/>
      <c r="N27" s="78"/>
      <c r="O27" s="78"/>
      <c r="P27" s="78"/>
      <c r="Q27" s="78"/>
      <c r="R27" s="78"/>
      <c r="S27" s="78"/>
      <c r="T27" s="78"/>
      <c r="U27" s="78"/>
      <c r="V27" s="4"/>
    </row>
    <row r="28" spans="1:22" ht="15" hidden="1" customHeight="1" x14ac:dyDescent="0.25">
      <c r="A28" s="88">
        <v>3935</v>
      </c>
      <c r="B28" s="88" t="s">
        <v>146</v>
      </c>
      <c r="C28" s="88" t="s">
        <v>160</v>
      </c>
      <c r="D28" s="88" t="s">
        <v>148</v>
      </c>
      <c r="E28" s="94">
        <f ca="1">SUMPRODUCT((TableBOM[Item ID]=A28)*TableBOM[Per 1000 Units]*(1+TableBOM[Scrap %])*SUMIF($D$3:$D$12,TableBOM[Product ID],$H$3:$H$12)/1000)</f>
        <v>0</v>
      </c>
      <c r="F28" s="94">
        <f>IFERROR(INDEX(TableInventory[Store Balance],MATCH(A28,TableInventory[Item ID],0)),0)+IFERROR(INDEX(TableInventory[Work In Process],MATCH(A28,TableInventory[Item ID],0)),0)</f>
        <v>444</v>
      </c>
      <c r="G28" s="98">
        <f t="shared" ca="1" si="1"/>
        <v>444</v>
      </c>
      <c r="H28" s="95" t="str">
        <f ca="1">IF(LEN(IF((COUNTIFS(TableBOM[Product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",""))&gt;1,LEFT(IF((COUNTIFS(TableBOM[Product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",""),LEN(IF((COUNTIFS(TableBOM[Product ID],$D$3,TableBOM[Item ID],$A28)&gt;0)*($H$3&gt;0),$C$3&amp;", ","")&amp;IF((COUNTIFS(TableBOM[Product ID],$D$4,TableBOM[Item ID],$A28)&gt;0)*($H$4&gt;0),$C$4&amp;", ","")&amp;IF((COUNTIFS(TableBOM[Product ID],$D$5,TableBOM[Item ID],$A28)&gt;0)*($H$5&gt;0),$C$5&amp;", ","")&amp;IF((COUNTIFS(TableBOM[Product ID],$D$6,TableBOM[Item ID],$A28)&gt;0)*($H$6&gt;0),$C$6&amp;", ","")&amp;IF((COUNTIFS(TableBOM[Product ID],$D$7,TableBOM[Item ID],$A28)&gt;0)*($H$7&gt;0),$C$7&amp;", ","")&amp;IF((COUNTIFS(TableBOM[Product ID],$D$8,TableBOM[Item ID],$A28)&gt;0)*($H$8&gt;0),$C$8&amp;", ","")&amp;IF((COUNTIFS(TableBOM[Product ID],$D$9,TableBOM[Item ID],$A28)&gt;0)*($H$9&gt;0),$C$9&amp;", ","")&amp;IF((COUNTIFS(TableBOM[Product ID],$D$10,TableBOM[Item ID],$A28)&gt;0)*($H$10&gt;0),$C$10&amp;", ","")&amp;IF((COUNTIFS(TableBOM[Product ID],$D$12,TableBOM[Item ID],$A28)&gt;0)*($H$12&gt;0),$C$12&amp;", ",""))-2),"")</f>
        <v/>
      </c>
      <c r="I28" s="96" t="str">
        <f ca="1">IF(LEN(IF((COUNTIFS(TableBOM[Product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",""))&gt;1,LEFT(IF((COUNTIFS(TableBOM[Product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",""),LEN(IF((COUNTIFS(TableBOM[Product ID],$D$3,TableBOM[Item ID],$A28)&gt;0)*($H$3&gt;0),$E$3&amp;", ","")&amp;IF((COUNTIFS(TableBOM[Product ID],$D$4,TableBOM[Item ID],$A28)&gt;0)*($H$4&gt;0),$E$4&amp;", ","")&amp;IF((COUNTIFS(TableBOM[Product ID],$D$5,TableBOM[Item ID],$A28)&gt;0)*($H$5&gt;0),$E$5&amp;", ","")&amp;IF((COUNTIFS(TableBOM[Product ID],$D$6,TableBOM[Item ID],$A28)&gt;0)*($H$6&gt;0),$E$6&amp;", ","")&amp;IF((COUNTIFS(TableBOM[Product ID],$D$7,TableBOM[Item ID],$A28)&gt;0)*($H$7&gt;0),$E$7&amp;", ","")&amp;IF((COUNTIFS(TableBOM[Product ID],$D$8,TableBOM[Item ID],$A28)&gt;0)*($H$8&gt;0),$E$8&amp;", ","")&amp;IF((COUNTIFS(TableBOM[Product ID],$D$9,TableBOM[Item ID],$A28)&gt;0)*($H$9&gt;0),$E$9&amp;", ","")&amp;IF((COUNTIFS(TableBOM[Product ID],$D$10,TableBOM[Item ID],$A28)&gt;0)*($H$10&gt;0),$E$10&amp;", ","")&amp;IF((COUNTIFS(TableBOM[Product ID],$D$12,TableBOM[Item ID],$A28)&gt;0)*($H$12&gt;0),$E$12&amp;", ",""))-2),"")</f>
        <v/>
      </c>
      <c r="J28" s="97" t="str">
        <f t="shared" ca="1" si="2"/>
        <v>Not needed</v>
      </c>
      <c r="K28" s="97" t="str">
        <f>IF(B28&lt;&gt;"CAP","",SUMPRODUCT((ISNUMBER(SEARCH("Cap Not Available",'FG Stock'!$H$4:$H$100)))*('FG Stock'!$I$4:$I$100=A28)*'FG Stock'!$F$4:$F$100))</f>
        <v/>
      </c>
      <c r="L28" s="97" t="str">
        <f t="shared" ca="1" si="3"/>
        <v/>
      </c>
      <c r="M28" s="78"/>
      <c r="N28" s="78"/>
      <c r="O28" s="78"/>
      <c r="P28" s="78"/>
      <c r="Q28" s="78"/>
      <c r="R28" s="78"/>
      <c r="S28" s="78"/>
      <c r="T28" s="78"/>
      <c r="U28" s="78"/>
      <c r="V28" s="4"/>
    </row>
    <row r="29" spans="1:22" ht="15" customHeight="1" x14ac:dyDescent="0.25">
      <c r="A29" s="88">
        <v>3503</v>
      </c>
      <c r="B29" s="88" t="s">
        <v>146</v>
      </c>
      <c r="C29" s="88" t="s">
        <v>161</v>
      </c>
      <c r="D29" s="88" t="s">
        <v>148</v>
      </c>
      <c r="E29" s="94">
        <f ca="1">SUMPRODUCT((TableBOM[Item ID]=A29)*TableBOM[Per 1000 Units]*(1+TableBOM[Scrap %])*SUMIF($D$3:$D$12,TableBOM[Product ID],$H$3:$H$12)/1000)</f>
        <v>187.55660000000003</v>
      </c>
      <c r="F29" s="94">
        <f>IFERROR(INDEX(TableInventory[Store Balance],MATCH(A29,TableInventory[Item ID],0)),0)+IFERROR(INDEX(TableInventory[Work In Process],MATCH(A29,TableInventory[Item ID],0)),0)</f>
        <v>96</v>
      </c>
      <c r="G29" s="98">
        <f t="shared" ca="1" si="1"/>
        <v>-91.556600000000032</v>
      </c>
      <c r="H29" s="95" t="str">
        <f ca="1">IF(LEN(IF((COUNTIFS(TableBOM[Product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",""))&gt;1,LEFT(IF((COUNTIFS(TableBOM[Product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",""),LEN(IF((COUNTIFS(TableBOM[Product ID],$D$3,TableBOM[Item ID],$A29)&gt;0)*($H$3&gt;0),$C$3&amp;", ","")&amp;IF((COUNTIFS(TableBOM[Product ID],$D$4,TableBOM[Item ID],$A29)&gt;0)*($H$4&gt;0),$C$4&amp;", ","")&amp;IF((COUNTIFS(TableBOM[Product ID],$D$5,TableBOM[Item ID],$A29)&gt;0)*($H$5&gt;0),$C$5&amp;", ","")&amp;IF((COUNTIFS(TableBOM[Product ID],$D$6,TableBOM[Item ID],$A29)&gt;0)*($H$6&gt;0),$C$6&amp;", ","")&amp;IF((COUNTIFS(TableBOM[Product ID],$D$7,TableBOM[Item ID],$A29)&gt;0)*($H$7&gt;0),$C$7&amp;", ","")&amp;IF((COUNTIFS(TableBOM[Product ID],$D$8,TableBOM[Item ID],$A29)&gt;0)*($H$8&gt;0),$C$8&amp;", ","")&amp;IF((COUNTIFS(TableBOM[Product ID],$D$9,TableBOM[Item ID],$A29)&gt;0)*($H$9&gt;0),$C$9&amp;", ","")&amp;IF((COUNTIFS(TableBOM[Product ID],$D$10,TableBOM[Item ID],$A29)&gt;0)*($H$10&gt;0),$C$10&amp;", ","")&amp;IF((COUNTIFS(TableBOM[Product ID],$D$12,TableBOM[Item ID],$A29)&gt;0)*($H$12&gt;0),$C$12&amp;", ",""))-2),"")</f>
        <v/>
      </c>
      <c r="I29" s="96" t="str">
        <f ca="1">IF(LEN(IF((COUNTIFS(TableBOM[Product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",""))&gt;1,LEFT(IF((COUNTIFS(TableBOM[Product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",""),LEN(IF((COUNTIFS(TableBOM[Product ID],$D$3,TableBOM[Item ID],$A29)&gt;0)*($H$3&gt;0),$E$3&amp;", ","")&amp;IF((COUNTIFS(TableBOM[Product ID],$D$4,TableBOM[Item ID],$A29)&gt;0)*($H$4&gt;0),$E$4&amp;", ","")&amp;IF((COUNTIFS(TableBOM[Product ID],$D$5,TableBOM[Item ID],$A29)&gt;0)*($H$5&gt;0),$E$5&amp;", ","")&amp;IF((COUNTIFS(TableBOM[Product ID],$D$6,TableBOM[Item ID],$A29)&gt;0)*($H$6&gt;0),$E$6&amp;", ","")&amp;IF((COUNTIFS(TableBOM[Product ID],$D$7,TableBOM[Item ID],$A29)&gt;0)*($H$7&gt;0),$E$7&amp;", ","")&amp;IF((COUNTIFS(TableBOM[Product ID],$D$8,TableBOM[Item ID],$A29)&gt;0)*($H$8&gt;0),$E$8&amp;", ","")&amp;IF((COUNTIFS(TableBOM[Product ID],$D$9,TableBOM[Item ID],$A29)&gt;0)*($H$9&gt;0),$E$9&amp;", ","")&amp;IF((COUNTIFS(TableBOM[Product ID],$D$10,TableBOM[Item ID],$A29)&gt;0)*($H$10&gt;0),$E$10&amp;", ","")&amp;IF((COUNTIFS(TableBOM[Product ID],$D$12,TableBOM[Item ID],$A29)&gt;0)*($H$12&gt;0),$E$12&amp;", ",""))-2),"")</f>
        <v/>
      </c>
      <c r="J29" s="97" t="s">
        <v>877</v>
      </c>
      <c r="K29" s="97" t="str">
        <f>IF(B29&lt;&gt;"CAP","",SUMPRODUCT((ISNUMBER(SEARCH("Cap Not Available",'FG Stock'!$H$4:$H$100)))*('FG Stock'!$I$4:$I$100=A29)*'FG Stock'!$F$4:$F$100))</f>
        <v/>
      </c>
      <c r="L29" s="97">
        <f t="shared" ca="1" si="3"/>
        <v>91.556600000000032</v>
      </c>
    </row>
    <row r="30" spans="1:22" ht="15" hidden="1" customHeight="1" x14ac:dyDescent="0.25">
      <c r="A30" s="88">
        <v>184</v>
      </c>
      <c r="B30" s="88" t="s">
        <v>162</v>
      </c>
      <c r="C30" s="88" t="s">
        <v>163</v>
      </c>
      <c r="D30" s="88" t="s">
        <v>148</v>
      </c>
      <c r="E30" s="94">
        <f ca="1">SUMPRODUCT((TableBOM[Item ID]=A30)*TableBOM[Per 1000 Units]*(1+TableBOM[Scrap %])*SUMIF($D$3:$D$12,TableBOM[Product ID],$H$3:$H$12)/1000)</f>
        <v>0</v>
      </c>
      <c r="F30" s="94">
        <f>IFERROR(INDEX(TableInventory[Store Balance],MATCH(A30,TableInventory[Item ID],0)),0)+IFERROR(INDEX(TableInventory[Work In Process],MATCH(A30,TableInventory[Item ID],0)),0)</f>
        <v>0</v>
      </c>
      <c r="G30" s="94">
        <f t="shared" ca="1" si="1"/>
        <v>0</v>
      </c>
      <c r="H30" s="95" t="str">
        <f ca="1">IF(LEN(IF((COUNTIFS(TableBOM[Product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",""))&gt;1,LEFT(IF((COUNTIFS(TableBOM[Product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",""),LEN(IF((COUNTIFS(TableBOM[Product ID],$D$3,TableBOM[Item ID],$A30)&gt;0)*($H$3&gt;0),$C$3&amp;", ","")&amp;IF((COUNTIFS(TableBOM[Product ID],$D$4,TableBOM[Item ID],$A30)&gt;0)*($H$4&gt;0),$C$4&amp;", ","")&amp;IF((COUNTIFS(TableBOM[Product ID],$D$5,TableBOM[Item ID],$A30)&gt;0)*($H$5&gt;0),$C$5&amp;", ","")&amp;IF((COUNTIFS(TableBOM[Product ID],$D$6,TableBOM[Item ID],$A30)&gt;0)*($H$6&gt;0),$C$6&amp;", ","")&amp;IF((COUNTIFS(TableBOM[Product ID],$D$7,TableBOM[Item ID],$A30)&gt;0)*($H$7&gt;0),$C$7&amp;", ","")&amp;IF((COUNTIFS(TableBOM[Product ID],$D$8,TableBOM[Item ID],$A30)&gt;0)*($H$8&gt;0),$C$8&amp;", ","")&amp;IF((COUNTIFS(TableBOM[Product ID],$D$9,TableBOM[Item ID],$A30)&gt;0)*($H$9&gt;0),$C$9&amp;", ","")&amp;IF((COUNTIFS(TableBOM[Product ID],$D$10,TableBOM[Item ID],$A30)&gt;0)*($H$10&gt;0),$C$10&amp;", ","")&amp;IF((COUNTIFS(TableBOM[Product ID],$D$12,TableBOM[Item ID],$A30)&gt;0)*($H$12&gt;0),$C$12&amp;", ",""))-2),"")</f>
        <v/>
      </c>
      <c r="I30" s="96" t="str">
        <f ca="1">IF(LEN(IF((COUNTIFS(TableBOM[Product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",""))&gt;1,LEFT(IF((COUNTIFS(TableBOM[Product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",""),LEN(IF((COUNTIFS(TableBOM[Product ID],$D$3,TableBOM[Item ID],$A30)&gt;0)*($H$3&gt;0),$E$3&amp;", ","")&amp;IF((COUNTIFS(TableBOM[Product ID],$D$4,TableBOM[Item ID],$A30)&gt;0)*($H$4&gt;0),$E$4&amp;", ","")&amp;IF((COUNTIFS(TableBOM[Product ID],$D$5,TableBOM[Item ID],$A30)&gt;0)*($H$5&gt;0),$E$5&amp;", ","")&amp;IF((COUNTIFS(TableBOM[Product ID],$D$6,TableBOM[Item ID],$A30)&gt;0)*($H$6&gt;0),$E$6&amp;", ","")&amp;IF((COUNTIFS(TableBOM[Product ID],$D$7,TableBOM[Item ID],$A30)&gt;0)*($H$7&gt;0),$E$7&amp;", ","")&amp;IF((COUNTIFS(TableBOM[Product ID],$D$8,TableBOM[Item ID],$A30)&gt;0)*($H$8&gt;0),$E$8&amp;", ","")&amp;IF((COUNTIFS(TableBOM[Product ID],$D$9,TableBOM[Item ID],$A30)&gt;0)*($H$9&gt;0),$E$9&amp;", ","")&amp;IF((COUNTIFS(TableBOM[Product ID],$D$10,TableBOM[Item ID],$A30)&gt;0)*($H$10&gt;0),$E$10&amp;", ","")&amp;IF((COUNTIFS(TableBOM[Product ID],$D$12,TableBOM[Item ID],$A30)&gt;0)*($H$12&gt;0),$E$12&amp;", ",""))-2),"")</f>
        <v/>
      </c>
      <c r="J30" s="97" t="str">
        <f t="shared" ca="1" si="2"/>
        <v>Not needed</v>
      </c>
      <c r="K30" s="97" t="str">
        <f>IF(B30&lt;&gt;"CAP","",SUMPRODUCT((ISNUMBER(SEARCH("Cap Not Available",'FG Stock'!$H$4:$H$100)))*('FG Stock'!$I$4:$I$100=A30)*'FG Stock'!$F$4:$F$100))</f>
        <v/>
      </c>
      <c r="L30" s="97" t="str">
        <f t="shared" ca="1" si="3"/>
        <v/>
      </c>
      <c r="M30" s="78"/>
      <c r="N30" s="78"/>
      <c r="O30" s="78"/>
      <c r="P30" s="78"/>
      <c r="Q30" s="78"/>
      <c r="R30" s="78"/>
      <c r="S30" s="78"/>
      <c r="T30" s="78"/>
      <c r="U30" s="78"/>
      <c r="V30" s="4"/>
    </row>
    <row r="31" spans="1:22" ht="48" customHeight="1" x14ac:dyDescent="0.25">
      <c r="A31" s="88">
        <v>185</v>
      </c>
      <c r="B31" s="88" t="s">
        <v>162</v>
      </c>
      <c r="C31" s="88" t="s">
        <v>164</v>
      </c>
      <c r="D31" s="88" t="s">
        <v>165</v>
      </c>
      <c r="E31" s="94">
        <f ca="1">SUMPRODUCT((TableBOM[Item ID]=A31)*TableBOM[Per 1000 Units]*(1+TableBOM[Scrap %])*SUMIF($D$3:$D$12,TableBOM[Product ID],$H$3:$H$12)/1000)</f>
        <v>6.4104383200000008</v>
      </c>
      <c r="F31" s="94">
        <f>IFERROR(INDEX(TableInventory[Store Balance],MATCH(A31,TableInventory[Item ID],0)),0)+IFERROR(INDEX(TableInventory[Work In Process],MATCH(A31,TableInventory[Item ID],0)),0)</f>
        <v>175</v>
      </c>
      <c r="G31" s="98">
        <f t="shared" ca="1" si="1"/>
        <v>168.58956168</v>
      </c>
      <c r="H31" s="95" t="str">
        <f ca="1">IF(LEN(IF((COUNTIFS(TableBOM[Product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",""))&gt;1,LEFT(IF((COUNTIFS(TableBOM[Product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",""),LEN(IF((COUNTIFS(TableBOM[Product ID],$D$3,TableBOM[Item ID],$A31)&gt;0)*($H$3&gt;0),$C$3&amp;", ","")&amp;IF((COUNTIFS(TableBOM[Product ID],$D$4,TableBOM[Item ID],$A31)&gt;0)*($H$4&gt;0),$C$4&amp;", ","")&amp;IF((COUNTIFS(TableBOM[Product ID],$D$5,TableBOM[Item ID],$A31)&gt;0)*($H$5&gt;0),$C$5&amp;", ","")&amp;IF((COUNTIFS(TableBOM[Product ID],$D$6,TableBOM[Item ID],$A31)&gt;0)*($H$6&gt;0),$C$6&amp;", ","")&amp;IF((COUNTIFS(TableBOM[Product ID],$D$7,TableBOM[Item ID],$A31)&gt;0)*($H$7&gt;0),$C$7&amp;", ","")&amp;IF((COUNTIFS(TableBOM[Product ID],$D$8,TableBOM[Item ID],$A31)&gt;0)*($H$8&gt;0),$C$8&amp;", ","")&amp;IF((COUNTIFS(TableBOM[Product ID],$D$9,TableBOM[Item ID],$A31)&gt;0)*($H$9&gt;0),$C$9&amp;", ","")&amp;IF((COUNTIFS(TableBOM[Product ID],$D$10,TableBOM[Item ID],$A31)&gt;0)*($H$10&gt;0),$C$10&amp;", ","")&amp;IF((COUNTIFS(TableBOM[Product ID],$D$12,TableBOM[Item ID],$A31)&gt;0)*($H$12&gt;0),$C$12&amp;", ",""))-2),"")</f>
        <v>ECZEMUS OINTMENT 0.03% 10G, S-45 DIA 19MM</v>
      </c>
      <c r="I31" s="96" t="str">
        <f ca="1">IF(LEN(IF((COUNTIFS(TableBOM[Product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",""))&gt;1,LEFT(IF((COUNTIFS(TableBOM[Product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",""),LEN(IF((COUNTIFS(TableBOM[Product ID],$D$3,TableBOM[Item ID],$A31)&gt;0)*($H$3&gt;0),$E$3&amp;", ","")&amp;IF((COUNTIFS(TableBOM[Product ID],$D$4,TableBOM[Item ID],$A31)&gt;0)*($H$4&gt;0),$E$4&amp;", ","")&amp;IF((COUNTIFS(TableBOM[Product ID],$D$5,TableBOM[Item ID],$A31)&gt;0)*($H$5&gt;0),$E$5&amp;", ","")&amp;IF((COUNTIFS(TableBOM[Product ID],$D$6,TableBOM[Item ID],$A31)&gt;0)*($H$6&gt;0),$E$6&amp;", ","")&amp;IF((COUNTIFS(TableBOM[Product ID],$D$7,TableBOM[Item ID],$A31)&gt;0)*($H$7&gt;0),$E$7&amp;", ","")&amp;IF((COUNTIFS(TableBOM[Product ID],$D$8,TableBOM[Item ID],$A31)&gt;0)*($H$8&gt;0),$E$8&amp;", ","")&amp;IF((COUNTIFS(TableBOM[Product ID],$D$9,TableBOM[Item ID],$A31)&gt;0)*($H$9&gt;0),$E$9&amp;", ","")&amp;IF((COUNTIFS(TableBOM[Product ID],$D$10,TableBOM[Item ID],$A31)&gt;0)*($H$10&gt;0),$E$10&amp;", ","")&amp;IF((COUNTIFS(TableBOM[Product ID],$D$12,TableBOM[Item ID],$A31)&gt;0)*($H$12&gt;0),$E$12&amp;", ",""))-2),"")</f>
        <v>6849, 6880 &amp; 6881</v>
      </c>
      <c r="J31" s="97" t="str">
        <f t="shared" ca="1" si="2"/>
        <v>OK</v>
      </c>
      <c r="K31" s="97" t="str">
        <f>IF(B31&lt;&gt;"CAP","",SUMPRODUCT((ISNUMBER(SEARCH("Cap Not Available",'FG Stock'!$H$4:$H$100)))*('FG Stock'!$I$4:$I$100=A31)*'FG Stock'!$F$4:$F$100))</f>
        <v/>
      </c>
      <c r="L31" s="97">
        <f t="shared" ca="1" si="3"/>
        <v>0</v>
      </c>
      <c r="M31" s="78"/>
      <c r="N31" s="78"/>
      <c r="O31" s="78"/>
      <c r="P31" s="78"/>
      <c r="Q31" s="78"/>
      <c r="R31" s="78"/>
      <c r="S31" s="78"/>
      <c r="T31" s="78"/>
      <c r="U31" s="78"/>
      <c r="V31" s="4"/>
    </row>
    <row r="32" spans="1:22" ht="15" hidden="1" customHeight="1" x14ac:dyDescent="0.25">
      <c r="A32" s="88">
        <v>188</v>
      </c>
      <c r="B32" s="88" t="s">
        <v>162</v>
      </c>
      <c r="C32" s="88" t="s">
        <v>166</v>
      </c>
      <c r="D32" s="88" t="s">
        <v>148</v>
      </c>
      <c r="E32" s="94">
        <f ca="1">SUMPRODUCT((TableBOM[Item ID]=A32)*TableBOM[Per 1000 Units]*(1+TableBOM[Scrap %])*SUMIF($D$3:$D$12,TableBOM[Product ID],$H$3:$H$12)/1000)</f>
        <v>0</v>
      </c>
      <c r="F32" s="94">
        <f>IFERROR(INDEX(TableInventory[Store Balance],MATCH(A32,TableInventory[Item ID],0)),0)+IFERROR(INDEX(TableInventory[Work In Process],MATCH(A32,TableInventory[Item ID],0)),0)</f>
        <v>91</v>
      </c>
      <c r="G32" s="94">
        <f t="shared" ca="1" si="1"/>
        <v>91</v>
      </c>
      <c r="H32" s="95" t="str">
        <f ca="1">IF(LEN(IF((COUNTIFS(TableBOM[Product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",""))&gt;1,LEFT(IF((COUNTIFS(TableBOM[Product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",""),LEN(IF((COUNTIFS(TableBOM[Product ID],$D$3,TableBOM[Item ID],$A32)&gt;0)*($H$3&gt;0),$C$3&amp;", ","")&amp;IF((COUNTIFS(TableBOM[Product ID],$D$4,TableBOM[Item ID],$A32)&gt;0)*($H$4&gt;0),$C$4&amp;", ","")&amp;IF((COUNTIFS(TableBOM[Product ID],$D$5,TableBOM[Item ID],$A32)&gt;0)*($H$5&gt;0),$C$5&amp;", ","")&amp;IF((COUNTIFS(TableBOM[Product ID],$D$6,TableBOM[Item ID],$A32)&gt;0)*($H$6&gt;0),$C$6&amp;", ","")&amp;IF((COUNTIFS(TableBOM[Product ID],$D$7,TableBOM[Item ID],$A32)&gt;0)*($H$7&gt;0),$C$7&amp;", ","")&amp;IF((COUNTIFS(TableBOM[Product ID],$D$8,TableBOM[Item ID],$A32)&gt;0)*($H$8&gt;0),$C$8&amp;", ","")&amp;IF((COUNTIFS(TableBOM[Product ID],$D$9,TableBOM[Item ID],$A32)&gt;0)*($H$9&gt;0),$C$9&amp;", ","")&amp;IF((COUNTIFS(TableBOM[Product ID],$D$10,TableBOM[Item ID],$A32)&gt;0)*($H$10&gt;0),$C$10&amp;", ","")&amp;IF((COUNTIFS(TableBOM[Product ID],$D$12,TableBOM[Item ID],$A32)&gt;0)*($H$12&gt;0),$C$12&amp;", ",""))-2),"")</f>
        <v/>
      </c>
      <c r="I32" s="96" t="str">
        <f ca="1">IF(LEN(IF((COUNTIFS(TableBOM[Product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",""))&gt;1,LEFT(IF((COUNTIFS(TableBOM[Product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",""),LEN(IF((COUNTIFS(TableBOM[Product ID],$D$3,TableBOM[Item ID],$A32)&gt;0)*($H$3&gt;0),$E$3&amp;", ","")&amp;IF((COUNTIFS(TableBOM[Product ID],$D$4,TableBOM[Item ID],$A32)&gt;0)*($H$4&gt;0),$E$4&amp;", ","")&amp;IF((COUNTIFS(TableBOM[Product ID],$D$5,TableBOM[Item ID],$A32)&gt;0)*($H$5&gt;0),$E$5&amp;", ","")&amp;IF((COUNTIFS(TableBOM[Product ID],$D$6,TableBOM[Item ID],$A32)&gt;0)*($H$6&gt;0),$E$6&amp;", ","")&amp;IF((COUNTIFS(TableBOM[Product ID],$D$7,TableBOM[Item ID],$A32)&gt;0)*($H$7&gt;0),$E$7&amp;", ","")&amp;IF((COUNTIFS(TableBOM[Product ID],$D$8,TableBOM[Item ID],$A32)&gt;0)*($H$8&gt;0),$E$8&amp;", ","")&amp;IF((COUNTIFS(TableBOM[Product ID],$D$9,TableBOM[Item ID],$A32)&gt;0)*($H$9&gt;0),$E$9&amp;", ","")&amp;IF((COUNTIFS(TableBOM[Product ID],$D$10,TableBOM[Item ID],$A32)&gt;0)*($H$10&gt;0),$E$10&amp;", ","")&amp;IF((COUNTIFS(TableBOM[Product ID],$D$12,TableBOM[Item ID],$A32)&gt;0)*($H$12&gt;0),$E$12&amp;", ",""))-2),"")</f>
        <v/>
      </c>
      <c r="J32" s="97" t="str">
        <f t="shared" ca="1" si="2"/>
        <v>Not needed</v>
      </c>
      <c r="K32" s="97" t="str">
        <f>IF(B32&lt;&gt;"CAP","",SUMPRODUCT((ISNUMBER(SEARCH("Cap Not Available",'FG Stock'!$H$4:$H$100)))*('FG Stock'!$I$4:$I$100=A32)*'FG Stock'!$F$4:$F$100))</f>
        <v/>
      </c>
      <c r="L32" s="97" t="str">
        <f t="shared" ca="1" si="3"/>
        <v/>
      </c>
      <c r="M32" s="78"/>
      <c r="N32" s="78"/>
      <c r="O32" s="78"/>
      <c r="P32" s="78"/>
      <c r="Q32" s="78"/>
      <c r="R32" s="78"/>
      <c r="S32" s="78"/>
      <c r="T32" s="78"/>
      <c r="U32" s="78"/>
      <c r="V32" s="4"/>
    </row>
    <row r="33" spans="1:22" ht="15" hidden="1" customHeight="1" x14ac:dyDescent="0.25">
      <c r="A33" s="88">
        <v>1065</v>
      </c>
      <c r="B33" s="88" t="s">
        <v>162</v>
      </c>
      <c r="C33" s="88" t="s">
        <v>167</v>
      </c>
      <c r="D33" s="88" t="s">
        <v>148</v>
      </c>
      <c r="E33" s="94">
        <f ca="1">SUMPRODUCT((TableBOM[Item ID]=A33)*TableBOM[Per 1000 Units]*(1+TableBOM[Scrap %])*SUMIF($D$3:$D$12,TableBOM[Product ID],$H$3:$H$12)/1000)</f>
        <v>0</v>
      </c>
      <c r="F33" s="94">
        <f>IFERROR(INDEX(TableInventory[Store Balance],MATCH(A33,TableInventory[Item ID],0)),0)+IFERROR(INDEX(TableInventory[Work In Process],MATCH(A33,TableInventory[Item ID],0)),0)</f>
        <v>0</v>
      </c>
      <c r="G33" s="94">
        <f t="shared" ca="1" si="1"/>
        <v>0</v>
      </c>
      <c r="H33" s="95" t="str">
        <f ca="1">IF(LEN(IF((COUNTIFS(TableBOM[Product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",""))&gt;1,LEFT(IF((COUNTIFS(TableBOM[Product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",""),LEN(IF((COUNTIFS(TableBOM[Product ID],$D$3,TableBOM[Item ID],$A33)&gt;0)*($H$3&gt;0),$C$3&amp;", ","")&amp;IF((COUNTIFS(TableBOM[Product ID],$D$4,TableBOM[Item ID],$A33)&gt;0)*($H$4&gt;0),$C$4&amp;", ","")&amp;IF((COUNTIFS(TableBOM[Product ID],$D$5,TableBOM[Item ID],$A33)&gt;0)*($H$5&gt;0),$C$5&amp;", ","")&amp;IF((COUNTIFS(TableBOM[Product ID],$D$6,TableBOM[Item ID],$A33)&gt;0)*($H$6&gt;0),$C$6&amp;", ","")&amp;IF((COUNTIFS(TableBOM[Product ID],$D$7,TableBOM[Item ID],$A33)&gt;0)*($H$7&gt;0),$C$7&amp;", ","")&amp;IF((COUNTIFS(TableBOM[Product ID],$D$8,TableBOM[Item ID],$A33)&gt;0)*($H$8&gt;0),$C$8&amp;", ","")&amp;IF((COUNTIFS(TableBOM[Product ID],$D$9,TableBOM[Item ID],$A33)&gt;0)*($H$9&gt;0),$C$9&amp;", ","")&amp;IF((COUNTIFS(TableBOM[Product ID],$D$10,TableBOM[Item ID],$A33)&gt;0)*($H$10&gt;0),$C$10&amp;", ","")&amp;IF((COUNTIFS(TableBOM[Product ID],$D$12,TableBOM[Item ID],$A33)&gt;0)*($H$12&gt;0),$C$12&amp;", ",""))-2),"")</f>
        <v/>
      </c>
      <c r="I33" s="96" t="str">
        <f ca="1">IF(LEN(IF((COUNTIFS(TableBOM[Product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",""))&gt;1,LEFT(IF((COUNTIFS(TableBOM[Product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",""),LEN(IF((COUNTIFS(TableBOM[Product ID],$D$3,TableBOM[Item ID],$A33)&gt;0)*($H$3&gt;0),$E$3&amp;", ","")&amp;IF((COUNTIFS(TableBOM[Product ID],$D$4,TableBOM[Item ID],$A33)&gt;0)*($H$4&gt;0),$E$4&amp;", ","")&amp;IF((COUNTIFS(TableBOM[Product ID],$D$5,TableBOM[Item ID],$A33)&gt;0)*($H$5&gt;0),$E$5&amp;", ","")&amp;IF((COUNTIFS(TableBOM[Product ID],$D$6,TableBOM[Item ID],$A33)&gt;0)*($H$6&gt;0),$E$6&amp;", ","")&amp;IF((COUNTIFS(TableBOM[Product ID],$D$7,TableBOM[Item ID],$A33)&gt;0)*($H$7&gt;0),$E$7&amp;", ","")&amp;IF((COUNTIFS(TableBOM[Product ID],$D$8,TableBOM[Item ID],$A33)&gt;0)*($H$8&gt;0),$E$8&amp;", ","")&amp;IF((COUNTIFS(TableBOM[Product ID],$D$9,TableBOM[Item ID],$A33)&gt;0)*($H$9&gt;0),$E$9&amp;", ","")&amp;IF((COUNTIFS(TableBOM[Product ID],$D$10,TableBOM[Item ID],$A33)&gt;0)*($H$10&gt;0),$E$10&amp;", ","")&amp;IF((COUNTIFS(TableBOM[Product ID],$D$12,TableBOM[Item ID],$A33)&gt;0)*($H$12&gt;0),$E$12&amp;", ",""))-2),"")</f>
        <v/>
      </c>
      <c r="J33" s="97" t="str">
        <f t="shared" ca="1" si="2"/>
        <v>Not needed</v>
      </c>
      <c r="K33" s="97" t="str">
        <f>IF(B33&lt;&gt;"CAP","",SUMPRODUCT((ISNUMBER(SEARCH("Cap Not Available",'FG Stock'!$H$4:$H$100)))*('FG Stock'!$I$4:$I$100=A33)*'FG Stock'!$F$4:$F$100))</f>
        <v/>
      </c>
      <c r="L33" s="97" t="str">
        <f t="shared" ca="1" si="3"/>
        <v/>
      </c>
      <c r="M33" s="78"/>
      <c r="N33" s="78"/>
      <c r="O33" s="78"/>
      <c r="P33" s="78"/>
      <c r="Q33" s="78"/>
      <c r="R33" s="78"/>
      <c r="S33" s="78"/>
      <c r="T33" s="78"/>
      <c r="U33" s="78"/>
      <c r="V33" s="4"/>
    </row>
    <row r="34" spans="1:22" ht="24" customHeight="1" x14ac:dyDescent="0.25">
      <c r="A34" s="88">
        <v>4155</v>
      </c>
      <c r="B34" s="88" t="s">
        <v>162</v>
      </c>
      <c r="C34" s="88" t="s">
        <v>168</v>
      </c>
      <c r="D34" s="88" t="s">
        <v>148</v>
      </c>
      <c r="E34" s="94">
        <f ca="1">SUMPRODUCT((TableBOM[Item ID]=A34)*TableBOM[Per 1000 Units]*(1+TableBOM[Scrap %])*SUMIF($D$3:$D$12,TableBOM[Product ID],$H$3:$H$12)/1000)</f>
        <v>2.3408000000000002</v>
      </c>
      <c r="F34" s="94">
        <f>IFERROR(INDEX(TableInventory[Store Balance],MATCH(A34,TableInventory[Item ID],0)),0)+IFERROR(INDEX(TableInventory[Work In Process],MATCH(A34,TableInventory[Item ID],0)),0)</f>
        <v>75</v>
      </c>
      <c r="G34" s="98">
        <f t="shared" ca="1" si="1"/>
        <v>72.659199999999998</v>
      </c>
      <c r="H34" s="95" t="str">
        <f ca="1">IF(LEN(IF((COUNTIFS(TableBOM[Product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ID],$D$12,TableBOM[Item ID],$A34)&gt;0)*($H$12&gt;0),$C$12&amp;", ",""))&gt;1,LEFT(IF((COUNTIFS(TableBOM[Product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ID],$D$12,TableBOM[Item ID],$A34)&gt;0)*($H$12&gt;0),$C$12&amp;", ",""),LEN(IF((COUNTIFS(TableBOM[Product ID],$D$3,TableBOM[Item ID],$A34)&gt;0)*($H$3&gt;0),$C$3&amp;", ","")&amp;IF((COUNTIFS(TableBOM[Product ID],$D$4,TableBOM[Item ID],$A34)&gt;0)*($H$4&gt;0),$C$4&amp;", ","")&amp;IF((COUNTIFS(TableBOM[Product ID],$D$5,TableBOM[Item ID],$A34)&gt;0)*($H$5&gt;0),$C$5&amp;", ","")&amp;IF((COUNTIFS(TableBOM[Product ID],$D$6,TableBOM[Item ID],$A34)&gt;0)*($H$6&gt;0),$C$6&amp;", ","")&amp;IF((COUNTIFS(TableBOM[Product ID],$D$7,TableBOM[Item ID],$A34)&gt;0)*($H$7&gt;0),$C$7&amp;", ","")&amp;IF((COUNTIFS(TableBOM[Product ID],$D$8,TableBOM[Item ID],$A34)&gt;0)*($H$8&gt;0),$C$8&amp;", ","")&amp;IF((COUNTIFS(TableBOM[Product ID],$D$9,TableBOM[Item ID],$A34)&gt;0)*($H$9&gt;0),$C$9&amp;", ","")&amp;IF((COUNTIFS(TableBOM[Product ID],$D$10,TableBOM[Item ID],$A34)&gt;0)*($H$10&gt;0),$C$10&amp;", ","")&amp;IF((COUNTIFS(TableBOM[Product ID],$D$12,TableBOM[Item ID],$A34)&gt;0)*($H$12&gt;0),$C$12&amp;", ",""))-2),"")</f>
        <v/>
      </c>
      <c r="I34" s="96" t="str">
        <f ca="1">IF(LEN(IF((COUNTIFS(TableBOM[Product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ID],$D$12,TableBOM[Item ID],$A34)&gt;0)*($H$12&gt;0),$E$12&amp;", ",""))&gt;1,LEFT(IF((COUNTIFS(TableBOM[Product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ID],$D$12,TableBOM[Item ID],$A34)&gt;0)*($H$12&gt;0),$E$12&amp;", ",""),LEN(IF((COUNTIFS(TableBOM[Product ID],$D$3,TableBOM[Item ID],$A34)&gt;0)*($H$3&gt;0),$E$3&amp;", ","")&amp;IF((COUNTIFS(TableBOM[Product ID],$D$4,TableBOM[Item ID],$A34)&gt;0)*($H$4&gt;0),$E$4&amp;", ","")&amp;IF((COUNTIFS(TableBOM[Product ID],$D$5,TableBOM[Item ID],$A34)&gt;0)*($H$5&gt;0),$E$5&amp;", ","")&amp;IF((COUNTIFS(TableBOM[Product ID],$D$6,TableBOM[Item ID],$A34)&gt;0)*($H$6&gt;0),$E$6&amp;", ","")&amp;IF((COUNTIFS(TableBOM[Product ID],$D$7,TableBOM[Item ID],$A34)&gt;0)*($H$7&gt;0),$E$7&amp;", ","")&amp;IF((COUNTIFS(TableBOM[Product ID],$D$8,TableBOM[Item ID],$A34)&gt;0)*($H$8&gt;0),$E$8&amp;", ","")&amp;IF((COUNTIFS(TableBOM[Product ID],$D$9,TableBOM[Item ID],$A34)&gt;0)*($H$9&gt;0),$E$9&amp;", ","")&amp;IF((COUNTIFS(TableBOM[Product ID],$D$10,TableBOM[Item ID],$A34)&gt;0)*($H$10&gt;0),$E$10&amp;", ","")&amp;IF((COUNTIFS(TableBOM[Product ID],$D$12,TableBOM[Item ID],$A34)&gt;0)*($H$12&gt;0),$E$12&amp;", ",""))-2),"")</f>
        <v/>
      </c>
      <c r="J34" s="97" t="str">
        <f t="shared" ca="1" si="2"/>
        <v>OK</v>
      </c>
      <c r="K34" s="97" t="str">
        <f>IF(B34&lt;&gt;"CAP","",SUMPRODUCT((ISNUMBER(SEARCH("Cap Not Available",'FG Stock'!$H$4:$H$100)))*('FG Stock'!$I$4:$I$100=A34)*'FG Stock'!$F$4:$F$100))</f>
        <v/>
      </c>
      <c r="L34" s="97">
        <f t="shared" ca="1" si="3"/>
        <v>0</v>
      </c>
      <c r="M34" s="78"/>
      <c r="N34" s="78"/>
      <c r="O34" s="78"/>
      <c r="P34" s="78"/>
      <c r="Q34" s="78"/>
      <c r="R34" s="78"/>
      <c r="S34" s="78"/>
      <c r="T34" s="78"/>
      <c r="U34" s="78"/>
      <c r="V34" s="4"/>
    </row>
    <row r="35" spans="1:22" ht="15" hidden="1" customHeight="1" x14ac:dyDescent="0.25">
      <c r="A35" s="88">
        <v>170</v>
      </c>
      <c r="B35" s="88" t="s">
        <v>169</v>
      </c>
      <c r="C35" s="88" t="s">
        <v>170</v>
      </c>
      <c r="D35" s="88" t="s">
        <v>148</v>
      </c>
      <c r="E35" s="94">
        <f ca="1">SUMPRODUCT((TableBOM[Item ID]=A35)*TableBOM[Per 1000 Units]*(1+TableBOM[Scrap %])*SUMIF($D$3:$D$12,TableBOM[Product ID],$H$3:$H$12)/1000)</f>
        <v>0</v>
      </c>
      <c r="F35" s="94">
        <f>IFERROR(INDEX(TableInventory[Store Balance],MATCH(A35,TableInventory[Item ID],0)),0)+IFERROR(INDEX(TableInventory[Work In Process],MATCH(A35,TableInventory[Item ID],0)),0)</f>
        <v>0</v>
      </c>
      <c r="G35" s="94">
        <f t="shared" ca="1" si="1"/>
        <v>0</v>
      </c>
      <c r="H35" s="95" t="str">
        <f ca="1">IF(LEN(IF((COUNTIFS(TableBOM[Product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",""))&gt;1,LEFT(IF((COUNTIFS(TableBOM[Product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",""),LEN(IF((COUNTIFS(TableBOM[Product ID],$D$3,TableBOM[Item ID],$A35)&gt;0)*($H$3&gt;0),$C$3&amp;", ","")&amp;IF((COUNTIFS(TableBOM[Product ID],$D$4,TableBOM[Item ID],$A35)&gt;0)*($H$4&gt;0),$C$4&amp;", ","")&amp;IF((COUNTIFS(TableBOM[Product ID],$D$5,TableBOM[Item ID],$A35)&gt;0)*($H$5&gt;0),$C$5&amp;", ","")&amp;IF((COUNTIFS(TableBOM[Product ID],$D$6,TableBOM[Item ID],$A35)&gt;0)*($H$6&gt;0),$C$6&amp;", ","")&amp;IF((COUNTIFS(TableBOM[Product ID],$D$7,TableBOM[Item ID],$A35)&gt;0)*($H$7&gt;0),$C$7&amp;", ","")&amp;IF((COUNTIFS(TableBOM[Product ID],$D$8,TableBOM[Item ID],$A35)&gt;0)*($H$8&gt;0),$C$8&amp;", ","")&amp;IF((COUNTIFS(TableBOM[Product ID],$D$9,TableBOM[Item ID],$A35)&gt;0)*($H$9&gt;0),$C$9&amp;", ","")&amp;IF((COUNTIFS(TableBOM[Product ID],$D$10,TableBOM[Item ID],$A35)&gt;0)*($H$10&gt;0),$C$10&amp;", ","")&amp;IF((COUNTIFS(TableBOM[Product ID],$D$12,TableBOM[Item ID],$A35)&gt;0)*($H$12&gt;0),$C$12&amp;", ",""))-2),"")</f>
        <v/>
      </c>
      <c r="I35" s="96" t="str">
        <f ca="1">IF(LEN(IF((COUNTIFS(TableBOM[Product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",""))&gt;1,LEFT(IF((COUNTIFS(TableBOM[Product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",""),LEN(IF((COUNTIFS(TableBOM[Product ID],$D$3,TableBOM[Item ID],$A35)&gt;0)*($H$3&gt;0),$E$3&amp;", ","")&amp;IF((COUNTIFS(TableBOM[Product ID],$D$4,TableBOM[Item ID],$A35)&gt;0)*($H$4&gt;0),$E$4&amp;", ","")&amp;IF((COUNTIFS(TableBOM[Product ID],$D$5,TableBOM[Item ID],$A35)&gt;0)*($H$5&gt;0),$E$5&amp;", ","")&amp;IF((COUNTIFS(TableBOM[Product ID],$D$6,TableBOM[Item ID],$A35)&gt;0)*($H$6&gt;0),$E$6&amp;", ","")&amp;IF((COUNTIFS(TableBOM[Product ID],$D$7,TableBOM[Item ID],$A35)&gt;0)*($H$7&gt;0),$E$7&amp;", ","")&amp;IF((COUNTIFS(TableBOM[Product ID],$D$8,TableBOM[Item ID],$A35)&gt;0)*($H$8&gt;0),$E$8&amp;", ","")&amp;IF((COUNTIFS(TableBOM[Product ID],$D$9,TableBOM[Item ID],$A35)&gt;0)*($H$9&gt;0),$E$9&amp;", ","")&amp;IF((COUNTIFS(TableBOM[Product ID],$D$10,TableBOM[Item ID],$A35)&gt;0)*($H$10&gt;0),$E$10&amp;", ","")&amp;IF((COUNTIFS(TableBOM[Product ID],$D$12,TableBOM[Item ID],$A35)&gt;0)*($H$12&gt;0),$E$12&amp;", ",""))-2),"")</f>
        <v/>
      </c>
      <c r="J35" s="97" t="str">
        <f t="shared" ca="1" si="2"/>
        <v>Not needed</v>
      </c>
      <c r="K35" s="97" t="str">
        <f>IF(B35&lt;&gt;"CAP","",SUMPRODUCT((ISNUMBER(SEARCH("Cap Not Available",'FG Stock'!$H$4:$H$100)))*('FG Stock'!$I$4:$I$100=A35)*'FG Stock'!$F$4:$F$100))</f>
        <v/>
      </c>
      <c r="L35" s="97" t="str">
        <f t="shared" ca="1" si="3"/>
        <v/>
      </c>
      <c r="M35" s="78"/>
      <c r="N35" s="78"/>
      <c r="O35" s="78"/>
      <c r="P35" s="78"/>
      <c r="Q35" s="78"/>
      <c r="R35" s="78"/>
      <c r="S35" s="78"/>
      <c r="T35" s="78"/>
      <c r="U35" s="78"/>
      <c r="V35" s="4"/>
    </row>
    <row r="36" spans="1:22" ht="15" hidden="1" customHeight="1" x14ac:dyDescent="0.25">
      <c r="A36" s="88">
        <v>175</v>
      </c>
      <c r="B36" s="88" t="s">
        <v>169</v>
      </c>
      <c r="C36" s="88" t="s">
        <v>171</v>
      </c>
      <c r="D36" s="88" t="s">
        <v>148</v>
      </c>
      <c r="E36" s="94">
        <f ca="1">SUMPRODUCT((TableBOM[Item ID]=A36)*TableBOM[Per 1000 Units]*(1+TableBOM[Scrap %])*SUMIF($D$3:$D$12,TableBOM[Product ID],$H$3:$H$12)/1000)</f>
        <v>0</v>
      </c>
      <c r="F36" s="94">
        <f>IFERROR(INDEX(TableInventory[Store Balance],MATCH(A36,TableInventory[Item ID],0)),0)+IFERROR(INDEX(TableInventory[Work In Process],MATCH(A36,TableInventory[Item ID],0)),0)</f>
        <v>30</v>
      </c>
      <c r="G36" s="94">
        <f t="shared" ca="1" si="1"/>
        <v>30</v>
      </c>
      <c r="H36" s="95" t="str">
        <f ca="1">IF(LEN(IF((COUNTIFS(TableBOM[Product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",""))&gt;1,LEFT(IF((COUNTIFS(TableBOM[Product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",""),LEN(IF((COUNTIFS(TableBOM[Product ID],$D$3,TableBOM[Item ID],$A36)&gt;0)*($H$3&gt;0),$C$3&amp;", ","")&amp;IF((COUNTIFS(TableBOM[Product ID],$D$4,TableBOM[Item ID],$A36)&gt;0)*($H$4&gt;0),$C$4&amp;", ","")&amp;IF((COUNTIFS(TableBOM[Product ID],$D$5,TableBOM[Item ID],$A36)&gt;0)*($H$5&gt;0),$C$5&amp;", ","")&amp;IF((COUNTIFS(TableBOM[Product ID],$D$6,TableBOM[Item ID],$A36)&gt;0)*($H$6&gt;0),$C$6&amp;", ","")&amp;IF((COUNTIFS(TableBOM[Product ID],$D$7,TableBOM[Item ID],$A36)&gt;0)*($H$7&gt;0),$C$7&amp;", ","")&amp;IF((COUNTIFS(TableBOM[Product ID],$D$8,TableBOM[Item ID],$A36)&gt;0)*($H$8&gt;0),$C$8&amp;", ","")&amp;IF((COUNTIFS(TableBOM[Product ID],$D$9,TableBOM[Item ID],$A36)&gt;0)*($H$9&gt;0),$C$9&amp;", ","")&amp;IF((COUNTIFS(TableBOM[Product ID],$D$10,TableBOM[Item ID],$A36)&gt;0)*($H$10&gt;0),$C$10&amp;", ","")&amp;IF((COUNTIFS(TableBOM[Product ID],$D$12,TableBOM[Item ID],$A36)&gt;0)*($H$12&gt;0),$C$12&amp;", ",""))-2),"")</f>
        <v/>
      </c>
      <c r="I36" s="96" t="str">
        <f ca="1">IF(LEN(IF((COUNTIFS(TableBOM[Product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",""))&gt;1,LEFT(IF((COUNTIFS(TableBOM[Product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",""),LEN(IF((COUNTIFS(TableBOM[Product ID],$D$3,TableBOM[Item ID],$A36)&gt;0)*($H$3&gt;0),$E$3&amp;", ","")&amp;IF((COUNTIFS(TableBOM[Product ID],$D$4,TableBOM[Item ID],$A36)&gt;0)*($H$4&gt;0),$E$4&amp;", ","")&amp;IF((COUNTIFS(TableBOM[Product ID],$D$5,TableBOM[Item ID],$A36)&gt;0)*($H$5&gt;0),$E$5&amp;", ","")&amp;IF((COUNTIFS(TableBOM[Product ID],$D$6,TableBOM[Item ID],$A36)&gt;0)*($H$6&gt;0),$E$6&amp;", ","")&amp;IF((COUNTIFS(TableBOM[Product ID],$D$7,TableBOM[Item ID],$A36)&gt;0)*($H$7&gt;0),$E$7&amp;", ","")&amp;IF((COUNTIFS(TableBOM[Product ID],$D$8,TableBOM[Item ID],$A36)&gt;0)*($H$8&gt;0),$E$8&amp;", ","")&amp;IF((COUNTIFS(TableBOM[Product ID],$D$9,TableBOM[Item ID],$A36)&gt;0)*($H$9&gt;0),$E$9&amp;", ","")&amp;IF((COUNTIFS(TableBOM[Product ID],$D$10,TableBOM[Item ID],$A36)&gt;0)*($H$10&gt;0),$E$10&amp;", ","")&amp;IF((COUNTIFS(TableBOM[Product ID],$D$12,TableBOM[Item ID],$A36)&gt;0)*($H$12&gt;0),$E$12&amp;", ",""))-2),"")</f>
        <v/>
      </c>
      <c r="J36" s="97" t="str">
        <f t="shared" ca="1" si="2"/>
        <v>Not needed</v>
      </c>
      <c r="K36" s="97" t="str">
        <f>IF(B36&lt;&gt;"CAP","",SUMPRODUCT((ISNUMBER(SEARCH("Cap Not Available",'FG Stock'!$H$4:$H$100)))*('FG Stock'!$I$4:$I$100=A36)*'FG Stock'!$F$4:$F$100))</f>
        <v/>
      </c>
      <c r="L36" s="97" t="str">
        <f t="shared" ca="1" si="3"/>
        <v/>
      </c>
      <c r="M36" s="78"/>
      <c r="N36" s="78"/>
      <c r="O36" s="78"/>
      <c r="P36" s="78"/>
      <c r="Q36" s="78"/>
      <c r="R36" s="78"/>
      <c r="S36" s="78"/>
      <c r="T36" s="78"/>
      <c r="U36" s="78"/>
      <c r="V36" s="4"/>
    </row>
    <row r="37" spans="1:22" ht="15" hidden="1" customHeight="1" x14ac:dyDescent="0.25">
      <c r="A37" s="88">
        <v>192</v>
      </c>
      <c r="B37" s="88" t="s">
        <v>169</v>
      </c>
      <c r="C37" s="88" t="s">
        <v>172</v>
      </c>
      <c r="D37" s="88" t="s">
        <v>148</v>
      </c>
      <c r="E37" s="94">
        <f ca="1">SUMPRODUCT((TableBOM[Item ID]=A37)*TableBOM[Per 1000 Units]*(1+TableBOM[Scrap %])*SUMIF($D$3:$D$12,TableBOM[Product ID],$H$3:$H$12)/1000)</f>
        <v>0</v>
      </c>
      <c r="F37" s="94">
        <f>IFERROR(INDEX(TableInventory[Store Balance],MATCH(A37,TableInventory[Item ID],0)),0)+IFERROR(INDEX(TableInventory[Work In Process],MATCH(A37,TableInventory[Item ID],0)),0)</f>
        <v>50</v>
      </c>
      <c r="G37" s="94">
        <f t="shared" ca="1" si="1"/>
        <v>50</v>
      </c>
      <c r="H37" s="95" t="str">
        <f ca="1">IF(LEN(IF((COUNTIFS(TableBOM[Product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",""))&gt;1,LEFT(IF((COUNTIFS(TableBOM[Product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",""),LEN(IF((COUNTIFS(TableBOM[Product ID],$D$3,TableBOM[Item ID],$A37)&gt;0)*($H$3&gt;0),$C$3&amp;", ","")&amp;IF((COUNTIFS(TableBOM[Product ID],$D$4,TableBOM[Item ID],$A37)&gt;0)*($H$4&gt;0),$C$4&amp;", ","")&amp;IF((COUNTIFS(TableBOM[Product ID],$D$5,TableBOM[Item ID],$A37)&gt;0)*($H$5&gt;0),$C$5&amp;", ","")&amp;IF((COUNTIFS(TableBOM[Product ID],$D$6,TableBOM[Item ID],$A37)&gt;0)*($H$6&gt;0),$C$6&amp;", ","")&amp;IF((COUNTIFS(TableBOM[Product ID],$D$7,TableBOM[Item ID],$A37)&gt;0)*($H$7&gt;0),$C$7&amp;", ","")&amp;IF((COUNTIFS(TableBOM[Product ID],$D$8,TableBOM[Item ID],$A37)&gt;0)*($H$8&gt;0),$C$8&amp;", ","")&amp;IF((COUNTIFS(TableBOM[Product ID],$D$9,TableBOM[Item ID],$A37)&gt;0)*($H$9&gt;0),$C$9&amp;", ","")&amp;IF((COUNTIFS(TableBOM[Product ID],$D$10,TableBOM[Item ID],$A37)&gt;0)*($H$10&gt;0),$C$10&amp;", ","")&amp;IF((COUNTIFS(TableBOM[Product ID],$D$12,TableBOM[Item ID],$A37)&gt;0)*($H$12&gt;0),$C$12&amp;", ",""))-2),"")</f>
        <v/>
      </c>
      <c r="I37" s="96" t="str">
        <f ca="1">IF(LEN(IF((COUNTIFS(TableBOM[Product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",""))&gt;1,LEFT(IF((COUNTIFS(TableBOM[Product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",""),LEN(IF((COUNTIFS(TableBOM[Product ID],$D$3,TableBOM[Item ID],$A37)&gt;0)*($H$3&gt;0),$E$3&amp;", ","")&amp;IF((COUNTIFS(TableBOM[Product ID],$D$4,TableBOM[Item ID],$A37)&gt;0)*($H$4&gt;0),$E$4&amp;", ","")&amp;IF((COUNTIFS(TableBOM[Product ID],$D$5,TableBOM[Item ID],$A37)&gt;0)*($H$5&gt;0),$E$5&amp;", ","")&amp;IF((COUNTIFS(TableBOM[Product ID],$D$6,TableBOM[Item ID],$A37)&gt;0)*($H$6&gt;0),$E$6&amp;", ","")&amp;IF((COUNTIFS(TableBOM[Product ID],$D$7,TableBOM[Item ID],$A37)&gt;0)*($H$7&gt;0),$E$7&amp;", ","")&amp;IF((COUNTIFS(TableBOM[Product ID],$D$8,TableBOM[Item ID],$A37)&gt;0)*($H$8&gt;0),$E$8&amp;", ","")&amp;IF((COUNTIFS(TableBOM[Product ID],$D$9,TableBOM[Item ID],$A37)&gt;0)*($H$9&gt;0),$E$9&amp;", ","")&amp;IF((COUNTIFS(TableBOM[Product ID],$D$10,TableBOM[Item ID],$A37)&gt;0)*($H$10&gt;0),$E$10&amp;", ","")&amp;IF((COUNTIFS(TableBOM[Product ID],$D$12,TableBOM[Item ID],$A37)&gt;0)*($H$12&gt;0),$E$12&amp;", ",""))-2),"")</f>
        <v/>
      </c>
      <c r="J37" s="97" t="str">
        <f t="shared" ca="1" si="2"/>
        <v>Not needed</v>
      </c>
      <c r="K37" s="97" t="str">
        <f>IF(B37&lt;&gt;"CAP","",SUMPRODUCT((ISNUMBER(SEARCH("Cap Not Available",'FG Stock'!$H$4:$H$100)))*('FG Stock'!$I$4:$I$100=A37)*'FG Stock'!$F$4:$F$100))</f>
        <v/>
      </c>
      <c r="L37" s="97" t="str">
        <f t="shared" ca="1" si="3"/>
        <v/>
      </c>
      <c r="M37" s="78"/>
      <c r="N37" s="78"/>
      <c r="O37" s="78"/>
      <c r="P37" s="78"/>
      <c r="Q37" s="78"/>
      <c r="R37" s="78"/>
      <c r="S37" s="78"/>
      <c r="T37" s="78"/>
      <c r="U37" s="78"/>
      <c r="V37" s="4"/>
    </row>
    <row r="38" spans="1:22" ht="48" customHeight="1" x14ac:dyDescent="0.25">
      <c r="A38" s="88">
        <v>3595</v>
      </c>
      <c r="B38" s="88" t="s">
        <v>169</v>
      </c>
      <c r="C38" s="88" t="s">
        <v>173</v>
      </c>
      <c r="D38" s="88" t="s">
        <v>148</v>
      </c>
      <c r="E38" s="94">
        <f ca="1">SUMPRODUCT((TableBOM[Item ID]=A38)*TableBOM[Per 1000 Units]*(1+TableBOM[Scrap %])*SUMIF($D$3:$D$12,TableBOM[Product ID],$H$3:$H$12)/1000)</f>
        <v>23.099208000000001</v>
      </c>
      <c r="F38" s="94">
        <f>IFERROR(INDEX(TableInventory[Store Balance],MATCH(A38,TableInventory[Item ID],0)),0)+IFERROR(INDEX(TableInventory[Work In Process],MATCH(A38,TableInventory[Item ID],0)),0)</f>
        <v>90</v>
      </c>
      <c r="G38" s="98">
        <f t="shared" ca="1" si="1"/>
        <v>66.900791999999996</v>
      </c>
      <c r="H38" s="95" t="str">
        <f ca="1">IF(LEN(IF((COUNTIFS(TableBOM[Product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",""))&gt;1,LEFT(IF((COUNTIFS(TableBOM[Product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",""),LEN(IF((COUNTIFS(TableBOM[Product ID],$D$3,TableBOM[Item ID],$A38)&gt;0)*($H$3&gt;0),$C$3&amp;", ","")&amp;IF((COUNTIFS(TableBOM[Product ID],$D$4,TableBOM[Item ID],$A38)&gt;0)*($H$4&gt;0),$C$4&amp;", ","")&amp;IF((COUNTIFS(TableBOM[Product ID],$D$5,TableBOM[Item ID],$A38)&gt;0)*($H$5&gt;0),$C$5&amp;", ","")&amp;IF((COUNTIFS(TableBOM[Product ID],$D$6,TableBOM[Item ID],$A38)&gt;0)*($H$6&gt;0),$C$6&amp;", ","")&amp;IF((COUNTIFS(TableBOM[Product ID],$D$7,TableBOM[Item ID],$A38)&gt;0)*($H$7&gt;0),$C$7&amp;", ","")&amp;IF((COUNTIFS(TableBOM[Product ID],$D$8,TableBOM[Item ID],$A38)&gt;0)*($H$8&gt;0),$C$8&amp;", ","")&amp;IF((COUNTIFS(TableBOM[Product ID],$D$9,TableBOM[Item ID],$A38)&gt;0)*($H$9&gt;0),$C$9&amp;", ","")&amp;IF((COUNTIFS(TableBOM[Product ID],$D$10,TableBOM[Item ID],$A38)&gt;0)*($H$10&gt;0),$C$10&amp;", ","")&amp;IF((COUNTIFS(TableBOM[Product ID],$D$12,TableBOM[Item ID],$A38)&gt;0)*($H$12&gt;0),$C$12&amp;", ",""))-2),"")</f>
        <v>ECZEMUS OINTMENT 0.03% 10G, S-45 DIA 19MM</v>
      </c>
      <c r="I38" s="96" t="str">
        <f ca="1">IF(LEN(IF((COUNTIFS(TableBOM[Product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",""))&gt;1,LEFT(IF((COUNTIFS(TableBOM[Product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",""),LEN(IF((COUNTIFS(TableBOM[Product ID],$D$3,TableBOM[Item ID],$A38)&gt;0)*($H$3&gt;0),$E$3&amp;", ","")&amp;IF((COUNTIFS(TableBOM[Product ID],$D$4,TableBOM[Item ID],$A38)&gt;0)*($H$4&gt;0),$E$4&amp;", ","")&amp;IF((COUNTIFS(TableBOM[Product ID],$D$5,TableBOM[Item ID],$A38)&gt;0)*($H$5&gt;0),$E$5&amp;", ","")&amp;IF((COUNTIFS(TableBOM[Product ID],$D$6,TableBOM[Item ID],$A38)&gt;0)*($H$6&gt;0),$E$6&amp;", ","")&amp;IF((COUNTIFS(TableBOM[Product ID],$D$7,TableBOM[Item ID],$A38)&gt;0)*($H$7&gt;0),$E$7&amp;", ","")&amp;IF((COUNTIFS(TableBOM[Product ID],$D$8,TableBOM[Item ID],$A38)&gt;0)*($H$8&gt;0),$E$8&amp;", ","")&amp;IF((COUNTIFS(TableBOM[Product ID],$D$9,TableBOM[Item ID],$A38)&gt;0)*($H$9&gt;0),$E$9&amp;", ","")&amp;IF((COUNTIFS(TableBOM[Product ID],$D$10,TableBOM[Item ID],$A38)&gt;0)*($H$10&gt;0),$E$10&amp;", ","")&amp;IF((COUNTIFS(TableBOM[Product ID],$D$12,TableBOM[Item ID],$A38)&gt;0)*($H$12&gt;0),$E$12&amp;", ",""))-2),"")</f>
        <v>6849, 6880 &amp; 6881</v>
      </c>
      <c r="J38" s="97" t="str">
        <f t="shared" ca="1" si="2"/>
        <v>OK</v>
      </c>
      <c r="K38" s="97" t="str">
        <f>IF(B38&lt;&gt;"CAP","",SUMPRODUCT((ISNUMBER(SEARCH("Cap Not Available",'FG Stock'!$H$4:$H$100)))*('FG Stock'!$I$4:$I$100=A38)*'FG Stock'!$F$4:$F$100))</f>
        <v/>
      </c>
      <c r="L38" s="97">
        <f t="shared" ca="1" si="3"/>
        <v>0</v>
      </c>
      <c r="M38" s="78"/>
      <c r="N38" s="78"/>
      <c r="O38" s="78"/>
      <c r="P38" s="78"/>
      <c r="Q38" s="78"/>
      <c r="R38" s="78"/>
      <c r="S38" s="78"/>
      <c r="T38" s="78"/>
      <c r="U38" s="78"/>
      <c r="V38" s="4"/>
    </row>
    <row r="39" spans="1:22" ht="15" hidden="1" customHeight="1" x14ac:dyDescent="0.25">
      <c r="A39" s="88">
        <v>3869</v>
      </c>
      <c r="B39" s="88" t="s">
        <v>169</v>
      </c>
      <c r="C39" s="88" t="s">
        <v>174</v>
      </c>
      <c r="D39" s="88" t="s">
        <v>148</v>
      </c>
      <c r="E39" s="94">
        <f ca="1">SUMPRODUCT((TableBOM[Item ID]=A39)*TableBOM[Per 1000 Units]*(1+TableBOM[Scrap %])*SUMIF($D$3:$D$12,TableBOM[Product ID],$H$3:$H$12)/1000)</f>
        <v>0</v>
      </c>
      <c r="F39" s="94">
        <f>IFERROR(INDEX(TableInventory[Store Balance],MATCH(A39,TableInventory[Item ID],0)),0)+IFERROR(INDEX(TableInventory[Work In Process],MATCH(A39,TableInventory[Item ID],0)),0)</f>
        <v>60</v>
      </c>
      <c r="G39" s="94">
        <f t="shared" ca="1" si="1"/>
        <v>60</v>
      </c>
      <c r="H39" s="95" t="str">
        <f ca="1">IF(LEN(IF((COUNTIFS(TableBOM[Product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",""))&gt;1,LEFT(IF((COUNTIFS(TableBOM[Product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",""),LEN(IF((COUNTIFS(TableBOM[Product ID],$D$3,TableBOM[Item ID],$A39)&gt;0)*($H$3&gt;0),$C$3&amp;", ","")&amp;IF((COUNTIFS(TableBOM[Product ID],$D$4,TableBOM[Item ID],$A39)&gt;0)*($H$4&gt;0),$C$4&amp;", ","")&amp;IF((COUNTIFS(TableBOM[Product ID],$D$5,TableBOM[Item ID],$A39)&gt;0)*($H$5&gt;0),$C$5&amp;", ","")&amp;IF((COUNTIFS(TableBOM[Product ID],$D$6,TableBOM[Item ID],$A39)&gt;0)*($H$6&gt;0),$C$6&amp;", ","")&amp;IF((COUNTIFS(TableBOM[Product ID],$D$7,TableBOM[Item ID],$A39)&gt;0)*($H$7&gt;0),$C$7&amp;", ","")&amp;IF((COUNTIFS(TableBOM[Product ID],$D$8,TableBOM[Item ID],$A39)&gt;0)*($H$8&gt;0),$C$8&amp;", ","")&amp;IF((COUNTIFS(TableBOM[Product ID],$D$9,TableBOM[Item ID],$A39)&gt;0)*($H$9&gt;0),$C$9&amp;", ","")&amp;IF((COUNTIFS(TableBOM[Product ID],$D$10,TableBOM[Item ID],$A39)&gt;0)*($H$10&gt;0),$C$10&amp;", ","")&amp;IF((COUNTIFS(TableBOM[Product ID],$D$12,TableBOM[Item ID],$A39)&gt;0)*($H$12&gt;0),$C$12&amp;", ",""))-2),"")</f>
        <v/>
      </c>
      <c r="I39" s="96" t="str">
        <f ca="1">IF(LEN(IF((COUNTIFS(TableBOM[Product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",""))&gt;1,LEFT(IF((COUNTIFS(TableBOM[Product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",""),LEN(IF((COUNTIFS(TableBOM[Product ID],$D$3,TableBOM[Item ID],$A39)&gt;0)*($H$3&gt;0),$E$3&amp;", ","")&amp;IF((COUNTIFS(TableBOM[Product ID],$D$4,TableBOM[Item ID],$A39)&gt;0)*($H$4&gt;0),$E$4&amp;", ","")&amp;IF((COUNTIFS(TableBOM[Product ID],$D$5,TableBOM[Item ID],$A39)&gt;0)*($H$5&gt;0),$E$5&amp;", ","")&amp;IF((COUNTIFS(TableBOM[Product ID],$D$6,TableBOM[Item ID],$A39)&gt;0)*($H$6&gt;0),$E$6&amp;", ","")&amp;IF((COUNTIFS(TableBOM[Product ID],$D$7,TableBOM[Item ID],$A39)&gt;0)*($H$7&gt;0),$E$7&amp;", ","")&amp;IF((COUNTIFS(TableBOM[Product ID],$D$8,TableBOM[Item ID],$A39)&gt;0)*($H$8&gt;0),$E$8&amp;", ","")&amp;IF((COUNTIFS(TableBOM[Product ID],$D$9,TableBOM[Item ID],$A39)&gt;0)*($H$9&gt;0),$E$9&amp;", ","")&amp;IF((COUNTIFS(TableBOM[Product ID],$D$10,TableBOM[Item ID],$A39)&gt;0)*($H$10&gt;0),$E$10&amp;", ","")&amp;IF((COUNTIFS(TableBOM[Product ID],$D$12,TableBOM[Item ID],$A39)&gt;0)*($H$12&gt;0),$E$12&amp;", ",""))-2),"")</f>
        <v/>
      </c>
      <c r="J39" s="97" t="str">
        <f t="shared" ca="1" si="2"/>
        <v>Not needed</v>
      </c>
      <c r="K39" s="97" t="str">
        <f>IF(B39&lt;&gt;"CAP","",SUMPRODUCT((ISNUMBER(SEARCH("Cap Not Available",'FG Stock'!$H$4:$H$100)))*('FG Stock'!$I$4:$I$100=A39)*'FG Stock'!$F$4:$F$100))</f>
        <v/>
      </c>
      <c r="L39" s="97" t="str">
        <f t="shared" ca="1" si="3"/>
        <v/>
      </c>
      <c r="M39" s="78"/>
      <c r="N39" s="78"/>
      <c r="O39" s="78"/>
      <c r="P39" s="78"/>
      <c r="Q39" s="78"/>
      <c r="R39" s="78"/>
      <c r="S39" s="78"/>
      <c r="T39" s="78"/>
      <c r="U39" s="78"/>
      <c r="V39" s="4"/>
    </row>
    <row r="40" spans="1:22" ht="15" hidden="1" customHeight="1" x14ac:dyDescent="0.25">
      <c r="A40" s="88">
        <v>4156</v>
      </c>
      <c r="B40" s="88" t="s">
        <v>169</v>
      </c>
      <c r="C40" s="88" t="s">
        <v>175</v>
      </c>
      <c r="D40" s="88" t="s">
        <v>148</v>
      </c>
      <c r="E40" s="94">
        <f ca="1">SUMPRODUCT((TableBOM[Item ID]=A40)*TableBOM[Per 1000 Units]*(1+TableBOM[Scrap %])*SUMIF($D$3:$D$12,TableBOM[Product ID],$H$3:$H$12)/1000)</f>
        <v>0</v>
      </c>
      <c r="F40" s="94">
        <f>IFERROR(INDEX(TableInventory[Store Balance],MATCH(A40,TableInventory[Item ID],0)),0)+IFERROR(INDEX(TableInventory[Work In Process],MATCH(A40,TableInventory[Item ID],0)),0)</f>
        <v>0</v>
      </c>
      <c r="G40" s="94">
        <f t="shared" ca="1" si="1"/>
        <v>0</v>
      </c>
      <c r="H40" s="95" t="str">
        <f ca="1">IF(LEN(IF((COUNTIFS(TableBOM[Product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",""))&gt;1,LEFT(IF((COUNTIFS(TableBOM[Product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",""),LEN(IF((COUNTIFS(TableBOM[Product ID],$D$3,TableBOM[Item ID],$A40)&gt;0)*($H$3&gt;0),$C$3&amp;", ","")&amp;IF((COUNTIFS(TableBOM[Product ID],$D$4,TableBOM[Item ID],$A40)&gt;0)*($H$4&gt;0),$C$4&amp;", ","")&amp;IF((COUNTIFS(TableBOM[Product ID],$D$5,TableBOM[Item ID],$A40)&gt;0)*($H$5&gt;0),$C$5&amp;", ","")&amp;IF((COUNTIFS(TableBOM[Product ID],$D$6,TableBOM[Item ID],$A40)&gt;0)*($H$6&gt;0),$C$6&amp;", ","")&amp;IF((COUNTIFS(TableBOM[Product ID],$D$7,TableBOM[Item ID],$A40)&gt;0)*($H$7&gt;0),$C$7&amp;", ","")&amp;IF((COUNTIFS(TableBOM[Product ID],$D$8,TableBOM[Item ID],$A40)&gt;0)*($H$8&gt;0),$C$8&amp;", ","")&amp;IF((COUNTIFS(TableBOM[Product ID],$D$9,TableBOM[Item ID],$A40)&gt;0)*($H$9&gt;0),$C$9&amp;", ","")&amp;IF((COUNTIFS(TableBOM[Product ID],$D$10,TableBOM[Item ID],$A40)&gt;0)*($H$10&gt;0),$C$10&amp;", ","")&amp;IF((COUNTIFS(TableBOM[Product ID],$D$12,TableBOM[Item ID],$A40)&gt;0)*($H$12&gt;0),$C$12&amp;", ",""))-2),"")</f>
        <v/>
      </c>
      <c r="I40" s="96" t="str">
        <f ca="1">IF(LEN(IF((COUNTIFS(TableBOM[Product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",""))&gt;1,LEFT(IF((COUNTIFS(TableBOM[Product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",""),LEN(IF((COUNTIFS(TableBOM[Product ID],$D$3,TableBOM[Item ID],$A40)&gt;0)*($H$3&gt;0),$E$3&amp;", ","")&amp;IF((COUNTIFS(TableBOM[Product ID],$D$4,TableBOM[Item ID],$A40)&gt;0)*($H$4&gt;0),$E$4&amp;", ","")&amp;IF((COUNTIFS(TableBOM[Product ID],$D$5,TableBOM[Item ID],$A40)&gt;0)*($H$5&gt;0),$E$5&amp;", ","")&amp;IF((COUNTIFS(TableBOM[Product ID],$D$6,TableBOM[Item ID],$A40)&gt;0)*($H$6&gt;0),$E$6&amp;", ","")&amp;IF((COUNTIFS(TableBOM[Product ID],$D$7,TableBOM[Item ID],$A40)&gt;0)*($H$7&gt;0),$E$7&amp;", ","")&amp;IF((COUNTIFS(TableBOM[Product ID],$D$8,TableBOM[Item ID],$A40)&gt;0)*($H$8&gt;0),$E$8&amp;", ","")&amp;IF((COUNTIFS(TableBOM[Product ID],$D$9,TableBOM[Item ID],$A40)&gt;0)*($H$9&gt;0),$E$9&amp;", ","")&amp;IF((COUNTIFS(TableBOM[Product ID],$D$10,TableBOM[Item ID],$A40)&gt;0)*($H$10&gt;0),$E$10&amp;", ","")&amp;IF((COUNTIFS(TableBOM[Product ID],$D$12,TableBOM[Item ID],$A40)&gt;0)*($H$12&gt;0),$E$12&amp;", ",""))-2),"")</f>
        <v/>
      </c>
      <c r="J40" s="97" t="str">
        <f t="shared" ca="1" si="2"/>
        <v>Not needed</v>
      </c>
      <c r="K40" s="97" t="str">
        <f>IF(B40&lt;&gt;"CAP","",SUMPRODUCT((ISNUMBER(SEARCH("Cap Not Available",'FG Stock'!$H$4:$H$100)))*('FG Stock'!$I$4:$I$100=A40)*'FG Stock'!$F$4:$F$100))</f>
        <v/>
      </c>
      <c r="L40" s="97" t="str">
        <f t="shared" ca="1" si="3"/>
        <v/>
      </c>
    </row>
    <row r="41" spans="1:22" ht="15" hidden="1" customHeight="1" x14ac:dyDescent="0.25">
      <c r="A41" s="88">
        <v>4157</v>
      </c>
      <c r="B41" s="88" t="s">
        <v>169</v>
      </c>
      <c r="C41" s="88" t="s">
        <v>176</v>
      </c>
      <c r="D41" s="88" t="s">
        <v>148</v>
      </c>
      <c r="E41" s="94">
        <f ca="1">SUMPRODUCT((TableBOM[Item ID]=A41)*TableBOM[Per 1000 Units]*(1+TableBOM[Scrap %])*SUMIF($D$3:$D$12,TableBOM[Product ID],$H$3:$H$12)/1000)</f>
        <v>0</v>
      </c>
      <c r="F41" s="94">
        <f>IFERROR(INDEX(TableInventory[Store Balance],MATCH(A41,TableInventory[Item ID],0)),0)+IFERROR(INDEX(TableInventory[Work In Process],MATCH(A41,TableInventory[Item ID],0)),0)</f>
        <v>240</v>
      </c>
      <c r="G41" s="94">
        <f t="shared" ca="1" si="1"/>
        <v>240</v>
      </c>
      <c r="H41" s="95" t="str">
        <f ca="1">IF(LEN(IF((COUNTIFS(TableBOM[Product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",""))&gt;1,LEFT(IF((COUNTIFS(TableBOM[Product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",""),LEN(IF((COUNTIFS(TableBOM[Product ID],$D$3,TableBOM[Item ID],$A41)&gt;0)*($H$3&gt;0),$C$3&amp;", ","")&amp;IF((COUNTIFS(TableBOM[Product ID],$D$4,TableBOM[Item ID],$A41)&gt;0)*($H$4&gt;0),$C$4&amp;", ","")&amp;IF((COUNTIFS(TableBOM[Product ID],$D$5,TableBOM[Item ID],$A41)&gt;0)*($H$5&gt;0),$C$5&amp;", ","")&amp;IF((COUNTIFS(TableBOM[Product ID],$D$6,TableBOM[Item ID],$A41)&gt;0)*($H$6&gt;0),$C$6&amp;", ","")&amp;IF((COUNTIFS(TableBOM[Product ID],$D$7,TableBOM[Item ID],$A41)&gt;0)*($H$7&gt;0),$C$7&amp;", ","")&amp;IF((COUNTIFS(TableBOM[Product ID],$D$8,TableBOM[Item ID],$A41)&gt;0)*($H$8&gt;0),$C$8&amp;", ","")&amp;IF((COUNTIFS(TableBOM[Product ID],$D$9,TableBOM[Item ID],$A41)&gt;0)*($H$9&gt;0),$C$9&amp;", ","")&amp;IF((COUNTIFS(TableBOM[Product ID],$D$10,TableBOM[Item ID],$A41)&gt;0)*($H$10&gt;0),$C$10&amp;", ","")&amp;IF((COUNTIFS(TableBOM[Product ID],$D$12,TableBOM[Item ID],$A41)&gt;0)*($H$12&gt;0),$C$12&amp;", ",""))-2),"")</f>
        <v/>
      </c>
      <c r="I41" s="96" t="str">
        <f ca="1">IF(LEN(IF((COUNTIFS(TableBOM[Product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",""))&gt;1,LEFT(IF((COUNTIFS(TableBOM[Product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",""),LEN(IF((COUNTIFS(TableBOM[Product ID],$D$3,TableBOM[Item ID],$A41)&gt;0)*($H$3&gt;0),$E$3&amp;", ","")&amp;IF((COUNTIFS(TableBOM[Product ID],$D$4,TableBOM[Item ID],$A41)&gt;0)*($H$4&gt;0),$E$4&amp;", ","")&amp;IF((COUNTIFS(TableBOM[Product ID],$D$5,TableBOM[Item ID],$A41)&gt;0)*($H$5&gt;0),$E$5&amp;", ","")&amp;IF((COUNTIFS(TableBOM[Product ID],$D$6,TableBOM[Item ID],$A41)&gt;0)*($H$6&gt;0),$E$6&amp;", ","")&amp;IF((COUNTIFS(TableBOM[Product ID],$D$7,TableBOM[Item ID],$A41)&gt;0)*($H$7&gt;0),$E$7&amp;", ","")&amp;IF((COUNTIFS(TableBOM[Product ID],$D$8,TableBOM[Item ID],$A41)&gt;0)*($H$8&gt;0),$E$8&amp;", ","")&amp;IF((COUNTIFS(TableBOM[Product ID],$D$9,TableBOM[Item ID],$A41)&gt;0)*($H$9&gt;0),$E$9&amp;", ","")&amp;IF((COUNTIFS(TableBOM[Product ID],$D$10,TableBOM[Item ID],$A41)&gt;0)*($H$10&gt;0),$E$10&amp;", ","")&amp;IF((COUNTIFS(TableBOM[Product ID],$D$12,TableBOM[Item ID],$A41)&gt;0)*($H$12&gt;0),$E$12&amp;", ",""))-2),"")</f>
        <v/>
      </c>
      <c r="J41" s="97" t="str">
        <f t="shared" ca="1" si="2"/>
        <v>Not needed</v>
      </c>
      <c r="K41" s="97" t="str">
        <f>IF(B41&lt;&gt;"CAP","",SUMPRODUCT((ISNUMBER(SEARCH("Cap Not Available",'FG Stock'!$H$4:$H$100)))*('FG Stock'!$I$4:$I$100=A41)*'FG Stock'!$F$4:$F$100))</f>
        <v/>
      </c>
      <c r="L41" s="97" t="str">
        <f t="shared" ca="1" si="3"/>
        <v/>
      </c>
    </row>
    <row r="42" spans="1:22" ht="15" hidden="1" customHeight="1" x14ac:dyDescent="0.25">
      <c r="A42" s="88">
        <v>5895</v>
      </c>
      <c r="B42" s="88" t="s">
        <v>169</v>
      </c>
      <c r="C42" s="88" t="s">
        <v>177</v>
      </c>
      <c r="D42" s="88" t="s">
        <v>148</v>
      </c>
      <c r="E42" s="94">
        <f ca="1">SUMPRODUCT((TableBOM[Item ID]=A42)*TableBOM[Per 1000 Units]*(1+TableBOM[Scrap %])*SUMIF($D$3:$D$12,TableBOM[Product ID],$H$3:$H$12)/1000)</f>
        <v>0</v>
      </c>
      <c r="F42" s="94">
        <f>IFERROR(INDEX(TableInventory[Store Balance],MATCH(A42,TableInventory[Item ID],0)),0)+IFERROR(INDEX(TableInventory[Work In Process],MATCH(A42,TableInventory[Item ID],0)),0)</f>
        <v>50</v>
      </c>
      <c r="G42" s="94">
        <f t="shared" ca="1" si="1"/>
        <v>50</v>
      </c>
      <c r="H42" s="95" t="str">
        <f ca="1">IF(LEN(IF((COUNTIFS(TableBOM[Product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",""))&gt;1,LEFT(IF((COUNTIFS(TableBOM[Product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",""),LEN(IF((COUNTIFS(TableBOM[Product ID],$D$3,TableBOM[Item ID],$A42)&gt;0)*($H$3&gt;0),$C$3&amp;", ","")&amp;IF((COUNTIFS(TableBOM[Product ID],$D$4,TableBOM[Item ID],$A42)&gt;0)*($H$4&gt;0),$C$4&amp;", ","")&amp;IF((COUNTIFS(TableBOM[Product ID],$D$5,TableBOM[Item ID],$A42)&gt;0)*($H$5&gt;0),$C$5&amp;", ","")&amp;IF((COUNTIFS(TableBOM[Product ID],$D$6,TableBOM[Item ID],$A42)&gt;0)*($H$6&gt;0),$C$6&amp;", ","")&amp;IF((COUNTIFS(TableBOM[Product ID],$D$7,TableBOM[Item ID],$A42)&gt;0)*($H$7&gt;0),$C$7&amp;", ","")&amp;IF((COUNTIFS(TableBOM[Product ID],$D$8,TableBOM[Item ID],$A42)&gt;0)*($H$8&gt;0),$C$8&amp;", ","")&amp;IF((COUNTIFS(TableBOM[Product ID],$D$9,TableBOM[Item ID],$A42)&gt;0)*($H$9&gt;0),$C$9&amp;", ","")&amp;IF((COUNTIFS(TableBOM[Product ID],$D$10,TableBOM[Item ID],$A42)&gt;0)*($H$10&gt;0),$C$10&amp;", ","")&amp;IF((COUNTIFS(TableBOM[Product ID],$D$12,TableBOM[Item ID],$A42)&gt;0)*($H$12&gt;0),$C$12&amp;", ",""))-2),"")</f>
        <v/>
      </c>
      <c r="I42" s="96" t="str">
        <f ca="1">IF(LEN(IF((COUNTIFS(TableBOM[Product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",""))&gt;1,LEFT(IF((COUNTIFS(TableBOM[Product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",""),LEN(IF((COUNTIFS(TableBOM[Product ID],$D$3,TableBOM[Item ID],$A42)&gt;0)*($H$3&gt;0),$E$3&amp;", ","")&amp;IF((COUNTIFS(TableBOM[Product ID],$D$4,TableBOM[Item ID],$A42)&gt;0)*($H$4&gt;0),$E$4&amp;", ","")&amp;IF((COUNTIFS(TableBOM[Product ID],$D$5,TableBOM[Item ID],$A42)&gt;0)*($H$5&gt;0),$E$5&amp;", ","")&amp;IF((COUNTIFS(TableBOM[Product ID],$D$6,TableBOM[Item ID],$A42)&gt;0)*($H$6&gt;0),$E$6&amp;", ","")&amp;IF((COUNTIFS(TableBOM[Product ID],$D$7,TableBOM[Item ID],$A42)&gt;0)*($H$7&gt;0),$E$7&amp;", ","")&amp;IF((COUNTIFS(TableBOM[Product ID],$D$8,TableBOM[Item ID],$A42)&gt;0)*($H$8&gt;0),$E$8&amp;", ","")&amp;IF((COUNTIFS(TableBOM[Product ID],$D$9,TableBOM[Item ID],$A42)&gt;0)*($H$9&gt;0),$E$9&amp;", ","")&amp;IF((COUNTIFS(TableBOM[Product ID],$D$10,TableBOM[Item ID],$A42)&gt;0)*($H$10&gt;0),$E$10&amp;", ","")&amp;IF((COUNTIFS(TableBOM[Product ID],$D$12,TableBOM[Item ID],$A42)&gt;0)*($H$12&gt;0),$E$12&amp;", ",""))-2),"")</f>
        <v/>
      </c>
      <c r="J42" s="97" t="str">
        <f t="shared" ca="1" si="2"/>
        <v>Not needed</v>
      </c>
      <c r="K42" s="97" t="str">
        <f>IF(B42&lt;&gt;"CAP","",SUMPRODUCT((ISNUMBER(SEARCH("Cap Not Available",'FG Stock'!$H$4:$H$100)))*('FG Stock'!$I$4:$I$100=A42)*'FG Stock'!$F$4:$F$100))</f>
        <v/>
      </c>
      <c r="L42" s="97" t="str">
        <f t="shared" ca="1" si="3"/>
        <v/>
      </c>
      <c r="M42" s="78"/>
      <c r="N42" s="78"/>
      <c r="O42" s="78"/>
      <c r="P42" s="78"/>
      <c r="Q42" s="78"/>
      <c r="R42" s="78"/>
      <c r="S42" s="78"/>
      <c r="T42" s="78"/>
      <c r="U42" s="78"/>
      <c r="V42" s="4"/>
    </row>
    <row r="43" spans="1:22" ht="15" hidden="1" customHeight="1" x14ac:dyDescent="0.25">
      <c r="A43" s="88">
        <v>5974</v>
      </c>
      <c r="B43" s="88" t="s">
        <v>169</v>
      </c>
      <c r="C43" s="88" t="s">
        <v>178</v>
      </c>
      <c r="D43" s="88" t="s">
        <v>165</v>
      </c>
      <c r="E43" s="94">
        <f ca="1">SUMPRODUCT((TableBOM[Item ID]=A43)*TableBOM[Per 1000 Units]*(1+TableBOM[Scrap %])*SUMIF($D$3:$D$12,TableBOM[Product ID],$H$3:$H$12)/1000)</f>
        <v>0</v>
      </c>
      <c r="F43" s="94">
        <f>IFERROR(INDEX(TableInventory[Store Balance],MATCH(A43,TableInventory[Item ID],0)),0)+IFERROR(INDEX(TableInventory[Work In Process],MATCH(A43,TableInventory[Item ID],0)),0)</f>
        <v>50</v>
      </c>
      <c r="G43" s="94">
        <f t="shared" ca="1" si="1"/>
        <v>50</v>
      </c>
      <c r="H43" s="95" t="str">
        <f ca="1">IF(LEN(IF((COUNTIFS(TableBOM[Product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",""))&gt;1,LEFT(IF((COUNTIFS(TableBOM[Product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",""),LEN(IF((COUNTIFS(TableBOM[Product ID],$D$3,TableBOM[Item ID],$A43)&gt;0)*($H$3&gt;0),$C$3&amp;", ","")&amp;IF((COUNTIFS(TableBOM[Product ID],$D$4,TableBOM[Item ID],$A43)&gt;0)*($H$4&gt;0),$C$4&amp;", ","")&amp;IF((COUNTIFS(TableBOM[Product ID],$D$5,TableBOM[Item ID],$A43)&gt;0)*($H$5&gt;0),$C$5&amp;", ","")&amp;IF((COUNTIFS(TableBOM[Product ID],$D$6,TableBOM[Item ID],$A43)&gt;0)*($H$6&gt;0),$C$6&amp;", ","")&amp;IF((COUNTIFS(TableBOM[Product ID],$D$7,TableBOM[Item ID],$A43)&gt;0)*($H$7&gt;0),$C$7&amp;", ","")&amp;IF((COUNTIFS(TableBOM[Product ID],$D$8,TableBOM[Item ID],$A43)&gt;0)*($H$8&gt;0),$C$8&amp;", ","")&amp;IF((COUNTIFS(TableBOM[Product ID],$D$9,TableBOM[Item ID],$A43)&gt;0)*($H$9&gt;0),$C$9&amp;", ","")&amp;IF((COUNTIFS(TableBOM[Product ID],$D$10,TableBOM[Item ID],$A43)&gt;0)*($H$10&gt;0),$C$10&amp;", ","")&amp;IF((COUNTIFS(TableBOM[Product ID],$D$12,TableBOM[Item ID],$A43)&gt;0)*($H$12&gt;0),$C$12&amp;", ",""))-2),"")</f>
        <v/>
      </c>
      <c r="I43" s="96" t="str">
        <f ca="1">IF(LEN(IF((COUNTIFS(TableBOM[Product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",""))&gt;1,LEFT(IF((COUNTIFS(TableBOM[Product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",""),LEN(IF((COUNTIFS(TableBOM[Product ID],$D$3,TableBOM[Item ID],$A43)&gt;0)*($H$3&gt;0),$E$3&amp;", ","")&amp;IF((COUNTIFS(TableBOM[Product ID],$D$4,TableBOM[Item ID],$A43)&gt;0)*($H$4&gt;0),$E$4&amp;", ","")&amp;IF((COUNTIFS(TableBOM[Product ID],$D$5,TableBOM[Item ID],$A43)&gt;0)*($H$5&gt;0),$E$5&amp;", ","")&amp;IF((COUNTIFS(TableBOM[Product ID],$D$6,TableBOM[Item ID],$A43)&gt;0)*($H$6&gt;0),$E$6&amp;", ","")&amp;IF((COUNTIFS(TableBOM[Product ID],$D$7,TableBOM[Item ID],$A43)&gt;0)*($H$7&gt;0),$E$7&amp;", ","")&amp;IF((COUNTIFS(TableBOM[Product ID],$D$8,TableBOM[Item ID],$A43)&gt;0)*($H$8&gt;0),$E$8&amp;", ","")&amp;IF((COUNTIFS(TableBOM[Product ID],$D$9,TableBOM[Item ID],$A43)&gt;0)*($H$9&gt;0),$E$9&amp;", ","")&amp;IF((COUNTIFS(TableBOM[Product ID],$D$10,TableBOM[Item ID],$A43)&gt;0)*($H$10&gt;0),$E$10&amp;", ","")&amp;IF((COUNTIFS(TableBOM[Product ID],$D$12,TableBOM[Item ID],$A43)&gt;0)*($H$12&gt;0),$E$12&amp;", ",""))-2),"")</f>
        <v/>
      </c>
      <c r="J43" s="97" t="str">
        <f t="shared" ca="1" si="2"/>
        <v>Not needed</v>
      </c>
      <c r="K43" s="97" t="str">
        <f>IF(B43&lt;&gt;"CAP","",SUMPRODUCT((ISNUMBER(SEARCH("Cap Not Available",'FG Stock'!$H$4:$H$100)))*('FG Stock'!$I$4:$I$100=A43)*'FG Stock'!$F$4:$F$100))</f>
        <v/>
      </c>
      <c r="L43" s="97" t="str">
        <f t="shared" ca="1" si="3"/>
        <v/>
      </c>
    </row>
    <row r="44" spans="1:22" ht="15" hidden="1" customHeight="1" x14ac:dyDescent="0.25">
      <c r="A44" s="88">
        <v>177</v>
      </c>
      <c r="B44" s="88" t="s">
        <v>169</v>
      </c>
      <c r="C44" s="88" t="s">
        <v>179</v>
      </c>
      <c r="D44" s="88" t="s">
        <v>148</v>
      </c>
      <c r="E44" s="94">
        <f ca="1">SUMPRODUCT((TableBOM[Item ID]=A44)*TableBOM[Per 1000 Units]*(1+TableBOM[Scrap %])*SUMIF($D$3:$D$12,TableBOM[Product ID],$H$3:$H$12)/1000)</f>
        <v>0</v>
      </c>
      <c r="F44" s="94">
        <f>IFERROR(INDEX(TableInventory[Store Balance],MATCH(A44,TableInventory[Item ID],0)),0)+IFERROR(INDEX(TableInventory[Work In Process],MATCH(A44,TableInventory[Item ID],0)),0)</f>
        <v>450</v>
      </c>
      <c r="G44" s="94">
        <f t="shared" ca="1" si="1"/>
        <v>450</v>
      </c>
      <c r="H44" s="95" t="str">
        <f ca="1">IF(LEN(IF((COUNTIFS(TableBOM[Product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",""))&gt;1,LEFT(IF((COUNTIFS(TableBOM[Product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",""),LEN(IF((COUNTIFS(TableBOM[Product ID],$D$3,TableBOM[Item ID],$A44)&gt;0)*($H$3&gt;0),$C$3&amp;", ","")&amp;IF((COUNTIFS(TableBOM[Product ID],$D$4,TableBOM[Item ID],$A44)&gt;0)*($H$4&gt;0),$C$4&amp;", ","")&amp;IF((COUNTIFS(TableBOM[Product ID],$D$5,TableBOM[Item ID],$A44)&gt;0)*($H$5&gt;0),$C$5&amp;", ","")&amp;IF((COUNTIFS(TableBOM[Product ID],$D$6,TableBOM[Item ID],$A44)&gt;0)*($H$6&gt;0),$C$6&amp;", ","")&amp;IF((COUNTIFS(TableBOM[Product ID],$D$7,TableBOM[Item ID],$A44)&gt;0)*($H$7&gt;0),$C$7&amp;", ","")&amp;IF((COUNTIFS(TableBOM[Product ID],$D$8,TableBOM[Item ID],$A44)&gt;0)*($H$8&gt;0),$C$8&amp;", ","")&amp;IF((COUNTIFS(TableBOM[Product ID],$D$9,TableBOM[Item ID],$A44)&gt;0)*($H$9&gt;0),$C$9&amp;", ","")&amp;IF((COUNTIFS(TableBOM[Product ID],$D$10,TableBOM[Item ID],$A44)&gt;0)*($H$10&gt;0),$C$10&amp;", ","")&amp;IF((COUNTIFS(TableBOM[Product ID],$D$12,TableBOM[Item ID],$A44)&gt;0)*($H$12&gt;0),$C$12&amp;", ",""))-2),"")</f>
        <v/>
      </c>
      <c r="I44" s="96" t="str">
        <f ca="1">IF(LEN(IF((COUNTIFS(TableBOM[Product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",""))&gt;1,LEFT(IF((COUNTIFS(TableBOM[Product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",""),LEN(IF((COUNTIFS(TableBOM[Product ID],$D$3,TableBOM[Item ID],$A44)&gt;0)*($H$3&gt;0),$E$3&amp;", ","")&amp;IF((COUNTIFS(TableBOM[Product ID],$D$4,TableBOM[Item ID],$A44)&gt;0)*($H$4&gt;0),$E$4&amp;", ","")&amp;IF((COUNTIFS(TableBOM[Product ID],$D$5,TableBOM[Item ID],$A44)&gt;0)*($H$5&gt;0),$E$5&amp;", ","")&amp;IF((COUNTIFS(TableBOM[Product ID],$D$6,TableBOM[Item ID],$A44)&gt;0)*($H$6&gt;0),$E$6&amp;", ","")&amp;IF((COUNTIFS(TableBOM[Product ID],$D$7,TableBOM[Item ID],$A44)&gt;0)*($H$7&gt;0),$E$7&amp;", ","")&amp;IF((COUNTIFS(TableBOM[Product ID],$D$8,TableBOM[Item ID],$A44)&gt;0)*($H$8&gt;0),$E$8&amp;", ","")&amp;IF((COUNTIFS(TableBOM[Product ID],$D$9,TableBOM[Item ID],$A44)&gt;0)*($H$9&gt;0),$E$9&amp;", ","")&amp;IF((COUNTIFS(TableBOM[Product ID],$D$10,TableBOM[Item ID],$A44)&gt;0)*($H$10&gt;0),$E$10&amp;", ","")&amp;IF((COUNTIFS(TableBOM[Product ID],$D$12,TableBOM[Item ID],$A44)&gt;0)*($H$12&gt;0),$E$12&amp;", ",""))-2),"")</f>
        <v/>
      </c>
      <c r="J44" s="97" t="str">
        <f t="shared" ca="1" si="2"/>
        <v>Not needed</v>
      </c>
      <c r="K44" s="97" t="str">
        <f>IF(B44&lt;&gt;"CAP","",SUMPRODUCT((ISNUMBER(SEARCH("Cap Not Available",'FG Stock'!$H$4:$H$100)))*('FG Stock'!$I$4:$I$100=A44)*'FG Stock'!$F$4:$F$100))</f>
        <v/>
      </c>
      <c r="L44" s="97" t="str">
        <f t="shared" ca="1" si="3"/>
        <v/>
      </c>
    </row>
    <row r="45" spans="1:22" ht="15" hidden="1" customHeight="1" x14ac:dyDescent="0.25">
      <c r="A45" s="88">
        <v>6132</v>
      </c>
      <c r="B45" s="88" t="s">
        <v>169</v>
      </c>
      <c r="C45" s="88" t="s">
        <v>180</v>
      </c>
      <c r="D45" s="88" t="s">
        <v>148</v>
      </c>
      <c r="E45" s="94">
        <f ca="1">SUMPRODUCT((TableBOM[Item ID]=A45)*TableBOM[Per 1000 Units]*(1+TableBOM[Scrap %])*SUMIF($D$3:$D$12,TableBOM[Product ID],$H$3:$H$12)/1000)</f>
        <v>0</v>
      </c>
      <c r="F45" s="94">
        <f>IFERROR(INDEX(TableInventory[Store Balance],MATCH(A45,TableInventory[Item ID],0)),0)+IFERROR(INDEX(TableInventory[Work In Process],MATCH(A45,TableInventory[Item ID],0)),0)</f>
        <v>60</v>
      </c>
      <c r="G45" s="94">
        <f t="shared" ca="1" si="1"/>
        <v>60</v>
      </c>
      <c r="H45" s="95" t="str">
        <f ca="1">IF(LEN(IF((COUNTIFS(TableBOM[Product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",""))&gt;1,LEFT(IF((COUNTIFS(TableBOM[Product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",""),LEN(IF((COUNTIFS(TableBOM[Product ID],$D$3,TableBOM[Item ID],$A45)&gt;0)*($H$3&gt;0),$C$3&amp;", ","")&amp;IF((COUNTIFS(TableBOM[Product ID],$D$4,TableBOM[Item ID],$A45)&gt;0)*($H$4&gt;0),$C$4&amp;", ","")&amp;IF((COUNTIFS(TableBOM[Product ID],$D$5,TableBOM[Item ID],$A45)&gt;0)*($H$5&gt;0),$C$5&amp;", ","")&amp;IF((COUNTIFS(TableBOM[Product ID],$D$6,TableBOM[Item ID],$A45)&gt;0)*($H$6&gt;0),$C$6&amp;", ","")&amp;IF((COUNTIFS(TableBOM[Product ID],$D$7,TableBOM[Item ID],$A45)&gt;0)*($H$7&gt;0),$C$7&amp;", ","")&amp;IF((COUNTIFS(TableBOM[Product ID],$D$8,TableBOM[Item ID],$A45)&gt;0)*($H$8&gt;0),$C$8&amp;", ","")&amp;IF((COUNTIFS(TableBOM[Product ID],$D$9,TableBOM[Item ID],$A45)&gt;0)*($H$9&gt;0),$C$9&amp;", ","")&amp;IF((COUNTIFS(TableBOM[Product ID],$D$10,TableBOM[Item ID],$A45)&gt;0)*($H$10&gt;0),$C$10&amp;", ","")&amp;IF((COUNTIFS(TableBOM[Product ID],$D$12,TableBOM[Item ID],$A45)&gt;0)*($H$12&gt;0),$C$12&amp;", ",""))-2),"")</f>
        <v/>
      </c>
      <c r="I45" s="96" t="str">
        <f ca="1">IF(LEN(IF((COUNTIFS(TableBOM[Product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",""))&gt;1,LEFT(IF((COUNTIFS(TableBOM[Product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",""),LEN(IF((COUNTIFS(TableBOM[Product ID],$D$3,TableBOM[Item ID],$A45)&gt;0)*($H$3&gt;0),$E$3&amp;", ","")&amp;IF((COUNTIFS(TableBOM[Product ID],$D$4,TableBOM[Item ID],$A45)&gt;0)*($H$4&gt;0),$E$4&amp;", ","")&amp;IF((COUNTIFS(TableBOM[Product ID],$D$5,TableBOM[Item ID],$A45)&gt;0)*($H$5&gt;0),$E$5&amp;", ","")&amp;IF((COUNTIFS(TableBOM[Product ID],$D$6,TableBOM[Item ID],$A45)&gt;0)*($H$6&gt;0),$E$6&amp;", ","")&amp;IF((COUNTIFS(TableBOM[Product ID],$D$7,TableBOM[Item ID],$A45)&gt;0)*($H$7&gt;0),$E$7&amp;", ","")&amp;IF((COUNTIFS(TableBOM[Product ID],$D$8,TableBOM[Item ID],$A45)&gt;0)*($H$8&gt;0),$E$8&amp;", ","")&amp;IF((COUNTIFS(TableBOM[Product ID],$D$9,TableBOM[Item ID],$A45)&gt;0)*($H$9&gt;0),$E$9&amp;", ","")&amp;IF((COUNTIFS(TableBOM[Product ID],$D$10,TableBOM[Item ID],$A45)&gt;0)*($H$10&gt;0),$E$10&amp;", ","")&amp;IF((COUNTIFS(TableBOM[Product ID],$D$12,TableBOM[Item ID],$A45)&gt;0)*($H$12&gt;0),$E$12&amp;", ",""))-2),"")</f>
        <v/>
      </c>
      <c r="J45" s="97" t="str">
        <f t="shared" ca="1" si="2"/>
        <v>Not needed</v>
      </c>
      <c r="K45" s="97" t="str">
        <f>IF(B45&lt;&gt;"CAP","",SUMPRODUCT((ISNUMBER(SEARCH("Cap Not Available",'FG Stock'!$H$4:$H$100)))*('FG Stock'!$I$4:$I$100=A45)*'FG Stock'!$F$4:$F$100))</f>
        <v/>
      </c>
      <c r="L45" s="97" t="str">
        <f t="shared" ca="1" si="3"/>
        <v/>
      </c>
    </row>
    <row r="46" spans="1:22" ht="24" hidden="1" customHeight="1" x14ac:dyDescent="0.25">
      <c r="A46" s="88">
        <v>186</v>
      </c>
      <c r="B46" s="88" t="s">
        <v>181</v>
      </c>
      <c r="C46" s="88" t="s">
        <v>182</v>
      </c>
      <c r="D46" s="88" t="s">
        <v>148</v>
      </c>
      <c r="E46" s="94">
        <f ca="1">SUMPRODUCT((TableBOM[Item ID]=A46)*TableBOM[Per 1000 Units]*(1+TableBOM[Scrap %])*SUMIF($D$3:$D$12,TableBOM[Product ID],$H$3:$H$12)/1000)</f>
        <v>0</v>
      </c>
      <c r="F46" s="94">
        <f>IFERROR(INDEX(TableInventory[Store Balance],MATCH(A46,TableInventory[Item ID],0)),0)+IFERROR(INDEX(TableInventory[Work In Process],MATCH(A46,TableInventory[Item ID],0)),0)</f>
        <v>120</v>
      </c>
      <c r="G46" s="98">
        <f t="shared" ca="1" si="1"/>
        <v>120</v>
      </c>
      <c r="H46" s="95" t="str">
        <f ca="1">IF(LEN(IF((COUNTIFS(TableBOM[Product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",""))&gt;1,LEFT(IF((COUNTIFS(TableBOM[Product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",""),LEN(IF((COUNTIFS(TableBOM[Product ID],$D$3,TableBOM[Item ID],$A46)&gt;0)*($H$3&gt;0),$C$3&amp;", ","")&amp;IF((COUNTIFS(TableBOM[Product ID],$D$4,TableBOM[Item ID],$A46)&gt;0)*($H$4&gt;0),$C$4&amp;", ","")&amp;IF((COUNTIFS(TableBOM[Product ID],$D$5,TableBOM[Item ID],$A46)&gt;0)*($H$5&gt;0),$C$5&amp;", ","")&amp;IF((COUNTIFS(TableBOM[Product ID],$D$6,TableBOM[Item ID],$A46)&gt;0)*($H$6&gt;0),$C$6&amp;", ","")&amp;IF((COUNTIFS(TableBOM[Product ID],$D$7,TableBOM[Item ID],$A46)&gt;0)*($H$7&gt;0),$C$7&amp;", ","")&amp;IF((COUNTIFS(TableBOM[Product ID],$D$8,TableBOM[Item ID],$A46)&gt;0)*($H$8&gt;0),$C$8&amp;", ","")&amp;IF((COUNTIFS(TableBOM[Product ID],$D$9,TableBOM[Item ID],$A46)&gt;0)*($H$9&gt;0),$C$9&amp;", ","")&amp;IF((COUNTIFS(TableBOM[Product ID],$D$10,TableBOM[Item ID],$A46)&gt;0)*($H$10&gt;0),$C$10&amp;", ","")&amp;IF((COUNTIFS(TableBOM[Product ID],$D$12,TableBOM[Item ID],$A46)&gt;0)*($H$12&gt;0),$C$12&amp;", ",""))-2),"")</f>
        <v/>
      </c>
      <c r="I46" s="96" t="str">
        <f ca="1">IF(LEN(IF((COUNTIFS(TableBOM[Product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",""))&gt;1,LEFT(IF((COUNTIFS(TableBOM[Product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",""),LEN(IF((COUNTIFS(TableBOM[Product ID],$D$3,TableBOM[Item ID],$A46)&gt;0)*($H$3&gt;0),$E$3&amp;", ","")&amp;IF((COUNTIFS(TableBOM[Product ID],$D$4,TableBOM[Item ID],$A46)&gt;0)*($H$4&gt;0),$E$4&amp;", ","")&amp;IF((COUNTIFS(TableBOM[Product ID],$D$5,TableBOM[Item ID],$A46)&gt;0)*($H$5&gt;0),$E$5&amp;", ","")&amp;IF((COUNTIFS(TableBOM[Product ID],$D$6,TableBOM[Item ID],$A46)&gt;0)*($H$6&gt;0),$E$6&amp;", ","")&amp;IF((COUNTIFS(TableBOM[Product ID],$D$7,TableBOM[Item ID],$A46)&gt;0)*($H$7&gt;0),$E$7&amp;", ","")&amp;IF((COUNTIFS(TableBOM[Product ID],$D$8,TableBOM[Item ID],$A46)&gt;0)*($H$8&gt;0),$E$8&amp;", ","")&amp;IF((COUNTIFS(TableBOM[Product ID],$D$9,TableBOM[Item ID],$A46)&gt;0)*($H$9&gt;0),$E$9&amp;", ","")&amp;IF((COUNTIFS(TableBOM[Product ID],$D$10,TableBOM[Item ID],$A46)&gt;0)*($H$10&gt;0),$E$10&amp;", ","")&amp;IF((COUNTIFS(TableBOM[Product ID],$D$12,TableBOM[Item ID],$A46)&gt;0)*($H$12&gt;0),$E$12&amp;", ",""))-2),"")</f>
        <v/>
      </c>
      <c r="J46" s="97" t="str">
        <f t="shared" ca="1" si="2"/>
        <v>Not needed</v>
      </c>
      <c r="K46" s="97" t="str">
        <f>IF(B46&lt;&gt;"CAP","",SUMPRODUCT((ISNUMBER(SEARCH("Cap Not Available",'FG Stock'!$H$4:$H$100)))*('FG Stock'!$I$4:$I$100=A46)*'FG Stock'!$F$4:$F$100))</f>
        <v/>
      </c>
      <c r="L46" s="97" t="str">
        <f t="shared" ca="1" si="3"/>
        <v/>
      </c>
    </row>
    <row r="47" spans="1:22" ht="60" hidden="1" customHeight="1" x14ac:dyDescent="0.25">
      <c r="A47" s="88">
        <v>194</v>
      </c>
      <c r="B47" s="88" t="s">
        <v>183</v>
      </c>
      <c r="C47" s="88" t="s">
        <v>184</v>
      </c>
      <c r="D47" s="88" t="s">
        <v>148</v>
      </c>
      <c r="E47" s="94">
        <f ca="1">SUMPRODUCT((TableBOM[Item ID]=A47)*TableBOM[Per 1000 Units]*(1+TableBOM[Scrap %])*SUMIF($D$3:$D$12,TableBOM[Product ID],$H$3:$H$12)/1000)</f>
        <v>0.30734022</v>
      </c>
      <c r="F47" s="94">
        <f>IFERROR(INDEX(TableInventory[Store Balance],MATCH(A47,TableInventory[Item ID],0)),0)+IFERROR(INDEX(TableInventory[Work In Process],MATCH(A47,TableInventory[Item ID],0)),0)</f>
        <v>25.5</v>
      </c>
      <c r="G47" s="98">
        <f t="shared" ca="1" si="1"/>
        <v>25.19265978</v>
      </c>
      <c r="H47" s="95" t="str">
        <f ca="1">IF(LEN(IF((COUNTIFS(TableBOM[Product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",""))&gt;1,LEFT(IF((COUNTIFS(TableBOM[Product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",""),LEN(IF((COUNTIFS(TableBOM[Product ID],$D$3,TableBOM[Item ID],$A47)&gt;0)*($H$3&gt;0),$C$3&amp;", ","")&amp;IF((COUNTIFS(TableBOM[Product ID],$D$4,TableBOM[Item ID],$A47)&gt;0)*($H$4&gt;0),$C$4&amp;", ","")&amp;IF((COUNTIFS(TableBOM[Product ID],$D$5,TableBOM[Item ID],$A47)&gt;0)*($H$5&gt;0),$C$5&amp;", ","")&amp;IF((COUNTIFS(TableBOM[Product ID],$D$6,TableBOM[Item ID],$A47)&gt;0)*($H$6&gt;0),$C$6&amp;", ","")&amp;IF((COUNTIFS(TableBOM[Product ID],$D$7,TableBOM[Item ID],$A47)&gt;0)*($H$7&gt;0),$C$7&amp;", ","")&amp;IF((COUNTIFS(TableBOM[Product ID],$D$8,TableBOM[Item ID],$A47)&gt;0)*($H$8&gt;0),$C$8&amp;", ","")&amp;IF((COUNTIFS(TableBOM[Product ID],$D$9,TableBOM[Item ID],$A47)&gt;0)*($H$9&gt;0),$C$9&amp;", ","")&amp;IF((COUNTIFS(TableBOM[Product ID],$D$10,TableBOM[Item ID],$A47)&gt;0)*($H$10&gt;0),$C$10&amp;", ","")&amp;IF((COUNTIFS(TableBOM[Product ID],$D$12,TableBOM[Item ID],$A47)&gt;0)*($H$12&gt;0),$C$12&amp;", ",""))-2),"")</f>
        <v>ECZEMUS OINTMENT 0.03% 10G, S-45 DIA 19MM</v>
      </c>
      <c r="I47" s="96" t="str">
        <f ca="1">IF(LEN(IF((COUNTIFS(TableBOM[Product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",""))&gt;1,LEFT(IF((COUNTIFS(TableBOM[Product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",""),LEN(IF((COUNTIFS(TableBOM[Product ID],$D$3,TableBOM[Item ID],$A47)&gt;0)*($H$3&gt;0),$E$3&amp;", ","")&amp;IF((COUNTIFS(TableBOM[Product ID],$D$4,TableBOM[Item ID],$A47)&gt;0)*($H$4&gt;0),$E$4&amp;", ","")&amp;IF((COUNTIFS(TableBOM[Product ID],$D$5,TableBOM[Item ID],$A47)&gt;0)*($H$5&gt;0),$E$5&amp;", ","")&amp;IF((COUNTIFS(TableBOM[Product ID],$D$6,TableBOM[Item ID],$A47)&gt;0)*($H$6&gt;0),$E$6&amp;", ","")&amp;IF((COUNTIFS(TableBOM[Product ID],$D$7,TableBOM[Item ID],$A47)&gt;0)*($H$7&gt;0),$E$7&amp;", ","")&amp;IF((COUNTIFS(TableBOM[Product ID],$D$8,TableBOM[Item ID],$A47)&gt;0)*($H$8&gt;0),$E$8&amp;", ","")&amp;IF((COUNTIFS(TableBOM[Product ID],$D$9,TableBOM[Item ID],$A47)&gt;0)*($H$9&gt;0),$E$9&amp;", ","")&amp;IF((COUNTIFS(TableBOM[Product ID],$D$10,TableBOM[Item ID],$A47)&gt;0)*($H$10&gt;0),$E$10&amp;", ","")&amp;IF((COUNTIFS(TableBOM[Product ID],$D$12,TableBOM[Item ID],$A47)&gt;0)*($H$12&gt;0),$E$12&amp;", ",""))-2),"")</f>
        <v>6849, 6880 &amp; 6881</v>
      </c>
      <c r="J47" s="97" t="str">
        <f t="shared" ca="1" si="2"/>
        <v>OK</v>
      </c>
      <c r="K47" s="97" t="str">
        <f>IF(B47&lt;&gt;"CAP","",SUMPRODUCT((ISNUMBER(SEARCH("Cap Not Available",'FG Stock'!$H$4:$H$100)))*('FG Stock'!$I$4:$I$100=A47)*'FG Stock'!$F$4:$F$100))</f>
        <v/>
      </c>
      <c r="L47" s="97">
        <f t="shared" ca="1" si="3"/>
        <v>0</v>
      </c>
    </row>
    <row r="48" spans="1:22" ht="15" hidden="1" customHeight="1" x14ac:dyDescent="0.25">
      <c r="A48" s="88">
        <v>4165</v>
      </c>
      <c r="B48" s="88" t="s">
        <v>183</v>
      </c>
      <c r="C48" s="88" t="s">
        <v>185</v>
      </c>
      <c r="D48" s="88" t="s">
        <v>148</v>
      </c>
      <c r="E48" s="94">
        <f ca="1">SUMPRODUCT((TableBOM[Item ID]=A48)*TableBOM[Per 1000 Units]*(1+TableBOM[Scrap %])*SUMIF($D$3:$D$12,TableBOM[Product ID],$H$3:$H$12)/1000)</f>
        <v>0</v>
      </c>
      <c r="F48" s="94">
        <f>IFERROR(INDEX(TableInventory[Store Balance],MATCH(A48,TableInventory[Item ID],0)),0)+IFERROR(INDEX(TableInventory[Work In Process],MATCH(A48,TableInventory[Item ID],0)),0)</f>
        <v>0</v>
      </c>
      <c r="G48" s="94">
        <f t="shared" ref="G48:G79" ca="1" si="4">F48-E48</f>
        <v>0</v>
      </c>
      <c r="H48" s="95" t="str">
        <f ca="1">IF(LEN(IF((COUNTIFS(TableBOM[Product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",""))&gt;1,LEFT(IF((COUNTIFS(TableBOM[Product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",""),LEN(IF((COUNTIFS(TableBOM[Product ID],$D$3,TableBOM[Item ID],$A48)&gt;0)*($H$3&gt;0),$C$3&amp;", ","")&amp;IF((COUNTIFS(TableBOM[Product ID],$D$4,TableBOM[Item ID],$A48)&gt;0)*($H$4&gt;0),$C$4&amp;", ","")&amp;IF((COUNTIFS(TableBOM[Product ID],$D$5,TableBOM[Item ID],$A48)&gt;0)*($H$5&gt;0),$C$5&amp;", ","")&amp;IF((COUNTIFS(TableBOM[Product ID],$D$6,TableBOM[Item ID],$A48)&gt;0)*($H$6&gt;0),$C$6&amp;", ","")&amp;IF((COUNTIFS(TableBOM[Product ID],$D$7,TableBOM[Item ID],$A48)&gt;0)*($H$7&gt;0),$C$7&amp;", ","")&amp;IF((COUNTIFS(TableBOM[Product ID],$D$8,TableBOM[Item ID],$A48)&gt;0)*($H$8&gt;0),$C$8&amp;", ","")&amp;IF((COUNTIFS(TableBOM[Product ID],$D$9,TableBOM[Item ID],$A48)&gt;0)*($H$9&gt;0),$C$9&amp;", ","")&amp;IF((COUNTIFS(TableBOM[Product ID],$D$10,TableBOM[Item ID],$A48)&gt;0)*($H$10&gt;0),$C$10&amp;", ","")&amp;IF((COUNTIFS(TableBOM[Product ID],$D$12,TableBOM[Item ID],$A48)&gt;0)*($H$12&gt;0),$C$12&amp;", ",""))-2),"")</f>
        <v/>
      </c>
      <c r="I48" s="96" t="str">
        <f ca="1">IF(LEN(IF((COUNTIFS(TableBOM[Product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",""))&gt;1,LEFT(IF((COUNTIFS(TableBOM[Product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",""),LEN(IF((COUNTIFS(TableBOM[Product ID],$D$3,TableBOM[Item ID],$A48)&gt;0)*($H$3&gt;0),$E$3&amp;", ","")&amp;IF((COUNTIFS(TableBOM[Product ID],$D$4,TableBOM[Item ID],$A48)&gt;0)*($H$4&gt;0),$E$4&amp;", ","")&amp;IF((COUNTIFS(TableBOM[Product ID],$D$5,TableBOM[Item ID],$A48)&gt;0)*($H$5&gt;0),$E$5&amp;", ","")&amp;IF((COUNTIFS(TableBOM[Product ID],$D$6,TableBOM[Item ID],$A48)&gt;0)*($H$6&gt;0),$E$6&amp;", ","")&amp;IF((COUNTIFS(TableBOM[Product ID],$D$7,TableBOM[Item ID],$A48)&gt;0)*($H$7&gt;0),$E$7&amp;", ","")&amp;IF((COUNTIFS(TableBOM[Product ID],$D$8,TableBOM[Item ID],$A48)&gt;0)*($H$8&gt;0),$E$8&amp;", ","")&amp;IF((COUNTIFS(TableBOM[Product ID],$D$9,TableBOM[Item ID],$A48)&gt;0)*($H$9&gt;0),$E$9&amp;", ","")&amp;IF((COUNTIFS(TableBOM[Product ID],$D$10,TableBOM[Item ID],$A48)&gt;0)*($H$10&gt;0),$E$10&amp;", ","")&amp;IF((COUNTIFS(TableBOM[Product ID],$D$12,TableBOM[Item ID],$A48)&gt;0)*($H$12&gt;0),$E$12&amp;", ",""))-2),"")</f>
        <v/>
      </c>
      <c r="J48" s="97" t="str">
        <f t="shared" ref="J48:J79" ca="1" si="5">IF(E48=0,"Not needed",IF(G48&lt;0,"SHORTAGE",IF(G48&lt;F48*0.1,"LOW","OK")))</f>
        <v>Not needed</v>
      </c>
      <c r="K48" s="97" t="str">
        <f>IF(B48&lt;&gt;"CAP","",SUMPRODUCT((ISNUMBER(SEARCH("Cap Not Available",'FG Stock'!$H$4:$H$100)))*('FG Stock'!$I$4:$I$100=A48)*'FG Stock'!$F$4:$F$100))</f>
        <v/>
      </c>
      <c r="L48" s="97" t="str">
        <f t="shared" ref="L48:L79" ca="1" si="6">IF(E48=0,"",MAX(0,E48+IFERROR(K48*1,0)-F48))</f>
        <v/>
      </c>
      <c r="M48" s="78"/>
      <c r="N48" s="78"/>
      <c r="O48" s="78"/>
      <c r="P48" s="78"/>
      <c r="Q48" s="78"/>
      <c r="R48" s="78"/>
      <c r="S48" s="78"/>
      <c r="T48" s="78"/>
      <c r="U48" s="78"/>
      <c r="V48" s="4"/>
    </row>
    <row r="49" spans="1:22" ht="24" customHeight="1" x14ac:dyDescent="0.25">
      <c r="A49" s="101">
        <v>69</v>
      </c>
      <c r="B49" s="101" t="s">
        <v>186</v>
      </c>
      <c r="C49" s="101" t="s">
        <v>187</v>
      </c>
      <c r="D49" s="101" t="s">
        <v>188</v>
      </c>
      <c r="E49" s="102">
        <f ca="1">SUMPRODUCT((TableBOM[Item ID]=A49)*TableBOM[Per 1000 Units]*(1+TableBOM[Scrap %])*SUMIF($D$3:$D$12,TableBOM[Product ID],$H$3:$H$12)/1000)</f>
        <v>25500</v>
      </c>
      <c r="F49" s="102">
        <f>IFERROR(INDEX(TableInventory[Store Balance],MATCH(A49,TableInventory[Item ID],0)),0)+IFERROR(INDEX(TableInventory[Work In Process],MATCH(A49,TableInventory[Item ID],0)),0)</f>
        <v>0</v>
      </c>
      <c r="G49" s="103">
        <f t="shared" ca="1" si="4"/>
        <v>-25500</v>
      </c>
      <c r="H49" s="104" t="str">
        <f ca="1">IF(LEN(IF((COUNTIFS(TableBOM[Product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",""))&gt;1,LEFT(IF((COUNTIFS(TableBOM[Product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",""),LEN(IF((COUNTIFS(TableBOM[Product ID],$D$3,TableBOM[Item ID],$A49)&gt;0)*($H$3&gt;0),$C$3&amp;", ","")&amp;IF((COUNTIFS(TableBOM[Product ID],$D$4,TableBOM[Item ID],$A49)&gt;0)*($H$4&gt;0),$C$4&amp;", ","")&amp;IF((COUNTIFS(TableBOM[Product ID],$D$5,TableBOM[Item ID],$A49)&gt;0)*($H$5&gt;0),$C$5&amp;", ","")&amp;IF((COUNTIFS(TableBOM[Product ID],$D$6,TableBOM[Item ID],$A49)&gt;0)*($H$6&gt;0),$C$6&amp;", ","")&amp;IF((COUNTIFS(TableBOM[Product ID],$D$7,TableBOM[Item ID],$A49)&gt;0)*($H$7&gt;0),$C$7&amp;", ","")&amp;IF((COUNTIFS(TableBOM[Product ID],$D$8,TableBOM[Item ID],$A49)&gt;0)*($H$8&gt;0),$C$8&amp;", ","")&amp;IF((COUNTIFS(TableBOM[Product ID],$D$9,TableBOM[Item ID],$A49)&gt;0)*($H$9&gt;0),$C$9&amp;", ","")&amp;IF((COUNTIFS(TableBOM[Product ID],$D$10,TableBOM[Item ID],$A49)&gt;0)*($H$10&gt;0),$C$10&amp;", ","")&amp;IF((COUNTIFS(TableBOM[Product ID],$D$12,TableBOM[Item ID],$A49)&gt;0)*($H$12&gt;0),$C$12&amp;", ",""))-2),"")</f>
        <v>ECZEMUS OINTMENT 0.03% 10G</v>
      </c>
      <c r="I49" s="105" t="str">
        <f ca="1">IF(LEN(IF((COUNTIFS(TableBOM[Product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",""))&gt;1,LEFT(IF((COUNTIFS(TableBOM[Product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",""),LEN(IF((COUNTIFS(TableBOM[Product ID],$D$3,TableBOM[Item ID],$A49)&gt;0)*($H$3&gt;0),$E$3&amp;", ","")&amp;IF((COUNTIFS(TableBOM[Product ID],$D$4,TableBOM[Item ID],$A49)&gt;0)*($H$4&gt;0),$E$4&amp;", ","")&amp;IF((COUNTIFS(TableBOM[Product ID],$D$5,TableBOM[Item ID],$A49)&gt;0)*($H$5&gt;0),$E$5&amp;", ","")&amp;IF((COUNTIFS(TableBOM[Product ID],$D$6,TableBOM[Item ID],$A49)&gt;0)*($H$6&gt;0),$E$6&amp;", ","")&amp;IF((COUNTIFS(TableBOM[Product ID],$D$7,TableBOM[Item ID],$A49)&gt;0)*($H$7&gt;0),$E$7&amp;", ","")&amp;IF((COUNTIFS(TableBOM[Product ID],$D$8,TableBOM[Item ID],$A49)&gt;0)*($H$8&gt;0),$E$8&amp;", ","")&amp;IF((COUNTIFS(TableBOM[Product ID],$D$9,TableBOM[Item ID],$A49)&gt;0)*($H$9&gt;0),$E$9&amp;", ","")&amp;IF((COUNTIFS(TableBOM[Product ID],$D$10,TableBOM[Item ID],$A49)&gt;0)*($H$10&gt;0),$E$10&amp;", ","")&amp;IF((COUNTIFS(TableBOM[Product ID],$D$12,TableBOM[Item ID],$A49)&gt;0)*($H$12&gt;0),$E$12&amp;", ",""))-2),"")</f>
        <v>6849</v>
      </c>
      <c r="J49" s="106" t="s">
        <v>876</v>
      </c>
      <c r="K49" s="106">
        <f>IF(B49&lt;&gt;"CAP","",SUMPRODUCT((ISNUMBER(SEARCH("Cap Not Available",'FG Stock'!$H$4:$H$100)))*('FG Stock'!$I$4:$I$100=A49)*'FG Stock'!$F$4:$F$100))</f>
        <v>0</v>
      </c>
      <c r="L49" s="106">
        <f t="shared" ca="1" si="6"/>
        <v>25500</v>
      </c>
      <c r="M49" s="78"/>
      <c r="N49" s="78"/>
      <c r="O49" s="78"/>
      <c r="P49" s="78"/>
      <c r="Q49" s="78"/>
      <c r="R49" s="78"/>
      <c r="S49" s="78"/>
      <c r="T49" s="78"/>
      <c r="U49" s="78"/>
      <c r="V49" s="4"/>
    </row>
    <row r="50" spans="1:22" ht="15" hidden="1" customHeight="1" x14ac:dyDescent="0.25">
      <c r="A50" s="107">
        <v>99</v>
      </c>
      <c r="B50" s="107" t="s">
        <v>186</v>
      </c>
      <c r="C50" s="107" t="s">
        <v>189</v>
      </c>
      <c r="D50" s="107" t="s">
        <v>188</v>
      </c>
      <c r="E50" s="108">
        <f ca="1">SUMPRODUCT((TableBOM[Item ID]=A50)*TableBOM[Per 1000 Units]*(1+TableBOM[Scrap %])*SUMIF($D$3:$D$12,TableBOM[Product ID],$H$3:$H$12)/1000)</f>
        <v>0</v>
      </c>
      <c r="F50" s="108">
        <f>IFERROR(INDEX(TableInventory[Store Balance],MATCH(A50,TableInventory[Item ID],0)),0)+IFERROR(INDEX(TableInventory[Work In Process],MATCH(A50,TableInventory[Item ID],0)),0)</f>
        <v>10000</v>
      </c>
      <c r="G50" s="108">
        <f t="shared" ca="1" si="4"/>
        <v>10000</v>
      </c>
      <c r="H50" s="109" t="str">
        <f ca="1">IF(LEN(IF((COUNTIFS(TableBOM[Product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",""))&gt;1,LEFT(IF((COUNTIFS(TableBOM[Product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",""),LEN(IF((COUNTIFS(TableBOM[Product ID],$D$3,TableBOM[Item ID],$A50)&gt;0)*($H$3&gt;0),$C$3&amp;", ","")&amp;IF((COUNTIFS(TableBOM[Product ID],$D$4,TableBOM[Item ID],$A50)&gt;0)*($H$4&gt;0),$C$4&amp;", ","")&amp;IF((COUNTIFS(TableBOM[Product ID],$D$5,TableBOM[Item ID],$A50)&gt;0)*($H$5&gt;0),$C$5&amp;", ","")&amp;IF((COUNTIFS(TableBOM[Product ID],$D$6,TableBOM[Item ID],$A50)&gt;0)*($H$6&gt;0),$C$6&amp;", ","")&amp;IF((COUNTIFS(TableBOM[Product ID],$D$7,TableBOM[Item ID],$A50)&gt;0)*($H$7&gt;0),$C$7&amp;", ","")&amp;IF((COUNTIFS(TableBOM[Product ID],$D$8,TableBOM[Item ID],$A50)&gt;0)*($H$8&gt;0),$C$8&amp;", ","")&amp;IF((COUNTIFS(TableBOM[Product ID],$D$9,TableBOM[Item ID],$A50)&gt;0)*($H$9&gt;0),$C$9&amp;", ","")&amp;IF((COUNTIFS(TableBOM[Product ID],$D$10,TableBOM[Item ID],$A50)&gt;0)*($H$10&gt;0),$C$10&amp;", ","")&amp;IF((COUNTIFS(TableBOM[Product ID],$D$12,TableBOM[Item ID],$A50)&gt;0)*($H$12&gt;0),$C$12&amp;", ",""))-2),"")</f>
        <v/>
      </c>
      <c r="I50" s="110" t="str">
        <f ca="1">IF(LEN(IF((COUNTIFS(TableBOM[Product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",""))&gt;1,LEFT(IF((COUNTIFS(TableBOM[Product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",""),LEN(IF((COUNTIFS(TableBOM[Product ID],$D$3,TableBOM[Item ID],$A50)&gt;0)*($H$3&gt;0),$E$3&amp;", ","")&amp;IF((COUNTIFS(TableBOM[Product ID],$D$4,TableBOM[Item ID],$A50)&gt;0)*($H$4&gt;0),$E$4&amp;", ","")&amp;IF((COUNTIFS(TableBOM[Product ID],$D$5,TableBOM[Item ID],$A50)&gt;0)*($H$5&gt;0),$E$5&amp;", ","")&amp;IF((COUNTIFS(TableBOM[Product ID],$D$6,TableBOM[Item ID],$A50)&gt;0)*($H$6&gt;0),$E$6&amp;", ","")&amp;IF((COUNTIFS(TableBOM[Product ID],$D$7,TableBOM[Item ID],$A50)&gt;0)*($H$7&gt;0),$E$7&amp;", ","")&amp;IF((COUNTIFS(TableBOM[Product ID],$D$8,TableBOM[Item ID],$A50)&gt;0)*($H$8&gt;0),$E$8&amp;", ","")&amp;IF((COUNTIFS(TableBOM[Product ID],$D$9,TableBOM[Item ID],$A50)&gt;0)*($H$9&gt;0),$E$9&amp;", ","")&amp;IF((COUNTIFS(TableBOM[Product ID],$D$10,TableBOM[Item ID],$A50)&gt;0)*($H$10&gt;0),$E$10&amp;", ","")&amp;IF((COUNTIFS(TableBOM[Product ID],$D$12,TableBOM[Item ID],$A50)&gt;0)*($H$12&gt;0),$E$12&amp;", ",""))-2),"")</f>
        <v/>
      </c>
      <c r="J50" s="111" t="str">
        <f t="shared" ca="1" si="5"/>
        <v>Not needed</v>
      </c>
      <c r="K50" s="111">
        <f>IF(B50&lt;&gt;"CAP","",SUMPRODUCT((ISNUMBER(SEARCH("Cap Not Available",'FG Stock'!$H$4:$H$100)))*('FG Stock'!$I$4:$I$100=A50)*'FG Stock'!$F$4:$F$100))</f>
        <v>0</v>
      </c>
      <c r="L50" s="111" t="str">
        <f t="shared" ca="1" si="6"/>
        <v/>
      </c>
      <c r="M50" s="78"/>
      <c r="N50" s="78"/>
      <c r="O50" s="78"/>
      <c r="P50" s="78"/>
      <c r="Q50" s="78"/>
      <c r="R50" s="78"/>
      <c r="S50" s="78"/>
      <c r="T50" s="78"/>
      <c r="U50" s="78"/>
      <c r="V50" s="4"/>
    </row>
    <row r="51" spans="1:22" ht="15" hidden="1" customHeight="1" x14ac:dyDescent="0.25">
      <c r="A51" s="112">
        <v>72</v>
      </c>
      <c r="B51" s="112" t="s">
        <v>186</v>
      </c>
      <c r="C51" s="112" t="s">
        <v>190</v>
      </c>
      <c r="D51" s="112" t="s">
        <v>188</v>
      </c>
      <c r="E51" s="113">
        <f ca="1">SUMPRODUCT((TableBOM[Item ID]=A51)*TableBOM[Per 1000 Units]*(1+TableBOM[Scrap %])*SUMIF($D$3:$D$12,TableBOM[Product ID],$H$3:$H$12)/1000)</f>
        <v>0</v>
      </c>
      <c r="F51" s="113">
        <f>IFERROR(INDEX(TableInventory[Store Balance],MATCH(A51,TableInventory[Item ID],0)),0)+IFERROR(INDEX(TableInventory[Work In Process],MATCH(A51,TableInventory[Item ID],0)),0)</f>
        <v>23741</v>
      </c>
      <c r="G51" s="113">
        <f t="shared" ca="1" si="4"/>
        <v>23741</v>
      </c>
      <c r="H51" s="114" t="str">
        <f ca="1">IF(LEN(IF((COUNTIFS(TableBOM[Product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",""))&gt;1,LEFT(IF((COUNTIFS(TableBOM[Product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",""),LEN(IF((COUNTIFS(TableBOM[Product ID],$D$3,TableBOM[Item ID],$A51)&gt;0)*($H$3&gt;0),$C$3&amp;", ","")&amp;IF((COUNTIFS(TableBOM[Product ID],$D$4,TableBOM[Item ID],$A51)&gt;0)*($H$4&gt;0),$C$4&amp;", ","")&amp;IF((COUNTIFS(TableBOM[Product ID],$D$5,TableBOM[Item ID],$A51)&gt;0)*($H$5&gt;0),$C$5&amp;", ","")&amp;IF((COUNTIFS(TableBOM[Product ID],$D$6,TableBOM[Item ID],$A51)&gt;0)*($H$6&gt;0),$C$6&amp;", ","")&amp;IF((COUNTIFS(TableBOM[Product ID],$D$7,TableBOM[Item ID],$A51)&gt;0)*($H$7&gt;0),$C$7&amp;", ","")&amp;IF((COUNTIFS(TableBOM[Product ID],$D$8,TableBOM[Item ID],$A51)&gt;0)*($H$8&gt;0),$C$8&amp;", ","")&amp;IF((COUNTIFS(TableBOM[Product ID],$D$9,TableBOM[Item ID],$A51)&gt;0)*($H$9&gt;0),$C$9&amp;", ","")&amp;IF((COUNTIFS(TableBOM[Product ID],$D$10,TableBOM[Item ID],$A51)&gt;0)*($H$10&gt;0),$C$10&amp;", ","")&amp;IF((COUNTIFS(TableBOM[Product ID],$D$12,TableBOM[Item ID],$A51)&gt;0)*($H$12&gt;0),$C$12&amp;", ",""))-2),"")</f>
        <v/>
      </c>
      <c r="I51" s="115" t="str">
        <f ca="1">IF(LEN(IF((COUNTIFS(TableBOM[Product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",""))&gt;1,LEFT(IF((COUNTIFS(TableBOM[Product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",""),LEN(IF((COUNTIFS(TableBOM[Product ID],$D$3,TableBOM[Item ID],$A51)&gt;0)*($H$3&gt;0),$E$3&amp;", ","")&amp;IF((COUNTIFS(TableBOM[Product ID],$D$4,TableBOM[Item ID],$A51)&gt;0)*($H$4&gt;0),$E$4&amp;", ","")&amp;IF((COUNTIFS(TableBOM[Product ID],$D$5,TableBOM[Item ID],$A51)&gt;0)*($H$5&gt;0),$E$5&amp;", ","")&amp;IF((COUNTIFS(TableBOM[Product ID],$D$6,TableBOM[Item ID],$A51)&gt;0)*($H$6&gt;0),$E$6&amp;", ","")&amp;IF((COUNTIFS(TableBOM[Product ID],$D$7,TableBOM[Item ID],$A51)&gt;0)*($H$7&gt;0),$E$7&amp;", ","")&amp;IF((COUNTIFS(TableBOM[Product ID],$D$8,TableBOM[Item ID],$A51)&gt;0)*($H$8&gt;0),$E$8&amp;", ","")&amp;IF((COUNTIFS(TableBOM[Product ID],$D$9,TableBOM[Item ID],$A51)&gt;0)*($H$9&gt;0),$E$9&amp;", ","")&amp;IF((COUNTIFS(TableBOM[Product ID],$D$10,TableBOM[Item ID],$A51)&gt;0)*($H$10&gt;0),$E$10&amp;", ","")&amp;IF((COUNTIFS(TableBOM[Product ID],$D$12,TableBOM[Item ID],$A51)&gt;0)*($H$12&gt;0),$E$12&amp;", ",""))-2),"")</f>
        <v/>
      </c>
      <c r="J51" s="116" t="str">
        <f t="shared" ca="1" si="5"/>
        <v>Not needed</v>
      </c>
      <c r="K51" s="116">
        <f>IF(B51&lt;&gt;"CAP","",SUMPRODUCT((ISNUMBER(SEARCH("Cap Not Available",'FG Stock'!$H$4:$H$100)))*('FG Stock'!$I$4:$I$100=A51)*'FG Stock'!$F$4:$F$100))</f>
        <v>0</v>
      </c>
      <c r="L51" s="116" t="str">
        <f t="shared" ca="1" si="6"/>
        <v/>
      </c>
      <c r="M51" s="78"/>
      <c r="N51" s="78"/>
      <c r="O51" s="78"/>
      <c r="P51" s="78"/>
      <c r="Q51" s="78"/>
      <c r="R51" s="78"/>
      <c r="S51" s="78"/>
      <c r="T51" s="78"/>
      <c r="U51" s="78"/>
      <c r="V51" s="4"/>
    </row>
    <row r="52" spans="1:22" ht="15" hidden="1" customHeight="1" x14ac:dyDescent="0.25">
      <c r="A52" s="88">
        <v>79</v>
      </c>
      <c r="B52" s="88" t="s">
        <v>186</v>
      </c>
      <c r="C52" s="88" t="s">
        <v>191</v>
      </c>
      <c r="D52" s="88" t="s">
        <v>188</v>
      </c>
      <c r="E52" s="94">
        <f ca="1">SUMPRODUCT((TableBOM[Item ID]=A52)*TableBOM[Per 1000 Units]*(1+TableBOM[Scrap %])*SUMIF($D$3:$D$12,TableBOM[Product ID],$H$3:$H$12)/1000)</f>
        <v>0</v>
      </c>
      <c r="F52" s="94">
        <f>IFERROR(INDEX(TableInventory[Store Balance],MATCH(A52,TableInventory[Item ID],0)),0)+IFERROR(INDEX(TableInventory[Work In Process],MATCH(A52,TableInventory[Item ID],0)),0)</f>
        <v>83600</v>
      </c>
      <c r="G52" s="94">
        <f t="shared" ca="1" si="4"/>
        <v>83600</v>
      </c>
      <c r="H52" s="95" t="str">
        <f ca="1">IF(LEN(IF((COUNTIFS(TableBOM[Product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",""))&gt;1,LEFT(IF((COUNTIFS(TableBOM[Product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",""),LEN(IF((COUNTIFS(TableBOM[Product ID],$D$3,TableBOM[Item ID],$A52)&gt;0)*($H$3&gt;0),$C$3&amp;", ","")&amp;IF((COUNTIFS(TableBOM[Product ID],$D$4,TableBOM[Item ID],$A52)&gt;0)*($H$4&gt;0),$C$4&amp;", ","")&amp;IF((COUNTIFS(TableBOM[Product ID],$D$5,TableBOM[Item ID],$A52)&gt;0)*($H$5&gt;0),$C$5&amp;", ","")&amp;IF((COUNTIFS(TableBOM[Product ID],$D$6,TableBOM[Item ID],$A52)&gt;0)*($H$6&gt;0),$C$6&amp;", ","")&amp;IF((COUNTIFS(TableBOM[Product ID],$D$7,TableBOM[Item ID],$A52)&gt;0)*($H$7&gt;0),$C$7&amp;", ","")&amp;IF((COUNTIFS(TableBOM[Product ID],$D$8,TableBOM[Item ID],$A52)&gt;0)*($H$8&gt;0),$C$8&amp;", ","")&amp;IF((COUNTIFS(TableBOM[Product ID],$D$9,TableBOM[Item ID],$A52)&gt;0)*($H$9&gt;0),$C$9&amp;", ","")&amp;IF((COUNTIFS(TableBOM[Product ID],$D$10,TableBOM[Item ID],$A52)&gt;0)*($H$10&gt;0),$C$10&amp;", ","")&amp;IF((COUNTIFS(TableBOM[Product ID],$D$12,TableBOM[Item ID],$A52)&gt;0)*($H$12&gt;0),$C$12&amp;", ",""))-2),"")</f>
        <v/>
      </c>
      <c r="I52" s="96" t="str">
        <f ca="1">IF(LEN(IF((COUNTIFS(TableBOM[Product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",""))&gt;1,LEFT(IF((COUNTIFS(TableBOM[Product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",""),LEN(IF((COUNTIFS(TableBOM[Product ID],$D$3,TableBOM[Item ID],$A52)&gt;0)*($H$3&gt;0),$E$3&amp;", ","")&amp;IF((COUNTIFS(TableBOM[Product ID],$D$4,TableBOM[Item ID],$A52)&gt;0)*($H$4&gt;0),$E$4&amp;", ","")&amp;IF((COUNTIFS(TableBOM[Product ID],$D$5,TableBOM[Item ID],$A52)&gt;0)*($H$5&gt;0),$E$5&amp;", ","")&amp;IF((COUNTIFS(TableBOM[Product ID],$D$6,TableBOM[Item ID],$A52)&gt;0)*($H$6&gt;0),$E$6&amp;", ","")&amp;IF((COUNTIFS(TableBOM[Product ID],$D$7,TableBOM[Item ID],$A52)&gt;0)*($H$7&gt;0),$E$7&amp;", ","")&amp;IF((COUNTIFS(TableBOM[Product ID],$D$8,TableBOM[Item ID],$A52)&gt;0)*($H$8&gt;0),$E$8&amp;", ","")&amp;IF((COUNTIFS(TableBOM[Product ID],$D$9,TableBOM[Item ID],$A52)&gt;0)*($H$9&gt;0),$E$9&amp;", ","")&amp;IF((COUNTIFS(TableBOM[Product ID],$D$10,TableBOM[Item ID],$A52)&gt;0)*($H$10&gt;0),$E$10&amp;", ","")&amp;IF((COUNTIFS(TableBOM[Product ID],$D$12,TableBOM[Item ID],$A52)&gt;0)*($H$12&gt;0),$E$12&amp;", ",""))-2),"")</f>
        <v/>
      </c>
      <c r="J52" s="97" t="str">
        <f t="shared" ca="1" si="5"/>
        <v>Not needed</v>
      </c>
      <c r="K52" s="97">
        <f>IF(B52&lt;&gt;"CAP","",SUMPRODUCT((ISNUMBER(SEARCH("Cap Not Available",'FG Stock'!$H$4:$H$100)))*('FG Stock'!$I$4:$I$100=A52)*'FG Stock'!$F$4:$F$100))</f>
        <v>0</v>
      </c>
      <c r="L52" s="97" t="str">
        <f t="shared" ca="1" si="6"/>
        <v/>
      </c>
      <c r="M52" s="78"/>
      <c r="N52" s="78"/>
      <c r="O52" s="78"/>
      <c r="P52" s="78"/>
      <c r="Q52" s="78"/>
      <c r="R52" s="78"/>
      <c r="S52" s="78"/>
      <c r="T52" s="78"/>
      <c r="U52" s="78"/>
      <c r="V52" s="4"/>
    </row>
    <row r="53" spans="1:22" ht="15" customHeight="1" x14ac:dyDescent="0.25">
      <c r="A53" s="88">
        <v>80</v>
      </c>
      <c r="B53" s="88" t="s">
        <v>186</v>
      </c>
      <c r="C53" s="88" t="s">
        <v>192</v>
      </c>
      <c r="D53" s="88" t="s">
        <v>188</v>
      </c>
      <c r="E53" s="94">
        <f ca="1">SUMPRODUCT((TableBOM[Item ID]=A53)*TableBOM[Per 1000 Units]*(1+TableBOM[Scrap %])*SUMIF($D$3:$D$12,TableBOM[Product ID],$H$3:$H$12)/1000)</f>
        <v>11976.8</v>
      </c>
      <c r="F53" s="94">
        <f>IFERROR(INDEX(TableInventory[Store Balance],MATCH(A53,TableInventory[Item ID],0)),0)+IFERROR(INDEX(TableInventory[Work In Process],MATCH(A53,TableInventory[Item ID],0)),0)</f>
        <v>100000</v>
      </c>
      <c r="G53" s="98">
        <f t="shared" ca="1" si="4"/>
        <v>88023.2</v>
      </c>
      <c r="H53" s="95" t="str">
        <f ca="1">IF(LEN(IF((COUNTIFS(TableBOM[Product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",""))&gt;1,LEFT(IF((COUNTIFS(TableBOM[Product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",""),LEN(IF((COUNTIFS(TableBOM[Product ID],$D$3,TableBOM[Item ID],$A53)&gt;0)*($H$3&gt;0),$C$3&amp;", ","")&amp;IF((COUNTIFS(TableBOM[Product ID],$D$4,TableBOM[Item ID],$A53)&gt;0)*($H$4&gt;0),$C$4&amp;", ","")&amp;IF((COUNTIFS(TableBOM[Product ID],$D$5,TableBOM[Item ID],$A53)&gt;0)*($H$5&gt;0),$C$5&amp;", ","")&amp;IF((COUNTIFS(TableBOM[Product ID],$D$6,TableBOM[Item ID],$A53)&gt;0)*($H$6&gt;0),$C$6&amp;", ","")&amp;IF((COUNTIFS(TableBOM[Product ID],$D$7,TableBOM[Item ID],$A53)&gt;0)*($H$7&gt;0),$C$7&amp;", ","")&amp;IF((COUNTIFS(TableBOM[Product ID],$D$8,TableBOM[Item ID],$A53)&gt;0)*($H$8&gt;0),$C$8&amp;", ","")&amp;IF((COUNTIFS(TableBOM[Product ID],$D$9,TableBOM[Item ID],$A53)&gt;0)*($H$9&gt;0),$C$9&amp;", ","")&amp;IF((COUNTIFS(TableBOM[Product ID],$D$10,TableBOM[Item ID],$A53)&gt;0)*($H$10&gt;0),$C$10&amp;", ","")&amp;IF((COUNTIFS(TableBOM[Product ID],$D$12,TableBOM[Item ID],$A53)&gt;0)*($H$12&gt;0),$C$12&amp;", ",""))-2),"")</f>
        <v>S-45 DIA 19MM</v>
      </c>
      <c r="I53" s="96" t="str">
        <f ca="1">IF(LEN(IF((COUNTIFS(TableBOM[Product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",""))&gt;1,LEFT(IF((COUNTIFS(TableBOM[Product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",""),LEN(IF((COUNTIFS(TableBOM[Product ID],$D$3,TableBOM[Item ID],$A53)&gt;0)*($H$3&gt;0),$E$3&amp;", ","")&amp;IF((COUNTIFS(TableBOM[Product ID],$D$4,TableBOM[Item ID],$A53)&gt;0)*($H$4&gt;0),$E$4&amp;", ","")&amp;IF((COUNTIFS(TableBOM[Product ID],$D$5,TableBOM[Item ID],$A53)&gt;0)*($H$5&gt;0),$E$5&amp;", ","")&amp;IF((COUNTIFS(TableBOM[Product ID],$D$6,TableBOM[Item ID],$A53)&gt;0)*($H$6&gt;0),$E$6&amp;", ","")&amp;IF((COUNTIFS(TableBOM[Product ID],$D$7,TableBOM[Item ID],$A53)&gt;0)*($H$7&gt;0),$E$7&amp;", ","")&amp;IF((COUNTIFS(TableBOM[Product ID],$D$8,TableBOM[Item ID],$A53)&gt;0)*($H$8&gt;0),$E$8&amp;", ","")&amp;IF((COUNTIFS(TableBOM[Product ID],$D$9,TableBOM[Item ID],$A53)&gt;0)*($H$9&gt;0),$E$9&amp;", ","")&amp;IF((COUNTIFS(TableBOM[Product ID],$D$10,TableBOM[Item ID],$A53)&gt;0)*($H$10&gt;0),$E$10&amp;", ","")&amp;IF((COUNTIFS(TableBOM[Product ID],$D$12,TableBOM[Item ID],$A53)&gt;0)*($H$12&gt;0),$E$12&amp;", ",""))-2),"")</f>
        <v>6880 &amp; 6881</v>
      </c>
      <c r="J53" s="97" t="str">
        <f t="shared" ca="1" si="5"/>
        <v>OK</v>
      </c>
      <c r="K53" s="97">
        <f>IF(B53&lt;&gt;"CAP","",SUMPRODUCT((ISNUMBER(SEARCH("Cap Not Available",'FG Stock'!$H$4:$H$100)))*('FG Stock'!$I$4:$I$100=A53)*'FG Stock'!$F$4:$F$100))</f>
        <v>5292</v>
      </c>
      <c r="L53" s="97">
        <f t="shared" ca="1" si="6"/>
        <v>0</v>
      </c>
    </row>
    <row r="54" spans="1:22" ht="24" hidden="1" customHeight="1" x14ac:dyDescent="0.25">
      <c r="A54" s="88">
        <v>81</v>
      </c>
      <c r="B54" s="88" t="s">
        <v>186</v>
      </c>
      <c r="C54" s="88" t="s">
        <v>193</v>
      </c>
      <c r="D54" s="88" t="s">
        <v>188</v>
      </c>
      <c r="E54" s="94">
        <f ca="1">SUMPRODUCT((TableBOM[Item ID]=A54)*TableBOM[Per 1000 Units]*(1+TableBOM[Scrap %])*SUMIF($D$3:$D$12,TableBOM[Product ID],$H$3:$H$12)/1000)</f>
        <v>0</v>
      </c>
      <c r="F54" s="94">
        <f>IFERROR(INDEX(TableInventory[Store Balance],MATCH(A54,TableInventory[Item ID],0)),0)+IFERROR(INDEX(TableInventory[Work In Process],MATCH(A54,TableInventory[Item ID],0)),0)</f>
        <v>553124</v>
      </c>
      <c r="G54" s="94">
        <f t="shared" ca="1" si="4"/>
        <v>553124</v>
      </c>
      <c r="H54" s="95" t="str">
        <f ca="1">IF(LEN(IF((COUNTIFS(TableBOM[Product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",""))&gt;1,LEFT(IF((COUNTIFS(TableBOM[Product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",""),LEN(IF((COUNTIFS(TableBOM[Product ID],$D$3,TableBOM[Item ID],$A54)&gt;0)*($H$3&gt;0),$C$3&amp;", ","")&amp;IF((COUNTIFS(TableBOM[Product ID],$D$4,TableBOM[Item ID],$A54)&gt;0)*($H$4&gt;0),$C$4&amp;", ","")&amp;IF((COUNTIFS(TableBOM[Product ID],$D$5,TableBOM[Item ID],$A54)&gt;0)*($H$5&gt;0),$C$5&amp;", ","")&amp;IF((COUNTIFS(TableBOM[Product ID],$D$6,TableBOM[Item ID],$A54)&gt;0)*($H$6&gt;0),$C$6&amp;", ","")&amp;IF((COUNTIFS(TableBOM[Product ID],$D$7,TableBOM[Item ID],$A54)&gt;0)*($H$7&gt;0),$C$7&amp;", ","")&amp;IF((COUNTIFS(TableBOM[Product ID],$D$8,TableBOM[Item ID],$A54)&gt;0)*($H$8&gt;0),$C$8&amp;", ","")&amp;IF((COUNTIFS(TableBOM[Product ID],$D$9,TableBOM[Item ID],$A54)&gt;0)*($H$9&gt;0),$C$9&amp;", ","")&amp;IF((COUNTIFS(TableBOM[Product ID],$D$10,TableBOM[Item ID],$A54)&gt;0)*($H$10&gt;0),$C$10&amp;", ","")&amp;IF((COUNTIFS(TableBOM[Product ID],$D$12,TableBOM[Item ID],$A54)&gt;0)*($H$12&gt;0),$C$12&amp;", ",""))-2),"")</f>
        <v/>
      </c>
      <c r="I54" s="96" t="str">
        <f ca="1">IF(LEN(IF((COUNTIFS(TableBOM[Product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",""))&gt;1,LEFT(IF((COUNTIFS(TableBOM[Product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",""),LEN(IF((COUNTIFS(TableBOM[Product ID],$D$3,TableBOM[Item ID],$A54)&gt;0)*($H$3&gt;0),$E$3&amp;", ","")&amp;IF((COUNTIFS(TableBOM[Product ID],$D$4,TableBOM[Item ID],$A54)&gt;0)*($H$4&gt;0),$E$4&amp;", ","")&amp;IF((COUNTIFS(TableBOM[Product ID],$D$5,TableBOM[Item ID],$A54)&gt;0)*($H$5&gt;0),$E$5&amp;", ","")&amp;IF((COUNTIFS(TableBOM[Product ID],$D$6,TableBOM[Item ID],$A54)&gt;0)*($H$6&gt;0),$E$6&amp;", ","")&amp;IF((COUNTIFS(TableBOM[Product ID],$D$7,TableBOM[Item ID],$A54)&gt;0)*($H$7&gt;0),$E$7&amp;", ","")&amp;IF((COUNTIFS(TableBOM[Product ID],$D$8,TableBOM[Item ID],$A54)&gt;0)*($H$8&gt;0),$E$8&amp;", ","")&amp;IF((COUNTIFS(TableBOM[Product ID],$D$9,TableBOM[Item ID],$A54)&gt;0)*($H$9&gt;0),$E$9&amp;", ","")&amp;IF((COUNTIFS(TableBOM[Product ID],$D$10,TableBOM[Item ID],$A54)&gt;0)*($H$10&gt;0),$E$10&amp;", ","")&amp;IF((COUNTIFS(TableBOM[Product ID],$D$12,TableBOM[Item ID],$A54)&gt;0)*($H$12&gt;0),$E$12&amp;", ",""))-2),"")</f>
        <v/>
      </c>
      <c r="J54" s="97" t="str">
        <f t="shared" ca="1" si="5"/>
        <v>Not needed</v>
      </c>
      <c r="K54" s="97">
        <f>IF(B54&lt;&gt;"CAP","",SUMPRODUCT((ISNUMBER(SEARCH("Cap Not Available",'FG Stock'!$H$4:$H$100)))*('FG Stock'!$I$4:$I$100=A54)*'FG Stock'!$F$4:$F$100))</f>
        <v>0</v>
      </c>
      <c r="L54" s="97" t="str">
        <f t="shared" ca="1" si="6"/>
        <v/>
      </c>
    </row>
    <row r="55" spans="1:22" ht="15" hidden="1" customHeight="1" x14ac:dyDescent="0.25">
      <c r="A55" s="88">
        <v>1800</v>
      </c>
      <c r="B55" s="88" t="s">
        <v>186</v>
      </c>
      <c r="C55" s="88" t="s">
        <v>194</v>
      </c>
      <c r="D55" s="88" t="s">
        <v>188</v>
      </c>
      <c r="E55" s="94">
        <f ca="1">SUMPRODUCT((TableBOM[Item ID]=A55)*TableBOM[Per 1000 Units]*(1+TableBOM[Scrap %])*SUMIF($D$3:$D$12,TableBOM[Product ID],$H$3:$H$12)/1000)</f>
        <v>0</v>
      </c>
      <c r="F55" s="94">
        <f>IFERROR(INDEX(TableInventory[Store Balance],MATCH(A55,TableInventory[Item ID],0)),0)+IFERROR(INDEX(TableInventory[Work In Process],MATCH(A55,TableInventory[Item ID],0)),0)</f>
        <v>0</v>
      </c>
      <c r="G55" s="98">
        <f t="shared" ca="1" si="4"/>
        <v>0</v>
      </c>
      <c r="H55" s="95" t="str">
        <f ca="1">IF(LEN(IF((COUNTIFS(TableBOM[Product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",""))&gt;1,LEFT(IF((COUNTIFS(TableBOM[Product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",""),LEN(IF((COUNTIFS(TableBOM[Product ID],$D$3,TableBOM[Item ID],$A55)&gt;0)*($H$3&gt;0),$C$3&amp;", ","")&amp;IF((COUNTIFS(TableBOM[Product ID],$D$4,TableBOM[Item ID],$A55)&gt;0)*($H$4&gt;0),$C$4&amp;", ","")&amp;IF((COUNTIFS(TableBOM[Product ID],$D$5,TableBOM[Item ID],$A55)&gt;0)*($H$5&gt;0),$C$5&amp;", ","")&amp;IF((COUNTIFS(TableBOM[Product ID],$D$6,TableBOM[Item ID],$A55)&gt;0)*($H$6&gt;0),$C$6&amp;", ","")&amp;IF((COUNTIFS(TableBOM[Product ID],$D$7,TableBOM[Item ID],$A55)&gt;0)*($H$7&gt;0),$C$7&amp;", ","")&amp;IF((COUNTIFS(TableBOM[Product ID],$D$8,TableBOM[Item ID],$A55)&gt;0)*($H$8&gt;0),$C$8&amp;", ","")&amp;IF((COUNTIFS(TableBOM[Product ID],$D$9,TableBOM[Item ID],$A55)&gt;0)*($H$9&gt;0),$C$9&amp;", ","")&amp;IF((COUNTIFS(TableBOM[Product ID],$D$10,TableBOM[Item ID],$A55)&gt;0)*($H$10&gt;0),$C$10&amp;", ","")&amp;IF((COUNTIFS(TableBOM[Product ID],$D$12,TableBOM[Item ID],$A55)&gt;0)*($H$12&gt;0),$C$12&amp;", ",""))-2),"")</f>
        <v/>
      </c>
      <c r="I55" s="96" t="str">
        <f ca="1">IF(LEN(IF((COUNTIFS(TableBOM[Product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",""))&gt;1,LEFT(IF((COUNTIFS(TableBOM[Product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",""),LEN(IF((COUNTIFS(TableBOM[Product ID],$D$3,TableBOM[Item ID],$A55)&gt;0)*($H$3&gt;0),$E$3&amp;", ","")&amp;IF((COUNTIFS(TableBOM[Product ID],$D$4,TableBOM[Item ID],$A55)&gt;0)*($H$4&gt;0),$E$4&amp;", ","")&amp;IF((COUNTIFS(TableBOM[Product ID],$D$5,TableBOM[Item ID],$A55)&gt;0)*($H$5&gt;0),$E$5&amp;", ","")&amp;IF((COUNTIFS(TableBOM[Product ID],$D$6,TableBOM[Item ID],$A55)&gt;0)*($H$6&gt;0),$E$6&amp;", ","")&amp;IF((COUNTIFS(TableBOM[Product ID],$D$7,TableBOM[Item ID],$A55)&gt;0)*($H$7&gt;0),$E$7&amp;", ","")&amp;IF((COUNTIFS(TableBOM[Product ID],$D$8,TableBOM[Item ID],$A55)&gt;0)*($H$8&gt;0),$E$8&amp;", ","")&amp;IF((COUNTIFS(TableBOM[Product ID],$D$9,TableBOM[Item ID],$A55)&gt;0)*($H$9&gt;0),$E$9&amp;", ","")&amp;IF((COUNTIFS(TableBOM[Product ID],$D$10,TableBOM[Item ID],$A55)&gt;0)*($H$10&gt;0),$E$10&amp;", ","")&amp;IF((COUNTIFS(TableBOM[Product ID],$D$12,TableBOM[Item ID],$A55)&gt;0)*($H$12&gt;0),$E$12&amp;", ",""))-2),"")</f>
        <v/>
      </c>
      <c r="J55" s="97" t="str">
        <f t="shared" ca="1" si="5"/>
        <v>Not needed</v>
      </c>
      <c r="K55" s="97">
        <f>IF(B55&lt;&gt;"CAP","",SUMPRODUCT((ISNUMBER(SEARCH("Cap Not Available",'FG Stock'!$H$4:$H$100)))*('FG Stock'!$I$4:$I$100=A55)*'FG Stock'!$F$4:$F$100))</f>
        <v>0</v>
      </c>
      <c r="L55" s="97" t="str">
        <f t="shared" ca="1" si="6"/>
        <v/>
      </c>
    </row>
    <row r="56" spans="1:22" ht="24" hidden="1" customHeight="1" x14ac:dyDescent="0.25">
      <c r="A56" s="88">
        <v>3211</v>
      </c>
      <c r="B56" s="88" t="s">
        <v>186</v>
      </c>
      <c r="C56" s="88" t="s">
        <v>195</v>
      </c>
      <c r="D56" s="88" t="s">
        <v>188</v>
      </c>
      <c r="E56" s="100">
        <f ca="1">SUMPRODUCT((TableBOM[Item ID]=A56)*TableBOM[Per 1000 Units]*(1+TableBOM[Scrap %])*SUMIF($D$3:$D$12,TableBOM[Product ID],$H$3:$H$12)/1000)</f>
        <v>0</v>
      </c>
      <c r="F56" s="100">
        <f>IFERROR(INDEX(TableInventory[Store Balance],MATCH(A56,TableInventory[Item ID],0)),0)+IFERROR(INDEX(TableInventory[Work In Process],MATCH(A56,TableInventory[Item ID],0)),0)</f>
        <v>5000</v>
      </c>
      <c r="G56" s="100">
        <f t="shared" ca="1" si="4"/>
        <v>5000</v>
      </c>
      <c r="H56" s="95" t="str">
        <f ca="1">IF(LEN(IF((COUNTIFS(TableBOM[Product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",""))&gt;1,LEFT(IF((COUNTIFS(TableBOM[Product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",""),LEN(IF((COUNTIFS(TableBOM[Product ID],$D$3,TableBOM[Item ID],$A56)&gt;0)*($H$3&gt;0),$C$3&amp;", ","")&amp;IF((COUNTIFS(TableBOM[Product ID],$D$4,TableBOM[Item ID],$A56)&gt;0)*($H$4&gt;0),$C$4&amp;", ","")&amp;IF((COUNTIFS(TableBOM[Product ID],$D$5,TableBOM[Item ID],$A56)&gt;0)*($H$5&gt;0),$C$5&amp;", ","")&amp;IF((COUNTIFS(TableBOM[Product ID],$D$6,TableBOM[Item ID],$A56)&gt;0)*($H$6&gt;0),$C$6&amp;", ","")&amp;IF((COUNTIFS(TableBOM[Product ID],$D$7,TableBOM[Item ID],$A56)&gt;0)*($H$7&gt;0),$C$7&amp;", ","")&amp;IF((COUNTIFS(TableBOM[Product ID],$D$8,TableBOM[Item ID],$A56)&gt;0)*($H$8&gt;0),$C$8&amp;", ","")&amp;IF((COUNTIFS(TableBOM[Product ID],$D$9,TableBOM[Item ID],$A56)&gt;0)*($H$9&gt;0),$C$9&amp;", ","")&amp;IF((COUNTIFS(TableBOM[Product ID],$D$10,TableBOM[Item ID],$A56)&gt;0)*($H$10&gt;0),$C$10&amp;", ","")&amp;IF((COUNTIFS(TableBOM[Product ID],$D$12,TableBOM[Item ID],$A56)&gt;0)*($H$12&gt;0),$C$12&amp;", ",""))-2),"")</f>
        <v/>
      </c>
      <c r="I56" s="96" t="str">
        <f ca="1">IF(LEN(IF((COUNTIFS(TableBOM[Product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",""))&gt;1,LEFT(IF((COUNTIFS(TableBOM[Product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",""),LEN(IF((COUNTIFS(TableBOM[Product ID],$D$3,TableBOM[Item ID],$A56)&gt;0)*($H$3&gt;0),$E$3&amp;", ","")&amp;IF((COUNTIFS(TableBOM[Product ID],$D$4,TableBOM[Item ID],$A56)&gt;0)*($H$4&gt;0),$E$4&amp;", ","")&amp;IF((COUNTIFS(TableBOM[Product ID],$D$5,TableBOM[Item ID],$A56)&gt;0)*($H$5&gt;0),$E$5&amp;", ","")&amp;IF((COUNTIFS(TableBOM[Product ID],$D$6,TableBOM[Item ID],$A56)&gt;0)*($H$6&gt;0),$E$6&amp;", ","")&amp;IF((COUNTIFS(TableBOM[Product ID],$D$7,TableBOM[Item ID],$A56)&gt;0)*($H$7&gt;0),$E$7&amp;", ","")&amp;IF((COUNTIFS(TableBOM[Product ID],$D$8,TableBOM[Item ID],$A56)&gt;0)*($H$8&gt;0),$E$8&amp;", ","")&amp;IF((COUNTIFS(TableBOM[Product ID],$D$9,TableBOM[Item ID],$A56)&gt;0)*($H$9&gt;0),$E$9&amp;", ","")&amp;IF((COUNTIFS(TableBOM[Product ID],$D$10,TableBOM[Item ID],$A56)&gt;0)*($H$10&gt;0),$E$10&amp;", ","")&amp;IF((COUNTIFS(TableBOM[Product ID],$D$12,TableBOM[Item ID],$A56)&gt;0)*($H$12&gt;0),$E$12&amp;", ",""))-2),"")</f>
        <v/>
      </c>
      <c r="J56" s="97" t="str">
        <f t="shared" ca="1" si="5"/>
        <v>Not needed</v>
      </c>
      <c r="K56" s="97">
        <f>IF(B56&lt;&gt;"CAP","",SUMPRODUCT((ISNUMBER(SEARCH("Cap Not Available",'FG Stock'!$H$4:$H$100)))*('FG Stock'!$I$4:$I$100=A56)*'FG Stock'!$F$4:$F$100))</f>
        <v>0</v>
      </c>
      <c r="L56" s="97" t="str">
        <f t="shared" ca="1" si="6"/>
        <v/>
      </c>
    </row>
    <row r="57" spans="1:22" ht="15" hidden="1" customHeight="1" x14ac:dyDescent="0.25">
      <c r="A57" s="88">
        <v>4015</v>
      </c>
      <c r="B57" s="88" t="s">
        <v>186</v>
      </c>
      <c r="C57" s="88" t="s">
        <v>196</v>
      </c>
      <c r="D57" s="88" t="s">
        <v>188</v>
      </c>
      <c r="E57" s="94">
        <f ca="1">SUMPRODUCT((TableBOM[Item ID]=A57)*TableBOM[Per 1000 Units]*(1+TableBOM[Scrap %])*SUMIF($D$3:$D$12,TableBOM[Product ID],$H$3:$H$12)/1000)</f>
        <v>0</v>
      </c>
      <c r="F57" s="94">
        <f>IFERROR(INDEX(TableInventory[Store Balance],MATCH(A57,TableInventory[Item ID],0)),0)+IFERROR(INDEX(TableInventory[Work In Process],MATCH(A57,TableInventory[Item ID],0)),0)</f>
        <v>475000</v>
      </c>
      <c r="G57" s="94">
        <f t="shared" ca="1" si="4"/>
        <v>475000</v>
      </c>
      <c r="H57" s="95" t="str">
        <f ca="1">IF(LEN(IF((COUNTIFS(TableBOM[Product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",""))&gt;1,LEFT(IF((COUNTIFS(TableBOM[Product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",""),LEN(IF((COUNTIFS(TableBOM[Product ID],$D$3,TableBOM[Item ID],$A57)&gt;0)*($H$3&gt;0),$C$3&amp;", ","")&amp;IF((COUNTIFS(TableBOM[Product ID],$D$4,TableBOM[Item ID],$A57)&gt;0)*($H$4&gt;0),$C$4&amp;", ","")&amp;IF((COUNTIFS(TableBOM[Product ID],$D$5,TableBOM[Item ID],$A57)&gt;0)*($H$5&gt;0),$C$5&amp;", ","")&amp;IF((COUNTIFS(TableBOM[Product ID],$D$6,TableBOM[Item ID],$A57)&gt;0)*($H$6&gt;0),$C$6&amp;", ","")&amp;IF((COUNTIFS(TableBOM[Product ID],$D$7,TableBOM[Item ID],$A57)&gt;0)*($H$7&gt;0),$C$7&amp;", ","")&amp;IF((COUNTIFS(TableBOM[Product ID],$D$8,TableBOM[Item ID],$A57)&gt;0)*($H$8&gt;0),$C$8&amp;", ","")&amp;IF((COUNTIFS(TableBOM[Product ID],$D$9,TableBOM[Item ID],$A57)&gt;0)*($H$9&gt;0),$C$9&amp;", ","")&amp;IF((COUNTIFS(TableBOM[Product ID],$D$10,TableBOM[Item ID],$A57)&gt;0)*($H$10&gt;0),$C$10&amp;", ","")&amp;IF((COUNTIFS(TableBOM[Product ID],$D$12,TableBOM[Item ID],$A57)&gt;0)*($H$12&gt;0),$C$12&amp;", ",""))-2),"")</f>
        <v/>
      </c>
      <c r="I57" s="96" t="str">
        <f ca="1">IF(LEN(IF((COUNTIFS(TableBOM[Product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",""))&gt;1,LEFT(IF((COUNTIFS(TableBOM[Product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",""),LEN(IF((COUNTIFS(TableBOM[Product ID],$D$3,TableBOM[Item ID],$A57)&gt;0)*($H$3&gt;0),$E$3&amp;", ","")&amp;IF((COUNTIFS(TableBOM[Product ID],$D$4,TableBOM[Item ID],$A57)&gt;0)*($H$4&gt;0),$E$4&amp;", ","")&amp;IF((COUNTIFS(TableBOM[Product ID],$D$5,TableBOM[Item ID],$A57)&gt;0)*($H$5&gt;0),$E$5&amp;", ","")&amp;IF((COUNTIFS(TableBOM[Product ID],$D$6,TableBOM[Item ID],$A57)&gt;0)*($H$6&gt;0),$E$6&amp;", ","")&amp;IF((COUNTIFS(TableBOM[Product ID],$D$7,TableBOM[Item ID],$A57)&gt;0)*($H$7&gt;0),$E$7&amp;", ","")&amp;IF((COUNTIFS(TableBOM[Product ID],$D$8,TableBOM[Item ID],$A57)&gt;0)*($H$8&gt;0),$E$8&amp;", ","")&amp;IF((COUNTIFS(TableBOM[Product ID],$D$9,TableBOM[Item ID],$A57)&gt;0)*($H$9&gt;0),$E$9&amp;", ","")&amp;IF((COUNTIFS(TableBOM[Product ID],$D$10,TableBOM[Item ID],$A57)&gt;0)*($H$10&gt;0),$E$10&amp;", ","")&amp;IF((COUNTIFS(TableBOM[Product ID],$D$12,TableBOM[Item ID],$A57)&gt;0)*($H$12&gt;0),$E$12&amp;", ",""))-2),"")</f>
        <v/>
      </c>
      <c r="J57" s="97" t="str">
        <f t="shared" ca="1" si="5"/>
        <v>Not needed</v>
      </c>
      <c r="K57" s="97">
        <f>IF(B57&lt;&gt;"CAP","",SUMPRODUCT((ISNUMBER(SEARCH("Cap Not Available",'FG Stock'!$H$4:$H$100)))*('FG Stock'!$I$4:$I$100=A57)*'FG Stock'!$F$4:$F$100))</f>
        <v>0</v>
      </c>
      <c r="L57" s="97" t="str">
        <f t="shared" ca="1" si="6"/>
        <v/>
      </c>
    </row>
    <row r="58" spans="1:22" ht="15" hidden="1" customHeight="1" x14ac:dyDescent="0.25">
      <c r="A58" s="88">
        <v>4044</v>
      </c>
      <c r="B58" s="88" t="s">
        <v>186</v>
      </c>
      <c r="C58" s="88" t="s">
        <v>197</v>
      </c>
      <c r="D58" s="88" t="s">
        <v>188</v>
      </c>
      <c r="E58" s="94">
        <f ca="1">SUMPRODUCT((TableBOM[Item ID]=A58)*TableBOM[Per 1000 Units]*(1+TableBOM[Scrap %])*SUMIF($D$3:$D$12,TableBOM[Product ID],$H$3:$H$12)/1000)</f>
        <v>0</v>
      </c>
      <c r="F58" s="94">
        <f>IFERROR(INDEX(TableInventory[Store Balance],MATCH(A58,TableInventory[Item ID],0)),0)+IFERROR(INDEX(TableInventory[Work In Process],MATCH(A58,TableInventory[Item ID],0)),0)</f>
        <v>0</v>
      </c>
      <c r="G58" s="94">
        <f t="shared" ca="1" si="4"/>
        <v>0</v>
      </c>
      <c r="H58" s="95" t="str">
        <f ca="1">IF(LEN(IF((COUNTIFS(TableBOM[Product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",""))&gt;1,LEFT(IF((COUNTIFS(TableBOM[Product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",""),LEN(IF((COUNTIFS(TableBOM[Product ID],$D$3,TableBOM[Item ID],$A58)&gt;0)*($H$3&gt;0),$C$3&amp;", ","")&amp;IF((COUNTIFS(TableBOM[Product ID],$D$4,TableBOM[Item ID],$A58)&gt;0)*($H$4&gt;0),$C$4&amp;", ","")&amp;IF((COUNTIFS(TableBOM[Product ID],$D$5,TableBOM[Item ID],$A58)&gt;0)*($H$5&gt;0),$C$5&amp;", ","")&amp;IF((COUNTIFS(TableBOM[Product ID],$D$6,TableBOM[Item ID],$A58)&gt;0)*($H$6&gt;0),$C$6&amp;", ","")&amp;IF((COUNTIFS(TableBOM[Product ID],$D$7,TableBOM[Item ID],$A58)&gt;0)*($H$7&gt;0),$C$7&amp;", ","")&amp;IF((COUNTIFS(TableBOM[Product ID],$D$8,TableBOM[Item ID],$A58)&gt;0)*($H$8&gt;0),$C$8&amp;", ","")&amp;IF((COUNTIFS(TableBOM[Product ID],$D$9,TableBOM[Item ID],$A58)&gt;0)*($H$9&gt;0),$C$9&amp;", ","")&amp;IF((COUNTIFS(TableBOM[Product ID],$D$10,TableBOM[Item ID],$A58)&gt;0)*($H$10&gt;0),$C$10&amp;", ","")&amp;IF((COUNTIFS(TableBOM[Product ID],$D$12,TableBOM[Item ID],$A58)&gt;0)*($H$12&gt;0),$C$12&amp;", ",""))-2),"")</f>
        <v/>
      </c>
      <c r="I58" s="96" t="str">
        <f ca="1">IF(LEN(IF((COUNTIFS(TableBOM[Product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",""))&gt;1,LEFT(IF((COUNTIFS(TableBOM[Product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",""),LEN(IF((COUNTIFS(TableBOM[Product ID],$D$3,TableBOM[Item ID],$A58)&gt;0)*($H$3&gt;0),$E$3&amp;", ","")&amp;IF((COUNTIFS(TableBOM[Product ID],$D$4,TableBOM[Item ID],$A58)&gt;0)*($H$4&gt;0),$E$4&amp;", ","")&amp;IF((COUNTIFS(TableBOM[Product ID],$D$5,TableBOM[Item ID],$A58)&gt;0)*($H$5&gt;0),$E$5&amp;", ","")&amp;IF((COUNTIFS(TableBOM[Product ID],$D$6,TableBOM[Item ID],$A58)&gt;0)*($H$6&gt;0),$E$6&amp;", ","")&amp;IF((COUNTIFS(TableBOM[Product ID],$D$7,TableBOM[Item ID],$A58)&gt;0)*($H$7&gt;0),$E$7&amp;", ","")&amp;IF((COUNTIFS(TableBOM[Product ID],$D$8,TableBOM[Item ID],$A58)&gt;0)*($H$8&gt;0),$E$8&amp;", ","")&amp;IF((COUNTIFS(TableBOM[Product ID],$D$9,TableBOM[Item ID],$A58)&gt;0)*($H$9&gt;0),$E$9&amp;", ","")&amp;IF((COUNTIFS(TableBOM[Product ID],$D$10,TableBOM[Item ID],$A58)&gt;0)*($H$10&gt;0),$E$10&amp;", ","")&amp;IF((COUNTIFS(TableBOM[Product ID],$D$12,TableBOM[Item ID],$A58)&gt;0)*($H$12&gt;0),$E$12&amp;", ",""))-2),"")</f>
        <v/>
      </c>
      <c r="J58" s="97" t="str">
        <f t="shared" ca="1" si="5"/>
        <v>Not needed</v>
      </c>
      <c r="K58" s="97">
        <f>IF(B58&lt;&gt;"CAP","",SUMPRODUCT((ISNUMBER(SEARCH("Cap Not Available",'FG Stock'!$H$4:$H$100)))*('FG Stock'!$I$4:$I$100=A58)*'FG Stock'!$F$4:$F$100))</f>
        <v>0</v>
      </c>
      <c r="L58" s="97" t="str">
        <f t="shared" ca="1" si="6"/>
        <v/>
      </c>
    </row>
    <row r="59" spans="1:22" ht="15" hidden="1" customHeight="1" x14ac:dyDescent="0.25">
      <c r="A59" s="88">
        <v>4088</v>
      </c>
      <c r="B59" s="88" t="s">
        <v>186</v>
      </c>
      <c r="C59" s="88" t="s">
        <v>198</v>
      </c>
      <c r="D59" s="88" t="s">
        <v>188</v>
      </c>
      <c r="E59" s="94">
        <f ca="1">SUMPRODUCT((TableBOM[Item ID]=A59)*TableBOM[Per 1000 Units]*(1+TableBOM[Scrap %])*SUMIF($D$3:$D$12,TableBOM[Product ID],$H$3:$H$12)/1000)</f>
        <v>0</v>
      </c>
      <c r="F59" s="94">
        <f>IFERROR(INDEX(TableInventory[Store Balance],MATCH(A59,TableInventory[Item ID],0)),0)+IFERROR(INDEX(TableInventory[Work In Process],MATCH(A59,TableInventory[Item ID],0)),0)</f>
        <v>60000</v>
      </c>
      <c r="G59" s="94">
        <f t="shared" ca="1" si="4"/>
        <v>60000</v>
      </c>
      <c r="H59" s="95" t="str">
        <f ca="1">IF(LEN(IF((COUNTIFS(TableBOM[Product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",""))&gt;1,LEFT(IF((COUNTIFS(TableBOM[Product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",""),LEN(IF((COUNTIFS(TableBOM[Product ID],$D$3,TableBOM[Item ID],$A59)&gt;0)*($H$3&gt;0),$C$3&amp;", ","")&amp;IF((COUNTIFS(TableBOM[Product ID],$D$4,TableBOM[Item ID],$A59)&gt;0)*($H$4&gt;0),$C$4&amp;", ","")&amp;IF((COUNTIFS(TableBOM[Product ID],$D$5,TableBOM[Item ID],$A59)&gt;0)*($H$5&gt;0),$C$5&amp;", ","")&amp;IF((COUNTIFS(TableBOM[Product ID],$D$6,TableBOM[Item ID],$A59)&gt;0)*($H$6&gt;0),$C$6&amp;", ","")&amp;IF((COUNTIFS(TableBOM[Product ID],$D$7,TableBOM[Item ID],$A59)&gt;0)*($H$7&gt;0),$C$7&amp;", ","")&amp;IF((COUNTIFS(TableBOM[Product ID],$D$8,TableBOM[Item ID],$A59)&gt;0)*($H$8&gt;0),$C$8&amp;", ","")&amp;IF((COUNTIFS(TableBOM[Product ID],$D$9,TableBOM[Item ID],$A59)&gt;0)*($H$9&gt;0),$C$9&amp;", ","")&amp;IF((COUNTIFS(TableBOM[Product ID],$D$10,TableBOM[Item ID],$A59)&gt;0)*($H$10&gt;0),$C$10&amp;", ","")&amp;IF((COUNTIFS(TableBOM[Product ID],$D$12,TableBOM[Item ID],$A59)&gt;0)*($H$12&gt;0),$C$12&amp;", ",""))-2),"")</f>
        <v/>
      </c>
      <c r="I59" s="96" t="str">
        <f ca="1">IF(LEN(IF((COUNTIFS(TableBOM[Product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",""))&gt;1,LEFT(IF((COUNTIFS(TableBOM[Product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",""),LEN(IF((COUNTIFS(TableBOM[Product ID],$D$3,TableBOM[Item ID],$A59)&gt;0)*($H$3&gt;0),$E$3&amp;", ","")&amp;IF((COUNTIFS(TableBOM[Product ID],$D$4,TableBOM[Item ID],$A59)&gt;0)*($H$4&gt;0),$E$4&amp;", ","")&amp;IF((COUNTIFS(TableBOM[Product ID],$D$5,TableBOM[Item ID],$A59)&gt;0)*($H$5&gt;0),$E$5&amp;", ","")&amp;IF((COUNTIFS(TableBOM[Product ID],$D$6,TableBOM[Item ID],$A59)&gt;0)*($H$6&gt;0),$E$6&amp;", ","")&amp;IF((COUNTIFS(TableBOM[Product ID],$D$7,TableBOM[Item ID],$A59)&gt;0)*($H$7&gt;0),$E$7&amp;", ","")&amp;IF((COUNTIFS(TableBOM[Product ID],$D$8,TableBOM[Item ID],$A59)&gt;0)*($H$8&gt;0),$E$8&amp;", ","")&amp;IF((COUNTIFS(TableBOM[Product ID],$D$9,TableBOM[Item ID],$A59)&gt;0)*($H$9&gt;0),$E$9&amp;", ","")&amp;IF((COUNTIFS(TableBOM[Product ID],$D$10,TableBOM[Item ID],$A59)&gt;0)*($H$10&gt;0),$E$10&amp;", ","")&amp;IF((COUNTIFS(TableBOM[Product ID],$D$12,TableBOM[Item ID],$A59)&gt;0)*($H$12&gt;0),$E$12&amp;", ",""))-2),"")</f>
        <v/>
      </c>
      <c r="J59" s="97" t="str">
        <f t="shared" ca="1" si="5"/>
        <v>Not needed</v>
      </c>
      <c r="K59" s="97">
        <f>IF(B59&lt;&gt;"CAP","",SUMPRODUCT((ISNUMBER(SEARCH("Cap Not Available",'FG Stock'!$H$4:$H$100)))*('FG Stock'!$I$4:$I$100=A59)*'FG Stock'!$F$4:$F$100))</f>
        <v>0</v>
      </c>
      <c r="L59" s="97" t="str">
        <f t="shared" ca="1" si="6"/>
        <v/>
      </c>
    </row>
    <row r="60" spans="1:22" ht="15" hidden="1" customHeight="1" x14ac:dyDescent="0.25">
      <c r="A60" s="88">
        <v>4143</v>
      </c>
      <c r="B60" s="88" t="s">
        <v>186</v>
      </c>
      <c r="C60" s="88" t="s">
        <v>199</v>
      </c>
      <c r="D60" s="88" t="s">
        <v>188</v>
      </c>
      <c r="E60" s="94">
        <f ca="1">SUMPRODUCT((TableBOM[Item ID]=A60)*TableBOM[Per 1000 Units]*(1+TableBOM[Scrap %])*SUMIF($D$3:$D$12,TableBOM[Product ID],$H$3:$H$12)/1000)</f>
        <v>0</v>
      </c>
      <c r="F60" s="94">
        <f>IFERROR(INDEX(TableInventory[Store Balance],MATCH(A60,TableInventory[Item ID],0)),0)+IFERROR(INDEX(TableInventory[Work In Process],MATCH(A60,TableInventory[Item ID],0)),0)</f>
        <v>65000</v>
      </c>
      <c r="G60" s="94">
        <f t="shared" ca="1" si="4"/>
        <v>65000</v>
      </c>
      <c r="H60" s="95" t="str">
        <f ca="1">IF(LEN(IF((COUNTIFS(TableBOM[Product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",""))&gt;1,LEFT(IF((COUNTIFS(TableBOM[Product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",""),LEN(IF((COUNTIFS(TableBOM[Product ID],$D$3,TableBOM[Item ID],$A60)&gt;0)*($H$3&gt;0),$C$3&amp;", ","")&amp;IF((COUNTIFS(TableBOM[Product ID],$D$4,TableBOM[Item ID],$A60)&gt;0)*($H$4&gt;0),$C$4&amp;", ","")&amp;IF((COUNTIFS(TableBOM[Product ID],$D$5,TableBOM[Item ID],$A60)&gt;0)*($H$5&gt;0),$C$5&amp;", ","")&amp;IF((COUNTIFS(TableBOM[Product ID],$D$6,TableBOM[Item ID],$A60)&gt;0)*($H$6&gt;0),$C$6&amp;", ","")&amp;IF((COUNTIFS(TableBOM[Product ID],$D$7,TableBOM[Item ID],$A60)&gt;0)*($H$7&gt;0),$C$7&amp;", ","")&amp;IF((COUNTIFS(TableBOM[Product ID],$D$8,TableBOM[Item ID],$A60)&gt;0)*($H$8&gt;0),$C$8&amp;", ","")&amp;IF((COUNTIFS(TableBOM[Product ID],$D$9,TableBOM[Item ID],$A60)&gt;0)*($H$9&gt;0),$C$9&amp;", ","")&amp;IF((COUNTIFS(TableBOM[Product ID],$D$10,TableBOM[Item ID],$A60)&gt;0)*($H$10&gt;0),$C$10&amp;", ","")&amp;IF((COUNTIFS(TableBOM[Product ID],$D$12,TableBOM[Item ID],$A60)&gt;0)*($H$12&gt;0),$C$12&amp;", ",""))-2),"")</f>
        <v/>
      </c>
      <c r="I60" s="96" t="str">
        <f ca="1">IF(LEN(IF((COUNTIFS(TableBOM[Product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",""))&gt;1,LEFT(IF((COUNTIFS(TableBOM[Product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",""),LEN(IF((COUNTIFS(TableBOM[Product ID],$D$3,TableBOM[Item ID],$A60)&gt;0)*($H$3&gt;0),$E$3&amp;", ","")&amp;IF((COUNTIFS(TableBOM[Product ID],$D$4,TableBOM[Item ID],$A60)&gt;0)*($H$4&gt;0),$E$4&amp;", ","")&amp;IF((COUNTIFS(TableBOM[Product ID],$D$5,TableBOM[Item ID],$A60)&gt;0)*($H$5&gt;0),$E$5&amp;", ","")&amp;IF((COUNTIFS(TableBOM[Product ID],$D$6,TableBOM[Item ID],$A60)&gt;0)*($H$6&gt;0),$E$6&amp;", ","")&amp;IF((COUNTIFS(TableBOM[Product ID],$D$7,TableBOM[Item ID],$A60)&gt;0)*($H$7&gt;0),$E$7&amp;", ","")&amp;IF((COUNTIFS(TableBOM[Product ID],$D$8,TableBOM[Item ID],$A60)&gt;0)*($H$8&gt;0),$E$8&amp;", ","")&amp;IF((COUNTIFS(TableBOM[Product ID],$D$9,TableBOM[Item ID],$A60)&gt;0)*($H$9&gt;0),$E$9&amp;", ","")&amp;IF((COUNTIFS(TableBOM[Product ID],$D$10,TableBOM[Item ID],$A60)&gt;0)*($H$10&gt;0),$E$10&amp;", ","")&amp;IF((COUNTIFS(TableBOM[Product ID],$D$12,TableBOM[Item ID],$A60)&gt;0)*($H$12&gt;0),$E$12&amp;", ",""))-2),"")</f>
        <v/>
      </c>
      <c r="J60" s="97" t="str">
        <f t="shared" ca="1" si="5"/>
        <v>Not needed</v>
      </c>
      <c r="K60" s="97">
        <f>IF(B60&lt;&gt;"CAP","",SUMPRODUCT((ISNUMBER(SEARCH("Cap Not Available",'FG Stock'!$H$4:$H$100)))*('FG Stock'!$I$4:$I$100=A60)*'FG Stock'!$F$4:$F$100))</f>
        <v>0</v>
      </c>
      <c r="L60" s="97" t="str">
        <f t="shared" ca="1" si="6"/>
        <v/>
      </c>
    </row>
    <row r="61" spans="1:22" ht="15" hidden="1" customHeight="1" x14ac:dyDescent="0.25">
      <c r="A61" s="88">
        <v>6971</v>
      </c>
      <c r="B61" s="88" t="s">
        <v>186</v>
      </c>
      <c r="C61" s="88" t="s">
        <v>200</v>
      </c>
      <c r="D61" s="88" t="s">
        <v>188</v>
      </c>
      <c r="E61" s="94">
        <f ca="1">SUMPRODUCT((TableBOM[Item ID]=A61)*TableBOM[Per 1000 Units]*(1+TableBOM[Scrap %])*SUMIF($D$3:$D$12,TableBOM[Product ID],$H$3:$H$12)/1000)</f>
        <v>0</v>
      </c>
      <c r="F61" s="94">
        <f>IFERROR(INDEX(TableInventory[Store Balance],MATCH(A61,TableInventory[Item ID],0)),0)+IFERROR(INDEX(TableInventory[Work In Process],MATCH(A61,TableInventory[Item ID],0)),0)</f>
        <v>-2000</v>
      </c>
      <c r="G61" s="94">
        <f t="shared" ca="1" si="4"/>
        <v>-2000</v>
      </c>
      <c r="H61" s="95" t="str">
        <f ca="1">IF(LEN(IF((COUNTIFS(TableBOM[Product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",""))&gt;1,LEFT(IF((COUNTIFS(TableBOM[Product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",""),LEN(IF((COUNTIFS(TableBOM[Product ID],$D$3,TableBOM[Item ID],$A61)&gt;0)*($H$3&gt;0),$C$3&amp;", ","")&amp;IF((COUNTIFS(TableBOM[Product ID],$D$4,TableBOM[Item ID],$A61)&gt;0)*($H$4&gt;0),$C$4&amp;", ","")&amp;IF((COUNTIFS(TableBOM[Product ID],$D$5,TableBOM[Item ID],$A61)&gt;0)*($H$5&gt;0),$C$5&amp;", ","")&amp;IF((COUNTIFS(TableBOM[Product ID],$D$6,TableBOM[Item ID],$A61)&gt;0)*($H$6&gt;0),$C$6&amp;", ","")&amp;IF((COUNTIFS(TableBOM[Product ID],$D$7,TableBOM[Item ID],$A61)&gt;0)*($H$7&gt;0),$C$7&amp;", ","")&amp;IF((COUNTIFS(TableBOM[Product ID],$D$8,TableBOM[Item ID],$A61)&gt;0)*($H$8&gt;0),$C$8&amp;", ","")&amp;IF((COUNTIFS(TableBOM[Product ID],$D$9,TableBOM[Item ID],$A61)&gt;0)*($H$9&gt;0),$C$9&amp;", ","")&amp;IF((COUNTIFS(TableBOM[Product ID],$D$10,TableBOM[Item ID],$A61)&gt;0)*($H$10&gt;0),$C$10&amp;", ","")&amp;IF((COUNTIFS(TableBOM[Product ID],$D$12,TableBOM[Item ID],$A61)&gt;0)*($H$12&gt;0),$C$12&amp;", ",""))-2),"")</f>
        <v/>
      </c>
      <c r="I61" s="96" t="str">
        <f ca="1">IF(LEN(IF((COUNTIFS(TableBOM[Product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",""))&gt;1,LEFT(IF((COUNTIFS(TableBOM[Product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",""),LEN(IF((COUNTIFS(TableBOM[Product ID],$D$3,TableBOM[Item ID],$A61)&gt;0)*($H$3&gt;0),$E$3&amp;", ","")&amp;IF((COUNTIFS(TableBOM[Product ID],$D$4,TableBOM[Item ID],$A61)&gt;0)*($H$4&gt;0),$E$4&amp;", ","")&amp;IF((COUNTIFS(TableBOM[Product ID],$D$5,TableBOM[Item ID],$A61)&gt;0)*($H$5&gt;0),$E$5&amp;", ","")&amp;IF((COUNTIFS(TableBOM[Product ID],$D$6,TableBOM[Item ID],$A61)&gt;0)*($H$6&gt;0),$E$6&amp;", ","")&amp;IF((COUNTIFS(TableBOM[Product ID],$D$7,TableBOM[Item ID],$A61)&gt;0)*($H$7&gt;0),$E$7&amp;", ","")&amp;IF((COUNTIFS(TableBOM[Product ID],$D$8,TableBOM[Item ID],$A61)&gt;0)*($H$8&gt;0),$E$8&amp;", ","")&amp;IF((COUNTIFS(TableBOM[Product ID],$D$9,TableBOM[Item ID],$A61)&gt;0)*($H$9&gt;0),$E$9&amp;", ","")&amp;IF((COUNTIFS(TableBOM[Product ID],$D$10,TableBOM[Item ID],$A61)&gt;0)*($H$10&gt;0),$E$10&amp;", ","")&amp;IF((COUNTIFS(TableBOM[Product ID],$D$12,TableBOM[Item ID],$A61)&gt;0)*($H$12&gt;0),$E$12&amp;", ",""))-2),"")</f>
        <v/>
      </c>
      <c r="J61" s="97" t="str">
        <f t="shared" ca="1" si="5"/>
        <v>Not needed</v>
      </c>
      <c r="K61" s="97">
        <f>IF(B61&lt;&gt;"CAP","",SUMPRODUCT((ISNUMBER(SEARCH("Cap Not Available",'FG Stock'!$H$4:$H$100)))*('FG Stock'!$I$4:$I$100=A61)*'FG Stock'!$F$4:$F$100))</f>
        <v>125530</v>
      </c>
      <c r="L61" s="97" t="str">
        <f t="shared" ca="1" si="6"/>
        <v/>
      </c>
    </row>
    <row r="62" spans="1:22" ht="24" hidden="1" customHeight="1" x14ac:dyDescent="0.25">
      <c r="A62" s="88">
        <v>7370</v>
      </c>
      <c r="B62" s="88" t="s">
        <v>186</v>
      </c>
      <c r="C62" s="88" t="s">
        <v>201</v>
      </c>
      <c r="D62" s="88" t="s">
        <v>188</v>
      </c>
      <c r="E62" s="94">
        <f ca="1">SUMPRODUCT((TableBOM[Item ID]=A62)*TableBOM[Per 1000 Units]*(1+TableBOM[Scrap %])*SUMIF($D$3:$D$12,TableBOM[Product ID],$H$3:$H$12)/1000)</f>
        <v>0</v>
      </c>
      <c r="F62" s="94">
        <f>IFERROR(INDEX(TableInventory[Store Balance],MATCH(A62,TableInventory[Item ID],0)),0)+IFERROR(INDEX(TableInventory[Work In Process],MATCH(A62,TableInventory[Item ID],0)),0)</f>
        <v>49400</v>
      </c>
      <c r="G62" s="98">
        <f t="shared" ca="1" si="4"/>
        <v>49400</v>
      </c>
      <c r="H62" s="95" t="str">
        <f ca="1">IF(LEN(IF((COUNTIFS(TableBOM[Product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",""))&gt;1,LEFT(IF((COUNTIFS(TableBOM[Product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",""),LEN(IF((COUNTIFS(TableBOM[Product ID],$D$3,TableBOM[Item ID],$A62)&gt;0)*($H$3&gt;0),$C$3&amp;", ","")&amp;IF((COUNTIFS(TableBOM[Product ID],$D$4,TableBOM[Item ID],$A62)&gt;0)*($H$4&gt;0),$C$4&amp;", ","")&amp;IF((COUNTIFS(TableBOM[Product ID],$D$5,TableBOM[Item ID],$A62)&gt;0)*($H$5&gt;0),$C$5&amp;", ","")&amp;IF((COUNTIFS(TableBOM[Product ID],$D$6,TableBOM[Item ID],$A62)&gt;0)*($H$6&gt;0),$C$6&amp;", ","")&amp;IF((COUNTIFS(TableBOM[Product ID],$D$7,TableBOM[Item ID],$A62)&gt;0)*($H$7&gt;0),$C$7&amp;", ","")&amp;IF((COUNTIFS(TableBOM[Product ID],$D$8,TableBOM[Item ID],$A62)&gt;0)*($H$8&gt;0),$C$8&amp;", ","")&amp;IF((COUNTIFS(TableBOM[Product ID],$D$9,TableBOM[Item ID],$A62)&gt;0)*($H$9&gt;0),$C$9&amp;", ","")&amp;IF((COUNTIFS(TableBOM[Product ID],$D$10,TableBOM[Item ID],$A62)&gt;0)*($H$10&gt;0),$C$10&amp;", ","")&amp;IF((COUNTIFS(TableBOM[Product ID],$D$12,TableBOM[Item ID],$A62)&gt;0)*($H$12&gt;0),$C$12&amp;", ",""))-2),"")</f>
        <v/>
      </c>
      <c r="I62" s="96" t="str">
        <f ca="1">IF(LEN(IF((COUNTIFS(TableBOM[Product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",""))&gt;1,LEFT(IF((COUNTIFS(TableBOM[Product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",""),LEN(IF((COUNTIFS(TableBOM[Product ID],$D$3,TableBOM[Item ID],$A62)&gt;0)*($H$3&gt;0),$E$3&amp;", ","")&amp;IF((COUNTIFS(TableBOM[Product ID],$D$4,TableBOM[Item ID],$A62)&gt;0)*($H$4&gt;0),$E$4&amp;", ","")&amp;IF((COUNTIFS(TableBOM[Product ID],$D$5,TableBOM[Item ID],$A62)&gt;0)*($H$5&gt;0),$E$5&amp;", ","")&amp;IF((COUNTIFS(TableBOM[Product ID],$D$6,TableBOM[Item ID],$A62)&gt;0)*($H$6&gt;0),$E$6&amp;", ","")&amp;IF((COUNTIFS(TableBOM[Product ID],$D$7,TableBOM[Item ID],$A62)&gt;0)*($H$7&gt;0),$E$7&amp;", ","")&amp;IF((COUNTIFS(TableBOM[Product ID],$D$8,TableBOM[Item ID],$A62)&gt;0)*($H$8&gt;0),$E$8&amp;", ","")&amp;IF((COUNTIFS(TableBOM[Product ID],$D$9,TableBOM[Item ID],$A62)&gt;0)*($H$9&gt;0),$E$9&amp;", ","")&amp;IF((COUNTIFS(TableBOM[Product ID],$D$10,TableBOM[Item ID],$A62)&gt;0)*($H$10&gt;0),$E$10&amp;", ","")&amp;IF((COUNTIFS(TableBOM[Product ID],$D$12,TableBOM[Item ID],$A62)&gt;0)*($H$12&gt;0),$E$12&amp;", ",""))-2),"")</f>
        <v/>
      </c>
      <c r="J62" s="97" t="str">
        <f t="shared" ca="1" si="5"/>
        <v>Not needed</v>
      </c>
      <c r="K62" s="97">
        <f>IF(B62&lt;&gt;"CAP","",SUMPRODUCT((ISNUMBER(SEARCH("Cap Not Available",'FG Stock'!$H$4:$H$100)))*('FG Stock'!$I$4:$I$100=A62)*'FG Stock'!$F$4:$F$100))</f>
        <v>0</v>
      </c>
      <c r="L62" s="97" t="str">
        <f t="shared" ca="1" si="6"/>
        <v/>
      </c>
    </row>
    <row r="63" spans="1:22" ht="24" hidden="1" customHeight="1" x14ac:dyDescent="0.25">
      <c r="A63" s="101">
        <v>68</v>
      </c>
      <c r="B63" s="101" t="s">
        <v>186</v>
      </c>
      <c r="C63" s="101" t="s">
        <v>202</v>
      </c>
      <c r="D63" s="101" t="s">
        <v>188</v>
      </c>
      <c r="E63" s="102">
        <f ca="1">SUMPRODUCT((TableBOM[Item ID]=A63)*TableBOM[Per 1000 Units]*(1+TableBOM[Scrap %])*SUMIF($D$3:$D$12,TableBOM[Product ID],$H$3:$H$12)/1000)</f>
        <v>0</v>
      </c>
      <c r="F63" s="102">
        <f>IFERROR(INDEX(TableInventory[Store Balance],MATCH(A63,TableInventory[Item ID],0)),0)+IFERROR(INDEX(TableInventory[Work In Process],MATCH(A63,TableInventory[Item ID],0)),0)</f>
        <v>300000</v>
      </c>
      <c r="G63" s="103">
        <f t="shared" ca="1" si="4"/>
        <v>300000</v>
      </c>
      <c r="H63" s="104" t="str">
        <f ca="1">IF(LEN(IF((COUNTIFS(TableBOM[Product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",""))&gt;1,LEFT(IF((COUNTIFS(TableBOM[Product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",""),LEN(IF((COUNTIFS(TableBOM[Product ID],$D$3,TableBOM[Item ID],$A63)&gt;0)*($H$3&gt;0),$C$3&amp;", ","")&amp;IF((COUNTIFS(TableBOM[Product ID],$D$4,TableBOM[Item ID],$A63)&gt;0)*($H$4&gt;0),$C$4&amp;", ","")&amp;IF((COUNTIFS(TableBOM[Product ID],$D$5,TableBOM[Item ID],$A63)&gt;0)*($H$5&gt;0),$C$5&amp;", ","")&amp;IF((COUNTIFS(TableBOM[Product ID],$D$6,TableBOM[Item ID],$A63)&gt;0)*($H$6&gt;0),$C$6&amp;", ","")&amp;IF((COUNTIFS(TableBOM[Product ID],$D$7,TableBOM[Item ID],$A63)&gt;0)*($H$7&gt;0),$C$7&amp;", ","")&amp;IF((COUNTIFS(TableBOM[Product ID],$D$8,TableBOM[Item ID],$A63)&gt;0)*($H$8&gt;0),$C$8&amp;", ","")&amp;IF((COUNTIFS(TableBOM[Product ID],$D$9,TableBOM[Item ID],$A63)&gt;0)*($H$9&gt;0),$C$9&amp;", ","")&amp;IF((COUNTIFS(TableBOM[Product ID],$D$10,TableBOM[Item ID],$A63)&gt;0)*($H$10&gt;0),$C$10&amp;", ","")&amp;IF((COUNTIFS(TableBOM[Product ID],$D$12,TableBOM[Item ID],$A63)&gt;0)*($H$12&gt;0),$C$12&amp;", ",""))-2),"")</f>
        <v/>
      </c>
      <c r="I63" s="105" t="str">
        <f ca="1">IF(LEN(IF((COUNTIFS(TableBOM[Product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",""))&gt;1,LEFT(IF((COUNTIFS(TableBOM[Product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",""),LEN(IF((COUNTIFS(TableBOM[Product ID],$D$3,TableBOM[Item ID],$A63)&gt;0)*($H$3&gt;0),$E$3&amp;", ","")&amp;IF((COUNTIFS(TableBOM[Product ID],$D$4,TableBOM[Item ID],$A63)&gt;0)*($H$4&gt;0),$E$4&amp;", ","")&amp;IF((COUNTIFS(TableBOM[Product ID],$D$5,TableBOM[Item ID],$A63)&gt;0)*($H$5&gt;0),$E$5&amp;", ","")&amp;IF((COUNTIFS(TableBOM[Product ID],$D$6,TableBOM[Item ID],$A63)&gt;0)*($H$6&gt;0),$E$6&amp;", ","")&amp;IF((COUNTIFS(TableBOM[Product ID],$D$7,TableBOM[Item ID],$A63)&gt;0)*($H$7&gt;0),$E$7&amp;", ","")&amp;IF((COUNTIFS(TableBOM[Product ID],$D$8,TableBOM[Item ID],$A63)&gt;0)*($H$8&gt;0),$E$8&amp;", ","")&amp;IF((COUNTIFS(TableBOM[Product ID],$D$9,TableBOM[Item ID],$A63)&gt;0)*($H$9&gt;0),$E$9&amp;", ","")&amp;IF((COUNTIFS(TableBOM[Product ID],$D$10,TableBOM[Item ID],$A63)&gt;0)*($H$10&gt;0),$E$10&amp;", ","")&amp;IF((COUNTIFS(TableBOM[Product ID],$D$12,TableBOM[Item ID],$A63)&gt;0)*($H$12&gt;0),$E$12&amp;", ",""))-2),"")</f>
        <v/>
      </c>
      <c r="J63" s="106" t="str">
        <f t="shared" ca="1" si="5"/>
        <v>Not needed</v>
      </c>
      <c r="K63" s="106">
        <f>IF(B63&lt;&gt;"CAP","",SUMPRODUCT((ISNUMBER(SEARCH("Cap Not Available",'FG Stock'!$H$4:$H$100)))*('FG Stock'!$I$4:$I$100=A63)*'FG Stock'!$F$4:$F$100))</f>
        <v>0</v>
      </c>
      <c r="L63" s="106" t="str">
        <f t="shared" ca="1" si="6"/>
        <v/>
      </c>
    </row>
    <row r="64" spans="1:22" ht="15" hidden="1" customHeight="1" x14ac:dyDescent="0.25">
      <c r="A64" s="107">
        <v>102</v>
      </c>
      <c r="B64" s="107" t="s">
        <v>186</v>
      </c>
      <c r="C64" s="107" t="s">
        <v>203</v>
      </c>
      <c r="D64" s="107" t="s">
        <v>188</v>
      </c>
      <c r="E64" s="108">
        <f ca="1">SUMPRODUCT((TableBOM[Item ID]=A64)*TableBOM[Per 1000 Units]*(1+TableBOM[Scrap %])*SUMIF($D$3:$D$12,TableBOM[Product ID],$H$3:$H$12)/1000)</f>
        <v>0</v>
      </c>
      <c r="F64" s="108">
        <f>IFERROR(INDEX(TableInventory[Store Balance],MATCH(A64,TableInventory[Item ID],0)),0)+IFERROR(INDEX(TableInventory[Work In Process],MATCH(A64,TableInventory[Item ID],0)),0)</f>
        <v>30000</v>
      </c>
      <c r="G64" s="108">
        <f t="shared" ca="1" si="4"/>
        <v>30000</v>
      </c>
      <c r="H64" s="109" t="str">
        <f ca="1">IF(LEN(IF((COUNTIFS(TableBOM[Product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",""))&gt;1,LEFT(IF((COUNTIFS(TableBOM[Product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",""),LEN(IF((COUNTIFS(TableBOM[Product ID],$D$3,TableBOM[Item ID],$A64)&gt;0)*($H$3&gt;0),$C$3&amp;", ","")&amp;IF((COUNTIFS(TableBOM[Product ID],$D$4,TableBOM[Item ID],$A64)&gt;0)*($H$4&gt;0),$C$4&amp;", ","")&amp;IF((COUNTIFS(TableBOM[Product ID],$D$5,TableBOM[Item ID],$A64)&gt;0)*($H$5&gt;0),$C$5&amp;", ","")&amp;IF((COUNTIFS(TableBOM[Product ID],$D$6,TableBOM[Item ID],$A64)&gt;0)*($H$6&gt;0),$C$6&amp;", ","")&amp;IF((COUNTIFS(TableBOM[Product ID],$D$7,TableBOM[Item ID],$A64)&gt;0)*($H$7&gt;0),$C$7&amp;", ","")&amp;IF((COUNTIFS(TableBOM[Product ID],$D$8,TableBOM[Item ID],$A64)&gt;0)*($H$8&gt;0),$C$8&amp;", ","")&amp;IF((COUNTIFS(TableBOM[Product ID],$D$9,TableBOM[Item ID],$A64)&gt;0)*($H$9&gt;0),$C$9&amp;", ","")&amp;IF((COUNTIFS(TableBOM[Product ID],$D$10,TableBOM[Item ID],$A64)&gt;0)*($H$10&gt;0),$C$10&amp;", ","")&amp;IF((COUNTIFS(TableBOM[Product ID],$D$12,TableBOM[Item ID],$A64)&gt;0)*($H$12&gt;0),$C$12&amp;", ",""))-2),"")</f>
        <v/>
      </c>
      <c r="I64" s="110" t="str">
        <f ca="1">IF(LEN(IF((COUNTIFS(TableBOM[Product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",""))&gt;1,LEFT(IF((COUNTIFS(TableBOM[Product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",""),LEN(IF((COUNTIFS(TableBOM[Product ID],$D$3,TableBOM[Item ID],$A64)&gt;0)*($H$3&gt;0),$E$3&amp;", ","")&amp;IF((COUNTIFS(TableBOM[Product ID],$D$4,TableBOM[Item ID],$A64)&gt;0)*($H$4&gt;0),$E$4&amp;", ","")&amp;IF((COUNTIFS(TableBOM[Product ID],$D$5,TableBOM[Item ID],$A64)&gt;0)*($H$5&gt;0),$E$5&amp;", ","")&amp;IF((COUNTIFS(TableBOM[Product ID],$D$6,TableBOM[Item ID],$A64)&gt;0)*($H$6&gt;0),$E$6&amp;", ","")&amp;IF((COUNTIFS(TableBOM[Product ID],$D$7,TableBOM[Item ID],$A64)&gt;0)*($H$7&gt;0),$E$7&amp;", ","")&amp;IF((COUNTIFS(TableBOM[Product ID],$D$8,TableBOM[Item ID],$A64)&gt;0)*($H$8&gt;0),$E$8&amp;", ","")&amp;IF((COUNTIFS(TableBOM[Product ID],$D$9,TableBOM[Item ID],$A64)&gt;0)*($H$9&gt;0),$E$9&amp;", ","")&amp;IF((COUNTIFS(TableBOM[Product ID],$D$10,TableBOM[Item ID],$A64)&gt;0)*($H$10&gt;0),$E$10&amp;", ","")&amp;IF((COUNTIFS(TableBOM[Product ID],$D$12,TableBOM[Item ID],$A64)&gt;0)*($H$12&gt;0),$E$12&amp;", ",""))-2),"")</f>
        <v/>
      </c>
      <c r="J64" s="111" t="str">
        <f t="shared" ca="1" si="5"/>
        <v>Not needed</v>
      </c>
      <c r="K64" s="111">
        <f>IF(B64&lt;&gt;"CAP","",SUMPRODUCT((ISNUMBER(SEARCH("Cap Not Available",'FG Stock'!$H$4:$H$100)))*('FG Stock'!$I$4:$I$100=A64)*'FG Stock'!$F$4:$F$100))</f>
        <v>0</v>
      </c>
      <c r="L64" s="111" t="str">
        <f t="shared" ca="1" si="6"/>
        <v/>
      </c>
    </row>
    <row r="65" spans="1:12" ht="24" hidden="1" customHeight="1" x14ac:dyDescent="0.25">
      <c r="A65" s="107">
        <v>1073</v>
      </c>
      <c r="B65" s="107" t="s">
        <v>186</v>
      </c>
      <c r="C65" s="107" t="s">
        <v>204</v>
      </c>
      <c r="D65" s="107" t="s">
        <v>188</v>
      </c>
      <c r="E65" s="108">
        <f ca="1">SUMPRODUCT((TableBOM[Item ID]=A65)*TableBOM[Per 1000 Units]*(1+TableBOM[Scrap %])*SUMIF($D$3:$D$12,TableBOM[Product ID],$H$3:$H$12)/1000)</f>
        <v>0</v>
      </c>
      <c r="F65" s="108">
        <f>IFERROR(INDEX(TableInventory[Store Balance],MATCH(A65,TableInventory[Item ID],0)),0)+IFERROR(INDEX(TableInventory[Work In Process],MATCH(A65,TableInventory[Item ID],0)),0)</f>
        <v>0</v>
      </c>
      <c r="G65" s="117">
        <f t="shared" ca="1" si="4"/>
        <v>0</v>
      </c>
      <c r="H65" s="109" t="str">
        <f ca="1">IF(LEN(IF((COUNTIFS(TableBOM[Product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",""))&gt;1,LEFT(IF((COUNTIFS(TableBOM[Product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",""),LEN(IF((COUNTIFS(TableBOM[Product ID],$D$3,TableBOM[Item ID],$A65)&gt;0)*($H$3&gt;0),$C$3&amp;", ","")&amp;IF((COUNTIFS(TableBOM[Product ID],$D$4,TableBOM[Item ID],$A65)&gt;0)*($H$4&gt;0),$C$4&amp;", ","")&amp;IF((COUNTIFS(TableBOM[Product ID],$D$5,TableBOM[Item ID],$A65)&gt;0)*($H$5&gt;0),$C$5&amp;", ","")&amp;IF((COUNTIFS(TableBOM[Product ID],$D$6,TableBOM[Item ID],$A65)&gt;0)*($H$6&gt;0),$C$6&amp;", ","")&amp;IF((COUNTIFS(TableBOM[Product ID],$D$7,TableBOM[Item ID],$A65)&gt;0)*($H$7&gt;0),$C$7&amp;", ","")&amp;IF((COUNTIFS(TableBOM[Product ID],$D$8,TableBOM[Item ID],$A65)&gt;0)*($H$8&gt;0),$C$8&amp;", ","")&amp;IF((COUNTIFS(TableBOM[Product ID],$D$9,TableBOM[Item ID],$A65)&gt;0)*($H$9&gt;0),$C$9&amp;", ","")&amp;IF((COUNTIFS(TableBOM[Product ID],$D$10,TableBOM[Item ID],$A65)&gt;0)*($H$10&gt;0),$C$10&amp;", ","")&amp;IF((COUNTIFS(TableBOM[Product ID],$D$12,TableBOM[Item ID],$A65)&gt;0)*($H$12&gt;0),$C$12&amp;", ",""))-2),"")</f>
        <v/>
      </c>
      <c r="I65" s="110" t="str">
        <f ca="1">IF(LEN(IF((COUNTIFS(TableBOM[Product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",""))&gt;1,LEFT(IF((COUNTIFS(TableBOM[Product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",""),LEN(IF((COUNTIFS(TableBOM[Product ID],$D$3,TableBOM[Item ID],$A65)&gt;0)*($H$3&gt;0),$E$3&amp;", ","")&amp;IF((COUNTIFS(TableBOM[Product ID],$D$4,TableBOM[Item ID],$A65)&gt;0)*($H$4&gt;0),$E$4&amp;", ","")&amp;IF((COUNTIFS(TableBOM[Product ID],$D$5,TableBOM[Item ID],$A65)&gt;0)*($H$5&gt;0),$E$5&amp;", ","")&amp;IF((COUNTIFS(TableBOM[Product ID],$D$6,TableBOM[Item ID],$A65)&gt;0)*($H$6&gt;0),$E$6&amp;", ","")&amp;IF((COUNTIFS(TableBOM[Product ID],$D$7,TableBOM[Item ID],$A65)&gt;0)*($H$7&gt;0),$E$7&amp;", ","")&amp;IF((COUNTIFS(TableBOM[Product ID],$D$8,TableBOM[Item ID],$A65)&gt;0)*($H$8&gt;0),$E$8&amp;", ","")&amp;IF((COUNTIFS(TableBOM[Product ID],$D$9,TableBOM[Item ID],$A65)&gt;0)*($H$9&gt;0),$E$9&amp;", ","")&amp;IF((COUNTIFS(TableBOM[Product ID],$D$10,TableBOM[Item ID],$A65)&gt;0)*($H$10&gt;0),$E$10&amp;", ","")&amp;IF((COUNTIFS(TableBOM[Product ID],$D$12,TableBOM[Item ID],$A65)&gt;0)*($H$12&gt;0),$E$12&amp;", ",""))-2),"")</f>
        <v/>
      </c>
      <c r="J65" s="111" t="str">
        <f t="shared" ca="1" si="5"/>
        <v>Not needed</v>
      </c>
      <c r="K65" s="111">
        <f>IF(B65&lt;&gt;"CAP","",SUMPRODUCT((ISNUMBER(SEARCH("Cap Not Available",'FG Stock'!$H$4:$H$100)))*('FG Stock'!$I$4:$I$100=A65)*'FG Stock'!$F$4:$F$100))</f>
        <v>0</v>
      </c>
      <c r="L65" s="111" t="str">
        <f t="shared" ca="1" si="6"/>
        <v/>
      </c>
    </row>
    <row r="66" spans="1:12" ht="15" hidden="1" customHeight="1" x14ac:dyDescent="0.25">
      <c r="A66" s="107">
        <v>1285</v>
      </c>
      <c r="B66" s="107" t="s">
        <v>186</v>
      </c>
      <c r="C66" s="107" t="s">
        <v>205</v>
      </c>
      <c r="D66" s="107" t="s">
        <v>188</v>
      </c>
      <c r="E66" s="118">
        <f ca="1">SUMPRODUCT((TableBOM[Item ID]=A66)*TableBOM[Per 1000 Units]*(1+TableBOM[Scrap %])*SUMIF($D$3:$D$12,TableBOM[Product ID],$H$3:$H$12)/1000)</f>
        <v>0</v>
      </c>
      <c r="F66" s="118">
        <f>IFERROR(INDEX(TableInventory[Store Balance],MATCH(A66,TableInventory[Item ID],0)),0)+IFERROR(INDEX(TableInventory[Work In Process],MATCH(A66,TableInventory[Item ID],0)),0)</f>
        <v>0</v>
      </c>
      <c r="G66" s="118">
        <f t="shared" ca="1" si="4"/>
        <v>0</v>
      </c>
      <c r="H66" s="109" t="str">
        <f ca="1">IF(LEN(IF((COUNTIFS(TableBOM[Product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",""))&gt;1,LEFT(IF((COUNTIFS(TableBOM[Product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",""),LEN(IF((COUNTIFS(TableBOM[Product ID],$D$3,TableBOM[Item ID],$A66)&gt;0)*($H$3&gt;0),$C$3&amp;", ","")&amp;IF((COUNTIFS(TableBOM[Product ID],$D$4,TableBOM[Item ID],$A66)&gt;0)*($H$4&gt;0),$C$4&amp;", ","")&amp;IF((COUNTIFS(TableBOM[Product ID],$D$5,TableBOM[Item ID],$A66)&gt;0)*($H$5&gt;0),$C$5&amp;", ","")&amp;IF((COUNTIFS(TableBOM[Product ID],$D$6,TableBOM[Item ID],$A66)&gt;0)*($H$6&gt;0),$C$6&amp;", ","")&amp;IF((COUNTIFS(TableBOM[Product ID],$D$7,TableBOM[Item ID],$A66)&gt;0)*($H$7&gt;0),$C$7&amp;", ","")&amp;IF((COUNTIFS(TableBOM[Product ID],$D$8,TableBOM[Item ID],$A66)&gt;0)*($H$8&gt;0),$C$8&amp;", ","")&amp;IF((COUNTIFS(TableBOM[Product ID],$D$9,TableBOM[Item ID],$A66)&gt;0)*($H$9&gt;0),$C$9&amp;", ","")&amp;IF((COUNTIFS(TableBOM[Product ID],$D$10,TableBOM[Item ID],$A66)&gt;0)*($H$10&gt;0),$C$10&amp;", ","")&amp;IF((COUNTIFS(TableBOM[Product ID],$D$12,TableBOM[Item ID],$A66)&gt;0)*($H$12&gt;0),$C$12&amp;", ",""))-2),"")</f>
        <v/>
      </c>
      <c r="I66" s="110" t="str">
        <f ca="1">IF(LEN(IF((COUNTIFS(TableBOM[Product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",""))&gt;1,LEFT(IF((COUNTIFS(TableBOM[Product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",""),LEN(IF((COUNTIFS(TableBOM[Product ID],$D$3,TableBOM[Item ID],$A66)&gt;0)*($H$3&gt;0),$E$3&amp;", ","")&amp;IF((COUNTIFS(TableBOM[Product ID],$D$4,TableBOM[Item ID],$A66)&gt;0)*($H$4&gt;0),$E$4&amp;", ","")&amp;IF((COUNTIFS(TableBOM[Product ID],$D$5,TableBOM[Item ID],$A66)&gt;0)*($H$5&gt;0),$E$5&amp;", ","")&amp;IF((COUNTIFS(TableBOM[Product ID],$D$6,TableBOM[Item ID],$A66)&gt;0)*($H$6&gt;0),$E$6&amp;", ","")&amp;IF((COUNTIFS(TableBOM[Product ID],$D$7,TableBOM[Item ID],$A66)&gt;0)*($H$7&gt;0),$E$7&amp;", ","")&amp;IF((COUNTIFS(TableBOM[Product ID],$D$8,TableBOM[Item ID],$A66)&gt;0)*($H$8&gt;0),$E$8&amp;", ","")&amp;IF((COUNTIFS(TableBOM[Product ID],$D$9,TableBOM[Item ID],$A66)&gt;0)*($H$9&gt;0),$E$9&amp;", ","")&amp;IF((COUNTIFS(TableBOM[Product ID],$D$10,TableBOM[Item ID],$A66)&gt;0)*($H$10&gt;0),$E$10&amp;", ","")&amp;IF((COUNTIFS(TableBOM[Product ID],$D$12,TableBOM[Item ID],$A66)&gt;0)*($H$12&gt;0),$E$12&amp;", ",""))-2),"")</f>
        <v/>
      </c>
      <c r="J66" s="111" t="str">
        <f t="shared" ca="1" si="5"/>
        <v>Not needed</v>
      </c>
      <c r="K66" s="111">
        <f>IF(B66&lt;&gt;"CAP","",SUMPRODUCT((ISNUMBER(SEARCH("Cap Not Available",'FG Stock'!$H$4:$H$100)))*('FG Stock'!$I$4:$I$100=A66)*'FG Stock'!$F$4:$F$100))</f>
        <v>10500</v>
      </c>
      <c r="L66" s="111" t="str">
        <f t="shared" ca="1" si="6"/>
        <v/>
      </c>
    </row>
    <row r="67" spans="1:12" ht="15" hidden="1" customHeight="1" x14ac:dyDescent="0.25">
      <c r="A67" s="107">
        <v>3522</v>
      </c>
      <c r="B67" s="107" t="s">
        <v>186</v>
      </c>
      <c r="C67" s="107" t="s">
        <v>206</v>
      </c>
      <c r="D67" s="107" t="s">
        <v>188</v>
      </c>
      <c r="E67" s="108">
        <f ca="1">SUMPRODUCT((TableBOM[Item ID]=A67)*TableBOM[Per 1000 Units]*(1+TableBOM[Scrap %])*SUMIF($D$3:$D$12,TableBOM[Product ID],$H$3:$H$12)/1000)</f>
        <v>0</v>
      </c>
      <c r="F67" s="108">
        <f>IFERROR(INDEX(TableInventory[Store Balance],MATCH(A67,TableInventory[Item ID],0)),0)+IFERROR(INDEX(TableInventory[Work In Process],MATCH(A67,TableInventory[Item ID],0)),0)</f>
        <v>75000</v>
      </c>
      <c r="G67" s="108">
        <f t="shared" ca="1" si="4"/>
        <v>75000</v>
      </c>
      <c r="H67" s="109" t="str">
        <f ca="1">IF(LEN(IF((COUNTIFS(TableBOM[Product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",""))&gt;1,LEFT(IF((COUNTIFS(TableBOM[Product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",""),LEN(IF((COUNTIFS(TableBOM[Product ID],$D$3,TableBOM[Item ID],$A67)&gt;0)*($H$3&gt;0),$C$3&amp;", ","")&amp;IF((COUNTIFS(TableBOM[Product ID],$D$4,TableBOM[Item ID],$A67)&gt;0)*($H$4&gt;0),$C$4&amp;", ","")&amp;IF((COUNTIFS(TableBOM[Product ID],$D$5,TableBOM[Item ID],$A67)&gt;0)*($H$5&gt;0),$C$5&amp;", ","")&amp;IF((COUNTIFS(TableBOM[Product ID],$D$6,TableBOM[Item ID],$A67)&gt;0)*($H$6&gt;0),$C$6&amp;", ","")&amp;IF((COUNTIFS(TableBOM[Product ID],$D$7,TableBOM[Item ID],$A67)&gt;0)*($H$7&gt;0),$C$7&amp;", ","")&amp;IF((COUNTIFS(TableBOM[Product ID],$D$8,TableBOM[Item ID],$A67)&gt;0)*($H$8&gt;0),$C$8&amp;", ","")&amp;IF((COUNTIFS(TableBOM[Product ID],$D$9,TableBOM[Item ID],$A67)&gt;0)*($H$9&gt;0),$C$9&amp;", ","")&amp;IF((COUNTIFS(TableBOM[Product ID],$D$10,TableBOM[Item ID],$A67)&gt;0)*($H$10&gt;0),$C$10&amp;", ","")&amp;IF((COUNTIFS(TableBOM[Product ID],$D$12,TableBOM[Item ID],$A67)&gt;0)*($H$12&gt;0),$C$12&amp;", ",""))-2),"")</f>
        <v/>
      </c>
      <c r="I67" s="110" t="str">
        <f ca="1">IF(LEN(IF((COUNTIFS(TableBOM[Product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",""))&gt;1,LEFT(IF((COUNTIFS(TableBOM[Product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",""),LEN(IF((COUNTIFS(TableBOM[Product ID],$D$3,TableBOM[Item ID],$A67)&gt;0)*($H$3&gt;0),$E$3&amp;", ","")&amp;IF((COUNTIFS(TableBOM[Product ID],$D$4,TableBOM[Item ID],$A67)&gt;0)*($H$4&gt;0),$E$4&amp;", ","")&amp;IF((COUNTIFS(TableBOM[Product ID],$D$5,TableBOM[Item ID],$A67)&gt;0)*($H$5&gt;0),$E$5&amp;", ","")&amp;IF((COUNTIFS(TableBOM[Product ID],$D$6,TableBOM[Item ID],$A67)&gt;0)*($H$6&gt;0),$E$6&amp;", ","")&amp;IF((COUNTIFS(TableBOM[Product ID],$D$7,TableBOM[Item ID],$A67)&gt;0)*($H$7&gt;0),$E$7&amp;", ","")&amp;IF((COUNTIFS(TableBOM[Product ID],$D$8,TableBOM[Item ID],$A67)&gt;0)*($H$8&gt;0),$E$8&amp;", ","")&amp;IF((COUNTIFS(TableBOM[Product ID],$D$9,TableBOM[Item ID],$A67)&gt;0)*($H$9&gt;0),$E$9&amp;", ","")&amp;IF((COUNTIFS(TableBOM[Product ID],$D$10,TableBOM[Item ID],$A67)&gt;0)*($H$10&gt;0),$E$10&amp;", ","")&amp;IF((COUNTIFS(TableBOM[Product ID],$D$12,TableBOM[Item ID],$A67)&gt;0)*($H$12&gt;0),$E$12&amp;", ",""))-2),"")</f>
        <v/>
      </c>
      <c r="J67" s="111" t="str">
        <f t="shared" ca="1" si="5"/>
        <v>Not needed</v>
      </c>
      <c r="K67" s="111">
        <f>IF(B67&lt;&gt;"CAP","",SUMPRODUCT((ISNUMBER(SEARCH("Cap Not Available",'FG Stock'!$H$4:$H$100)))*('FG Stock'!$I$4:$I$100=A67)*'FG Stock'!$F$4:$F$100))</f>
        <v>0</v>
      </c>
      <c r="L67" s="111" t="str">
        <f t="shared" ca="1" si="6"/>
        <v/>
      </c>
    </row>
    <row r="68" spans="1:12" ht="15" hidden="1" customHeight="1" x14ac:dyDescent="0.25">
      <c r="A68" s="107">
        <v>3866</v>
      </c>
      <c r="B68" s="107" t="s">
        <v>186</v>
      </c>
      <c r="C68" s="107" t="s">
        <v>207</v>
      </c>
      <c r="D68" s="107" t="s">
        <v>188</v>
      </c>
      <c r="E68" s="108">
        <f ca="1">SUMPRODUCT((TableBOM[Item ID]=A68)*TableBOM[Per 1000 Units]*(1+TableBOM[Scrap %])*SUMIF($D$3:$D$12,TableBOM[Product ID],$H$3:$H$12)/1000)</f>
        <v>0</v>
      </c>
      <c r="F68" s="108">
        <f>IFERROR(INDEX(TableInventory[Store Balance],MATCH(A68,TableInventory[Item ID],0)),0)+IFERROR(INDEX(TableInventory[Work In Process],MATCH(A68,TableInventory[Item ID],0)),0)</f>
        <v>0</v>
      </c>
      <c r="G68" s="108">
        <f t="shared" ca="1" si="4"/>
        <v>0</v>
      </c>
      <c r="H68" s="109" t="str">
        <f ca="1">IF(LEN(IF((COUNTIFS(TableBOM[Product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",""))&gt;1,LEFT(IF((COUNTIFS(TableBOM[Product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",""),LEN(IF((COUNTIFS(TableBOM[Product ID],$D$3,TableBOM[Item ID],$A68)&gt;0)*($H$3&gt;0),$C$3&amp;", ","")&amp;IF((COUNTIFS(TableBOM[Product ID],$D$4,TableBOM[Item ID],$A68)&gt;0)*($H$4&gt;0),$C$4&amp;", ","")&amp;IF((COUNTIFS(TableBOM[Product ID],$D$5,TableBOM[Item ID],$A68)&gt;0)*($H$5&gt;0),$C$5&amp;", ","")&amp;IF((COUNTIFS(TableBOM[Product ID],$D$6,TableBOM[Item ID],$A68)&gt;0)*($H$6&gt;0),$C$6&amp;", ","")&amp;IF((COUNTIFS(TableBOM[Product ID],$D$7,TableBOM[Item ID],$A68)&gt;0)*($H$7&gt;0),$C$7&amp;", ","")&amp;IF((COUNTIFS(TableBOM[Product ID],$D$8,TableBOM[Item ID],$A68)&gt;0)*($H$8&gt;0),$C$8&amp;", ","")&amp;IF((COUNTIFS(TableBOM[Product ID],$D$9,TableBOM[Item ID],$A68)&gt;0)*($H$9&gt;0),$C$9&amp;", ","")&amp;IF((COUNTIFS(TableBOM[Product ID],$D$10,TableBOM[Item ID],$A68)&gt;0)*($H$10&gt;0),$C$10&amp;", ","")&amp;IF((COUNTIFS(TableBOM[Product ID],$D$12,TableBOM[Item ID],$A68)&gt;0)*($H$12&gt;0),$C$12&amp;", ",""))-2),"")</f>
        <v/>
      </c>
      <c r="I68" s="110" t="str">
        <f ca="1">IF(LEN(IF((COUNTIFS(TableBOM[Product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",""))&gt;1,LEFT(IF((COUNTIFS(TableBOM[Product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",""),LEN(IF((COUNTIFS(TableBOM[Product ID],$D$3,TableBOM[Item ID],$A68)&gt;0)*($H$3&gt;0),$E$3&amp;", ","")&amp;IF((COUNTIFS(TableBOM[Product ID],$D$4,TableBOM[Item ID],$A68)&gt;0)*($H$4&gt;0),$E$4&amp;", ","")&amp;IF((COUNTIFS(TableBOM[Product ID],$D$5,TableBOM[Item ID],$A68)&gt;0)*($H$5&gt;0),$E$5&amp;", ","")&amp;IF((COUNTIFS(TableBOM[Product ID],$D$6,TableBOM[Item ID],$A68)&gt;0)*($H$6&gt;0),$E$6&amp;", ","")&amp;IF((COUNTIFS(TableBOM[Product ID],$D$7,TableBOM[Item ID],$A68)&gt;0)*($H$7&gt;0),$E$7&amp;", ","")&amp;IF((COUNTIFS(TableBOM[Product ID],$D$8,TableBOM[Item ID],$A68)&gt;0)*($H$8&gt;0),$E$8&amp;", ","")&amp;IF((COUNTIFS(TableBOM[Product ID],$D$9,TableBOM[Item ID],$A68)&gt;0)*($H$9&gt;0),$E$9&amp;", ","")&amp;IF((COUNTIFS(TableBOM[Product ID],$D$10,TableBOM[Item ID],$A68)&gt;0)*($H$10&gt;0),$E$10&amp;", ","")&amp;IF((COUNTIFS(TableBOM[Product ID],$D$12,TableBOM[Item ID],$A68)&gt;0)*($H$12&gt;0),$E$12&amp;", ",""))-2),"")</f>
        <v/>
      </c>
      <c r="J68" s="111" t="str">
        <f t="shared" ca="1" si="5"/>
        <v>Not needed</v>
      </c>
      <c r="K68" s="111">
        <f>IF(B68&lt;&gt;"CAP","",SUMPRODUCT((ISNUMBER(SEARCH("Cap Not Available",'FG Stock'!$H$4:$H$100)))*('FG Stock'!$I$4:$I$100=A68)*'FG Stock'!$F$4:$F$100))</f>
        <v>0</v>
      </c>
      <c r="L68" s="111" t="str">
        <f t="shared" ca="1" si="6"/>
        <v/>
      </c>
    </row>
    <row r="69" spans="1:12" ht="24" customHeight="1" x14ac:dyDescent="0.25">
      <c r="A69" s="112">
        <v>578</v>
      </c>
      <c r="B69" s="112" t="s">
        <v>186</v>
      </c>
      <c r="C69" s="112" t="s">
        <v>208</v>
      </c>
      <c r="D69" s="112" t="s">
        <v>188</v>
      </c>
      <c r="E69" s="113">
        <f ca="1">SUMPRODUCT((TableBOM[Item ID]=A69)*TableBOM[Per 1000 Units]*(1+TableBOM[Scrap %])*SUMIF($D$3:$D$12,TableBOM[Product ID],$H$3:$H$12)/1000)</f>
        <v>13566</v>
      </c>
      <c r="F69" s="113">
        <f>IFERROR(INDEX(TableInventory[Store Balance],MATCH(A69,TableInventory[Item ID],0)),0)+IFERROR(INDEX(TableInventory[Work In Process],MATCH(A69,TableInventory[Item ID],0)),0)</f>
        <v>0</v>
      </c>
      <c r="G69" s="119">
        <f t="shared" ca="1" si="4"/>
        <v>-13566</v>
      </c>
      <c r="H69" s="114" t="str">
        <f ca="1">IF(LEN(IF((COUNTIFS(TableBOM[Product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ID],$D$12,TableBOM[Item ID],$A69)&gt;0)*($H$12&gt;0),$C$12&amp;", ",""))&gt;1,LEFT(IF((COUNTIFS(TableBOM[Product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ID],$D$12,TableBOM[Item ID],$A69)&gt;0)*($H$12&gt;0),$C$12&amp;", ",""),LEN(IF((COUNTIFS(TableBOM[Product ID],$D$3,TableBOM[Item ID],$A69)&gt;0)*($H$3&gt;0),$C$3&amp;", ","")&amp;IF((COUNTIFS(TableBOM[Product ID],$D$4,TableBOM[Item ID],$A69)&gt;0)*($H$4&gt;0),$C$4&amp;", ","")&amp;IF((COUNTIFS(TableBOM[Product ID],$D$5,TableBOM[Item ID],$A69)&gt;0)*($H$5&gt;0),$C$5&amp;", ","")&amp;IF((COUNTIFS(TableBOM[Product ID],$D$6,TableBOM[Item ID],$A69)&gt;0)*($H$6&gt;0),$C$6&amp;", ","")&amp;IF((COUNTIFS(TableBOM[Product ID],$D$7,TableBOM[Item ID],$A69)&gt;0)*($H$7&gt;0),$C$7&amp;", ","")&amp;IF((COUNTIFS(TableBOM[Product ID],$D$8,TableBOM[Item ID],$A69)&gt;0)*($H$8&gt;0),$C$8&amp;", ","")&amp;IF((COUNTIFS(TableBOM[Product ID],$D$9,TableBOM[Item ID],$A69)&gt;0)*($H$9&gt;0),$C$9&amp;", ","")&amp;IF((COUNTIFS(TableBOM[Product ID],$D$10,TableBOM[Item ID],$A69)&gt;0)*($H$10&gt;0),$C$10&amp;", ","")&amp;IF((COUNTIFS(TableBOM[Product ID],$D$12,TableBOM[Item ID],$A69)&gt;0)*($H$12&gt;0),$C$12&amp;", ",""))-2),"")</f>
        <v/>
      </c>
      <c r="I69" s="115" t="str">
        <f ca="1">IF(LEN(IF((COUNTIFS(TableBOM[Product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ID],$D$12,TableBOM[Item ID],$A69)&gt;0)*($H$12&gt;0),$E$12&amp;", ",""))&gt;1,LEFT(IF((COUNTIFS(TableBOM[Product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ID],$D$12,TableBOM[Item ID],$A69)&gt;0)*($H$12&gt;0),$E$12&amp;", ",""),LEN(IF((COUNTIFS(TableBOM[Product ID],$D$3,TableBOM[Item ID],$A69)&gt;0)*($H$3&gt;0),$E$3&amp;", ","")&amp;IF((COUNTIFS(TableBOM[Product ID],$D$4,TableBOM[Item ID],$A69)&gt;0)*($H$4&gt;0),$E$4&amp;", ","")&amp;IF((COUNTIFS(TableBOM[Product ID],$D$5,TableBOM[Item ID],$A69)&gt;0)*($H$5&gt;0),$E$5&amp;", ","")&amp;IF((COUNTIFS(TableBOM[Product ID],$D$6,TableBOM[Item ID],$A69)&gt;0)*($H$6&gt;0),$E$6&amp;", ","")&amp;IF((COUNTIFS(TableBOM[Product ID],$D$7,TableBOM[Item ID],$A69)&gt;0)*($H$7&gt;0),$E$7&amp;", ","")&amp;IF((COUNTIFS(TableBOM[Product ID],$D$8,TableBOM[Item ID],$A69)&gt;0)*($H$8&gt;0),$E$8&amp;", ","")&amp;IF((COUNTIFS(TableBOM[Product ID],$D$9,TableBOM[Item ID],$A69)&gt;0)*($H$9&gt;0),$E$9&amp;", ","")&amp;IF((COUNTIFS(TableBOM[Product ID],$D$10,TableBOM[Item ID],$A69)&gt;0)*($H$10&gt;0),$E$10&amp;", ","")&amp;IF((COUNTIFS(TableBOM[Product ID],$D$12,TableBOM[Item ID],$A69)&gt;0)*($H$12&gt;0),$E$12&amp;", ",""))-2),"")</f>
        <v/>
      </c>
      <c r="J69" s="116" t="str">
        <f t="shared" ca="1" si="5"/>
        <v>SHORTAGE</v>
      </c>
      <c r="K69" s="116">
        <f>IF(B69&lt;&gt;"CAP","",SUMPRODUCT((ISNUMBER(SEARCH("Cap Not Available",'FG Stock'!$H$4:$H$100)))*('FG Stock'!$I$4:$I$100=A69)*'FG Stock'!$F$4:$F$100))</f>
        <v>0</v>
      </c>
      <c r="L69" s="116">
        <f t="shared" ca="1" si="6"/>
        <v>13566</v>
      </c>
    </row>
    <row r="70" spans="1:12" ht="15" hidden="1" customHeight="1" x14ac:dyDescent="0.25">
      <c r="A70" s="120">
        <v>9902</v>
      </c>
      <c r="B70" s="120" t="s">
        <v>186</v>
      </c>
      <c r="C70" s="120" t="s">
        <v>209</v>
      </c>
      <c r="D70" s="120" t="s">
        <v>188</v>
      </c>
      <c r="E70" s="121">
        <f ca="1">SUMPRODUCT((TableBOM[Item ID]=A70)*TableBOM[Per 1000 Units]*(1+TableBOM[Scrap %])*SUMIF($D$3:$D$12,TableBOM[Product ID],$H$3:$H$12)/1000)</f>
        <v>0</v>
      </c>
      <c r="F70" s="121">
        <f>IFERROR(INDEX(TableInventory[Store Balance],MATCH(A70,TableInventory[Item ID],0)),0)+IFERROR(INDEX(TableInventory[Work In Process],MATCH(A70,TableInventory[Item ID],0)),0)</f>
        <v>0</v>
      </c>
      <c r="G70" s="121">
        <f t="shared" ca="1" si="4"/>
        <v>0</v>
      </c>
      <c r="H70" s="122" t="str">
        <f ca="1">IF(LEN(IF((COUNTIFS(TableBOM[Product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",""))&gt;1,LEFT(IF((COUNTIFS(TableBOM[Product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",""),LEN(IF((COUNTIFS(TableBOM[Product ID],$D$3,TableBOM[Item ID],$A70)&gt;0)*($H$3&gt;0),$C$3&amp;", ","")&amp;IF((COUNTIFS(TableBOM[Product ID],$D$4,TableBOM[Item ID],$A70)&gt;0)*($H$4&gt;0),$C$4&amp;", ","")&amp;IF((COUNTIFS(TableBOM[Product ID],$D$5,TableBOM[Item ID],$A70)&gt;0)*($H$5&gt;0),$C$5&amp;", ","")&amp;IF((COUNTIFS(TableBOM[Product ID],$D$6,TableBOM[Item ID],$A70)&gt;0)*($H$6&gt;0),$C$6&amp;", ","")&amp;IF((COUNTIFS(TableBOM[Product ID],$D$7,TableBOM[Item ID],$A70)&gt;0)*($H$7&gt;0),$C$7&amp;", ","")&amp;IF((COUNTIFS(TableBOM[Product ID],$D$8,TableBOM[Item ID],$A70)&gt;0)*($H$8&gt;0),$C$8&amp;", ","")&amp;IF((COUNTIFS(TableBOM[Product ID],$D$9,TableBOM[Item ID],$A70)&gt;0)*($H$9&gt;0),$C$9&amp;", ","")&amp;IF((COUNTIFS(TableBOM[Product ID],$D$10,TableBOM[Item ID],$A70)&gt;0)*($H$10&gt;0),$C$10&amp;", ","")&amp;IF((COUNTIFS(TableBOM[Product ID],$D$12,TableBOM[Item ID],$A70)&gt;0)*($H$12&gt;0),$C$12&amp;", ",""))-2),"")</f>
        <v/>
      </c>
      <c r="I70" s="123" t="str">
        <f ca="1">IF(LEN(IF((COUNTIFS(TableBOM[Product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",""))&gt;1,LEFT(IF((COUNTIFS(TableBOM[Product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",""),LEN(IF((COUNTIFS(TableBOM[Product ID],$D$3,TableBOM[Item ID],$A70)&gt;0)*($H$3&gt;0),$E$3&amp;", ","")&amp;IF((COUNTIFS(TableBOM[Product ID],$D$4,TableBOM[Item ID],$A70)&gt;0)*($H$4&gt;0),$E$4&amp;", ","")&amp;IF((COUNTIFS(TableBOM[Product ID],$D$5,TableBOM[Item ID],$A70)&gt;0)*($H$5&gt;0),$E$5&amp;", ","")&amp;IF((COUNTIFS(TableBOM[Product ID],$D$6,TableBOM[Item ID],$A70)&gt;0)*($H$6&gt;0),$E$6&amp;", ","")&amp;IF((COUNTIFS(TableBOM[Product ID],$D$7,TableBOM[Item ID],$A70)&gt;0)*($H$7&gt;0),$E$7&amp;", ","")&amp;IF((COUNTIFS(TableBOM[Product ID],$D$8,TableBOM[Item ID],$A70)&gt;0)*($H$8&gt;0),$E$8&amp;", ","")&amp;IF((COUNTIFS(TableBOM[Product ID],$D$9,TableBOM[Item ID],$A70)&gt;0)*($H$9&gt;0),$E$9&amp;", ","")&amp;IF((COUNTIFS(TableBOM[Product ID],$D$10,TableBOM[Item ID],$A70)&gt;0)*($H$10&gt;0),$E$10&amp;", ","")&amp;IF((COUNTIFS(TableBOM[Product ID],$D$12,TableBOM[Item ID],$A70)&gt;0)*($H$12&gt;0),$E$12&amp;", ",""))-2),"")</f>
        <v/>
      </c>
      <c r="J70" s="124" t="str">
        <f t="shared" ca="1" si="5"/>
        <v>Not needed</v>
      </c>
      <c r="K70" s="124">
        <f>IF(B70&lt;&gt;"CAP","",SUMPRODUCT((ISNUMBER(SEARCH("Cap Not Available",'FG Stock'!$H$4:$H$100)))*('FG Stock'!$I$4:$I$100=A70)*'FG Stock'!$F$4:$F$100))</f>
        <v>0</v>
      </c>
      <c r="L70" s="124" t="str">
        <f t="shared" ca="1" si="6"/>
        <v/>
      </c>
    </row>
    <row r="71" spans="1:12" ht="15" hidden="1" customHeight="1" x14ac:dyDescent="0.25">
      <c r="A71" s="88">
        <v>9903</v>
      </c>
      <c r="B71" s="88" t="s">
        <v>210</v>
      </c>
      <c r="C71" s="88" t="s">
        <v>211</v>
      </c>
      <c r="D71" s="88" t="s">
        <v>188</v>
      </c>
      <c r="E71" s="94">
        <f ca="1">SUMPRODUCT((TableBOM[Item ID]=A71)*TableBOM[Per 1000 Units]*(1+TableBOM[Scrap %])*SUMIF($D$3:$D$12,TableBOM[Product ID],$H$3:$H$12)/1000)</f>
        <v>0</v>
      </c>
      <c r="F71" s="94">
        <f>IFERROR(INDEX(TableInventory[Store Balance],MATCH(A71,TableInventory[Item ID],0)),0)+IFERROR(INDEX(TableInventory[Work In Process],MATCH(A71,TableInventory[Item ID],0)),0)</f>
        <v>0</v>
      </c>
      <c r="G71" s="94">
        <f t="shared" ca="1" si="4"/>
        <v>0</v>
      </c>
      <c r="H71" s="95" t="str">
        <f ca="1">IF(LEN(IF((COUNTIFS(TableBOM[Product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",""))&gt;1,LEFT(IF((COUNTIFS(TableBOM[Product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",""),LEN(IF((COUNTIFS(TableBOM[Product ID],$D$3,TableBOM[Item ID],$A71)&gt;0)*($H$3&gt;0),$C$3&amp;", ","")&amp;IF((COUNTIFS(TableBOM[Product ID],$D$4,TableBOM[Item ID],$A71)&gt;0)*($H$4&gt;0),$C$4&amp;", ","")&amp;IF((COUNTIFS(TableBOM[Product ID],$D$5,TableBOM[Item ID],$A71)&gt;0)*($H$5&gt;0),$C$5&amp;", ","")&amp;IF((COUNTIFS(TableBOM[Product ID],$D$6,TableBOM[Item ID],$A71)&gt;0)*($H$6&gt;0),$C$6&amp;", ","")&amp;IF((COUNTIFS(TableBOM[Product ID],$D$7,TableBOM[Item ID],$A71)&gt;0)*($H$7&gt;0),$C$7&amp;", ","")&amp;IF((COUNTIFS(TableBOM[Product ID],$D$8,TableBOM[Item ID],$A71)&gt;0)*($H$8&gt;0),$C$8&amp;", ","")&amp;IF((COUNTIFS(TableBOM[Product ID],$D$9,TableBOM[Item ID],$A71)&gt;0)*($H$9&gt;0),$C$9&amp;", ","")&amp;IF((COUNTIFS(TableBOM[Product ID],$D$10,TableBOM[Item ID],$A71)&gt;0)*($H$10&gt;0),$C$10&amp;", ","")&amp;IF((COUNTIFS(TableBOM[Product ID],$D$12,TableBOM[Item ID],$A71)&gt;0)*($H$12&gt;0),$C$12&amp;", ",""))-2),"")</f>
        <v/>
      </c>
      <c r="I71" s="96" t="str">
        <f ca="1">IF(LEN(IF((COUNTIFS(TableBOM[Product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",""))&gt;1,LEFT(IF((COUNTIFS(TableBOM[Product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",""),LEN(IF((COUNTIFS(TableBOM[Product ID],$D$3,TableBOM[Item ID],$A71)&gt;0)*($H$3&gt;0),$E$3&amp;", ","")&amp;IF((COUNTIFS(TableBOM[Product ID],$D$4,TableBOM[Item ID],$A71)&gt;0)*($H$4&gt;0),$E$4&amp;", ","")&amp;IF((COUNTIFS(TableBOM[Product ID],$D$5,TableBOM[Item ID],$A71)&gt;0)*($H$5&gt;0),$E$5&amp;", ","")&amp;IF((COUNTIFS(TableBOM[Product ID],$D$6,TableBOM[Item ID],$A71)&gt;0)*($H$6&gt;0),$E$6&amp;", ","")&amp;IF((COUNTIFS(TableBOM[Product ID],$D$7,TableBOM[Item ID],$A71)&gt;0)*($H$7&gt;0),$E$7&amp;", ","")&amp;IF((COUNTIFS(TableBOM[Product ID],$D$8,TableBOM[Item ID],$A71)&gt;0)*($H$8&gt;0),$E$8&amp;", ","")&amp;IF((COUNTIFS(TableBOM[Product ID],$D$9,TableBOM[Item ID],$A71)&gt;0)*($H$9&gt;0),$E$9&amp;", ","")&amp;IF((COUNTIFS(TableBOM[Product ID],$D$10,TableBOM[Item ID],$A71)&gt;0)*($H$10&gt;0),$E$10&amp;", ","")&amp;IF((COUNTIFS(TableBOM[Product ID],$D$12,TableBOM[Item ID],$A71)&gt;0)*($H$12&gt;0),$E$12&amp;", ",""))-2),"")</f>
        <v/>
      </c>
      <c r="J71" s="97" t="str">
        <f t="shared" ca="1" si="5"/>
        <v>Not needed</v>
      </c>
      <c r="K71" s="97" t="str">
        <f>IF(B71&lt;&gt;"CAP","",SUMPRODUCT((ISNUMBER(SEARCH("Cap Not Available",'FG Stock'!$H$4:$H$100)))*('FG Stock'!$I$4:$I$100=A71)*'FG Stock'!$F$4:$F$100))</f>
        <v/>
      </c>
      <c r="L71" s="97" t="str">
        <f t="shared" ca="1" si="6"/>
        <v/>
      </c>
    </row>
    <row r="72" spans="1:12" ht="24" customHeight="1" x14ac:dyDescent="0.25">
      <c r="A72" s="88">
        <v>36</v>
      </c>
      <c r="B72" s="88" t="s">
        <v>210</v>
      </c>
      <c r="C72" s="88" t="s">
        <v>212</v>
      </c>
      <c r="D72" s="88" t="s">
        <v>188</v>
      </c>
      <c r="E72" s="94">
        <f ca="1">SUMPRODUCT((TableBOM[Item ID]=A72)*TableBOM[Per 1000 Units]*(1+TableBOM[Scrap %])*SUMIF($D$3:$D$12,TableBOM[Product ID],$H$3:$H$12)/1000)</f>
        <v>137.5</v>
      </c>
      <c r="F72" s="94">
        <f>IFERROR(INDEX(TableInventory[Store Balance],MATCH(A72,TableInventory[Item ID],0)),0)+IFERROR(INDEX(TableInventory[Work In Process],MATCH(A72,TableInventory[Item ID],0)),0)</f>
        <v>0</v>
      </c>
      <c r="G72" s="98">
        <f t="shared" ca="1" si="4"/>
        <v>-137.5</v>
      </c>
      <c r="H72" s="95" t="str">
        <f ca="1">IF(LEN(IF((COUNTIFS(TableBOM[Product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",""))&gt;1,LEFT(IF((COUNTIFS(TableBOM[Product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",""),LEN(IF((COUNTIFS(TableBOM[Product ID],$D$3,TableBOM[Item ID],$A72)&gt;0)*($H$3&gt;0),$C$3&amp;", ","")&amp;IF((COUNTIFS(TableBOM[Product ID],$D$4,TableBOM[Item ID],$A72)&gt;0)*($H$4&gt;0),$C$4&amp;", ","")&amp;IF((COUNTIFS(TableBOM[Product ID],$D$5,TableBOM[Item ID],$A72)&gt;0)*($H$5&gt;0),$C$5&amp;", ","")&amp;IF((COUNTIFS(TableBOM[Product ID],$D$6,TableBOM[Item ID],$A72)&gt;0)*($H$6&gt;0),$C$6&amp;", ","")&amp;IF((COUNTIFS(TableBOM[Product ID],$D$7,TableBOM[Item ID],$A72)&gt;0)*($H$7&gt;0),$C$7&amp;", ","")&amp;IF((COUNTIFS(TableBOM[Product ID],$D$8,TableBOM[Item ID],$A72)&gt;0)*($H$8&gt;0),$C$8&amp;", ","")&amp;IF((COUNTIFS(TableBOM[Product ID],$D$9,TableBOM[Item ID],$A72)&gt;0)*($H$9&gt;0),$C$9&amp;", ","")&amp;IF((COUNTIFS(TableBOM[Product ID],$D$10,TableBOM[Item ID],$A72)&gt;0)*($H$10&gt;0),$C$10&amp;", ","")&amp;IF((COUNTIFS(TableBOM[Product ID],$D$12,TableBOM[Item ID],$A72)&gt;0)*($H$12&gt;0),$C$12&amp;", ",""))-2),"")</f>
        <v>ECZEMUS OINTMENT 0.03% 10G</v>
      </c>
      <c r="I72" s="96" t="str">
        <f ca="1">IF(LEN(IF((COUNTIFS(TableBOM[Product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",""))&gt;1,LEFT(IF((COUNTIFS(TableBOM[Product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",""),LEN(IF((COUNTIFS(TableBOM[Product ID],$D$3,TableBOM[Item ID],$A72)&gt;0)*($H$3&gt;0),$E$3&amp;", ","")&amp;IF((COUNTIFS(TableBOM[Product ID],$D$4,TableBOM[Item ID],$A72)&gt;0)*($H$4&gt;0),$E$4&amp;", ","")&amp;IF((COUNTIFS(TableBOM[Product ID],$D$5,TableBOM[Item ID],$A72)&gt;0)*($H$5&gt;0),$E$5&amp;", ","")&amp;IF((COUNTIFS(TableBOM[Product ID],$D$6,TableBOM[Item ID],$A72)&gt;0)*($H$6&gt;0),$E$6&amp;", ","")&amp;IF((COUNTIFS(TableBOM[Product ID],$D$7,TableBOM[Item ID],$A72)&gt;0)*($H$7&gt;0),$E$7&amp;", ","")&amp;IF((COUNTIFS(TableBOM[Product ID],$D$8,TableBOM[Item ID],$A72)&gt;0)*($H$8&gt;0),$E$8&amp;", ","")&amp;IF((COUNTIFS(TableBOM[Product ID],$D$9,TableBOM[Item ID],$A72)&gt;0)*($H$9&gt;0),$E$9&amp;", ","")&amp;IF((COUNTIFS(TableBOM[Product ID],$D$10,TableBOM[Item ID],$A72)&gt;0)*($H$10&gt;0),$E$10&amp;", ","")&amp;IF((COUNTIFS(TableBOM[Product ID],$D$12,TableBOM[Item ID],$A72)&gt;0)*($H$12&gt;0),$E$12&amp;", ",""))-2),"")</f>
        <v>6849</v>
      </c>
      <c r="J72" s="97" t="str">
        <f t="shared" ca="1" si="5"/>
        <v>SHORTAGE</v>
      </c>
      <c r="K72" s="97" t="str">
        <f>IF(B72&lt;&gt;"CAP","",SUMPRODUCT((ISNUMBER(SEARCH("Cap Not Available",'FG Stock'!$H$4:$H$100)))*('FG Stock'!$I$4:$I$100=A72)*'FG Stock'!$F$4:$F$100))</f>
        <v/>
      </c>
      <c r="L72" s="97">
        <f t="shared" ca="1" si="6"/>
        <v>137.5</v>
      </c>
    </row>
    <row r="73" spans="1:12" ht="24" customHeight="1" x14ac:dyDescent="0.25">
      <c r="A73" s="88">
        <v>200</v>
      </c>
      <c r="B73" s="88" t="s">
        <v>210</v>
      </c>
      <c r="C73" s="88" t="s">
        <v>213</v>
      </c>
      <c r="D73" s="88" t="s">
        <v>188</v>
      </c>
      <c r="E73" s="94">
        <f ca="1">SUMPRODUCT((TableBOM[Item ID]=A73)*TableBOM[Per 1000 Units]*(1+TableBOM[Scrap %])*SUMIF($D$3:$D$12,TableBOM[Product ID],$H$3:$H$12)/1000)</f>
        <v>15.125000000000002</v>
      </c>
      <c r="F73" s="94">
        <f>IFERROR(INDEX(TableInventory[Store Balance],MATCH(A73,TableInventory[Item ID],0)),0)+IFERROR(INDEX(TableInventory[Work In Process],MATCH(A73,TableInventory[Item ID],0)),0)</f>
        <v>0</v>
      </c>
      <c r="G73" s="98">
        <f t="shared" ca="1" si="4"/>
        <v>-15.125000000000002</v>
      </c>
      <c r="H73" s="95" t="str">
        <f ca="1">IF(LEN(IF((COUNTIFS(TableBOM[Product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",""))&gt;1,LEFT(IF((COUNTIFS(TableBOM[Product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",""),LEN(IF((COUNTIFS(TableBOM[Product ID],$D$3,TableBOM[Item ID],$A73)&gt;0)*($H$3&gt;0),$C$3&amp;", ","")&amp;IF((COUNTIFS(TableBOM[Product ID],$D$4,TableBOM[Item ID],$A73)&gt;0)*($H$4&gt;0),$C$4&amp;", ","")&amp;IF((COUNTIFS(TableBOM[Product ID],$D$5,TableBOM[Item ID],$A73)&gt;0)*($H$5&gt;0),$C$5&amp;", ","")&amp;IF((COUNTIFS(TableBOM[Product ID],$D$6,TableBOM[Item ID],$A73)&gt;0)*($H$6&gt;0),$C$6&amp;", ","")&amp;IF((COUNTIFS(TableBOM[Product ID],$D$7,TableBOM[Item ID],$A73)&gt;0)*($H$7&gt;0),$C$7&amp;", ","")&amp;IF((COUNTIFS(TableBOM[Product ID],$D$8,TableBOM[Item ID],$A73)&gt;0)*($H$8&gt;0),$C$8&amp;", ","")&amp;IF((COUNTIFS(TableBOM[Product ID],$D$9,TableBOM[Item ID],$A73)&gt;0)*($H$9&gt;0),$C$9&amp;", ","")&amp;IF((COUNTIFS(TableBOM[Product ID],$D$10,TableBOM[Item ID],$A73)&gt;0)*($H$10&gt;0),$C$10&amp;", ","")&amp;IF((COUNTIFS(TableBOM[Product ID],$D$12,TableBOM[Item ID],$A73)&gt;0)*($H$12&gt;0),$C$12&amp;", ",""))-2),"")</f>
        <v>ECZEMUS OINTMENT 0.03% 10G</v>
      </c>
      <c r="I73" s="96" t="str">
        <f ca="1">IF(LEN(IF((COUNTIFS(TableBOM[Product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",""))&gt;1,LEFT(IF((COUNTIFS(TableBOM[Product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",""),LEN(IF((COUNTIFS(TableBOM[Product ID],$D$3,TableBOM[Item ID],$A73)&gt;0)*($H$3&gt;0),$E$3&amp;", ","")&amp;IF((COUNTIFS(TableBOM[Product ID],$D$4,TableBOM[Item ID],$A73)&gt;0)*($H$4&gt;0),$E$4&amp;", ","")&amp;IF((COUNTIFS(TableBOM[Product ID],$D$5,TableBOM[Item ID],$A73)&gt;0)*($H$5&gt;0),$E$5&amp;", ","")&amp;IF((COUNTIFS(TableBOM[Product ID],$D$6,TableBOM[Item ID],$A73)&gt;0)*($H$6&gt;0),$E$6&amp;", ","")&amp;IF((COUNTIFS(TableBOM[Product ID],$D$7,TableBOM[Item ID],$A73)&gt;0)*($H$7&gt;0),$E$7&amp;", ","")&amp;IF((COUNTIFS(TableBOM[Product ID],$D$8,TableBOM[Item ID],$A73)&gt;0)*($H$8&gt;0),$E$8&amp;", ","")&amp;IF((COUNTIFS(TableBOM[Product ID],$D$9,TableBOM[Item ID],$A73)&gt;0)*($H$9&gt;0),$E$9&amp;", ","")&amp;IF((COUNTIFS(TableBOM[Product ID],$D$10,TableBOM[Item ID],$A73)&gt;0)*($H$10&gt;0),$E$10&amp;", ","")&amp;IF((COUNTIFS(TableBOM[Product ID],$D$12,TableBOM[Item ID],$A73)&gt;0)*($H$12&gt;0),$E$12&amp;", ",""))-2),"")</f>
        <v>6849</v>
      </c>
      <c r="J73" s="97" t="str">
        <f t="shared" ca="1" si="5"/>
        <v>SHORTAGE</v>
      </c>
      <c r="K73" s="97" t="str">
        <f>IF(B73&lt;&gt;"CAP","",SUMPRODUCT((ISNUMBER(SEARCH("Cap Not Available",'FG Stock'!$H$4:$H$100)))*('FG Stock'!$I$4:$I$100=A73)*'FG Stock'!$F$4:$F$100))</f>
        <v/>
      </c>
      <c r="L73" s="97">
        <f t="shared" ca="1" si="6"/>
        <v>15.125000000000002</v>
      </c>
    </row>
    <row r="74" spans="1:12" ht="24" hidden="1" customHeight="1" x14ac:dyDescent="0.25">
      <c r="A74" s="88">
        <v>39</v>
      </c>
      <c r="B74" s="88" t="s">
        <v>210</v>
      </c>
      <c r="C74" s="88" t="s">
        <v>214</v>
      </c>
      <c r="D74" s="88" t="s">
        <v>188</v>
      </c>
      <c r="E74" s="94">
        <f ca="1">SUMPRODUCT((TableBOM[Item ID]=A74)*TableBOM[Per 1000 Units]*(1+TableBOM[Scrap %])*SUMIF($D$3:$D$12,TableBOM[Product ID],$H$3:$H$12)/1000)</f>
        <v>0</v>
      </c>
      <c r="F74" s="94">
        <f>IFERROR(INDEX(TableInventory[Store Balance],MATCH(A74,TableInventory[Item ID],0)),0)+IFERROR(INDEX(TableInventory[Work In Process],MATCH(A74,TableInventory[Item ID],0)),0)</f>
        <v>0</v>
      </c>
      <c r="G74" s="94">
        <f t="shared" ca="1" si="4"/>
        <v>0</v>
      </c>
      <c r="H74" s="95" t="str">
        <f ca="1">IF(LEN(IF((COUNTIFS(TableBOM[Product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",""))&gt;1,LEFT(IF((COUNTIFS(TableBOM[Product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",""),LEN(IF((COUNTIFS(TableBOM[Product ID],$D$3,TableBOM[Item ID],$A74)&gt;0)*($H$3&gt;0),$C$3&amp;", ","")&amp;IF((COUNTIFS(TableBOM[Product ID],$D$4,TableBOM[Item ID],$A74)&gt;0)*($H$4&gt;0),$C$4&amp;", ","")&amp;IF((COUNTIFS(TableBOM[Product ID],$D$5,TableBOM[Item ID],$A74)&gt;0)*($H$5&gt;0),$C$5&amp;", ","")&amp;IF((COUNTIFS(TableBOM[Product ID],$D$6,TableBOM[Item ID],$A74)&gt;0)*($H$6&gt;0),$C$6&amp;", ","")&amp;IF((COUNTIFS(TableBOM[Product ID],$D$7,TableBOM[Item ID],$A74)&gt;0)*($H$7&gt;0),$C$7&amp;", ","")&amp;IF((COUNTIFS(TableBOM[Product ID],$D$8,TableBOM[Item ID],$A74)&gt;0)*($H$8&gt;0),$C$8&amp;", ","")&amp;IF((COUNTIFS(TableBOM[Product ID],$D$9,TableBOM[Item ID],$A74)&gt;0)*($H$9&gt;0),$C$9&amp;", ","")&amp;IF((COUNTIFS(TableBOM[Product ID],$D$10,TableBOM[Item ID],$A74)&gt;0)*($H$10&gt;0),$C$10&amp;", ","")&amp;IF((COUNTIFS(TableBOM[Product ID],$D$12,TableBOM[Item ID],$A74)&gt;0)*($H$12&gt;0),$C$12&amp;", ",""))-2),"")</f>
        <v/>
      </c>
      <c r="I74" s="96" t="str">
        <f ca="1">IF(LEN(IF((COUNTIFS(TableBOM[Product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",""))&gt;1,LEFT(IF((COUNTIFS(TableBOM[Product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",""),LEN(IF((COUNTIFS(TableBOM[Product ID],$D$3,TableBOM[Item ID],$A74)&gt;0)*($H$3&gt;0),$E$3&amp;", ","")&amp;IF((COUNTIFS(TableBOM[Product ID],$D$4,TableBOM[Item ID],$A74)&gt;0)*($H$4&gt;0),$E$4&amp;", ","")&amp;IF((COUNTIFS(TableBOM[Product ID],$D$5,TableBOM[Item ID],$A74)&gt;0)*($H$5&gt;0),$E$5&amp;", ","")&amp;IF((COUNTIFS(TableBOM[Product ID],$D$6,TableBOM[Item ID],$A74)&gt;0)*($H$6&gt;0),$E$6&amp;", ","")&amp;IF((COUNTIFS(TableBOM[Product ID],$D$7,TableBOM[Item ID],$A74)&gt;0)*($H$7&gt;0),$E$7&amp;", ","")&amp;IF((COUNTIFS(TableBOM[Product ID],$D$8,TableBOM[Item ID],$A74)&gt;0)*($H$8&gt;0),$E$8&amp;", ","")&amp;IF((COUNTIFS(TableBOM[Product ID],$D$9,TableBOM[Item ID],$A74)&gt;0)*($H$9&gt;0),$E$9&amp;", ","")&amp;IF((COUNTIFS(TableBOM[Product ID],$D$10,TableBOM[Item ID],$A74)&gt;0)*($H$10&gt;0),$E$10&amp;", ","")&amp;IF((COUNTIFS(TableBOM[Product ID],$D$12,TableBOM[Item ID],$A74)&gt;0)*($H$12&gt;0),$E$12&amp;", ",""))-2),"")</f>
        <v/>
      </c>
      <c r="J74" s="97" t="str">
        <f t="shared" ca="1" si="5"/>
        <v>Not needed</v>
      </c>
      <c r="K74" s="97" t="str">
        <f>IF(B74&lt;&gt;"CAP","",SUMPRODUCT((ISNUMBER(SEARCH("Cap Not Available",'FG Stock'!$H$4:$H$100)))*('FG Stock'!$I$4:$I$100=A74)*'FG Stock'!$F$4:$F$100))</f>
        <v/>
      </c>
      <c r="L74" s="97" t="str">
        <f t="shared" ca="1" si="6"/>
        <v/>
      </c>
    </row>
    <row r="75" spans="1:12" ht="24" customHeight="1" x14ac:dyDescent="0.25">
      <c r="A75" s="88">
        <v>3619</v>
      </c>
      <c r="B75" s="88" t="s">
        <v>210</v>
      </c>
      <c r="C75" s="88" t="s">
        <v>215</v>
      </c>
      <c r="D75" s="88" t="s">
        <v>188</v>
      </c>
      <c r="E75" s="94">
        <f ca="1">SUMPRODUCT((TableBOM[Item ID]=A75)*TableBOM[Per 1000 Units]*(1+TableBOM[Scrap %])*SUMIF($D$3:$D$12,TableBOM[Product ID],$H$3:$H$12)/1000)</f>
        <v>20.36056</v>
      </c>
      <c r="F75" s="94">
        <f>IFERROR(INDEX(TableInventory[Store Balance],MATCH(A75,TableInventory[Item ID],0)),0)+IFERROR(INDEX(TableInventory[Work In Process],MATCH(A75,TableInventory[Item ID],0)),0)</f>
        <v>292</v>
      </c>
      <c r="G75" s="98">
        <f t="shared" ca="1" si="4"/>
        <v>271.63943999999998</v>
      </c>
      <c r="H75" s="95" t="str">
        <f ca="1">IF(LEN(IF((COUNTIFS(TableBOM[Product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",""))&gt;1,LEFT(IF((COUNTIFS(TableBOM[Product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",""),LEN(IF((COUNTIFS(TableBOM[Product ID],$D$3,TableBOM[Item ID],$A75)&gt;0)*($H$3&gt;0),$C$3&amp;", ","")&amp;IF((COUNTIFS(TableBOM[Product ID],$D$4,TableBOM[Item ID],$A75)&gt;0)*($H$4&gt;0),$C$4&amp;", ","")&amp;IF((COUNTIFS(TableBOM[Product ID],$D$5,TableBOM[Item ID],$A75)&gt;0)*($H$5&gt;0),$C$5&amp;", ","")&amp;IF((COUNTIFS(TableBOM[Product ID],$D$6,TableBOM[Item ID],$A75)&gt;0)*($H$6&gt;0),$C$6&amp;", ","")&amp;IF((COUNTIFS(TableBOM[Product ID],$D$7,TableBOM[Item ID],$A75)&gt;0)*($H$7&gt;0),$C$7&amp;", ","")&amp;IF((COUNTIFS(TableBOM[Product ID],$D$8,TableBOM[Item ID],$A75)&gt;0)*($H$8&gt;0),$C$8&amp;", ","")&amp;IF((COUNTIFS(TableBOM[Product ID],$D$9,TableBOM[Item ID],$A75)&gt;0)*($H$9&gt;0),$C$9&amp;", ","")&amp;IF((COUNTIFS(TableBOM[Product ID],$D$10,TableBOM[Item ID],$A75)&gt;0)*($H$10&gt;0),$C$10&amp;", ","")&amp;IF((COUNTIFS(TableBOM[Product ID],$D$12,TableBOM[Item ID],$A75)&gt;0)*($H$12&gt;0),$C$12&amp;", ",""))-2),"")</f>
        <v>S-45 DIA 19MM</v>
      </c>
      <c r="I75" s="96" t="str">
        <f ca="1">IF(LEN(IF((COUNTIFS(TableBOM[Product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",""))&gt;1,LEFT(IF((COUNTIFS(TableBOM[Product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",""),LEN(IF((COUNTIFS(TableBOM[Product ID],$D$3,TableBOM[Item ID],$A75)&gt;0)*($H$3&gt;0),$E$3&amp;", ","")&amp;IF((COUNTIFS(TableBOM[Product ID],$D$4,TableBOM[Item ID],$A75)&gt;0)*($H$4&gt;0),$E$4&amp;", ","")&amp;IF((COUNTIFS(TableBOM[Product ID],$D$5,TableBOM[Item ID],$A75)&gt;0)*($H$5&gt;0),$E$5&amp;", ","")&amp;IF((COUNTIFS(TableBOM[Product ID],$D$6,TableBOM[Item ID],$A75)&gt;0)*($H$6&gt;0),$E$6&amp;", ","")&amp;IF((COUNTIFS(TableBOM[Product ID],$D$7,TableBOM[Item ID],$A75)&gt;0)*($H$7&gt;0),$E$7&amp;", ","")&amp;IF((COUNTIFS(TableBOM[Product ID],$D$8,TableBOM[Item ID],$A75)&gt;0)*($H$8&gt;0),$E$8&amp;", ","")&amp;IF((COUNTIFS(TableBOM[Product ID],$D$9,TableBOM[Item ID],$A75)&gt;0)*($H$9&gt;0),$E$9&amp;", ","")&amp;IF((COUNTIFS(TableBOM[Product ID],$D$10,TableBOM[Item ID],$A75)&gt;0)*($H$10&gt;0),$E$10&amp;", ","")&amp;IF((COUNTIFS(TableBOM[Product ID],$D$12,TableBOM[Item ID],$A75)&gt;0)*($H$12&gt;0),$E$12&amp;", ",""))-2),"")</f>
        <v>6880 &amp; 6881</v>
      </c>
      <c r="J75" s="97" t="str">
        <f t="shared" ca="1" si="5"/>
        <v>OK</v>
      </c>
      <c r="K75" s="97" t="str">
        <f>IF(B75&lt;&gt;"CAP","",SUMPRODUCT((ISNUMBER(SEARCH("Cap Not Available",'FG Stock'!$H$4:$H$100)))*('FG Stock'!$I$4:$I$100=A75)*'FG Stock'!$F$4:$F$100))</f>
        <v/>
      </c>
      <c r="L75" s="97">
        <f t="shared" ca="1" si="6"/>
        <v>0</v>
      </c>
    </row>
    <row r="76" spans="1:12" ht="36" hidden="1" customHeight="1" x14ac:dyDescent="0.25">
      <c r="A76" s="88">
        <v>3598</v>
      </c>
      <c r="B76" s="88" t="s">
        <v>210</v>
      </c>
      <c r="C76" s="88" t="s">
        <v>216</v>
      </c>
      <c r="D76" s="88" t="s">
        <v>188</v>
      </c>
      <c r="E76" s="94">
        <f ca="1">SUMPRODUCT((TableBOM[Item ID]=A76)*TableBOM[Per 1000 Units]*(1+TableBOM[Scrap %])*SUMIF($D$3:$D$12,TableBOM[Product ID],$H$3:$H$12)/1000)</f>
        <v>0</v>
      </c>
      <c r="F76" s="94">
        <f>IFERROR(INDEX(TableInventory[Store Balance],MATCH(A76,TableInventory[Item ID],0)),0)+IFERROR(INDEX(TableInventory[Work In Process],MATCH(A76,TableInventory[Item ID],0)),0)</f>
        <v>334</v>
      </c>
      <c r="G76" s="98">
        <f t="shared" ca="1" si="4"/>
        <v>334</v>
      </c>
      <c r="H76" s="95" t="str">
        <f ca="1">IF(LEN(IF((COUNTIFS(TableBOM[Product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",""))&gt;1,LEFT(IF((COUNTIFS(TableBOM[Product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",""),LEN(IF((COUNTIFS(TableBOM[Product ID],$D$3,TableBOM[Item ID],$A76)&gt;0)*($H$3&gt;0),$C$3&amp;", ","")&amp;IF((COUNTIFS(TableBOM[Product ID],$D$4,TableBOM[Item ID],$A76)&gt;0)*($H$4&gt;0),$C$4&amp;", ","")&amp;IF((COUNTIFS(TableBOM[Product ID],$D$5,TableBOM[Item ID],$A76)&gt;0)*($H$5&gt;0),$C$5&amp;", ","")&amp;IF((COUNTIFS(TableBOM[Product ID],$D$6,TableBOM[Item ID],$A76)&gt;0)*($H$6&gt;0),$C$6&amp;", ","")&amp;IF((COUNTIFS(TableBOM[Product ID],$D$7,TableBOM[Item ID],$A76)&gt;0)*($H$7&gt;0),$C$7&amp;", ","")&amp;IF((COUNTIFS(TableBOM[Product ID],$D$8,TableBOM[Item ID],$A76)&gt;0)*($H$8&gt;0),$C$8&amp;", ","")&amp;IF((COUNTIFS(TableBOM[Product ID],$D$9,TableBOM[Item ID],$A76)&gt;0)*($H$9&gt;0),$C$9&amp;", ","")&amp;IF((COUNTIFS(TableBOM[Product ID],$D$10,TableBOM[Item ID],$A76)&gt;0)*($H$10&gt;0),$C$10&amp;", ","")&amp;IF((COUNTIFS(TableBOM[Product ID],$D$12,TableBOM[Item ID],$A76)&gt;0)*($H$12&gt;0),$C$12&amp;", ",""))-2),"")</f>
        <v/>
      </c>
      <c r="I76" s="96" t="str">
        <f ca="1">IF(LEN(IF((COUNTIFS(TableBOM[Product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",""))&gt;1,LEFT(IF((COUNTIFS(TableBOM[Product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",""),LEN(IF((COUNTIFS(TableBOM[Product ID],$D$3,TableBOM[Item ID],$A76)&gt;0)*($H$3&gt;0),$E$3&amp;", ","")&amp;IF((COUNTIFS(TableBOM[Product ID],$D$4,TableBOM[Item ID],$A76)&gt;0)*($H$4&gt;0),$E$4&amp;", ","")&amp;IF((COUNTIFS(TableBOM[Product ID],$D$5,TableBOM[Item ID],$A76)&gt;0)*($H$5&gt;0),$E$5&amp;", ","")&amp;IF((COUNTIFS(TableBOM[Product ID],$D$6,TableBOM[Item ID],$A76)&gt;0)*($H$6&gt;0),$E$6&amp;", ","")&amp;IF((COUNTIFS(TableBOM[Product ID],$D$7,TableBOM[Item ID],$A76)&gt;0)*($H$7&gt;0),$E$7&amp;", ","")&amp;IF((COUNTIFS(TableBOM[Product ID],$D$8,TableBOM[Item ID],$A76)&gt;0)*($H$8&gt;0),$E$8&amp;", ","")&amp;IF((COUNTIFS(TableBOM[Product ID],$D$9,TableBOM[Item ID],$A76)&gt;0)*($H$9&gt;0),$E$9&amp;", ","")&amp;IF((COUNTIFS(TableBOM[Product ID],$D$10,TableBOM[Item ID],$A76)&gt;0)*($H$10&gt;0),$E$10&amp;", ","")&amp;IF((COUNTIFS(TableBOM[Product ID],$D$12,TableBOM[Item ID],$A76)&gt;0)*($H$12&gt;0),$E$12&amp;", ",""))-2),"")</f>
        <v/>
      </c>
      <c r="J76" s="97" t="str">
        <f t="shared" ca="1" si="5"/>
        <v>Not needed</v>
      </c>
      <c r="K76" s="97" t="str">
        <f>IF(B76&lt;&gt;"CAP","",SUMPRODUCT((ISNUMBER(SEARCH("Cap Not Available",'FG Stock'!$H$4:$H$100)))*('FG Stock'!$I$4:$I$100=A76)*'FG Stock'!$F$4:$F$100))</f>
        <v/>
      </c>
      <c r="L76" s="97" t="str">
        <f t="shared" ca="1" si="6"/>
        <v/>
      </c>
    </row>
    <row r="77" spans="1:12" ht="15" hidden="1" customHeight="1" x14ac:dyDescent="0.25">
      <c r="A77" s="88">
        <v>45</v>
      </c>
      <c r="B77" s="88" t="s">
        <v>210</v>
      </c>
      <c r="C77" s="88" t="s">
        <v>217</v>
      </c>
      <c r="D77" s="88" t="s">
        <v>188</v>
      </c>
      <c r="E77" s="94">
        <f ca="1">SUMPRODUCT((TableBOM[Item ID]=A77)*TableBOM[Per 1000 Units]*(1+TableBOM[Scrap %])*SUMIF($D$3:$D$12,TableBOM[Product ID],$H$3:$H$12)/1000)</f>
        <v>0</v>
      </c>
      <c r="F77" s="94">
        <f>IFERROR(INDEX(TableInventory[Store Balance],MATCH(A77,TableInventory[Item ID],0)),0)+IFERROR(INDEX(TableInventory[Work In Process],MATCH(A77,TableInventory[Item ID],0)),0)</f>
        <v>600</v>
      </c>
      <c r="G77" s="94">
        <f t="shared" ca="1" si="4"/>
        <v>600</v>
      </c>
      <c r="H77" s="95" t="str">
        <f ca="1">IF(LEN(IF((COUNTIFS(TableBOM[Product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",""))&gt;1,LEFT(IF((COUNTIFS(TableBOM[Product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",""),LEN(IF((COUNTIFS(TableBOM[Product ID],$D$3,TableBOM[Item ID],$A77)&gt;0)*($H$3&gt;0),$C$3&amp;", ","")&amp;IF((COUNTIFS(TableBOM[Product ID],$D$4,TableBOM[Item ID],$A77)&gt;0)*($H$4&gt;0),$C$4&amp;", ","")&amp;IF((COUNTIFS(TableBOM[Product ID],$D$5,TableBOM[Item ID],$A77)&gt;0)*($H$5&gt;0),$C$5&amp;", ","")&amp;IF((COUNTIFS(TableBOM[Product ID],$D$6,TableBOM[Item ID],$A77)&gt;0)*($H$6&gt;0),$C$6&amp;", ","")&amp;IF((COUNTIFS(TableBOM[Product ID],$D$7,TableBOM[Item ID],$A77)&gt;0)*($H$7&gt;0),$C$7&amp;", ","")&amp;IF((COUNTIFS(TableBOM[Product ID],$D$8,TableBOM[Item ID],$A77)&gt;0)*($H$8&gt;0),$C$8&amp;", ","")&amp;IF((COUNTIFS(TableBOM[Product ID],$D$9,TableBOM[Item ID],$A77)&gt;0)*($H$9&gt;0),$C$9&amp;", ","")&amp;IF((COUNTIFS(TableBOM[Product ID],$D$10,TableBOM[Item ID],$A77)&gt;0)*($H$10&gt;0),$C$10&amp;", ","")&amp;IF((COUNTIFS(TableBOM[Product ID],$D$12,TableBOM[Item ID],$A77)&gt;0)*($H$12&gt;0),$C$12&amp;", ",""))-2),"")</f>
        <v/>
      </c>
      <c r="I77" s="96" t="str">
        <f ca="1">IF(LEN(IF((COUNTIFS(TableBOM[Product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",""))&gt;1,LEFT(IF((COUNTIFS(TableBOM[Product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",""),LEN(IF((COUNTIFS(TableBOM[Product ID],$D$3,TableBOM[Item ID],$A77)&gt;0)*($H$3&gt;0),$E$3&amp;", ","")&amp;IF((COUNTIFS(TableBOM[Product ID],$D$4,TableBOM[Item ID],$A77)&gt;0)*($H$4&gt;0),$E$4&amp;", ","")&amp;IF((COUNTIFS(TableBOM[Product ID],$D$5,TableBOM[Item ID],$A77)&gt;0)*($H$5&gt;0),$E$5&amp;", ","")&amp;IF((COUNTIFS(TableBOM[Product ID],$D$6,TableBOM[Item ID],$A77)&gt;0)*($H$6&gt;0),$E$6&amp;", ","")&amp;IF((COUNTIFS(TableBOM[Product ID],$D$7,TableBOM[Item ID],$A77)&gt;0)*($H$7&gt;0),$E$7&amp;", ","")&amp;IF((COUNTIFS(TableBOM[Product ID],$D$8,TableBOM[Item ID],$A77)&gt;0)*($H$8&gt;0),$E$8&amp;", ","")&amp;IF((COUNTIFS(TableBOM[Product ID],$D$9,TableBOM[Item ID],$A77)&gt;0)*($H$9&gt;0),$E$9&amp;", ","")&amp;IF((COUNTIFS(TableBOM[Product ID],$D$10,TableBOM[Item ID],$A77)&gt;0)*($H$10&gt;0),$E$10&amp;", ","")&amp;IF((COUNTIFS(TableBOM[Product ID],$D$12,TableBOM[Item ID],$A77)&gt;0)*($H$12&gt;0),$E$12&amp;", ",""))-2),"")</f>
        <v/>
      </c>
      <c r="J77" s="97" t="str">
        <f t="shared" ca="1" si="5"/>
        <v>Not needed</v>
      </c>
      <c r="K77" s="97" t="str">
        <f>IF(B77&lt;&gt;"CAP","",SUMPRODUCT((ISNUMBER(SEARCH("Cap Not Available",'FG Stock'!$H$4:$H$100)))*('FG Stock'!$I$4:$I$100=A77)*'FG Stock'!$F$4:$F$100))</f>
        <v/>
      </c>
      <c r="L77" s="97" t="str">
        <f t="shared" ca="1" si="6"/>
        <v/>
      </c>
    </row>
    <row r="78" spans="1:12" ht="24" customHeight="1" x14ac:dyDescent="0.25">
      <c r="A78" s="88">
        <v>3988</v>
      </c>
      <c r="B78" s="88" t="s">
        <v>210</v>
      </c>
      <c r="C78" s="88" t="s">
        <v>218</v>
      </c>
      <c r="D78" s="88" t="s">
        <v>188</v>
      </c>
      <c r="E78" s="94">
        <f ca="1">SUMPRODUCT((TableBOM[Item ID]=A78)*TableBOM[Per 1000 Units]*(1+TableBOM[Scrap %])*SUMIF($D$3:$D$12,TableBOM[Product ID],$H$3:$H$12)/1000)</f>
        <v>88.657800000000009</v>
      </c>
      <c r="F78" s="94">
        <f>IFERROR(INDEX(TableInventory[Store Balance],MATCH(A78,TableInventory[Item ID],0)),0)+IFERROR(INDEX(TableInventory[Work In Process],MATCH(A78,TableInventory[Item ID],0)),0)</f>
        <v>0</v>
      </c>
      <c r="G78" s="98">
        <f t="shared" ca="1" si="4"/>
        <v>-88.657800000000009</v>
      </c>
      <c r="H78" s="95" t="str">
        <f ca="1">IF(LEN(IF((COUNTIFS(TableBOM[Product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ID],$D$12,TableBOM[Item ID],$A78)&gt;0)*($H$12&gt;0),$C$12&amp;", ",""))&gt;1,LEFT(IF((COUNTIFS(TableBOM[Product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ID],$D$12,TableBOM[Item ID],$A78)&gt;0)*($H$12&gt;0),$C$12&amp;", ",""),LEN(IF((COUNTIFS(TableBOM[Product ID],$D$3,TableBOM[Item ID],$A78)&gt;0)*($H$3&gt;0),$C$3&amp;", ","")&amp;IF((COUNTIFS(TableBOM[Product ID],$D$4,TableBOM[Item ID],$A78)&gt;0)*($H$4&gt;0),$C$4&amp;", ","")&amp;IF((COUNTIFS(TableBOM[Product ID],$D$5,TableBOM[Item ID],$A78)&gt;0)*($H$5&gt;0),$C$5&amp;", ","")&amp;IF((COUNTIFS(TableBOM[Product ID],$D$6,TableBOM[Item ID],$A78)&gt;0)*($H$6&gt;0),$C$6&amp;", ","")&amp;IF((COUNTIFS(TableBOM[Product ID],$D$7,TableBOM[Item ID],$A78)&gt;0)*($H$7&gt;0),$C$7&amp;", ","")&amp;IF((COUNTIFS(TableBOM[Product ID],$D$8,TableBOM[Item ID],$A78)&gt;0)*($H$8&gt;0),$C$8&amp;", ","")&amp;IF((COUNTIFS(TableBOM[Product ID],$D$9,TableBOM[Item ID],$A78)&gt;0)*($H$9&gt;0),$C$9&amp;", ","")&amp;IF((COUNTIFS(TableBOM[Product ID],$D$10,TableBOM[Item ID],$A78)&gt;0)*($H$10&gt;0),$C$10&amp;", ","")&amp;IF((COUNTIFS(TableBOM[Product ID],$D$12,TableBOM[Item ID],$A78)&gt;0)*($H$12&gt;0),$C$12&amp;", ",""))-2),"")</f>
        <v/>
      </c>
      <c r="I78" s="96" t="str">
        <f ca="1">IF(LEN(IF((COUNTIFS(TableBOM[Product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ID],$D$12,TableBOM[Item ID],$A78)&gt;0)*($H$12&gt;0),$E$12&amp;", ",""))&gt;1,LEFT(IF((COUNTIFS(TableBOM[Product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ID],$D$12,TableBOM[Item ID],$A78)&gt;0)*($H$12&gt;0),$E$12&amp;", ",""),LEN(IF((COUNTIFS(TableBOM[Product ID],$D$3,TableBOM[Item ID],$A78)&gt;0)*($H$3&gt;0),$E$3&amp;", ","")&amp;IF((COUNTIFS(TableBOM[Product ID],$D$4,TableBOM[Item ID],$A78)&gt;0)*($H$4&gt;0),$E$4&amp;", ","")&amp;IF((COUNTIFS(TableBOM[Product ID],$D$5,TableBOM[Item ID],$A78)&gt;0)*($H$5&gt;0),$E$5&amp;", ","")&amp;IF((COUNTIFS(TableBOM[Product ID],$D$6,TableBOM[Item ID],$A78)&gt;0)*($H$6&gt;0),$E$6&amp;", ","")&amp;IF((COUNTIFS(TableBOM[Product ID],$D$7,TableBOM[Item ID],$A78)&gt;0)*($H$7&gt;0),$E$7&amp;", ","")&amp;IF((COUNTIFS(TableBOM[Product ID],$D$8,TableBOM[Item ID],$A78)&gt;0)*($H$8&gt;0),$E$8&amp;", ","")&amp;IF((COUNTIFS(TableBOM[Product ID],$D$9,TableBOM[Item ID],$A78)&gt;0)*($H$9&gt;0),$E$9&amp;", ","")&amp;IF((COUNTIFS(TableBOM[Product ID],$D$10,TableBOM[Item ID],$A78)&gt;0)*($H$10&gt;0),$E$10&amp;", ","")&amp;IF((COUNTIFS(TableBOM[Product ID],$D$12,TableBOM[Item ID],$A78)&gt;0)*($H$12&gt;0),$E$12&amp;", ",""))-2),"")</f>
        <v/>
      </c>
      <c r="J78" s="97" t="str">
        <f t="shared" ca="1" si="5"/>
        <v>SHORTAGE</v>
      </c>
      <c r="K78" s="97" t="str">
        <f>IF(B78&lt;&gt;"CAP","",SUMPRODUCT((ISNUMBER(SEARCH("Cap Not Available",'FG Stock'!$H$4:$H$100)))*('FG Stock'!$I$4:$I$100=A78)*'FG Stock'!$F$4:$F$100))</f>
        <v/>
      </c>
      <c r="L78" s="97">
        <f t="shared" ca="1" si="6"/>
        <v>88.657800000000009</v>
      </c>
    </row>
    <row r="79" spans="1:12" ht="15" hidden="1" customHeight="1" x14ac:dyDescent="0.25">
      <c r="A79" s="88">
        <v>5977</v>
      </c>
      <c r="B79" s="88" t="s">
        <v>210</v>
      </c>
      <c r="C79" s="88" t="s">
        <v>219</v>
      </c>
      <c r="D79" s="88" t="s">
        <v>188</v>
      </c>
      <c r="E79" s="94">
        <f ca="1">SUMPRODUCT((TableBOM[Item ID]=A79)*TableBOM[Per 1000 Units]*(1+TableBOM[Scrap %])*SUMIF($D$3:$D$12,TableBOM[Product ID],$H$3:$H$12)/1000)</f>
        <v>0</v>
      </c>
      <c r="F79" s="94">
        <f>IFERROR(INDEX(TableInventory[Store Balance],MATCH(A79,TableInventory[Item ID],0)),0)+IFERROR(INDEX(TableInventory[Work In Process],MATCH(A79,TableInventory[Item ID],0)),0)</f>
        <v>144</v>
      </c>
      <c r="G79" s="94">
        <f t="shared" ca="1" si="4"/>
        <v>144</v>
      </c>
      <c r="H79" s="95" t="str">
        <f ca="1">IF(LEN(IF((COUNTIFS(TableBOM[Product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",""))&gt;1,LEFT(IF((COUNTIFS(TableBOM[Product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",""),LEN(IF((COUNTIFS(TableBOM[Product ID],$D$3,TableBOM[Item ID],$A79)&gt;0)*($H$3&gt;0),$C$3&amp;", ","")&amp;IF((COUNTIFS(TableBOM[Product ID],$D$4,TableBOM[Item ID],$A79)&gt;0)*($H$4&gt;0),$C$4&amp;", ","")&amp;IF((COUNTIFS(TableBOM[Product ID],$D$5,TableBOM[Item ID],$A79)&gt;0)*($H$5&gt;0),$C$5&amp;", ","")&amp;IF((COUNTIFS(TableBOM[Product ID],$D$6,TableBOM[Item ID],$A79)&gt;0)*($H$6&gt;0),$C$6&amp;", ","")&amp;IF((COUNTIFS(TableBOM[Product ID],$D$7,TableBOM[Item ID],$A79)&gt;0)*($H$7&gt;0),$C$7&amp;", ","")&amp;IF((COUNTIFS(TableBOM[Product ID],$D$8,TableBOM[Item ID],$A79)&gt;0)*($H$8&gt;0),$C$8&amp;", ","")&amp;IF((COUNTIFS(TableBOM[Product ID],$D$9,TableBOM[Item ID],$A79)&gt;0)*($H$9&gt;0),$C$9&amp;", ","")&amp;IF((COUNTIFS(TableBOM[Product ID],$D$10,TableBOM[Item ID],$A79)&gt;0)*($H$10&gt;0),$C$10&amp;", ","")&amp;IF((COUNTIFS(TableBOM[Product ID],$D$12,TableBOM[Item ID],$A79)&gt;0)*($H$12&gt;0),$C$12&amp;", ",""))-2),"")</f>
        <v/>
      </c>
      <c r="I79" s="96" t="str">
        <f ca="1">IF(LEN(IF((COUNTIFS(TableBOM[Product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",""))&gt;1,LEFT(IF((COUNTIFS(TableBOM[Product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",""),LEN(IF((COUNTIFS(TableBOM[Product ID],$D$3,TableBOM[Item ID],$A79)&gt;0)*($H$3&gt;0),$E$3&amp;", ","")&amp;IF((COUNTIFS(TableBOM[Product ID],$D$4,TableBOM[Item ID],$A79)&gt;0)*($H$4&gt;0),$E$4&amp;", ","")&amp;IF((COUNTIFS(TableBOM[Product ID],$D$5,TableBOM[Item ID],$A79)&gt;0)*($H$5&gt;0),$E$5&amp;", ","")&amp;IF((COUNTIFS(TableBOM[Product ID],$D$6,TableBOM[Item ID],$A79)&gt;0)*($H$6&gt;0),$E$6&amp;", ","")&amp;IF((COUNTIFS(TableBOM[Product ID],$D$7,TableBOM[Item ID],$A79)&gt;0)*($H$7&gt;0),$E$7&amp;", ","")&amp;IF((COUNTIFS(TableBOM[Product ID],$D$8,TableBOM[Item ID],$A79)&gt;0)*($H$8&gt;0),$E$8&amp;", ","")&amp;IF((COUNTIFS(TableBOM[Product ID],$D$9,TableBOM[Item ID],$A79)&gt;0)*($H$9&gt;0),$E$9&amp;", ","")&amp;IF((COUNTIFS(TableBOM[Product ID],$D$10,TableBOM[Item ID],$A79)&gt;0)*($H$10&gt;0),$E$10&amp;", ","")&amp;IF((COUNTIFS(TableBOM[Product ID],$D$12,TableBOM[Item ID],$A79)&gt;0)*($H$12&gt;0),$E$12&amp;", ",""))-2),"")</f>
        <v/>
      </c>
      <c r="J79" s="97" t="str">
        <f t="shared" ca="1" si="5"/>
        <v>Not needed</v>
      </c>
      <c r="K79" s="97" t="str">
        <f>IF(B79&lt;&gt;"CAP","",SUMPRODUCT((ISNUMBER(SEARCH("Cap Not Available",'FG Stock'!$H$4:$H$100)))*('FG Stock'!$I$4:$I$100=A79)*'FG Stock'!$F$4:$F$100))</f>
        <v/>
      </c>
      <c r="L79" s="97" t="str">
        <f t="shared" ca="1" si="6"/>
        <v/>
      </c>
    </row>
    <row r="80" spans="1:12" ht="60" customHeight="1" x14ac:dyDescent="0.25">
      <c r="A80" s="88">
        <v>3635</v>
      </c>
      <c r="B80" s="88" t="s">
        <v>220</v>
      </c>
      <c r="C80" s="88" t="s">
        <v>221</v>
      </c>
      <c r="D80" s="88" t="s">
        <v>188</v>
      </c>
      <c r="E80" s="94">
        <f ca="1">SUMPRODUCT((TableBOM[Item ID]=A80)*TableBOM[Per 1000 Units]*(1+TableBOM[Scrap %])*SUMIF($D$3:$D$12,TableBOM[Product ID],$H$3:$H$12)/1000)</f>
        <v>6.4369712000000003</v>
      </c>
      <c r="F80" s="94">
        <f>IFERROR(INDEX(TableInventory[Store Balance],MATCH(A80,TableInventory[Item ID],0)),0)+IFERROR(INDEX(TableInventory[Work In Process],MATCH(A80,TableInventory[Item ID],0)),0)</f>
        <v>663</v>
      </c>
      <c r="G80" s="98">
        <f t="shared" ref="G80:G111" ca="1" si="7">F80-E80</f>
        <v>656.56302879999998</v>
      </c>
      <c r="H80" s="95" t="str">
        <f ca="1">IF(LEN(IF((COUNTIFS(TableBOM[Product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",""))&gt;1,LEFT(IF((COUNTIFS(TableBOM[Product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",""),LEN(IF((COUNTIFS(TableBOM[Product ID],$D$3,TableBOM[Item ID],$A80)&gt;0)*($H$3&gt;0),$C$3&amp;", ","")&amp;IF((COUNTIFS(TableBOM[Product ID],$D$4,TableBOM[Item ID],$A80)&gt;0)*($H$4&gt;0),$C$4&amp;", ","")&amp;IF((COUNTIFS(TableBOM[Product ID],$D$5,TableBOM[Item ID],$A80)&gt;0)*($H$5&gt;0),$C$5&amp;", ","")&amp;IF((COUNTIFS(TableBOM[Product ID],$D$6,TableBOM[Item ID],$A80)&gt;0)*($H$6&gt;0),$C$6&amp;", ","")&amp;IF((COUNTIFS(TableBOM[Product ID],$D$7,TableBOM[Item ID],$A80)&gt;0)*($H$7&gt;0),$C$7&amp;", ","")&amp;IF((COUNTIFS(TableBOM[Product ID],$D$8,TableBOM[Item ID],$A80)&gt;0)*($H$8&gt;0),$C$8&amp;", ","")&amp;IF((COUNTIFS(TableBOM[Product ID],$D$9,TableBOM[Item ID],$A80)&gt;0)*($H$9&gt;0),$C$9&amp;", ","")&amp;IF((COUNTIFS(TableBOM[Product ID],$D$10,TableBOM[Item ID],$A80)&gt;0)*($H$10&gt;0),$C$10&amp;", ","")&amp;IF((COUNTIFS(TableBOM[Product ID],$D$12,TableBOM[Item ID],$A80)&gt;0)*($H$12&gt;0),$C$12&amp;", ",""))-2),"")</f>
        <v>ECZEMUS OINTMENT 0.03% 10G, S-45 DIA 19MM</v>
      </c>
      <c r="I80" s="96" t="str">
        <f ca="1">IF(LEN(IF((COUNTIFS(TableBOM[Product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",""))&gt;1,LEFT(IF((COUNTIFS(TableBOM[Product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",""),LEN(IF((COUNTIFS(TableBOM[Product ID],$D$3,TableBOM[Item ID],$A80)&gt;0)*($H$3&gt;0),$E$3&amp;", ","")&amp;IF((COUNTIFS(TableBOM[Product ID],$D$4,TableBOM[Item ID],$A80)&gt;0)*($H$4&gt;0),$E$4&amp;", ","")&amp;IF((COUNTIFS(TableBOM[Product ID],$D$5,TableBOM[Item ID],$A80)&gt;0)*($H$5&gt;0),$E$5&amp;", ","")&amp;IF((COUNTIFS(TableBOM[Product ID],$D$6,TableBOM[Item ID],$A80)&gt;0)*($H$6&gt;0),$E$6&amp;", ","")&amp;IF((COUNTIFS(TableBOM[Product ID],$D$7,TableBOM[Item ID],$A80)&gt;0)*($H$7&gt;0),$E$7&amp;", ","")&amp;IF((COUNTIFS(TableBOM[Product ID],$D$8,TableBOM[Item ID],$A80)&gt;0)*($H$8&gt;0),$E$8&amp;", ","")&amp;IF((COUNTIFS(TableBOM[Product ID],$D$9,TableBOM[Item ID],$A80)&gt;0)*($H$9&gt;0),$E$9&amp;", ","")&amp;IF((COUNTIFS(TableBOM[Product ID],$D$10,TableBOM[Item ID],$A80)&gt;0)*($H$10&gt;0),$E$10&amp;", ","")&amp;IF((COUNTIFS(TableBOM[Product ID],$D$12,TableBOM[Item ID],$A80)&gt;0)*($H$12&gt;0),$E$12&amp;", ",""))-2),"")</f>
        <v>6849, 6880 &amp; 6881</v>
      </c>
      <c r="J80" s="97" t="str">
        <f t="shared" ref="J80:J98" ca="1" si="8">IF(E80=0,"Not needed",IF(G80&lt;0,"SHORTAGE",IF(G80&lt;F80*0.1,"LOW","OK")))</f>
        <v>OK</v>
      </c>
      <c r="K80" s="97" t="str">
        <f>IF(B80&lt;&gt;"CAP","",SUMPRODUCT((ISNUMBER(SEARCH("Cap Not Available",'FG Stock'!$H$4:$H$100)))*('FG Stock'!$I$4:$I$100=A80)*'FG Stock'!$F$4:$F$100))</f>
        <v/>
      </c>
      <c r="L80" s="97">
        <f t="shared" ref="L80:L111" ca="1" si="9">IF(E80=0,"",MAX(0,E80+IFERROR(K80*1,0)-F80))</f>
        <v>0</v>
      </c>
    </row>
    <row r="81" spans="1:12" ht="24" customHeight="1" x14ac:dyDescent="0.25">
      <c r="A81" s="88">
        <v>190</v>
      </c>
      <c r="B81" s="88" t="s">
        <v>222</v>
      </c>
      <c r="C81" s="88" t="s">
        <v>223</v>
      </c>
      <c r="D81" s="88" t="s">
        <v>165</v>
      </c>
      <c r="E81" s="94">
        <f ca="1">SUMPRODUCT((TableBOM[Item ID]=A81)*TableBOM[Per 1000 Units]*(1+TableBOM[Scrap %])*SUMIF($D$3:$D$12,TableBOM[Product ID],$H$3:$H$12)/1000)</f>
        <v>1.65</v>
      </c>
      <c r="F81" s="94">
        <f>IFERROR(INDEX(TableInventory[Store Balance],MATCH(A81,TableInventory[Item ID],0)),0)+IFERROR(INDEX(TableInventory[Work In Process],MATCH(A81,TableInventory[Item ID],0)),0)</f>
        <v>100</v>
      </c>
      <c r="G81" s="98">
        <f t="shared" ca="1" si="7"/>
        <v>98.35</v>
      </c>
      <c r="H81" s="95" t="str">
        <f ca="1">IF(LEN(IF((COUNTIFS(TableBOM[Product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",""))&gt;1,LEFT(IF((COUNTIFS(TableBOM[Product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",""),LEN(IF((COUNTIFS(TableBOM[Product ID],$D$3,TableBOM[Item ID],$A81)&gt;0)*($H$3&gt;0),$C$3&amp;", ","")&amp;IF((COUNTIFS(TableBOM[Product ID],$D$4,TableBOM[Item ID],$A81)&gt;0)*($H$4&gt;0),$C$4&amp;", ","")&amp;IF((COUNTIFS(TableBOM[Product ID],$D$5,TableBOM[Item ID],$A81)&gt;0)*($H$5&gt;0),$C$5&amp;", ","")&amp;IF((COUNTIFS(TableBOM[Product ID],$D$6,TableBOM[Item ID],$A81)&gt;0)*($H$6&gt;0),$C$6&amp;", ","")&amp;IF((COUNTIFS(TableBOM[Product ID],$D$7,TableBOM[Item ID],$A81)&gt;0)*($H$7&gt;0),$C$7&amp;", ","")&amp;IF((COUNTIFS(TableBOM[Product ID],$D$8,TableBOM[Item ID],$A81)&gt;0)*($H$8&gt;0),$C$8&amp;", ","")&amp;IF((COUNTIFS(TableBOM[Product ID],$D$9,TableBOM[Item ID],$A81)&gt;0)*($H$9&gt;0),$C$9&amp;", ","")&amp;IF((COUNTIFS(TableBOM[Product ID],$D$10,TableBOM[Item ID],$A81)&gt;0)*($H$10&gt;0),$C$10&amp;", ","")&amp;IF((COUNTIFS(TableBOM[Product ID],$D$12,TableBOM[Item ID],$A81)&gt;0)*($H$12&gt;0),$C$12&amp;", ",""))-2),"")</f>
        <v>ECZEMUS OINTMENT 0.03% 10G</v>
      </c>
      <c r="I81" s="96" t="str">
        <f ca="1">IF(LEN(IF((COUNTIFS(TableBOM[Product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",""))&gt;1,LEFT(IF((COUNTIFS(TableBOM[Product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",""),LEN(IF((COUNTIFS(TableBOM[Product ID],$D$3,TableBOM[Item ID],$A81)&gt;0)*($H$3&gt;0),$E$3&amp;", ","")&amp;IF((COUNTIFS(TableBOM[Product ID],$D$4,TableBOM[Item ID],$A81)&gt;0)*($H$4&gt;0),$E$4&amp;", ","")&amp;IF((COUNTIFS(TableBOM[Product ID],$D$5,TableBOM[Item ID],$A81)&gt;0)*($H$5&gt;0),$E$5&amp;", ","")&amp;IF((COUNTIFS(TableBOM[Product ID],$D$6,TableBOM[Item ID],$A81)&gt;0)*($H$6&gt;0),$E$6&amp;", ","")&amp;IF((COUNTIFS(TableBOM[Product ID],$D$7,TableBOM[Item ID],$A81)&gt;0)*($H$7&gt;0),$E$7&amp;", ","")&amp;IF((COUNTIFS(TableBOM[Product ID],$D$8,TableBOM[Item ID],$A81)&gt;0)*($H$8&gt;0),$E$8&amp;", ","")&amp;IF((COUNTIFS(TableBOM[Product ID],$D$9,TableBOM[Item ID],$A81)&gt;0)*($H$9&gt;0),$E$9&amp;", ","")&amp;IF((COUNTIFS(TableBOM[Product ID],$D$10,TableBOM[Item ID],$A81)&gt;0)*($H$10&gt;0),$E$10&amp;", ","")&amp;IF((COUNTIFS(TableBOM[Product ID],$D$12,TableBOM[Item ID],$A81)&gt;0)*($H$12&gt;0),$E$12&amp;", ",""))-2),"")</f>
        <v>6849</v>
      </c>
      <c r="J81" s="97" t="str">
        <f t="shared" ca="1" si="8"/>
        <v>OK</v>
      </c>
      <c r="K81" s="97" t="str">
        <f>IF(B81&lt;&gt;"CAP","",SUMPRODUCT((ISNUMBER(SEARCH("Cap Not Available",'FG Stock'!$H$4:$H$100)))*('FG Stock'!$I$4:$I$100=A81)*'FG Stock'!$F$4:$F$100))</f>
        <v/>
      </c>
      <c r="L81" s="97">
        <f t="shared" ca="1" si="9"/>
        <v>0</v>
      </c>
    </row>
    <row r="82" spans="1:12" ht="15" hidden="1" customHeight="1" x14ac:dyDescent="0.25">
      <c r="A82" s="88">
        <v>191</v>
      </c>
      <c r="B82" s="88" t="s">
        <v>222</v>
      </c>
      <c r="C82" s="88" t="s">
        <v>224</v>
      </c>
      <c r="D82" s="88" t="s">
        <v>165</v>
      </c>
      <c r="E82" s="94">
        <f ca="1">SUMPRODUCT((TableBOM[Item ID]=A82)*TableBOM[Per 1000 Units]*(1+TableBOM[Scrap %])*SUMIF($D$3:$D$12,TableBOM[Product ID],$H$3:$H$12)/1000)</f>
        <v>0</v>
      </c>
      <c r="F82" s="94">
        <f>IFERROR(INDEX(TableInventory[Store Balance],MATCH(A82,TableInventory[Item ID],0)),0)+IFERROR(INDEX(TableInventory[Work In Process],MATCH(A82,TableInventory[Item ID],0)),0)</f>
        <v>50</v>
      </c>
      <c r="G82" s="94">
        <f t="shared" ca="1" si="7"/>
        <v>50</v>
      </c>
      <c r="H82" s="95" t="str">
        <f ca="1">IF(LEN(IF((COUNTIFS(TableBOM[Product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",""))&gt;1,LEFT(IF((COUNTIFS(TableBOM[Product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",""),LEN(IF((COUNTIFS(TableBOM[Product ID],$D$3,TableBOM[Item ID],$A82)&gt;0)*($H$3&gt;0),$C$3&amp;", ","")&amp;IF((COUNTIFS(TableBOM[Product ID],$D$4,TableBOM[Item ID],$A82)&gt;0)*($H$4&gt;0),$C$4&amp;", ","")&amp;IF((COUNTIFS(TableBOM[Product ID],$D$5,TableBOM[Item ID],$A82)&gt;0)*($H$5&gt;0),$C$5&amp;", ","")&amp;IF((COUNTIFS(TableBOM[Product ID],$D$6,TableBOM[Item ID],$A82)&gt;0)*($H$6&gt;0),$C$6&amp;", ","")&amp;IF((COUNTIFS(TableBOM[Product ID],$D$7,TableBOM[Item ID],$A82)&gt;0)*($H$7&gt;0),$C$7&amp;", ","")&amp;IF((COUNTIFS(TableBOM[Product ID],$D$8,TableBOM[Item ID],$A82)&gt;0)*($H$8&gt;0),$C$8&amp;", ","")&amp;IF((COUNTIFS(TableBOM[Product ID],$D$9,TableBOM[Item ID],$A82)&gt;0)*($H$9&gt;0),$C$9&amp;", ","")&amp;IF((COUNTIFS(TableBOM[Product ID],$D$10,TableBOM[Item ID],$A82)&gt;0)*($H$10&gt;0),$C$10&amp;", ","")&amp;IF((COUNTIFS(TableBOM[Product ID],$D$12,TableBOM[Item ID],$A82)&gt;0)*($H$12&gt;0),$C$12&amp;", ",""))-2),"")</f>
        <v/>
      </c>
      <c r="I82" s="96" t="str">
        <f ca="1">IF(LEN(IF((COUNTIFS(TableBOM[Product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",""))&gt;1,LEFT(IF((COUNTIFS(TableBOM[Product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",""),LEN(IF((COUNTIFS(TableBOM[Product ID],$D$3,TableBOM[Item ID],$A82)&gt;0)*($H$3&gt;0),$E$3&amp;", ","")&amp;IF((COUNTIFS(TableBOM[Product ID],$D$4,TableBOM[Item ID],$A82)&gt;0)*($H$4&gt;0),$E$4&amp;", ","")&amp;IF((COUNTIFS(TableBOM[Product ID],$D$5,TableBOM[Item ID],$A82)&gt;0)*($H$5&gt;0),$E$5&amp;", ","")&amp;IF((COUNTIFS(TableBOM[Product ID],$D$6,TableBOM[Item ID],$A82)&gt;0)*($H$6&gt;0),$E$6&amp;", ","")&amp;IF((COUNTIFS(TableBOM[Product ID],$D$7,TableBOM[Item ID],$A82)&gt;0)*($H$7&gt;0),$E$7&amp;", ","")&amp;IF((COUNTIFS(TableBOM[Product ID],$D$8,TableBOM[Item ID],$A82)&gt;0)*($H$8&gt;0),$E$8&amp;", ","")&amp;IF((COUNTIFS(TableBOM[Product ID],$D$9,TableBOM[Item ID],$A82)&gt;0)*($H$9&gt;0),$E$9&amp;", ","")&amp;IF((COUNTIFS(TableBOM[Product ID],$D$10,TableBOM[Item ID],$A82)&gt;0)*($H$10&gt;0),$E$10&amp;", ","")&amp;IF((COUNTIFS(TableBOM[Product ID],$D$12,TableBOM[Item ID],$A82)&gt;0)*($H$12&gt;0),$E$12&amp;", ",""))-2),"")</f>
        <v/>
      </c>
      <c r="J82" s="97" t="str">
        <f t="shared" ca="1" si="8"/>
        <v>Not needed</v>
      </c>
      <c r="K82" s="97" t="str">
        <f>IF(B82&lt;&gt;"CAP","",SUMPRODUCT((ISNUMBER(SEARCH("Cap Not Available",'FG Stock'!$H$4:$H$100)))*('FG Stock'!$I$4:$I$100=A82)*'FG Stock'!$F$4:$F$100))</f>
        <v/>
      </c>
      <c r="L82" s="97" t="str">
        <f t="shared" ca="1" si="9"/>
        <v/>
      </c>
    </row>
    <row r="83" spans="1:12" ht="15" hidden="1" customHeight="1" x14ac:dyDescent="0.25">
      <c r="A83" s="88">
        <v>2680</v>
      </c>
      <c r="B83" s="88" t="s">
        <v>225</v>
      </c>
      <c r="C83" s="88" t="s">
        <v>226</v>
      </c>
      <c r="D83" s="88" t="s">
        <v>148</v>
      </c>
      <c r="E83" s="94">
        <f ca="1">SUMPRODUCT((TableBOM[Item ID]=A83)*TableBOM[Per 1000 Units]*(1+TableBOM[Scrap %])*SUMIF($D$3:$D$12,TableBOM[Product ID],$H$3:$H$12)/1000)</f>
        <v>0</v>
      </c>
      <c r="F83" s="94">
        <f>IFERROR(INDEX(TableInventory[Store Balance],MATCH(A83,TableInventory[Item ID],0)),0)+IFERROR(INDEX(TableInventory[Work In Process],MATCH(A83,TableInventory[Item ID],0)),0)</f>
        <v>1700</v>
      </c>
      <c r="G83" s="94">
        <f t="shared" ca="1" si="7"/>
        <v>1700</v>
      </c>
      <c r="H83" s="95" t="str">
        <f ca="1">IF(LEN(IF((COUNTIFS(TableBOM[Product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",""))&gt;1,LEFT(IF((COUNTIFS(TableBOM[Product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",""),LEN(IF((COUNTIFS(TableBOM[Product ID],$D$3,TableBOM[Item ID],$A83)&gt;0)*($H$3&gt;0),$C$3&amp;", ","")&amp;IF((COUNTIFS(TableBOM[Product ID],$D$4,TableBOM[Item ID],$A83)&gt;0)*($H$4&gt;0),$C$4&amp;", ","")&amp;IF((COUNTIFS(TableBOM[Product ID],$D$5,TableBOM[Item ID],$A83)&gt;0)*($H$5&gt;0),$C$5&amp;", ","")&amp;IF((COUNTIFS(TableBOM[Product ID],$D$6,TableBOM[Item ID],$A83)&gt;0)*($H$6&gt;0),$C$6&amp;", ","")&amp;IF((COUNTIFS(TableBOM[Product ID],$D$7,TableBOM[Item ID],$A83)&gt;0)*($H$7&gt;0),$C$7&amp;", ","")&amp;IF((COUNTIFS(TableBOM[Product ID],$D$8,TableBOM[Item ID],$A83)&gt;0)*($H$8&gt;0),$C$8&amp;", ","")&amp;IF((COUNTIFS(TableBOM[Product ID],$D$9,TableBOM[Item ID],$A83)&gt;0)*($H$9&gt;0),$C$9&amp;", ","")&amp;IF((COUNTIFS(TableBOM[Product ID],$D$10,TableBOM[Item ID],$A83)&gt;0)*($H$10&gt;0),$C$10&amp;", ","")&amp;IF((COUNTIFS(TableBOM[Product ID],$D$12,TableBOM[Item ID],$A83)&gt;0)*($H$12&gt;0),$C$12&amp;", ",""))-2),"")</f>
        <v/>
      </c>
      <c r="I83" s="96" t="str">
        <f ca="1">IF(LEN(IF((COUNTIFS(TableBOM[Product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",""))&gt;1,LEFT(IF((COUNTIFS(TableBOM[Product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",""),LEN(IF((COUNTIFS(TableBOM[Product ID],$D$3,TableBOM[Item ID],$A83)&gt;0)*($H$3&gt;0),$E$3&amp;", ","")&amp;IF((COUNTIFS(TableBOM[Product ID],$D$4,TableBOM[Item ID],$A83)&gt;0)*($H$4&gt;0),$E$4&amp;", ","")&amp;IF((COUNTIFS(TableBOM[Product ID],$D$5,TableBOM[Item ID],$A83)&gt;0)*($H$5&gt;0),$E$5&amp;", ","")&amp;IF((COUNTIFS(TableBOM[Product ID],$D$6,TableBOM[Item ID],$A83)&gt;0)*($H$6&gt;0),$E$6&amp;", ","")&amp;IF((COUNTIFS(TableBOM[Product ID],$D$7,TableBOM[Item ID],$A83)&gt;0)*($H$7&gt;0),$E$7&amp;", ","")&amp;IF((COUNTIFS(TableBOM[Product ID],$D$8,TableBOM[Item ID],$A83)&gt;0)*($H$8&gt;0),$E$8&amp;", ","")&amp;IF((COUNTIFS(TableBOM[Product ID],$D$9,TableBOM[Item ID],$A83)&gt;0)*($H$9&gt;0),$E$9&amp;", ","")&amp;IF((COUNTIFS(TableBOM[Product ID],$D$10,TableBOM[Item ID],$A83)&gt;0)*($H$10&gt;0),$E$10&amp;", ","")&amp;IF((COUNTIFS(TableBOM[Product ID],$D$12,TableBOM[Item ID],$A83)&gt;0)*($H$12&gt;0),$E$12&amp;", ",""))-2),"")</f>
        <v/>
      </c>
      <c r="J83" s="97" t="str">
        <f t="shared" ca="1" si="8"/>
        <v>Not needed</v>
      </c>
      <c r="K83" s="97" t="str">
        <f>IF(B83&lt;&gt;"CAP","",SUMPRODUCT((ISNUMBER(SEARCH("Cap Not Available",'FG Stock'!$H$4:$H$100)))*('FG Stock'!$I$4:$I$100=A83)*'FG Stock'!$F$4:$F$100))</f>
        <v/>
      </c>
      <c r="L83" s="97" t="str">
        <f t="shared" ca="1" si="9"/>
        <v/>
      </c>
    </row>
    <row r="84" spans="1:12" ht="15" hidden="1" customHeight="1" x14ac:dyDescent="0.25">
      <c r="A84" s="88">
        <v>3492</v>
      </c>
      <c r="B84" s="88" t="s">
        <v>227</v>
      </c>
      <c r="C84" s="88" t="s">
        <v>228</v>
      </c>
      <c r="D84" s="88" t="s">
        <v>148</v>
      </c>
      <c r="E84" s="94">
        <f ca="1">SUMPRODUCT((TableBOM[Item ID]=A84)*TableBOM[Per 1000 Units]*(1+TableBOM[Scrap %])*SUMIF($D$3:$D$12,TableBOM[Product ID],$H$3:$H$12)/1000)</f>
        <v>0</v>
      </c>
      <c r="F84" s="94">
        <f>IFERROR(INDEX(TableInventory[Store Balance],MATCH(A84,TableInventory[Item ID],0)),0)+IFERROR(INDEX(TableInventory[Work In Process],MATCH(A84,TableInventory[Item ID],0)),0)</f>
        <v>75</v>
      </c>
      <c r="G84" s="94">
        <f t="shared" ca="1" si="7"/>
        <v>75</v>
      </c>
      <c r="H84" s="95" t="str">
        <f ca="1">IF(LEN(IF((COUNTIFS(TableBOM[Product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",""))&gt;1,LEFT(IF((COUNTIFS(TableBOM[Product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",""),LEN(IF((COUNTIFS(TableBOM[Product ID],$D$3,TableBOM[Item ID],$A84)&gt;0)*($H$3&gt;0),$C$3&amp;", ","")&amp;IF((COUNTIFS(TableBOM[Product ID],$D$4,TableBOM[Item ID],$A84)&gt;0)*($H$4&gt;0),$C$4&amp;", ","")&amp;IF((COUNTIFS(TableBOM[Product ID],$D$5,TableBOM[Item ID],$A84)&gt;0)*($H$5&gt;0),$C$5&amp;", ","")&amp;IF((COUNTIFS(TableBOM[Product ID],$D$6,TableBOM[Item ID],$A84)&gt;0)*($H$6&gt;0),$C$6&amp;", ","")&amp;IF((COUNTIFS(TableBOM[Product ID],$D$7,TableBOM[Item ID],$A84)&gt;0)*($H$7&gt;0),$C$7&amp;", ","")&amp;IF((COUNTIFS(TableBOM[Product ID],$D$8,TableBOM[Item ID],$A84)&gt;0)*($H$8&gt;0),$C$8&amp;", ","")&amp;IF((COUNTIFS(TableBOM[Product ID],$D$9,TableBOM[Item ID],$A84)&gt;0)*($H$9&gt;0),$C$9&amp;", ","")&amp;IF((COUNTIFS(TableBOM[Product ID],$D$10,TableBOM[Item ID],$A84)&gt;0)*($H$10&gt;0),$C$10&amp;", ","")&amp;IF((COUNTIFS(TableBOM[Product ID],$D$12,TableBOM[Item ID],$A84)&gt;0)*($H$12&gt;0),$C$12&amp;", ",""))-2),"")</f>
        <v/>
      </c>
      <c r="I84" s="96" t="str">
        <f ca="1">IF(LEN(IF((COUNTIFS(TableBOM[Product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",""))&gt;1,LEFT(IF((COUNTIFS(TableBOM[Product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",""),LEN(IF((COUNTIFS(TableBOM[Product ID],$D$3,TableBOM[Item ID],$A84)&gt;0)*($H$3&gt;0),$E$3&amp;", ","")&amp;IF((COUNTIFS(TableBOM[Product ID],$D$4,TableBOM[Item ID],$A84)&gt;0)*($H$4&gt;0),$E$4&amp;", ","")&amp;IF((COUNTIFS(TableBOM[Product ID],$D$5,TableBOM[Item ID],$A84)&gt;0)*($H$5&gt;0),$E$5&amp;", ","")&amp;IF((COUNTIFS(TableBOM[Product ID],$D$6,TableBOM[Item ID],$A84)&gt;0)*($H$6&gt;0),$E$6&amp;", ","")&amp;IF((COUNTIFS(TableBOM[Product ID],$D$7,TableBOM[Item ID],$A84)&gt;0)*($H$7&gt;0),$E$7&amp;", ","")&amp;IF((COUNTIFS(TableBOM[Product ID],$D$8,TableBOM[Item ID],$A84)&gt;0)*($H$8&gt;0),$E$8&amp;", ","")&amp;IF((COUNTIFS(TableBOM[Product ID],$D$9,TableBOM[Item ID],$A84)&gt;0)*($H$9&gt;0),$E$9&amp;", ","")&amp;IF((COUNTIFS(TableBOM[Product ID],$D$10,TableBOM[Item ID],$A84)&gt;0)*($H$10&gt;0),$E$10&amp;", ","")&amp;IF((COUNTIFS(TableBOM[Product ID],$D$12,TableBOM[Item ID],$A84)&gt;0)*($H$12&gt;0),$E$12&amp;", ",""))-2),"")</f>
        <v/>
      </c>
      <c r="J84" s="97" t="str">
        <f t="shared" ca="1" si="8"/>
        <v>Not needed</v>
      </c>
      <c r="K84" s="97" t="str">
        <f>IF(B84&lt;&gt;"CAP","",SUMPRODUCT((ISNUMBER(SEARCH("Cap Not Available",'FG Stock'!$H$4:$H$100)))*('FG Stock'!$I$4:$I$100=A84)*'FG Stock'!$F$4:$F$100))</f>
        <v/>
      </c>
      <c r="L84" s="97" t="str">
        <f t="shared" ca="1" si="9"/>
        <v/>
      </c>
    </row>
    <row r="85" spans="1:12" ht="15" hidden="1" customHeight="1" x14ac:dyDescent="0.25">
      <c r="A85" s="88">
        <v>4002</v>
      </c>
      <c r="B85" s="88" t="s">
        <v>227</v>
      </c>
      <c r="C85" s="88" t="s">
        <v>229</v>
      </c>
      <c r="D85" s="88" t="s">
        <v>148</v>
      </c>
      <c r="E85" s="94">
        <f ca="1">SUMPRODUCT((TableBOM[Item ID]=A85)*TableBOM[Per 1000 Units]*(1+TableBOM[Scrap %])*SUMIF($D$3:$D$12,TableBOM[Product ID],$H$3:$H$12)/1000)</f>
        <v>0</v>
      </c>
      <c r="F85" s="94">
        <f>IFERROR(INDEX(TableInventory[Store Balance],MATCH(A85,TableInventory[Item ID],0)),0)+IFERROR(INDEX(TableInventory[Work In Process],MATCH(A85,TableInventory[Item ID],0)),0)</f>
        <v>25</v>
      </c>
      <c r="G85" s="94">
        <f t="shared" ca="1" si="7"/>
        <v>25</v>
      </c>
      <c r="H85" s="95" t="str">
        <f ca="1">IF(LEN(IF((COUNTIFS(TableBOM[Product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",""))&gt;1,LEFT(IF((COUNTIFS(TableBOM[Product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",""),LEN(IF((COUNTIFS(TableBOM[Product ID],$D$3,TableBOM[Item ID],$A85)&gt;0)*($H$3&gt;0),$C$3&amp;", ","")&amp;IF((COUNTIFS(TableBOM[Product ID],$D$4,TableBOM[Item ID],$A85)&gt;0)*($H$4&gt;0),$C$4&amp;", ","")&amp;IF((COUNTIFS(TableBOM[Product ID],$D$5,TableBOM[Item ID],$A85)&gt;0)*($H$5&gt;0),$C$5&amp;", ","")&amp;IF((COUNTIFS(TableBOM[Product ID],$D$6,TableBOM[Item ID],$A85)&gt;0)*($H$6&gt;0),$C$6&amp;", ","")&amp;IF((COUNTIFS(TableBOM[Product ID],$D$7,TableBOM[Item ID],$A85)&gt;0)*($H$7&gt;0),$C$7&amp;", ","")&amp;IF((COUNTIFS(TableBOM[Product ID],$D$8,TableBOM[Item ID],$A85)&gt;0)*($H$8&gt;0),$C$8&amp;", ","")&amp;IF((COUNTIFS(TableBOM[Product ID],$D$9,TableBOM[Item ID],$A85)&gt;0)*($H$9&gt;0),$C$9&amp;", ","")&amp;IF((COUNTIFS(TableBOM[Product ID],$D$10,TableBOM[Item ID],$A85)&gt;0)*($H$10&gt;0),$C$10&amp;", ","")&amp;IF((COUNTIFS(TableBOM[Product ID],$D$12,TableBOM[Item ID],$A85)&gt;0)*($H$12&gt;0),$C$12&amp;", ",""))-2),"")</f>
        <v/>
      </c>
      <c r="I85" s="96" t="str">
        <f ca="1">IF(LEN(IF((COUNTIFS(TableBOM[Product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",""))&gt;1,LEFT(IF((COUNTIFS(TableBOM[Product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",""),LEN(IF((COUNTIFS(TableBOM[Product ID],$D$3,TableBOM[Item ID],$A85)&gt;0)*($H$3&gt;0),$E$3&amp;", ","")&amp;IF((COUNTIFS(TableBOM[Product ID],$D$4,TableBOM[Item ID],$A85)&gt;0)*($H$4&gt;0),$E$4&amp;", ","")&amp;IF((COUNTIFS(TableBOM[Product ID],$D$5,TableBOM[Item ID],$A85)&gt;0)*($H$5&gt;0),$E$5&amp;", ","")&amp;IF((COUNTIFS(TableBOM[Product ID],$D$6,TableBOM[Item ID],$A85)&gt;0)*($H$6&gt;0),$E$6&amp;", ","")&amp;IF((COUNTIFS(TableBOM[Product ID],$D$7,TableBOM[Item ID],$A85)&gt;0)*($H$7&gt;0),$E$7&amp;", ","")&amp;IF((COUNTIFS(TableBOM[Product ID],$D$8,TableBOM[Item ID],$A85)&gt;0)*($H$8&gt;0),$E$8&amp;", ","")&amp;IF((COUNTIFS(TableBOM[Product ID],$D$9,TableBOM[Item ID],$A85)&gt;0)*($H$9&gt;0),$E$9&amp;", ","")&amp;IF((COUNTIFS(TableBOM[Product ID],$D$10,TableBOM[Item ID],$A85)&gt;0)*($H$10&gt;0),$E$10&amp;", ","")&amp;IF((COUNTIFS(TableBOM[Product ID],$D$12,TableBOM[Item ID],$A85)&gt;0)*($H$12&gt;0),$E$12&amp;", ",""))-2),"")</f>
        <v/>
      </c>
      <c r="J85" s="97" t="str">
        <f t="shared" ca="1" si="8"/>
        <v>Not needed</v>
      </c>
      <c r="K85" s="97" t="str">
        <f>IF(B85&lt;&gt;"CAP","",SUMPRODUCT((ISNUMBER(SEARCH("Cap Not Available",'FG Stock'!$H$4:$H$100)))*('FG Stock'!$I$4:$I$100=A85)*'FG Stock'!$F$4:$F$100))</f>
        <v/>
      </c>
      <c r="L85" s="97" t="str">
        <f t="shared" ca="1" si="9"/>
        <v/>
      </c>
    </row>
    <row r="86" spans="1:12" ht="15" hidden="1" customHeight="1" x14ac:dyDescent="0.25">
      <c r="A86" s="88">
        <v>4070</v>
      </c>
      <c r="B86" s="88" t="s">
        <v>227</v>
      </c>
      <c r="C86" s="88" t="s">
        <v>230</v>
      </c>
      <c r="D86" s="88" t="s">
        <v>148</v>
      </c>
      <c r="E86" s="94">
        <f ca="1">SUMPRODUCT((TableBOM[Item ID]=A86)*TableBOM[Per 1000 Units]*(1+TableBOM[Scrap %])*SUMIF($D$3:$D$12,TableBOM[Product ID],$H$3:$H$12)/1000)</f>
        <v>0</v>
      </c>
      <c r="F86" s="94">
        <f>IFERROR(INDEX(TableInventory[Store Balance],MATCH(A86,TableInventory[Item ID],0)),0)+IFERROR(INDEX(TableInventory[Work In Process],MATCH(A86,TableInventory[Item ID],0)),0)</f>
        <v>0</v>
      </c>
      <c r="G86" s="94">
        <f t="shared" ca="1" si="7"/>
        <v>0</v>
      </c>
      <c r="H86" s="95" t="str">
        <f ca="1">IF(LEN(IF((COUNTIFS(TableBOM[Product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",""))&gt;1,LEFT(IF((COUNTIFS(TableBOM[Product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",""),LEN(IF((COUNTIFS(TableBOM[Product ID],$D$3,TableBOM[Item ID],$A86)&gt;0)*($H$3&gt;0),$C$3&amp;", ","")&amp;IF((COUNTIFS(TableBOM[Product ID],$D$4,TableBOM[Item ID],$A86)&gt;0)*($H$4&gt;0),$C$4&amp;", ","")&amp;IF((COUNTIFS(TableBOM[Product ID],$D$5,TableBOM[Item ID],$A86)&gt;0)*($H$5&gt;0),$C$5&amp;", ","")&amp;IF((COUNTIFS(TableBOM[Product ID],$D$6,TableBOM[Item ID],$A86)&gt;0)*($H$6&gt;0),$C$6&amp;", ","")&amp;IF((COUNTIFS(TableBOM[Product ID],$D$7,TableBOM[Item ID],$A86)&gt;0)*($H$7&gt;0),$C$7&amp;", ","")&amp;IF((COUNTIFS(TableBOM[Product ID],$D$8,TableBOM[Item ID],$A86)&gt;0)*($H$8&gt;0),$C$8&amp;", ","")&amp;IF((COUNTIFS(TableBOM[Product ID],$D$9,TableBOM[Item ID],$A86)&gt;0)*($H$9&gt;0),$C$9&amp;", ","")&amp;IF((COUNTIFS(TableBOM[Product ID],$D$10,TableBOM[Item ID],$A86)&gt;0)*($H$10&gt;0),$C$10&amp;", ","")&amp;IF((COUNTIFS(TableBOM[Product ID],$D$12,TableBOM[Item ID],$A86)&gt;0)*($H$12&gt;0),$C$12&amp;", ",""))-2),"")</f>
        <v/>
      </c>
      <c r="I86" s="96" t="str">
        <f ca="1">IF(LEN(IF((COUNTIFS(TableBOM[Product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",""))&gt;1,LEFT(IF((COUNTIFS(TableBOM[Product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",""),LEN(IF((COUNTIFS(TableBOM[Product ID],$D$3,TableBOM[Item ID],$A86)&gt;0)*($H$3&gt;0),$E$3&amp;", ","")&amp;IF((COUNTIFS(TableBOM[Product ID],$D$4,TableBOM[Item ID],$A86)&gt;0)*($H$4&gt;0),$E$4&amp;", ","")&amp;IF((COUNTIFS(TableBOM[Product ID],$D$5,TableBOM[Item ID],$A86)&gt;0)*($H$5&gt;0),$E$5&amp;", ","")&amp;IF((COUNTIFS(TableBOM[Product ID],$D$6,TableBOM[Item ID],$A86)&gt;0)*($H$6&gt;0),$E$6&amp;", ","")&amp;IF((COUNTIFS(TableBOM[Product ID],$D$7,TableBOM[Item ID],$A86)&gt;0)*($H$7&gt;0),$E$7&amp;", ","")&amp;IF((COUNTIFS(TableBOM[Product ID],$D$8,TableBOM[Item ID],$A86)&gt;0)*($H$8&gt;0),$E$8&amp;", ","")&amp;IF((COUNTIFS(TableBOM[Product ID],$D$9,TableBOM[Item ID],$A86)&gt;0)*($H$9&gt;0),$E$9&amp;", ","")&amp;IF((COUNTIFS(TableBOM[Product ID],$D$10,TableBOM[Item ID],$A86)&gt;0)*($H$10&gt;0),$E$10&amp;", ","")&amp;IF((COUNTIFS(TableBOM[Product ID],$D$12,TableBOM[Item ID],$A86)&gt;0)*($H$12&gt;0),$E$12&amp;", ",""))-2),"")</f>
        <v/>
      </c>
      <c r="J86" s="97" t="str">
        <f t="shared" ca="1" si="8"/>
        <v>Not needed</v>
      </c>
      <c r="K86" s="97" t="str">
        <f>IF(B86&lt;&gt;"CAP","",SUMPRODUCT((ISNUMBER(SEARCH("Cap Not Available",'FG Stock'!$H$4:$H$100)))*('FG Stock'!$I$4:$I$100=A86)*'FG Stock'!$F$4:$F$100))</f>
        <v/>
      </c>
      <c r="L86" s="97" t="str">
        <f t="shared" ca="1" si="9"/>
        <v/>
      </c>
    </row>
    <row r="87" spans="1:12" ht="15" hidden="1" customHeight="1" x14ac:dyDescent="0.25">
      <c r="A87" s="88">
        <v>4310</v>
      </c>
      <c r="B87" s="88" t="s">
        <v>227</v>
      </c>
      <c r="C87" s="88" t="s">
        <v>231</v>
      </c>
      <c r="D87" s="88" t="s">
        <v>148</v>
      </c>
      <c r="E87" s="94">
        <f ca="1">SUMPRODUCT((TableBOM[Item ID]=A87)*TableBOM[Per 1000 Units]*(1+TableBOM[Scrap %])*SUMIF($D$3:$D$12,TableBOM[Product ID],$H$3:$H$12)/1000)</f>
        <v>0</v>
      </c>
      <c r="F87" s="94">
        <f>IFERROR(INDEX(TableInventory[Store Balance],MATCH(A87,TableInventory[Item ID],0)),0)+IFERROR(INDEX(TableInventory[Work In Process],MATCH(A87,TableInventory[Item ID],0)),0)</f>
        <v>36.229999999999997</v>
      </c>
      <c r="G87" s="94">
        <f t="shared" ca="1" si="7"/>
        <v>36.229999999999997</v>
      </c>
      <c r="H87" s="95" t="str">
        <f ca="1">IF(LEN(IF((COUNTIFS(TableBOM[Product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",""))&gt;1,LEFT(IF((COUNTIFS(TableBOM[Product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",""),LEN(IF((COUNTIFS(TableBOM[Product ID],$D$3,TableBOM[Item ID],$A87)&gt;0)*($H$3&gt;0),$C$3&amp;", ","")&amp;IF((COUNTIFS(TableBOM[Product ID],$D$4,TableBOM[Item ID],$A87)&gt;0)*($H$4&gt;0),$C$4&amp;", ","")&amp;IF((COUNTIFS(TableBOM[Product ID],$D$5,TableBOM[Item ID],$A87)&gt;0)*($H$5&gt;0),$C$5&amp;", ","")&amp;IF((COUNTIFS(TableBOM[Product ID],$D$6,TableBOM[Item ID],$A87)&gt;0)*($H$6&gt;0),$C$6&amp;", ","")&amp;IF((COUNTIFS(TableBOM[Product ID],$D$7,TableBOM[Item ID],$A87)&gt;0)*($H$7&gt;0),$C$7&amp;", ","")&amp;IF((COUNTIFS(TableBOM[Product ID],$D$8,TableBOM[Item ID],$A87)&gt;0)*($H$8&gt;0),$C$8&amp;", ","")&amp;IF((COUNTIFS(TableBOM[Product ID],$D$9,TableBOM[Item ID],$A87)&gt;0)*($H$9&gt;0),$C$9&amp;", ","")&amp;IF((COUNTIFS(TableBOM[Product ID],$D$10,TableBOM[Item ID],$A87)&gt;0)*($H$10&gt;0),$C$10&amp;", ","")&amp;IF((COUNTIFS(TableBOM[Product ID],$D$12,TableBOM[Item ID],$A87)&gt;0)*($H$12&gt;0),$C$12&amp;", ",""))-2),"")</f>
        <v/>
      </c>
      <c r="I87" s="96" t="str">
        <f ca="1">IF(LEN(IF((COUNTIFS(TableBOM[Product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",""))&gt;1,LEFT(IF((COUNTIFS(TableBOM[Product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",""),LEN(IF((COUNTIFS(TableBOM[Product ID],$D$3,TableBOM[Item ID],$A87)&gt;0)*($H$3&gt;0),$E$3&amp;", ","")&amp;IF((COUNTIFS(TableBOM[Product ID],$D$4,TableBOM[Item ID],$A87)&gt;0)*($H$4&gt;0),$E$4&amp;", ","")&amp;IF((COUNTIFS(TableBOM[Product ID],$D$5,TableBOM[Item ID],$A87)&gt;0)*($H$5&gt;0),$E$5&amp;", ","")&amp;IF((COUNTIFS(TableBOM[Product ID],$D$6,TableBOM[Item ID],$A87)&gt;0)*($H$6&gt;0),$E$6&amp;", ","")&amp;IF((COUNTIFS(TableBOM[Product ID],$D$7,TableBOM[Item ID],$A87)&gt;0)*($H$7&gt;0),$E$7&amp;", ","")&amp;IF((COUNTIFS(TableBOM[Product ID],$D$8,TableBOM[Item ID],$A87)&gt;0)*($H$8&gt;0),$E$8&amp;", ","")&amp;IF((COUNTIFS(TableBOM[Product ID],$D$9,TableBOM[Item ID],$A87)&gt;0)*($H$9&gt;0),$E$9&amp;", ","")&amp;IF((COUNTIFS(TableBOM[Product ID],$D$10,TableBOM[Item ID],$A87)&gt;0)*($H$10&gt;0),$E$10&amp;", ","")&amp;IF((COUNTIFS(TableBOM[Product ID],$D$12,TableBOM[Item ID],$A87)&gt;0)*($H$12&gt;0),$E$12&amp;", ",""))-2),"")</f>
        <v/>
      </c>
      <c r="J87" s="97" t="str">
        <f t="shared" ca="1" si="8"/>
        <v>Not needed</v>
      </c>
      <c r="K87" s="97" t="str">
        <f>IF(B87&lt;&gt;"CAP","",SUMPRODUCT((ISNUMBER(SEARCH("Cap Not Available",'FG Stock'!$H$4:$H$100)))*('FG Stock'!$I$4:$I$100=A87)*'FG Stock'!$F$4:$F$100))</f>
        <v/>
      </c>
      <c r="L87" s="97" t="str">
        <f t="shared" ca="1" si="9"/>
        <v/>
      </c>
    </row>
    <row r="88" spans="1:12" ht="15" hidden="1" customHeight="1" x14ac:dyDescent="0.25">
      <c r="A88" s="88">
        <v>5625</v>
      </c>
      <c r="B88" s="88" t="s">
        <v>227</v>
      </c>
      <c r="C88" s="88" t="s">
        <v>232</v>
      </c>
      <c r="D88" s="88" t="s">
        <v>148</v>
      </c>
      <c r="E88" s="94">
        <f ca="1">SUMPRODUCT((TableBOM[Item ID]=A88)*TableBOM[Per 1000 Units]*(1+TableBOM[Scrap %])*SUMIF($D$3:$D$12,TableBOM[Product ID],$H$3:$H$12)/1000)</f>
        <v>0</v>
      </c>
      <c r="F88" s="94">
        <f>IFERROR(INDEX(TableInventory[Store Balance],MATCH(A88,TableInventory[Item ID],0)),0)+IFERROR(INDEX(TableInventory[Work In Process],MATCH(A88,TableInventory[Item ID],0)),0)</f>
        <v>48.5</v>
      </c>
      <c r="G88" s="94">
        <f t="shared" ca="1" si="7"/>
        <v>48.5</v>
      </c>
      <c r="H88" s="95" t="str">
        <f ca="1">IF(LEN(IF((COUNTIFS(TableBOM[Product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",""))&gt;1,LEFT(IF((COUNTIFS(TableBOM[Product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",""),LEN(IF((COUNTIFS(TableBOM[Product ID],$D$3,TableBOM[Item ID],$A88)&gt;0)*($H$3&gt;0),$C$3&amp;", ","")&amp;IF((COUNTIFS(TableBOM[Product ID],$D$4,TableBOM[Item ID],$A88)&gt;0)*($H$4&gt;0),$C$4&amp;", ","")&amp;IF((COUNTIFS(TableBOM[Product ID],$D$5,TableBOM[Item ID],$A88)&gt;0)*($H$5&gt;0),$C$5&amp;", ","")&amp;IF((COUNTIFS(TableBOM[Product ID],$D$6,TableBOM[Item ID],$A88)&gt;0)*($H$6&gt;0),$C$6&amp;", ","")&amp;IF((COUNTIFS(TableBOM[Product ID],$D$7,TableBOM[Item ID],$A88)&gt;0)*($H$7&gt;0),$C$7&amp;", ","")&amp;IF((COUNTIFS(TableBOM[Product ID],$D$8,TableBOM[Item ID],$A88)&gt;0)*($H$8&gt;0),$C$8&amp;", ","")&amp;IF((COUNTIFS(TableBOM[Product ID],$D$9,TableBOM[Item ID],$A88)&gt;0)*($H$9&gt;0),$C$9&amp;", ","")&amp;IF((COUNTIFS(TableBOM[Product ID],$D$10,TableBOM[Item ID],$A88)&gt;0)*($H$10&gt;0),$C$10&amp;", ","")&amp;IF((COUNTIFS(TableBOM[Product ID],$D$12,TableBOM[Item ID],$A88)&gt;0)*($H$12&gt;0),$C$12&amp;", ",""))-2),"")</f>
        <v/>
      </c>
      <c r="I88" s="96" t="str">
        <f ca="1">IF(LEN(IF((COUNTIFS(TableBOM[Product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",""))&gt;1,LEFT(IF((COUNTIFS(TableBOM[Product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",""),LEN(IF((COUNTIFS(TableBOM[Product ID],$D$3,TableBOM[Item ID],$A88)&gt;0)*($H$3&gt;0),$E$3&amp;", ","")&amp;IF((COUNTIFS(TableBOM[Product ID],$D$4,TableBOM[Item ID],$A88)&gt;0)*($H$4&gt;0),$E$4&amp;", ","")&amp;IF((COUNTIFS(TableBOM[Product ID],$D$5,TableBOM[Item ID],$A88)&gt;0)*($H$5&gt;0),$E$5&amp;", ","")&amp;IF((COUNTIFS(TableBOM[Product ID],$D$6,TableBOM[Item ID],$A88)&gt;0)*($H$6&gt;0),$E$6&amp;", ","")&amp;IF((COUNTIFS(TableBOM[Product ID],$D$7,TableBOM[Item ID],$A88)&gt;0)*($H$7&gt;0),$E$7&amp;", ","")&amp;IF((COUNTIFS(TableBOM[Product ID],$D$8,TableBOM[Item ID],$A88)&gt;0)*($H$8&gt;0),$E$8&amp;", ","")&amp;IF((COUNTIFS(TableBOM[Product ID],$D$9,TableBOM[Item ID],$A88)&gt;0)*($H$9&gt;0),$E$9&amp;", ","")&amp;IF((COUNTIFS(TableBOM[Product ID],$D$10,TableBOM[Item ID],$A88)&gt;0)*($H$10&gt;0),$E$10&amp;", ","")&amp;IF((COUNTIFS(TableBOM[Product ID],$D$12,TableBOM[Item ID],$A88)&gt;0)*($H$12&gt;0),$E$12&amp;", ",""))-2),"")</f>
        <v/>
      </c>
      <c r="J88" s="97" t="str">
        <f t="shared" ca="1" si="8"/>
        <v>Not needed</v>
      </c>
      <c r="K88" s="97" t="str">
        <f>IF(B88&lt;&gt;"CAP","",SUMPRODUCT((ISNUMBER(SEARCH("Cap Not Available",'FG Stock'!$H$4:$H$100)))*('FG Stock'!$I$4:$I$100=A88)*'FG Stock'!$F$4:$F$100))</f>
        <v/>
      </c>
      <c r="L88" s="97" t="str">
        <f t="shared" ca="1" si="9"/>
        <v/>
      </c>
    </row>
    <row r="89" spans="1:12" ht="15" hidden="1" customHeight="1" x14ac:dyDescent="0.25">
      <c r="A89" s="88">
        <v>5816</v>
      </c>
      <c r="B89" s="88" t="s">
        <v>227</v>
      </c>
      <c r="C89" s="88" t="s">
        <v>233</v>
      </c>
      <c r="D89" s="88" t="s">
        <v>148</v>
      </c>
      <c r="E89" s="94">
        <f ca="1">SUMPRODUCT((TableBOM[Item ID]=A89)*TableBOM[Per 1000 Units]*(1+TableBOM[Scrap %])*SUMIF($D$3:$D$12,TableBOM[Product ID],$H$3:$H$12)/1000)</f>
        <v>0</v>
      </c>
      <c r="F89" s="94">
        <f>IFERROR(INDEX(TableInventory[Store Balance],MATCH(A89,TableInventory[Item ID],0)),0)+IFERROR(INDEX(TableInventory[Work In Process],MATCH(A89,TableInventory[Item ID],0)),0)</f>
        <v>22</v>
      </c>
      <c r="G89" s="94">
        <f t="shared" ca="1" si="7"/>
        <v>22</v>
      </c>
      <c r="H89" s="95" t="str">
        <f ca="1">IF(LEN(IF((COUNTIFS(TableBOM[Product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",""))&gt;1,LEFT(IF((COUNTIFS(TableBOM[Product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",""),LEN(IF((COUNTIFS(TableBOM[Product ID],$D$3,TableBOM[Item ID],$A89)&gt;0)*($H$3&gt;0),$C$3&amp;", ","")&amp;IF((COUNTIFS(TableBOM[Product ID],$D$4,TableBOM[Item ID],$A89)&gt;0)*($H$4&gt;0),$C$4&amp;", ","")&amp;IF((COUNTIFS(TableBOM[Product ID],$D$5,TableBOM[Item ID],$A89)&gt;0)*($H$5&gt;0),$C$5&amp;", ","")&amp;IF((COUNTIFS(TableBOM[Product ID],$D$6,TableBOM[Item ID],$A89)&gt;0)*($H$6&gt;0),$C$6&amp;", ","")&amp;IF((COUNTIFS(TableBOM[Product ID],$D$7,TableBOM[Item ID],$A89)&gt;0)*($H$7&gt;0),$C$7&amp;", ","")&amp;IF((COUNTIFS(TableBOM[Product ID],$D$8,TableBOM[Item ID],$A89)&gt;0)*($H$8&gt;0),$C$8&amp;", ","")&amp;IF((COUNTIFS(TableBOM[Product ID],$D$9,TableBOM[Item ID],$A89)&gt;0)*($H$9&gt;0),$C$9&amp;", ","")&amp;IF((COUNTIFS(TableBOM[Product ID],$D$10,TableBOM[Item ID],$A89)&gt;0)*($H$10&gt;0),$C$10&amp;", ","")&amp;IF((COUNTIFS(TableBOM[Product ID],$D$12,TableBOM[Item ID],$A89)&gt;0)*($H$12&gt;0),$C$12&amp;", ",""))-2),"")</f>
        <v/>
      </c>
      <c r="I89" s="96" t="str">
        <f ca="1">IF(LEN(IF((COUNTIFS(TableBOM[Product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",""))&gt;1,LEFT(IF((COUNTIFS(TableBOM[Product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",""),LEN(IF((COUNTIFS(TableBOM[Product ID],$D$3,TableBOM[Item ID],$A89)&gt;0)*($H$3&gt;0),$E$3&amp;", ","")&amp;IF((COUNTIFS(TableBOM[Product ID],$D$4,TableBOM[Item ID],$A89)&gt;0)*($H$4&gt;0),$E$4&amp;", ","")&amp;IF((COUNTIFS(TableBOM[Product ID],$D$5,TableBOM[Item ID],$A89)&gt;0)*($H$5&gt;0),$E$5&amp;", ","")&amp;IF((COUNTIFS(TableBOM[Product ID],$D$6,TableBOM[Item ID],$A89)&gt;0)*($H$6&gt;0),$E$6&amp;", ","")&amp;IF((COUNTIFS(TableBOM[Product ID],$D$7,TableBOM[Item ID],$A89)&gt;0)*($H$7&gt;0),$E$7&amp;", ","")&amp;IF((COUNTIFS(TableBOM[Product ID],$D$8,TableBOM[Item ID],$A89)&gt;0)*($H$8&gt;0),$E$8&amp;", ","")&amp;IF((COUNTIFS(TableBOM[Product ID],$D$9,TableBOM[Item ID],$A89)&gt;0)*($H$9&gt;0),$E$9&amp;", ","")&amp;IF((COUNTIFS(TableBOM[Product ID],$D$10,TableBOM[Item ID],$A89)&gt;0)*($H$10&gt;0),$E$10&amp;", ","")&amp;IF((COUNTIFS(TableBOM[Product ID],$D$12,TableBOM[Item ID],$A89)&gt;0)*($H$12&gt;0),$E$12&amp;", ",""))-2),"")</f>
        <v/>
      </c>
      <c r="J89" s="97" t="str">
        <f t="shared" ca="1" si="8"/>
        <v>Not needed</v>
      </c>
      <c r="K89" s="97" t="str">
        <f>IF(B89&lt;&gt;"CAP","",SUMPRODUCT((ISNUMBER(SEARCH("Cap Not Available",'FG Stock'!$H$4:$H$100)))*('FG Stock'!$I$4:$I$100=A89)*'FG Stock'!$F$4:$F$100))</f>
        <v/>
      </c>
      <c r="L89" s="97" t="str">
        <f t="shared" ca="1" si="9"/>
        <v/>
      </c>
    </row>
    <row r="90" spans="1:12" ht="15" hidden="1" customHeight="1" x14ac:dyDescent="0.25">
      <c r="A90" s="88">
        <v>6135</v>
      </c>
      <c r="B90" s="88" t="s">
        <v>227</v>
      </c>
      <c r="C90" s="88" t="s">
        <v>234</v>
      </c>
      <c r="D90" s="88" t="s">
        <v>148</v>
      </c>
      <c r="E90" s="94">
        <f ca="1">SUMPRODUCT((TableBOM[Item ID]=A90)*TableBOM[Per 1000 Units]*(1+TableBOM[Scrap %])*SUMIF($D$3:$D$12,TableBOM[Product ID],$H$3:$H$12)/1000)</f>
        <v>0</v>
      </c>
      <c r="F90" s="94">
        <f>IFERROR(INDEX(TableInventory[Store Balance],MATCH(A90,TableInventory[Item ID],0)),0)+IFERROR(INDEX(TableInventory[Work In Process],MATCH(A90,TableInventory[Item ID],0)),0)</f>
        <v>200</v>
      </c>
      <c r="G90" s="94">
        <f t="shared" ca="1" si="7"/>
        <v>200</v>
      </c>
      <c r="H90" s="95" t="str">
        <f ca="1">IF(LEN(IF((COUNTIFS(TableBOM[Product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",""))&gt;1,LEFT(IF((COUNTIFS(TableBOM[Product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",""),LEN(IF((COUNTIFS(TableBOM[Product ID],$D$3,TableBOM[Item ID],$A90)&gt;0)*($H$3&gt;0),$C$3&amp;", ","")&amp;IF((COUNTIFS(TableBOM[Product ID],$D$4,TableBOM[Item ID],$A90)&gt;0)*($H$4&gt;0),$C$4&amp;", ","")&amp;IF((COUNTIFS(TableBOM[Product ID],$D$5,TableBOM[Item ID],$A90)&gt;0)*($H$5&gt;0),$C$5&amp;", ","")&amp;IF((COUNTIFS(TableBOM[Product ID],$D$6,TableBOM[Item ID],$A90)&gt;0)*($H$6&gt;0),$C$6&amp;", ","")&amp;IF((COUNTIFS(TableBOM[Product ID],$D$7,TableBOM[Item ID],$A90)&gt;0)*($H$7&gt;0),$C$7&amp;", ","")&amp;IF((COUNTIFS(TableBOM[Product ID],$D$8,TableBOM[Item ID],$A90)&gt;0)*($H$8&gt;0),$C$8&amp;", ","")&amp;IF((COUNTIFS(TableBOM[Product ID],$D$9,TableBOM[Item ID],$A90)&gt;0)*($H$9&gt;0),$C$9&amp;", ","")&amp;IF((COUNTIFS(TableBOM[Product ID],$D$10,TableBOM[Item ID],$A90)&gt;0)*($H$10&gt;0),$C$10&amp;", ","")&amp;IF((COUNTIFS(TableBOM[Product ID],$D$12,TableBOM[Item ID],$A90)&gt;0)*($H$12&gt;0),$C$12&amp;", ",""))-2),"")</f>
        <v/>
      </c>
      <c r="I90" s="96" t="str">
        <f ca="1">IF(LEN(IF((COUNTIFS(TableBOM[Product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",""))&gt;1,LEFT(IF((COUNTIFS(TableBOM[Product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",""),LEN(IF((COUNTIFS(TableBOM[Product ID],$D$3,TableBOM[Item ID],$A90)&gt;0)*($H$3&gt;0),$E$3&amp;", ","")&amp;IF((COUNTIFS(TableBOM[Product ID],$D$4,TableBOM[Item ID],$A90)&gt;0)*($H$4&gt;0),$E$4&amp;", ","")&amp;IF((COUNTIFS(TableBOM[Product ID],$D$5,TableBOM[Item ID],$A90)&gt;0)*($H$5&gt;0),$E$5&amp;", ","")&amp;IF((COUNTIFS(TableBOM[Product ID],$D$6,TableBOM[Item ID],$A90)&gt;0)*($H$6&gt;0),$E$6&amp;", ","")&amp;IF((COUNTIFS(TableBOM[Product ID],$D$7,TableBOM[Item ID],$A90)&gt;0)*($H$7&gt;0),$E$7&amp;", ","")&amp;IF((COUNTIFS(TableBOM[Product ID],$D$8,TableBOM[Item ID],$A90)&gt;0)*($H$8&gt;0),$E$8&amp;", ","")&amp;IF((COUNTIFS(TableBOM[Product ID],$D$9,TableBOM[Item ID],$A90)&gt;0)*($H$9&gt;0),$E$9&amp;", ","")&amp;IF((COUNTIFS(TableBOM[Product ID],$D$10,TableBOM[Item ID],$A90)&gt;0)*($H$10&gt;0),$E$10&amp;", ","")&amp;IF((COUNTIFS(TableBOM[Product ID],$D$12,TableBOM[Item ID],$A90)&gt;0)*($H$12&gt;0),$E$12&amp;", ",""))-2),"")</f>
        <v/>
      </c>
      <c r="J90" s="97" t="str">
        <f t="shared" ca="1" si="8"/>
        <v>Not needed</v>
      </c>
      <c r="K90" s="97" t="str">
        <f>IF(B90&lt;&gt;"CAP","",SUMPRODUCT((ISNUMBER(SEARCH("Cap Not Available",'FG Stock'!$H$4:$H$100)))*('FG Stock'!$I$4:$I$100=A90)*'FG Stock'!$F$4:$F$100))</f>
        <v/>
      </c>
      <c r="L90" s="97" t="str">
        <f t="shared" ca="1" si="9"/>
        <v/>
      </c>
    </row>
    <row r="91" spans="1:12" ht="15" hidden="1" customHeight="1" x14ac:dyDescent="0.25">
      <c r="A91" s="88">
        <v>7133</v>
      </c>
      <c r="B91" s="88" t="s">
        <v>227</v>
      </c>
      <c r="C91" s="88" t="s">
        <v>235</v>
      </c>
      <c r="D91" s="88" t="s">
        <v>148</v>
      </c>
      <c r="E91" s="94">
        <f ca="1">SUMPRODUCT((TableBOM[Item ID]=A91)*TableBOM[Per 1000 Units]*(1+TableBOM[Scrap %])*SUMIF($D$3:$D$12,TableBOM[Product ID],$H$3:$H$12)/1000)</f>
        <v>0</v>
      </c>
      <c r="F91" s="94">
        <f>IFERROR(INDEX(TableInventory[Store Balance],MATCH(A91,TableInventory[Item ID],0)),0)+IFERROR(INDEX(TableInventory[Work In Process],MATCH(A91,TableInventory[Item ID],0)),0)</f>
        <v>20</v>
      </c>
      <c r="G91" s="94">
        <f t="shared" ca="1" si="7"/>
        <v>20</v>
      </c>
      <c r="H91" s="95" t="str">
        <f ca="1">IF(LEN(IF((COUNTIFS(TableBOM[Product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",""))&gt;1,LEFT(IF((COUNTIFS(TableBOM[Product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",""),LEN(IF((COUNTIFS(TableBOM[Product ID],$D$3,TableBOM[Item ID],$A91)&gt;0)*($H$3&gt;0),$C$3&amp;", ","")&amp;IF((COUNTIFS(TableBOM[Product ID],$D$4,TableBOM[Item ID],$A91)&gt;0)*($H$4&gt;0),$C$4&amp;", ","")&amp;IF((COUNTIFS(TableBOM[Product ID],$D$5,TableBOM[Item ID],$A91)&gt;0)*($H$5&gt;0),$C$5&amp;", ","")&amp;IF((COUNTIFS(TableBOM[Product ID],$D$6,TableBOM[Item ID],$A91)&gt;0)*($H$6&gt;0),$C$6&amp;", ","")&amp;IF((COUNTIFS(TableBOM[Product ID],$D$7,TableBOM[Item ID],$A91)&gt;0)*($H$7&gt;0),$C$7&amp;", ","")&amp;IF((COUNTIFS(TableBOM[Product ID],$D$8,TableBOM[Item ID],$A91)&gt;0)*($H$8&gt;0),$C$8&amp;", ","")&amp;IF((COUNTIFS(TableBOM[Product ID],$D$9,TableBOM[Item ID],$A91)&gt;0)*($H$9&gt;0),$C$9&amp;", ","")&amp;IF((COUNTIFS(TableBOM[Product ID],$D$10,TableBOM[Item ID],$A91)&gt;0)*($H$10&gt;0),$C$10&amp;", ","")&amp;IF((COUNTIFS(TableBOM[Product ID],$D$12,TableBOM[Item ID],$A91)&gt;0)*($H$12&gt;0),$C$12&amp;", ",""))-2),"")</f>
        <v/>
      </c>
      <c r="I91" s="96" t="str">
        <f ca="1">IF(LEN(IF((COUNTIFS(TableBOM[Product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",""))&gt;1,LEFT(IF((COUNTIFS(TableBOM[Product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",""),LEN(IF((COUNTIFS(TableBOM[Product ID],$D$3,TableBOM[Item ID],$A91)&gt;0)*($H$3&gt;0),$E$3&amp;", ","")&amp;IF((COUNTIFS(TableBOM[Product ID],$D$4,TableBOM[Item ID],$A91)&gt;0)*($H$4&gt;0),$E$4&amp;", ","")&amp;IF((COUNTIFS(TableBOM[Product ID],$D$5,TableBOM[Item ID],$A91)&gt;0)*($H$5&gt;0),$E$5&amp;", ","")&amp;IF((COUNTIFS(TableBOM[Product ID],$D$6,TableBOM[Item ID],$A91)&gt;0)*($H$6&gt;0),$E$6&amp;", ","")&amp;IF((COUNTIFS(TableBOM[Product ID],$D$7,TableBOM[Item ID],$A91)&gt;0)*($H$7&gt;0),$E$7&amp;", ","")&amp;IF((COUNTIFS(TableBOM[Product ID],$D$8,TableBOM[Item ID],$A91)&gt;0)*($H$8&gt;0),$E$8&amp;", ","")&amp;IF((COUNTIFS(TableBOM[Product ID],$D$9,TableBOM[Item ID],$A91)&gt;0)*($H$9&gt;0),$E$9&amp;", ","")&amp;IF((COUNTIFS(TableBOM[Product ID],$D$10,TableBOM[Item ID],$A91)&gt;0)*($H$10&gt;0),$E$10&amp;", ","")&amp;IF((COUNTIFS(TableBOM[Product ID],$D$12,TableBOM[Item ID],$A91)&gt;0)*($H$12&gt;0),$E$12&amp;", ",""))-2),"")</f>
        <v/>
      </c>
      <c r="J91" s="97" t="str">
        <f t="shared" ca="1" si="8"/>
        <v>Not needed</v>
      </c>
      <c r="K91" s="97" t="str">
        <f>IF(B91&lt;&gt;"CAP","",SUMPRODUCT((ISNUMBER(SEARCH("Cap Not Available",'FG Stock'!$H$4:$H$100)))*('FG Stock'!$I$4:$I$100=A91)*'FG Stock'!$F$4:$F$100))</f>
        <v/>
      </c>
      <c r="L91" s="97" t="str">
        <f t="shared" ca="1" si="9"/>
        <v/>
      </c>
    </row>
    <row r="92" spans="1:12" ht="15" hidden="1" customHeight="1" x14ac:dyDescent="0.25">
      <c r="A92" s="88">
        <v>7412</v>
      </c>
      <c r="B92" s="88" t="s">
        <v>227</v>
      </c>
      <c r="C92" s="88" t="s">
        <v>236</v>
      </c>
      <c r="D92" s="88" t="s">
        <v>148</v>
      </c>
      <c r="E92" s="94">
        <f ca="1">SUMPRODUCT((TableBOM[Item ID]=A92)*TableBOM[Per 1000 Units]*(1+TableBOM[Scrap %])*SUMIF($D$3:$D$12,TableBOM[Product ID],$H$3:$H$12)/1000)</f>
        <v>0</v>
      </c>
      <c r="F92" s="94">
        <f>IFERROR(INDEX(TableInventory[Store Balance],MATCH(A92,TableInventory[Item ID],0)),0)+IFERROR(INDEX(TableInventory[Work In Process],MATCH(A92,TableInventory[Item ID],0)),0)</f>
        <v>25</v>
      </c>
      <c r="G92" s="94">
        <f t="shared" ca="1" si="7"/>
        <v>25</v>
      </c>
      <c r="H92" s="95" t="str">
        <f ca="1">IF(LEN(IF((COUNTIFS(TableBOM[Product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",""))&gt;1,LEFT(IF((COUNTIFS(TableBOM[Product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",""),LEN(IF((COUNTIFS(TableBOM[Product ID],$D$3,TableBOM[Item ID],$A92)&gt;0)*($H$3&gt;0),$C$3&amp;", ","")&amp;IF((COUNTIFS(TableBOM[Product ID],$D$4,TableBOM[Item ID],$A92)&gt;0)*($H$4&gt;0),$C$4&amp;", ","")&amp;IF((COUNTIFS(TableBOM[Product ID],$D$5,TableBOM[Item ID],$A92)&gt;0)*($H$5&gt;0),$C$5&amp;", ","")&amp;IF((COUNTIFS(TableBOM[Product ID],$D$6,TableBOM[Item ID],$A92)&gt;0)*($H$6&gt;0),$C$6&amp;", ","")&amp;IF((COUNTIFS(TableBOM[Product ID],$D$7,TableBOM[Item ID],$A92)&gt;0)*($H$7&gt;0),$C$7&amp;", ","")&amp;IF((COUNTIFS(TableBOM[Product ID],$D$8,TableBOM[Item ID],$A92)&gt;0)*($H$8&gt;0),$C$8&amp;", ","")&amp;IF((COUNTIFS(TableBOM[Product ID],$D$9,TableBOM[Item ID],$A92)&gt;0)*($H$9&gt;0),$C$9&amp;", ","")&amp;IF((COUNTIFS(TableBOM[Product ID],$D$10,TableBOM[Item ID],$A92)&gt;0)*($H$10&gt;0),$C$10&amp;", ","")&amp;IF((COUNTIFS(TableBOM[Product ID],$D$12,TableBOM[Item ID],$A92)&gt;0)*($H$12&gt;0),$C$12&amp;", ",""))-2),"")</f>
        <v/>
      </c>
      <c r="I92" s="96" t="str">
        <f ca="1">IF(LEN(IF((COUNTIFS(TableBOM[Product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",""))&gt;1,LEFT(IF((COUNTIFS(TableBOM[Product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",""),LEN(IF((COUNTIFS(TableBOM[Product ID],$D$3,TableBOM[Item ID],$A92)&gt;0)*($H$3&gt;0),$E$3&amp;", ","")&amp;IF((COUNTIFS(TableBOM[Product ID],$D$4,TableBOM[Item ID],$A92)&gt;0)*($H$4&gt;0),$E$4&amp;", ","")&amp;IF((COUNTIFS(TableBOM[Product ID],$D$5,TableBOM[Item ID],$A92)&gt;0)*($H$5&gt;0),$E$5&amp;", ","")&amp;IF((COUNTIFS(TableBOM[Product ID],$D$6,TableBOM[Item ID],$A92)&gt;0)*($H$6&gt;0),$E$6&amp;", ","")&amp;IF((COUNTIFS(TableBOM[Product ID],$D$7,TableBOM[Item ID],$A92)&gt;0)*($H$7&gt;0),$E$7&amp;", ","")&amp;IF((COUNTIFS(TableBOM[Product ID],$D$8,TableBOM[Item ID],$A92)&gt;0)*($H$8&gt;0),$E$8&amp;", ","")&amp;IF((COUNTIFS(TableBOM[Product ID],$D$9,TableBOM[Item ID],$A92)&gt;0)*($H$9&gt;0),$E$9&amp;", ","")&amp;IF((COUNTIFS(TableBOM[Product ID],$D$10,TableBOM[Item ID],$A92)&gt;0)*($H$10&gt;0),$E$10&amp;", ","")&amp;IF((COUNTIFS(TableBOM[Product ID],$D$12,TableBOM[Item ID],$A92)&gt;0)*($H$12&gt;0),$E$12&amp;", ",""))-2),"")</f>
        <v/>
      </c>
      <c r="J92" s="97" t="str">
        <f t="shared" ca="1" si="8"/>
        <v>Not needed</v>
      </c>
      <c r="K92" s="97" t="str">
        <f>IF(B92&lt;&gt;"CAP","",SUMPRODUCT((ISNUMBER(SEARCH("Cap Not Available",'FG Stock'!$H$4:$H$100)))*('FG Stock'!$I$4:$I$100=A92)*'FG Stock'!$F$4:$F$100))</f>
        <v/>
      </c>
      <c r="L92" s="97" t="str">
        <f t="shared" ca="1" si="9"/>
        <v/>
      </c>
    </row>
    <row r="93" spans="1:12" ht="15" hidden="1" customHeight="1" x14ac:dyDescent="0.25">
      <c r="A93" s="88">
        <v>3752</v>
      </c>
      <c r="B93" s="88" t="s">
        <v>237</v>
      </c>
      <c r="C93" s="88" t="s">
        <v>238</v>
      </c>
      <c r="D93" s="88" t="s">
        <v>148</v>
      </c>
      <c r="E93" s="94">
        <f ca="1">SUMPRODUCT((TableBOM[Item ID]=A93)*TableBOM[Per 1000 Units]*(1+TableBOM[Scrap %])*SUMIF($D$3:$D$12,TableBOM[Product ID],$H$3:$H$12)/1000)</f>
        <v>0</v>
      </c>
      <c r="F93" s="94">
        <f>IFERROR(INDEX(TableInventory[Store Balance],MATCH(A93,TableInventory[Item ID],0)),0)+IFERROR(INDEX(TableInventory[Work In Process],MATCH(A93,TableInventory[Item ID],0)),0)</f>
        <v>56</v>
      </c>
      <c r="G93" s="94">
        <f t="shared" ca="1" si="7"/>
        <v>56</v>
      </c>
      <c r="H93" s="95" t="str">
        <f ca="1">IF(LEN(IF((COUNTIFS(TableBOM[Product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",""))&gt;1,LEFT(IF((COUNTIFS(TableBOM[Product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",""),LEN(IF((COUNTIFS(TableBOM[Product ID],$D$3,TableBOM[Item ID],$A93)&gt;0)*($H$3&gt;0),$C$3&amp;", ","")&amp;IF((COUNTIFS(TableBOM[Product ID],$D$4,TableBOM[Item ID],$A93)&gt;0)*($H$4&gt;0),$C$4&amp;", ","")&amp;IF((COUNTIFS(TableBOM[Product ID],$D$5,TableBOM[Item ID],$A93)&gt;0)*($H$5&gt;0),$C$5&amp;", ","")&amp;IF((COUNTIFS(TableBOM[Product ID],$D$6,TableBOM[Item ID],$A93)&gt;0)*($H$6&gt;0),$C$6&amp;", ","")&amp;IF((COUNTIFS(TableBOM[Product ID],$D$7,TableBOM[Item ID],$A93)&gt;0)*($H$7&gt;0),$C$7&amp;", ","")&amp;IF((COUNTIFS(TableBOM[Product ID],$D$8,TableBOM[Item ID],$A93)&gt;0)*($H$8&gt;0),$C$8&amp;", ","")&amp;IF((COUNTIFS(TableBOM[Product ID],$D$9,TableBOM[Item ID],$A93)&gt;0)*($H$9&gt;0),$C$9&amp;", ","")&amp;IF((COUNTIFS(TableBOM[Product ID],$D$10,TableBOM[Item ID],$A93)&gt;0)*($H$10&gt;0),$C$10&amp;", ","")&amp;IF((COUNTIFS(TableBOM[Product ID],$D$12,TableBOM[Item ID],$A93)&gt;0)*($H$12&gt;0),$C$12&amp;", ",""))-2),"")</f>
        <v/>
      </c>
      <c r="I93" s="96" t="str">
        <f ca="1">IF(LEN(IF((COUNTIFS(TableBOM[Product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",""))&gt;1,LEFT(IF((COUNTIFS(TableBOM[Product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",""),LEN(IF((COUNTIFS(TableBOM[Product ID],$D$3,TableBOM[Item ID],$A93)&gt;0)*($H$3&gt;0),$E$3&amp;", ","")&amp;IF((COUNTIFS(TableBOM[Product ID],$D$4,TableBOM[Item ID],$A93)&gt;0)*($H$4&gt;0),$E$4&amp;", ","")&amp;IF((COUNTIFS(TableBOM[Product ID],$D$5,TableBOM[Item ID],$A93)&gt;0)*($H$5&gt;0),$E$5&amp;", ","")&amp;IF((COUNTIFS(TableBOM[Product ID],$D$6,TableBOM[Item ID],$A93)&gt;0)*($H$6&gt;0),$E$6&amp;", ","")&amp;IF((COUNTIFS(TableBOM[Product ID],$D$7,TableBOM[Item ID],$A93)&gt;0)*($H$7&gt;0),$E$7&amp;", ","")&amp;IF((COUNTIFS(TableBOM[Product ID],$D$8,TableBOM[Item ID],$A93)&gt;0)*($H$8&gt;0),$E$8&amp;", ","")&amp;IF((COUNTIFS(TableBOM[Product ID],$D$9,TableBOM[Item ID],$A93)&gt;0)*($H$9&gt;0),$E$9&amp;", ","")&amp;IF((COUNTIFS(TableBOM[Product ID],$D$10,TableBOM[Item ID],$A93)&gt;0)*($H$10&gt;0),$E$10&amp;", ","")&amp;IF((COUNTIFS(TableBOM[Product ID],$D$12,TableBOM[Item ID],$A93)&gt;0)*($H$12&gt;0),$E$12&amp;", ",""))-2),"")</f>
        <v/>
      </c>
      <c r="J93" s="97" t="str">
        <f t="shared" ca="1" si="8"/>
        <v>Not needed</v>
      </c>
      <c r="K93" s="97" t="str">
        <f>IF(B93&lt;&gt;"CAP","",SUMPRODUCT((ISNUMBER(SEARCH("Cap Not Available",'FG Stock'!$H$4:$H$100)))*('FG Stock'!$I$4:$I$100=A93)*'FG Stock'!$F$4:$F$100))</f>
        <v/>
      </c>
      <c r="L93" s="97" t="str">
        <f t="shared" ca="1" si="9"/>
        <v/>
      </c>
    </row>
    <row r="94" spans="1:12" ht="15" hidden="1" customHeight="1" x14ac:dyDescent="0.25">
      <c r="A94" s="88">
        <v>4248</v>
      </c>
      <c r="B94" s="88" t="s">
        <v>237</v>
      </c>
      <c r="C94" s="88" t="s">
        <v>239</v>
      </c>
      <c r="D94" s="88" t="s">
        <v>148</v>
      </c>
      <c r="E94" s="94">
        <f ca="1">SUMPRODUCT((TableBOM[Item ID]=A94)*TableBOM[Per 1000 Units]*(1+TableBOM[Scrap %])*SUMIF($D$3:$D$12,TableBOM[Product ID],$H$3:$H$12)/1000)</f>
        <v>0</v>
      </c>
      <c r="F94" s="94">
        <f>IFERROR(INDEX(TableInventory[Store Balance],MATCH(A94,TableInventory[Item ID],0)),0)+IFERROR(INDEX(TableInventory[Work In Process],MATCH(A94,TableInventory[Item ID],0)),0)</f>
        <v>250</v>
      </c>
      <c r="G94" s="94">
        <f t="shared" ca="1" si="7"/>
        <v>250</v>
      </c>
      <c r="H94" s="95" t="str">
        <f ca="1">IF(LEN(IF((COUNTIFS(TableBOM[Product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",""))&gt;1,LEFT(IF((COUNTIFS(TableBOM[Product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",""),LEN(IF((COUNTIFS(TableBOM[Product ID],$D$3,TableBOM[Item ID],$A94)&gt;0)*($H$3&gt;0),$C$3&amp;", ","")&amp;IF((COUNTIFS(TableBOM[Product ID],$D$4,TableBOM[Item ID],$A94)&gt;0)*($H$4&gt;0),$C$4&amp;", ","")&amp;IF((COUNTIFS(TableBOM[Product ID],$D$5,TableBOM[Item ID],$A94)&gt;0)*($H$5&gt;0),$C$5&amp;", ","")&amp;IF((COUNTIFS(TableBOM[Product ID],$D$6,TableBOM[Item ID],$A94)&gt;0)*($H$6&gt;0),$C$6&amp;", ","")&amp;IF((COUNTIFS(TableBOM[Product ID],$D$7,TableBOM[Item ID],$A94)&gt;0)*($H$7&gt;0),$C$7&amp;", ","")&amp;IF((COUNTIFS(TableBOM[Product ID],$D$8,TableBOM[Item ID],$A94)&gt;0)*($H$8&gt;0),$C$8&amp;", ","")&amp;IF((COUNTIFS(TableBOM[Product ID],$D$9,TableBOM[Item ID],$A94)&gt;0)*($H$9&gt;0),$C$9&amp;", ","")&amp;IF((COUNTIFS(TableBOM[Product ID],$D$10,TableBOM[Item ID],$A94)&gt;0)*($H$10&gt;0),$C$10&amp;", ","")&amp;IF((COUNTIFS(TableBOM[Product ID],$D$12,TableBOM[Item ID],$A94)&gt;0)*($H$12&gt;0),$C$12&amp;", ",""))-2),"")</f>
        <v/>
      </c>
      <c r="I94" s="96" t="str">
        <f ca="1">IF(LEN(IF((COUNTIFS(TableBOM[Product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",""))&gt;1,LEFT(IF((COUNTIFS(TableBOM[Product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",""),LEN(IF((COUNTIFS(TableBOM[Product ID],$D$3,TableBOM[Item ID],$A94)&gt;0)*($H$3&gt;0),$E$3&amp;", ","")&amp;IF((COUNTIFS(TableBOM[Product ID],$D$4,TableBOM[Item ID],$A94)&gt;0)*($H$4&gt;0),$E$4&amp;", ","")&amp;IF((COUNTIFS(TableBOM[Product ID],$D$5,TableBOM[Item ID],$A94)&gt;0)*($H$5&gt;0),$E$5&amp;", ","")&amp;IF((COUNTIFS(TableBOM[Product ID],$D$6,TableBOM[Item ID],$A94)&gt;0)*($H$6&gt;0),$E$6&amp;", ","")&amp;IF((COUNTIFS(TableBOM[Product ID],$D$7,TableBOM[Item ID],$A94)&gt;0)*($H$7&gt;0),$E$7&amp;", ","")&amp;IF((COUNTIFS(TableBOM[Product ID],$D$8,TableBOM[Item ID],$A94)&gt;0)*($H$8&gt;0),$E$8&amp;", ","")&amp;IF((COUNTIFS(TableBOM[Product ID],$D$9,TableBOM[Item ID],$A94)&gt;0)*($H$9&gt;0),$E$9&amp;", ","")&amp;IF((COUNTIFS(TableBOM[Product ID],$D$10,TableBOM[Item ID],$A94)&gt;0)*($H$10&gt;0),$E$10&amp;", ","")&amp;IF((COUNTIFS(TableBOM[Product ID],$D$12,TableBOM[Item ID],$A94)&gt;0)*($H$12&gt;0),$E$12&amp;", ",""))-2),"")</f>
        <v/>
      </c>
      <c r="J94" s="97" t="str">
        <f t="shared" ca="1" si="8"/>
        <v>Not needed</v>
      </c>
      <c r="K94" s="97" t="str">
        <f>IF(B94&lt;&gt;"CAP","",SUMPRODUCT((ISNUMBER(SEARCH("Cap Not Available",'FG Stock'!$H$4:$H$100)))*('FG Stock'!$I$4:$I$100=A94)*'FG Stock'!$F$4:$F$100))</f>
        <v/>
      </c>
      <c r="L94" s="97" t="str">
        <f t="shared" ca="1" si="9"/>
        <v/>
      </c>
    </row>
    <row r="95" spans="1:12" ht="15" hidden="1" customHeight="1" x14ac:dyDescent="0.25">
      <c r="A95" s="88">
        <v>6042</v>
      </c>
      <c r="B95" s="88" t="s">
        <v>237</v>
      </c>
      <c r="C95" s="88" t="s">
        <v>240</v>
      </c>
      <c r="D95" s="88" t="s">
        <v>148</v>
      </c>
      <c r="E95" s="94">
        <f ca="1">SUMPRODUCT((TableBOM[Item ID]=A95)*TableBOM[Per 1000 Units]*(1+TableBOM[Scrap %])*SUMIF($D$3:$D$12,TableBOM[Product ID],$H$3:$H$12)/1000)</f>
        <v>0</v>
      </c>
      <c r="F95" s="94">
        <f>IFERROR(INDEX(TableInventory[Store Balance],MATCH(A95,TableInventory[Item ID],0)),0)+IFERROR(INDEX(TableInventory[Work In Process],MATCH(A95,TableInventory[Item ID],0)),0)</f>
        <v>25</v>
      </c>
      <c r="G95" s="94">
        <f t="shared" ca="1" si="7"/>
        <v>25</v>
      </c>
      <c r="H95" s="95" t="str">
        <f ca="1">IF(LEN(IF((COUNTIFS(TableBOM[Product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",""))&gt;1,LEFT(IF((COUNTIFS(TableBOM[Product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",""),LEN(IF((COUNTIFS(TableBOM[Product ID],$D$3,TableBOM[Item ID],$A95)&gt;0)*($H$3&gt;0),$C$3&amp;", ","")&amp;IF((COUNTIFS(TableBOM[Product ID],$D$4,TableBOM[Item ID],$A95)&gt;0)*($H$4&gt;0),$C$4&amp;", ","")&amp;IF((COUNTIFS(TableBOM[Product ID],$D$5,TableBOM[Item ID],$A95)&gt;0)*($H$5&gt;0),$C$5&amp;", ","")&amp;IF((COUNTIFS(TableBOM[Product ID],$D$6,TableBOM[Item ID],$A95)&gt;0)*($H$6&gt;0),$C$6&amp;", ","")&amp;IF((COUNTIFS(TableBOM[Product ID],$D$7,TableBOM[Item ID],$A95)&gt;0)*($H$7&gt;0),$C$7&amp;", ","")&amp;IF((COUNTIFS(TableBOM[Product ID],$D$8,TableBOM[Item ID],$A95)&gt;0)*($H$8&gt;0),$C$8&amp;", ","")&amp;IF((COUNTIFS(TableBOM[Product ID],$D$9,TableBOM[Item ID],$A95)&gt;0)*($H$9&gt;0),$C$9&amp;", ","")&amp;IF((COUNTIFS(TableBOM[Product ID],$D$10,TableBOM[Item ID],$A95)&gt;0)*($H$10&gt;0),$C$10&amp;", ","")&amp;IF((COUNTIFS(TableBOM[Product ID],$D$12,TableBOM[Item ID],$A95)&gt;0)*($H$12&gt;0),$C$12&amp;", ",""))-2),"")</f>
        <v/>
      </c>
      <c r="I95" s="96" t="str">
        <f ca="1">IF(LEN(IF((COUNTIFS(TableBOM[Product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",""))&gt;1,LEFT(IF((COUNTIFS(TableBOM[Product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",""),LEN(IF((COUNTIFS(TableBOM[Product ID],$D$3,TableBOM[Item ID],$A95)&gt;0)*($H$3&gt;0),$E$3&amp;", ","")&amp;IF((COUNTIFS(TableBOM[Product ID],$D$4,TableBOM[Item ID],$A95)&gt;0)*($H$4&gt;0),$E$4&amp;", ","")&amp;IF((COUNTIFS(TableBOM[Product ID],$D$5,TableBOM[Item ID],$A95)&gt;0)*($H$5&gt;0),$E$5&amp;", ","")&amp;IF((COUNTIFS(TableBOM[Product ID],$D$6,TableBOM[Item ID],$A95)&gt;0)*($H$6&gt;0),$E$6&amp;", ","")&amp;IF((COUNTIFS(TableBOM[Product ID],$D$7,TableBOM[Item ID],$A95)&gt;0)*($H$7&gt;0),$E$7&amp;", ","")&amp;IF((COUNTIFS(TableBOM[Product ID],$D$8,TableBOM[Item ID],$A95)&gt;0)*($H$8&gt;0),$E$8&amp;", ","")&amp;IF((COUNTIFS(TableBOM[Product ID],$D$9,TableBOM[Item ID],$A95)&gt;0)*($H$9&gt;0),$E$9&amp;", ","")&amp;IF((COUNTIFS(TableBOM[Product ID],$D$10,TableBOM[Item ID],$A95)&gt;0)*($H$10&gt;0),$E$10&amp;", ","")&amp;IF((COUNTIFS(TableBOM[Product ID],$D$12,TableBOM[Item ID],$A95)&gt;0)*($H$12&gt;0),$E$12&amp;", ",""))-2),"")</f>
        <v/>
      </c>
      <c r="J95" s="97" t="str">
        <f t="shared" ca="1" si="8"/>
        <v>Not needed</v>
      </c>
      <c r="K95" s="97" t="str">
        <f>IF(B95&lt;&gt;"CAP","",SUMPRODUCT((ISNUMBER(SEARCH("Cap Not Available",'FG Stock'!$H$4:$H$100)))*('FG Stock'!$I$4:$I$100=A95)*'FG Stock'!$F$4:$F$100))</f>
        <v/>
      </c>
      <c r="L95" s="97" t="str">
        <f t="shared" ca="1" si="9"/>
        <v/>
      </c>
    </row>
    <row r="96" spans="1:12" ht="15" hidden="1" customHeight="1" x14ac:dyDescent="0.25">
      <c r="A96" s="88">
        <v>2267</v>
      </c>
      <c r="B96" s="88" t="s">
        <v>241</v>
      </c>
      <c r="C96" s="88" t="s">
        <v>242</v>
      </c>
      <c r="D96" s="88" t="s">
        <v>188</v>
      </c>
      <c r="E96" s="94">
        <f ca="1">SUMPRODUCT((TableBOM[Item ID]=A96)*TableBOM[Per 1000 Units]*(1+TableBOM[Scrap %])*SUMIF($D$3:$D$12,TableBOM[Product ID],$H$3:$H$12)/1000)</f>
        <v>0</v>
      </c>
      <c r="F96" s="94">
        <f>IFERROR(INDEX(TableInventory[Store Balance],MATCH(A96,TableInventory[Item ID],0)),0)+IFERROR(INDEX(TableInventory[Work In Process],MATCH(A96,TableInventory[Item ID],0)),0)</f>
        <v>150</v>
      </c>
      <c r="G96" s="94">
        <f t="shared" ca="1" si="7"/>
        <v>150</v>
      </c>
      <c r="H96" s="95" t="str">
        <f ca="1">IF(LEN(IF((COUNTIFS(TableBOM[Product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",""))&gt;1,LEFT(IF((COUNTIFS(TableBOM[Product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",""),LEN(IF((COUNTIFS(TableBOM[Product ID],$D$3,TableBOM[Item ID],$A96)&gt;0)*($H$3&gt;0),$C$3&amp;", ","")&amp;IF((COUNTIFS(TableBOM[Product ID],$D$4,TableBOM[Item ID],$A96)&gt;0)*($H$4&gt;0),$C$4&amp;", ","")&amp;IF((COUNTIFS(TableBOM[Product ID],$D$5,TableBOM[Item ID],$A96)&gt;0)*($H$5&gt;0),$C$5&amp;", ","")&amp;IF((COUNTIFS(TableBOM[Product ID],$D$6,TableBOM[Item ID],$A96)&gt;0)*($H$6&gt;0),$C$6&amp;", ","")&amp;IF((COUNTIFS(TableBOM[Product ID],$D$7,TableBOM[Item ID],$A96)&gt;0)*($H$7&gt;0),$C$7&amp;", ","")&amp;IF((COUNTIFS(TableBOM[Product ID],$D$8,TableBOM[Item ID],$A96)&gt;0)*($H$8&gt;0),$C$8&amp;", ","")&amp;IF((COUNTIFS(TableBOM[Product ID],$D$9,TableBOM[Item ID],$A96)&gt;0)*($H$9&gt;0),$C$9&amp;", ","")&amp;IF((COUNTIFS(TableBOM[Product ID],$D$10,TableBOM[Item ID],$A96)&gt;0)*($H$10&gt;0),$C$10&amp;", ","")&amp;IF((COUNTIFS(TableBOM[Product ID],$D$12,TableBOM[Item ID],$A96)&gt;0)*($H$12&gt;0),$C$12&amp;", ",""))-2),"")</f>
        <v/>
      </c>
      <c r="I96" s="96" t="str">
        <f ca="1">IF(LEN(IF((COUNTIFS(TableBOM[Product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",""))&gt;1,LEFT(IF((COUNTIFS(TableBOM[Product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",""),LEN(IF((COUNTIFS(TableBOM[Product ID],$D$3,TableBOM[Item ID],$A96)&gt;0)*($H$3&gt;0),$E$3&amp;", ","")&amp;IF((COUNTIFS(TableBOM[Product ID],$D$4,TableBOM[Item ID],$A96)&gt;0)*($H$4&gt;0),$E$4&amp;", ","")&amp;IF((COUNTIFS(TableBOM[Product ID],$D$5,TableBOM[Item ID],$A96)&gt;0)*($H$5&gt;0),$E$5&amp;", ","")&amp;IF((COUNTIFS(TableBOM[Product ID],$D$6,TableBOM[Item ID],$A96)&gt;0)*($H$6&gt;0),$E$6&amp;", ","")&amp;IF((COUNTIFS(TableBOM[Product ID],$D$7,TableBOM[Item ID],$A96)&gt;0)*($H$7&gt;0),$E$7&amp;", ","")&amp;IF((COUNTIFS(TableBOM[Product ID],$D$8,TableBOM[Item ID],$A96)&gt;0)*($H$8&gt;0),$E$8&amp;", ","")&amp;IF((COUNTIFS(TableBOM[Product ID],$D$9,TableBOM[Item ID],$A96)&gt;0)*($H$9&gt;0),$E$9&amp;", ","")&amp;IF((COUNTIFS(TableBOM[Product ID],$D$10,TableBOM[Item ID],$A96)&gt;0)*($H$10&gt;0),$E$10&amp;", ","")&amp;IF((COUNTIFS(TableBOM[Product ID],$D$12,TableBOM[Item ID],$A96)&gt;0)*($H$12&gt;0),$E$12&amp;", ",""))-2),"")</f>
        <v/>
      </c>
      <c r="J96" s="97" t="str">
        <f t="shared" ca="1" si="8"/>
        <v>Not needed</v>
      </c>
      <c r="K96" s="97" t="str">
        <f>IF(B96&lt;&gt;"CAP","",SUMPRODUCT((ISNUMBER(SEARCH("Cap Not Available",'FG Stock'!$H$4:$H$100)))*('FG Stock'!$I$4:$I$100=A96)*'FG Stock'!$F$4:$F$100))</f>
        <v/>
      </c>
      <c r="L96" s="97" t="str">
        <f t="shared" ca="1" si="9"/>
        <v/>
      </c>
    </row>
    <row r="97" spans="1:22" ht="15" hidden="1" customHeight="1" x14ac:dyDescent="0.25">
      <c r="A97" s="88">
        <v>3006</v>
      </c>
      <c r="B97" s="88" t="s">
        <v>241</v>
      </c>
      <c r="C97" s="88" t="s">
        <v>243</v>
      </c>
      <c r="D97" s="88" t="s">
        <v>188</v>
      </c>
      <c r="E97" s="94">
        <f ca="1">SUMPRODUCT((TableBOM[Item ID]=A97)*TableBOM[Per 1000 Units]*(1+TableBOM[Scrap %])*SUMIF($D$3:$D$12,TableBOM[Product ID],$H$3:$H$12)/1000)</f>
        <v>0</v>
      </c>
      <c r="F97" s="94">
        <f>IFERROR(INDEX(TableInventory[Store Balance],MATCH(A97,TableInventory[Item ID],0)),0)+IFERROR(INDEX(TableInventory[Work In Process],MATCH(A97,TableInventory[Item ID],0)),0)</f>
        <v>201</v>
      </c>
      <c r="G97" s="94">
        <f t="shared" ca="1" si="7"/>
        <v>201</v>
      </c>
      <c r="H97" s="95" t="str">
        <f ca="1">IF(LEN(IF((COUNTIFS(TableBOM[Product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",""))&gt;1,LEFT(IF((COUNTIFS(TableBOM[Product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",""),LEN(IF((COUNTIFS(TableBOM[Product ID],$D$3,TableBOM[Item ID],$A97)&gt;0)*($H$3&gt;0),$C$3&amp;", ","")&amp;IF((COUNTIFS(TableBOM[Product ID],$D$4,TableBOM[Item ID],$A97)&gt;0)*($H$4&gt;0),$C$4&amp;", ","")&amp;IF((COUNTIFS(TableBOM[Product ID],$D$5,TableBOM[Item ID],$A97)&gt;0)*($H$5&gt;0),$C$5&amp;", ","")&amp;IF((COUNTIFS(TableBOM[Product ID],$D$6,TableBOM[Item ID],$A97)&gt;0)*($H$6&gt;0),$C$6&amp;", ","")&amp;IF((COUNTIFS(TableBOM[Product ID],$D$7,TableBOM[Item ID],$A97)&gt;0)*($H$7&gt;0),$C$7&amp;", ","")&amp;IF((COUNTIFS(TableBOM[Product ID],$D$8,TableBOM[Item ID],$A97)&gt;0)*($H$8&gt;0),$C$8&amp;", ","")&amp;IF((COUNTIFS(TableBOM[Product ID],$D$9,TableBOM[Item ID],$A97)&gt;0)*($H$9&gt;0),$C$9&amp;", ","")&amp;IF((COUNTIFS(TableBOM[Product ID],$D$10,TableBOM[Item ID],$A97)&gt;0)*($H$10&gt;0),$C$10&amp;", ","")&amp;IF((COUNTIFS(TableBOM[Product ID],$D$12,TableBOM[Item ID],$A97)&gt;0)*($H$12&gt;0),$C$12&amp;", ",""))-2),"")</f>
        <v/>
      </c>
      <c r="I97" s="96" t="str">
        <f ca="1">IF(LEN(IF((COUNTIFS(TableBOM[Product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",""))&gt;1,LEFT(IF((COUNTIFS(TableBOM[Product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",""),LEN(IF((COUNTIFS(TableBOM[Product ID],$D$3,TableBOM[Item ID],$A97)&gt;0)*($H$3&gt;0),$E$3&amp;", ","")&amp;IF((COUNTIFS(TableBOM[Product ID],$D$4,TableBOM[Item ID],$A97)&gt;0)*($H$4&gt;0),$E$4&amp;", ","")&amp;IF((COUNTIFS(TableBOM[Product ID],$D$5,TableBOM[Item ID],$A97)&gt;0)*($H$5&gt;0),$E$5&amp;", ","")&amp;IF((COUNTIFS(TableBOM[Product ID],$D$6,TableBOM[Item ID],$A97)&gt;0)*($H$6&gt;0),$E$6&amp;", ","")&amp;IF((COUNTIFS(TableBOM[Product ID],$D$7,TableBOM[Item ID],$A97)&gt;0)*($H$7&gt;0),$E$7&amp;", ","")&amp;IF((COUNTIFS(TableBOM[Product ID],$D$8,TableBOM[Item ID],$A97)&gt;0)*($H$8&gt;0),$E$8&amp;", ","")&amp;IF((COUNTIFS(TableBOM[Product ID],$D$9,TableBOM[Item ID],$A97)&gt;0)*($H$9&gt;0),$E$9&amp;", ","")&amp;IF((COUNTIFS(TableBOM[Product ID],$D$10,TableBOM[Item ID],$A97)&gt;0)*($H$10&gt;0),$E$10&amp;", ","")&amp;IF((COUNTIFS(TableBOM[Product ID],$D$12,TableBOM[Item ID],$A97)&gt;0)*($H$12&gt;0),$E$12&amp;", ",""))-2),"")</f>
        <v/>
      </c>
      <c r="J97" s="97" t="str">
        <f t="shared" ca="1" si="8"/>
        <v>Not needed</v>
      </c>
      <c r="K97" s="97" t="str">
        <f>IF(B97&lt;&gt;"CAP","",SUMPRODUCT((ISNUMBER(SEARCH("Cap Not Available",'FG Stock'!$H$4:$H$100)))*('FG Stock'!$I$4:$I$100=A97)*'FG Stock'!$F$4:$F$100))</f>
        <v/>
      </c>
      <c r="L97" s="97" t="str">
        <f t="shared" ca="1" si="9"/>
        <v/>
      </c>
    </row>
    <row r="98" spans="1:22" ht="15" hidden="1" customHeight="1" x14ac:dyDescent="0.25">
      <c r="A98" s="88">
        <v>3043</v>
      </c>
      <c r="B98" s="88" t="s">
        <v>244</v>
      </c>
      <c r="C98" s="88" t="s">
        <v>245</v>
      </c>
      <c r="D98" s="88" t="s">
        <v>246</v>
      </c>
      <c r="E98" s="94">
        <f ca="1">SUMPRODUCT((TableBOM[Item ID]=A98)*TableBOM[Per 1000 Units]*(1+TableBOM[Scrap %])*SUMIF($D$3:$D$12,TableBOM[Product ID],$H$3:$H$12)/1000)</f>
        <v>0</v>
      </c>
      <c r="F98" s="94">
        <f>IFERROR(INDEX(TableInventory[Store Balance],MATCH(A98,TableInventory[Item ID],0)),0)+IFERROR(INDEX(TableInventory[Work In Process],MATCH(A98,TableInventory[Item ID],0)),0)</f>
        <v>9</v>
      </c>
      <c r="G98" s="94">
        <f t="shared" ca="1" si="7"/>
        <v>9</v>
      </c>
      <c r="H98" s="95" t="str">
        <f ca="1">IF(LEN(IF((COUNTIFS(TableBOM[Product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",""))&gt;1,LEFT(IF((COUNTIFS(TableBOM[Product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",""),LEN(IF((COUNTIFS(TableBOM[Product ID],$D$3,TableBOM[Item ID],$A98)&gt;0)*($H$3&gt;0),$C$3&amp;", ","")&amp;IF((COUNTIFS(TableBOM[Product ID],$D$4,TableBOM[Item ID],$A98)&gt;0)*($H$4&gt;0),$C$4&amp;", ","")&amp;IF((COUNTIFS(TableBOM[Product ID],$D$5,TableBOM[Item ID],$A98)&gt;0)*($H$5&gt;0),$C$5&amp;", ","")&amp;IF((COUNTIFS(TableBOM[Product ID],$D$6,TableBOM[Item ID],$A98)&gt;0)*($H$6&gt;0),$C$6&amp;", ","")&amp;IF((COUNTIFS(TableBOM[Product ID],$D$7,TableBOM[Item ID],$A98)&gt;0)*($H$7&gt;0),$C$7&amp;", ","")&amp;IF((COUNTIFS(TableBOM[Product ID],$D$8,TableBOM[Item ID],$A98)&gt;0)*($H$8&gt;0),$C$8&amp;", ","")&amp;IF((COUNTIFS(TableBOM[Product ID],$D$9,TableBOM[Item ID],$A98)&gt;0)*($H$9&gt;0),$C$9&amp;", ","")&amp;IF((COUNTIFS(TableBOM[Product ID],$D$10,TableBOM[Item ID],$A98)&gt;0)*($H$10&gt;0),$C$10&amp;", ","")&amp;IF((COUNTIFS(TableBOM[Product ID],$D$12,TableBOM[Item ID],$A98)&gt;0)*($H$12&gt;0),$C$12&amp;", ",""))-2),"")</f>
        <v/>
      </c>
      <c r="I98" s="96" t="str">
        <f ca="1">IF(LEN(IF((COUNTIFS(TableBOM[Product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",""))&gt;1,LEFT(IF((COUNTIFS(TableBOM[Product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",""),LEN(IF((COUNTIFS(TableBOM[Product ID],$D$3,TableBOM[Item ID],$A98)&gt;0)*($H$3&gt;0),$E$3&amp;", ","")&amp;IF((COUNTIFS(TableBOM[Product ID],$D$4,TableBOM[Item ID],$A98)&gt;0)*($H$4&gt;0),$E$4&amp;", ","")&amp;IF((COUNTIFS(TableBOM[Product ID],$D$5,TableBOM[Item ID],$A98)&gt;0)*($H$5&gt;0),$E$5&amp;", ","")&amp;IF((COUNTIFS(TableBOM[Product ID],$D$6,TableBOM[Item ID],$A98)&gt;0)*($H$6&gt;0),$E$6&amp;", ","")&amp;IF((COUNTIFS(TableBOM[Product ID],$D$7,TableBOM[Item ID],$A98)&gt;0)*($H$7&gt;0),$E$7&amp;", ","")&amp;IF((COUNTIFS(TableBOM[Product ID],$D$8,TableBOM[Item ID],$A98)&gt;0)*($H$8&gt;0),$E$8&amp;", ","")&amp;IF((COUNTIFS(TableBOM[Product ID],$D$9,TableBOM[Item ID],$A98)&gt;0)*($H$9&gt;0),$E$9&amp;", ","")&amp;IF((COUNTIFS(TableBOM[Product ID],$D$10,TableBOM[Item ID],$A98)&gt;0)*($H$10&gt;0),$E$10&amp;", ","")&amp;IF((COUNTIFS(TableBOM[Product ID],$D$12,TableBOM[Item ID],$A98)&gt;0)*($H$12&gt;0),$E$12&amp;", ",""))-2),"")</f>
        <v/>
      </c>
      <c r="J98" s="97" t="str">
        <f t="shared" ca="1" si="8"/>
        <v>Not needed</v>
      </c>
      <c r="K98" s="97" t="str">
        <f>IF(B98&lt;&gt;"CAP","",SUMPRODUCT((ISNUMBER(SEARCH("Cap Not Available",'FG Stock'!$H$4:$H$100)))*('FG Stock'!$I$4:$I$100=A98)*'FG Stock'!$F$4:$F$100))</f>
        <v/>
      </c>
      <c r="L98" s="97" t="str">
        <f t="shared" ca="1" si="9"/>
        <v/>
      </c>
    </row>
    <row r="99" spans="1:22" ht="15" customHeight="1" x14ac:dyDescent="0.25">
      <c r="A99" s="88"/>
      <c r="B99" s="88"/>
      <c r="C99" s="88"/>
      <c r="D99" s="88"/>
      <c r="E99" s="100"/>
      <c r="F99" s="100"/>
      <c r="G99" s="89"/>
      <c r="H99" s="95"/>
      <c r="I99" s="96"/>
      <c r="J99" s="97"/>
    </row>
    <row r="100" spans="1:22" ht="15" customHeight="1" x14ac:dyDescent="0.25">
      <c r="A100" s="88"/>
      <c r="B100" s="88"/>
      <c r="C100" s="88"/>
      <c r="D100" s="88"/>
      <c r="E100" s="100"/>
      <c r="F100" s="100"/>
      <c r="G100" s="89"/>
      <c r="H100" s="95"/>
      <c r="I100" s="96"/>
      <c r="J100" s="97"/>
    </row>
    <row r="101" spans="1:22" ht="16.5" customHeight="1" x14ac:dyDescent="0.25">
      <c r="A101" s="73" t="s">
        <v>247</v>
      </c>
      <c r="B101" s="74"/>
      <c r="C101" s="74"/>
      <c r="D101" s="74"/>
      <c r="E101" s="75"/>
      <c r="F101" s="75"/>
      <c r="G101" s="125"/>
      <c r="H101" s="126"/>
      <c r="I101" s="127"/>
      <c r="J101" s="96"/>
    </row>
    <row r="102" spans="1:22" ht="36.75" customHeight="1" x14ac:dyDescent="0.25">
      <c r="A102" s="79" t="s">
        <v>109</v>
      </c>
      <c r="B102" s="79" t="s">
        <v>3</v>
      </c>
      <c r="C102" s="80" t="s">
        <v>4</v>
      </c>
      <c r="D102" s="80" t="s">
        <v>1</v>
      </c>
      <c r="E102" s="81" t="s">
        <v>129</v>
      </c>
      <c r="F102" s="81" t="s">
        <v>130</v>
      </c>
      <c r="G102" s="82" t="s">
        <v>131</v>
      </c>
      <c r="H102" s="79" t="s">
        <v>132</v>
      </c>
      <c r="I102" s="79"/>
      <c r="J102" s="80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4"/>
    </row>
    <row r="103" spans="1:22" ht="15" customHeight="1" x14ac:dyDescent="0.25">
      <c r="A103" s="128" t="s">
        <v>72</v>
      </c>
      <c r="B103" s="128" t="s">
        <v>26</v>
      </c>
      <c r="C103" s="129" t="s">
        <v>71</v>
      </c>
      <c r="D103" s="128">
        <v>8005</v>
      </c>
      <c r="E103" s="130" t="s">
        <v>248</v>
      </c>
      <c r="F103" s="130">
        <v>58960</v>
      </c>
      <c r="G103" s="131">
        <f ca="1">SUMPRODUCT((Production_Log!$F$3:$F$8963=D103)*(MONTH(Production_Log!$A$3:$A$8963)=MONTH(TODAY()))*(YEAR(Production_Log!$A$3:$A$8963)=YEAR(TODAY()))*Production_Log!$H$3:$H$8963)</f>
        <v>39120</v>
      </c>
      <c r="H103" s="132">
        <f t="shared" ref="H103:H108" ca="1" si="10">F103-G103</f>
        <v>19840</v>
      </c>
      <c r="I103" s="88"/>
      <c r="J103" s="96"/>
    </row>
    <row r="104" spans="1:22" ht="15" customHeight="1" x14ac:dyDescent="0.25">
      <c r="A104" s="128" t="s">
        <v>76</v>
      </c>
      <c r="B104" s="128" t="s">
        <v>68</v>
      </c>
      <c r="C104" s="129" t="s">
        <v>75</v>
      </c>
      <c r="D104" s="128">
        <v>8010</v>
      </c>
      <c r="E104" s="130" t="s">
        <v>249</v>
      </c>
      <c r="F104" s="130">
        <v>5000</v>
      </c>
      <c r="G104" s="131">
        <f ca="1">SUMPRODUCT((Production_Log!$F$3:$F$8963=D104)*(MONTH(Production_Log!$A$3:$A$8963)=MONTH(TODAY()))*(YEAR(Production_Log!$A$3:$A$8963)=YEAR(TODAY()))*Production_Log!$H$3:$H$8963)</f>
        <v>5520</v>
      </c>
      <c r="H104" s="132">
        <f t="shared" ca="1" si="10"/>
        <v>-520</v>
      </c>
      <c r="I104" s="88"/>
      <c r="J104" s="96"/>
    </row>
    <row r="105" spans="1:22" ht="15" customHeight="1" x14ac:dyDescent="0.25">
      <c r="A105" s="128" t="s">
        <v>70</v>
      </c>
      <c r="B105" s="128" t="s">
        <v>68</v>
      </c>
      <c r="C105" s="129" t="s">
        <v>69</v>
      </c>
      <c r="D105" s="128">
        <v>8001</v>
      </c>
      <c r="E105" s="130">
        <v>319</v>
      </c>
      <c r="F105" s="130">
        <v>166960</v>
      </c>
      <c r="G105" s="131">
        <f ca="1">SUMPRODUCT((Production_Log!$F$3:$F$8963=D105)*(MONTH(Production_Log!$A$3:$A$8963)=MONTH(TODAY()))*(YEAR(Production_Log!$A$3:$A$8963)=YEAR(TODAY()))*Production_Log!$H$3:$H$8963)</f>
        <v>0</v>
      </c>
      <c r="H105" s="132">
        <f t="shared" ca="1" si="10"/>
        <v>166960</v>
      </c>
      <c r="I105" s="88"/>
      <c r="J105" s="96"/>
    </row>
    <row r="106" spans="1:22" ht="15" customHeight="1" x14ac:dyDescent="0.25">
      <c r="A106" s="128" t="s">
        <v>78</v>
      </c>
      <c r="B106" s="128" t="s">
        <v>26</v>
      </c>
      <c r="C106" s="129" t="s">
        <v>79</v>
      </c>
      <c r="D106" s="128">
        <v>8007</v>
      </c>
      <c r="E106" s="130" t="s">
        <v>250</v>
      </c>
      <c r="F106" s="130">
        <v>10000</v>
      </c>
      <c r="G106" s="131">
        <f ca="1">SUMPRODUCT((Production_Log!$F$3:$F$8963=D106)*(MONTH(Production_Log!$A$3:$A$8963)=MONTH(TODAY()))*(YEAR(Production_Log!$A$3:$A$8963)=YEAR(TODAY()))*Production_Log!$H$3:$H$8963)</f>
        <v>0</v>
      </c>
      <c r="H106" s="132">
        <f t="shared" ca="1" si="10"/>
        <v>10000</v>
      </c>
      <c r="I106" s="88"/>
      <c r="J106" s="96"/>
    </row>
    <row r="107" spans="1:22" ht="15" customHeight="1" x14ac:dyDescent="0.25">
      <c r="A107" s="128" t="s">
        <v>78</v>
      </c>
      <c r="B107" s="128" t="s">
        <v>26</v>
      </c>
      <c r="C107" s="129" t="s">
        <v>77</v>
      </c>
      <c r="D107" s="128">
        <v>8006</v>
      </c>
      <c r="E107" s="130" t="s">
        <v>251</v>
      </c>
      <c r="F107" s="130">
        <v>42400</v>
      </c>
      <c r="G107" s="131">
        <f ca="1">SUMPRODUCT((Production_Log!$F$3:$F$8963=D107)*(MONTH(Production_Log!$A$3:$A$8963)=MONTH(TODAY()))*(YEAR(Production_Log!$A$3:$A$8963)=YEAR(TODAY()))*Production_Log!$H$3:$H$8963)</f>
        <v>0</v>
      </c>
      <c r="H107" s="132">
        <f t="shared" ca="1" si="10"/>
        <v>42400</v>
      </c>
      <c r="I107" s="88"/>
      <c r="J107" s="96"/>
    </row>
    <row r="108" spans="1:22" ht="15" customHeight="1" x14ac:dyDescent="0.25">
      <c r="A108" s="128" t="s">
        <v>78</v>
      </c>
      <c r="B108" s="128" t="s">
        <v>26</v>
      </c>
      <c r="C108" s="129" t="s">
        <v>85</v>
      </c>
      <c r="D108" s="128">
        <v>8014</v>
      </c>
      <c r="E108" s="130" t="s">
        <v>252</v>
      </c>
      <c r="F108" s="130">
        <v>10000</v>
      </c>
      <c r="G108" s="131">
        <f ca="1">SUMPRODUCT((Production_Log!$F$3:$F$8963=D108)*(MONTH(Production_Log!$A$3:$A$8963)=MONTH(TODAY()))*(YEAR(Production_Log!$A$3:$A$8963)=YEAR(TODAY()))*Production_Log!$H$3:$H$8963)</f>
        <v>0</v>
      </c>
      <c r="H108" s="132">
        <f t="shared" ca="1" si="10"/>
        <v>10000</v>
      </c>
      <c r="I108" s="88"/>
      <c r="J108" s="96"/>
    </row>
    <row r="109" spans="1:22" ht="15" customHeight="1" x14ac:dyDescent="0.25">
      <c r="A109" s="88"/>
      <c r="B109" s="88"/>
      <c r="C109" s="88"/>
      <c r="D109" s="88"/>
      <c r="E109" s="89" t="s">
        <v>134</v>
      </c>
      <c r="F109" s="89">
        <f>SUBTOTAL(9,F103:F108)</f>
        <v>293320</v>
      </c>
      <c r="G109" s="89">
        <f ca="1">SUBTOTAL(9,G103:G108)</f>
        <v>44640</v>
      </c>
      <c r="H109" s="89">
        <f ca="1">SUBTOTAL(9,H103:H108)</f>
        <v>248680</v>
      </c>
      <c r="I109" s="88"/>
      <c r="J109" s="78"/>
      <c r="K109" s="78"/>
    </row>
    <row r="110" spans="1:22" ht="15" customHeight="1" x14ac:dyDescent="0.25">
      <c r="A110" s="83"/>
      <c r="B110" s="83"/>
      <c r="C110" s="84"/>
      <c r="D110" s="83"/>
      <c r="E110" s="85"/>
      <c r="F110" s="85"/>
      <c r="G110" s="133"/>
      <c r="H110" s="85"/>
      <c r="I110" s="87"/>
      <c r="J110" s="96"/>
    </row>
    <row r="111" spans="1:22" ht="15" customHeight="1" x14ac:dyDescent="0.25">
      <c r="A111" s="134" t="s">
        <v>253</v>
      </c>
      <c r="B111" s="135"/>
      <c r="C111" s="135"/>
      <c r="D111" s="135"/>
      <c r="E111" s="136"/>
      <c r="F111" s="136"/>
      <c r="G111" s="137"/>
      <c r="H111" s="136"/>
      <c r="I111" s="138"/>
      <c r="J111" s="139"/>
    </row>
    <row r="112" spans="1:22" ht="36" customHeight="1" x14ac:dyDescent="0.25">
      <c r="A112" s="140" t="s">
        <v>136</v>
      </c>
      <c r="B112" s="140" t="s">
        <v>100</v>
      </c>
      <c r="C112" s="141" t="s">
        <v>137</v>
      </c>
      <c r="D112" s="140" t="s">
        <v>138</v>
      </c>
      <c r="E112" s="142" t="s">
        <v>130</v>
      </c>
      <c r="F112" s="82" t="s">
        <v>139</v>
      </c>
      <c r="G112" s="82" t="s">
        <v>140</v>
      </c>
      <c r="H112" s="142" t="s">
        <v>141</v>
      </c>
      <c r="I112" s="143" t="s">
        <v>142</v>
      </c>
      <c r="J112" s="143" t="s">
        <v>143</v>
      </c>
      <c r="L112" s="143" t="s">
        <v>145</v>
      </c>
    </row>
    <row r="113" spans="1:22" ht="15" customHeight="1" x14ac:dyDescent="0.25">
      <c r="A113" s="88">
        <v>2680</v>
      </c>
      <c r="B113" s="88" t="s">
        <v>225</v>
      </c>
      <c r="C113" s="144" t="s">
        <v>226</v>
      </c>
      <c r="D113" s="88" t="s">
        <v>148</v>
      </c>
      <c r="E113" s="99">
        <f ca="1">SUMPRODUCT((TableBOM[Item ID]=A113)*TableBOM[Per 1000 Units]*(1+TableBOM[Scrap %])*SUMIF($D$103:$D$108,TableBOM[Product ID],$H$103:$H$108)/1000)</f>
        <v>6307.7775999999976</v>
      </c>
      <c r="F113" s="99">
        <f>IFERROR(INDEX(TableInventory[Store Balance],MATCH(A113,TableInventory[Item ID],0)),0)+IFERROR(INDEX(TableInventory[Work In Process],MATCH(A113,TableInventory[Item ID],0)),0)</f>
        <v>1700</v>
      </c>
      <c r="G113" s="89">
        <f t="shared" ref="G113:G120" ca="1" si="11">F113-E113</f>
        <v>-4607.7775999999976</v>
      </c>
      <c r="H113" s="145" t="str">
        <f ca="1">IF(LEN(IF((COUNTIFS(TableBOM[Product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",""))&gt;1,LEFT(IF((COUNTIFS(TableBOM[Product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",""),LEN(IF((COUNTIFS(TableBOM[Product ID],$D$103,TableBOM[Item ID],$A113)&gt;0)*($H$103&gt;0),$C$103&amp;", ","")&amp;IF((COUNTIFS(TableBOM[Product ID],$D$104,TableBOM[Item ID],$A113)&gt;0)*($H$104&gt;0),$C$104&amp;", ","")&amp;IF((COUNTIFS(TableBOM[Product ID],$D$105,TableBOM[Item ID],$A113)&gt;0)*($H$105&gt;0),$C$105&amp;", ","")&amp;IF((COUNTIFS(TableBOM[Product ID],$D$106,TableBOM[Item ID],$A113)&gt;0)*($H$106&gt;0),$C$106&amp;", ","")&amp;IF((COUNTIFS(TableBOM[Product ID],$D$107,TableBOM[Item ID],$A113)&gt;0)*($H$107&gt;0),$C$107&amp;", ","")&amp;IF((COUNTIFS(TableBOM[Product ID],$D$108,TableBOM[Item ID],$A113)&gt;0)*($H$108&gt;0),$C$108&amp;", ",""))-2),"")</f>
        <v>PET BOTTLE SMALL (120ML) YELLOW, TRANSPARENT BOTTLE 150ML, PET BOTTLE LARGE 200ML WHITE, BT-200 ML YELLOW, BT-200ML MUSTARD OIL (TRANSPARENT)</v>
      </c>
      <c r="I113" s="146" t="str">
        <f ca="1">IF(LEN(IF((COUNTIFS(TableBOM[Product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",""))&gt;1,LEFT(IF((COUNTIFS(TableBOM[Product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",""),LEN(IF((COUNTIFS(TableBOM[Product ID],$D$103,TableBOM[Item ID],$A113)&gt;0)*($H$103&gt;0),$E$103&amp;", ","")&amp;IF((COUNTIFS(TableBOM[Product ID],$D$104,TableBOM[Item ID],$A113)&gt;0)*($H$104&gt;0),$E$104&amp;", ","")&amp;IF((COUNTIFS(TableBOM[Product ID],$D$105,TableBOM[Item ID],$A113)&gt;0)*($H$105&gt;0),$E$105&amp;", ","")&amp;IF((COUNTIFS(TableBOM[Product ID],$D$106,TableBOM[Item ID],$A113)&gt;0)*($H$106&gt;0),$E$106&amp;", ","")&amp;IF((COUNTIFS(TableBOM[Product ID],$D$107,TableBOM[Item ID],$A113)&gt;0)*($H$107&gt;0),$E$107&amp;", ","")&amp;IF((COUNTIFS(TableBOM[Product ID],$D$108,TableBOM[Item ID],$A113)&gt;0)*($H$108&gt;0),$E$108&amp;", ",""))-2),"")</f>
        <v>336 &amp; 337, 319, 334 &amp; 338, 335, 339</v>
      </c>
      <c r="J113" s="147" t="str">
        <f t="shared" ref="J113:J120" ca="1" si="12">IF(E113=0,"Not needed",IF(G113&lt;0,"SHORTAGE",IF(G113&lt;F113*0.1,"LOW","OK")))</f>
        <v>SHORTAGE</v>
      </c>
      <c r="L113" s="147">
        <f t="shared" ref="L113:L120" ca="1" si="13">IF(E113=0,"",MAX(0,E113-F113))</f>
        <v>4607.7775999999976</v>
      </c>
    </row>
    <row r="114" spans="1:22" ht="15" customHeight="1" x14ac:dyDescent="0.25">
      <c r="A114" s="88">
        <v>4070</v>
      </c>
      <c r="B114" s="88" t="s">
        <v>227</v>
      </c>
      <c r="C114" s="144" t="s">
        <v>230</v>
      </c>
      <c r="D114" s="88" t="s">
        <v>148</v>
      </c>
      <c r="E114" s="99">
        <f ca="1">SUMPRODUCT((TableBOM[Item ID]=A114)*TableBOM[Per 1000 Units]*(1+TableBOM[Scrap %])*SUMIF($D$103:$D$108,TableBOM[Product ID],$H$103:$H$108)/1000)</f>
        <v>81.484399999999994</v>
      </c>
      <c r="F114" s="99">
        <f>IFERROR(INDEX(TableInventory[Store Balance],MATCH(A114,TableInventory[Item ID],0)),0)+IFERROR(INDEX(TableInventory[Work In Process],MATCH(A114,TableInventory[Item ID],0)),0)</f>
        <v>0</v>
      </c>
      <c r="G114" s="89">
        <f t="shared" ca="1" si="11"/>
        <v>-81.484399999999994</v>
      </c>
      <c r="H114" s="145" t="str">
        <f ca="1">IF(LEN(IF((COUNTIFS(TableBOM[Product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",""))&gt;1,LEFT(IF((COUNTIFS(TableBOM[Product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",""),LEN(IF((COUNTIFS(TableBOM[Product ID],$D$103,TableBOM[Item ID],$A114)&gt;0)*($H$103&gt;0),$C$103&amp;", ","")&amp;IF((COUNTIFS(TableBOM[Product ID],$D$104,TableBOM[Item ID],$A114)&gt;0)*($H$104&gt;0),$C$104&amp;", ","")&amp;IF((COUNTIFS(TableBOM[Product ID],$D$105,TableBOM[Item ID],$A114)&gt;0)*($H$105&gt;0),$C$105&amp;", ","")&amp;IF((COUNTIFS(TableBOM[Product ID],$D$106,TableBOM[Item ID],$A114)&gt;0)*($H$106&gt;0),$C$106&amp;", ","")&amp;IF((COUNTIFS(TableBOM[Product ID],$D$107,TableBOM[Item ID],$A114)&gt;0)*($H$107&gt;0),$C$107&amp;", ","")&amp;IF((COUNTIFS(TableBOM[Product ID],$D$108,TableBOM[Item ID],$A114)&gt;0)*($H$108&gt;0),$C$108&amp;", ",""))-2),"")</f>
        <v>PET BOTTLE SMALL (120ML) YELLOW, BT-200 ML YELLOW</v>
      </c>
      <c r="I114" s="146" t="str">
        <f ca="1">IF(LEN(IF((COUNTIFS(TableBOM[Product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",""))&gt;1,LEFT(IF((COUNTIFS(TableBOM[Product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",""),LEN(IF((COUNTIFS(TableBOM[Product ID],$D$103,TableBOM[Item ID],$A114)&gt;0)*($H$103&gt;0),$E$103&amp;", ","")&amp;IF((COUNTIFS(TableBOM[Product ID],$D$104,TableBOM[Item ID],$A114)&gt;0)*($H$104&gt;0),$E$104&amp;", ","")&amp;IF((COUNTIFS(TableBOM[Product ID],$D$105,TableBOM[Item ID],$A114)&gt;0)*($H$105&gt;0),$E$105&amp;", ","")&amp;IF((COUNTIFS(TableBOM[Product ID],$D$106,TableBOM[Item ID],$A114)&gt;0)*($H$106&gt;0),$E$106&amp;", ","")&amp;IF((COUNTIFS(TableBOM[Product ID],$D$107,TableBOM[Item ID],$A114)&gt;0)*($H$107&gt;0),$E$107&amp;", ","")&amp;IF((COUNTIFS(TableBOM[Product ID],$D$108,TableBOM[Item ID],$A114)&gt;0)*($H$108&gt;0),$E$108&amp;", ",""))-2),"")</f>
        <v>336 &amp; 337, 335</v>
      </c>
      <c r="J114" s="147" t="str">
        <f t="shared" ca="1" si="12"/>
        <v>SHORTAGE</v>
      </c>
      <c r="L114" s="147">
        <f t="shared" ca="1" si="13"/>
        <v>81.484399999999994</v>
      </c>
    </row>
    <row r="115" spans="1:22" ht="15" customHeight="1" x14ac:dyDescent="0.25">
      <c r="A115" s="88">
        <v>5816</v>
      </c>
      <c r="B115" s="88" t="s">
        <v>227</v>
      </c>
      <c r="C115" s="144" t="s">
        <v>233</v>
      </c>
      <c r="D115" s="88" t="s">
        <v>148</v>
      </c>
      <c r="E115" s="99">
        <f ca="1">SUMPRODUCT((TableBOM[Item ID]=A115)*TableBOM[Per 1000 Units]*(1+TableBOM[Scrap %])*SUMIF($D$103:$D$108,TableBOM[Product ID],$H$103:$H$108)/1000)</f>
        <v>14.375</v>
      </c>
      <c r="F115" s="99">
        <f>IFERROR(INDEX(TableInventory[Store Balance],MATCH(A115,TableInventory[Item ID],0)),0)+IFERROR(INDEX(TableInventory[Work In Process],MATCH(A115,TableInventory[Item ID],0)),0)</f>
        <v>22</v>
      </c>
      <c r="G115" s="89">
        <f t="shared" ca="1" si="11"/>
        <v>7.625</v>
      </c>
      <c r="H115" s="145" t="str">
        <f ca="1">IF(LEN(IF((COUNTIFS(TableBOM[Product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",""))&gt;1,LEFT(IF((COUNTIFS(TableBOM[Product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",""),LEN(IF((COUNTIFS(TableBOM[Product ID],$D$103,TableBOM[Item ID],$A115)&gt;0)*($H$103&gt;0),$C$103&amp;", ","")&amp;IF((COUNTIFS(TableBOM[Product ID],$D$104,TableBOM[Item ID],$A115)&gt;0)*($H$104&gt;0),$C$104&amp;", ","")&amp;IF((COUNTIFS(TableBOM[Product ID],$D$105,TableBOM[Item ID],$A115)&gt;0)*($H$105&gt;0),$C$105&amp;", ","")&amp;IF((COUNTIFS(TableBOM[Product ID],$D$106,TableBOM[Item ID],$A115)&gt;0)*($H$106&gt;0),$C$106&amp;", ","")&amp;IF((COUNTIFS(TableBOM[Product ID],$D$107,TableBOM[Item ID],$A115)&gt;0)*($H$107&gt;0),$C$107&amp;", ","")&amp;IF((COUNTIFS(TableBOM[Product ID],$D$108,TableBOM[Item ID],$A115)&gt;0)*($H$108&gt;0),$C$108&amp;", ",""))-2),"")</f>
        <v>PET BOTTLE LARGE 200ML WHITE</v>
      </c>
      <c r="I115" s="146" t="str">
        <f ca="1">IF(LEN(IF((COUNTIFS(TableBOM[Product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",""))&gt;1,LEFT(IF((COUNTIFS(TableBOM[Product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",""),LEN(IF((COUNTIFS(TableBOM[Product ID],$D$103,TableBOM[Item ID],$A115)&gt;0)*($H$103&gt;0),$E$103&amp;", ","")&amp;IF((COUNTIFS(TableBOM[Product ID],$D$104,TableBOM[Item ID],$A115)&gt;0)*($H$104&gt;0),$E$104&amp;", ","")&amp;IF((COUNTIFS(TableBOM[Product ID],$D$105,TableBOM[Item ID],$A115)&gt;0)*($H$105&gt;0),$E$105&amp;", ","")&amp;IF((COUNTIFS(TableBOM[Product ID],$D$106,TableBOM[Item ID],$A115)&gt;0)*($H$106&gt;0),$E$106&amp;", ","")&amp;IF((COUNTIFS(TableBOM[Product ID],$D$107,TableBOM[Item ID],$A115)&gt;0)*($H$107&gt;0),$E$107&amp;", ","")&amp;IF((COUNTIFS(TableBOM[Product ID],$D$108,TableBOM[Item ID],$A115)&gt;0)*($H$108&gt;0),$E$108&amp;", ",""))-2),"")</f>
        <v>334 &amp; 338</v>
      </c>
      <c r="J115" s="147" t="str">
        <f t="shared" ca="1" si="12"/>
        <v>OK</v>
      </c>
      <c r="L115" s="147">
        <f t="shared" ca="1" si="13"/>
        <v>0</v>
      </c>
    </row>
    <row r="116" spans="1:22" ht="15" customHeight="1" x14ac:dyDescent="0.25">
      <c r="A116" s="88">
        <v>5977</v>
      </c>
      <c r="B116" s="88" t="s">
        <v>254</v>
      </c>
      <c r="C116" s="144" t="s">
        <v>219</v>
      </c>
      <c r="D116" s="88" t="s">
        <v>188</v>
      </c>
      <c r="E116" s="99">
        <f ca="1">SUMPRODUCT((TableBOM[Item ID]=A116)*TableBOM[Per 1000 Units]*(1+TableBOM[Scrap %])*SUMIF($D$103:$D$108,TableBOM[Product ID],$H$103:$H$108)/1000)</f>
        <v>207.71148199999996</v>
      </c>
      <c r="F116" s="99">
        <f>IFERROR(INDEX(TableInventory[Store Balance],MATCH(A116,TableInventory[Item ID],0)),0)+IFERROR(INDEX(TableInventory[Work In Process],MATCH(A116,TableInventory[Item ID],0)),0)</f>
        <v>144</v>
      </c>
      <c r="G116" s="89">
        <f t="shared" ca="1" si="11"/>
        <v>-63.711481999999961</v>
      </c>
      <c r="H116" s="145" t="str">
        <f ca="1">IF(LEN(IF((COUNTIFS(TableBOM[Product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",""))&gt;1,LEFT(IF((COUNTIFS(TableBOM[Product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",""),LEN(IF((COUNTIFS(TableBOM[Product ID],$D$103,TableBOM[Item ID],$A116)&gt;0)*($H$103&gt;0),$C$103&amp;", ","")&amp;IF((COUNTIFS(TableBOM[Product ID],$D$104,TableBOM[Item ID],$A116)&gt;0)*($H$104&gt;0),$C$104&amp;", ","")&amp;IF((COUNTIFS(TableBOM[Product ID],$D$105,TableBOM[Item ID],$A116)&gt;0)*($H$105&gt;0),$C$105&amp;", ","")&amp;IF((COUNTIFS(TableBOM[Product ID],$D$106,TableBOM[Item ID],$A116)&gt;0)*($H$106&gt;0),$C$106&amp;", ","")&amp;IF((COUNTIFS(TableBOM[Product ID],$D$107,TableBOM[Item ID],$A116)&gt;0)*($H$107&gt;0),$C$107&amp;", ","")&amp;IF((COUNTIFS(TableBOM[Product ID],$D$108,TableBOM[Item ID],$A116)&gt;0)*($H$108&gt;0),$C$108&amp;", ",""))-2),"")</f>
        <v>TRANSPARENT BOTTLE 150ML</v>
      </c>
      <c r="I116" s="146" t="str">
        <f ca="1">IF(LEN(IF((COUNTIFS(TableBOM[Product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",""))&gt;1,LEFT(IF((COUNTIFS(TableBOM[Product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",""),LEN(IF((COUNTIFS(TableBOM[Product ID],$D$103,TableBOM[Item ID],$A116)&gt;0)*($H$103&gt;0),$E$103&amp;", ","")&amp;IF((COUNTIFS(TableBOM[Product ID],$D$104,TableBOM[Item ID],$A116)&gt;0)*($H$104&gt;0),$E$104&amp;", ","")&amp;IF((COUNTIFS(TableBOM[Product ID],$D$105,TableBOM[Item ID],$A116)&gt;0)*($H$105&gt;0),$E$105&amp;", ","")&amp;IF((COUNTIFS(TableBOM[Product ID],$D$106,TableBOM[Item ID],$A116)&gt;0)*($H$106&gt;0),$E$106&amp;", ","")&amp;IF((COUNTIFS(TableBOM[Product ID],$D$107,TableBOM[Item ID],$A116)&gt;0)*($H$107&gt;0),$E$107&amp;", ","")&amp;IF((COUNTIFS(TableBOM[Product ID],$D$108,TableBOM[Item ID],$A116)&gt;0)*($H$108&gt;0),$E$108&amp;", ",""))-2),"")</f>
        <v>319</v>
      </c>
      <c r="J116" s="147" t="str">
        <f t="shared" ca="1" si="12"/>
        <v>SHORTAGE</v>
      </c>
      <c r="L116" s="147">
        <f t="shared" ca="1" si="13"/>
        <v>63.711481999999961</v>
      </c>
    </row>
    <row r="117" spans="1:22" ht="15" customHeight="1" x14ac:dyDescent="0.25">
      <c r="A117" s="88">
        <v>2267</v>
      </c>
      <c r="B117" s="88" t="s">
        <v>241</v>
      </c>
      <c r="C117" s="144" t="s">
        <v>242</v>
      </c>
      <c r="D117" s="88" t="s">
        <v>188</v>
      </c>
      <c r="E117" s="99">
        <f ca="1">SUMPRODUCT((TableBOM[Item ID]=A117)*TableBOM[Per 1000 Units]*(1+TableBOM[Scrap %])*SUMIF($D$103:$D$108,TableBOM[Product ID],$H$103:$H$108)/1000)</f>
        <v>1853.8125119999997</v>
      </c>
      <c r="F117" s="99">
        <f>IFERROR(INDEX(TableInventory[Store Balance],MATCH(A117,TableInventory[Item ID],0)),0)+IFERROR(INDEX(TableInventory[Work In Process],MATCH(A117,TableInventory[Item ID],0)),0)</f>
        <v>150</v>
      </c>
      <c r="G117" s="89">
        <f t="shared" ca="1" si="11"/>
        <v>-1703.8125119999997</v>
      </c>
      <c r="H117" s="145" t="str">
        <f ca="1">IF(LEN(IF((COUNTIFS(TableBOM[Product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",""))&gt;1,LEFT(IF((COUNTIFS(TableBOM[Product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",""),LEN(IF((COUNTIFS(TableBOM[Product ID],$D$103,TableBOM[Item ID],$A117)&gt;0)*($H$103&gt;0),$C$103&amp;", ","")&amp;IF((COUNTIFS(TableBOM[Product ID],$D$104,TableBOM[Item ID],$A117)&gt;0)*($H$104&gt;0),$C$104&amp;", ","")&amp;IF((COUNTIFS(TableBOM[Product ID],$D$105,TableBOM[Item ID],$A117)&gt;0)*($H$105&gt;0),$C$105&amp;", ","")&amp;IF((COUNTIFS(TableBOM[Product ID],$D$106,TableBOM[Item ID],$A117)&gt;0)*($H$106&gt;0),$C$106&amp;", ","")&amp;IF((COUNTIFS(TableBOM[Product ID],$D$107,TableBOM[Item ID],$A117)&gt;0)*($H$107&gt;0),$C$107&amp;", ","")&amp;IF((COUNTIFS(TableBOM[Product ID],$D$108,TableBOM[Item ID],$A117)&gt;0)*($H$108&gt;0),$C$108&amp;", ",""))-2),"")</f>
        <v>PET BOTTLE SMALL (120ML) YELLOW, TRANSPARENT BOTTLE 150ML</v>
      </c>
      <c r="I117" s="146" t="str">
        <f ca="1">IF(LEN(IF((COUNTIFS(TableBOM[Product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",""))&gt;1,LEFT(IF((COUNTIFS(TableBOM[Product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",""),LEN(IF((COUNTIFS(TableBOM[Product ID],$D$103,TableBOM[Item ID],$A117)&gt;0)*($H$103&gt;0),$E$103&amp;", ","")&amp;IF((COUNTIFS(TableBOM[Product ID],$D$104,TableBOM[Item ID],$A117)&gt;0)*($H$104&gt;0),$E$104&amp;", ","")&amp;IF((COUNTIFS(TableBOM[Product ID],$D$105,TableBOM[Item ID],$A117)&gt;0)*($H$105&gt;0),$E$105&amp;", ","")&amp;IF((COUNTIFS(TableBOM[Product ID],$D$106,TableBOM[Item ID],$A117)&gt;0)*($H$106&gt;0),$E$106&amp;", ","")&amp;IF((COUNTIFS(TableBOM[Product ID],$D$107,TableBOM[Item ID],$A117)&gt;0)*($H$107&gt;0),$E$107&amp;", ","")&amp;IF((COUNTIFS(TableBOM[Product ID],$D$108,TableBOM[Item ID],$A117)&gt;0)*($H$108&gt;0),$E$108&amp;", ",""))-2),"")</f>
        <v>336 &amp; 337, 319</v>
      </c>
      <c r="J117" s="148" t="str">
        <f t="shared" ca="1" si="12"/>
        <v>SHORTAGE</v>
      </c>
      <c r="L117" s="148">
        <f t="shared" ca="1" si="13"/>
        <v>1703.8125119999997</v>
      </c>
    </row>
    <row r="118" spans="1:22" ht="15" customHeight="1" x14ac:dyDescent="0.25">
      <c r="A118" s="88">
        <v>3006</v>
      </c>
      <c r="B118" s="88" t="s">
        <v>241</v>
      </c>
      <c r="C118" s="144" t="s">
        <v>243</v>
      </c>
      <c r="D118" s="88" t="s">
        <v>188</v>
      </c>
      <c r="E118" s="99">
        <f ca="1">SUMPRODUCT((TableBOM[Item ID]=A118)*TableBOM[Per 1000 Units]*(1+TableBOM[Scrap %])*SUMIF($D$103:$D$108,TableBOM[Product ID],$H$103:$H$108)/1000)</f>
        <v>597.97608000000002</v>
      </c>
      <c r="F118" s="99">
        <f>IFERROR(INDEX(TableInventory[Store Balance],MATCH(A118,TableInventory[Item ID],0)),0)+IFERROR(INDEX(TableInventory[Work In Process],MATCH(A118,TableInventory[Item ID],0)),0)</f>
        <v>201</v>
      </c>
      <c r="G118" s="89">
        <f t="shared" ca="1" si="11"/>
        <v>-396.97608000000002</v>
      </c>
      <c r="H118" s="145" t="str">
        <f ca="1">IF(LEN(IF((COUNTIFS(TableBOM[Product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",""))&gt;1,LEFT(IF((COUNTIFS(TableBOM[Product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",""),LEN(IF((COUNTIFS(TableBOM[Product ID],$D$103,TableBOM[Item ID],$A118)&gt;0)*($H$103&gt;0),$C$103&amp;", ","")&amp;IF((COUNTIFS(TableBOM[Product ID],$D$104,TableBOM[Item ID],$A118)&gt;0)*($H$104&gt;0),$C$104&amp;", ","")&amp;IF((COUNTIFS(TableBOM[Product ID],$D$105,TableBOM[Item ID],$A118)&gt;0)*($H$105&gt;0),$C$105&amp;", ","")&amp;IF((COUNTIFS(TableBOM[Product ID],$D$106,TableBOM[Item ID],$A118)&gt;0)*($H$106&gt;0),$C$106&amp;", ","")&amp;IF((COUNTIFS(TableBOM[Product ID],$D$107,TableBOM[Item ID],$A118)&gt;0)*($H$107&gt;0),$C$107&amp;", ","")&amp;IF((COUNTIFS(TableBOM[Product ID],$D$108,TableBOM[Item ID],$A118)&gt;0)*($H$108&gt;0),$C$108&amp;", ",""))-2),"")</f>
        <v>PET BOTTLE LARGE 200ML WHITE, BT-200 ML YELLOW, BT-200ML MUSTARD OIL (TRANSPARENT)</v>
      </c>
      <c r="I118" s="146" t="str">
        <f ca="1">IF(LEN(IF((COUNTIFS(TableBOM[Product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",""))&gt;1,LEFT(IF((COUNTIFS(TableBOM[Product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",""),LEN(IF((COUNTIFS(TableBOM[Product ID],$D$103,TableBOM[Item ID],$A118)&gt;0)*($H$103&gt;0),$E$103&amp;", ","")&amp;IF((COUNTIFS(TableBOM[Product ID],$D$104,TableBOM[Item ID],$A118)&gt;0)*($H$104&gt;0),$E$104&amp;", ","")&amp;IF((COUNTIFS(TableBOM[Product ID],$D$105,TableBOM[Item ID],$A118)&gt;0)*($H$105&gt;0),$E$105&amp;", ","")&amp;IF((COUNTIFS(TableBOM[Product ID],$D$106,TableBOM[Item ID],$A118)&gt;0)*($H$106&gt;0),$E$106&amp;", ","")&amp;IF((COUNTIFS(TableBOM[Product ID],$D$107,TableBOM[Item ID],$A118)&gt;0)*($H$107&gt;0),$E$107&amp;", ","")&amp;IF((COUNTIFS(TableBOM[Product ID],$D$108,TableBOM[Item ID],$A118)&gt;0)*($H$108&gt;0),$E$108&amp;", ",""))-2),"")</f>
        <v>334 &amp; 338, 335, 339</v>
      </c>
      <c r="J118" s="148" t="str">
        <f t="shared" ca="1" si="12"/>
        <v>SHORTAGE</v>
      </c>
      <c r="L118" s="148">
        <f t="shared" ca="1" si="13"/>
        <v>396.97608000000002</v>
      </c>
    </row>
    <row r="119" spans="1:22" ht="15" customHeight="1" x14ac:dyDescent="0.25">
      <c r="A119" s="88">
        <v>3635</v>
      </c>
      <c r="B119" s="88" t="s">
        <v>220</v>
      </c>
      <c r="C119" s="144" t="s">
        <v>221</v>
      </c>
      <c r="D119" s="88" t="s">
        <v>188</v>
      </c>
      <c r="E119" s="99">
        <f ca="1">SUMPRODUCT((TableBOM[Item ID]=A119)*TableBOM[Per 1000 Units]*(1+TableBOM[Scrap %])*SUMIF($D$103:$D$108,TableBOM[Product ID],$H$103:$H$108)/1000)</f>
        <v>5.1589919999999996</v>
      </c>
      <c r="F119" s="99">
        <f>IFERROR(INDEX(TableInventory[Store Balance],MATCH(A119,TableInventory[Item ID],0)),0)+IFERROR(INDEX(TableInventory[Work In Process],MATCH(A119,TableInventory[Item ID],0)),0)</f>
        <v>663</v>
      </c>
      <c r="G119" s="89">
        <f t="shared" ca="1" si="11"/>
        <v>657.84100799999999</v>
      </c>
      <c r="H119" s="145" t="str">
        <f ca="1">IF(LEN(IF((COUNTIFS(TableBOM[Product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",""))&gt;1,LEFT(IF((COUNTIFS(TableBOM[Product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",""),LEN(IF((COUNTIFS(TableBOM[Product ID],$D$103,TableBOM[Item ID],$A119)&gt;0)*($H$103&gt;0),$C$103&amp;", ","")&amp;IF((COUNTIFS(TableBOM[Product ID],$D$104,TableBOM[Item ID],$A119)&gt;0)*($H$104&gt;0),$C$104&amp;", ","")&amp;IF((COUNTIFS(TableBOM[Product ID],$D$105,TableBOM[Item ID],$A119)&gt;0)*($H$105&gt;0),$C$105&amp;", ","")&amp;IF((COUNTIFS(TableBOM[Product ID],$D$106,TableBOM[Item ID],$A119)&gt;0)*($H$106&gt;0),$C$106&amp;", ","")&amp;IF((COUNTIFS(TableBOM[Product ID],$D$107,TableBOM[Item ID],$A119)&gt;0)*($H$107&gt;0),$C$107&amp;", ","")&amp;IF((COUNTIFS(TableBOM[Product ID],$D$108,TableBOM[Item ID],$A119)&gt;0)*($H$108&gt;0),$C$108&amp;", ",""))-2),"")</f>
        <v>TRANSPARENT BOTTLE 150ML</v>
      </c>
      <c r="I119" s="146" t="str">
        <f ca="1">IF(LEN(IF((COUNTIFS(TableBOM[Product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",""))&gt;1,LEFT(IF((COUNTIFS(TableBOM[Product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",""),LEN(IF((COUNTIFS(TableBOM[Product ID],$D$103,TableBOM[Item ID],$A119)&gt;0)*($H$103&gt;0),$E$103&amp;", ","")&amp;IF((COUNTIFS(TableBOM[Product ID],$D$104,TableBOM[Item ID],$A119)&gt;0)*($H$104&gt;0),$E$104&amp;", ","")&amp;IF((COUNTIFS(TableBOM[Product ID],$D$105,TableBOM[Item ID],$A119)&gt;0)*($H$105&gt;0),$E$105&amp;", ","")&amp;IF((COUNTIFS(TableBOM[Product ID],$D$106,TableBOM[Item ID],$A119)&gt;0)*($H$106&gt;0),$E$106&amp;", ","")&amp;IF((COUNTIFS(TableBOM[Product ID],$D$107,TableBOM[Item ID],$A119)&gt;0)*($H$107&gt;0),$E$107&amp;", ","")&amp;IF((COUNTIFS(TableBOM[Product ID],$D$108,TableBOM[Item ID],$A119)&gt;0)*($H$108&gt;0),$E$108&amp;", ",""))-2),"")</f>
        <v>319</v>
      </c>
      <c r="J119" s="148" t="str">
        <f t="shared" ca="1" si="12"/>
        <v>OK</v>
      </c>
      <c r="L119" s="148">
        <f t="shared" ca="1" si="13"/>
        <v>0</v>
      </c>
    </row>
    <row r="120" spans="1:22" ht="15" customHeight="1" x14ac:dyDescent="0.25">
      <c r="A120" s="88">
        <v>3043</v>
      </c>
      <c r="B120" s="88" t="s">
        <v>244</v>
      </c>
      <c r="C120" s="144" t="s">
        <v>245</v>
      </c>
      <c r="D120" s="88" t="s">
        <v>246</v>
      </c>
      <c r="E120" s="99">
        <f ca="1">SUMPRODUCT((TableBOM[Item ID]=A120)*TableBOM[Per 1000 Units]*(1+TableBOM[Scrap %])*SUMIF($D$103:$D$108,TableBOM[Product ID],$H$103:$H$108)/1000)</f>
        <v>1.4299100000000002</v>
      </c>
      <c r="F120" s="99">
        <f>IFERROR(INDEX(TableInventory[Store Balance],MATCH(A120,TableInventory[Item ID],0)),0)+IFERROR(INDEX(TableInventory[Work In Process],MATCH(A120,TableInventory[Item ID],0)),0)</f>
        <v>9</v>
      </c>
      <c r="G120" s="89">
        <f t="shared" ca="1" si="11"/>
        <v>7.5700899999999995</v>
      </c>
      <c r="H120" s="145" t="str">
        <f ca="1">IF(LEN(IF((COUNTIFS(TableBOM[Product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",""))&gt;1,LEFT(IF((COUNTIFS(TableBOM[Product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",""),LEN(IF((COUNTIFS(TableBOM[Product ID],$D$103,TableBOM[Item ID],$A120)&gt;0)*($H$103&gt;0),$C$103&amp;", ","")&amp;IF((COUNTIFS(TableBOM[Product ID],$D$104,TableBOM[Item ID],$A120)&gt;0)*($H$104&gt;0),$C$104&amp;", ","")&amp;IF((COUNTIFS(TableBOM[Product ID],$D$105,TableBOM[Item ID],$A120)&gt;0)*($H$105&gt;0),$C$105&amp;", ","")&amp;IF((COUNTIFS(TableBOM[Product ID],$D$106,TableBOM[Item ID],$A120)&gt;0)*($H$106&gt;0),$C$106&amp;", ","")&amp;IF((COUNTIFS(TableBOM[Product ID],$D$107,TableBOM[Item ID],$A120)&gt;0)*($H$107&gt;0),$C$107&amp;", ","")&amp;IF((COUNTIFS(TableBOM[Product ID],$D$108,TableBOM[Item ID],$A120)&gt;0)*($H$108&gt;0),$C$108&amp;", ",""))-2),"")</f>
        <v>PET BOTTLE SMALL (120ML) YELLOW, TRANSPARENT BOTTLE 150ML, PET BOTTLE LARGE 200ML WHITE, BT-200 ML YELLOW, BT-200ML MUSTARD OIL (TRANSPARENT)</v>
      </c>
      <c r="I120" s="146" t="str">
        <f ca="1">IF(LEN(IF((COUNTIFS(TableBOM[Product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",""))&gt;1,LEFT(IF((COUNTIFS(TableBOM[Product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",""),LEN(IF((COUNTIFS(TableBOM[Product ID],$D$103,TableBOM[Item ID],$A120)&gt;0)*($H$103&gt;0),$E$103&amp;", ","")&amp;IF((COUNTIFS(TableBOM[Product ID],$D$104,TableBOM[Item ID],$A120)&gt;0)*($H$104&gt;0),$E$104&amp;", ","")&amp;IF((COUNTIFS(TableBOM[Product ID],$D$105,TableBOM[Item ID],$A120)&gt;0)*($H$105&gt;0),$E$105&amp;", ","")&amp;IF((COUNTIFS(TableBOM[Product ID],$D$106,TableBOM[Item ID],$A120)&gt;0)*($H$106&gt;0),$E$106&amp;", ","")&amp;IF((COUNTIFS(TableBOM[Product ID],$D$107,TableBOM[Item ID],$A120)&gt;0)*($H$107&gt;0),$E$107&amp;", ","")&amp;IF((COUNTIFS(TableBOM[Product ID],$D$108,TableBOM[Item ID],$A120)&gt;0)*($H$108&gt;0),$E$108&amp;", ",""))-2),"")</f>
        <v>336 &amp; 337, 319, 334 &amp; 338, 335, 339</v>
      </c>
      <c r="J120" s="148" t="str">
        <f t="shared" ca="1" si="12"/>
        <v>OK</v>
      </c>
      <c r="L120" s="148">
        <f t="shared" ca="1" si="13"/>
        <v>0</v>
      </c>
    </row>
    <row r="121" spans="1:22" ht="15" customHeight="1" x14ac:dyDescent="0.25">
      <c r="A121" s="88"/>
      <c r="B121" s="88"/>
      <c r="C121" s="88"/>
      <c r="D121" s="88"/>
      <c r="E121" s="100"/>
      <c r="F121" s="149"/>
      <c r="G121" s="133"/>
      <c r="H121" s="100"/>
      <c r="I121" s="100"/>
      <c r="J121" s="96"/>
    </row>
    <row r="122" spans="1:22" ht="18" customHeight="1" x14ac:dyDescent="0.25">
      <c r="A122" s="287" t="s">
        <v>255</v>
      </c>
      <c r="B122" s="275"/>
      <c r="C122" s="288"/>
      <c r="D122" s="275"/>
      <c r="E122" s="289"/>
      <c r="F122" s="289"/>
      <c r="G122" s="290"/>
      <c r="H122" s="289"/>
      <c r="I122" s="291"/>
      <c r="J122" s="288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</row>
    <row r="123" spans="1:22" ht="30" customHeight="1" x14ac:dyDescent="0.25">
      <c r="A123" s="151" t="s">
        <v>136</v>
      </c>
      <c r="B123" s="151" t="s">
        <v>100</v>
      </c>
      <c r="C123" s="151" t="s">
        <v>137</v>
      </c>
      <c r="D123" s="151" t="s">
        <v>138</v>
      </c>
      <c r="E123" s="152" t="s">
        <v>256</v>
      </c>
      <c r="F123" s="152" t="s">
        <v>257</v>
      </c>
      <c r="G123" s="153" t="s">
        <v>143</v>
      </c>
      <c r="H123" s="152" t="s">
        <v>258</v>
      </c>
      <c r="I123" s="152" t="s">
        <v>259</v>
      </c>
      <c r="J123" s="151" t="s">
        <v>260</v>
      </c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</row>
    <row r="124" spans="1:22" ht="15" customHeight="1" x14ac:dyDescent="0.25">
      <c r="A124" s="154">
        <v>3734</v>
      </c>
      <c r="B124" s="154" t="s">
        <v>261</v>
      </c>
      <c r="C124" s="155" t="s">
        <v>262</v>
      </c>
      <c r="D124" s="154" t="s">
        <v>148</v>
      </c>
      <c r="E124" s="156">
        <v>4.58</v>
      </c>
      <c r="F124" s="157">
        <f t="shared" ref="F124:F148" si="14">IF(E124=0,0,ROUND(H124/E124*30,1))</f>
        <v>6.6</v>
      </c>
      <c r="G124" s="158" t="str">
        <f t="shared" ref="G124:G148" si="15">IF(E124=0,"Not needed",IF(I124&lt;0,"SHORTAGE",IF(I124&lt;E124,"LOW","OK")))</f>
        <v>SHORTAGE</v>
      </c>
      <c r="H124" s="159">
        <f>IFERROR(INDEX(TableInventory[Store Balance],MATCH(A124,TableInventory[Item ID],0)),0)+IFERROR(INDEX(TableInventory[Work In Process],MATCH(A124,TableInventory[Item ID],0)),0)</f>
        <v>1</v>
      </c>
      <c r="I124" s="159">
        <f t="shared" ref="I124:I148" si="16">H124-E124</f>
        <v>-3.58</v>
      </c>
      <c r="J124" s="160">
        <v>6.38</v>
      </c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</row>
    <row r="125" spans="1:22" ht="15" customHeight="1" x14ac:dyDescent="0.25">
      <c r="A125" s="154">
        <v>6038</v>
      </c>
      <c r="B125" s="154" t="s">
        <v>261</v>
      </c>
      <c r="C125" s="155" t="s">
        <v>263</v>
      </c>
      <c r="D125" s="154" t="s">
        <v>148</v>
      </c>
      <c r="E125" s="156">
        <v>2.08</v>
      </c>
      <c r="F125" s="157">
        <f t="shared" si="14"/>
        <v>0</v>
      </c>
      <c r="G125" s="158" t="str">
        <f t="shared" si="15"/>
        <v>SHORTAGE</v>
      </c>
      <c r="H125" s="159">
        <f>IFERROR(INDEX(TableInventory[Store Balance],MATCH(A125,TableInventory[Item ID],0)),0)+IFERROR(INDEX(TableInventory[Work In Process],MATCH(A125,TableInventory[Item ID],0)),0)</f>
        <v>0</v>
      </c>
      <c r="I125" s="159">
        <f t="shared" si="16"/>
        <v>-2.08</v>
      </c>
      <c r="J125" s="160">
        <v>2.9</v>
      </c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</row>
    <row r="126" spans="1:22" ht="15" customHeight="1" x14ac:dyDescent="0.25">
      <c r="A126" s="154">
        <v>3858</v>
      </c>
      <c r="B126" s="154" t="s">
        <v>261</v>
      </c>
      <c r="C126" s="155" t="s">
        <v>264</v>
      </c>
      <c r="D126" s="154" t="s">
        <v>148</v>
      </c>
      <c r="E126" s="156">
        <v>2.0099999999999998</v>
      </c>
      <c r="F126" s="157">
        <f t="shared" si="14"/>
        <v>0</v>
      </c>
      <c r="G126" s="158" t="str">
        <f t="shared" si="15"/>
        <v>SHORTAGE</v>
      </c>
      <c r="H126" s="159">
        <f>IFERROR(INDEX(TableInventory[Store Balance],MATCH(A126,TableInventory[Item ID],0)),0)+IFERROR(INDEX(TableInventory[Work In Process],MATCH(A126,TableInventory[Item ID],0)),0)</f>
        <v>0</v>
      </c>
      <c r="I126" s="159">
        <f t="shared" si="16"/>
        <v>-2.0099999999999998</v>
      </c>
      <c r="J126" s="160">
        <v>2.8</v>
      </c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</row>
    <row r="127" spans="1:22" ht="15" customHeight="1" x14ac:dyDescent="0.25">
      <c r="A127" s="154">
        <v>3754</v>
      </c>
      <c r="B127" s="154" t="s">
        <v>261</v>
      </c>
      <c r="C127" s="155" t="s">
        <v>265</v>
      </c>
      <c r="D127" s="154" t="s">
        <v>148</v>
      </c>
      <c r="E127" s="156">
        <v>1.92</v>
      </c>
      <c r="F127" s="157">
        <f t="shared" si="14"/>
        <v>78.099999999999994</v>
      </c>
      <c r="G127" s="158" t="str">
        <f t="shared" si="15"/>
        <v>OK</v>
      </c>
      <c r="H127" s="159">
        <f>IFERROR(INDEX(TableInventory[Store Balance],MATCH(A127,TableInventory[Item ID],0)),0)+IFERROR(INDEX(TableInventory[Work In Process],MATCH(A127,TableInventory[Item ID],0)),0)</f>
        <v>5</v>
      </c>
      <c r="I127" s="159">
        <f t="shared" si="16"/>
        <v>3.08</v>
      </c>
      <c r="J127" s="160">
        <v>2.67</v>
      </c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</row>
    <row r="128" spans="1:22" ht="15" customHeight="1" x14ac:dyDescent="0.25">
      <c r="A128" s="154">
        <v>3755</v>
      </c>
      <c r="B128" s="154" t="s">
        <v>261</v>
      </c>
      <c r="C128" s="155" t="s">
        <v>266</v>
      </c>
      <c r="D128" s="154" t="s">
        <v>148</v>
      </c>
      <c r="E128" s="156">
        <v>1.75</v>
      </c>
      <c r="F128" s="157">
        <f t="shared" si="14"/>
        <v>0</v>
      </c>
      <c r="G128" s="158" t="str">
        <f t="shared" si="15"/>
        <v>SHORTAGE</v>
      </c>
      <c r="H128" s="159">
        <f>IFERROR(INDEX(TableInventory[Store Balance],MATCH(A128,TableInventory[Item ID],0)),0)+IFERROR(INDEX(TableInventory[Work In Process],MATCH(A128,TableInventory[Item ID],0)),0)</f>
        <v>0</v>
      </c>
      <c r="I128" s="159">
        <f t="shared" si="16"/>
        <v>-1.75</v>
      </c>
      <c r="J128" s="160">
        <v>2.44</v>
      </c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</row>
    <row r="129" spans="1:22" ht="15" customHeight="1" x14ac:dyDescent="0.25">
      <c r="A129" s="154">
        <v>1928</v>
      </c>
      <c r="B129" s="154" t="s">
        <v>261</v>
      </c>
      <c r="C129" s="155" t="s">
        <v>267</v>
      </c>
      <c r="D129" s="154" t="s">
        <v>148</v>
      </c>
      <c r="E129" s="156">
        <v>1.67</v>
      </c>
      <c r="F129" s="157">
        <f t="shared" si="14"/>
        <v>0</v>
      </c>
      <c r="G129" s="158" t="str">
        <f t="shared" si="15"/>
        <v>SHORTAGE</v>
      </c>
      <c r="H129" s="159">
        <f>IFERROR(INDEX(TableInventory[Store Balance],MATCH(A129,TableInventory[Item ID],0)),0)+IFERROR(INDEX(TableInventory[Work In Process],MATCH(A129,TableInventory[Item ID],0)),0)</f>
        <v>0</v>
      </c>
      <c r="I129" s="159">
        <f t="shared" si="16"/>
        <v>-1.67</v>
      </c>
      <c r="J129" s="160">
        <v>2.3199999999999998</v>
      </c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</row>
    <row r="130" spans="1:22" ht="15" customHeight="1" x14ac:dyDescent="0.25">
      <c r="A130" s="154">
        <v>7094</v>
      </c>
      <c r="B130" s="154" t="s">
        <v>261</v>
      </c>
      <c r="C130" s="155" t="s">
        <v>268</v>
      </c>
      <c r="D130" s="154" t="s">
        <v>148</v>
      </c>
      <c r="E130" s="156">
        <v>1.67</v>
      </c>
      <c r="F130" s="157">
        <f t="shared" si="14"/>
        <v>0</v>
      </c>
      <c r="G130" s="158" t="str">
        <f t="shared" si="15"/>
        <v>SHORTAGE</v>
      </c>
      <c r="H130" s="159">
        <f>IFERROR(INDEX(TableInventory[Store Balance],MATCH(A130,TableInventory[Item ID],0)),0)+IFERROR(INDEX(TableInventory[Work In Process],MATCH(A130,TableInventory[Item ID],0)),0)</f>
        <v>0</v>
      </c>
      <c r="I130" s="159">
        <f t="shared" si="16"/>
        <v>-1.67</v>
      </c>
      <c r="J130" s="160">
        <v>2.3199999999999998</v>
      </c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</row>
    <row r="131" spans="1:22" ht="15" customHeight="1" x14ac:dyDescent="0.25">
      <c r="A131" s="154">
        <v>3736</v>
      </c>
      <c r="B131" s="154" t="s">
        <v>261</v>
      </c>
      <c r="C131" s="155" t="s">
        <v>269</v>
      </c>
      <c r="D131" s="154" t="s">
        <v>148</v>
      </c>
      <c r="E131" s="156">
        <v>1.1499999999999999</v>
      </c>
      <c r="F131" s="157">
        <f t="shared" si="14"/>
        <v>93.9</v>
      </c>
      <c r="G131" s="158" t="str">
        <f t="shared" si="15"/>
        <v>OK</v>
      </c>
      <c r="H131" s="159">
        <f>IFERROR(INDEX(TableInventory[Store Balance],MATCH(A131,TableInventory[Item ID],0)),0)+IFERROR(INDEX(TableInventory[Work In Process],MATCH(A131,TableInventory[Item ID],0)),0)</f>
        <v>3.6</v>
      </c>
      <c r="I131" s="159">
        <f t="shared" si="16"/>
        <v>2.4500000000000002</v>
      </c>
      <c r="J131" s="160">
        <v>1.6</v>
      </c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</row>
    <row r="132" spans="1:22" ht="15" customHeight="1" x14ac:dyDescent="0.25">
      <c r="A132" s="154">
        <v>3955</v>
      </c>
      <c r="B132" s="154" t="s">
        <v>261</v>
      </c>
      <c r="C132" s="155" t="s">
        <v>270</v>
      </c>
      <c r="D132" s="154" t="s">
        <v>148</v>
      </c>
      <c r="E132" s="156">
        <v>0.92</v>
      </c>
      <c r="F132" s="157">
        <f t="shared" si="14"/>
        <v>0</v>
      </c>
      <c r="G132" s="158" t="str">
        <f t="shared" si="15"/>
        <v>SHORTAGE</v>
      </c>
      <c r="H132" s="159">
        <f>IFERROR(INDEX(TableInventory[Store Balance],MATCH(A132,TableInventory[Item ID],0)),0)+IFERROR(INDEX(TableInventory[Work In Process],MATCH(A132,TableInventory[Item ID],0)),0)</f>
        <v>0</v>
      </c>
      <c r="I132" s="159">
        <f t="shared" si="16"/>
        <v>-0.92</v>
      </c>
      <c r="J132" s="160">
        <v>1.28</v>
      </c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</row>
    <row r="133" spans="1:22" ht="18.75" customHeight="1" x14ac:dyDescent="0.25">
      <c r="A133" s="154">
        <v>7398</v>
      </c>
      <c r="B133" s="154" t="s">
        <v>261</v>
      </c>
      <c r="C133" s="155" t="s">
        <v>271</v>
      </c>
      <c r="D133" s="154" t="s">
        <v>148</v>
      </c>
      <c r="E133" s="156">
        <v>0.75</v>
      </c>
      <c r="F133" s="157">
        <f t="shared" si="14"/>
        <v>280</v>
      </c>
      <c r="G133" s="158" t="str">
        <f t="shared" si="15"/>
        <v>OK</v>
      </c>
      <c r="H133" s="159">
        <f>IFERROR(INDEX(TableInventory[Store Balance],MATCH(A133,TableInventory[Item ID],0)),0)+IFERROR(INDEX(TableInventory[Work In Process],MATCH(A133,TableInventory[Item ID],0)),0)</f>
        <v>7</v>
      </c>
      <c r="I133" s="159">
        <f t="shared" si="16"/>
        <v>6.25</v>
      </c>
      <c r="J133" s="160">
        <v>1.04</v>
      </c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</row>
    <row r="134" spans="1:22" ht="15" customHeight="1" x14ac:dyDescent="0.25">
      <c r="A134" s="154">
        <v>3857</v>
      </c>
      <c r="B134" s="154" t="s">
        <v>261</v>
      </c>
      <c r="C134" s="155" t="s">
        <v>272</v>
      </c>
      <c r="D134" s="154" t="s">
        <v>148</v>
      </c>
      <c r="E134" s="156">
        <v>0.57999999999999996</v>
      </c>
      <c r="F134" s="157">
        <f t="shared" si="14"/>
        <v>51.7</v>
      </c>
      <c r="G134" s="158" t="str">
        <f t="shared" si="15"/>
        <v>LOW</v>
      </c>
      <c r="H134" s="159">
        <f>IFERROR(INDEX(TableInventory[Store Balance],MATCH(A134,TableInventory[Item ID],0)),0)+IFERROR(INDEX(TableInventory[Work In Process],MATCH(A134,TableInventory[Item ID],0)),0)</f>
        <v>1</v>
      </c>
      <c r="I134" s="159">
        <f t="shared" si="16"/>
        <v>0.42000000000000004</v>
      </c>
      <c r="J134" s="160">
        <v>0.81</v>
      </c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</row>
    <row r="135" spans="1:22" ht="18.75" customHeight="1" x14ac:dyDescent="0.25">
      <c r="A135" s="154">
        <v>6040</v>
      </c>
      <c r="B135" s="154" t="s">
        <v>261</v>
      </c>
      <c r="C135" s="155" t="s">
        <v>273</v>
      </c>
      <c r="D135" s="154" t="s">
        <v>148</v>
      </c>
      <c r="E135" s="156">
        <v>0.5</v>
      </c>
      <c r="F135" s="157">
        <f t="shared" si="14"/>
        <v>120</v>
      </c>
      <c r="G135" s="158" t="str">
        <f t="shared" si="15"/>
        <v>OK</v>
      </c>
      <c r="H135" s="159">
        <f>IFERROR(INDEX(TableInventory[Store Balance],MATCH(A135,TableInventory[Item ID],0)),0)+IFERROR(INDEX(TableInventory[Work In Process],MATCH(A135,TableInventory[Item ID],0)),0)</f>
        <v>2</v>
      </c>
      <c r="I135" s="159">
        <f t="shared" si="16"/>
        <v>1.5</v>
      </c>
      <c r="J135" s="160">
        <v>0.7</v>
      </c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</row>
    <row r="136" spans="1:22" ht="18.75" customHeight="1" x14ac:dyDescent="0.25">
      <c r="A136" s="154">
        <v>5107</v>
      </c>
      <c r="B136" s="154" t="s">
        <v>261</v>
      </c>
      <c r="C136" s="155" t="s">
        <v>274</v>
      </c>
      <c r="D136" s="154" t="s">
        <v>148</v>
      </c>
      <c r="E136" s="156">
        <v>0.5</v>
      </c>
      <c r="F136" s="157">
        <f t="shared" si="14"/>
        <v>60</v>
      </c>
      <c r="G136" s="158" t="str">
        <f t="shared" si="15"/>
        <v>OK</v>
      </c>
      <c r="H136" s="159">
        <f>IFERROR(INDEX(TableInventory[Store Balance],MATCH(A136,TableInventory[Item ID],0)),0)+IFERROR(INDEX(TableInventory[Work In Process],MATCH(A136,TableInventory[Item ID],0)),0)</f>
        <v>1</v>
      </c>
      <c r="I136" s="159">
        <f t="shared" si="16"/>
        <v>0.5</v>
      </c>
      <c r="J136" s="160">
        <v>0.7</v>
      </c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</row>
    <row r="137" spans="1:22" ht="18.75" customHeight="1" x14ac:dyDescent="0.25">
      <c r="A137" s="154">
        <v>7152</v>
      </c>
      <c r="B137" s="154" t="s">
        <v>261</v>
      </c>
      <c r="C137" s="155" t="s">
        <v>275</v>
      </c>
      <c r="D137" s="154" t="s">
        <v>148</v>
      </c>
      <c r="E137" s="156">
        <v>0.42</v>
      </c>
      <c r="F137" s="157">
        <f t="shared" si="14"/>
        <v>71.400000000000006</v>
      </c>
      <c r="G137" s="158" t="str">
        <f t="shared" si="15"/>
        <v>OK</v>
      </c>
      <c r="H137" s="159">
        <f>IFERROR(INDEX(TableInventory[Store Balance],MATCH(A137,TableInventory[Item ID],0)),0)+IFERROR(INDEX(TableInventory[Work In Process],MATCH(A137,TableInventory[Item ID],0)),0)</f>
        <v>1</v>
      </c>
      <c r="I137" s="159">
        <f t="shared" si="16"/>
        <v>0.58000000000000007</v>
      </c>
      <c r="J137" s="160">
        <v>0.57999999999999996</v>
      </c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</row>
    <row r="138" spans="1:22" ht="18.75" customHeight="1" x14ac:dyDescent="0.25">
      <c r="A138" s="154">
        <v>7095</v>
      </c>
      <c r="B138" s="154" t="s">
        <v>261</v>
      </c>
      <c r="C138" s="155" t="s">
        <v>276</v>
      </c>
      <c r="D138" s="154" t="s">
        <v>148</v>
      </c>
      <c r="E138" s="156">
        <v>0.33</v>
      </c>
      <c r="F138" s="157">
        <f t="shared" si="14"/>
        <v>0</v>
      </c>
      <c r="G138" s="158" t="str">
        <f t="shared" si="15"/>
        <v>SHORTAGE</v>
      </c>
      <c r="H138" s="159">
        <f>IFERROR(INDEX(TableInventory[Store Balance],MATCH(A138,TableInventory[Item ID],0)),0)+IFERROR(INDEX(TableInventory[Work In Process],MATCH(A138,TableInventory[Item ID],0)),0)</f>
        <v>0</v>
      </c>
      <c r="I138" s="159">
        <f t="shared" si="16"/>
        <v>-0.33</v>
      </c>
      <c r="J138" s="160">
        <v>0.46</v>
      </c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</row>
    <row r="139" spans="1:22" ht="18.75" customHeight="1" x14ac:dyDescent="0.25">
      <c r="A139" s="154">
        <v>118</v>
      </c>
      <c r="B139" s="154" t="s">
        <v>261</v>
      </c>
      <c r="C139" s="155" t="s">
        <v>277</v>
      </c>
      <c r="D139" s="154" t="s">
        <v>148</v>
      </c>
      <c r="E139" s="156">
        <v>0.33</v>
      </c>
      <c r="F139" s="157">
        <f t="shared" si="14"/>
        <v>0</v>
      </c>
      <c r="G139" s="158" t="str">
        <f t="shared" si="15"/>
        <v>SHORTAGE</v>
      </c>
      <c r="H139" s="159">
        <f>IFERROR(INDEX(TableInventory[Store Balance],MATCH(A139,TableInventory[Item ID],0)),0)+IFERROR(INDEX(TableInventory[Work In Process],MATCH(A139,TableInventory[Item ID],0)),0)</f>
        <v>0</v>
      </c>
      <c r="I139" s="159">
        <f t="shared" si="16"/>
        <v>-0.33</v>
      </c>
      <c r="J139" s="160">
        <v>0.46</v>
      </c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</row>
    <row r="140" spans="1:22" ht="18.75" customHeight="1" x14ac:dyDescent="0.25">
      <c r="A140" s="154">
        <v>2284</v>
      </c>
      <c r="B140" s="154" t="s">
        <v>261</v>
      </c>
      <c r="C140" s="155" t="s">
        <v>278</v>
      </c>
      <c r="D140" s="154" t="s">
        <v>148</v>
      </c>
      <c r="E140" s="156">
        <v>0.33</v>
      </c>
      <c r="F140" s="157">
        <f t="shared" si="14"/>
        <v>0</v>
      </c>
      <c r="G140" s="158" t="str">
        <f t="shared" si="15"/>
        <v>SHORTAGE</v>
      </c>
      <c r="H140" s="159">
        <f>IFERROR(INDEX(TableInventory[Store Balance],MATCH(A140,TableInventory[Item ID],0)),0)+IFERROR(INDEX(TableInventory[Work In Process],MATCH(A140,TableInventory[Item ID],0)),0)</f>
        <v>0</v>
      </c>
      <c r="I140" s="159">
        <f t="shared" si="16"/>
        <v>-0.33</v>
      </c>
      <c r="J140" s="160">
        <v>0.46</v>
      </c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</row>
    <row r="141" spans="1:22" ht="15" customHeight="1" x14ac:dyDescent="0.25">
      <c r="A141" s="154">
        <v>110</v>
      </c>
      <c r="B141" s="154" t="s">
        <v>261</v>
      </c>
      <c r="C141" s="155" t="s">
        <v>279</v>
      </c>
      <c r="D141" s="154" t="s">
        <v>148</v>
      </c>
      <c r="E141" s="156">
        <v>0.25</v>
      </c>
      <c r="F141" s="157">
        <f t="shared" si="14"/>
        <v>240</v>
      </c>
      <c r="G141" s="158" t="str">
        <f t="shared" si="15"/>
        <v>OK</v>
      </c>
      <c r="H141" s="159">
        <f>IFERROR(INDEX(TableInventory[Store Balance],MATCH(A141,TableInventory[Item ID],0)),0)+IFERROR(INDEX(TableInventory[Work In Process],MATCH(A141,TableInventory[Item ID],0)),0)</f>
        <v>2</v>
      </c>
      <c r="I141" s="159">
        <f t="shared" si="16"/>
        <v>1.75</v>
      </c>
      <c r="J141" s="160">
        <v>0.35</v>
      </c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</row>
    <row r="142" spans="1:22" ht="15" customHeight="1" x14ac:dyDescent="0.25">
      <c r="A142" s="154">
        <v>129</v>
      </c>
      <c r="B142" s="154" t="s">
        <v>261</v>
      </c>
      <c r="C142" s="155" t="s">
        <v>280</v>
      </c>
      <c r="D142" s="154" t="s">
        <v>148</v>
      </c>
      <c r="E142" s="156">
        <v>0.25</v>
      </c>
      <c r="F142" s="157">
        <f t="shared" si="14"/>
        <v>240</v>
      </c>
      <c r="G142" s="158" t="str">
        <f t="shared" si="15"/>
        <v>OK</v>
      </c>
      <c r="H142" s="159">
        <f>IFERROR(INDEX(TableInventory[Store Balance],MATCH(A142,TableInventory[Item ID],0)),0)+IFERROR(INDEX(TableInventory[Work In Process],MATCH(A142,TableInventory[Item ID],0)),0)</f>
        <v>2</v>
      </c>
      <c r="I142" s="159">
        <f t="shared" si="16"/>
        <v>1.75</v>
      </c>
      <c r="J142" s="160">
        <v>0.35</v>
      </c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</row>
    <row r="143" spans="1:22" ht="18.75" customHeight="1" x14ac:dyDescent="0.25">
      <c r="A143" s="154">
        <v>6049</v>
      </c>
      <c r="B143" s="154" t="s">
        <v>261</v>
      </c>
      <c r="C143" s="155" t="s">
        <v>281</v>
      </c>
      <c r="D143" s="154" t="s">
        <v>148</v>
      </c>
      <c r="E143" s="156">
        <v>0.17</v>
      </c>
      <c r="F143" s="157">
        <f t="shared" si="14"/>
        <v>0</v>
      </c>
      <c r="G143" s="158" t="str">
        <f t="shared" si="15"/>
        <v>SHORTAGE</v>
      </c>
      <c r="H143" s="159">
        <f>IFERROR(INDEX(TableInventory[Store Balance],MATCH(A143,TableInventory[Item ID],0)),0)+IFERROR(INDEX(TableInventory[Work In Process],MATCH(A143,TableInventory[Item ID],0)),0)</f>
        <v>0</v>
      </c>
      <c r="I143" s="159">
        <f t="shared" si="16"/>
        <v>-0.17</v>
      </c>
      <c r="J143" s="160">
        <v>0.23</v>
      </c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</row>
    <row r="144" spans="1:22" ht="36" customHeight="1" x14ac:dyDescent="0.25">
      <c r="A144" s="154">
        <v>3770</v>
      </c>
      <c r="B144" s="154" t="s">
        <v>261</v>
      </c>
      <c r="C144" s="155" t="s">
        <v>282</v>
      </c>
      <c r="D144" s="154" t="s">
        <v>148</v>
      </c>
      <c r="E144" s="156">
        <v>0.17</v>
      </c>
      <c r="F144" s="157">
        <f t="shared" si="14"/>
        <v>0</v>
      </c>
      <c r="G144" s="158" t="str">
        <f t="shared" si="15"/>
        <v>SHORTAGE</v>
      </c>
      <c r="H144" s="159">
        <f>IFERROR(INDEX(TableInventory[Store Balance],MATCH(A144,TableInventory[Item ID],0)),0)+IFERROR(INDEX(TableInventory[Work In Process],MATCH(A144,TableInventory[Item ID],0)),0)</f>
        <v>0</v>
      </c>
      <c r="I144" s="159">
        <f t="shared" si="16"/>
        <v>-0.17</v>
      </c>
      <c r="J144" s="160">
        <v>0.23</v>
      </c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</row>
    <row r="145" spans="1:22" ht="15" customHeight="1" x14ac:dyDescent="0.25">
      <c r="A145" s="154">
        <v>130</v>
      </c>
      <c r="B145" s="154" t="s">
        <v>261</v>
      </c>
      <c r="C145" s="155" t="s">
        <v>283</v>
      </c>
      <c r="D145" s="154" t="s">
        <v>148</v>
      </c>
      <c r="E145" s="156">
        <v>0.08</v>
      </c>
      <c r="F145" s="157">
        <f t="shared" si="14"/>
        <v>375</v>
      </c>
      <c r="G145" s="158" t="str">
        <f t="shared" si="15"/>
        <v>OK</v>
      </c>
      <c r="H145" s="159">
        <f>IFERROR(INDEX(TableInventory[Store Balance],MATCH(A145,TableInventory[Item ID],0)),0)+IFERROR(INDEX(TableInventory[Work In Process],MATCH(A145,TableInventory[Item ID],0)),0)</f>
        <v>1</v>
      </c>
      <c r="I145" s="159">
        <f t="shared" si="16"/>
        <v>0.92</v>
      </c>
      <c r="J145" s="160">
        <v>0.12</v>
      </c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</row>
    <row r="146" spans="1:22" ht="15" customHeight="1" x14ac:dyDescent="0.25">
      <c r="A146" s="154">
        <v>124</v>
      </c>
      <c r="B146" s="154" t="s">
        <v>261</v>
      </c>
      <c r="C146" s="155" t="s">
        <v>284</v>
      </c>
      <c r="D146" s="154" t="s">
        <v>148</v>
      </c>
      <c r="E146" s="156">
        <v>0.08</v>
      </c>
      <c r="F146" s="157">
        <f t="shared" si="14"/>
        <v>0</v>
      </c>
      <c r="G146" s="158" t="str">
        <f t="shared" si="15"/>
        <v>SHORTAGE</v>
      </c>
      <c r="H146" s="159">
        <f>IFERROR(INDEX(TableInventory[Store Balance],MATCH(A146,TableInventory[Item ID],0)),0)+IFERROR(INDEX(TableInventory[Work In Process],MATCH(A146,TableInventory[Item ID],0)),0)</f>
        <v>0</v>
      </c>
      <c r="I146" s="159">
        <f t="shared" si="16"/>
        <v>-0.08</v>
      </c>
      <c r="J146" s="160">
        <v>0.12</v>
      </c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</row>
    <row r="147" spans="1:22" ht="15" customHeight="1" x14ac:dyDescent="0.25">
      <c r="A147" s="154">
        <v>3968</v>
      </c>
      <c r="B147" s="154" t="s">
        <v>261</v>
      </c>
      <c r="C147" s="155" t="s">
        <v>285</v>
      </c>
      <c r="D147" s="154" t="s">
        <v>148</v>
      </c>
      <c r="E147" s="156">
        <v>0.08</v>
      </c>
      <c r="F147" s="157">
        <f t="shared" si="14"/>
        <v>1500</v>
      </c>
      <c r="G147" s="158" t="str">
        <f t="shared" si="15"/>
        <v>OK</v>
      </c>
      <c r="H147" s="159">
        <f>IFERROR(INDEX(TableInventory[Store Balance],MATCH(A147,TableInventory[Item ID],0)),0)+IFERROR(INDEX(TableInventory[Work In Process],MATCH(A147,TableInventory[Item ID],0)),0)</f>
        <v>4</v>
      </c>
      <c r="I147" s="159">
        <f t="shared" si="16"/>
        <v>3.92</v>
      </c>
      <c r="J147" s="160">
        <v>0.12</v>
      </c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</row>
    <row r="148" spans="1:22" ht="15" customHeight="1" x14ac:dyDescent="0.25">
      <c r="A148" s="154">
        <v>3642</v>
      </c>
      <c r="B148" s="154" t="s">
        <v>261</v>
      </c>
      <c r="C148" s="155" t="s">
        <v>286</v>
      </c>
      <c r="D148" s="154" t="s">
        <v>148</v>
      </c>
      <c r="E148" s="156">
        <v>0.08</v>
      </c>
      <c r="F148" s="157">
        <f t="shared" si="14"/>
        <v>375</v>
      </c>
      <c r="G148" s="158" t="str">
        <f t="shared" si="15"/>
        <v>OK</v>
      </c>
      <c r="H148" s="159">
        <f>IFERROR(INDEX(TableInventory[Store Balance],MATCH(A148,TableInventory[Item ID],0)),0)+IFERROR(INDEX(TableInventory[Work In Process],MATCH(A148,TableInventory[Item ID],0)),0)</f>
        <v>1</v>
      </c>
      <c r="I148" s="159">
        <f t="shared" si="16"/>
        <v>0.92</v>
      </c>
      <c r="J148" s="160">
        <v>0.12</v>
      </c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</row>
    <row r="149" spans="1:22" ht="15" customHeight="1" x14ac:dyDescent="0.25">
      <c r="A149" s="161">
        <v>104</v>
      </c>
      <c r="B149" s="161" t="s">
        <v>261</v>
      </c>
      <c r="C149" s="162" t="s">
        <v>287</v>
      </c>
      <c r="D149" s="161" t="s">
        <v>148</v>
      </c>
      <c r="E149" s="163">
        <v>0</v>
      </c>
      <c r="F149" s="164">
        <v>0</v>
      </c>
      <c r="G149" s="165" t="s">
        <v>288</v>
      </c>
      <c r="H149" s="163">
        <f>IFERROR(INDEX(TableInventory[Store Balance],MATCH(A149,TableInventory[Item ID],0)),0)+IFERROR(INDEX(TableInventory[Work In Process],MATCH(A149,TableInventory[Item ID],0)),0)</f>
        <v>2</v>
      </c>
      <c r="I149" s="163">
        <f t="shared" ref="I149:I155" si="17">H149</f>
        <v>2</v>
      </c>
      <c r="J149" s="163">
        <v>0</v>
      </c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</row>
    <row r="150" spans="1:22" ht="15" customHeight="1" x14ac:dyDescent="0.25">
      <c r="A150" s="161">
        <v>105</v>
      </c>
      <c r="B150" s="161" t="s">
        <v>261</v>
      </c>
      <c r="C150" s="162" t="s">
        <v>289</v>
      </c>
      <c r="D150" s="161" t="s">
        <v>148</v>
      </c>
      <c r="E150" s="163">
        <v>0</v>
      </c>
      <c r="F150" s="164">
        <v>0</v>
      </c>
      <c r="G150" s="165" t="s">
        <v>288</v>
      </c>
      <c r="H150" s="163">
        <f>IFERROR(INDEX(TableInventory[Store Balance],MATCH(A150,TableInventory[Item ID],0)),0)+IFERROR(INDEX(TableInventory[Work In Process],MATCH(A150,TableInventory[Item ID],0)),0)</f>
        <v>1</v>
      </c>
      <c r="I150" s="163">
        <f t="shared" si="17"/>
        <v>1</v>
      </c>
      <c r="J150" s="163">
        <v>0</v>
      </c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</row>
    <row r="151" spans="1:22" ht="15" customHeight="1" x14ac:dyDescent="0.25">
      <c r="A151" s="161">
        <v>127</v>
      </c>
      <c r="B151" s="161" t="s">
        <v>261</v>
      </c>
      <c r="C151" s="162" t="s">
        <v>290</v>
      </c>
      <c r="D151" s="161" t="s">
        <v>148</v>
      </c>
      <c r="E151" s="163">
        <v>0</v>
      </c>
      <c r="F151" s="164">
        <v>0</v>
      </c>
      <c r="G151" s="165" t="s">
        <v>288</v>
      </c>
      <c r="H151" s="163">
        <f>IFERROR(INDEX(TableInventory[Store Balance],MATCH(A151,TableInventory[Item ID],0)),0)+IFERROR(INDEX(TableInventory[Work In Process],MATCH(A151,TableInventory[Item ID],0)),0)</f>
        <v>2</v>
      </c>
      <c r="I151" s="163">
        <f t="shared" si="17"/>
        <v>2</v>
      </c>
      <c r="J151" s="163">
        <v>0</v>
      </c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</row>
    <row r="152" spans="1:22" ht="15" customHeight="1" x14ac:dyDescent="0.25">
      <c r="A152" s="161">
        <v>3800</v>
      </c>
      <c r="B152" s="161" t="s">
        <v>261</v>
      </c>
      <c r="C152" s="162" t="s">
        <v>291</v>
      </c>
      <c r="D152" s="161" t="s">
        <v>148</v>
      </c>
      <c r="E152" s="163">
        <v>0</v>
      </c>
      <c r="F152" s="164">
        <v>0</v>
      </c>
      <c r="G152" s="165" t="s">
        <v>288</v>
      </c>
      <c r="H152" s="163">
        <f>IFERROR(INDEX(TableInventory[Store Balance],MATCH(A152,TableInventory[Item ID],0)),0)+IFERROR(INDEX(TableInventory[Work In Process],MATCH(A152,TableInventory[Item ID],0)),0)</f>
        <v>1</v>
      </c>
      <c r="I152" s="163">
        <f t="shared" si="17"/>
        <v>1</v>
      </c>
      <c r="J152" s="163">
        <v>0</v>
      </c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</row>
    <row r="153" spans="1:22" ht="15" customHeight="1" x14ac:dyDescent="0.25">
      <c r="A153" s="161">
        <v>4216</v>
      </c>
      <c r="B153" s="161" t="s">
        <v>261</v>
      </c>
      <c r="C153" s="162" t="s">
        <v>292</v>
      </c>
      <c r="D153" s="161" t="s">
        <v>148</v>
      </c>
      <c r="E153" s="163">
        <v>0</v>
      </c>
      <c r="F153" s="164">
        <v>0</v>
      </c>
      <c r="G153" s="165" t="s">
        <v>288</v>
      </c>
      <c r="H153" s="163">
        <f>IFERROR(INDEX(TableInventory[Store Balance],MATCH(A153,TableInventory[Item ID],0)),0)+IFERROR(INDEX(TableInventory[Work In Process],MATCH(A153,TableInventory[Item ID],0)),0)</f>
        <v>1</v>
      </c>
      <c r="I153" s="163">
        <f t="shared" si="17"/>
        <v>1</v>
      </c>
      <c r="J153" s="163">
        <v>0</v>
      </c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</row>
    <row r="154" spans="1:22" ht="15" customHeight="1" x14ac:dyDescent="0.25">
      <c r="A154" s="161">
        <v>4306</v>
      </c>
      <c r="B154" s="161" t="s">
        <v>261</v>
      </c>
      <c r="C154" s="162" t="s">
        <v>293</v>
      </c>
      <c r="D154" s="161" t="s">
        <v>148</v>
      </c>
      <c r="E154" s="163">
        <v>0</v>
      </c>
      <c r="F154" s="164">
        <v>0</v>
      </c>
      <c r="G154" s="165" t="s">
        <v>288</v>
      </c>
      <c r="H154" s="163">
        <f>IFERROR(INDEX(TableInventory[Store Balance],MATCH(A154,TableInventory[Item ID],0)),0)+IFERROR(INDEX(TableInventory[Work In Process],MATCH(A154,TableInventory[Item ID],0)),0)</f>
        <v>3</v>
      </c>
      <c r="I154" s="163">
        <f t="shared" si="17"/>
        <v>3</v>
      </c>
      <c r="J154" s="163">
        <v>0</v>
      </c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</row>
    <row r="155" spans="1:22" ht="15" customHeight="1" x14ac:dyDescent="0.25">
      <c r="A155" s="161">
        <v>6935</v>
      </c>
      <c r="B155" s="161" t="s">
        <v>261</v>
      </c>
      <c r="C155" s="162" t="s">
        <v>294</v>
      </c>
      <c r="D155" s="161" t="s">
        <v>148</v>
      </c>
      <c r="E155" s="163">
        <v>0</v>
      </c>
      <c r="F155" s="164">
        <v>0</v>
      </c>
      <c r="G155" s="165" t="s">
        <v>288</v>
      </c>
      <c r="H155" s="163">
        <f>IFERROR(INDEX(TableInventory[Store Balance],MATCH(A155,TableInventory[Item ID],0)),0)+IFERROR(INDEX(TableInventory[Work In Process],MATCH(A155,TableInventory[Item ID],0)),0)</f>
        <v>0</v>
      </c>
      <c r="I155" s="163">
        <f t="shared" si="17"/>
        <v>0</v>
      </c>
      <c r="J155" s="163">
        <v>0</v>
      </c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</row>
    <row r="158" spans="1:22" ht="15" customHeight="1" x14ac:dyDescent="0.25">
      <c r="A158" t="s">
        <v>295</v>
      </c>
    </row>
    <row r="159" spans="1:22" ht="15" customHeight="1" x14ac:dyDescent="0.25">
      <c r="A159" t="s">
        <v>296</v>
      </c>
    </row>
    <row r="160" spans="1:22" ht="15" customHeight="1" x14ac:dyDescent="0.25">
      <c r="A160" t="s">
        <v>297</v>
      </c>
      <c r="B160" t="s">
        <v>3</v>
      </c>
      <c r="C160" s="69" t="s">
        <v>4</v>
      </c>
      <c r="D160" t="s">
        <v>298</v>
      </c>
      <c r="E160" s="70" t="s">
        <v>299</v>
      </c>
      <c r="F160" s="70" t="s">
        <v>300</v>
      </c>
      <c r="G160" s="71" t="s">
        <v>301</v>
      </c>
    </row>
    <row r="161" spans="1:7" ht="15" customHeight="1" x14ac:dyDescent="0.25">
      <c r="A161">
        <v>5782</v>
      </c>
      <c r="B161" t="str">
        <f>IFERROR(VLOOKUP(A161,Product_Catalog!$A$3:$D$100,3,0),"-")</f>
        <v>Mega Grey</v>
      </c>
      <c r="C161" s="69" t="str">
        <f>IFERROR(VLOOKUP(A161,Product_Catalog!$A$3:$D$100,4,0),"-")</f>
        <v>M.G</v>
      </c>
      <c r="D161">
        <v>1285</v>
      </c>
      <c r="E161" s="70" t="str">
        <f>IFERROR(INDEX($C$49:$C$70,MATCH(D161,$A$49:$A$70,0)),"-")</f>
        <v>M-11 S/M F/P WHITE (LARGE)</v>
      </c>
      <c r="F161" s="70">
        <f>SUMPRODUCT(('FG Stock'!$B$4:$B$100=A161)*(ISNUMBER(SEARCH("Cap Not Available",'FG Stock'!$H$4:$H$100)))*'FG Stock'!$F$4:$F$100)</f>
        <v>10500</v>
      </c>
      <c r="G161" s="71" t="s">
        <v>302</v>
      </c>
    </row>
    <row r="162" spans="1:7" ht="15" customHeight="1" x14ac:dyDescent="0.25">
      <c r="A162">
        <v>6624</v>
      </c>
      <c r="B162" t="str">
        <f>IFERROR(VLOOKUP(A162,Product_Catalog!$A$3:$D$100,3,0),"-")</f>
        <v>Samsol International Private Limited</v>
      </c>
      <c r="C162" s="69" t="str">
        <f>IFERROR(VLOOKUP(A162,Product_Catalog!$A$3:$D$100,4,0),"-")</f>
        <v>S-45 DIA 19MM</v>
      </c>
      <c r="D162">
        <v>80</v>
      </c>
      <c r="E162" s="70" t="str">
        <f>IFERROR(INDEX($C$49:$C$70,MATCH(D162,$A$49:$A$70,0)),"-")</f>
        <v>M-9 S/M SPR WHITE DIA 19</v>
      </c>
      <c r="F162" s="70">
        <f>SUMPRODUCT(('FG Stock'!$B$4:$B$100=A162)*(ISNUMBER(SEARCH("Cap Not Available",'FG Stock'!$H$4:$H$100)))*'FG Stock'!$F$4:$F$100)</f>
        <v>5292</v>
      </c>
      <c r="G162" s="71" t="s">
        <v>302</v>
      </c>
    </row>
    <row r="163" spans="1:7" ht="15" customHeight="1" x14ac:dyDescent="0.25">
      <c r="A163">
        <v>5699</v>
      </c>
      <c r="B163" t="str">
        <f>IFERROR(VLOOKUP(A163,Product_Catalog!$A$3:$D$100,3,0),"-")</f>
        <v>Samsol International Private Limited</v>
      </c>
      <c r="C163" s="69" t="str">
        <f>IFERROR(VLOOKUP(A163,Product_Catalog!$A$3:$D$100,4,0),"-")</f>
        <v>S-43 DIA 20.5</v>
      </c>
      <c r="D163">
        <v>6971</v>
      </c>
      <c r="E163" s="70" t="str">
        <f>IFERROR(INDEX($C$49:$C$70,MATCH(D163,$A$49:$A$70,0)),"-")</f>
        <v>M-9 S/M SPR WHITE DIA 20.5MM</v>
      </c>
      <c r="F163" s="70">
        <f>SUMPRODUCT(('FG Stock'!$B$4:$B$100=A163)*(ISNUMBER(SEARCH("Cap Not Available",'FG Stock'!$H$4:$H$100)))*'FG Stock'!$F$4:$F$100)</f>
        <v>67530</v>
      </c>
      <c r="G163" s="71" t="s">
        <v>302</v>
      </c>
    </row>
    <row r="164" spans="1:7" ht="15" customHeight="1" x14ac:dyDescent="0.25">
      <c r="A164">
        <v>5731</v>
      </c>
      <c r="B164" t="str">
        <f>IFERROR(VLOOKUP(A164,Product_Catalog!$A$3:$D$100,3,0),"-")</f>
        <v>Samsol International Private Limited</v>
      </c>
      <c r="C164" s="69" t="str">
        <f>IFERROR(VLOOKUP(A164,Product_Catalog!$A$3:$D$100,4,0),"-")</f>
        <v>SAMSOL HAIR COLOR 45 DIA 20.5 MM</v>
      </c>
      <c r="D164">
        <v>6971</v>
      </c>
      <c r="E164" s="70" t="str">
        <f>IFERROR(INDEX($C$49:$C$70,MATCH(D164,$A$49:$A$70,0)),"-")</f>
        <v>M-9 S/M SPR WHITE DIA 20.5MM</v>
      </c>
      <c r="F164" s="70">
        <f>SUMPRODUCT(('FG Stock'!$B$4:$B$100=A164)*(ISNUMBER(SEARCH("Cap Not Available",'FG Stock'!$H$4:$H$100)))*'FG Stock'!$F$4:$F$100)</f>
        <v>58000</v>
      </c>
      <c r="G164" s="71" t="s">
        <v>302</v>
      </c>
    </row>
  </sheetData>
  <autoFilter ref="A15:J98" xr:uid="{00000000-0009-0000-0000-000001000000}">
    <filterColumn colId="4">
      <filters>
        <filter val="11,977"/>
        <filter val="13,566"/>
        <filter val="138"/>
        <filter val="15"/>
        <filter val="188"/>
        <filter val="2"/>
        <filter val="20"/>
        <filter val="23"/>
        <filter val="25,500"/>
        <filter val="40"/>
        <filter val="6"/>
        <filter val="69"/>
        <filter val="89"/>
      </filters>
    </filterColumn>
  </autoFilter>
  <mergeCells count="1">
    <mergeCell ref="A122:J122"/>
  </mergeCells>
  <conditionalFormatting sqref="L3:L14">
    <cfRule type="cellIs" dxfId="14" priority="13" operator="lessThan">
      <formula>0</formula>
    </cfRule>
  </conditionalFormatting>
  <conditionalFormatting sqref="L102">
    <cfRule type="cellIs" dxfId="13" priority="9" operator="lessThan">
      <formula>0</formula>
    </cfRule>
  </conditionalFormatting>
  <conditionalFormatting sqref="L141">
    <cfRule type="cellIs" dxfId="12" priority="5" operator="lessThan">
      <formula>0</formula>
    </cfRule>
  </conditionalFormatting>
  <conditionalFormatting sqref="N3:N16">
    <cfRule type="cellIs" dxfId="11" priority="10" operator="equal">
      <formula>"OK"</formula>
    </cfRule>
    <cfRule type="cellIs" dxfId="10" priority="11" operator="equal">
      <formula>"LOW"</formula>
    </cfRule>
    <cfRule type="cellIs" dxfId="9" priority="12" operator="equal">
      <formula>"SHORTAGE"</formula>
    </cfRule>
  </conditionalFormatting>
  <conditionalFormatting sqref="N102">
    <cfRule type="cellIs" dxfId="8" priority="6" operator="equal">
      <formula>"OK"</formula>
    </cfRule>
    <cfRule type="cellIs" dxfId="7" priority="7" operator="equal">
      <formula>"LOW"</formula>
    </cfRule>
    <cfRule type="cellIs" dxfId="6" priority="8" operator="equal">
      <formula>"SHORTAGE"</formula>
    </cfRule>
  </conditionalFormatting>
  <conditionalFormatting sqref="N141">
    <cfRule type="cellIs" dxfId="5" priority="2" operator="equal">
      <formula>"OK"</formula>
    </cfRule>
    <cfRule type="cellIs" dxfId="4" priority="3" operator="equal">
      <formula>"LOW"</formula>
    </cfRule>
    <cfRule type="cellIs" dxfId="3" priority="4" operator="equal">
      <formula>"SHORTAGE"</formula>
    </cfRule>
  </conditionalFormatting>
  <dataValidations disablePrompts="1" count="3">
    <dataValidation type="list" allowBlank="1" sqref="F136:G136 H2:H12 H134:H141 I142:I149 J16:J17 J19:J20 J22 J24:J27 J30 J32:J33 J35:J37 J39:J45 J48 J2:J12" xr:uid="{00000000-0002-0000-0100-000000000000}">
      <formula1>"Confirmed,1st Week,2nd Week,Tentative,In Process,Initial Stage,Completed,Cancelled"</formula1>
      <formula2>0</formula2>
    </dataValidation>
    <dataValidation type="list" allowBlank="1" sqref="B13 B16:B27 B138 B142:B143 B148:B149 C3:C9 C135:C137 C139:C141 C144:C146" xr:uid="{00000000-0002-0000-0100-000001000000}">
      <formula1>"Alpha Lab,Brookes Pharma,DTM,Golden Pearl,Mabley Beauty,Mega Grey,PBS,Samsol"</formula1>
      <formula2>0</formula2>
    </dataValidation>
    <dataValidation type="list" allowBlank="1" sqref="C13 C16:C27 C138 C142:C143 C148:C149 D3:D12 D135:D147" xr:uid="{00000000-0002-0000-0100-000002000000}">
      <formula1>"CONTRATUBEX GEL 20G,DTM DIA 25MM,EAZICOLOR PREMIUM 60ML,H.H 100GM,HELLO HAIR COLOR,M.G (Mega Grey),PHLOGIN GEL 20G,PYODINE GEL 20GM,S 43 25MM,S-43 DIA 20.5,S-45 DIA 20.5,TRANSPARENT BOTTLE 150ML,TUBES (Samsol 25),V-HC BLACK (Vince),VINCE NURTURAL (VARNISH"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45"/>
  <sheetViews>
    <sheetView topLeftCell="C1" zoomScaleNormal="100" workbookViewId="0">
      <pane ySplit="2" topLeftCell="A221" activePane="bottomLeft" state="frozen"/>
      <selection activeCell="C1" sqref="C1"/>
      <selection pane="bottomLeft" activeCell="J221" sqref="J221"/>
    </sheetView>
  </sheetViews>
  <sheetFormatPr defaultColWidth="8.7109375" defaultRowHeight="15" x14ac:dyDescent="0.25"/>
  <cols>
    <col min="1" max="1" width="10" customWidth="1"/>
    <col min="2" max="2" width="8" customWidth="1"/>
    <col min="3" max="3" width="37.7109375" style="69" customWidth="1"/>
    <col min="4" max="4" width="39" style="69" customWidth="1"/>
    <col min="5" max="5" width="6" customWidth="1"/>
    <col min="6" max="6" width="16" customWidth="1"/>
    <col min="7" max="7" width="8" customWidth="1"/>
    <col min="8" max="8" width="30" style="69" customWidth="1"/>
    <col min="9" max="9" width="6" customWidth="1"/>
    <col min="10" max="10" width="14" style="166" customWidth="1"/>
    <col min="11" max="11" width="16" style="69" customWidth="1"/>
    <col min="12" max="12" width="8" style="167" customWidth="1"/>
    <col min="13" max="13" width="68.28515625" style="168" customWidth="1"/>
  </cols>
  <sheetData>
    <row r="1" spans="1:17" ht="20.25" customHeight="1" x14ac:dyDescent="0.35">
      <c r="A1" s="292" t="s">
        <v>303</v>
      </c>
      <c r="B1" s="275"/>
      <c r="C1" s="288"/>
      <c r="D1" s="288"/>
      <c r="E1" s="275"/>
      <c r="F1" s="275"/>
      <c r="G1" s="275"/>
      <c r="H1" s="288"/>
      <c r="I1" s="275"/>
      <c r="J1" s="293"/>
      <c r="K1" s="288"/>
      <c r="L1" s="294"/>
      <c r="M1" s="169"/>
      <c r="N1" s="4"/>
      <c r="O1" s="4"/>
    </row>
    <row r="2" spans="1:17" s="175" customFormat="1" ht="32.25" customHeight="1" x14ac:dyDescent="0.25">
      <c r="A2" s="170" t="s">
        <v>1</v>
      </c>
      <c r="B2" s="170" t="s">
        <v>2</v>
      </c>
      <c r="C2" s="171" t="s">
        <v>3</v>
      </c>
      <c r="D2" s="171" t="s">
        <v>4</v>
      </c>
      <c r="E2" s="170" t="s">
        <v>109</v>
      </c>
      <c r="F2" s="170" t="s">
        <v>304</v>
      </c>
      <c r="G2" s="170" t="s">
        <v>136</v>
      </c>
      <c r="H2" s="171" t="s">
        <v>137</v>
      </c>
      <c r="I2" s="170" t="s">
        <v>138</v>
      </c>
      <c r="J2" s="170" t="s">
        <v>305</v>
      </c>
      <c r="K2" s="171" t="s">
        <v>306</v>
      </c>
      <c r="L2" s="172" t="s">
        <v>307</v>
      </c>
      <c r="M2" s="173" t="s">
        <v>308</v>
      </c>
      <c r="N2" s="174"/>
      <c r="O2" s="174"/>
    </row>
    <row r="3" spans="1:17" ht="15" hidden="1" customHeight="1" x14ac:dyDescent="0.25">
      <c r="A3" s="176">
        <v>6561</v>
      </c>
      <c r="B3" s="176">
        <v>190</v>
      </c>
      <c r="C3" s="176" t="s">
        <v>21</v>
      </c>
      <c r="D3" s="177" t="s">
        <v>22</v>
      </c>
      <c r="E3" s="176">
        <v>16</v>
      </c>
      <c r="F3" s="176" t="s">
        <v>146</v>
      </c>
      <c r="G3" s="176">
        <v>2799</v>
      </c>
      <c r="H3" s="176" t="s">
        <v>150</v>
      </c>
      <c r="I3" s="178" t="s">
        <v>148</v>
      </c>
      <c r="J3" s="179">
        <v>2.5188899999999999</v>
      </c>
      <c r="K3" s="180" t="s">
        <v>309</v>
      </c>
      <c r="L3" s="180">
        <v>0.1</v>
      </c>
      <c r="M3" s="180" t="s">
        <v>310</v>
      </c>
      <c r="N3" s="180"/>
      <c r="O3" s="180"/>
      <c r="P3" s="180"/>
      <c r="Q3" s="181"/>
    </row>
    <row r="4" spans="1:17" ht="15" hidden="1" customHeight="1" x14ac:dyDescent="0.25">
      <c r="A4" s="176">
        <v>6561</v>
      </c>
      <c r="B4" s="176">
        <v>190</v>
      </c>
      <c r="C4" s="176" t="s">
        <v>21</v>
      </c>
      <c r="D4" s="177" t="s">
        <v>22</v>
      </c>
      <c r="E4" s="176">
        <v>16</v>
      </c>
      <c r="F4" s="176" t="s">
        <v>169</v>
      </c>
      <c r="G4" s="176">
        <v>3595</v>
      </c>
      <c r="H4" s="176" t="s">
        <v>311</v>
      </c>
      <c r="I4" s="178" t="s">
        <v>148</v>
      </c>
      <c r="J4" s="179">
        <v>0.28999999999999998</v>
      </c>
      <c r="K4" s="180" t="s">
        <v>312</v>
      </c>
      <c r="L4" s="180">
        <v>0.1</v>
      </c>
      <c r="M4" s="182" t="s">
        <v>313</v>
      </c>
      <c r="N4" s="180"/>
      <c r="O4" s="180"/>
      <c r="P4" s="180"/>
      <c r="Q4" s="181"/>
    </row>
    <row r="5" spans="1:17" ht="15" hidden="1" customHeight="1" x14ac:dyDescent="0.25">
      <c r="A5" s="176">
        <v>6561</v>
      </c>
      <c r="B5" s="176">
        <v>190</v>
      </c>
      <c r="C5" s="176" t="s">
        <v>21</v>
      </c>
      <c r="D5" s="177" t="s">
        <v>22</v>
      </c>
      <c r="E5" s="176">
        <v>16</v>
      </c>
      <c r="F5" s="176" t="s">
        <v>186</v>
      </c>
      <c r="G5" s="176">
        <v>69</v>
      </c>
      <c r="H5" s="176" t="s">
        <v>187</v>
      </c>
      <c r="I5" s="178" t="s">
        <v>188</v>
      </c>
      <c r="J5" s="179">
        <v>1000</v>
      </c>
      <c r="K5" s="180" t="s">
        <v>314</v>
      </c>
      <c r="L5" s="180">
        <v>0.02</v>
      </c>
      <c r="M5" s="182" t="s">
        <v>315</v>
      </c>
      <c r="N5" s="180"/>
      <c r="O5" s="180"/>
      <c r="P5" s="180"/>
      <c r="Q5" s="181"/>
    </row>
    <row r="6" spans="1:17" ht="15" hidden="1" customHeight="1" x14ac:dyDescent="0.25">
      <c r="A6" s="176">
        <v>6561</v>
      </c>
      <c r="B6" s="176">
        <v>190</v>
      </c>
      <c r="C6" s="176" t="s">
        <v>21</v>
      </c>
      <c r="D6" s="177" t="s">
        <v>22</v>
      </c>
      <c r="E6" s="176">
        <v>16</v>
      </c>
      <c r="F6" s="176" t="s">
        <v>210</v>
      </c>
      <c r="G6" s="176">
        <v>36</v>
      </c>
      <c r="H6" s="176" t="s">
        <v>212</v>
      </c>
      <c r="I6" s="178" t="s">
        <v>188</v>
      </c>
      <c r="J6" s="179">
        <v>5</v>
      </c>
      <c r="K6" s="180" t="s">
        <v>316</v>
      </c>
      <c r="L6" s="180">
        <v>0.1</v>
      </c>
      <c r="M6" s="182" t="s">
        <v>315</v>
      </c>
      <c r="N6" s="180"/>
      <c r="O6" s="180"/>
      <c r="P6" s="180"/>
      <c r="Q6" s="181"/>
    </row>
    <row r="7" spans="1:17" ht="15" hidden="1" customHeight="1" x14ac:dyDescent="0.25">
      <c r="A7" s="176">
        <v>6561</v>
      </c>
      <c r="B7" s="176">
        <v>190</v>
      </c>
      <c r="C7" s="176" t="s">
        <v>21</v>
      </c>
      <c r="D7" s="177" t="s">
        <v>22</v>
      </c>
      <c r="E7" s="176">
        <v>16</v>
      </c>
      <c r="F7" s="176" t="s">
        <v>183</v>
      </c>
      <c r="G7" s="176">
        <v>194</v>
      </c>
      <c r="H7" s="176" t="s">
        <v>184</v>
      </c>
      <c r="I7" s="178" t="s">
        <v>148</v>
      </c>
      <c r="J7" s="179">
        <v>2.6196399999999999E-3</v>
      </c>
      <c r="K7" s="180" t="s">
        <v>317</v>
      </c>
      <c r="L7" s="180">
        <v>0.1</v>
      </c>
      <c r="M7" s="180"/>
      <c r="N7" s="180"/>
      <c r="O7" s="180"/>
      <c r="P7" s="180"/>
      <c r="Q7" s="181"/>
    </row>
    <row r="8" spans="1:17" ht="15" hidden="1" customHeight="1" x14ac:dyDescent="0.25">
      <c r="A8" s="176">
        <v>6561</v>
      </c>
      <c r="B8" s="176">
        <v>190</v>
      </c>
      <c r="C8" s="176" t="s">
        <v>21</v>
      </c>
      <c r="D8" s="177" t="s">
        <v>22</v>
      </c>
      <c r="E8" s="176">
        <v>16</v>
      </c>
      <c r="F8" s="176" t="s">
        <v>162</v>
      </c>
      <c r="G8" s="176">
        <v>185</v>
      </c>
      <c r="H8" s="176" t="s">
        <v>164</v>
      </c>
      <c r="I8" s="178" t="s">
        <v>165</v>
      </c>
      <c r="J8" s="179">
        <v>0.17</v>
      </c>
      <c r="K8" s="180" t="s">
        <v>318</v>
      </c>
      <c r="L8" s="180">
        <v>0.1</v>
      </c>
      <c r="M8" s="180"/>
      <c r="N8" s="180"/>
      <c r="O8" s="180"/>
      <c r="P8" s="180"/>
      <c r="Q8" s="181"/>
    </row>
    <row r="9" spans="1:17" ht="15" hidden="1" customHeight="1" x14ac:dyDescent="0.25">
      <c r="A9" s="176">
        <v>6561</v>
      </c>
      <c r="B9" s="176">
        <v>190</v>
      </c>
      <c r="C9" s="176" t="s">
        <v>21</v>
      </c>
      <c r="D9" s="177" t="s">
        <v>22</v>
      </c>
      <c r="E9" s="176">
        <v>16</v>
      </c>
      <c r="F9" s="176" t="s">
        <v>222</v>
      </c>
      <c r="G9" s="176">
        <v>190</v>
      </c>
      <c r="H9" s="176" t="s">
        <v>223</v>
      </c>
      <c r="I9" s="178" t="s">
        <v>165</v>
      </c>
      <c r="J9" s="179">
        <v>0.06</v>
      </c>
      <c r="K9" s="180" t="s">
        <v>319</v>
      </c>
      <c r="L9" s="180">
        <v>0.1</v>
      </c>
      <c r="M9" s="180"/>
      <c r="N9" s="180"/>
      <c r="O9" s="180"/>
      <c r="P9" s="180"/>
      <c r="Q9" s="181"/>
    </row>
    <row r="10" spans="1:17" ht="15" hidden="1" customHeight="1" x14ac:dyDescent="0.25">
      <c r="A10" s="176">
        <v>6561</v>
      </c>
      <c r="B10" s="176">
        <v>190</v>
      </c>
      <c r="C10" s="176" t="s">
        <v>21</v>
      </c>
      <c r="D10" s="177" t="s">
        <v>22</v>
      </c>
      <c r="E10" s="176">
        <v>16</v>
      </c>
      <c r="F10" s="176" t="s">
        <v>220</v>
      </c>
      <c r="G10" s="176">
        <v>3635</v>
      </c>
      <c r="H10" s="176" t="s">
        <v>221</v>
      </c>
      <c r="I10" s="178" t="s">
        <v>188</v>
      </c>
      <c r="J10" s="179">
        <v>0.11899999999999999</v>
      </c>
      <c r="K10" s="180" t="s">
        <v>320</v>
      </c>
      <c r="L10" s="180">
        <v>0.1</v>
      </c>
      <c r="M10" s="180"/>
      <c r="N10" s="180"/>
      <c r="O10" s="180"/>
      <c r="P10" s="180"/>
      <c r="Q10" s="181"/>
    </row>
    <row r="11" spans="1:17" ht="15" hidden="1" customHeight="1" x14ac:dyDescent="0.25">
      <c r="A11" s="176">
        <v>6561</v>
      </c>
      <c r="B11" s="176">
        <v>190</v>
      </c>
      <c r="C11" s="176" t="s">
        <v>21</v>
      </c>
      <c r="D11" s="177" t="s">
        <v>22</v>
      </c>
      <c r="E11" s="176">
        <v>16</v>
      </c>
      <c r="F11" s="176" t="s">
        <v>210</v>
      </c>
      <c r="G11" s="176">
        <v>200</v>
      </c>
      <c r="H11" s="176" t="s">
        <v>213</v>
      </c>
      <c r="I11" s="178" t="s">
        <v>188</v>
      </c>
      <c r="J11" s="179">
        <v>0.55000000000000004</v>
      </c>
      <c r="K11" s="180" t="s">
        <v>316</v>
      </c>
      <c r="L11" s="180">
        <v>0.1</v>
      </c>
      <c r="M11" s="180"/>
      <c r="N11" s="180"/>
      <c r="O11" s="180"/>
      <c r="P11" s="180"/>
      <c r="Q11" s="181"/>
    </row>
    <row r="12" spans="1:17" ht="15" hidden="1" customHeight="1" x14ac:dyDescent="0.25">
      <c r="A12" s="176">
        <v>6561</v>
      </c>
      <c r="B12" s="176">
        <v>190</v>
      </c>
      <c r="C12" s="176" t="s">
        <v>21</v>
      </c>
      <c r="D12" s="177" t="s">
        <v>22</v>
      </c>
      <c r="E12" s="176">
        <v>16</v>
      </c>
      <c r="F12" s="176" t="s">
        <v>321</v>
      </c>
      <c r="G12" s="176">
        <v>52</v>
      </c>
      <c r="H12" s="176" t="s">
        <v>322</v>
      </c>
      <c r="I12" s="178" t="s">
        <v>323</v>
      </c>
      <c r="J12" s="179">
        <v>5</v>
      </c>
      <c r="K12" s="180" t="s">
        <v>324</v>
      </c>
      <c r="L12" s="180">
        <v>0.1</v>
      </c>
      <c r="M12" s="182" t="s">
        <v>315</v>
      </c>
      <c r="N12" s="180"/>
      <c r="O12" s="180"/>
      <c r="P12" s="180"/>
      <c r="Q12" s="181"/>
    </row>
    <row r="13" spans="1:17" ht="15" hidden="1" customHeight="1" x14ac:dyDescent="0.25">
      <c r="A13" s="176">
        <v>1085</v>
      </c>
      <c r="B13" s="176">
        <v>187</v>
      </c>
      <c r="C13" s="176" t="s">
        <v>21</v>
      </c>
      <c r="D13" s="177" t="s">
        <v>23</v>
      </c>
      <c r="E13" s="176">
        <v>19</v>
      </c>
      <c r="F13" s="176" t="s">
        <v>146</v>
      </c>
      <c r="G13" s="176">
        <v>22</v>
      </c>
      <c r="H13" s="176" t="s">
        <v>152</v>
      </c>
      <c r="I13" s="178" t="s">
        <v>148</v>
      </c>
      <c r="J13" s="179">
        <v>3.367</v>
      </c>
      <c r="K13" s="180" t="s">
        <v>309</v>
      </c>
      <c r="L13" s="180">
        <v>0.1</v>
      </c>
      <c r="M13" s="180"/>
      <c r="N13" s="180"/>
      <c r="O13" s="180"/>
      <c r="P13" s="180"/>
      <c r="Q13" s="181"/>
    </row>
    <row r="14" spans="1:17" ht="15" hidden="1" customHeight="1" x14ac:dyDescent="0.25">
      <c r="A14" s="176">
        <v>1085</v>
      </c>
      <c r="B14" s="176">
        <v>187</v>
      </c>
      <c r="C14" s="176" t="s">
        <v>21</v>
      </c>
      <c r="D14" s="177" t="s">
        <v>23</v>
      </c>
      <c r="E14" s="176">
        <v>19</v>
      </c>
      <c r="F14" s="176" t="s">
        <v>169</v>
      </c>
      <c r="G14" s="176">
        <v>3595</v>
      </c>
      <c r="H14" s="176" t="s">
        <v>311</v>
      </c>
      <c r="I14" s="178" t="s">
        <v>148</v>
      </c>
      <c r="J14" s="179">
        <v>0.31</v>
      </c>
      <c r="K14" s="180" t="s">
        <v>312</v>
      </c>
      <c r="L14" s="180">
        <v>0.1</v>
      </c>
      <c r="M14" s="182" t="s">
        <v>313</v>
      </c>
      <c r="N14" s="180"/>
      <c r="O14" s="180"/>
      <c r="P14" s="180"/>
      <c r="Q14" s="181"/>
    </row>
    <row r="15" spans="1:17" ht="15" hidden="1" customHeight="1" x14ac:dyDescent="0.25">
      <c r="A15" s="176">
        <v>1085</v>
      </c>
      <c r="B15" s="176">
        <v>187</v>
      </c>
      <c r="C15" s="176" t="s">
        <v>21</v>
      </c>
      <c r="D15" s="177" t="s">
        <v>23</v>
      </c>
      <c r="E15" s="176">
        <v>19</v>
      </c>
      <c r="F15" s="176" t="s">
        <v>186</v>
      </c>
      <c r="G15" s="176">
        <v>81</v>
      </c>
      <c r="H15" s="176" t="s">
        <v>193</v>
      </c>
      <c r="I15" s="178" t="s">
        <v>188</v>
      </c>
      <c r="J15" s="179">
        <v>1000</v>
      </c>
      <c r="K15" s="180" t="s">
        <v>314</v>
      </c>
      <c r="L15" s="180">
        <v>0.02</v>
      </c>
      <c r="M15" s="182" t="s">
        <v>315</v>
      </c>
      <c r="N15" s="180"/>
      <c r="O15" s="180"/>
      <c r="P15" s="180"/>
      <c r="Q15" s="181"/>
    </row>
    <row r="16" spans="1:17" ht="15" hidden="1" customHeight="1" x14ac:dyDescent="0.25">
      <c r="A16" s="176">
        <v>1085</v>
      </c>
      <c r="B16" s="176">
        <v>187</v>
      </c>
      <c r="C16" s="176" t="s">
        <v>21</v>
      </c>
      <c r="D16" s="177" t="s">
        <v>23</v>
      </c>
      <c r="E16" s="176">
        <v>19</v>
      </c>
      <c r="F16" s="176" t="s">
        <v>210</v>
      </c>
      <c r="G16" s="176">
        <v>39</v>
      </c>
      <c r="H16" s="176" t="s">
        <v>214</v>
      </c>
      <c r="I16" s="178" t="s">
        <v>188</v>
      </c>
      <c r="J16" s="179">
        <v>5</v>
      </c>
      <c r="K16" s="180" t="s">
        <v>316</v>
      </c>
      <c r="L16" s="180">
        <v>0.1</v>
      </c>
      <c r="M16" s="182" t="s">
        <v>315</v>
      </c>
      <c r="N16" s="180"/>
      <c r="O16" s="180"/>
      <c r="P16" s="180"/>
      <c r="Q16" s="181"/>
    </row>
    <row r="17" spans="1:17" ht="15" hidden="1" customHeight="1" x14ac:dyDescent="0.25">
      <c r="A17" s="176">
        <v>1085</v>
      </c>
      <c r="B17" s="176">
        <v>187</v>
      </c>
      <c r="C17" s="176" t="s">
        <v>21</v>
      </c>
      <c r="D17" s="177" t="s">
        <v>23</v>
      </c>
      <c r="E17" s="176">
        <v>19</v>
      </c>
      <c r="F17" s="176" t="s">
        <v>183</v>
      </c>
      <c r="G17" s="176">
        <v>194</v>
      </c>
      <c r="H17" s="176" t="s">
        <v>184</v>
      </c>
      <c r="I17" s="178" t="s">
        <v>148</v>
      </c>
      <c r="J17" s="179">
        <v>3.3999999999999998E-3</v>
      </c>
      <c r="K17" s="180" t="s">
        <v>317</v>
      </c>
      <c r="L17" s="180">
        <v>0.1</v>
      </c>
      <c r="M17" s="180"/>
      <c r="N17" s="180"/>
      <c r="O17" s="180"/>
      <c r="P17" s="180"/>
      <c r="Q17" s="181"/>
    </row>
    <row r="18" spans="1:17" ht="15" hidden="1" customHeight="1" x14ac:dyDescent="0.25">
      <c r="A18" s="176">
        <v>1085</v>
      </c>
      <c r="B18" s="176">
        <v>187</v>
      </c>
      <c r="C18" s="176" t="s">
        <v>21</v>
      </c>
      <c r="D18" s="177" t="s">
        <v>23</v>
      </c>
      <c r="E18" s="176">
        <v>19</v>
      </c>
      <c r="F18" s="176" t="s">
        <v>220</v>
      </c>
      <c r="G18" s="176">
        <v>3635</v>
      </c>
      <c r="H18" s="176" t="s">
        <v>221</v>
      </c>
      <c r="I18" s="178" t="s">
        <v>188</v>
      </c>
      <c r="J18" s="179">
        <v>0.13800000000000001</v>
      </c>
      <c r="K18" s="180" t="s">
        <v>320</v>
      </c>
      <c r="L18" s="180">
        <v>0.1</v>
      </c>
      <c r="M18" s="180"/>
      <c r="N18" s="180"/>
      <c r="O18" s="180"/>
      <c r="P18" s="180"/>
      <c r="Q18" s="181"/>
    </row>
    <row r="19" spans="1:17" ht="15" hidden="1" customHeight="1" x14ac:dyDescent="0.25">
      <c r="A19" s="176">
        <v>1085</v>
      </c>
      <c r="B19" s="176">
        <v>187</v>
      </c>
      <c r="C19" s="176" t="s">
        <v>21</v>
      </c>
      <c r="D19" s="177" t="s">
        <v>23</v>
      </c>
      <c r="E19" s="176">
        <v>19</v>
      </c>
      <c r="F19" s="176" t="s">
        <v>162</v>
      </c>
      <c r="G19" s="176">
        <v>185</v>
      </c>
      <c r="H19" s="176" t="s">
        <v>164</v>
      </c>
      <c r="I19" s="178" t="s">
        <v>165</v>
      </c>
      <c r="J19" s="179">
        <v>0.1449</v>
      </c>
      <c r="K19" s="180" t="s">
        <v>318</v>
      </c>
      <c r="L19" s="180">
        <v>0.1</v>
      </c>
      <c r="M19" s="180"/>
      <c r="N19" s="180"/>
      <c r="O19" s="180"/>
      <c r="P19" s="180"/>
      <c r="Q19" s="181"/>
    </row>
    <row r="20" spans="1:17" ht="15" hidden="1" customHeight="1" x14ac:dyDescent="0.25">
      <c r="A20" s="176">
        <v>1085</v>
      </c>
      <c r="B20" s="176">
        <v>187</v>
      </c>
      <c r="C20" s="176" t="s">
        <v>21</v>
      </c>
      <c r="D20" s="177" t="s">
        <v>23</v>
      </c>
      <c r="E20" s="176">
        <v>19</v>
      </c>
      <c r="F20" s="176" t="s">
        <v>321</v>
      </c>
      <c r="G20" s="176">
        <v>54</v>
      </c>
      <c r="H20" s="176" t="s">
        <v>325</v>
      </c>
      <c r="I20" s="178" t="s">
        <v>323</v>
      </c>
      <c r="J20" s="179">
        <v>5</v>
      </c>
      <c r="K20" s="180" t="s">
        <v>324</v>
      </c>
      <c r="L20" s="180">
        <v>0.1</v>
      </c>
      <c r="M20" s="182" t="s">
        <v>315</v>
      </c>
      <c r="N20" s="180"/>
      <c r="O20" s="180"/>
      <c r="P20" s="180"/>
      <c r="Q20" s="181"/>
    </row>
    <row r="21" spans="1:17" ht="15" hidden="1" customHeight="1" x14ac:dyDescent="0.25">
      <c r="A21" s="176">
        <v>1085</v>
      </c>
      <c r="B21" s="176">
        <v>187</v>
      </c>
      <c r="C21" s="176" t="s">
        <v>21</v>
      </c>
      <c r="D21" s="177" t="s">
        <v>23</v>
      </c>
      <c r="E21" s="176">
        <v>19</v>
      </c>
      <c r="F21" s="176" t="s">
        <v>326</v>
      </c>
      <c r="G21" s="176">
        <v>199</v>
      </c>
      <c r="H21" s="176" t="s">
        <v>327</v>
      </c>
      <c r="I21" s="178" t="s">
        <v>323</v>
      </c>
      <c r="J21" s="179">
        <v>0.55000000000000004</v>
      </c>
      <c r="K21" s="180" t="s">
        <v>328</v>
      </c>
      <c r="L21" s="180">
        <v>0.1</v>
      </c>
      <c r="M21" s="182"/>
      <c r="N21" s="180"/>
      <c r="O21" s="180"/>
      <c r="P21" s="180"/>
      <c r="Q21" s="181"/>
    </row>
    <row r="22" spans="1:17" ht="15" hidden="1" customHeight="1" x14ac:dyDescent="0.25">
      <c r="A22" s="176">
        <v>6559</v>
      </c>
      <c r="B22" s="176">
        <v>188</v>
      </c>
      <c r="C22" s="176" t="s">
        <v>21</v>
      </c>
      <c r="D22" s="177" t="s">
        <v>24</v>
      </c>
      <c r="E22" s="176">
        <v>19</v>
      </c>
      <c r="F22" s="176" t="s">
        <v>146</v>
      </c>
      <c r="G22" s="176">
        <v>22</v>
      </c>
      <c r="H22" s="176" t="s">
        <v>152</v>
      </c>
      <c r="I22" s="178" t="s">
        <v>148</v>
      </c>
      <c r="J22" s="179">
        <v>3.367</v>
      </c>
      <c r="K22" s="180" t="s">
        <v>309</v>
      </c>
      <c r="L22" s="180">
        <v>0.1</v>
      </c>
      <c r="M22" s="180"/>
      <c r="N22" s="180"/>
      <c r="O22" s="180"/>
      <c r="P22" s="180"/>
      <c r="Q22" s="181"/>
    </row>
    <row r="23" spans="1:17" ht="15" hidden="1" customHeight="1" x14ac:dyDescent="0.25">
      <c r="A23" s="176">
        <v>6559</v>
      </c>
      <c r="B23" s="176">
        <v>188</v>
      </c>
      <c r="C23" s="176" t="s">
        <v>21</v>
      </c>
      <c r="D23" s="177" t="s">
        <v>24</v>
      </c>
      <c r="E23" s="176">
        <v>19</v>
      </c>
      <c r="F23" s="176" t="s">
        <v>169</v>
      </c>
      <c r="G23" s="176">
        <v>3595</v>
      </c>
      <c r="H23" s="176" t="s">
        <v>311</v>
      </c>
      <c r="I23" s="178" t="s">
        <v>148</v>
      </c>
      <c r="J23" s="179">
        <v>0.31</v>
      </c>
      <c r="K23" s="180" t="s">
        <v>312</v>
      </c>
      <c r="L23" s="180">
        <v>0.1</v>
      </c>
      <c r="M23" s="182" t="s">
        <v>313</v>
      </c>
      <c r="N23" s="180"/>
      <c r="O23" s="180"/>
      <c r="P23" s="180"/>
      <c r="Q23" s="181"/>
    </row>
    <row r="24" spans="1:17" ht="15" hidden="1" customHeight="1" x14ac:dyDescent="0.25">
      <c r="A24" s="176">
        <v>6559</v>
      </c>
      <c r="B24" s="176">
        <v>188</v>
      </c>
      <c r="C24" s="176" t="s">
        <v>21</v>
      </c>
      <c r="D24" s="177" t="s">
        <v>24</v>
      </c>
      <c r="E24" s="176">
        <v>19</v>
      </c>
      <c r="F24" s="176" t="s">
        <v>186</v>
      </c>
      <c r="G24" s="176">
        <v>81</v>
      </c>
      <c r="H24" s="176" t="s">
        <v>193</v>
      </c>
      <c r="I24" s="178" t="s">
        <v>188</v>
      </c>
      <c r="J24" s="179">
        <v>1000</v>
      </c>
      <c r="K24" s="180" t="s">
        <v>314</v>
      </c>
      <c r="L24" s="180">
        <v>0.02</v>
      </c>
      <c r="M24" s="182" t="s">
        <v>315</v>
      </c>
      <c r="N24" s="180"/>
      <c r="O24" s="180"/>
      <c r="P24" s="180"/>
      <c r="Q24" s="181"/>
    </row>
    <row r="25" spans="1:17" ht="15" hidden="1" customHeight="1" x14ac:dyDescent="0.25">
      <c r="A25" s="176">
        <v>6559</v>
      </c>
      <c r="B25" s="176">
        <v>188</v>
      </c>
      <c r="C25" s="176" t="s">
        <v>21</v>
      </c>
      <c r="D25" s="177" t="s">
        <v>24</v>
      </c>
      <c r="E25" s="176">
        <v>19</v>
      </c>
      <c r="F25" s="176" t="s">
        <v>210</v>
      </c>
      <c r="G25" s="176">
        <v>39</v>
      </c>
      <c r="H25" s="176" t="s">
        <v>214</v>
      </c>
      <c r="I25" s="178" t="s">
        <v>188</v>
      </c>
      <c r="J25" s="179">
        <v>5</v>
      </c>
      <c r="K25" s="180" t="s">
        <v>316</v>
      </c>
      <c r="L25" s="180">
        <v>0.1</v>
      </c>
      <c r="M25" s="182" t="s">
        <v>315</v>
      </c>
      <c r="N25" s="180"/>
      <c r="O25" s="180"/>
      <c r="P25" s="180"/>
      <c r="Q25" s="181"/>
    </row>
    <row r="26" spans="1:17" ht="15" hidden="1" customHeight="1" x14ac:dyDescent="0.25">
      <c r="A26" s="176">
        <v>6559</v>
      </c>
      <c r="B26" s="176">
        <v>188</v>
      </c>
      <c r="C26" s="176" t="s">
        <v>21</v>
      </c>
      <c r="D26" s="177" t="s">
        <v>24</v>
      </c>
      <c r="E26" s="176">
        <v>19</v>
      </c>
      <c r="F26" s="176" t="s">
        <v>183</v>
      </c>
      <c r="G26" s="176">
        <v>194</v>
      </c>
      <c r="H26" s="176" t="s">
        <v>184</v>
      </c>
      <c r="I26" s="178" t="s">
        <v>148</v>
      </c>
      <c r="J26" s="179">
        <v>3.3999999999999998E-3</v>
      </c>
      <c r="K26" s="180" t="s">
        <v>317</v>
      </c>
      <c r="L26" s="180">
        <v>0.1</v>
      </c>
      <c r="M26" s="180"/>
      <c r="N26" s="180"/>
      <c r="O26" s="180"/>
      <c r="P26" s="180"/>
      <c r="Q26" s="181"/>
    </row>
    <row r="27" spans="1:17" ht="15" hidden="1" customHeight="1" x14ac:dyDescent="0.25">
      <c r="A27" s="176">
        <v>6559</v>
      </c>
      <c r="B27" s="176">
        <v>188</v>
      </c>
      <c r="C27" s="176" t="s">
        <v>21</v>
      </c>
      <c r="D27" s="177" t="s">
        <v>24</v>
      </c>
      <c r="E27" s="176">
        <v>19</v>
      </c>
      <c r="F27" s="176" t="s">
        <v>220</v>
      </c>
      <c r="G27" s="176">
        <v>3635</v>
      </c>
      <c r="H27" s="176" t="s">
        <v>221</v>
      </c>
      <c r="I27" s="178" t="s">
        <v>188</v>
      </c>
      <c r="J27" s="179">
        <v>0.13800000000000001</v>
      </c>
      <c r="K27" s="180" t="s">
        <v>320</v>
      </c>
      <c r="L27" s="180">
        <v>0.1</v>
      </c>
      <c r="M27" s="180"/>
      <c r="N27" s="180"/>
      <c r="O27" s="180"/>
      <c r="P27" s="180"/>
      <c r="Q27" s="181"/>
    </row>
    <row r="28" spans="1:17" ht="15" hidden="1" customHeight="1" x14ac:dyDescent="0.25">
      <c r="A28" s="176">
        <v>6559</v>
      </c>
      <c r="B28" s="176">
        <v>188</v>
      </c>
      <c r="C28" s="176" t="s">
        <v>21</v>
      </c>
      <c r="D28" s="177" t="s">
        <v>24</v>
      </c>
      <c r="E28" s="176">
        <v>19</v>
      </c>
      <c r="F28" s="176" t="s">
        <v>162</v>
      </c>
      <c r="G28" s="176">
        <v>185</v>
      </c>
      <c r="H28" s="176" t="s">
        <v>164</v>
      </c>
      <c r="I28" s="178" t="s">
        <v>165</v>
      </c>
      <c r="J28" s="179">
        <v>0.1449</v>
      </c>
      <c r="K28" s="180" t="s">
        <v>318</v>
      </c>
      <c r="L28" s="180">
        <v>0.1</v>
      </c>
      <c r="M28" s="180"/>
      <c r="N28" s="180"/>
      <c r="O28" s="180"/>
      <c r="P28" s="180"/>
      <c r="Q28" s="181"/>
    </row>
    <row r="29" spans="1:17" ht="15" hidden="1" customHeight="1" x14ac:dyDescent="0.25">
      <c r="A29" s="176">
        <v>6559</v>
      </c>
      <c r="B29" s="176">
        <v>188</v>
      </c>
      <c r="C29" s="176" t="s">
        <v>21</v>
      </c>
      <c r="D29" s="177" t="s">
        <v>24</v>
      </c>
      <c r="E29" s="176">
        <v>19</v>
      </c>
      <c r="F29" s="176" t="s">
        <v>321</v>
      </c>
      <c r="G29" s="176">
        <v>54</v>
      </c>
      <c r="H29" s="176" t="s">
        <v>325</v>
      </c>
      <c r="I29" s="178" t="s">
        <v>323</v>
      </c>
      <c r="J29" s="179">
        <v>5</v>
      </c>
      <c r="K29" s="180" t="s">
        <v>324</v>
      </c>
      <c r="L29" s="180">
        <v>0.1</v>
      </c>
      <c r="M29" s="182" t="s">
        <v>315</v>
      </c>
      <c r="N29" s="180"/>
      <c r="O29" s="180"/>
      <c r="P29" s="180"/>
      <c r="Q29" s="181"/>
    </row>
    <row r="30" spans="1:17" ht="15" hidden="1" customHeight="1" x14ac:dyDescent="0.25">
      <c r="A30" s="176">
        <v>6559</v>
      </c>
      <c r="B30" s="176">
        <v>188</v>
      </c>
      <c r="C30" s="176" t="s">
        <v>21</v>
      </c>
      <c r="D30" s="177" t="s">
        <v>24</v>
      </c>
      <c r="E30" s="176">
        <v>19</v>
      </c>
      <c r="F30" s="176" t="s">
        <v>326</v>
      </c>
      <c r="G30" s="176">
        <v>199</v>
      </c>
      <c r="H30" s="176" t="s">
        <v>327</v>
      </c>
      <c r="I30" s="178" t="s">
        <v>323</v>
      </c>
      <c r="J30" s="179">
        <v>0.55000000000000004</v>
      </c>
      <c r="K30" s="180" t="s">
        <v>328</v>
      </c>
      <c r="L30" s="180">
        <v>0.1</v>
      </c>
      <c r="M30" s="182"/>
      <c r="N30" s="180"/>
      <c r="O30" s="180"/>
      <c r="P30" s="180"/>
      <c r="Q30" s="181"/>
    </row>
    <row r="31" spans="1:17" ht="15" hidden="1" customHeight="1" x14ac:dyDescent="0.25">
      <c r="A31" s="176">
        <v>6560</v>
      </c>
      <c r="B31" s="176">
        <v>189</v>
      </c>
      <c r="C31" s="176" t="s">
        <v>21</v>
      </c>
      <c r="D31" s="177" t="s">
        <v>25</v>
      </c>
      <c r="E31" s="176">
        <v>19</v>
      </c>
      <c r="F31" s="176" t="s">
        <v>146</v>
      </c>
      <c r="G31" s="176">
        <v>22</v>
      </c>
      <c r="H31" s="176" t="s">
        <v>152</v>
      </c>
      <c r="I31" s="178" t="s">
        <v>148</v>
      </c>
      <c r="J31" s="179">
        <v>3.367</v>
      </c>
      <c r="K31" s="180" t="s">
        <v>309</v>
      </c>
      <c r="L31" s="180">
        <v>0.1</v>
      </c>
      <c r="M31" s="180"/>
      <c r="N31" s="180"/>
      <c r="O31" s="180"/>
      <c r="P31" s="180"/>
      <c r="Q31" s="181"/>
    </row>
    <row r="32" spans="1:17" ht="15" hidden="1" customHeight="1" x14ac:dyDescent="0.25">
      <c r="A32" s="176">
        <v>6560</v>
      </c>
      <c r="B32" s="176">
        <v>189</v>
      </c>
      <c r="C32" s="176" t="s">
        <v>21</v>
      </c>
      <c r="D32" s="177" t="s">
        <v>25</v>
      </c>
      <c r="E32" s="176">
        <v>19</v>
      </c>
      <c r="F32" s="176" t="s">
        <v>169</v>
      </c>
      <c r="G32" s="176">
        <v>3595</v>
      </c>
      <c r="H32" s="176" t="s">
        <v>311</v>
      </c>
      <c r="I32" s="178" t="s">
        <v>148</v>
      </c>
      <c r="J32" s="179">
        <v>0.31</v>
      </c>
      <c r="K32" s="180" t="s">
        <v>312</v>
      </c>
      <c r="L32" s="180">
        <v>0.1</v>
      </c>
      <c r="M32" s="182" t="s">
        <v>313</v>
      </c>
      <c r="N32" s="180"/>
      <c r="O32" s="180"/>
      <c r="P32" s="180"/>
      <c r="Q32" s="181"/>
    </row>
    <row r="33" spans="1:17" ht="15" hidden="1" customHeight="1" x14ac:dyDescent="0.25">
      <c r="A33" s="176">
        <v>6560</v>
      </c>
      <c r="B33" s="176">
        <v>189</v>
      </c>
      <c r="C33" s="176" t="s">
        <v>21</v>
      </c>
      <c r="D33" s="177" t="s">
        <v>25</v>
      </c>
      <c r="E33" s="176">
        <v>19</v>
      </c>
      <c r="F33" s="176" t="s">
        <v>186</v>
      </c>
      <c r="G33" s="176">
        <v>81</v>
      </c>
      <c r="H33" s="176" t="s">
        <v>193</v>
      </c>
      <c r="I33" s="178" t="s">
        <v>188</v>
      </c>
      <c r="J33" s="179">
        <v>1000</v>
      </c>
      <c r="K33" s="180" t="s">
        <v>314</v>
      </c>
      <c r="L33" s="180">
        <v>0.02</v>
      </c>
      <c r="M33" s="182" t="s">
        <v>315</v>
      </c>
      <c r="N33" s="180"/>
      <c r="O33" s="180"/>
      <c r="P33" s="180"/>
      <c r="Q33" s="181"/>
    </row>
    <row r="34" spans="1:17" ht="15" hidden="1" customHeight="1" x14ac:dyDescent="0.25">
      <c r="A34" s="176">
        <v>6560</v>
      </c>
      <c r="B34" s="176">
        <v>189</v>
      </c>
      <c r="C34" s="176" t="s">
        <v>21</v>
      </c>
      <c r="D34" s="177" t="s">
        <v>25</v>
      </c>
      <c r="E34" s="176">
        <v>19</v>
      </c>
      <c r="F34" s="176" t="s">
        <v>210</v>
      </c>
      <c r="G34" s="176">
        <v>39</v>
      </c>
      <c r="H34" s="176" t="s">
        <v>214</v>
      </c>
      <c r="I34" s="178" t="s">
        <v>188</v>
      </c>
      <c r="J34" s="179">
        <v>5</v>
      </c>
      <c r="K34" s="180" t="s">
        <v>316</v>
      </c>
      <c r="L34" s="180">
        <v>0.1</v>
      </c>
      <c r="M34" s="182" t="s">
        <v>315</v>
      </c>
      <c r="N34" s="180"/>
      <c r="O34" s="180"/>
      <c r="P34" s="180"/>
      <c r="Q34" s="181"/>
    </row>
    <row r="35" spans="1:17" ht="15" hidden="1" customHeight="1" x14ac:dyDescent="0.25">
      <c r="A35" s="176">
        <v>6560</v>
      </c>
      <c r="B35" s="176">
        <v>189</v>
      </c>
      <c r="C35" s="176" t="s">
        <v>21</v>
      </c>
      <c r="D35" s="177" t="s">
        <v>25</v>
      </c>
      <c r="E35" s="176">
        <v>19</v>
      </c>
      <c r="F35" s="176" t="s">
        <v>183</v>
      </c>
      <c r="G35" s="176">
        <v>194</v>
      </c>
      <c r="H35" s="176" t="s">
        <v>184</v>
      </c>
      <c r="I35" s="178" t="s">
        <v>148</v>
      </c>
      <c r="J35" s="179">
        <v>3.3999999999999998E-3</v>
      </c>
      <c r="K35" s="180" t="s">
        <v>317</v>
      </c>
      <c r="L35" s="180">
        <v>0.1</v>
      </c>
      <c r="M35" s="180"/>
      <c r="N35" s="180"/>
      <c r="O35" s="180"/>
      <c r="P35" s="180"/>
      <c r="Q35" s="181"/>
    </row>
    <row r="36" spans="1:17" ht="15" hidden="1" customHeight="1" x14ac:dyDescent="0.25">
      <c r="A36" s="176">
        <v>6560</v>
      </c>
      <c r="B36" s="176">
        <v>189</v>
      </c>
      <c r="C36" s="176" t="s">
        <v>21</v>
      </c>
      <c r="D36" s="177" t="s">
        <v>25</v>
      </c>
      <c r="E36" s="176">
        <v>19</v>
      </c>
      <c r="F36" s="176" t="s">
        <v>220</v>
      </c>
      <c r="G36" s="176">
        <v>3635</v>
      </c>
      <c r="H36" s="176" t="s">
        <v>221</v>
      </c>
      <c r="I36" s="178" t="s">
        <v>188</v>
      </c>
      <c r="J36" s="179">
        <v>0.13800000000000001</v>
      </c>
      <c r="K36" s="180" t="s">
        <v>320</v>
      </c>
      <c r="L36" s="180">
        <v>0.1</v>
      </c>
      <c r="M36" s="180"/>
      <c r="N36" s="180"/>
      <c r="O36" s="180"/>
      <c r="P36" s="180"/>
      <c r="Q36" s="181"/>
    </row>
    <row r="37" spans="1:17" ht="15" hidden="1" customHeight="1" x14ac:dyDescent="0.25">
      <c r="A37" s="176">
        <v>6560</v>
      </c>
      <c r="B37" s="176">
        <v>189</v>
      </c>
      <c r="C37" s="176" t="s">
        <v>21</v>
      </c>
      <c r="D37" s="177" t="s">
        <v>25</v>
      </c>
      <c r="E37" s="176">
        <v>19</v>
      </c>
      <c r="F37" s="176" t="s">
        <v>162</v>
      </c>
      <c r="G37" s="176">
        <v>185</v>
      </c>
      <c r="H37" s="176" t="s">
        <v>164</v>
      </c>
      <c r="I37" s="178" t="s">
        <v>165</v>
      </c>
      <c r="J37" s="179">
        <v>0.1449</v>
      </c>
      <c r="K37" s="180" t="s">
        <v>318</v>
      </c>
      <c r="L37" s="180">
        <v>0.1</v>
      </c>
      <c r="M37" s="180"/>
      <c r="N37" s="180"/>
      <c r="O37" s="180"/>
      <c r="P37" s="180"/>
      <c r="Q37" s="181"/>
    </row>
    <row r="38" spans="1:17" ht="15" hidden="1" customHeight="1" x14ac:dyDescent="0.25">
      <c r="A38" s="176">
        <v>6560</v>
      </c>
      <c r="B38" s="176">
        <v>189</v>
      </c>
      <c r="C38" s="176" t="s">
        <v>21</v>
      </c>
      <c r="D38" s="177" t="s">
        <v>25</v>
      </c>
      <c r="E38" s="176">
        <v>19</v>
      </c>
      <c r="F38" s="176" t="s">
        <v>321</v>
      </c>
      <c r="G38" s="176">
        <v>54</v>
      </c>
      <c r="H38" s="176" t="s">
        <v>325</v>
      </c>
      <c r="I38" s="178" t="s">
        <v>323</v>
      </c>
      <c r="J38" s="179">
        <v>5</v>
      </c>
      <c r="K38" s="180" t="s">
        <v>324</v>
      </c>
      <c r="L38" s="180">
        <v>0.1</v>
      </c>
      <c r="M38" s="182" t="s">
        <v>315</v>
      </c>
      <c r="N38" s="180"/>
      <c r="O38" s="180"/>
      <c r="P38" s="180"/>
      <c r="Q38" s="181"/>
    </row>
    <row r="39" spans="1:17" ht="15" hidden="1" customHeight="1" x14ac:dyDescent="0.25">
      <c r="A39" s="176">
        <v>6560</v>
      </c>
      <c r="B39" s="176">
        <v>189</v>
      </c>
      <c r="C39" s="176" t="s">
        <v>21</v>
      </c>
      <c r="D39" s="177" t="s">
        <v>25</v>
      </c>
      <c r="E39" s="176">
        <v>19</v>
      </c>
      <c r="F39" s="176" t="s">
        <v>326</v>
      </c>
      <c r="G39" s="176">
        <v>199</v>
      </c>
      <c r="H39" s="176" t="s">
        <v>327</v>
      </c>
      <c r="I39" s="178" t="s">
        <v>323</v>
      </c>
      <c r="J39" s="179">
        <v>0.55000000000000004</v>
      </c>
      <c r="K39" s="180" t="s">
        <v>328</v>
      </c>
      <c r="L39" s="180">
        <v>0.1</v>
      </c>
      <c r="M39" s="182"/>
      <c r="N39" s="180"/>
      <c r="O39" s="180"/>
      <c r="P39" s="180"/>
      <c r="Q39" s="181"/>
    </row>
    <row r="40" spans="1:17" ht="15" hidden="1" customHeight="1" x14ac:dyDescent="0.25">
      <c r="A40" s="176">
        <v>6077</v>
      </c>
      <c r="B40" s="176">
        <v>138</v>
      </c>
      <c r="C40" s="176" t="s">
        <v>29</v>
      </c>
      <c r="D40" s="177" t="s">
        <v>30</v>
      </c>
      <c r="E40" s="176">
        <v>20.5</v>
      </c>
      <c r="F40" s="176" t="s">
        <v>146</v>
      </c>
      <c r="G40" s="176">
        <v>4179</v>
      </c>
      <c r="H40" s="176" t="s">
        <v>154</v>
      </c>
      <c r="I40" s="178" t="s">
        <v>148</v>
      </c>
      <c r="J40" s="179">
        <v>3.9369999999999998</v>
      </c>
      <c r="K40" s="180" t="s">
        <v>309</v>
      </c>
      <c r="L40" s="180">
        <v>0.1</v>
      </c>
      <c r="M40" s="180"/>
      <c r="N40" s="180"/>
      <c r="O40" s="180"/>
      <c r="P40" s="180"/>
      <c r="Q40" s="181"/>
    </row>
    <row r="41" spans="1:17" ht="15" hidden="1" customHeight="1" x14ac:dyDescent="0.25">
      <c r="A41" s="176">
        <v>6077</v>
      </c>
      <c r="B41" s="176">
        <v>138</v>
      </c>
      <c r="C41" s="176" t="s">
        <v>29</v>
      </c>
      <c r="D41" s="177" t="s">
        <v>30</v>
      </c>
      <c r="E41" s="176">
        <v>20.5</v>
      </c>
      <c r="F41" s="176" t="s">
        <v>169</v>
      </c>
      <c r="G41" s="176">
        <v>3595</v>
      </c>
      <c r="H41" s="176" t="s">
        <v>311</v>
      </c>
      <c r="I41" s="178" t="s">
        <v>148</v>
      </c>
      <c r="J41" s="179">
        <v>0.31</v>
      </c>
      <c r="K41" s="180" t="s">
        <v>312</v>
      </c>
      <c r="L41" s="180">
        <v>0.1</v>
      </c>
      <c r="M41" s="182" t="s">
        <v>329</v>
      </c>
      <c r="N41" s="180"/>
      <c r="O41" s="180"/>
      <c r="P41" s="180"/>
      <c r="Q41" s="181"/>
    </row>
    <row r="42" spans="1:17" ht="15" hidden="1" customHeight="1" x14ac:dyDescent="0.25">
      <c r="A42" s="176">
        <v>6077</v>
      </c>
      <c r="B42" s="176">
        <v>138</v>
      </c>
      <c r="C42" s="176" t="s">
        <v>29</v>
      </c>
      <c r="D42" s="177" t="s">
        <v>30</v>
      </c>
      <c r="E42" s="176">
        <v>20.5</v>
      </c>
      <c r="F42" s="176" t="s">
        <v>186</v>
      </c>
      <c r="G42" s="176">
        <v>7370</v>
      </c>
      <c r="H42" s="176" t="s">
        <v>201</v>
      </c>
      <c r="I42" s="178" t="s">
        <v>188</v>
      </c>
      <c r="J42" s="179">
        <v>1000</v>
      </c>
      <c r="K42" s="180" t="s">
        <v>314</v>
      </c>
      <c r="L42" s="180">
        <v>0.02</v>
      </c>
      <c r="M42" s="182" t="s">
        <v>315</v>
      </c>
      <c r="N42" s="180"/>
      <c r="O42" s="180"/>
      <c r="P42" s="180"/>
      <c r="Q42" s="181"/>
    </row>
    <row r="43" spans="1:17" ht="15" hidden="1" customHeight="1" x14ac:dyDescent="0.25">
      <c r="A43" s="176">
        <v>6077</v>
      </c>
      <c r="B43" s="176">
        <v>138</v>
      </c>
      <c r="C43" s="176" t="s">
        <v>29</v>
      </c>
      <c r="D43" s="177" t="s">
        <v>30</v>
      </c>
      <c r="E43" s="176">
        <v>20.5</v>
      </c>
      <c r="F43" s="176" t="s">
        <v>210</v>
      </c>
      <c r="G43" s="176">
        <v>3619</v>
      </c>
      <c r="H43" s="176" t="s">
        <v>215</v>
      </c>
      <c r="I43" s="178" t="s">
        <v>188</v>
      </c>
      <c r="J43" s="179">
        <v>1.7</v>
      </c>
      <c r="K43" s="180" t="s">
        <v>316</v>
      </c>
      <c r="L43" s="180">
        <v>0.1</v>
      </c>
      <c r="M43" s="180"/>
      <c r="N43" s="180"/>
      <c r="O43" s="180"/>
      <c r="P43" s="180"/>
      <c r="Q43" s="181"/>
    </row>
    <row r="44" spans="1:17" ht="15" hidden="1" customHeight="1" x14ac:dyDescent="0.25">
      <c r="A44" s="176">
        <v>6077</v>
      </c>
      <c r="B44" s="176">
        <v>138</v>
      </c>
      <c r="C44" s="176" t="s">
        <v>29</v>
      </c>
      <c r="D44" s="177" t="s">
        <v>30</v>
      </c>
      <c r="E44" s="176">
        <v>20.5</v>
      </c>
      <c r="F44" s="176" t="s">
        <v>183</v>
      </c>
      <c r="G44" s="176">
        <v>194</v>
      </c>
      <c r="H44" s="176" t="s">
        <v>184</v>
      </c>
      <c r="I44" s="178" t="s">
        <v>148</v>
      </c>
      <c r="J44" s="179">
        <v>3.3999999999999998E-3</v>
      </c>
      <c r="K44" s="180" t="s">
        <v>330</v>
      </c>
      <c r="L44" s="180">
        <v>0.1</v>
      </c>
      <c r="M44" s="180"/>
      <c r="N44" s="180"/>
      <c r="O44" s="180"/>
      <c r="P44" s="180"/>
      <c r="Q44" s="181"/>
    </row>
    <row r="45" spans="1:17" ht="15" hidden="1" customHeight="1" x14ac:dyDescent="0.25">
      <c r="A45" s="176">
        <v>6077</v>
      </c>
      <c r="B45" s="176">
        <v>138</v>
      </c>
      <c r="C45" s="176" t="s">
        <v>29</v>
      </c>
      <c r="D45" s="177" t="s">
        <v>30</v>
      </c>
      <c r="E45" s="176">
        <v>20.5</v>
      </c>
      <c r="F45" s="176" t="s">
        <v>162</v>
      </c>
      <c r="G45" s="176">
        <v>4155</v>
      </c>
      <c r="H45" s="176" t="s">
        <v>168</v>
      </c>
      <c r="I45" s="178" t="s">
        <v>148</v>
      </c>
      <c r="J45" s="179">
        <v>0.1449</v>
      </c>
      <c r="K45" s="180" t="s">
        <v>318</v>
      </c>
      <c r="L45" s="180">
        <v>0.1</v>
      </c>
      <c r="M45" s="180"/>
      <c r="N45" s="180"/>
      <c r="O45" s="180"/>
      <c r="P45" s="180"/>
      <c r="Q45" s="181"/>
    </row>
    <row r="46" spans="1:17" ht="15" hidden="1" customHeight="1" x14ac:dyDescent="0.25">
      <c r="A46" s="176">
        <v>6077</v>
      </c>
      <c r="B46" s="176">
        <v>138</v>
      </c>
      <c r="C46" s="176" t="s">
        <v>29</v>
      </c>
      <c r="D46" s="177" t="s">
        <v>30</v>
      </c>
      <c r="E46" s="176">
        <v>20.5</v>
      </c>
      <c r="F46" s="176" t="s">
        <v>220</v>
      </c>
      <c r="G46" s="176">
        <v>3635</v>
      </c>
      <c r="H46" s="176" t="s">
        <v>221</v>
      </c>
      <c r="I46" s="178" t="s">
        <v>188</v>
      </c>
      <c r="J46" s="179">
        <v>5.8999999999999997E-2</v>
      </c>
      <c r="K46" s="180" t="s">
        <v>331</v>
      </c>
      <c r="L46" s="180">
        <v>0.1</v>
      </c>
      <c r="M46" s="182"/>
      <c r="N46" s="180"/>
      <c r="O46" s="180"/>
      <c r="P46" s="180"/>
      <c r="Q46" s="181"/>
    </row>
    <row r="47" spans="1:17" ht="15" hidden="1" customHeight="1" x14ac:dyDescent="0.25">
      <c r="A47" s="176">
        <v>5698</v>
      </c>
      <c r="B47" s="176">
        <v>22</v>
      </c>
      <c r="C47" s="176" t="s">
        <v>26</v>
      </c>
      <c r="D47" s="177" t="s">
        <v>32</v>
      </c>
      <c r="E47" s="176">
        <v>20.5</v>
      </c>
      <c r="F47" s="176" t="s">
        <v>146</v>
      </c>
      <c r="G47" s="176">
        <v>4179</v>
      </c>
      <c r="H47" s="176" t="s">
        <v>154</v>
      </c>
      <c r="I47" s="178" t="s">
        <v>148</v>
      </c>
      <c r="J47" s="179">
        <v>3.9369999999999998</v>
      </c>
      <c r="K47" s="180" t="s">
        <v>309</v>
      </c>
      <c r="L47" s="180">
        <v>0.1</v>
      </c>
      <c r="M47" s="180"/>
      <c r="N47" s="180"/>
      <c r="O47" s="180"/>
      <c r="P47" s="180"/>
      <c r="Q47" s="181"/>
    </row>
    <row r="48" spans="1:17" ht="15" hidden="1" customHeight="1" x14ac:dyDescent="0.25">
      <c r="A48" s="176">
        <v>5698</v>
      </c>
      <c r="B48" s="176">
        <v>22</v>
      </c>
      <c r="C48" s="176" t="s">
        <v>26</v>
      </c>
      <c r="D48" s="177" t="s">
        <v>32</v>
      </c>
      <c r="E48" s="176">
        <v>20.5</v>
      </c>
      <c r="F48" s="176" t="s">
        <v>169</v>
      </c>
      <c r="G48" s="176">
        <v>3595</v>
      </c>
      <c r="H48" s="176" t="s">
        <v>311</v>
      </c>
      <c r="I48" s="178" t="s">
        <v>148</v>
      </c>
      <c r="J48" s="179">
        <v>0.38500000000000001</v>
      </c>
      <c r="K48" s="180" t="s">
        <v>312</v>
      </c>
      <c r="L48" s="180">
        <v>0.1</v>
      </c>
      <c r="M48" s="182" t="s">
        <v>313</v>
      </c>
      <c r="N48" s="180"/>
      <c r="O48" s="180"/>
      <c r="P48" s="180"/>
      <c r="Q48" s="181"/>
    </row>
    <row r="49" spans="1:17" ht="15" hidden="1" customHeight="1" x14ac:dyDescent="0.25">
      <c r="A49" s="176">
        <v>5698</v>
      </c>
      <c r="B49" s="176">
        <v>22</v>
      </c>
      <c r="C49" s="176" t="s">
        <v>26</v>
      </c>
      <c r="D49" s="177" t="s">
        <v>32</v>
      </c>
      <c r="E49" s="176">
        <v>20.5</v>
      </c>
      <c r="F49" s="176" t="s">
        <v>186</v>
      </c>
      <c r="G49" s="176">
        <v>6971</v>
      </c>
      <c r="H49" s="176" t="s">
        <v>200</v>
      </c>
      <c r="I49" s="178" t="s">
        <v>188</v>
      </c>
      <c r="J49" s="179">
        <v>1000</v>
      </c>
      <c r="K49" s="180" t="s">
        <v>314</v>
      </c>
      <c r="L49" s="180">
        <v>0.02</v>
      </c>
      <c r="M49" s="182" t="s">
        <v>315</v>
      </c>
      <c r="N49" s="180"/>
      <c r="O49" s="180"/>
      <c r="P49" s="180"/>
      <c r="Q49" s="181"/>
    </row>
    <row r="50" spans="1:17" ht="15" hidden="1" customHeight="1" x14ac:dyDescent="0.25">
      <c r="A50" s="176">
        <v>5698</v>
      </c>
      <c r="B50" s="176">
        <v>22</v>
      </c>
      <c r="C50" s="176" t="s">
        <v>26</v>
      </c>
      <c r="D50" s="177" t="s">
        <v>32</v>
      </c>
      <c r="E50" s="176">
        <v>20.5</v>
      </c>
      <c r="F50" s="176" t="s">
        <v>210</v>
      </c>
      <c r="G50" s="176">
        <v>3619</v>
      </c>
      <c r="H50" s="176" t="s">
        <v>215</v>
      </c>
      <c r="I50" s="178" t="s">
        <v>188</v>
      </c>
      <c r="J50" s="179">
        <v>2.976</v>
      </c>
      <c r="K50" s="180" t="s">
        <v>316</v>
      </c>
      <c r="L50" s="180">
        <v>0.1</v>
      </c>
      <c r="M50" s="180"/>
      <c r="N50" s="180"/>
      <c r="O50" s="180"/>
      <c r="P50" s="180"/>
      <c r="Q50" s="181"/>
    </row>
    <row r="51" spans="1:17" ht="15" hidden="1" customHeight="1" x14ac:dyDescent="0.25">
      <c r="A51" s="176">
        <v>5698</v>
      </c>
      <c r="B51" s="176">
        <v>22</v>
      </c>
      <c r="C51" s="176" t="s">
        <v>26</v>
      </c>
      <c r="D51" s="177" t="s">
        <v>32</v>
      </c>
      <c r="E51" s="176">
        <v>20.5</v>
      </c>
      <c r="F51" s="176" t="s">
        <v>183</v>
      </c>
      <c r="G51" s="176">
        <v>194</v>
      </c>
      <c r="H51" s="176" t="s">
        <v>184</v>
      </c>
      <c r="I51" s="178" t="s">
        <v>148</v>
      </c>
      <c r="J51" s="179">
        <v>4.0899999999999999E-3</v>
      </c>
      <c r="K51" s="180" t="s">
        <v>317</v>
      </c>
      <c r="L51" s="180">
        <v>0.1</v>
      </c>
      <c r="M51" s="180"/>
      <c r="N51" s="180"/>
      <c r="O51" s="180"/>
      <c r="P51" s="180"/>
      <c r="Q51" s="181"/>
    </row>
    <row r="52" spans="1:17" ht="15" hidden="1" customHeight="1" x14ac:dyDescent="0.25">
      <c r="A52" s="176">
        <v>5698</v>
      </c>
      <c r="B52" s="176">
        <v>22</v>
      </c>
      <c r="C52" s="176" t="s">
        <v>26</v>
      </c>
      <c r="D52" s="177" t="s">
        <v>32</v>
      </c>
      <c r="E52" s="176">
        <v>20.5</v>
      </c>
      <c r="F52" s="176" t="s">
        <v>162</v>
      </c>
      <c r="G52" s="176">
        <v>185</v>
      </c>
      <c r="H52" s="176" t="s">
        <v>164</v>
      </c>
      <c r="I52" s="178" t="s">
        <v>165</v>
      </c>
      <c r="J52" s="179">
        <v>0.24</v>
      </c>
      <c r="K52" s="180" t="s">
        <v>318</v>
      </c>
      <c r="L52" s="180">
        <v>0.1</v>
      </c>
      <c r="M52" s="180"/>
      <c r="N52" s="180"/>
      <c r="O52" s="180"/>
      <c r="P52" s="180"/>
      <c r="Q52" s="181"/>
    </row>
    <row r="53" spans="1:17" ht="15" hidden="1" customHeight="1" x14ac:dyDescent="0.25">
      <c r="A53" s="176">
        <v>5698</v>
      </c>
      <c r="B53" s="176">
        <v>22</v>
      </c>
      <c r="C53" s="176" t="s">
        <v>26</v>
      </c>
      <c r="D53" s="177" t="s">
        <v>32</v>
      </c>
      <c r="E53" s="176">
        <v>20.5</v>
      </c>
      <c r="F53" s="176" t="s">
        <v>220</v>
      </c>
      <c r="G53" s="176">
        <v>3635</v>
      </c>
      <c r="H53" s="176" t="s">
        <v>221</v>
      </c>
      <c r="I53" s="178" t="s">
        <v>188</v>
      </c>
      <c r="J53" s="179">
        <v>5.8999999999999997E-2</v>
      </c>
      <c r="K53" s="180" t="s">
        <v>320</v>
      </c>
      <c r="L53" s="180">
        <v>0.1</v>
      </c>
      <c r="M53" s="182"/>
      <c r="N53" s="180"/>
      <c r="O53" s="180"/>
      <c r="P53" s="180"/>
      <c r="Q53" s="181"/>
    </row>
    <row r="54" spans="1:17" ht="15" hidden="1" customHeight="1" x14ac:dyDescent="0.25">
      <c r="A54" s="176">
        <v>5699</v>
      </c>
      <c r="B54" s="176">
        <v>21</v>
      </c>
      <c r="C54" s="176" t="s">
        <v>26</v>
      </c>
      <c r="D54" s="177" t="s">
        <v>33</v>
      </c>
      <c r="E54" s="176">
        <v>20.5</v>
      </c>
      <c r="F54" s="176" t="s">
        <v>146</v>
      </c>
      <c r="G54" s="176">
        <v>4179</v>
      </c>
      <c r="H54" s="176" t="s">
        <v>154</v>
      </c>
      <c r="I54" s="178" t="s">
        <v>148</v>
      </c>
      <c r="J54" s="179">
        <v>3.9369999999999998</v>
      </c>
      <c r="K54" s="180" t="s">
        <v>309</v>
      </c>
      <c r="L54" s="180">
        <v>0.1</v>
      </c>
      <c r="M54" s="180"/>
      <c r="N54" s="180"/>
      <c r="O54" s="180"/>
      <c r="P54" s="180"/>
      <c r="Q54" s="181"/>
    </row>
    <row r="55" spans="1:17" ht="15" hidden="1" customHeight="1" x14ac:dyDescent="0.25">
      <c r="A55" s="176">
        <v>5699</v>
      </c>
      <c r="B55" s="176">
        <v>21</v>
      </c>
      <c r="C55" s="176" t="s">
        <v>26</v>
      </c>
      <c r="D55" s="177" t="s">
        <v>33</v>
      </c>
      <c r="E55" s="176">
        <v>20.5</v>
      </c>
      <c r="F55" s="176" t="s">
        <v>169</v>
      </c>
      <c r="G55" s="176">
        <v>3595</v>
      </c>
      <c r="H55" s="176" t="s">
        <v>311</v>
      </c>
      <c r="I55" s="178" t="s">
        <v>148</v>
      </c>
      <c r="J55" s="179">
        <v>0.38500000000000001</v>
      </c>
      <c r="K55" s="180" t="s">
        <v>312</v>
      </c>
      <c r="L55" s="180">
        <v>0.1</v>
      </c>
      <c r="M55" s="182" t="s">
        <v>313</v>
      </c>
      <c r="N55" s="180"/>
      <c r="O55" s="180"/>
      <c r="P55" s="180"/>
      <c r="Q55" s="181"/>
    </row>
    <row r="56" spans="1:17" ht="15" hidden="1" customHeight="1" x14ac:dyDescent="0.25">
      <c r="A56" s="176">
        <v>5699</v>
      </c>
      <c r="B56" s="176">
        <v>21</v>
      </c>
      <c r="C56" s="176" t="s">
        <v>26</v>
      </c>
      <c r="D56" s="177" t="s">
        <v>33</v>
      </c>
      <c r="E56" s="176">
        <v>20.5</v>
      </c>
      <c r="F56" s="176" t="s">
        <v>186</v>
      </c>
      <c r="G56" s="176">
        <v>6971</v>
      </c>
      <c r="H56" s="176" t="s">
        <v>200</v>
      </c>
      <c r="I56" s="178" t="s">
        <v>188</v>
      </c>
      <c r="J56" s="179">
        <v>1000</v>
      </c>
      <c r="K56" s="180" t="s">
        <v>314</v>
      </c>
      <c r="L56" s="180">
        <v>0.02</v>
      </c>
      <c r="M56" s="182" t="s">
        <v>315</v>
      </c>
      <c r="N56" s="180"/>
      <c r="O56" s="180"/>
      <c r="P56" s="180"/>
      <c r="Q56" s="181"/>
    </row>
    <row r="57" spans="1:17" ht="15" hidden="1" customHeight="1" x14ac:dyDescent="0.25">
      <c r="A57" s="176">
        <v>5699</v>
      </c>
      <c r="B57" s="176">
        <v>21</v>
      </c>
      <c r="C57" s="176" t="s">
        <v>26</v>
      </c>
      <c r="D57" s="177" t="s">
        <v>33</v>
      </c>
      <c r="E57" s="176">
        <v>20.5</v>
      </c>
      <c r="F57" s="176" t="s">
        <v>210</v>
      </c>
      <c r="G57" s="176">
        <v>3619</v>
      </c>
      <c r="H57" s="176" t="s">
        <v>215</v>
      </c>
      <c r="I57" s="178" t="s">
        <v>188</v>
      </c>
      <c r="J57" s="179">
        <v>1.9607000000000001</v>
      </c>
      <c r="K57" s="180" t="s">
        <v>316</v>
      </c>
      <c r="L57" s="180">
        <v>0.1</v>
      </c>
      <c r="M57" s="180"/>
      <c r="N57" s="180"/>
      <c r="O57" s="180"/>
      <c r="P57" s="180"/>
      <c r="Q57" s="181"/>
    </row>
    <row r="58" spans="1:17" ht="15" hidden="1" customHeight="1" x14ac:dyDescent="0.25">
      <c r="A58" s="176">
        <v>5699</v>
      </c>
      <c r="B58" s="176">
        <v>21</v>
      </c>
      <c r="C58" s="176" t="s">
        <v>26</v>
      </c>
      <c r="D58" s="177" t="s">
        <v>33</v>
      </c>
      <c r="E58" s="176">
        <v>20.5</v>
      </c>
      <c r="F58" s="176" t="s">
        <v>183</v>
      </c>
      <c r="G58" s="176">
        <v>194</v>
      </c>
      <c r="H58" s="176" t="s">
        <v>184</v>
      </c>
      <c r="I58" s="178" t="s">
        <v>148</v>
      </c>
      <c r="J58" s="179">
        <v>4.0899999999999999E-3</v>
      </c>
      <c r="K58" s="180" t="s">
        <v>317</v>
      </c>
      <c r="L58" s="180">
        <v>0.1</v>
      </c>
      <c r="M58" s="180"/>
      <c r="N58" s="180"/>
      <c r="O58" s="180"/>
      <c r="P58" s="180"/>
      <c r="Q58" s="181"/>
    </row>
    <row r="59" spans="1:17" ht="15" hidden="1" customHeight="1" x14ac:dyDescent="0.25">
      <c r="A59" s="176">
        <v>5699</v>
      </c>
      <c r="B59" s="176">
        <v>21</v>
      </c>
      <c r="C59" s="176" t="s">
        <v>26</v>
      </c>
      <c r="D59" s="177" t="s">
        <v>33</v>
      </c>
      <c r="E59" s="176">
        <v>20.5</v>
      </c>
      <c r="F59" s="176" t="s">
        <v>162</v>
      </c>
      <c r="G59" s="176">
        <v>185</v>
      </c>
      <c r="H59" s="176" t="s">
        <v>164</v>
      </c>
      <c r="I59" s="178" t="s">
        <v>165</v>
      </c>
      <c r="J59" s="179">
        <v>0.24</v>
      </c>
      <c r="K59" s="180" t="s">
        <v>318</v>
      </c>
      <c r="L59" s="180">
        <v>0.1</v>
      </c>
      <c r="M59" s="180"/>
      <c r="N59" s="180"/>
      <c r="O59" s="180"/>
      <c r="P59" s="180"/>
      <c r="Q59" s="181"/>
    </row>
    <row r="60" spans="1:17" ht="15" hidden="1" customHeight="1" x14ac:dyDescent="0.25">
      <c r="A60" s="176">
        <v>5699</v>
      </c>
      <c r="B60" s="176">
        <v>21</v>
      </c>
      <c r="C60" s="176" t="s">
        <v>26</v>
      </c>
      <c r="D60" s="177" t="s">
        <v>33</v>
      </c>
      <c r="E60" s="176">
        <v>20.5</v>
      </c>
      <c r="F60" s="176" t="s">
        <v>220</v>
      </c>
      <c r="G60" s="176">
        <v>3635</v>
      </c>
      <c r="H60" s="176" t="s">
        <v>221</v>
      </c>
      <c r="I60" s="178" t="s">
        <v>188</v>
      </c>
      <c r="J60" s="179">
        <v>5.8999999999999997E-2</v>
      </c>
      <c r="K60" s="180" t="s">
        <v>320</v>
      </c>
      <c r="L60" s="180">
        <v>0.1</v>
      </c>
      <c r="M60" s="182"/>
      <c r="N60" s="180"/>
      <c r="O60" s="180"/>
      <c r="P60" s="180"/>
      <c r="Q60" s="181"/>
    </row>
    <row r="61" spans="1:17" ht="15" hidden="1" customHeight="1" x14ac:dyDescent="0.25">
      <c r="A61" s="176">
        <v>5731</v>
      </c>
      <c r="B61" s="176">
        <v>32</v>
      </c>
      <c r="C61" s="176" t="s">
        <v>26</v>
      </c>
      <c r="D61" s="177" t="s">
        <v>34</v>
      </c>
      <c r="E61" s="176">
        <v>20.5</v>
      </c>
      <c r="F61" s="176" t="s">
        <v>146</v>
      </c>
      <c r="G61" s="176">
        <v>4179</v>
      </c>
      <c r="H61" s="176" t="s">
        <v>154</v>
      </c>
      <c r="I61" s="178" t="s">
        <v>148</v>
      </c>
      <c r="J61" s="179">
        <v>3.9369999999999998</v>
      </c>
      <c r="K61" s="180" t="s">
        <v>309</v>
      </c>
      <c r="L61" s="180">
        <v>0.1</v>
      </c>
      <c r="M61" s="182"/>
      <c r="N61" s="180"/>
      <c r="O61" s="180"/>
      <c r="P61" s="180"/>
      <c r="Q61" s="181"/>
    </row>
    <row r="62" spans="1:17" ht="15" hidden="1" customHeight="1" x14ac:dyDescent="0.25">
      <c r="A62" s="176">
        <v>5731</v>
      </c>
      <c r="B62" s="176">
        <v>32</v>
      </c>
      <c r="C62" s="176" t="s">
        <v>26</v>
      </c>
      <c r="D62" s="177" t="s">
        <v>34</v>
      </c>
      <c r="E62" s="176">
        <v>20.5</v>
      </c>
      <c r="F62" s="176" t="s">
        <v>169</v>
      </c>
      <c r="G62" s="176">
        <v>3595</v>
      </c>
      <c r="H62" s="176" t="s">
        <v>311</v>
      </c>
      <c r="I62" s="178" t="s">
        <v>148</v>
      </c>
      <c r="J62" s="179">
        <v>0.38500000000000001</v>
      </c>
      <c r="K62" s="180" t="s">
        <v>312</v>
      </c>
      <c r="L62" s="180">
        <v>0.1</v>
      </c>
      <c r="M62" s="182" t="s">
        <v>329</v>
      </c>
      <c r="N62" s="180"/>
      <c r="O62" s="180"/>
      <c r="P62" s="180"/>
      <c r="Q62" s="181"/>
    </row>
    <row r="63" spans="1:17" ht="15" hidden="1" customHeight="1" x14ac:dyDescent="0.25">
      <c r="A63" s="176">
        <v>5731</v>
      </c>
      <c r="B63" s="176">
        <v>32</v>
      </c>
      <c r="C63" s="176" t="s">
        <v>26</v>
      </c>
      <c r="D63" s="177" t="s">
        <v>34</v>
      </c>
      <c r="E63" s="176">
        <v>20.5</v>
      </c>
      <c r="F63" s="176" t="s">
        <v>186</v>
      </c>
      <c r="G63" s="176">
        <v>6971</v>
      </c>
      <c r="H63" s="176" t="s">
        <v>200</v>
      </c>
      <c r="I63" s="178" t="s">
        <v>188</v>
      </c>
      <c r="J63" s="179">
        <v>1000</v>
      </c>
      <c r="K63" s="180" t="s">
        <v>314</v>
      </c>
      <c r="L63" s="180">
        <v>0.02</v>
      </c>
      <c r="M63" s="182" t="s">
        <v>329</v>
      </c>
      <c r="N63" s="180"/>
      <c r="O63" s="180"/>
      <c r="P63" s="180"/>
      <c r="Q63" s="181"/>
    </row>
    <row r="64" spans="1:17" ht="15" hidden="1" customHeight="1" x14ac:dyDescent="0.25">
      <c r="A64" s="176">
        <v>5731</v>
      </c>
      <c r="B64" s="176">
        <v>32</v>
      </c>
      <c r="C64" s="176" t="s">
        <v>26</v>
      </c>
      <c r="D64" s="177" t="s">
        <v>34</v>
      </c>
      <c r="E64" s="176">
        <v>20.5</v>
      </c>
      <c r="F64" s="176" t="s">
        <v>210</v>
      </c>
      <c r="G64" s="176">
        <v>3619</v>
      </c>
      <c r="H64" s="176" t="s">
        <v>215</v>
      </c>
      <c r="I64" s="178" t="s">
        <v>188</v>
      </c>
      <c r="J64" s="179">
        <v>1.96</v>
      </c>
      <c r="K64" s="180" t="s">
        <v>316</v>
      </c>
      <c r="L64" s="180">
        <v>0.1</v>
      </c>
      <c r="M64" s="182"/>
      <c r="N64" s="180"/>
      <c r="O64" s="180"/>
      <c r="P64" s="180"/>
      <c r="Q64" s="181"/>
    </row>
    <row r="65" spans="1:17" ht="15" hidden="1" customHeight="1" x14ac:dyDescent="0.25">
      <c r="A65" s="176">
        <v>5731</v>
      </c>
      <c r="B65" s="176">
        <v>32</v>
      </c>
      <c r="C65" s="176" t="s">
        <v>26</v>
      </c>
      <c r="D65" s="177" t="s">
        <v>34</v>
      </c>
      <c r="E65" s="176">
        <v>20.5</v>
      </c>
      <c r="F65" s="176" t="s">
        <v>183</v>
      </c>
      <c r="G65" s="176">
        <v>194</v>
      </c>
      <c r="H65" s="176" t="s">
        <v>184</v>
      </c>
      <c r="I65" s="178" t="s">
        <v>148</v>
      </c>
      <c r="J65" s="179">
        <v>4.0940000000000004E-3</v>
      </c>
      <c r="K65" s="180" t="s">
        <v>317</v>
      </c>
      <c r="L65" s="180">
        <v>0.1</v>
      </c>
      <c r="M65" s="180"/>
      <c r="N65" s="180"/>
      <c r="O65" s="180"/>
      <c r="P65" s="180"/>
      <c r="Q65" s="181"/>
    </row>
    <row r="66" spans="1:17" ht="15" hidden="1" customHeight="1" x14ac:dyDescent="0.25">
      <c r="A66" s="176">
        <v>5731</v>
      </c>
      <c r="B66" s="176">
        <v>32</v>
      </c>
      <c r="C66" s="176" t="s">
        <v>26</v>
      </c>
      <c r="D66" s="177" t="s">
        <v>34</v>
      </c>
      <c r="E66" s="176">
        <v>20.5</v>
      </c>
      <c r="F66" s="176" t="s">
        <v>162</v>
      </c>
      <c r="G66" s="176">
        <v>185</v>
      </c>
      <c r="H66" s="176" t="s">
        <v>164</v>
      </c>
      <c r="I66" s="178" t="s">
        <v>165</v>
      </c>
      <c r="J66" s="179">
        <v>0.24</v>
      </c>
      <c r="K66" s="180" t="s">
        <v>318</v>
      </c>
      <c r="L66" s="180">
        <v>0.1</v>
      </c>
      <c r="M66" s="182" t="s">
        <v>329</v>
      </c>
      <c r="N66" s="180"/>
      <c r="O66" s="180"/>
      <c r="P66" s="180"/>
      <c r="Q66" s="181"/>
    </row>
    <row r="67" spans="1:17" ht="15" hidden="1" customHeight="1" x14ac:dyDescent="0.25">
      <c r="A67" s="176">
        <v>5731</v>
      </c>
      <c r="B67" s="176">
        <v>32</v>
      </c>
      <c r="C67" s="176" t="s">
        <v>26</v>
      </c>
      <c r="D67" s="177" t="s">
        <v>34</v>
      </c>
      <c r="E67" s="176">
        <v>20.5</v>
      </c>
      <c r="F67" s="176" t="s">
        <v>220</v>
      </c>
      <c r="G67" s="176">
        <v>3635</v>
      </c>
      <c r="H67" s="176" t="s">
        <v>221</v>
      </c>
      <c r="I67" s="178" t="s">
        <v>188</v>
      </c>
      <c r="J67" s="179">
        <v>2.996</v>
      </c>
      <c r="K67" s="180" t="s">
        <v>320</v>
      </c>
      <c r="L67" s="180">
        <v>0.1</v>
      </c>
      <c r="M67" s="182"/>
      <c r="N67" s="180"/>
      <c r="O67" s="180"/>
      <c r="P67" s="180"/>
      <c r="Q67" s="181"/>
    </row>
    <row r="68" spans="1:17" ht="15" hidden="1" customHeight="1" x14ac:dyDescent="0.25">
      <c r="A68" s="176">
        <v>5732</v>
      </c>
      <c r="B68" s="176">
        <v>33</v>
      </c>
      <c r="C68" s="176" t="s">
        <v>26</v>
      </c>
      <c r="D68" s="177" t="s">
        <v>35</v>
      </c>
      <c r="E68" s="176">
        <v>20.5</v>
      </c>
      <c r="F68" s="176" t="s">
        <v>146</v>
      </c>
      <c r="G68" s="176">
        <v>4179</v>
      </c>
      <c r="H68" s="176" t="s">
        <v>154</v>
      </c>
      <c r="I68" s="178" t="s">
        <v>148</v>
      </c>
      <c r="J68" s="179">
        <v>3.9369999999999998</v>
      </c>
      <c r="K68" s="180" t="s">
        <v>309</v>
      </c>
      <c r="L68" s="180">
        <v>0.1</v>
      </c>
      <c r="M68" s="182"/>
      <c r="N68" s="180"/>
      <c r="O68" s="180"/>
      <c r="P68" s="180"/>
      <c r="Q68" s="181"/>
    </row>
    <row r="69" spans="1:17" ht="15" hidden="1" customHeight="1" x14ac:dyDescent="0.25">
      <c r="A69" s="176">
        <v>5732</v>
      </c>
      <c r="B69" s="176">
        <v>33</v>
      </c>
      <c r="C69" s="176" t="s">
        <v>26</v>
      </c>
      <c r="D69" s="177" t="s">
        <v>35</v>
      </c>
      <c r="E69" s="176">
        <v>20.5</v>
      </c>
      <c r="F69" s="176" t="s">
        <v>169</v>
      </c>
      <c r="G69" s="176">
        <v>3595</v>
      </c>
      <c r="H69" s="176" t="s">
        <v>311</v>
      </c>
      <c r="I69" s="178" t="s">
        <v>148</v>
      </c>
      <c r="J69" s="179">
        <v>0.38500000000000001</v>
      </c>
      <c r="K69" s="180" t="s">
        <v>312</v>
      </c>
      <c r="L69" s="180">
        <v>0.1</v>
      </c>
      <c r="M69" s="182" t="s">
        <v>329</v>
      </c>
      <c r="N69" s="180"/>
      <c r="O69" s="180"/>
      <c r="P69" s="180"/>
      <c r="Q69" s="181"/>
    </row>
    <row r="70" spans="1:17" ht="15" hidden="1" customHeight="1" x14ac:dyDescent="0.25">
      <c r="A70" s="176">
        <v>5732</v>
      </c>
      <c r="B70" s="176">
        <v>33</v>
      </c>
      <c r="C70" s="176" t="s">
        <v>26</v>
      </c>
      <c r="D70" s="177" t="s">
        <v>35</v>
      </c>
      <c r="E70" s="176">
        <v>20.5</v>
      </c>
      <c r="F70" s="176" t="s">
        <v>186</v>
      </c>
      <c r="G70" s="176">
        <v>6971</v>
      </c>
      <c r="H70" s="176" t="s">
        <v>200</v>
      </c>
      <c r="I70" s="178" t="s">
        <v>188</v>
      </c>
      <c r="J70" s="179">
        <v>1000</v>
      </c>
      <c r="K70" s="180" t="s">
        <v>314</v>
      </c>
      <c r="L70" s="180">
        <v>0.02</v>
      </c>
      <c r="M70" s="182" t="s">
        <v>329</v>
      </c>
      <c r="N70" s="180"/>
      <c r="O70" s="180"/>
      <c r="P70" s="180"/>
      <c r="Q70" s="181"/>
    </row>
    <row r="71" spans="1:17" ht="15" hidden="1" customHeight="1" x14ac:dyDescent="0.25">
      <c r="A71" s="176">
        <v>5732</v>
      </c>
      <c r="B71" s="176">
        <v>33</v>
      </c>
      <c r="C71" s="176" t="s">
        <v>26</v>
      </c>
      <c r="D71" s="177" t="s">
        <v>35</v>
      </c>
      <c r="E71" s="176">
        <v>20.5</v>
      </c>
      <c r="F71" s="176" t="s">
        <v>210</v>
      </c>
      <c r="G71" s="176">
        <v>3619</v>
      </c>
      <c r="H71" s="176" t="s">
        <v>215</v>
      </c>
      <c r="I71" s="178" t="s">
        <v>188</v>
      </c>
      <c r="J71" s="179">
        <v>1.96</v>
      </c>
      <c r="K71" s="180" t="s">
        <v>316</v>
      </c>
      <c r="L71" s="180">
        <v>0.1</v>
      </c>
      <c r="M71" s="182"/>
      <c r="N71" s="180"/>
      <c r="O71" s="180"/>
      <c r="P71" s="180"/>
      <c r="Q71" s="181"/>
    </row>
    <row r="72" spans="1:17" ht="15" hidden="1" customHeight="1" x14ac:dyDescent="0.25">
      <c r="A72" s="176">
        <v>5732</v>
      </c>
      <c r="B72" s="176">
        <v>33</v>
      </c>
      <c r="C72" s="176" t="s">
        <v>26</v>
      </c>
      <c r="D72" s="177" t="s">
        <v>35</v>
      </c>
      <c r="E72" s="176">
        <v>20.5</v>
      </c>
      <c r="F72" s="176" t="s">
        <v>183</v>
      </c>
      <c r="G72" s="176">
        <v>194</v>
      </c>
      <c r="H72" s="176" t="s">
        <v>184</v>
      </c>
      <c r="I72" s="178" t="s">
        <v>148</v>
      </c>
      <c r="J72" s="179">
        <v>4.0899999999999999E-3</v>
      </c>
      <c r="K72" s="180" t="s">
        <v>330</v>
      </c>
      <c r="L72" s="180">
        <v>0.1</v>
      </c>
      <c r="M72" s="180"/>
      <c r="N72" s="180"/>
      <c r="O72" s="180"/>
      <c r="P72" s="180"/>
      <c r="Q72" s="181"/>
    </row>
    <row r="73" spans="1:17" ht="15" hidden="1" customHeight="1" x14ac:dyDescent="0.25">
      <c r="A73" s="176">
        <v>5732</v>
      </c>
      <c r="B73" s="176">
        <v>33</v>
      </c>
      <c r="C73" s="176" t="s">
        <v>26</v>
      </c>
      <c r="D73" s="177" t="s">
        <v>35</v>
      </c>
      <c r="E73" s="176">
        <v>20.5</v>
      </c>
      <c r="F73" s="176" t="s">
        <v>162</v>
      </c>
      <c r="G73" s="176">
        <v>185</v>
      </c>
      <c r="H73" s="176" t="s">
        <v>164</v>
      </c>
      <c r="I73" s="178" t="s">
        <v>165</v>
      </c>
      <c r="J73" s="179">
        <v>0.24</v>
      </c>
      <c r="K73" s="180" t="s">
        <v>318</v>
      </c>
      <c r="L73" s="180">
        <v>0.1</v>
      </c>
      <c r="M73" s="182" t="s">
        <v>329</v>
      </c>
      <c r="N73" s="180"/>
      <c r="O73" s="180"/>
      <c r="P73" s="180"/>
      <c r="Q73" s="181"/>
    </row>
    <row r="74" spans="1:17" ht="15" hidden="1" customHeight="1" x14ac:dyDescent="0.25">
      <c r="A74" s="176">
        <v>5732</v>
      </c>
      <c r="B74" s="176">
        <v>33</v>
      </c>
      <c r="C74" s="176" t="s">
        <v>26</v>
      </c>
      <c r="D74" s="177" t="s">
        <v>35</v>
      </c>
      <c r="E74" s="176">
        <v>20.5</v>
      </c>
      <c r="F74" s="176" t="s">
        <v>220</v>
      </c>
      <c r="G74" s="176">
        <v>3635</v>
      </c>
      <c r="H74" s="176" t="s">
        <v>221</v>
      </c>
      <c r="I74" s="178" t="s">
        <v>188</v>
      </c>
      <c r="J74" s="179">
        <v>2.996</v>
      </c>
      <c r="K74" s="180" t="s">
        <v>331</v>
      </c>
      <c r="L74" s="180">
        <v>0.1</v>
      </c>
      <c r="M74" s="182"/>
      <c r="N74" s="180"/>
      <c r="O74" s="180"/>
      <c r="P74" s="180"/>
      <c r="Q74" s="181"/>
    </row>
    <row r="75" spans="1:17" ht="15" hidden="1" customHeight="1" x14ac:dyDescent="0.25">
      <c r="A75" s="176">
        <v>6556</v>
      </c>
      <c r="B75" s="176">
        <v>186</v>
      </c>
      <c r="C75" s="176" t="s">
        <v>26</v>
      </c>
      <c r="D75" s="177" t="s">
        <v>36</v>
      </c>
      <c r="E75" s="176">
        <v>20.5</v>
      </c>
      <c r="F75" s="176" t="s">
        <v>146</v>
      </c>
      <c r="G75" s="176">
        <v>4179</v>
      </c>
      <c r="H75" s="176" t="s">
        <v>154</v>
      </c>
      <c r="I75" s="178" t="s">
        <v>148</v>
      </c>
      <c r="J75" s="179">
        <v>3.9369999999999998</v>
      </c>
      <c r="K75" s="180" t="s">
        <v>309</v>
      </c>
      <c r="L75" s="180">
        <v>0.1</v>
      </c>
      <c r="M75" s="180"/>
      <c r="N75" s="180"/>
      <c r="O75" s="180"/>
      <c r="P75" s="180"/>
      <c r="Q75" s="181"/>
    </row>
    <row r="76" spans="1:17" ht="15" hidden="1" customHeight="1" x14ac:dyDescent="0.25">
      <c r="A76" s="176">
        <v>6556</v>
      </c>
      <c r="B76" s="176">
        <v>186</v>
      </c>
      <c r="C76" s="176" t="s">
        <v>26</v>
      </c>
      <c r="D76" s="177" t="s">
        <v>36</v>
      </c>
      <c r="E76" s="176">
        <v>20.5</v>
      </c>
      <c r="F76" s="176" t="s">
        <v>169</v>
      </c>
      <c r="G76" s="176">
        <v>3595</v>
      </c>
      <c r="H76" s="176" t="s">
        <v>311</v>
      </c>
      <c r="I76" s="178" t="s">
        <v>148</v>
      </c>
      <c r="J76" s="179">
        <v>0.38500000000000001</v>
      </c>
      <c r="K76" s="180" t="s">
        <v>312</v>
      </c>
      <c r="L76" s="180">
        <v>0.1</v>
      </c>
      <c r="M76" s="182" t="s">
        <v>313</v>
      </c>
      <c r="N76" s="180"/>
      <c r="O76" s="180"/>
      <c r="P76" s="180"/>
      <c r="Q76" s="181"/>
    </row>
    <row r="77" spans="1:17" ht="15" hidden="1" customHeight="1" x14ac:dyDescent="0.25">
      <c r="A77" s="176">
        <v>6556</v>
      </c>
      <c r="B77" s="176">
        <v>186</v>
      </c>
      <c r="C77" s="176" t="s">
        <v>26</v>
      </c>
      <c r="D77" s="177" t="s">
        <v>36</v>
      </c>
      <c r="E77" s="176">
        <v>20.5</v>
      </c>
      <c r="F77" s="176" t="s">
        <v>186</v>
      </c>
      <c r="G77" s="176">
        <v>6971</v>
      </c>
      <c r="H77" s="176" t="s">
        <v>200</v>
      </c>
      <c r="I77" s="178" t="s">
        <v>188</v>
      </c>
      <c r="J77" s="179">
        <v>1000</v>
      </c>
      <c r="K77" s="180" t="s">
        <v>314</v>
      </c>
      <c r="L77" s="180">
        <v>0.02</v>
      </c>
      <c r="M77" s="182" t="s">
        <v>315</v>
      </c>
      <c r="N77" s="180"/>
      <c r="O77" s="180"/>
      <c r="P77" s="180"/>
      <c r="Q77" s="181"/>
    </row>
    <row r="78" spans="1:17" ht="15" hidden="1" customHeight="1" x14ac:dyDescent="0.25">
      <c r="A78" s="176">
        <v>6556</v>
      </c>
      <c r="B78" s="176">
        <v>186</v>
      </c>
      <c r="C78" s="176" t="s">
        <v>26</v>
      </c>
      <c r="D78" s="177" t="s">
        <v>36</v>
      </c>
      <c r="E78" s="176">
        <v>20.5</v>
      </c>
      <c r="F78" s="176" t="s">
        <v>210</v>
      </c>
      <c r="G78" s="176">
        <v>3619</v>
      </c>
      <c r="H78" s="176" t="s">
        <v>215</v>
      </c>
      <c r="I78" s="178" t="s">
        <v>188</v>
      </c>
      <c r="J78" s="179">
        <v>1.9607000000000001</v>
      </c>
      <c r="K78" s="180" t="s">
        <v>316</v>
      </c>
      <c r="L78" s="180">
        <v>0.1</v>
      </c>
      <c r="M78" s="180"/>
      <c r="N78" s="180"/>
      <c r="O78" s="180"/>
      <c r="P78" s="180"/>
      <c r="Q78" s="181"/>
    </row>
    <row r="79" spans="1:17" ht="15" hidden="1" customHeight="1" x14ac:dyDescent="0.25">
      <c r="A79" s="176">
        <v>6556</v>
      </c>
      <c r="B79" s="176">
        <v>186</v>
      </c>
      <c r="C79" s="176" t="s">
        <v>26</v>
      </c>
      <c r="D79" s="177" t="s">
        <v>36</v>
      </c>
      <c r="E79" s="176">
        <v>20.5</v>
      </c>
      <c r="F79" s="176" t="s">
        <v>183</v>
      </c>
      <c r="G79" s="176">
        <v>194</v>
      </c>
      <c r="H79" s="176" t="s">
        <v>184</v>
      </c>
      <c r="I79" s="178" t="s">
        <v>148</v>
      </c>
      <c r="J79" s="179">
        <v>4.0899999999999999E-3</v>
      </c>
      <c r="K79" s="180" t="s">
        <v>317</v>
      </c>
      <c r="L79" s="180">
        <v>0.1</v>
      </c>
      <c r="M79" s="180"/>
      <c r="N79" s="180"/>
      <c r="O79" s="180"/>
      <c r="P79" s="180"/>
      <c r="Q79" s="181"/>
    </row>
    <row r="80" spans="1:17" ht="15" hidden="1" customHeight="1" x14ac:dyDescent="0.25">
      <c r="A80" s="176">
        <v>6556</v>
      </c>
      <c r="B80" s="176">
        <v>186</v>
      </c>
      <c r="C80" s="176" t="s">
        <v>26</v>
      </c>
      <c r="D80" s="177" t="s">
        <v>36</v>
      </c>
      <c r="E80" s="176">
        <v>20.5</v>
      </c>
      <c r="F80" s="176" t="s">
        <v>162</v>
      </c>
      <c r="G80" s="176">
        <v>185</v>
      </c>
      <c r="H80" s="176" t="s">
        <v>164</v>
      </c>
      <c r="I80" s="178" t="s">
        <v>165</v>
      </c>
      <c r="J80" s="179">
        <v>0.24</v>
      </c>
      <c r="K80" s="180" t="s">
        <v>318</v>
      </c>
      <c r="L80" s="180">
        <v>0.1</v>
      </c>
      <c r="M80" s="180"/>
      <c r="N80" s="180"/>
      <c r="O80" s="180"/>
      <c r="P80" s="180"/>
      <c r="Q80" s="181"/>
    </row>
    <row r="81" spans="1:17" ht="15" hidden="1" customHeight="1" x14ac:dyDescent="0.25">
      <c r="A81" s="176">
        <v>6556</v>
      </c>
      <c r="B81" s="176">
        <v>186</v>
      </c>
      <c r="C81" s="176" t="s">
        <v>26</v>
      </c>
      <c r="D81" s="177" t="s">
        <v>36</v>
      </c>
      <c r="E81" s="176">
        <v>20.5</v>
      </c>
      <c r="F81" s="176" t="s">
        <v>220</v>
      </c>
      <c r="G81" s="176">
        <v>3635</v>
      </c>
      <c r="H81" s="176" t="s">
        <v>221</v>
      </c>
      <c r="I81" s="178" t="s">
        <v>188</v>
      </c>
      <c r="J81" s="179">
        <v>5.8999999999999997E-2</v>
      </c>
      <c r="K81" s="180" t="s">
        <v>320</v>
      </c>
      <c r="L81" s="180">
        <v>0.1</v>
      </c>
      <c r="M81" s="182"/>
      <c r="N81" s="180"/>
      <c r="O81" s="180"/>
      <c r="P81" s="180"/>
      <c r="Q81" s="181"/>
    </row>
    <row r="82" spans="1:17" ht="15" hidden="1" customHeight="1" x14ac:dyDescent="0.25">
      <c r="A82" s="176">
        <v>6557</v>
      </c>
      <c r="B82" s="176">
        <v>185</v>
      </c>
      <c r="C82" s="176" t="s">
        <v>26</v>
      </c>
      <c r="D82" s="177" t="s">
        <v>37</v>
      </c>
      <c r="E82" s="176">
        <v>20.5</v>
      </c>
      <c r="F82" s="176" t="s">
        <v>146</v>
      </c>
      <c r="G82" s="176">
        <v>4179</v>
      </c>
      <c r="H82" s="176" t="s">
        <v>154</v>
      </c>
      <c r="I82" s="178" t="s">
        <v>148</v>
      </c>
      <c r="J82" s="179">
        <v>3.9369999999999998</v>
      </c>
      <c r="K82" s="180" t="s">
        <v>309</v>
      </c>
      <c r="L82" s="180">
        <v>0.1</v>
      </c>
      <c r="M82" s="180"/>
      <c r="N82" s="180"/>
      <c r="O82" s="180"/>
      <c r="P82" s="180"/>
      <c r="Q82" s="181"/>
    </row>
    <row r="83" spans="1:17" ht="15" hidden="1" customHeight="1" x14ac:dyDescent="0.25">
      <c r="A83" s="176">
        <v>6557</v>
      </c>
      <c r="B83" s="176">
        <v>185</v>
      </c>
      <c r="C83" s="176" t="s">
        <v>26</v>
      </c>
      <c r="D83" s="177" t="s">
        <v>37</v>
      </c>
      <c r="E83" s="176">
        <v>20.5</v>
      </c>
      <c r="F83" s="176" t="s">
        <v>169</v>
      </c>
      <c r="G83" s="176">
        <v>3595</v>
      </c>
      <c r="H83" s="176" t="s">
        <v>311</v>
      </c>
      <c r="I83" s="178" t="s">
        <v>148</v>
      </c>
      <c r="J83" s="179">
        <v>0.38500000000000001</v>
      </c>
      <c r="K83" s="180" t="s">
        <v>312</v>
      </c>
      <c r="L83" s="180">
        <v>0.1</v>
      </c>
      <c r="M83" s="182" t="s">
        <v>313</v>
      </c>
      <c r="N83" s="180"/>
      <c r="O83" s="180"/>
      <c r="P83" s="180"/>
      <c r="Q83" s="181"/>
    </row>
    <row r="84" spans="1:17" ht="15" hidden="1" customHeight="1" x14ac:dyDescent="0.25">
      <c r="A84" s="176">
        <v>6557</v>
      </c>
      <c r="B84" s="176">
        <v>185</v>
      </c>
      <c r="C84" s="176" t="s">
        <v>26</v>
      </c>
      <c r="D84" s="177" t="s">
        <v>37</v>
      </c>
      <c r="E84" s="176">
        <v>20.5</v>
      </c>
      <c r="F84" s="176" t="s">
        <v>186</v>
      </c>
      <c r="G84" s="176">
        <v>6971</v>
      </c>
      <c r="H84" s="176" t="s">
        <v>200</v>
      </c>
      <c r="I84" s="178" t="s">
        <v>188</v>
      </c>
      <c r="J84" s="179">
        <v>1000</v>
      </c>
      <c r="K84" s="180" t="s">
        <v>314</v>
      </c>
      <c r="L84" s="180">
        <v>0.02</v>
      </c>
      <c r="M84" s="182" t="s">
        <v>315</v>
      </c>
      <c r="N84" s="180"/>
      <c r="O84" s="180"/>
      <c r="P84" s="180"/>
      <c r="Q84" s="181"/>
    </row>
    <row r="85" spans="1:17" ht="15" hidden="1" customHeight="1" x14ac:dyDescent="0.25">
      <c r="A85" s="176">
        <v>6557</v>
      </c>
      <c r="B85" s="176">
        <v>185</v>
      </c>
      <c r="C85" s="176" t="s">
        <v>26</v>
      </c>
      <c r="D85" s="177" t="s">
        <v>37</v>
      </c>
      <c r="E85" s="176">
        <v>20.5</v>
      </c>
      <c r="F85" s="176" t="s">
        <v>210</v>
      </c>
      <c r="G85" s="176">
        <v>3619</v>
      </c>
      <c r="H85" s="176" t="s">
        <v>215</v>
      </c>
      <c r="I85" s="178" t="s">
        <v>188</v>
      </c>
      <c r="J85" s="179">
        <v>1.9607000000000001</v>
      </c>
      <c r="K85" s="180" t="s">
        <v>316</v>
      </c>
      <c r="L85" s="180">
        <v>0.1</v>
      </c>
      <c r="M85" s="180"/>
      <c r="N85" s="180"/>
      <c r="O85" s="180"/>
      <c r="P85" s="180"/>
      <c r="Q85" s="181"/>
    </row>
    <row r="86" spans="1:17" ht="15" hidden="1" customHeight="1" x14ac:dyDescent="0.25">
      <c r="A86" s="176">
        <v>6557</v>
      </c>
      <c r="B86" s="176">
        <v>185</v>
      </c>
      <c r="C86" s="176" t="s">
        <v>26</v>
      </c>
      <c r="D86" s="177" t="s">
        <v>37</v>
      </c>
      <c r="E86" s="176">
        <v>20.5</v>
      </c>
      <c r="F86" s="176" t="s">
        <v>183</v>
      </c>
      <c r="G86" s="176">
        <v>194</v>
      </c>
      <c r="H86" s="176" t="s">
        <v>184</v>
      </c>
      <c r="I86" s="178" t="s">
        <v>148</v>
      </c>
      <c r="J86" s="179">
        <v>4.0899999999999999E-3</v>
      </c>
      <c r="K86" s="180" t="s">
        <v>317</v>
      </c>
      <c r="L86" s="180">
        <v>0.1</v>
      </c>
      <c r="M86" s="180"/>
      <c r="N86" s="180"/>
      <c r="O86" s="180"/>
      <c r="P86" s="180"/>
      <c r="Q86" s="181"/>
    </row>
    <row r="87" spans="1:17" ht="15" hidden="1" customHeight="1" x14ac:dyDescent="0.25">
      <c r="A87" s="176">
        <v>6557</v>
      </c>
      <c r="B87" s="176">
        <v>185</v>
      </c>
      <c r="C87" s="176" t="s">
        <v>26</v>
      </c>
      <c r="D87" s="177" t="s">
        <v>37</v>
      </c>
      <c r="E87" s="176">
        <v>20.5</v>
      </c>
      <c r="F87" s="176" t="s">
        <v>162</v>
      </c>
      <c r="G87" s="176">
        <v>185</v>
      </c>
      <c r="H87" s="176" t="s">
        <v>164</v>
      </c>
      <c r="I87" s="178" t="s">
        <v>165</v>
      </c>
      <c r="J87" s="179">
        <v>0.24</v>
      </c>
      <c r="K87" s="180" t="s">
        <v>318</v>
      </c>
      <c r="L87" s="180">
        <v>0.1</v>
      </c>
      <c r="M87" s="180"/>
      <c r="N87" s="180"/>
      <c r="O87" s="180"/>
      <c r="P87" s="180"/>
      <c r="Q87" s="181"/>
    </row>
    <row r="88" spans="1:17" ht="15" hidden="1" customHeight="1" x14ac:dyDescent="0.25">
      <c r="A88" s="176">
        <v>6557</v>
      </c>
      <c r="B88" s="176">
        <v>185</v>
      </c>
      <c r="C88" s="176" t="s">
        <v>26</v>
      </c>
      <c r="D88" s="177" t="s">
        <v>37</v>
      </c>
      <c r="E88" s="176">
        <v>20.5</v>
      </c>
      <c r="F88" s="176" t="s">
        <v>220</v>
      </c>
      <c r="G88" s="176">
        <v>3635</v>
      </c>
      <c r="H88" s="176" t="s">
        <v>221</v>
      </c>
      <c r="I88" s="178" t="s">
        <v>188</v>
      </c>
      <c r="J88" s="179">
        <v>5.8999999999999997E-2</v>
      </c>
      <c r="K88" s="180" t="s">
        <v>320</v>
      </c>
      <c r="L88" s="180">
        <v>0.1</v>
      </c>
      <c r="M88" s="182"/>
      <c r="N88" s="180"/>
      <c r="O88" s="180"/>
      <c r="P88" s="180"/>
      <c r="Q88" s="181"/>
    </row>
    <row r="89" spans="1:17" ht="15" hidden="1" customHeight="1" x14ac:dyDescent="0.25">
      <c r="A89" s="176">
        <v>6228</v>
      </c>
      <c r="B89" s="176">
        <v>150</v>
      </c>
      <c r="C89" s="176" t="s">
        <v>29</v>
      </c>
      <c r="D89" s="177" t="s">
        <v>38</v>
      </c>
      <c r="E89" s="176">
        <v>25</v>
      </c>
      <c r="F89" s="176" t="s">
        <v>146</v>
      </c>
      <c r="G89" s="176">
        <v>6</v>
      </c>
      <c r="H89" s="176" t="s">
        <v>155</v>
      </c>
      <c r="I89" s="178" t="s">
        <v>148</v>
      </c>
      <c r="J89" s="179">
        <v>5.97</v>
      </c>
      <c r="K89" s="180" t="s">
        <v>309</v>
      </c>
      <c r="L89" s="180">
        <v>0.1</v>
      </c>
      <c r="M89" s="180"/>
      <c r="N89" s="180"/>
      <c r="O89" s="180"/>
      <c r="P89" s="180"/>
      <c r="Q89" s="181"/>
    </row>
    <row r="90" spans="1:17" ht="15" hidden="1" customHeight="1" x14ac:dyDescent="0.25">
      <c r="A90" s="176">
        <v>6228</v>
      </c>
      <c r="B90" s="176">
        <v>150</v>
      </c>
      <c r="C90" s="176" t="s">
        <v>29</v>
      </c>
      <c r="D90" s="177" t="s">
        <v>38</v>
      </c>
      <c r="E90" s="176">
        <v>25</v>
      </c>
      <c r="F90" s="176" t="s">
        <v>169</v>
      </c>
      <c r="G90" s="176">
        <v>3595</v>
      </c>
      <c r="H90" s="176" t="s">
        <v>311</v>
      </c>
      <c r="I90" s="178" t="s">
        <v>148</v>
      </c>
      <c r="J90" s="179">
        <v>0.61199999999999999</v>
      </c>
      <c r="K90" s="180" t="s">
        <v>312</v>
      </c>
      <c r="L90" s="180">
        <v>0.1</v>
      </c>
      <c r="M90" s="182" t="s">
        <v>329</v>
      </c>
      <c r="N90" s="180"/>
      <c r="O90" s="180"/>
      <c r="P90" s="180"/>
      <c r="Q90" s="181"/>
    </row>
    <row r="91" spans="1:17" ht="15" hidden="1" customHeight="1" x14ac:dyDescent="0.25">
      <c r="A91" s="176">
        <v>6228</v>
      </c>
      <c r="B91" s="176">
        <v>150</v>
      </c>
      <c r="C91" s="176" t="s">
        <v>29</v>
      </c>
      <c r="D91" s="177" t="s">
        <v>38</v>
      </c>
      <c r="E91" s="176">
        <v>25</v>
      </c>
      <c r="F91" s="176" t="s">
        <v>181</v>
      </c>
      <c r="G91" s="176">
        <v>186</v>
      </c>
      <c r="H91" s="176" t="s">
        <v>182</v>
      </c>
      <c r="I91" s="178" t="s">
        <v>148</v>
      </c>
      <c r="J91" s="179">
        <v>0.25</v>
      </c>
      <c r="K91" s="180" t="s">
        <v>7</v>
      </c>
      <c r="L91" s="180">
        <v>0.1</v>
      </c>
      <c r="M91" s="180"/>
      <c r="N91" s="180"/>
      <c r="O91" s="180"/>
      <c r="P91" s="180"/>
      <c r="Q91" s="181"/>
    </row>
    <row r="92" spans="1:17" ht="15" hidden="1" customHeight="1" x14ac:dyDescent="0.25">
      <c r="A92" s="176">
        <v>6228</v>
      </c>
      <c r="B92" s="176">
        <v>150</v>
      </c>
      <c r="C92" s="176" t="s">
        <v>29</v>
      </c>
      <c r="D92" s="177" t="s">
        <v>38</v>
      </c>
      <c r="E92" s="176">
        <v>25</v>
      </c>
      <c r="F92" s="176" t="s">
        <v>186</v>
      </c>
      <c r="G92" s="176">
        <v>68</v>
      </c>
      <c r="H92" s="176" t="s">
        <v>202</v>
      </c>
      <c r="I92" s="178" t="s">
        <v>188</v>
      </c>
      <c r="J92" s="179">
        <v>1000</v>
      </c>
      <c r="K92" s="180" t="s">
        <v>314</v>
      </c>
      <c r="L92" s="180">
        <v>0.02</v>
      </c>
      <c r="M92" s="182" t="s">
        <v>315</v>
      </c>
      <c r="N92" s="180"/>
      <c r="O92" s="180"/>
      <c r="P92" s="180"/>
      <c r="Q92" s="181"/>
    </row>
    <row r="93" spans="1:17" ht="15" hidden="1" customHeight="1" x14ac:dyDescent="0.25">
      <c r="A93" s="176">
        <v>6228</v>
      </c>
      <c r="B93" s="176">
        <v>150</v>
      </c>
      <c r="C93" s="176" t="s">
        <v>29</v>
      </c>
      <c r="D93" s="177" t="s">
        <v>38</v>
      </c>
      <c r="E93" s="176">
        <v>25</v>
      </c>
      <c r="F93" s="176" t="s">
        <v>210</v>
      </c>
      <c r="G93" s="176">
        <v>3598</v>
      </c>
      <c r="H93" s="176" t="s">
        <v>216</v>
      </c>
      <c r="I93" s="178" t="s">
        <v>188</v>
      </c>
      <c r="J93" s="179">
        <v>2.976</v>
      </c>
      <c r="K93" s="180" t="s">
        <v>316</v>
      </c>
      <c r="L93" s="180">
        <v>0.1</v>
      </c>
      <c r="M93" s="180"/>
      <c r="N93" s="180"/>
      <c r="O93" s="180"/>
      <c r="P93" s="180"/>
      <c r="Q93" s="181"/>
    </row>
    <row r="94" spans="1:17" ht="15" hidden="1" customHeight="1" x14ac:dyDescent="0.25">
      <c r="A94" s="176">
        <v>6228</v>
      </c>
      <c r="B94" s="176">
        <v>150</v>
      </c>
      <c r="C94" s="176" t="s">
        <v>29</v>
      </c>
      <c r="D94" s="177" t="s">
        <v>38</v>
      </c>
      <c r="E94" s="176">
        <v>25</v>
      </c>
      <c r="F94" s="176" t="s">
        <v>183</v>
      </c>
      <c r="G94" s="176">
        <v>194</v>
      </c>
      <c r="H94" s="176" t="s">
        <v>184</v>
      </c>
      <c r="I94" s="178" t="s">
        <v>148</v>
      </c>
      <c r="J94" s="179">
        <v>6.1538499999999998E-3</v>
      </c>
      <c r="K94" s="180" t="s">
        <v>317</v>
      </c>
      <c r="L94" s="180">
        <v>0.1</v>
      </c>
      <c r="M94" s="180"/>
      <c r="N94" s="180"/>
      <c r="O94" s="180"/>
      <c r="P94" s="180"/>
      <c r="Q94" s="181"/>
    </row>
    <row r="95" spans="1:17" ht="15" hidden="1" customHeight="1" x14ac:dyDescent="0.25">
      <c r="A95" s="176">
        <v>6228</v>
      </c>
      <c r="B95" s="176">
        <v>150</v>
      </c>
      <c r="C95" s="176" t="s">
        <v>29</v>
      </c>
      <c r="D95" s="177" t="s">
        <v>38</v>
      </c>
      <c r="E95" s="176">
        <v>25</v>
      </c>
      <c r="F95" s="176" t="s">
        <v>162</v>
      </c>
      <c r="G95" s="176">
        <v>4155</v>
      </c>
      <c r="H95" s="176" t="s">
        <v>168</v>
      </c>
      <c r="I95" s="178" t="s">
        <v>148</v>
      </c>
      <c r="J95" s="179">
        <v>0.29199999999999998</v>
      </c>
      <c r="K95" s="180" t="s">
        <v>318</v>
      </c>
      <c r="L95" s="180">
        <v>0.1</v>
      </c>
      <c r="M95" s="180"/>
      <c r="N95" s="180"/>
      <c r="O95" s="180"/>
      <c r="P95" s="180"/>
      <c r="Q95" s="181"/>
    </row>
    <row r="96" spans="1:17" ht="15" hidden="1" customHeight="1" x14ac:dyDescent="0.25">
      <c r="A96" s="176">
        <v>6228</v>
      </c>
      <c r="B96" s="176">
        <v>150</v>
      </c>
      <c r="C96" s="176" t="s">
        <v>29</v>
      </c>
      <c r="D96" s="177" t="s">
        <v>38</v>
      </c>
      <c r="E96" s="176">
        <v>25</v>
      </c>
      <c r="F96" s="176" t="s">
        <v>332</v>
      </c>
      <c r="G96" s="176">
        <v>495</v>
      </c>
      <c r="H96" s="176" t="s">
        <v>333</v>
      </c>
      <c r="I96" s="178" t="s">
        <v>323</v>
      </c>
      <c r="J96" s="179">
        <v>2.976</v>
      </c>
      <c r="K96" s="180" t="s">
        <v>334</v>
      </c>
      <c r="L96" s="180">
        <v>0.1</v>
      </c>
      <c r="M96" s="180"/>
      <c r="N96" s="180"/>
      <c r="O96" s="180"/>
      <c r="P96" s="180"/>
      <c r="Q96" s="181"/>
    </row>
    <row r="97" spans="1:17" ht="15" hidden="1" customHeight="1" x14ac:dyDescent="0.25">
      <c r="A97" s="176">
        <v>6228</v>
      </c>
      <c r="B97" s="176">
        <v>150</v>
      </c>
      <c r="C97" s="176" t="s">
        <v>29</v>
      </c>
      <c r="D97" s="177" t="s">
        <v>38</v>
      </c>
      <c r="E97" s="176">
        <v>25</v>
      </c>
      <c r="F97" s="176" t="s">
        <v>220</v>
      </c>
      <c r="G97" s="176">
        <v>3635</v>
      </c>
      <c r="H97" s="176" t="s">
        <v>221</v>
      </c>
      <c r="I97" s="178" t="s">
        <v>188</v>
      </c>
      <c r="J97" s="179">
        <v>7.9000000000000001E-2</v>
      </c>
      <c r="K97" s="180" t="s">
        <v>320</v>
      </c>
      <c r="L97" s="180">
        <v>0.1</v>
      </c>
      <c r="M97" s="182"/>
      <c r="N97" s="180"/>
      <c r="O97" s="180"/>
      <c r="P97" s="180"/>
      <c r="Q97" s="181"/>
    </row>
    <row r="98" spans="1:17" ht="15" hidden="1" customHeight="1" x14ac:dyDescent="0.25">
      <c r="A98" s="176">
        <v>3447</v>
      </c>
      <c r="B98" s="176">
        <v>34</v>
      </c>
      <c r="C98" s="176" t="s">
        <v>26</v>
      </c>
      <c r="D98" s="177" t="s">
        <v>39</v>
      </c>
      <c r="E98" s="176">
        <v>25</v>
      </c>
      <c r="F98" s="176" t="s">
        <v>146</v>
      </c>
      <c r="G98" s="176">
        <v>6</v>
      </c>
      <c r="H98" s="176" t="s">
        <v>155</v>
      </c>
      <c r="I98" s="178" t="s">
        <v>148</v>
      </c>
      <c r="J98" s="179">
        <v>5.9169999999999998</v>
      </c>
      <c r="K98" s="180" t="s">
        <v>309</v>
      </c>
      <c r="L98" s="180">
        <v>0.1</v>
      </c>
      <c r="M98" s="182"/>
      <c r="N98" s="180"/>
      <c r="O98" s="180"/>
      <c r="P98" s="180"/>
      <c r="Q98" s="181"/>
    </row>
    <row r="99" spans="1:17" ht="15" hidden="1" customHeight="1" x14ac:dyDescent="0.25">
      <c r="A99" s="176">
        <v>3447</v>
      </c>
      <c r="B99" s="176">
        <v>34</v>
      </c>
      <c r="C99" s="176" t="s">
        <v>26</v>
      </c>
      <c r="D99" s="177" t="s">
        <v>39</v>
      </c>
      <c r="E99" s="176">
        <v>25</v>
      </c>
      <c r="F99" s="176" t="s">
        <v>169</v>
      </c>
      <c r="G99" s="176">
        <v>3595</v>
      </c>
      <c r="H99" s="176" t="s">
        <v>311</v>
      </c>
      <c r="I99" s="178" t="s">
        <v>148</v>
      </c>
      <c r="J99" s="179">
        <v>0.61</v>
      </c>
      <c r="K99" s="180" t="s">
        <v>312</v>
      </c>
      <c r="L99" s="180">
        <v>0.1</v>
      </c>
      <c r="M99" s="182" t="s">
        <v>329</v>
      </c>
      <c r="N99" s="180"/>
      <c r="O99" s="180"/>
      <c r="P99" s="180"/>
      <c r="Q99" s="181"/>
    </row>
    <row r="100" spans="1:17" ht="15" hidden="1" customHeight="1" x14ac:dyDescent="0.25">
      <c r="A100" s="176">
        <v>3447</v>
      </c>
      <c r="B100" s="176">
        <v>34</v>
      </c>
      <c r="C100" s="176" t="s">
        <v>26</v>
      </c>
      <c r="D100" s="177" t="s">
        <v>39</v>
      </c>
      <c r="E100" s="176">
        <v>25</v>
      </c>
      <c r="F100" s="176" t="s">
        <v>186</v>
      </c>
      <c r="G100" s="176">
        <v>68</v>
      </c>
      <c r="H100" s="176" t="s">
        <v>202</v>
      </c>
      <c r="I100" s="178" t="s">
        <v>188</v>
      </c>
      <c r="J100" s="179">
        <v>1000</v>
      </c>
      <c r="K100" s="180" t="s">
        <v>314</v>
      </c>
      <c r="L100" s="180">
        <v>0.02</v>
      </c>
      <c r="M100" s="182" t="s">
        <v>329</v>
      </c>
      <c r="N100" s="180"/>
      <c r="O100" s="180"/>
      <c r="P100" s="180"/>
      <c r="Q100" s="181"/>
    </row>
    <row r="101" spans="1:17" ht="15" hidden="1" customHeight="1" x14ac:dyDescent="0.25">
      <c r="A101" s="176">
        <v>3447</v>
      </c>
      <c r="B101" s="176">
        <v>34</v>
      </c>
      <c r="C101" s="176" t="s">
        <v>26</v>
      </c>
      <c r="D101" s="177" t="s">
        <v>39</v>
      </c>
      <c r="E101" s="176">
        <v>25</v>
      </c>
      <c r="F101" s="176" t="s">
        <v>210</v>
      </c>
      <c r="G101" s="176">
        <v>3598</v>
      </c>
      <c r="H101" s="176" t="s">
        <v>216</v>
      </c>
      <c r="I101" s="178" t="s">
        <v>188</v>
      </c>
      <c r="J101" s="179">
        <v>2.976</v>
      </c>
      <c r="K101" s="180" t="s">
        <v>316</v>
      </c>
      <c r="L101" s="180">
        <v>0.1</v>
      </c>
      <c r="M101" s="182"/>
      <c r="N101" s="180"/>
      <c r="O101" s="180"/>
      <c r="P101" s="180"/>
      <c r="Q101" s="181"/>
    </row>
    <row r="102" spans="1:17" ht="15" hidden="1" customHeight="1" x14ac:dyDescent="0.25">
      <c r="A102" s="176">
        <v>3447</v>
      </c>
      <c r="B102" s="176">
        <v>34</v>
      </c>
      <c r="C102" s="176" t="s">
        <v>26</v>
      </c>
      <c r="D102" s="177" t="s">
        <v>39</v>
      </c>
      <c r="E102" s="176">
        <v>25</v>
      </c>
      <c r="F102" s="176" t="s">
        <v>183</v>
      </c>
      <c r="G102" s="176">
        <v>194</v>
      </c>
      <c r="H102" s="176" t="s">
        <v>184</v>
      </c>
      <c r="I102" s="178" t="s">
        <v>148</v>
      </c>
      <c r="J102" s="179">
        <v>6.1500000000000001E-3</v>
      </c>
      <c r="K102" s="180" t="s">
        <v>317</v>
      </c>
      <c r="L102" s="180">
        <v>0.1</v>
      </c>
      <c r="M102" s="180"/>
      <c r="N102" s="180"/>
      <c r="O102" s="180"/>
      <c r="P102" s="180"/>
      <c r="Q102" s="181"/>
    </row>
    <row r="103" spans="1:17" ht="15" hidden="1" customHeight="1" x14ac:dyDescent="0.25">
      <c r="A103" s="176">
        <v>3447</v>
      </c>
      <c r="B103" s="176">
        <v>34</v>
      </c>
      <c r="C103" s="176" t="s">
        <v>26</v>
      </c>
      <c r="D103" s="177" t="s">
        <v>39</v>
      </c>
      <c r="E103" s="176">
        <v>25</v>
      </c>
      <c r="F103" s="176" t="s">
        <v>162</v>
      </c>
      <c r="G103" s="176">
        <v>185</v>
      </c>
      <c r="H103" s="176" t="s">
        <v>164</v>
      </c>
      <c r="I103" s="178" t="s">
        <v>165</v>
      </c>
      <c r="J103" s="179">
        <v>0.37369999999999998</v>
      </c>
      <c r="K103" s="180" t="s">
        <v>318</v>
      </c>
      <c r="L103" s="180">
        <v>0.1</v>
      </c>
      <c r="M103" s="182" t="s">
        <v>329</v>
      </c>
      <c r="N103" s="180"/>
      <c r="O103" s="180"/>
      <c r="P103" s="180"/>
      <c r="Q103" s="181"/>
    </row>
    <row r="104" spans="1:17" ht="15" hidden="1" customHeight="1" x14ac:dyDescent="0.25">
      <c r="A104" s="176">
        <v>3447</v>
      </c>
      <c r="B104" s="176">
        <v>34</v>
      </c>
      <c r="C104" s="176" t="s">
        <v>26</v>
      </c>
      <c r="D104" s="177" t="s">
        <v>39</v>
      </c>
      <c r="E104" s="176">
        <v>25</v>
      </c>
      <c r="F104" s="176" t="s">
        <v>220</v>
      </c>
      <c r="G104" s="176">
        <v>3635</v>
      </c>
      <c r="H104" s="176" t="s">
        <v>221</v>
      </c>
      <c r="I104" s="178" t="s">
        <v>188</v>
      </c>
      <c r="J104" s="179">
        <v>4.7119999999999997</v>
      </c>
      <c r="K104" s="180" t="s">
        <v>320</v>
      </c>
      <c r="L104" s="180">
        <v>0.1</v>
      </c>
      <c r="M104" s="182"/>
      <c r="N104" s="180"/>
      <c r="O104" s="180"/>
      <c r="P104" s="180"/>
      <c r="Q104" s="181"/>
    </row>
    <row r="105" spans="1:17" ht="15" hidden="1" customHeight="1" x14ac:dyDescent="0.25">
      <c r="A105" s="176">
        <v>3726</v>
      </c>
      <c r="B105" s="176">
        <v>9</v>
      </c>
      <c r="C105" s="176" t="s">
        <v>26</v>
      </c>
      <c r="D105" s="177" t="s">
        <v>40</v>
      </c>
      <c r="E105" s="176">
        <v>25</v>
      </c>
      <c r="F105" s="176" t="s">
        <v>146</v>
      </c>
      <c r="G105" s="176">
        <v>6</v>
      </c>
      <c r="H105" s="176" t="s">
        <v>155</v>
      </c>
      <c r="I105" s="178" t="s">
        <v>148</v>
      </c>
      <c r="J105" s="179">
        <v>5.9169999999999998</v>
      </c>
      <c r="K105" s="180" t="s">
        <v>309</v>
      </c>
      <c r="L105" s="180">
        <v>0.1</v>
      </c>
      <c r="M105" s="180"/>
      <c r="N105" s="180"/>
      <c r="O105" s="180"/>
      <c r="P105" s="180"/>
      <c r="Q105" s="181"/>
    </row>
    <row r="106" spans="1:17" ht="15" hidden="1" customHeight="1" x14ac:dyDescent="0.25">
      <c r="A106" s="176">
        <v>3726</v>
      </c>
      <c r="B106" s="176">
        <v>9</v>
      </c>
      <c r="C106" s="176" t="s">
        <v>26</v>
      </c>
      <c r="D106" s="177" t="s">
        <v>40</v>
      </c>
      <c r="E106" s="176">
        <v>25</v>
      </c>
      <c r="F106" s="176" t="s">
        <v>169</v>
      </c>
      <c r="G106" s="176">
        <v>3595</v>
      </c>
      <c r="H106" s="176" t="s">
        <v>311</v>
      </c>
      <c r="I106" s="178" t="s">
        <v>148</v>
      </c>
      <c r="J106" s="179">
        <v>0.61199999999999999</v>
      </c>
      <c r="K106" s="180" t="s">
        <v>312</v>
      </c>
      <c r="L106" s="180">
        <v>0.1</v>
      </c>
      <c r="M106" s="182" t="s">
        <v>329</v>
      </c>
      <c r="N106" s="180"/>
      <c r="O106" s="180"/>
      <c r="P106" s="180"/>
      <c r="Q106" s="181"/>
    </row>
    <row r="107" spans="1:17" ht="15" hidden="1" customHeight="1" x14ac:dyDescent="0.25">
      <c r="A107" s="176">
        <v>3726</v>
      </c>
      <c r="B107" s="176">
        <v>9</v>
      </c>
      <c r="C107" s="176" t="s">
        <v>26</v>
      </c>
      <c r="D107" s="177" t="s">
        <v>40</v>
      </c>
      <c r="E107" s="176">
        <v>25</v>
      </c>
      <c r="F107" s="176" t="s">
        <v>186</v>
      </c>
      <c r="G107" s="176">
        <v>68</v>
      </c>
      <c r="H107" s="176" t="s">
        <v>202</v>
      </c>
      <c r="I107" s="178" t="s">
        <v>188</v>
      </c>
      <c r="J107" s="179">
        <v>1000</v>
      </c>
      <c r="K107" s="180" t="s">
        <v>314</v>
      </c>
      <c r="L107" s="180">
        <v>0.02</v>
      </c>
      <c r="M107" s="182" t="s">
        <v>315</v>
      </c>
      <c r="N107" s="180"/>
      <c r="O107" s="180"/>
      <c r="P107" s="180"/>
      <c r="Q107" s="181"/>
    </row>
    <row r="108" spans="1:17" ht="15" hidden="1" customHeight="1" x14ac:dyDescent="0.25">
      <c r="A108" s="176">
        <v>3726</v>
      </c>
      <c r="B108" s="176">
        <v>9</v>
      </c>
      <c r="C108" s="176" t="s">
        <v>26</v>
      </c>
      <c r="D108" s="177" t="s">
        <v>40</v>
      </c>
      <c r="E108" s="176">
        <v>25</v>
      </c>
      <c r="F108" s="176" t="s">
        <v>210</v>
      </c>
      <c r="G108" s="176">
        <v>3598</v>
      </c>
      <c r="H108" s="176" t="s">
        <v>216</v>
      </c>
      <c r="I108" s="178" t="s">
        <v>188</v>
      </c>
      <c r="J108" s="179">
        <v>2.976</v>
      </c>
      <c r="K108" s="180" t="s">
        <v>316</v>
      </c>
      <c r="L108" s="180">
        <v>0.1</v>
      </c>
      <c r="M108" s="182"/>
      <c r="N108" s="180"/>
      <c r="O108" s="180"/>
      <c r="P108" s="180"/>
      <c r="Q108" s="181"/>
    </row>
    <row r="109" spans="1:17" ht="15" hidden="1" customHeight="1" x14ac:dyDescent="0.25">
      <c r="A109" s="176">
        <v>3726</v>
      </c>
      <c r="B109" s="176">
        <v>9</v>
      </c>
      <c r="C109" s="176" t="s">
        <v>26</v>
      </c>
      <c r="D109" s="177" t="s">
        <v>40</v>
      </c>
      <c r="E109" s="176">
        <v>25</v>
      </c>
      <c r="F109" s="176" t="s">
        <v>183</v>
      </c>
      <c r="G109" s="176">
        <v>194</v>
      </c>
      <c r="H109" s="176" t="s">
        <v>184</v>
      </c>
      <c r="I109" s="178" t="s">
        <v>148</v>
      </c>
      <c r="J109" s="179">
        <v>6.1500000000000001E-3</v>
      </c>
      <c r="K109" s="180" t="s">
        <v>317</v>
      </c>
      <c r="L109" s="180">
        <v>0.1</v>
      </c>
      <c r="M109" s="180"/>
      <c r="N109" s="180"/>
      <c r="O109" s="180"/>
      <c r="P109" s="180"/>
      <c r="Q109" s="181"/>
    </row>
    <row r="110" spans="1:17" ht="15" hidden="1" customHeight="1" x14ac:dyDescent="0.25">
      <c r="A110" s="176">
        <v>3726</v>
      </c>
      <c r="B110" s="176">
        <v>9</v>
      </c>
      <c r="C110" s="176" t="s">
        <v>26</v>
      </c>
      <c r="D110" s="177" t="s">
        <v>40</v>
      </c>
      <c r="E110" s="176">
        <v>25</v>
      </c>
      <c r="F110" s="176" t="s">
        <v>162</v>
      </c>
      <c r="G110" s="176">
        <v>185</v>
      </c>
      <c r="H110" s="176" t="s">
        <v>164</v>
      </c>
      <c r="I110" s="178" t="s">
        <v>165</v>
      </c>
      <c r="J110" s="179">
        <v>0.29199999999999998</v>
      </c>
      <c r="K110" s="180" t="s">
        <v>318</v>
      </c>
      <c r="L110" s="180">
        <v>0.1</v>
      </c>
      <c r="M110" s="182" t="s">
        <v>329</v>
      </c>
      <c r="N110" s="180"/>
      <c r="O110" s="180"/>
      <c r="P110" s="180"/>
      <c r="Q110" s="181"/>
    </row>
    <row r="111" spans="1:17" ht="15" hidden="1" customHeight="1" x14ac:dyDescent="0.25">
      <c r="A111" s="176">
        <v>3726</v>
      </c>
      <c r="B111" s="176">
        <v>9</v>
      </c>
      <c r="C111" s="176" t="s">
        <v>26</v>
      </c>
      <c r="D111" s="177" t="s">
        <v>40</v>
      </c>
      <c r="E111" s="176">
        <v>25</v>
      </c>
      <c r="F111" s="176" t="s">
        <v>220</v>
      </c>
      <c r="G111" s="176">
        <v>3635</v>
      </c>
      <c r="H111" s="176" t="s">
        <v>221</v>
      </c>
      <c r="I111" s="178" t="s">
        <v>188</v>
      </c>
      <c r="J111" s="179">
        <v>7.9000000000000001E-2</v>
      </c>
      <c r="K111" s="180" t="s">
        <v>320</v>
      </c>
      <c r="L111" s="180">
        <v>0.1</v>
      </c>
      <c r="M111" s="182"/>
      <c r="N111" s="180"/>
      <c r="O111" s="180"/>
      <c r="P111" s="180"/>
      <c r="Q111" s="181"/>
    </row>
    <row r="112" spans="1:17" ht="15" hidden="1" customHeight="1" x14ac:dyDescent="0.25">
      <c r="A112" s="176">
        <v>6470</v>
      </c>
      <c r="B112" s="176">
        <v>177</v>
      </c>
      <c r="C112" s="176" t="s">
        <v>335</v>
      </c>
      <c r="D112" s="177" t="s">
        <v>41</v>
      </c>
      <c r="E112" s="176">
        <v>25</v>
      </c>
      <c r="F112" s="176" t="s">
        <v>146</v>
      </c>
      <c r="G112" s="176">
        <v>6</v>
      </c>
      <c r="H112" s="176" t="s">
        <v>155</v>
      </c>
      <c r="I112" s="178" t="s">
        <v>148</v>
      </c>
      <c r="J112" s="179">
        <v>5.9169999999999998</v>
      </c>
      <c r="K112" s="180" t="s">
        <v>309</v>
      </c>
      <c r="L112" s="180">
        <v>0.1</v>
      </c>
      <c r="M112" s="180"/>
      <c r="N112" s="180"/>
      <c r="O112" s="180"/>
      <c r="P112" s="180"/>
      <c r="Q112" s="181"/>
    </row>
    <row r="113" spans="1:17" ht="15" hidden="1" customHeight="1" x14ac:dyDescent="0.25">
      <c r="A113" s="176">
        <v>6470</v>
      </c>
      <c r="B113" s="176">
        <v>177</v>
      </c>
      <c r="C113" s="176" t="s">
        <v>335</v>
      </c>
      <c r="D113" s="177" t="s">
        <v>41</v>
      </c>
      <c r="E113" s="176">
        <v>25</v>
      </c>
      <c r="F113" s="176" t="s">
        <v>169</v>
      </c>
      <c r="G113" s="176">
        <v>3595</v>
      </c>
      <c r="H113" s="176" t="s">
        <v>311</v>
      </c>
      <c r="I113" s="178" t="s">
        <v>148</v>
      </c>
      <c r="J113" s="179">
        <v>0.61199999999999999</v>
      </c>
      <c r="K113" s="180" t="s">
        <v>312</v>
      </c>
      <c r="L113" s="180">
        <v>0.1</v>
      </c>
      <c r="M113" s="182" t="s">
        <v>313</v>
      </c>
      <c r="N113" s="180"/>
      <c r="O113" s="180"/>
      <c r="P113" s="180"/>
      <c r="Q113" s="181"/>
    </row>
    <row r="114" spans="1:17" ht="15" hidden="1" customHeight="1" x14ac:dyDescent="0.25">
      <c r="A114" s="176">
        <v>6470</v>
      </c>
      <c r="B114" s="176">
        <v>177</v>
      </c>
      <c r="C114" s="176" t="s">
        <v>335</v>
      </c>
      <c r="D114" s="177" t="s">
        <v>41</v>
      </c>
      <c r="E114" s="176">
        <v>25</v>
      </c>
      <c r="F114" s="176" t="s">
        <v>186</v>
      </c>
      <c r="G114" s="176">
        <v>68</v>
      </c>
      <c r="H114" s="176" t="s">
        <v>202</v>
      </c>
      <c r="I114" s="178" t="s">
        <v>188</v>
      </c>
      <c r="J114" s="179">
        <v>1000</v>
      </c>
      <c r="K114" s="180" t="s">
        <v>314</v>
      </c>
      <c r="L114" s="180">
        <v>0.02</v>
      </c>
      <c r="M114" s="182" t="s">
        <v>315</v>
      </c>
      <c r="N114" s="180"/>
      <c r="O114" s="180"/>
      <c r="P114" s="180"/>
      <c r="Q114" s="181"/>
    </row>
    <row r="115" spans="1:17" ht="15" hidden="1" customHeight="1" x14ac:dyDescent="0.25">
      <c r="A115" s="176">
        <v>6470</v>
      </c>
      <c r="B115" s="176">
        <v>177</v>
      </c>
      <c r="C115" s="176" t="s">
        <v>335</v>
      </c>
      <c r="D115" s="177" t="s">
        <v>41</v>
      </c>
      <c r="E115" s="176">
        <v>25</v>
      </c>
      <c r="F115" s="176" t="s">
        <v>210</v>
      </c>
      <c r="G115" s="176">
        <v>3598</v>
      </c>
      <c r="H115" s="176" t="s">
        <v>216</v>
      </c>
      <c r="I115" s="178" t="s">
        <v>188</v>
      </c>
      <c r="J115" s="179">
        <v>2.976</v>
      </c>
      <c r="K115" s="180" t="s">
        <v>316</v>
      </c>
      <c r="L115" s="180">
        <v>0.1</v>
      </c>
      <c r="M115" s="180"/>
      <c r="N115" s="180"/>
      <c r="O115" s="180"/>
      <c r="P115" s="180"/>
      <c r="Q115" s="181"/>
    </row>
    <row r="116" spans="1:17" ht="15" hidden="1" customHeight="1" x14ac:dyDescent="0.25">
      <c r="A116" s="176">
        <v>6470</v>
      </c>
      <c r="B116" s="176">
        <v>177</v>
      </c>
      <c r="C116" s="176" t="s">
        <v>335</v>
      </c>
      <c r="D116" s="177" t="s">
        <v>41</v>
      </c>
      <c r="E116" s="176">
        <v>25</v>
      </c>
      <c r="F116" s="176" t="s">
        <v>183</v>
      </c>
      <c r="G116" s="176">
        <v>194</v>
      </c>
      <c r="H116" s="176" t="s">
        <v>184</v>
      </c>
      <c r="I116" s="178" t="s">
        <v>148</v>
      </c>
      <c r="J116" s="179">
        <v>6.1539999999999997E-3</v>
      </c>
      <c r="K116" s="180" t="s">
        <v>317</v>
      </c>
      <c r="L116" s="180">
        <v>0.1</v>
      </c>
      <c r="M116" s="180"/>
      <c r="N116" s="180"/>
      <c r="O116" s="180"/>
      <c r="P116" s="180"/>
      <c r="Q116" s="181"/>
    </row>
    <row r="117" spans="1:17" ht="15" hidden="1" customHeight="1" x14ac:dyDescent="0.25">
      <c r="A117" s="176">
        <v>6470</v>
      </c>
      <c r="B117" s="176">
        <v>177</v>
      </c>
      <c r="C117" s="176" t="s">
        <v>335</v>
      </c>
      <c r="D117" s="177" t="s">
        <v>41</v>
      </c>
      <c r="E117" s="176">
        <v>25</v>
      </c>
      <c r="F117" s="176" t="s">
        <v>162</v>
      </c>
      <c r="G117" s="176">
        <v>185</v>
      </c>
      <c r="H117" s="176" t="s">
        <v>164</v>
      </c>
      <c r="I117" s="178" t="s">
        <v>165</v>
      </c>
      <c r="J117" s="179">
        <v>0.29199999999999998</v>
      </c>
      <c r="K117" s="180" t="s">
        <v>318</v>
      </c>
      <c r="L117" s="180">
        <v>0.1</v>
      </c>
      <c r="M117" s="180"/>
      <c r="N117" s="180"/>
      <c r="O117" s="180"/>
      <c r="P117" s="180"/>
      <c r="Q117" s="181"/>
    </row>
    <row r="118" spans="1:17" ht="15" hidden="1" customHeight="1" x14ac:dyDescent="0.25">
      <c r="A118" s="176">
        <v>6470</v>
      </c>
      <c r="B118" s="176">
        <v>177</v>
      </c>
      <c r="C118" s="176" t="s">
        <v>335</v>
      </c>
      <c r="D118" s="177" t="s">
        <v>41</v>
      </c>
      <c r="E118" s="176">
        <v>25</v>
      </c>
      <c r="F118" s="176" t="s">
        <v>220</v>
      </c>
      <c r="G118" s="176">
        <v>3635</v>
      </c>
      <c r="H118" s="176" t="s">
        <v>221</v>
      </c>
      <c r="I118" s="178" t="s">
        <v>188</v>
      </c>
      <c r="J118" s="179">
        <v>7.9000000000000001E-2</v>
      </c>
      <c r="K118" s="180" t="s">
        <v>320</v>
      </c>
      <c r="L118" s="180">
        <v>0.1</v>
      </c>
      <c r="M118" s="180"/>
      <c r="N118" s="180"/>
      <c r="O118" s="180"/>
      <c r="P118" s="180"/>
      <c r="Q118" s="181"/>
    </row>
    <row r="119" spans="1:17" ht="15" hidden="1" customHeight="1" x14ac:dyDescent="0.25">
      <c r="A119" s="176">
        <v>6470</v>
      </c>
      <c r="B119" s="176">
        <v>177</v>
      </c>
      <c r="C119" s="176" t="s">
        <v>335</v>
      </c>
      <c r="D119" s="177" t="s">
        <v>41</v>
      </c>
      <c r="E119" s="176">
        <v>25</v>
      </c>
      <c r="F119" s="176" t="s">
        <v>261</v>
      </c>
      <c r="G119" s="176">
        <v>3754</v>
      </c>
      <c r="H119" s="176" t="s">
        <v>265</v>
      </c>
      <c r="I119" s="178" t="s">
        <v>148</v>
      </c>
      <c r="J119" s="179">
        <v>2.5000000000000001E-2</v>
      </c>
      <c r="K119" s="180" t="s">
        <v>336</v>
      </c>
      <c r="L119" s="180">
        <v>0.1</v>
      </c>
      <c r="M119" s="180"/>
      <c r="N119" s="180"/>
      <c r="O119" s="180"/>
      <c r="P119" s="180"/>
      <c r="Q119" s="181"/>
    </row>
    <row r="120" spans="1:17" ht="15" hidden="1" customHeight="1" x14ac:dyDescent="0.25">
      <c r="A120" s="176">
        <v>6470</v>
      </c>
      <c r="B120" s="176">
        <v>177</v>
      </c>
      <c r="C120" s="176" t="s">
        <v>335</v>
      </c>
      <c r="D120" s="177" t="s">
        <v>41</v>
      </c>
      <c r="E120" s="176">
        <v>25</v>
      </c>
      <c r="F120" s="176" t="s">
        <v>261</v>
      </c>
      <c r="G120" s="176">
        <v>3955</v>
      </c>
      <c r="H120" s="176" t="s">
        <v>270</v>
      </c>
      <c r="I120" s="178" t="s">
        <v>148</v>
      </c>
      <c r="J120" s="179">
        <v>2.5000000000000001E-2</v>
      </c>
      <c r="K120" s="180" t="s">
        <v>336</v>
      </c>
      <c r="L120" s="180">
        <v>0.1</v>
      </c>
      <c r="M120" s="182"/>
      <c r="N120" s="180"/>
      <c r="O120" s="180"/>
      <c r="P120" s="180"/>
      <c r="Q120" s="181"/>
    </row>
    <row r="121" spans="1:17" ht="15" hidden="1" customHeight="1" x14ac:dyDescent="0.25">
      <c r="A121" s="176">
        <v>6506</v>
      </c>
      <c r="B121" s="176">
        <v>179</v>
      </c>
      <c r="C121" s="176" t="s">
        <v>26</v>
      </c>
      <c r="D121" s="177" t="s">
        <v>42</v>
      </c>
      <c r="E121" s="176">
        <v>25</v>
      </c>
      <c r="F121" s="176" t="s">
        <v>146</v>
      </c>
      <c r="G121" s="176">
        <v>6</v>
      </c>
      <c r="H121" s="176" t="s">
        <v>155</v>
      </c>
      <c r="I121" s="178" t="s">
        <v>148</v>
      </c>
      <c r="J121" s="179">
        <v>5.9169999999999998</v>
      </c>
      <c r="K121" s="180" t="s">
        <v>309</v>
      </c>
      <c r="L121" s="180">
        <v>0.1</v>
      </c>
      <c r="M121" s="180"/>
      <c r="N121" s="180"/>
      <c r="O121" s="180"/>
      <c r="P121" s="180"/>
      <c r="Q121" s="181"/>
    </row>
    <row r="122" spans="1:17" ht="15" hidden="1" customHeight="1" x14ac:dyDescent="0.25">
      <c r="A122" s="176">
        <v>6506</v>
      </c>
      <c r="B122" s="176">
        <v>179</v>
      </c>
      <c r="C122" s="176" t="s">
        <v>26</v>
      </c>
      <c r="D122" s="177" t="s">
        <v>42</v>
      </c>
      <c r="E122" s="176">
        <v>25</v>
      </c>
      <c r="F122" s="176" t="s">
        <v>169</v>
      </c>
      <c r="G122" s="176">
        <v>3595</v>
      </c>
      <c r="H122" s="176" t="s">
        <v>311</v>
      </c>
      <c r="I122" s="178" t="s">
        <v>148</v>
      </c>
      <c r="J122" s="179">
        <v>0.61199999999999999</v>
      </c>
      <c r="K122" s="180" t="s">
        <v>312</v>
      </c>
      <c r="L122" s="180">
        <v>0.1</v>
      </c>
      <c r="M122" s="182" t="s">
        <v>313</v>
      </c>
      <c r="N122" s="180"/>
      <c r="O122" s="180"/>
      <c r="P122" s="180"/>
      <c r="Q122" s="181"/>
    </row>
    <row r="123" spans="1:17" ht="15" hidden="1" customHeight="1" x14ac:dyDescent="0.25">
      <c r="A123" s="176">
        <v>6506</v>
      </c>
      <c r="B123" s="176">
        <v>179</v>
      </c>
      <c r="C123" s="176" t="s">
        <v>26</v>
      </c>
      <c r="D123" s="177" t="s">
        <v>42</v>
      </c>
      <c r="E123" s="176">
        <v>25</v>
      </c>
      <c r="F123" s="176" t="s">
        <v>186</v>
      </c>
      <c r="G123" s="176">
        <v>68</v>
      </c>
      <c r="H123" s="176" t="s">
        <v>202</v>
      </c>
      <c r="I123" s="178" t="s">
        <v>188</v>
      </c>
      <c r="J123" s="179">
        <v>1000</v>
      </c>
      <c r="K123" s="180" t="s">
        <v>314</v>
      </c>
      <c r="L123" s="180">
        <v>0.02</v>
      </c>
      <c r="M123" s="182" t="s">
        <v>315</v>
      </c>
      <c r="N123" s="180"/>
      <c r="O123" s="180"/>
      <c r="P123" s="180"/>
      <c r="Q123" s="181"/>
    </row>
    <row r="124" spans="1:17" ht="15" hidden="1" customHeight="1" x14ac:dyDescent="0.25">
      <c r="A124" s="176">
        <v>6506</v>
      </c>
      <c r="B124" s="176">
        <v>179</v>
      </c>
      <c r="C124" s="176" t="s">
        <v>26</v>
      </c>
      <c r="D124" s="177" t="s">
        <v>42</v>
      </c>
      <c r="E124" s="176">
        <v>25</v>
      </c>
      <c r="F124" s="176" t="s">
        <v>210</v>
      </c>
      <c r="G124" s="176">
        <v>3598</v>
      </c>
      <c r="H124" s="176" t="s">
        <v>216</v>
      </c>
      <c r="I124" s="178" t="s">
        <v>188</v>
      </c>
      <c r="J124" s="179">
        <v>2.976</v>
      </c>
      <c r="K124" s="180" t="s">
        <v>316</v>
      </c>
      <c r="L124" s="180">
        <v>0.1</v>
      </c>
      <c r="M124" s="180"/>
      <c r="N124" s="180"/>
      <c r="O124" s="180"/>
      <c r="P124" s="180"/>
      <c r="Q124" s="181"/>
    </row>
    <row r="125" spans="1:17" ht="15" hidden="1" customHeight="1" x14ac:dyDescent="0.25">
      <c r="A125" s="176">
        <v>6506</v>
      </c>
      <c r="B125" s="176">
        <v>179</v>
      </c>
      <c r="C125" s="176" t="s">
        <v>26</v>
      </c>
      <c r="D125" s="177" t="s">
        <v>42</v>
      </c>
      <c r="E125" s="176">
        <v>25</v>
      </c>
      <c r="F125" s="176" t="s">
        <v>183</v>
      </c>
      <c r="G125" s="176">
        <v>194</v>
      </c>
      <c r="H125" s="176" t="s">
        <v>184</v>
      </c>
      <c r="I125" s="178" t="s">
        <v>148</v>
      </c>
      <c r="J125" s="179">
        <v>6.1539999999999997E-3</v>
      </c>
      <c r="K125" s="180" t="s">
        <v>317</v>
      </c>
      <c r="L125" s="180">
        <v>0.1</v>
      </c>
      <c r="M125" s="180"/>
      <c r="N125" s="180"/>
      <c r="O125" s="180"/>
      <c r="P125" s="180"/>
      <c r="Q125" s="181"/>
    </row>
    <row r="126" spans="1:17" ht="15" hidden="1" customHeight="1" x14ac:dyDescent="0.25">
      <c r="A126" s="176">
        <v>6506</v>
      </c>
      <c r="B126" s="176">
        <v>179</v>
      </c>
      <c r="C126" s="176" t="s">
        <v>26</v>
      </c>
      <c r="D126" s="177" t="s">
        <v>42</v>
      </c>
      <c r="E126" s="176">
        <v>25</v>
      </c>
      <c r="F126" s="176" t="s">
        <v>162</v>
      </c>
      <c r="G126" s="176">
        <v>185</v>
      </c>
      <c r="H126" s="176" t="s">
        <v>164</v>
      </c>
      <c r="I126" s="178" t="s">
        <v>165</v>
      </c>
      <c r="J126" s="179">
        <v>0.29199999999999998</v>
      </c>
      <c r="K126" s="180" t="s">
        <v>318</v>
      </c>
      <c r="L126" s="180">
        <v>0.1</v>
      </c>
      <c r="M126" s="180"/>
      <c r="N126" s="180"/>
      <c r="O126" s="180"/>
      <c r="P126" s="180"/>
      <c r="Q126" s="181"/>
    </row>
    <row r="127" spans="1:17" ht="15" hidden="1" customHeight="1" x14ac:dyDescent="0.25">
      <c r="A127" s="176">
        <v>6506</v>
      </c>
      <c r="B127" s="176">
        <v>179</v>
      </c>
      <c r="C127" s="176" t="s">
        <v>26</v>
      </c>
      <c r="D127" s="177" t="s">
        <v>42</v>
      </c>
      <c r="E127" s="176">
        <v>25</v>
      </c>
      <c r="F127" s="176" t="s">
        <v>220</v>
      </c>
      <c r="G127" s="176">
        <v>3635</v>
      </c>
      <c r="H127" s="176" t="s">
        <v>221</v>
      </c>
      <c r="I127" s="178" t="s">
        <v>188</v>
      </c>
      <c r="J127" s="179">
        <v>7.9000000000000001E-2</v>
      </c>
      <c r="K127" s="180" t="s">
        <v>320</v>
      </c>
      <c r="L127" s="180">
        <v>0.1</v>
      </c>
      <c r="M127" s="182"/>
      <c r="N127" s="180"/>
      <c r="O127" s="180"/>
      <c r="P127" s="180"/>
      <c r="Q127" s="181"/>
    </row>
    <row r="128" spans="1:17" ht="15" hidden="1" customHeight="1" x14ac:dyDescent="0.25">
      <c r="A128" s="176">
        <v>6532</v>
      </c>
      <c r="B128" s="176">
        <v>181</v>
      </c>
      <c r="C128" s="176" t="s">
        <v>26</v>
      </c>
      <c r="D128" s="177" t="s">
        <v>43</v>
      </c>
      <c r="E128" s="176">
        <v>25</v>
      </c>
      <c r="F128" s="176" t="s">
        <v>146</v>
      </c>
      <c r="G128" s="176">
        <v>6</v>
      </c>
      <c r="H128" s="176" t="s">
        <v>155</v>
      </c>
      <c r="I128" s="178" t="s">
        <v>148</v>
      </c>
      <c r="J128" s="179">
        <v>5.9169999999999998</v>
      </c>
      <c r="K128" s="180" t="s">
        <v>309</v>
      </c>
      <c r="L128" s="180">
        <v>0.1</v>
      </c>
      <c r="M128" s="180"/>
      <c r="N128" s="180"/>
      <c r="O128" s="180"/>
      <c r="P128" s="180"/>
      <c r="Q128" s="181"/>
    </row>
    <row r="129" spans="1:17" ht="15" hidden="1" customHeight="1" x14ac:dyDescent="0.25">
      <c r="A129" s="176">
        <v>6532</v>
      </c>
      <c r="B129" s="176">
        <v>181</v>
      </c>
      <c r="C129" s="176" t="s">
        <v>26</v>
      </c>
      <c r="D129" s="177" t="s">
        <v>43</v>
      </c>
      <c r="E129" s="176">
        <v>25</v>
      </c>
      <c r="F129" s="176" t="s">
        <v>169</v>
      </c>
      <c r="G129" s="176">
        <v>3595</v>
      </c>
      <c r="H129" s="176" t="s">
        <v>311</v>
      </c>
      <c r="I129" s="178" t="s">
        <v>148</v>
      </c>
      <c r="J129" s="179">
        <v>0.61199999999999999</v>
      </c>
      <c r="K129" s="180" t="s">
        <v>312</v>
      </c>
      <c r="L129" s="180">
        <v>0.1</v>
      </c>
      <c r="M129" s="182" t="s">
        <v>329</v>
      </c>
      <c r="N129" s="180"/>
      <c r="O129" s="180"/>
      <c r="P129" s="180"/>
      <c r="Q129" s="181"/>
    </row>
    <row r="130" spans="1:17" ht="15" hidden="1" customHeight="1" x14ac:dyDescent="0.25">
      <c r="A130" s="176">
        <v>6532</v>
      </c>
      <c r="B130" s="176">
        <v>181</v>
      </c>
      <c r="C130" s="176" t="s">
        <v>26</v>
      </c>
      <c r="D130" s="177" t="s">
        <v>43</v>
      </c>
      <c r="E130" s="176">
        <v>25</v>
      </c>
      <c r="F130" s="176" t="s">
        <v>186</v>
      </c>
      <c r="G130" s="176">
        <v>68</v>
      </c>
      <c r="H130" s="176" t="s">
        <v>202</v>
      </c>
      <c r="I130" s="178" t="s">
        <v>188</v>
      </c>
      <c r="J130" s="179">
        <v>1000</v>
      </c>
      <c r="K130" s="180" t="s">
        <v>314</v>
      </c>
      <c r="L130" s="180">
        <v>0.02</v>
      </c>
      <c r="M130" s="182" t="s">
        <v>315</v>
      </c>
      <c r="N130" s="180"/>
      <c r="O130" s="180"/>
      <c r="P130" s="180"/>
      <c r="Q130" s="181"/>
    </row>
    <row r="131" spans="1:17" ht="15" hidden="1" customHeight="1" x14ac:dyDescent="0.25">
      <c r="A131" s="176">
        <v>6532</v>
      </c>
      <c r="B131" s="176">
        <v>181</v>
      </c>
      <c r="C131" s="176" t="s">
        <v>26</v>
      </c>
      <c r="D131" s="177" t="s">
        <v>43</v>
      </c>
      <c r="E131" s="176">
        <v>25</v>
      </c>
      <c r="F131" s="176" t="s">
        <v>210</v>
      </c>
      <c r="G131" s="176">
        <v>3598</v>
      </c>
      <c r="H131" s="176" t="s">
        <v>216</v>
      </c>
      <c r="I131" s="178" t="s">
        <v>188</v>
      </c>
      <c r="J131" s="179">
        <v>2.976</v>
      </c>
      <c r="K131" s="180" t="s">
        <v>316</v>
      </c>
      <c r="L131" s="180">
        <v>0.1</v>
      </c>
      <c r="M131" s="182" t="s">
        <v>337</v>
      </c>
      <c r="N131" s="180"/>
      <c r="O131" s="180"/>
      <c r="P131" s="180"/>
      <c r="Q131" s="181"/>
    </row>
    <row r="132" spans="1:17" ht="15" hidden="1" customHeight="1" x14ac:dyDescent="0.25">
      <c r="A132" s="176">
        <v>6532</v>
      </c>
      <c r="B132" s="176">
        <v>181</v>
      </c>
      <c r="C132" s="176" t="s">
        <v>26</v>
      </c>
      <c r="D132" s="177" t="s">
        <v>43</v>
      </c>
      <c r="E132" s="176">
        <v>25</v>
      </c>
      <c r="F132" s="176" t="s">
        <v>183</v>
      </c>
      <c r="G132" s="176">
        <v>194</v>
      </c>
      <c r="H132" s="176" t="s">
        <v>184</v>
      </c>
      <c r="I132" s="178" t="s">
        <v>148</v>
      </c>
      <c r="J132" s="179">
        <v>6.1538499999999998E-3</v>
      </c>
      <c r="K132" s="180" t="s">
        <v>317</v>
      </c>
      <c r="L132" s="180">
        <v>0.1</v>
      </c>
      <c r="M132" s="180"/>
      <c r="N132" s="180"/>
      <c r="O132" s="180"/>
      <c r="P132" s="180"/>
      <c r="Q132" s="181"/>
    </row>
    <row r="133" spans="1:17" ht="15" hidden="1" customHeight="1" x14ac:dyDescent="0.25">
      <c r="A133" s="176">
        <v>6532</v>
      </c>
      <c r="B133" s="176">
        <v>181</v>
      </c>
      <c r="C133" s="176" t="s">
        <v>26</v>
      </c>
      <c r="D133" s="177" t="s">
        <v>43</v>
      </c>
      <c r="E133" s="176">
        <v>25</v>
      </c>
      <c r="F133" s="176" t="s">
        <v>162</v>
      </c>
      <c r="G133" s="176">
        <v>185</v>
      </c>
      <c r="H133" s="176" t="s">
        <v>164</v>
      </c>
      <c r="I133" s="178" t="s">
        <v>165</v>
      </c>
      <c r="J133" s="179">
        <v>0.29199999999999998</v>
      </c>
      <c r="K133" s="180" t="s">
        <v>318</v>
      </c>
      <c r="L133" s="180">
        <v>0.1</v>
      </c>
      <c r="M133" s="182" t="s">
        <v>329</v>
      </c>
      <c r="N133" s="180"/>
      <c r="O133" s="180"/>
      <c r="P133" s="180"/>
      <c r="Q133" s="181"/>
    </row>
    <row r="134" spans="1:17" ht="15" hidden="1" customHeight="1" x14ac:dyDescent="0.25">
      <c r="A134" s="176">
        <v>6532</v>
      </c>
      <c r="B134" s="176">
        <v>181</v>
      </c>
      <c r="C134" s="176" t="s">
        <v>26</v>
      </c>
      <c r="D134" s="177" t="s">
        <v>43</v>
      </c>
      <c r="E134" s="176">
        <v>25</v>
      </c>
      <c r="F134" s="176" t="s">
        <v>220</v>
      </c>
      <c r="G134" s="176">
        <v>3635</v>
      </c>
      <c r="H134" s="176" t="s">
        <v>221</v>
      </c>
      <c r="I134" s="178" t="s">
        <v>188</v>
      </c>
      <c r="J134" s="179">
        <v>7.9000000000000001E-2</v>
      </c>
      <c r="K134" s="180" t="s">
        <v>320</v>
      </c>
      <c r="L134" s="180">
        <v>0.1</v>
      </c>
      <c r="M134" s="182"/>
      <c r="N134" s="180"/>
      <c r="O134" s="180"/>
      <c r="P134" s="180"/>
      <c r="Q134" s="181"/>
    </row>
    <row r="135" spans="1:17" ht="15" hidden="1" customHeight="1" x14ac:dyDescent="0.25">
      <c r="A135" s="176">
        <v>6338</v>
      </c>
      <c r="B135" s="176">
        <v>167</v>
      </c>
      <c r="C135" s="176" t="s">
        <v>45</v>
      </c>
      <c r="D135" s="177" t="s">
        <v>46</v>
      </c>
      <c r="E135" s="176">
        <v>25</v>
      </c>
      <c r="F135" s="176" t="s">
        <v>146</v>
      </c>
      <c r="G135" s="176">
        <v>10</v>
      </c>
      <c r="H135" s="176" t="s">
        <v>156</v>
      </c>
      <c r="I135" s="178" t="s">
        <v>148</v>
      </c>
      <c r="J135" s="179">
        <v>5.9169999999999998</v>
      </c>
      <c r="K135" s="180" t="s">
        <v>309</v>
      </c>
      <c r="L135" s="180">
        <v>0.1</v>
      </c>
      <c r="M135" s="180"/>
      <c r="N135" s="180"/>
      <c r="O135" s="180"/>
      <c r="P135" s="180"/>
      <c r="Q135" s="181"/>
    </row>
    <row r="136" spans="1:17" ht="15" hidden="1" customHeight="1" x14ac:dyDescent="0.25">
      <c r="A136" s="176">
        <v>6338</v>
      </c>
      <c r="B136" s="176">
        <v>167</v>
      </c>
      <c r="C136" s="176" t="s">
        <v>45</v>
      </c>
      <c r="D136" s="177" t="s">
        <v>46</v>
      </c>
      <c r="E136" s="176">
        <v>25</v>
      </c>
      <c r="F136" s="176" t="s">
        <v>169</v>
      </c>
      <c r="G136" s="176">
        <v>3595</v>
      </c>
      <c r="H136" s="176" t="s">
        <v>311</v>
      </c>
      <c r="I136" s="178" t="s">
        <v>148</v>
      </c>
      <c r="J136" s="179">
        <v>0.56000000000000005</v>
      </c>
      <c r="K136" s="180" t="s">
        <v>312</v>
      </c>
      <c r="L136" s="180">
        <v>0.1</v>
      </c>
      <c r="M136" s="182" t="s">
        <v>329</v>
      </c>
      <c r="N136" s="180"/>
      <c r="O136" s="180"/>
      <c r="P136" s="180"/>
      <c r="Q136" s="181"/>
    </row>
    <row r="137" spans="1:17" ht="15" hidden="1" customHeight="1" x14ac:dyDescent="0.25">
      <c r="A137" s="176">
        <v>6338</v>
      </c>
      <c r="B137" s="176">
        <v>167</v>
      </c>
      <c r="C137" s="176" t="s">
        <v>45</v>
      </c>
      <c r="D137" s="177" t="s">
        <v>46</v>
      </c>
      <c r="E137" s="176">
        <v>25</v>
      </c>
      <c r="F137" s="176" t="s">
        <v>210</v>
      </c>
      <c r="G137" s="176">
        <v>3598</v>
      </c>
      <c r="H137" s="176" t="s">
        <v>216</v>
      </c>
      <c r="I137" s="178" t="s">
        <v>188</v>
      </c>
      <c r="J137" s="179">
        <v>2.976</v>
      </c>
      <c r="K137" s="180" t="s">
        <v>316</v>
      </c>
      <c r="L137" s="180">
        <v>0.1</v>
      </c>
      <c r="M137" s="182"/>
      <c r="N137" s="180"/>
      <c r="O137" s="180"/>
      <c r="P137" s="180"/>
      <c r="Q137" s="181"/>
    </row>
    <row r="138" spans="1:17" ht="15" hidden="1" customHeight="1" x14ac:dyDescent="0.25">
      <c r="A138" s="176">
        <v>6338</v>
      </c>
      <c r="B138" s="176">
        <v>167</v>
      </c>
      <c r="C138" s="176" t="s">
        <v>45</v>
      </c>
      <c r="D138" s="177" t="s">
        <v>46</v>
      </c>
      <c r="E138" s="176">
        <v>25</v>
      </c>
      <c r="F138" s="176" t="s">
        <v>183</v>
      </c>
      <c r="G138" s="176">
        <v>194</v>
      </c>
      <c r="H138" s="176" t="s">
        <v>184</v>
      </c>
      <c r="I138" s="178" t="s">
        <v>148</v>
      </c>
      <c r="J138" s="179">
        <v>5.8700000000000002E-3</v>
      </c>
      <c r="K138" s="180" t="s">
        <v>317</v>
      </c>
      <c r="L138" s="180">
        <v>0.1</v>
      </c>
      <c r="M138" s="180"/>
      <c r="N138" s="180"/>
      <c r="O138" s="180"/>
      <c r="P138" s="180"/>
      <c r="Q138" s="181"/>
    </row>
    <row r="139" spans="1:17" ht="15" hidden="1" customHeight="1" x14ac:dyDescent="0.25">
      <c r="A139" s="176">
        <v>6338</v>
      </c>
      <c r="B139" s="176">
        <v>167</v>
      </c>
      <c r="C139" s="176" t="s">
        <v>45</v>
      </c>
      <c r="D139" s="177" t="s">
        <v>46</v>
      </c>
      <c r="E139" s="176">
        <v>25</v>
      </c>
      <c r="F139" s="176" t="s">
        <v>162</v>
      </c>
      <c r="G139" s="176">
        <v>185</v>
      </c>
      <c r="H139" s="176" t="s">
        <v>164</v>
      </c>
      <c r="I139" s="178" t="s">
        <v>165</v>
      </c>
      <c r="J139" s="179">
        <v>0.37369999999999998</v>
      </c>
      <c r="K139" s="180" t="s">
        <v>318</v>
      </c>
      <c r="L139" s="180">
        <v>0.1</v>
      </c>
      <c r="M139" s="182" t="s">
        <v>329</v>
      </c>
      <c r="N139" s="180"/>
      <c r="O139" s="180"/>
      <c r="P139" s="180"/>
      <c r="Q139" s="181"/>
    </row>
    <row r="140" spans="1:17" ht="15" hidden="1" customHeight="1" x14ac:dyDescent="0.25">
      <c r="A140" s="176">
        <v>6338</v>
      </c>
      <c r="B140" s="176">
        <v>167</v>
      </c>
      <c r="C140" s="176" t="s">
        <v>45</v>
      </c>
      <c r="D140" s="177" t="s">
        <v>46</v>
      </c>
      <c r="E140" s="176">
        <v>25</v>
      </c>
      <c r="F140" s="176" t="s">
        <v>220</v>
      </c>
      <c r="G140" s="176">
        <v>3635</v>
      </c>
      <c r="H140" s="176" t="s">
        <v>221</v>
      </c>
      <c r="I140" s="178" t="s">
        <v>188</v>
      </c>
      <c r="J140" s="179">
        <v>7.9000000000000008E-3</v>
      </c>
      <c r="K140" s="180" t="s">
        <v>320</v>
      </c>
      <c r="L140" s="180">
        <v>0.1</v>
      </c>
      <c r="M140" s="180"/>
      <c r="N140" s="180"/>
      <c r="O140" s="180"/>
      <c r="P140" s="180"/>
      <c r="Q140" s="181"/>
    </row>
    <row r="141" spans="1:17" ht="15" hidden="1" customHeight="1" x14ac:dyDescent="0.25">
      <c r="A141" s="176">
        <v>6338</v>
      </c>
      <c r="B141" s="176">
        <v>167</v>
      </c>
      <c r="C141" s="176" t="s">
        <v>45</v>
      </c>
      <c r="D141" s="177" t="s">
        <v>46</v>
      </c>
      <c r="E141" s="176">
        <v>25</v>
      </c>
      <c r="F141" s="176" t="s">
        <v>261</v>
      </c>
      <c r="G141" s="176">
        <v>3857</v>
      </c>
      <c r="H141" s="176" t="s">
        <v>272</v>
      </c>
      <c r="I141" s="178" t="s">
        <v>148</v>
      </c>
      <c r="J141" s="179">
        <v>0.33</v>
      </c>
      <c r="K141" s="180" t="s">
        <v>336</v>
      </c>
      <c r="L141" s="180">
        <v>0.1</v>
      </c>
      <c r="M141" s="182"/>
      <c r="N141" s="180"/>
      <c r="O141" s="180"/>
      <c r="P141" s="180"/>
      <c r="Q141" s="181"/>
    </row>
    <row r="142" spans="1:17" ht="15" hidden="1" customHeight="1" x14ac:dyDescent="0.25">
      <c r="A142" s="176">
        <v>6337</v>
      </c>
      <c r="B142" s="176">
        <v>166</v>
      </c>
      <c r="C142" s="176" t="s">
        <v>47</v>
      </c>
      <c r="D142" s="177" t="s">
        <v>48</v>
      </c>
      <c r="E142" s="176">
        <v>30</v>
      </c>
      <c r="F142" s="176" t="s">
        <v>146</v>
      </c>
      <c r="G142" s="176">
        <v>406</v>
      </c>
      <c r="H142" s="176" t="s">
        <v>158</v>
      </c>
      <c r="I142" s="178" t="s">
        <v>148</v>
      </c>
      <c r="J142" s="179">
        <v>8</v>
      </c>
      <c r="K142" s="180" t="s">
        <v>309</v>
      </c>
      <c r="L142" s="180">
        <v>0.1</v>
      </c>
      <c r="M142" s="182" t="s">
        <v>338</v>
      </c>
      <c r="N142" s="180"/>
      <c r="O142" s="180"/>
      <c r="P142" s="180"/>
      <c r="Q142" s="181"/>
    </row>
    <row r="143" spans="1:17" ht="15" hidden="1" customHeight="1" x14ac:dyDescent="0.25">
      <c r="A143" s="176">
        <v>6337</v>
      </c>
      <c r="B143" s="176">
        <v>166</v>
      </c>
      <c r="C143" s="176" t="s">
        <v>47</v>
      </c>
      <c r="D143" s="177" t="s">
        <v>48</v>
      </c>
      <c r="E143" s="176">
        <v>30</v>
      </c>
      <c r="F143" s="176" t="s">
        <v>169</v>
      </c>
      <c r="G143" s="176">
        <v>3595</v>
      </c>
      <c r="H143" s="176" t="s">
        <v>311</v>
      </c>
      <c r="I143" s="178" t="s">
        <v>148</v>
      </c>
      <c r="J143" s="179">
        <v>0.67</v>
      </c>
      <c r="K143" s="180" t="s">
        <v>312</v>
      </c>
      <c r="L143" s="180">
        <v>0.1</v>
      </c>
      <c r="M143" s="182" t="s">
        <v>329</v>
      </c>
      <c r="N143" s="180"/>
      <c r="O143" s="180"/>
      <c r="P143" s="180"/>
      <c r="Q143" s="181"/>
    </row>
    <row r="144" spans="1:17" ht="15" hidden="1" customHeight="1" x14ac:dyDescent="0.25">
      <c r="A144" s="176">
        <v>6337</v>
      </c>
      <c r="B144" s="176">
        <v>166</v>
      </c>
      <c r="C144" s="176" t="s">
        <v>47</v>
      </c>
      <c r="D144" s="177" t="s">
        <v>48</v>
      </c>
      <c r="E144" s="176">
        <v>30</v>
      </c>
      <c r="F144" s="176" t="s">
        <v>181</v>
      </c>
      <c r="G144" s="176">
        <v>186</v>
      </c>
      <c r="H144" s="176" t="s">
        <v>182</v>
      </c>
      <c r="I144" s="178" t="s">
        <v>148</v>
      </c>
      <c r="J144" s="179">
        <v>0.28000000000000003</v>
      </c>
      <c r="K144" s="180" t="s">
        <v>7</v>
      </c>
      <c r="L144" s="180">
        <v>0.1</v>
      </c>
      <c r="M144" s="182"/>
      <c r="N144" s="180"/>
      <c r="O144" s="180"/>
      <c r="P144" s="180"/>
      <c r="Q144" s="181"/>
    </row>
    <row r="145" spans="1:17" ht="15" hidden="1" customHeight="1" x14ac:dyDescent="0.25">
      <c r="A145" s="176">
        <v>6337</v>
      </c>
      <c r="B145" s="176">
        <v>166</v>
      </c>
      <c r="C145" s="176" t="s">
        <v>47</v>
      </c>
      <c r="D145" s="177" t="s">
        <v>48</v>
      </c>
      <c r="E145" s="176">
        <v>30</v>
      </c>
      <c r="F145" s="176" t="s">
        <v>186</v>
      </c>
      <c r="G145" s="176">
        <v>578</v>
      </c>
      <c r="H145" s="176" t="s">
        <v>208</v>
      </c>
      <c r="I145" s="178" t="s">
        <v>188</v>
      </c>
      <c r="J145" s="179">
        <v>1000</v>
      </c>
      <c r="K145" s="180" t="s">
        <v>314</v>
      </c>
      <c r="L145" s="180">
        <v>0.02</v>
      </c>
      <c r="M145" s="182" t="s">
        <v>315</v>
      </c>
      <c r="N145" s="180"/>
      <c r="O145" s="180"/>
      <c r="P145" s="180"/>
      <c r="Q145" s="181"/>
    </row>
    <row r="146" spans="1:17" ht="15" hidden="1" customHeight="1" x14ac:dyDescent="0.25">
      <c r="A146" s="176">
        <v>6337</v>
      </c>
      <c r="B146" s="176">
        <v>166</v>
      </c>
      <c r="C146" s="176" t="s">
        <v>47</v>
      </c>
      <c r="D146" s="177" t="s">
        <v>48</v>
      </c>
      <c r="E146" s="176">
        <v>30</v>
      </c>
      <c r="F146" s="176" t="s">
        <v>210</v>
      </c>
      <c r="G146" s="176">
        <v>45</v>
      </c>
      <c r="H146" s="176" t="s">
        <v>217</v>
      </c>
      <c r="I146" s="178" t="s">
        <v>188</v>
      </c>
      <c r="J146" s="179">
        <v>6.6665999999999999</v>
      </c>
      <c r="K146" s="180" t="s">
        <v>316</v>
      </c>
      <c r="L146" s="180">
        <v>0.1</v>
      </c>
      <c r="M146" s="182"/>
      <c r="N146" s="180"/>
      <c r="O146" s="180"/>
      <c r="P146" s="180"/>
      <c r="Q146" s="181"/>
    </row>
    <row r="147" spans="1:17" ht="15" hidden="1" customHeight="1" x14ac:dyDescent="0.25">
      <c r="A147" s="176">
        <v>6337</v>
      </c>
      <c r="B147" s="176">
        <v>166</v>
      </c>
      <c r="C147" s="176" t="s">
        <v>47</v>
      </c>
      <c r="D147" s="177" t="s">
        <v>48</v>
      </c>
      <c r="E147" s="176">
        <v>30</v>
      </c>
      <c r="F147" s="176" t="s">
        <v>162</v>
      </c>
      <c r="G147" s="176">
        <v>4155</v>
      </c>
      <c r="H147" s="176" t="s">
        <v>168</v>
      </c>
      <c r="I147" s="178" t="s">
        <v>148</v>
      </c>
      <c r="J147" s="179">
        <v>0.28000000000000003</v>
      </c>
      <c r="K147" s="180" t="s">
        <v>318</v>
      </c>
      <c r="L147" s="180">
        <v>0.1</v>
      </c>
      <c r="M147" s="182" t="s">
        <v>329</v>
      </c>
      <c r="N147" s="180"/>
      <c r="O147" s="180"/>
      <c r="P147" s="180"/>
      <c r="Q147" s="181"/>
    </row>
    <row r="148" spans="1:17" ht="15" hidden="1" customHeight="1" x14ac:dyDescent="0.25">
      <c r="A148" s="176">
        <v>6337</v>
      </c>
      <c r="B148" s="176">
        <v>166</v>
      </c>
      <c r="C148" s="176" t="s">
        <v>47</v>
      </c>
      <c r="D148" s="177" t="s">
        <v>48</v>
      </c>
      <c r="E148" s="176">
        <v>30</v>
      </c>
      <c r="F148" s="176" t="s">
        <v>220</v>
      </c>
      <c r="G148" s="176">
        <v>3635</v>
      </c>
      <c r="H148" s="176" t="s">
        <v>221</v>
      </c>
      <c r="I148" s="178" t="s">
        <v>188</v>
      </c>
      <c r="J148" s="179">
        <v>0.156</v>
      </c>
      <c r="K148" s="180" t="s">
        <v>331</v>
      </c>
      <c r="L148" s="180">
        <v>0.1</v>
      </c>
      <c r="M148" s="182"/>
      <c r="N148" s="180"/>
      <c r="O148" s="180"/>
      <c r="P148" s="180"/>
      <c r="Q148" s="181"/>
    </row>
    <row r="149" spans="1:17" ht="15" hidden="1" customHeight="1" x14ac:dyDescent="0.25">
      <c r="A149" s="176">
        <v>6337</v>
      </c>
      <c r="B149" s="176">
        <v>166</v>
      </c>
      <c r="C149" s="176" t="s">
        <v>47</v>
      </c>
      <c r="D149" s="177" t="s">
        <v>48</v>
      </c>
      <c r="E149" s="176">
        <v>30</v>
      </c>
      <c r="F149" s="176" t="s">
        <v>183</v>
      </c>
      <c r="G149" s="176">
        <v>194</v>
      </c>
      <c r="H149" s="176" t="s">
        <v>184</v>
      </c>
      <c r="I149" s="178" t="s">
        <v>148</v>
      </c>
      <c r="J149" s="179">
        <v>8.3199999999999993E-3</v>
      </c>
      <c r="K149" s="180" t="s">
        <v>183</v>
      </c>
      <c r="L149" s="180">
        <v>0.1</v>
      </c>
      <c r="M149" s="182" t="s">
        <v>339</v>
      </c>
      <c r="N149" s="180"/>
      <c r="O149" s="180"/>
      <c r="P149" s="180"/>
      <c r="Q149" s="181"/>
    </row>
    <row r="150" spans="1:17" ht="15" hidden="1" customHeight="1" x14ac:dyDescent="0.25">
      <c r="A150" s="176">
        <v>6416</v>
      </c>
      <c r="B150" s="176">
        <v>171</v>
      </c>
      <c r="C150" s="176" t="s">
        <v>47</v>
      </c>
      <c r="D150" s="177" t="s">
        <v>49</v>
      </c>
      <c r="E150" s="176">
        <v>30</v>
      </c>
      <c r="F150" s="176" t="s">
        <v>146</v>
      </c>
      <c r="G150" s="176">
        <v>406</v>
      </c>
      <c r="H150" s="176" t="s">
        <v>158</v>
      </c>
      <c r="I150" s="178" t="s">
        <v>148</v>
      </c>
      <c r="J150" s="179">
        <v>8</v>
      </c>
      <c r="K150" s="180" t="s">
        <v>309</v>
      </c>
      <c r="L150" s="180">
        <v>0.1</v>
      </c>
      <c r="M150" s="182" t="s">
        <v>338</v>
      </c>
      <c r="N150" s="180"/>
      <c r="O150" s="180"/>
      <c r="P150" s="180"/>
      <c r="Q150" s="181"/>
    </row>
    <row r="151" spans="1:17" ht="15" hidden="1" customHeight="1" x14ac:dyDescent="0.25">
      <c r="A151" s="176">
        <v>6416</v>
      </c>
      <c r="B151" s="176">
        <v>171</v>
      </c>
      <c r="C151" s="176" t="s">
        <v>47</v>
      </c>
      <c r="D151" s="177" t="s">
        <v>49</v>
      </c>
      <c r="E151" s="176">
        <v>30</v>
      </c>
      <c r="F151" s="176" t="s">
        <v>169</v>
      </c>
      <c r="G151" s="176">
        <v>3595</v>
      </c>
      <c r="H151" s="176" t="s">
        <v>311</v>
      </c>
      <c r="I151" s="178" t="s">
        <v>148</v>
      </c>
      <c r="J151" s="179">
        <v>0.67</v>
      </c>
      <c r="K151" s="180" t="s">
        <v>312</v>
      </c>
      <c r="L151" s="180">
        <v>0.1</v>
      </c>
      <c r="M151" s="182" t="s">
        <v>313</v>
      </c>
      <c r="N151" s="180"/>
      <c r="O151" s="180"/>
      <c r="P151" s="180"/>
      <c r="Q151" s="181"/>
    </row>
    <row r="152" spans="1:17" ht="15" hidden="1" customHeight="1" x14ac:dyDescent="0.25">
      <c r="A152" s="176">
        <v>6416</v>
      </c>
      <c r="B152" s="176">
        <v>171</v>
      </c>
      <c r="C152" s="176" t="s">
        <v>47</v>
      </c>
      <c r="D152" s="177" t="s">
        <v>49</v>
      </c>
      <c r="E152" s="176">
        <v>30</v>
      </c>
      <c r="F152" s="176" t="s">
        <v>181</v>
      </c>
      <c r="G152" s="176">
        <v>186</v>
      </c>
      <c r="H152" s="176" t="s">
        <v>182</v>
      </c>
      <c r="I152" s="178" t="s">
        <v>148</v>
      </c>
      <c r="J152" s="179">
        <v>0.28000000000000003</v>
      </c>
      <c r="K152" s="180" t="s">
        <v>7</v>
      </c>
      <c r="L152" s="180">
        <v>0.1</v>
      </c>
      <c r="M152" s="182"/>
      <c r="N152" s="180"/>
      <c r="O152" s="180"/>
      <c r="P152" s="180"/>
      <c r="Q152" s="181"/>
    </row>
    <row r="153" spans="1:17" ht="15" hidden="1" customHeight="1" x14ac:dyDescent="0.25">
      <c r="A153" s="176">
        <v>6416</v>
      </c>
      <c r="B153" s="176">
        <v>171</v>
      </c>
      <c r="C153" s="176" t="s">
        <v>47</v>
      </c>
      <c r="D153" s="177" t="s">
        <v>49</v>
      </c>
      <c r="E153" s="176">
        <v>30</v>
      </c>
      <c r="F153" s="176" t="s">
        <v>186</v>
      </c>
      <c r="G153" s="176">
        <v>578</v>
      </c>
      <c r="H153" s="176" t="s">
        <v>208</v>
      </c>
      <c r="I153" s="178" t="s">
        <v>188</v>
      </c>
      <c r="J153" s="179">
        <v>1000</v>
      </c>
      <c r="K153" s="180" t="s">
        <v>314</v>
      </c>
      <c r="L153" s="180">
        <v>0.02</v>
      </c>
      <c r="M153" s="182" t="s">
        <v>315</v>
      </c>
      <c r="N153" s="180"/>
      <c r="O153" s="180"/>
      <c r="P153" s="180"/>
      <c r="Q153" s="181"/>
    </row>
    <row r="154" spans="1:17" ht="15" hidden="1" customHeight="1" x14ac:dyDescent="0.25">
      <c r="A154" s="176">
        <v>6416</v>
      </c>
      <c r="B154" s="176">
        <v>171</v>
      </c>
      <c r="C154" s="176" t="s">
        <v>47</v>
      </c>
      <c r="D154" s="177" t="s">
        <v>49</v>
      </c>
      <c r="E154" s="176">
        <v>30</v>
      </c>
      <c r="F154" s="176" t="s">
        <v>210</v>
      </c>
      <c r="G154" s="176">
        <v>3598</v>
      </c>
      <c r="H154" s="176" t="s">
        <v>216</v>
      </c>
      <c r="I154" s="178" t="s">
        <v>188</v>
      </c>
      <c r="J154" s="179">
        <v>4.2016</v>
      </c>
      <c r="K154" s="180" t="s">
        <v>316</v>
      </c>
      <c r="L154" s="180">
        <v>0.1</v>
      </c>
      <c r="M154" s="182"/>
      <c r="N154" s="180"/>
      <c r="O154" s="180"/>
      <c r="P154" s="180"/>
      <c r="Q154" s="181"/>
    </row>
    <row r="155" spans="1:17" ht="15" hidden="1" customHeight="1" x14ac:dyDescent="0.25">
      <c r="A155" s="176">
        <v>6416</v>
      </c>
      <c r="B155" s="176">
        <v>171</v>
      </c>
      <c r="C155" s="176" t="s">
        <v>47</v>
      </c>
      <c r="D155" s="177" t="s">
        <v>49</v>
      </c>
      <c r="E155" s="176">
        <v>30</v>
      </c>
      <c r="F155" s="176" t="s">
        <v>162</v>
      </c>
      <c r="G155" s="176">
        <v>4155</v>
      </c>
      <c r="H155" s="176" t="s">
        <v>168</v>
      </c>
      <c r="I155" s="178" t="s">
        <v>148</v>
      </c>
      <c r="J155" s="179">
        <v>0.28000000000000003</v>
      </c>
      <c r="K155" s="180" t="s">
        <v>318</v>
      </c>
      <c r="L155" s="180">
        <v>0.1</v>
      </c>
      <c r="M155" s="182"/>
      <c r="N155" s="180"/>
      <c r="O155" s="180"/>
      <c r="P155" s="180"/>
      <c r="Q155" s="181"/>
    </row>
    <row r="156" spans="1:17" ht="15" hidden="1" customHeight="1" x14ac:dyDescent="0.25">
      <c r="A156" s="176">
        <v>6416</v>
      </c>
      <c r="B156" s="176">
        <v>171</v>
      </c>
      <c r="C156" s="176" t="s">
        <v>47</v>
      </c>
      <c r="D156" s="177" t="s">
        <v>49</v>
      </c>
      <c r="E156" s="176">
        <v>30</v>
      </c>
      <c r="F156" s="176" t="s">
        <v>220</v>
      </c>
      <c r="G156" s="176">
        <v>3635</v>
      </c>
      <c r="H156" s="176" t="s">
        <v>221</v>
      </c>
      <c r="I156" s="178" t="s">
        <v>188</v>
      </c>
      <c r="J156" s="179">
        <v>0.156</v>
      </c>
      <c r="K156" s="180" t="s">
        <v>331</v>
      </c>
      <c r="L156" s="180">
        <v>0.1</v>
      </c>
      <c r="M156" s="182"/>
      <c r="N156" s="180"/>
      <c r="O156" s="180"/>
      <c r="P156" s="180"/>
      <c r="Q156" s="181"/>
    </row>
    <row r="157" spans="1:17" ht="15" hidden="1" customHeight="1" x14ac:dyDescent="0.25">
      <c r="A157" s="176">
        <v>6416</v>
      </c>
      <c r="B157" s="176">
        <v>171</v>
      </c>
      <c r="C157" s="176" t="s">
        <v>47</v>
      </c>
      <c r="D157" s="177" t="s">
        <v>49</v>
      </c>
      <c r="E157" s="176">
        <v>30</v>
      </c>
      <c r="F157" s="176" t="s">
        <v>183</v>
      </c>
      <c r="G157" s="176">
        <v>194</v>
      </c>
      <c r="H157" s="176" t="s">
        <v>184</v>
      </c>
      <c r="I157" s="178" t="s">
        <v>148</v>
      </c>
      <c r="J157" s="179">
        <v>8.3199999999999993E-3</v>
      </c>
      <c r="K157" s="180" t="s">
        <v>183</v>
      </c>
      <c r="L157" s="180">
        <v>0.1</v>
      </c>
      <c r="M157" s="182" t="s">
        <v>339</v>
      </c>
      <c r="N157" s="180"/>
      <c r="O157" s="180"/>
      <c r="P157" s="180"/>
      <c r="Q157" s="181"/>
    </row>
    <row r="158" spans="1:17" ht="15" hidden="1" customHeight="1" x14ac:dyDescent="0.25">
      <c r="A158" s="176">
        <v>6206</v>
      </c>
      <c r="B158" s="176">
        <v>149</v>
      </c>
      <c r="C158" s="176" t="s">
        <v>50</v>
      </c>
      <c r="D158" s="177" t="s">
        <v>51</v>
      </c>
      <c r="E158" s="176">
        <v>30</v>
      </c>
      <c r="F158" s="176" t="s">
        <v>146</v>
      </c>
      <c r="G158" s="176">
        <v>406</v>
      </c>
      <c r="H158" s="176" t="s">
        <v>158</v>
      </c>
      <c r="I158" s="178" t="s">
        <v>148</v>
      </c>
      <c r="J158" s="179">
        <v>8</v>
      </c>
      <c r="K158" s="180" t="s">
        <v>309</v>
      </c>
      <c r="L158" s="180">
        <v>0.1</v>
      </c>
      <c r="M158" s="182" t="s">
        <v>338</v>
      </c>
      <c r="N158" s="180"/>
      <c r="O158" s="180"/>
      <c r="P158" s="180"/>
      <c r="Q158" s="181"/>
    </row>
    <row r="159" spans="1:17" ht="15" hidden="1" customHeight="1" x14ac:dyDescent="0.25">
      <c r="A159" s="176">
        <v>6206</v>
      </c>
      <c r="B159" s="176">
        <v>149</v>
      </c>
      <c r="C159" s="176" t="s">
        <v>50</v>
      </c>
      <c r="D159" s="177" t="s">
        <v>51</v>
      </c>
      <c r="E159" s="176">
        <v>30</v>
      </c>
      <c r="F159" s="176" t="s">
        <v>169</v>
      </c>
      <c r="G159" s="176">
        <v>3595</v>
      </c>
      <c r="H159" s="176" t="s">
        <v>311</v>
      </c>
      <c r="I159" s="178" t="s">
        <v>148</v>
      </c>
      <c r="J159" s="179">
        <v>0.67</v>
      </c>
      <c r="K159" s="180" t="s">
        <v>312</v>
      </c>
      <c r="L159" s="180">
        <v>0.1</v>
      </c>
      <c r="M159" s="182" t="s">
        <v>313</v>
      </c>
      <c r="N159" s="180"/>
      <c r="O159" s="180"/>
      <c r="P159" s="180"/>
      <c r="Q159" s="181"/>
    </row>
    <row r="160" spans="1:17" ht="15" hidden="1" customHeight="1" x14ac:dyDescent="0.25">
      <c r="A160" s="176">
        <v>6206</v>
      </c>
      <c r="B160" s="176">
        <v>149</v>
      </c>
      <c r="C160" s="176" t="s">
        <v>50</v>
      </c>
      <c r="D160" s="177" t="s">
        <v>51</v>
      </c>
      <c r="E160" s="176">
        <v>30</v>
      </c>
      <c r="F160" s="176" t="s">
        <v>181</v>
      </c>
      <c r="G160" s="176">
        <v>186</v>
      </c>
      <c r="H160" s="176" t="s">
        <v>182</v>
      </c>
      <c r="I160" s="178" t="s">
        <v>148</v>
      </c>
      <c r="J160" s="179">
        <v>0.28000000000000003</v>
      </c>
      <c r="K160" s="180" t="s">
        <v>7</v>
      </c>
      <c r="L160" s="180">
        <v>0.1</v>
      </c>
      <c r="M160" s="180"/>
      <c r="N160" s="180"/>
      <c r="O160" s="180"/>
      <c r="P160" s="180"/>
      <c r="Q160" s="181"/>
    </row>
    <row r="161" spans="1:17" ht="15" hidden="1" customHeight="1" x14ac:dyDescent="0.25">
      <c r="A161" s="176">
        <v>6206</v>
      </c>
      <c r="B161" s="176">
        <v>149</v>
      </c>
      <c r="C161" s="176" t="s">
        <v>50</v>
      </c>
      <c r="D161" s="177" t="s">
        <v>51</v>
      </c>
      <c r="E161" s="176">
        <v>30</v>
      </c>
      <c r="F161" s="176" t="s">
        <v>186</v>
      </c>
      <c r="G161" s="176">
        <v>68</v>
      </c>
      <c r="H161" s="176" t="s">
        <v>202</v>
      </c>
      <c r="I161" s="178" t="s">
        <v>188</v>
      </c>
      <c r="J161" s="179">
        <v>1000</v>
      </c>
      <c r="K161" s="180" t="s">
        <v>314</v>
      </c>
      <c r="L161" s="180">
        <v>0.02</v>
      </c>
      <c r="M161" s="182" t="s">
        <v>315</v>
      </c>
      <c r="N161" s="180"/>
      <c r="O161" s="180"/>
      <c r="P161" s="180"/>
      <c r="Q161" s="181"/>
    </row>
    <row r="162" spans="1:17" ht="15" hidden="1" customHeight="1" x14ac:dyDescent="0.25">
      <c r="A162" s="176">
        <v>6206</v>
      </c>
      <c r="B162" s="176">
        <v>149</v>
      </c>
      <c r="C162" s="176" t="s">
        <v>50</v>
      </c>
      <c r="D162" s="177" t="s">
        <v>51</v>
      </c>
      <c r="E162" s="176">
        <v>30</v>
      </c>
      <c r="F162" s="176" t="s">
        <v>210</v>
      </c>
      <c r="G162" s="176">
        <v>3598</v>
      </c>
      <c r="H162" s="176" t="s">
        <v>216</v>
      </c>
      <c r="I162" s="178" t="s">
        <v>188</v>
      </c>
      <c r="J162" s="179">
        <v>4.2016</v>
      </c>
      <c r="K162" s="180" t="s">
        <v>316</v>
      </c>
      <c r="L162" s="180">
        <v>0.1</v>
      </c>
      <c r="M162" s="180"/>
      <c r="N162" s="180"/>
      <c r="O162" s="180"/>
      <c r="P162" s="180"/>
      <c r="Q162" s="181"/>
    </row>
    <row r="163" spans="1:17" ht="15" hidden="1" customHeight="1" x14ac:dyDescent="0.25">
      <c r="A163" s="176">
        <v>6206</v>
      </c>
      <c r="B163" s="176">
        <v>149</v>
      </c>
      <c r="C163" s="176" t="s">
        <v>50</v>
      </c>
      <c r="D163" s="177" t="s">
        <v>51</v>
      </c>
      <c r="E163" s="176">
        <v>30</v>
      </c>
      <c r="F163" s="176" t="s">
        <v>183</v>
      </c>
      <c r="G163" s="176">
        <v>194</v>
      </c>
      <c r="H163" s="176" t="s">
        <v>184</v>
      </c>
      <c r="I163" s="178" t="s">
        <v>148</v>
      </c>
      <c r="J163" s="179">
        <v>8.3199999999999993E-3</v>
      </c>
      <c r="K163" s="180" t="s">
        <v>317</v>
      </c>
      <c r="L163" s="180">
        <v>0.1</v>
      </c>
      <c r="M163" s="180"/>
      <c r="N163" s="180"/>
      <c r="O163" s="180"/>
      <c r="P163" s="180"/>
      <c r="Q163" s="181"/>
    </row>
    <row r="164" spans="1:17" ht="15" hidden="1" customHeight="1" x14ac:dyDescent="0.25">
      <c r="A164" s="176">
        <v>6206</v>
      </c>
      <c r="B164" s="176">
        <v>149</v>
      </c>
      <c r="C164" s="176" t="s">
        <v>50</v>
      </c>
      <c r="D164" s="177" t="s">
        <v>51</v>
      </c>
      <c r="E164" s="176">
        <v>30</v>
      </c>
      <c r="F164" s="176" t="s">
        <v>162</v>
      </c>
      <c r="G164" s="176">
        <v>4155</v>
      </c>
      <c r="H164" s="176" t="s">
        <v>168</v>
      </c>
      <c r="I164" s="178" t="s">
        <v>148</v>
      </c>
      <c r="J164" s="179">
        <v>0.28000000000000003</v>
      </c>
      <c r="K164" s="180" t="s">
        <v>318</v>
      </c>
      <c r="L164" s="180">
        <v>0.1</v>
      </c>
      <c r="M164" s="180"/>
      <c r="N164" s="180"/>
      <c r="O164" s="180"/>
      <c r="P164" s="180"/>
      <c r="Q164" s="181"/>
    </row>
    <row r="165" spans="1:17" ht="15" hidden="1" customHeight="1" x14ac:dyDescent="0.25">
      <c r="A165" s="176">
        <v>6206</v>
      </c>
      <c r="B165" s="176">
        <v>149</v>
      </c>
      <c r="C165" s="176" t="s">
        <v>50</v>
      </c>
      <c r="D165" s="177" t="s">
        <v>51</v>
      </c>
      <c r="E165" s="176">
        <v>30</v>
      </c>
      <c r="F165" s="176" t="s">
        <v>220</v>
      </c>
      <c r="G165" s="176">
        <v>3635</v>
      </c>
      <c r="H165" s="176" t="s">
        <v>221</v>
      </c>
      <c r="I165" s="178" t="s">
        <v>188</v>
      </c>
      <c r="J165" s="179">
        <v>0.156</v>
      </c>
      <c r="K165" s="180" t="s">
        <v>320</v>
      </c>
      <c r="L165" s="180">
        <v>0.1</v>
      </c>
      <c r="M165" s="180"/>
      <c r="N165" s="180"/>
      <c r="O165" s="180"/>
      <c r="P165" s="180"/>
      <c r="Q165" s="181"/>
    </row>
    <row r="166" spans="1:17" ht="15" hidden="1" customHeight="1" x14ac:dyDescent="0.25">
      <c r="A166" s="176">
        <v>6206</v>
      </c>
      <c r="B166" s="176">
        <v>149</v>
      </c>
      <c r="C166" s="176" t="s">
        <v>50</v>
      </c>
      <c r="D166" s="177" t="s">
        <v>51</v>
      </c>
      <c r="E166" s="176">
        <v>30</v>
      </c>
      <c r="F166" s="176" t="s">
        <v>261</v>
      </c>
      <c r="G166" s="176">
        <v>6935</v>
      </c>
      <c r="H166" s="176" t="s">
        <v>294</v>
      </c>
      <c r="I166" s="178" t="s">
        <v>148</v>
      </c>
      <c r="J166" s="179">
        <v>3.3000000000000002E-2</v>
      </c>
      <c r="K166" s="180" t="s">
        <v>336</v>
      </c>
      <c r="L166" s="180">
        <v>0.1</v>
      </c>
      <c r="M166" s="182"/>
      <c r="N166" s="180"/>
      <c r="O166" s="180"/>
      <c r="P166" s="180"/>
      <c r="Q166" s="181"/>
    </row>
    <row r="167" spans="1:17" ht="15" hidden="1" customHeight="1" x14ac:dyDescent="0.25">
      <c r="A167" s="176">
        <v>5814</v>
      </c>
      <c r="B167" s="176">
        <v>95</v>
      </c>
      <c r="C167" s="176" t="s">
        <v>29</v>
      </c>
      <c r="D167" s="177" t="s">
        <v>52</v>
      </c>
      <c r="E167" s="176">
        <v>30</v>
      </c>
      <c r="F167" s="176" t="s">
        <v>146</v>
      </c>
      <c r="G167" s="176">
        <v>406</v>
      </c>
      <c r="H167" s="176" t="s">
        <v>158</v>
      </c>
      <c r="I167" s="178" t="s">
        <v>148</v>
      </c>
      <c r="J167" s="179">
        <v>8</v>
      </c>
      <c r="K167" s="180" t="s">
        <v>309</v>
      </c>
      <c r="L167" s="180">
        <v>0.1</v>
      </c>
      <c r="M167" s="182" t="s">
        <v>338</v>
      </c>
      <c r="N167" s="180"/>
      <c r="O167" s="180"/>
      <c r="P167" s="180"/>
      <c r="Q167" s="181"/>
    </row>
    <row r="168" spans="1:17" ht="15" hidden="1" customHeight="1" x14ac:dyDescent="0.25">
      <c r="A168" s="176">
        <v>5814</v>
      </c>
      <c r="B168" s="176">
        <v>95</v>
      </c>
      <c r="C168" s="176" t="s">
        <v>29</v>
      </c>
      <c r="D168" s="177" t="s">
        <v>52</v>
      </c>
      <c r="E168" s="176">
        <v>30</v>
      </c>
      <c r="F168" s="176" t="s">
        <v>169</v>
      </c>
      <c r="G168" s="176">
        <v>3595</v>
      </c>
      <c r="H168" s="176" t="s">
        <v>311</v>
      </c>
      <c r="I168" s="178" t="s">
        <v>148</v>
      </c>
      <c r="J168" s="179">
        <v>0.66839999999999999</v>
      </c>
      <c r="K168" s="180" t="s">
        <v>312</v>
      </c>
      <c r="L168" s="180">
        <v>0.1</v>
      </c>
      <c r="M168" s="182" t="s">
        <v>329</v>
      </c>
      <c r="N168" s="180"/>
      <c r="O168" s="180"/>
      <c r="P168" s="180"/>
      <c r="Q168" s="181"/>
    </row>
    <row r="169" spans="1:17" ht="15" hidden="1" customHeight="1" x14ac:dyDescent="0.25">
      <c r="A169" s="176">
        <v>5814</v>
      </c>
      <c r="B169" s="176">
        <v>95</v>
      </c>
      <c r="C169" s="176" t="s">
        <v>29</v>
      </c>
      <c r="D169" s="177" t="s">
        <v>52</v>
      </c>
      <c r="E169" s="176">
        <v>30</v>
      </c>
      <c r="F169" s="176" t="s">
        <v>181</v>
      </c>
      <c r="G169" s="176">
        <v>186</v>
      </c>
      <c r="H169" s="176" t="s">
        <v>182</v>
      </c>
      <c r="I169" s="178" t="s">
        <v>148</v>
      </c>
      <c r="J169" s="179">
        <v>0.12</v>
      </c>
      <c r="K169" s="180" t="s">
        <v>7</v>
      </c>
      <c r="L169" s="180">
        <v>0.1</v>
      </c>
      <c r="M169" s="182"/>
      <c r="N169" s="180"/>
      <c r="O169" s="180"/>
      <c r="P169" s="180"/>
      <c r="Q169" s="181"/>
    </row>
    <row r="170" spans="1:17" ht="15" hidden="1" customHeight="1" x14ac:dyDescent="0.25">
      <c r="A170" s="176">
        <v>5814</v>
      </c>
      <c r="B170" s="176">
        <v>95</v>
      </c>
      <c r="C170" s="176" t="s">
        <v>29</v>
      </c>
      <c r="D170" s="177" t="s">
        <v>52</v>
      </c>
      <c r="E170" s="176">
        <v>30</v>
      </c>
      <c r="F170" s="176" t="s">
        <v>186</v>
      </c>
      <c r="G170" s="176">
        <v>578</v>
      </c>
      <c r="H170" s="176" t="s">
        <v>208</v>
      </c>
      <c r="I170" s="178" t="s">
        <v>188</v>
      </c>
      <c r="J170" s="179">
        <v>1000</v>
      </c>
      <c r="K170" s="180" t="s">
        <v>314</v>
      </c>
      <c r="L170" s="180">
        <v>0.02</v>
      </c>
      <c r="M170" s="182" t="s">
        <v>315</v>
      </c>
      <c r="N170" s="180"/>
      <c r="O170" s="180"/>
      <c r="P170" s="180"/>
      <c r="Q170" s="181"/>
    </row>
    <row r="171" spans="1:17" ht="15" hidden="1" customHeight="1" x14ac:dyDescent="0.25">
      <c r="A171" s="176">
        <v>5814</v>
      </c>
      <c r="B171" s="176">
        <v>95</v>
      </c>
      <c r="C171" s="176" t="s">
        <v>29</v>
      </c>
      <c r="D171" s="177" t="s">
        <v>52</v>
      </c>
      <c r="E171" s="176">
        <v>30</v>
      </c>
      <c r="F171" s="176" t="s">
        <v>162</v>
      </c>
      <c r="G171" s="176">
        <v>4155</v>
      </c>
      <c r="H171" s="176" t="s">
        <v>168</v>
      </c>
      <c r="I171" s="178" t="s">
        <v>148</v>
      </c>
      <c r="J171" s="179">
        <v>0.2959</v>
      </c>
      <c r="K171" s="180" t="s">
        <v>318</v>
      </c>
      <c r="L171" s="180">
        <v>0.1</v>
      </c>
      <c r="M171" s="182" t="s">
        <v>329</v>
      </c>
      <c r="N171" s="180"/>
      <c r="O171" s="180"/>
      <c r="P171" s="180"/>
      <c r="Q171" s="181"/>
    </row>
    <row r="172" spans="1:17" ht="15" hidden="1" customHeight="1" x14ac:dyDescent="0.25">
      <c r="A172" s="176">
        <v>5814</v>
      </c>
      <c r="B172" s="176">
        <v>95</v>
      </c>
      <c r="C172" s="176" t="s">
        <v>29</v>
      </c>
      <c r="D172" s="177" t="s">
        <v>52</v>
      </c>
      <c r="E172" s="176">
        <v>30</v>
      </c>
      <c r="F172" s="176" t="s">
        <v>220</v>
      </c>
      <c r="G172" s="176">
        <v>3635</v>
      </c>
      <c r="H172" s="176" t="s">
        <v>221</v>
      </c>
      <c r="I172" s="178" t="s">
        <v>188</v>
      </c>
      <c r="J172" s="179">
        <v>0.156</v>
      </c>
      <c r="K172" s="180" t="s">
        <v>320</v>
      </c>
      <c r="L172" s="180">
        <v>0.1</v>
      </c>
      <c r="M172" s="182"/>
      <c r="N172" s="180"/>
      <c r="O172" s="180"/>
      <c r="P172" s="180"/>
      <c r="Q172" s="181"/>
    </row>
    <row r="173" spans="1:17" ht="15" hidden="1" customHeight="1" x14ac:dyDescent="0.25">
      <c r="A173" s="176">
        <v>4050</v>
      </c>
      <c r="B173" s="176">
        <v>19</v>
      </c>
      <c r="C173" s="176" t="s">
        <v>54</v>
      </c>
      <c r="D173" s="177" t="s">
        <v>55</v>
      </c>
      <c r="E173" s="176">
        <v>30</v>
      </c>
      <c r="F173" s="176" t="s">
        <v>146</v>
      </c>
      <c r="G173" s="176">
        <v>406</v>
      </c>
      <c r="H173" s="176" t="s">
        <v>158</v>
      </c>
      <c r="I173" s="178" t="s">
        <v>148</v>
      </c>
      <c r="J173" s="179">
        <v>8</v>
      </c>
      <c r="K173" s="180" t="s">
        <v>309</v>
      </c>
      <c r="L173" s="180">
        <v>0.1</v>
      </c>
      <c r="M173" s="182" t="s">
        <v>338</v>
      </c>
      <c r="N173" s="180"/>
      <c r="O173" s="180"/>
      <c r="P173" s="180"/>
      <c r="Q173" s="181"/>
    </row>
    <row r="174" spans="1:17" ht="15" hidden="1" customHeight="1" x14ac:dyDescent="0.25">
      <c r="A174" s="176">
        <v>4050</v>
      </c>
      <c r="B174" s="176">
        <v>19</v>
      </c>
      <c r="C174" s="176" t="s">
        <v>54</v>
      </c>
      <c r="D174" s="177" t="s">
        <v>55</v>
      </c>
      <c r="E174" s="176">
        <v>30</v>
      </c>
      <c r="F174" s="176" t="s">
        <v>169</v>
      </c>
      <c r="G174" s="176">
        <v>3595</v>
      </c>
      <c r="H174" s="176" t="s">
        <v>311</v>
      </c>
      <c r="I174" s="178" t="s">
        <v>148</v>
      </c>
      <c r="J174" s="179">
        <v>0.66839999999999999</v>
      </c>
      <c r="K174" s="180" t="s">
        <v>312</v>
      </c>
      <c r="L174" s="180">
        <v>0.1</v>
      </c>
      <c r="M174" s="182" t="s">
        <v>313</v>
      </c>
      <c r="N174" s="180"/>
      <c r="O174" s="180"/>
      <c r="P174" s="180"/>
      <c r="Q174" s="181"/>
    </row>
    <row r="175" spans="1:17" ht="15" hidden="1" customHeight="1" x14ac:dyDescent="0.25">
      <c r="A175" s="176">
        <v>4050</v>
      </c>
      <c r="B175" s="176">
        <v>19</v>
      </c>
      <c r="C175" s="176" t="s">
        <v>54</v>
      </c>
      <c r="D175" s="177" t="s">
        <v>55</v>
      </c>
      <c r="E175" s="176">
        <v>30</v>
      </c>
      <c r="F175" s="176" t="s">
        <v>181</v>
      </c>
      <c r="G175" s="176">
        <v>186</v>
      </c>
      <c r="H175" s="176" t="s">
        <v>182</v>
      </c>
      <c r="I175" s="178" t="s">
        <v>148</v>
      </c>
      <c r="J175" s="179">
        <v>0.12</v>
      </c>
      <c r="K175" s="180" t="s">
        <v>7</v>
      </c>
      <c r="L175" s="180">
        <v>0.1</v>
      </c>
      <c r="M175" s="180"/>
      <c r="N175" s="180"/>
      <c r="O175" s="180"/>
      <c r="P175" s="180"/>
      <c r="Q175" s="181"/>
    </row>
    <row r="176" spans="1:17" ht="15" hidden="1" customHeight="1" x14ac:dyDescent="0.25">
      <c r="A176" s="176">
        <v>4050</v>
      </c>
      <c r="B176" s="176">
        <v>19</v>
      </c>
      <c r="C176" s="176" t="s">
        <v>54</v>
      </c>
      <c r="D176" s="177" t="s">
        <v>55</v>
      </c>
      <c r="E176" s="176">
        <v>30</v>
      </c>
      <c r="F176" s="176" t="s">
        <v>186</v>
      </c>
      <c r="G176" s="176">
        <v>578</v>
      </c>
      <c r="H176" s="176" t="s">
        <v>208</v>
      </c>
      <c r="I176" s="178" t="s">
        <v>188</v>
      </c>
      <c r="J176" s="179">
        <v>1000</v>
      </c>
      <c r="K176" s="180" t="s">
        <v>314</v>
      </c>
      <c r="L176" s="180">
        <v>0.02</v>
      </c>
      <c r="M176" s="182" t="s">
        <v>315</v>
      </c>
      <c r="N176" s="180"/>
      <c r="O176" s="180"/>
      <c r="P176" s="180"/>
      <c r="Q176" s="181"/>
    </row>
    <row r="177" spans="1:17" ht="15" hidden="1" customHeight="1" x14ac:dyDescent="0.25">
      <c r="A177" s="176">
        <v>4050</v>
      </c>
      <c r="B177" s="176">
        <v>19</v>
      </c>
      <c r="C177" s="176" t="s">
        <v>54</v>
      </c>
      <c r="D177" s="177" t="s">
        <v>55</v>
      </c>
      <c r="E177" s="176">
        <v>30</v>
      </c>
      <c r="F177" s="176" t="s">
        <v>210</v>
      </c>
      <c r="G177" s="176">
        <v>45</v>
      </c>
      <c r="H177" s="176" t="s">
        <v>217</v>
      </c>
      <c r="I177" s="178" t="s">
        <v>188</v>
      </c>
      <c r="J177" s="179">
        <v>6.6660000000000004</v>
      </c>
      <c r="K177" s="180" t="s">
        <v>316</v>
      </c>
      <c r="L177" s="180">
        <v>0.1</v>
      </c>
      <c r="M177" s="180"/>
      <c r="N177" s="180"/>
      <c r="O177" s="180"/>
      <c r="P177" s="180"/>
      <c r="Q177" s="181"/>
    </row>
    <row r="178" spans="1:17" ht="15" hidden="1" customHeight="1" x14ac:dyDescent="0.25">
      <c r="A178" s="176">
        <v>4050</v>
      </c>
      <c r="B178" s="176">
        <v>19</v>
      </c>
      <c r="C178" s="176" t="s">
        <v>54</v>
      </c>
      <c r="D178" s="177" t="s">
        <v>55</v>
      </c>
      <c r="E178" s="176">
        <v>30</v>
      </c>
      <c r="F178" s="176" t="s">
        <v>183</v>
      </c>
      <c r="G178" s="176">
        <v>194</v>
      </c>
      <c r="H178" s="176" t="s">
        <v>184</v>
      </c>
      <c r="I178" s="178" t="s">
        <v>148</v>
      </c>
      <c r="J178" s="179">
        <v>8.3199999999999993E-3</v>
      </c>
      <c r="K178" s="180" t="s">
        <v>317</v>
      </c>
      <c r="L178" s="180">
        <v>0.1</v>
      </c>
      <c r="M178" s="180"/>
      <c r="N178" s="180"/>
      <c r="O178" s="180"/>
      <c r="P178" s="180"/>
      <c r="Q178" s="181"/>
    </row>
    <row r="179" spans="1:17" ht="15" hidden="1" customHeight="1" x14ac:dyDescent="0.25">
      <c r="A179" s="176">
        <v>4050</v>
      </c>
      <c r="B179" s="176">
        <v>19</v>
      </c>
      <c r="C179" s="176" t="s">
        <v>54</v>
      </c>
      <c r="D179" s="177" t="s">
        <v>55</v>
      </c>
      <c r="E179" s="176">
        <v>30</v>
      </c>
      <c r="F179" s="176" t="s">
        <v>162</v>
      </c>
      <c r="G179" s="176">
        <v>4155</v>
      </c>
      <c r="H179" s="176" t="s">
        <v>168</v>
      </c>
      <c r="I179" s="178" t="s">
        <v>148</v>
      </c>
      <c r="J179" s="179">
        <v>0.2959</v>
      </c>
      <c r="K179" s="180" t="s">
        <v>318</v>
      </c>
      <c r="L179" s="180">
        <v>0.1</v>
      </c>
      <c r="M179" s="180"/>
      <c r="N179" s="180"/>
      <c r="O179" s="180"/>
      <c r="P179" s="180"/>
      <c r="Q179" s="181"/>
    </row>
    <row r="180" spans="1:17" ht="15" hidden="1" customHeight="1" x14ac:dyDescent="0.25">
      <c r="A180" s="176">
        <v>4050</v>
      </c>
      <c r="B180" s="176">
        <v>19</v>
      </c>
      <c r="C180" s="176" t="s">
        <v>54</v>
      </c>
      <c r="D180" s="177" t="s">
        <v>55</v>
      </c>
      <c r="E180" s="176">
        <v>30</v>
      </c>
      <c r="F180" s="176" t="s">
        <v>220</v>
      </c>
      <c r="G180" s="176">
        <v>3635</v>
      </c>
      <c r="H180" s="176" t="s">
        <v>221</v>
      </c>
      <c r="I180" s="178" t="s">
        <v>188</v>
      </c>
      <c r="J180" s="179">
        <v>0.156</v>
      </c>
      <c r="K180" s="180" t="s">
        <v>320</v>
      </c>
      <c r="L180" s="180">
        <v>0.1</v>
      </c>
      <c r="M180" s="180"/>
      <c r="N180" s="180"/>
      <c r="O180" s="180"/>
      <c r="P180" s="180"/>
      <c r="Q180" s="181"/>
    </row>
    <row r="181" spans="1:17" ht="15" hidden="1" customHeight="1" x14ac:dyDescent="0.25">
      <c r="A181" s="176">
        <v>4050</v>
      </c>
      <c r="B181" s="176">
        <v>19</v>
      </c>
      <c r="C181" s="176" t="s">
        <v>54</v>
      </c>
      <c r="D181" s="177" t="s">
        <v>55</v>
      </c>
      <c r="E181" s="176">
        <v>30</v>
      </c>
      <c r="F181" s="176" t="s">
        <v>321</v>
      </c>
      <c r="G181" s="176">
        <v>57</v>
      </c>
      <c r="H181" s="176" t="s">
        <v>340</v>
      </c>
      <c r="I181" s="178" t="s">
        <v>323</v>
      </c>
      <c r="J181" s="179">
        <v>6.6660000000000004</v>
      </c>
      <c r="K181" s="180" t="s">
        <v>324</v>
      </c>
      <c r="L181" s="180">
        <v>0.1</v>
      </c>
      <c r="M181" s="182"/>
      <c r="N181" s="180"/>
      <c r="O181" s="180"/>
      <c r="P181" s="180"/>
      <c r="Q181" s="181"/>
    </row>
    <row r="182" spans="1:17" ht="15" hidden="1" customHeight="1" x14ac:dyDescent="0.25">
      <c r="A182" s="176">
        <v>6312</v>
      </c>
      <c r="B182" s="176">
        <v>157</v>
      </c>
      <c r="C182" s="176" t="s">
        <v>54</v>
      </c>
      <c r="D182" s="177" t="s">
        <v>56</v>
      </c>
      <c r="E182" s="176">
        <v>30</v>
      </c>
      <c r="F182" s="176" t="s">
        <v>146</v>
      </c>
      <c r="G182" s="176">
        <v>406</v>
      </c>
      <c r="H182" s="176" t="s">
        <v>158</v>
      </c>
      <c r="I182" s="178" t="s">
        <v>148</v>
      </c>
      <c r="J182" s="179">
        <v>8</v>
      </c>
      <c r="K182" s="180" t="s">
        <v>309</v>
      </c>
      <c r="L182" s="180">
        <v>0.1</v>
      </c>
      <c r="M182" s="182" t="s">
        <v>338</v>
      </c>
      <c r="N182" s="180"/>
      <c r="O182" s="180"/>
      <c r="P182" s="180"/>
      <c r="Q182" s="181"/>
    </row>
    <row r="183" spans="1:17" ht="15" hidden="1" customHeight="1" x14ac:dyDescent="0.25">
      <c r="A183" s="176">
        <v>6312</v>
      </c>
      <c r="B183" s="176">
        <v>157</v>
      </c>
      <c r="C183" s="176" t="s">
        <v>54</v>
      </c>
      <c r="D183" s="177" t="s">
        <v>56</v>
      </c>
      <c r="E183" s="176">
        <v>30</v>
      </c>
      <c r="F183" s="176" t="s">
        <v>169</v>
      </c>
      <c r="G183" s="176">
        <v>3595</v>
      </c>
      <c r="H183" s="176" t="s">
        <v>311</v>
      </c>
      <c r="I183" s="178" t="s">
        <v>148</v>
      </c>
      <c r="J183" s="179">
        <v>0.67</v>
      </c>
      <c r="K183" s="180" t="s">
        <v>312</v>
      </c>
      <c r="L183" s="180">
        <v>0.1</v>
      </c>
      <c r="M183" s="182" t="s">
        <v>329</v>
      </c>
      <c r="N183" s="180"/>
      <c r="O183" s="180"/>
      <c r="P183" s="180"/>
      <c r="Q183" s="181"/>
    </row>
    <row r="184" spans="1:17" ht="15" hidden="1" customHeight="1" x14ac:dyDescent="0.25">
      <c r="A184" s="176">
        <v>6312</v>
      </c>
      <c r="B184" s="176">
        <v>157</v>
      </c>
      <c r="C184" s="176" t="s">
        <v>54</v>
      </c>
      <c r="D184" s="177" t="s">
        <v>56</v>
      </c>
      <c r="E184" s="176">
        <v>30</v>
      </c>
      <c r="F184" s="176" t="s">
        <v>210</v>
      </c>
      <c r="G184" s="176">
        <v>45</v>
      </c>
      <c r="H184" s="176" t="s">
        <v>217</v>
      </c>
      <c r="I184" s="178" t="s">
        <v>188</v>
      </c>
      <c r="J184" s="179">
        <v>6.6665999999999999</v>
      </c>
      <c r="K184" s="180" t="s">
        <v>316</v>
      </c>
      <c r="L184" s="180">
        <v>0.1</v>
      </c>
      <c r="M184" s="182"/>
      <c r="N184" s="180"/>
      <c r="O184" s="180"/>
      <c r="P184" s="180"/>
      <c r="Q184" s="181"/>
    </row>
    <row r="185" spans="1:17" ht="15" hidden="1" customHeight="1" x14ac:dyDescent="0.25">
      <c r="A185" s="176">
        <v>6312</v>
      </c>
      <c r="B185" s="176">
        <v>157</v>
      </c>
      <c r="C185" s="176" t="s">
        <v>54</v>
      </c>
      <c r="D185" s="177" t="s">
        <v>56</v>
      </c>
      <c r="E185" s="176">
        <v>30</v>
      </c>
      <c r="F185" s="176" t="s">
        <v>162</v>
      </c>
      <c r="G185" s="176">
        <v>4155</v>
      </c>
      <c r="H185" s="176" t="s">
        <v>168</v>
      </c>
      <c r="I185" s="178" t="s">
        <v>148</v>
      </c>
      <c r="J185" s="179">
        <v>0.28000000000000003</v>
      </c>
      <c r="K185" s="180" t="s">
        <v>318</v>
      </c>
      <c r="L185" s="180">
        <v>0.1</v>
      </c>
      <c r="M185" s="182" t="s">
        <v>329</v>
      </c>
      <c r="N185" s="180"/>
      <c r="O185" s="180"/>
      <c r="P185" s="180"/>
      <c r="Q185" s="181"/>
    </row>
    <row r="186" spans="1:17" ht="15" hidden="1" customHeight="1" x14ac:dyDescent="0.25">
      <c r="A186" s="176">
        <v>6312</v>
      </c>
      <c r="B186" s="176">
        <v>157</v>
      </c>
      <c r="C186" s="176" t="s">
        <v>54</v>
      </c>
      <c r="D186" s="177" t="s">
        <v>56</v>
      </c>
      <c r="E186" s="176">
        <v>30</v>
      </c>
      <c r="F186" s="176" t="s">
        <v>220</v>
      </c>
      <c r="G186" s="176">
        <v>3635</v>
      </c>
      <c r="H186" s="176" t="s">
        <v>221</v>
      </c>
      <c r="I186" s="178" t="s">
        <v>188</v>
      </c>
      <c r="J186" s="179">
        <v>0.156</v>
      </c>
      <c r="K186" s="180" t="s">
        <v>331</v>
      </c>
      <c r="L186" s="180">
        <v>0.1</v>
      </c>
      <c r="M186" s="180"/>
      <c r="N186" s="180"/>
      <c r="O186" s="180"/>
      <c r="P186" s="180"/>
      <c r="Q186" s="181"/>
    </row>
    <row r="187" spans="1:17" ht="15" hidden="1" customHeight="1" x14ac:dyDescent="0.25">
      <c r="A187" s="176">
        <v>6312</v>
      </c>
      <c r="B187" s="176">
        <v>157</v>
      </c>
      <c r="C187" s="176" t="s">
        <v>54</v>
      </c>
      <c r="D187" s="177" t="s">
        <v>56</v>
      </c>
      <c r="E187" s="176">
        <v>30</v>
      </c>
      <c r="F187" s="176" t="s">
        <v>321</v>
      </c>
      <c r="G187" s="176">
        <v>57</v>
      </c>
      <c r="H187" s="176" t="s">
        <v>340</v>
      </c>
      <c r="I187" s="178" t="s">
        <v>323</v>
      </c>
      <c r="J187" s="179">
        <v>6.6665999999999999</v>
      </c>
      <c r="K187" s="180" t="s">
        <v>324</v>
      </c>
      <c r="L187" s="180">
        <v>0.1</v>
      </c>
      <c r="M187" s="182"/>
      <c r="N187" s="180"/>
      <c r="O187" s="180"/>
      <c r="P187" s="180"/>
      <c r="Q187" s="181"/>
    </row>
    <row r="188" spans="1:17" ht="15" hidden="1" customHeight="1" x14ac:dyDescent="0.25">
      <c r="A188" s="176">
        <v>6312</v>
      </c>
      <c r="B188" s="176">
        <v>157</v>
      </c>
      <c r="C188" s="176" t="s">
        <v>54</v>
      </c>
      <c r="D188" s="177" t="s">
        <v>56</v>
      </c>
      <c r="E188" s="176">
        <v>30</v>
      </c>
      <c r="F188" s="176" t="s">
        <v>183</v>
      </c>
      <c r="G188" s="176">
        <v>194</v>
      </c>
      <c r="H188" s="176" t="s">
        <v>184</v>
      </c>
      <c r="I188" s="178" t="s">
        <v>148</v>
      </c>
      <c r="J188" s="179">
        <v>8.3199999999999993E-3</v>
      </c>
      <c r="K188" s="180" t="s">
        <v>183</v>
      </c>
      <c r="L188" s="180">
        <v>0.1</v>
      </c>
      <c r="M188" s="182" t="s">
        <v>339</v>
      </c>
      <c r="N188" s="180"/>
      <c r="O188" s="180"/>
      <c r="P188" s="180"/>
      <c r="Q188" s="181"/>
    </row>
    <row r="189" spans="1:17" ht="15" hidden="1" customHeight="1" x14ac:dyDescent="0.25">
      <c r="A189" s="176">
        <v>6595</v>
      </c>
      <c r="B189" s="176">
        <v>191</v>
      </c>
      <c r="C189" s="176" t="s">
        <v>57</v>
      </c>
      <c r="D189" s="177" t="s">
        <v>58</v>
      </c>
      <c r="E189" s="176">
        <v>30</v>
      </c>
      <c r="F189" s="176" t="s">
        <v>146</v>
      </c>
      <c r="G189" s="176">
        <v>406</v>
      </c>
      <c r="H189" s="176" t="s">
        <v>158</v>
      </c>
      <c r="I189" s="178" t="s">
        <v>148</v>
      </c>
      <c r="J189" s="179">
        <v>8</v>
      </c>
      <c r="K189" s="180" t="s">
        <v>309</v>
      </c>
      <c r="L189" s="180">
        <v>0.1</v>
      </c>
      <c r="M189" s="182" t="s">
        <v>338</v>
      </c>
      <c r="N189" s="180"/>
      <c r="O189" s="180"/>
      <c r="P189" s="180"/>
      <c r="Q189" s="181"/>
    </row>
    <row r="190" spans="1:17" ht="15" hidden="1" customHeight="1" x14ac:dyDescent="0.25">
      <c r="A190" s="176">
        <v>6595</v>
      </c>
      <c r="B190" s="176">
        <v>191</v>
      </c>
      <c r="C190" s="176" t="s">
        <v>57</v>
      </c>
      <c r="D190" s="177" t="s">
        <v>58</v>
      </c>
      <c r="E190" s="176">
        <v>30</v>
      </c>
      <c r="F190" s="176" t="s">
        <v>169</v>
      </c>
      <c r="G190" s="176">
        <v>3595</v>
      </c>
      <c r="H190" s="176" t="s">
        <v>311</v>
      </c>
      <c r="I190" s="178" t="s">
        <v>148</v>
      </c>
      <c r="J190" s="179">
        <v>0.67</v>
      </c>
      <c r="K190" s="180" t="s">
        <v>312</v>
      </c>
      <c r="L190" s="180">
        <v>0.1</v>
      </c>
      <c r="M190" s="182" t="s">
        <v>313</v>
      </c>
      <c r="N190" s="180"/>
      <c r="O190" s="180"/>
      <c r="P190" s="180"/>
      <c r="Q190" s="181"/>
    </row>
    <row r="191" spans="1:17" ht="15" hidden="1" customHeight="1" x14ac:dyDescent="0.25">
      <c r="A191" s="176">
        <v>6595</v>
      </c>
      <c r="B191" s="176">
        <v>191</v>
      </c>
      <c r="C191" s="176" t="s">
        <v>57</v>
      </c>
      <c r="D191" s="177" t="s">
        <v>58</v>
      </c>
      <c r="E191" s="176">
        <v>30</v>
      </c>
      <c r="F191" s="176" t="s">
        <v>181</v>
      </c>
      <c r="G191" s="176">
        <v>186</v>
      </c>
      <c r="H191" s="176" t="s">
        <v>182</v>
      </c>
      <c r="I191" s="178" t="s">
        <v>148</v>
      </c>
      <c r="J191" s="179">
        <v>0.28000000000000003</v>
      </c>
      <c r="K191" s="180" t="s">
        <v>7</v>
      </c>
      <c r="L191" s="180">
        <v>0.1</v>
      </c>
      <c r="M191" s="180"/>
      <c r="N191" s="180"/>
      <c r="O191" s="180"/>
      <c r="P191" s="180"/>
      <c r="Q191" s="181"/>
    </row>
    <row r="192" spans="1:17" ht="15" hidden="1" customHeight="1" x14ac:dyDescent="0.25">
      <c r="A192" s="176">
        <v>6595</v>
      </c>
      <c r="B192" s="176">
        <v>191</v>
      </c>
      <c r="C192" s="176" t="s">
        <v>57</v>
      </c>
      <c r="D192" s="177" t="s">
        <v>58</v>
      </c>
      <c r="E192" s="176">
        <v>30</v>
      </c>
      <c r="F192" s="176" t="s">
        <v>186</v>
      </c>
      <c r="G192" s="176">
        <v>3211</v>
      </c>
      <c r="H192" s="176" t="s">
        <v>195</v>
      </c>
      <c r="I192" s="178" t="s">
        <v>188</v>
      </c>
      <c r="J192" s="179">
        <v>1000</v>
      </c>
      <c r="K192" s="180" t="s">
        <v>314</v>
      </c>
      <c r="L192" s="180">
        <v>0.02</v>
      </c>
      <c r="M192" s="182" t="s">
        <v>315</v>
      </c>
      <c r="N192" s="180"/>
      <c r="O192" s="180"/>
      <c r="P192" s="180"/>
      <c r="Q192" s="181"/>
    </row>
    <row r="193" spans="1:17" ht="15" hidden="1" customHeight="1" x14ac:dyDescent="0.25">
      <c r="A193" s="176">
        <v>6595</v>
      </c>
      <c r="B193" s="176">
        <v>191</v>
      </c>
      <c r="C193" s="176" t="s">
        <v>57</v>
      </c>
      <c r="D193" s="177" t="s">
        <v>58</v>
      </c>
      <c r="E193" s="176">
        <v>30</v>
      </c>
      <c r="F193" s="176" t="s">
        <v>210</v>
      </c>
      <c r="G193" s="176">
        <v>3598</v>
      </c>
      <c r="H193" s="176" t="s">
        <v>216</v>
      </c>
      <c r="I193" s="178" t="s">
        <v>188</v>
      </c>
      <c r="J193" s="179">
        <v>4.2016</v>
      </c>
      <c r="K193" s="180" t="s">
        <v>316</v>
      </c>
      <c r="L193" s="180">
        <v>0.1</v>
      </c>
      <c r="M193" s="180"/>
      <c r="N193" s="180"/>
      <c r="O193" s="180"/>
      <c r="P193" s="180"/>
      <c r="Q193" s="181"/>
    </row>
    <row r="194" spans="1:17" ht="15" hidden="1" customHeight="1" x14ac:dyDescent="0.25">
      <c r="A194" s="176">
        <v>6595</v>
      </c>
      <c r="B194" s="176">
        <v>191</v>
      </c>
      <c r="C194" s="176" t="s">
        <v>57</v>
      </c>
      <c r="D194" s="177" t="s">
        <v>58</v>
      </c>
      <c r="E194" s="176">
        <v>30</v>
      </c>
      <c r="F194" s="176" t="s">
        <v>162</v>
      </c>
      <c r="G194" s="176">
        <v>185</v>
      </c>
      <c r="H194" s="176" t="s">
        <v>164</v>
      </c>
      <c r="I194" s="178" t="s">
        <v>165</v>
      </c>
      <c r="J194" s="179">
        <v>0.28000000000000003</v>
      </c>
      <c r="K194" s="180" t="s">
        <v>318</v>
      </c>
      <c r="L194" s="180">
        <v>0.1</v>
      </c>
      <c r="M194" s="180"/>
      <c r="N194" s="180"/>
      <c r="O194" s="180"/>
      <c r="P194" s="180"/>
      <c r="Q194" s="181"/>
    </row>
    <row r="195" spans="1:17" ht="15" hidden="1" customHeight="1" x14ac:dyDescent="0.25">
      <c r="A195" s="176">
        <v>6595</v>
      </c>
      <c r="B195" s="176">
        <v>191</v>
      </c>
      <c r="C195" s="176" t="s">
        <v>57</v>
      </c>
      <c r="D195" s="177" t="s">
        <v>58</v>
      </c>
      <c r="E195" s="176">
        <v>30</v>
      </c>
      <c r="F195" s="176" t="s">
        <v>183</v>
      </c>
      <c r="G195" s="176">
        <v>194</v>
      </c>
      <c r="H195" s="176" t="s">
        <v>184</v>
      </c>
      <c r="I195" s="178" t="s">
        <v>148</v>
      </c>
      <c r="J195" s="179">
        <v>8.3219999999999995E-3</v>
      </c>
      <c r="K195" s="180" t="s">
        <v>317</v>
      </c>
      <c r="L195" s="180">
        <v>0.1</v>
      </c>
      <c r="M195" s="180"/>
      <c r="N195" s="180"/>
      <c r="O195" s="180"/>
      <c r="P195" s="180"/>
      <c r="Q195" s="181"/>
    </row>
    <row r="196" spans="1:17" ht="15" hidden="1" customHeight="1" x14ac:dyDescent="0.25">
      <c r="A196" s="176">
        <v>6595</v>
      </c>
      <c r="B196" s="176">
        <v>191</v>
      </c>
      <c r="C196" s="176" t="s">
        <v>57</v>
      </c>
      <c r="D196" s="177" t="s">
        <v>58</v>
      </c>
      <c r="E196" s="176">
        <v>30</v>
      </c>
      <c r="F196" s="176" t="s">
        <v>220</v>
      </c>
      <c r="G196" s="176">
        <v>3635</v>
      </c>
      <c r="H196" s="176" t="s">
        <v>221</v>
      </c>
      <c r="I196" s="178" t="s">
        <v>188</v>
      </c>
      <c r="J196" s="179">
        <v>0.156</v>
      </c>
      <c r="K196" s="180" t="s">
        <v>320</v>
      </c>
      <c r="L196" s="180">
        <v>0.1</v>
      </c>
      <c r="M196" s="182"/>
      <c r="N196" s="180"/>
      <c r="O196" s="180"/>
      <c r="P196" s="180"/>
      <c r="Q196" s="181"/>
    </row>
    <row r="197" spans="1:17" ht="15" hidden="1" customHeight="1" x14ac:dyDescent="0.25">
      <c r="A197" s="176">
        <v>5782</v>
      </c>
      <c r="B197" s="176">
        <v>70</v>
      </c>
      <c r="C197" s="176" t="s">
        <v>59</v>
      </c>
      <c r="D197" s="177" t="s">
        <v>60</v>
      </c>
      <c r="E197" s="176">
        <v>32</v>
      </c>
      <c r="F197" s="176" t="s">
        <v>146</v>
      </c>
      <c r="G197" s="176">
        <v>3935</v>
      </c>
      <c r="H197" s="176" t="s">
        <v>160</v>
      </c>
      <c r="I197" s="178" t="s">
        <v>148</v>
      </c>
      <c r="J197" s="179">
        <v>10.863200000000001</v>
      </c>
      <c r="K197" s="180" t="s">
        <v>309</v>
      </c>
      <c r="L197" s="180">
        <v>0.1</v>
      </c>
      <c r="M197" s="180"/>
      <c r="N197" s="180"/>
      <c r="O197" s="180"/>
      <c r="P197" s="180"/>
      <c r="Q197" s="181"/>
    </row>
    <row r="198" spans="1:17" ht="15" hidden="1" customHeight="1" x14ac:dyDescent="0.25">
      <c r="A198" s="176">
        <v>5782</v>
      </c>
      <c r="B198" s="176">
        <v>70</v>
      </c>
      <c r="C198" s="176" t="s">
        <v>59</v>
      </c>
      <c r="D198" s="177" t="s">
        <v>60</v>
      </c>
      <c r="E198" s="176">
        <v>32</v>
      </c>
      <c r="F198" s="176" t="s">
        <v>169</v>
      </c>
      <c r="G198" s="176">
        <v>3595</v>
      </c>
      <c r="H198" s="176" t="s">
        <v>311</v>
      </c>
      <c r="I198" s="178" t="s">
        <v>148</v>
      </c>
      <c r="J198" s="179">
        <v>0.78</v>
      </c>
      <c r="K198" s="180" t="s">
        <v>312</v>
      </c>
      <c r="L198" s="180">
        <v>0.1</v>
      </c>
      <c r="M198" s="182" t="s">
        <v>329</v>
      </c>
      <c r="N198" s="180"/>
      <c r="O198" s="180"/>
      <c r="P198" s="180"/>
      <c r="Q198" s="181"/>
    </row>
    <row r="199" spans="1:17" ht="15" hidden="1" customHeight="1" x14ac:dyDescent="0.25">
      <c r="A199" s="176">
        <v>5782</v>
      </c>
      <c r="B199" s="176">
        <v>70</v>
      </c>
      <c r="C199" s="176" t="s">
        <v>59</v>
      </c>
      <c r="D199" s="177" t="s">
        <v>60</v>
      </c>
      <c r="E199" s="176">
        <v>32</v>
      </c>
      <c r="F199" s="176" t="s">
        <v>181</v>
      </c>
      <c r="G199" s="176">
        <v>186</v>
      </c>
      <c r="H199" s="176" t="s">
        <v>182</v>
      </c>
      <c r="I199" s="178" t="s">
        <v>148</v>
      </c>
      <c r="J199" s="179">
        <v>0.7</v>
      </c>
      <c r="K199" s="180" t="s">
        <v>7</v>
      </c>
      <c r="L199" s="180">
        <v>0.1</v>
      </c>
      <c r="M199" s="180"/>
      <c r="N199" s="180"/>
      <c r="O199" s="180"/>
      <c r="P199" s="180"/>
      <c r="Q199" s="181"/>
    </row>
    <row r="200" spans="1:17" ht="15" hidden="1" customHeight="1" x14ac:dyDescent="0.25">
      <c r="A200" s="176">
        <v>5782</v>
      </c>
      <c r="B200" s="176">
        <v>70</v>
      </c>
      <c r="C200" s="176" t="s">
        <v>59</v>
      </c>
      <c r="D200" s="177" t="s">
        <v>60</v>
      </c>
      <c r="E200" s="176">
        <v>32</v>
      </c>
      <c r="F200" s="176" t="s">
        <v>186</v>
      </c>
      <c r="G200" s="176">
        <v>1285</v>
      </c>
      <c r="H200" s="176" t="s">
        <v>205</v>
      </c>
      <c r="I200" s="178" t="s">
        <v>188</v>
      </c>
      <c r="J200" s="179">
        <v>1000</v>
      </c>
      <c r="K200" s="180" t="s">
        <v>314</v>
      </c>
      <c r="L200" s="180">
        <v>0.02</v>
      </c>
      <c r="M200" s="182" t="s">
        <v>315</v>
      </c>
      <c r="N200" s="180"/>
      <c r="O200" s="180"/>
      <c r="P200" s="180"/>
      <c r="Q200" s="181"/>
    </row>
    <row r="201" spans="1:17" ht="15" hidden="1" customHeight="1" x14ac:dyDescent="0.25">
      <c r="A201" s="176">
        <v>5782</v>
      </c>
      <c r="B201" s="176">
        <v>70</v>
      </c>
      <c r="C201" s="176" t="s">
        <v>59</v>
      </c>
      <c r="D201" s="177" t="s">
        <v>60</v>
      </c>
      <c r="E201" s="176">
        <v>32</v>
      </c>
      <c r="F201" s="176" t="s">
        <v>210</v>
      </c>
      <c r="G201" s="176">
        <v>3988</v>
      </c>
      <c r="H201" s="176" t="s">
        <v>341</v>
      </c>
      <c r="I201" s="178" t="s">
        <v>188</v>
      </c>
      <c r="J201" s="179">
        <v>6.06</v>
      </c>
      <c r="K201" s="180" t="s">
        <v>316</v>
      </c>
      <c r="L201" s="180">
        <v>0.1</v>
      </c>
      <c r="M201" s="182"/>
      <c r="N201" s="180"/>
      <c r="O201" s="180"/>
      <c r="P201" s="180"/>
      <c r="Q201" s="181"/>
    </row>
    <row r="202" spans="1:17" ht="15" hidden="1" customHeight="1" x14ac:dyDescent="0.25">
      <c r="A202" s="176">
        <v>5782</v>
      </c>
      <c r="B202" s="176">
        <v>70</v>
      </c>
      <c r="C202" s="176" t="s">
        <v>59</v>
      </c>
      <c r="D202" s="177" t="s">
        <v>60</v>
      </c>
      <c r="E202" s="176">
        <v>32</v>
      </c>
      <c r="F202" s="176" t="s">
        <v>183</v>
      </c>
      <c r="G202" s="176">
        <v>194</v>
      </c>
      <c r="H202" s="176" t="s">
        <v>184</v>
      </c>
      <c r="I202" s="178" t="s">
        <v>148</v>
      </c>
      <c r="J202" s="179">
        <v>9.5999999999999992E-3</v>
      </c>
      <c r="K202" s="180" t="s">
        <v>317</v>
      </c>
      <c r="L202" s="180">
        <v>0.1</v>
      </c>
      <c r="M202" s="180"/>
      <c r="N202" s="180"/>
      <c r="O202" s="180"/>
      <c r="P202" s="180"/>
      <c r="Q202" s="181"/>
    </row>
    <row r="203" spans="1:17" ht="15" hidden="1" customHeight="1" x14ac:dyDescent="0.25">
      <c r="A203" s="176">
        <v>5782</v>
      </c>
      <c r="B203" s="176">
        <v>70</v>
      </c>
      <c r="C203" s="176" t="s">
        <v>59</v>
      </c>
      <c r="D203" s="177" t="s">
        <v>60</v>
      </c>
      <c r="E203" s="176">
        <v>32</v>
      </c>
      <c r="F203" s="176" t="s">
        <v>162</v>
      </c>
      <c r="G203" s="176">
        <v>185</v>
      </c>
      <c r="H203" s="176" t="s">
        <v>164</v>
      </c>
      <c r="I203" s="178" t="s">
        <v>165</v>
      </c>
      <c r="J203" s="179">
        <v>0.17849999999999999</v>
      </c>
      <c r="K203" s="180" t="s">
        <v>318</v>
      </c>
      <c r="L203" s="180">
        <v>0.1</v>
      </c>
      <c r="M203" s="182" t="s">
        <v>329</v>
      </c>
      <c r="N203" s="180"/>
      <c r="O203" s="180"/>
      <c r="P203" s="180"/>
      <c r="Q203" s="181"/>
    </row>
    <row r="204" spans="1:17" ht="15" hidden="1" customHeight="1" x14ac:dyDescent="0.25">
      <c r="A204" s="176">
        <v>5782</v>
      </c>
      <c r="B204" s="176">
        <v>70</v>
      </c>
      <c r="C204" s="176" t="s">
        <v>59</v>
      </c>
      <c r="D204" s="177" t="s">
        <v>60</v>
      </c>
      <c r="E204" s="176">
        <v>32</v>
      </c>
      <c r="F204" s="176" t="s">
        <v>220</v>
      </c>
      <c r="G204" s="176">
        <v>3635</v>
      </c>
      <c r="H204" s="176" t="s">
        <v>221</v>
      </c>
      <c r="I204" s="178" t="s">
        <v>188</v>
      </c>
      <c r="J204" s="179">
        <v>0.16800000000000001</v>
      </c>
      <c r="K204" s="180" t="s">
        <v>320</v>
      </c>
      <c r="L204" s="180">
        <v>0.1</v>
      </c>
      <c r="M204" s="182"/>
      <c r="N204" s="180"/>
      <c r="O204" s="180"/>
      <c r="P204" s="180"/>
      <c r="Q204" s="181"/>
    </row>
    <row r="205" spans="1:17" ht="15" hidden="1" customHeight="1" x14ac:dyDescent="0.25">
      <c r="A205" s="176">
        <v>6515</v>
      </c>
      <c r="B205" s="176">
        <v>180</v>
      </c>
      <c r="C205" s="176" t="s">
        <v>61</v>
      </c>
      <c r="D205" s="177" t="s">
        <v>62</v>
      </c>
      <c r="E205" s="176">
        <v>32</v>
      </c>
      <c r="F205" s="176" t="s">
        <v>146</v>
      </c>
      <c r="G205" s="176">
        <v>3935</v>
      </c>
      <c r="H205" s="176" t="s">
        <v>160</v>
      </c>
      <c r="I205" s="178" t="s">
        <v>148</v>
      </c>
      <c r="J205" s="179">
        <v>10.863200000000001</v>
      </c>
      <c r="K205" s="180" t="s">
        <v>309</v>
      </c>
      <c r="L205" s="180">
        <v>0.1</v>
      </c>
      <c r="M205" s="180" t="s">
        <v>342</v>
      </c>
      <c r="N205" s="180"/>
      <c r="O205" s="180"/>
      <c r="P205" s="180"/>
      <c r="Q205" s="181"/>
    </row>
    <row r="206" spans="1:17" ht="15" hidden="1" customHeight="1" x14ac:dyDescent="0.25">
      <c r="A206" s="176">
        <v>6515</v>
      </c>
      <c r="B206" s="176">
        <v>180</v>
      </c>
      <c r="C206" s="176" t="s">
        <v>61</v>
      </c>
      <c r="D206" s="177" t="s">
        <v>62</v>
      </c>
      <c r="E206" s="176">
        <v>32</v>
      </c>
      <c r="F206" s="176" t="s">
        <v>169</v>
      </c>
      <c r="G206" s="176">
        <v>3595</v>
      </c>
      <c r="H206" s="176" t="s">
        <v>311</v>
      </c>
      <c r="I206" s="178" t="s">
        <v>148</v>
      </c>
      <c r="J206" s="179">
        <v>0.78</v>
      </c>
      <c r="K206" s="180" t="s">
        <v>312</v>
      </c>
      <c r="L206" s="180">
        <v>0.1</v>
      </c>
      <c r="M206" s="182" t="s">
        <v>313</v>
      </c>
      <c r="N206" s="180"/>
      <c r="O206" s="180"/>
      <c r="P206" s="180"/>
      <c r="Q206" s="181"/>
    </row>
    <row r="207" spans="1:17" ht="15" hidden="1" customHeight="1" x14ac:dyDescent="0.25">
      <c r="A207" s="176">
        <v>6515</v>
      </c>
      <c r="B207" s="176">
        <v>180</v>
      </c>
      <c r="C207" s="176" t="s">
        <v>61</v>
      </c>
      <c r="D207" s="177" t="s">
        <v>62</v>
      </c>
      <c r="E207" s="176">
        <v>32</v>
      </c>
      <c r="F207" s="176" t="s">
        <v>181</v>
      </c>
      <c r="G207" s="176">
        <v>186</v>
      </c>
      <c r="H207" s="176" t="s">
        <v>182</v>
      </c>
      <c r="I207" s="178" t="s">
        <v>148</v>
      </c>
      <c r="J207" s="179">
        <v>0.7</v>
      </c>
      <c r="K207" s="180" t="s">
        <v>7</v>
      </c>
      <c r="L207" s="180">
        <v>0.1</v>
      </c>
      <c r="M207" s="180"/>
      <c r="N207" s="180"/>
      <c r="O207" s="180"/>
      <c r="P207" s="180"/>
      <c r="Q207" s="181"/>
    </row>
    <row r="208" spans="1:17" ht="15" hidden="1" customHeight="1" x14ac:dyDescent="0.25">
      <c r="A208" s="176">
        <v>6515</v>
      </c>
      <c r="B208" s="176">
        <v>180</v>
      </c>
      <c r="C208" s="176" t="s">
        <v>61</v>
      </c>
      <c r="D208" s="177" t="s">
        <v>62</v>
      </c>
      <c r="E208" s="176">
        <v>32</v>
      </c>
      <c r="F208" s="176" t="s">
        <v>186</v>
      </c>
      <c r="G208" s="176">
        <v>1073</v>
      </c>
      <c r="H208" s="176" t="s">
        <v>204</v>
      </c>
      <c r="I208" s="178" t="s">
        <v>188</v>
      </c>
      <c r="J208" s="179">
        <v>1000</v>
      </c>
      <c r="K208" s="180" t="s">
        <v>314</v>
      </c>
      <c r="L208" s="180">
        <v>0.02</v>
      </c>
      <c r="M208" s="182" t="s">
        <v>315</v>
      </c>
      <c r="N208" s="180"/>
      <c r="O208" s="180"/>
      <c r="P208" s="180"/>
      <c r="Q208" s="181"/>
    </row>
    <row r="209" spans="1:17" ht="15" hidden="1" customHeight="1" x14ac:dyDescent="0.25">
      <c r="A209" s="176">
        <v>6515</v>
      </c>
      <c r="B209" s="176">
        <v>180</v>
      </c>
      <c r="C209" s="176" t="s">
        <v>61</v>
      </c>
      <c r="D209" s="177" t="s">
        <v>62</v>
      </c>
      <c r="E209" s="176">
        <v>32</v>
      </c>
      <c r="F209" s="176" t="s">
        <v>210</v>
      </c>
      <c r="G209" s="176">
        <v>3988</v>
      </c>
      <c r="H209" s="176" t="s">
        <v>341</v>
      </c>
      <c r="I209" s="178" t="s">
        <v>188</v>
      </c>
      <c r="J209" s="179">
        <v>6.06</v>
      </c>
      <c r="K209" s="180" t="s">
        <v>316</v>
      </c>
      <c r="L209" s="180">
        <v>0.1</v>
      </c>
      <c r="M209" s="180"/>
      <c r="N209" s="180"/>
      <c r="O209" s="180"/>
      <c r="P209" s="180"/>
      <c r="Q209" s="181"/>
    </row>
    <row r="210" spans="1:17" ht="15" hidden="1" customHeight="1" x14ac:dyDescent="0.25">
      <c r="A210" s="176">
        <v>6515</v>
      </c>
      <c r="B210" s="176">
        <v>180</v>
      </c>
      <c r="C210" s="176" t="s">
        <v>61</v>
      </c>
      <c r="D210" s="177" t="s">
        <v>62</v>
      </c>
      <c r="E210" s="176">
        <v>32</v>
      </c>
      <c r="F210" s="176" t="s">
        <v>183</v>
      </c>
      <c r="G210" s="176">
        <v>194</v>
      </c>
      <c r="H210" s="176" t="s">
        <v>184</v>
      </c>
      <c r="I210" s="178" t="s">
        <v>148</v>
      </c>
      <c r="J210" s="179">
        <v>9.5999999999999992E-3</v>
      </c>
      <c r="K210" s="180" t="s">
        <v>317</v>
      </c>
      <c r="L210" s="180">
        <v>0.1</v>
      </c>
      <c r="M210" s="180"/>
      <c r="N210" s="180"/>
      <c r="O210" s="180"/>
      <c r="P210" s="180"/>
      <c r="Q210" s="181"/>
    </row>
    <row r="211" spans="1:17" ht="15" hidden="1" customHeight="1" x14ac:dyDescent="0.25">
      <c r="A211" s="176">
        <v>6515</v>
      </c>
      <c r="B211" s="176">
        <v>180</v>
      </c>
      <c r="C211" s="176" t="s">
        <v>61</v>
      </c>
      <c r="D211" s="177" t="s">
        <v>62</v>
      </c>
      <c r="E211" s="176">
        <v>32</v>
      </c>
      <c r="F211" s="176" t="s">
        <v>162</v>
      </c>
      <c r="G211" s="176">
        <v>4155</v>
      </c>
      <c r="H211" s="176" t="s">
        <v>168</v>
      </c>
      <c r="I211" s="178" t="s">
        <v>148</v>
      </c>
      <c r="J211" s="179">
        <v>0.17849999999999999</v>
      </c>
      <c r="K211" s="180" t="s">
        <v>318</v>
      </c>
      <c r="L211" s="180">
        <v>0.1</v>
      </c>
      <c r="M211" s="180"/>
      <c r="N211" s="180"/>
      <c r="O211" s="180"/>
      <c r="P211" s="180"/>
      <c r="Q211" s="181"/>
    </row>
    <row r="212" spans="1:17" ht="15" hidden="1" customHeight="1" x14ac:dyDescent="0.25">
      <c r="A212" s="176">
        <v>6515</v>
      </c>
      <c r="B212" s="176">
        <v>180</v>
      </c>
      <c r="C212" s="176" t="s">
        <v>61</v>
      </c>
      <c r="D212" s="177" t="s">
        <v>62</v>
      </c>
      <c r="E212" s="176">
        <v>32</v>
      </c>
      <c r="F212" s="176" t="s">
        <v>220</v>
      </c>
      <c r="G212" s="176">
        <v>3635</v>
      </c>
      <c r="H212" s="176" t="s">
        <v>221</v>
      </c>
      <c r="I212" s="178" t="s">
        <v>188</v>
      </c>
      <c r="J212" s="179">
        <v>0.16800000000000001</v>
      </c>
      <c r="K212" s="180" t="s">
        <v>320</v>
      </c>
      <c r="L212" s="180">
        <v>0.1</v>
      </c>
      <c r="M212" s="182"/>
      <c r="N212" s="180"/>
      <c r="O212" s="180"/>
      <c r="P212" s="180"/>
      <c r="Q212" s="181"/>
    </row>
    <row r="213" spans="1:17" ht="15" hidden="1" customHeight="1" x14ac:dyDescent="0.25">
      <c r="A213" s="176">
        <v>6020</v>
      </c>
      <c r="B213" s="176">
        <v>130</v>
      </c>
      <c r="C213" s="176" t="s">
        <v>63</v>
      </c>
      <c r="D213" s="177" t="s">
        <v>64</v>
      </c>
      <c r="E213" s="176">
        <v>35</v>
      </c>
      <c r="F213" s="176" t="s">
        <v>146</v>
      </c>
      <c r="G213" s="176">
        <v>3503</v>
      </c>
      <c r="H213" s="176" t="s">
        <v>161</v>
      </c>
      <c r="I213" s="178" t="s">
        <v>148</v>
      </c>
      <c r="J213" s="179">
        <v>12.82</v>
      </c>
      <c r="K213" s="180" t="s">
        <v>309</v>
      </c>
      <c r="L213" s="180">
        <v>0.1</v>
      </c>
      <c r="M213" s="180"/>
      <c r="N213" s="180"/>
      <c r="O213" s="180"/>
      <c r="P213" s="180"/>
      <c r="Q213" s="181"/>
    </row>
    <row r="214" spans="1:17" ht="15" hidden="1" customHeight="1" x14ac:dyDescent="0.25">
      <c r="A214" s="176">
        <v>6020</v>
      </c>
      <c r="B214" s="176">
        <v>130</v>
      </c>
      <c r="C214" s="176" t="s">
        <v>63</v>
      </c>
      <c r="D214" s="177" t="s">
        <v>64</v>
      </c>
      <c r="E214" s="176">
        <v>35</v>
      </c>
      <c r="F214" s="176" t="s">
        <v>169</v>
      </c>
      <c r="G214" s="176">
        <v>4156</v>
      </c>
      <c r="H214" s="176" t="s">
        <v>175</v>
      </c>
      <c r="I214" s="178" t="s">
        <v>148</v>
      </c>
      <c r="J214" s="179">
        <v>0.78</v>
      </c>
      <c r="K214" s="180" t="s">
        <v>312</v>
      </c>
      <c r="L214" s="180">
        <v>0.1</v>
      </c>
      <c r="M214" s="182"/>
      <c r="N214" s="180"/>
      <c r="O214" s="180"/>
      <c r="P214" s="180"/>
      <c r="Q214" s="181"/>
    </row>
    <row r="215" spans="1:17" ht="15" hidden="1" customHeight="1" x14ac:dyDescent="0.25">
      <c r="A215" s="176">
        <v>6020</v>
      </c>
      <c r="B215" s="176">
        <v>130</v>
      </c>
      <c r="C215" s="176" t="s">
        <v>63</v>
      </c>
      <c r="D215" s="177" t="s">
        <v>64</v>
      </c>
      <c r="E215" s="176">
        <v>35</v>
      </c>
      <c r="F215" s="176" t="s">
        <v>169</v>
      </c>
      <c r="G215" s="176"/>
      <c r="H215" s="176" t="s">
        <v>343</v>
      </c>
      <c r="I215" s="178" t="s">
        <v>148</v>
      </c>
      <c r="J215" s="179">
        <v>0.78</v>
      </c>
      <c r="K215" s="180" t="s">
        <v>312</v>
      </c>
      <c r="L215" s="180">
        <v>0.1</v>
      </c>
      <c r="M215" s="182" t="s">
        <v>344</v>
      </c>
      <c r="N215" s="180"/>
      <c r="O215" s="180"/>
      <c r="P215" s="180"/>
      <c r="Q215" s="181"/>
    </row>
    <row r="216" spans="1:17" ht="15" hidden="1" customHeight="1" x14ac:dyDescent="0.25">
      <c r="A216" s="176">
        <v>6020</v>
      </c>
      <c r="B216" s="176">
        <v>130</v>
      </c>
      <c r="C216" s="176" t="s">
        <v>63</v>
      </c>
      <c r="D216" s="177" t="s">
        <v>64</v>
      </c>
      <c r="E216" s="176">
        <v>35</v>
      </c>
      <c r="F216" s="176" t="s">
        <v>186</v>
      </c>
      <c r="G216" s="176">
        <v>1073</v>
      </c>
      <c r="H216" s="176" t="s">
        <v>204</v>
      </c>
      <c r="I216" s="178" t="s">
        <v>188</v>
      </c>
      <c r="J216" s="179">
        <v>1000</v>
      </c>
      <c r="K216" s="180" t="s">
        <v>314</v>
      </c>
      <c r="L216" s="180">
        <v>0.02</v>
      </c>
      <c r="M216" s="182" t="s">
        <v>315</v>
      </c>
      <c r="N216" s="180"/>
      <c r="O216" s="180"/>
      <c r="P216" s="180"/>
      <c r="Q216" s="181"/>
    </row>
    <row r="217" spans="1:17" ht="15" hidden="1" customHeight="1" x14ac:dyDescent="0.25">
      <c r="A217" s="176">
        <v>6020</v>
      </c>
      <c r="B217" s="176">
        <v>130</v>
      </c>
      <c r="C217" s="176" t="s">
        <v>63</v>
      </c>
      <c r="D217" s="177" t="s">
        <v>64</v>
      </c>
      <c r="E217" s="176">
        <v>35</v>
      </c>
      <c r="F217" s="176" t="s">
        <v>210</v>
      </c>
      <c r="G217" s="176">
        <v>3988</v>
      </c>
      <c r="H217" s="176" t="s">
        <v>341</v>
      </c>
      <c r="I217" s="178" t="s">
        <v>188</v>
      </c>
      <c r="J217" s="179">
        <v>6.06</v>
      </c>
      <c r="K217" s="180" t="s">
        <v>316</v>
      </c>
      <c r="L217" s="180">
        <v>0.1</v>
      </c>
      <c r="M217" s="180"/>
      <c r="N217" s="180"/>
      <c r="O217" s="180"/>
      <c r="P217" s="180"/>
      <c r="Q217" s="181"/>
    </row>
    <row r="218" spans="1:17" ht="15" hidden="1" customHeight="1" x14ac:dyDescent="0.25">
      <c r="A218" s="176">
        <v>6020</v>
      </c>
      <c r="B218" s="176">
        <v>130</v>
      </c>
      <c r="C218" s="176" t="s">
        <v>63</v>
      </c>
      <c r="D218" s="177" t="s">
        <v>64</v>
      </c>
      <c r="E218" s="176">
        <v>35</v>
      </c>
      <c r="F218" s="176" t="s">
        <v>183</v>
      </c>
      <c r="G218" s="176">
        <v>194</v>
      </c>
      <c r="H218" s="176" t="s">
        <v>184</v>
      </c>
      <c r="I218" s="178" t="s">
        <v>148</v>
      </c>
      <c r="J218" s="179">
        <v>1.333E-2</v>
      </c>
      <c r="K218" s="180" t="s">
        <v>317</v>
      </c>
      <c r="L218" s="180">
        <v>0.1</v>
      </c>
      <c r="M218" s="180"/>
      <c r="N218" s="180"/>
      <c r="O218" s="180"/>
      <c r="P218" s="180"/>
      <c r="Q218" s="181"/>
    </row>
    <row r="219" spans="1:17" ht="15" hidden="1" customHeight="1" x14ac:dyDescent="0.25">
      <c r="A219" s="176">
        <v>6020</v>
      </c>
      <c r="B219" s="176">
        <v>130</v>
      </c>
      <c r="C219" s="176" t="s">
        <v>63</v>
      </c>
      <c r="D219" s="177" t="s">
        <v>64</v>
      </c>
      <c r="E219" s="176">
        <v>35</v>
      </c>
      <c r="F219" s="176" t="s">
        <v>220</v>
      </c>
      <c r="G219" s="176">
        <v>3635</v>
      </c>
      <c r="H219" s="176" t="s">
        <v>221</v>
      </c>
      <c r="I219" s="178" t="s">
        <v>188</v>
      </c>
      <c r="J219" s="179">
        <v>0.16800000000000001</v>
      </c>
      <c r="K219" s="180" t="s">
        <v>320</v>
      </c>
      <c r="L219" s="180">
        <v>0.1</v>
      </c>
      <c r="M219" s="180"/>
      <c r="N219" s="180"/>
      <c r="O219" s="180"/>
      <c r="P219" s="180"/>
      <c r="Q219" s="181"/>
    </row>
    <row r="220" spans="1:17" ht="15" hidden="1" customHeight="1" x14ac:dyDescent="0.25">
      <c r="A220" s="176">
        <v>6020</v>
      </c>
      <c r="B220" s="176">
        <v>130</v>
      </c>
      <c r="C220" s="176" t="s">
        <v>63</v>
      </c>
      <c r="D220" s="177" t="s">
        <v>64</v>
      </c>
      <c r="E220" s="176">
        <v>35</v>
      </c>
      <c r="F220" s="176" t="s">
        <v>162</v>
      </c>
      <c r="G220" s="176">
        <v>4155</v>
      </c>
      <c r="H220" s="176" t="s">
        <v>168</v>
      </c>
      <c r="I220" s="178" t="s">
        <v>148</v>
      </c>
      <c r="J220" s="179">
        <v>0.5</v>
      </c>
      <c r="K220" s="180" t="s">
        <v>318</v>
      </c>
      <c r="L220" s="180">
        <v>0.1</v>
      </c>
      <c r="M220" s="180"/>
      <c r="N220" s="180"/>
      <c r="O220" s="180"/>
      <c r="P220" s="180"/>
      <c r="Q220" s="181"/>
    </row>
    <row r="221" spans="1:17" ht="15" customHeight="1" x14ac:dyDescent="0.25">
      <c r="A221" s="176">
        <v>6020</v>
      </c>
      <c r="B221" s="176">
        <v>130</v>
      </c>
      <c r="C221" s="176" t="s">
        <v>63</v>
      </c>
      <c r="D221" s="177" t="s">
        <v>64</v>
      </c>
      <c r="E221" s="176">
        <v>35</v>
      </c>
      <c r="F221" s="176" t="s">
        <v>181</v>
      </c>
      <c r="G221" s="176">
        <v>186</v>
      </c>
      <c r="H221" s="176" t="s">
        <v>182</v>
      </c>
      <c r="I221" s="178" t="s">
        <v>148</v>
      </c>
      <c r="J221" s="179">
        <v>0.7</v>
      </c>
      <c r="K221" s="180" t="s">
        <v>7</v>
      </c>
      <c r="L221" s="180">
        <v>0.1</v>
      </c>
      <c r="M221" s="180"/>
      <c r="N221" s="180"/>
      <c r="O221" s="180"/>
      <c r="P221" s="180"/>
      <c r="Q221" s="181"/>
    </row>
    <row r="222" spans="1:17" ht="15" hidden="1" customHeight="1" x14ac:dyDescent="0.25">
      <c r="A222" s="176">
        <v>6021</v>
      </c>
      <c r="B222" s="176">
        <v>131</v>
      </c>
      <c r="C222" s="176" t="s">
        <v>63</v>
      </c>
      <c r="D222" s="177" t="s">
        <v>65</v>
      </c>
      <c r="E222" s="176">
        <v>35</v>
      </c>
      <c r="F222" s="176" t="s">
        <v>146</v>
      </c>
      <c r="G222" s="176">
        <v>3503</v>
      </c>
      <c r="H222" s="176" t="s">
        <v>161</v>
      </c>
      <c r="I222" s="178" t="s">
        <v>148</v>
      </c>
      <c r="J222" s="179">
        <v>12.82</v>
      </c>
      <c r="K222" s="180" t="s">
        <v>309</v>
      </c>
      <c r="L222" s="180">
        <v>0.1</v>
      </c>
      <c r="M222" s="182"/>
      <c r="N222" s="180"/>
      <c r="O222" s="180"/>
      <c r="P222" s="180"/>
      <c r="Q222" s="181"/>
    </row>
    <row r="223" spans="1:17" ht="15" hidden="1" customHeight="1" x14ac:dyDescent="0.25">
      <c r="A223" s="176">
        <v>6021</v>
      </c>
      <c r="B223" s="176">
        <v>131</v>
      </c>
      <c r="C223" s="176" t="s">
        <v>63</v>
      </c>
      <c r="D223" s="177" t="s">
        <v>65</v>
      </c>
      <c r="E223" s="176">
        <v>35</v>
      </c>
      <c r="F223" s="176" t="s">
        <v>169</v>
      </c>
      <c r="G223" s="176">
        <v>4156</v>
      </c>
      <c r="H223" s="176" t="s">
        <v>175</v>
      </c>
      <c r="I223" s="178" t="s">
        <v>148</v>
      </c>
      <c r="J223" s="179">
        <v>0.78</v>
      </c>
      <c r="K223" s="180" t="s">
        <v>312</v>
      </c>
      <c r="L223" s="180">
        <v>0.1</v>
      </c>
      <c r="M223" s="180"/>
      <c r="N223" s="180"/>
      <c r="O223" s="180"/>
      <c r="P223" s="180"/>
      <c r="Q223" s="181"/>
    </row>
    <row r="224" spans="1:17" ht="15" hidden="1" customHeight="1" x14ac:dyDescent="0.25">
      <c r="A224" s="176">
        <v>6021</v>
      </c>
      <c r="B224" s="176">
        <v>131</v>
      </c>
      <c r="C224" s="176" t="s">
        <v>63</v>
      </c>
      <c r="D224" s="177" t="s">
        <v>65</v>
      </c>
      <c r="E224" s="176">
        <v>35</v>
      </c>
      <c r="F224" s="176" t="s">
        <v>169</v>
      </c>
      <c r="G224" s="176"/>
      <c r="H224" s="176" t="s">
        <v>343</v>
      </c>
      <c r="I224" s="178" t="s">
        <v>148</v>
      </c>
      <c r="J224" s="179">
        <v>0.78</v>
      </c>
      <c r="K224" s="180" t="s">
        <v>312</v>
      </c>
      <c r="L224" s="180">
        <v>0.1</v>
      </c>
      <c r="M224" s="182" t="s">
        <v>344</v>
      </c>
      <c r="N224" s="180"/>
      <c r="O224" s="180"/>
      <c r="P224" s="180"/>
      <c r="Q224" s="181"/>
    </row>
    <row r="225" spans="1:17" ht="15" hidden="1" customHeight="1" x14ac:dyDescent="0.25">
      <c r="A225" s="176">
        <v>6021</v>
      </c>
      <c r="B225" s="176">
        <v>131</v>
      </c>
      <c r="C225" s="176" t="s">
        <v>63</v>
      </c>
      <c r="D225" s="177" t="s">
        <v>65</v>
      </c>
      <c r="E225" s="176">
        <v>35</v>
      </c>
      <c r="F225" s="176" t="s">
        <v>186</v>
      </c>
      <c r="G225" s="176">
        <v>1073</v>
      </c>
      <c r="H225" s="176" t="s">
        <v>204</v>
      </c>
      <c r="I225" s="178" t="s">
        <v>188</v>
      </c>
      <c r="J225" s="179">
        <v>1000</v>
      </c>
      <c r="K225" s="180" t="s">
        <v>314</v>
      </c>
      <c r="L225" s="180">
        <v>0.02</v>
      </c>
      <c r="M225" s="182" t="s">
        <v>315</v>
      </c>
      <c r="N225" s="180"/>
      <c r="O225" s="180"/>
      <c r="P225" s="180"/>
      <c r="Q225" s="181"/>
    </row>
    <row r="226" spans="1:17" ht="15" hidden="1" customHeight="1" x14ac:dyDescent="0.25">
      <c r="A226" s="176">
        <v>6021</v>
      </c>
      <c r="B226" s="176">
        <v>131</v>
      </c>
      <c r="C226" s="176" t="s">
        <v>63</v>
      </c>
      <c r="D226" s="177" t="s">
        <v>65</v>
      </c>
      <c r="E226" s="176">
        <v>35</v>
      </c>
      <c r="F226" s="176" t="s">
        <v>210</v>
      </c>
      <c r="G226" s="176">
        <v>3988</v>
      </c>
      <c r="H226" s="176" t="s">
        <v>341</v>
      </c>
      <c r="I226" s="178" t="s">
        <v>188</v>
      </c>
      <c r="J226" s="179">
        <v>6.06</v>
      </c>
      <c r="K226" s="180" t="s">
        <v>316</v>
      </c>
      <c r="L226" s="180">
        <v>0.1</v>
      </c>
      <c r="M226" s="180"/>
      <c r="N226" s="180"/>
      <c r="O226" s="180"/>
      <c r="P226" s="180"/>
      <c r="Q226" s="181"/>
    </row>
    <row r="227" spans="1:17" ht="15" hidden="1" customHeight="1" x14ac:dyDescent="0.25">
      <c r="A227" s="176">
        <v>6021</v>
      </c>
      <c r="B227" s="176">
        <v>131</v>
      </c>
      <c r="C227" s="176" t="s">
        <v>63</v>
      </c>
      <c r="D227" s="177" t="s">
        <v>65</v>
      </c>
      <c r="E227" s="176">
        <v>35</v>
      </c>
      <c r="F227" s="176" t="s">
        <v>183</v>
      </c>
      <c r="G227" s="176">
        <v>194</v>
      </c>
      <c r="H227" s="176" t="s">
        <v>184</v>
      </c>
      <c r="I227" s="178" t="s">
        <v>148</v>
      </c>
      <c r="J227" s="179">
        <v>1.333E-2</v>
      </c>
      <c r="K227" s="180" t="s">
        <v>317</v>
      </c>
      <c r="L227" s="180">
        <v>0.1</v>
      </c>
      <c r="M227" s="180"/>
      <c r="N227" s="180"/>
      <c r="O227" s="180"/>
      <c r="P227" s="180"/>
      <c r="Q227" s="181"/>
    </row>
    <row r="228" spans="1:17" ht="15" hidden="1" customHeight="1" x14ac:dyDescent="0.25">
      <c r="A228" s="176">
        <v>6021</v>
      </c>
      <c r="B228" s="176">
        <v>131</v>
      </c>
      <c r="C228" s="176" t="s">
        <v>63</v>
      </c>
      <c r="D228" s="177" t="s">
        <v>65</v>
      </c>
      <c r="E228" s="176">
        <v>35</v>
      </c>
      <c r="F228" s="176" t="s">
        <v>220</v>
      </c>
      <c r="G228" s="176">
        <v>3635</v>
      </c>
      <c r="H228" s="176" t="s">
        <v>221</v>
      </c>
      <c r="I228" s="178" t="s">
        <v>188</v>
      </c>
      <c r="J228" s="179">
        <v>0.16800000000000001</v>
      </c>
      <c r="K228" s="180" t="s">
        <v>320</v>
      </c>
      <c r="L228" s="180">
        <v>0.1</v>
      </c>
      <c r="M228" s="180"/>
      <c r="N228" s="180"/>
      <c r="O228" s="180"/>
      <c r="P228" s="180"/>
      <c r="Q228" s="181"/>
    </row>
    <row r="229" spans="1:17" ht="15" hidden="1" customHeight="1" x14ac:dyDescent="0.25">
      <c r="A229" s="176">
        <v>6021</v>
      </c>
      <c r="B229" s="176">
        <v>131</v>
      </c>
      <c r="C229" s="176" t="s">
        <v>63</v>
      </c>
      <c r="D229" s="177" t="s">
        <v>65</v>
      </c>
      <c r="E229" s="176">
        <v>35</v>
      </c>
      <c r="F229" s="176" t="s">
        <v>162</v>
      </c>
      <c r="G229" s="176">
        <v>4155</v>
      </c>
      <c r="H229" s="176" t="s">
        <v>168</v>
      </c>
      <c r="I229" s="178" t="s">
        <v>148</v>
      </c>
      <c r="J229" s="179">
        <v>0.5</v>
      </c>
      <c r="K229" s="180" t="s">
        <v>318</v>
      </c>
      <c r="L229" s="180">
        <v>0.1</v>
      </c>
      <c r="M229" s="180"/>
      <c r="N229" s="180"/>
      <c r="O229" s="180"/>
      <c r="P229" s="180"/>
      <c r="Q229" s="181"/>
    </row>
    <row r="230" spans="1:17" ht="15" customHeight="1" x14ac:dyDescent="0.25">
      <c r="A230" s="176">
        <v>6021</v>
      </c>
      <c r="B230" s="176">
        <v>131</v>
      </c>
      <c r="C230" s="176" t="s">
        <v>63</v>
      </c>
      <c r="D230" s="177" t="s">
        <v>65</v>
      </c>
      <c r="E230" s="176">
        <v>35</v>
      </c>
      <c r="F230" s="176" t="s">
        <v>181</v>
      </c>
      <c r="G230" s="176">
        <v>186</v>
      </c>
      <c r="H230" s="176" t="s">
        <v>182</v>
      </c>
      <c r="I230" s="178" t="s">
        <v>148</v>
      </c>
      <c r="J230" s="179">
        <v>0.7</v>
      </c>
      <c r="K230" s="180" t="s">
        <v>7</v>
      </c>
      <c r="L230" s="180">
        <v>0.1</v>
      </c>
      <c r="M230" s="182"/>
      <c r="N230" s="180"/>
      <c r="O230" s="180"/>
      <c r="P230" s="180"/>
      <c r="Q230" s="181"/>
    </row>
    <row r="231" spans="1:17" ht="15" hidden="1" customHeight="1" x14ac:dyDescent="0.25">
      <c r="A231" s="176">
        <v>6530</v>
      </c>
      <c r="B231" s="176">
        <v>182</v>
      </c>
      <c r="C231" s="176" t="s">
        <v>63</v>
      </c>
      <c r="D231" s="177" t="s">
        <v>66</v>
      </c>
      <c r="E231" s="176">
        <v>35</v>
      </c>
      <c r="F231" s="176" t="s">
        <v>146</v>
      </c>
      <c r="G231" s="176">
        <v>3503</v>
      </c>
      <c r="H231" s="176" t="s">
        <v>161</v>
      </c>
      <c r="I231" s="178" t="s">
        <v>148</v>
      </c>
      <c r="J231" s="179">
        <v>12.82</v>
      </c>
      <c r="K231" s="180" t="s">
        <v>309</v>
      </c>
      <c r="L231" s="180">
        <v>0.1</v>
      </c>
      <c r="M231" s="180"/>
      <c r="N231" s="180"/>
      <c r="O231" s="180"/>
      <c r="P231" s="180"/>
      <c r="Q231" s="181"/>
    </row>
    <row r="232" spans="1:17" ht="15" hidden="1" customHeight="1" x14ac:dyDescent="0.25">
      <c r="A232" s="176">
        <v>6530</v>
      </c>
      <c r="B232" s="176">
        <v>182</v>
      </c>
      <c r="C232" s="176" t="s">
        <v>63</v>
      </c>
      <c r="D232" s="177" t="s">
        <v>66</v>
      </c>
      <c r="E232" s="176">
        <v>35</v>
      </c>
      <c r="F232" s="176" t="s">
        <v>169</v>
      </c>
      <c r="G232" s="176">
        <v>3595</v>
      </c>
      <c r="H232" s="176" t="s">
        <v>311</v>
      </c>
      <c r="I232" s="178" t="s">
        <v>148</v>
      </c>
      <c r="J232" s="179">
        <v>0.78</v>
      </c>
      <c r="K232" s="180" t="s">
        <v>312</v>
      </c>
      <c r="L232" s="180">
        <v>0.1</v>
      </c>
      <c r="M232" s="182" t="s">
        <v>313</v>
      </c>
      <c r="N232" s="180"/>
      <c r="O232" s="180"/>
      <c r="P232" s="180"/>
      <c r="Q232" s="181"/>
    </row>
    <row r="233" spans="1:17" ht="15" hidden="1" customHeight="1" x14ac:dyDescent="0.25">
      <c r="A233" s="176">
        <v>6530</v>
      </c>
      <c r="B233" s="176">
        <v>182</v>
      </c>
      <c r="C233" s="176" t="s">
        <v>63</v>
      </c>
      <c r="D233" s="177" t="s">
        <v>66</v>
      </c>
      <c r="E233" s="176">
        <v>35</v>
      </c>
      <c r="F233" s="176" t="s">
        <v>186</v>
      </c>
      <c r="G233" s="176">
        <v>578</v>
      </c>
      <c r="H233" s="176" t="s">
        <v>208</v>
      </c>
      <c r="I233" s="178" t="s">
        <v>188</v>
      </c>
      <c r="J233" s="179">
        <v>1000</v>
      </c>
      <c r="K233" s="180" t="s">
        <v>314</v>
      </c>
      <c r="L233" s="180">
        <v>0.02</v>
      </c>
      <c r="M233" s="182" t="s">
        <v>315</v>
      </c>
      <c r="N233" s="180"/>
      <c r="O233" s="180"/>
      <c r="P233" s="180"/>
      <c r="Q233" s="181"/>
    </row>
    <row r="234" spans="1:17" ht="15" hidden="1" customHeight="1" x14ac:dyDescent="0.25">
      <c r="A234" s="176">
        <v>6530</v>
      </c>
      <c r="B234" s="176">
        <v>182</v>
      </c>
      <c r="C234" s="176" t="s">
        <v>63</v>
      </c>
      <c r="D234" s="177" t="s">
        <v>66</v>
      </c>
      <c r="E234" s="176">
        <v>35</v>
      </c>
      <c r="F234" s="176" t="s">
        <v>210</v>
      </c>
      <c r="G234" s="176">
        <v>3988</v>
      </c>
      <c r="H234" s="176" t="s">
        <v>341</v>
      </c>
      <c r="I234" s="178" t="s">
        <v>188</v>
      </c>
      <c r="J234" s="179">
        <v>6.06</v>
      </c>
      <c r="K234" s="180" t="s">
        <v>316</v>
      </c>
      <c r="L234" s="180">
        <v>0.1</v>
      </c>
      <c r="M234" s="180"/>
      <c r="N234" s="180"/>
      <c r="O234" s="180"/>
      <c r="P234" s="180"/>
      <c r="Q234" s="181"/>
    </row>
    <row r="235" spans="1:17" ht="15" hidden="1" customHeight="1" x14ac:dyDescent="0.25">
      <c r="A235" s="176">
        <v>6530</v>
      </c>
      <c r="B235" s="176">
        <v>182</v>
      </c>
      <c r="C235" s="176" t="s">
        <v>63</v>
      </c>
      <c r="D235" s="177" t="s">
        <v>66</v>
      </c>
      <c r="E235" s="176">
        <v>35</v>
      </c>
      <c r="F235" s="176" t="s">
        <v>183</v>
      </c>
      <c r="G235" s="176">
        <v>194</v>
      </c>
      <c r="H235" s="176" t="s">
        <v>184</v>
      </c>
      <c r="I235" s="178" t="s">
        <v>148</v>
      </c>
      <c r="J235" s="179">
        <v>1.3299999999999999E-2</v>
      </c>
      <c r="K235" s="180" t="s">
        <v>317</v>
      </c>
      <c r="L235" s="180">
        <v>0.1</v>
      </c>
      <c r="M235" s="180"/>
      <c r="N235" s="180"/>
      <c r="O235" s="180"/>
      <c r="P235" s="180"/>
      <c r="Q235" s="181"/>
    </row>
    <row r="236" spans="1:17" ht="15" hidden="1" customHeight="1" x14ac:dyDescent="0.25">
      <c r="A236" s="176">
        <v>6530</v>
      </c>
      <c r="B236" s="176">
        <v>182</v>
      </c>
      <c r="C236" s="176" t="s">
        <v>63</v>
      </c>
      <c r="D236" s="177" t="s">
        <v>66</v>
      </c>
      <c r="E236" s="176">
        <v>35</v>
      </c>
      <c r="F236" s="176" t="s">
        <v>162</v>
      </c>
      <c r="G236" s="176">
        <v>4155</v>
      </c>
      <c r="H236" s="176" t="s">
        <v>168</v>
      </c>
      <c r="I236" s="178" t="s">
        <v>148</v>
      </c>
      <c r="J236" s="179">
        <v>0.16</v>
      </c>
      <c r="K236" s="180" t="s">
        <v>318</v>
      </c>
      <c r="L236" s="180">
        <v>0.1</v>
      </c>
      <c r="M236" s="180"/>
      <c r="N236" s="180"/>
      <c r="O236" s="180"/>
      <c r="P236" s="180"/>
      <c r="Q236" s="181"/>
    </row>
    <row r="237" spans="1:17" ht="15" hidden="1" customHeight="1" x14ac:dyDescent="0.25">
      <c r="A237" s="176">
        <v>6530</v>
      </c>
      <c r="B237" s="176">
        <v>182</v>
      </c>
      <c r="C237" s="176" t="s">
        <v>63</v>
      </c>
      <c r="D237" s="177" t="s">
        <v>66</v>
      </c>
      <c r="E237" s="176">
        <v>35</v>
      </c>
      <c r="F237" s="176" t="s">
        <v>332</v>
      </c>
      <c r="G237" s="176">
        <v>495</v>
      </c>
      <c r="H237" s="176" t="s">
        <v>333</v>
      </c>
      <c r="I237" s="178" t="s">
        <v>323</v>
      </c>
      <c r="J237" s="179">
        <v>6.06</v>
      </c>
      <c r="K237" s="180" t="s">
        <v>334</v>
      </c>
      <c r="L237" s="180">
        <v>0.1</v>
      </c>
      <c r="M237" s="180"/>
      <c r="N237" s="180"/>
      <c r="O237" s="180"/>
      <c r="P237" s="180"/>
      <c r="Q237" s="181"/>
    </row>
    <row r="238" spans="1:17" ht="15" hidden="1" customHeight="1" x14ac:dyDescent="0.25">
      <c r="A238" s="176">
        <v>6530</v>
      </c>
      <c r="B238" s="176">
        <v>182</v>
      </c>
      <c r="C238" s="176" t="s">
        <v>63</v>
      </c>
      <c r="D238" s="177" t="s">
        <v>66</v>
      </c>
      <c r="E238" s="176">
        <v>35</v>
      </c>
      <c r="F238" s="176" t="s">
        <v>220</v>
      </c>
      <c r="G238" s="176">
        <v>3635</v>
      </c>
      <c r="H238" s="176" t="s">
        <v>221</v>
      </c>
      <c r="I238" s="178" t="s">
        <v>188</v>
      </c>
      <c r="J238" s="179">
        <v>0.16800000000000001</v>
      </c>
      <c r="K238" s="180" t="s">
        <v>320</v>
      </c>
      <c r="L238" s="180">
        <v>0.1</v>
      </c>
      <c r="M238" s="182"/>
      <c r="N238" s="180"/>
      <c r="O238" s="180"/>
      <c r="P238" s="180"/>
      <c r="Q238" s="181"/>
    </row>
    <row r="239" spans="1:17" ht="15" customHeight="1" x14ac:dyDescent="0.25">
      <c r="A239" s="176">
        <v>6531</v>
      </c>
      <c r="B239" s="176">
        <v>183</v>
      </c>
      <c r="C239" s="176" t="s">
        <v>63</v>
      </c>
      <c r="D239" s="177" t="s">
        <v>67</v>
      </c>
      <c r="E239" s="176">
        <v>35</v>
      </c>
      <c r="F239" s="176" t="s">
        <v>146</v>
      </c>
      <c r="G239" s="176">
        <v>3503</v>
      </c>
      <c r="H239" s="176" t="s">
        <v>161</v>
      </c>
      <c r="I239" s="178" t="s">
        <v>148</v>
      </c>
      <c r="J239" s="179">
        <v>12.82</v>
      </c>
      <c r="K239" s="180" t="s">
        <v>309</v>
      </c>
      <c r="L239" s="180">
        <v>0.1</v>
      </c>
      <c r="M239" s="180"/>
      <c r="N239" s="180"/>
      <c r="O239" s="180"/>
      <c r="P239" s="180"/>
      <c r="Q239" s="181"/>
    </row>
    <row r="240" spans="1:17" ht="15" hidden="1" customHeight="1" x14ac:dyDescent="0.25">
      <c r="A240" s="176">
        <v>6531</v>
      </c>
      <c r="B240" s="176">
        <v>183</v>
      </c>
      <c r="C240" s="176" t="s">
        <v>63</v>
      </c>
      <c r="D240" s="177" t="s">
        <v>67</v>
      </c>
      <c r="E240" s="176">
        <v>35</v>
      </c>
      <c r="F240" s="176" t="s">
        <v>169</v>
      </c>
      <c r="G240" s="176">
        <v>3595</v>
      </c>
      <c r="H240" s="176" t="s">
        <v>311</v>
      </c>
      <c r="I240" s="178" t="s">
        <v>148</v>
      </c>
      <c r="J240" s="179">
        <v>0.78</v>
      </c>
      <c r="K240" s="180" t="s">
        <v>312</v>
      </c>
      <c r="L240" s="180">
        <v>0.1</v>
      </c>
      <c r="M240" s="182" t="s">
        <v>313</v>
      </c>
      <c r="N240" s="180"/>
      <c r="O240" s="180"/>
      <c r="P240" s="180"/>
      <c r="Q240" s="181"/>
    </row>
    <row r="241" spans="1:17" ht="15" hidden="1" customHeight="1" x14ac:dyDescent="0.25">
      <c r="A241" s="176">
        <v>6531</v>
      </c>
      <c r="B241" s="176">
        <v>183</v>
      </c>
      <c r="C241" s="176" t="s">
        <v>63</v>
      </c>
      <c r="D241" s="177" t="s">
        <v>67</v>
      </c>
      <c r="E241" s="176">
        <v>35</v>
      </c>
      <c r="F241" s="176" t="s">
        <v>186</v>
      </c>
      <c r="G241" s="176">
        <v>578</v>
      </c>
      <c r="H241" s="176" t="s">
        <v>208</v>
      </c>
      <c r="I241" s="178" t="s">
        <v>188</v>
      </c>
      <c r="J241" s="179">
        <v>1000</v>
      </c>
      <c r="K241" s="180" t="s">
        <v>314</v>
      </c>
      <c r="L241" s="180">
        <v>0.02</v>
      </c>
      <c r="M241" s="182" t="s">
        <v>315</v>
      </c>
      <c r="N241" s="180"/>
      <c r="O241" s="180"/>
      <c r="P241" s="180"/>
      <c r="Q241" s="181"/>
    </row>
    <row r="242" spans="1:17" ht="15" hidden="1" customHeight="1" x14ac:dyDescent="0.25">
      <c r="A242" s="176">
        <v>6531</v>
      </c>
      <c r="B242" s="176">
        <v>183</v>
      </c>
      <c r="C242" s="176" t="s">
        <v>63</v>
      </c>
      <c r="D242" s="177" t="s">
        <v>67</v>
      </c>
      <c r="E242" s="176">
        <v>35</v>
      </c>
      <c r="F242" s="176" t="s">
        <v>210</v>
      </c>
      <c r="G242" s="176">
        <v>3988</v>
      </c>
      <c r="H242" s="176" t="s">
        <v>341</v>
      </c>
      <c r="I242" s="178" t="s">
        <v>188</v>
      </c>
      <c r="J242" s="179">
        <v>6.06</v>
      </c>
      <c r="K242" s="180" t="s">
        <v>316</v>
      </c>
      <c r="L242" s="180">
        <v>0.1</v>
      </c>
      <c r="M242" s="180"/>
      <c r="N242" s="180"/>
      <c r="O242" s="180"/>
      <c r="P242" s="180"/>
      <c r="Q242" s="181"/>
    </row>
    <row r="243" spans="1:17" ht="15" hidden="1" customHeight="1" x14ac:dyDescent="0.25">
      <c r="A243" s="176">
        <v>6531</v>
      </c>
      <c r="B243" s="176">
        <v>183</v>
      </c>
      <c r="C243" s="176" t="s">
        <v>63</v>
      </c>
      <c r="D243" s="177" t="s">
        <v>67</v>
      </c>
      <c r="E243" s="176">
        <v>35</v>
      </c>
      <c r="F243" s="176" t="s">
        <v>183</v>
      </c>
      <c r="G243" s="176">
        <v>194</v>
      </c>
      <c r="H243" s="176" t="s">
        <v>184</v>
      </c>
      <c r="I243" s="178" t="s">
        <v>148</v>
      </c>
      <c r="J243" s="179">
        <v>1.3299999999999999E-2</v>
      </c>
      <c r="K243" s="180" t="s">
        <v>317</v>
      </c>
      <c r="L243" s="180">
        <v>0.1</v>
      </c>
      <c r="M243" s="180"/>
      <c r="N243" s="180"/>
      <c r="O243" s="180"/>
      <c r="P243" s="180"/>
      <c r="Q243" s="181"/>
    </row>
    <row r="244" spans="1:17" ht="15" hidden="1" customHeight="1" x14ac:dyDescent="0.25">
      <c r="A244" s="176">
        <v>6531</v>
      </c>
      <c r="B244" s="176">
        <v>183</v>
      </c>
      <c r="C244" s="176" t="s">
        <v>63</v>
      </c>
      <c r="D244" s="177" t="s">
        <v>67</v>
      </c>
      <c r="E244" s="176">
        <v>35</v>
      </c>
      <c r="F244" s="176" t="s">
        <v>162</v>
      </c>
      <c r="G244" s="176">
        <v>4155</v>
      </c>
      <c r="H244" s="176" t="s">
        <v>168</v>
      </c>
      <c r="I244" s="178" t="s">
        <v>148</v>
      </c>
      <c r="J244" s="179">
        <v>0.16</v>
      </c>
      <c r="K244" s="180" t="s">
        <v>318</v>
      </c>
      <c r="L244" s="180">
        <v>0.1</v>
      </c>
      <c r="M244" s="180"/>
      <c r="N244" s="180"/>
      <c r="O244" s="180"/>
      <c r="P244" s="180"/>
      <c r="Q244" s="181"/>
    </row>
    <row r="245" spans="1:17" ht="15" hidden="1" customHeight="1" x14ac:dyDescent="0.25">
      <c r="A245" s="176">
        <v>6531</v>
      </c>
      <c r="B245" s="176">
        <v>183</v>
      </c>
      <c r="C245" s="176" t="s">
        <v>63</v>
      </c>
      <c r="D245" s="177" t="s">
        <v>67</v>
      </c>
      <c r="E245" s="176">
        <v>35</v>
      </c>
      <c r="F245" s="176" t="s">
        <v>220</v>
      </c>
      <c r="G245" s="176">
        <v>3635</v>
      </c>
      <c r="H245" s="176" t="s">
        <v>221</v>
      </c>
      <c r="I245" s="178" t="s">
        <v>188</v>
      </c>
      <c r="J245" s="179">
        <v>0.16800000000000001</v>
      </c>
      <c r="K245" s="180" t="s">
        <v>320</v>
      </c>
      <c r="L245" s="180">
        <v>0.1</v>
      </c>
      <c r="M245" s="180"/>
      <c r="N245" s="180"/>
      <c r="O245" s="180"/>
      <c r="P245" s="180"/>
      <c r="Q245" s="181"/>
    </row>
    <row r="246" spans="1:17" ht="15" hidden="1" customHeight="1" x14ac:dyDescent="0.25">
      <c r="A246" s="176">
        <v>6531</v>
      </c>
      <c r="B246" s="176">
        <v>183</v>
      </c>
      <c r="C246" s="176" t="s">
        <v>63</v>
      </c>
      <c r="D246" s="177" t="s">
        <v>67</v>
      </c>
      <c r="E246" s="176">
        <v>35</v>
      </c>
      <c r="F246" s="176" t="s">
        <v>332</v>
      </c>
      <c r="G246" s="176">
        <v>495</v>
      </c>
      <c r="H246" s="176" t="s">
        <v>333</v>
      </c>
      <c r="I246" s="178" t="s">
        <v>323</v>
      </c>
      <c r="J246" s="179">
        <v>6.06</v>
      </c>
      <c r="K246" s="180" t="s">
        <v>334</v>
      </c>
      <c r="L246" s="180">
        <v>0.1</v>
      </c>
      <c r="M246" s="182"/>
      <c r="N246" s="180"/>
      <c r="O246" s="180"/>
      <c r="P246" s="180"/>
      <c r="Q246" s="181"/>
    </row>
    <row r="247" spans="1:17" ht="15" customHeight="1" x14ac:dyDescent="0.25">
      <c r="A247" s="176">
        <v>8001</v>
      </c>
      <c r="B247" s="176">
        <v>800</v>
      </c>
      <c r="C247" s="176" t="s">
        <v>68</v>
      </c>
      <c r="D247" s="177" t="s">
        <v>69</v>
      </c>
      <c r="E247" s="176" t="s">
        <v>70</v>
      </c>
      <c r="F247" s="176" t="s">
        <v>225</v>
      </c>
      <c r="G247" s="176">
        <v>2680</v>
      </c>
      <c r="H247" s="176" t="s">
        <v>226</v>
      </c>
      <c r="I247" s="178" t="s">
        <v>148</v>
      </c>
      <c r="J247" s="179">
        <v>22</v>
      </c>
      <c r="K247" s="180" t="s">
        <v>345</v>
      </c>
      <c r="L247" s="180">
        <v>0.15</v>
      </c>
      <c r="M247" s="182" t="s">
        <v>315</v>
      </c>
      <c r="N247" s="180"/>
      <c r="O247" s="180"/>
      <c r="P247" s="180"/>
      <c r="Q247" s="181"/>
    </row>
    <row r="248" spans="1:17" ht="15" hidden="1" customHeight="1" x14ac:dyDescent="0.25">
      <c r="A248" s="176">
        <v>8001</v>
      </c>
      <c r="B248" s="176">
        <v>800</v>
      </c>
      <c r="C248" s="176" t="s">
        <v>68</v>
      </c>
      <c r="D248" s="177" t="s">
        <v>69</v>
      </c>
      <c r="E248" s="176" t="s">
        <v>70</v>
      </c>
      <c r="F248" s="176" t="s">
        <v>254</v>
      </c>
      <c r="G248" s="176">
        <v>5977</v>
      </c>
      <c r="H248" s="176" t="s">
        <v>219</v>
      </c>
      <c r="I248" s="178" t="s">
        <v>188</v>
      </c>
      <c r="J248" s="179">
        <v>1.087</v>
      </c>
      <c r="K248" s="180" t="s">
        <v>346</v>
      </c>
      <c r="L248" s="180">
        <v>0.15</v>
      </c>
      <c r="M248" s="180"/>
      <c r="N248" s="180"/>
      <c r="O248" s="180"/>
      <c r="P248" s="180"/>
      <c r="Q248" s="181"/>
    </row>
    <row r="249" spans="1:17" ht="15" hidden="1" customHeight="1" x14ac:dyDescent="0.25">
      <c r="A249" s="176">
        <v>8001</v>
      </c>
      <c r="B249" s="176">
        <v>800</v>
      </c>
      <c r="C249" s="176" t="s">
        <v>68</v>
      </c>
      <c r="D249" s="177" t="s">
        <v>69</v>
      </c>
      <c r="E249" s="176" t="s">
        <v>70</v>
      </c>
      <c r="F249" s="176" t="s">
        <v>241</v>
      </c>
      <c r="G249" s="176">
        <v>2267</v>
      </c>
      <c r="H249" s="176" t="s">
        <v>242</v>
      </c>
      <c r="I249" s="178" t="s">
        <v>188</v>
      </c>
      <c r="J249" s="179">
        <v>8.6959999999999997</v>
      </c>
      <c r="K249" s="180" t="s">
        <v>347</v>
      </c>
      <c r="L249" s="180">
        <v>0.15</v>
      </c>
      <c r="M249" s="180"/>
      <c r="N249" s="180"/>
      <c r="O249" s="180"/>
      <c r="P249" s="180"/>
      <c r="Q249" s="181"/>
    </row>
    <row r="250" spans="1:17" ht="15" hidden="1" customHeight="1" x14ac:dyDescent="0.25">
      <c r="A250" s="176">
        <v>8001</v>
      </c>
      <c r="B250" s="176">
        <v>800</v>
      </c>
      <c r="C250" s="176" t="s">
        <v>68</v>
      </c>
      <c r="D250" s="177" t="s">
        <v>69</v>
      </c>
      <c r="E250" s="176" t="s">
        <v>70</v>
      </c>
      <c r="F250" s="176" t="s">
        <v>220</v>
      </c>
      <c r="G250" s="176">
        <v>3635</v>
      </c>
      <c r="H250" s="176" t="s">
        <v>221</v>
      </c>
      <c r="I250" s="178" t="s">
        <v>188</v>
      </c>
      <c r="J250" s="179">
        <v>2.7E-2</v>
      </c>
      <c r="K250" s="180" t="s">
        <v>320</v>
      </c>
      <c r="L250" s="180">
        <v>0.15</v>
      </c>
      <c r="M250" s="180"/>
      <c r="N250" s="180"/>
      <c r="O250" s="180"/>
      <c r="P250" s="180"/>
      <c r="Q250" s="181"/>
    </row>
    <row r="251" spans="1:17" ht="15" hidden="1" customHeight="1" x14ac:dyDescent="0.25">
      <c r="A251" s="176">
        <v>8001</v>
      </c>
      <c r="B251" s="176">
        <v>800</v>
      </c>
      <c r="C251" s="176" t="s">
        <v>68</v>
      </c>
      <c r="D251" s="177" t="s">
        <v>69</v>
      </c>
      <c r="E251" s="176" t="s">
        <v>70</v>
      </c>
      <c r="F251" s="176" t="s">
        <v>245</v>
      </c>
      <c r="G251" s="176">
        <v>3043</v>
      </c>
      <c r="H251" s="176" t="s">
        <v>245</v>
      </c>
      <c r="I251" s="178" t="s">
        <v>246</v>
      </c>
      <c r="J251" s="179">
        <v>5.0000000000000001E-3</v>
      </c>
      <c r="K251" s="180" t="s">
        <v>348</v>
      </c>
      <c r="L251" s="180">
        <v>0.15</v>
      </c>
      <c r="M251" s="180"/>
      <c r="N251" s="180"/>
      <c r="O251" s="180"/>
      <c r="P251" s="180"/>
      <c r="Q251" s="181"/>
    </row>
    <row r="252" spans="1:17" ht="15" hidden="1" customHeight="1" x14ac:dyDescent="0.25">
      <c r="A252" s="176">
        <v>8005</v>
      </c>
      <c r="B252" s="176">
        <v>805</v>
      </c>
      <c r="C252" s="176" t="s">
        <v>26</v>
      </c>
      <c r="D252" s="177" t="s">
        <v>71</v>
      </c>
      <c r="E252" s="176" t="s">
        <v>72</v>
      </c>
      <c r="F252" s="176" t="s">
        <v>225</v>
      </c>
      <c r="G252" s="176">
        <v>2680</v>
      </c>
      <c r="H252" s="176" t="s">
        <v>226</v>
      </c>
      <c r="I252" s="178" t="s">
        <v>148</v>
      </c>
      <c r="J252" s="179">
        <v>17.100000000000001</v>
      </c>
      <c r="K252" s="180" t="s">
        <v>345</v>
      </c>
      <c r="L252" s="180">
        <v>0.15</v>
      </c>
      <c r="M252" s="180"/>
      <c r="N252" s="180"/>
      <c r="O252" s="180"/>
      <c r="P252" s="180"/>
      <c r="Q252" s="181"/>
    </row>
    <row r="253" spans="1:17" ht="15" hidden="1" customHeight="1" x14ac:dyDescent="0.25">
      <c r="A253" s="176">
        <v>8005</v>
      </c>
      <c r="B253" s="176">
        <v>805</v>
      </c>
      <c r="C253" s="176" t="s">
        <v>26</v>
      </c>
      <c r="D253" s="177" t="s">
        <v>71</v>
      </c>
      <c r="E253" s="176" t="s">
        <v>72</v>
      </c>
      <c r="F253" s="176" t="s">
        <v>349</v>
      </c>
      <c r="G253" s="176">
        <v>4070</v>
      </c>
      <c r="H253" s="176" t="s">
        <v>230</v>
      </c>
      <c r="I253" s="178" t="s">
        <v>148</v>
      </c>
      <c r="J253" s="179">
        <v>0.9</v>
      </c>
      <c r="K253" s="180" t="s">
        <v>350</v>
      </c>
      <c r="L253" s="180">
        <v>0.15</v>
      </c>
      <c r="M253" s="180"/>
      <c r="N253" s="180"/>
      <c r="O253" s="180"/>
      <c r="P253" s="180"/>
      <c r="Q253" s="181"/>
    </row>
    <row r="254" spans="1:17" ht="15" hidden="1" customHeight="1" x14ac:dyDescent="0.25">
      <c r="A254" s="176">
        <v>8005</v>
      </c>
      <c r="B254" s="176">
        <v>805</v>
      </c>
      <c r="C254" s="176" t="s">
        <v>26</v>
      </c>
      <c r="D254" s="177" t="s">
        <v>71</v>
      </c>
      <c r="E254" s="176" t="s">
        <v>72</v>
      </c>
      <c r="F254" s="176" t="s">
        <v>241</v>
      </c>
      <c r="G254" s="176">
        <v>2267</v>
      </c>
      <c r="H254" s="176" t="s">
        <v>242</v>
      </c>
      <c r="I254" s="178" t="s">
        <v>188</v>
      </c>
      <c r="J254" s="179">
        <v>8.3330000000000002</v>
      </c>
      <c r="K254" s="180" t="s">
        <v>347</v>
      </c>
      <c r="L254" s="180">
        <v>0.15</v>
      </c>
      <c r="M254" s="180"/>
      <c r="N254" s="180"/>
      <c r="O254" s="180"/>
      <c r="P254" s="180"/>
      <c r="Q254" s="181"/>
    </row>
    <row r="255" spans="1:17" ht="15" hidden="1" customHeight="1" x14ac:dyDescent="0.25">
      <c r="A255" s="176">
        <v>8005</v>
      </c>
      <c r="B255" s="176">
        <v>805</v>
      </c>
      <c r="C255" s="176" t="s">
        <v>26</v>
      </c>
      <c r="D255" s="177" t="s">
        <v>71</v>
      </c>
      <c r="E255" s="176" t="s">
        <v>72</v>
      </c>
      <c r="F255" s="176" t="s">
        <v>245</v>
      </c>
      <c r="G255" s="176">
        <v>3043</v>
      </c>
      <c r="H255" s="176" t="s">
        <v>245</v>
      </c>
      <c r="I255" s="178" t="s">
        <v>246</v>
      </c>
      <c r="J255" s="179">
        <v>5.0000000000000001E-3</v>
      </c>
      <c r="K255" s="180" t="s">
        <v>348</v>
      </c>
      <c r="L255" s="180">
        <v>0.15</v>
      </c>
      <c r="M255" s="182"/>
      <c r="N255" s="180"/>
      <c r="O255" s="180"/>
      <c r="P255" s="180"/>
      <c r="Q255" s="181"/>
    </row>
    <row r="256" spans="1:17" ht="15" hidden="1" customHeight="1" x14ac:dyDescent="0.25">
      <c r="A256" s="176">
        <v>8011</v>
      </c>
      <c r="B256" s="176">
        <v>811</v>
      </c>
      <c r="C256" s="176" t="s">
        <v>26</v>
      </c>
      <c r="D256" s="177" t="s">
        <v>73</v>
      </c>
      <c r="E256" s="176" t="s">
        <v>72</v>
      </c>
      <c r="F256" s="176" t="s">
        <v>225</v>
      </c>
      <c r="G256" s="176">
        <v>2680</v>
      </c>
      <c r="H256" s="176" t="s">
        <v>226</v>
      </c>
      <c r="I256" s="178" t="s">
        <v>148</v>
      </c>
      <c r="J256" s="179">
        <v>17.46</v>
      </c>
      <c r="K256" s="180" t="s">
        <v>345</v>
      </c>
      <c r="L256" s="180">
        <v>0.15</v>
      </c>
      <c r="M256" s="180"/>
      <c r="N256" s="180"/>
      <c r="O256" s="180"/>
      <c r="P256" s="180"/>
      <c r="Q256" s="181"/>
    </row>
    <row r="257" spans="1:17" ht="15" hidden="1" customHeight="1" x14ac:dyDescent="0.25">
      <c r="A257" s="176">
        <v>8011</v>
      </c>
      <c r="B257" s="176">
        <v>811</v>
      </c>
      <c r="C257" s="176" t="s">
        <v>26</v>
      </c>
      <c r="D257" s="177" t="s">
        <v>73</v>
      </c>
      <c r="E257" s="176" t="s">
        <v>72</v>
      </c>
      <c r="F257" s="176" t="s">
        <v>349</v>
      </c>
      <c r="G257" s="176">
        <v>7412</v>
      </c>
      <c r="H257" s="176" t="s">
        <v>236</v>
      </c>
      <c r="I257" s="178" t="s">
        <v>148</v>
      </c>
      <c r="J257" s="179">
        <v>0.54</v>
      </c>
      <c r="K257" s="180" t="s">
        <v>350</v>
      </c>
      <c r="L257" s="180">
        <v>0.15</v>
      </c>
      <c r="M257" s="180"/>
      <c r="N257" s="180"/>
      <c r="O257" s="180"/>
      <c r="P257" s="180"/>
      <c r="Q257" s="181"/>
    </row>
    <row r="258" spans="1:17" ht="15" hidden="1" customHeight="1" x14ac:dyDescent="0.25">
      <c r="A258" s="176">
        <v>8011</v>
      </c>
      <c r="B258" s="176">
        <v>811</v>
      </c>
      <c r="C258" s="176" t="s">
        <v>26</v>
      </c>
      <c r="D258" s="177" t="s">
        <v>73</v>
      </c>
      <c r="E258" s="176" t="s">
        <v>72</v>
      </c>
      <c r="F258" s="176" t="s">
        <v>241</v>
      </c>
      <c r="G258" s="176">
        <v>2267</v>
      </c>
      <c r="H258" s="176" t="s">
        <v>242</v>
      </c>
      <c r="I258" s="178" t="s">
        <v>188</v>
      </c>
      <c r="J258" s="179">
        <v>8.3330000000000002</v>
      </c>
      <c r="K258" s="180" t="s">
        <v>347</v>
      </c>
      <c r="L258" s="180">
        <v>0.15</v>
      </c>
      <c r="M258" s="180"/>
      <c r="N258" s="180"/>
      <c r="O258" s="180"/>
      <c r="P258" s="180"/>
      <c r="Q258" s="181"/>
    </row>
    <row r="259" spans="1:17" ht="15" hidden="1" customHeight="1" x14ac:dyDescent="0.25">
      <c r="A259" s="176">
        <v>8011</v>
      </c>
      <c r="B259" s="176">
        <v>811</v>
      </c>
      <c r="C259" s="176" t="s">
        <v>26</v>
      </c>
      <c r="D259" s="177" t="s">
        <v>73</v>
      </c>
      <c r="E259" s="176" t="s">
        <v>72</v>
      </c>
      <c r="F259" s="176" t="s">
        <v>245</v>
      </c>
      <c r="G259" s="176">
        <v>3043</v>
      </c>
      <c r="H259" s="176" t="s">
        <v>245</v>
      </c>
      <c r="I259" s="178" t="s">
        <v>246</v>
      </c>
      <c r="J259" s="179">
        <v>5.0000000000000001E-3</v>
      </c>
      <c r="K259" s="180" t="s">
        <v>348</v>
      </c>
      <c r="L259" s="180">
        <v>0.15</v>
      </c>
      <c r="M259" s="180"/>
      <c r="N259" s="180"/>
      <c r="O259" s="180"/>
      <c r="P259" s="180"/>
      <c r="Q259" s="181"/>
    </row>
    <row r="260" spans="1:17" ht="15" hidden="1" customHeight="1" x14ac:dyDescent="0.25">
      <c r="A260" s="176">
        <v>8012</v>
      </c>
      <c r="B260" s="176">
        <v>812</v>
      </c>
      <c r="C260" s="176" t="s">
        <v>26</v>
      </c>
      <c r="D260" s="177" t="s">
        <v>74</v>
      </c>
      <c r="E260" s="176" t="s">
        <v>72</v>
      </c>
      <c r="F260" s="176" t="s">
        <v>225</v>
      </c>
      <c r="G260" s="176">
        <v>2680</v>
      </c>
      <c r="H260" s="176" t="s">
        <v>226</v>
      </c>
      <c r="I260" s="178" t="s">
        <v>148</v>
      </c>
      <c r="J260" s="179">
        <v>17.100000000000001</v>
      </c>
      <c r="K260" s="180" t="s">
        <v>345</v>
      </c>
      <c r="L260" s="180">
        <v>0.15</v>
      </c>
      <c r="M260" s="180"/>
      <c r="N260" s="180"/>
      <c r="O260" s="180"/>
      <c r="P260" s="180"/>
      <c r="Q260" s="181"/>
    </row>
    <row r="261" spans="1:17" ht="15" hidden="1" customHeight="1" x14ac:dyDescent="0.25">
      <c r="A261" s="176">
        <v>8012</v>
      </c>
      <c r="B261" s="176">
        <v>812</v>
      </c>
      <c r="C261" s="176" t="s">
        <v>26</v>
      </c>
      <c r="D261" s="177" t="s">
        <v>74</v>
      </c>
      <c r="E261" s="176" t="s">
        <v>72</v>
      </c>
      <c r="F261" s="176" t="s">
        <v>349</v>
      </c>
      <c r="G261" s="176">
        <v>5816</v>
      </c>
      <c r="H261" s="176" t="s">
        <v>233</v>
      </c>
      <c r="I261" s="178" t="s">
        <v>148</v>
      </c>
      <c r="J261" s="179">
        <v>0.9</v>
      </c>
      <c r="K261" s="180" t="s">
        <v>350</v>
      </c>
      <c r="L261" s="180">
        <v>0.15</v>
      </c>
      <c r="M261" s="180"/>
      <c r="N261" s="180"/>
      <c r="O261" s="180"/>
      <c r="P261" s="180"/>
      <c r="Q261" s="181"/>
    </row>
    <row r="262" spans="1:17" ht="15" hidden="1" customHeight="1" x14ac:dyDescent="0.25">
      <c r="A262" s="176">
        <v>8012</v>
      </c>
      <c r="B262" s="176">
        <v>812</v>
      </c>
      <c r="C262" s="176" t="s">
        <v>26</v>
      </c>
      <c r="D262" s="177" t="s">
        <v>74</v>
      </c>
      <c r="E262" s="176" t="s">
        <v>72</v>
      </c>
      <c r="F262" s="176" t="s">
        <v>241</v>
      </c>
      <c r="G262" s="176">
        <v>2267</v>
      </c>
      <c r="H262" s="176" t="s">
        <v>242</v>
      </c>
      <c r="I262" s="178" t="s">
        <v>188</v>
      </c>
      <c r="J262" s="179">
        <v>8.3330000000000002</v>
      </c>
      <c r="K262" s="180" t="s">
        <v>347</v>
      </c>
      <c r="L262" s="180">
        <v>0.15</v>
      </c>
      <c r="M262" s="180"/>
      <c r="N262" s="180"/>
      <c r="O262" s="180"/>
      <c r="P262" s="180"/>
      <c r="Q262" s="181"/>
    </row>
    <row r="263" spans="1:17" ht="15" hidden="1" customHeight="1" x14ac:dyDescent="0.25">
      <c r="A263" s="176">
        <v>8012</v>
      </c>
      <c r="B263" s="176">
        <v>812</v>
      </c>
      <c r="C263" s="176" t="s">
        <v>26</v>
      </c>
      <c r="D263" s="177" t="s">
        <v>74</v>
      </c>
      <c r="E263" s="176" t="s">
        <v>72</v>
      </c>
      <c r="F263" s="176" t="s">
        <v>245</v>
      </c>
      <c r="G263" s="176">
        <v>3043</v>
      </c>
      <c r="H263" s="176" t="s">
        <v>245</v>
      </c>
      <c r="I263" s="178" t="s">
        <v>246</v>
      </c>
      <c r="J263" s="179">
        <v>5.0000000000000001E-3</v>
      </c>
      <c r="K263" s="180" t="s">
        <v>348</v>
      </c>
      <c r="L263" s="180">
        <v>0.15</v>
      </c>
      <c r="M263" s="180"/>
      <c r="N263" s="180"/>
      <c r="O263" s="180"/>
      <c r="P263" s="180"/>
      <c r="Q263" s="181"/>
    </row>
    <row r="264" spans="1:17" ht="15" hidden="1" customHeight="1" x14ac:dyDescent="0.25">
      <c r="A264" s="176">
        <v>8010</v>
      </c>
      <c r="B264" s="176">
        <v>810</v>
      </c>
      <c r="C264" s="176" t="s">
        <v>68</v>
      </c>
      <c r="D264" s="177" t="s">
        <v>75</v>
      </c>
      <c r="E264" s="176" t="s">
        <v>76</v>
      </c>
      <c r="F264" s="176" t="s">
        <v>225</v>
      </c>
      <c r="G264" s="176">
        <v>2680</v>
      </c>
      <c r="H264" s="176" t="s">
        <v>226</v>
      </c>
      <c r="I264" s="178" t="s">
        <v>148</v>
      </c>
      <c r="J264" s="179">
        <v>18</v>
      </c>
      <c r="K264" s="180" t="s">
        <v>345</v>
      </c>
      <c r="L264" s="180">
        <v>0.15</v>
      </c>
      <c r="M264" s="182" t="s">
        <v>315</v>
      </c>
      <c r="N264" s="180"/>
      <c r="O264" s="180"/>
      <c r="P264" s="180"/>
      <c r="Q264" s="181"/>
    </row>
    <row r="265" spans="1:17" ht="15" hidden="1" customHeight="1" x14ac:dyDescent="0.25">
      <c r="A265" s="176">
        <v>8010</v>
      </c>
      <c r="B265" s="176">
        <v>810</v>
      </c>
      <c r="C265" s="176" t="s">
        <v>68</v>
      </c>
      <c r="D265" s="177" t="s">
        <v>75</v>
      </c>
      <c r="E265" s="176" t="s">
        <v>76</v>
      </c>
      <c r="F265" s="176" t="s">
        <v>254</v>
      </c>
      <c r="G265" s="176">
        <v>5977</v>
      </c>
      <c r="H265" s="176" t="s">
        <v>219</v>
      </c>
      <c r="I265" s="178" t="s">
        <v>188</v>
      </c>
      <c r="J265" s="179">
        <v>1.667</v>
      </c>
      <c r="K265" s="180" t="s">
        <v>346</v>
      </c>
      <c r="L265" s="180">
        <v>0.15</v>
      </c>
      <c r="M265" s="180"/>
      <c r="N265" s="180"/>
      <c r="O265" s="180"/>
      <c r="P265" s="180"/>
      <c r="Q265" s="181"/>
    </row>
    <row r="266" spans="1:17" ht="15" hidden="1" customHeight="1" x14ac:dyDescent="0.25">
      <c r="A266" s="176">
        <v>8010</v>
      </c>
      <c r="B266" s="176">
        <v>810</v>
      </c>
      <c r="C266" s="176" t="s">
        <v>68</v>
      </c>
      <c r="D266" s="177" t="s">
        <v>75</v>
      </c>
      <c r="E266" s="176" t="s">
        <v>76</v>
      </c>
      <c r="F266" s="176" t="s">
        <v>241</v>
      </c>
      <c r="G266" s="176">
        <v>2267</v>
      </c>
      <c r="H266" s="176" t="s">
        <v>242</v>
      </c>
      <c r="I266" s="178" t="s">
        <v>188</v>
      </c>
      <c r="J266" s="179">
        <v>10</v>
      </c>
      <c r="K266" s="180" t="s">
        <v>347</v>
      </c>
      <c r="L266" s="180">
        <v>0.15</v>
      </c>
      <c r="M266" s="182" t="s">
        <v>315</v>
      </c>
      <c r="N266" s="180"/>
      <c r="O266" s="180"/>
      <c r="P266" s="180"/>
      <c r="Q266" s="181"/>
    </row>
    <row r="267" spans="1:17" ht="15" hidden="1" customHeight="1" x14ac:dyDescent="0.25">
      <c r="A267" s="176">
        <v>8010</v>
      </c>
      <c r="B267" s="176">
        <v>810</v>
      </c>
      <c r="C267" s="176" t="s">
        <v>68</v>
      </c>
      <c r="D267" s="177" t="s">
        <v>75</v>
      </c>
      <c r="E267" s="176" t="s">
        <v>76</v>
      </c>
      <c r="F267" s="176" t="s">
        <v>220</v>
      </c>
      <c r="G267" s="176">
        <v>3635</v>
      </c>
      <c r="H267" s="176" t="s">
        <v>221</v>
      </c>
      <c r="I267" s="178" t="s">
        <v>188</v>
      </c>
      <c r="J267" s="179">
        <v>4.2000000000000003E-2</v>
      </c>
      <c r="K267" s="180" t="s">
        <v>320</v>
      </c>
      <c r="L267" s="180">
        <v>0.15</v>
      </c>
      <c r="M267" s="180"/>
      <c r="N267" s="180"/>
      <c r="O267" s="180"/>
      <c r="P267" s="180"/>
      <c r="Q267" s="181"/>
    </row>
    <row r="268" spans="1:17" ht="15" hidden="1" customHeight="1" x14ac:dyDescent="0.25">
      <c r="A268" s="176">
        <v>8010</v>
      </c>
      <c r="B268" s="176">
        <v>810</v>
      </c>
      <c r="C268" s="176" t="s">
        <v>68</v>
      </c>
      <c r="D268" s="177" t="s">
        <v>75</v>
      </c>
      <c r="E268" s="176" t="s">
        <v>76</v>
      </c>
      <c r="F268" s="176" t="s">
        <v>245</v>
      </c>
      <c r="G268" s="176">
        <v>3043</v>
      </c>
      <c r="H268" s="176" t="s">
        <v>245</v>
      </c>
      <c r="I268" s="178" t="s">
        <v>246</v>
      </c>
      <c r="J268" s="179">
        <v>5.0000000000000001E-3</v>
      </c>
      <c r="K268" s="180" t="s">
        <v>348</v>
      </c>
      <c r="L268" s="180">
        <v>0.15</v>
      </c>
      <c r="M268" s="180"/>
      <c r="N268" s="180"/>
      <c r="O268" s="180"/>
      <c r="P268" s="180"/>
      <c r="Q268" s="181"/>
    </row>
    <row r="269" spans="1:17" ht="15" hidden="1" customHeight="1" x14ac:dyDescent="0.25">
      <c r="A269" s="176">
        <v>8006</v>
      </c>
      <c r="B269" s="176">
        <v>806</v>
      </c>
      <c r="C269" s="176" t="s">
        <v>26</v>
      </c>
      <c r="D269" s="177" t="s">
        <v>77</v>
      </c>
      <c r="E269" s="176" t="s">
        <v>78</v>
      </c>
      <c r="F269" s="176" t="s">
        <v>225</v>
      </c>
      <c r="G269" s="176">
        <v>2680</v>
      </c>
      <c r="H269" s="176" t="s">
        <v>226</v>
      </c>
      <c r="I269" s="178" t="s">
        <v>148</v>
      </c>
      <c r="J269" s="179">
        <v>23.75</v>
      </c>
      <c r="K269" s="180" t="s">
        <v>345</v>
      </c>
      <c r="L269" s="180">
        <v>0.15</v>
      </c>
      <c r="M269" s="180"/>
      <c r="N269" s="180"/>
      <c r="O269" s="180"/>
      <c r="P269" s="180"/>
      <c r="Q269" s="181"/>
    </row>
    <row r="270" spans="1:17" ht="15" hidden="1" customHeight="1" x14ac:dyDescent="0.25">
      <c r="A270" s="176">
        <v>8006</v>
      </c>
      <c r="B270" s="176">
        <v>806</v>
      </c>
      <c r="C270" s="176" t="s">
        <v>26</v>
      </c>
      <c r="D270" s="177" t="s">
        <v>77</v>
      </c>
      <c r="E270" s="176" t="s">
        <v>78</v>
      </c>
      <c r="F270" s="176" t="s">
        <v>349</v>
      </c>
      <c r="G270" s="176">
        <v>4070</v>
      </c>
      <c r="H270" s="176" t="s">
        <v>230</v>
      </c>
      <c r="I270" s="178" t="s">
        <v>148</v>
      </c>
      <c r="J270" s="179">
        <v>1.25</v>
      </c>
      <c r="K270" s="180" t="s">
        <v>350</v>
      </c>
      <c r="L270" s="180">
        <v>0.15</v>
      </c>
      <c r="M270" s="180"/>
      <c r="N270" s="180"/>
      <c r="O270" s="180"/>
      <c r="P270" s="180"/>
      <c r="Q270" s="181"/>
    </row>
    <row r="271" spans="1:17" ht="15" hidden="1" customHeight="1" x14ac:dyDescent="0.25">
      <c r="A271" s="176">
        <v>8006</v>
      </c>
      <c r="B271" s="176">
        <v>806</v>
      </c>
      <c r="C271" s="176" t="s">
        <v>26</v>
      </c>
      <c r="D271" s="177" t="s">
        <v>77</v>
      </c>
      <c r="E271" s="176" t="s">
        <v>78</v>
      </c>
      <c r="F271" s="176" t="s">
        <v>241</v>
      </c>
      <c r="G271" s="176">
        <v>3006</v>
      </c>
      <c r="H271" s="176" t="s">
        <v>243</v>
      </c>
      <c r="I271" s="178" t="s">
        <v>188</v>
      </c>
      <c r="J271" s="179">
        <v>8.3330000000000002</v>
      </c>
      <c r="K271" s="180" t="s">
        <v>347</v>
      </c>
      <c r="L271" s="180">
        <v>0.15</v>
      </c>
      <c r="M271" s="180"/>
      <c r="N271" s="180"/>
      <c r="O271" s="180"/>
      <c r="P271" s="180"/>
      <c r="Q271" s="181"/>
    </row>
    <row r="272" spans="1:17" ht="15" hidden="1" customHeight="1" x14ac:dyDescent="0.25">
      <c r="A272" s="176">
        <v>8006</v>
      </c>
      <c r="B272" s="176">
        <v>806</v>
      </c>
      <c r="C272" s="176" t="s">
        <v>26</v>
      </c>
      <c r="D272" s="177" t="s">
        <v>77</v>
      </c>
      <c r="E272" s="176" t="s">
        <v>78</v>
      </c>
      <c r="F272" s="176" t="s">
        <v>245</v>
      </c>
      <c r="G272" s="176">
        <v>3043</v>
      </c>
      <c r="H272" s="176" t="s">
        <v>245</v>
      </c>
      <c r="I272" s="178" t="s">
        <v>246</v>
      </c>
      <c r="J272" s="179">
        <v>5.0000000000000001E-3</v>
      </c>
      <c r="K272" s="180" t="s">
        <v>348</v>
      </c>
      <c r="L272" s="180">
        <v>0.15</v>
      </c>
      <c r="M272" s="180"/>
      <c r="N272" s="180"/>
      <c r="O272" s="180"/>
      <c r="P272" s="180"/>
      <c r="Q272" s="181"/>
    </row>
    <row r="273" spans="1:17" ht="15" hidden="1" customHeight="1" x14ac:dyDescent="0.25">
      <c r="A273" s="176">
        <v>8007</v>
      </c>
      <c r="B273" s="176">
        <v>807</v>
      </c>
      <c r="C273" s="176" t="s">
        <v>26</v>
      </c>
      <c r="D273" s="177" t="s">
        <v>79</v>
      </c>
      <c r="E273" s="176" t="s">
        <v>78</v>
      </c>
      <c r="F273" s="176" t="s">
        <v>225</v>
      </c>
      <c r="G273" s="176">
        <v>2680</v>
      </c>
      <c r="H273" s="176" t="s">
        <v>226</v>
      </c>
      <c r="I273" s="178" t="s">
        <v>148</v>
      </c>
      <c r="J273" s="179">
        <v>23.75</v>
      </c>
      <c r="K273" s="180" t="s">
        <v>345</v>
      </c>
      <c r="L273" s="180">
        <v>0.15</v>
      </c>
      <c r="M273" s="180"/>
      <c r="N273" s="180"/>
      <c r="O273" s="180"/>
      <c r="P273" s="180"/>
      <c r="Q273" s="181"/>
    </row>
    <row r="274" spans="1:17" ht="15" hidden="1" customHeight="1" x14ac:dyDescent="0.25">
      <c r="A274" s="176">
        <v>8007</v>
      </c>
      <c r="B274" s="176">
        <v>807</v>
      </c>
      <c r="C274" s="176" t="s">
        <v>26</v>
      </c>
      <c r="D274" s="177" t="s">
        <v>79</v>
      </c>
      <c r="E274" s="176" t="s">
        <v>78</v>
      </c>
      <c r="F274" s="176" t="s">
        <v>349</v>
      </c>
      <c r="G274" s="176">
        <v>5816</v>
      </c>
      <c r="H274" s="176" t="s">
        <v>233</v>
      </c>
      <c r="I274" s="178" t="s">
        <v>148</v>
      </c>
      <c r="J274" s="179">
        <v>1.25</v>
      </c>
      <c r="K274" s="180" t="s">
        <v>350</v>
      </c>
      <c r="L274" s="180">
        <v>0.15</v>
      </c>
      <c r="M274" s="180"/>
      <c r="N274" s="180"/>
      <c r="O274" s="180"/>
      <c r="P274" s="180"/>
      <c r="Q274" s="181"/>
    </row>
    <row r="275" spans="1:17" ht="15" hidden="1" customHeight="1" x14ac:dyDescent="0.25">
      <c r="A275" s="176">
        <v>8007</v>
      </c>
      <c r="B275" s="176">
        <v>807</v>
      </c>
      <c r="C275" s="176" t="s">
        <v>26</v>
      </c>
      <c r="D275" s="177" t="s">
        <v>79</v>
      </c>
      <c r="E275" s="176" t="s">
        <v>78</v>
      </c>
      <c r="F275" s="176" t="s">
        <v>241</v>
      </c>
      <c r="G275" s="176">
        <v>3006</v>
      </c>
      <c r="H275" s="176" t="s">
        <v>243</v>
      </c>
      <c r="I275" s="178" t="s">
        <v>188</v>
      </c>
      <c r="J275" s="179">
        <v>8.3330000000000002</v>
      </c>
      <c r="K275" s="180" t="s">
        <v>347</v>
      </c>
      <c r="L275" s="180">
        <v>0.15</v>
      </c>
      <c r="M275" s="180"/>
      <c r="N275" s="180"/>
      <c r="O275" s="180"/>
      <c r="P275" s="180"/>
      <c r="Q275" s="181"/>
    </row>
    <row r="276" spans="1:17" ht="15" hidden="1" customHeight="1" x14ac:dyDescent="0.25">
      <c r="A276" s="176">
        <v>8007</v>
      </c>
      <c r="B276" s="176">
        <v>807</v>
      </c>
      <c r="C276" s="176" t="s">
        <v>26</v>
      </c>
      <c r="D276" s="177" t="s">
        <v>79</v>
      </c>
      <c r="E276" s="176" t="s">
        <v>78</v>
      </c>
      <c r="F276" s="176" t="s">
        <v>245</v>
      </c>
      <c r="G276" s="176">
        <v>3043</v>
      </c>
      <c r="H276" s="176" t="s">
        <v>245</v>
      </c>
      <c r="I276" s="178" t="s">
        <v>246</v>
      </c>
      <c r="J276" s="179">
        <v>5.0000000000000001E-3</v>
      </c>
      <c r="K276" s="180" t="s">
        <v>348</v>
      </c>
      <c r="L276" s="180">
        <v>0.15</v>
      </c>
      <c r="M276" s="180"/>
      <c r="N276" s="180"/>
      <c r="O276" s="180"/>
      <c r="P276" s="180"/>
      <c r="Q276" s="181"/>
    </row>
    <row r="277" spans="1:17" ht="15" hidden="1" customHeight="1" x14ac:dyDescent="0.25">
      <c r="A277" s="176">
        <v>8008</v>
      </c>
      <c r="B277" s="176">
        <v>808</v>
      </c>
      <c r="C277" s="176" t="s">
        <v>26</v>
      </c>
      <c r="D277" s="177" t="s">
        <v>80</v>
      </c>
      <c r="E277" s="176" t="s">
        <v>78</v>
      </c>
      <c r="F277" s="176" t="s">
        <v>225</v>
      </c>
      <c r="G277" s="176">
        <v>2680</v>
      </c>
      <c r="H277" s="176" t="s">
        <v>226</v>
      </c>
      <c r="I277" s="178" t="s">
        <v>148</v>
      </c>
      <c r="J277" s="179">
        <v>24.25</v>
      </c>
      <c r="K277" s="180" t="s">
        <v>345</v>
      </c>
      <c r="L277" s="180">
        <v>0.15</v>
      </c>
      <c r="M277" s="180"/>
      <c r="N277" s="180"/>
      <c r="O277" s="180"/>
      <c r="P277" s="180"/>
      <c r="Q277" s="181"/>
    </row>
    <row r="278" spans="1:17" ht="15" hidden="1" customHeight="1" x14ac:dyDescent="0.25">
      <c r="A278" s="176">
        <v>8008</v>
      </c>
      <c r="B278" s="176">
        <v>808</v>
      </c>
      <c r="C278" s="176" t="s">
        <v>26</v>
      </c>
      <c r="D278" s="177" t="s">
        <v>80</v>
      </c>
      <c r="E278" s="176" t="s">
        <v>78</v>
      </c>
      <c r="F278" s="176" t="s">
        <v>349</v>
      </c>
      <c r="G278" s="176">
        <v>7412</v>
      </c>
      <c r="H278" s="176" t="s">
        <v>236</v>
      </c>
      <c r="I278" s="178" t="s">
        <v>148</v>
      </c>
      <c r="J278" s="179">
        <v>0.75</v>
      </c>
      <c r="K278" s="180" t="s">
        <v>350</v>
      </c>
      <c r="L278" s="180">
        <v>0.15</v>
      </c>
      <c r="M278" s="180"/>
      <c r="N278" s="180"/>
      <c r="O278" s="180"/>
      <c r="P278" s="180"/>
      <c r="Q278" s="181"/>
    </row>
    <row r="279" spans="1:17" ht="15" hidden="1" customHeight="1" x14ac:dyDescent="0.25">
      <c r="A279" s="176">
        <v>8008</v>
      </c>
      <c r="B279" s="176">
        <v>808</v>
      </c>
      <c r="C279" s="176" t="s">
        <v>26</v>
      </c>
      <c r="D279" s="177" t="s">
        <v>80</v>
      </c>
      <c r="E279" s="176" t="s">
        <v>78</v>
      </c>
      <c r="F279" s="176" t="s">
        <v>241</v>
      </c>
      <c r="G279" s="176">
        <v>3006</v>
      </c>
      <c r="H279" s="176" t="s">
        <v>243</v>
      </c>
      <c r="I279" s="178" t="s">
        <v>188</v>
      </c>
      <c r="J279" s="179">
        <v>8.3330000000000002</v>
      </c>
      <c r="K279" s="180" t="s">
        <v>347</v>
      </c>
      <c r="L279" s="180">
        <v>0.15</v>
      </c>
      <c r="M279" s="180"/>
      <c r="N279" s="180"/>
      <c r="O279" s="180"/>
      <c r="P279" s="180"/>
      <c r="Q279" s="181"/>
    </row>
    <row r="280" spans="1:17" ht="15" hidden="1" customHeight="1" x14ac:dyDescent="0.25">
      <c r="A280" s="176">
        <v>8008</v>
      </c>
      <c r="B280" s="176">
        <v>808</v>
      </c>
      <c r="C280" s="176" t="s">
        <v>26</v>
      </c>
      <c r="D280" s="177" t="s">
        <v>80</v>
      </c>
      <c r="E280" s="176" t="s">
        <v>78</v>
      </c>
      <c r="F280" s="176" t="s">
        <v>245</v>
      </c>
      <c r="G280" s="176">
        <v>3043</v>
      </c>
      <c r="H280" s="176" t="s">
        <v>245</v>
      </c>
      <c r="I280" s="178" t="s">
        <v>246</v>
      </c>
      <c r="J280" s="179">
        <v>5.0000000000000001E-3</v>
      </c>
      <c r="K280" s="180" t="s">
        <v>348</v>
      </c>
      <c r="L280" s="180">
        <v>0.15</v>
      </c>
      <c r="M280" s="180"/>
      <c r="N280" s="180"/>
      <c r="O280" s="180"/>
      <c r="P280" s="180"/>
      <c r="Q280" s="181"/>
    </row>
    <row r="281" spans="1:17" ht="15" hidden="1" customHeight="1" x14ac:dyDescent="0.25">
      <c r="A281" s="176">
        <v>8009</v>
      </c>
      <c r="B281" s="176">
        <v>809</v>
      </c>
      <c r="C281" s="176" t="s">
        <v>29</v>
      </c>
      <c r="D281" s="177" t="s">
        <v>81</v>
      </c>
      <c r="E281" s="176" t="s">
        <v>82</v>
      </c>
      <c r="F281" s="176" t="s">
        <v>225</v>
      </c>
      <c r="G281" s="176">
        <v>2680</v>
      </c>
      <c r="H281" s="176" t="s">
        <v>226</v>
      </c>
      <c r="I281" s="178" t="s">
        <v>148</v>
      </c>
      <c r="J281" s="179">
        <v>25</v>
      </c>
      <c r="K281" s="180" t="s">
        <v>345</v>
      </c>
      <c r="L281" s="180">
        <v>0.15</v>
      </c>
      <c r="M281" s="182" t="s">
        <v>315</v>
      </c>
      <c r="N281" s="180"/>
      <c r="O281" s="180"/>
      <c r="P281" s="180"/>
      <c r="Q281" s="181"/>
    </row>
    <row r="282" spans="1:17" ht="15" hidden="1" customHeight="1" x14ac:dyDescent="0.25">
      <c r="A282" s="176">
        <v>8009</v>
      </c>
      <c r="B282" s="176">
        <v>809</v>
      </c>
      <c r="C282" s="176" t="s">
        <v>29</v>
      </c>
      <c r="D282" s="177" t="s">
        <v>81</v>
      </c>
      <c r="E282" s="176" t="s">
        <v>82</v>
      </c>
      <c r="F282" s="176" t="s">
        <v>254</v>
      </c>
      <c r="G282" s="176">
        <v>3621</v>
      </c>
      <c r="H282" s="176" t="s">
        <v>351</v>
      </c>
      <c r="I282" s="178" t="s">
        <v>188</v>
      </c>
      <c r="J282" s="179">
        <v>7.1429999999999998</v>
      </c>
      <c r="K282" s="180" t="s">
        <v>346</v>
      </c>
      <c r="L282" s="180">
        <v>0.15</v>
      </c>
      <c r="M282" s="180"/>
      <c r="N282" s="180"/>
      <c r="O282" s="180"/>
      <c r="P282" s="180"/>
      <c r="Q282" s="181"/>
    </row>
    <row r="283" spans="1:17" ht="15" hidden="1" customHeight="1" x14ac:dyDescent="0.25">
      <c r="A283" s="176">
        <v>8009</v>
      </c>
      <c r="B283" s="176">
        <v>809</v>
      </c>
      <c r="C283" s="176" t="s">
        <v>29</v>
      </c>
      <c r="D283" s="177" t="s">
        <v>81</v>
      </c>
      <c r="E283" s="176" t="s">
        <v>82</v>
      </c>
      <c r="F283" s="176" t="s">
        <v>241</v>
      </c>
      <c r="G283" s="176">
        <v>3006</v>
      </c>
      <c r="H283" s="176" t="s">
        <v>243</v>
      </c>
      <c r="I283" s="178" t="s">
        <v>188</v>
      </c>
      <c r="J283" s="179">
        <v>11.111000000000001</v>
      </c>
      <c r="K283" s="180" t="s">
        <v>347</v>
      </c>
      <c r="L283" s="180">
        <v>0.15</v>
      </c>
      <c r="M283" s="180"/>
      <c r="N283" s="180"/>
      <c r="O283" s="180"/>
      <c r="P283" s="180"/>
      <c r="Q283" s="181"/>
    </row>
    <row r="284" spans="1:17" ht="15" hidden="1" customHeight="1" x14ac:dyDescent="0.25">
      <c r="A284" s="176">
        <v>8009</v>
      </c>
      <c r="B284" s="176">
        <v>809</v>
      </c>
      <c r="C284" s="176" t="s">
        <v>29</v>
      </c>
      <c r="D284" s="177" t="s">
        <v>81</v>
      </c>
      <c r="E284" s="176" t="s">
        <v>82</v>
      </c>
      <c r="F284" s="176" t="s">
        <v>220</v>
      </c>
      <c r="G284" s="176">
        <v>3635</v>
      </c>
      <c r="H284" s="176" t="s">
        <v>221</v>
      </c>
      <c r="I284" s="178" t="s">
        <v>188</v>
      </c>
      <c r="J284" s="179">
        <v>0.17899999999999999</v>
      </c>
      <c r="K284" s="180" t="s">
        <v>320</v>
      </c>
      <c r="L284" s="180">
        <v>0.15</v>
      </c>
      <c r="M284" s="180"/>
      <c r="N284" s="180"/>
      <c r="O284" s="180"/>
      <c r="P284" s="180"/>
      <c r="Q284" s="181"/>
    </row>
    <row r="285" spans="1:17" ht="15" hidden="1" customHeight="1" x14ac:dyDescent="0.25">
      <c r="A285" s="176">
        <v>8009</v>
      </c>
      <c r="B285" s="176">
        <v>809</v>
      </c>
      <c r="C285" s="176" t="s">
        <v>29</v>
      </c>
      <c r="D285" s="177" t="s">
        <v>81</v>
      </c>
      <c r="E285" s="176" t="s">
        <v>82</v>
      </c>
      <c r="F285" s="176" t="s">
        <v>245</v>
      </c>
      <c r="G285" s="176">
        <v>3043</v>
      </c>
      <c r="H285" s="176" t="s">
        <v>245</v>
      </c>
      <c r="I285" s="178" t="s">
        <v>246</v>
      </c>
      <c r="J285" s="179">
        <v>5.0000000000000001E-3</v>
      </c>
      <c r="K285" s="180" t="s">
        <v>348</v>
      </c>
      <c r="L285" s="180">
        <v>0.15</v>
      </c>
      <c r="M285" s="180"/>
      <c r="N285" s="180"/>
      <c r="O285" s="180"/>
      <c r="P285" s="180"/>
      <c r="Q285" s="181"/>
    </row>
    <row r="286" spans="1:17" ht="15" hidden="1" customHeight="1" x14ac:dyDescent="0.25">
      <c r="A286" s="176">
        <v>8013</v>
      </c>
      <c r="B286" s="176">
        <v>813</v>
      </c>
      <c r="C286" s="176" t="s">
        <v>29</v>
      </c>
      <c r="D286" s="177" t="s">
        <v>83</v>
      </c>
      <c r="E286" s="176" t="s">
        <v>84</v>
      </c>
      <c r="F286" s="176" t="s">
        <v>225</v>
      </c>
      <c r="G286" s="176">
        <v>2680</v>
      </c>
      <c r="H286" s="176" t="s">
        <v>226</v>
      </c>
      <c r="I286" s="178" t="s">
        <v>148</v>
      </c>
      <c r="J286" s="179">
        <v>50</v>
      </c>
      <c r="K286" s="180" t="s">
        <v>345</v>
      </c>
      <c r="L286" s="180">
        <v>0.15</v>
      </c>
      <c r="M286" s="182" t="s">
        <v>315</v>
      </c>
      <c r="N286" s="180"/>
      <c r="O286" s="180"/>
      <c r="P286" s="180"/>
      <c r="Q286" s="181"/>
    </row>
    <row r="287" spans="1:17" ht="15" hidden="1" customHeight="1" x14ac:dyDescent="0.25">
      <c r="A287" s="176">
        <v>8013</v>
      </c>
      <c r="B287" s="176">
        <v>813</v>
      </c>
      <c r="C287" s="176" t="s">
        <v>29</v>
      </c>
      <c r="D287" s="177" t="s">
        <v>83</v>
      </c>
      <c r="E287" s="176" t="s">
        <v>84</v>
      </c>
      <c r="F287" s="176" t="s">
        <v>254</v>
      </c>
      <c r="G287" s="176">
        <v>3621</v>
      </c>
      <c r="H287" s="176" t="s">
        <v>351</v>
      </c>
      <c r="I287" s="178" t="s">
        <v>188</v>
      </c>
      <c r="J287" s="179">
        <v>2.778</v>
      </c>
      <c r="K287" s="180" t="s">
        <v>346</v>
      </c>
      <c r="L287" s="180">
        <v>0.15</v>
      </c>
      <c r="M287" s="180"/>
      <c r="N287" s="180"/>
      <c r="O287" s="180"/>
      <c r="P287" s="180"/>
      <c r="Q287" s="181"/>
    </row>
    <row r="288" spans="1:17" ht="15" hidden="1" customHeight="1" x14ac:dyDescent="0.25">
      <c r="A288" s="176">
        <v>8013</v>
      </c>
      <c r="B288" s="176">
        <v>813</v>
      </c>
      <c r="C288" s="176" t="s">
        <v>29</v>
      </c>
      <c r="D288" s="177" t="s">
        <v>83</v>
      </c>
      <c r="E288" s="176" t="s">
        <v>84</v>
      </c>
      <c r="F288" s="176" t="s">
        <v>241</v>
      </c>
      <c r="G288" s="176">
        <v>3006</v>
      </c>
      <c r="H288" s="176" t="s">
        <v>243</v>
      </c>
      <c r="I288" s="178" t="s">
        <v>188</v>
      </c>
      <c r="J288" s="179">
        <v>16.667000000000002</v>
      </c>
      <c r="K288" s="180" t="s">
        <v>347</v>
      </c>
      <c r="L288" s="180">
        <v>0.15</v>
      </c>
      <c r="M288" s="180"/>
      <c r="N288" s="180"/>
      <c r="O288" s="180"/>
      <c r="P288" s="180"/>
      <c r="Q288" s="181"/>
    </row>
    <row r="289" spans="1:17" ht="15" hidden="1" customHeight="1" x14ac:dyDescent="0.25">
      <c r="A289" s="176">
        <v>8013</v>
      </c>
      <c r="B289" s="176">
        <v>813</v>
      </c>
      <c r="C289" s="176" t="s">
        <v>29</v>
      </c>
      <c r="D289" s="177" t="s">
        <v>83</v>
      </c>
      <c r="E289" s="176" t="s">
        <v>84</v>
      </c>
      <c r="F289" s="176" t="s">
        <v>220</v>
      </c>
      <c r="G289" s="176">
        <v>3635</v>
      </c>
      <c r="H289" s="176" t="s">
        <v>221</v>
      </c>
      <c r="I289" s="178" t="s">
        <v>188</v>
      </c>
      <c r="J289" s="179">
        <v>6.9000000000000006E-2</v>
      </c>
      <c r="K289" s="180" t="s">
        <v>320</v>
      </c>
      <c r="L289" s="180">
        <v>0.15</v>
      </c>
      <c r="M289" s="180"/>
    </row>
    <row r="290" spans="1:17" ht="15" hidden="1" customHeight="1" x14ac:dyDescent="0.25">
      <c r="A290" s="176">
        <v>8013</v>
      </c>
      <c r="B290" s="176">
        <v>813</v>
      </c>
      <c r="C290" s="176" t="s">
        <v>29</v>
      </c>
      <c r="D290" s="177" t="s">
        <v>83</v>
      </c>
      <c r="E290" s="176" t="s">
        <v>84</v>
      </c>
      <c r="F290" s="176" t="s">
        <v>245</v>
      </c>
      <c r="G290" s="176">
        <v>3043</v>
      </c>
      <c r="H290" s="176" t="s">
        <v>245</v>
      </c>
      <c r="I290" s="178" t="s">
        <v>246</v>
      </c>
      <c r="J290" s="179">
        <v>5.0000000000000001E-3</v>
      </c>
      <c r="K290" s="180" t="s">
        <v>348</v>
      </c>
      <c r="L290" s="180">
        <v>0.15</v>
      </c>
      <c r="M290" s="180"/>
    </row>
    <row r="291" spans="1:17" ht="15" hidden="1" customHeight="1" x14ac:dyDescent="0.25">
      <c r="A291" s="176">
        <v>8014</v>
      </c>
      <c r="B291" s="176">
        <v>814</v>
      </c>
      <c r="C291" s="176" t="s">
        <v>26</v>
      </c>
      <c r="D291" s="177" t="s">
        <v>85</v>
      </c>
      <c r="E291" s="176" t="s">
        <v>78</v>
      </c>
      <c r="F291" s="176" t="s">
        <v>225</v>
      </c>
      <c r="G291" s="176">
        <v>2680</v>
      </c>
      <c r="H291" s="176" t="s">
        <v>226</v>
      </c>
      <c r="I291" s="178" t="s">
        <v>148</v>
      </c>
      <c r="J291" s="179">
        <v>23.75</v>
      </c>
      <c r="K291" s="180" t="s">
        <v>345</v>
      </c>
      <c r="L291" s="180">
        <v>0.15</v>
      </c>
      <c r="M291" s="180"/>
      <c r="N291" s="180"/>
      <c r="O291" s="180"/>
      <c r="P291" s="180"/>
      <c r="Q291" s="181"/>
    </row>
    <row r="292" spans="1:17" ht="15" hidden="1" customHeight="1" x14ac:dyDescent="0.25">
      <c r="A292" s="176">
        <v>8014</v>
      </c>
      <c r="B292" s="176">
        <v>814</v>
      </c>
      <c r="C292" s="176" t="s">
        <v>26</v>
      </c>
      <c r="D292" s="177" t="s">
        <v>85</v>
      </c>
      <c r="E292" s="176" t="s">
        <v>78</v>
      </c>
      <c r="F292" s="176" t="s">
        <v>241</v>
      </c>
      <c r="G292" s="176">
        <v>3006</v>
      </c>
      <c r="H292" s="176" t="s">
        <v>243</v>
      </c>
      <c r="I292" s="178" t="s">
        <v>188</v>
      </c>
      <c r="J292" s="179">
        <v>8.3330000000000002</v>
      </c>
      <c r="K292" s="180" t="s">
        <v>347</v>
      </c>
      <c r="L292" s="180">
        <v>0.15</v>
      </c>
      <c r="M292" s="180"/>
      <c r="N292" s="180"/>
      <c r="O292" s="180"/>
      <c r="P292" s="180"/>
      <c r="Q292" s="181"/>
    </row>
    <row r="293" spans="1:17" ht="15" hidden="1" customHeight="1" x14ac:dyDescent="0.25">
      <c r="A293" s="176">
        <v>8014</v>
      </c>
      <c r="B293" s="176">
        <v>814</v>
      </c>
      <c r="C293" s="176" t="s">
        <v>26</v>
      </c>
      <c r="D293" s="177" t="s">
        <v>85</v>
      </c>
      <c r="E293" s="176" t="s">
        <v>78</v>
      </c>
      <c r="F293" s="176" t="s">
        <v>245</v>
      </c>
      <c r="G293" s="176">
        <v>3043</v>
      </c>
      <c r="H293" s="176" t="s">
        <v>245</v>
      </c>
      <c r="I293" s="178" t="s">
        <v>246</v>
      </c>
      <c r="J293" s="179">
        <v>5.0000000000000001E-3</v>
      </c>
      <c r="K293" s="180" t="s">
        <v>348</v>
      </c>
      <c r="L293" s="180">
        <v>0.15</v>
      </c>
      <c r="M293" s="180"/>
      <c r="N293" s="180"/>
      <c r="O293" s="180"/>
      <c r="P293" s="180"/>
      <c r="Q293" s="181"/>
    </row>
    <row r="294" spans="1:17" ht="15" hidden="1" customHeight="1" x14ac:dyDescent="0.25">
      <c r="A294" s="176">
        <v>2909</v>
      </c>
      <c r="B294" s="176">
        <v>56</v>
      </c>
      <c r="C294" s="176" t="s">
        <v>352</v>
      </c>
      <c r="D294" s="177" t="s">
        <v>86</v>
      </c>
      <c r="E294" s="176">
        <v>30</v>
      </c>
      <c r="F294" s="176" t="s">
        <v>146</v>
      </c>
      <c r="G294" s="176">
        <v>2</v>
      </c>
      <c r="H294" s="176" t="s">
        <v>157</v>
      </c>
      <c r="I294" s="178" t="s">
        <v>148</v>
      </c>
      <c r="J294" s="179">
        <v>8</v>
      </c>
      <c r="K294" s="180" t="s">
        <v>146</v>
      </c>
      <c r="L294" s="180">
        <v>0.1</v>
      </c>
      <c r="M294" s="182"/>
      <c r="N294" s="180"/>
      <c r="O294" s="180"/>
      <c r="P294" s="180"/>
      <c r="Q294" s="181"/>
    </row>
    <row r="295" spans="1:17" ht="15" hidden="1" customHeight="1" x14ac:dyDescent="0.25">
      <c r="A295" s="176">
        <v>2909</v>
      </c>
      <c r="B295" s="176">
        <v>56</v>
      </c>
      <c r="C295" s="176" t="s">
        <v>352</v>
      </c>
      <c r="D295" s="177" t="s">
        <v>86</v>
      </c>
      <c r="E295" s="176">
        <v>30</v>
      </c>
      <c r="F295" s="176" t="s">
        <v>169</v>
      </c>
      <c r="G295" s="176">
        <v>170</v>
      </c>
      <c r="H295" s="176" t="s">
        <v>170</v>
      </c>
      <c r="I295" s="178" t="s">
        <v>148</v>
      </c>
      <c r="J295" s="179">
        <v>0.67</v>
      </c>
      <c r="K295" s="180" t="s">
        <v>169</v>
      </c>
      <c r="L295" s="180">
        <v>0.1</v>
      </c>
      <c r="M295" s="182"/>
      <c r="N295" s="180"/>
      <c r="O295" s="180"/>
      <c r="P295" s="180"/>
      <c r="Q295" s="181"/>
    </row>
    <row r="296" spans="1:17" ht="15" hidden="1" customHeight="1" x14ac:dyDescent="0.25">
      <c r="A296" s="176">
        <v>2909</v>
      </c>
      <c r="B296" s="176">
        <v>56</v>
      </c>
      <c r="C296" s="176" t="s">
        <v>352</v>
      </c>
      <c r="D296" s="177" t="s">
        <v>86</v>
      </c>
      <c r="E296" s="176">
        <v>30</v>
      </c>
      <c r="F296" s="176" t="s">
        <v>210</v>
      </c>
      <c r="G296" s="176">
        <v>45</v>
      </c>
      <c r="H296" s="176" t="s">
        <v>353</v>
      </c>
      <c r="I296" s="178" t="s">
        <v>323</v>
      </c>
      <c r="J296" s="179">
        <v>6.6665999999999999</v>
      </c>
      <c r="K296" s="180" t="s">
        <v>210</v>
      </c>
      <c r="L296" s="180">
        <v>0.1</v>
      </c>
      <c r="M296" s="182"/>
      <c r="N296" s="180"/>
      <c r="O296" s="180"/>
      <c r="P296" s="180"/>
      <c r="Q296" s="181"/>
    </row>
    <row r="297" spans="1:17" ht="15" hidden="1" customHeight="1" x14ac:dyDescent="0.25">
      <c r="A297" s="176">
        <v>2909</v>
      </c>
      <c r="B297" s="176">
        <v>56</v>
      </c>
      <c r="C297" s="176" t="s">
        <v>352</v>
      </c>
      <c r="D297" s="177" t="s">
        <v>86</v>
      </c>
      <c r="E297" s="176">
        <v>30</v>
      </c>
      <c r="F297" s="176" t="s">
        <v>183</v>
      </c>
      <c r="G297" s="176">
        <v>4165</v>
      </c>
      <c r="H297" s="176" t="s">
        <v>354</v>
      </c>
      <c r="I297" s="178" t="s">
        <v>148</v>
      </c>
      <c r="J297" s="179">
        <v>8.3199999999999993E-3</v>
      </c>
      <c r="K297" s="180" t="s">
        <v>183</v>
      </c>
      <c r="L297" s="180">
        <v>0.1</v>
      </c>
      <c r="M297" s="182"/>
      <c r="N297" s="180"/>
      <c r="O297" s="180"/>
      <c r="P297" s="180"/>
      <c r="Q297" s="181"/>
    </row>
    <row r="298" spans="1:17" ht="15" hidden="1" customHeight="1" x14ac:dyDescent="0.25">
      <c r="A298" s="176">
        <v>2909</v>
      </c>
      <c r="B298" s="176">
        <v>56</v>
      </c>
      <c r="C298" s="176" t="s">
        <v>352</v>
      </c>
      <c r="D298" s="177" t="s">
        <v>86</v>
      </c>
      <c r="E298" s="176">
        <v>30</v>
      </c>
      <c r="F298" s="176" t="s">
        <v>321</v>
      </c>
      <c r="G298" s="176">
        <v>57</v>
      </c>
      <c r="H298" s="176" t="s">
        <v>340</v>
      </c>
      <c r="I298" s="178" t="s">
        <v>323</v>
      </c>
      <c r="J298" s="179">
        <v>6.6665999999999999</v>
      </c>
      <c r="K298" s="180" t="s">
        <v>321</v>
      </c>
      <c r="L298" s="180">
        <v>0.1</v>
      </c>
      <c r="M298" s="182"/>
      <c r="N298" s="180"/>
      <c r="O298" s="180"/>
      <c r="P298" s="180"/>
      <c r="Q298" s="181"/>
    </row>
    <row r="299" spans="1:17" ht="15" hidden="1" customHeight="1" x14ac:dyDescent="0.25">
      <c r="A299" s="176">
        <v>2909</v>
      </c>
      <c r="B299" s="176">
        <v>56</v>
      </c>
      <c r="C299" s="176" t="s">
        <v>352</v>
      </c>
      <c r="D299" s="177" t="s">
        <v>86</v>
      </c>
      <c r="E299" s="176">
        <v>30</v>
      </c>
      <c r="F299" s="176" t="s">
        <v>162</v>
      </c>
      <c r="G299" s="176">
        <v>1065</v>
      </c>
      <c r="H299" s="176" t="s">
        <v>355</v>
      </c>
      <c r="I299" s="178" t="s">
        <v>148</v>
      </c>
      <c r="J299" s="179">
        <v>0.28000000000000003</v>
      </c>
      <c r="K299" s="180" t="s">
        <v>162</v>
      </c>
      <c r="L299" s="180">
        <v>0.1</v>
      </c>
      <c r="M299" s="182"/>
      <c r="N299" s="180"/>
      <c r="O299" s="180"/>
      <c r="P299" s="180"/>
      <c r="Q299" s="181"/>
    </row>
    <row r="300" spans="1:17" ht="15" hidden="1" customHeight="1" x14ac:dyDescent="0.25">
      <c r="A300" s="176">
        <v>2909</v>
      </c>
      <c r="B300" s="176">
        <v>56</v>
      </c>
      <c r="C300" s="176" t="s">
        <v>352</v>
      </c>
      <c r="D300" s="177" t="s">
        <v>86</v>
      </c>
      <c r="E300" s="176">
        <v>30</v>
      </c>
      <c r="F300" s="176" t="s">
        <v>220</v>
      </c>
      <c r="G300" s="176">
        <v>3635</v>
      </c>
      <c r="H300" s="176" t="s">
        <v>221</v>
      </c>
      <c r="I300" s="178" t="s">
        <v>188</v>
      </c>
      <c r="J300" s="179">
        <v>0.156</v>
      </c>
      <c r="K300" s="180" t="s">
        <v>220</v>
      </c>
      <c r="L300" s="180">
        <v>0.1</v>
      </c>
      <c r="M300" s="182"/>
      <c r="N300" s="180"/>
      <c r="O300" s="180"/>
      <c r="P300" s="180"/>
      <c r="Q300" s="181"/>
    </row>
    <row r="301" spans="1:17" ht="15" hidden="1" customHeight="1" x14ac:dyDescent="0.25">
      <c r="A301" s="176">
        <v>4227</v>
      </c>
      <c r="B301" s="176">
        <v>20</v>
      </c>
      <c r="C301" s="176" t="s">
        <v>87</v>
      </c>
      <c r="D301" s="177" t="s">
        <v>88</v>
      </c>
      <c r="E301" s="176">
        <v>25</v>
      </c>
      <c r="F301" s="176" t="s">
        <v>146</v>
      </c>
      <c r="G301" s="176">
        <v>6</v>
      </c>
      <c r="H301" s="176" t="s">
        <v>155</v>
      </c>
      <c r="I301" s="178" t="s">
        <v>148</v>
      </c>
      <c r="J301" s="179">
        <v>5.9170999999999996</v>
      </c>
      <c r="K301" s="180" t="s">
        <v>146</v>
      </c>
      <c r="L301" s="180">
        <v>0.1</v>
      </c>
      <c r="M301" s="182"/>
      <c r="N301" s="180"/>
      <c r="O301" s="180"/>
      <c r="P301" s="180"/>
      <c r="Q301" s="181"/>
    </row>
    <row r="302" spans="1:17" ht="15" hidden="1" customHeight="1" x14ac:dyDescent="0.25">
      <c r="A302" s="176">
        <v>4227</v>
      </c>
      <c r="B302" s="176">
        <v>20</v>
      </c>
      <c r="C302" s="176" t="s">
        <v>87</v>
      </c>
      <c r="D302" s="177" t="s">
        <v>88</v>
      </c>
      <c r="E302" s="176">
        <v>25</v>
      </c>
      <c r="F302" s="176" t="s">
        <v>181</v>
      </c>
      <c r="G302" s="176">
        <v>186</v>
      </c>
      <c r="H302" s="176" t="s">
        <v>182</v>
      </c>
      <c r="I302" s="178" t="s">
        <v>148</v>
      </c>
      <c r="J302" s="179">
        <v>0.09</v>
      </c>
      <c r="K302" s="180" t="s">
        <v>181</v>
      </c>
      <c r="L302" s="180">
        <v>0.1</v>
      </c>
      <c r="M302" s="182"/>
      <c r="N302" s="180"/>
      <c r="O302" s="180"/>
      <c r="P302" s="180"/>
      <c r="Q302" s="181"/>
    </row>
    <row r="303" spans="1:17" ht="15" hidden="1" customHeight="1" x14ac:dyDescent="0.25">
      <c r="A303" s="176">
        <v>4227</v>
      </c>
      <c r="B303" s="176">
        <v>20</v>
      </c>
      <c r="C303" s="176" t="s">
        <v>87</v>
      </c>
      <c r="D303" s="177" t="s">
        <v>88</v>
      </c>
      <c r="E303" s="176">
        <v>25</v>
      </c>
      <c r="F303" s="176" t="s">
        <v>186</v>
      </c>
      <c r="G303" s="176">
        <v>3522</v>
      </c>
      <c r="H303" s="176" t="s">
        <v>206</v>
      </c>
      <c r="I303" s="178" t="s">
        <v>188</v>
      </c>
      <c r="J303" s="179">
        <v>1000</v>
      </c>
      <c r="K303" s="180" t="s">
        <v>186</v>
      </c>
      <c r="L303" s="180">
        <v>0.1</v>
      </c>
      <c r="M303" s="182"/>
      <c r="N303" s="180"/>
      <c r="O303" s="180"/>
      <c r="P303" s="180"/>
      <c r="Q303" s="181"/>
    </row>
    <row r="304" spans="1:17" ht="15" hidden="1" customHeight="1" x14ac:dyDescent="0.25">
      <c r="A304" s="176">
        <v>4227</v>
      </c>
      <c r="B304" s="176">
        <v>20</v>
      </c>
      <c r="C304" s="176" t="s">
        <v>87</v>
      </c>
      <c r="D304" s="177" t="s">
        <v>88</v>
      </c>
      <c r="E304" s="176">
        <v>25</v>
      </c>
      <c r="F304" s="176" t="s">
        <v>210</v>
      </c>
      <c r="G304" s="176">
        <v>3598</v>
      </c>
      <c r="H304" s="176" t="s">
        <v>356</v>
      </c>
      <c r="I304" s="178" t="s">
        <v>188</v>
      </c>
      <c r="J304" s="179">
        <v>2.9761000000000002</v>
      </c>
      <c r="K304" s="180" t="s">
        <v>210</v>
      </c>
      <c r="L304" s="180">
        <v>0.1</v>
      </c>
      <c r="M304" s="182"/>
      <c r="N304" s="180"/>
      <c r="O304" s="180"/>
      <c r="P304" s="180"/>
      <c r="Q304" s="181"/>
    </row>
    <row r="305" spans="1:17" ht="15" hidden="1" customHeight="1" x14ac:dyDescent="0.25">
      <c r="A305" s="176">
        <v>4227</v>
      </c>
      <c r="B305" s="176">
        <v>20</v>
      </c>
      <c r="C305" s="176" t="s">
        <v>87</v>
      </c>
      <c r="D305" s="177" t="s">
        <v>88</v>
      </c>
      <c r="E305" s="176">
        <v>25</v>
      </c>
      <c r="F305" s="176" t="s">
        <v>183</v>
      </c>
      <c r="G305" s="176">
        <v>194</v>
      </c>
      <c r="H305" s="176" t="s">
        <v>184</v>
      </c>
      <c r="I305" s="178" t="s">
        <v>148</v>
      </c>
      <c r="J305" s="179">
        <v>8.3199999999999993E-3</v>
      </c>
      <c r="K305" s="180" t="s">
        <v>183</v>
      </c>
      <c r="L305" s="180">
        <v>0.1</v>
      </c>
      <c r="M305" s="182"/>
      <c r="N305" s="180"/>
      <c r="O305" s="180"/>
      <c r="P305" s="180"/>
      <c r="Q305" s="181"/>
    </row>
    <row r="306" spans="1:17" ht="15" hidden="1" customHeight="1" x14ac:dyDescent="0.25">
      <c r="A306" s="176">
        <v>4227</v>
      </c>
      <c r="B306" s="176">
        <v>20</v>
      </c>
      <c r="C306" s="176" t="s">
        <v>87</v>
      </c>
      <c r="D306" s="177" t="s">
        <v>88</v>
      </c>
      <c r="E306" s="176">
        <v>25</v>
      </c>
      <c r="F306" s="176" t="s">
        <v>162</v>
      </c>
      <c r="G306" s="176">
        <v>1065</v>
      </c>
      <c r="H306" s="176" t="s">
        <v>355</v>
      </c>
      <c r="I306" s="178" t="s">
        <v>148</v>
      </c>
      <c r="J306" s="179">
        <v>0.42020000000000002</v>
      </c>
      <c r="K306" s="180" t="s">
        <v>162</v>
      </c>
      <c r="L306" s="180">
        <v>0.1</v>
      </c>
      <c r="M306" s="182"/>
      <c r="N306" s="180"/>
      <c r="O306" s="180"/>
      <c r="P306" s="180"/>
      <c r="Q306" s="181"/>
    </row>
    <row r="307" spans="1:17" ht="15" hidden="1" customHeight="1" x14ac:dyDescent="0.25">
      <c r="A307" s="176">
        <v>4227</v>
      </c>
      <c r="B307" s="176">
        <v>20</v>
      </c>
      <c r="C307" s="176" t="s">
        <v>87</v>
      </c>
      <c r="D307" s="177" t="s">
        <v>88</v>
      </c>
      <c r="E307" s="176">
        <v>25</v>
      </c>
      <c r="F307" s="176" t="s">
        <v>220</v>
      </c>
      <c r="G307" s="176">
        <v>3635</v>
      </c>
      <c r="H307" s="176" t="s">
        <v>221</v>
      </c>
      <c r="I307" s="178" t="s">
        <v>188</v>
      </c>
      <c r="J307" s="179">
        <v>7.9000000000000001E-2</v>
      </c>
      <c r="K307" s="180" t="s">
        <v>220</v>
      </c>
      <c r="L307" s="180">
        <v>0.1</v>
      </c>
      <c r="M307" s="182"/>
      <c r="N307" s="180"/>
      <c r="O307" s="180"/>
      <c r="P307" s="180"/>
      <c r="Q307" s="181"/>
    </row>
    <row r="308" spans="1:17" ht="15" hidden="1" customHeight="1" x14ac:dyDescent="0.25">
      <c r="A308" s="176">
        <v>5389</v>
      </c>
      <c r="B308" s="176">
        <v>35</v>
      </c>
      <c r="C308" s="176" t="s">
        <v>89</v>
      </c>
      <c r="D308" s="177" t="s">
        <v>90</v>
      </c>
      <c r="E308" s="176">
        <v>25</v>
      </c>
      <c r="F308" s="176" t="s">
        <v>146</v>
      </c>
      <c r="G308" s="176">
        <v>6</v>
      </c>
      <c r="H308" s="176" t="s">
        <v>155</v>
      </c>
      <c r="I308" s="178" t="s">
        <v>148</v>
      </c>
      <c r="J308" s="179">
        <v>5.9169999999999998</v>
      </c>
      <c r="K308" s="180" t="s">
        <v>146</v>
      </c>
      <c r="L308" s="180">
        <v>0.1</v>
      </c>
      <c r="M308" s="182"/>
      <c r="N308" s="180"/>
      <c r="O308" s="180"/>
      <c r="P308" s="180"/>
      <c r="Q308" s="181"/>
    </row>
    <row r="309" spans="1:17" ht="15" hidden="1" customHeight="1" x14ac:dyDescent="0.25">
      <c r="A309" s="176">
        <v>5389</v>
      </c>
      <c r="B309" s="176">
        <v>35</v>
      </c>
      <c r="C309" s="176" t="s">
        <v>89</v>
      </c>
      <c r="D309" s="177" t="s">
        <v>90</v>
      </c>
      <c r="E309" s="176">
        <v>25</v>
      </c>
      <c r="F309" s="176" t="s">
        <v>169</v>
      </c>
      <c r="G309" s="176">
        <v>4156</v>
      </c>
      <c r="H309" s="176" t="s">
        <v>175</v>
      </c>
      <c r="I309" s="178" t="s">
        <v>148</v>
      </c>
      <c r="J309" s="179">
        <v>0.61</v>
      </c>
      <c r="K309" s="180" t="s">
        <v>169</v>
      </c>
      <c r="L309" s="180">
        <v>0.1</v>
      </c>
      <c r="M309" s="182"/>
      <c r="N309" s="180"/>
      <c r="O309" s="180"/>
      <c r="P309" s="180"/>
      <c r="Q309" s="181"/>
    </row>
    <row r="310" spans="1:17" ht="15" hidden="1" customHeight="1" x14ac:dyDescent="0.25">
      <c r="A310" s="176">
        <v>5389</v>
      </c>
      <c r="B310" s="176">
        <v>35</v>
      </c>
      <c r="C310" s="176" t="s">
        <v>89</v>
      </c>
      <c r="D310" s="177" t="s">
        <v>90</v>
      </c>
      <c r="E310" s="176">
        <v>25</v>
      </c>
      <c r="F310" s="176" t="s">
        <v>186</v>
      </c>
      <c r="G310" s="176">
        <v>3866</v>
      </c>
      <c r="H310" s="176" t="s">
        <v>207</v>
      </c>
      <c r="I310" s="178" t="s">
        <v>188</v>
      </c>
      <c r="J310" s="179">
        <v>1000</v>
      </c>
      <c r="K310" s="180" t="s">
        <v>186</v>
      </c>
      <c r="L310" s="180">
        <v>0.1</v>
      </c>
      <c r="M310" s="182"/>
      <c r="N310" s="180"/>
      <c r="O310" s="180"/>
      <c r="P310" s="180"/>
      <c r="Q310" s="181"/>
    </row>
    <row r="311" spans="1:17" ht="15" hidden="1" customHeight="1" x14ac:dyDescent="0.25">
      <c r="A311" s="176">
        <v>5389</v>
      </c>
      <c r="B311" s="176">
        <v>35</v>
      </c>
      <c r="C311" s="176" t="s">
        <v>89</v>
      </c>
      <c r="D311" s="177" t="s">
        <v>90</v>
      </c>
      <c r="E311" s="176">
        <v>25</v>
      </c>
      <c r="F311" s="176" t="s">
        <v>210</v>
      </c>
      <c r="G311" s="176">
        <v>3598</v>
      </c>
      <c r="H311" s="176" t="s">
        <v>356</v>
      </c>
      <c r="I311" s="178" t="s">
        <v>188</v>
      </c>
      <c r="J311" s="179">
        <v>2.976</v>
      </c>
      <c r="K311" s="180" t="s">
        <v>210</v>
      </c>
      <c r="L311" s="180">
        <v>0.1</v>
      </c>
      <c r="M311" s="182"/>
      <c r="N311" s="180"/>
      <c r="O311" s="180"/>
      <c r="P311" s="180"/>
      <c r="Q311" s="181"/>
    </row>
    <row r="312" spans="1:17" ht="15" hidden="1" customHeight="1" x14ac:dyDescent="0.25">
      <c r="A312" s="176">
        <v>5389</v>
      </c>
      <c r="B312" s="176">
        <v>35</v>
      </c>
      <c r="C312" s="176" t="s">
        <v>89</v>
      </c>
      <c r="D312" s="177" t="s">
        <v>90</v>
      </c>
      <c r="E312" s="176">
        <v>25</v>
      </c>
      <c r="F312" s="176" t="s">
        <v>183</v>
      </c>
      <c r="G312" s="176">
        <v>194</v>
      </c>
      <c r="H312" s="176" t="s">
        <v>184</v>
      </c>
      <c r="I312" s="178" t="s">
        <v>148</v>
      </c>
      <c r="J312" s="179">
        <v>6.1538460000000001E-3</v>
      </c>
      <c r="K312" s="180" t="s">
        <v>183</v>
      </c>
      <c r="L312" s="180">
        <v>0.1</v>
      </c>
      <c r="M312" s="182"/>
      <c r="N312" s="180"/>
      <c r="O312" s="180"/>
      <c r="P312" s="180"/>
      <c r="Q312" s="181"/>
    </row>
    <row r="313" spans="1:17" ht="15" hidden="1" customHeight="1" x14ac:dyDescent="0.25">
      <c r="A313" s="176">
        <v>5389</v>
      </c>
      <c r="B313" s="176">
        <v>35</v>
      </c>
      <c r="C313" s="176" t="s">
        <v>89</v>
      </c>
      <c r="D313" s="177" t="s">
        <v>90</v>
      </c>
      <c r="E313" s="176">
        <v>25</v>
      </c>
      <c r="F313" s="176" t="s">
        <v>162</v>
      </c>
      <c r="G313" s="176">
        <v>184</v>
      </c>
      <c r="H313" s="176" t="s">
        <v>357</v>
      </c>
      <c r="I313" s="178" t="s">
        <v>148</v>
      </c>
      <c r="J313" s="179">
        <v>0.37369999999999998</v>
      </c>
      <c r="K313" s="180" t="s">
        <v>162</v>
      </c>
      <c r="L313" s="180">
        <v>0.1</v>
      </c>
      <c r="M313" s="182"/>
      <c r="N313" s="180"/>
      <c r="O313" s="180"/>
      <c r="P313" s="180"/>
      <c r="Q313" s="181"/>
    </row>
    <row r="314" spans="1:17" ht="15" hidden="1" customHeight="1" x14ac:dyDescent="0.25">
      <c r="A314" s="176">
        <v>5389</v>
      </c>
      <c r="B314" s="176">
        <v>35</v>
      </c>
      <c r="C314" s="176" t="s">
        <v>89</v>
      </c>
      <c r="D314" s="177" t="s">
        <v>90</v>
      </c>
      <c r="E314" s="176">
        <v>25</v>
      </c>
      <c r="F314" s="176" t="s">
        <v>220</v>
      </c>
      <c r="G314" s="176">
        <v>3635</v>
      </c>
      <c r="H314" s="176" t="s">
        <v>221</v>
      </c>
      <c r="I314" s="178" t="s">
        <v>188</v>
      </c>
      <c r="J314" s="179">
        <v>4.7119999999999997</v>
      </c>
      <c r="K314" s="180" t="s">
        <v>220</v>
      </c>
      <c r="L314" s="180">
        <v>0.1</v>
      </c>
      <c r="M314" s="182"/>
      <c r="N314" s="180"/>
      <c r="O314" s="180"/>
      <c r="P314" s="180"/>
      <c r="Q314" s="181"/>
    </row>
    <row r="315" spans="1:17" ht="15" hidden="1" customHeight="1" x14ac:dyDescent="0.25">
      <c r="A315" s="176">
        <v>6151</v>
      </c>
      <c r="B315" s="176">
        <v>146</v>
      </c>
      <c r="C315" s="176" t="s">
        <v>91</v>
      </c>
      <c r="D315" s="177" t="s">
        <v>92</v>
      </c>
      <c r="E315" s="176">
        <v>30</v>
      </c>
      <c r="F315" s="176" t="s">
        <v>146</v>
      </c>
      <c r="G315" s="176">
        <v>2</v>
      </c>
      <c r="H315" s="176" t="s">
        <v>157</v>
      </c>
      <c r="I315" s="178" t="s">
        <v>148</v>
      </c>
      <c r="J315" s="179">
        <v>8</v>
      </c>
      <c r="K315" s="180" t="s">
        <v>146</v>
      </c>
      <c r="L315" s="180">
        <v>0.1</v>
      </c>
      <c r="M315" s="182"/>
      <c r="N315" s="180"/>
      <c r="O315" s="180"/>
      <c r="P315" s="180"/>
      <c r="Q315" s="181"/>
    </row>
    <row r="316" spans="1:17" ht="15" hidden="1" customHeight="1" x14ac:dyDescent="0.25">
      <c r="A316" s="176">
        <v>6151</v>
      </c>
      <c r="B316" s="176">
        <v>146</v>
      </c>
      <c r="C316" s="176" t="s">
        <v>91</v>
      </c>
      <c r="D316" s="177" t="s">
        <v>92</v>
      </c>
      <c r="E316" s="176">
        <v>30</v>
      </c>
      <c r="F316" s="176" t="s">
        <v>169</v>
      </c>
      <c r="G316" s="176">
        <v>170</v>
      </c>
      <c r="H316" s="176" t="s">
        <v>170</v>
      </c>
      <c r="I316" s="178" t="s">
        <v>148</v>
      </c>
      <c r="J316" s="179">
        <v>0.67</v>
      </c>
      <c r="K316" s="180" t="s">
        <v>169</v>
      </c>
      <c r="L316" s="180">
        <v>0.1</v>
      </c>
      <c r="M316" s="182"/>
      <c r="N316" s="180"/>
      <c r="O316" s="180"/>
      <c r="P316" s="180"/>
      <c r="Q316" s="181"/>
    </row>
    <row r="317" spans="1:17" ht="15" hidden="1" customHeight="1" x14ac:dyDescent="0.25">
      <c r="A317" s="176">
        <v>6151</v>
      </c>
      <c r="B317" s="176">
        <v>146</v>
      </c>
      <c r="C317" s="176" t="s">
        <v>91</v>
      </c>
      <c r="D317" s="177" t="s">
        <v>92</v>
      </c>
      <c r="E317" s="176">
        <v>30</v>
      </c>
      <c r="F317" s="176" t="s">
        <v>181</v>
      </c>
      <c r="G317" s="176">
        <v>186</v>
      </c>
      <c r="H317" s="176" t="s">
        <v>182</v>
      </c>
      <c r="I317" s="178" t="s">
        <v>148</v>
      </c>
      <c r="J317" s="179">
        <v>0.28000000000000003</v>
      </c>
      <c r="K317" s="180" t="s">
        <v>181</v>
      </c>
      <c r="L317" s="180">
        <v>0.1</v>
      </c>
      <c r="M317" s="182"/>
      <c r="N317" s="180"/>
      <c r="O317" s="180"/>
      <c r="P317" s="180"/>
      <c r="Q317" s="181"/>
    </row>
    <row r="318" spans="1:17" ht="15" hidden="1" customHeight="1" x14ac:dyDescent="0.25">
      <c r="A318" s="176">
        <v>6151</v>
      </c>
      <c r="B318" s="176">
        <v>146</v>
      </c>
      <c r="C318" s="176" t="s">
        <v>91</v>
      </c>
      <c r="D318" s="177" t="s">
        <v>92</v>
      </c>
      <c r="E318" s="176">
        <v>30</v>
      </c>
      <c r="F318" s="176" t="s">
        <v>186</v>
      </c>
      <c r="G318" s="176">
        <v>578</v>
      </c>
      <c r="H318" s="176" t="s">
        <v>358</v>
      </c>
      <c r="I318" s="178" t="s">
        <v>323</v>
      </c>
      <c r="J318" s="179">
        <v>1000</v>
      </c>
      <c r="K318" s="180" t="s">
        <v>186</v>
      </c>
      <c r="L318" s="180">
        <v>0.1</v>
      </c>
      <c r="M318" s="182"/>
      <c r="N318" s="180"/>
      <c r="O318" s="180"/>
      <c r="P318" s="180"/>
      <c r="Q318" s="181"/>
    </row>
    <row r="319" spans="1:17" ht="15" hidden="1" customHeight="1" x14ac:dyDescent="0.25">
      <c r="A319" s="176">
        <v>6151</v>
      </c>
      <c r="B319" s="176">
        <v>146</v>
      </c>
      <c r="C319" s="176" t="s">
        <v>91</v>
      </c>
      <c r="D319" s="177" t="s">
        <v>92</v>
      </c>
      <c r="E319" s="176">
        <v>30</v>
      </c>
      <c r="F319" s="176" t="s">
        <v>210</v>
      </c>
      <c r="G319" s="176">
        <v>3988</v>
      </c>
      <c r="H319" s="176" t="s">
        <v>359</v>
      </c>
      <c r="I319" s="178" t="s">
        <v>323</v>
      </c>
      <c r="J319" s="179">
        <v>4.2016</v>
      </c>
      <c r="K319" s="180" t="s">
        <v>210</v>
      </c>
      <c r="L319" s="180">
        <v>0.1</v>
      </c>
      <c r="M319" s="182"/>
      <c r="N319" s="180"/>
      <c r="O319" s="180"/>
      <c r="P319" s="180"/>
      <c r="Q319" s="181"/>
    </row>
    <row r="320" spans="1:17" ht="15" hidden="1" customHeight="1" x14ac:dyDescent="0.25">
      <c r="A320" s="176">
        <v>6151</v>
      </c>
      <c r="B320" s="176">
        <v>146</v>
      </c>
      <c r="C320" s="176" t="s">
        <v>91</v>
      </c>
      <c r="D320" s="177" t="s">
        <v>92</v>
      </c>
      <c r="E320" s="176">
        <v>30</v>
      </c>
      <c r="F320" s="176" t="s">
        <v>183</v>
      </c>
      <c r="G320" s="176">
        <v>4165</v>
      </c>
      <c r="H320" s="176" t="s">
        <v>354</v>
      </c>
      <c r="I320" s="178" t="s">
        <v>148</v>
      </c>
      <c r="J320" s="179">
        <v>8.3199999999999993E-3</v>
      </c>
      <c r="K320" s="180" t="s">
        <v>183</v>
      </c>
      <c r="L320" s="180">
        <v>0.1</v>
      </c>
      <c r="M320" s="182"/>
      <c r="N320" s="180"/>
      <c r="O320" s="180"/>
      <c r="P320" s="180"/>
      <c r="Q320" s="181"/>
    </row>
    <row r="321" spans="1:17" ht="15" hidden="1" customHeight="1" x14ac:dyDescent="0.25">
      <c r="A321" s="176">
        <v>6151</v>
      </c>
      <c r="B321" s="176">
        <v>146</v>
      </c>
      <c r="C321" s="176" t="s">
        <v>91</v>
      </c>
      <c r="D321" s="177" t="s">
        <v>92</v>
      </c>
      <c r="E321" s="176">
        <v>30</v>
      </c>
      <c r="F321" s="176" t="s">
        <v>162</v>
      </c>
      <c r="G321" s="176">
        <v>1065</v>
      </c>
      <c r="H321" s="176" t="s">
        <v>355</v>
      </c>
      <c r="I321" s="178" t="s">
        <v>148</v>
      </c>
      <c r="J321" s="179">
        <v>0.28000000000000003</v>
      </c>
      <c r="K321" s="180" t="s">
        <v>162</v>
      </c>
      <c r="L321" s="180">
        <v>0.1</v>
      </c>
      <c r="M321" s="182"/>
      <c r="N321" s="180"/>
      <c r="O321" s="180"/>
      <c r="P321" s="180"/>
      <c r="Q321" s="181"/>
    </row>
    <row r="322" spans="1:17" ht="15" hidden="1" customHeight="1" x14ac:dyDescent="0.25">
      <c r="A322" s="176">
        <v>6151</v>
      </c>
      <c r="B322" s="176">
        <v>146</v>
      </c>
      <c r="C322" s="176" t="s">
        <v>91</v>
      </c>
      <c r="D322" s="177" t="s">
        <v>92</v>
      </c>
      <c r="E322" s="176">
        <v>30</v>
      </c>
      <c r="F322" s="176" t="s">
        <v>220</v>
      </c>
      <c r="G322" s="176">
        <v>3635</v>
      </c>
      <c r="H322" s="176" t="s">
        <v>221</v>
      </c>
      <c r="I322" s="178" t="s">
        <v>188</v>
      </c>
      <c r="J322" s="179">
        <v>0.156</v>
      </c>
      <c r="K322" s="180" t="s">
        <v>220</v>
      </c>
      <c r="L322" s="180">
        <v>0.1</v>
      </c>
      <c r="M322" s="182"/>
      <c r="N322" s="180"/>
      <c r="O322" s="180"/>
      <c r="P322" s="180"/>
      <c r="Q322" s="181"/>
    </row>
    <row r="323" spans="1:17" ht="15" hidden="1" customHeight="1" x14ac:dyDescent="0.25">
      <c r="A323" s="176">
        <v>6151</v>
      </c>
      <c r="B323" s="176">
        <v>146</v>
      </c>
      <c r="C323" s="176" t="s">
        <v>91</v>
      </c>
      <c r="D323" s="177" t="s">
        <v>92</v>
      </c>
      <c r="E323" s="176">
        <v>30</v>
      </c>
      <c r="F323" s="176" t="s">
        <v>261</v>
      </c>
      <c r="G323" s="176">
        <v>6935</v>
      </c>
      <c r="H323" s="176" t="s">
        <v>294</v>
      </c>
      <c r="I323" s="178" t="s">
        <v>148</v>
      </c>
      <c r="J323" s="179">
        <v>3.3000000000000002E-2</v>
      </c>
      <c r="K323" s="180" t="s">
        <v>261</v>
      </c>
      <c r="L323" s="180">
        <v>0.1</v>
      </c>
      <c r="M323" s="182"/>
      <c r="N323" s="180"/>
      <c r="O323" s="180"/>
      <c r="P323" s="180"/>
      <c r="Q323" s="181"/>
    </row>
    <row r="324" spans="1:17" ht="15" hidden="1" customHeight="1" x14ac:dyDescent="0.25">
      <c r="A324" s="176">
        <v>6623</v>
      </c>
      <c r="B324" s="176">
        <v>193</v>
      </c>
      <c r="C324" s="176" t="s">
        <v>26</v>
      </c>
      <c r="D324" s="177" t="s">
        <v>27</v>
      </c>
      <c r="E324" s="176">
        <v>19</v>
      </c>
      <c r="F324" s="176" t="s">
        <v>146</v>
      </c>
      <c r="G324" s="176">
        <v>19</v>
      </c>
      <c r="H324" s="176" t="s">
        <v>153</v>
      </c>
      <c r="I324" s="178" t="s">
        <v>148</v>
      </c>
      <c r="J324" s="179">
        <v>3.367</v>
      </c>
      <c r="K324" s="180" t="s">
        <v>146</v>
      </c>
      <c r="L324" s="180">
        <v>0.1</v>
      </c>
      <c r="M324" s="182"/>
    </row>
    <row r="325" spans="1:17" ht="15" hidden="1" customHeight="1" x14ac:dyDescent="0.25">
      <c r="A325" s="176">
        <v>6623</v>
      </c>
      <c r="B325" s="176">
        <v>193</v>
      </c>
      <c r="C325" s="176" t="s">
        <v>26</v>
      </c>
      <c r="D325" s="177" t="s">
        <v>27</v>
      </c>
      <c r="E325" s="176">
        <v>19</v>
      </c>
      <c r="F325" s="176" t="s">
        <v>169</v>
      </c>
      <c r="G325" s="176">
        <v>3595</v>
      </c>
      <c r="H325" s="176" t="s">
        <v>360</v>
      </c>
      <c r="I325" s="178" t="s">
        <v>148</v>
      </c>
      <c r="J325" s="179">
        <v>0.31</v>
      </c>
      <c r="K325" s="180" t="s">
        <v>169</v>
      </c>
      <c r="L325" s="180">
        <v>0.1</v>
      </c>
      <c r="M325" s="182"/>
    </row>
    <row r="326" spans="1:17" ht="15" hidden="1" customHeight="1" x14ac:dyDescent="0.25">
      <c r="A326" s="176">
        <v>6623</v>
      </c>
      <c r="B326" s="176">
        <v>193</v>
      </c>
      <c r="C326" s="176" t="s">
        <v>26</v>
      </c>
      <c r="D326" s="177" t="s">
        <v>27</v>
      </c>
      <c r="E326" s="176">
        <v>19</v>
      </c>
      <c r="F326" s="176" t="s">
        <v>186</v>
      </c>
      <c r="G326" s="176">
        <v>80</v>
      </c>
      <c r="H326" s="176" t="s">
        <v>192</v>
      </c>
      <c r="I326" s="178" t="s">
        <v>323</v>
      </c>
      <c r="J326" s="179">
        <v>1000</v>
      </c>
      <c r="K326" s="180" t="s">
        <v>186</v>
      </c>
      <c r="L326" s="180">
        <v>0.1</v>
      </c>
      <c r="M326" s="182"/>
    </row>
    <row r="327" spans="1:17" ht="15" hidden="1" customHeight="1" x14ac:dyDescent="0.25">
      <c r="A327" s="176">
        <v>6623</v>
      </c>
      <c r="B327" s="176">
        <v>193</v>
      </c>
      <c r="C327" s="176" t="s">
        <v>26</v>
      </c>
      <c r="D327" s="177" t="s">
        <v>27</v>
      </c>
      <c r="E327" s="176">
        <v>19</v>
      </c>
      <c r="F327" s="176" t="s">
        <v>210</v>
      </c>
      <c r="G327" s="176">
        <v>3619</v>
      </c>
      <c r="H327" s="176" t="s">
        <v>361</v>
      </c>
      <c r="I327" s="178" t="s">
        <v>323</v>
      </c>
      <c r="J327" s="179">
        <v>1.7</v>
      </c>
      <c r="K327" s="180" t="s">
        <v>210</v>
      </c>
      <c r="L327" s="180">
        <v>0.1</v>
      </c>
      <c r="M327" s="182"/>
    </row>
    <row r="328" spans="1:17" ht="15" hidden="1" customHeight="1" x14ac:dyDescent="0.25">
      <c r="A328" s="176">
        <v>6623</v>
      </c>
      <c r="B328" s="176">
        <v>193</v>
      </c>
      <c r="C328" s="176" t="s">
        <v>26</v>
      </c>
      <c r="D328" s="177" t="s">
        <v>27</v>
      </c>
      <c r="E328" s="176">
        <v>19</v>
      </c>
      <c r="F328" s="176" t="s">
        <v>183</v>
      </c>
      <c r="G328" s="176">
        <v>194</v>
      </c>
      <c r="H328" s="176" t="s">
        <v>184</v>
      </c>
      <c r="I328" s="178" t="s">
        <v>148</v>
      </c>
      <c r="J328" s="179">
        <v>3.3999999999999998E-3</v>
      </c>
      <c r="K328" s="180" t="s">
        <v>183</v>
      </c>
      <c r="L328" s="180">
        <v>0.1</v>
      </c>
      <c r="M328" s="182"/>
    </row>
    <row r="329" spans="1:17" ht="15" hidden="1" customHeight="1" x14ac:dyDescent="0.25">
      <c r="A329" s="176">
        <v>6623</v>
      </c>
      <c r="B329" s="176">
        <v>193</v>
      </c>
      <c r="C329" s="176" t="s">
        <v>26</v>
      </c>
      <c r="D329" s="177" t="s">
        <v>27</v>
      </c>
      <c r="E329" s="176">
        <v>19</v>
      </c>
      <c r="F329" s="176" t="s">
        <v>162</v>
      </c>
      <c r="G329" s="176">
        <v>185</v>
      </c>
      <c r="H329" s="176" t="s">
        <v>164</v>
      </c>
      <c r="I329" s="178" t="s">
        <v>165</v>
      </c>
      <c r="J329" s="179">
        <v>0.1449</v>
      </c>
      <c r="K329" s="180" t="s">
        <v>162</v>
      </c>
      <c r="L329" s="180">
        <v>0.1</v>
      </c>
      <c r="M329" s="182"/>
    </row>
    <row r="330" spans="1:17" ht="15" hidden="1" customHeight="1" x14ac:dyDescent="0.25">
      <c r="A330" s="176">
        <v>6623</v>
      </c>
      <c r="B330" s="176">
        <v>193</v>
      </c>
      <c r="C330" s="176" t="s">
        <v>26</v>
      </c>
      <c r="D330" s="177" t="s">
        <v>27</v>
      </c>
      <c r="E330" s="176">
        <v>19</v>
      </c>
      <c r="F330" s="176" t="s">
        <v>220</v>
      </c>
      <c r="G330" s="176">
        <v>3635</v>
      </c>
      <c r="H330" s="176" t="s">
        <v>221</v>
      </c>
      <c r="I330" s="178" t="s">
        <v>188</v>
      </c>
      <c r="J330" s="179">
        <v>5.8999999999999997E-2</v>
      </c>
      <c r="K330" s="180" t="s">
        <v>220</v>
      </c>
      <c r="L330" s="180">
        <v>0.1</v>
      </c>
      <c r="M330" s="182"/>
    </row>
    <row r="331" spans="1:17" ht="15" hidden="1" customHeight="1" x14ac:dyDescent="0.25">
      <c r="A331" s="176">
        <v>6624</v>
      </c>
      <c r="B331" s="176">
        <v>192</v>
      </c>
      <c r="C331" s="176" t="s">
        <v>26</v>
      </c>
      <c r="D331" s="177" t="s">
        <v>28</v>
      </c>
      <c r="E331" s="176">
        <v>19</v>
      </c>
      <c r="F331" s="176" t="s">
        <v>146</v>
      </c>
      <c r="G331" s="176">
        <v>19</v>
      </c>
      <c r="H331" s="176" t="s">
        <v>153</v>
      </c>
      <c r="I331" s="178" t="s">
        <v>148</v>
      </c>
      <c r="J331" s="179">
        <v>3.367</v>
      </c>
      <c r="K331" s="180" t="s">
        <v>146</v>
      </c>
      <c r="L331" s="180">
        <v>0.1</v>
      </c>
      <c r="M331" s="182"/>
      <c r="N331" s="180"/>
      <c r="O331" s="180"/>
      <c r="P331" s="180"/>
      <c r="Q331" s="181"/>
    </row>
    <row r="332" spans="1:17" ht="15" hidden="1" customHeight="1" x14ac:dyDescent="0.25">
      <c r="A332" s="176">
        <v>6624</v>
      </c>
      <c r="B332" s="176">
        <v>192</v>
      </c>
      <c r="C332" s="176" t="s">
        <v>26</v>
      </c>
      <c r="D332" s="177" t="s">
        <v>28</v>
      </c>
      <c r="E332" s="176">
        <v>19</v>
      </c>
      <c r="F332" s="176" t="s">
        <v>169</v>
      </c>
      <c r="G332" s="176">
        <v>3595</v>
      </c>
      <c r="H332" s="176" t="s">
        <v>360</v>
      </c>
      <c r="I332" s="178" t="s">
        <v>148</v>
      </c>
      <c r="J332" s="179">
        <v>0.31</v>
      </c>
      <c r="K332" s="180" t="s">
        <v>169</v>
      </c>
      <c r="L332" s="180">
        <v>0.1</v>
      </c>
      <c r="M332" s="182"/>
      <c r="N332" s="180"/>
      <c r="O332" s="180"/>
      <c r="P332" s="180"/>
      <c r="Q332" s="181"/>
    </row>
    <row r="333" spans="1:17" ht="15" hidden="1" customHeight="1" x14ac:dyDescent="0.25">
      <c r="A333" s="176">
        <v>6624</v>
      </c>
      <c r="B333" s="176">
        <v>192</v>
      </c>
      <c r="C333" s="176" t="s">
        <v>26</v>
      </c>
      <c r="D333" s="177" t="s">
        <v>28</v>
      </c>
      <c r="E333" s="176">
        <v>19</v>
      </c>
      <c r="F333" s="176" t="s">
        <v>186</v>
      </c>
      <c r="G333" s="176">
        <v>80</v>
      </c>
      <c r="H333" s="176" t="s">
        <v>192</v>
      </c>
      <c r="I333" s="178" t="s">
        <v>323</v>
      </c>
      <c r="J333" s="179">
        <v>1000</v>
      </c>
      <c r="K333" s="180" t="s">
        <v>186</v>
      </c>
      <c r="L333" s="180">
        <v>0.1</v>
      </c>
      <c r="M333" s="182"/>
      <c r="N333" s="180"/>
      <c r="O333" s="180"/>
      <c r="P333" s="180"/>
      <c r="Q333" s="181"/>
    </row>
    <row r="334" spans="1:17" ht="15" hidden="1" customHeight="1" x14ac:dyDescent="0.25">
      <c r="A334" s="176">
        <v>6624</v>
      </c>
      <c r="B334" s="176">
        <v>192</v>
      </c>
      <c r="C334" s="176" t="s">
        <v>26</v>
      </c>
      <c r="D334" s="177" t="s">
        <v>28</v>
      </c>
      <c r="E334" s="176">
        <v>19</v>
      </c>
      <c r="F334" s="176" t="s">
        <v>210</v>
      </c>
      <c r="G334" s="176">
        <v>3619</v>
      </c>
      <c r="H334" s="176" t="s">
        <v>361</v>
      </c>
      <c r="I334" s="178" t="s">
        <v>323</v>
      </c>
      <c r="J334" s="179">
        <v>1.7</v>
      </c>
      <c r="K334" s="180" t="s">
        <v>210</v>
      </c>
      <c r="L334" s="180">
        <v>0.1</v>
      </c>
      <c r="M334" s="182"/>
      <c r="N334" s="180"/>
      <c r="O334" s="180"/>
      <c r="P334" s="180"/>
      <c r="Q334" s="181"/>
    </row>
    <row r="335" spans="1:17" ht="15" hidden="1" customHeight="1" x14ac:dyDescent="0.25">
      <c r="A335" s="176">
        <v>6624</v>
      </c>
      <c r="B335" s="176">
        <v>192</v>
      </c>
      <c r="C335" s="176" t="s">
        <v>26</v>
      </c>
      <c r="D335" s="177" t="s">
        <v>28</v>
      </c>
      <c r="E335" s="176">
        <v>19</v>
      </c>
      <c r="F335" s="176" t="s">
        <v>183</v>
      </c>
      <c r="G335" s="176">
        <v>194</v>
      </c>
      <c r="H335" s="176" t="s">
        <v>184</v>
      </c>
      <c r="I335" s="178" t="s">
        <v>148</v>
      </c>
      <c r="J335" s="179">
        <v>3.3999999999999998E-3</v>
      </c>
      <c r="K335" s="180" t="s">
        <v>183</v>
      </c>
      <c r="L335" s="180">
        <v>0.1</v>
      </c>
      <c r="M335" s="182"/>
      <c r="N335" s="180"/>
      <c r="O335" s="180"/>
      <c r="P335" s="180"/>
      <c r="Q335" s="181"/>
    </row>
    <row r="336" spans="1:17" ht="15" hidden="1" customHeight="1" x14ac:dyDescent="0.25">
      <c r="A336" s="176">
        <v>6624</v>
      </c>
      <c r="B336" s="176">
        <v>192</v>
      </c>
      <c r="C336" s="176" t="s">
        <v>26</v>
      </c>
      <c r="D336" s="177" t="s">
        <v>28</v>
      </c>
      <c r="E336" s="176">
        <v>19</v>
      </c>
      <c r="F336" s="176" t="s">
        <v>162</v>
      </c>
      <c r="G336" s="176">
        <v>185</v>
      </c>
      <c r="H336" s="176" t="s">
        <v>164</v>
      </c>
      <c r="I336" s="178" t="s">
        <v>165</v>
      </c>
      <c r="J336" s="179">
        <v>0.1449</v>
      </c>
      <c r="K336" s="180" t="s">
        <v>162</v>
      </c>
      <c r="L336" s="180">
        <v>0.1</v>
      </c>
      <c r="M336" s="182"/>
      <c r="N336" s="180"/>
      <c r="O336" s="180"/>
      <c r="P336" s="180"/>
      <c r="Q336" s="181"/>
    </row>
    <row r="337" spans="1:17" ht="15" hidden="1" customHeight="1" x14ac:dyDescent="0.25">
      <c r="A337" s="176">
        <v>6624</v>
      </c>
      <c r="B337" s="176">
        <v>192</v>
      </c>
      <c r="C337" s="176" t="s">
        <v>26</v>
      </c>
      <c r="D337" s="177" t="s">
        <v>28</v>
      </c>
      <c r="E337" s="176">
        <v>19</v>
      </c>
      <c r="F337" s="176" t="s">
        <v>220</v>
      </c>
      <c r="G337" s="176">
        <v>3635</v>
      </c>
      <c r="H337" s="176" t="s">
        <v>221</v>
      </c>
      <c r="I337" s="178" t="s">
        <v>188</v>
      </c>
      <c r="J337" s="179">
        <v>5.8999999999999997E-2</v>
      </c>
      <c r="K337" s="180" t="s">
        <v>220</v>
      </c>
      <c r="L337" s="180">
        <v>0.1</v>
      </c>
      <c r="M337" s="182"/>
      <c r="N337" s="180"/>
      <c r="O337" s="180"/>
      <c r="P337" s="180"/>
      <c r="Q337" s="181"/>
    </row>
    <row r="338" spans="1:17" ht="15" hidden="1" customHeight="1" x14ac:dyDescent="0.25"/>
    <row r="339" spans="1:17" ht="15" customHeight="1" x14ac:dyDescent="0.25"/>
    <row r="340" spans="1:17" ht="15" customHeight="1" x14ac:dyDescent="0.25"/>
    <row r="341" spans="1:17" ht="15" customHeight="1" x14ac:dyDescent="0.25"/>
    <row r="342" spans="1:17" ht="15" customHeight="1" x14ac:dyDescent="0.25"/>
    <row r="343" spans="1:17" ht="15" customHeight="1" x14ac:dyDescent="0.25"/>
    <row r="344" spans="1:17" ht="15" customHeight="1" x14ac:dyDescent="0.25"/>
    <row r="345" spans="1:17" ht="15" customHeight="1" x14ac:dyDescent="0.25"/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zoomScale="130" zoomScaleNormal="130" workbookViewId="0">
      <selection activeCell="A12" sqref="A12"/>
    </sheetView>
  </sheetViews>
  <sheetFormatPr defaultColWidth="8.7109375" defaultRowHeight="15" x14ac:dyDescent="0.25"/>
  <cols>
    <col min="1" max="1" width="10" customWidth="1"/>
    <col min="2" max="2" width="15.28515625" customWidth="1"/>
    <col min="3" max="3" width="34.7109375" customWidth="1"/>
    <col min="4" max="4" width="6" customWidth="1"/>
    <col min="5" max="5" width="8.5703125" style="183" customWidth="1"/>
    <col min="6" max="6" width="8.85546875" style="183" customWidth="1"/>
    <col min="7" max="7" width="11.140625" style="183" customWidth="1"/>
    <col min="8" max="8" width="8.5703125" style="184" customWidth="1"/>
    <col min="9" max="9" width="7.7109375" style="183" customWidth="1"/>
    <col min="10" max="10" width="16.140625" style="183" customWidth="1"/>
    <col min="11" max="11" width="18" customWidth="1"/>
  </cols>
  <sheetData>
    <row r="1" spans="1:10" ht="19.5" customHeight="1" x14ac:dyDescent="0.35">
      <c r="A1" s="295" t="s">
        <v>362</v>
      </c>
      <c r="B1" s="296"/>
      <c r="C1" s="296"/>
      <c r="D1" s="296"/>
      <c r="E1" s="296"/>
      <c r="F1" s="296"/>
      <c r="G1" s="296"/>
      <c r="H1" s="296"/>
      <c r="I1" s="185" t="s">
        <v>128</v>
      </c>
      <c r="J1" s="186">
        <f ca="1">TODAY()</f>
        <v>46157</v>
      </c>
    </row>
    <row r="2" spans="1:10" s="187" customFormat="1" ht="37.5" customHeight="1" x14ac:dyDescent="0.25">
      <c r="A2" s="79" t="s">
        <v>136</v>
      </c>
      <c r="B2" s="79" t="s">
        <v>100</v>
      </c>
      <c r="C2" s="79" t="s">
        <v>363</v>
      </c>
      <c r="D2" s="79" t="s">
        <v>138</v>
      </c>
      <c r="E2" s="82" t="s">
        <v>364</v>
      </c>
      <c r="F2" s="82" t="s">
        <v>365</v>
      </c>
      <c r="G2" s="82" t="s">
        <v>366</v>
      </c>
      <c r="H2" s="82" t="s">
        <v>367</v>
      </c>
      <c r="I2" s="82" t="s">
        <v>368</v>
      </c>
      <c r="J2" s="82" t="s">
        <v>369</v>
      </c>
    </row>
    <row r="3" spans="1:10" ht="15" customHeight="1" x14ac:dyDescent="0.25">
      <c r="A3" s="128">
        <v>31</v>
      </c>
      <c r="B3" s="128" t="s">
        <v>370</v>
      </c>
      <c r="C3" s="129" t="s">
        <v>149</v>
      </c>
      <c r="D3" s="128" t="s">
        <v>148</v>
      </c>
      <c r="E3" s="130">
        <v>71.5</v>
      </c>
      <c r="F3" s="130">
        <v>0</v>
      </c>
      <c r="G3" s="130">
        <v>0</v>
      </c>
      <c r="H3" s="131">
        <f t="shared" ref="H3:H10" si="0">E3+F3-G3</f>
        <v>71.5</v>
      </c>
      <c r="I3" s="130"/>
      <c r="J3" s="130" t="str">
        <f>IFERROR(IF(AVERAGEIF(TableBOM[Item ID],A3,TableBOM[Per 1000 Units])=0,"-",ROUND((H3+I3)/(AVERAGEIF(TableBOM[Item ID],A3,TableBOM[Per 1000 Units])/1000),0)),"-")</f>
        <v>-</v>
      </c>
    </row>
    <row r="4" spans="1:10" ht="15" customHeight="1" x14ac:dyDescent="0.25">
      <c r="A4" s="128">
        <v>2799</v>
      </c>
      <c r="B4" s="128" t="s">
        <v>370</v>
      </c>
      <c r="C4" s="129" t="s">
        <v>150</v>
      </c>
      <c r="D4" s="128" t="s">
        <v>148</v>
      </c>
      <c r="E4" s="130">
        <v>88</v>
      </c>
      <c r="F4" s="130">
        <v>0</v>
      </c>
      <c r="G4" s="130">
        <v>0</v>
      </c>
      <c r="H4" s="131">
        <f t="shared" si="0"/>
        <v>88</v>
      </c>
      <c r="I4" s="130"/>
      <c r="J4" s="130">
        <f>IFERROR(IF(AVERAGEIF(TableBOM[Item ID],A4,TableBOM[Per 1000 Units])=0,"-",ROUND((H4+I4)/(AVERAGEIF(TableBOM[Item ID],A4,TableBOM[Per 1000 Units])/1000),0)),"-")</f>
        <v>34936</v>
      </c>
    </row>
    <row r="5" spans="1:10" s="188" customFormat="1" ht="15" customHeight="1" x14ac:dyDescent="0.25">
      <c r="A5" s="128">
        <v>19</v>
      </c>
      <c r="B5" s="128" t="s">
        <v>370</v>
      </c>
      <c r="C5" s="129" t="s">
        <v>153</v>
      </c>
      <c r="D5" s="128" t="s">
        <v>148</v>
      </c>
      <c r="E5" s="130">
        <v>152.6</v>
      </c>
      <c r="F5" s="130">
        <v>0</v>
      </c>
      <c r="G5" s="130">
        <v>152.6</v>
      </c>
      <c r="H5" s="131">
        <f t="shared" si="0"/>
        <v>0</v>
      </c>
      <c r="I5" s="130"/>
      <c r="J5" s="130">
        <f>IFERROR(IF(AVERAGEIF(TableBOM[Item ID],A5,TableBOM[Per 1000 Units])=0,"-",ROUND((H5+I5)/(AVERAGEIF(TableBOM[Item ID],A5,TableBOM[Per 1000 Units])/1000),0)),"-")</f>
        <v>0</v>
      </c>
    </row>
    <row r="6" spans="1:10" ht="15" customHeight="1" x14ac:dyDescent="0.25">
      <c r="A6" s="128">
        <v>4179</v>
      </c>
      <c r="B6" s="128" t="s">
        <v>370</v>
      </c>
      <c r="C6" s="129" t="s">
        <v>154</v>
      </c>
      <c r="D6" s="128" t="s">
        <v>148</v>
      </c>
      <c r="E6" s="130">
        <v>282</v>
      </c>
      <c r="F6" s="130">
        <v>0</v>
      </c>
      <c r="G6" s="130">
        <v>100</v>
      </c>
      <c r="H6" s="131">
        <f t="shared" si="0"/>
        <v>182</v>
      </c>
      <c r="I6" s="130"/>
      <c r="J6" s="130">
        <f>IFERROR(IF(AVERAGEIF(TableBOM[Item ID],A6,TableBOM[Per 1000 Units])=0,"-",ROUND((H6+I6)/(AVERAGEIF(TableBOM[Item ID],A6,TableBOM[Per 1000 Units])/1000),0)),"-")</f>
        <v>46228</v>
      </c>
    </row>
    <row r="7" spans="1:10" ht="15" customHeight="1" x14ac:dyDescent="0.25">
      <c r="A7" s="128">
        <v>6</v>
      </c>
      <c r="B7" s="128" t="s">
        <v>370</v>
      </c>
      <c r="C7" s="129" t="s">
        <v>155</v>
      </c>
      <c r="D7" s="128" t="s">
        <v>148</v>
      </c>
      <c r="E7" s="130">
        <v>75</v>
      </c>
      <c r="F7" s="130">
        <v>625</v>
      </c>
      <c r="G7" s="130">
        <v>300</v>
      </c>
      <c r="H7" s="131">
        <f t="shared" si="0"/>
        <v>400</v>
      </c>
      <c r="I7" s="130">
        <v>60</v>
      </c>
      <c r="J7" s="130">
        <f>IFERROR(IF(AVERAGEIF(TableBOM[Item ID],A7,TableBOM[Per 1000 Units])=0,"-",ROUND((H7+I7)/(AVERAGEIF(TableBOM[Item ID],A7,TableBOM[Per 1000 Units])/1000),0)),"-")</f>
        <v>77655</v>
      </c>
    </row>
    <row r="8" spans="1:10" ht="15" customHeight="1" x14ac:dyDescent="0.25">
      <c r="A8" s="128">
        <v>406</v>
      </c>
      <c r="B8" s="128" t="s">
        <v>370</v>
      </c>
      <c r="C8" s="129" t="s">
        <v>158</v>
      </c>
      <c r="D8" s="128" t="s">
        <v>148</v>
      </c>
      <c r="E8" s="130">
        <v>700</v>
      </c>
      <c r="F8" s="130">
        <v>1250</v>
      </c>
      <c r="G8" s="130">
        <v>825</v>
      </c>
      <c r="H8" s="131">
        <f t="shared" si="0"/>
        <v>1125</v>
      </c>
      <c r="I8" s="130"/>
      <c r="J8" s="130">
        <f>IFERROR(IF(AVERAGEIF(TableBOM[Item ID],A8,TableBOM[Per 1000 Units])=0,"-",ROUND((H8+I8)/(AVERAGEIF(TableBOM[Item ID],A8,TableBOM[Per 1000 Units])/1000),0)),"-")</f>
        <v>140625</v>
      </c>
    </row>
    <row r="9" spans="1:10" ht="15" customHeight="1" x14ac:dyDescent="0.25">
      <c r="A9" s="128">
        <v>3935</v>
      </c>
      <c r="B9" s="128" t="s">
        <v>370</v>
      </c>
      <c r="C9" s="129" t="s">
        <v>160</v>
      </c>
      <c r="D9" s="128" t="s">
        <v>148</v>
      </c>
      <c r="E9" s="130">
        <v>594</v>
      </c>
      <c r="F9" s="130">
        <v>0</v>
      </c>
      <c r="G9" s="130">
        <v>150</v>
      </c>
      <c r="H9" s="131">
        <f t="shared" si="0"/>
        <v>444</v>
      </c>
      <c r="I9" s="130"/>
      <c r="J9" s="130">
        <f>IFERROR(IF(AVERAGEIF(TableBOM[Item ID],A9,TableBOM[Per 1000 Units])=0,"-",ROUND((H9+I9)/(AVERAGEIF(TableBOM[Item ID],A9,TableBOM[Per 1000 Units])/1000),0)),"-")</f>
        <v>40872</v>
      </c>
    </row>
    <row r="10" spans="1:10" ht="15" customHeight="1" x14ac:dyDescent="0.25">
      <c r="A10" s="128">
        <v>3503</v>
      </c>
      <c r="B10" s="128" t="s">
        <v>370</v>
      </c>
      <c r="C10" s="129" t="s">
        <v>161</v>
      </c>
      <c r="D10" s="128" t="s">
        <v>148</v>
      </c>
      <c r="E10" s="130">
        <v>0</v>
      </c>
      <c r="F10" s="130">
        <v>746</v>
      </c>
      <c r="G10" s="130">
        <v>650</v>
      </c>
      <c r="H10" s="131">
        <f t="shared" si="0"/>
        <v>96</v>
      </c>
      <c r="I10" s="130"/>
      <c r="J10" s="130">
        <f>IFERROR(IF(AVERAGEIF(TableBOM[Item ID],A10,TableBOM[Per 1000 Units])=0,"-",ROUND((H10+I10)/(AVERAGEIF(TableBOM[Item ID],A10,TableBOM[Per 1000 Units])/1000),0)),"-")</f>
        <v>7488</v>
      </c>
    </row>
    <row r="11" spans="1:10" ht="15" customHeight="1" x14ac:dyDescent="0.25"/>
    <row r="12" spans="1:10" ht="18.75" customHeight="1" x14ac:dyDescent="0.35">
      <c r="A12" s="189" t="s">
        <v>371</v>
      </c>
      <c r="B12" s="190"/>
      <c r="C12" s="190"/>
      <c r="D12" s="190"/>
      <c r="E12" s="190"/>
      <c r="F12" s="190"/>
      <c r="G12" s="190"/>
      <c r="H12" s="185" t="s">
        <v>128</v>
      </c>
      <c r="I12" s="190"/>
      <c r="J12" s="186">
        <f ca="1">TODAY()</f>
        <v>46157</v>
      </c>
    </row>
    <row r="13" spans="1:10" ht="36" customHeight="1" x14ac:dyDescent="0.25">
      <c r="A13" s="79" t="s">
        <v>136</v>
      </c>
      <c r="B13" s="79" t="s">
        <v>100</v>
      </c>
      <c r="C13" s="79" t="s">
        <v>363</v>
      </c>
      <c r="D13" s="79" t="s">
        <v>138</v>
      </c>
      <c r="E13" s="79" t="s">
        <v>364</v>
      </c>
      <c r="F13" s="79" t="s">
        <v>365</v>
      </c>
      <c r="G13" s="79" t="s">
        <v>366</v>
      </c>
      <c r="H13" s="79"/>
      <c r="I13" s="79" t="s">
        <v>368</v>
      </c>
      <c r="J13" s="79"/>
    </row>
    <row r="14" spans="1:10" ht="15" customHeight="1" x14ac:dyDescent="0.25">
      <c r="A14" s="128">
        <v>184</v>
      </c>
      <c r="B14" s="128" t="s">
        <v>318</v>
      </c>
      <c r="C14" s="129" t="s">
        <v>357</v>
      </c>
      <c r="D14" s="128" t="s">
        <v>148</v>
      </c>
      <c r="E14" s="130">
        <v>0</v>
      </c>
      <c r="F14" s="130">
        <v>0</v>
      </c>
      <c r="G14" s="130">
        <v>0</v>
      </c>
      <c r="H14" s="131">
        <f t="shared" ref="H14:H45" si="1">E14+F14-G14</f>
        <v>0</v>
      </c>
      <c r="I14" s="130"/>
      <c r="J14" s="130">
        <f>IFERROR(IF(AVERAGEIF(TableBOM[Item ID],A14,TableBOM[Per 1000 Units])=0,"-",ROUND((H14+I14)/(AVERAGEIF(TableBOM[Item ID],A14,TableBOM[Per 1000 Units])/1000),0)),"-")</f>
        <v>0</v>
      </c>
    </row>
    <row r="15" spans="1:10" ht="15" customHeight="1" x14ac:dyDescent="0.25">
      <c r="A15" s="128">
        <v>185</v>
      </c>
      <c r="B15" s="128" t="s">
        <v>318</v>
      </c>
      <c r="C15" s="129" t="s">
        <v>164</v>
      </c>
      <c r="D15" s="128" t="s">
        <v>165</v>
      </c>
      <c r="E15" s="130">
        <v>225</v>
      </c>
      <c r="F15" s="130">
        <v>0</v>
      </c>
      <c r="G15" s="130">
        <v>50</v>
      </c>
      <c r="H15" s="131">
        <f t="shared" si="1"/>
        <v>175</v>
      </c>
      <c r="I15" s="130"/>
      <c r="J15" s="130">
        <f>IFERROR(IF(AVERAGEIF(TableBOM[Item ID],A15,TableBOM[Per 1000 Units])=0,"-",ROUND((H15+I15)/(AVERAGEIF(TableBOM[Item ID],A15,TableBOM[Per 1000 Units])/1000),0)),"-")</f>
        <v>743352</v>
      </c>
    </row>
    <row r="16" spans="1:10" s="188" customFormat="1" ht="15" customHeight="1" x14ac:dyDescent="0.25">
      <c r="A16" s="128">
        <v>188</v>
      </c>
      <c r="B16" s="128" t="s">
        <v>318</v>
      </c>
      <c r="C16" s="129" t="s">
        <v>372</v>
      </c>
      <c r="D16" s="128" t="s">
        <v>148</v>
      </c>
      <c r="E16" s="130">
        <v>91</v>
      </c>
      <c r="F16" s="130">
        <v>0</v>
      </c>
      <c r="G16" s="130">
        <v>0</v>
      </c>
      <c r="H16" s="131">
        <f t="shared" si="1"/>
        <v>91</v>
      </c>
      <c r="I16" s="130">
        <v>0</v>
      </c>
      <c r="J16" s="130" t="str">
        <f>IFERROR(IF(AVERAGEIF(TableBOM[Item ID],A16,TableBOM[Per 1000 Units])=0,"-",ROUND((H16+I16)/(AVERAGEIF(TableBOM[Item ID],A16,TableBOM[Per 1000 Units])/1000),0)),"-")</f>
        <v>-</v>
      </c>
    </row>
    <row r="17" spans="1:16" ht="15" customHeight="1" x14ac:dyDescent="0.25">
      <c r="A17" s="128">
        <v>1065</v>
      </c>
      <c r="B17" s="128" t="s">
        <v>318</v>
      </c>
      <c r="C17" s="129" t="s">
        <v>355</v>
      </c>
      <c r="D17" s="128" t="s">
        <v>148</v>
      </c>
      <c r="E17" s="130">
        <v>0</v>
      </c>
      <c r="F17" s="130">
        <v>0</v>
      </c>
      <c r="G17" s="130">
        <v>0</v>
      </c>
      <c r="H17" s="131">
        <f t="shared" si="1"/>
        <v>0</v>
      </c>
      <c r="I17" s="130"/>
      <c r="J17" s="130">
        <f>IFERROR(IF(AVERAGEIF(TableBOM[Item ID],A17,TableBOM[Per 1000 Units])=0,"-",ROUND((H17+I17)/(AVERAGEIF(TableBOM[Item ID],A17,TableBOM[Per 1000 Units])/1000),0)),"-")</f>
        <v>0</v>
      </c>
    </row>
    <row r="18" spans="1:16" ht="15" customHeight="1" x14ac:dyDescent="0.25">
      <c r="A18" s="128">
        <v>4155</v>
      </c>
      <c r="B18" s="128" t="s">
        <v>318</v>
      </c>
      <c r="C18" s="129" t="s">
        <v>373</v>
      </c>
      <c r="D18" s="128" t="s">
        <v>148</v>
      </c>
      <c r="E18" s="130">
        <v>225</v>
      </c>
      <c r="F18" s="130">
        <v>0</v>
      </c>
      <c r="G18" s="130">
        <v>150</v>
      </c>
      <c r="H18" s="131">
        <f t="shared" si="1"/>
        <v>75</v>
      </c>
      <c r="I18" s="130"/>
      <c r="J18" s="130">
        <f>IFERROR(IF(AVERAGEIF(TableBOM[Item ID],A18,TableBOM[Per 1000 Units])=0,"-",ROUND((H18+I18)/(AVERAGEIF(TableBOM[Item ID],A18,TableBOM[Per 1000 Units])/1000),0)),"-")</f>
        <v>267328</v>
      </c>
    </row>
    <row r="19" spans="1:16" ht="15" customHeight="1" x14ac:dyDescent="0.25">
      <c r="A19" s="128">
        <v>170</v>
      </c>
      <c r="B19" s="128" t="s">
        <v>312</v>
      </c>
      <c r="C19" s="129" t="s">
        <v>170</v>
      </c>
      <c r="D19" s="128" t="s">
        <v>148</v>
      </c>
      <c r="E19" s="130">
        <v>0</v>
      </c>
      <c r="F19" s="130">
        <v>0</v>
      </c>
      <c r="G19" s="130">
        <v>0</v>
      </c>
      <c r="H19" s="131">
        <f t="shared" si="1"/>
        <v>0</v>
      </c>
      <c r="I19" s="130"/>
      <c r="J19" s="130">
        <f>IFERROR(IF(AVERAGEIF(TableBOM[Item ID],A19,TableBOM[Per 1000 Units])=0,"-",ROUND((H19+I19)/(AVERAGEIF(TableBOM[Item ID],A19,TableBOM[Per 1000 Units])/1000),0)),"-")</f>
        <v>0</v>
      </c>
    </row>
    <row r="20" spans="1:16" ht="15" customHeight="1" x14ac:dyDescent="0.25">
      <c r="A20" s="128">
        <v>175</v>
      </c>
      <c r="B20" s="128" t="s">
        <v>312</v>
      </c>
      <c r="C20" s="129" t="s">
        <v>171</v>
      </c>
      <c r="D20" s="128" t="s">
        <v>148</v>
      </c>
      <c r="E20" s="130">
        <v>30</v>
      </c>
      <c r="F20" s="130">
        <v>0</v>
      </c>
      <c r="G20" s="130">
        <v>0</v>
      </c>
      <c r="H20" s="131">
        <f t="shared" si="1"/>
        <v>30</v>
      </c>
      <c r="I20" s="130">
        <v>0</v>
      </c>
      <c r="J20" s="130" t="str">
        <f>IFERROR(IF(AVERAGEIF(TableBOM[Item ID],A20,TableBOM[Per 1000 Units])=0,"-",ROUND((H20+I20)/(AVERAGEIF(TableBOM[Item ID],A20,TableBOM[Per 1000 Units])/1000),0)),"-")</f>
        <v>-</v>
      </c>
    </row>
    <row r="21" spans="1:16" ht="15" customHeight="1" x14ac:dyDescent="0.25">
      <c r="A21" s="128">
        <v>192</v>
      </c>
      <c r="B21" s="128" t="s">
        <v>312</v>
      </c>
      <c r="C21" s="129" t="s">
        <v>172</v>
      </c>
      <c r="D21" s="128" t="s">
        <v>148</v>
      </c>
      <c r="E21" s="130">
        <v>50</v>
      </c>
      <c r="F21" s="130">
        <v>0</v>
      </c>
      <c r="G21" s="130">
        <v>0</v>
      </c>
      <c r="H21" s="131">
        <f t="shared" si="1"/>
        <v>50</v>
      </c>
      <c r="I21" s="130">
        <v>0</v>
      </c>
      <c r="J21" s="130" t="str">
        <f>IFERROR(IF(AVERAGEIF(TableBOM[Item ID],A21,TableBOM[Per 1000 Units])=0,"-",ROUND((H21+I21)/(AVERAGEIF(TableBOM[Item ID],A21,TableBOM[Per 1000 Units])/1000),0)),"-")</f>
        <v>-</v>
      </c>
    </row>
    <row r="22" spans="1:16" ht="15" customHeight="1" x14ac:dyDescent="0.25">
      <c r="A22" s="128">
        <v>3595</v>
      </c>
      <c r="B22" s="128" t="s">
        <v>312</v>
      </c>
      <c r="C22" s="129" t="s">
        <v>173</v>
      </c>
      <c r="D22" s="128" t="s">
        <v>148</v>
      </c>
      <c r="E22" s="130">
        <v>270</v>
      </c>
      <c r="F22" s="130">
        <v>0</v>
      </c>
      <c r="G22" s="130">
        <v>180</v>
      </c>
      <c r="H22" s="131">
        <f t="shared" si="1"/>
        <v>90</v>
      </c>
      <c r="I22" s="130"/>
      <c r="J22" s="130">
        <f>IFERROR(IF(AVERAGEIF(TableBOM[Item ID],A22,TableBOM[Per 1000 Units])=0,"-",ROUND((H22+I22)/(AVERAGEIF(TableBOM[Item ID],A22,TableBOM[Per 1000 Units])/1000),0)),"-")</f>
        <v>169124</v>
      </c>
    </row>
    <row r="23" spans="1:16" ht="15" customHeight="1" x14ac:dyDescent="0.25">
      <c r="A23" s="128">
        <v>3869</v>
      </c>
      <c r="B23" s="128" t="s">
        <v>312</v>
      </c>
      <c r="C23" s="129" t="s">
        <v>174</v>
      </c>
      <c r="D23" s="128" t="s">
        <v>148</v>
      </c>
      <c r="E23" s="130">
        <v>60</v>
      </c>
      <c r="F23" s="130">
        <v>0</v>
      </c>
      <c r="G23" s="130">
        <v>0</v>
      </c>
      <c r="H23" s="131">
        <f t="shared" si="1"/>
        <v>60</v>
      </c>
      <c r="I23" s="130">
        <v>0</v>
      </c>
      <c r="J23" s="130" t="str">
        <f>IFERROR(IF(AVERAGEIF(TableBOM[Item ID],A23,TableBOM[Per 1000 Units])=0,"-",ROUND((H23+I23)/(AVERAGEIF(TableBOM[Item ID],A23,TableBOM[Per 1000 Units])/1000),0)),"-")</f>
        <v>-</v>
      </c>
    </row>
    <row r="24" spans="1:16" ht="15" customHeight="1" x14ac:dyDescent="0.25">
      <c r="A24" s="128">
        <v>4156</v>
      </c>
      <c r="B24" s="128" t="s">
        <v>312</v>
      </c>
      <c r="C24" s="129" t="s">
        <v>175</v>
      </c>
      <c r="D24" s="128" t="s">
        <v>148</v>
      </c>
      <c r="E24" s="130">
        <v>0</v>
      </c>
      <c r="F24" s="130">
        <v>0</v>
      </c>
      <c r="G24" s="130">
        <v>0</v>
      </c>
      <c r="H24" s="131">
        <f t="shared" si="1"/>
        <v>0</v>
      </c>
      <c r="I24" s="130"/>
      <c r="J24" s="130">
        <f>IFERROR(IF(AVERAGEIF(TableBOM[Item ID],A24,TableBOM[Per 1000 Units])=0,"-",ROUND((H24+I24)/(AVERAGEIF(TableBOM[Item ID],A24,TableBOM[Per 1000 Units])/1000),0)),"-")</f>
        <v>0</v>
      </c>
    </row>
    <row r="25" spans="1:16" ht="15" customHeight="1" x14ac:dyDescent="0.25">
      <c r="A25" s="128">
        <v>4157</v>
      </c>
      <c r="B25" s="128" t="s">
        <v>312</v>
      </c>
      <c r="C25" s="129" t="s">
        <v>176</v>
      </c>
      <c r="D25" s="128" t="s">
        <v>148</v>
      </c>
      <c r="E25" s="130">
        <v>240</v>
      </c>
      <c r="F25" s="130">
        <v>0</v>
      </c>
      <c r="G25" s="130">
        <v>0</v>
      </c>
      <c r="H25" s="131">
        <f t="shared" si="1"/>
        <v>240</v>
      </c>
      <c r="I25" s="130">
        <v>0</v>
      </c>
      <c r="J25" s="130" t="str">
        <f>IFERROR(IF(AVERAGEIF(TableBOM[Item ID],A25,TableBOM[Per 1000 Units])=0,"-",ROUND((H25+I25)/(AVERAGEIF(TableBOM[Item ID],A25,TableBOM[Per 1000 Units])/1000),0)),"-")</f>
        <v>-</v>
      </c>
    </row>
    <row r="26" spans="1:16" ht="15" customHeight="1" x14ac:dyDescent="0.25">
      <c r="A26" s="128">
        <v>5895</v>
      </c>
      <c r="B26" s="128" t="s">
        <v>312</v>
      </c>
      <c r="C26" s="129" t="s">
        <v>177</v>
      </c>
      <c r="D26" s="128" t="s">
        <v>148</v>
      </c>
      <c r="E26" s="130">
        <v>50</v>
      </c>
      <c r="F26" s="130">
        <v>0</v>
      </c>
      <c r="G26" s="130">
        <v>0</v>
      </c>
      <c r="H26" s="131">
        <f t="shared" si="1"/>
        <v>50</v>
      </c>
      <c r="I26" s="130">
        <v>0</v>
      </c>
      <c r="J26" s="130" t="str">
        <f>IFERROR(IF(AVERAGEIF(TableBOM[Item ID],A26,TableBOM[Per 1000 Units])=0,"-",ROUND((H26+I26)/(AVERAGEIF(TableBOM[Item ID],A26,TableBOM[Per 1000 Units])/1000),0)),"-")</f>
        <v>-</v>
      </c>
    </row>
    <row r="27" spans="1:16" ht="15" customHeight="1" x14ac:dyDescent="0.25">
      <c r="A27" s="128">
        <v>5974</v>
      </c>
      <c r="B27" s="128" t="s">
        <v>312</v>
      </c>
      <c r="C27" s="129" t="s">
        <v>178</v>
      </c>
      <c r="D27" s="128" t="s">
        <v>165</v>
      </c>
      <c r="E27" s="130">
        <v>75</v>
      </c>
      <c r="F27" s="130">
        <v>0</v>
      </c>
      <c r="G27" s="130">
        <v>25</v>
      </c>
      <c r="H27" s="131">
        <f t="shared" si="1"/>
        <v>50</v>
      </c>
      <c r="I27" s="130">
        <v>0</v>
      </c>
      <c r="J27" s="130" t="str">
        <f>IFERROR(IF(AVERAGEIF(TableBOM[Item ID],A27,TableBOM[Per 1000 Units])=0,"-",ROUND((H27+I27)/(AVERAGEIF(TableBOM[Item ID],A27,TableBOM[Per 1000 Units])/1000),0)),"-")</f>
        <v>-</v>
      </c>
      <c r="K27" s="191"/>
      <c r="L27" s="191"/>
      <c r="M27" s="191"/>
      <c r="N27" s="191"/>
      <c r="O27" s="191"/>
      <c r="P27" s="191"/>
    </row>
    <row r="28" spans="1:16" ht="15" customHeight="1" x14ac:dyDescent="0.25">
      <c r="A28" s="128">
        <v>177</v>
      </c>
      <c r="B28" s="128" t="s">
        <v>312</v>
      </c>
      <c r="C28" s="129" t="s">
        <v>179</v>
      </c>
      <c r="D28" s="128" t="s">
        <v>148</v>
      </c>
      <c r="E28" s="130">
        <v>450</v>
      </c>
      <c r="F28" s="130">
        <v>0</v>
      </c>
      <c r="G28" s="130">
        <v>0</v>
      </c>
      <c r="H28" s="131">
        <f t="shared" si="1"/>
        <v>450</v>
      </c>
      <c r="I28" s="130"/>
      <c r="J28" s="130" t="str">
        <f>IFERROR(IF(AVERAGEIF(TableBOM[Item ID],A28,TableBOM[Per 1000 Units])=0,"-",ROUND((H28+I28)/(AVERAGEIF(TableBOM[Item ID],A28,TableBOM[Per 1000 Units])/1000),0)),"-")</f>
        <v>-</v>
      </c>
      <c r="K28" s="191"/>
      <c r="L28" s="191"/>
      <c r="M28" s="191"/>
      <c r="N28" s="191"/>
      <c r="O28" s="191"/>
      <c r="P28" s="191"/>
    </row>
    <row r="29" spans="1:16" ht="15" customHeight="1" x14ac:dyDescent="0.25">
      <c r="A29" s="128">
        <v>6132</v>
      </c>
      <c r="B29" s="128" t="s">
        <v>312</v>
      </c>
      <c r="C29" s="129" t="s">
        <v>180</v>
      </c>
      <c r="D29" s="128" t="s">
        <v>148</v>
      </c>
      <c r="E29" s="130">
        <v>60</v>
      </c>
      <c r="F29" s="130">
        <v>0</v>
      </c>
      <c r="G29" s="130">
        <v>0</v>
      </c>
      <c r="H29" s="131">
        <f t="shared" si="1"/>
        <v>60</v>
      </c>
      <c r="I29" s="130"/>
      <c r="J29" s="130" t="str">
        <f>IFERROR(IF(AVERAGEIF(TableBOM[Item ID],A29,TableBOM[Per 1000 Units])=0,"-",ROUND((H29+I29)/(AVERAGEIF(TableBOM[Item ID],A29,TableBOM[Per 1000 Units])/1000),0)),"-")</f>
        <v>-</v>
      </c>
      <c r="K29" s="192"/>
      <c r="L29" s="192"/>
      <c r="M29" s="192"/>
      <c r="N29" s="192"/>
      <c r="O29" s="192"/>
      <c r="P29" s="192"/>
    </row>
    <row r="30" spans="1:16" ht="15" customHeight="1" x14ac:dyDescent="0.25">
      <c r="A30" s="128">
        <v>186</v>
      </c>
      <c r="B30" s="128" t="s">
        <v>7</v>
      </c>
      <c r="C30" s="129" t="s">
        <v>182</v>
      </c>
      <c r="D30" s="128" t="s">
        <v>148</v>
      </c>
      <c r="E30" s="130">
        <v>150</v>
      </c>
      <c r="F30" s="130">
        <v>0</v>
      </c>
      <c r="G30" s="130">
        <v>30</v>
      </c>
      <c r="H30" s="131">
        <f t="shared" si="1"/>
        <v>120</v>
      </c>
      <c r="I30" s="130"/>
      <c r="J30" s="130">
        <f>IFERROR(IF(AVERAGEIF(TableBOM[Item ID],A30,TableBOM[Per 1000 Units])=0,"-",ROUND((H30+I30)/(AVERAGEIF(TableBOM[Item ID],A30,TableBOM[Per 1000 Units])/1000),0)),"-")</f>
        <v>326360</v>
      </c>
      <c r="K30" s="191"/>
      <c r="L30" s="191"/>
      <c r="M30" s="191"/>
      <c r="N30" s="191"/>
      <c r="O30" s="191"/>
      <c r="P30" s="191"/>
    </row>
    <row r="31" spans="1:16" ht="15" customHeight="1" x14ac:dyDescent="0.25">
      <c r="A31" s="128">
        <v>194</v>
      </c>
      <c r="B31" s="128" t="s">
        <v>374</v>
      </c>
      <c r="C31" s="129" t="s">
        <v>184</v>
      </c>
      <c r="D31" s="128" t="s">
        <v>148</v>
      </c>
      <c r="E31" s="130">
        <v>29.5</v>
      </c>
      <c r="F31" s="130">
        <v>0</v>
      </c>
      <c r="G31" s="130">
        <v>4</v>
      </c>
      <c r="H31" s="131">
        <f t="shared" si="1"/>
        <v>25.5</v>
      </c>
      <c r="I31" s="130"/>
      <c r="J31" s="130">
        <f>IFERROR(IF(AVERAGEIF(TableBOM[Item ID],A31,TableBOM[Per 1000 Units])=0,"-",ROUND((H31+I31)/(AVERAGEIF(TableBOM[Item ID],A31,TableBOM[Per 1000 Units])/1000),0)),"-")</f>
        <v>3815934</v>
      </c>
      <c r="K31" s="191"/>
      <c r="L31" s="191"/>
      <c r="M31" s="191"/>
      <c r="N31" s="191"/>
      <c r="O31" s="191"/>
      <c r="P31" s="191"/>
    </row>
    <row r="32" spans="1:16" ht="15" customHeight="1" x14ac:dyDescent="0.25">
      <c r="A32" s="128">
        <v>69</v>
      </c>
      <c r="B32" s="128" t="s">
        <v>375</v>
      </c>
      <c r="C32" s="129" t="s">
        <v>187</v>
      </c>
      <c r="D32" s="128" t="s">
        <v>188</v>
      </c>
      <c r="E32" s="130">
        <v>0</v>
      </c>
      <c r="F32" s="130">
        <v>0</v>
      </c>
      <c r="G32" s="130">
        <v>0</v>
      </c>
      <c r="H32" s="131">
        <f t="shared" si="1"/>
        <v>0</v>
      </c>
      <c r="I32" s="130"/>
      <c r="J32" s="130">
        <f>IFERROR(IF(AVERAGEIF(TableBOM[Item ID],A32,TableBOM[Per 1000 Units])=0,"-",ROUND((H32+I32)/(AVERAGEIF(TableBOM[Item ID],A32,TableBOM[Per 1000 Units])/1000),0)),"-")</f>
        <v>0</v>
      </c>
      <c r="K32" s="191"/>
      <c r="L32" s="191"/>
      <c r="M32" s="191"/>
      <c r="N32" s="191"/>
      <c r="O32" s="191"/>
      <c r="P32" s="191"/>
    </row>
    <row r="33" spans="1:16" ht="15" customHeight="1" x14ac:dyDescent="0.25">
      <c r="A33" s="128">
        <v>99</v>
      </c>
      <c r="B33" s="128" t="s">
        <v>375</v>
      </c>
      <c r="C33" s="129" t="s">
        <v>189</v>
      </c>
      <c r="D33" s="128" t="s">
        <v>323</v>
      </c>
      <c r="E33" s="130">
        <v>10000</v>
      </c>
      <c r="F33" s="130">
        <v>0</v>
      </c>
      <c r="G33" s="130">
        <v>0</v>
      </c>
      <c r="H33" s="131">
        <f t="shared" si="1"/>
        <v>10000</v>
      </c>
      <c r="I33" s="130"/>
      <c r="J33" s="130" t="str">
        <f>IFERROR(IF(AVERAGEIF(TableBOM[Item ID],A33,TableBOM[Per 1000 Units])=0,"-",ROUND((H33+I33)/(AVERAGEIF(TableBOM[Item ID],A33,TableBOM[Per 1000 Units])/1000),0)),"-")</f>
        <v>-</v>
      </c>
      <c r="K33" s="192"/>
      <c r="L33" s="192"/>
      <c r="M33" s="192"/>
      <c r="N33" s="192"/>
      <c r="O33" s="192"/>
      <c r="P33" s="192"/>
    </row>
    <row r="34" spans="1:16" ht="15" customHeight="1" x14ac:dyDescent="0.25">
      <c r="A34" s="128">
        <v>72</v>
      </c>
      <c r="B34" s="128" t="s">
        <v>375</v>
      </c>
      <c r="C34" s="129" t="s">
        <v>190</v>
      </c>
      <c r="D34" s="128" t="s">
        <v>323</v>
      </c>
      <c r="E34" s="130">
        <v>23741</v>
      </c>
      <c r="F34" s="130">
        <v>0</v>
      </c>
      <c r="G34" s="130">
        <v>0</v>
      </c>
      <c r="H34" s="131">
        <f t="shared" si="1"/>
        <v>23741</v>
      </c>
      <c r="I34" s="130"/>
      <c r="J34" s="130" t="str">
        <f>IFERROR(IF(AVERAGEIF(TableBOM[Item ID],A34,TableBOM[Per 1000 Units])=0,"-",ROUND((H34+I34)/(AVERAGEIF(TableBOM[Item ID],A34,TableBOM[Per 1000 Units])/1000),0)),"-")</f>
        <v>-</v>
      </c>
      <c r="K34" s="191"/>
      <c r="L34" s="191"/>
      <c r="M34" s="191"/>
      <c r="N34" s="191"/>
      <c r="O34" s="191"/>
      <c r="P34" s="191"/>
    </row>
    <row r="35" spans="1:16" ht="15" customHeight="1" x14ac:dyDescent="0.25">
      <c r="A35" s="128">
        <v>79</v>
      </c>
      <c r="B35" s="128" t="s">
        <v>375</v>
      </c>
      <c r="C35" s="129" t="s">
        <v>191</v>
      </c>
      <c r="D35" s="128" t="s">
        <v>323</v>
      </c>
      <c r="E35" s="130">
        <v>83600</v>
      </c>
      <c r="F35" s="130">
        <v>0</v>
      </c>
      <c r="G35" s="130">
        <v>0</v>
      </c>
      <c r="H35" s="131">
        <f t="shared" si="1"/>
        <v>83600</v>
      </c>
      <c r="I35" s="130"/>
      <c r="J35" s="130" t="str">
        <f>IFERROR(IF(AVERAGEIF(TableBOM[Item ID],A35,TableBOM[Per 1000 Units])=0,"-",ROUND((H35+I35)/(AVERAGEIF(TableBOM[Item ID],A35,TableBOM[Per 1000 Units])/1000),0)),"-")</f>
        <v>-</v>
      </c>
      <c r="K35" s="191"/>
      <c r="L35" s="191"/>
      <c r="M35" s="191"/>
      <c r="N35" s="191"/>
      <c r="O35" s="191"/>
      <c r="P35" s="191"/>
    </row>
    <row r="36" spans="1:16" ht="15" customHeight="1" x14ac:dyDescent="0.25">
      <c r="A36" s="128">
        <v>80</v>
      </c>
      <c r="B36" s="128" t="s">
        <v>375</v>
      </c>
      <c r="C36" s="129" t="s">
        <v>192</v>
      </c>
      <c r="D36" s="128" t="s">
        <v>188</v>
      </c>
      <c r="E36" s="130">
        <v>100000</v>
      </c>
      <c r="F36" s="130">
        <v>0</v>
      </c>
      <c r="G36" s="130">
        <v>0</v>
      </c>
      <c r="H36" s="131">
        <f t="shared" si="1"/>
        <v>100000</v>
      </c>
      <c r="I36" s="130">
        <v>0</v>
      </c>
      <c r="J36" s="130">
        <f>IFERROR(IF(AVERAGEIF(TableBOM[Item ID],A36,TableBOM[Per 1000 Units])=0,"-",ROUND((H36+I36)/(AVERAGEIF(TableBOM[Item ID],A36,TableBOM[Per 1000 Units])/1000),0)),"-")</f>
        <v>100000</v>
      </c>
      <c r="K36" s="192"/>
      <c r="L36" s="192"/>
      <c r="M36" s="192"/>
      <c r="N36" s="192"/>
      <c r="O36" s="192"/>
      <c r="P36" s="192"/>
    </row>
    <row r="37" spans="1:16" ht="15" customHeight="1" x14ac:dyDescent="0.25">
      <c r="A37" s="128">
        <v>81</v>
      </c>
      <c r="B37" s="128" t="s">
        <v>375</v>
      </c>
      <c r="C37" s="129" t="s">
        <v>193</v>
      </c>
      <c r="D37" s="128" t="s">
        <v>188</v>
      </c>
      <c r="E37" s="130">
        <v>553124</v>
      </c>
      <c r="F37" s="130">
        <v>0</v>
      </c>
      <c r="G37" s="130">
        <v>0</v>
      </c>
      <c r="H37" s="131">
        <f t="shared" si="1"/>
        <v>553124</v>
      </c>
      <c r="I37" s="130"/>
      <c r="J37" s="130">
        <f>IFERROR(IF(AVERAGEIF(TableBOM[Item ID],A37,TableBOM[Per 1000 Units])=0,"-",ROUND((H37+I37)/(AVERAGEIF(TableBOM[Item ID],A37,TableBOM[Per 1000 Units])/1000),0)),"-")</f>
        <v>553124</v>
      </c>
      <c r="K37" s="192"/>
      <c r="L37" s="192"/>
      <c r="M37" s="192"/>
      <c r="N37" s="192"/>
      <c r="O37" s="192"/>
      <c r="P37" s="192"/>
    </row>
    <row r="38" spans="1:16" ht="15" customHeight="1" x14ac:dyDescent="0.25">
      <c r="A38" s="128">
        <v>1800</v>
      </c>
      <c r="B38" s="128" t="s">
        <v>375</v>
      </c>
      <c r="C38" s="129" t="s">
        <v>194</v>
      </c>
      <c r="D38" s="128" t="s">
        <v>188</v>
      </c>
      <c r="E38" s="130">
        <v>0</v>
      </c>
      <c r="F38" s="130">
        <v>0</v>
      </c>
      <c r="G38" s="130">
        <v>0</v>
      </c>
      <c r="H38" s="131">
        <f t="shared" si="1"/>
        <v>0</v>
      </c>
      <c r="I38" s="130"/>
      <c r="J38" s="130" t="str">
        <f>IFERROR(IF(AVERAGEIF(TableBOM[Item ID],A38,TableBOM[Per 1000 Units])=0,"-",ROUND((H38+I38)/(AVERAGEIF(TableBOM[Item ID],A38,TableBOM[Per 1000 Units])/1000),0)),"-")</f>
        <v>-</v>
      </c>
      <c r="K38" s="192"/>
      <c r="L38" s="192"/>
      <c r="M38" s="192"/>
      <c r="N38" s="192"/>
      <c r="O38" s="192"/>
      <c r="P38" s="192"/>
    </row>
    <row r="39" spans="1:16" ht="15" customHeight="1" x14ac:dyDescent="0.25">
      <c r="A39" s="128">
        <v>3211</v>
      </c>
      <c r="B39" s="128" t="s">
        <v>375</v>
      </c>
      <c r="C39" s="129" t="s">
        <v>195</v>
      </c>
      <c r="D39" s="128" t="s">
        <v>188</v>
      </c>
      <c r="E39" s="130">
        <v>5000</v>
      </c>
      <c r="F39" s="130">
        <v>0</v>
      </c>
      <c r="G39" s="130">
        <v>0</v>
      </c>
      <c r="H39" s="131">
        <f t="shared" si="1"/>
        <v>5000</v>
      </c>
      <c r="I39" s="130"/>
      <c r="J39" s="130">
        <f>IFERROR(IF(AVERAGEIF(TableBOM[Item ID],A39,TableBOM[Per 1000 Units])=0,"-",ROUND((H39+I39)/(AVERAGEIF(TableBOM[Item ID],A39,TableBOM[Per 1000 Units])/1000),0)),"-")</f>
        <v>5000</v>
      </c>
    </row>
    <row r="40" spans="1:16" ht="15" customHeight="1" x14ac:dyDescent="0.25">
      <c r="A40" s="128">
        <v>4015</v>
      </c>
      <c r="B40" s="128" t="s">
        <v>375</v>
      </c>
      <c r="C40" s="129" t="s">
        <v>196</v>
      </c>
      <c r="D40" s="128" t="s">
        <v>188</v>
      </c>
      <c r="E40" s="130">
        <v>475000</v>
      </c>
      <c r="F40" s="130">
        <v>0</v>
      </c>
      <c r="G40" s="130">
        <v>0</v>
      </c>
      <c r="H40" s="131">
        <f t="shared" si="1"/>
        <v>475000</v>
      </c>
      <c r="I40" s="130"/>
      <c r="J40" s="130" t="str">
        <f>IFERROR(IF(AVERAGEIF(TableBOM[Item ID],A40,TableBOM[Per 1000 Units])=0,"-",ROUND((H40+I40)/(AVERAGEIF(TableBOM[Item ID],A40,TableBOM[Per 1000 Units])/1000),0)),"-")</f>
        <v>-</v>
      </c>
    </row>
    <row r="41" spans="1:16" ht="15" customHeight="1" x14ac:dyDescent="0.25">
      <c r="A41" s="128">
        <v>4044</v>
      </c>
      <c r="B41" s="128" t="s">
        <v>375</v>
      </c>
      <c r="C41" s="129" t="s">
        <v>197</v>
      </c>
      <c r="D41" s="128" t="s">
        <v>188</v>
      </c>
      <c r="E41" s="130">
        <v>0</v>
      </c>
      <c r="F41" s="130">
        <v>0</v>
      </c>
      <c r="G41" s="130">
        <v>0</v>
      </c>
      <c r="H41" s="131">
        <f t="shared" si="1"/>
        <v>0</v>
      </c>
      <c r="I41" s="130"/>
      <c r="J41" s="130" t="str">
        <f>IFERROR(IF(AVERAGEIF(TableBOM[Item ID],A41,TableBOM[Per 1000 Units])=0,"-",ROUND((H41+I41)/(AVERAGEIF(TableBOM[Item ID],A41,TableBOM[Per 1000 Units])/1000),0)),"-")</f>
        <v>-</v>
      </c>
    </row>
    <row r="42" spans="1:16" ht="15" customHeight="1" x14ac:dyDescent="0.25">
      <c r="A42" s="128">
        <v>4088</v>
      </c>
      <c r="B42" s="128" t="s">
        <v>375</v>
      </c>
      <c r="C42" s="129" t="s">
        <v>198</v>
      </c>
      <c r="D42" s="128" t="s">
        <v>188</v>
      </c>
      <c r="E42" s="130">
        <v>60000</v>
      </c>
      <c r="F42" s="130">
        <v>0</v>
      </c>
      <c r="G42" s="130">
        <v>0</v>
      </c>
      <c r="H42" s="131">
        <f t="shared" si="1"/>
        <v>60000</v>
      </c>
      <c r="I42" s="130"/>
      <c r="J42" s="130" t="str">
        <f>IFERROR(IF(AVERAGEIF(TableBOM[Item ID],A42,TableBOM[Per 1000 Units])=0,"-",ROUND((H42+I42)/(AVERAGEIF(TableBOM[Item ID],A42,TableBOM[Per 1000 Units])/1000),0)),"-")</f>
        <v>-</v>
      </c>
    </row>
    <row r="43" spans="1:16" ht="15" customHeight="1" x14ac:dyDescent="0.25">
      <c r="A43" s="128">
        <v>4143</v>
      </c>
      <c r="B43" s="128" t="s">
        <v>375</v>
      </c>
      <c r="C43" s="129" t="s">
        <v>199</v>
      </c>
      <c r="D43" s="128" t="s">
        <v>188</v>
      </c>
      <c r="E43" s="130">
        <v>65000</v>
      </c>
      <c r="F43" s="130">
        <v>0</v>
      </c>
      <c r="G43" s="130">
        <v>0</v>
      </c>
      <c r="H43" s="131">
        <f t="shared" si="1"/>
        <v>65000</v>
      </c>
      <c r="I43" s="130">
        <v>0</v>
      </c>
      <c r="J43" s="130" t="str">
        <f>IFERROR(IF(AVERAGEIF(TableBOM[Item ID],A43,TableBOM[Per 1000 Units])=0,"-",ROUND((H43+I43)/(AVERAGEIF(TableBOM[Item ID],A43,TableBOM[Per 1000 Units])/1000),0)),"-")</f>
        <v>-</v>
      </c>
    </row>
    <row r="44" spans="1:16" ht="15" customHeight="1" x14ac:dyDescent="0.25">
      <c r="A44" s="128">
        <v>6971</v>
      </c>
      <c r="B44" s="128" t="s">
        <v>375</v>
      </c>
      <c r="C44" s="129" t="s">
        <v>200</v>
      </c>
      <c r="D44" s="128" t="s">
        <v>188</v>
      </c>
      <c r="E44" s="130">
        <v>-2000</v>
      </c>
      <c r="F44" s="130">
        <v>0</v>
      </c>
      <c r="G44" s="130">
        <v>0</v>
      </c>
      <c r="H44" s="131">
        <f t="shared" si="1"/>
        <v>-2000</v>
      </c>
      <c r="I44" s="130"/>
      <c r="J44" s="130">
        <f>IFERROR(IF(AVERAGEIF(TableBOM[Item ID],A44,TableBOM[Per 1000 Units])=0,"-",ROUND((H44+I44)/(AVERAGEIF(TableBOM[Item ID],A44,TableBOM[Per 1000 Units])/1000),0)),"-")</f>
        <v>-2000</v>
      </c>
      <c r="K44" s="191"/>
      <c r="L44" s="191"/>
      <c r="M44" s="191"/>
      <c r="N44" s="191"/>
      <c r="O44" s="191"/>
      <c r="P44" s="191"/>
    </row>
    <row r="45" spans="1:16" ht="15" customHeight="1" x14ac:dyDescent="0.25">
      <c r="A45" s="128">
        <v>7370</v>
      </c>
      <c r="B45" s="128" t="s">
        <v>375</v>
      </c>
      <c r="C45" s="129" t="s">
        <v>201</v>
      </c>
      <c r="D45" s="128" t="s">
        <v>188</v>
      </c>
      <c r="E45" s="130">
        <v>72400</v>
      </c>
      <c r="F45" s="130">
        <v>0</v>
      </c>
      <c r="G45" s="130">
        <v>23000</v>
      </c>
      <c r="H45" s="131">
        <f t="shared" si="1"/>
        <v>49400</v>
      </c>
      <c r="I45" s="130">
        <v>0</v>
      </c>
      <c r="J45" s="130">
        <f>IFERROR(IF(AVERAGEIF(TableBOM[Item ID],A45,TableBOM[Per 1000 Units])=0,"-",ROUND((H45+I45)/(AVERAGEIF(TableBOM[Item ID],A45,TableBOM[Per 1000 Units])/1000),0)),"-")</f>
        <v>49400</v>
      </c>
      <c r="K45" s="192"/>
      <c r="L45" s="192"/>
      <c r="M45" s="192"/>
      <c r="N45" s="192"/>
      <c r="O45" s="192"/>
      <c r="P45" s="192"/>
    </row>
    <row r="46" spans="1:16" ht="15" customHeight="1" x14ac:dyDescent="0.25">
      <c r="A46" s="128">
        <v>68</v>
      </c>
      <c r="B46" s="128" t="s">
        <v>375</v>
      </c>
      <c r="C46" s="129" t="s">
        <v>202</v>
      </c>
      <c r="D46" s="128" t="s">
        <v>188</v>
      </c>
      <c r="E46" s="130">
        <v>90000</v>
      </c>
      <c r="F46" s="130">
        <v>300000</v>
      </c>
      <c r="G46" s="130">
        <v>90000</v>
      </c>
      <c r="H46" s="131">
        <f t="shared" ref="H46:H77" si="2">E46+F46-G46</f>
        <v>300000</v>
      </c>
      <c r="I46" s="130"/>
      <c r="J46" s="130">
        <f>IFERROR(IF(AVERAGEIF(TableBOM[Item ID],A46,TableBOM[Per 1000 Units])=0,"-",ROUND((H46+I46)/(AVERAGEIF(TableBOM[Item ID],A46,TableBOM[Per 1000 Units])/1000),0)),"-")</f>
        <v>300000</v>
      </c>
      <c r="K46" s="191"/>
      <c r="L46" s="191"/>
      <c r="M46" s="191"/>
      <c r="N46" s="191"/>
      <c r="O46" s="191"/>
      <c r="P46" s="191"/>
    </row>
    <row r="47" spans="1:16" ht="15" customHeight="1" x14ac:dyDescent="0.25">
      <c r="A47" s="128">
        <v>102</v>
      </c>
      <c r="B47" s="128" t="s">
        <v>375</v>
      </c>
      <c r="C47" s="129" t="s">
        <v>203</v>
      </c>
      <c r="D47" s="128" t="s">
        <v>323</v>
      </c>
      <c r="E47" s="130">
        <v>30000</v>
      </c>
      <c r="F47" s="130">
        <v>0</v>
      </c>
      <c r="G47" s="130">
        <v>0</v>
      </c>
      <c r="H47" s="131">
        <f t="shared" si="2"/>
        <v>30000</v>
      </c>
      <c r="I47" s="130"/>
      <c r="J47" s="130" t="str">
        <f>IFERROR(IF(AVERAGEIF(TableBOM[Item ID],A47,TableBOM[Per 1000 Units])=0,"-",ROUND((H47+I47)/(AVERAGEIF(TableBOM[Item ID],A47,TableBOM[Per 1000 Units])/1000),0)),"-")</f>
        <v>-</v>
      </c>
      <c r="K47" s="191"/>
      <c r="L47" s="191"/>
      <c r="M47" s="191"/>
      <c r="N47" s="191"/>
      <c r="O47" s="191"/>
      <c r="P47" s="191"/>
    </row>
    <row r="48" spans="1:16" ht="15" customHeight="1" x14ac:dyDescent="0.25">
      <c r="A48" s="128">
        <v>1073</v>
      </c>
      <c r="B48" s="128" t="s">
        <v>375</v>
      </c>
      <c r="C48" s="129" t="s">
        <v>204</v>
      </c>
      <c r="D48" s="128" t="s">
        <v>188</v>
      </c>
      <c r="E48" s="130">
        <v>0</v>
      </c>
      <c r="F48" s="130">
        <v>80000</v>
      </c>
      <c r="G48" s="130">
        <v>80000</v>
      </c>
      <c r="H48" s="131">
        <f t="shared" si="2"/>
        <v>0</v>
      </c>
      <c r="I48" s="130"/>
      <c r="J48" s="130">
        <f>IFERROR(IF(AVERAGEIF(TableBOM[Item ID],A48,TableBOM[Per 1000 Units])=0,"-",ROUND((H48+I48)/(AVERAGEIF(TableBOM[Item ID],A48,TableBOM[Per 1000 Units])/1000),0)),"-")</f>
        <v>0</v>
      </c>
      <c r="K48" s="191"/>
      <c r="L48" s="191"/>
      <c r="M48" s="191"/>
      <c r="N48" s="191"/>
      <c r="O48" s="191"/>
      <c r="P48" s="191"/>
    </row>
    <row r="49" spans="1:16" ht="15" customHeight="1" x14ac:dyDescent="0.25">
      <c r="A49" s="128">
        <v>1285</v>
      </c>
      <c r="B49" s="128" t="s">
        <v>375</v>
      </c>
      <c r="C49" s="129" t="s">
        <v>205</v>
      </c>
      <c r="D49" s="128" t="s">
        <v>188</v>
      </c>
      <c r="E49" s="130">
        <v>130000</v>
      </c>
      <c r="F49" s="130">
        <v>0</v>
      </c>
      <c r="G49" s="130">
        <v>130000</v>
      </c>
      <c r="H49" s="131">
        <f t="shared" si="2"/>
        <v>0</v>
      </c>
      <c r="I49" s="130"/>
      <c r="J49" s="130">
        <f>IFERROR(IF(AVERAGEIF(TableBOM[Item ID],A49,TableBOM[Per 1000 Units])=0,"-",ROUND((H49+I49)/(AVERAGEIF(TableBOM[Item ID],A49,TableBOM[Per 1000 Units])/1000),0)),"-")</f>
        <v>0</v>
      </c>
      <c r="K49" s="192"/>
      <c r="L49" s="192"/>
      <c r="M49" s="192"/>
      <c r="N49" s="192"/>
      <c r="O49" s="192"/>
      <c r="P49" s="192"/>
    </row>
    <row r="50" spans="1:16" ht="15" customHeight="1" x14ac:dyDescent="0.25">
      <c r="A50" s="128">
        <v>3522</v>
      </c>
      <c r="B50" s="128" t="s">
        <v>375</v>
      </c>
      <c r="C50" s="129" t="s">
        <v>206</v>
      </c>
      <c r="D50" s="128" t="s">
        <v>188</v>
      </c>
      <c r="E50" s="130">
        <v>75000</v>
      </c>
      <c r="F50" s="130">
        <v>0</v>
      </c>
      <c r="G50" s="130">
        <v>0</v>
      </c>
      <c r="H50" s="131">
        <f t="shared" si="2"/>
        <v>75000</v>
      </c>
      <c r="I50" s="130">
        <v>0</v>
      </c>
      <c r="J50" s="130">
        <f>IFERROR(IF(AVERAGEIF(TableBOM[Item ID],A50,TableBOM[Per 1000 Units])=0,"-",ROUND((H50+I50)/(AVERAGEIF(TableBOM[Item ID],A50,TableBOM[Per 1000 Units])/1000),0)),"-")</f>
        <v>75000</v>
      </c>
      <c r="K50" s="192"/>
      <c r="L50" s="192"/>
      <c r="M50" s="192"/>
      <c r="N50" s="192"/>
      <c r="O50" s="192"/>
      <c r="P50" s="192"/>
    </row>
    <row r="51" spans="1:16" ht="15" customHeight="1" x14ac:dyDescent="0.25">
      <c r="A51" s="128">
        <v>3866</v>
      </c>
      <c r="B51" s="128" t="s">
        <v>375</v>
      </c>
      <c r="C51" s="129" t="s">
        <v>207</v>
      </c>
      <c r="D51" s="128" t="s">
        <v>188</v>
      </c>
      <c r="E51" s="130">
        <v>0</v>
      </c>
      <c r="F51" s="130">
        <v>0</v>
      </c>
      <c r="G51" s="130">
        <v>0</v>
      </c>
      <c r="H51" s="131">
        <f t="shared" si="2"/>
        <v>0</v>
      </c>
      <c r="I51" s="130"/>
      <c r="J51" s="130">
        <f>IFERROR(IF(AVERAGEIF(TableBOM[Item ID],A51,TableBOM[Per 1000 Units])=0,"-",ROUND((H51+I51)/(AVERAGEIF(TableBOM[Item ID],A51,TableBOM[Per 1000 Units])/1000),0)),"-")</f>
        <v>0</v>
      </c>
      <c r="K51" s="192"/>
      <c r="L51" s="192"/>
      <c r="M51" s="192"/>
      <c r="N51" s="192"/>
      <c r="O51" s="192"/>
      <c r="P51" s="192"/>
    </row>
    <row r="52" spans="1:16" ht="15" customHeight="1" x14ac:dyDescent="0.25">
      <c r="A52" s="128">
        <v>578</v>
      </c>
      <c r="B52" s="128" t="s">
        <v>375</v>
      </c>
      <c r="C52" s="129" t="s">
        <v>208</v>
      </c>
      <c r="D52" s="128" t="s">
        <v>188</v>
      </c>
      <c r="E52" s="130">
        <v>30000</v>
      </c>
      <c r="F52" s="130">
        <v>0</v>
      </c>
      <c r="G52" s="130">
        <v>30000</v>
      </c>
      <c r="H52" s="131">
        <f t="shared" si="2"/>
        <v>0</v>
      </c>
      <c r="I52" s="130"/>
      <c r="J52" s="130">
        <f>IFERROR(IF(AVERAGEIF(TableBOM[Item ID],A52,TableBOM[Per 1000 Units])=0,"-",ROUND((H52+I52)/(AVERAGEIF(TableBOM[Item ID],A52,TableBOM[Per 1000 Units])/1000),0)),"-")</f>
        <v>0</v>
      </c>
      <c r="K52" s="191"/>
      <c r="L52" s="191"/>
      <c r="M52" s="191"/>
      <c r="N52" s="191"/>
      <c r="O52" s="191"/>
      <c r="P52" s="191"/>
    </row>
    <row r="53" spans="1:16" ht="15" customHeight="1" x14ac:dyDescent="0.25">
      <c r="A53" s="128">
        <v>9902</v>
      </c>
      <c r="B53" s="128" t="s">
        <v>375</v>
      </c>
      <c r="C53" s="129" t="s">
        <v>209</v>
      </c>
      <c r="D53" s="128" t="s">
        <v>188</v>
      </c>
      <c r="E53" s="130">
        <v>0</v>
      </c>
      <c r="F53" s="130">
        <v>0</v>
      </c>
      <c r="G53" s="130">
        <v>0</v>
      </c>
      <c r="H53" s="131">
        <f t="shared" si="2"/>
        <v>0</v>
      </c>
      <c r="I53" s="130"/>
      <c r="J53" s="130" t="str">
        <f>IFERROR(IF(AVERAGEIF(TableBOM[Item ID],A53,TableBOM[Per 1000 Units])=0,"-",ROUND((H53+I53)/(AVERAGEIF(TableBOM[Item ID],A53,TableBOM[Per 1000 Units])/1000),0)),"-")</f>
        <v>-</v>
      </c>
    </row>
    <row r="54" spans="1:16" ht="15" customHeight="1" x14ac:dyDescent="0.25">
      <c r="A54" s="128">
        <v>9903</v>
      </c>
      <c r="B54" s="128" t="s">
        <v>376</v>
      </c>
      <c r="C54" s="129" t="s">
        <v>211</v>
      </c>
      <c r="D54" s="128" t="s">
        <v>188</v>
      </c>
      <c r="E54" s="130">
        <v>0</v>
      </c>
      <c r="F54" s="130">
        <v>0</v>
      </c>
      <c r="G54" s="130">
        <v>0</v>
      </c>
      <c r="H54" s="131">
        <f t="shared" si="2"/>
        <v>0</v>
      </c>
      <c r="I54" s="130"/>
      <c r="J54" s="130" t="str">
        <f>IFERROR(IF(AVERAGEIF(TableBOM[Item ID],A54,TableBOM[Per 1000 Units])=0,"-",ROUND((H54+I54)/(AVERAGEIF(TableBOM[Item ID],A54,TableBOM[Per 1000 Units])/1000),0)),"-")</f>
        <v>-</v>
      </c>
      <c r="K54" s="191"/>
      <c r="L54" s="191"/>
      <c r="M54" s="191"/>
      <c r="N54" s="191"/>
      <c r="O54" s="191"/>
      <c r="P54" s="191"/>
    </row>
    <row r="55" spans="1:16" ht="15" customHeight="1" x14ac:dyDescent="0.25">
      <c r="A55" s="128">
        <v>36</v>
      </c>
      <c r="B55" s="128" t="s">
        <v>376</v>
      </c>
      <c r="C55" s="129" t="s">
        <v>212</v>
      </c>
      <c r="D55" s="128" t="s">
        <v>188</v>
      </c>
      <c r="E55" s="130">
        <v>0</v>
      </c>
      <c r="F55" s="130">
        <v>0</v>
      </c>
      <c r="G55" s="130">
        <v>0</v>
      </c>
      <c r="H55" s="131">
        <f t="shared" si="2"/>
        <v>0</v>
      </c>
      <c r="I55" s="130"/>
      <c r="J55" s="130">
        <f>IFERROR(IF(AVERAGEIF(TableBOM[Item ID],A55,TableBOM[Per 1000 Units])=0,"-",ROUND((H55+I55)/(AVERAGEIF(TableBOM[Item ID],A55,TableBOM[Per 1000 Units])/1000),0)),"-")</f>
        <v>0</v>
      </c>
      <c r="K55" s="191"/>
      <c r="L55" s="191"/>
      <c r="M55" s="191"/>
      <c r="N55" s="191"/>
      <c r="O55" s="191"/>
      <c r="P55" s="191"/>
    </row>
    <row r="56" spans="1:16" ht="15" customHeight="1" x14ac:dyDescent="0.25">
      <c r="A56" s="128">
        <v>200</v>
      </c>
      <c r="B56" s="128" t="s">
        <v>376</v>
      </c>
      <c r="C56" s="129" t="s">
        <v>213</v>
      </c>
      <c r="D56" s="128" t="s">
        <v>188</v>
      </c>
      <c r="E56" s="130">
        <v>0</v>
      </c>
      <c r="F56" s="130">
        <v>0</v>
      </c>
      <c r="G56" s="130">
        <v>0</v>
      </c>
      <c r="H56" s="131">
        <f t="shared" si="2"/>
        <v>0</v>
      </c>
      <c r="I56" s="130"/>
      <c r="J56" s="130">
        <f>IFERROR(IF(AVERAGEIF(TableBOM[Item ID],A56,TableBOM[Per 1000 Units])=0,"-",ROUND((H56+I56)/(AVERAGEIF(TableBOM[Item ID],A56,TableBOM[Per 1000 Units])/1000),0)),"-")</f>
        <v>0</v>
      </c>
      <c r="K56" s="191"/>
      <c r="L56" s="191"/>
      <c r="M56" s="191"/>
      <c r="N56" s="191"/>
      <c r="O56" s="191"/>
      <c r="P56" s="191"/>
    </row>
    <row r="57" spans="1:16" ht="15" customHeight="1" x14ac:dyDescent="0.25">
      <c r="A57" s="128">
        <v>39</v>
      </c>
      <c r="B57" s="128" t="s">
        <v>376</v>
      </c>
      <c r="C57" s="129" t="s">
        <v>214</v>
      </c>
      <c r="D57" s="128" t="s">
        <v>188</v>
      </c>
      <c r="E57" s="130">
        <v>0</v>
      </c>
      <c r="F57" s="130">
        <v>0</v>
      </c>
      <c r="G57" s="130">
        <v>0</v>
      </c>
      <c r="H57" s="131">
        <f t="shared" si="2"/>
        <v>0</v>
      </c>
      <c r="I57" s="130"/>
      <c r="J57" s="130">
        <f>IFERROR(IF(AVERAGEIF(TableBOM[Item ID],A57,TableBOM[Per 1000 Units])=0,"-",ROUND((H57+I57)/(AVERAGEIF(TableBOM[Item ID],A57,TableBOM[Per 1000 Units])/1000),0)),"-")</f>
        <v>0</v>
      </c>
      <c r="K57" s="192"/>
      <c r="L57" s="192"/>
      <c r="M57" s="192"/>
      <c r="N57" s="192"/>
      <c r="O57" s="192"/>
      <c r="P57" s="192"/>
    </row>
    <row r="58" spans="1:16" ht="15" customHeight="1" x14ac:dyDescent="0.25">
      <c r="A58" s="128">
        <v>3619</v>
      </c>
      <c r="B58" s="128" t="s">
        <v>376</v>
      </c>
      <c r="C58" s="129" t="s">
        <v>215</v>
      </c>
      <c r="D58" s="128" t="s">
        <v>188</v>
      </c>
      <c r="E58" s="130">
        <v>613</v>
      </c>
      <c r="F58" s="130">
        <v>0</v>
      </c>
      <c r="G58" s="130">
        <v>321</v>
      </c>
      <c r="H58" s="131">
        <f t="shared" si="2"/>
        <v>292</v>
      </c>
      <c r="I58" s="130"/>
      <c r="J58" s="130">
        <f>IFERROR(IF(AVERAGEIF(TableBOM[Item ID],A58,TableBOM[Per 1000 Units])=0,"-",ROUND((H58+I58)/(AVERAGEIF(TableBOM[Item ID],A58,TableBOM[Per 1000 Units])/1000),0)),"-")</f>
        <v>146995</v>
      </c>
      <c r="K58" s="191"/>
      <c r="L58" s="191"/>
      <c r="M58" s="191"/>
      <c r="N58" s="191"/>
      <c r="O58" s="191"/>
      <c r="P58" s="191"/>
    </row>
    <row r="59" spans="1:16" ht="15" customHeight="1" x14ac:dyDescent="0.25">
      <c r="A59" s="128">
        <v>3598</v>
      </c>
      <c r="B59" s="128" t="s">
        <v>376</v>
      </c>
      <c r="C59" s="129" t="s">
        <v>216</v>
      </c>
      <c r="D59" s="128" t="s">
        <v>188</v>
      </c>
      <c r="E59" s="130">
        <v>735</v>
      </c>
      <c r="F59" s="130">
        <v>550</v>
      </c>
      <c r="G59" s="130">
        <v>951</v>
      </c>
      <c r="H59" s="131">
        <f t="shared" si="2"/>
        <v>334</v>
      </c>
      <c r="I59" s="130"/>
      <c r="J59" s="130">
        <f>IFERROR(IF(AVERAGEIF(TableBOM[Item ID],A59,TableBOM[Per 1000 Units])=0,"-",ROUND((H59+I59)/(AVERAGEIF(TableBOM[Item ID],A59,TableBOM[Per 1000 Units])/1000),0)),"-")</f>
        <v>101755</v>
      </c>
      <c r="K59" s="191"/>
      <c r="L59" s="191"/>
      <c r="M59" s="191"/>
      <c r="N59" s="191"/>
      <c r="O59" s="191"/>
      <c r="P59" s="191"/>
    </row>
    <row r="60" spans="1:16" ht="15" customHeight="1" x14ac:dyDescent="0.25">
      <c r="A60" s="128">
        <v>45</v>
      </c>
      <c r="B60" s="128" t="s">
        <v>376</v>
      </c>
      <c r="C60" s="129" t="s">
        <v>217</v>
      </c>
      <c r="D60" s="128" t="s">
        <v>188</v>
      </c>
      <c r="E60" s="130">
        <v>600</v>
      </c>
      <c r="F60" s="130">
        <v>0</v>
      </c>
      <c r="G60" s="130">
        <v>0</v>
      </c>
      <c r="H60" s="131">
        <f t="shared" si="2"/>
        <v>600</v>
      </c>
      <c r="I60" s="130"/>
      <c r="J60" s="130">
        <f>IFERROR(IF(AVERAGEIF(TableBOM[Item ID],A60,TableBOM[Per 1000 Units])=0,"-",ROUND((H60+I60)/(AVERAGEIF(TableBOM[Item ID],A60,TableBOM[Per 1000 Units])/1000),0)),"-")</f>
        <v>90003</v>
      </c>
      <c r="K60" s="191"/>
      <c r="L60" s="191"/>
      <c r="M60" s="191"/>
      <c r="N60" s="191"/>
      <c r="O60" s="191"/>
      <c r="P60" s="191"/>
    </row>
    <row r="61" spans="1:16" ht="15" customHeight="1" x14ac:dyDescent="0.25">
      <c r="A61" s="128">
        <v>3988</v>
      </c>
      <c r="B61" s="128" t="s">
        <v>376</v>
      </c>
      <c r="C61" s="129" t="s">
        <v>218</v>
      </c>
      <c r="D61" s="128" t="s">
        <v>188</v>
      </c>
      <c r="E61" s="130">
        <v>201</v>
      </c>
      <c r="F61" s="130">
        <v>0</v>
      </c>
      <c r="G61" s="130">
        <v>201</v>
      </c>
      <c r="H61" s="131">
        <f t="shared" si="2"/>
        <v>0</v>
      </c>
      <c r="I61" s="130"/>
      <c r="J61" s="130">
        <f>IFERROR(IF(AVERAGEIF(TableBOM[Item ID],A61,TableBOM[Per 1000 Units])=0,"-",ROUND((H61+I61)/(AVERAGEIF(TableBOM[Item ID],A61,TableBOM[Per 1000 Units])/1000),0)),"-")</f>
        <v>0</v>
      </c>
      <c r="K61" s="192"/>
      <c r="L61" s="192"/>
      <c r="M61" s="192"/>
      <c r="N61" s="192"/>
      <c r="O61" s="192"/>
      <c r="P61" s="192"/>
    </row>
    <row r="62" spans="1:16" ht="15" customHeight="1" x14ac:dyDescent="0.25">
      <c r="A62" s="128">
        <v>5977</v>
      </c>
      <c r="B62" s="128" t="s">
        <v>376</v>
      </c>
      <c r="C62" s="129" t="s">
        <v>219</v>
      </c>
      <c r="D62" s="128" t="s">
        <v>188</v>
      </c>
      <c r="E62" s="130">
        <v>150</v>
      </c>
      <c r="F62" s="130">
        <v>0</v>
      </c>
      <c r="G62" s="130">
        <v>6</v>
      </c>
      <c r="H62" s="131">
        <f t="shared" si="2"/>
        <v>144</v>
      </c>
      <c r="I62" s="130"/>
      <c r="J62" s="130">
        <f>IFERROR(IF(AVERAGEIF(TableBOM[Item ID],A62,TableBOM[Per 1000 Units])=0,"-",ROUND((H62+I62)/(AVERAGEIF(TableBOM[Item ID],A62,TableBOM[Per 1000 Units])/1000),0)),"-")</f>
        <v>104575</v>
      </c>
      <c r="K62" s="192"/>
      <c r="L62" s="192"/>
      <c r="M62" s="192"/>
      <c r="N62" s="192"/>
      <c r="O62" s="192"/>
      <c r="P62" s="192"/>
    </row>
    <row r="63" spans="1:16" ht="15" customHeight="1" x14ac:dyDescent="0.25">
      <c r="A63" s="128">
        <v>3635</v>
      </c>
      <c r="B63" s="128" t="s">
        <v>331</v>
      </c>
      <c r="C63" s="129" t="s">
        <v>221</v>
      </c>
      <c r="D63" s="128" t="s">
        <v>188</v>
      </c>
      <c r="E63" s="130">
        <v>177</v>
      </c>
      <c r="F63" s="130">
        <v>540</v>
      </c>
      <c r="G63" s="130">
        <v>54</v>
      </c>
      <c r="H63" s="131">
        <f t="shared" si="2"/>
        <v>663</v>
      </c>
      <c r="I63" s="130"/>
      <c r="J63" s="130">
        <f>IFERROR(IF(AVERAGEIF(TableBOM[Item ID],A63,TableBOM[Per 1000 Units])=0,"-",ROUND((H63+I63)/(AVERAGEIF(TableBOM[Item ID],A63,TableBOM[Per 1000 Units])/1000),0)),"-")</f>
        <v>1388808</v>
      </c>
      <c r="K63" s="192"/>
      <c r="L63" s="192"/>
      <c r="M63" s="192"/>
      <c r="N63" s="192"/>
      <c r="O63" s="192"/>
      <c r="P63" s="192"/>
    </row>
    <row r="64" spans="1:16" ht="15" customHeight="1" x14ac:dyDescent="0.25">
      <c r="A64" s="128">
        <v>190</v>
      </c>
      <c r="B64" s="128" t="s">
        <v>319</v>
      </c>
      <c r="C64" s="129" t="s">
        <v>223</v>
      </c>
      <c r="D64" s="128" t="s">
        <v>165</v>
      </c>
      <c r="E64" s="130">
        <v>150</v>
      </c>
      <c r="F64" s="130">
        <v>0</v>
      </c>
      <c r="G64" s="130">
        <v>50</v>
      </c>
      <c r="H64" s="131">
        <f t="shared" si="2"/>
        <v>100</v>
      </c>
      <c r="I64" s="130"/>
      <c r="J64" s="130">
        <f>IFERROR(IF(AVERAGEIF(TableBOM[Item ID],A64,TableBOM[Per 1000 Units])=0,"-",ROUND((H64+I64)/(AVERAGEIF(TableBOM[Item ID],A64,TableBOM[Per 1000 Units])/1000),0)),"-")</f>
        <v>1666667</v>
      </c>
      <c r="K64" s="192"/>
      <c r="L64" s="192"/>
      <c r="M64" s="192"/>
      <c r="N64" s="192"/>
      <c r="O64" s="192"/>
      <c r="P64" s="192"/>
    </row>
    <row r="65" spans="1:16" ht="15" customHeight="1" x14ac:dyDescent="0.25">
      <c r="A65" s="128">
        <v>191</v>
      </c>
      <c r="B65" s="128" t="s">
        <v>319</v>
      </c>
      <c r="C65" s="129" t="s">
        <v>377</v>
      </c>
      <c r="D65" s="128" t="s">
        <v>165</v>
      </c>
      <c r="E65" s="130">
        <v>125</v>
      </c>
      <c r="F65" s="130">
        <v>0</v>
      </c>
      <c r="G65" s="130">
        <v>75</v>
      </c>
      <c r="H65" s="131">
        <f t="shared" si="2"/>
        <v>50</v>
      </c>
      <c r="I65" s="130">
        <v>0</v>
      </c>
      <c r="J65" s="130">
        <f>IFERROR(IF(AVERAGEIF(TableBOM[Item ID],A64,TableBOM[Per 1000 Units])=0,"-",ROUND((H65+I65)/(AVERAGEIF(TableBOM[Item ID],A64,TableBOM[Per 1000 Units])/1000),0)),"-")</f>
        <v>833333</v>
      </c>
      <c r="K65" s="191"/>
      <c r="L65" s="191"/>
      <c r="M65" s="191"/>
      <c r="N65" s="191"/>
      <c r="O65" s="191"/>
      <c r="P65" s="191"/>
    </row>
    <row r="66" spans="1:16" ht="15" customHeight="1" x14ac:dyDescent="0.25">
      <c r="A66" s="128">
        <v>104</v>
      </c>
      <c r="B66" s="128" t="s">
        <v>336</v>
      </c>
      <c r="C66" s="129" t="s">
        <v>287</v>
      </c>
      <c r="D66" s="128" t="s">
        <v>148</v>
      </c>
      <c r="E66" s="130">
        <v>2</v>
      </c>
      <c r="F66" s="130">
        <v>0</v>
      </c>
      <c r="G66" s="130">
        <v>0</v>
      </c>
      <c r="H66" s="131">
        <f t="shared" si="2"/>
        <v>2</v>
      </c>
      <c r="I66" s="130"/>
      <c r="J66" s="130" t="str">
        <f>IFERROR(IF(AVERAGEIF(TableBOM[Item ID],A66,TableBOM[Per 1000 Units])=0,"-",ROUND((H66+I66)/(AVERAGEIF(TableBOM[Item ID],A66,TableBOM[Per 1000 Units])/1000),0)),"-")</f>
        <v>-</v>
      </c>
      <c r="K66" s="192"/>
      <c r="L66" s="192"/>
      <c r="M66" s="192"/>
      <c r="N66" s="192"/>
      <c r="O66" s="192"/>
      <c r="P66" s="192"/>
    </row>
    <row r="67" spans="1:16" ht="15" customHeight="1" x14ac:dyDescent="0.25">
      <c r="A67" s="128">
        <v>105</v>
      </c>
      <c r="B67" s="128" t="s">
        <v>336</v>
      </c>
      <c r="C67" s="129" t="s">
        <v>289</v>
      </c>
      <c r="D67" s="128" t="s">
        <v>148</v>
      </c>
      <c r="E67" s="130">
        <v>1</v>
      </c>
      <c r="F67" s="130">
        <v>0</v>
      </c>
      <c r="G67" s="130">
        <v>0</v>
      </c>
      <c r="H67" s="131">
        <f t="shared" si="2"/>
        <v>1</v>
      </c>
      <c r="I67" s="130"/>
      <c r="J67" s="130" t="str">
        <f>IFERROR(IF(AVERAGEIF(TableBOM[Item ID],A67,TableBOM[Per 1000 Units])=0,"-",ROUND((H67+I67)/(AVERAGEIF(TableBOM[Item ID],A67,TableBOM[Per 1000 Units])/1000),0)),"-")</f>
        <v>-</v>
      </c>
      <c r="K67" s="192"/>
      <c r="L67" s="192"/>
      <c r="M67" s="192"/>
      <c r="N67" s="192"/>
      <c r="O67" s="192"/>
      <c r="P67" s="192"/>
    </row>
    <row r="68" spans="1:16" ht="15" customHeight="1" x14ac:dyDescent="0.25">
      <c r="A68" s="128">
        <v>110</v>
      </c>
      <c r="B68" s="128" t="s">
        <v>336</v>
      </c>
      <c r="C68" s="129" t="s">
        <v>279</v>
      </c>
      <c r="D68" s="128" t="s">
        <v>148</v>
      </c>
      <c r="E68" s="130">
        <v>2</v>
      </c>
      <c r="F68" s="130">
        <v>0</v>
      </c>
      <c r="G68" s="130">
        <v>0</v>
      </c>
      <c r="H68" s="131">
        <f t="shared" si="2"/>
        <v>2</v>
      </c>
      <c r="I68" s="130"/>
      <c r="J68" s="130" t="str">
        <f>IFERROR(IF(AVERAGEIF(TableBOM[Item ID],A68,TableBOM[Per 1000 Units])=0,"-",ROUND((H68+I68)/(AVERAGEIF(TableBOM[Item ID],A68,TableBOM[Per 1000 Units])/1000),0)),"-")</f>
        <v>-</v>
      </c>
      <c r="K68" s="191"/>
      <c r="L68" s="191"/>
      <c r="M68" s="191"/>
      <c r="N68" s="191"/>
      <c r="O68" s="191"/>
      <c r="P68" s="191"/>
    </row>
    <row r="69" spans="1:16" ht="15" customHeight="1" x14ac:dyDescent="0.25">
      <c r="A69" s="128">
        <v>124</v>
      </c>
      <c r="B69" s="128" t="s">
        <v>336</v>
      </c>
      <c r="C69" s="129" t="s">
        <v>284</v>
      </c>
      <c r="D69" s="128" t="s">
        <v>148</v>
      </c>
      <c r="E69" s="130">
        <v>0</v>
      </c>
      <c r="F69" s="130">
        <v>0</v>
      </c>
      <c r="G69" s="130">
        <v>0</v>
      </c>
      <c r="H69" s="131">
        <f t="shared" si="2"/>
        <v>0</v>
      </c>
      <c r="I69" s="130"/>
      <c r="J69" s="130" t="str">
        <f>IFERROR(IF(AVERAGEIF(TableBOM[Item ID],A69,TableBOM[Per 1000 Units])=0,"-",ROUND((H69+I69)/(AVERAGEIF(TableBOM[Item ID],A69,TableBOM[Per 1000 Units])/1000),0)),"-")</f>
        <v>-</v>
      </c>
      <c r="K69" s="192"/>
      <c r="L69" s="192"/>
      <c r="M69" s="192"/>
      <c r="N69" s="192"/>
      <c r="O69" s="192"/>
      <c r="P69" s="192"/>
    </row>
    <row r="70" spans="1:16" ht="15" customHeight="1" x14ac:dyDescent="0.25">
      <c r="A70" s="128">
        <v>127</v>
      </c>
      <c r="B70" s="128" t="s">
        <v>336</v>
      </c>
      <c r="C70" s="129" t="s">
        <v>290</v>
      </c>
      <c r="D70" s="128" t="s">
        <v>148</v>
      </c>
      <c r="E70" s="130">
        <v>2</v>
      </c>
      <c r="F70" s="130">
        <v>0</v>
      </c>
      <c r="G70" s="130">
        <v>0</v>
      </c>
      <c r="H70" s="131">
        <f t="shared" si="2"/>
        <v>2</v>
      </c>
      <c r="I70" s="130"/>
      <c r="J70" s="130" t="str">
        <f>IFERROR(IF(AVERAGEIF(TableBOM[Item ID],A70,TableBOM[Per 1000 Units])=0,"-",ROUND((H70+I70)/(AVERAGEIF(TableBOM[Item ID],A70,TableBOM[Per 1000 Units])/1000),0)),"-")</f>
        <v>-</v>
      </c>
      <c r="K70" s="192"/>
      <c r="L70" s="192"/>
      <c r="M70" s="192"/>
      <c r="N70" s="192"/>
      <c r="O70" s="192"/>
      <c r="P70" s="192"/>
    </row>
    <row r="71" spans="1:16" ht="15" customHeight="1" x14ac:dyDescent="0.25">
      <c r="A71" s="128">
        <v>129</v>
      </c>
      <c r="B71" s="128" t="s">
        <v>336</v>
      </c>
      <c r="C71" s="129" t="s">
        <v>280</v>
      </c>
      <c r="D71" s="128" t="s">
        <v>148</v>
      </c>
      <c r="E71" s="130">
        <v>2</v>
      </c>
      <c r="F71" s="130">
        <v>0</v>
      </c>
      <c r="G71" s="130">
        <v>0</v>
      </c>
      <c r="H71" s="131">
        <f t="shared" si="2"/>
        <v>2</v>
      </c>
      <c r="I71" s="130"/>
      <c r="J71" s="130" t="str">
        <f>IFERROR(IF(AVERAGEIF(TableBOM[Item ID],A71,TableBOM[Per 1000 Units])=0,"-",ROUND((H71+I71)/(AVERAGEIF(TableBOM[Item ID],A71,TableBOM[Per 1000 Units])/1000),0)),"-")</f>
        <v>-</v>
      </c>
      <c r="K71" s="192"/>
      <c r="L71" s="192"/>
      <c r="M71" s="192"/>
      <c r="N71" s="192"/>
      <c r="O71" s="192"/>
      <c r="P71" s="192"/>
    </row>
    <row r="72" spans="1:16" ht="15" customHeight="1" x14ac:dyDescent="0.25">
      <c r="A72" s="128">
        <v>130</v>
      </c>
      <c r="B72" s="128" t="s">
        <v>336</v>
      </c>
      <c r="C72" s="129" t="s">
        <v>283</v>
      </c>
      <c r="D72" s="128" t="s">
        <v>148</v>
      </c>
      <c r="E72" s="130">
        <v>1</v>
      </c>
      <c r="F72" s="130">
        <v>0</v>
      </c>
      <c r="G72" s="130">
        <v>0</v>
      </c>
      <c r="H72" s="131">
        <f t="shared" si="2"/>
        <v>1</v>
      </c>
      <c r="I72" s="130"/>
      <c r="J72" s="130" t="str">
        <f>IFERROR(IF(AVERAGEIF(TableBOM[Item ID],A72,TableBOM[Per 1000 Units])=0,"-",ROUND((H72+I72)/(AVERAGEIF(TableBOM[Item ID],A72,TableBOM[Per 1000 Units])/1000),0)),"-")</f>
        <v>-</v>
      </c>
      <c r="K72" s="191"/>
      <c r="L72" s="191"/>
      <c r="M72" s="191"/>
      <c r="N72" s="191"/>
      <c r="O72" s="191"/>
      <c r="P72" s="191"/>
    </row>
    <row r="73" spans="1:16" ht="15" customHeight="1" x14ac:dyDescent="0.25">
      <c r="A73" s="128">
        <v>1928</v>
      </c>
      <c r="B73" s="128" t="s">
        <v>336</v>
      </c>
      <c r="C73" s="129" t="s">
        <v>378</v>
      </c>
      <c r="D73" s="128" t="s">
        <v>148</v>
      </c>
      <c r="E73" s="130">
        <v>2</v>
      </c>
      <c r="F73" s="130">
        <v>0</v>
      </c>
      <c r="G73" s="130">
        <v>2</v>
      </c>
      <c r="H73" s="131">
        <f t="shared" si="2"/>
        <v>0</v>
      </c>
      <c r="I73" s="130"/>
      <c r="J73" s="130" t="str">
        <f>IFERROR(IF(AVERAGEIF(TableBOM[Item ID],A73,TableBOM[Per 1000 Units])=0,"-",ROUND((H73+I73)/(AVERAGEIF(TableBOM[Item ID],A73,TableBOM[Per 1000 Units])/1000),0)),"-")</f>
        <v>-</v>
      </c>
      <c r="K73" s="192"/>
      <c r="L73" s="192"/>
      <c r="M73" s="192"/>
      <c r="N73" s="192"/>
      <c r="O73" s="192"/>
      <c r="P73" s="192"/>
    </row>
    <row r="74" spans="1:16" ht="15" customHeight="1" x14ac:dyDescent="0.25">
      <c r="A74" s="128">
        <v>2284</v>
      </c>
      <c r="B74" s="128" t="s">
        <v>336</v>
      </c>
      <c r="C74" s="129" t="s">
        <v>278</v>
      </c>
      <c r="D74" s="128" t="s">
        <v>148</v>
      </c>
      <c r="E74" s="130">
        <v>0</v>
      </c>
      <c r="F74" s="130">
        <v>0</v>
      </c>
      <c r="G74" s="130">
        <v>0</v>
      </c>
      <c r="H74" s="131">
        <f t="shared" si="2"/>
        <v>0</v>
      </c>
      <c r="I74" s="130"/>
      <c r="J74" s="130" t="str">
        <f>IFERROR(IF(AVERAGEIF(TableBOM[Item ID],A74,TableBOM[Per 1000 Units])=0,"-",ROUND((H74+I74)/(AVERAGEIF(TableBOM[Item ID],A74,TableBOM[Per 1000 Units])/1000),0)),"-")</f>
        <v>-</v>
      </c>
      <c r="K74" s="191"/>
      <c r="L74" s="191"/>
      <c r="M74" s="191"/>
      <c r="N74" s="191"/>
      <c r="O74" s="191"/>
      <c r="P74" s="191"/>
    </row>
    <row r="75" spans="1:16" ht="15" customHeight="1" x14ac:dyDescent="0.25">
      <c r="A75" s="128">
        <v>3642</v>
      </c>
      <c r="B75" s="128" t="s">
        <v>336</v>
      </c>
      <c r="C75" s="129" t="s">
        <v>286</v>
      </c>
      <c r="D75" s="128" t="s">
        <v>148</v>
      </c>
      <c r="E75" s="130">
        <v>1</v>
      </c>
      <c r="F75" s="130">
        <v>0</v>
      </c>
      <c r="G75" s="130">
        <v>0</v>
      </c>
      <c r="H75" s="131">
        <f t="shared" si="2"/>
        <v>1</v>
      </c>
      <c r="I75" s="130"/>
      <c r="J75" s="130" t="str">
        <f>IFERROR(IF(AVERAGEIF(TableBOM[Item ID],A75,TableBOM[Per 1000 Units])=0,"-",ROUND((H75+I75)/(AVERAGEIF(TableBOM[Item ID],A75,TableBOM[Per 1000 Units])/1000),0)),"-")</f>
        <v>-</v>
      </c>
      <c r="K75" s="192"/>
      <c r="L75" s="192"/>
      <c r="M75" s="192"/>
      <c r="N75" s="192"/>
      <c r="O75" s="192"/>
      <c r="P75" s="192"/>
    </row>
    <row r="76" spans="1:16" ht="15" customHeight="1" x14ac:dyDescent="0.25">
      <c r="A76" s="128">
        <v>3734</v>
      </c>
      <c r="B76" s="128" t="s">
        <v>336</v>
      </c>
      <c r="C76" s="129" t="s">
        <v>262</v>
      </c>
      <c r="D76" s="128" t="s">
        <v>148</v>
      </c>
      <c r="E76" s="130">
        <v>1</v>
      </c>
      <c r="F76" s="130">
        <v>0</v>
      </c>
      <c r="G76" s="130">
        <v>0</v>
      </c>
      <c r="H76" s="131">
        <f t="shared" si="2"/>
        <v>1</v>
      </c>
      <c r="I76" s="130"/>
      <c r="J76" s="130" t="str">
        <f>IFERROR(IF(AVERAGEIF(TableBOM[Item ID],A76,TableBOM[Per 1000 Units])=0,"-",ROUND((H76+I76)/(AVERAGEIF(TableBOM[Item ID],A76,TableBOM[Per 1000 Units])/1000),0)),"-")</f>
        <v>-</v>
      </c>
      <c r="K76" s="192"/>
      <c r="L76" s="192"/>
      <c r="M76" s="192"/>
      <c r="N76" s="192"/>
      <c r="O76" s="192"/>
      <c r="P76" s="192"/>
    </row>
    <row r="77" spans="1:16" ht="15" customHeight="1" x14ac:dyDescent="0.25">
      <c r="A77" s="128">
        <v>3736</v>
      </c>
      <c r="B77" s="128" t="s">
        <v>336</v>
      </c>
      <c r="C77" s="129" t="s">
        <v>269</v>
      </c>
      <c r="D77" s="128" t="s">
        <v>148</v>
      </c>
      <c r="E77" s="130">
        <v>3.6</v>
      </c>
      <c r="F77" s="130">
        <v>0</v>
      </c>
      <c r="G77" s="130">
        <v>0</v>
      </c>
      <c r="H77" s="131">
        <f t="shared" si="2"/>
        <v>3.6</v>
      </c>
      <c r="I77" s="130"/>
      <c r="J77" s="130" t="str">
        <f>IFERROR(IF(AVERAGEIF(TableBOM[Item ID],A77,TableBOM[Per 1000 Units])=0,"-",ROUND((H77+I77)/(AVERAGEIF(TableBOM[Item ID],A77,TableBOM[Per 1000 Units])/1000),0)),"-")</f>
        <v>-</v>
      </c>
      <c r="K77" s="191"/>
      <c r="L77" s="191"/>
      <c r="M77" s="191"/>
      <c r="N77" s="191"/>
      <c r="O77" s="191"/>
      <c r="P77" s="191"/>
    </row>
    <row r="78" spans="1:16" ht="15" customHeight="1" x14ac:dyDescent="0.25">
      <c r="A78" s="128">
        <v>3754</v>
      </c>
      <c r="B78" s="128" t="s">
        <v>336</v>
      </c>
      <c r="C78" s="129" t="s">
        <v>265</v>
      </c>
      <c r="D78" s="128" t="s">
        <v>148</v>
      </c>
      <c r="E78" s="130">
        <v>6</v>
      </c>
      <c r="F78" s="130">
        <v>0</v>
      </c>
      <c r="G78" s="130">
        <v>1</v>
      </c>
      <c r="H78" s="131">
        <f t="shared" ref="H78:H109" si="3">E78+F78-G78</f>
        <v>5</v>
      </c>
      <c r="I78" s="130"/>
      <c r="J78" s="130">
        <f>IFERROR(IF(AVERAGEIF(TableBOM[Item ID],A78,TableBOM[Per 1000 Units])=0,"-",ROUND((H78+I78)/(AVERAGEIF(TableBOM[Item ID],A78,TableBOM[Per 1000 Units])/1000),0)),"-")</f>
        <v>200000</v>
      </c>
      <c r="K78" s="191"/>
      <c r="L78" s="191"/>
      <c r="M78" s="191"/>
      <c r="N78" s="191"/>
      <c r="O78" s="191"/>
      <c r="P78" s="191"/>
    </row>
    <row r="79" spans="1:16" ht="15" customHeight="1" x14ac:dyDescent="0.25">
      <c r="A79" s="128">
        <v>3755</v>
      </c>
      <c r="B79" s="128" t="s">
        <v>336</v>
      </c>
      <c r="C79" s="129" t="s">
        <v>266</v>
      </c>
      <c r="D79" s="128" t="s">
        <v>148</v>
      </c>
      <c r="E79" s="130">
        <v>0</v>
      </c>
      <c r="F79" s="130">
        <v>0</v>
      </c>
      <c r="G79" s="130">
        <v>0</v>
      </c>
      <c r="H79" s="131">
        <f t="shared" si="3"/>
        <v>0</v>
      </c>
      <c r="I79" s="130"/>
      <c r="J79" s="130" t="str">
        <f>IFERROR(IF(AVERAGEIF(TableBOM[Item ID],A79,TableBOM[Per 1000 Units])=0,"-",ROUND((H79+I79)/(AVERAGEIF(TableBOM[Item ID],A79,TableBOM[Per 1000 Units])/1000),0)),"-")</f>
        <v>-</v>
      </c>
      <c r="K79" s="191"/>
      <c r="L79" s="191"/>
      <c r="M79" s="191"/>
      <c r="N79" s="191"/>
      <c r="O79" s="191"/>
      <c r="P79" s="191"/>
    </row>
    <row r="80" spans="1:16" ht="15" customHeight="1" x14ac:dyDescent="0.25">
      <c r="A80" s="128">
        <v>3800</v>
      </c>
      <c r="B80" s="128" t="s">
        <v>336</v>
      </c>
      <c r="C80" s="129" t="s">
        <v>291</v>
      </c>
      <c r="D80" s="128" t="s">
        <v>148</v>
      </c>
      <c r="E80" s="130">
        <v>1</v>
      </c>
      <c r="F80" s="130">
        <v>0</v>
      </c>
      <c r="G80" s="130">
        <v>0</v>
      </c>
      <c r="H80" s="131">
        <f t="shared" si="3"/>
        <v>1</v>
      </c>
      <c r="I80" s="130"/>
      <c r="J80" s="130" t="str">
        <f>IFERROR(IF(AVERAGEIF(TableBOM[Item ID],A80,TableBOM[Per 1000 Units])=0,"-",ROUND((H80+I80)/(AVERAGEIF(TableBOM[Item ID],A80,TableBOM[Per 1000 Units])/1000),0)),"-")</f>
        <v>-</v>
      </c>
      <c r="K80" s="192"/>
      <c r="L80" s="192"/>
      <c r="M80" s="192"/>
      <c r="N80" s="192"/>
      <c r="O80" s="192"/>
      <c r="P80" s="192"/>
    </row>
    <row r="81" spans="1:10" ht="15" customHeight="1" x14ac:dyDescent="0.25">
      <c r="A81" s="128">
        <v>3857</v>
      </c>
      <c r="B81" s="128" t="s">
        <v>336</v>
      </c>
      <c r="C81" s="129" t="s">
        <v>272</v>
      </c>
      <c r="D81" s="128" t="s">
        <v>148</v>
      </c>
      <c r="E81" s="130">
        <v>1</v>
      </c>
      <c r="F81" s="130">
        <v>2</v>
      </c>
      <c r="G81" s="130">
        <v>2</v>
      </c>
      <c r="H81" s="131">
        <f t="shared" si="3"/>
        <v>1</v>
      </c>
      <c r="I81" s="130"/>
      <c r="J81" s="130">
        <f>IFERROR(IF(AVERAGEIF(TableBOM[Item ID],A81,TableBOM[Per 1000 Units])=0,"-",ROUND((H81+I81)/(AVERAGEIF(TableBOM[Item ID],A81,TableBOM[Per 1000 Units])/1000),0)),"-")</f>
        <v>3030</v>
      </c>
    </row>
    <row r="82" spans="1:10" ht="15" customHeight="1" x14ac:dyDescent="0.25">
      <c r="A82" s="128">
        <v>3858</v>
      </c>
      <c r="B82" s="128" t="s">
        <v>336</v>
      </c>
      <c r="C82" s="129" t="s">
        <v>264</v>
      </c>
      <c r="D82" s="128" t="s">
        <v>148</v>
      </c>
      <c r="E82" s="130">
        <v>0</v>
      </c>
      <c r="F82" s="130">
        <v>1</v>
      </c>
      <c r="G82" s="130">
        <v>1</v>
      </c>
      <c r="H82" s="131">
        <f t="shared" si="3"/>
        <v>0</v>
      </c>
      <c r="I82" s="130"/>
      <c r="J82" s="130" t="str">
        <f>IFERROR(IF(AVERAGEIF(TableBOM[Item ID],A82,TableBOM[Per 1000 Units])=0,"-",ROUND((H82+I82)/(AVERAGEIF(TableBOM[Item ID],A82,TableBOM[Per 1000 Units])/1000),0)),"-")</f>
        <v>-</v>
      </c>
    </row>
    <row r="83" spans="1:10" ht="15" customHeight="1" x14ac:dyDescent="0.25">
      <c r="A83" s="128">
        <v>3955</v>
      </c>
      <c r="B83" s="128" t="s">
        <v>336</v>
      </c>
      <c r="C83" s="129" t="s">
        <v>270</v>
      </c>
      <c r="D83" s="128" t="s">
        <v>148</v>
      </c>
      <c r="E83" s="130">
        <v>1</v>
      </c>
      <c r="F83" s="130">
        <v>0</v>
      </c>
      <c r="G83" s="130">
        <v>1</v>
      </c>
      <c r="H83" s="131">
        <f t="shared" si="3"/>
        <v>0</v>
      </c>
      <c r="I83" s="130"/>
      <c r="J83" s="130">
        <f>IFERROR(IF(AVERAGEIF(TableBOM[Item ID],A83,TableBOM[Per 1000 Units])=0,"-",ROUND((H83+I83)/(AVERAGEIF(TableBOM[Item ID],A83,TableBOM[Per 1000 Units])/1000),0)),"-")</f>
        <v>0</v>
      </c>
    </row>
    <row r="84" spans="1:10" ht="15" customHeight="1" x14ac:dyDescent="0.25">
      <c r="A84" s="128">
        <v>3968</v>
      </c>
      <c r="B84" s="128" t="s">
        <v>336</v>
      </c>
      <c r="C84" s="129" t="s">
        <v>285</v>
      </c>
      <c r="D84" s="128" t="s">
        <v>148</v>
      </c>
      <c r="E84" s="130">
        <v>5</v>
      </c>
      <c r="F84" s="130">
        <v>0</v>
      </c>
      <c r="G84" s="130">
        <v>1</v>
      </c>
      <c r="H84" s="131">
        <f t="shared" si="3"/>
        <v>4</v>
      </c>
      <c r="I84" s="130"/>
      <c r="J84" s="130" t="str">
        <f>IFERROR(IF(AVERAGEIF(TableBOM[Item ID],A84,TableBOM[Per 1000 Units])=0,"-",ROUND((H84+I84)/(AVERAGEIF(TableBOM[Item ID],A84,TableBOM[Per 1000 Units])/1000),0)),"-")</f>
        <v>-</v>
      </c>
    </row>
    <row r="85" spans="1:10" ht="15" customHeight="1" x14ac:dyDescent="0.25">
      <c r="A85" s="128">
        <v>4216</v>
      </c>
      <c r="B85" s="128" t="s">
        <v>336</v>
      </c>
      <c r="C85" s="129" t="s">
        <v>292</v>
      </c>
      <c r="D85" s="128" t="s">
        <v>148</v>
      </c>
      <c r="E85" s="130">
        <v>1</v>
      </c>
      <c r="F85" s="130">
        <v>0</v>
      </c>
      <c r="G85" s="130">
        <v>0</v>
      </c>
      <c r="H85" s="131">
        <f t="shared" si="3"/>
        <v>1</v>
      </c>
      <c r="I85" s="130"/>
      <c r="J85" s="130" t="str">
        <f>IFERROR(IF(AVERAGEIF(TableBOM[Item ID],A85,TableBOM[Per 1000 Units])=0,"-",ROUND((H85+I85)/(AVERAGEIF(TableBOM[Item ID],A85,TableBOM[Per 1000 Units])/1000),0)),"-")</f>
        <v>-</v>
      </c>
    </row>
    <row r="86" spans="1:10" ht="15" customHeight="1" x14ac:dyDescent="0.25">
      <c r="A86" s="128">
        <v>4306</v>
      </c>
      <c r="B86" s="128" t="s">
        <v>336</v>
      </c>
      <c r="C86" s="129" t="s">
        <v>293</v>
      </c>
      <c r="D86" s="128" t="s">
        <v>148</v>
      </c>
      <c r="E86" s="130">
        <v>3</v>
      </c>
      <c r="F86" s="130">
        <v>0</v>
      </c>
      <c r="G86" s="130">
        <v>0</v>
      </c>
      <c r="H86" s="131">
        <f t="shared" si="3"/>
        <v>3</v>
      </c>
      <c r="I86" s="130"/>
      <c r="J86" s="130" t="str">
        <f>IFERROR(IF(AVERAGEIF(TableBOM[Item ID],A86,TableBOM[Per 1000 Units])=0,"-",ROUND((H86+I86)/(AVERAGEIF(TableBOM[Item ID],A86,TableBOM[Per 1000 Units])/1000),0)),"-")</f>
        <v>-</v>
      </c>
    </row>
    <row r="87" spans="1:10" ht="15" customHeight="1" x14ac:dyDescent="0.25">
      <c r="A87" s="128">
        <v>5107</v>
      </c>
      <c r="B87" s="128" t="s">
        <v>336</v>
      </c>
      <c r="C87" s="129" t="s">
        <v>274</v>
      </c>
      <c r="D87" s="128" t="s">
        <v>148</v>
      </c>
      <c r="E87" s="130">
        <v>2</v>
      </c>
      <c r="F87" s="130">
        <v>0</v>
      </c>
      <c r="G87" s="130">
        <v>1</v>
      </c>
      <c r="H87" s="131">
        <f t="shared" si="3"/>
        <v>1</v>
      </c>
      <c r="I87" s="130"/>
      <c r="J87" s="130" t="str">
        <f>IFERROR(IF(AVERAGEIF(TableBOM[Item ID],A87,TableBOM[Per 1000 Units])=0,"-",ROUND((H87+I87)/(AVERAGEIF(TableBOM[Item ID],A87,TableBOM[Per 1000 Units])/1000),0)),"-")</f>
        <v>-</v>
      </c>
    </row>
    <row r="88" spans="1:10" ht="15" customHeight="1" x14ac:dyDescent="0.25">
      <c r="A88" s="128">
        <v>6038</v>
      </c>
      <c r="B88" s="128" t="s">
        <v>336</v>
      </c>
      <c r="C88" s="129" t="s">
        <v>263</v>
      </c>
      <c r="D88" s="128" t="s">
        <v>148</v>
      </c>
      <c r="E88" s="130">
        <v>0</v>
      </c>
      <c r="F88" s="130">
        <v>0</v>
      </c>
      <c r="G88" s="130">
        <v>0</v>
      </c>
      <c r="H88" s="131">
        <f t="shared" si="3"/>
        <v>0</v>
      </c>
      <c r="I88" s="130"/>
      <c r="J88" s="130" t="str">
        <f>IFERROR(IF(AVERAGEIF(TableBOM[Item ID],A88,TableBOM[Per 1000 Units])=0,"-",ROUND((H88+I88)/(AVERAGEIF(TableBOM[Item ID],A88,TableBOM[Per 1000 Units])/1000),0)),"-")</f>
        <v>-</v>
      </c>
    </row>
    <row r="89" spans="1:10" ht="15" customHeight="1" x14ac:dyDescent="0.25">
      <c r="A89" s="128">
        <v>6040</v>
      </c>
      <c r="B89" s="128" t="s">
        <v>336</v>
      </c>
      <c r="C89" s="129" t="s">
        <v>273</v>
      </c>
      <c r="D89" s="128" t="s">
        <v>148</v>
      </c>
      <c r="E89" s="130">
        <v>3</v>
      </c>
      <c r="F89" s="130">
        <v>0</v>
      </c>
      <c r="G89" s="130">
        <v>1</v>
      </c>
      <c r="H89" s="131">
        <f t="shared" si="3"/>
        <v>2</v>
      </c>
      <c r="I89" s="130"/>
      <c r="J89" s="130" t="str">
        <f>IFERROR(IF(AVERAGEIF(TableBOM[Item ID],A89,TableBOM[Per 1000 Units])=0,"-",ROUND((H89+I89)/(AVERAGEIF(TableBOM[Item ID],A89,TableBOM[Per 1000 Units])/1000),0)),"-")</f>
        <v>-</v>
      </c>
    </row>
    <row r="90" spans="1:10" ht="15" customHeight="1" x14ac:dyDescent="0.25">
      <c r="A90" s="128">
        <v>6935</v>
      </c>
      <c r="B90" s="128" t="s">
        <v>336</v>
      </c>
      <c r="C90" s="129" t="s">
        <v>294</v>
      </c>
      <c r="D90" s="128" t="s">
        <v>148</v>
      </c>
      <c r="E90" s="130">
        <v>0</v>
      </c>
      <c r="F90" s="130">
        <v>0</v>
      </c>
      <c r="G90" s="130">
        <v>0</v>
      </c>
      <c r="H90" s="131">
        <f t="shared" si="3"/>
        <v>0</v>
      </c>
      <c r="I90" s="130"/>
      <c r="J90" s="130">
        <f>IFERROR(IF(AVERAGEIF(TableBOM[Item ID],A90,TableBOM[Per 1000 Units])=0,"-",ROUND((H90+I90)/(AVERAGEIF(TableBOM[Item ID],A90,TableBOM[Per 1000 Units])/1000),0)),"-")</f>
        <v>0</v>
      </c>
    </row>
    <row r="91" spans="1:10" ht="15" customHeight="1" x14ac:dyDescent="0.25">
      <c r="A91" s="128">
        <v>7094</v>
      </c>
      <c r="B91" s="128" t="s">
        <v>336</v>
      </c>
      <c r="C91" s="129" t="s">
        <v>379</v>
      </c>
      <c r="D91" s="128" t="s">
        <v>148</v>
      </c>
      <c r="E91" s="130">
        <v>0</v>
      </c>
      <c r="F91" s="130">
        <v>0</v>
      </c>
      <c r="G91" s="130">
        <v>0</v>
      </c>
      <c r="H91" s="131">
        <f t="shared" si="3"/>
        <v>0</v>
      </c>
      <c r="I91" s="130"/>
      <c r="J91" s="130" t="str">
        <f>IFERROR(IF(AVERAGEIF(TableBOM[Item ID],A91,TableBOM[Per 1000 Units])=0,"-",ROUND((H91+I91)/(AVERAGEIF(TableBOM[Item ID],A91,TableBOM[Per 1000 Units])/1000),0)),"-")</f>
        <v>-</v>
      </c>
    </row>
    <row r="92" spans="1:10" ht="15" customHeight="1" x14ac:dyDescent="0.25">
      <c r="A92" s="128">
        <v>7095</v>
      </c>
      <c r="B92" s="128" t="s">
        <v>336</v>
      </c>
      <c r="C92" s="129" t="s">
        <v>276</v>
      </c>
      <c r="D92" s="128" t="s">
        <v>148</v>
      </c>
      <c r="E92" s="130">
        <v>0</v>
      </c>
      <c r="F92" s="130">
        <v>0</v>
      </c>
      <c r="G92" s="130">
        <v>0</v>
      </c>
      <c r="H92" s="131">
        <f t="shared" si="3"/>
        <v>0</v>
      </c>
      <c r="I92" s="130"/>
      <c r="J92" s="130" t="str">
        <f>IFERROR(IF(AVERAGEIF(TableBOM[Item ID],A92,TableBOM[Per 1000 Units])=0,"-",ROUND((H92+I92)/(AVERAGEIF(TableBOM[Item ID],A92,TableBOM[Per 1000 Units])/1000),0)),"-")</f>
        <v>-</v>
      </c>
    </row>
    <row r="93" spans="1:10" ht="15" customHeight="1" x14ac:dyDescent="0.25">
      <c r="A93" s="128">
        <v>7152</v>
      </c>
      <c r="B93" s="128" t="s">
        <v>336</v>
      </c>
      <c r="C93" s="129" t="s">
        <v>275</v>
      </c>
      <c r="D93" s="128" t="s">
        <v>148</v>
      </c>
      <c r="E93" s="130">
        <v>1</v>
      </c>
      <c r="F93" s="130">
        <v>0</v>
      </c>
      <c r="G93" s="130">
        <v>0</v>
      </c>
      <c r="H93" s="131">
        <f t="shared" si="3"/>
        <v>1</v>
      </c>
      <c r="I93" s="130"/>
      <c r="J93" s="130" t="str">
        <f>IFERROR(IF(AVERAGEIF(TableBOM[Item ID],A93,TableBOM[Per 1000 Units])=0,"-",ROUND((H93+I93)/(AVERAGEIF(TableBOM[Item ID],A93,TableBOM[Per 1000 Units])/1000),0)),"-")</f>
        <v>-</v>
      </c>
    </row>
    <row r="94" spans="1:10" ht="15" customHeight="1" x14ac:dyDescent="0.25">
      <c r="A94" s="128">
        <v>7398</v>
      </c>
      <c r="B94" s="128" t="s">
        <v>336</v>
      </c>
      <c r="C94" s="129" t="s">
        <v>271</v>
      </c>
      <c r="D94" s="128" t="s">
        <v>148</v>
      </c>
      <c r="E94" s="130">
        <v>7</v>
      </c>
      <c r="F94" s="130">
        <v>0</v>
      </c>
      <c r="G94" s="130">
        <v>0</v>
      </c>
      <c r="H94" s="131">
        <f t="shared" si="3"/>
        <v>7</v>
      </c>
      <c r="I94" s="130"/>
      <c r="J94" s="130" t="str">
        <f>IFERROR(IF(AVERAGEIF(TableBOM[Item ID],A94,TableBOM[Per 1000 Units])=0,"-",ROUND((H94+I94)/(AVERAGEIF(TableBOM[Item ID],A94,TableBOM[Per 1000 Units])/1000),0)),"-")</f>
        <v>-</v>
      </c>
    </row>
    <row r="95" spans="1:10" ht="15" customHeight="1" x14ac:dyDescent="0.25"/>
    <row r="96" spans="1:10" ht="15" customHeight="1" x14ac:dyDescent="0.35">
      <c r="A96" s="190" t="s">
        <v>380</v>
      </c>
      <c r="B96" s="190"/>
      <c r="C96" s="190"/>
      <c r="D96" s="190"/>
      <c r="E96" s="190"/>
      <c r="F96" s="190"/>
      <c r="G96" s="190"/>
      <c r="H96" s="190"/>
      <c r="I96" s="190"/>
      <c r="J96" s="190"/>
    </row>
    <row r="97" spans="1:10" ht="15" customHeight="1" x14ac:dyDescent="0.25">
      <c r="A97" s="79" t="s">
        <v>136</v>
      </c>
      <c r="B97" s="79" t="s">
        <v>100</v>
      </c>
      <c r="C97" s="79" t="s">
        <v>363</v>
      </c>
      <c r="D97" s="79" t="s">
        <v>138</v>
      </c>
      <c r="E97" s="79" t="s">
        <v>364</v>
      </c>
      <c r="F97" s="79" t="s">
        <v>365</v>
      </c>
      <c r="G97" s="79" t="s">
        <v>366</v>
      </c>
      <c r="H97" s="79"/>
      <c r="I97" s="79" t="s">
        <v>368</v>
      </c>
      <c r="J97" s="79"/>
    </row>
    <row r="98" spans="1:10" ht="15" customHeight="1" x14ac:dyDescent="0.25">
      <c r="A98" s="128">
        <v>2680</v>
      </c>
      <c r="B98" s="128" t="s">
        <v>345</v>
      </c>
      <c r="C98" s="129" t="s">
        <v>226</v>
      </c>
      <c r="D98" s="128" t="s">
        <v>148</v>
      </c>
      <c r="E98" s="130">
        <v>2500</v>
      </c>
      <c r="F98" s="130">
        <v>0</v>
      </c>
      <c r="G98" s="130">
        <v>800</v>
      </c>
      <c r="H98" s="131">
        <f t="shared" ref="H98:H113" si="4">E98+F98-G98</f>
        <v>1700</v>
      </c>
      <c r="I98" s="130">
        <v>0</v>
      </c>
      <c r="J98" s="130">
        <f>IFERROR(IF(AVERAGEIF(TableBOM[Item ID],A98,TableBOM[Per 1000 Units])=0,"-",ROUND((H98+I98)/(AVERAGEIF(TableBOM[Item ID],A98,TableBOM[Per 1000 Units])/1000),0)),"-")</f>
        <v>71330</v>
      </c>
    </row>
    <row r="99" spans="1:10" ht="15" customHeight="1" x14ac:dyDescent="0.25">
      <c r="A99" s="128">
        <v>3492</v>
      </c>
      <c r="B99" s="128" t="s">
        <v>381</v>
      </c>
      <c r="C99" s="129" t="s">
        <v>228</v>
      </c>
      <c r="D99" s="128" t="s">
        <v>148</v>
      </c>
      <c r="E99" s="130">
        <v>75</v>
      </c>
      <c r="F99" s="130">
        <v>0</v>
      </c>
      <c r="G99" s="130">
        <v>0</v>
      </c>
      <c r="H99" s="131">
        <f t="shared" si="4"/>
        <v>75</v>
      </c>
      <c r="I99" s="130">
        <v>0</v>
      </c>
      <c r="J99" s="130" t="str">
        <f>IFERROR(IF(AVERAGEIF(TableBOM[Item ID],A99,TableBOM[Per 1000 Units])=0,"-",ROUND((H99+I99)/(AVERAGEIF(TableBOM[Item ID],A99,TableBOM[Per 1000 Units])/1000),0)),"-")</f>
        <v>-</v>
      </c>
    </row>
    <row r="100" spans="1:10" ht="15" customHeight="1" x14ac:dyDescent="0.25">
      <c r="A100" s="128">
        <v>4002</v>
      </c>
      <c r="B100" s="128" t="s">
        <v>381</v>
      </c>
      <c r="C100" s="129" t="s">
        <v>229</v>
      </c>
      <c r="D100" s="128" t="s">
        <v>148</v>
      </c>
      <c r="E100" s="130">
        <v>0</v>
      </c>
      <c r="F100" s="130">
        <v>75</v>
      </c>
      <c r="G100" s="130">
        <v>50</v>
      </c>
      <c r="H100" s="131">
        <f t="shared" si="4"/>
        <v>25</v>
      </c>
      <c r="I100" s="130">
        <v>0</v>
      </c>
      <c r="J100" s="130" t="str">
        <f>IFERROR(IF(AVERAGEIF(TableBOM[Item ID],A100,TableBOM[Per 1000 Units])=0,"-",ROUND((H100+I100)/(AVERAGEIF(TableBOM[Item ID],A100,TableBOM[Per 1000 Units])/1000),0)),"-")</f>
        <v>-</v>
      </c>
    </row>
    <row r="101" spans="1:10" ht="15" customHeight="1" x14ac:dyDescent="0.25">
      <c r="A101" s="128">
        <v>4070</v>
      </c>
      <c r="B101" s="128" t="s">
        <v>381</v>
      </c>
      <c r="C101" s="129" t="s">
        <v>230</v>
      </c>
      <c r="D101" s="128" t="s">
        <v>148</v>
      </c>
      <c r="E101" s="130">
        <v>0</v>
      </c>
      <c r="F101" s="130">
        <v>0</v>
      </c>
      <c r="G101" s="130">
        <v>0</v>
      </c>
      <c r="H101" s="131">
        <f t="shared" si="4"/>
        <v>0</v>
      </c>
      <c r="I101" s="130">
        <v>0</v>
      </c>
      <c r="J101" s="130">
        <f>IFERROR(IF(AVERAGEIF(TableBOM[Item ID],A101,TableBOM[Per 1000 Units])=0,"-",ROUND((H101+I101)/(AVERAGEIF(TableBOM[Item ID],A101,TableBOM[Per 1000 Units])/1000),0)),"-")</f>
        <v>0</v>
      </c>
    </row>
    <row r="102" spans="1:10" ht="15" customHeight="1" x14ac:dyDescent="0.25">
      <c r="A102" s="128">
        <v>4310</v>
      </c>
      <c r="B102" s="128" t="s">
        <v>381</v>
      </c>
      <c r="C102" s="129" t="s">
        <v>231</v>
      </c>
      <c r="D102" s="128" t="s">
        <v>148</v>
      </c>
      <c r="E102" s="130">
        <v>36.229999999999997</v>
      </c>
      <c r="F102" s="130">
        <v>0</v>
      </c>
      <c r="G102" s="130">
        <v>0</v>
      </c>
      <c r="H102" s="131">
        <f t="shared" si="4"/>
        <v>36.229999999999997</v>
      </c>
      <c r="I102" s="130">
        <v>0</v>
      </c>
      <c r="J102" s="130" t="str">
        <f>IFERROR(IF(AVERAGEIF(TableBOM[Item ID],A102,TableBOM[Per 1000 Units])=0,"-",ROUND((H102+I102)/(AVERAGEIF(TableBOM[Item ID],A102,TableBOM[Per 1000 Units])/1000),0)),"-")</f>
        <v>-</v>
      </c>
    </row>
    <row r="103" spans="1:10" ht="15" customHeight="1" x14ac:dyDescent="0.25">
      <c r="A103" s="128">
        <v>5625</v>
      </c>
      <c r="B103" s="128" t="s">
        <v>381</v>
      </c>
      <c r="C103" s="129" t="s">
        <v>232</v>
      </c>
      <c r="D103" s="128" t="s">
        <v>148</v>
      </c>
      <c r="E103" s="130">
        <v>48.5</v>
      </c>
      <c r="F103" s="130">
        <v>0</v>
      </c>
      <c r="G103" s="130">
        <v>0</v>
      </c>
      <c r="H103" s="131">
        <f t="shared" si="4"/>
        <v>48.5</v>
      </c>
      <c r="I103" s="130">
        <v>0</v>
      </c>
      <c r="J103" s="130" t="str">
        <f>IFERROR(IF(AVERAGEIF(TableBOM[Item ID],A103,TableBOM[Per 1000 Units])=0,"-",ROUND((H103+I103)/(AVERAGEIF(TableBOM[Item ID],A103,TableBOM[Per 1000 Units])/1000),0)),"-")</f>
        <v>-</v>
      </c>
    </row>
    <row r="104" spans="1:10" ht="15" customHeight="1" x14ac:dyDescent="0.25">
      <c r="A104" s="128">
        <v>5816</v>
      </c>
      <c r="B104" s="128" t="s">
        <v>381</v>
      </c>
      <c r="C104" s="129" t="s">
        <v>233</v>
      </c>
      <c r="D104" s="128" t="s">
        <v>148</v>
      </c>
      <c r="E104" s="130">
        <v>22</v>
      </c>
      <c r="F104" s="130">
        <v>0</v>
      </c>
      <c r="G104" s="130">
        <v>0</v>
      </c>
      <c r="H104" s="131">
        <f t="shared" si="4"/>
        <v>22</v>
      </c>
      <c r="I104" s="130">
        <v>0</v>
      </c>
      <c r="J104" s="130">
        <f>IFERROR(IF(AVERAGEIF(TableBOM[Item ID],A104,TableBOM[Per 1000 Units])=0,"-",ROUND((H104+I104)/(AVERAGEIF(TableBOM[Item ID],A104,TableBOM[Per 1000 Units])/1000),0)),"-")</f>
        <v>20465</v>
      </c>
    </row>
    <row r="105" spans="1:10" ht="15" customHeight="1" x14ac:dyDescent="0.25">
      <c r="A105" s="128">
        <v>6135</v>
      </c>
      <c r="B105" s="128" t="s">
        <v>381</v>
      </c>
      <c r="C105" s="129" t="s">
        <v>234</v>
      </c>
      <c r="D105" s="128" t="s">
        <v>148</v>
      </c>
      <c r="E105" s="130">
        <v>200</v>
      </c>
      <c r="F105" s="130">
        <v>0</v>
      </c>
      <c r="G105" s="130">
        <v>0</v>
      </c>
      <c r="H105" s="131">
        <f t="shared" si="4"/>
        <v>200</v>
      </c>
      <c r="I105" s="130">
        <v>0</v>
      </c>
      <c r="J105" s="130" t="str">
        <f>IFERROR(IF(AVERAGEIF(TableBOM[Item ID],A105,TableBOM[Per 1000 Units])=0,"-",ROUND((H105+I105)/(AVERAGEIF(TableBOM[Item ID],A105,TableBOM[Per 1000 Units])/1000),0)),"-")</f>
        <v>-</v>
      </c>
    </row>
    <row r="106" spans="1:10" ht="15" customHeight="1" x14ac:dyDescent="0.25">
      <c r="A106" s="128">
        <v>7133</v>
      </c>
      <c r="B106" s="128" t="s">
        <v>381</v>
      </c>
      <c r="C106" s="129" t="s">
        <v>235</v>
      </c>
      <c r="D106" s="128" t="s">
        <v>148</v>
      </c>
      <c r="E106" s="130">
        <v>20</v>
      </c>
      <c r="F106" s="130">
        <v>0</v>
      </c>
      <c r="G106" s="130">
        <v>0</v>
      </c>
      <c r="H106" s="131">
        <f t="shared" si="4"/>
        <v>20</v>
      </c>
      <c r="I106" s="130">
        <v>0</v>
      </c>
      <c r="J106" s="130" t="str">
        <f>IFERROR(IF(AVERAGEIF(TableBOM[Item ID],A106,TableBOM[Per 1000 Units])=0,"-",ROUND((H106+I106)/(AVERAGEIF(TableBOM[Item ID],A106,TableBOM[Per 1000 Units])/1000),0)),"-")</f>
        <v>-</v>
      </c>
    </row>
    <row r="107" spans="1:10" ht="15" customHeight="1" x14ac:dyDescent="0.25">
      <c r="A107" s="128">
        <v>7412</v>
      </c>
      <c r="B107" s="128" t="s">
        <v>381</v>
      </c>
      <c r="C107" s="129" t="s">
        <v>236</v>
      </c>
      <c r="D107" s="128" t="s">
        <v>148</v>
      </c>
      <c r="E107" s="130">
        <v>25</v>
      </c>
      <c r="F107" s="130">
        <v>0</v>
      </c>
      <c r="G107" s="130">
        <v>0</v>
      </c>
      <c r="H107" s="131">
        <f t="shared" si="4"/>
        <v>25</v>
      </c>
      <c r="I107" s="130">
        <v>0</v>
      </c>
      <c r="J107" s="130">
        <f>IFERROR(IF(AVERAGEIF(TableBOM[Item ID],A107,TableBOM[Per 1000 Units])=0,"-",ROUND((H107+I107)/(AVERAGEIF(TableBOM[Item ID],A107,TableBOM[Per 1000 Units])/1000),0)),"-")</f>
        <v>38760</v>
      </c>
    </row>
    <row r="108" spans="1:10" ht="15" customHeight="1" x14ac:dyDescent="0.25">
      <c r="A108" s="128">
        <v>3752</v>
      </c>
      <c r="B108" s="128" t="s">
        <v>382</v>
      </c>
      <c r="C108" s="129" t="s">
        <v>238</v>
      </c>
      <c r="D108" s="128" t="s">
        <v>148</v>
      </c>
      <c r="E108" s="130">
        <v>56</v>
      </c>
      <c r="F108" s="130">
        <v>0</v>
      </c>
      <c r="G108" s="130">
        <v>0</v>
      </c>
      <c r="H108" s="131">
        <f t="shared" si="4"/>
        <v>56</v>
      </c>
      <c r="I108" s="130"/>
      <c r="J108" s="130" t="str">
        <f>IFERROR(IF(AVERAGEIF(TableBOM[Item ID],A108,TableBOM[Per 1000 Units])=0,"-",ROUND((H108+I108)/(AVERAGEIF(TableBOM[Item ID],A108,TableBOM[Per 1000 Units])/1000),0)),"-")</f>
        <v>-</v>
      </c>
    </row>
    <row r="109" spans="1:10" ht="15" customHeight="1" x14ac:dyDescent="0.25">
      <c r="A109" s="128">
        <v>4248</v>
      </c>
      <c r="B109" s="128" t="s">
        <v>382</v>
      </c>
      <c r="C109" s="129" t="s">
        <v>239</v>
      </c>
      <c r="D109" s="128" t="s">
        <v>148</v>
      </c>
      <c r="E109" s="130">
        <v>250</v>
      </c>
      <c r="F109" s="130">
        <v>0</v>
      </c>
      <c r="G109" s="130">
        <v>0</v>
      </c>
      <c r="H109" s="131">
        <f t="shared" si="4"/>
        <v>250</v>
      </c>
      <c r="I109" s="130"/>
      <c r="J109" s="130" t="str">
        <f>IFERROR(IF(AVERAGEIF(TableBOM[Item ID],A109,TableBOM[Per 1000 Units])=0,"-",ROUND((H109+I109)/(AVERAGEIF(TableBOM[Item ID],A109,TableBOM[Per 1000 Units])/1000),0)),"-")</f>
        <v>-</v>
      </c>
    </row>
    <row r="110" spans="1:10" ht="15" customHeight="1" x14ac:dyDescent="0.25">
      <c r="A110" s="128">
        <v>6042</v>
      </c>
      <c r="B110" s="128" t="s">
        <v>382</v>
      </c>
      <c r="C110" s="129" t="s">
        <v>240</v>
      </c>
      <c r="D110" s="128" t="s">
        <v>148</v>
      </c>
      <c r="E110" s="130">
        <v>25</v>
      </c>
      <c r="F110" s="130">
        <v>0</v>
      </c>
      <c r="G110" s="130">
        <v>0</v>
      </c>
      <c r="H110" s="131">
        <f t="shared" si="4"/>
        <v>25</v>
      </c>
      <c r="I110" s="130"/>
      <c r="J110" s="130" t="str">
        <f>IFERROR(IF(AVERAGEIF(TableBOM[Item ID],A110,TableBOM[Per 1000 Units])=0,"-",ROUND((H110+I110)/(AVERAGEIF(TableBOM[Item ID],A110,TableBOM[Per 1000 Units])/1000),0)),"-")</f>
        <v>-</v>
      </c>
    </row>
    <row r="111" spans="1:10" ht="15" customHeight="1" x14ac:dyDescent="0.25">
      <c r="A111" s="128">
        <v>2267</v>
      </c>
      <c r="B111" s="128" t="s">
        <v>347</v>
      </c>
      <c r="C111" s="129" t="s">
        <v>242</v>
      </c>
      <c r="D111" s="128" t="s">
        <v>188</v>
      </c>
      <c r="E111" s="130">
        <v>150</v>
      </c>
      <c r="F111" s="130">
        <v>0</v>
      </c>
      <c r="G111" s="130">
        <v>0</v>
      </c>
      <c r="H111" s="131">
        <f t="shared" si="4"/>
        <v>150</v>
      </c>
      <c r="I111" s="130"/>
      <c r="J111" s="130">
        <f>IFERROR(IF(AVERAGEIF(TableBOM[Item ID],A111,TableBOM[Per 1000 Units])=0,"-",ROUND((H111+I111)/(AVERAGEIF(TableBOM[Item ID],A111,TableBOM[Per 1000 Units])/1000),0)),"-")</f>
        <v>17164</v>
      </c>
    </row>
    <row r="112" spans="1:10" ht="15" customHeight="1" x14ac:dyDescent="0.25">
      <c r="A112" s="128">
        <v>3006</v>
      </c>
      <c r="B112" s="128" t="s">
        <v>347</v>
      </c>
      <c r="C112" s="129" t="s">
        <v>243</v>
      </c>
      <c r="D112" s="128" t="s">
        <v>188</v>
      </c>
      <c r="E112" s="130">
        <v>201</v>
      </c>
      <c r="F112" s="130">
        <v>0</v>
      </c>
      <c r="G112" s="130">
        <v>0</v>
      </c>
      <c r="H112" s="131">
        <f t="shared" si="4"/>
        <v>201</v>
      </c>
      <c r="I112" s="130"/>
      <c r="J112" s="130">
        <f>IFERROR(IF(AVERAGEIF(TableBOM[Item ID],A112,TableBOM[Per 1000 Units])=0,"-",ROUND((H112+I112)/(AVERAGEIF(TableBOM[Item ID],A112,TableBOM[Per 1000 Units])/1000),0)),"-")</f>
        <v>19735</v>
      </c>
    </row>
    <row r="113" spans="1:10" ht="15" customHeight="1" x14ac:dyDescent="0.25">
      <c r="A113" s="128">
        <v>3043</v>
      </c>
      <c r="B113" s="128" t="s">
        <v>348</v>
      </c>
      <c r="C113" s="129" t="s">
        <v>245</v>
      </c>
      <c r="D113" s="128" t="s">
        <v>246</v>
      </c>
      <c r="E113" s="130">
        <v>9</v>
      </c>
      <c r="F113" s="130">
        <v>0</v>
      </c>
      <c r="G113" s="130">
        <v>0</v>
      </c>
      <c r="H113" s="131">
        <f t="shared" si="4"/>
        <v>9</v>
      </c>
      <c r="I113" s="130"/>
      <c r="J113" s="130">
        <f>IFERROR(IF(AVERAGEIF(TableBOM[Item ID],A113,TableBOM[Per 1000 Units])=0,"-",ROUND((H113+I113)/(AVERAGEIF(TableBOM[Item ID],A113,TableBOM[Per 1000 Units])/1000),0)),"-")</f>
        <v>1800000</v>
      </c>
    </row>
  </sheetData>
  <mergeCells count="1">
    <mergeCell ref="A1:H1"/>
  </mergeCells>
  <conditionalFormatting sqref="J3:J11 J13:J84">
    <cfRule type="containsText" dxfId="2" priority="2" operator="containsText" text="BOM Missing">
      <formula>NOT(ISERROR(SEARCH("BOM Missing",J3)))</formula>
    </cfRule>
  </conditionalFormatting>
  <conditionalFormatting sqref="K3:K12">
    <cfRule type="cellIs" dxfId="1" priority="3" operator="equal">
      <formula>"CRITICAL - ORDER NOW"</formula>
    </cfRule>
    <cfRule type="cellIs" dxfId="0" priority="4" operator="equal">
      <formula>"Healthy"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zoomScaleNormal="100" workbookViewId="0">
      <pane ySplit="2" topLeftCell="A34" activePane="bottomLeft" state="frozen"/>
      <selection activeCell="D1" sqref="D1"/>
      <selection pane="bottomLeft" activeCell="B44" sqref="B44"/>
    </sheetView>
  </sheetViews>
  <sheetFormatPr defaultColWidth="8.7109375" defaultRowHeight="15" x14ac:dyDescent="0.25"/>
  <cols>
    <col min="1" max="1" width="10" customWidth="1"/>
    <col min="2" max="2" width="36.85546875" customWidth="1"/>
    <col min="3" max="3" width="37.7109375" customWidth="1"/>
    <col min="4" max="4" width="40" customWidth="1"/>
    <col min="5" max="5" width="10" customWidth="1"/>
    <col min="6" max="6" width="11.42578125" customWidth="1"/>
    <col min="7" max="7" width="8" customWidth="1"/>
    <col min="8" max="19" width="12" customWidth="1"/>
  </cols>
  <sheetData>
    <row r="1" spans="1:19" ht="20.25" customHeight="1" x14ac:dyDescent="0.25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</row>
    <row r="2" spans="1:19" ht="15" customHeight="1" x14ac:dyDescent="0.25">
      <c r="A2" s="140" t="s">
        <v>1</v>
      </c>
      <c r="B2" s="140" t="s">
        <v>2</v>
      </c>
      <c r="C2" s="140" t="s">
        <v>3</v>
      </c>
      <c r="D2" s="140" t="s">
        <v>4</v>
      </c>
      <c r="E2" s="140" t="s">
        <v>5</v>
      </c>
      <c r="F2" s="140" t="s">
        <v>6</v>
      </c>
      <c r="G2" s="140" t="s">
        <v>7</v>
      </c>
      <c r="H2" s="140" t="s">
        <v>8</v>
      </c>
      <c r="I2" s="194" t="s">
        <v>9</v>
      </c>
      <c r="J2" s="194" t="s">
        <v>10</v>
      </c>
      <c r="K2" s="194" t="s">
        <v>11</v>
      </c>
      <c r="L2" s="194" t="s">
        <v>12</v>
      </c>
      <c r="M2" s="194" t="s">
        <v>13</v>
      </c>
      <c r="N2" s="194" t="s">
        <v>14</v>
      </c>
      <c r="O2" s="194" t="s">
        <v>15</v>
      </c>
      <c r="P2" s="194" t="s">
        <v>16</v>
      </c>
      <c r="Q2" s="194" t="s">
        <v>17</v>
      </c>
      <c r="R2" s="194" t="s">
        <v>17</v>
      </c>
      <c r="S2" s="194" t="s">
        <v>17</v>
      </c>
    </row>
    <row r="3" spans="1:19" ht="15" customHeight="1" x14ac:dyDescent="0.25">
      <c r="A3" s="176">
        <v>9004</v>
      </c>
      <c r="B3" s="176">
        <v>904</v>
      </c>
      <c r="C3" s="176" t="s">
        <v>18</v>
      </c>
      <c r="D3" s="177" t="s">
        <v>19</v>
      </c>
      <c r="E3" s="176">
        <v>12.5</v>
      </c>
      <c r="F3" s="176">
        <v>0</v>
      </c>
      <c r="G3" s="176" t="s">
        <v>20</v>
      </c>
      <c r="H3" s="176">
        <v>0</v>
      </c>
      <c r="I3" s="195"/>
      <c r="J3" s="180" t="str">
        <f>IF(I3="","",IFERROR(SUMPRODUCT((TableBOM[Product ID]=A3)*(TableBOM[Material Category]="SLUG")*TableBOM[Per 1000 Units]*(1+TableBOM[Scrap %]))*I3/1000,0))</f>
        <v/>
      </c>
      <c r="K3" s="180" t="str">
        <f>IF(I3="","",IFERROR(SUMPRODUCT((TableBOM[Product ID]=A3)*(TableBOM[Material Category]="BASE COAT")*TableBOM[Per 1000 Units]*(1+TableBOM[Scrap %]))*I3/1000,0))</f>
        <v/>
      </c>
      <c r="L3" s="180" t="str">
        <f>IF(I3="","",IFERROR(SUMPRODUCT((TableBOM[Product ID]=A3)*(TableBOM[Material Category]="LACQUER")*TableBOM[Per 1000 Units]*(1+TableBOM[Scrap %]))*I3/1000,0))</f>
        <v/>
      </c>
      <c r="M3" s="180" t="str">
        <f>IF(I3="","",IFERROR(SUMPRODUCT((TableBOM[Product ID]=A3)*(TableBOM[Material Category]="LATEX")*TableBOM[Per 1000 Units]*(1+TableBOM[Scrap %]))*I3/1000,0))</f>
        <v/>
      </c>
      <c r="N3" s="180" t="str">
        <f>IF(I3="","",IFERROR(SUMPRODUCT((TableBOM[Product ID]=A3)*(TableBOM[Material Category]="ZINC POWDER")*TableBOM[Per 1000 Units]*(1+TableBOM[Scrap %]))*I3/1000,0))</f>
        <v/>
      </c>
      <c r="O3" s="180" t="str">
        <f>IF(I3="","",IFERROR(SUMPRODUCT((TableBOM[Product ID]=A3)*(TableBOM[Material Category]="CAP")*TableBOM[Per 1000 Units]*(1+TableBOM[Scrap %]))*I3/1000,0))</f>
        <v/>
      </c>
      <c r="P3" s="180" t="str">
        <f>IF(I3="","",IFERROR(SUMPRODUCT((TableBOM[Product ID]=A3)*(TableBOM[Material Category]="CARTON")*TableBOM[Per 1000 Units]*(1+TableBOM[Scrap %]))*I3/1000,0))</f>
        <v/>
      </c>
      <c r="Q3" s="180"/>
      <c r="R3" s="180"/>
      <c r="S3" s="180"/>
    </row>
    <row r="4" spans="1:19" ht="15" customHeight="1" x14ac:dyDescent="0.25">
      <c r="A4" s="176">
        <v>6561</v>
      </c>
      <c r="B4" s="176">
        <v>190</v>
      </c>
      <c r="C4" s="176" t="s">
        <v>21</v>
      </c>
      <c r="D4" s="177" t="s">
        <v>22</v>
      </c>
      <c r="E4" s="176">
        <v>16</v>
      </c>
      <c r="F4" s="176">
        <v>100</v>
      </c>
      <c r="G4" s="176" t="s">
        <v>20</v>
      </c>
      <c r="H4" s="176">
        <v>588</v>
      </c>
      <c r="I4" s="195"/>
      <c r="J4" s="180" t="str">
        <f>IF(I4="","",IFERROR(SUMPRODUCT((TableBOM[Product ID]=A4)*(TableBOM[Material Category]="SLUG")*TableBOM[Per 1000 Units]*(1+TableBOM[Scrap %]))*I4/1000,0))</f>
        <v/>
      </c>
      <c r="K4" s="180" t="str">
        <f>IF(I4="","",IFERROR(SUMPRODUCT((TableBOM[Product ID]=A4)*(TableBOM[Material Category]="BASE COAT")*TableBOM[Per 1000 Units]*(1+TableBOM[Scrap %]))*I4/1000,0))</f>
        <v/>
      </c>
      <c r="L4" s="180" t="str">
        <f>IF(I4="","",IFERROR(SUMPRODUCT((TableBOM[Product ID]=A4)*(TableBOM[Material Category]="LACQUER")*TableBOM[Per 1000 Units]*(1+TableBOM[Scrap %]))*I4/1000,0))</f>
        <v/>
      </c>
      <c r="M4" s="180" t="str">
        <f>IF(I4="","",IFERROR(SUMPRODUCT((TableBOM[Product ID]=A4)*(TableBOM[Material Category]="LATEX")*TableBOM[Per 1000 Units]*(1+TableBOM[Scrap %]))*I4/1000,0))</f>
        <v/>
      </c>
      <c r="N4" s="180" t="str">
        <f>IF(I4="","",IFERROR(SUMPRODUCT((TableBOM[Product ID]=A4)*(TableBOM[Material Category]="ZINC POWDER")*TableBOM[Per 1000 Units]*(1+TableBOM[Scrap %]))*I4/1000,0))</f>
        <v/>
      </c>
      <c r="O4" s="180" t="str">
        <f>IF(I4="","",IFERROR(SUMPRODUCT((TableBOM[Product ID]=A4)*(TableBOM[Material Category]="CAP")*TableBOM[Per 1000 Units]*(1+TableBOM[Scrap %]))*I4/1000,0))</f>
        <v/>
      </c>
      <c r="P4" s="180" t="str">
        <f>IF(I4="","",IFERROR(SUMPRODUCT((TableBOM[Product ID]=A4)*(TableBOM[Material Category]="CARTON")*TableBOM[Per 1000 Units]*(1+TableBOM[Scrap %]))*I4/1000,0))</f>
        <v/>
      </c>
      <c r="Q4" s="180"/>
      <c r="R4" s="180"/>
      <c r="S4" s="180"/>
    </row>
    <row r="5" spans="1:19" ht="15" customHeight="1" x14ac:dyDescent="0.25">
      <c r="A5" s="176">
        <v>1085</v>
      </c>
      <c r="B5" s="176">
        <v>187</v>
      </c>
      <c r="C5" s="176" t="s">
        <v>21</v>
      </c>
      <c r="D5" s="177" t="s">
        <v>23</v>
      </c>
      <c r="E5" s="176">
        <v>19</v>
      </c>
      <c r="F5" s="176">
        <v>106</v>
      </c>
      <c r="G5" s="176" t="s">
        <v>20</v>
      </c>
      <c r="H5" s="176">
        <v>588</v>
      </c>
      <c r="I5" s="195"/>
      <c r="J5" s="180" t="str">
        <f>IF(I5="","",IFERROR(SUMPRODUCT((TableBOM[Product ID]=A5)*(TableBOM[Material Category]="SLUG")*TableBOM[Per 1000 Units]*(1+TableBOM[Scrap %]))*I5/1000,0))</f>
        <v/>
      </c>
      <c r="K5" s="180" t="str">
        <f>IF(I5="","",IFERROR(SUMPRODUCT((TableBOM[Product ID]=A5)*(TableBOM[Material Category]="BASE COAT")*TableBOM[Per 1000 Units]*(1+TableBOM[Scrap %]))*I5/1000,0))</f>
        <v/>
      </c>
      <c r="L5" s="180" t="str">
        <f>IF(I5="","",IFERROR(SUMPRODUCT((TableBOM[Product ID]=A5)*(TableBOM[Material Category]="LACQUER")*TableBOM[Per 1000 Units]*(1+TableBOM[Scrap %]))*I5/1000,0))</f>
        <v/>
      </c>
      <c r="M5" s="180" t="str">
        <f>IF(I5="","",IFERROR(SUMPRODUCT((TableBOM[Product ID]=A5)*(TableBOM[Material Category]="LATEX")*TableBOM[Per 1000 Units]*(1+TableBOM[Scrap %]))*I5/1000,0))</f>
        <v/>
      </c>
      <c r="N5" s="180" t="str">
        <f>IF(I5="","",IFERROR(SUMPRODUCT((TableBOM[Product ID]=A5)*(TableBOM[Material Category]="ZINC POWDER")*TableBOM[Per 1000 Units]*(1+TableBOM[Scrap %]))*I5/1000,0))</f>
        <v/>
      </c>
      <c r="O5" s="180" t="str">
        <f>IF(I5="","",IFERROR(SUMPRODUCT((TableBOM[Product ID]=A5)*(TableBOM[Material Category]="CAP")*TableBOM[Per 1000 Units]*(1+TableBOM[Scrap %]))*I5/1000,0))</f>
        <v/>
      </c>
      <c r="P5" s="180" t="str">
        <f>IF(I5="","",IFERROR(SUMPRODUCT((TableBOM[Product ID]=A5)*(TableBOM[Material Category]="CARTON")*TableBOM[Per 1000 Units]*(1+TableBOM[Scrap %]))*I5/1000,0))</f>
        <v/>
      </c>
      <c r="Q5" s="180"/>
      <c r="R5" s="180"/>
      <c r="S5" s="180"/>
    </row>
    <row r="6" spans="1:19" ht="15" customHeight="1" x14ac:dyDescent="0.25">
      <c r="A6" s="176">
        <v>6559</v>
      </c>
      <c r="B6" s="176">
        <v>188</v>
      </c>
      <c r="C6" s="176" t="s">
        <v>21</v>
      </c>
      <c r="D6" s="177" t="s">
        <v>24</v>
      </c>
      <c r="E6" s="176">
        <v>19</v>
      </c>
      <c r="F6" s="176">
        <v>106</v>
      </c>
      <c r="G6" s="176" t="s">
        <v>20</v>
      </c>
      <c r="H6" s="176">
        <v>588</v>
      </c>
      <c r="I6" s="195"/>
      <c r="J6" s="180" t="str">
        <f>IF(I6="","",IFERROR(SUMPRODUCT((TableBOM[Product ID]=A6)*(TableBOM[Material Category]="SLUG")*TableBOM[Per 1000 Units]*(1+TableBOM[Scrap %]))*I6/1000,0))</f>
        <v/>
      </c>
      <c r="K6" s="180" t="str">
        <f>IF(I6="","",IFERROR(SUMPRODUCT((TableBOM[Product ID]=A6)*(TableBOM[Material Category]="BASE COAT")*TableBOM[Per 1000 Units]*(1+TableBOM[Scrap %]))*I6/1000,0))</f>
        <v/>
      </c>
      <c r="L6" s="180" t="str">
        <f>IF(I6="","",IFERROR(SUMPRODUCT((TableBOM[Product ID]=A6)*(TableBOM[Material Category]="LACQUER")*TableBOM[Per 1000 Units]*(1+TableBOM[Scrap %]))*I6/1000,0))</f>
        <v/>
      </c>
      <c r="M6" s="180" t="str">
        <f>IF(I6="","",IFERROR(SUMPRODUCT((TableBOM[Product ID]=A6)*(TableBOM[Material Category]="LATEX")*TableBOM[Per 1000 Units]*(1+TableBOM[Scrap %]))*I6/1000,0))</f>
        <v/>
      </c>
      <c r="N6" s="180" t="str">
        <f>IF(I6="","",IFERROR(SUMPRODUCT((TableBOM[Product ID]=A6)*(TableBOM[Material Category]="ZINC POWDER")*TableBOM[Per 1000 Units]*(1+TableBOM[Scrap %]))*I6/1000,0))</f>
        <v/>
      </c>
      <c r="O6" s="180" t="str">
        <f>IF(I6="","",IFERROR(SUMPRODUCT((TableBOM[Product ID]=A6)*(TableBOM[Material Category]="CAP")*TableBOM[Per 1000 Units]*(1+TableBOM[Scrap %]))*I6/1000,0))</f>
        <v/>
      </c>
      <c r="P6" s="180" t="str">
        <f>IF(I6="","",IFERROR(SUMPRODUCT((TableBOM[Product ID]=A6)*(TableBOM[Material Category]="CARTON")*TableBOM[Per 1000 Units]*(1+TableBOM[Scrap %]))*I6/1000,0))</f>
        <v/>
      </c>
      <c r="Q6" s="180"/>
      <c r="R6" s="180"/>
      <c r="S6" s="180"/>
    </row>
    <row r="7" spans="1:19" ht="15" customHeight="1" x14ac:dyDescent="0.25">
      <c r="A7" s="176">
        <v>6560</v>
      </c>
      <c r="B7" s="176">
        <v>189</v>
      </c>
      <c r="C7" s="176" t="s">
        <v>21</v>
      </c>
      <c r="D7" s="177" t="s">
        <v>25</v>
      </c>
      <c r="E7" s="176">
        <v>19</v>
      </c>
      <c r="F7" s="176">
        <v>106</v>
      </c>
      <c r="G7" s="176" t="s">
        <v>20</v>
      </c>
      <c r="H7" s="176">
        <v>588</v>
      </c>
      <c r="I7" s="195"/>
      <c r="J7" s="180" t="str">
        <f>IF(I7="","",IFERROR(SUMPRODUCT((TableBOM[Product ID]=A7)*(TableBOM[Material Category]="SLUG")*TableBOM[Per 1000 Units]*(1+TableBOM[Scrap %]))*I7/1000,0))</f>
        <v/>
      </c>
      <c r="K7" s="180" t="str">
        <f>IF(I7="","",IFERROR(SUMPRODUCT((TableBOM[Product ID]=A7)*(TableBOM[Material Category]="BASE COAT")*TableBOM[Per 1000 Units]*(1+TableBOM[Scrap %]))*I7/1000,0))</f>
        <v/>
      </c>
      <c r="L7" s="180" t="str">
        <f>IF(I7="","",IFERROR(SUMPRODUCT((TableBOM[Product ID]=A7)*(TableBOM[Material Category]="LACQUER")*TableBOM[Per 1000 Units]*(1+TableBOM[Scrap %]))*I7/1000,0))</f>
        <v/>
      </c>
      <c r="M7" s="180" t="str">
        <f>IF(I7="","",IFERROR(SUMPRODUCT((TableBOM[Product ID]=A7)*(TableBOM[Material Category]="LATEX")*TableBOM[Per 1000 Units]*(1+TableBOM[Scrap %]))*I7/1000,0))</f>
        <v/>
      </c>
      <c r="N7" s="180" t="str">
        <f>IF(I7="","",IFERROR(SUMPRODUCT((TableBOM[Product ID]=A7)*(TableBOM[Material Category]="ZINC POWDER")*TableBOM[Per 1000 Units]*(1+TableBOM[Scrap %]))*I7/1000,0))</f>
        <v/>
      </c>
      <c r="O7" s="180" t="str">
        <f>IF(I7="","",IFERROR(SUMPRODUCT((TableBOM[Product ID]=A7)*(TableBOM[Material Category]="CAP")*TableBOM[Per 1000 Units]*(1+TableBOM[Scrap %]))*I7/1000,0))</f>
        <v/>
      </c>
      <c r="P7" s="180" t="str">
        <f>IF(I7="","",IFERROR(SUMPRODUCT((TableBOM[Product ID]=A7)*(TableBOM[Material Category]="CARTON")*TableBOM[Per 1000 Units]*(1+TableBOM[Scrap %]))*I7/1000,0))</f>
        <v/>
      </c>
      <c r="Q7" s="180"/>
      <c r="R7" s="180"/>
      <c r="S7" s="180"/>
    </row>
    <row r="8" spans="1:19" ht="15" customHeight="1" x14ac:dyDescent="0.25">
      <c r="A8" s="176">
        <v>6623</v>
      </c>
      <c r="B8" s="176">
        <v>193</v>
      </c>
      <c r="C8" s="176" t="s">
        <v>26</v>
      </c>
      <c r="D8" s="177" t="s">
        <v>27</v>
      </c>
      <c r="E8" s="176">
        <v>19</v>
      </c>
      <c r="F8" s="176">
        <v>120</v>
      </c>
      <c r="G8" s="176" t="s">
        <v>20</v>
      </c>
      <c r="H8" s="176">
        <v>510</v>
      </c>
      <c r="J8" t="str">
        <f>IF(I8="","",IFERROR(SUMPRODUCT((TableBOM[Product ID]=A8)*(TableBOM[Material Category]="SLUG")*TableBOM[Per 1000 Units]*(1+TableBOM[Scrap %]))*I8/1000,0))</f>
        <v/>
      </c>
      <c r="K8" t="str">
        <f>IF(I8="","",IFERROR(SUMPRODUCT((TableBOM[Product ID]=A8)*(TableBOM[Material Category]="BASE COAT")*TableBOM[Per 1000 Units]*(1+TableBOM[Scrap %]))*I8/1000,0))</f>
        <v/>
      </c>
      <c r="L8" t="str">
        <f>IF(I8="","",IFERROR(SUMPRODUCT((TableBOM[Product ID]=A8)*(TableBOM[Material Category]="LACQUER")*TableBOM[Per 1000 Units]*(1+TableBOM[Scrap %]))*I8/1000,0))</f>
        <v/>
      </c>
      <c r="M8" t="str">
        <f>IF(I8="","",IFERROR(SUMPRODUCT((TableBOM[Product ID]=A8)*(TableBOM[Material Category]="LATEX")*TableBOM[Per 1000 Units]*(1+TableBOM[Scrap %]))*I8/1000,0))</f>
        <v/>
      </c>
      <c r="N8" t="str">
        <f>IF(I8="","",IFERROR(SUMPRODUCT((TableBOM[Product ID]=A8)*(TableBOM[Material Category]="ZINC POWDER")*TableBOM[Per 1000 Units]*(1+TableBOM[Scrap %]))*I8/1000,0))</f>
        <v/>
      </c>
      <c r="O8" t="str">
        <f>IF(I8="","",IFERROR(SUMPRODUCT((TableBOM[Product ID]=A8)*(TableBOM[Material Category]="CAP")*TableBOM[Per 1000 Units]*(1+TableBOM[Scrap %]))*I8/1000,0))</f>
        <v/>
      </c>
      <c r="P8" t="str">
        <f>IF(I8="","",IFERROR(SUMPRODUCT((TableBOM[Product ID]=A8)*(TableBOM[Material Category]="CARTON")*TableBOM[Per 1000 Units]*(1+TableBOM[Scrap %]))*I8/1000,0))</f>
        <v/>
      </c>
    </row>
    <row r="9" spans="1:19" ht="15" customHeight="1" x14ac:dyDescent="0.25">
      <c r="A9" s="176">
        <v>6624</v>
      </c>
      <c r="B9" s="176">
        <v>192</v>
      </c>
      <c r="C9" s="176" t="s">
        <v>26</v>
      </c>
      <c r="D9" s="177" t="s">
        <v>28</v>
      </c>
      <c r="E9" s="176">
        <v>19</v>
      </c>
      <c r="F9" s="176">
        <v>120</v>
      </c>
      <c r="G9" s="176" t="s">
        <v>20</v>
      </c>
      <c r="H9" s="176">
        <v>510</v>
      </c>
      <c r="I9" s="195"/>
      <c r="J9" s="180" t="str">
        <f>IF(I9="","",IFERROR(SUMPRODUCT((TableBOM[Product ID]=A9)*(TableBOM[Material Category]="SLUG")*TableBOM[Per 1000 Units]*(1+TableBOM[Scrap %]))*I9/1000,0))</f>
        <v/>
      </c>
      <c r="K9" s="180" t="str">
        <f>IF(I9="","",IFERROR(SUMPRODUCT((TableBOM[Product ID]=A9)*(TableBOM[Material Category]="BASE COAT")*TableBOM[Per 1000 Units]*(1+TableBOM[Scrap %]))*I9/1000,0))</f>
        <v/>
      </c>
      <c r="L9" s="180" t="str">
        <f>IF(I9="","",IFERROR(SUMPRODUCT((TableBOM[Product ID]=A9)*(TableBOM[Material Category]="LACQUER")*TableBOM[Per 1000 Units]*(1+TableBOM[Scrap %]))*I9/1000,0))</f>
        <v/>
      </c>
      <c r="M9" s="180" t="str">
        <f>IF(I9="","",IFERROR(SUMPRODUCT((TableBOM[Product ID]=A9)*(TableBOM[Material Category]="LATEX")*TableBOM[Per 1000 Units]*(1+TableBOM[Scrap %]))*I9/1000,0))</f>
        <v/>
      </c>
      <c r="N9" s="180" t="str">
        <f>IF(I9="","",IFERROR(SUMPRODUCT((TableBOM[Product ID]=A9)*(TableBOM[Material Category]="ZINC POWDER")*TableBOM[Per 1000 Units]*(1+TableBOM[Scrap %]))*I9/1000,0))</f>
        <v/>
      </c>
      <c r="O9" s="180" t="str">
        <f>IF(I9="","",IFERROR(SUMPRODUCT((TableBOM[Product ID]=A9)*(TableBOM[Material Category]="CAP")*TableBOM[Per 1000 Units]*(1+TableBOM[Scrap %]))*I9/1000,0))</f>
        <v/>
      </c>
      <c r="P9" s="180" t="str">
        <f>IF(I9="","",IFERROR(SUMPRODUCT((TableBOM[Product ID]=A9)*(TableBOM[Material Category]="CARTON")*TableBOM[Per 1000 Units]*(1+TableBOM[Scrap %]))*I9/1000,0))</f>
        <v/>
      </c>
      <c r="Q9" s="180"/>
      <c r="R9" s="180"/>
      <c r="S9" s="180"/>
    </row>
    <row r="10" spans="1:19" ht="15" customHeight="1" x14ac:dyDescent="0.25">
      <c r="A10" s="176">
        <v>6077</v>
      </c>
      <c r="B10" s="176">
        <v>138</v>
      </c>
      <c r="C10" s="176" t="s">
        <v>29</v>
      </c>
      <c r="D10" s="177" t="s">
        <v>30</v>
      </c>
      <c r="E10" s="176">
        <v>20.5</v>
      </c>
      <c r="F10" s="176">
        <v>120</v>
      </c>
      <c r="G10" s="176" t="s">
        <v>31</v>
      </c>
      <c r="H10" s="176">
        <v>200</v>
      </c>
      <c r="I10" s="195"/>
      <c r="J10" s="180" t="str">
        <f>IF(I10="","",IFERROR(SUMPRODUCT((TableBOM[Product ID]=A10)*(TableBOM[Material Category]="SLUG")*TableBOM[Per 1000 Units]*(1+TableBOM[Scrap %]))*I10/1000,0))</f>
        <v/>
      </c>
      <c r="K10" s="180" t="str">
        <f>IF(I10="","",IFERROR(SUMPRODUCT((TableBOM[Product ID]=A10)*(TableBOM[Material Category]="BASE COAT")*TableBOM[Per 1000 Units]*(1+TableBOM[Scrap %]))*I10/1000,0))</f>
        <v/>
      </c>
      <c r="L10" s="180" t="str">
        <f>IF(I10="","",IFERROR(SUMPRODUCT((TableBOM[Product ID]=A10)*(TableBOM[Material Category]="LACQUER")*TableBOM[Per 1000 Units]*(1+TableBOM[Scrap %]))*I10/1000,0))</f>
        <v/>
      </c>
      <c r="M10" s="180" t="str">
        <f>IF(I10="","",IFERROR(SUMPRODUCT((TableBOM[Product ID]=A10)*(TableBOM[Material Category]="LATEX")*TableBOM[Per 1000 Units]*(1+TableBOM[Scrap %]))*I10/1000,0))</f>
        <v/>
      </c>
      <c r="N10" s="180" t="str">
        <f>IF(I10="","",IFERROR(SUMPRODUCT((TableBOM[Product ID]=A10)*(TableBOM[Material Category]="ZINC POWDER")*TableBOM[Per 1000 Units]*(1+TableBOM[Scrap %]))*I10/1000,0))</f>
        <v/>
      </c>
      <c r="O10" s="180" t="str">
        <f>IF(I10="","",IFERROR(SUMPRODUCT((TableBOM[Product ID]=A10)*(TableBOM[Material Category]="CAP")*TableBOM[Per 1000 Units]*(1+TableBOM[Scrap %]))*I10/1000,0))</f>
        <v/>
      </c>
      <c r="P10" s="180" t="str">
        <f>IF(I10="","",IFERROR(SUMPRODUCT((TableBOM[Product ID]=A10)*(TableBOM[Material Category]="CARTON")*TableBOM[Per 1000 Units]*(1+TableBOM[Scrap %]))*I10/1000,0))</f>
        <v/>
      </c>
      <c r="Q10" s="180"/>
      <c r="R10" s="180"/>
      <c r="S10" s="180"/>
    </row>
    <row r="11" spans="1:19" ht="15" customHeight="1" x14ac:dyDescent="0.25">
      <c r="A11" s="176">
        <v>5698</v>
      </c>
      <c r="B11" s="176">
        <v>22</v>
      </c>
      <c r="C11" s="176" t="s">
        <v>26</v>
      </c>
      <c r="D11" s="177" t="s">
        <v>32</v>
      </c>
      <c r="E11" s="176">
        <v>20.5</v>
      </c>
      <c r="F11" s="176">
        <v>120</v>
      </c>
      <c r="G11" s="176" t="s">
        <v>20</v>
      </c>
      <c r="H11" s="176">
        <v>336</v>
      </c>
      <c r="I11" s="195"/>
      <c r="J11" s="180" t="str">
        <f>IF(I11="","",IFERROR(SUMPRODUCT((TableBOM[Product ID]=A11)*(TableBOM[Material Category]="SLUG")*TableBOM[Per 1000 Units]*(1+TableBOM[Scrap %]))*I11/1000,0))</f>
        <v/>
      </c>
      <c r="K11" s="180" t="str">
        <f>IF(I11="","",IFERROR(SUMPRODUCT((TableBOM[Product ID]=A11)*(TableBOM[Material Category]="BASE COAT")*TableBOM[Per 1000 Units]*(1+TableBOM[Scrap %]))*I11/1000,0))</f>
        <v/>
      </c>
      <c r="L11" s="180" t="str">
        <f>IF(I11="","",IFERROR(SUMPRODUCT((TableBOM[Product ID]=A11)*(TableBOM[Material Category]="LACQUER")*TableBOM[Per 1000 Units]*(1+TableBOM[Scrap %]))*I11/1000,0))</f>
        <v/>
      </c>
      <c r="M11" s="180" t="str">
        <f>IF(I11="","",IFERROR(SUMPRODUCT((TableBOM[Product ID]=A11)*(TableBOM[Material Category]="LATEX")*TableBOM[Per 1000 Units]*(1+TableBOM[Scrap %]))*I11/1000,0))</f>
        <v/>
      </c>
      <c r="N11" s="180" t="str">
        <f>IF(I11="","",IFERROR(SUMPRODUCT((TableBOM[Product ID]=A11)*(TableBOM[Material Category]="ZINC POWDER")*TableBOM[Per 1000 Units]*(1+TableBOM[Scrap %]))*I11/1000,0))</f>
        <v/>
      </c>
      <c r="O11" s="180" t="str">
        <f>IF(I11="","",IFERROR(SUMPRODUCT((TableBOM[Product ID]=A11)*(TableBOM[Material Category]="CAP")*TableBOM[Per 1000 Units]*(1+TableBOM[Scrap %]))*I11/1000,0))</f>
        <v/>
      </c>
      <c r="P11" s="180" t="str">
        <f>IF(I11="","",IFERROR(SUMPRODUCT((TableBOM[Product ID]=A11)*(TableBOM[Material Category]="CARTON")*TableBOM[Per 1000 Units]*(1+TableBOM[Scrap %]))*I11/1000,0))</f>
        <v/>
      </c>
      <c r="Q11" s="180"/>
      <c r="R11" s="180"/>
      <c r="S11" s="180"/>
    </row>
    <row r="12" spans="1:19" ht="15" customHeight="1" x14ac:dyDescent="0.25">
      <c r="A12" s="176">
        <v>5699</v>
      </c>
      <c r="B12" s="176">
        <v>21</v>
      </c>
      <c r="C12" s="176" t="s">
        <v>26</v>
      </c>
      <c r="D12" s="177" t="s">
        <v>33</v>
      </c>
      <c r="E12" s="176">
        <v>20.5</v>
      </c>
      <c r="F12" s="176">
        <v>120</v>
      </c>
      <c r="G12" s="176" t="s">
        <v>20</v>
      </c>
      <c r="H12" s="176">
        <v>336</v>
      </c>
      <c r="I12" s="195"/>
      <c r="J12" s="180" t="str">
        <f>IF(I12="","",IFERROR(SUMPRODUCT((TableBOM[Product ID]=A12)*(TableBOM[Material Category]="SLUG")*TableBOM[Per 1000 Units]*(1+TableBOM[Scrap %]))*I12/1000,0))</f>
        <v/>
      </c>
      <c r="K12" s="180" t="str">
        <f>IF(I12="","",IFERROR(SUMPRODUCT((TableBOM[Product ID]=A12)*(TableBOM[Material Category]="BASE COAT")*TableBOM[Per 1000 Units]*(1+TableBOM[Scrap %]))*I12/1000,0))</f>
        <v/>
      </c>
      <c r="L12" s="180" t="str">
        <f>IF(I12="","",IFERROR(SUMPRODUCT((TableBOM[Product ID]=A12)*(TableBOM[Material Category]="LACQUER")*TableBOM[Per 1000 Units]*(1+TableBOM[Scrap %]))*I12/1000,0))</f>
        <v/>
      </c>
      <c r="M12" s="180" t="str">
        <f>IF(I12="","",IFERROR(SUMPRODUCT((TableBOM[Product ID]=A12)*(TableBOM[Material Category]="LATEX")*TableBOM[Per 1000 Units]*(1+TableBOM[Scrap %]))*I12/1000,0))</f>
        <v/>
      </c>
      <c r="N12" s="180" t="str">
        <f>IF(I12="","",IFERROR(SUMPRODUCT((TableBOM[Product ID]=A12)*(TableBOM[Material Category]="ZINC POWDER")*TableBOM[Per 1000 Units]*(1+TableBOM[Scrap %]))*I12/1000,0))</f>
        <v/>
      </c>
      <c r="O12" s="180" t="str">
        <f>IF(I12="","",IFERROR(SUMPRODUCT((TableBOM[Product ID]=A12)*(TableBOM[Material Category]="CAP")*TableBOM[Per 1000 Units]*(1+TableBOM[Scrap %]))*I12/1000,0))</f>
        <v/>
      </c>
      <c r="P12" s="180" t="str">
        <f>IF(I12="","",IFERROR(SUMPRODUCT((TableBOM[Product ID]=A12)*(TableBOM[Material Category]="CARTON")*TableBOM[Per 1000 Units]*(1+TableBOM[Scrap %]))*I12/1000,0))</f>
        <v/>
      </c>
      <c r="Q12" s="180"/>
      <c r="R12" s="180"/>
      <c r="S12" s="180"/>
    </row>
    <row r="13" spans="1:19" ht="15" customHeight="1" x14ac:dyDescent="0.25">
      <c r="A13" s="176">
        <v>5731</v>
      </c>
      <c r="B13" s="176">
        <v>32</v>
      </c>
      <c r="C13" s="176" t="s">
        <v>26</v>
      </c>
      <c r="D13" s="177" t="s">
        <v>34</v>
      </c>
      <c r="E13" s="176">
        <v>20.5</v>
      </c>
      <c r="F13" s="176">
        <v>120</v>
      </c>
      <c r="G13" s="176" t="s">
        <v>20</v>
      </c>
      <c r="H13" s="176">
        <v>510</v>
      </c>
      <c r="I13" s="195"/>
      <c r="J13" s="180" t="str">
        <f>IF(I13="","",IFERROR(SUMPRODUCT((TableBOM[Product ID]=A13)*(TableBOM[Material Category]="SLUG")*TableBOM[Per 1000 Units]*(1+TableBOM[Scrap %]))*I13/1000,0))</f>
        <v/>
      </c>
      <c r="K13" s="180" t="str">
        <f>IF(I13="","",IFERROR(SUMPRODUCT((TableBOM[Product ID]=A13)*(TableBOM[Material Category]="BASE COAT")*TableBOM[Per 1000 Units]*(1+TableBOM[Scrap %]))*I13/1000,0))</f>
        <v/>
      </c>
      <c r="L13" s="180" t="str">
        <f>IF(I13="","",IFERROR(SUMPRODUCT((TableBOM[Product ID]=A13)*(TableBOM[Material Category]="LACQUER")*TableBOM[Per 1000 Units]*(1+TableBOM[Scrap %]))*I13/1000,0))</f>
        <v/>
      </c>
      <c r="M13" s="180" t="str">
        <f>IF(I13="","",IFERROR(SUMPRODUCT((TableBOM[Product ID]=A13)*(TableBOM[Material Category]="LATEX")*TableBOM[Per 1000 Units]*(1+TableBOM[Scrap %]))*I13/1000,0))</f>
        <v/>
      </c>
      <c r="N13" s="180" t="str">
        <f>IF(I13="","",IFERROR(SUMPRODUCT((TableBOM[Product ID]=A13)*(TableBOM[Material Category]="ZINC POWDER")*TableBOM[Per 1000 Units]*(1+TableBOM[Scrap %]))*I13/1000,0))</f>
        <v/>
      </c>
      <c r="O13" s="180" t="str">
        <f>IF(I13="","",IFERROR(SUMPRODUCT((TableBOM[Product ID]=A13)*(TableBOM[Material Category]="CAP")*TableBOM[Per 1000 Units]*(1+TableBOM[Scrap %]))*I13/1000,0))</f>
        <v/>
      </c>
      <c r="P13" s="180" t="str">
        <f>IF(I13="","",IFERROR(SUMPRODUCT((TableBOM[Product ID]=A13)*(TableBOM[Material Category]="CARTON")*TableBOM[Per 1000 Units]*(1+TableBOM[Scrap %]))*I13/1000,0))</f>
        <v/>
      </c>
      <c r="Q13" s="180"/>
      <c r="R13" s="180"/>
      <c r="S13" s="180"/>
    </row>
    <row r="14" spans="1:19" ht="15" customHeight="1" x14ac:dyDescent="0.25">
      <c r="A14" s="176">
        <v>5732</v>
      </c>
      <c r="B14" s="176">
        <v>33</v>
      </c>
      <c r="C14" s="176" t="s">
        <v>26</v>
      </c>
      <c r="D14" s="177" t="s">
        <v>35</v>
      </c>
      <c r="E14" s="176">
        <v>20.5</v>
      </c>
      <c r="F14" s="176">
        <v>120</v>
      </c>
      <c r="G14" s="176" t="s">
        <v>20</v>
      </c>
      <c r="H14" s="176">
        <v>510</v>
      </c>
      <c r="I14" s="195"/>
      <c r="J14" s="180" t="str">
        <f>IF(I14="","",IFERROR(SUMPRODUCT((TableBOM[Product ID]=A14)*(TableBOM[Material Category]="SLUG")*TableBOM[Per 1000 Units]*(1+TableBOM[Scrap %]))*I14/1000,0))</f>
        <v/>
      </c>
      <c r="K14" s="180" t="str">
        <f>IF(I14="","",IFERROR(SUMPRODUCT((TableBOM[Product ID]=A14)*(TableBOM[Material Category]="BASE COAT")*TableBOM[Per 1000 Units]*(1+TableBOM[Scrap %]))*I14/1000,0))</f>
        <v/>
      </c>
      <c r="L14" s="180" t="str">
        <f>IF(I14="","",IFERROR(SUMPRODUCT((TableBOM[Product ID]=A14)*(TableBOM[Material Category]="LACQUER")*TableBOM[Per 1000 Units]*(1+TableBOM[Scrap %]))*I14/1000,0))</f>
        <v/>
      </c>
      <c r="M14" s="180" t="str">
        <f>IF(I14="","",IFERROR(SUMPRODUCT((TableBOM[Product ID]=A14)*(TableBOM[Material Category]="LATEX")*TableBOM[Per 1000 Units]*(1+TableBOM[Scrap %]))*I14/1000,0))</f>
        <v/>
      </c>
      <c r="N14" s="180" t="str">
        <f>IF(I14="","",IFERROR(SUMPRODUCT((TableBOM[Product ID]=A14)*(TableBOM[Material Category]="ZINC POWDER")*TableBOM[Per 1000 Units]*(1+TableBOM[Scrap %]))*I14/1000,0))</f>
        <v/>
      </c>
      <c r="O14" s="180" t="str">
        <f>IF(I14="","",IFERROR(SUMPRODUCT((TableBOM[Product ID]=A14)*(TableBOM[Material Category]="CAP")*TableBOM[Per 1000 Units]*(1+TableBOM[Scrap %]))*I14/1000,0))</f>
        <v/>
      </c>
      <c r="P14" s="180" t="str">
        <f>IF(I14="","",IFERROR(SUMPRODUCT((TableBOM[Product ID]=A14)*(TableBOM[Material Category]="CARTON")*TableBOM[Per 1000 Units]*(1+TableBOM[Scrap %]))*I14/1000,0))</f>
        <v/>
      </c>
      <c r="Q14" s="180"/>
      <c r="R14" s="180"/>
      <c r="S14" s="180"/>
    </row>
    <row r="15" spans="1:19" ht="15" customHeight="1" x14ac:dyDescent="0.25">
      <c r="A15" s="176">
        <v>6556</v>
      </c>
      <c r="B15" s="176">
        <v>186</v>
      </c>
      <c r="C15" s="176" t="s">
        <v>26</v>
      </c>
      <c r="D15" s="177" t="s">
        <v>36</v>
      </c>
      <c r="E15" s="176">
        <v>20.5</v>
      </c>
      <c r="F15" s="176">
        <v>120</v>
      </c>
      <c r="G15" s="176" t="s">
        <v>20</v>
      </c>
      <c r="H15" s="176">
        <v>510</v>
      </c>
      <c r="I15" s="195"/>
      <c r="J15" s="180" t="str">
        <f>IF(I15="","",IFERROR(SUMPRODUCT((TableBOM[Product ID]=A15)*(TableBOM[Material Category]="SLUG")*TableBOM[Per 1000 Units]*(1+TableBOM[Scrap %]))*I15/1000,0))</f>
        <v/>
      </c>
      <c r="K15" s="180" t="str">
        <f>IF(I15="","",IFERROR(SUMPRODUCT((TableBOM[Product ID]=A15)*(TableBOM[Material Category]="BASE COAT")*TableBOM[Per 1000 Units]*(1+TableBOM[Scrap %]))*I15/1000,0))</f>
        <v/>
      </c>
      <c r="L15" s="180" t="str">
        <f>IF(I15="","",IFERROR(SUMPRODUCT((TableBOM[Product ID]=A15)*(TableBOM[Material Category]="LACQUER")*TableBOM[Per 1000 Units]*(1+TableBOM[Scrap %]))*I15/1000,0))</f>
        <v/>
      </c>
      <c r="M15" s="180" t="str">
        <f>IF(I15="","",IFERROR(SUMPRODUCT((TableBOM[Product ID]=A15)*(TableBOM[Material Category]="LATEX")*TableBOM[Per 1000 Units]*(1+TableBOM[Scrap %]))*I15/1000,0))</f>
        <v/>
      </c>
      <c r="N15" s="180" t="str">
        <f>IF(I15="","",IFERROR(SUMPRODUCT((TableBOM[Product ID]=A15)*(TableBOM[Material Category]="ZINC POWDER")*TableBOM[Per 1000 Units]*(1+TableBOM[Scrap %]))*I15/1000,0))</f>
        <v/>
      </c>
      <c r="O15" s="180" t="str">
        <f>IF(I15="","",IFERROR(SUMPRODUCT((TableBOM[Product ID]=A15)*(TableBOM[Material Category]="CAP")*TableBOM[Per 1000 Units]*(1+TableBOM[Scrap %]))*I15/1000,0))</f>
        <v/>
      </c>
      <c r="P15" s="180" t="str">
        <f>IF(I15="","",IFERROR(SUMPRODUCT((TableBOM[Product ID]=A15)*(TableBOM[Material Category]="CARTON")*TableBOM[Per 1000 Units]*(1+TableBOM[Scrap %]))*I15/1000,0))</f>
        <v/>
      </c>
      <c r="Q15" s="180"/>
      <c r="R15" s="180"/>
      <c r="S15" s="180"/>
    </row>
    <row r="16" spans="1:19" ht="15" customHeight="1" x14ac:dyDescent="0.25">
      <c r="A16" s="176">
        <v>6557</v>
      </c>
      <c r="B16" s="176">
        <v>185</v>
      </c>
      <c r="C16" s="176" t="s">
        <v>26</v>
      </c>
      <c r="D16" s="177" t="s">
        <v>37</v>
      </c>
      <c r="E16" s="176">
        <v>20.5</v>
      </c>
      <c r="F16" s="176">
        <v>120</v>
      </c>
      <c r="G16" s="176" t="s">
        <v>20</v>
      </c>
      <c r="H16" s="176">
        <v>510</v>
      </c>
      <c r="I16" s="195"/>
      <c r="J16" s="180" t="str">
        <f>IF(I16="","",IFERROR(SUMPRODUCT((TableBOM[Product ID]=A16)*(TableBOM[Material Category]="SLUG")*TableBOM[Per 1000 Units]*(1+TableBOM[Scrap %]))*I16/1000,0))</f>
        <v/>
      </c>
      <c r="K16" s="180" t="str">
        <f>IF(I16="","",IFERROR(SUMPRODUCT((TableBOM[Product ID]=A16)*(TableBOM[Material Category]="BASE COAT")*TableBOM[Per 1000 Units]*(1+TableBOM[Scrap %]))*I16/1000,0))</f>
        <v/>
      </c>
      <c r="L16" s="180" t="str">
        <f>IF(I16="","",IFERROR(SUMPRODUCT((TableBOM[Product ID]=A16)*(TableBOM[Material Category]="LACQUER")*TableBOM[Per 1000 Units]*(1+TableBOM[Scrap %]))*I16/1000,0))</f>
        <v/>
      </c>
      <c r="M16" s="180" t="str">
        <f>IF(I16="","",IFERROR(SUMPRODUCT((TableBOM[Product ID]=A16)*(TableBOM[Material Category]="LATEX")*TableBOM[Per 1000 Units]*(1+TableBOM[Scrap %]))*I16/1000,0))</f>
        <v/>
      </c>
      <c r="N16" s="180" t="str">
        <f>IF(I16="","",IFERROR(SUMPRODUCT((TableBOM[Product ID]=A16)*(TableBOM[Material Category]="ZINC POWDER")*TableBOM[Per 1000 Units]*(1+TableBOM[Scrap %]))*I16/1000,0))</f>
        <v/>
      </c>
      <c r="O16" s="180" t="str">
        <f>IF(I16="","",IFERROR(SUMPRODUCT((TableBOM[Product ID]=A16)*(TableBOM[Material Category]="CAP")*TableBOM[Per 1000 Units]*(1+TableBOM[Scrap %]))*I16/1000,0))</f>
        <v/>
      </c>
      <c r="P16" s="180" t="str">
        <f>IF(I16="","",IFERROR(SUMPRODUCT((TableBOM[Product ID]=A16)*(TableBOM[Material Category]="CARTON")*TableBOM[Per 1000 Units]*(1+TableBOM[Scrap %]))*I16/1000,0))</f>
        <v/>
      </c>
      <c r="Q16" s="180"/>
      <c r="R16" s="180"/>
      <c r="S16" s="180"/>
    </row>
    <row r="17" spans="1:19" ht="15" customHeight="1" x14ac:dyDescent="0.25">
      <c r="A17" s="176">
        <v>6228</v>
      </c>
      <c r="B17" s="176">
        <v>150</v>
      </c>
      <c r="C17" s="176" t="s">
        <v>29</v>
      </c>
      <c r="D17" s="177" t="s">
        <v>38</v>
      </c>
      <c r="E17" s="176">
        <v>25</v>
      </c>
      <c r="F17" s="176">
        <v>130</v>
      </c>
      <c r="G17" s="176" t="s">
        <v>31</v>
      </c>
      <c r="H17" s="176">
        <v>336</v>
      </c>
      <c r="I17" s="195"/>
      <c r="J17" s="180" t="str">
        <f>IF(I17="","",IFERROR(SUMPRODUCT((TableBOM[Product ID]=A17)*(TableBOM[Material Category]="SLUG")*TableBOM[Per 1000 Units]*(1+TableBOM[Scrap %]))*I17/1000,0))</f>
        <v/>
      </c>
      <c r="K17" s="180" t="str">
        <f>IF(I17="","",IFERROR(SUMPRODUCT((TableBOM[Product ID]=A17)*(TableBOM[Material Category]="BASE COAT")*TableBOM[Per 1000 Units]*(1+TableBOM[Scrap %]))*I17/1000,0))</f>
        <v/>
      </c>
      <c r="L17" s="180" t="str">
        <f>IF(I17="","",IFERROR(SUMPRODUCT((TableBOM[Product ID]=A17)*(TableBOM[Material Category]="LACQUER")*TableBOM[Per 1000 Units]*(1+TableBOM[Scrap %]))*I17/1000,0))</f>
        <v/>
      </c>
      <c r="M17" s="180" t="str">
        <f>IF(I17="","",IFERROR(SUMPRODUCT((TableBOM[Product ID]=A17)*(TableBOM[Material Category]="LATEX")*TableBOM[Per 1000 Units]*(1+TableBOM[Scrap %]))*I17/1000,0))</f>
        <v/>
      </c>
      <c r="N17" s="180" t="str">
        <f>IF(I17="","",IFERROR(SUMPRODUCT((TableBOM[Product ID]=A17)*(TableBOM[Material Category]="ZINC POWDER")*TableBOM[Per 1000 Units]*(1+TableBOM[Scrap %]))*I17/1000,0))</f>
        <v/>
      </c>
      <c r="O17" s="180" t="str">
        <f>IF(I17="","",IFERROR(SUMPRODUCT((TableBOM[Product ID]=A17)*(TableBOM[Material Category]="CAP")*TableBOM[Per 1000 Units]*(1+TableBOM[Scrap %]))*I17/1000,0))</f>
        <v/>
      </c>
      <c r="P17" s="180" t="str">
        <f>IF(I17="","",IFERROR(SUMPRODUCT((TableBOM[Product ID]=A17)*(TableBOM[Material Category]="CARTON")*TableBOM[Per 1000 Units]*(1+TableBOM[Scrap %]))*I17/1000,0))</f>
        <v/>
      </c>
      <c r="Q17" s="180"/>
      <c r="R17" s="180"/>
      <c r="S17" s="180"/>
    </row>
    <row r="18" spans="1:19" ht="15" customHeight="1" x14ac:dyDescent="0.25">
      <c r="A18" s="176">
        <v>3447</v>
      </c>
      <c r="B18" s="176">
        <v>34</v>
      </c>
      <c r="C18" s="176" t="s">
        <v>26</v>
      </c>
      <c r="D18" s="177" t="s">
        <v>39</v>
      </c>
      <c r="E18" s="176">
        <v>25</v>
      </c>
      <c r="F18" s="176">
        <v>150</v>
      </c>
      <c r="G18" s="176" t="s">
        <v>20</v>
      </c>
      <c r="H18" s="176">
        <v>336</v>
      </c>
      <c r="I18" s="195"/>
      <c r="J18" s="180" t="str">
        <f>IF(I18="","",IFERROR(SUMPRODUCT((TableBOM[Product ID]=A18)*(TableBOM[Material Category]="SLUG")*TableBOM[Per 1000 Units]*(1+TableBOM[Scrap %]))*I18/1000,0))</f>
        <v/>
      </c>
      <c r="K18" s="180" t="str">
        <f>IF(I18="","",IFERROR(SUMPRODUCT((TableBOM[Product ID]=A18)*(TableBOM[Material Category]="BASE COAT")*TableBOM[Per 1000 Units]*(1+TableBOM[Scrap %]))*I18/1000,0))</f>
        <v/>
      </c>
      <c r="L18" s="180" t="str">
        <f>IF(I18="","",IFERROR(SUMPRODUCT((TableBOM[Product ID]=A18)*(TableBOM[Material Category]="LACQUER")*TableBOM[Per 1000 Units]*(1+TableBOM[Scrap %]))*I18/1000,0))</f>
        <v/>
      </c>
      <c r="M18" s="180" t="str">
        <f>IF(I18="","",IFERROR(SUMPRODUCT((TableBOM[Product ID]=A18)*(TableBOM[Material Category]="LATEX")*TableBOM[Per 1000 Units]*(1+TableBOM[Scrap %]))*I18/1000,0))</f>
        <v/>
      </c>
      <c r="N18" s="180" t="str">
        <f>IF(I18="","",IFERROR(SUMPRODUCT((TableBOM[Product ID]=A18)*(TableBOM[Material Category]="ZINC POWDER")*TableBOM[Per 1000 Units]*(1+TableBOM[Scrap %]))*I18/1000,0))</f>
        <v/>
      </c>
      <c r="O18" s="180" t="str">
        <f>IF(I18="","",IFERROR(SUMPRODUCT((TableBOM[Product ID]=A18)*(TableBOM[Material Category]="CAP")*TableBOM[Per 1000 Units]*(1+TableBOM[Scrap %]))*I18/1000,0))</f>
        <v/>
      </c>
      <c r="P18" s="180" t="str">
        <f>IF(I18="","",IFERROR(SUMPRODUCT((TableBOM[Product ID]=A18)*(TableBOM[Material Category]="CARTON")*TableBOM[Per 1000 Units]*(1+TableBOM[Scrap %]))*I18/1000,0))</f>
        <v/>
      </c>
      <c r="Q18" s="180"/>
      <c r="R18" s="180"/>
      <c r="S18" s="180"/>
    </row>
    <row r="19" spans="1:19" ht="15" customHeight="1" x14ac:dyDescent="0.25">
      <c r="A19" s="176">
        <v>3726</v>
      </c>
      <c r="B19" s="176">
        <v>9</v>
      </c>
      <c r="C19" s="176" t="s">
        <v>26</v>
      </c>
      <c r="D19" s="177" t="s">
        <v>40</v>
      </c>
      <c r="E19" s="176">
        <v>25</v>
      </c>
      <c r="F19" s="176">
        <v>150</v>
      </c>
      <c r="G19" s="176" t="s">
        <v>20</v>
      </c>
      <c r="H19" s="176">
        <v>336</v>
      </c>
      <c r="I19" s="195"/>
      <c r="J19" s="180" t="str">
        <f>IF(I19="","",IFERROR(SUMPRODUCT((TableBOM[Product ID]=A19)*(TableBOM[Material Category]="SLUG")*TableBOM[Per 1000 Units]*(1+TableBOM[Scrap %]))*I19/1000,0))</f>
        <v/>
      </c>
      <c r="K19" s="180" t="str">
        <f>IF(I19="","",IFERROR(SUMPRODUCT((TableBOM[Product ID]=A19)*(TableBOM[Material Category]="BASE COAT")*TableBOM[Per 1000 Units]*(1+TableBOM[Scrap %]))*I19/1000,0))</f>
        <v/>
      </c>
      <c r="L19" s="180" t="str">
        <f>IF(I19="","",IFERROR(SUMPRODUCT((TableBOM[Product ID]=A19)*(TableBOM[Material Category]="LACQUER")*TableBOM[Per 1000 Units]*(1+TableBOM[Scrap %]))*I19/1000,0))</f>
        <v/>
      </c>
      <c r="M19" s="180" t="str">
        <f>IF(I19="","",IFERROR(SUMPRODUCT((TableBOM[Product ID]=A19)*(TableBOM[Material Category]="LATEX")*TableBOM[Per 1000 Units]*(1+TableBOM[Scrap %]))*I19/1000,0))</f>
        <v/>
      </c>
      <c r="N19" s="180" t="str">
        <f>IF(I19="","",IFERROR(SUMPRODUCT((TableBOM[Product ID]=A19)*(TableBOM[Material Category]="ZINC POWDER")*TableBOM[Per 1000 Units]*(1+TableBOM[Scrap %]))*I19/1000,0))</f>
        <v/>
      </c>
      <c r="O19" s="180" t="str">
        <f>IF(I19="","",IFERROR(SUMPRODUCT((TableBOM[Product ID]=A19)*(TableBOM[Material Category]="CAP")*TableBOM[Per 1000 Units]*(1+TableBOM[Scrap %]))*I19/1000,0))</f>
        <v/>
      </c>
      <c r="P19" s="180" t="str">
        <f>IF(I19="","",IFERROR(SUMPRODUCT((TableBOM[Product ID]=A19)*(TableBOM[Material Category]="CARTON")*TableBOM[Per 1000 Units]*(1+TableBOM[Scrap %]))*I19/1000,0))</f>
        <v/>
      </c>
      <c r="Q19" s="180"/>
      <c r="R19" s="180"/>
      <c r="S19" s="180"/>
    </row>
    <row r="20" spans="1:19" ht="15" customHeight="1" x14ac:dyDescent="0.25">
      <c r="A20" s="176">
        <v>6470</v>
      </c>
      <c r="B20" s="176">
        <v>177</v>
      </c>
      <c r="C20" s="176" t="s">
        <v>26</v>
      </c>
      <c r="D20" s="177" t="s">
        <v>41</v>
      </c>
      <c r="E20" s="176">
        <v>25</v>
      </c>
      <c r="F20" s="176">
        <v>150</v>
      </c>
      <c r="G20" s="176" t="s">
        <v>20</v>
      </c>
      <c r="H20" s="176">
        <v>336</v>
      </c>
      <c r="I20" s="195"/>
      <c r="J20" s="180" t="str">
        <f>IF(I20="","",IFERROR(SUMPRODUCT((TableBOM[Product ID]=A20)*(TableBOM[Material Category]="SLUG")*TableBOM[Per 1000 Units]*(1+TableBOM[Scrap %]))*I20/1000,0))</f>
        <v/>
      </c>
      <c r="K20" s="180" t="str">
        <f>IF(I20="","",IFERROR(SUMPRODUCT((TableBOM[Product ID]=A20)*(TableBOM[Material Category]="BASE COAT")*TableBOM[Per 1000 Units]*(1+TableBOM[Scrap %]))*I20/1000,0))</f>
        <v/>
      </c>
      <c r="L20" s="180" t="str">
        <f>IF(I20="","",IFERROR(SUMPRODUCT((TableBOM[Product ID]=A20)*(TableBOM[Material Category]="LACQUER")*TableBOM[Per 1000 Units]*(1+TableBOM[Scrap %]))*I20/1000,0))</f>
        <v/>
      </c>
      <c r="M20" s="180" t="str">
        <f>IF(I20="","",IFERROR(SUMPRODUCT((TableBOM[Product ID]=A20)*(TableBOM[Material Category]="LATEX")*TableBOM[Per 1000 Units]*(1+TableBOM[Scrap %]))*I20/1000,0))</f>
        <v/>
      </c>
      <c r="N20" s="180" t="str">
        <f>IF(I20="","",IFERROR(SUMPRODUCT((TableBOM[Product ID]=A20)*(TableBOM[Material Category]="ZINC POWDER")*TableBOM[Per 1000 Units]*(1+TableBOM[Scrap %]))*I20/1000,0))</f>
        <v/>
      </c>
      <c r="O20" s="180" t="str">
        <f>IF(I20="","",IFERROR(SUMPRODUCT((TableBOM[Product ID]=A20)*(TableBOM[Material Category]="CAP")*TableBOM[Per 1000 Units]*(1+TableBOM[Scrap %]))*I20/1000,0))</f>
        <v/>
      </c>
      <c r="P20" s="180" t="str">
        <f>IF(I20="","",IFERROR(SUMPRODUCT((TableBOM[Product ID]=A20)*(TableBOM[Material Category]="CARTON")*TableBOM[Per 1000 Units]*(1+TableBOM[Scrap %]))*I20/1000,0))</f>
        <v/>
      </c>
      <c r="Q20" s="180"/>
      <c r="R20" s="180"/>
      <c r="S20" s="180"/>
    </row>
    <row r="21" spans="1:19" ht="15" customHeight="1" x14ac:dyDescent="0.25">
      <c r="A21" s="176">
        <v>6506</v>
      </c>
      <c r="B21" s="176">
        <v>179</v>
      </c>
      <c r="C21" s="176" t="s">
        <v>26</v>
      </c>
      <c r="D21" s="177" t="s">
        <v>42</v>
      </c>
      <c r="E21" s="176">
        <v>25</v>
      </c>
      <c r="F21" s="176">
        <v>150</v>
      </c>
      <c r="G21" s="176" t="s">
        <v>20</v>
      </c>
      <c r="H21" s="176">
        <v>336</v>
      </c>
      <c r="I21" s="195"/>
      <c r="J21" s="180" t="str">
        <f>IF(I21="","",IFERROR(SUMPRODUCT((TableBOM[Product ID]=A21)*(TableBOM[Material Category]="SLUG")*TableBOM[Per 1000 Units]*(1+TableBOM[Scrap %]))*I21/1000,0))</f>
        <v/>
      </c>
      <c r="K21" s="180" t="str">
        <f>IF(I21="","",IFERROR(SUMPRODUCT((TableBOM[Product ID]=A21)*(TableBOM[Material Category]="BASE COAT")*TableBOM[Per 1000 Units]*(1+TableBOM[Scrap %]))*I21/1000,0))</f>
        <v/>
      </c>
      <c r="L21" s="180" t="str">
        <f>IF(I21="","",IFERROR(SUMPRODUCT((TableBOM[Product ID]=A21)*(TableBOM[Material Category]="LACQUER")*TableBOM[Per 1000 Units]*(1+TableBOM[Scrap %]))*I21/1000,0))</f>
        <v/>
      </c>
      <c r="M21" s="180" t="str">
        <f>IF(I21="","",IFERROR(SUMPRODUCT((TableBOM[Product ID]=A21)*(TableBOM[Material Category]="LATEX")*TableBOM[Per 1000 Units]*(1+TableBOM[Scrap %]))*I21/1000,0))</f>
        <v/>
      </c>
      <c r="N21" s="180" t="str">
        <f>IF(I21="","",IFERROR(SUMPRODUCT((TableBOM[Product ID]=A21)*(TableBOM[Material Category]="ZINC POWDER")*TableBOM[Per 1000 Units]*(1+TableBOM[Scrap %]))*I21/1000,0))</f>
        <v/>
      </c>
      <c r="O21" s="180" t="str">
        <f>IF(I21="","",IFERROR(SUMPRODUCT((TableBOM[Product ID]=A21)*(TableBOM[Material Category]="CAP")*TableBOM[Per 1000 Units]*(1+TableBOM[Scrap %]))*I21/1000,0))</f>
        <v/>
      </c>
      <c r="P21" s="180" t="str">
        <f>IF(I21="","",IFERROR(SUMPRODUCT((TableBOM[Product ID]=A21)*(TableBOM[Material Category]="CARTON")*TableBOM[Per 1000 Units]*(1+TableBOM[Scrap %]))*I21/1000,0))</f>
        <v/>
      </c>
      <c r="Q21" s="180"/>
      <c r="R21" s="180"/>
      <c r="S21" s="180"/>
    </row>
    <row r="22" spans="1:19" ht="15" customHeight="1" x14ac:dyDescent="0.25">
      <c r="A22" s="176">
        <v>6532</v>
      </c>
      <c r="B22" s="176">
        <v>181</v>
      </c>
      <c r="C22" s="176" t="s">
        <v>26</v>
      </c>
      <c r="D22" s="177" t="s">
        <v>43</v>
      </c>
      <c r="E22" s="176">
        <v>25</v>
      </c>
      <c r="F22" s="176">
        <v>150</v>
      </c>
      <c r="G22" s="176" t="s">
        <v>20</v>
      </c>
      <c r="H22" s="176">
        <v>336</v>
      </c>
      <c r="I22" s="195"/>
      <c r="J22" s="180" t="str">
        <f>IF(I22="","",IFERROR(SUMPRODUCT((TableBOM[Product ID]=A22)*(TableBOM[Material Category]="SLUG")*TableBOM[Per 1000 Units]*(1+TableBOM[Scrap %]))*I22/1000,0))</f>
        <v/>
      </c>
      <c r="K22" s="180" t="str">
        <f>IF(I22="","",IFERROR(SUMPRODUCT((TableBOM[Product ID]=A22)*(TableBOM[Material Category]="BASE COAT")*TableBOM[Per 1000 Units]*(1+TableBOM[Scrap %]))*I22/1000,0))</f>
        <v/>
      </c>
      <c r="L22" s="180" t="str">
        <f>IF(I22="","",IFERROR(SUMPRODUCT((TableBOM[Product ID]=A22)*(TableBOM[Material Category]="LACQUER")*TableBOM[Per 1000 Units]*(1+TableBOM[Scrap %]))*I22/1000,0))</f>
        <v/>
      </c>
      <c r="M22" s="180" t="str">
        <f>IF(I22="","",IFERROR(SUMPRODUCT((TableBOM[Product ID]=A22)*(TableBOM[Material Category]="LATEX")*TableBOM[Per 1000 Units]*(1+TableBOM[Scrap %]))*I22/1000,0))</f>
        <v/>
      </c>
      <c r="N22" s="180" t="str">
        <f>IF(I22="","",IFERROR(SUMPRODUCT((TableBOM[Product ID]=A22)*(TableBOM[Material Category]="ZINC POWDER")*TableBOM[Per 1000 Units]*(1+TableBOM[Scrap %]))*I22/1000,0))</f>
        <v/>
      </c>
      <c r="O22" s="180" t="str">
        <f>IF(I22="","",IFERROR(SUMPRODUCT((TableBOM[Product ID]=A22)*(TableBOM[Material Category]="CAP")*TableBOM[Per 1000 Units]*(1+TableBOM[Scrap %]))*I22/1000,0))</f>
        <v/>
      </c>
      <c r="P22" s="180" t="str">
        <f>IF(I22="","",IFERROR(SUMPRODUCT((TableBOM[Product ID]=A22)*(TableBOM[Material Category]="CARTON")*TableBOM[Per 1000 Units]*(1+TableBOM[Scrap %]))*I22/1000,0))</f>
        <v/>
      </c>
      <c r="Q22" s="180"/>
      <c r="R22" s="180"/>
      <c r="S22" s="180"/>
    </row>
    <row r="23" spans="1:19" ht="15" customHeight="1" x14ac:dyDescent="0.25">
      <c r="A23" s="176">
        <v>9006</v>
      </c>
      <c r="B23" s="176">
        <v>906</v>
      </c>
      <c r="C23" s="176" t="s">
        <v>26</v>
      </c>
      <c r="D23" s="177" t="s">
        <v>44</v>
      </c>
      <c r="E23" s="176">
        <v>25</v>
      </c>
      <c r="F23" s="176">
        <v>150</v>
      </c>
      <c r="G23" s="176" t="s">
        <v>20</v>
      </c>
      <c r="H23" s="176">
        <v>336</v>
      </c>
      <c r="I23" s="195"/>
      <c r="J23" s="180" t="str">
        <f>IF(I23="","",IFERROR(SUMPRODUCT((TableBOM[Product ID]=A23)*(TableBOM[Material Category]="SLUG")*TableBOM[Per 1000 Units]*(1+TableBOM[Scrap %]))*I23/1000,0))</f>
        <v/>
      </c>
      <c r="K23" s="180" t="str">
        <f>IF(I23="","",IFERROR(SUMPRODUCT((TableBOM[Product ID]=A23)*(TableBOM[Material Category]="BASE COAT")*TableBOM[Per 1000 Units]*(1+TableBOM[Scrap %]))*I23/1000,0))</f>
        <v/>
      </c>
      <c r="L23" s="180" t="str">
        <f>IF(I23="","",IFERROR(SUMPRODUCT((TableBOM[Product ID]=A23)*(TableBOM[Material Category]="LACQUER")*TableBOM[Per 1000 Units]*(1+TableBOM[Scrap %]))*I23/1000,0))</f>
        <v/>
      </c>
      <c r="M23" s="180" t="str">
        <f>IF(I23="","",IFERROR(SUMPRODUCT((TableBOM[Product ID]=A23)*(TableBOM[Material Category]="LATEX")*TableBOM[Per 1000 Units]*(1+TableBOM[Scrap %]))*I23/1000,0))</f>
        <v/>
      </c>
      <c r="N23" s="180" t="str">
        <f>IF(I23="","",IFERROR(SUMPRODUCT((TableBOM[Product ID]=A23)*(TableBOM[Material Category]="ZINC POWDER")*TableBOM[Per 1000 Units]*(1+TableBOM[Scrap %]))*I23/1000,0))</f>
        <v/>
      </c>
      <c r="O23" s="180" t="str">
        <f>IF(I23="","",IFERROR(SUMPRODUCT((TableBOM[Product ID]=A23)*(TableBOM[Material Category]="CAP")*TableBOM[Per 1000 Units]*(1+TableBOM[Scrap %]))*I23/1000,0))</f>
        <v/>
      </c>
      <c r="P23" s="180" t="str">
        <f>IF(I23="","",IFERROR(SUMPRODUCT((TableBOM[Product ID]=A23)*(TableBOM[Material Category]="CARTON")*TableBOM[Per 1000 Units]*(1+TableBOM[Scrap %]))*I23/1000,0))</f>
        <v/>
      </c>
      <c r="Q23" s="180"/>
      <c r="R23" s="180"/>
      <c r="S23" s="180"/>
    </row>
    <row r="24" spans="1:19" ht="15" customHeight="1" x14ac:dyDescent="0.25">
      <c r="A24" s="176">
        <v>6338</v>
      </c>
      <c r="B24" s="176">
        <v>167</v>
      </c>
      <c r="C24" s="176" t="s">
        <v>45</v>
      </c>
      <c r="D24" s="177" t="s">
        <v>46</v>
      </c>
      <c r="E24" s="176">
        <v>25</v>
      </c>
      <c r="F24" s="176">
        <v>155</v>
      </c>
      <c r="G24" s="176" t="s">
        <v>20</v>
      </c>
      <c r="H24" s="176">
        <v>336</v>
      </c>
      <c r="I24" s="195"/>
      <c r="J24" s="180" t="str">
        <f>IF(I24="","",IFERROR(SUMPRODUCT((TableBOM[Product ID]=A24)*(TableBOM[Material Category]="SLUG")*TableBOM[Per 1000 Units]*(1+TableBOM[Scrap %]))*I24/1000,0))</f>
        <v/>
      </c>
      <c r="K24" s="180" t="str">
        <f>IF(I24="","",IFERROR(SUMPRODUCT((TableBOM[Product ID]=A24)*(TableBOM[Material Category]="BASE COAT")*TableBOM[Per 1000 Units]*(1+TableBOM[Scrap %]))*I24/1000,0))</f>
        <v/>
      </c>
      <c r="L24" s="180" t="str">
        <f>IF(I24="","",IFERROR(SUMPRODUCT((TableBOM[Product ID]=A24)*(TableBOM[Material Category]="LACQUER")*TableBOM[Per 1000 Units]*(1+TableBOM[Scrap %]))*I24/1000,0))</f>
        <v/>
      </c>
      <c r="M24" s="180" t="str">
        <f>IF(I24="","",IFERROR(SUMPRODUCT((TableBOM[Product ID]=A24)*(TableBOM[Material Category]="LATEX")*TableBOM[Per 1000 Units]*(1+TableBOM[Scrap %]))*I24/1000,0))</f>
        <v/>
      </c>
      <c r="N24" s="180" t="str">
        <f>IF(I24="","",IFERROR(SUMPRODUCT((TableBOM[Product ID]=A24)*(TableBOM[Material Category]="ZINC POWDER")*TableBOM[Per 1000 Units]*(1+TableBOM[Scrap %]))*I24/1000,0))</f>
        <v/>
      </c>
      <c r="O24" s="180" t="str">
        <f>IF(I24="","",IFERROR(SUMPRODUCT((TableBOM[Product ID]=A24)*(TableBOM[Material Category]="CAP")*TableBOM[Per 1000 Units]*(1+TableBOM[Scrap %]))*I24/1000,0))</f>
        <v/>
      </c>
      <c r="P24" s="180" t="str">
        <f>IF(I24="","",IFERROR(SUMPRODUCT((TableBOM[Product ID]=A24)*(TableBOM[Material Category]="CARTON")*TableBOM[Per 1000 Units]*(1+TableBOM[Scrap %]))*I24/1000,0))</f>
        <v/>
      </c>
      <c r="Q24" s="180"/>
      <c r="R24" s="180"/>
      <c r="S24" s="180"/>
    </row>
    <row r="25" spans="1:19" ht="15" customHeight="1" x14ac:dyDescent="0.25">
      <c r="A25" s="176">
        <v>6337</v>
      </c>
      <c r="B25" s="176">
        <v>166</v>
      </c>
      <c r="C25" s="176" t="s">
        <v>47</v>
      </c>
      <c r="D25" s="177" t="s">
        <v>48</v>
      </c>
      <c r="E25" s="176">
        <v>30</v>
      </c>
      <c r="F25" s="176">
        <v>130</v>
      </c>
      <c r="G25" s="176" t="s">
        <v>31</v>
      </c>
      <c r="H25" s="176">
        <v>150</v>
      </c>
      <c r="I25" s="195"/>
      <c r="J25" s="180" t="str">
        <f>IF(I25="","",IFERROR(SUMPRODUCT((TableBOM[Product ID]=A25)*(TableBOM[Material Category]="SLUG")*TableBOM[Per 1000 Units]*(1+TableBOM[Scrap %]))*I25/1000,0))</f>
        <v/>
      </c>
      <c r="K25" s="180" t="str">
        <f>IF(I25="","",IFERROR(SUMPRODUCT((TableBOM[Product ID]=A25)*(TableBOM[Material Category]="BASE COAT")*TableBOM[Per 1000 Units]*(1+TableBOM[Scrap %]))*I25/1000,0))</f>
        <v/>
      </c>
      <c r="L25" s="180" t="str">
        <f>IF(I25="","",IFERROR(SUMPRODUCT((TableBOM[Product ID]=A25)*(TableBOM[Material Category]="LACQUER")*TableBOM[Per 1000 Units]*(1+TableBOM[Scrap %]))*I25/1000,0))</f>
        <v/>
      </c>
      <c r="M25" s="180" t="str">
        <f>IF(I25="","",IFERROR(SUMPRODUCT((TableBOM[Product ID]=A25)*(TableBOM[Material Category]="LATEX")*TableBOM[Per 1000 Units]*(1+TableBOM[Scrap %]))*I25/1000,0))</f>
        <v/>
      </c>
      <c r="N25" s="180" t="str">
        <f>IF(I25="","",IFERROR(SUMPRODUCT((TableBOM[Product ID]=A25)*(TableBOM[Material Category]="ZINC POWDER")*TableBOM[Per 1000 Units]*(1+TableBOM[Scrap %]))*I25/1000,0))</f>
        <v/>
      </c>
      <c r="O25" s="180" t="str">
        <f>IF(I25="","",IFERROR(SUMPRODUCT((TableBOM[Product ID]=A25)*(TableBOM[Material Category]="CAP")*TableBOM[Per 1000 Units]*(1+TableBOM[Scrap %]))*I25/1000,0))</f>
        <v/>
      </c>
      <c r="P25" s="180" t="str">
        <f>IF(I25="","",IFERROR(SUMPRODUCT((TableBOM[Product ID]=A25)*(TableBOM[Material Category]="CARTON")*TableBOM[Per 1000 Units]*(1+TableBOM[Scrap %]))*I25/1000,0))</f>
        <v/>
      </c>
      <c r="Q25" s="180"/>
      <c r="R25" s="180"/>
      <c r="S25" s="180"/>
    </row>
    <row r="26" spans="1:19" ht="15" customHeight="1" x14ac:dyDescent="0.25">
      <c r="A26" s="176">
        <v>6416</v>
      </c>
      <c r="B26" s="176">
        <v>171</v>
      </c>
      <c r="C26" s="176" t="s">
        <v>47</v>
      </c>
      <c r="D26" s="177" t="s">
        <v>49</v>
      </c>
      <c r="E26" s="176">
        <v>30</v>
      </c>
      <c r="F26" s="176">
        <v>130</v>
      </c>
      <c r="G26" s="176" t="s">
        <v>31</v>
      </c>
      <c r="H26" s="176">
        <v>150</v>
      </c>
      <c r="I26" s="195"/>
      <c r="J26" s="180" t="str">
        <f>IF(I26="","",IFERROR(SUMPRODUCT((TableBOM[Product ID]=A26)*(TableBOM[Material Category]="SLUG")*TableBOM[Per 1000 Units]*(1+TableBOM[Scrap %]))*I26/1000,0))</f>
        <v/>
      </c>
      <c r="K26" s="180" t="str">
        <f>IF(I26="","",IFERROR(SUMPRODUCT((TableBOM[Product ID]=A26)*(TableBOM[Material Category]="BASE COAT")*TableBOM[Per 1000 Units]*(1+TableBOM[Scrap %]))*I26/1000,0))</f>
        <v/>
      </c>
      <c r="L26" s="180" t="str">
        <f>IF(I26="","",IFERROR(SUMPRODUCT((TableBOM[Product ID]=A26)*(TableBOM[Material Category]="LACQUER")*TableBOM[Per 1000 Units]*(1+TableBOM[Scrap %]))*I26/1000,0))</f>
        <v/>
      </c>
      <c r="M26" s="180" t="str">
        <f>IF(I26="","",IFERROR(SUMPRODUCT((TableBOM[Product ID]=A26)*(TableBOM[Material Category]="LATEX")*TableBOM[Per 1000 Units]*(1+TableBOM[Scrap %]))*I26/1000,0))</f>
        <v/>
      </c>
      <c r="N26" s="180" t="str">
        <f>IF(I26="","",IFERROR(SUMPRODUCT((TableBOM[Product ID]=A26)*(TableBOM[Material Category]="ZINC POWDER")*TableBOM[Per 1000 Units]*(1+TableBOM[Scrap %]))*I26/1000,0))</f>
        <v/>
      </c>
      <c r="O26" s="180" t="str">
        <f>IF(I26="","",IFERROR(SUMPRODUCT((TableBOM[Product ID]=A26)*(TableBOM[Material Category]="CAP")*TableBOM[Per 1000 Units]*(1+TableBOM[Scrap %]))*I26/1000,0))</f>
        <v/>
      </c>
      <c r="P26" s="180" t="str">
        <f>IF(I26="","",IFERROR(SUMPRODUCT((TableBOM[Product ID]=A26)*(TableBOM[Material Category]="CARTON")*TableBOM[Per 1000 Units]*(1+TableBOM[Scrap %]))*I26/1000,0))</f>
        <v/>
      </c>
      <c r="Q26" s="180"/>
      <c r="R26" s="180"/>
      <c r="S26" s="180"/>
    </row>
    <row r="27" spans="1:19" ht="15" customHeight="1" x14ac:dyDescent="0.25">
      <c r="A27" s="176">
        <v>6206</v>
      </c>
      <c r="B27" s="176">
        <v>149</v>
      </c>
      <c r="C27" s="176" t="s">
        <v>50</v>
      </c>
      <c r="D27" s="177" t="s">
        <v>51</v>
      </c>
      <c r="E27" s="176">
        <v>30</v>
      </c>
      <c r="F27" s="176">
        <v>130</v>
      </c>
      <c r="G27" s="176" t="s">
        <v>31</v>
      </c>
      <c r="H27" s="176">
        <v>245</v>
      </c>
      <c r="I27" s="195"/>
      <c r="J27" s="180" t="str">
        <f>IF(I27="","",IFERROR(SUMPRODUCT((TableBOM[Product ID]=A27)*(TableBOM[Material Category]="SLUG")*TableBOM[Per 1000 Units]*(1+TableBOM[Scrap %]))*I27/1000,0))</f>
        <v/>
      </c>
      <c r="K27" s="180" t="str">
        <f>IF(I27="","",IFERROR(SUMPRODUCT((TableBOM[Product ID]=A27)*(TableBOM[Material Category]="BASE COAT")*TableBOM[Per 1000 Units]*(1+TableBOM[Scrap %]))*I27/1000,0))</f>
        <v/>
      </c>
      <c r="L27" s="180" t="str">
        <f>IF(I27="","",IFERROR(SUMPRODUCT((TableBOM[Product ID]=A27)*(TableBOM[Material Category]="LACQUER")*TableBOM[Per 1000 Units]*(1+TableBOM[Scrap %]))*I27/1000,0))</f>
        <v/>
      </c>
      <c r="M27" s="180" t="str">
        <f>IF(I27="","",IFERROR(SUMPRODUCT((TableBOM[Product ID]=A27)*(TableBOM[Material Category]="LATEX")*TableBOM[Per 1000 Units]*(1+TableBOM[Scrap %]))*I27/1000,0))</f>
        <v/>
      </c>
      <c r="N27" s="180" t="str">
        <f>IF(I27="","",IFERROR(SUMPRODUCT((TableBOM[Product ID]=A27)*(TableBOM[Material Category]="ZINC POWDER")*TableBOM[Per 1000 Units]*(1+TableBOM[Scrap %]))*I27/1000,0))</f>
        <v/>
      </c>
      <c r="O27" s="180" t="str">
        <f>IF(I27="","",IFERROR(SUMPRODUCT((TableBOM[Product ID]=A27)*(TableBOM[Material Category]="CAP")*TableBOM[Per 1000 Units]*(1+TableBOM[Scrap %]))*I27/1000,0))</f>
        <v/>
      </c>
      <c r="P27" s="180" t="str">
        <f>IF(I27="","",IFERROR(SUMPRODUCT((TableBOM[Product ID]=A27)*(TableBOM[Material Category]="CARTON")*TableBOM[Per 1000 Units]*(1+TableBOM[Scrap %]))*I27/1000,0))</f>
        <v/>
      </c>
      <c r="Q27" s="180"/>
      <c r="R27" s="180"/>
      <c r="S27" s="180"/>
    </row>
    <row r="28" spans="1:19" ht="15" customHeight="1" x14ac:dyDescent="0.25">
      <c r="A28" s="176">
        <v>5814</v>
      </c>
      <c r="B28" s="176">
        <v>95</v>
      </c>
      <c r="C28" s="176" t="s">
        <v>29</v>
      </c>
      <c r="D28" s="177" t="s">
        <v>52</v>
      </c>
      <c r="E28" s="176">
        <v>30</v>
      </c>
      <c r="F28" s="176">
        <v>130</v>
      </c>
      <c r="G28" s="176" t="s">
        <v>31</v>
      </c>
      <c r="H28" s="176">
        <v>150</v>
      </c>
      <c r="I28" s="195"/>
      <c r="J28" s="180" t="str">
        <f>IF(I28="","",IFERROR(SUMPRODUCT((TableBOM[Product ID]=A28)*(TableBOM[Material Category]="SLUG")*TableBOM[Per 1000 Units]*(1+TableBOM[Scrap %]))*I28/1000,0))</f>
        <v/>
      </c>
      <c r="K28" s="180" t="str">
        <f>IF(I28="","",IFERROR(SUMPRODUCT((TableBOM[Product ID]=A28)*(TableBOM[Material Category]="BASE COAT")*TableBOM[Per 1000 Units]*(1+TableBOM[Scrap %]))*I28/1000,0))</f>
        <v/>
      </c>
      <c r="L28" s="180" t="str">
        <f>IF(I28="","",IFERROR(SUMPRODUCT((TableBOM[Product ID]=A28)*(TableBOM[Material Category]="LACQUER")*TableBOM[Per 1000 Units]*(1+TableBOM[Scrap %]))*I28/1000,0))</f>
        <v/>
      </c>
      <c r="M28" s="180" t="str">
        <f>IF(I28="","",IFERROR(SUMPRODUCT((TableBOM[Product ID]=A28)*(TableBOM[Material Category]="LATEX")*TableBOM[Per 1000 Units]*(1+TableBOM[Scrap %]))*I28/1000,0))</f>
        <v/>
      </c>
      <c r="N28" s="180" t="str">
        <f>IF(I28="","",IFERROR(SUMPRODUCT((TableBOM[Product ID]=A28)*(TableBOM[Material Category]="ZINC POWDER")*TableBOM[Per 1000 Units]*(1+TableBOM[Scrap %]))*I28/1000,0))</f>
        <v/>
      </c>
      <c r="O28" s="180" t="str">
        <f>IF(I28="","",IFERROR(SUMPRODUCT((TableBOM[Product ID]=A28)*(TableBOM[Material Category]="CAP")*TableBOM[Per 1000 Units]*(1+TableBOM[Scrap %]))*I28/1000,0))</f>
        <v/>
      </c>
      <c r="P28" s="180" t="str">
        <f>IF(I28="","",IFERROR(SUMPRODUCT((TableBOM[Product ID]=A28)*(TableBOM[Material Category]="CARTON")*TableBOM[Per 1000 Units]*(1+TableBOM[Scrap %]))*I28/1000,0))</f>
        <v/>
      </c>
      <c r="Q28" s="180"/>
      <c r="R28" s="180"/>
      <c r="S28" s="180"/>
    </row>
    <row r="29" spans="1:19" ht="15" customHeight="1" x14ac:dyDescent="0.25">
      <c r="A29" s="176">
        <v>9002</v>
      </c>
      <c r="B29" s="176">
        <v>901</v>
      </c>
      <c r="C29" s="176" t="s">
        <v>29</v>
      </c>
      <c r="D29" s="177" t="s">
        <v>53</v>
      </c>
      <c r="E29" s="176">
        <v>30</v>
      </c>
      <c r="F29" s="176">
        <v>130</v>
      </c>
      <c r="G29" s="176" t="s">
        <v>20</v>
      </c>
      <c r="H29" s="176">
        <v>245</v>
      </c>
      <c r="I29" s="195"/>
      <c r="J29" s="180" t="str">
        <f>IF(I29="","",IFERROR(SUMPRODUCT((TableBOM[Product ID]=A29)*(TableBOM[Material Category]="SLUG")*TableBOM[Per 1000 Units]*(1+TableBOM[Scrap %]))*I29/1000,0))</f>
        <v/>
      </c>
      <c r="K29" s="180" t="str">
        <f>IF(I29="","",IFERROR(SUMPRODUCT((TableBOM[Product ID]=A29)*(TableBOM[Material Category]="BASE COAT")*TableBOM[Per 1000 Units]*(1+TableBOM[Scrap %]))*I29/1000,0))</f>
        <v/>
      </c>
      <c r="L29" s="180" t="str">
        <f>IF(I29="","",IFERROR(SUMPRODUCT((TableBOM[Product ID]=A29)*(TableBOM[Material Category]="LACQUER")*TableBOM[Per 1000 Units]*(1+TableBOM[Scrap %]))*I29/1000,0))</f>
        <v/>
      </c>
      <c r="M29" s="180" t="str">
        <f>IF(I29="","",IFERROR(SUMPRODUCT((TableBOM[Product ID]=A29)*(TableBOM[Material Category]="LATEX")*TableBOM[Per 1000 Units]*(1+TableBOM[Scrap %]))*I29/1000,0))</f>
        <v/>
      </c>
      <c r="N29" s="180" t="str">
        <f>IF(I29="","",IFERROR(SUMPRODUCT((TableBOM[Product ID]=A29)*(TableBOM[Material Category]="ZINC POWDER")*TableBOM[Per 1000 Units]*(1+TableBOM[Scrap %]))*I29/1000,0))</f>
        <v/>
      </c>
      <c r="O29" s="180" t="str">
        <f>IF(I29="","",IFERROR(SUMPRODUCT((TableBOM[Product ID]=A29)*(TableBOM[Material Category]="CAP")*TableBOM[Per 1000 Units]*(1+TableBOM[Scrap %]))*I29/1000,0))</f>
        <v/>
      </c>
      <c r="P29" s="180" t="str">
        <f>IF(I29="","",IFERROR(SUMPRODUCT((TableBOM[Product ID]=A29)*(TableBOM[Material Category]="CARTON")*TableBOM[Per 1000 Units]*(1+TableBOM[Scrap %]))*I29/1000,0))</f>
        <v/>
      </c>
      <c r="Q29" s="180"/>
      <c r="R29" s="180"/>
      <c r="S29" s="180"/>
    </row>
    <row r="30" spans="1:19" ht="15" customHeight="1" x14ac:dyDescent="0.25">
      <c r="A30" s="176">
        <v>4050</v>
      </c>
      <c r="B30" s="176">
        <v>19</v>
      </c>
      <c r="C30" s="176" t="s">
        <v>54</v>
      </c>
      <c r="D30" s="177" t="s">
        <v>55</v>
      </c>
      <c r="E30" s="176">
        <v>30</v>
      </c>
      <c r="F30" s="176">
        <v>130</v>
      </c>
      <c r="G30" s="176" t="s">
        <v>31</v>
      </c>
      <c r="H30" s="176">
        <v>150</v>
      </c>
      <c r="I30" s="195"/>
      <c r="J30" s="180" t="str">
        <f>IF(I30="","",IFERROR(SUMPRODUCT((TableBOM[Product ID]=A30)*(TableBOM[Material Category]="SLUG")*TableBOM[Per 1000 Units]*(1+TableBOM[Scrap %]))*I30/1000,0))</f>
        <v/>
      </c>
      <c r="K30" s="180" t="str">
        <f>IF(I30="","",IFERROR(SUMPRODUCT((TableBOM[Product ID]=A30)*(TableBOM[Material Category]="BASE COAT")*TableBOM[Per 1000 Units]*(1+TableBOM[Scrap %]))*I30/1000,0))</f>
        <v/>
      </c>
      <c r="L30" s="180" t="str">
        <f>IF(I30="","",IFERROR(SUMPRODUCT((TableBOM[Product ID]=A30)*(TableBOM[Material Category]="LACQUER")*TableBOM[Per 1000 Units]*(1+TableBOM[Scrap %]))*I30/1000,0))</f>
        <v/>
      </c>
      <c r="M30" s="180" t="str">
        <f>IF(I30="","",IFERROR(SUMPRODUCT((TableBOM[Product ID]=A30)*(TableBOM[Material Category]="LATEX")*TableBOM[Per 1000 Units]*(1+TableBOM[Scrap %]))*I30/1000,0))</f>
        <v/>
      </c>
      <c r="N30" s="180" t="str">
        <f>IF(I30="","",IFERROR(SUMPRODUCT((TableBOM[Product ID]=A30)*(TableBOM[Material Category]="ZINC POWDER")*TableBOM[Per 1000 Units]*(1+TableBOM[Scrap %]))*I30/1000,0))</f>
        <v/>
      </c>
      <c r="O30" s="180" t="str">
        <f>IF(I30="","",IFERROR(SUMPRODUCT((TableBOM[Product ID]=A30)*(TableBOM[Material Category]="CAP")*TableBOM[Per 1000 Units]*(1+TableBOM[Scrap %]))*I30/1000,0))</f>
        <v/>
      </c>
      <c r="P30" s="180" t="str">
        <f>IF(I30="","",IFERROR(SUMPRODUCT((TableBOM[Product ID]=A30)*(TableBOM[Material Category]="CARTON")*TableBOM[Per 1000 Units]*(1+TableBOM[Scrap %]))*I30/1000,0))</f>
        <v/>
      </c>
      <c r="Q30" s="180"/>
      <c r="R30" s="180"/>
      <c r="S30" s="180"/>
    </row>
    <row r="31" spans="1:19" ht="15" customHeight="1" x14ac:dyDescent="0.25">
      <c r="A31" s="176">
        <v>6312</v>
      </c>
      <c r="B31" s="176">
        <v>157</v>
      </c>
      <c r="C31" s="176" t="s">
        <v>54</v>
      </c>
      <c r="D31" s="177" t="s">
        <v>56</v>
      </c>
      <c r="E31" s="176">
        <v>30</v>
      </c>
      <c r="F31" s="176">
        <v>130</v>
      </c>
      <c r="G31" s="176" t="s">
        <v>20</v>
      </c>
      <c r="H31" s="176">
        <v>150</v>
      </c>
      <c r="I31" s="195"/>
      <c r="J31" s="180" t="str">
        <f>IF(I31="","",IFERROR(SUMPRODUCT((TableBOM[Product ID]=A31)*(TableBOM[Material Category]="SLUG")*TableBOM[Per 1000 Units]*(1+TableBOM[Scrap %]))*I31/1000,0))</f>
        <v/>
      </c>
      <c r="K31" s="180" t="str">
        <f>IF(I31="","",IFERROR(SUMPRODUCT((TableBOM[Product ID]=A31)*(TableBOM[Material Category]="BASE COAT")*TableBOM[Per 1000 Units]*(1+TableBOM[Scrap %]))*I31/1000,0))</f>
        <v/>
      </c>
      <c r="L31" s="180" t="str">
        <f>IF(I31="","",IFERROR(SUMPRODUCT((TableBOM[Product ID]=A31)*(TableBOM[Material Category]="LACQUER")*TableBOM[Per 1000 Units]*(1+TableBOM[Scrap %]))*I31/1000,0))</f>
        <v/>
      </c>
      <c r="M31" s="180" t="str">
        <f>IF(I31="","",IFERROR(SUMPRODUCT((TableBOM[Product ID]=A31)*(TableBOM[Material Category]="LATEX")*TableBOM[Per 1000 Units]*(1+TableBOM[Scrap %]))*I31/1000,0))</f>
        <v/>
      </c>
      <c r="N31" s="180" t="str">
        <f>IF(I31="","",IFERROR(SUMPRODUCT((TableBOM[Product ID]=A31)*(TableBOM[Material Category]="ZINC POWDER")*TableBOM[Per 1000 Units]*(1+TableBOM[Scrap %]))*I31/1000,0))</f>
        <v/>
      </c>
      <c r="O31" s="180" t="str">
        <f>IF(I31="","",IFERROR(SUMPRODUCT((TableBOM[Product ID]=A31)*(TableBOM[Material Category]="CAP")*TableBOM[Per 1000 Units]*(1+TableBOM[Scrap %]))*I31/1000,0))</f>
        <v/>
      </c>
      <c r="P31" s="180" t="str">
        <f>IF(I31="","",IFERROR(SUMPRODUCT((TableBOM[Product ID]=A31)*(TableBOM[Material Category]="CARTON")*TableBOM[Per 1000 Units]*(1+TableBOM[Scrap %]))*I31/1000,0))</f>
        <v/>
      </c>
      <c r="Q31" s="180"/>
      <c r="R31" s="180"/>
      <c r="S31" s="180"/>
    </row>
    <row r="32" spans="1:19" ht="15" customHeight="1" x14ac:dyDescent="0.25">
      <c r="A32" s="176">
        <v>6595</v>
      </c>
      <c r="B32" s="176">
        <v>191</v>
      </c>
      <c r="C32" s="176" t="s">
        <v>57</v>
      </c>
      <c r="D32" s="177" t="s">
        <v>58</v>
      </c>
      <c r="E32" s="176">
        <v>30</v>
      </c>
      <c r="F32" s="176">
        <v>130</v>
      </c>
      <c r="G32" s="176" t="s">
        <v>31</v>
      </c>
      <c r="H32" s="176">
        <v>245</v>
      </c>
      <c r="I32" s="195"/>
      <c r="J32" s="180" t="str">
        <f>IF(I32="","",IFERROR(SUMPRODUCT((TableBOM[Product ID]=A32)*(TableBOM[Material Category]="SLUG")*TableBOM[Per 1000 Units]*(1+TableBOM[Scrap %]))*I32/1000,0))</f>
        <v/>
      </c>
      <c r="K32" s="180" t="str">
        <f>IF(I32="","",IFERROR(SUMPRODUCT((TableBOM[Product ID]=A32)*(TableBOM[Material Category]="BASE COAT")*TableBOM[Per 1000 Units]*(1+TableBOM[Scrap %]))*I32/1000,0))</f>
        <v/>
      </c>
      <c r="L32" s="180" t="str">
        <f>IF(I32="","",IFERROR(SUMPRODUCT((TableBOM[Product ID]=A32)*(TableBOM[Material Category]="LACQUER")*TableBOM[Per 1000 Units]*(1+TableBOM[Scrap %]))*I32/1000,0))</f>
        <v/>
      </c>
      <c r="M32" s="180" t="str">
        <f>IF(I32="","",IFERROR(SUMPRODUCT((TableBOM[Product ID]=A32)*(TableBOM[Material Category]="LATEX")*TableBOM[Per 1000 Units]*(1+TableBOM[Scrap %]))*I32/1000,0))</f>
        <v/>
      </c>
      <c r="N32" s="180" t="str">
        <f>IF(I32="","",IFERROR(SUMPRODUCT((TableBOM[Product ID]=A32)*(TableBOM[Material Category]="ZINC POWDER")*TableBOM[Per 1000 Units]*(1+TableBOM[Scrap %]))*I32/1000,0))</f>
        <v/>
      </c>
      <c r="O32" s="180" t="str">
        <f>IF(I32="","",IFERROR(SUMPRODUCT((TableBOM[Product ID]=A32)*(TableBOM[Material Category]="CAP")*TableBOM[Per 1000 Units]*(1+TableBOM[Scrap %]))*I32/1000,0))</f>
        <v/>
      </c>
      <c r="P32" s="180" t="str">
        <f>IF(I32="","",IFERROR(SUMPRODUCT((TableBOM[Product ID]=A32)*(TableBOM[Material Category]="CARTON")*TableBOM[Per 1000 Units]*(1+TableBOM[Scrap %]))*I32/1000,0))</f>
        <v/>
      </c>
      <c r="Q32" s="180"/>
      <c r="R32" s="180"/>
      <c r="S32" s="180"/>
    </row>
    <row r="33" spans="1:19" ht="15" customHeight="1" x14ac:dyDescent="0.25">
      <c r="A33" s="176">
        <v>5782</v>
      </c>
      <c r="B33" s="176">
        <v>70</v>
      </c>
      <c r="C33" s="176" t="s">
        <v>59</v>
      </c>
      <c r="D33" s="177" t="s">
        <v>60</v>
      </c>
      <c r="E33" s="176">
        <v>32</v>
      </c>
      <c r="F33" s="176">
        <v>155</v>
      </c>
      <c r="G33" s="176" t="s">
        <v>31</v>
      </c>
      <c r="H33" s="176">
        <v>230</v>
      </c>
      <c r="I33" s="195"/>
      <c r="J33" s="180" t="str">
        <f>IF(I33="","",IFERROR(SUMPRODUCT((TableBOM[Product ID]=A33)*(TableBOM[Material Category]="SLUG")*TableBOM[Per 1000 Units]*(1+TableBOM[Scrap %]))*I33/1000,0))</f>
        <v/>
      </c>
      <c r="K33" s="180" t="str">
        <f>IF(I33="","",IFERROR(SUMPRODUCT((TableBOM[Product ID]=A33)*(TableBOM[Material Category]="BASE COAT")*TableBOM[Per 1000 Units]*(1+TableBOM[Scrap %]))*I33/1000,0))</f>
        <v/>
      </c>
      <c r="L33" s="180" t="str">
        <f>IF(I33="","",IFERROR(SUMPRODUCT((TableBOM[Product ID]=A33)*(TableBOM[Material Category]="LACQUER")*TableBOM[Per 1000 Units]*(1+TableBOM[Scrap %]))*I33/1000,0))</f>
        <v/>
      </c>
      <c r="M33" s="180" t="str">
        <f>IF(I33="","",IFERROR(SUMPRODUCT((TableBOM[Product ID]=A33)*(TableBOM[Material Category]="LATEX")*TableBOM[Per 1000 Units]*(1+TableBOM[Scrap %]))*I33/1000,0))</f>
        <v/>
      </c>
      <c r="N33" s="180" t="str">
        <f>IF(I33="","",IFERROR(SUMPRODUCT((TableBOM[Product ID]=A33)*(TableBOM[Material Category]="ZINC POWDER")*TableBOM[Per 1000 Units]*(1+TableBOM[Scrap %]))*I33/1000,0))</f>
        <v/>
      </c>
      <c r="O33" s="180" t="str">
        <f>IF(I33="","",IFERROR(SUMPRODUCT((TableBOM[Product ID]=A33)*(TableBOM[Material Category]="CAP")*TableBOM[Per 1000 Units]*(1+TableBOM[Scrap %]))*I33/1000,0))</f>
        <v/>
      </c>
      <c r="P33" s="180" t="str">
        <f>IF(I33="","",IFERROR(SUMPRODUCT((TableBOM[Product ID]=A33)*(TableBOM[Material Category]="CARTON")*TableBOM[Per 1000 Units]*(1+TableBOM[Scrap %]))*I33/1000,0))</f>
        <v/>
      </c>
      <c r="Q33" s="180"/>
      <c r="R33" s="180"/>
      <c r="S33" s="180"/>
    </row>
    <row r="34" spans="1:19" ht="15" customHeight="1" x14ac:dyDescent="0.25">
      <c r="A34" s="176">
        <v>6515</v>
      </c>
      <c r="B34" s="176">
        <v>180</v>
      </c>
      <c r="C34" s="176" t="s">
        <v>61</v>
      </c>
      <c r="D34" s="177" t="s">
        <v>62</v>
      </c>
      <c r="E34" s="176">
        <v>32</v>
      </c>
      <c r="F34" s="176">
        <v>180</v>
      </c>
      <c r="G34" s="176" t="s">
        <v>31</v>
      </c>
      <c r="H34" s="176">
        <v>336</v>
      </c>
      <c r="I34" s="195"/>
      <c r="J34" s="180" t="str">
        <f>IF(I34="","",IFERROR(SUMPRODUCT((TableBOM[Product ID]=A34)*(TableBOM[Material Category]="SLUG")*TableBOM[Per 1000 Units]*(1+TableBOM[Scrap %]))*I34/1000,0))</f>
        <v/>
      </c>
      <c r="K34" s="180" t="str">
        <f>IF(I34="","",IFERROR(SUMPRODUCT((TableBOM[Product ID]=A34)*(TableBOM[Material Category]="BASE COAT")*TableBOM[Per 1000 Units]*(1+TableBOM[Scrap %]))*I34/1000,0))</f>
        <v/>
      </c>
      <c r="L34" s="180" t="str">
        <f>IF(I34="","",IFERROR(SUMPRODUCT((TableBOM[Product ID]=A34)*(TableBOM[Material Category]="LACQUER")*TableBOM[Per 1000 Units]*(1+TableBOM[Scrap %]))*I34/1000,0))</f>
        <v/>
      </c>
      <c r="M34" s="180" t="str">
        <f>IF(I34="","",IFERROR(SUMPRODUCT((TableBOM[Product ID]=A34)*(TableBOM[Material Category]="LATEX")*TableBOM[Per 1000 Units]*(1+TableBOM[Scrap %]))*I34/1000,0))</f>
        <v/>
      </c>
      <c r="N34" s="180" t="str">
        <f>IF(I34="","",IFERROR(SUMPRODUCT((TableBOM[Product ID]=A34)*(TableBOM[Material Category]="ZINC POWDER")*TableBOM[Per 1000 Units]*(1+TableBOM[Scrap %]))*I34/1000,0))</f>
        <v/>
      </c>
      <c r="O34" s="180" t="str">
        <f>IF(I34="","",IFERROR(SUMPRODUCT((TableBOM[Product ID]=A34)*(TableBOM[Material Category]="CAP")*TableBOM[Per 1000 Units]*(1+TableBOM[Scrap %]))*I34/1000,0))</f>
        <v/>
      </c>
      <c r="P34" s="180" t="str">
        <f>IF(I34="","",IFERROR(SUMPRODUCT((TableBOM[Product ID]=A34)*(TableBOM[Material Category]="CARTON")*TableBOM[Per 1000 Units]*(1+TableBOM[Scrap %]))*I34/1000,0))</f>
        <v/>
      </c>
      <c r="Q34" s="180"/>
      <c r="R34" s="180"/>
      <c r="S34" s="180"/>
    </row>
    <row r="35" spans="1:19" ht="15" customHeight="1" x14ac:dyDescent="0.25">
      <c r="A35" s="176">
        <v>6020</v>
      </c>
      <c r="B35" s="176">
        <v>130</v>
      </c>
      <c r="C35" s="176" t="s">
        <v>63</v>
      </c>
      <c r="D35" s="177" t="s">
        <v>64</v>
      </c>
      <c r="E35" s="176">
        <v>35</v>
      </c>
      <c r="F35" s="176">
        <v>165</v>
      </c>
      <c r="G35" s="176" t="s">
        <v>31</v>
      </c>
      <c r="H35" s="176">
        <v>180</v>
      </c>
      <c r="I35" s="195"/>
      <c r="J35" s="180" t="str">
        <f>IF(I35="","",IFERROR(SUMPRODUCT((TableBOM[Product ID]=A35)*(TableBOM[Material Category]="SLUG")*TableBOM[Per 1000 Units]*(1+TableBOM[Scrap %]))*I35/1000,0))</f>
        <v/>
      </c>
      <c r="K35" s="180" t="str">
        <f>IF(I35="","",IFERROR(SUMPRODUCT((TableBOM[Product ID]=A35)*(TableBOM[Material Category]="BASE COAT")*TableBOM[Per 1000 Units]*(1+TableBOM[Scrap %]))*I35/1000,0))</f>
        <v/>
      </c>
      <c r="L35" s="180" t="str">
        <f>IF(I35="","",IFERROR(SUMPRODUCT((TableBOM[Product ID]=A35)*(TableBOM[Material Category]="LACQUER")*TableBOM[Per 1000 Units]*(1+TableBOM[Scrap %]))*I35/1000,0))</f>
        <v/>
      </c>
      <c r="M35" s="180" t="str">
        <f>IF(I35="","",IFERROR(SUMPRODUCT((TableBOM[Product ID]=A35)*(TableBOM[Material Category]="LATEX")*TableBOM[Per 1000 Units]*(1+TableBOM[Scrap %]))*I35/1000,0))</f>
        <v/>
      </c>
      <c r="N35" s="180" t="str">
        <f>IF(I35="","",IFERROR(SUMPRODUCT((TableBOM[Product ID]=A35)*(TableBOM[Material Category]="ZINC POWDER")*TableBOM[Per 1000 Units]*(1+TableBOM[Scrap %]))*I35/1000,0))</f>
        <v/>
      </c>
      <c r="O35" s="180" t="str">
        <f>IF(I35="","",IFERROR(SUMPRODUCT((TableBOM[Product ID]=A35)*(TableBOM[Material Category]="CAP")*TableBOM[Per 1000 Units]*(1+TableBOM[Scrap %]))*I35/1000,0))</f>
        <v/>
      </c>
      <c r="P35" s="180" t="str">
        <f>IF(I35="","",IFERROR(SUMPRODUCT((TableBOM[Product ID]=A35)*(TableBOM[Material Category]="CARTON")*TableBOM[Per 1000 Units]*(1+TableBOM[Scrap %]))*I35/1000,0))</f>
        <v/>
      </c>
      <c r="Q35" s="180"/>
      <c r="R35" s="180"/>
      <c r="S35" s="180"/>
    </row>
    <row r="36" spans="1:19" ht="15" customHeight="1" x14ac:dyDescent="0.25">
      <c r="A36" s="176">
        <v>6021</v>
      </c>
      <c r="B36" s="176">
        <v>131</v>
      </c>
      <c r="C36" s="176" t="s">
        <v>63</v>
      </c>
      <c r="D36" s="177" t="s">
        <v>65</v>
      </c>
      <c r="E36" s="176">
        <v>35</v>
      </c>
      <c r="F36" s="176">
        <v>165</v>
      </c>
      <c r="G36" s="176" t="s">
        <v>31</v>
      </c>
      <c r="H36" s="176">
        <v>180</v>
      </c>
      <c r="I36" s="195"/>
      <c r="J36" s="180" t="str">
        <f>IF(I36="","",IFERROR(SUMPRODUCT((TableBOM[Product ID]=A36)*(TableBOM[Material Category]="SLUG")*TableBOM[Per 1000 Units]*(1+TableBOM[Scrap %]))*I36/1000,0))</f>
        <v/>
      </c>
      <c r="K36" s="180" t="str">
        <f>IF(I36="","",IFERROR(SUMPRODUCT((TableBOM[Product ID]=A36)*(TableBOM[Material Category]="BASE COAT")*TableBOM[Per 1000 Units]*(1+TableBOM[Scrap %]))*I36/1000,0))</f>
        <v/>
      </c>
      <c r="L36" s="180" t="str">
        <f>IF(I36="","",IFERROR(SUMPRODUCT((TableBOM[Product ID]=A36)*(TableBOM[Material Category]="LACQUER")*TableBOM[Per 1000 Units]*(1+TableBOM[Scrap %]))*I36/1000,0))</f>
        <v/>
      </c>
      <c r="M36" s="180" t="str">
        <f>IF(I36="","",IFERROR(SUMPRODUCT((TableBOM[Product ID]=A36)*(TableBOM[Material Category]="LATEX")*TableBOM[Per 1000 Units]*(1+TableBOM[Scrap %]))*I36/1000,0))</f>
        <v/>
      </c>
      <c r="N36" s="180" t="str">
        <f>IF(I36="","",IFERROR(SUMPRODUCT((TableBOM[Product ID]=A36)*(TableBOM[Material Category]="ZINC POWDER")*TableBOM[Per 1000 Units]*(1+TableBOM[Scrap %]))*I36/1000,0))</f>
        <v/>
      </c>
      <c r="O36" s="180" t="str">
        <f>IF(I36="","",IFERROR(SUMPRODUCT((TableBOM[Product ID]=A36)*(TableBOM[Material Category]="CAP")*TableBOM[Per 1000 Units]*(1+TableBOM[Scrap %]))*I36/1000,0))</f>
        <v/>
      </c>
      <c r="P36" s="180" t="str">
        <f>IF(I36="","",IFERROR(SUMPRODUCT((TableBOM[Product ID]=A36)*(TableBOM[Material Category]="CARTON")*TableBOM[Per 1000 Units]*(1+TableBOM[Scrap %]))*I36/1000,0))</f>
        <v/>
      </c>
      <c r="Q36" s="180"/>
      <c r="R36" s="180"/>
      <c r="S36" s="180"/>
    </row>
    <row r="37" spans="1:19" ht="15" customHeight="1" x14ac:dyDescent="0.25">
      <c r="A37" s="176">
        <v>6530</v>
      </c>
      <c r="B37" s="176">
        <v>182</v>
      </c>
      <c r="C37" s="176" t="s">
        <v>63</v>
      </c>
      <c r="D37" s="177" t="s">
        <v>66</v>
      </c>
      <c r="E37" s="176">
        <v>35</v>
      </c>
      <c r="F37" s="176">
        <v>170</v>
      </c>
      <c r="G37" s="176" t="s">
        <v>31</v>
      </c>
      <c r="H37" s="176">
        <v>336</v>
      </c>
      <c r="I37" s="195"/>
      <c r="J37" s="180" t="str">
        <f>IF(I37="","",IFERROR(SUMPRODUCT((TableBOM[Product ID]=A37)*(TableBOM[Material Category]="SLUG")*TableBOM[Per 1000 Units]*(1+TableBOM[Scrap %]))*I37/1000,0))</f>
        <v/>
      </c>
      <c r="K37" s="180" t="str">
        <f>IF(I37="","",IFERROR(SUMPRODUCT((TableBOM[Product ID]=A37)*(TableBOM[Material Category]="BASE COAT")*TableBOM[Per 1000 Units]*(1+TableBOM[Scrap %]))*I37/1000,0))</f>
        <v/>
      </c>
      <c r="L37" s="180" t="str">
        <f>IF(I37="","",IFERROR(SUMPRODUCT((TableBOM[Product ID]=A37)*(TableBOM[Material Category]="LACQUER")*TableBOM[Per 1000 Units]*(1+TableBOM[Scrap %]))*I37/1000,0))</f>
        <v/>
      </c>
      <c r="M37" s="180" t="str">
        <f>IF(I37="","",IFERROR(SUMPRODUCT((TableBOM[Product ID]=A37)*(TableBOM[Material Category]="LATEX")*TableBOM[Per 1000 Units]*(1+TableBOM[Scrap %]))*I37/1000,0))</f>
        <v/>
      </c>
      <c r="N37" s="180" t="str">
        <f>IF(I37="","",IFERROR(SUMPRODUCT((TableBOM[Product ID]=A37)*(TableBOM[Material Category]="ZINC POWDER")*TableBOM[Per 1000 Units]*(1+TableBOM[Scrap %]))*I37/1000,0))</f>
        <v/>
      </c>
      <c r="O37" s="180" t="str">
        <f>IF(I37="","",IFERROR(SUMPRODUCT((TableBOM[Product ID]=A37)*(TableBOM[Material Category]="CAP")*TableBOM[Per 1000 Units]*(1+TableBOM[Scrap %]))*I37/1000,0))</f>
        <v/>
      </c>
      <c r="P37" s="180" t="str">
        <f>IF(I37="","",IFERROR(SUMPRODUCT((TableBOM[Product ID]=A37)*(TableBOM[Material Category]="CARTON")*TableBOM[Per 1000 Units]*(1+TableBOM[Scrap %]))*I37/1000,0))</f>
        <v/>
      </c>
      <c r="Q37" s="180"/>
      <c r="R37" s="180"/>
      <c r="S37" s="180"/>
    </row>
    <row r="38" spans="1:19" ht="15" customHeight="1" x14ac:dyDescent="0.25">
      <c r="A38" s="176">
        <v>6531</v>
      </c>
      <c r="B38" s="176">
        <v>183</v>
      </c>
      <c r="C38" s="176" t="s">
        <v>63</v>
      </c>
      <c r="D38" s="177" t="s">
        <v>67</v>
      </c>
      <c r="E38" s="176">
        <v>35</v>
      </c>
      <c r="F38" s="176">
        <v>170</v>
      </c>
      <c r="G38" s="176" t="s">
        <v>31</v>
      </c>
      <c r="H38" s="176">
        <v>180</v>
      </c>
      <c r="I38" s="195">
        <v>22000</v>
      </c>
      <c r="J38" s="180">
        <f>IF(I38="","",IFERROR(SUMPRODUCT((TableBOM[Product ID]=A38)*(TableBOM[Material Category]="SLUG")*TableBOM[Per 1000 Units]*(1+TableBOM[Scrap %]))*I38/1000,0))</f>
        <v>310.24400000000009</v>
      </c>
      <c r="K38" s="180">
        <f>IF(I38="","",IFERROR(SUMPRODUCT((TableBOM[Product ID]=A38)*(TableBOM[Material Category]="BASE COAT")*TableBOM[Per 1000 Units]*(1+TableBOM[Scrap %]))*I38/1000,0))</f>
        <v>18.876000000000005</v>
      </c>
      <c r="L38" s="180">
        <f>IF(I38="","",IFERROR(SUMPRODUCT((TableBOM[Product ID]=A38)*(TableBOM[Material Category]="LACQUER")*TableBOM[Per 1000 Units]*(1+TableBOM[Scrap %]))*I38/1000,0))</f>
        <v>3.8720000000000003</v>
      </c>
      <c r="M38" s="180">
        <f>IF(I38="","",IFERROR(SUMPRODUCT((TableBOM[Product ID]=A38)*(TableBOM[Material Category]="LATEX")*TableBOM[Per 1000 Units]*(1+TableBOM[Scrap %]))*I38/1000,0))</f>
        <v>0</v>
      </c>
      <c r="N38" s="180">
        <f>IF(I38="","",IFERROR(SUMPRODUCT((TableBOM[Product ID]=A38)*(TableBOM[Material Category]="ZINC POWDER")*TableBOM[Per 1000 Units]*(1+TableBOM[Scrap %]))*I38/1000,0))</f>
        <v>0.32186000000000003</v>
      </c>
      <c r="O38" s="180">
        <f>IF(I38="","",IFERROR(SUMPRODUCT((TableBOM[Product ID]=A38)*(TableBOM[Material Category]="CAP")*TableBOM[Per 1000 Units]*(1+TableBOM[Scrap %]))*I38/1000,0))</f>
        <v>22440</v>
      </c>
      <c r="P38" s="180">
        <f>IF(I38="","",IFERROR(SUMPRODUCT((TableBOM[Product ID]=A38)*(TableBOM[Material Category]="CARTON")*TableBOM[Per 1000 Units]*(1+TableBOM[Scrap %]))*I38/1000,0))</f>
        <v>146.65199999999999</v>
      </c>
      <c r="Q38" s="180"/>
      <c r="R38" s="180"/>
      <c r="S38" s="180"/>
    </row>
    <row r="39" spans="1:19" ht="15" customHeight="1" x14ac:dyDescent="0.25">
      <c r="A39" s="176">
        <v>8001</v>
      </c>
      <c r="B39" s="176">
        <v>800</v>
      </c>
      <c r="C39" s="176" t="s">
        <v>68</v>
      </c>
      <c r="D39" s="177" t="s">
        <v>69</v>
      </c>
      <c r="E39" s="176" t="s">
        <v>70</v>
      </c>
      <c r="F39" s="176">
        <v>0</v>
      </c>
      <c r="G39" s="176" t="s">
        <v>20</v>
      </c>
      <c r="H39" s="176">
        <v>0</v>
      </c>
      <c r="I39" s="195"/>
      <c r="J39" s="180" t="str">
        <f>IF(I39="","",IFERROR(SUMPRODUCT((TableBOM[Product ID]=A39)*(TableBOM[Material Category]="SLUG")*TableBOM[Per 1000 Units]*(1+TableBOM[Scrap %]))*I39/1000,0))</f>
        <v/>
      </c>
      <c r="K39" s="180" t="str">
        <f>IF(I39="","",IFERROR(SUMPRODUCT((TableBOM[Product ID]=A39)*(TableBOM[Material Category]="BASE COAT")*TableBOM[Per 1000 Units]*(1+TableBOM[Scrap %]))*I39/1000,0))</f>
        <v/>
      </c>
      <c r="L39" s="180" t="str">
        <f>IF(I39="","",IFERROR(SUMPRODUCT((TableBOM[Product ID]=A39)*(TableBOM[Material Category]="LACQUER")*TableBOM[Per 1000 Units]*(1+TableBOM[Scrap %]))*I39/1000,0))</f>
        <v/>
      </c>
      <c r="M39" s="180" t="str">
        <f>IF(I39="","",IFERROR(SUMPRODUCT((TableBOM[Product ID]=A39)*(TableBOM[Material Category]="LATEX")*TableBOM[Per 1000 Units]*(1+TableBOM[Scrap %]))*I39/1000,0))</f>
        <v/>
      </c>
      <c r="N39" s="180" t="str">
        <f>IF(I39="","",IFERROR(SUMPRODUCT((TableBOM[Product ID]=A39)*(TableBOM[Material Category]="ZINC POWDER")*TableBOM[Per 1000 Units]*(1+TableBOM[Scrap %]))*I39/1000,0))</f>
        <v/>
      </c>
      <c r="O39" s="180" t="str">
        <f>IF(I39="","",IFERROR(SUMPRODUCT((TableBOM[Product ID]=A39)*(TableBOM[Material Category]="CAP")*TableBOM[Per 1000 Units]*(1+TableBOM[Scrap %]))*I39/1000,0))</f>
        <v/>
      </c>
      <c r="P39" s="180" t="str">
        <f>IF(I39="","",IFERROR(SUMPRODUCT((TableBOM[Product ID]=A39)*(TableBOM[Material Category]="CARTON")*TableBOM[Per 1000 Units]*(1+TableBOM[Scrap %]))*I39/1000,0))</f>
        <v/>
      </c>
      <c r="Q39" s="180"/>
      <c r="R39" s="180"/>
      <c r="S39" s="180"/>
    </row>
    <row r="40" spans="1:19" ht="15" customHeight="1" x14ac:dyDescent="0.25">
      <c r="A40" s="176">
        <v>8005</v>
      </c>
      <c r="B40" s="176">
        <v>805</v>
      </c>
      <c r="C40" s="176" t="s">
        <v>26</v>
      </c>
      <c r="D40" s="177" t="s">
        <v>71</v>
      </c>
      <c r="E40" s="176" t="s">
        <v>72</v>
      </c>
      <c r="F40" s="176">
        <v>0</v>
      </c>
      <c r="G40" s="176" t="s">
        <v>20</v>
      </c>
      <c r="H40" s="176">
        <v>0</v>
      </c>
      <c r="I40" s="195"/>
      <c r="J40" s="180" t="str">
        <f>IF(I40="","",IFERROR(SUMPRODUCT((TableBOM[Product ID]=A40)*(TableBOM[Material Category]="SLUG")*TableBOM[Per 1000 Units]*(1+TableBOM[Scrap %]))*I40/1000,0))</f>
        <v/>
      </c>
      <c r="K40" s="180" t="str">
        <f>IF(I40="","",IFERROR(SUMPRODUCT((TableBOM[Product ID]=A40)*(TableBOM[Material Category]="BASE COAT")*TableBOM[Per 1000 Units]*(1+TableBOM[Scrap %]))*I40/1000,0))</f>
        <v/>
      </c>
      <c r="L40" s="180" t="str">
        <f>IF(I40="","",IFERROR(SUMPRODUCT((TableBOM[Product ID]=A40)*(TableBOM[Material Category]="LACQUER")*TableBOM[Per 1000 Units]*(1+TableBOM[Scrap %]))*I40/1000,0))</f>
        <v/>
      </c>
      <c r="M40" s="180" t="str">
        <f>IF(I40="","",IFERROR(SUMPRODUCT((TableBOM[Product ID]=A40)*(TableBOM[Material Category]="LATEX")*TableBOM[Per 1000 Units]*(1+TableBOM[Scrap %]))*I40/1000,0))</f>
        <v/>
      </c>
      <c r="N40" s="180" t="str">
        <f>IF(I40="","",IFERROR(SUMPRODUCT((TableBOM[Product ID]=A40)*(TableBOM[Material Category]="ZINC POWDER")*TableBOM[Per 1000 Units]*(1+TableBOM[Scrap %]))*I40/1000,0))</f>
        <v/>
      </c>
      <c r="O40" s="180" t="str">
        <f>IF(I40="","",IFERROR(SUMPRODUCT((TableBOM[Product ID]=A40)*(TableBOM[Material Category]="CAP")*TableBOM[Per 1000 Units]*(1+TableBOM[Scrap %]))*I40/1000,0))</f>
        <v/>
      </c>
      <c r="P40" s="180" t="str">
        <f>IF(I40="","",IFERROR(SUMPRODUCT((TableBOM[Product ID]=A40)*(TableBOM[Material Category]="CARTON")*TableBOM[Per 1000 Units]*(1+TableBOM[Scrap %]))*I40/1000,0))</f>
        <v/>
      </c>
      <c r="Q40" s="180"/>
      <c r="R40" s="180"/>
      <c r="S40" s="180"/>
    </row>
    <row r="41" spans="1:19" ht="15" customHeight="1" x14ac:dyDescent="0.25">
      <c r="A41" s="176">
        <v>8011</v>
      </c>
      <c r="B41" s="176">
        <v>811</v>
      </c>
      <c r="C41" s="176" t="s">
        <v>26</v>
      </c>
      <c r="D41" s="177" t="s">
        <v>73</v>
      </c>
      <c r="E41" s="176" t="s">
        <v>72</v>
      </c>
      <c r="F41" s="176">
        <v>0</v>
      </c>
      <c r="G41" s="176" t="s">
        <v>20</v>
      </c>
      <c r="H41" s="176">
        <v>0</v>
      </c>
      <c r="I41" s="195"/>
      <c r="J41" s="180" t="str">
        <f>IF(I41="","",IFERROR(SUMPRODUCT((TableBOM[Product ID]=A41)*(TableBOM[Material Category]="SLUG")*TableBOM[Per 1000 Units]*(1+TableBOM[Scrap %]))*I41/1000,0))</f>
        <v/>
      </c>
      <c r="K41" s="180" t="str">
        <f>IF(I41="","",IFERROR(SUMPRODUCT((TableBOM[Product ID]=A41)*(TableBOM[Material Category]="BASE COAT")*TableBOM[Per 1000 Units]*(1+TableBOM[Scrap %]))*I41/1000,0))</f>
        <v/>
      </c>
      <c r="L41" s="180" t="str">
        <f>IF(I41="","",IFERROR(SUMPRODUCT((TableBOM[Product ID]=A41)*(TableBOM[Material Category]="LACQUER")*TableBOM[Per 1000 Units]*(1+TableBOM[Scrap %]))*I41/1000,0))</f>
        <v/>
      </c>
      <c r="M41" s="180" t="str">
        <f>IF(I41="","",IFERROR(SUMPRODUCT((TableBOM[Product ID]=A41)*(TableBOM[Material Category]="LATEX")*TableBOM[Per 1000 Units]*(1+TableBOM[Scrap %]))*I41/1000,0))</f>
        <v/>
      </c>
      <c r="N41" s="180" t="str">
        <f>IF(I41="","",IFERROR(SUMPRODUCT((TableBOM[Product ID]=A41)*(TableBOM[Material Category]="ZINC POWDER")*TableBOM[Per 1000 Units]*(1+TableBOM[Scrap %]))*I41/1000,0))</f>
        <v/>
      </c>
      <c r="O41" s="180" t="str">
        <f>IF(I41="","",IFERROR(SUMPRODUCT((TableBOM[Product ID]=A41)*(TableBOM[Material Category]="CAP")*TableBOM[Per 1000 Units]*(1+TableBOM[Scrap %]))*I41/1000,0))</f>
        <v/>
      </c>
      <c r="P41" s="180" t="str">
        <f>IF(I41="","",IFERROR(SUMPRODUCT((TableBOM[Product ID]=A41)*(TableBOM[Material Category]="CARTON")*TableBOM[Per 1000 Units]*(1+TableBOM[Scrap %]))*I41/1000,0))</f>
        <v/>
      </c>
      <c r="Q41" s="180"/>
      <c r="R41" s="180"/>
      <c r="S41" s="180"/>
    </row>
    <row r="42" spans="1:19" ht="15" customHeight="1" x14ac:dyDescent="0.25">
      <c r="A42" s="176">
        <v>8012</v>
      </c>
      <c r="B42" s="176">
        <v>812</v>
      </c>
      <c r="C42" s="176" t="s">
        <v>26</v>
      </c>
      <c r="D42" s="196" t="s">
        <v>74</v>
      </c>
      <c r="E42" s="176" t="s">
        <v>72</v>
      </c>
      <c r="F42" s="176">
        <v>0</v>
      </c>
      <c r="G42" s="176" t="s">
        <v>20</v>
      </c>
      <c r="H42" s="176">
        <v>0</v>
      </c>
      <c r="I42" s="195"/>
      <c r="J42" s="180" t="str">
        <f>IF(I42="","",IFERROR(SUMPRODUCT((TableBOM[Product ID]=A42)*(TableBOM[Material Category]="SLUG")*TableBOM[Per 1000 Units]*(1+TableBOM[Scrap %]))*I42/1000,0))</f>
        <v/>
      </c>
      <c r="K42" s="180" t="str">
        <f>IF(I42="","",IFERROR(SUMPRODUCT((TableBOM[Product ID]=A42)*(TableBOM[Material Category]="BASE COAT")*TableBOM[Per 1000 Units]*(1+TableBOM[Scrap %]))*I42/1000,0))</f>
        <v/>
      </c>
      <c r="L42" s="180" t="str">
        <f>IF(I42="","",IFERROR(SUMPRODUCT((TableBOM[Product ID]=A42)*(TableBOM[Material Category]="LACQUER")*TableBOM[Per 1000 Units]*(1+TableBOM[Scrap %]))*I42/1000,0))</f>
        <v/>
      </c>
      <c r="M42" s="180" t="str">
        <f>IF(I42="","",IFERROR(SUMPRODUCT((TableBOM[Product ID]=A42)*(TableBOM[Material Category]="LATEX")*TableBOM[Per 1000 Units]*(1+TableBOM[Scrap %]))*I42/1000,0))</f>
        <v/>
      </c>
      <c r="N42" s="180" t="str">
        <f>IF(I42="","",IFERROR(SUMPRODUCT((TableBOM[Product ID]=A42)*(TableBOM[Material Category]="ZINC POWDER")*TableBOM[Per 1000 Units]*(1+TableBOM[Scrap %]))*I42/1000,0))</f>
        <v/>
      </c>
      <c r="O42" s="180" t="str">
        <f>IF(I42="","",IFERROR(SUMPRODUCT((TableBOM[Product ID]=A42)*(TableBOM[Material Category]="CAP")*TableBOM[Per 1000 Units]*(1+TableBOM[Scrap %]))*I42/1000,0))</f>
        <v/>
      </c>
      <c r="P42" s="180" t="str">
        <f>IF(I42="","",IFERROR(SUMPRODUCT((TableBOM[Product ID]=A42)*(TableBOM[Material Category]="CARTON")*TableBOM[Per 1000 Units]*(1+TableBOM[Scrap %]))*I42/1000,0))</f>
        <v/>
      </c>
      <c r="Q42" s="180"/>
      <c r="R42" s="180"/>
      <c r="S42" s="180"/>
    </row>
    <row r="43" spans="1:19" ht="10.5" customHeight="1" x14ac:dyDescent="0.25">
      <c r="A43" s="176">
        <v>8010</v>
      </c>
      <c r="B43" s="176">
        <v>810</v>
      </c>
      <c r="C43" s="176" t="s">
        <v>68</v>
      </c>
      <c r="D43" s="197" t="s">
        <v>75</v>
      </c>
      <c r="E43" s="176" t="s">
        <v>76</v>
      </c>
      <c r="F43" s="176">
        <v>0</v>
      </c>
      <c r="G43" s="176" t="s">
        <v>20</v>
      </c>
      <c r="H43" s="176">
        <v>0</v>
      </c>
      <c r="I43" s="195"/>
      <c r="J43" s="180" t="str">
        <f>IF(I43="","",IFERROR(SUMPRODUCT((TableBOM[Product ID]=A43)*(TableBOM[Material Category]="SLUG")*TableBOM[Per 1000 Units]*(1+TableBOM[Scrap %]))*I43/1000,0))</f>
        <v/>
      </c>
      <c r="K43" s="180" t="str">
        <f>IF(I43="","",IFERROR(SUMPRODUCT((TableBOM[Product ID]=A43)*(TableBOM[Material Category]="BASE COAT")*TableBOM[Per 1000 Units]*(1+TableBOM[Scrap %]))*I43/1000,0))</f>
        <v/>
      </c>
      <c r="L43" s="180" t="str">
        <f>IF(I43="","",IFERROR(SUMPRODUCT((TableBOM[Product ID]=A43)*(TableBOM[Material Category]="LACQUER")*TableBOM[Per 1000 Units]*(1+TableBOM[Scrap %]))*I43/1000,0))</f>
        <v/>
      </c>
      <c r="M43" s="180" t="str">
        <f>IF(I43="","",IFERROR(SUMPRODUCT((TableBOM[Product ID]=A43)*(TableBOM[Material Category]="LATEX")*TableBOM[Per 1000 Units]*(1+TableBOM[Scrap %]))*I43/1000,0))</f>
        <v/>
      </c>
      <c r="N43" s="180" t="str">
        <f>IF(I43="","",IFERROR(SUMPRODUCT((TableBOM[Product ID]=A43)*(TableBOM[Material Category]="ZINC POWDER")*TableBOM[Per 1000 Units]*(1+TableBOM[Scrap %]))*I43/1000,0))</f>
        <v/>
      </c>
      <c r="O43" s="180" t="str">
        <f>IF(I43="","",IFERROR(SUMPRODUCT((TableBOM[Product ID]=A43)*(TableBOM[Material Category]="CAP")*TableBOM[Per 1000 Units]*(1+TableBOM[Scrap %]))*I43/1000,0))</f>
        <v/>
      </c>
      <c r="P43" s="180" t="str">
        <f>IF(I43="","",IFERROR(SUMPRODUCT((TableBOM[Product ID]=A43)*(TableBOM[Material Category]="CARTON")*TableBOM[Per 1000 Units]*(1+TableBOM[Scrap %]))*I43/1000,0))</f>
        <v/>
      </c>
      <c r="Q43" s="180"/>
      <c r="R43" s="180"/>
      <c r="S43" s="180"/>
    </row>
    <row r="44" spans="1:19" ht="15" customHeight="1" x14ac:dyDescent="0.25">
      <c r="A44" s="176">
        <v>8006</v>
      </c>
      <c r="B44" s="176">
        <v>806</v>
      </c>
      <c r="C44" s="176" t="s">
        <v>26</v>
      </c>
      <c r="D44" s="177" t="s">
        <v>77</v>
      </c>
      <c r="E44" s="176" t="s">
        <v>78</v>
      </c>
      <c r="F44" s="176">
        <v>0</v>
      </c>
      <c r="G44" s="176" t="s">
        <v>20</v>
      </c>
      <c r="H44" s="176">
        <v>0</v>
      </c>
      <c r="I44" s="195"/>
      <c r="J44" s="180" t="str">
        <f>IF(I44="","",IFERROR(SUMPRODUCT((TableBOM[Product ID]=A44)*(TableBOM[Material Category]="SLUG")*TableBOM[Per 1000 Units]*(1+TableBOM[Scrap %]))*I44/1000,0))</f>
        <v/>
      </c>
      <c r="K44" s="180" t="str">
        <f>IF(I44="","",IFERROR(SUMPRODUCT((TableBOM[Product ID]=A44)*(TableBOM[Material Category]="BASE COAT")*TableBOM[Per 1000 Units]*(1+TableBOM[Scrap %]))*I44/1000,0))</f>
        <v/>
      </c>
      <c r="L44" s="180" t="str">
        <f>IF(I44="","",IFERROR(SUMPRODUCT((TableBOM[Product ID]=A44)*(TableBOM[Material Category]="LACQUER")*TableBOM[Per 1000 Units]*(1+TableBOM[Scrap %]))*I44/1000,0))</f>
        <v/>
      </c>
      <c r="M44" s="180" t="str">
        <f>IF(I44="","",IFERROR(SUMPRODUCT((TableBOM[Product ID]=A44)*(TableBOM[Material Category]="LATEX")*TableBOM[Per 1000 Units]*(1+TableBOM[Scrap %]))*I44/1000,0))</f>
        <v/>
      </c>
      <c r="N44" s="180" t="str">
        <f>IF(I44="","",IFERROR(SUMPRODUCT((TableBOM[Product ID]=A44)*(TableBOM[Material Category]="ZINC POWDER")*TableBOM[Per 1000 Units]*(1+TableBOM[Scrap %]))*I44/1000,0))</f>
        <v/>
      </c>
      <c r="O44" s="180" t="str">
        <f>IF(I44="","",IFERROR(SUMPRODUCT((TableBOM[Product ID]=A44)*(TableBOM[Material Category]="CAP")*TableBOM[Per 1000 Units]*(1+TableBOM[Scrap %]))*I44/1000,0))</f>
        <v/>
      </c>
      <c r="P44" s="180" t="str">
        <f>IF(I44="","",IFERROR(SUMPRODUCT((TableBOM[Product ID]=A44)*(TableBOM[Material Category]="CARTON")*TableBOM[Per 1000 Units]*(1+TableBOM[Scrap %]))*I44/1000,0))</f>
        <v/>
      </c>
      <c r="Q44" s="180"/>
      <c r="R44" s="180"/>
      <c r="S44" s="180"/>
    </row>
    <row r="45" spans="1:19" ht="15" customHeight="1" x14ac:dyDescent="0.25">
      <c r="A45" s="176">
        <v>8007</v>
      </c>
      <c r="B45" s="176">
        <v>807</v>
      </c>
      <c r="C45" s="176" t="s">
        <v>26</v>
      </c>
      <c r="D45" s="177" t="s">
        <v>79</v>
      </c>
      <c r="E45" s="176" t="s">
        <v>78</v>
      </c>
      <c r="F45" s="176">
        <v>0</v>
      </c>
      <c r="G45" s="176" t="s">
        <v>20</v>
      </c>
      <c r="H45" s="176">
        <v>0</v>
      </c>
      <c r="I45" s="195"/>
      <c r="J45" s="180" t="str">
        <f>IF(I45="","",IFERROR(SUMPRODUCT((TableBOM[Product ID]=A45)*(TableBOM[Material Category]="SLUG")*TableBOM[Per 1000 Units]*(1+TableBOM[Scrap %]))*I45/1000,0))</f>
        <v/>
      </c>
      <c r="K45" s="180" t="str">
        <f>IF(I45="","",IFERROR(SUMPRODUCT((TableBOM[Product ID]=A45)*(TableBOM[Material Category]="BASE COAT")*TableBOM[Per 1000 Units]*(1+TableBOM[Scrap %]))*I45/1000,0))</f>
        <v/>
      </c>
      <c r="L45" s="180" t="str">
        <f>IF(I45="","",IFERROR(SUMPRODUCT((TableBOM[Product ID]=A45)*(TableBOM[Material Category]="LACQUER")*TableBOM[Per 1000 Units]*(1+TableBOM[Scrap %]))*I45/1000,0))</f>
        <v/>
      </c>
      <c r="M45" s="180" t="str">
        <f>IF(I45="","",IFERROR(SUMPRODUCT((TableBOM[Product ID]=A45)*(TableBOM[Material Category]="LATEX")*TableBOM[Per 1000 Units]*(1+TableBOM[Scrap %]))*I45/1000,0))</f>
        <v/>
      </c>
      <c r="N45" s="180" t="str">
        <f>IF(I45="","",IFERROR(SUMPRODUCT((TableBOM[Product ID]=A45)*(TableBOM[Material Category]="ZINC POWDER")*TableBOM[Per 1000 Units]*(1+TableBOM[Scrap %]))*I45/1000,0))</f>
        <v/>
      </c>
      <c r="O45" s="180" t="str">
        <f>IF(I45="","",IFERROR(SUMPRODUCT((TableBOM[Product ID]=A45)*(TableBOM[Material Category]="CAP")*TableBOM[Per 1000 Units]*(1+TableBOM[Scrap %]))*I45/1000,0))</f>
        <v/>
      </c>
      <c r="P45" s="180" t="str">
        <f>IF(I45="","",IFERROR(SUMPRODUCT((TableBOM[Product ID]=A45)*(TableBOM[Material Category]="CARTON")*TableBOM[Per 1000 Units]*(1+TableBOM[Scrap %]))*I45/1000,0))</f>
        <v/>
      </c>
      <c r="Q45" s="180"/>
      <c r="R45" s="180"/>
      <c r="S45" s="180"/>
    </row>
    <row r="46" spans="1:19" ht="15" customHeight="1" x14ac:dyDescent="0.25">
      <c r="A46" s="176">
        <v>8008</v>
      </c>
      <c r="B46" s="176">
        <v>808</v>
      </c>
      <c r="C46" s="176" t="s">
        <v>26</v>
      </c>
      <c r="D46" s="177" t="s">
        <v>80</v>
      </c>
      <c r="E46" s="176" t="s">
        <v>78</v>
      </c>
      <c r="F46" s="176">
        <v>0</v>
      </c>
      <c r="G46" s="176" t="s">
        <v>20</v>
      </c>
      <c r="H46" s="176">
        <v>0</v>
      </c>
      <c r="I46" s="195"/>
      <c r="J46" s="180" t="str">
        <f>IF(I46="","",IFERROR(SUMPRODUCT((TableBOM[Product ID]=A46)*(TableBOM[Material Category]="SLUG")*TableBOM[Per 1000 Units]*(1+TableBOM[Scrap %]))*I46/1000,0))</f>
        <v/>
      </c>
      <c r="K46" s="180" t="str">
        <f>IF(I46="","",IFERROR(SUMPRODUCT((TableBOM[Product ID]=A46)*(TableBOM[Material Category]="BASE COAT")*TableBOM[Per 1000 Units]*(1+TableBOM[Scrap %]))*I46/1000,0))</f>
        <v/>
      </c>
      <c r="L46" s="180" t="str">
        <f>IF(I46="","",IFERROR(SUMPRODUCT((TableBOM[Product ID]=A46)*(TableBOM[Material Category]="LACQUER")*TableBOM[Per 1000 Units]*(1+TableBOM[Scrap %]))*I46/1000,0))</f>
        <v/>
      </c>
      <c r="M46" s="180" t="str">
        <f>IF(I46="","",IFERROR(SUMPRODUCT((TableBOM[Product ID]=A46)*(TableBOM[Material Category]="LATEX")*TableBOM[Per 1000 Units]*(1+TableBOM[Scrap %]))*I46/1000,0))</f>
        <v/>
      </c>
      <c r="N46" s="180" t="str">
        <f>IF(I46="","",IFERROR(SUMPRODUCT((TableBOM[Product ID]=A46)*(TableBOM[Material Category]="ZINC POWDER")*TableBOM[Per 1000 Units]*(1+TableBOM[Scrap %]))*I46/1000,0))</f>
        <v/>
      </c>
      <c r="O46" s="180" t="str">
        <f>IF(I46="","",IFERROR(SUMPRODUCT((TableBOM[Product ID]=A46)*(TableBOM[Material Category]="CAP")*TableBOM[Per 1000 Units]*(1+TableBOM[Scrap %]))*I46/1000,0))</f>
        <v/>
      </c>
      <c r="P46" s="180" t="str">
        <f>IF(I46="","",IFERROR(SUMPRODUCT((TableBOM[Product ID]=A46)*(TableBOM[Material Category]="CARTON")*TableBOM[Per 1000 Units]*(1+TableBOM[Scrap %]))*I46/1000,0))</f>
        <v/>
      </c>
      <c r="Q46" s="180"/>
      <c r="R46" s="180"/>
      <c r="S46" s="180"/>
    </row>
    <row r="47" spans="1:19" ht="15" customHeight="1" x14ac:dyDescent="0.25">
      <c r="A47" s="176">
        <v>8009</v>
      </c>
      <c r="B47" s="176">
        <v>809</v>
      </c>
      <c r="C47" s="176" t="s">
        <v>29</v>
      </c>
      <c r="D47" s="177" t="s">
        <v>81</v>
      </c>
      <c r="E47" s="176" t="s">
        <v>82</v>
      </c>
      <c r="F47" s="176">
        <v>0</v>
      </c>
      <c r="G47" s="176" t="s">
        <v>20</v>
      </c>
      <c r="H47" s="176">
        <v>0</v>
      </c>
      <c r="I47" s="195"/>
      <c r="J47" s="180" t="str">
        <f>IF(I47="","",IFERROR(SUMPRODUCT((TableBOM[Product ID]=A47)*(TableBOM[Material Category]="SLUG")*TableBOM[Per 1000 Units]*(1+TableBOM[Scrap %]))*I47/1000,0))</f>
        <v/>
      </c>
      <c r="K47" s="180" t="str">
        <f>IF(I47="","",IFERROR(SUMPRODUCT((TableBOM[Product ID]=A47)*(TableBOM[Material Category]="BASE COAT")*TableBOM[Per 1000 Units]*(1+TableBOM[Scrap %]))*I47/1000,0))</f>
        <v/>
      </c>
      <c r="L47" s="180" t="str">
        <f>IF(I47="","",IFERROR(SUMPRODUCT((TableBOM[Product ID]=A47)*(TableBOM[Material Category]="LACQUER")*TableBOM[Per 1000 Units]*(1+TableBOM[Scrap %]))*I47/1000,0))</f>
        <v/>
      </c>
      <c r="M47" s="180" t="str">
        <f>IF(I47="","",IFERROR(SUMPRODUCT((TableBOM[Product ID]=A47)*(TableBOM[Material Category]="LATEX")*TableBOM[Per 1000 Units]*(1+TableBOM[Scrap %]))*I47/1000,0))</f>
        <v/>
      </c>
      <c r="N47" s="180" t="str">
        <f>IF(I47="","",IFERROR(SUMPRODUCT((TableBOM[Product ID]=A47)*(TableBOM[Material Category]="ZINC POWDER")*TableBOM[Per 1000 Units]*(1+TableBOM[Scrap %]))*I47/1000,0))</f>
        <v/>
      </c>
      <c r="O47" s="180" t="str">
        <f>IF(I47="","",IFERROR(SUMPRODUCT((TableBOM[Product ID]=A47)*(TableBOM[Material Category]="CAP")*TableBOM[Per 1000 Units]*(1+TableBOM[Scrap %]))*I47/1000,0))</f>
        <v/>
      </c>
      <c r="P47" s="180" t="str">
        <f>IF(I47="","",IFERROR(SUMPRODUCT((TableBOM[Product ID]=A47)*(TableBOM[Material Category]="CARTON")*TableBOM[Per 1000 Units]*(1+TableBOM[Scrap %]))*I47/1000,0))</f>
        <v/>
      </c>
      <c r="Q47" s="180"/>
      <c r="R47" s="180"/>
      <c r="S47" s="180"/>
    </row>
    <row r="48" spans="1:19" ht="15" customHeight="1" x14ac:dyDescent="0.25">
      <c r="A48" s="176">
        <v>8013</v>
      </c>
      <c r="B48" s="176">
        <v>813</v>
      </c>
      <c r="C48" s="176" t="s">
        <v>29</v>
      </c>
      <c r="D48" s="177" t="s">
        <v>83</v>
      </c>
      <c r="E48" s="176" t="s">
        <v>84</v>
      </c>
      <c r="F48" s="176">
        <v>0</v>
      </c>
      <c r="G48" s="176" t="s">
        <v>20</v>
      </c>
      <c r="H48" s="176">
        <v>0</v>
      </c>
      <c r="I48" s="195"/>
      <c r="J48" s="180" t="str">
        <f>IF(I48="","",IFERROR(SUMPRODUCT((TableBOM[Product ID]=A48)*(TableBOM[Material Category]="SLUG")*TableBOM[Per 1000 Units]*(1+TableBOM[Scrap %]))*I48/1000,0))</f>
        <v/>
      </c>
      <c r="K48" s="180" t="str">
        <f>IF(I48="","",IFERROR(SUMPRODUCT((TableBOM[Product ID]=A48)*(TableBOM[Material Category]="BASE COAT")*TableBOM[Per 1000 Units]*(1+TableBOM[Scrap %]))*I48/1000,0))</f>
        <v/>
      </c>
      <c r="L48" s="180" t="str">
        <f>IF(I48="","",IFERROR(SUMPRODUCT((TableBOM[Product ID]=A48)*(TableBOM[Material Category]="LACQUER")*TableBOM[Per 1000 Units]*(1+TableBOM[Scrap %]))*I48/1000,0))</f>
        <v/>
      </c>
      <c r="M48" s="180" t="str">
        <f>IF(I48="","",IFERROR(SUMPRODUCT((TableBOM[Product ID]=A48)*(TableBOM[Material Category]="LATEX")*TableBOM[Per 1000 Units]*(1+TableBOM[Scrap %]))*I48/1000,0))</f>
        <v/>
      </c>
      <c r="N48" s="180" t="str">
        <f>IF(I48="","",IFERROR(SUMPRODUCT((TableBOM[Product ID]=A48)*(TableBOM[Material Category]="ZINC POWDER")*TableBOM[Per 1000 Units]*(1+TableBOM[Scrap %]))*I48/1000,0))</f>
        <v/>
      </c>
      <c r="O48" s="180" t="str">
        <f>IF(I48="","",IFERROR(SUMPRODUCT((TableBOM[Product ID]=A48)*(TableBOM[Material Category]="CAP")*TableBOM[Per 1000 Units]*(1+TableBOM[Scrap %]))*I48/1000,0))</f>
        <v/>
      </c>
      <c r="P48" s="180" t="str">
        <f>IF(I48="","",IFERROR(SUMPRODUCT((TableBOM[Product ID]=A48)*(TableBOM[Material Category]="CARTON")*TableBOM[Per 1000 Units]*(1+TableBOM[Scrap %]))*I48/1000,0))</f>
        <v/>
      </c>
      <c r="Q48" s="180"/>
      <c r="R48" s="180"/>
      <c r="S48" s="180"/>
    </row>
    <row r="49" spans="1:19" ht="15" customHeight="1" x14ac:dyDescent="0.25">
      <c r="A49" s="176">
        <v>8014</v>
      </c>
      <c r="B49" s="176">
        <v>814</v>
      </c>
      <c r="C49" s="176" t="s">
        <v>26</v>
      </c>
      <c r="D49" s="177" t="s">
        <v>85</v>
      </c>
      <c r="E49" s="176" t="s">
        <v>78</v>
      </c>
      <c r="F49" s="176">
        <v>0</v>
      </c>
      <c r="G49" s="176" t="s">
        <v>20</v>
      </c>
      <c r="H49" s="176">
        <v>0</v>
      </c>
      <c r="I49" s="195"/>
      <c r="J49" s="180" t="str">
        <f>IF(I49="","",IFERROR(SUMPRODUCT((TableBOM[Product ID]=A49)*(TableBOM[Material Category]="SLUG")*TableBOM[Per 1000 Units]*(1+TableBOM[Scrap %]))*I49/1000,0))</f>
        <v/>
      </c>
      <c r="K49" s="180" t="str">
        <f>IF(I49="","",IFERROR(SUMPRODUCT((TableBOM[Product ID]=A49)*(TableBOM[Material Category]="BASE COAT")*TableBOM[Per 1000 Units]*(1+TableBOM[Scrap %]))*I49/1000,0))</f>
        <v/>
      </c>
      <c r="L49" s="180" t="str">
        <f>IF(I49="","",IFERROR(SUMPRODUCT((TableBOM[Product ID]=A49)*(TableBOM[Material Category]="LACQUER")*TableBOM[Per 1000 Units]*(1+TableBOM[Scrap %]))*I49/1000,0))</f>
        <v/>
      </c>
      <c r="M49" s="180" t="str">
        <f>IF(I49="","",IFERROR(SUMPRODUCT((TableBOM[Product ID]=A49)*(TableBOM[Material Category]="LATEX")*TableBOM[Per 1000 Units]*(1+TableBOM[Scrap %]))*I49/1000,0))</f>
        <v/>
      </c>
      <c r="N49" s="180" t="str">
        <f>IF(I49="","",IFERROR(SUMPRODUCT((TableBOM[Product ID]=A49)*(TableBOM[Material Category]="ZINC POWDER")*TableBOM[Per 1000 Units]*(1+TableBOM[Scrap %]))*I49/1000,0))</f>
        <v/>
      </c>
      <c r="O49" s="180" t="str">
        <f>IF(I49="","",IFERROR(SUMPRODUCT((TableBOM[Product ID]=A49)*(TableBOM[Material Category]="CAP")*TableBOM[Per 1000 Units]*(1+TableBOM[Scrap %]))*I49/1000,0))</f>
        <v/>
      </c>
      <c r="P49" s="180" t="str">
        <f>IF(I49="","",IFERROR(SUMPRODUCT((TableBOM[Product ID]=A49)*(TableBOM[Material Category]="CARTON")*TableBOM[Per 1000 Units]*(1+TableBOM[Scrap %]))*I49/1000,0))</f>
        <v/>
      </c>
      <c r="Q49" s="180"/>
      <c r="R49" s="180"/>
      <c r="S49" s="180"/>
    </row>
    <row r="50" spans="1:19" ht="15" customHeight="1" x14ac:dyDescent="0.25">
      <c r="A50" s="176">
        <v>2909</v>
      </c>
      <c r="B50" s="176">
        <v>56</v>
      </c>
      <c r="C50" s="176" t="s">
        <v>54</v>
      </c>
      <c r="D50" s="177" t="s">
        <v>86</v>
      </c>
      <c r="E50" s="176">
        <v>30</v>
      </c>
      <c r="F50" s="176">
        <v>130</v>
      </c>
      <c r="G50" s="176" t="s">
        <v>20</v>
      </c>
      <c r="H50" s="176">
        <v>150</v>
      </c>
      <c r="I50" s="195"/>
      <c r="J50" s="180" t="str">
        <f>IF(I50="","",IFERROR(SUMPRODUCT((TableBOM[Product ID]=A50)*(TableBOM[Material Category]="SLUG")*TableBOM[Per 1000 Units]*(1+TableBOM[Scrap %]))*I50/1000,0))</f>
        <v/>
      </c>
      <c r="K50" s="180" t="str">
        <f>IF(I50="","",IFERROR(SUMPRODUCT((TableBOM[Product ID]=A50)*(TableBOM[Material Category]="BASE COAT")*TableBOM[Per 1000 Units]*(1+TableBOM[Scrap %]))*I50/1000,0))</f>
        <v/>
      </c>
      <c r="L50" s="180" t="str">
        <f>IF(I50="","",IFERROR(SUMPRODUCT((TableBOM[Product ID]=A50)*(TableBOM[Material Category]="LACQUER")*TableBOM[Per 1000 Units]*(1+TableBOM[Scrap %]))*I50/1000,0))</f>
        <v/>
      </c>
      <c r="M50" s="180" t="str">
        <f>IF(I50="","",IFERROR(SUMPRODUCT((TableBOM[Product ID]=A50)*(TableBOM[Material Category]="LATEX")*TableBOM[Per 1000 Units]*(1+TableBOM[Scrap %]))*I50/1000,0))</f>
        <v/>
      </c>
      <c r="N50" s="180" t="str">
        <f>IF(I50="","",IFERROR(SUMPRODUCT((TableBOM[Product ID]=A50)*(TableBOM[Material Category]="ZINC POWDER")*TableBOM[Per 1000 Units]*(1+TableBOM[Scrap %]))*I50/1000,0))</f>
        <v/>
      </c>
      <c r="O50" s="180" t="str">
        <f>IF(I50="","",IFERROR(SUMPRODUCT((TableBOM[Product ID]=A50)*(TableBOM[Material Category]="CAP")*TableBOM[Per 1000 Units]*(1+TableBOM[Scrap %]))*I50/1000,0))</f>
        <v/>
      </c>
      <c r="P50" s="180" t="str">
        <f>IF(I50="","",IFERROR(SUMPRODUCT((TableBOM[Product ID]=A50)*(TableBOM[Material Category]="CARTON")*TableBOM[Per 1000 Units]*(1+TableBOM[Scrap %]))*I50/1000,0))</f>
        <v/>
      </c>
      <c r="Q50" s="180"/>
      <c r="R50" s="180"/>
      <c r="S50" s="180"/>
    </row>
    <row r="51" spans="1:19" ht="15" customHeight="1" x14ac:dyDescent="0.25">
      <c r="A51" s="176">
        <v>4227</v>
      </c>
      <c r="B51" s="176">
        <v>20</v>
      </c>
      <c r="C51" s="176" t="s">
        <v>87</v>
      </c>
      <c r="D51" s="177" t="s">
        <v>88</v>
      </c>
      <c r="E51" s="176">
        <v>25</v>
      </c>
      <c r="F51" s="176">
        <v>150</v>
      </c>
      <c r="G51" s="176" t="s">
        <v>31</v>
      </c>
      <c r="H51" s="176">
        <v>336</v>
      </c>
      <c r="I51" s="195"/>
      <c r="J51" s="180" t="str">
        <f>IF(I51="","",IFERROR(SUMPRODUCT((TableBOM[Product ID]=A51)*(TableBOM[Material Category]="SLUG")*TableBOM[Per 1000 Units]*(1+TableBOM[Scrap %]))*I51/1000,0))</f>
        <v/>
      </c>
      <c r="K51" s="180" t="str">
        <f>IF(I51="","",IFERROR(SUMPRODUCT((TableBOM[Product ID]=A51)*(TableBOM[Material Category]="BASE COAT")*TableBOM[Per 1000 Units]*(1+TableBOM[Scrap %]))*I51/1000,0))</f>
        <v/>
      </c>
      <c r="L51" s="180" t="str">
        <f>IF(I51="","",IFERROR(SUMPRODUCT((TableBOM[Product ID]=A51)*(TableBOM[Material Category]="LACQUER")*TableBOM[Per 1000 Units]*(1+TableBOM[Scrap %]))*I51/1000,0))</f>
        <v/>
      </c>
      <c r="M51" s="180" t="str">
        <f>IF(I51="","",IFERROR(SUMPRODUCT((TableBOM[Product ID]=A51)*(TableBOM[Material Category]="LATEX")*TableBOM[Per 1000 Units]*(1+TableBOM[Scrap %]))*I51/1000,0))</f>
        <v/>
      </c>
      <c r="N51" s="180" t="str">
        <f>IF(I51="","",IFERROR(SUMPRODUCT((TableBOM[Product ID]=A51)*(TableBOM[Material Category]="ZINC POWDER")*TableBOM[Per 1000 Units]*(1+TableBOM[Scrap %]))*I51/1000,0))</f>
        <v/>
      </c>
      <c r="O51" s="180" t="str">
        <f>IF(I51="","",IFERROR(SUMPRODUCT((TableBOM[Product ID]=A51)*(TableBOM[Material Category]="CAP")*TableBOM[Per 1000 Units]*(1+TableBOM[Scrap %]))*I51/1000,0))</f>
        <v/>
      </c>
      <c r="P51" s="180" t="str">
        <f>IF(I51="","",IFERROR(SUMPRODUCT((TableBOM[Product ID]=A51)*(TableBOM[Material Category]="CARTON")*TableBOM[Per 1000 Units]*(1+TableBOM[Scrap %]))*I51/1000,0))</f>
        <v/>
      </c>
      <c r="Q51" s="180"/>
      <c r="R51" s="180"/>
      <c r="S51" s="180"/>
    </row>
    <row r="52" spans="1:19" ht="15" customHeight="1" x14ac:dyDescent="0.25">
      <c r="A52" s="176">
        <v>5389</v>
      </c>
      <c r="B52" s="176">
        <v>35</v>
      </c>
      <c r="C52" s="176" t="s">
        <v>89</v>
      </c>
      <c r="D52" s="177" t="s">
        <v>90</v>
      </c>
      <c r="E52" s="176">
        <v>25</v>
      </c>
      <c r="F52" s="176">
        <v>150</v>
      </c>
      <c r="G52" s="176" t="s">
        <v>20</v>
      </c>
      <c r="H52" s="176">
        <v>336</v>
      </c>
      <c r="I52" s="195"/>
      <c r="J52" s="180" t="str">
        <f>IF(I52="","",IFERROR(SUMPRODUCT((TableBOM[Product ID]=A52)*(TableBOM[Material Category]="SLUG")*TableBOM[Per 1000 Units]*(1+TableBOM[Scrap %]))*I52/1000,0))</f>
        <v/>
      </c>
      <c r="K52" s="180" t="str">
        <f>IF(I52="","",IFERROR(SUMPRODUCT((TableBOM[Product ID]=A52)*(TableBOM[Material Category]="BASE COAT")*TableBOM[Per 1000 Units]*(1+TableBOM[Scrap %]))*I52/1000,0))</f>
        <v/>
      </c>
      <c r="L52" s="180" t="str">
        <f>IF(I52="","",IFERROR(SUMPRODUCT((TableBOM[Product ID]=A52)*(TableBOM[Material Category]="LACQUER")*TableBOM[Per 1000 Units]*(1+TableBOM[Scrap %]))*I52/1000,0))</f>
        <v/>
      </c>
      <c r="M52" s="180" t="str">
        <f>IF(I52="","",IFERROR(SUMPRODUCT((TableBOM[Product ID]=A52)*(TableBOM[Material Category]="LATEX")*TableBOM[Per 1000 Units]*(1+TableBOM[Scrap %]))*I52/1000,0))</f>
        <v/>
      </c>
      <c r="N52" s="180" t="str">
        <f>IF(I52="","",IFERROR(SUMPRODUCT((TableBOM[Product ID]=A52)*(TableBOM[Material Category]="ZINC POWDER")*TableBOM[Per 1000 Units]*(1+TableBOM[Scrap %]))*I52/1000,0))</f>
        <v/>
      </c>
      <c r="O52" s="180" t="str">
        <f>IF(I52="","",IFERROR(SUMPRODUCT((TableBOM[Product ID]=A52)*(TableBOM[Material Category]="CAP")*TableBOM[Per 1000 Units]*(1+TableBOM[Scrap %]))*I52/1000,0))</f>
        <v/>
      </c>
      <c r="P52" s="180" t="str">
        <f>IF(I52="","",IFERROR(SUMPRODUCT((TableBOM[Product ID]=A52)*(TableBOM[Material Category]="CARTON")*TableBOM[Per 1000 Units]*(1+TableBOM[Scrap %]))*I52/1000,0))</f>
        <v/>
      </c>
      <c r="Q52" s="180"/>
      <c r="R52" s="180"/>
      <c r="S52" s="180"/>
    </row>
    <row r="53" spans="1:19" ht="15" customHeight="1" x14ac:dyDescent="0.25">
      <c r="A53" s="176">
        <v>6151</v>
      </c>
      <c r="B53" s="176">
        <v>146</v>
      </c>
      <c r="C53" s="176" t="s">
        <v>91</v>
      </c>
      <c r="D53" s="177" t="s">
        <v>92</v>
      </c>
      <c r="E53" s="176">
        <v>30</v>
      </c>
      <c r="F53" s="176">
        <v>130</v>
      </c>
      <c r="G53" s="176" t="s">
        <v>31</v>
      </c>
      <c r="H53" s="176">
        <v>238</v>
      </c>
      <c r="I53" s="195"/>
      <c r="J53" s="180" t="str">
        <f>IF(I53="","",IFERROR(SUMPRODUCT((TableBOM[Product ID]=A53)*(TableBOM[Material Category]="SLUG")*TableBOM[Per 1000 Units]*(1+TableBOM[Scrap %]))*I53/1000,0))</f>
        <v/>
      </c>
      <c r="K53" s="180" t="str">
        <f>IF(I53="","",IFERROR(SUMPRODUCT((TableBOM[Product ID]=A53)*(TableBOM[Material Category]="BASE COAT")*TableBOM[Per 1000 Units]*(1+TableBOM[Scrap %]))*I53/1000,0))</f>
        <v/>
      </c>
      <c r="L53" s="180" t="str">
        <f>IF(I53="","",IFERROR(SUMPRODUCT((TableBOM[Product ID]=A53)*(TableBOM[Material Category]="LACQUER")*TableBOM[Per 1000 Units]*(1+TableBOM[Scrap %]))*I53/1000,0))</f>
        <v/>
      </c>
      <c r="M53" s="180" t="str">
        <f>IF(I53="","",IFERROR(SUMPRODUCT((TableBOM[Product ID]=A53)*(TableBOM[Material Category]="LATEX")*TableBOM[Per 1000 Units]*(1+TableBOM[Scrap %]))*I53/1000,0))</f>
        <v/>
      </c>
      <c r="N53" s="180" t="str">
        <f>IF(I53="","",IFERROR(SUMPRODUCT((TableBOM[Product ID]=A53)*(TableBOM[Material Category]="ZINC POWDER")*TableBOM[Per 1000 Units]*(1+TableBOM[Scrap %]))*I53/1000,0))</f>
        <v/>
      </c>
      <c r="O53" s="180" t="str">
        <f>IF(I53="","",IFERROR(SUMPRODUCT((TableBOM[Product ID]=A53)*(TableBOM[Material Category]="CAP")*TableBOM[Per 1000 Units]*(1+TableBOM[Scrap %]))*I53/1000,0))</f>
        <v/>
      </c>
      <c r="P53" s="180" t="str">
        <f>IF(I53="","",IFERROR(SUMPRODUCT((TableBOM[Product ID]=A53)*(TableBOM[Material Category]="CARTON")*TableBOM[Per 1000 Units]*(1+TableBOM[Scrap %]))*I53/1000,0))</f>
        <v/>
      </c>
      <c r="Q53" s="180"/>
      <c r="R53" s="180"/>
      <c r="S53" s="180"/>
    </row>
    <row r="54" spans="1:19" ht="15" customHeight="1" x14ac:dyDescent="0.25">
      <c r="A54" s="176"/>
      <c r="B54" s="176"/>
      <c r="C54" s="176"/>
      <c r="D54" s="177"/>
      <c r="E54" s="176"/>
      <c r="F54" s="176"/>
      <c r="G54" s="176"/>
      <c r="H54" s="176"/>
      <c r="I54" s="195"/>
      <c r="J54" s="180"/>
      <c r="K54" s="180"/>
      <c r="L54" s="180"/>
      <c r="M54" s="180"/>
      <c r="N54" s="180"/>
      <c r="O54" s="180"/>
      <c r="P54" s="180"/>
      <c r="Q54" s="180"/>
      <c r="R54" s="180"/>
      <c r="S54" s="18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S247"/>
  <sheetViews>
    <sheetView topLeftCell="A52" zoomScaleNormal="100" workbookViewId="0">
      <selection activeCell="G93" sqref="G93"/>
    </sheetView>
  </sheetViews>
  <sheetFormatPr defaultColWidth="8.7109375" defaultRowHeight="15" x14ac:dyDescent="0.25"/>
  <cols>
    <col min="1" max="1" width="20.85546875" customWidth="1"/>
    <col min="2" max="2" width="14" customWidth="1"/>
    <col min="3" max="3" width="34" style="69" customWidth="1"/>
    <col min="4" max="4" width="21.7109375" style="69" customWidth="1"/>
    <col min="5" max="6" width="12" customWidth="1"/>
    <col min="7" max="7" width="14" customWidth="1"/>
    <col min="8" max="8" width="20" customWidth="1"/>
    <col min="9" max="9" width="12.85546875" customWidth="1"/>
    <col min="10" max="10" width="10" customWidth="1"/>
    <col min="11" max="12" width="14" customWidth="1"/>
    <col min="13" max="13" width="18" customWidth="1"/>
    <col min="14" max="15" width="14" customWidth="1"/>
    <col min="16" max="16" width="18" customWidth="1"/>
    <col min="17" max="17" width="17.140625" customWidth="1"/>
    <col min="18" max="18" width="16" customWidth="1"/>
  </cols>
  <sheetData>
    <row r="1" spans="1:18" ht="15" customHeight="1" x14ac:dyDescent="0.35">
      <c r="A1" s="198" t="s">
        <v>383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4"/>
    </row>
    <row r="2" spans="1:18" ht="29.25" customHeight="1" x14ac:dyDescent="0.25">
      <c r="A2" s="199" t="s">
        <v>384</v>
      </c>
      <c r="B2" s="200" t="s">
        <v>385</v>
      </c>
      <c r="C2" s="201" t="s">
        <v>3</v>
      </c>
      <c r="D2" s="201" t="s">
        <v>4</v>
      </c>
      <c r="E2" s="200" t="s">
        <v>386</v>
      </c>
      <c r="F2" s="202" t="s">
        <v>1</v>
      </c>
      <c r="G2" s="203" t="s">
        <v>387</v>
      </c>
      <c r="H2" s="203" t="s">
        <v>388</v>
      </c>
      <c r="I2" s="203" t="s">
        <v>389</v>
      </c>
      <c r="J2" s="204" t="s">
        <v>390</v>
      </c>
      <c r="K2" s="200" t="s">
        <v>391</v>
      </c>
      <c r="L2" s="200" t="s">
        <v>392</v>
      </c>
      <c r="M2" s="200" t="s">
        <v>393</v>
      </c>
      <c r="N2" s="200" t="s">
        <v>394</v>
      </c>
      <c r="O2" s="200" t="s">
        <v>395</v>
      </c>
      <c r="P2" s="200" t="s">
        <v>396</v>
      </c>
      <c r="Q2" s="200" t="s">
        <v>397</v>
      </c>
      <c r="R2" s="200" t="s">
        <v>398</v>
      </c>
    </row>
    <row r="3" spans="1:18" ht="15" hidden="1" customHeight="1" x14ac:dyDescent="0.25">
      <c r="A3" s="205">
        <v>46144</v>
      </c>
      <c r="B3" t="s">
        <v>399</v>
      </c>
      <c r="C3" t="s">
        <v>26</v>
      </c>
      <c r="D3" t="s">
        <v>39</v>
      </c>
      <c r="E3">
        <v>25</v>
      </c>
      <c r="F3">
        <v>3447</v>
      </c>
      <c r="G3" s="206">
        <v>21000</v>
      </c>
      <c r="H3" s="206">
        <v>20645</v>
      </c>
      <c r="I3" s="206">
        <v>355</v>
      </c>
      <c r="J3" s="207">
        <f t="shared" ref="J3:J34" si="0">IFERROR(I3/(H3+I3),"")</f>
        <v>1.6904761904761905E-2</v>
      </c>
      <c r="P3">
        <v>30</v>
      </c>
    </row>
    <row r="4" spans="1:18" ht="15" hidden="1" customHeight="1" x14ac:dyDescent="0.25">
      <c r="A4" s="205">
        <v>46144</v>
      </c>
      <c r="B4" t="s">
        <v>400</v>
      </c>
      <c r="C4" t="s">
        <v>50</v>
      </c>
      <c r="D4" t="s">
        <v>51</v>
      </c>
      <c r="E4">
        <v>30</v>
      </c>
      <c r="F4">
        <v>6206</v>
      </c>
      <c r="G4" s="206">
        <v>28000</v>
      </c>
      <c r="H4" s="206">
        <v>27520</v>
      </c>
      <c r="I4" s="206">
        <v>480</v>
      </c>
      <c r="J4" s="207">
        <f t="shared" si="0"/>
        <v>1.7142857142857144E-2</v>
      </c>
      <c r="P4">
        <v>30</v>
      </c>
    </row>
    <row r="5" spans="1:18" ht="15" hidden="1" customHeight="1" x14ac:dyDescent="0.25">
      <c r="A5" s="205">
        <v>46144</v>
      </c>
      <c r="B5" t="s">
        <v>401</v>
      </c>
      <c r="C5" t="s">
        <v>50</v>
      </c>
      <c r="D5" t="s">
        <v>51</v>
      </c>
      <c r="E5">
        <v>30</v>
      </c>
      <c r="F5">
        <v>6206</v>
      </c>
      <c r="G5" s="206">
        <v>0</v>
      </c>
      <c r="H5" s="206">
        <v>0</v>
      </c>
      <c r="I5" s="206">
        <v>0</v>
      </c>
      <c r="J5" s="207" t="str">
        <f t="shared" si="0"/>
        <v/>
      </c>
      <c r="O5">
        <v>450</v>
      </c>
      <c r="P5">
        <v>30</v>
      </c>
    </row>
    <row r="6" spans="1:18" ht="15" hidden="1" customHeight="1" x14ac:dyDescent="0.25">
      <c r="A6" s="205">
        <v>46144</v>
      </c>
      <c r="B6" t="s">
        <v>402</v>
      </c>
      <c r="C6" t="s">
        <v>29</v>
      </c>
      <c r="D6" t="s">
        <v>75</v>
      </c>
      <c r="E6" t="s">
        <v>76</v>
      </c>
      <c r="F6">
        <v>8010</v>
      </c>
      <c r="G6" s="206">
        <v>6100</v>
      </c>
      <c r="H6" s="206">
        <v>5520</v>
      </c>
      <c r="I6" s="206">
        <v>580</v>
      </c>
      <c r="J6" s="207">
        <f t="shared" si="0"/>
        <v>9.5081967213114751E-2</v>
      </c>
      <c r="K6">
        <v>100</v>
      </c>
      <c r="O6">
        <v>150</v>
      </c>
    </row>
    <row r="7" spans="1:18" ht="15" hidden="1" customHeight="1" x14ac:dyDescent="0.25">
      <c r="A7" s="205">
        <v>46144</v>
      </c>
      <c r="B7" t="s">
        <v>403</v>
      </c>
      <c r="C7" t="s">
        <v>50</v>
      </c>
      <c r="D7" t="s">
        <v>51</v>
      </c>
      <c r="E7">
        <v>30</v>
      </c>
      <c r="F7">
        <v>6206</v>
      </c>
      <c r="G7" s="206">
        <v>25000</v>
      </c>
      <c r="H7" s="206">
        <v>24820</v>
      </c>
      <c r="I7" s="206">
        <v>180</v>
      </c>
      <c r="J7" s="207">
        <f t="shared" si="0"/>
        <v>7.1999999999999998E-3</v>
      </c>
      <c r="P7">
        <v>30</v>
      </c>
    </row>
    <row r="8" spans="1:18" ht="15" hidden="1" customHeight="1" x14ac:dyDescent="0.25">
      <c r="A8" s="205">
        <v>46144</v>
      </c>
      <c r="B8" t="s">
        <v>404</v>
      </c>
      <c r="C8" t="s">
        <v>26</v>
      </c>
      <c r="D8" t="s">
        <v>39</v>
      </c>
      <c r="E8">
        <v>25</v>
      </c>
      <c r="F8">
        <v>3447</v>
      </c>
      <c r="G8" s="206">
        <v>16000</v>
      </c>
      <c r="H8" s="206">
        <v>15890</v>
      </c>
      <c r="I8" s="206">
        <v>110</v>
      </c>
      <c r="J8" s="207">
        <f t="shared" si="0"/>
        <v>6.875E-3</v>
      </c>
      <c r="K8">
        <v>120</v>
      </c>
      <c r="P8">
        <v>30</v>
      </c>
    </row>
    <row r="9" spans="1:18" ht="15" hidden="1" customHeight="1" x14ac:dyDescent="0.25">
      <c r="A9" s="205">
        <v>46144</v>
      </c>
      <c r="B9" t="s">
        <v>405</v>
      </c>
      <c r="C9" t="s">
        <v>26</v>
      </c>
      <c r="D9" t="s">
        <v>39</v>
      </c>
      <c r="E9">
        <v>25</v>
      </c>
      <c r="F9">
        <v>3447</v>
      </c>
      <c r="G9" s="206">
        <v>20715</v>
      </c>
      <c r="H9" s="206">
        <v>20160</v>
      </c>
      <c r="I9" s="206">
        <v>555</v>
      </c>
      <c r="J9" s="207">
        <f t="shared" si="0"/>
        <v>2.6792179580014484E-2</v>
      </c>
      <c r="P9">
        <v>30</v>
      </c>
    </row>
    <row r="10" spans="1:18" ht="15" hidden="1" customHeight="1" x14ac:dyDescent="0.25">
      <c r="A10" s="205">
        <v>46144</v>
      </c>
      <c r="B10" t="s">
        <v>406</v>
      </c>
      <c r="C10" t="s">
        <v>50</v>
      </c>
      <c r="D10" t="s">
        <v>51</v>
      </c>
      <c r="E10">
        <v>30</v>
      </c>
      <c r="F10">
        <v>6206</v>
      </c>
      <c r="G10" s="206">
        <v>25580</v>
      </c>
      <c r="H10" s="206">
        <v>24990</v>
      </c>
      <c r="I10" s="206">
        <v>590</v>
      </c>
      <c r="J10" s="207">
        <f t="shared" si="0"/>
        <v>2.3064894448788117E-2</v>
      </c>
      <c r="P10">
        <v>30</v>
      </c>
    </row>
    <row r="11" spans="1:18" ht="15" hidden="1" customHeight="1" x14ac:dyDescent="0.25">
      <c r="A11" s="205">
        <v>46146</v>
      </c>
      <c r="B11" t="s">
        <v>399</v>
      </c>
      <c r="C11" t="s">
        <v>26</v>
      </c>
      <c r="D11" t="s">
        <v>39</v>
      </c>
      <c r="E11">
        <v>25</v>
      </c>
      <c r="F11">
        <v>3447</v>
      </c>
      <c r="G11" s="206">
        <v>4000</v>
      </c>
      <c r="H11" s="206">
        <v>3890</v>
      </c>
      <c r="I11" s="206">
        <v>110</v>
      </c>
      <c r="J11" s="207">
        <f t="shared" si="0"/>
        <v>2.75E-2</v>
      </c>
      <c r="M11">
        <v>360</v>
      </c>
    </row>
    <row r="12" spans="1:18" ht="15" hidden="1" customHeight="1" x14ac:dyDescent="0.25">
      <c r="A12" s="205">
        <v>46146</v>
      </c>
      <c r="B12" t="s">
        <v>400</v>
      </c>
      <c r="C12" t="s">
        <v>50</v>
      </c>
      <c r="D12" t="s">
        <v>51</v>
      </c>
      <c r="E12">
        <v>30</v>
      </c>
      <c r="F12">
        <v>6206</v>
      </c>
      <c r="G12" s="206">
        <v>28000</v>
      </c>
      <c r="H12" s="206">
        <v>27520</v>
      </c>
      <c r="I12" s="206">
        <v>480</v>
      </c>
      <c r="J12" s="207">
        <f t="shared" si="0"/>
        <v>1.7142857142857144E-2</v>
      </c>
    </row>
    <row r="13" spans="1:18" ht="15" hidden="1" customHeight="1" x14ac:dyDescent="0.25">
      <c r="A13" s="205">
        <v>46146</v>
      </c>
      <c r="B13" t="s">
        <v>401</v>
      </c>
      <c r="C13" t="s">
        <v>50</v>
      </c>
      <c r="D13" t="s">
        <v>51</v>
      </c>
      <c r="E13">
        <v>30</v>
      </c>
      <c r="F13">
        <v>6206</v>
      </c>
      <c r="G13" s="206">
        <v>28084</v>
      </c>
      <c r="H13" s="206">
        <v>28070</v>
      </c>
      <c r="I13" s="206">
        <v>14</v>
      </c>
      <c r="J13" s="207">
        <f t="shared" si="0"/>
        <v>4.9850448654037882E-4</v>
      </c>
    </row>
    <row r="14" spans="1:18" ht="15" hidden="1" customHeight="1" x14ac:dyDescent="0.25">
      <c r="A14" s="205">
        <v>46146</v>
      </c>
      <c r="B14" t="s">
        <v>402</v>
      </c>
      <c r="C14" t="s">
        <v>26</v>
      </c>
      <c r="D14" t="s">
        <v>71</v>
      </c>
      <c r="E14" t="s">
        <v>72</v>
      </c>
      <c r="F14">
        <v>8005</v>
      </c>
      <c r="G14" s="206">
        <v>11250</v>
      </c>
      <c r="H14" s="206">
        <v>10800</v>
      </c>
      <c r="I14" s="206">
        <v>450</v>
      </c>
      <c r="J14" s="207">
        <f t="shared" si="0"/>
        <v>0.04</v>
      </c>
      <c r="K14">
        <v>210</v>
      </c>
      <c r="L14">
        <v>30</v>
      </c>
      <c r="O14">
        <v>40</v>
      </c>
    </row>
    <row r="15" spans="1:18" ht="15" hidden="1" customHeight="1" x14ac:dyDescent="0.25">
      <c r="A15" s="205">
        <v>46146</v>
      </c>
      <c r="B15" t="s">
        <v>403</v>
      </c>
      <c r="C15" t="s">
        <v>50</v>
      </c>
      <c r="D15" t="s">
        <v>51</v>
      </c>
      <c r="E15">
        <v>30</v>
      </c>
      <c r="F15">
        <v>6206</v>
      </c>
      <c r="G15" s="206">
        <v>22000</v>
      </c>
      <c r="H15" s="206">
        <v>21850</v>
      </c>
      <c r="I15" s="206">
        <v>150</v>
      </c>
      <c r="J15" s="207">
        <f t="shared" si="0"/>
        <v>6.8181818181818179E-3</v>
      </c>
    </row>
    <row r="16" spans="1:18" ht="15" hidden="1" customHeight="1" x14ac:dyDescent="0.25">
      <c r="A16" s="205">
        <v>46146</v>
      </c>
      <c r="B16" t="s">
        <v>407</v>
      </c>
      <c r="C16" t="s">
        <v>26</v>
      </c>
      <c r="D16" t="s">
        <v>39</v>
      </c>
      <c r="E16">
        <v>25</v>
      </c>
      <c r="F16">
        <v>3447</v>
      </c>
      <c r="G16" s="206">
        <v>2400</v>
      </c>
      <c r="H16" s="206">
        <v>2345</v>
      </c>
      <c r="I16" s="206">
        <v>55</v>
      </c>
      <c r="J16" s="207">
        <f t="shared" si="0"/>
        <v>2.2916666666666665E-2</v>
      </c>
      <c r="M16">
        <v>420</v>
      </c>
    </row>
    <row r="17" spans="1:15" ht="15" hidden="1" customHeight="1" x14ac:dyDescent="0.25">
      <c r="A17" s="205">
        <v>46146</v>
      </c>
      <c r="B17" t="s">
        <v>405</v>
      </c>
      <c r="C17" t="s">
        <v>26</v>
      </c>
      <c r="D17" t="s">
        <v>39</v>
      </c>
      <c r="E17">
        <v>25</v>
      </c>
      <c r="F17">
        <v>3447</v>
      </c>
      <c r="G17" s="206">
        <v>7351</v>
      </c>
      <c r="H17" s="206">
        <v>7056</v>
      </c>
      <c r="I17" s="206">
        <v>295</v>
      </c>
      <c r="J17" s="207">
        <f t="shared" si="0"/>
        <v>4.0130594476941915E-2</v>
      </c>
      <c r="M17">
        <v>300</v>
      </c>
    </row>
    <row r="18" spans="1:15" ht="15" hidden="1" customHeight="1" x14ac:dyDescent="0.25">
      <c r="A18" s="205">
        <v>46146</v>
      </c>
      <c r="B18" t="s">
        <v>405</v>
      </c>
      <c r="C18" t="s">
        <v>61</v>
      </c>
      <c r="D18" t="s">
        <v>408</v>
      </c>
      <c r="E18">
        <v>32</v>
      </c>
      <c r="G18" s="206">
        <v>1070</v>
      </c>
      <c r="H18" s="206">
        <v>1040</v>
      </c>
      <c r="I18" s="206">
        <v>30</v>
      </c>
      <c r="J18" s="207">
        <f t="shared" si="0"/>
        <v>2.8037383177570093E-2</v>
      </c>
    </row>
    <row r="19" spans="1:15" ht="15" hidden="1" customHeight="1" x14ac:dyDescent="0.25">
      <c r="A19" s="205">
        <v>46146</v>
      </c>
      <c r="B19" t="s">
        <v>406</v>
      </c>
      <c r="C19" t="s">
        <v>50</v>
      </c>
      <c r="D19" t="s">
        <v>51</v>
      </c>
      <c r="E19">
        <v>30</v>
      </c>
      <c r="F19">
        <v>6206</v>
      </c>
      <c r="G19" s="206">
        <v>25640</v>
      </c>
      <c r="H19" s="206">
        <v>24990</v>
      </c>
      <c r="I19" s="206">
        <v>650</v>
      </c>
      <c r="J19" s="207">
        <f t="shared" si="0"/>
        <v>2.5351014040561622E-2</v>
      </c>
    </row>
    <row r="20" spans="1:15" ht="15" hidden="1" customHeight="1" x14ac:dyDescent="0.25">
      <c r="A20" s="205">
        <v>46147</v>
      </c>
      <c r="B20" t="s">
        <v>399</v>
      </c>
      <c r="C20" t="s">
        <v>50</v>
      </c>
      <c r="D20" t="s">
        <v>51</v>
      </c>
      <c r="E20">
        <v>30</v>
      </c>
      <c r="F20">
        <v>6206</v>
      </c>
      <c r="G20" s="206">
        <v>20000</v>
      </c>
      <c r="H20" s="206">
        <v>19650</v>
      </c>
      <c r="I20" s="206">
        <v>350</v>
      </c>
      <c r="J20" s="207">
        <f t="shared" si="0"/>
        <v>1.7500000000000002E-2</v>
      </c>
    </row>
    <row r="21" spans="1:15" ht="15" hidden="1" customHeight="1" x14ac:dyDescent="0.25">
      <c r="A21" s="205">
        <v>46147</v>
      </c>
      <c r="B21" t="s">
        <v>400</v>
      </c>
      <c r="C21" t="s">
        <v>63</v>
      </c>
      <c r="D21" t="s">
        <v>66</v>
      </c>
      <c r="E21">
        <v>35</v>
      </c>
      <c r="F21">
        <v>6530</v>
      </c>
      <c r="G21" s="206">
        <v>1000</v>
      </c>
      <c r="H21" s="206">
        <v>950</v>
      </c>
      <c r="I21" s="206">
        <v>50</v>
      </c>
      <c r="J21" s="207">
        <f t="shared" si="0"/>
        <v>0.05</v>
      </c>
      <c r="M21">
        <v>450</v>
      </c>
    </row>
    <row r="22" spans="1:15" ht="15" hidden="1" customHeight="1" x14ac:dyDescent="0.25">
      <c r="A22" s="205">
        <v>46147</v>
      </c>
      <c r="B22" t="s">
        <v>401</v>
      </c>
      <c r="C22" t="s">
        <v>50</v>
      </c>
      <c r="D22" t="s">
        <v>51</v>
      </c>
      <c r="E22">
        <v>30</v>
      </c>
      <c r="F22">
        <v>6206</v>
      </c>
      <c r="G22" s="206">
        <v>28084</v>
      </c>
      <c r="H22" s="206">
        <v>28069</v>
      </c>
      <c r="I22" s="206">
        <v>15</v>
      </c>
      <c r="J22" s="207">
        <f t="shared" si="0"/>
        <v>5.3411194986469166E-4</v>
      </c>
    </row>
    <row r="23" spans="1:15" ht="15" hidden="1" customHeight="1" x14ac:dyDescent="0.25">
      <c r="A23" s="205">
        <v>46147</v>
      </c>
      <c r="B23" t="s">
        <v>402</v>
      </c>
      <c r="C23" t="s">
        <v>26</v>
      </c>
      <c r="D23" t="s">
        <v>71</v>
      </c>
      <c r="E23" t="s">
        <v>72</v>
      </c>
      <c r="F23">
        <v>8005</v>
      </c>
      <c r="G23" s="206">
        <v>7500</v>
      </c>
      <c r="H23" s="206">
        <v>7200</v>
      </c>
      <c r="I23" s="206">
        <v>300</v>
      </c>
      <c r="J23" s="207">
        <f t="shared" si="0"/>
        <v>0.04</v>
      </c>
      <c r="K23">
        <v>180</v>
      </c>
    </row>
    <row r="24" spans="1:15" ht="15" hidden="1" customHeight="1" x14ac:dyDescent="0.25">
      <c r="A24" s="205">
        <v>46147</v>
      </c>
      <c r="B24" t="s">
        <v>409</v>
      </c>
      <c r="C24" t="s">
        <v>63</v>
      </c>
      <c r="D24" t="s">
        <v>66</v>
      </c>
      <c r="E24">
        <v>35</v>
      </c>
      <c r="F24">
        <v>6530</v>
      </c>
      <c r="G24" s="206">
        <v>9000</v>
      </c>
      <c r="H24" s="206">
        <v>8905</v>
      </c>
      <c r="I24" s="206">
        <v>95</v>
      </c>
      <c r="J24" s="207">
        <f t="shared" si="0"/>
        <v>1.0555555555555556E-2</v>
      </c>
      <c r="K24">
        <v>330</v>
      </c>
    </row>
    <row r="25" spans="1:15" ht="15" hidden="1" customHeight="1" x14ac:dyDescent="0.25">
      <c r="A25" s="205">
        <v>46147</v>
      </c>
      <c r="B25" t="s">
        <v>403</v>
      </c>
      <c r="C25" t="s">
        <v>50</v>
      </c>
      <c r="D25" t="s">
        <v>51</v>
      </c>
      <c r="E25">
        <v>30</v>
      </c>
      <c r="F25">
        <v>6206</v>
      </c>
      <c r="G25" s="206">
        <v>24000</v>
      </c>
      <c r="H25" s="206">
        <v>23855</v>
      </c>
      <c r="I25" s="206">
        <v>145</v>
      </c>
      <c r="J25" s="207">
        <f t="shared" si="0"/>
        <v>6.0416666666666665E-3</v>
      </c>
    </row>
    <row r="26" spans="1:15" ht="15" hidden="1" customHeight="1" x14ac:dyDescent="0.25">
      <c r="A26" s="205">
        <v>46147</v>
      </c>
      <c r="B26" t="s">
        <v>405</v>
      </c>
      <c r="C26" t="s">
        <v>61</v>
      </c>
      <c r="D26" t="s">
        <v>408</v>
      </c>
      <c r="E26">
        <v>32</v>
      </c>
      <c r="G26" s="206">
        <v>27490</v>
      </c>
      <c r="H26" s="206">
        <v>27040</v>
      </c>
      <c r="I26" s="206">
        <v>450</v>
      </c>
      <c r="J26" s="207">
        <f t="shared" si="0"/>
        <v>1.6369588941433248E-2</v>
      </c>
    </row>
    <row r="27" spans="1:15" ht="15" hidden="1" customHeight="1" x14ac:dyDescent="0.25">
      <c r="A27" s="205">
        <v>46147</v>
      </c>
      <c r="B27" t="s">
        <v>406</v>
      </c>
      <c r="C27" t="s">
        <v>50</v>
      </c>
      <c r="D27" t="s">
        <v>51</v>
      </c>
      <c r="E27">
        <v>30</v>
      </c>
      <c r="F27">
        <v>6206</v>
      </c>
      <c r="G27" s="206">
        <v>23428</v>
      </c>
      <c r="H27" s="206">
        <v>22848</v>
      </c>
      <c r="I27" s="206">
        <v>580</v>
      </c>
      <c r="J27" s="207">
        <f t="shared" si="0"/>
        <v>2.4756701382960562E-2</v>
      </c>
    </row>
    <row r="28" spans="1:15" ht="15" hidden="1" customHeight="1" x14ac:dyDescent="0.25">
      <c r="A28" s="205">
        <v>46148</v>
      </c>
      <c r="B28" t="s">
        <v>399</v>
      </c>
      <c r="C28" t="s">
        <v>50</v>
      </c>
      <c r="D28" t="s">
        <v>51</v>
      </c>
      <c r="E28">
        <v>30</v>
      </c>
      <c r="F28">
        <v>6206</v>
      </c>
      <c r="G28" s="206">
        <v>0</v>
      </c>
      <c r="H28" s="206">
        <v>0</v>
      </c>
      <c r="I28" s="206">
        <v>0</v>
      </c>
      <c r="J28" s="207" t="str">
        <f t="shared" si="0"/>
        <v/>
      </c>
      <c r="O28">
        <v>480</v>
      </c>
    </row>
    <row r="29" spans="1:15" ht="15" hidden="1" customHeight="1" x14ac:dyDescent="0.25">
      <c r="A29" s="205">
        <v>46148</v>
      </c>
      <c r="B29" t="s">
        <v>400</v>
      </c>
      <c r="C29" t="s">
        <v>63</v>
      </c>
      <c r="D29" t="s">
        <v>66</v>
      </c>
      <c r="E29">
        <v>35</v>
      </c>
      <c r="F29">
        <v>6530</v>
      </c>
      <c r="G29" s="206">
        <v>22000</v>
      </c>
      <c r="H29" s="206">
        <v>21610</v>
      </c>
      <c r="I29" s="206">
        <v>390</v>
      </c>
      <c r="J29" s="207">
        <f t="shared" si="0"/>
        <v>1.7727272727272727E-2</v>
      </c>
    </row>
    <row r="30" spans="1:15" ht="15" hidden="1" customHeight="1" x14ac:dyDescent="0.25">
      <c r="A30" s="205">
        <v>46148</v>
      </c>
      <c r="B30" t="s">
        <v>401</v>
      </c>
      <c r="C30" t="s">
        <v>63</v>
      </c>
      <c r="D30" t="s">
        <v>66</v>
      </c>
      <c r="E30">
        <v>35</v>
      </c>
      <c r="F30">
        <v>6530</v>
      </c>
      <c r="G30" s="206">
        <v>5010</v>
      </c>
      <c r="H30" s="206">
        <v>5000</v>
      </c>
      <c r="I30" s="206">
        <v>10</v>
      </c>
      <c r="J30" s="207">
        <f t="shared" si="0"/>
        <v>1.996007984031936E-3</v>
      </c>
      <c r="O30">
        <v>360</v>
      </c>
    </row>
    <row r="31" spans="1:15" ht="15" hidden="1" customHeight="1" x14ac:dyDescent="0.25">
      <c r="A31" s="205">
        <v>46148</v>
      </c>
      <c r="B31" t="s">
        <v>402</v>
      </c>
      <c r="C31" t="s">
        <v>26</v>
      </c>
      <c r="D31" t="s">
        <v>71</v>
      </c>
      <c r="E31" t="s">
        <v>72</v>
      </c>
      <c r="F31">
        <v>8005</v>
      </c>
      <c r="G31" s="206">
        <v>11500</v>
      </c>
      <c r="H31" s="206">
        <v>11040</v>
      </c>
      <c r="I31" s="206">
        <v>460</v>
      </c>
      <c r="J31" s="207">
        <f t="shared" si="0"/>
        <v>0.04</v>
      </c>
    </row>
    <row r="32" spans="1:15" ht="15" hidden="1" customHeight="1" x14ac:dyDescent="0.25">
      <c r="A32" s="205">
        <v>46148</v>
      </c>
      <c r="B32" t="s">
        <v>409</v>
      </c>
      <c r="C32" t="s">
        <v>63</v>
      </c>
      <c r="D32" t="s">
        <v>66</v>
      </c>
      <c r="E32">
        <v>35</v>
      </c>
      <c r="F32">
        <v>6530</v>
      </c>
      <c r="G32" s="206">
        <v>22000</v>
      </c>
      <c r="H32" s="206">
        <v>21850</v>
      </c>
      <c r="I32" s="206">
        <v>150</v>
      </c>
      <c r="J32" s="207">
        <f t="shared" si="0"/>
        <v>6.8181818181818179E-3</v>
      </c>
    </row>
    <row r="33" spans="1:16" ht="15" hidden="1" customHeight="1" x14ac:dyDescent="0.25">
      <c r="A33" s="205">
        <v>46148</v>
      </c>
      <c r="B33" t="s">
        <v>403</v>
      </c>
      <c r="C33" t="s">
        <v>50</v>
      </c>
      <c r="D33" t="s">
        <v>51</v>
      </c>
      <c r="E33">
        <v>30</v>
      </c>
      <c r="F33">
        <v>6206</v>
      </c>
      <c r="G33" s="206">
        <v>7900</v>
      </c>
      <c r="H33" s="206">
        <v>7790</v>
      </c>
      <c r="I33" s="206">
        <v>110</v>
      </c>
      <c r="J33" s="207">
        <f t="shared" si="0"/>
        <v>1.3924050632911392E-2</v>
      </c>
      <c r="N33">
        <v>300</v>
      </c>
    </row>
    <row r="34" spans="1:16" ht="15" hidden="1" customHeight="1" x14ac:dyDescent="0.25">
      <c r="A34" s="205">
        <v>46148</v>
      </c>
      <c r="B34" t="s">
        <v>405</v>
      </c>
      <c r="C34" t="s">
        <v>61</v>
      </c>
      <c r="D34" t="s">
        <v>408</v>
      </c>
      <c r="E34">
        <v>32</v>
      </c>
      <c r="G34" s="206">
        <v>11908</v>
      </c>
      <c r="H34" s="206">
        <v>11648</v>
      </c>
      <c r="I34" s="206">
        <v>260</v>
      </c>
      <c r="J34" s="207">
        <f t="shared" si="0"/>
        <v>2.1834061135371178E-2</v>
      </c>
      <c r="M34">
        <v>180</v>
      </c>
    </row>
    <row r="35" spans="1:16" ht="15" hidden="1" customHeight="1" x14ac:dyDescent="0.25">
      <c r="A35" s="205">
        <v>46148</v>
      </c>
      <c r="B35" t="s">
        <v>406</v>
      </c>
      <c r="C35" t="s">
        <v>63</v>
      </c>
      <c r="D35" t="s">
        <v>66</v>
      </c>
      <c r="E35">
        <v>35</v>
      </c>
      <c r="F35">
        <v>6530</v>
      </c>
      <c r="G35" s="206">
        <v>10080</v>
      </c>
      <c r="H35" s="206">
        <v>9540</v>
      </c>
      <c r="I35" s="206">
        <v>540</v>
      </c>
      <c r="J35" s="207">
        <f t="shared" ref="J35:J66" si="1">IFERROR(I35/(H35+I35),"")</f>
        <v>5.3571428571428568E-2</v>
      </c>
      <c r="O35">
        <v>240</v>
      </c>
    </row>
    <row r="36" spans="1:16" ht="15" hidden="1" customHeight="1" x14ac:dyDescent="0.25">
      <c r="A36" s="205">
        <v>46149</v>
      </c>
      <c r="B36" t="s">
        <v>399</v>
      </c>
      <c r="C36" t="s">
        <v>26</v>
      </c>
      <c r="D36" t="s">
        <v>39</v>
      </c>
      <c r="E36">
        <v>25</v>
      </c>
      <c r="F36">
        <v>3447</v>
      </c>
      <c r="G36" s="206">
        <v>12000</v>
      </c>
      <c r="H36" s="206">
        <v>11745</v>
      </c>
      <c r="I36" s="206">
        <v>255</v>
      </c>
      <c r="J36" s="207">
        <f t="shared" si="1"/>
        <v>2.1250000000000002E-2</v>
      </c>
      <c r="O36">
        <v>200</v>
      </c>
      <c r="P36">
        <v>40</v>
      </c>
    </row>
    <row r="37" spans="1:16" ht="15" hidden="1" customHeight="1" x14ac:dyDescent="0.25">
      <c r="A37" s="205">
        <v>46149</v>
      </c>
      <c r="B37" t="s">
        <v>400</v>
      </c>
      <c r="C37" t="s">
        <v>50</v>
      </c>
      <c r="D37" t="s">
        <v>51</v>
      </c>
      <c r="E37">
        <v>30</v>
      </c>
      <c r="F37">
        <v>6206</v>
      </c>
      <c r="G37" s="206">
        <v>14000</v>
      </c>
      <c r="H37" s="206">
        <v>13695</v>
      </c>
      <c r="I37" s="206">
        <v>305</v>
      </c>
      <c r="J37" s="207">
        <f t="shared" si="1"/>
        <v>2.1785714285714287E-2</v>
      </c>
      <c r="O37">
        <v>140</v>
      </c>
      <c r="P37">
        <v>40</v>
      </c>
    </row>
    <row r="38" spans="1:16" ht="15" hidden="1" customHeight="1" x14ac:dyDescent="0.25">
      <c r="A38" s="205">
        <v>46149</v>
      </c>
      <c r="B38" t="s">
        <v>401</v>
      </c>
      <c r="C38" t="s">
        <v>63</v>
      </c>
      <c r="D38" t="s">
        <v>66</v>
      </c>
      <c r="E38">
        <v>35</v>
      </c>
      <c r="F38">
        <v>6530</v>
      </c>
      <c r="G38" s="206">
        <v>2500</v>
      </c>
      <c r="H38" s="206">
        <v>2495</v>
      </c>
      <c r="I38" s="206">
        <v>5</v>
      </c>
      <c r="J38" s="207">
        <f t="shared" si="1"/>
        <v>2E-3</v>
      </c>
    </row>
    <row r="39" spans="1:16" ht="15" hidden="1" customHeight="1" x14ac:dyDescent="0.25">
      <c r="A39" s="205">
        <v>46149</v>
      </c>
      <c r="B39" t="s">
        <v>401</v>
      </c>
      <c r="C39" t="s">
        <v>50</v>
      </c>
      <c r="D39" t="s">
        <v>51</v>
      </c>
      <c r="E39">
        <v>30</v>
      </c>
      <c r="F39">
        <v>6206</v>
      </c>
      <c r="G39" s="206">
        <v>22610</v>
      </c>
      <c r="H39" s="206">
        <v>22600</v>
      </c>
      <c r="I39" s="206">
        <v>10</v>
      </c>
      <c r="J39" s="207">
        <f t="shared" si="1"/>
        <v>4.4228217602830609E-4</v>
      </c>
      <c r="P39">
        <v>40</v>
      </c>
    </row>
    <row r="40" spans="1:16" ht="15" hidden="1" customHeight="1" x14ac:dyDescent="0.25">
      <c r="A40" s="205">
        <v>46149</v>
      </c>
      <c r="B40" t="s">
        <v>402</v>
      </c>
      <c r="C40" t="s">
        <v>26</v>
      </c>
      <c r="D40" t="s">
        <v>71</v>
      </c>
      <c r="E40" t="s">
        <v>72</v>
      </c>
      <c r="F40">
        <v>8005</v>
      </c>
      <c r="G40" s="206">
        <v>10730</v>
      </c>
      <c r="H40" s="206">
        <v>10080</v>
      </c>
      <c r="I40" s="206">
        <v>650</v>
      </c>
      <c r="J40" s="207">
        <f t="shared" si="1"/>
        <v>6.0577819198508853E-2</v>
      </c>
      <c r="P40">
        <v>40</v>
      </c>
    </row>
    <row r="41" spans="1:16" ht="15" customHeight="1" x14ac:dyDescent="0.25">
      <c r="A41" s="205">
        <v>46149</v>
      </c>
      <c r="B41" t="s">
        <v>410</v>
      </c>
      <c r="C41" t="s">
        <v>29</v>
      </c>
      <c r="D41" t="s">
        <v>30</v>
      </c>
      <c r="E41">
        <v>20.5</v>
      </c>
      <c r="F41">
        <v>6077</v>
      </c>
      <c r="G41" s="206">
        <v>2000</v>
      </c>
      <c r="H41" s="206">
        <v>1945</v>
      </c>
      <c r="I41" s="206">
        <v>55</v>
      </c>
      <c r="J41" s="207">
        <f t="shared" si="1"/>
        <v>2.75E-2</v>
      </c>
      <c r="N41">
        <v>380</v>
      </c>
      <c r="P41">
        <v>40</v>
      </c>
    </row>
    <row r="42" spans="1:16" ht="15" hidden="1" customHeight="1" x14ac:dyDescent="0.25">
      <c r="A42" s="205">
        <v>46149</v>
      </c>
      <c r="B42" t="s">
        <v>404</v>
      </c>
      <c r="C42" t="s">
        <v>26</v>
      </c>
      <c r="D42" t="s">
        <v>39</v>
      </c>
      <c r="E42">
        <v>25</v>
      </c>
      <c r="F42">
        <v>3447</v>
      </c>
      <c r="G42" s="206">
        <v>12500</v>
      </c>
      <c r="H42" s="206">
        <v>12400</v>
      </c>
      <c r="I42" s="206">
        <v>100</v>
      </c>
      <c r="J42" s="207">
        <f t="shared" si="1"/>
        <v>8.0000000000000002E-3</v>
      </c>
      <c r="N42">
        <v>200</v>
      </c>
      <c r="P42">
        <v>40</v>
      </c>
    </row>
    <row r="43" spans="1:16" ht="15" hidden="1" customHeight="1" x14ac:dyDescent="0.25">
      <c r="A43" s="205">
        <v>46149</v>
      </c>
      <c r="B43" t="s">
        <v>405</v>
      </c>
      <c r="C43" t="s">
        <v>26</v>
      </c>
      <c r="D43" t="s">
        <v>39</v>
      </c>
      <c r="E43">
        <v>25</v>
      </c>
      <c r="F43">
        <v>3447</v>
      </c>
      <c r="G43" s="206">
        <v>12240</v>
      </c>
      <c r="H43" s="206">
        <v>11760</v>
      </c>
      <c r="I43" s="206">
        <v>480</v>
      </c>
      <c r="J43" s="207">
        <f t="shared" si="1"/>
        <v>3.9215686274509803E-2</v>
      </c>
      <c r="N43">
        <v>200</v>
      </c>
      <c r="P43">
        <v>40</v>
      </c>
    </row>
    <row r="44" spans="1:16" ht="15" hidden="1" customHeight="1" x14ac:dyDescent="0.25">
      <c r="A44" s="205">
        <v>46149</v>
      </c>
      <c r="B44" t="s">
        <v>406</v>
      </c>
      <c r="C44" t="s">
        <v>50</v>
      </c>
      <c r="D44" t="s">
        <v>51</v>
      </c>
      <c r="E44">
        <v>30</v>
      </c>
      <c r="F44">
        <v>6206</v>
      </c>
      <c r="G44" s="206">
        <v>14875</v>
      </c>
      <c r="H44" s="206">
        <v>14280</v>
      </c>
      <c r="I44" s="206">
        <v>595</v>
      </c>
      <c r="J44" s="207">
        <f t="shared" si="1"/>
        <v>0.04</v>
      </c>
      <c r="N44">
        <v>140</v>
      </c>
      <c r="P44">
        <v>40</v>
      </c>
    </row>
    <row r="45" spans="1:16" ht="15" customHeight="1" x14ac:dyDescent="0.25">
      <c r="A45" s="205">
        <v>46150</v>
      </c>
      <c r="B45" t="s">
        <v>399</v>
      </c>
      <c r="C45" t="s">
        <v>29</v>
      </c>
      <c r="D45" t="s">
        <v>30</v>
      </c>
      <c r="E45">
        <v>20.5</v>
      </c>
      <c r="F45">
        <v>6077</v>
      </c>
      <c r="G45" s="206">
        <v>13000</v>
      </c>
      <c r="H45" s="206">
        <v>12730</v>
      </c>
      <c r="I45" s="206">
        <v>270</v>
      </c>
      <c r="J45" s="207">
        <f t="shared" si="1"/>
        <v>2.0769230769230769E-2</v>
      </c>
      <c r="M45">
        <v>180</v>
      </c>
    </row>
    <row r="46" spans="1:16" ht="15" hidden="1" customHeight="1" x14ac:dyDescent="0.25">
      <c r="A46" s="205">
        <v>46150</v>
      </c>
      <c r="B46" t="s">
        <v>411</v>
      </c>
      <c r="C46" t="s">
        <v>29</v>
      </c>
      <c r="D46" t="s">
        <v>52</v>
      </c>
      <c r="E46">
        <v>30</v>
      </c>
      <c r="F46">
        <v>5814</v>
      </c>
      <c r="G46" s="206">
        <v>5000</v>
      </c>
      <c r="H46" s="206">
        <v>4890</v>
      </c>
      <c r="I46" s="206">
        <v>110</v>
      </c>
      <c r="J46" s="207">
        <f t="shared" si="1"/>
        <v>2.1999999999999999E-2</v>
      </c>
      <c r="K46">
        <v>300</v>
      </c>
    </row>
    <row r="47" spans="1:16" ht="15" hidden="1" customHeight="1" x14ac:dyDescent="0.25">
      <c r="A47" s="205">
        <v>46150</v>
      </c>
      <c r="B47" t="s">
        <v>401</v>
      </c>
      <c r="C47" t="s">
        <v>50</v>
      </c>
      <c r="D47" t="s">
        <v>51</v>
      </c>
      <c r="E47">
        <v>30</v>
      </c>
      <c r="F47">
        <v>6206</v>
      </c>
      <c r="G47" s="206">
        <v>11610</v>
      </c>
      <c r="H47" s="206">
        <v>11600</v>
      </c>
      <c r="I47" s="206">
        <v>10</v>
      </c>
      <c r="J47" s="207">
        <f t="shared" si="1"/>
        <v>8.6132644272179156E-4</v>
      </c>
    </row>
    <row r="48" spans="1:16" ht="15" hidden="1" customHeight="1" x14ac:dyDescent="0.25">
      <c r="A48" s="205">
        <v>46150</v>
      </c>
      <c r="B48" t="s">
        <v>401</v>
      </c>
      <c r="C48" t="s">
        <v>26</v>
      </c>
      <c r="D48" t="s">
        <v>62</v>
      </c>
      <c r="E48">
        <v>32</v>
      </c>
      <c r="F48">
        <v>6515</v>
      </c>
      <c r="G48" s="206">
        <v>11440</v>
      </c>
      <c r="H48" s="206">
        <v>11420</v>
      </c>
      <c r="I48" s="206">
        <v>20</v>
      </c>
      <c r="J48" s="207">
        <f t="shared" si="1"/>
        <v>1.7482517482517483E-3</v>
      </c>
    </row>
    <row r="49" spans="1:15" ht="15" hidden="1" customHeight="1" x14ac:dyDescent="0.25">
      <c r="A49" s="205">
        <v>46150</v>
      </c>
      <c r="B49" t="s">
        <v>402</v>
      </c>
      <c r="C49" t="s">
        <v>29</v>
      </c>
      <c r="D49" t="s">
        <v>75</v>
      </c>
      <c r="E49" t="s">
        <v>76</v>
      </c>
      <c r="F49">
        <v>8010</v>
      </c>
      <c r="G49" s="206">
        <v>0</v>
      </c>
      <c r="H49" s="206">
        <v>0</v>
      </c>
      <c r="I49" s="206">
        <v>0</v>
      </c>
      <c r="J49" s="207" t="str">
        <f t="shared" si="1"/>
        <v/>
      </c>
      <c r="N49">
        <v>480</v>
      </c>
    </row>
    <row r="50" spans="1:15" ht="15" customHeight="1" x14ac:dyDescent="0.25">
      <c r="A50" s="205">
        <v>46150</v>
      </c>
      <c r="B50" t="s">
        <v>410</v>
      </c>
      <c r="C50" t="s">
        <v>29</v>
      </c>
      <c r="D50" t="s">
        <v>30</v>
      </c>
      <c r="E50">
        <v>20.5</v>
      </c>
      <c r="F50">
        <v>6077</v>
      </c>
      <c r="G50" s="206">
        <v>17000</v>
      </c>
      <c r="H50" s="206">
        <v>16890</v>
      </c>
      <c r="I50" s="206">
        <v>110</v>
      </c>
      <c r="J50" s="207">
        <f t="shared" si="1"/>
        <v>6.4705882352941177E-3</v>
      </c>
      <c r="K50">
        <v>60</v>
      </c>
    </row>
    <row r="51" spans="1:15" ht="15" hidden="1" customHeight="1" x14ac:dyDescent="0.25">
      <c r="A51" s="205">
        <v>46150</v>
      </c>
      <c r="B51" t="s">
        <v>403</v>
      </c>
      <c r="C51" t="s">
        <v>29</v>
      </c>
      <c r="D51" t="s">
        <v>52</v>
      </c>
      <c r="E51">
        <v>30</v>
      </c>
      <c r="F51">
        <v>5814</v>
      </c>
      <c r="G51" s="206">
        <v>13000</v>
      </c>
      <c r="H51" s="206">
        <v>12905</v>
      </c>
      <c r="I51" s="206">
        <v>95</v>
      </c>
      <c r="J51" s="207">
        <f t="shared" si="1"/>
        <v>7.3076923076923076E-3</v>
      </c>
      <c r="M51">
        <v>180</v>
      </c>
    </row>
    <row r="52" spans="1:15" ht="15" customHeight="1" x14ac:dyDescent="0.25">
      <c r="A52" s="205">
        <v>46150</v>
      </c>
      <c r="B52" t="s">
        <v>405</v>
      </c>
      <c r="C52" t="s">
        <v>29</v>
      </c>
      <c r="D52" t="s">
        <v>30</v>
      </c>
      <c r="E52">
        <v>20.5</v>
      </c>
      <c r="F52">
        <v>6077</v>
      </c>
      <c r="G52" s="206">
        <v>9660</v>
      </c>
      <c r="H52" s="206">
        <v>9180</v>
      </c>
      <c r="I52" s="206">
        <v>480</v>
      </c>
      <c r="J52" s="207">
        <f t="shared" si="1"/>
        <v>4.9689440993788817E-2</v>
      </c>
      <c r="M52">
        <v>240</v>
      </c>
    </row>
    <row r="53" spans="1:15" ht="15" hidden="1" customHeight="1" x14ac:dyDescent="0.25">
      <c r="A53" s="205">
        <v>46150</v>
      </c>
      <c r="B53" t="s">
        <v>406</v>
      </c>
      <c r="C53" t="s">
        <v>29</v>
      </c>
      <c r="D53" t="s">
        <v>52</v>
      </c>
      <c r="E53">
        <v>30</v>
      </c>
      <c r="F53">
        <v>5814</v>
      </c>
      <c r="G53" s="206">
        <v>2505</v>
      </c>
      <c r="H53" s="206">
        <v>2380</v>
      </c>
      <c r="I53" s="206">
        <v>125</v>
      </c>
      <c r="J53" s="207">
        <f t="shared" si="1"/>
        <v>4.9900199600798403E-2</v>
      </c>
      <c r="M53">
        <v>420</v>
      </c>
    </row>
    <row r="54" spans="1:15" ht="15" customHeight="1" x14ac:dyDescent="0.25">
      <c r="A54" s="205">
        <v>46151</v>
      </c>
      <c r="B54" t="s">
        <v>399</v>
      </c>
      <c r="C54" t="s">
        <v>29</v>
      </c>
      <c r="D54" t="s">
        <v>30</v>
      </c>
      <c r="E54">
        <v>20.5</v>
      </c>
      <c r="F54">
        <v>6077</v>
      </c>
      <c r="G54" s="206">
        <v>12000</v>
      </c>
      <c r="H54" s="206">
        <v>11805</v>
      </c>
      <c r="I54" s="206">
        <v>195</v>
      </c>
      <c r="J54" s="207">
        <f t="shared" si="1"/>
        <v>1.6250000000000001E-2</v>
      </c>
      <c r="K54">
        <v>180</v>
      </c>
    </row>
    <row r="55" spans="1:15" ht="15" hidden="1" customHeight="1" x14ac:dyDescent="0.25">
      <c r="A55" s="205">
        <v>46151</v>
      </c>
      <c r="B55" t="s">
        <v>411</v>
      </c>
      <c r="C55" t="s">
        <v>29</v>
      </c>
      <c r="D55" t="s">
        <v>52</v>
      </c>
      <c r="E55">
        <v>30</v>
      </c>
      <c r="F55">
        <v>5814</v>
      </c>
      <c r="G55" s="206">
        <v>16000</v>
      </c>
      <c r="H55" s="206">
        <v>15760</v>
      </c>
      <c r="I55" s="206">
        <v>240</v>
      </c>
      <c r="J55" s="207">
        <f t="shared" si="1"/>
        <v>1.4999999999999999E-2</v>
      </c>
      <c r="K55">
        <v>120</v>
      </c>
    </row>
    <row r="56" spans="1:15" ht="15" hidden="1" customHeight="1" x14ac:dyDescent="0.25">
      <c r="A56" s="205">
        <v>46151</v>
      </c>
      <c r="B56" t="s">
        <v>401</v>
      </c>
      <c r="C56" t="s">
        <v>26</v>
      </c>
      <c r="D56" t="s">
        <v>62</v>
      </c>
      <c r="E56">
        <v>32</v>
      </c>
      <c r="F56">
        <v>6515</v>
      </c>
      <c r="G56" s="206">
        <v>23000</v>
      </c>
      <c r="H56" s="206">
        <v>22980</v>
      </c>
      <c r="I56" s="206">
        <v>20</v>
      </c>
      <c r="J56" s="207">
        <f t="shared" si="1"/>
        <v>8.6956521739130438E-4</v>
      </c>
    </row>
    <row r="57" spans="1:15" ht="15" hidden="1" customHeight="1" x14ac:dyDescent="0.25">
      <c r="A57" s="205">
        <v>46151</v>
      </c>
      <c r="B57" t="s">
        <v>402</v>
      </c>
      <c r="C57" t="s">
        <v>29</v>
      </c>
      <c r="D57" t="s">
        <v>75</v>
      </c>
      <c r="E57" t="s">
        <v>76</v>
      </c>
      <c r="F57">
        <v>8010</v>
      </c>
      <c r="G57" s="206">
        <v>0</v>
      </c>
      <c r="H57" s="206">
        <v>0</v>
      </c>
      <c r="I57" s="206">
        <v>0</v>
      </c>
      <c r="J57" s="207" t="str">
        <f t="shared" si="1"/>
        <v/>
      </c>
      <c r="O57">
        <v>480</v>
      </c>
    </row>
    <row r="58" spans="1:15" ht="15" customHeight="1" x14ac:dyDescent="0.25">
      <c r="A58" s="205">
        <v>46151</v>
      </c>
      <c r="B58" t="s">
        <v>410</v>
      </c>
      <c r="C58" t="s">
        <v>29</v>
      </c>
      <c r="D58" t="s">
        <v>30</v>
      </c>
      <c r="E58">
        <v>20.5</v>
      </c>
      <c r="F58">
        <v>6077</v>
      </c>
      <c r="G58" s="206">
        <v>7500</v>
      </c>
      <c r="H58" s="206">
        <v>7415</v>
      </c>
      <c r="I58" s="206">
        <v>85</v>
      </c>
      <c r="J58" s="207">
        <f t="shared" si="1"/>
        <v>1.1333333333333334E-2</v>
      </c>
      <c r="N58">
        <v>300</v>
      </c>
    </row>
    <row r="59" spans="1:15" ht="15" hidden="1" customHeight="1" x14ac:dyDescent="0.25">
      <c r="A59" s="205">
        <v>46151</v>
      </c>
      <c r="B59" t="s">
        <v>403</v>
      </c>
      <c r="C59" t="s">
        <v>29</v>
      </c>
      <c r="D59" t="s">
        <v>52</v>
      </c>
      <c r="E59">
        <v>30</v>
      </c>
      <c r="F59">
        <v>5814</v>
      </c>
      <c r="G59" s="206">
        <v>13900</v>
      </c>
      <c r="H59" s="206">
        <v>13795</v>
      </c>
      <c r="I59" s="206">
        <v>105</v>
      </c>
      <c r="J59" s="207">
        <f t="shared" si="1"/>
        <v>7.5539568345323743E-3</v>
      </c>
      <c r="N59">
        <v>150</v>
      </c>
    </row>
    <row r="60" spans="1:15" ht="15" customHeight="1" x14ac:dyDescent="0.25">
      <c r="A60" s="205">
        <v>46151</v>
      </c>
      <c r="B60" t="s">
        <v>405</v>
      </c>
      <c r="C60" t="s">
        <v>29</v>
      </c>
      <c r="D60" t="s">
        <v>30</v>
      </c>
      <c r="E60">
        <v>20.5</v>
      </c>
      <c r="F60">
        <v>6077</v>
      </c>
      <c r="G60" s="206">
        <v>15415</v>
      </c>
      <c r="H60" s="206">
        <v>14790</v>
      </c>
      <c r="I60" s="206">
        <v>625</v>
      </c>
      <c r="J60" s="207">
        <f t="shared" si="1"/>
        <v>4.05449237755433E-2</v>
      </c>
      <c r="N60">
        <v>150</v>
      </c>
    </row>
    <row r="61" spans="1:15" ht="15" hidden="1" customHeight="1" x14ac:dyDescent="0.25">
      <c r="A61" s="205">
        <v>46151</v>
      </c>
      <c r="B61" t="s">
        <v>406</v>
      </c>
      <c r="C61" t="s">
        <v>29</v>
      </c>
      <c r="D61" t="s">
        <v>52</v>
      </c>
      <c r="E61">
        <v>30</v>
      </c>
      <c r="F61">
        <v>5814</v>
      </c>
      <c r="G61" s="206">
        <v>18550</v>
      </c>
      <c r="H61" s="206">
        <v>17850</v>
      </c>
      <c r="I61" s="206">
        <v>700</v>
      </c>
      <c r="J61" s="207">
        <f t="shared" si="1"/>
        <v>3.7735849056603772E-2</v>
      </c>
      <c r="M61">
        <v>120</v>
      </c>
    </row>
    <row r="62" spans="1:15" ht="15" hidden="1" customHeight="1" x14ac:dyDescent="0.25">
      <c r="A62" s="205">
        <v>46153</v>
      </c>
      <c r="B62" t="s">
        <v>399</v>
      </c>
      <c r="C62" t="s">
        <v>26</v>
      </c>
      <c r="D62" t="s">
        <v>62</v>
      </c>
      <c r="E62">
        <v>32</v>
      </c>
      <c r="F62">
        <v>6515</v>
      </c>
      <c r="G62" s="206">
        <v>11000</v>
      </c>
      <c r="H62" s="206">
        <v>10760</v>
      </c>
      <c r="I62" s="206">
        <v>240</v>
      </c>
      <c r="J62" s="207">
        <f t="shared" si="1"/>
        <v>2.181818181818182E-2</v>
      </c>
      <c r="N62">
        <v>120</v>
      </c>
    </row>
    <row r="63" spans="1:15" ht="15" hidden="1" customHeight="1" x14ac:dyDescent="0.25">
      <c r="A63" s="205">
        <v>46153</v>
      </c>
      <c r="B63" t="s">
        <v>399</v>
      </c>
      <c r="C63" t="s">
        <v>29</v>
      </c>
      <c r="D63" t="s">
        <v>52</v>
      </c>
      <c r="E63">
        <v>30</v>
      </c>
      <c r="F63">
        <v>5814</v>
      </c>
      <c r="G63" s="206">
        <v>2000</v>
      </c>
      <c r="H63" s="206">
        <v>1915</v>
      </c>
      <c r="I63" s="206">
        <v>85</v>
      </c>
      <c r="J63" s="207">
        <f t="shared" si="1"/>
        <v>4.2500000000000003E-2</v>
      </c>
    </row>
    <row r="64" spans="1:15" ht="15" hidden="1" customHeight="1" x14ac:dyDescent="0.25">
      <c r="A64" s="205">
        <v>46153</v>
      </c>
      <c r="B64" t="s">
        <v>401</v>
      </c>
      <c r="C64" t="s">
        <v>26</v>
      </c>
      <c r="D64" t="s">
        <v>62</v>
      </c>
      <c r="E64">
        <v>32</v>
      </c>
      <c r="F64">
        <v>6515</v>
      </c>
      <c r="G64" s="206">
        <v>23088</v>
      </c>
      <c r="H64" s="206">
        <v>23078</v>
      </c>
      <c r="I64" s="206">
        <v>10</v>
      </c>
      <c r="J64" s="207">
        <f t="shared" si="1"/>
        <v>4.3312543312543311E-4</v>
      </c>
    </row>
    <row r="65" spans="1:19" ht="15" hidden="1" customHeight="1" x14ac:dyDescent="0.25">
      <c r="A65" s="205">
        <v>46153</v>
      </c>
      <c r="B65" t="s">
        <v>402</v>
      </c>
      <c r="C65" t="s">
        <v>29</v>
      </c>
      <c r="D65" t="s">
        <v>75</v>
      </c>
      <c r="E65" t="s">
        <v>76</v>
      </c>
      <c r="F65">
        <v>8010</v>
      </c>
      <c r="G65" s="206">
        <v>0</v>
      </c>
      <c r="H65" s="206">
        <v>0</v>
      </c>
      <c r="I65" s="206">
        <v>0</v>
      </c>
      <c r="J65" s="207" t="str">
        <f t="shared" si="1"/>
        <v/>
      </c>
      <c r="O65">
        <v>480</v>
      </c>
    </row>
    <row r="66" spans="1:19" ht="15" hidden="1" customHeight="1" x14ac:dyDescent="0.25">
      <c r="A66" s="205">
        <v>46153</v>
      </c>
      <c r="B66" t="s">
        <v>409</v>
      </c>
      <c r="C66" t="s">
        <v>26</v>
      </c>
      <c r="D66" t="s">
        <v>62</v>
      </c>
      <c r="E66">
        <v>32</v>
      </c>
      <c r="F66">
        <v>6515</v>
      </c>
      <c r="G66" s="206">
        <v>15600</v>
      </c>
      <c r="H66" s="206">
        <v>15480</v>
      </c>
      <c r="I66" s="206">
        <v>120</v>
      </c>
      <c r="J66" s="207">
        <f t="shared" si="1"/>
        <v>7.6923076923076927E-3</v>
      </c>
    </row>
    <row r="67" spans="1:19" ht="15" customHeight="1" x14ac:dyDescent="0.25">
      <c r="A67" s="205">
        <v>46153</v>
      </c>
      <c r="B67" t="s">
        <v>403</v>
      </c>
      <c r="C67" t="s">
        <v>29</v>
      </c>
      <c r="D67" t="s">
        <v>38</v>
      </c>
      <c r="E67">
        <v>25</v>
      </c>
      <c r="F67">
        <v>6228</v>
      </c>
      <c r="G67" s="206">
        <v>0</v>
      </c>
      <c r="H67" s="206">
        <v>0</v>
      </c>
      <c r="I67" s="206">
        <v>0</v>
      </c>
      <c r="J67" s="207" t="str">
        <f t="shared" ref="J67:J98" si="2">IFERROR(I67/(H67+I67),"")</f>
        <v/>
      </c>
      <c r="S67">
        <v>480</v>
      </c>
    </row>
    <row r="68" spans="1:19" ht="15" hidden="1" customHeight="1" x14ac:dyDescent="0.25">
      <c r="A68" s="205">
        <v>46153</v>
      </c>
      <c r="B68" t="s">
        <v>405</v>
      </c>
      <c r="C68" t="s">
        <v>29</v>
      </c>
      <c r="D68" t="s">
        <v>412</v>
      </c>
      <c r="E68">
        <v>20.5</v>
      </c>
      <c r="G68" s="206">
        <v>23910</v>
      </c>
      <c r="H68" s="206">
        <v>23460</v>
      </c>
      <c r="I68" s="206">
        <v>450</v>
      </c>
      <c r="J68" s="207">
        <f t="shared" si="2"/>
        <v>1.8820577164366373E-2</v>
      </c>
    </row>
    <row r="69" spans="1:19" ht="15" hidden="1" customHeight="1" x14ac:dyDescent="0.25">
      <c r="A69" s="205">
        <v>46153</v>
      </c>
      <c r="B69" t="s">
        <v>406</v>
      </c>
      <c r="C69" t="s">
        <v>29</v>
      </c>
      <c r="D69" t="s">
        <v>52</v>
      </c>
      <c r="E69">
        <v>30</v>
      </c>
      <c r="F69">
        <v>5814</v>
      </c>
      <c r="G69" s="206">
        <v>3622</v>
      </c>
      <c r="H69" s="206">
        <v>3332</v>
      </c>
      <c r="I69" s="206">
        <v>290</v>
      </c>
      <c r="J69" s="207">
        <f t="shared" si="2"/>
        <v>8.0066261733848704E-2</v>
      </c>
    </row>
    <row r="70" spans="1:19" ht="15" hidden="1" customHeight="1" x14ac:dyDescent="0.25">
      <c r="A70" s="205">
        <v>46153</v>
      </c>
      <c r="B70" t="s">
        <v>406</v>
      </c>
      <c r="C70" t="s">
        <v>26</v>
      </c>
      <c r="D70" t="s">
        <v>62</v>
      </c>
      <c r="E70">
        <v>32</v>
      </c>
      <c r="F70">
        <v>6515</v>
      </c>
      <c r="G70" s="206">
        <v>7828</v>
      </c>
      <c r="H70" s="206">
        <v>7488</v>
      </c>
      <c r="I70" s="206">
        <v>340</v>
      </c>
      <c r="J70" s="207">
        <f t="shared" si="2"/>
        <v>4.3433827286663257E-2</v>
      </c>
      <c r="N70">
        <v>160</v>
      </c>
    </row>
    <row r="71" spans="1:19" ht="15" customHeight="1" x14ac:dyDescent="0.25">
      <c r="A71" s="205">
        <v>46154</v>
      </c>
      <c r="B71" t="s">
        <v>399</v>
      </c>
      <c r="C71" t="s">
        <v>29</v>
      </c>
      <c r="D71" t="s">
        <v>38</v>
      </c>
      <c r="E71">
        <v>25</v>
      </c>
      <c r="F71">
        <v>6228</v>
      </c>
      <c r="G71" s="206">
        <v>15000</v>
      </c>
      <c r="H71" s="206">
        <v>14760</v>
      </c>
      <c r="I71" s="206">
        <v>240</v>
      </c>
      <c r="J71" s="207">
        <f t="shared" si="2"/>
        <v>1.6E-2</v>
      </c>
      <c r="M71">
        <v>120</v>
      </c>
    </row>
    <row r="72" spans="1:19" ht="15" hidden="1" customHeight="1" x14ac:dyDescent="0.25">
      <c r="A72" s="205">
        <v>46154</v>
      </c>
      <c r="B72" t="s">
        <v>400</v>
      </c>
      <c r="C72" t="s">
        <v>26</v>
      </c>
      <c r="D72" t="s">
        <v>62</v>
      </c>
      <c r="E72">
        <v>32</v>
      </c>
      <c r="F72">
        <v>6515</v>
      </c>
      <c r="G72" s="206">
        <v>4000</v>
      </c>
      <c r="H72" s="206">
        <v>3910</v>
      </c>
      <c r="I72" s="206">
        <v>90</v>
      </c>
      <c r="J72" s="207">
        <f t="shared" si="2"/>
        <v>2.2499999999999999E-2</v>
      </c>
      <c r="N72">
        <v>360</v>
      </c>
    </row>
    <row r="73" spans="1:19" ht="15" hidden="1" customHeight="1" x14ac:dyDescent="0.25">
      <c r="A73" s="205">
        <v>46154</v>
      </c>
      <c r="B73" t="s">
        <v>401</v>
      </c>
      <c r="C73" t="s">
        <v>26</v>
      </c>
      <c r="D73" t="s">
        <v>62</v>
      </c>
      <c r="E73">
        <v>32</v>
      </c>
      <c r="F73">
        <v>6515</v>
      </c>
      <c r="G73" s="206">
        <v>4576</v>
      </c>
      <c r="H73" s="206">
        <v>4571</v>
      </c>
      <c r="I73" s="206">
        <v>5</v>
      </c>
      <c r="J73" s="207">
        <f t="shared" si="2"/>
        <v>1.0926573426573427E-3</v>
      </c>
    </row>
    <row r="74" spans="1:19" ht="15" customHeight="1" x14ac:dyDescent="0.25">
      <c r="A74" s="205">
        <v>46154</v>
      </c>
      <c r="B74" t="s">
        <v>401</v>
      </c>
      <c r="C74" t="s">
        <v>29</v>
      </c>
      <c r="D74" t="s">
        <v>30</v>
      </c>
      <c r="E74">
        <v>20.5</v>
      </c>
      <c r="F74">
        <v>6077</v>
      </c>
      <c r="G74" s="206">
        <v>18360</v>
      </c>
      <c r="H74" s="206">
        <v>18350</v>
      </c>
      <c r="I74" s="206">
        <v>10</v>
      </c>
      <c r="J74" s="207">
        <f t="shared" si="2"/>
        <v>5.4466230936819177E-4</v>
      </c>
    </row>
    <row r="75" spans="1:19" ht="15" hidden="1" customHeight="1" x14ac:dyDescent="0.25">
      <c r="A75" s="205">
        <v>46154</v>
      </c>
      <c r="B75" t="s">
        <v>402</v>
      </c>
      <c r="C75" t="s">
        <v>29</v>
      </c>
      <c r="D75" t="s">
        <v>75</v>
      </c>
      <c r="E75" t="s">
        <v>76</v>
      </c>
      <c r="F75">
        <v>8010</v>
      </c>
      <c r="G75" s="206">
        <v>0</v>
      </c>
      <c r="H75" s="206">
        <v>0</v>
      </c>
      <c r="I75" s="206">
        <v>0</v>
      </c>
      <c r="J75" s="207" t="str">
        <f t="shared" si="2"/>
        <v/>
      </c>
      <c r="O75">
        <v>480</v>
      </c>
    </row>
    <row r="76" spans="1:19" ht="15" hidden="1" customHeight="1" x14ac:dyDescent="0.25">
      <c r="A76" s="205">
        <v>46154</v>
      </c>
      <c r="B76" t="s">
        <v>409</v>
      </c>
      <c r="C76" t="s">
        <v>63</v>
      </c>
      <c r="D76" t="s">
        <v>66</v>
      </c>
      <c r="E76">
        <v>35</v>
      </c>
      <c r="F76">
        <v>6530</v>
      </c>
      <c r="G76" s="206">
        <v>0</v>
      </c>
      <c r="H76" s="206">
        <v>0</v>
      </c>
      <c r="I76" s="206">
        <v>0</v>
      </c>
      <c r="J76" s="207" t="str">
        <f t="shared" si="2"/>
        <v/>
      </c>
      <c r="N76">
        <v>480</v>
      </c>
    </row>
    <row r="77" spans="1:19" ht="15" customHeight="1" x14ac:dyDescent="0.25">
      <c r="A77" s="205">
        <v>46154</v>
      </c>
      <c r="B77" t="s">
        <v>403</v>
      </c>
      <c r="C77" t="s">
        <v>29</v>
      </c>
      <c r="D77" t="s">
        <v>38</v>
      </c>
      <c r="E77">
        <v>25</v>
      </c>
      <c r="F77">
        <v>6228</v>
      </c>
      <c r="G77" s="206">
        <v>18000</v>
      </c>
      <c r="H77" s="206">
        <v>17890</v>
      </c>
      <c r="I77" s="206">
        <v>110</v>
      </c>
      <c r="J77" s="207">
        <f t="shared" si="2"/>
        <v>6.1111111111111114E-3</v>
      </c>
      <c r="K77">
        <v>60</v>
      </c>
    </row>
    <row r="78" spans="1:19" ht="15" customHeight="1" x14ac:dyDescent="0.25">
      <c r="A78" s="205">
        <v>46154</v>
      </c>
      <c r="B78" t="s">
        <v>405</v>
      </c>
      <c r="C78" t="s">
        <v>29</v>
      </c>
      <c r="D78" t="s">
        <v>38</v>
      </c>
      <c r="E78">
        <v>25</v>
      </c>
      <c r="F78">
        <v>6228</v>
      </c>
      <c r="G78" s="206">
        <v>13760</v>
      </c>
      <c r="H78" s="206">
        <v>13440</v>
      </c>
      <c r="I78" s="206">
        <v>320</v>
      </c>
      <c r="J78" s="207">
        <f t="shared" si="2"/>
        <v>2.3255813953488372E-2</v>
      </c>
      <c r="O78">
        <v>180</v>
      </c>
    </row>
    <row r="79" spans="1:19" ht="15" hidden="1" customHeight="1" x14ac:dyDescent="0.25">
      <c r="A79" s="205">
        <v>46154</v>
      </c>
      <c r="B79" t="s">
        <v>406</v>
      </c>
      <c r="C79" t="s">
        <v>26</v>
      </c>
      <c r="D79" t="s">
        <v>62</v>
      </c>
      <c r="E79">
        <v>32</v>
      </c>
      <c r="F79">
        <v>6515</v>
      </c>
      <c r="G79" s="206">
        <v>5811</v>
      </c>
      <c r="H79" s="206">
        <v>5616</v>
      </c>
      <c r="I79" s="206">
        <v>195</v>
      </c>
      <c r="J79" s="207">
        <f t="shared" si="2"/>
        <v>3.3557046979865772E-2</v>
      </c>
      <c r="N79">
        <v>60</v>
      </c>
    </row>
    <row r="80" spans="1:19" ht="15" hidden="1" customHeight="1" x14ac:dyDescent="0.25">
      <c r="A80" s="205">
        <v>46154</v>
      </c>
      <c r="B80" t="s">
        <v>406</v>
      </c>
      <c r="C80" t="s">
        <v>61</v>
      </c>
      <c r="D80" t="s">
        <v>408</v>
      </c>
      <c r="E80">
        <v>32</v>
      </c>
      <c r="G80" s="206">
        <v>13324</v>
      </c>
      <c r="H80" s="206">
        <v>13104</v>
      </c>
      <c r="I80" s="206">
        <v>220</v>
      </c>
      <c r="J80" s="207">
        <f t="shared" si="2"/>
        <v>1.6511558090663465E-2</v>
      </c>
    </row>
    <row r="81" spans="1:15" ht="15" customHeight="1" x14ac:dyDescent="0.25">
      <c r="A81" s="205">
        <v>46155</v>
      </c>
      <c r="B81" t="s">
        <v>399</v>
      </c>
      <c r="C81" t="s">
        <v>29</v>
      </c>
      <c r="D81" t="s">
        <v>38</v>
      </c>
      <c r="E81">
        <v>25</v>
      </c>
      <c r="F81">
        <v>6228</v>
      </c>
      <c r="G81" s="206">
        <v>8000</v>
      </c>
      <c r="H81" s="206">
        <v>7835</v>
      </c>
      <c r="I81" s="206">
        <v>165</v>
      </c>
      <c r="J81" s="207">
        <f t="shared" si="2"/>
        <v>2.0625000000000001E-2</v>
      </c>
      <c r="N81">
        <v>300</v>
      </c>
    </row>
    <row r="82" spans="1:15" ht="15" customHeight="1" x14ac:dyDescent="0.25">
      <c r="A82" s="205">
        <v>46155</v>
      </c>
      <c r="B82" t="s">
        <v>400</v>
      </c>
      <c r="C82" t="s">
        <v>63</v>
      </c>
      <c r="D82" t="s">
        <v>66</v>
      </c>
      <c r="E82">
        <v>35</v>
      </c>
      <c r="F82">
        <v>6530</v>
      </c>
      <c r="G82" s="206">
        <v>9800</v>
      </c>
      <c r="H82" s="206">
        <v>9580</v>
      </c>
      <c r="I82" s="206">
        <v>220</v>
      </c>
      <c r="J82" s="207">
        <f t="shared" si="2"/>
        <v>2.2448979591836733E-2</v>
      </c>
      <c r="O82">
        <v>240</v>
      </c>
    </row>
    <row r="83" spans="1:15" ht="15" customHeight="1" x14ac:dyDescent="0.25">
      <c r="A83" s="205">
        <v>46155</v>
      </c>
      <c r="B83" t="s">
        <v>401</v>
      </c>
      <c r="C83" t="s">
        <v>26</v>
      </c>
      <c r="D83" t="s">
        <v>62</v>
      </c>
      <c r="E83">
        <v>32</v>
      </c>
      <c r="F83">
        <v>6515</v>
      </c>
      <c r="G83" s="206">
        <v>8320</v>
      </c>
      <c r="H83" s="206">
        <v>8308</v>
      </c>
      <c r="I83" s="206">
        <v>12</v>
      </c>
      <c r="J83" s="207">
        <f t="shared" si="2"/>
        <v>1.4423076923076924E-3</v>
      </c>
    </row>
    <row r="84" spans="1:15" ht="15" customHeight="1" x14ac:dyDescent="0.25">
      <c r="A84" s="205">
        <v>46155</v>
      </c>
      <c r="B84" t="s">
        <v>401</v>
      </c>
      <c r="C84" t="s">
        <v>29</v>
      </c>
      <c r="D84" t="s">
        <v>30</v>
      </c>
      <c r="E84">
        <v>20.5</v>
      </c>
      <c r="F84">
        <v>6077</v>
      </c>
      <c r="G84" s="206">
        <v>5000</v>
      </c>
      <c r="H84" s="206">
        <v>4995</v>
      </c>
      <c r="I84" s="206">
        <v>5</v>
      </c>
      <c r="J84" s="207">
        <f t="shared" si="2"/>
        <v>1E-3</v>
      </c>
    </row>
    <row r="85" spans="1:15" ht="15" customHeight="1" x14ac:dyDescent="0.25">
      <c r="A85" s="205">
        <v>46155</v>
      </c>
      <c r="B85" t="s">
        <v>402</v>
      </c>
      <c r="C85" t="s">
        <v>29</v>
      </c>
      <c r="D85" t="s">
        <v>75</v>
      </c>
      <c r="E85" t="s">
        <v>76</v>
      </c>
      <c r="F85">
        <v>8010</v>
      </c>
      <c r="G85" s="206">
        <v>0</v>
      </c>
      <c r="H85" s="206">
        <v>0</v>
      </c>
      <c r="I85" s="206">
        <v>0</v>
      </c>
      <c r="J85" s="207" t="str">
        <f t="shared" si="2"/>
        <v/>
      </c>
      <c r="O85">
        <v>480</v>
      </c>
    </row>
    <row r="86" spans="1:15" ht="15" customHeight="1" x14ac:dyDescent="0.25">
      <c r="A86" s="205">
        <v>46155</v>
      </c>
      <c r="B86" t="s">
        <v>409</v>
      </c>
      <c r="C86" t="s">
        <v>63</v>
      </c>
      <c r="D86" t="s">
        <v>66</v>
      </c>
      <c r="E86">
        <v>35</v>
      </c>
      <c r="F86">
        <v>6530</v>
      </c>
      <c r="G86" s="206">
        <v>4500</v>
      </c>
      <c r="H86" s="206">
        <v>4280</v>
      </c>
      <c r="I86" s="206">
        <v>220</v>
      </c>
      <c r="J86" s="207">
        <f t="shared" si="2"/>
        <v>4.8888888888888891E-2</v>
      </c>
      <c r="O86">
        <v>360</v>
      </c>
    </row>
    <row r="87" spans="1:15" ht="15" customHeight="1" x14ac:dyDescent="0.25">
      <c r="A87" s="205">
        <v>46155</v>
      </c>
      <c r="B87" t="s">
        <v>403</v>
      </c>
      <c r="C87" t="s">
        <v>29</v>
      </c>
      <c r="D87" t="s">
        <v>38</v>
      </c>
      <c r="E87">
        <v>25</v>
      </c>
      <c r="F87">
        <v>6228</v>
      </c>
      <c r="G87" s="206">
        <v>4600</v>
      </c>
      <c r="H87" s="206">
        <v>4465</v>
      </c>
      <c r="I87" s="206">
        <v>135</v>
      </c>
      <c r="J87" s="207">
        <f t="shared" si="2"/>
        <v>2.9347826086956522E-2</v>
      </c>
      <c r="N87">
        <v>330</v>
      </c>
    </row>
    <row r="88" spans="1:15" ht="15" customHeight="1" x14ac:dyDescent="0.25">
      <c r="A88" s="205">
        <v>46155</v>
      </c>
      <c r="B88" t="s">
        <v>405</v>
      </c>
      <c r="C88" t="s">
        <v>29</v>
      </c>
      <c r="D88" t="s">
        <v>38</v>
      </c>
      <c r="E88">
        <v>25</v>
      </c>
      <c r="F88">
        <v>6228</v>
      </c>
      <c r="G88" s="206">
        <v>8615</v>
      </c>
      <c r="H88" s="206">
        <v>8400</v>
      </c>
      <c r="I88" s="206">
        <v>215</v>
      </c>
      <c r="J88" s="207">
        <f t="shared" si="2"/>
        <v>2.4956471271038887E-2</v>
      </c>
      <c r="N88">
        <v>220</v>
      </c>
    </row>
    <row r="89" spans="1:15" ht="15" customHeight="1" x14ac:dyDescent="0.25">
      <c r="A89" s="205">
        <v>46155</v>
      </c>
      <c r="B89" t="s">
        <v>405</v>
      </c>
      <c r="C89" t="s">
        <v>29</v>
      </c>
      <c r="D89" t="s">
        <v>413</v>
      </c>
      <c r="E89">
        <v>25</v>
      </c>
      <c r="G89" s="206">
        <v>2753</v>
      </c>
      <c r="H89" s="206">
        <v>2688</v>
      </c>
      <c r="I89" s="206">
        <v>65</v>
      </c>
      <c r="J89" s="207">
        <f t="shared" si="2"/>
        <v>2.361060661096985E-2</v>
      </c>
    </row>
    <row r="90" spans="1:15" ht="15" customHeight="1" x14ac:dyDescent="0.25">
      <c r="A90" s="205">
        <v>46155</v>
      </c>
      <c r="B90" t="s">
        <v>406</v>
      </c>
      <c r="C90" t="s">
        <v>63</v>
      </c>
      <c r="D90" t="s">
        <v>67</v>
      </c>
      <c r="E90">
        <v>35</v>
      </c>
      <c r="F90">
        <v>6531</v>
      </c>
      <c r="G90" s="206">
        <v>10945</v>
      </c>
      <c r="H90" s="206">
        <v>10620</v>
      </c>
      <c r="I90" s="206">
        <v>325</v>
      </c>
      <c r="J90" s="207">
        <f t="shared" si="2"/>
        <v>2.9693924166285975E-2</v>
      </c>
      <c r="N90">
        <v>180</v>
      </c>
    </row>
    <row r="91" spans="1:15" ht="15" customHeight="1" x14ac:dyDescent="0.25">
      <c r="A91" s="205">
        <v>46155</v>
      </c>
      <c r="B91" t="s">
        <v>406</v>
      </c>
      <c r="C91" t="s">
        <v>63</v>
      </c>
      <c r="D91" t="s">
        <v>66</v>
      </c>
      <c r="E91">
        <v>35</v>
      </c>
      <c r="F91">
        <v>6530</v>
      </c>
      <c r="G91" s="206">
        <v>2630</v>
      </c>
      <c r="H91" s="206">
        <v>2520</v>
      </c>
      <c r="I91" s="206">
        <v>110</v>
      </c>
      <c r="J91" s="207">
        <f t="shared" si="2"/>
        <v>4.1825095057034217E-2</v>
      </c>
    </row>
    <row r="92" spans="1:15" ht="15" customHeight="1" x14ac:dyDescent="0.25">
      <c r="A92" s="205">
        <v>46156</v>
      </c>
      <c r="B92" t="s">
        <v>406</v>
      </c>
      <c r="C92" t="s">
        <v>63</v>
      </c>
      <c r="D92" t="s">
        <v>66</v>
      </c>
      <c r="E92">
        <v>35</v>
      </c>
      <c r="F92">
        <v>6530</v>
      </c>
      <c r="G92" s="206">
        <v>8840</v>
      </c>
      <c r="H92" s="206">
        <v>8640</v>
      </c>
      <c r="I92" s="206">
        <v>200</v>
      </c>
      <c r="J92" s="207">
        <f t="shared" ref="J92" si="3">IFERROR(I92/(H92+I92),"")</f>
        <v>2.2624434389140271E-2</v>
      </c>
    </row>
    <row r="93" spans="1:15" ht="15" customHeight="1" x14ac:dyDescent="0.25">
      <c r="A93" s="205"/>
      <c r="G93" s="206"/>
      <c r="H93" s="206"/>
      <c r="I93" s="206"/>
      <c r="J93" s="207"/>
    </row>
    <row r="94" spans="1:15" ht="15" customHeight="1" x14ac:dyDescent="0.25">
      <c r="A94" s="205"/>
      <c r="G94" s="206"/>
      <c r="H94" s="206"/>
      <c r="I94" s="206"/>
      <c r="J94" s="207"/>
    </row>
    <row r="95" spans="1:15" ht="15" customHeight="1" x14ac:dyDescent="0.25">
      <c r="A95" s="205"/>
      <c r="G95" s="206"/>
      <c r="H95" s="206"/>
      <c r="I95" s="206"/>
      <c r="J95" s="207"/>
    </row>
    <row r="96" spans="1:15" ht="15" customHeight="1" x14ac:dyDescent="0.25">
      <c r="A96" s="205"/>
      <c r="G96" s="206"/>
      <c r="H96" s="206"/>
      <c r="I96" s="206"/>
      <c r="J96" s="207"/>
    </row>
    <row r="97" spans="1:10" ht="15" customHeight="1" x14ac:dyDescent="0.25">
      <c r="A97" s="205"/>
      <c r="G97" s="206"/>
      <c r="H97" s="206"/>
      <c r="I97" s="206"/>
      <c r="J97" s="207"/>
    </row>
    <row r="98" spans="1:10" ht="15" customHeight="1" x14ac:dyDescent="0.25">
      <c r="A98" s="205"/>
      <c r="G98" s="206"/>
      <c r="H98" s="206"/>
      <c r="I98" s="206"/>
      <c r="J98" s="207"/>
    </row>
    <row r="99" spans="1:10" ht="15" customHeight="1" x14ac:dyDescent="0.25">
      <c r="A99" s="205"/>
      <c r="G99" s="206"/>
      <c r="H99" s="206"/>
      <c r="I99" s="206"/>
      <c r="J99" s="207"/>
    </row>
    <row r="100" spans="1:10" ht="15" customHeight="1" x14ac:dyDescent="0.25">
      <c r="A100" s="205"/>
      <c r="G100" s="206"/>
      <c r="H100" s="206"/>
      <c r="I100" s="206"/>
      <c r="J100" s="207"/>
    </row>
    <row r="101" spans="1:10" ht="15" customHeight="1" x14ac:dyDescent="0.25">
      <c r="A101" s="205"/>
      <c r="G101" s="206"/>
      <c r="H101" s="206"/>
      <c r="I101" s="206"/>
      <c r="J101" s="207"/>
    </row>
    <row r="102" spans="1:10" ht="15" customHeight="1" x14ac:dyDescent="0.25">
      <c r="A102" s="205"/>
      <c r="G102" s="206"/>
      <c r="H102" s="206"/>
      <c r="I102" s="206"/>
      <c r="J102" s="207"/>
    </row>
    <row r="103" spans="1:10" ht="15" customHeight="1" x14ac:dyDescent="0.25">
      <c r="A103" s="205"/>
      <c r="G103" s="206"/>
      <c r="H103" s="206"/>
      <c r="I103" s="206"/>
      <c r="J103" s="207"/>
    </row>
    <row r="104" spans="1:10" ht="15" customHeight="1" x14ac:dyDescent="0.25">
      <c r="A104" s="205"/>
      <c r="G104" s="206"/>
      <c r="H104" s="206"/>
      <c r="I104" s="206"/>
      <c r="J104" s="207"/>
    </row>
    <row r="105" spans="1:10" ht="15" customHeight="1" x14ac:dyDescent="0.25">
      <c r="A105" s="205"/>
      <c r="G105" s="206"/>
      <c r="H105" s="206"/>
      <c r="I105" s="206"/>
      <c r="J105" s="207"/>
    </row>
    <row r="106" spans="1:10" ht="15" customHeight="1" x14ac:dyDescent="0.25">
      <c r="A106" s="205"/>
      <c r="G106" s="206"/>
      <c r="H106" s="206"/>
      <c r="I106" s="206"/>
      <c r="J106" s="207"/>
    </row>
    <row r="107" spans="1:10" ht="15" customHeight="1" x14ac:dyDescent="0.25">
      <c r="A107" s="205"/>
      <c r="G107" s="206"/>
      <c r="H107" s="206"/>
      <c r="I107" s="206"/>
      <c r="J107" s="207"/>
    </row>
    <row r="108" spans="1:10" ht="15" customHeight="1" x14ac:dyDescent="0.25">
      <c r="A108" s="205"/>
      <c r="G108" s="206"/>
      <c r="H108" s="206"/>
      <c r="I108" s="206"/>
      <c r="J108" s="207"/>
    </row>
    <row r="109" spans="1:10" ht="15" customHeight="1" x14ac:dyDescent="0.25">
      <c r="A109" s="205"/>
      <c r="G109" s="206"/>
      <c r="H109" s="206"/>
      <c r="I109" s="206"/>
      <c r="J109" s="207"/>
    </row>
    <row r="110" spans="1:10" ht="15" customHeight="1" x14ac:dyDescent="0.25">
      <c r="A110" s="205"/>
      <c r="G110" s="206"/>
      <c r="H110" s="206"/>
      <c r="I110" s="206"/>
      <c r="J110" s="207"/>
    </row>
    <row r="111" spans="1:10" ht="15" customHeight="1" x14ac:dyDescent="0.25">
      <c r="A111" s="205"/>
      <c r="G111" s="206"/>
      <c r="H111" s="206"/>
      <c r="I111" s="206"/>
      <c r="J111" s="207"/>
    </row>
    <row r="112" spans="1:10" ht="15" customHeight="1" x14ac:dyDescent="0.25">
      <c r="A112" s="205"/>
      <c r="G112" s="206"/>
      <c r="H112" s="206"/>
      <c r="I112" s="206"/>
      <c r="J112" s="207"/>
    </row>
    <row r="113" spans="1:10" ht="15" customHeight="1" x14ac:dyDescent="0.25">
      <c r="A113" s="205"/>
      <c r="G113" s="206"/>
      <c r="H113" s="206"/>
      <c r="I113" s="206"/>
      <c r="J113" s="207"/>
    </row>
    <row r="114" spans="1:10" ht="15" customHeight="1" x14ac:dyDescent="0.25">
      <c r="A114" s="205"/>
      <c r="G114" s="206"/>
      <c r="H114" s="206"/>
      <c r="I114" s="206"/>
      <c r="J114" s="207"/>
    </row>
    <row r="115" spans="1:10" ht="15" customHeight="1" x14ac:dyDescent="0.25">
      <c r="A115" s="205"/>
      <c r="G115" s="206"/>
      <c r="H115" s="206"/>
      <c r="I115" s="206"/>
      <c r="J115" s="207"/>
    </row>
    <row r="116" spans="1:10" ht="15" customHeight="1" x14ac:dyDescent="0.25">
      <c r="A116" s="205"/>
      <c r="G116" s="206"/>
      <c r="H116" s="206"/>
      <c r="I116" s="206"/>
      <c r="J116" s="207"/>
    </row>
    <row r="117" spans="1:10" ht="15" customHeight="1" x14ac:dyDescent="0.25">
      <c r="A117" s="205"/>
      <c r="G117" s="206"/>
      <c r="H117" s="206"/>
      <c r="I117" s="206"/>
      <c r="J117" s="207"/>
    </row>
    <row r="118" spans="1:10" ht="15" customHeight="1" x14ac:dyDescent="0.25">
      <c r="A118" s="205"/>
      <c r="G118" s="206"/>
      <c r="H118" s="206"/>
      <c r="I118" s="206"/>
      <c r="J118" s="207"/>
    </row>
    <row r="119" spans="1:10" ht="15" customHeight="1" x14ac:dyDescent="0.25">
      <c r="A119" s="205"/>
      <c r="G119" s="206"/>
      <c r="H119" s="206"/>
      <c r="I119" s="206"/>
      <c r="J119" s="207"/>
    </row>
    <row r="120" spans="1:10" ht="15" customHeight="1" x14ac:dyDescent="0.25">
      <c r="A120" s="205"/>
      <c r="G120" s="206"/>
      <c r="H120" s="206"/>
      <c r="I120" s="206"/>
      <c r="J120" s="207"/>
    </row>
    <row r="121" spans="1:10" ht="15" customHeight="1" x14ac:dyDescent="0.25">
      <c r="A121" s="205"/>
      <c r="G121" s="206"/>
      <c r="H121" s="206"/>
      <c r="I121" s="206"/>
      <c r="J121" s="207"/>
    </row>
    <row r="122" spans="1:10" ht="15" customHeight="1" x14ac:dyDescent="0.25">
      <c r="A122" s="205"/>
      <c r="G122" s="206"/>
      <c r="H122" s="206"/>
      <c r="I122" s="206"/>
      <c r="J122" s="207"/>
    </row>
    <row r="123" spans="1:10" ht="15" customHeight="1" x14ac:dyDescent="0.25">
      <c r="A123" s="205"/>
      <c r="G123" s="206"/>
      <c r="H123" s="206"/>
      <c r="I123" s="206"/>
      <c r="J123" s="207"/>
    </row>
    <row r="124" spans="1:10" ht="15" customHeight="1" x14ac:dyDescent="0.25">
      <c r="A124" s="205"/>
      <c r="G124" s="206"/>
      <c r="H124" s="206"/>
      <c r="I124" s="206"/>
      <c r="J124" s="207"/>
    </row>
    <row r="125" spans="1:10" ht="15" customHeight="1" x14ac:dyDescent="0.25">
      <c r="A125" s="205"/>
      <c r="G125" s="206"/>
      <c r="H125" s="206"/>
      <c r="I125" s="206"/>
      <c r="J125" s="207"/>
    </row>
    <row r="126" spans="1:10" ht="15" customHeight="1" x14ac:dyDescent="0.25">
      <c r="A126" s="205"/>
      <c r="G126" s="206"/>
      <c r="H126" s="206"/>
      <c r="I126" s="206"/>
      <c r="J126" s="207"/>
    </row>
    <row r="127" spans="1:10" ht="15" customHeight="1" x14ac:dyDescent="0.25">
      <c r="A127" s="205"/>
      <c r="G127" s="206"/>
      <c r="H127" s="206"/>
      <c r="I127" s="206"/>
      <c r="J127" s="207"/>
    </row>
    <row r="128" spans="1:10" ht="15" customHeight="1" x14ac:dyDescent="0.25">
      <c r="A128" s="205"/>
      <c r="G128" s="206"/>
      <c r="H128" s="206"/>
      <c r="I128" s="206"/>
      <c r="J128" s="207"/>
    </row>
    <row r="129" spans="1:10" ht="15" customHeight="1" x14ac:dyDescent="0.25">
      <c r="A129" s="205"/>
      <c r="G129" s="206"/>
      <c r="H129" s="206"/>
      <c r="I129" s="206"/>
      <c r="J129" s="207"/>
    </row>
    <row r="130" spans="1:10" ht="15" customHeight="1" x14ac:dyDescent="0.25">
      <c r="A130" s="205"/>
      <c r="G130" s="206"/>
      <c r="H130" s="206"/>
      <c r="I130" s="206"/>
      <c r="J130" s="207"/>
    </row>
    <row r="131" spans="1:10" ht="15" customHeight="1" x14ac:dyDescent="0.25">
      <c r="A131" s="205"/>
      <c r="G131" s="206"/>
      <c r="H131" s="206"/>
      <c r="I131" s="206"/>
      <c r="J131" s="207"/>
    </row>
    <row r="132" spans="1:10" ht="15" customHeight="1" x14ac:dyDescent="0.25">
      <c r="A132" s="205"/>
      <c r="G132" s="206"/>
      <c r="H132" s="206"/>
      <c r="I132" s="206"/>
      <c r="J132" s="207"/>
    </row>
    <row r="133" spans="1:10" ht="15" customHeight="1" x14ac:dyDescent="0.25">
      <c r="A133" s="205"/>
      <c r="G133" s="206"/>
      <c r="H133" s="206"/>
      <c r="I133" s="206"/>
      <c r="J133" s="207"/>
    </row>
    <row r="134" spans="1:10" ht="15" customHeight="1" x14ac:dyDescent="0.25">
      <c r="A134" s="205"/>
      <c r="G134" s="206"/>
      <c r="H134" s="206"/>
      <c r="I134" s="206"/>
      <c r="J134" s="207"/>
    </row>
    <row r="135" spans="1:10" ht="15" customHeight="1" x14ac:dyDescent="0.25">
      <c r="A135" s="205"/>
      <c r="G135" s="206"/>
      <c r="H135" s="206"/>
      <c r="I135" s="206"/>
      <c r="J135" s="207"/>
    </row>
    <row r="136" spans="1:10" ht="15" customHeight="1" x14ac:dyDescent="0.25">
      <c r="A136" s="205"/>
      <c r="G136" s="206"/>
      <c r="H136" s="206"/>
      <c r="I136" s="206"/>
      <c r="J136" s="207"/>
    </row>
    <row r="137" spans="1:10" ht="15" customHeight="1" x14ac:dyDescent="0.25">
      <c r="A137" s="205"/>
      <c r="G137" s="206"/>
      <c r="H137" s="206"/>
      <c r="I137" s="206"/>
      <c r="J137" s="207"/>
    </row>
    <row r="138" spans="1:10" ht="15" customHeight="1" x14ac:dyDescent="0.25">
      <c r="A138" s="205"/>
      <c r="G138" s="206"/>
      <c r="H138" s="206"/>
      <c r="I138" s="206"/>
      <c r="J138" s="207"/>
    </row>
    <row r="139" spans="1:10" ht="15" customHeight="1" x14ac:dyDescent="0.25">
      <c r="A139" s="205"/>
      <c r="G139" s="206"/>
      <c r="H139" s="206"/>
      <c r="I139" s="206"/>
      <c r="J139" s="207"/>
    </row>
    <row r="140" spans="1:10" ht="15" customHeight="1" x14ac:dyDescent="0.25">
      <c r="A140" s="205"/>
      <c r="G140" s="206"/>
      <c r="H140" s="206"/>
      <c r="I140" s="206"/>
      <c r="J140" s="207"/>
    </row>
    <row r="141" spans="1:10" ht="15" customHeight="1" x14ac:dyDescent="0.25">
      <c r="A141" s="205"/>
      <c r="G141" s="206"/>
      <c r="H141" s="206"/>
      <c r="I141" s="206"/>
      <c r="J141" s="207"/>
    </row>
    <row r="142" spans="1:10" ht="15" customHeight="1" x14ac:dyDescent="0.25">
      <c r="A142" s="205"/>
      <c r="G142" s="206"/>
      <c r="H142" s="206"/>
      <c r="I142" s="206"/>
      <c r="J142" s="207"/>
    </row>
    <row r="143" spans="1:10" ht="15" customHeight="1" x14ac:dyDescent="0.25">
      <c r="A143" s="205"/>
      <c r="G143" s="206"/>
      <c r="H143" s="206"/>
      <c r="I143" s="206"/>
      <c r="J143" s="207"/>
    </row>
    <row r="144" spans="1:10" ht="15" customHeight="1" x14ac:dyDescent="0.25">
      <c r="A144" s="205"/>
      <c r="G144" s="206"/>
      <c r="H144" s="206"/>
      <c r="I144" s="206"/>
      <c r="J144" s="207"/>
    </row>
    <row r="145" spans="1:10" ht="15" customHeight="1" x14ac:dyDescent="0.25">
      <c r="A145" s="205"/>
      <c r="G145" s="206"/>
      <c r="H145" s="206"/>
      <c r="I145" s="206"/>
      <c r="J145" s="207"/>
    </row>
    <row r="146" spans="1:10" ht="15" customHeight="1" x14ac:dyDescent="0.25">
      <c r="A146" s="205"/>
      <c r="G146" s="206"/>
      <c r="H146" s="206"/>
      <c r="I146" s="206"/>
      <c r="J146" s="207"/>
    </row>
    <row r="147" spans="1:10" ht="15" customHeight="1" x14ac:dyDescent="0.25">
      <c r="A147" s="205"/>
      <c r="G147" s="206"/>
      <c r="H147" s="206"/>
      <c r="I147" s="206"/>
      <c r="J147" s="207"/>
    </row>
    <row r="148" spans="1:10" ht="15" customHeight="1" x14ac:dyDescent="0.25">
      <c r="A148" s="205"/>
      <c r="G148" s="206"/>
      <c r="H148" s="206"/>
      <c r="I148" s="206"/>
      <c r="J148" s="207"/>
    </row>
    <row r="149" spans="1:10" ht="15" customHeight="1" x14ac:dyDescent="0.25">
      <c r="A149" s="205"/>
      <c r="G149" s="206"/>
      <c r="H149" s="206"/>
      <c r="I149" s="206"/>
      <c r="J149" s="207"/>
    </row>
    <row r="150" spans="1:10" ht="15" customHeight="1" x14ac:dyDescent="0.25">
      <c r="A150" s="205"/>
      <c r="G150" s="206"/>
      <c r="H150" s="206"/>
      <c r="I150" s="206"/>
      <c r="J150" s="207"/>
    </row>
    <row r="151" spans="1:10" ht="15" customHeight="1" x14ac:dyDescent="0.25">
      <c r="A151" s="205"/>
      <c r="G151" s="206"/>
      <c r="H151" s="206"/>
      <c r="I151" s="206"/>
      <c r="J151" s="207"/>
    </row>
    <row r="152" spans="1:10" ht="15" customHeight="1" x14ac:dyDescent="0.25">
      <c r="A152" s="205"/>
      <c r="G152" s="206"/>
      <c r="H152" s="206"/>
      <c r="I152" s="206"/>
      <c r="J152" s="207"/>
    </row>
    <row r="153" spans="1:10" ht="15" customHeight="1" x14ac:dyDescent="0.25">
      <c r="A153" s="205"/>
      <c r="G153" s="206"/>
      <c r="H153" s="206"/>
      <c r="I153" s="206"/>
      <c r="J153" s="207"/>
    </row>
    <row r="154" spans="1:10" ht="15" customHeight="1" x14ac:dyDescent="0.25">
      <c r="A154" s="205"/>
      <c r="G154" s="206"/>
      <c r="H154" s="206"/>
      <c r="I154" s="206"/>
      <c r="J154" s="207"/>
    </row>
    <row r="155" spans="1:10" ht="15" customHeight="1" x14ac:dyDescent="0.25">
      <c r="A155" s="205"/>
      <c r="G155" s="206"/>
      <c r="H155" s="206"/>
      <c r="I155" s="206"/>
      <c r="J155" s="207"/>
    </row>
    <row r="156" spans="1:10" ht="15" customHeight="1" x14ac:dyDescent="0.25">
      <c r="A156" s="205"/>
      <c r="G156" s="206"/>
      <c r="H156" s="206"/>
      <c r="I156" s="206"/>
      <c r="J156" s="207"/>
    </row>
    <row r="157" spans="1:10" ht="15" customHeight="1" x14ac:dyDescent="0.25">
      <c r="A157" s="205"/>
      <c r="G157" s="206"/>
      <c r="H157" s="206"/>
      <c r="I157" s="206"/>
      <c r="J157" s="207"/>
    </row>
    <row r="158" spans="1:10" ht="15" customHeight="1" x14ac:dyDescent="0.25">
      <c r="A158" s="205"/>
      <c r="G158" s="206"/>
      <c r="H158" s="206"/>
      <c r="I158" s="206"/>
      <c r="J158" s="207"/>
    </row>
    <row r="159" spans="1:10" ht="15" customHeight="1" x14ac:dyDescent="0.25">
      <c r="A159" s="205"/>
      <c r="G159" s="206"/>
      <c r="H159" s="206"/>
      <c r="I159" s="206"/>
      <c r="J159" s="207"/>
    </row>
    <row r="160" spans="1:10" ht="15" customHeight="1" x14ac:dyDescent="0.25">
      <c r="A160" s="205"/>
      <c r="G160" s="206"/>
      <c r="H160" s="206"/>
      <c r="I160" s="206"/>
      <c r="J160" s="207"/>
    </row>
    <row r="161" spans="1:10" ht="15" customHeight="1" x14ac:dyDescent="0.25">
      <c r="A161" s="205"/>
      <c r="G161" s="206"/>
      <c r="H161" s="206"/>
      <c r="I161" s="206"/>
      <c r="J161" s="207"/>
    </row>
    <row r="162" spans="1:10" ht="15" customHeight="1" x14ac:dyDescent="0.25">
      <c r="A162" s="205"/>
      <c r="G162" s="206"/>
      <c r="H162" s="206"/>
      <c r="I162" s="206"/>
      <c r="J162" s="207"/>
    </row>
    <row r="163" spans="1:10" ht="15" customHeight="1" x14ac:dyDescent="0.25">
      <c r="A163" s="205"/>
      <c r="G163" s="206"/>
      <c r="H163" s="206"/>
      <c r="I163" s="206"/>
      <c r="J163" s="207"/>
    </row>
    <row r="164" spans="1:10" ht="15" customHeight="1" x14ac:dyDescent="0.25">
      <c r="A164" s="205"/>
      <c r="G164" s="206"/>
      <c r="H164" s="206"/>
      <c r="I164" s="206"/>
      <c r="J164" s="207"/>
    </row>
    <row r="165" spans="1:10" ht="15" customHeight="1" x14ac:dyDescent="0.25">
      <c r="A165" s="205"/>
      <c r="G165" s="206"/>
      <c r="H165" s="206"/>
      <c r="I165" s="206"/>
      <c r="J165" s="207"/>
    </row>
    <row r="166" spans="1:10" ht="15" customHeight="1" x14ac:dyDescent="0.25">
      <c r="A166" s="205"/>
      <c r="G166" s="206"/>
      <c r="H166" s="206"/>
      <c r="I166" s="206"/>
      <c r="J166" s="207"/>
    </row>
    <row r="167" spans="1:10" ht="15" customHeight="1" x14ac:dyDescent="0.25">
      <c r="A167" s="205"/>
      <c r="G167" s="206"/>
      <c r="H167" s="206"/>
      <c r="I167" s="206"/>
      <c r="J167" s="207"/>
    </row>
    <row r="168" spans="1:10" ht="15" customHeight="1" x14ac:dyDescent="0.25">
      <c r="A168" s="205"/>
      <c r="G168" s="206"/>
      <c r="H168" s="206"/>
      <c r="I168" s="206"/>
      <c r="J168" s="207"/>
    </row>
    <row r="169" spans="1:10" ht="15" customHeight="1" x14ac:dyDescent="0.25">
      <c r="A169" s="205"/>
      <c r="G169" s="206"/>
      <c r="H169" s="206"/>
      <c r="I169" s="206"/>
      <c r="J169" s="207"/>
    </row>
    <row r="170" spans="1:10" ht="15" customHeight="1" x14ac:dyDescent="0.25">
      <c r="A170" s="205"/>
      <c r="G170" s="206"/>
      <c r="H170" s="206"/>
      <c r="I170" s="206"/>
      <c r="J170" s="207"/>
    </row>
    <row r="171" spans="1:10" ht="15" customHeight="1" x14ac:dyDescent="0.25">
      <c r="A171" s="205"/>
      <c r="G171" s="206"/>
      <c r="H171" s="206"/>
      <c r="I171" s="206"/>
      <c r="J171" s="207"/>
    </row>
    <row r="172" spans="1:10" ht="15" customHeight="1" x14ac:dyDescent="0.25">
      <c r="A172" s="205"/>
      <c r="G172" s="206"/>
      <c r="H172" s="206"/>
      <c r="I172" s="206"/>
      <c r="J172" s="207"/>
    </row>
    <row r="173" spans="1:10" ht="15" customHeight="1" x14ac:dyDescent="0.25">
      <c r="A173" s="205"/>
      <c r="G173" s="206"/>
      <c r="H173" s="206"/>
      <c r="I173" s="206"/>
      <c r="J173" s="207"/>
    </row>
    <row r="174" spans="1:10" ht="15" customHeight="1" x14ac:dyDescent="0.25">
      <c r="A174" s="205"/>
      <c r="G174" s="206"/>
      <c r="H174" s="206"/>
      <c r="I174" s="206"/>
      <c r="J174" s="207"/>
    </row>
    <row r="175" spans="1:10" ht="15" customHeight="1" x14ac:dyDescent="0.25">
      <c r="A175" s="205"/>
      <c r="G175" s="206"/>
      <c r="H175" s="206"/>
      <c r="I175" s="206"/>
      <c r="J175" s="207"/>
    </row>
    <row r="176" spans="1:10" ht="15" customHeight="1" x14ac:dyDescent="0.25">
      <c r="A176" s="205"/>
      <c r="G176" s="206"/>
      <c r="H176" s="206"/>
      <c r="I176" s="206"/>
      <c r="J176" s="207"/>
    </row>
    <row r="177" spans="1:10" ht="15" customHeight="1" x14ac:dyDescent="0.25">
      <c r="A177" s="205"/>
      <c r="G177" s="206"/>
      <c r="H177" s="206"/>
      <c r="I177" s="206"/>
      <c r="J177" s="207"/>
    </row>
    <row r="178" spans="1:10" ht="15" customHeight="1" x14ac:dyDescent="0.25">
      <c r="A178" s="205"/>
      <c r="G178" s="206"/>
      <c r="H178" s="206"/>
      <c r="I178" s="206"/>
      <c r="J178" s="207"/>
    </row>
    <row r="179" spans="1:10" ht="15" customHeight="1" x14ac:dyDescent="0.25">
      <c r="A179" s="205"/>
      <c r="G179" s="206"/>
      <c r="H179" s="206"/>
      <c r="I179" s="206"/>
      <c r="J179" s="207"/>
    </row>
    <row r="180" spans="1:10" ht="15" customHeight="1" x14ac:dyDescent="0.25">
      <c r="A180" s="205"/>
      <c r="G180" s="206"/>
      <c r="H180" s="206"/>
      <c r="I180" s="206"/>
      <c r="J180" s="207"/>
    </row>
    <row r="181" spans="1:10" ht="15" customHeight="1" x14ac:dyDescent="0.25">
      <c r="A181" s="205"/>
      <c r="G181" s="206"/>
      <c r="H181" s="206"/>
      <c r="I181" s="206"/>
      <c r="J181" s="207"/>
    </row>
    <row r="182" spans="1:10" ht="15" customHeight="1" x14ac:dyDescent="0.25">
      <c r="A182" s="205"/>
      <c r="G182" s="206"/>
      <c r="H182" s="206"/>
      <c r="I182" s="206"/>
      <c r="J182" s="207"/>
    </row>
    <row r="183" spans="1:10" ht="15" customHeight="1" x14ac:dyDescent="0.25">
      <c r="A183" s="205"/>
      <c r="G183" s="206"/>
      <c r="H183" s="206"/>
      <c r="I183" s="206"/>
      <c r="J183" s="207"/>
    </row>
    <row r="184" spans="1:10" ht="15" customHeight="1" x14ac:dyDescent="0.25">
      <c r="A184" s="205"/>
      <c r="G184" s="206"/>
      <c r="H184" s="206"/>
      <c r="I184" s="206"/>
      <c r="J184" s="207"/>
    </row>
    <row r="185" spans="1:10" ht="15" customHeight="1" x14ac:dyDescent="0.25">
      <c r="A185" s="205"/>
      <c r="G185" s="206"/>
      <c r="H185" s="206"/>
      <c r="I185" s="206"/>
      <c r="J185" s="207"/>
    </row>
    <row r="186" spans="1:10" ht="15" customHeight="1" x14ac:dyDescent="0.25">
      <c r="A186" s="205"/>
      <c r="G186" s="206"/>
      <c r="H186" s="206"/>
      <c r="I186" s="206"/>
      <c r="J186" s="207"/>
    </row>
    <row r="187" spans="1:10" ht="15" customHeight="1" x14ac:dyDescent="0.25">
      <c r="A187" s="205"/>
      <c r="G187" s="206"/>
      <c r="H187" s="206"/>
      <c r="I187" s="206"/>
      <c r="J187" s="207"/>
    </row>
    <row r="188" spans="1:10" ht="15" customHeight="1" x14ac:dyDescent="0.25">
      <c r="A188" s="205"/>
      <c r="G188" s="206"/>
      <c r="H188" s="206"/>
      <c r="I188" s="206"/>
      <c r="J188" s="207"/>
    </row>
    <row r="189" spans="1:10" ht="15" customHeight="1" x14ac:dyDescent="0.25">
      <c r="A189" s="205"/>
      <c r="G189" s="206"/>
      <c r="H189" s="206"/>
      <c r="I189" s="206"/>
      <c r="J189" s="207"/>
    </row>
    <row r="190" spans="1:10" ht="15" customHeight="1" x14ac:dyDescent="0.25">
      <c r="A190" s="205"/>
      <c r="G190" s="206"/>
      <c r="H190" s="206"/>
      <c r="I190" s="206"/>
      <c r="J190" s="207"/>
    </row>
    <row r="191" spans="1:10" ht="15" customHeight="1" x14ac:dyDescent="0.25">
      <c r="A191" s="205"/>
      <c r="G191" s="206"/>
      <c r="H191" s="206"/>
      <c r="I191" s="206"/>
      <c r="J191" s="207"/>
    </row>
    <row r="192" spans="1:10" ht="15" customHeight="1" x14ac:dyDescent="0.25">
      <c r="A192" s="205"/>
      <c r="G192" s="206"/>
      <c r="H192" s="206"/>
      <c r="I192" s="206"/>
      <c r="J192" s="207"/>
    </row>
    <row r="193" spans="1:10" ht="15" customHeight="1" x14ac:dyDescent="0.25">
      <c r="A193" s="205"/>
      <c r="G193" s="206"/>
      <c r="H193" s="206"/>
      <c r="I193" s="206"/>
      <c r="J193" s="207"/>
    </row>
    <row r="194" spans="1:10" ht="15" customHeight="1" x14ac:dyDescent="0.25">
      <c r="A194" s="205"/>
      <c r="G194" s="206"/>
      <c r="H194" s="206"/>
      <c r="I194" s="206"/>
      <c r="J194" s="207"/>
    </row>
    <row r="195" spans="1:10" ht="15" customHeight="1" x14ac:dyDescent="0.25">
      <c r="A195" s="205"/>
      <c r="G195" s="206"/>
      <c r="H195" s="206"/>
      <c r="I195" s="206"/>
      <c r="J195" s="207"/>
    </row>
    <row r="196" spans="1:10" ht="15" customHeight="1" x14ac:dyDescent="0.25">
      <c r="A196" s="205"/>
      <c r="G196" s="206"/>
      <c r="H196" s="206"/>
      <c r="I196" s="206"/>
      <c r="J196" s="207"/>
    </row>
    <row r="197" spans="1:10" ht="15" customHeight="1" x14ac:dyDescent="0.25">
      <c r="A197" s="205"/>
      <c r="G197" s="206"/>
      <c r="H197" s="206"/>
      <c r="I197" s="206"/>
      <c r="J197" s="207"/>
    </row>
    <row r="198" spans="1:10" ht="15" customHeight="1" x14ac:dyDescent="0.25">
      <c r="A198" s="205"/>
      <c r="G198" s="206"/>
      <c r="H198" s="206"/>
      <c r="I198" s="206"/>
      <c r="J198" s="207"/>
    </row>
    <row r="199" spans="1:10" ht="15" customHeight="1" x14ac:dyDescent="0.25">
      <c r="A199" s="205"/>
      <c r="G199" s="206"/>
      <c r="H199" s="206"/>
      <c r="I199" s="206"/>
      <c r="J199" s="207"/>
    </row>
    <row r="200" spans="1:10" ht="15" customHeight="1" x14ac:dyDescent="0.25">
      <c r="A200" s="205"/>
      <c r="G200" s="206"/>
      <c r="H200" s="206"/>
      <c r="I200" s="206"/>
      <c r="J200" s="207"/>
    </row>
    <row r="201" spans="1:10" ht="15" customHeight="1" x14ac:dyDescent="0.25">
      <c r="A201" s="205"/>
      <c r="G201" s="206"/>
      <c r="H201" s="206"/>
      <c r="I201" s="206"/>
      <c r="J201" s="207"/>
    </row>
    <row r="202" spans="1:10" ht="15" customHeight="1" x14ac:dyDescent="0.25">
      <c r="A202" s="205"/>
      <c r="G202" s="206"/>
      <c r="H202" s="206"/>
      <c r="I202" s="206"/>
      <c r="J202" s="207"/>
    </row>
    <row r="203" spans="1:10" ht="15" customHeight="1" x14ac:dyDescent="0.25">
      <c r="A203" s="205"/>
      <c r="G203" s="206"/>
      <c r="H203" s="206"/>
      <c r="I203" s="206"/>
      <c r="J203" s="207"/>
    </row>
    <row r="204" spans="1:10" ht="15" customHeight="1" x14ac:dyDescent="0.25">
      <c r="A204" s="205"/>
      <c r="G204" s="206"/>
      <c r="H204" s="206"/>
      <c r="I204" s="206"/>
      <c r="J204" s="207"/>
    </row>
    <row r="205" spans="1:10" ht="15" customHeight="1" x14ac:dyDescent="0.25">
      <c r="A205" s="205"/>
      <c r="G205" s="206"/>
      <c r="H205" s="206"/>
      <c r="I205" s="206"/>
      <c r="J205" s="207"/>
    </row>
    <row r="206" spans="1:10" ht="15" customHeight="1" x14ac:dyDescent="0.25">
      <c r="A206" s="205"/>
      <c r="G206" s="206"/>
      <c r="H206" s="206"/>
      <c r="I206" s="206"/>
      <c r="J206" s="207"/>
    </row>
    <row r="207" spans="1:10" ht="15" customHeight="1" x14ac:dyDescent="0.25">
      <c r="A207" s="205"/>
      <c r="G207" s="206"/>
      <c r="H207" s="206"/>
      <c r="I207" s="206"/>
      <c r="J207" s="207"/>
    </row>
    <row r="208" spans="1:10" ht="15" customHeight="1" x14ac:dyDescent="0.25">
      <c r="A208" s="205"/>
      <c r="G208" s="206"/>
      <c r="H208" s="206"/>
      <c r="I208" s="206"/>
      <c r="J208" s="207"/>
    </row>
    <row r="209" spans="1:10" ht="15" customHeight="1" x14ac:dyDescent="0.25">
      <c r="A209" s="205"/>
      <c r="G209" s="206"/>
      <c r="H209" s="206"/>
      <c r="I209" s="206"/>
      <c r="J209" s="207"/>
    </row>
    <row r="210" spans="1:10" ht="15" customHeight="1" x14ac:dyDescent="0.25">
      <c r="A210" s="205"/>
      <c r="G210" s="206"/>
      <c r="H210" s="206"/>
      <c r="I210" s="206"/>
      <c r="J210" s="207"/>
    </row>
    <row r="211" spans="1:10" ht="15" customHeight="1" x14ac:dyDescent="0.25">
      <c r="A211" s="205"/>
      <c r="G211" s="206"/>
      <c r="H211" s="206"/>
      <c r="I211" s="206"/>
      <c r="J211" s="207"/>
    </row>
    <row r="212" spans="1:10" ht="15" customHeight="1" x14ac:dyDescent="0.25">
      <c r="A212" s="205"/>
      <c r="G212" s="206"/>
      <c r="H212" s="206"/>
      <c r="I212" s="206"/>
      <c r="J212" s="207"/>
    </row>
    <row r="213" spans="1:10" ht="15" customHeight="1" x14ac:dyDescent="0.25">
      <c r="A213" s="205"/>
      <c r="G213" s="206"/>
      <c r="H213" s="206"/>
      <c r="I213" s="206"/>
      <c r="J213" s="207"/>
    </row>
    <row r="214" spans="1:10" ht="15" customHeight="1" x14ac:dyDescent="0.25">
      <c r="A214" s="205"/>
      <c r="G214" s="206"/>
      <c r="H214" s="206"/>
      <c r="I214" s="206"/>
      <c r="J214" s="207"/>
    </row>
    <row r="215" spans="1:10" ht="15" customHeight="1" x14ac:dyDescent="0.25">
      <c r="A215" s="205"/>
      <c r="G215" s="206"/>
      <c r="H215" s="206"/>
      <c r="I215" s="206"/>
      <c r="J215" s="207"/>
    </row>
    <row r="216" spans="1:10" ht="15" customHeight="1" x14ac:dyDescent="0.25">
      <c r="A216" s="205"/>
      <c r="G216" s="206"/>
      <c r="H216" s="206"/>
      <c r="I216" s="206"/>
      <c r="J216" s="207"/>
    </row>
    <row r="217" spans="1:10" ht="15" customHeight="1" x14ac:dyDescent="0.25">
      <c r="A217" s="205"/>
      <c r="G217" s="206"/>
      <c r="H217" s="206"/>
      <c r="I217" s="206"/>
      <c r="J217" s="207"/>
    </row>
    <row r="218" spans="1:10" ht="15" customHeight="1" x14ac:dyDescent="0.25">
      <c r="A218" s="205"/>
      <c r="G218" s="206"/>
      <c r="H218" s="206"/>
      <c r="I218" s="206"/>
      <c r="J218" s="207"/>
    </row>
    <row r="219" spans="1:10" ht="15" customHeight="1" x14ac:dyDescent="0.25">
      <c r="A219" s="205"/>
      <c r="G219" s="206"/>
      <c r="H219" s="206"/>
      <c r="I219" s="206"/>
      <c r="J219" s="207"/>
    </row>
    <row r="220" spans="1:10" ht="15" customHeight="1" x14ac:dyDescent="0.25">
      <c r="A220" s="205"/>
      <c r="G220" s="206"/>
      <c r="H220" s="206"/>
      <c r="I220" s="206"/>
      <c r="J220" s="207"/>
    </row>
    <row r="221" spans="1:10" ht="15" customHeight="1" x14ac:dyDescent="0.25">
      <c r="A221" s="205"/>
      <c r="G221" s="206"/>
      <c r="H221" s="206"/>
      <c r="I221" s="206"/>
      <c r="J221" s="207"/>
    </row>
    <row r="222" spans="1:10" ht="15" customHeight="1" x14ac:dyDescent="0.25">
      <c r="A222" s="205"/>
      <c r="G222" s="206"/>
      <c r="H222" s="206"/>
      <c r="I222" s="206"/>
      <c r="J222" s="207"/>
    </row>
    <row r="223" spans="1:10" ht="15" customHeight="1" x14ac:dyDescent="0.25">
      <c r="A223" s="205"/>
      <c r="G223" s="206"/>
      <c r="H223" s="206"/>
      <c r="I223" s="206"/>
      <c r="J223" s="207"/>
    </row>
    <row r="224" spans="1:10" ht="15" customHeight="1" x14ac:dyDescent="0.25">
      <c r="A224" s="205"/>
      <c r="G224" s="206"/>
      <c r="H224" s="206"/>
      <c r="I224" s="206"/>
      <c r="J224" s="207"/>
    </row>
    <row r="225" spans="1:10" ht="15" customHeight="1" x14ac:dyDescent="0.25">
      <c r="A225" s="205"/>
      <c r="G225" s="206"/>
      <c r="H225" s="206"/>
      <c r="I225" s="206"/>
      <c r="J225" s="207"/>
    </row>
    <row r="226" spans="1:10" ht="15" customHeight="1" x14ac:dyDescent="0.25">
      <c r="A226" s="205"/>
      <c r="G226" s="206"/>
      <c r="H226" s="206"/>
      <c r="I226" s="206"/>
      <c r="J226" s="207"/>
    </row>
    <row r="227" spans="1:10" ht="15" customHeight="1" x14ac:dyDescent="0.25">
      <c r="A227" s="205"/>
      <c r="G227" s="206"/>
      <c r="H227" s="206"/>
      <c r="I227" s="206"/>
      <c r="J227" s="207"/>
    </row>
    <row r="228" spans="1:10" ht="15" customHeight="1" x14ac:dyDescent="0.25">
      <c r="A228" s="205"/>
      <c r="G228" s="206"/>
      <c r="H228" s="206"/>
      <c r="I228" s="206"/>
      <c r="J228" s="207"/>
    </row>
    <row r="229" spans="1:10" ht="15" customHeight="1" x14ac:dyDescent="0.25">
      <c r="A229" s="205"/>
      <c r="G229" s="206"/>
      <c r="H229" s="206"/>
      <c r="I229" s="206"/>
      <c r="J229" s="207"/>
    </row>
    <row r="230" spans="1:10" ht="15" customHeight="1" x14ac:dyDescent="0.25">
      <c r="A230" s="205"/>
      <c r="G230" s="206"/>
      <c r="H230" s="206"/>
      <c r="I230" s="206"/>
      <c r="J230" s="207"/>
    </row>
    <row r="231" spans="1:10" ht="15" customHeight="1" x14ac:dyDescent="0.25">
      <c r="A231" s="205"/>
      <c r="G231" s="206"/>
      <c r="H231" s="206"/>
      <c r="I231" s="206"/>
      <c r="J231" s="207"/>
    </row>
    <row r="232" spans="1:10" ht="15" customHeight="1" x14ac:dyDescent="0.25">
      <c r="A232" s="205"/>
      <c r="G232" s="206"/>
      <c r="H232" s="206"/>
      <c r="I232" s="206"/>
      <c r="J232" s="207"/>
    </row>
    <row r="233" spans="1:10" ht="15" customHeight="1" x14ac:dyDescent="0.25">
      <c r="A233" s="205"/>
      <c r="G233" s="206"/>
      <c r="H233" s="206"/>
      <c r="I233" s="206"/>
      <c r="J233" s="207"/>
    </row>
    <row r="234" spans="1:10" ht="15" customHeight="1" x14ac:dyDescent="0.25">
      <c r="A234" s="205"/>
      <c r="G234" s="206"/>
      <c r="H234" s="206"/>
      <c r="I234" s="206"/>
      <c r="J234" s="207"/>
    </row>
    <row r="235" spans="1:10" ht="15" customHeight="1" x14ac:dyDescent="0.25">
      <c r="A235" s="205"/>
      <c r="G235" s="206"/>
      <c r="H235" s="206"/>
      <c r="I235" s="206"/>
      <c r="J235" s="207"/>
    </row>
    <row r="236" spans="1:10" ht="15" customHeight="1" x14ac:dyDescent="0.25">
      <c r="A236" s="205"/>
      <c r="G236" s="206"/>
      <c r="H236" s="206"/>
      <c r="I236" s="206"/>
      <c r="J236" s="207"/>
    </row>
    <row r="237" spans="1:10" ht="15" customHeight="1" x14ac:dyDescent="0.25">
      <c r="A237" s="205"/>
      <c r="G237" s="206"/>
      <c r="H237" s="206"/>
      <c r="I237" s="206"/>
      <c r="J237" s="207"/>
    </row>
    <row r="238" spans="1:10" ht="15" customHeight="1" x14ac:dyDescent="0.25">
      <c r="A238" s="205"/>
      <c r="G238" s="206"/>
      <c r="H238" s="206"/>
      <c r="I238" s="206"/>
      <c r="J238" s="207"/>
    </row>
    <row r="239" spans="1:10" ht="15" customHeight="1" x14ac:dyDescent="0.25">
      <c r="A239" s="205"/>
      <c r="G239" s="206"/>
      <c r="H239" s="206"/>
      <c r="I239" s="206"/>
      <c r="J239" s="207"/>
    </row>
    <row r="240" spans="1:10" ht="15" customHeight="1" x14ac:dyDescent="0.25">
      <c r="A240" s="205"/>
      <c r="G240" s="206"/>
      <c r="H240" s="206"/>
      <c r="I240" s="206"/>
      <c r="J240" s="207"/>
    </row>
    <row r="241" spans="1:10" ht="15" customHeight="1" x14ac:dyDescent="0.25">
      <c r="A241" s="205"/>
      <c r="G241" s="206"/>
      <c r="H241" s="206"/>
      <c r="I241" s="206"/>
      <c r="J241" s="207"/>
    </row>
    <row r="242" spans="1:10" ht="15" customHeight="1" x14ac:dyDescent="0.25">
      <c r="A242" s="205"/>
      <c r="G242" s="206"/>
      <c r="H242" s="206"/>
      <c r="I242" s="206"/>
      <c r="J242" s="207"/>
    </row>
    <row r="243" spans="1:10" ht="15" customHeight="1" x14ac:dyDescent="0.25">
      <c r="A243" s="205"/>
      <c r="G243" s="206"/>
      <c r="H243" s="206"/>
      <c r="I243" s="206"/>
      <c r="J243" s="207"/>
    </row>
    <row r="244" spans="1:10" ht="15" customHeight="1" x14ac:dyDescent="0.25">
      <c r="A244" s="205"/>
      <c r="G244" s="206"/>
      <c r="H244" s="206"/>
      <c r="I244" s="206"/>
      <c r="J244" s="207"/>
    </row>
    <row r="245" spans="1:10" ht="15" customHeight="1" x14ac:dyDescent="0.25">
      <c r="A245" s="205"/>
      <c r="G245" s="206"/>
      <c r="H245" s="206"/>
      <c r="I245" s="206"/>
      <c r="J245" s="207"/>
    </row>
    <row r="246" spans="1:10" ht="15" customHeight="1" x14ac:dyDescent="0.25">
      <c r="A246" s="205"/>
      <c r="G246" s="206"/>
      <c r="H246" s="206"/>
      <c r="I246" s="206"/>
      <c r="J246" s="207"/>
    </row>
    <row r="247" spans="1:10" ht="15" customHeight="1" x14ac:dyDescent="0.25">
      <c r="A247" s="205"/>
      <c r="G247" s="206"/>
      <c r="H247" s="206"/>
      <c r="I247" s="206"/>
      <c r="J247" s="207"/>
    </row>
  </sheetData>
  <autoFilter ref="A2:S80" xr:uid="{00000000-0009-0000-0000-000005000000}">
    <filterColumn colId="5">
      <filters>
        <filter val="6077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4"/>
  <sheetViews>
    <sheetView showGridLines="0" zoomScaleNormal="100" workbookViewId="0">
      <selection activeCell="C13" sqref="C13"/>
    </sheetView>
  </sheetViews>
  <sheetFormatPr defaultColWidth="8.7109375" defaultRowHeight="15" x14ac:dyDescent="0.25"/>
  <cols>
    <col min="1" max="2" width="10" customWidth="1"/>
    <col min="3" max="3" width="46.42578125" customWidth="1"/>
    <col min="4" max="4" width="34" customWidth="1"/>
    <col min="5" max="5" width="25.5703125" customWidth="1"/>
    <col min="6" max="6" width="38.42578125" customWidth="1"/>
    <col min="7" max="7" width="42" customWidth="1"/>
    <col min="8" max="8" width="12" customWidth="1"/>
    <col min="9" max="9" width="18" customWidth="1"/>
    <col min="10" max="15" width="2" customWidth="1"/>
  </cols>
  <sheetData>
    <row r="1" spans="1:11" ht="27.75" customHeight="1" x14ac:dyDescent="0.25">
      <c r="A1" s="208" t="s">
        <v>414</v>
      </c>
      <c r="B1" s="209"/>
      <c r="C1" s="209"/>
      <c r="D1" s="209"/>
      <c r="E1" s="209"/>
      <c r="F1" s="209"/>
      <c r="G1" s="209"/>
      <c r="H1" s="209"/>
      <c r="I1" s="209"/>
      <c r="J1" s="210"/>
      <c r="K1" s="210"/>
    </row>
    <row r="2" spans="1:11" ht="13.5" customHeight="1" x14ac:dyDescent="0.25">
      <c r="A2" s="211" t="s">
        <v>415</v>
      </c>
      <c r="B2" s="212"/>
      <c r="C2" s="212"/>
      <c r="D2" s="212"/>
      <c r="E2" s="212"/>
      <c r="F2" s="212"/>
      <c r="G2" s="212"/>
      <c r="H2" s="212"/>
      <c r="I2" s="212"/>
      <c r="J2" s="210"/>
      <c r="K2" s="210"/>
    </row>
    <row r="3" spans="1:11" ht="4.5" customHeight="1" x14ac:dyDescent="0.25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</row>
    <row r="4" spans="1:11" ht="18" customHeight="1" x14ac:dyDescent="0.25">
      <c r="A4" s="213" t="s">
        <v>416</v>
      </c>
      <c r="B4" s="209"/>
      <c r="C4" s="209"/>
      <c r="D4" s="209"/>
      <c r="E4" s="209"/>
      <c r="F4" s="209"/>
      <c r="G4" s="209"/>
      <c r="H4" s="209"/>
      <c r="I4" s="209"/>
      <c r="J4" s="210"/>
      <c r="K4" s="210"/>
    </row>
    <row r="5" spans="1:11" ht="15.75" customHeight="1" x14ac:dyDescent="0.25">
      <c r="A5" s="214" t="s">
        <v>297</v>
      </c>
      <c r="B5" s="214" t="s">
        <v>417</v>
      </c>
      <c r="C5" s="214" t="s">
        <v>3</v>
      </c>
      <c r="D5" s="214" t="s">
        <v>418</v>
      </c>
      <c r="E5" s="214" t="s">
        <v>109</v>
      </c>
      <c r="F5" s="214" t="s">
        <v>419</v>
      </c>
      <c r="G5" s="214" t="s">
        <v>420</v>
      </c>
      <c r="H5" s="214" t="s">
        <v>421</v>
      </c>
      <c r="I5" s="214" t="s">
        <v>143</v>
      </c>
      <c r="J5" s="210"/>
      <c r="K5" s="215"/>
    </row>
    <row r="6" spans="1:11" ht="15" customHeight="1" x14ac:dyDescent="0.25">
      <c r="A6" s="216">
        <v>9002</v>
      </c>
      <c r="B6" s="216">
        <v>901</v>
      </c>
      <c r="C6" s="217" t="s">
        <v>29</v>
      </c>
      <c r="D6" s="217" t="s">
        <v>53</v>
      </c>
      <c r="E6" s="216">
        <v>30</v>
      </c>
      <c r="F6" s="217" t="s">
        <v>422</v>
      </c>
      <c r="G6" s="217" t="s">
        <v>423</v>
      </c>
      <c r="H6" s="216" t="s">
        <v>424</v>
      </c>
      <c r="I6" s="216" t="s">
        <v>425</v>
      </c>
      <c r="J6" s="210"/>
      <c r="K6" s="218"/>
    </row>
    <row r="7" spans="1:11" ht="15" customHeight="1" x14ac:dyDescent="0.25">
      <c r="A7" s="216">
        <v>6624</v>
      </c>
      <c r="B7" s="216" t="s">
        <v>426</v>
      </c>
      <c r="C7" s="217" t="s">
        <v>427</v>
      </c>
      <c r="D7" s="217" t="s">
        <v>428</v>
      </c>
      <c r="E7" s="216">
        <v>19</v>
      </c>
      <c r="F7" s="217" t="s">
        <v>429</v>
      </c>
      <c r="G7" s="217" t="s">
        <v>430</v>
      </c>
      <c r="H7" s="216" t="s">
        <v>424</v>
      </c>
      <c r="I7" s="216" t="s">
        <v>425</v>
      </c>
      <c r="J7" s="210"/>
      <c r="K7" s="218"/>
    </row>
    <row r="8" spans="1:11" ht="15" customHeight="1" x14ac:dyDescent="0.25">
      <c r="A8" s="216">
        <v>9004</v>
      </c>
      <c r="B8" s="216">
        <v>904</v>
      </c>
      <c r="C8" s="217" t="s">
        <v>18</v>
      </c>
      <c r="D8" s="217" t="s">
        <v>19</v>
      </c>
      <c r="E8" s="216">
        <v>12.5</v>
      </c>
      <c r="F8" s="217" t="s">
        <v>431</v>
      </c>
      <c r="G8" s="217" t="s">
        <v>432</v>
      </c>
      <c r="H8" s="216" t="s">
        <v>424</v>
      </c>
      <c r="I8" s="216" t="s">
        <v>425</v>
      </c>
      <c r="J8" s="210"/>
      <c r="K8" s="218"/>
    </row>
    <row r="9" spans="1:11" ht="15" customHeight="1" x14ac:dyDescent="0.25">
      <c r="A9" s="216">
        <v>9006</v>
      </c>
      <c r="B9" s="216">
        <v>906</v>
      </c>
      <c r="C9" s="217" t="s">
        <v>427</v>
      </c>
      <c r="D9" s="217" t="s">
        <v>44</v>
      </c>
      <c r="E9" s="216">
        <v>25</v>
      </c>
      <c r="F9" s="217" t="s">
        <v>433</v>
      </c>
      <c r="G9" s="217" t="s">
        <v>434</v>
      </c>
      <c r="H9" s="216" t="s">
        <v>424</v>
      </c>
      <c r="I9" s="216" t="s">
        <v>425</v>
      </c>
      <c r="J9" s="210"/>
      <c r="K9" s="218"/>
    </row>
    <row r="10" spans="1:11" ht="6" customHeight="1" x14ac:dyDescent="0.25">
      <c r="A10" s="218"/>
      <c r="B10" s="218"/>
      <c r="C10" s="210"/>
      <c r="D10" s="218"/>
      <c r="E10" s="218"/>
      <c r="F10" s="218"/>
      <c r="G10" s="215"/>
      <c r="H10" s="218"/>
      <c r="I10" s="218"/>
      <c r="J10" s="210"/>
      <c r="K10" s="218"/>
    </row>
    <row r="11" spans="1:11" ht="6" customHeight="1" x14ac:dyDescent="0.25">
      <c r="A11" s="219"/>
      <c r="B11" s="210"/>
      <c r="C11" s="210"/>
      <c r="D11" s="210"/>
      <c r="E11" s="210"/>
      <c r="F11" s="210"/>
      <c r="G11" s="210"/>
      <c r="H11" s="210"/>
      <c r="I11" s="210"/>
      <c r="J11" s="210"/>
      <c r="K11" s="218"/>
    </row>
    <row r="12" spans="1:11" ht="18" customHeight="1" x14ac:dyDescent="0.25">
      <c r="A12" s="213" t="s">
        <v>435</v>
      </c>
      <c r="B12" s="220"/>
      <c r="C12" s="220"/>
      <c r="D12" s="220"/>
      <c r="E12" s="220"/>
      <c r="F12" s="220"/>
      <c r="G12" s="220"/>
      <c r="H12" s="220"/>
      <c r="I12" s="220"/>
      <c r="J12" s="218"/>
      <c r="K12" s="218"/>
    </row>
    <row r="13" spans="1:11" ht="15.75" customHeight="1" x14ac:dyDescent="0.25">
      <c r="A13" s="214" t="s">
        <v>297</v>
      </c>
      <c r="B13" s="214" t="s">
        <v>418</v>
      </c>
      <c r="C13" s="214"/>
      <c r="D13" s="214" t="s">
        <v>436</v>
      </c>
      <c r="E13" s="214" t="s">
        <v>136</v>
      </c>
      <c r="F13" s="214" t="s">
        <v>437</v>
      </c>
      <c r="G13" s="214" t="s">
        <v>438</v>
      </c>
      <c r="H13" s="214" t="s">
        <v>421</v>
      </c>
      <c r="I13" s="214" t="s">
        <v>301</v>
      </c>
      <c r="J13" s="218"/>
      <c r="K13" s="218"/>
    </row>
    <row r="14" spans="1:11" ht="15" customHeight="1" x14ac:dyDescent="0.25">
      <c r="A14" s="221">
        <v>6020</v>
      </c>
      <c r="B14" s="222" t="s">
        <v>64</v>
      </c>
      <c r="C14" s="222"/>
      <c r="D14" s="222" t="s">
        <v>162</v>
      </c>
      <c r="E14" s="221" t="s">
        <v>439</v>
      </c>
      <c r="F14" s="221" t="s">
        <v>440</v>
      </c>
      <c r="G14" s="221" t="s">
        <v>441</v>
      </c>
      <c r="H14" s="221" t="s">
        <v>442</v>
      </c>
      <c r="I14" s="222" t="s">
        <v>443</v>
      </c>
      <c r="J14" s="218"/>
      <c r="K14" s="218"/>
    </row>
    <row r="15" spans="1:11" ht="15" customHeight="1" x14ac:dyDescent="0.25">
      <c r="A15" s="221">
        <v>6021</v>
      </c>
      <c r="B15" s="222" t="s">
        <v>65</v>
      </c>
      <c r="C15" s="222"/>
      <c r="D15" s="222" t="s">
        <v>162</v>
      </c>
      <c r="E15" s="221" t="s">
        <v>439</v>
      </c>
      <c r="F15" s="221" t="s">
        <v>440</v>
      </c>
      <c r="G15" s="221" t="s">
        <v>441</v>
      </c>
      <c r="H15" s="221" t="s">
        <v>442</v>
      </c>
      <c r="I15" s="222" t="s">
        <v>444</v>
      </c>
      <c r="J15" s="218"/>
      <c r="K15" s="218"/>
    </row>
    <row r="16" spans="1:11" ht="15" customHeight="1" x14ac:dyDescent="0.25">
      <c r="A16" s="216">
        <v>6020</v>
      </c>
      <c r="B16" s="217" t="s">
        <v>64</v>
      </c>
      <c r="C16" s="217"/>
      <c r="D16" s="217" t="s">
        <v>169</v>
      </c>
      <c r="E16" s="216" t="s">
        <v>445</v>
      </c>
      <c r="F16" s="216" t="s">
        <v>446</v>
      </c>
      <c r="G16" s="216" t="s">
        <v>447</v>
      </c>
      <c r="H16" s="216" t="s">
        <v>424</v>
      </c>
      <c r="I16" s="217" t="s">
        <v>448</v>
      </c>
      <c r="J16" s="218"/>
      <c r="K16" s="218"/>
    </row>
    <row r="17" spans="1:11" ht="15" customHeight="1" x14ac:dyDescent="0.25">
      <c r="A17" s="216">
        <v>6021</v>
      </c>
      <c r="B17" s="217" t="s">
        <v>65</v>
      </c>
      <c r="C17" s="217"/>
      <c r="D17" s="217" t="s">
        <v>169</v>
      </c>
      <c r="E17" s="216" t="s">
        <v>445</v>
      </c>
      <c r="F17" s="216" t="s">
        <v>446</v>
      </c>
      <c r="G17" s="216" t="s">
        <v>447</v>
      </c>
      <c r="H17" s="216" t="s">
        <v>424</v>
      </c>
      <c r="I17" s="217" t="s">
        <v>444</v>
      </c>
      <c r="J17" s="218"/>
      <c r="K17" s="218"/>
    </row>
    <row r="18" spans="1:11" ht="15" customHeight="1" x14ac:dyDescent="0.25">
      <c r="A18" s="216">
        <v>5731</v>
      </c>
      <c r="B18" s="217" t="s">
        <v>449</v>
      </c>
      <c r="C18" s="217"/>
      <c r="D18" s="217" t="s">
        <v>220</v>
      </c>
      <c r="E18" s="216" t="s">
        <v>450</v>
      </c>
      <c r="F18" s="216" t="s">
        <v>451</v>
      </c>
      <c r="G18" s="216" t="s">
        <v>452</v>
      </c>
      <c r="H18" s="216" t="s">
        <v>424</v>
      </c>
      <c r="I18" s="217" t="s">
        <v>453</v>
      </c>
      <c r="J18" s="210"/>
      <c r="K18" s="210"/>
    </row>
    <row r="19" spans="1:11" ht="15" customHeight="1" x14ac:dyDescent="0.25">
      <c r="A19" s="216">
        <v>5732</v>
      </c>
      <c r="B19" s="217" t="s">
        <v>454</v>
      </c>
      <c r="C19" s="217"/>
      <c r="D19" s="217" t="s">
        <v>220</v>
      </c>
      <c r="E19" s="216" t="s">
        <v>450</v>
      </c>
      <c r="F19" s="216" t="s">
        <v>451</v>
      </c>
      <c r="G19" s="216" t="s">
        <v>452</v>
      </c>
      <c r="H19" s="216" t="s">
        <v>424</v>
      </c>
      <c r="I19" s="217" t="s">
        <v>453</v>
      </c>
      <c r="J19" s="210"/>
      <c r="K19" s="210"/>
    </row>
    <row r="20" spans="1:11" ht="15" customHeight="1" x14ac:dyDescent="0.25">
      <c r="A20" s="216">
        <v>6338</v>
      </c>
      <c r="B20" s="217" t="s">
        <v>46</v>
      </c>
      <c r="C20" s="217"/>
      <c r="D20" s="217" t="s">
        <v>169</v>
      </c>
      <c r="E20" s="216" t="s">
        <v>455</v>
      </c>
      <c r="F20" s="216" t="s">
        <v>456</v>
      </c>
      <c r="G20" s="216" t="s">
        <v>457</v>
      </c>
      <c r="H20" s="216" t="s">
        <v>424</v>
      </c>
      <c r="I20" s="217" t="s">
        <v>458</v>
      </c>
      <c r="J20" s="210"/>
      <c r="K20" s="210"/>
    </row>
    <row r="21" spans="1:11" ht="15" customHeight="1" x14ac:dyDescent="0.25">
      <c r="A21" s="223">
        <v>6531</v>
      </c>
      <c r="B21" s="224" t="s">
        <v>67</v>
      </c>
      <c r="C21" s="224"/>
      <c r="D21" s="224" t="s">
        <v>162</v>
      </c>
      <c r="E21" s="223" t="s">
        <v>439</v>
      </c>
      <c r="F21" s="223" t="s">
        <v>459</v>
      </c>
      <c r="G21" s="223" t="s">
        <v>460</v>
      </c>
      <c r="H21" s="223" t="s">
        <v>461</v>
      </c>
      <c r="I21" s="224" t="s">
        <v>462</v>
      </c>
      <c r="J21" s="210"/>
      <c r="K21" s="210"/>
    </row>
    <row r="22" spans="1:11" ht="6" customHeight="1" x14ac:dyDescent="0.25">
      <c r="A22" s="219"/>
      <c r="B22" s="210"/>
      <c r="C22" s="210"/>
      <c r="D22" s="210"/>
      <c r="E22" s="210"/>
      <c r="F22" s="210"/>
      <c r="G22" s="210"/>
      <c r="H22" s="210"/>
      <c r="I22" s="210"/>
      <c r="J22" s="210"/>
      <c r="K22" s="215"/>
    </row>
    <row r="23" spans="1:11" ht="18" customHeight="1" x14ac:dyDescent="0.25">
      <c r="A23" s="213" t="s">
        <v>463</v>
      </c>
      <c r="B23" s="220"/>
      <c r="C23" s="220"/>
      <c r="D23" s="220"/>
      <c r="E23" s="220"/>
      <c r="F23" s="220"/>
      <c r="G23" s="220"/>
      <c r="H23" s="220"/>
      <c r="I23" s="220"/>
      <c r="J23" s="218"/>
      <c r="K23" s="218"/>
    </row>
    <row r="24" spans="1:11" ht="15.75" customHeight="1" x14ac:dyDescent="0.25">
      <c r="A24" s="214" t="s">
        <v>297</v>
      </c>
      <c r="B24" s="214" t="s">
        <v>418</v>
      </c>
      <c r="C24" s="214"/>
      <c r="D24" s="214" t="s">
        <v>464</v>
      </c>
      <c r="E24" s="214" t="s">
        <v>136</v>
      </c>
      <c r="F24" s="214" t="s">
        <v>465</v>
      </c>
      <c r="G24" s="214" t="s">
        <v>466</v>
      </c>
      <c r="H24" s="214" t="s">
        <v>421</v>
      </c>
      <c r="I24" s="214"/>
      <c r="J24" s="218"/>
      <c r="K24" s="218"/>
    </row>
    <row r="25" spans="1:11" ht="15" customHeight="1" x14ac:dyDescent="0.25">
      <c r="A25" s="221" t="s">
        <v>467</v>
      </c>
      <c r="B25" s="222" t="s">
        <v>468</v>
      </c>
      <c r="C25" s="222"/>
      <c r="D25" s="222" t="s">
        <v>469</v>
      </c>
      <c r="E25" s="221">
        <v>177</v>
      </c>
      <c r="F25" s="221" t="s">
        <v>470</v>
      </c>
      <c r="G25" s="222" t="s">
        <v>471</v>
      </c>
      <c r="H25" s="221" t="s">
        <v>442</v>
      </c>
      <c r="I25" s="221"/>
      <c r="J25" s="218"/>
      <c r="K25" s="218"/>
    </row>
    <row r="26" spans="1:11" ht="15" customHeight="1" x14ac:dyDescent="0.25">
      <c r="A26" s="216">
        <v>6312</v>
      </c>
      <c r="B26" s="217" t="s">
        <v>56</v>
      </c>
      <c r="C26" s="217"/>
      <c r="D26" s="217" t="s">
        <v>186</v>
      </c>
      <c r="E26" s="216">
        <v>578</v>
      </c>
      <c r="F26" s="216" t="s">
        <v>472</v>
      </c>
      <c r="G26" s="217" t="s">
        <v>473</v>
      </c>
      <c r="H26" s="216" t="s">
        <v>424</v>
      </c>
      <c r="I26" s="216"/>
      <c r="J26" s="218"/>
      <c r="K26" s="218"/>
    </row>
    <row r="27" spans="1:11" ht="15" customHeight="1" x14ac:dyDescent="0.25">
      <c r="A27" s="216">
        <v>6338</v>
      </c>
      <c r="B27" s="217" t="s">
        <v>46</v>
      </c>
      <c r="C27" s="217"/>
      <c r="D27" s="217" t="s">
        <v>186</v>
      </c>
      <c r="E27" s="216" t="s">
        <v>474</v>
      </c>
      <c r="F27" s="216" t="s">
        <v>475</v>
      </c>
      <c r="G27" s="217" t="s">
        <v>476</v>
      </c>
      <c r="H27" s="216" t="s">
        <v>424</v>
      </c>
      <c r="I27" s="216"/>
      <c r="J27" s="218"/>
      <c r="K27" s="218"/>
    </row>
    <row r="28" spans="1:11" ht="15" customHeight="1" x14ac:dyDescent="0.25">
      <c r="A28" s="216">
        <v>5814</v>
      </c>
      <c r="B28" s="217" t="s">
        <v>52</v>
      </c>
      <c r="C28" s="217"/>
      <c r="D28" s="217" t="s">
        <v>210</v>
      </c>
      <c r="E28" s="216" t="s">
        <v>474</v>
      </c>
      <c r="F28" s="216" t="s">
        <v>475</v>
      </c>
      <c r="G28" s="217" t="s">
        <v>477</v>
      </c>
      <c r="H28" s="216" t="s">
        <v>424</v>
      </c>
      <c r="I28" s="216"/>
      <c r="J28" s="218"/>
      <c r="K28" s="218"/>
    </row>
    <row r="29" spans="1:11" ht="15" customHeight="1" x14ac:dyDescent="0.25">
      <c r="A29" s="223">
        <v>6312</v>
      </c>
      <c r="B29" s="224" t="s">
        <v>56</v>
      </c>
      <c r="C29" s="224"/>
      <c r="D29" s="224" t="s">
        <v>181</v>
      </c>
      <c r="E29" s="223">
        <v>186</v>
      </c>
      <c r="F29" s="223" t="s">
        <v>478</v>
      </c>
      <c r="G29" s="224" t="s">
        <v>479</v>
      </c>
      <c r="H29" s="223" t="s">
        <v>461</v>
      </c>
      <c r="I29" s="223"/>
      <c r="J29" s="210"/>
      <c r="K29" s="210"/>
    </row>
    <row r="30" spans="1:11" ht="15" customHeight="1" x14ac:dyDescent="0.25">
      <c r="A30" s="223">
        <v>6077</v>
      </c>
      <c r="B30" s="224" t="s">
        <v>480</v>
      </c>
      <c r="C30" s="224"/>
      <c r="D30" s="224" t="s">
        <v>181</v>
      </c>
      <c r="E30" s="223">
        <v>186</v>
      </c>
      <c r="F30" s="223" t="s">
        <v>478</v>
      </c>
      <c r="G30" s="224" t="s">
        <v>481</v>
      </c>
      <c r="H30" s="223" t="s">
        <v>461</v>
      </c>
      <c r="I30" s="223"/>
      <c r="J30" s="210"/>
      <c r="K30" s="210"/>
    </row>
    <row r="31" spans="1:11" ht="15" customHeight="1" x14ac:dyDescent="0.25">
      <c r="A31" s="223">
        <v>6530</v>
      </c>
      <c r="B31" s="224" t="s">
        <v>66</v>
      </c>
      <c r="C31" s="224"/>
      <c r="D31" s="224" t="s">
        <v>181</v>
      </c>
      <c r="E31" s="223">
        <v>186</v>
      </c>
      <c r="F31" s="223" t="s">
        <v>478</v>
      </c>
      <c r="G31" s="224" t="s">
        <v>482</v>
      </c>
      <c r="H31" s="223" t="s">
        <v>461</v>
      </c>
      <c r="I31" s="223"/>
      <c r="J31" s="215"/>
      <c r="K31" s="215"/>
    </row>
    <row r="32" spans="1:11" ht="15" customHeight="1" x14ac:dyDescent="0.25">
      <c r="A32" s="223">
        <v>6531</v>
      </c>
      <c r="B32" s="224" t="s">
        <v>67</v>
      </c>
      <c r="C32" s="224"/>
      <c r="D32" s="224" t="s">
        <v>181</v>
      </c>
      <c r="E32" s="223">
        <v>186</v>
      </c>
      <c r="F32" s="223" t="s">
        <v>478</v>
      </c>
      <c r="G32" s="224" t="s">
        <v>483</v>
      </c>
      <c r="H32" s="223" t="s">
        <v>461</v>
      </c>
      <c r="I32" s="223"/>
      <c r="J32" s="218"/>
      <c r="K32" s="218"/>
    </row>
    <row r="33" spans="1:11" ht="6" customHeight="1" x14ac:dyDescent="0.25">
      <c r="A33" s="219"/>
      <c r="B33" s="210"/>
      <c r="C33" s="210"/>
      <c r="D33" s="210"/>
      <c r="E33" s="210"/>
      <c r="F33" s="210"/>
      <c r="G33" s="210"/>
      <c r="H33" s="210"/>
      <c r="I33" s="210"/>
      <c r="J33" s="210"/>
      <c r="K33" s="218"/>
    </row>
    <row r="34" spans="1:11" ht="18" customHeight="1" x14ac:dyDescent="0.25">
      <c r="A34" s="213" t="s">
        <v>484</v>
      </c>
      <c r="B34" s="209"/>
      <c r="C34" s="209"/>
      <c r="D34" s="209"/>
      <c r="E34" s="209"/>
      <c r="F34" s="209"/>
      <c r="G34" s="209"/>
      <c r="H34" s="209"/>
      <c r="I34" s="209"/>
      <c r="J34" s="210"/>
      <c r="K34" s="218"/>
    </row>
    <row r="35" spans="1:11" ht="15.75" customHeight="1" x14ac:dyDescent="0.25">
      <c r="A35" s="214" t="s">
        <v>297</v>
      </c>
      <c r="B35" s="214" t="s">
        <v>417</v>
      </c>
      <c r="C35" s="214" t="s">
        <v>418</v>
      </c>
      <c r="D35" s="214" t="s">
        <v>436</v>
      </c>
      <c r="E35" s="214" t="s">
        <v>485</v>
      </c>
      <c r="F35" s="214" t="s">
        <v>486</v>
      </c>
      <c r="G35" s="214" t="s">
        <v>487</v>
      </c>
      <c r="H35" s="214" t="s">
        <v>488</v>
      </c>
      <c r="I35" s="214" t="s">
        <v>465</v>
      </c>
      <c r="J35" s="214"/>
      <c r="K35" s="225"/>
    </row>
    <row r="36" spans="1:11" ht="15" customHeight="1" x14ac:dyDescent="0.25">
      <c r="A36" s="226">
        <v>6337</v>
      </c>
      <c r="B36" s="226">
        <v>166</v>
      </c>
      <c r="C36" s="227" t="s">
        <v>489</v>
      </c>
      <c r="D36" s="227" t="s">
        <v>169</v>
      </c>
      <c r="E36" s="226">
        <v>170</v>
      </c>
      <c r="F36" s="227" t="s">
        <v>170</v>
      </c>
      <c r="G36" s="226">
        <v>3595</v>
      </c>
      <c r="H36" s="227" t="s">
        <v>311</v>
      </c>
      <c r="I36" s="226" t="s">
        <v>490</v>
      </c>
      <c r="J36" s="226"/>
      <c r="K36" s="218"/>
    </row>
    <row r="37" spans="1:11" ht="15" customHeight="1" x14ac:dyDescent="0.25">
      <c r="A37" s="228">
        <v>6337</v>
      </c>
      <c r="B37" s="228">
        <v>166</v>
      </c>
      <c r="C37" s="229" t="s">
        <v>489</v>
      </c>
      <c r="D37" s="229" t="s">
        <v>162</v>
      </c>
      <c r="E37" s="228">
        <v>1065</v>
      </c>
      <c r="F37" s="229" t="s">
        <v>167</v>
      </c>
      <c r="G37" s="228">
        <v>4155</v>
      </c>
      <c r="H37" s="229" t="s">
        <v>168</v>
      </c>
      <c r="I37" s="228" t="s">
        <v>459</v>
      </c>
      <c r="J37" s="228"/>
      <c r="K37" s="218"/>
    </row>
    <row r="38" spans="1:11" ht="15" customHeight="1" x14ac:dyDescent="0.25">
      <c r="A38" s="226">
        <v>6338</v>
      </c>
      <c r="B38" s="226">
        <v>167</v>
      </c>
      <c r="C38" s="227" t="s">
        <v>46</v>
      </c>
      <c r="D38" s="227" t="s">
        <v>169</v>
      </c>
      <c r="E38" s="226">
        <v>170</v>
      </c>
      <c r="F38" s="227" t="s">
        <v>170</v>
      </c>
      <c r="G38" s="226">
        <v>3595</v>
      </c>
      <c r="H38" s="227" t="s">
        <v>311</v>
      </c>
      <c r="I38" s="226" t="s">
        <v>491</v>
      </c>
      <c r="J38" s="226"/>
      <c r="K38" s="218"/>
    </row>
    <row r="39" spans="1:11" ht="15" customHeight="1" x14ac:dyDescent="0.25">
      <c r="A39" s="228">
        <v>6338</v>
      </c>
      <c r="B39" s="228">
        <v>167</v>
      </c>
      <c r="C39" s="229" t="s">
        <v>46</v>
      </c>
      <c r="D39" s="229" t="s">
        <v>162</v>
      </c>
      <c r="E39" s="228">
        <v>184</v>
      </c>
      <c r="F39" s="229" t="s">
        <v>163</v>
      </c>
      <c r="G39" s="228">
        <v>185</v>
      </c>
      <c r="H39" s="229" t="s">
        <v>164</v>
      </c>
      <c r="I39" s="228" t="s">
        <v>492</v>
      </c>
      <c r="J39" s="228"/>
      <c r="K39" s="218"/>
    </row>
    <row r="40" spans="1:11" ht="15" customHeight="1" x14ac:dyDescent="0.25">
      <c r="A40" s="226">
        <v>6312</v>
      </c>
      <c r="B40" s="226">
        <v>157</v>
      </c>
      <c r="C40" s="227" t="s">
        <v>493</v>
      </c>
      <c r="D40" s="227" t="s">
        <v>169</v>
      </c>
      <c r="E40" s="226">
        <v>170</v>
      </c>
      <c r="F40" s="227" t="s">
        <v>170</v>
      </c>
      <c r="G40" s="226">
        <v>3595</v>
      </c>
      <c r="H40" s="227" t="s">
        <v>311</v>
      </c>
      <c r="I40" s="226" t="s">
        <v>490</v>
      </c>
      <c r="J40" s="226"/>
      <c r="K40" s="210"/>
    </row>
    <row r="41" spans="1:11" ht="15" customHeight="1" x14ac:dyDescent="0.25">
      <c r="A41" s="228">
        <v>6312</v>
      </c>
      <c r="B41" s="228">
        <v>157</v>
      </c>
      <c r="C41" s="229" t="s">
        <v>493</v>
      </c>
      <c r="D41" s="229" t="s">
        <v>162</v>
      </c>
      <c r="E41" s="228">
        <v>1065</v>
      </c>
      <c r="F41" s="229" t="s">
        <v>167</v>
      </c>
      <c r="G41" s="228">
        <v>4155</v>
      </c>
      <c r="H41" s="229" t="s">
        <v>168</v>
      </c>
      <c r="I41" s="228" t="s">
        <v>459</v>
      </c>
      <c r="J41" s="228"/>
      <c r="K41" s="210"/>
    </row>
    <row r="42" spans="1:11" ht="15" customHeight="1" x14ac:dyDescent="0.25">
      <c r="A42" s="226">
        <v>6228</v>
      </c>
      <c r="B42" s="226">
        <v>150</v>
      </c>
      <c r="C42" s="227" t="s">
        <v>494</v>
      </c>
      <c r="D42" s="227" t="s">
        <v>169</v>
      </c>
      <c r="E42" s="226">
        <v>170</v>
      </c>
      <c r="F42" s="227" t="s">
        <v>170</v>
      </c>
      <c r="G42" s="226">
        <v>3595</v>
      </c>
      <c r="H42" s="227" t="s">
        <v>311</v>
      </c>
      <c r="I42" s="226" t="s">
        <v>495</v>
      </c>
      <c r="J42" s="226"/>
      <c r="K42" s="215"/>
    </row>
    <row r="43" spans="1:11" ht="15" customHeight="1" x14ac:dyDescent="0.25">
      <c r="A43" s="228">
        <v>5782</v>
      </c>
      <c r="B43" s="228">
        <v>70</v>
      </c>
      <c r="C43" s="229" t="s">
        <v>60</v>
      </c>
      <c r="D43" s="229" t="s">
        <v>169</v>
      </c>
      <c r="E43" s="228">
        <v>170</v>
      </c>
      <c r="F43" s="229" t="s">
        <v>170</v>
      </c>
      <c r="G43" s="228">
        <v>3595</v>
      </c>
      <c r="H43" s="229" t="s">
        <v>311</v>
      </c>
      <c r="I43" s="228" t="s">
        <v>446</v>
      </c>
      <c r="J43" s="228"/>
      <c r="K43" s="218"/>
    </row>
    <row r="44" spans="1:11" ht="15" customHeight="1" x14ac:dyDescent="0.25">
      <c r="A44" s="226">
        <v>5782</v>
      </c>
      <c r="B44" s="226">
        <v>70</v>
      </c>
      <c r="C44" s="227" t="s">
        <v>60</v>
      </c>
      <c r="D44" s="227" t="s">
        <v>162</v>
      </c>
      <c r="E44" s="226">
        <v>184</v>
      </c>
      <c r="F44" s="227" t="s">
        <v>163</v>
      </c>
      <c r="G44" s="226">
        <v>185</v>
      </c>
      <c r="H44" s="227" t="s">
        <v>164</v>
      </c>
      <c r="I44" s="226" t="s">
        <v>496</v>
      </c>
      <c r="J44" s="226"/>
      <c r="K44" s="218"/>
    </row>
    <row r="45" spans="1:11" ht="15" customHeight="1" x14ac:dyDescent="0.25">
      <c r="A45" s="228">
        <v>3447</v>
      </c>
      <c r="B45" s="228">
        <v>34</v>
      </c>
      <c r="C45" s="229" t="s">
        <v>39</v>
      </c>
      <c r="D45" s="229" t="s">
        <v>169</v>
      </c>
      <c r="E45" s="228">
        <v>4156</v>
      </c>
      <c r="F45" s="229" t="s">
        <v>175</v>
      </c>
      <c r="G45" s="228">
        <v>3595</v>
      </c>
      <c r="H45" s="229" t="s">
        <v>311</v>
      </c>
      <c r="I45" s="228" t="s">
        <v>497</v>
      </c>
      <c r="J45" s="228"/>
      <c r="K45" s="218"/>
    </row>
    <row r="46" spans="1:11" ht="15" customHeight="1" x14ac:dyDescent="0.25">
      <c r="A46" s="226">
        <v>3447</v>
      </c>
      <c r="B46" s="226">
        <v>34</v>
      </c>
      <c r="C46" s="227" t="s">
        <v>39</v>
      </c>
      <c r="D46" s="227" t="s">
        <v>186</v>
      </c>
      <c r="E46" s="226">
        <v>3866</v>
      </c>
      <c r="F46" s="227" t="s">
        <v>498</v>
      </c>
      <c r="G46" s="226">
        <v>68</v>
      </c>
      <c r="H46" s="227" t="s">
        <v>499</v>
      </c>
      <c r="I46" s="226" t="s">
        <v>472</v>
      </c>
      <c r="J46" s="226"/>
      <c r="K46" s="218"/>
    </row>
    <row r="47" spans="1:11" ht="15" customHeight="1" x14ac:dyDescent="0.25">
      <c r="A47" s="228">
        <v>3447</v>
      </c>
      <c r="B47" s="228">
        <v>34</v>
      </c>
      <c r="C47" s="229" t="s">
        <v>39</v>
      </c>
      <c r="D47" s="229" t="s">
        <v>162</v>
      </c>
      <c r="E47" s="228">
        <v>184</v>
      </c>
      <c r="F47" s="229" t="s">
        <v>163</v>
      </c>
      <c r="G47" s="228">
        <v>185</v>
      </c>
      <c r="H47" s="229" t="s">
        <v>164</v>
      </c>
      <c r="I47" s="228" t="s">
        <v>492</v>
      </c>
      <c r="J47" s="228"/>
      <c r="K47" s="218"/>
    </row>
    <row r="48" spans="1:11" ht="15" customHeight="1" x14ac:dyDescent="0.25">
      <c r="A48" s="226">
        <v>5732</v>
      </c>
      <c r="B48" s="226">
        <v>33</v>
      </c>
      <c r="C48" s="227" t="s">
        <v>454</v>
      </c>
      <c r="D48" s="227" t="s">
        <v>169</v>
      </c>
      <c r="E48" s="226">
        <v>4156</v>
      </c>
      <c r="F48" s="227" t="s">
        <v>175</v>
      </c>
      <c r="G48" s="226">
        <v>3595</v>
      </c>
      <c r="H48" s="227" t="s">
        <v>311</v>
      </c>
      <c r="I48" s="226" t="s">
        <v>500</v>
      </c>
      <c r="J48" s="226"/>
      <c r="K48" s="218"/>
    </row>
    <row r="49" spans="1:11" ht="15" customHeight="1" x14ac:dyDescent="0.25">
      <c r="A49" s="228">
        <v>5732</v>
      </c>
      <c r="B49" s="228">
        <v>33</v>
      </c>
      <c r="C49" s="229" t="s">
        <v>454</v>
      </c>
      <c r="D49" s="229" t="s">
        <v>186</v>
      </c>
      <c r="E49" s="228">
        <v>4044</v>
      </c>
      <c r="F49" s="229" t="s">
        <v>501</v>
      </c>
      <c r="G49" s="228">
        <v>6971</v>
      </c>
      <c r="H49" s="229" t="s">
        <v>502</v>
      </c>
      <c r="I49" s="228" t="s">
        <v>472</v>
      </c>
      <c r="J49" s="228"/>
      <c r="K49" s="210"/>
    </row>
    <row r="50" spans="1:11" ht="15" customHeight="1" x14ac:dyDescent="0.25">
      <c r="A50" s="226">
        <v>5732</v>
      </c>
      <c r="B50" s="226">
        <v>33</v>
      </c>
      <c r="C50" s="227" t="s">
        <v>454</v>
      </c>
      <c r="D50" s="227" t="s">
        <v>162</v>
      </c>
      <c r="E50" s="226">
        <v>184</v>
      </c>
      <c r="F50" s="227" t="s">
        <v>163</v>
      </c>
      <c r="G50" s="226">
        <v>185</v>
      </c>
      <c r="H50" s="227" t="s">
        <v>164</v>
      </c>
      <c r="I50" s="226" t="s">
        <v>503</v>
      </c>
      <c r="J50" s="226"/>
      <c r="K50" s="210"/>
    </row>
    <row r="51" spans="1:11" ht="15" customHeight="1" x14ac:dyDescent="0.25">
      <c r="A51" s="228">
        <v>5731</v>
      </c>
      <c r="B51" s="228">
        <v>32</v>
      </c>
      <c r="C51" s="229" t="s">
        <v>449</v>
      </c>
      <c r="D51" s="229" t="s">
        <v>169</v>
      </c>
      <c r="E51" s="228">
        <v>4156</v>
      </c>
      <c r="F51" s="229" t="s">
        <v>175</v>
      </c>
      <c r="G51" s="228">
        <v>3595</v>
      </c>
      <c r="H51" s="229" t="s">
        <v>311</v>
      </c>
      <c r="I51" s="228" t="s">
        <v>500</v>
      </c>
      <c r="J51" s="228"/>
      <c r="K51" s="210"/>
    </row>
    <row r="52" spans="1:11" ht="15" customHeight="1" x14ac:dyDescent="0.25">
      <c r="A52" s="226">
        <v>5731</v>
      </c>
      <c r="B52" s="226">
        <v>32</v>
      </c>
      <c r="C52" s="227" t="s">
        <v>449</v>
      </c>
      <c r="D52" s="227" t="s">
        <v>186</v>
      </c>
      <c r="E52" s="226">
        <v>4044</v>
      </c>
      <c r="F52" s="227" t="s">
        <v>501</v>
      </c>
      <c r="G52" s="226">
        <v>6971</v>
      </c>
      <c r="H52" s="227" t="s">
        <v>502</v>
      </c>
      <c r="I52" s="226" t="s">
        <v>472</v>
      </c>
      <c r="J52" s="226"/>
      <c r="K52" s="230"/>
    </row>
    <row r="53" spans="1:11" ht="15" customHeight="1" x14ac:dyDescent="0.25">
      <c r="A53" s="228">
        <v>5731</v>
      </c>
      <c r="B53" s="228">
        <v>32</v>
      </c>
      <c r="C53" s="229" t="s">
        <v>449</v>
      </c>
      <c r="D53" s="229" t="s">
        <v>162</v>
      </c>
      <c r="E53" s="228">
        <v>184</v>
      </c>
      <c r="F53" s="229" t="s">
        <v>163</v>
      </c>
      <c r="G53" s="228">
        <v>185</v>
      </c>
      <c r="H53" s="229" t="s">
        <v>164</v>
      </c>
      <c r="I53" s="228" t="s">
        <v>503</v>
      </c>
      <c r="J53" s="228"/>
      <c r="K53" s="231"/>
    </row>
    <row r="54" spans="1:11" ht="15" customHeight="1" x14ac:dyDescent="0.25">
      <c r="A54" s="226">
        <v>6532</v>
      </c>
      <c r="B54" s="226">
        <v>181</v>
      </c>
      <c r="C54" s="227" t="s">
        <v>43</v>
      </c>
      <c r="D54" s="227" t="s">
        <v>169</v>
      </c>
      <c r="E54" s="226">
        <v>170</v>
      </c>
      <c r="F54" s="227" t="s">
        <v>170</v>
      </c>
      <c r="G54" s="226">
        <v>3595</v>
      </c>
      <c r="H54" s="227" t="s">
        <v>311</v>
      </c>
      <c r="I54" s="226" t="s">
        <v>495</v>
      </c>
      <c r="J54" s="226"/>
      <c r="K54" s="231"/>
    </row>
    <row r="55" spans="1:11" ht="15" customHeight="1" x14ac:dyDescent="0.25">
      <c r="A55" s="228">
        <v>6532</v>
      </c>
      <c r="B55" s="228">
        <v>181</v>
      </c>
      <c r="C55" s="229" t="s">
        <v>43</v>
      </c>
      <c r="D55" s="229" t="s">
        <v>162</v>
      </c>
      <c r="E55" s="228">
        <v>184</v>
      </c>
      <c r="F55" s="229" t="s">
        <v>163</v>
      </c>
      <c r="G55" s="228">
        <v>185</v>
      </c>
      <c r="H55" s="229" t="s">
        <v>164</v>
      </c>
      <c r="I55" s="228" t="s">
        <v>504</v>
      </c>
      <c r="J55" s="228"/>
      <c r="K55" s="231"/>
    </row>
    <row r="56" spans="1:11" ht="15" customHeight="1" x14ac:dyDescent="0.25">
      <c r="A56" s="226">
        <v>3726</v>
      </c>
      <c r="B56" s="226">
        <v>9</v>
      </c>
      <c r="C56" s="227" t="s">
        <v>40</v>
      </c>
      <c r="D56" s="227" t="s">
        <v>169</v>
      </c>
      <c r="E56" s="226">
        <v>170</v>
      </c>
      <c r="F56" s="227" t="s">
        <v>170</v>
      </c>
      <c r="G56" s="226">
        <v>3595</v>
      </c>
      <c r="H56" s="227" t="s">
        <v>311</v>
      </c>
      <c r="I56" s="226" t="s">
        <v>495</v>
      </c>
      <c r="J56" s="226"/>
      <c r="K56" s="231"/>
    </row>
    <row r="57" spans="1:11" ht="15" customHeight="1" x14ac:dyDescent="0.25">
      <c r="A57" s="228">
        <v>3726</v>
      </c>
      <c r="B57" s="228">
        <v>9</v>
      </c>
      <c r="C57" s="229" t="s">
        <v>40</v>
      </c>
      <c r="D57" s="229" t="s">
        <v>162</v>
      </c>
      <c r="E57" s="228">
        <v>184</v>
      </c>
      <c r="F57" s="229" t="s">
        <v>163</v>
      </c>
      <c r="G57" s="228">
        <v>185</v>
      </c>
      <c r="H57" s="229" t="s">
        <v>164</v>
      </c>
      <c r="I57" s="228" t="s">
        <v>504</v>
      </c>
      <c r="J57" s="228"/>
      <c r="K57" s="231"/>
    </row>
    <row r="58" spans="1:11" ht="15" customHeight="1" x14ac:dyDescent="0.25">
      <c r="A58" s="226">
        <v>6077</v>
      </c>
      <c r="B58" s="226">
        <v>138</v>
      </c>
      <c r="C58" s="227" t="s">
        <v>480</v>
      </c>
      <c r="D58" s="227" t="s">
        <v>169</v>
      </c>
      <c r="E58" s="226">
        <v>170</v>
      </c>
      <c r="F58" s="227" t="s">
        <v>170</v>
      </c>
      <c r="G58" s="226">
        <v>3595</v>
      </c>
      <c r="H58" s="227" t="s">
        <v>311</v>
      </c>
      <c r="I58" s="226" t="s">
        <v>505</v>
      </c>
      <c r="J58" s="226"/>
      <c r="K58" s="231"/>
    </row>
    <row r="59" spans="1:11" ht="15" customHeight="1" x14ac:dyDescent="0.25">
      <c r="A59" s="228">
        <v>5814</v>
      </c>
      <c r="B59" s="228">
        <v>95</v>
      </c>
      <c r="C59" s="229" t="s">
        <v>52</v>
      </c>
      <c r="D59" s="229" t="s">
        <v>169</v>
      </c>
      <c r="E59" s="228">
        <v>170</v>
      </c>
      <c r="F59" s="229" t="s">
        <v>170</v>
      </c>
      <c r="G59" s="228">
        <v>3595</v>
      </c>
      <c r="H59" s="229" t="s">
        <v>311</v>
      </c>
      <c r="I59" s="228" t="s">
        <v>506</v>
      </c>
      <c r="J59" s="228"/>
      <c r="K59" s="231"/>
    </row>
    <row r="60" spans="1:11" ht="15" customHeight="1" x14ac:dyDescent="0.25">
      <c r="A60" s="226">
        <v>5814</v>
      </c>
      <c r="B60" s="226">
        <v>95</v>
      </c>
      <c r="C60" s="227" t="s">
        <v>52</v>
      </c>
      <c r="D60" s="227" t="s">
        <v>162</v>
      </c>
      <c r="E60" s="226">
        <v>1065</v>
      </c>
      <c r="F60" s="227" t="s">
        <v>167</v>
      </c>
      <c r="G60" s="226">
        <v>4155</v>
      </c>
      <c r="H60" s="227" t="s">
        <v>168</v>
      </c>
      <c r="I60" s="226" t="s">
        <v>507</v>
      </c>
      <c r="J60" s="226"/>
      <c r="K60" s="231"/>
    </row>
    <row r="61" spans="1:11" ht="15" customHeight="1" x14ac:dyDescent="0.25">
      <c r="A61" s="228">
        <v>9002</v>
      </c>
      <c r="B61" s="228">
        <v>901</v>
      </c>
      <c r="C61" s="229" t="s">
        <v>53</v>
      </c>
      <c r="D61" s="229" t="s">
        <v>169</v>
      </c>
      <c r="E61" s="228">
        <v>170</v>
      </c>
      <c r="F61" s="229" t="s">
        <v>170</v>
      </c>
      <c r="G61" s="228">
        <v>3595</v>
      </c>
      <c r="H61" s="229" t="s">
        <v>311</v>
      </c>
      <c r="I61" s="228" t="s">
        <v>490</v>
      </c>
      <c r="J61" s="228"/>
      <c r="K61" s="231"/>
    </row>
    <row r="62" spans="1:11" ht="15" customHeight="1" x14ac:dyDescent="0.25">
      <c r="A62" s="226">
        <v>9002</v>
      </c>
      <c r="B62" s="226">
        <v>901</v>
      </c>
      <c r="C62" s="227" t="s">
        <v>53</v>
      </c>
      <c r="D62" s="227" t="s">
        <v>162</v>
      </c>
      <c r="E62" s="226">
        <v>1065</v>
      </c>
      <c r="F62" s="227" t="s">
        <v>167</v>
      </c>
      <c r="G62" s="226">
        <v>4155</v>
      </c>
      <c r="H62" s="227" t="s">
        <v>168</v>
      </c>
      <c r="I62" s="226" t="s">
        <v>459</v>
      </c>
      <c r="J62" s="226"/>
      <c r="K62" s="231"/>
    </row>
    <row r="63" spans="1:11" ht="15" customHeight="1" x14ac:dyDescent="0.25">
      <c r="A63" s="228">
        <v>9002</v>
      </c>
      <c r="B63" s="228">
        <v>901</v>
      </c>
      <c r="C63" s="229" t="s">
        <v>53</v>
      </c>
      <c r="D63" s="229" t="s">
        <v>210</v>
      </c>
      <c r="E63" s="228">
        <v>3988</v>
      </c>
      <c r="F63" s="229" t="s">
        <v>341</v>
      </c>
      <c r="G63" s="228">
        <v>3598</v>
      </c>
      <c r="H63" s="229" t="s">
        <v>216</v>
      </c>
      <c r="I63" s="228" t="s">
        <v>508</v>
      </c>
      <c r="J63" s="228"/>
      <c r="K63" s="231"/>
    </row>
    <row r="64" spans="1:11" ht="6" customHeight="1" x14ac:dyDescent="0.25">
      <c r="A64" s="230"/>
      <c r="B64" s="210"/>
      <c r="C64" s="210"/>
      <c r="D64" s="210"/>
      <c r="E64" s="210"/>
      <c r="F64" s="210"/>
      <c r="G64" s="210"/>
      <c r="H64" s="210"/>
      <c r="I64" s="210"/>
      <c r="J64" s="231"/>
      <c r="K64" s="231"/>
    </row>
    <row r="65" spans="1:11" ht="18" customHeight="1" x14ac:dyDescent="0.25">
      <c r="A65" s="213" t="s">
        <v>509</v>
      </c>
      <c r="B65" s="209"/>
      <c r="C65" s="209"/>
      <c r="D65" s="209"/>
      <c r="E65" s="209"/>
      <c r="F65" s="209"/>
      <c r="G65" s="209"/>
      <c r="H65" s="209"/>
      <c r="I65" s="209"/>
      <c r="J65" s="210"/>
      <c r="K65" s="210"/>
    </row>
    <row r="66" spans="1:11" ht="15.75" customHeight="1" x14ac:dyDescent="0.25">
      <c r="A66" s="214" t="s">
        <v>100</v>
      </c>
      <c r="B66" s="214" t="s">
        <v>510</v>
      </c>
      <c r="C66" s="214" t="s">
        <v>511</v>
      </c>
      <c r="D66" s="214" t="s">
        <v>512</v>
      </c>
      <c r="E66" s="214" t="s">
        <v>513</v>
      </c>
      <c r="F66" s="214" t="s">
        <v>143</v>
      </c>
      <c r="G66" s="214" t="s">
        <v>421</v>
      </c>
      <c r="H66" s="232"/>
      <c r="I66" s="232"/>
      <c r="J66" s="210"/>
      <c r="K66" s="210"/>
    </row>
    <row r="67" spans="1:11" ht="18" customHeight="1" x14ac:dyDescent="0.25">
      <c r="A67" s="217" t="s">
        <v>514</v>
      </c>
      <c r="B67" s="217" t="s">
        <v>515</v>
      </c>
      <c r="C67" s="217" t="s">
        <v>516</v>
      </c>
      <c r="D67" s="217" t="s">
        <v>517</v>
      </c>
      <c r="E67" s="217" t="s">
        <v>518</v>
      </c>
      <c r="F67" s="217" t="s">
        <v>425</v>
      </c>
      <c r="G67" s="216" t="s">
        <v>424</v>
      </c>
      <c r="H67" s="233"/>
      <c r="I67" s="233"/>
      <c r="J67" s="210"/>
      <c r="K67" s="210"/>
    </row>
    <row r="68" spans="1:11" ht="18" customHeight="1" x14ac:dyDescent="0.25">
      <c r="A68" s="229" t="s">
        <v>519</v>
      </c>
      <c r="B68" s="229" t="s">
        <v>520</v>
      </c>
      <c r="C68" s="229" t="s">
        <v>521</v>
      </c>
      <c r="D68" s="229" t="s">
        <v>522</v>
      </c>
      <c r="E68" s="229" t="s">
        <v>523</v>
      </c>
      <c r="F68" s="229" t="s">
        <v>524</v>
      </c>
      <c r="G68" s="228" t="s">
        <v>525</v>
      </c>
      <c r="H68" s="233"/>
      <c r="I68" s="233"/>
      <c r="J68" s="210"/>
      <c r="K68" s="210"/>
    </row>
    <row r="69" spans="1:11" ht="18" customHeight="1" x14ac:dyDescent="0.25">
      <c r="A69" s="224" t="s">
        <v>526</v>
      </c>
      <c r="B69" s="224" t="s">
        <v>527</v>
      </c>
      <c r="C69" s="224" t="s">
        <v>528</v>
      </c>
      <c r="D69" s="224" t="s">
        <v>529</v>
      </c>
      <c r="E69" s="224" t="s">
        <v>530</v>
      </c>
      <c r="F69" s="224" t="s">
        <v>531</v>
      </c>
      <c r="G69" s="223" t="s">
        <v>461</v>
      </c>
      <c r="H69" s="233"/>
      <c r="I69" s="233"/>
      <c r="J69" s="210"/>
      <c r="K69" s="210"/>
    </row>
    <row r="70" spans="1:11" ht="18" customHeight="1" x14ac:dyDescent="0.25">
      <c r="A70" s="224" t="s">
        <v>532</v>
      </c>
      <c r="B70" s="224" t="s">
        <v>533</v>
      </c>
      <c r="C70" s="224" t="s">
        <v>534</v>
      </c>
      <c r="D70" s="224" t="s">
        <v>426</v>
      </c>
      <c r="E70" s="224" t="s">
        <v>535</v>
      </c>
      <c r="F70" s="224" t="s">
        <v>531</v>
      </c>
      <c r="G70" s="223" t="s">
        <v>461</v>
      </c>
      <c r="H70" s="233"/>
      <c r="I70" s="233"/>
      <c r="J70" s="210"/>
      <c r="K70" s="210"/>
    </row>
    <row r="71" spans="1:11" ht="18" customHeight="1" x14ac:dyDescent="0.25">
      <c r="A71" s="224" t="s">
        <v>536</v>
      </c>
      <c r="B71" s="224" t="s">
        <v>537</v>
      </c>
      <c r="C71" s="224" t="s">
        <v>538</v>
      </c>
      <c r="D71" s="224" t="s">
        <v>539</v>
      </c>
      <c r="E71" s="224" t="s">
        <v>540</v>
      </c>
      <c r="F71" s="224" t="s">
        <v>541</v>
      </c>
      <c r="G71" s="223" t="s">
        <v>461</v>
      </c>
      <c r="H71" s="210"/>
      <c r="I71" s="210"/>
      <c r="J71" s="210"/>
      <c r="K71" s="210"/>
    </row>
    <row r="72" spans="1:11" ht="18" customHeight="1" x14ac:dyDescent="0.25">
      <c r="A72" s="222" t="s">
        <v>542</v>
      </c>
      <c r="B72" s="222" t="s">
        <v>543</v>
      </c>
      <c r="C72" s="222" t="s">
        <v>544</v>
      </c>
      <c r="D72" s="222" t="s">
        <v>426</v>
      </c>
      <c r="E72" s="222" t="s">
        <v>545</v>
      </c>
      <c r="F72" s="222" t="s">
        <v>425</v>
      </c>
      <c r="G72" s="221" t="s">
        <v>442</v>
      </c>
      <c r="H72" s="210"/>
      <c r="I72" s="210"/>
      <c r="J72" s="210"/>
      <c r="K72" s="210"/>
    </row>
    <row r="73" spans="1:11" ht="18" customHeight="1" x14ac:dyDescent="0.25">
      <c r="A73" s="224" t="s">
        <v>546</v>
      </c>
      <c r="B73" s="224" t="s">
        <v>547</v>
      </c>
      <c r="C73" s="224" t="s">
        <v>548</v>
      </c>
      <c r="D73" s="224" t="s">
        <v>426</v>
      </c>
      <c r="E73" s="224" t="s">
        <v>549</v>
      </c>
      <c r="F73" s="224" t="s">
        <v>541</v>
      </c>
      <c r="G73" s="223" t="s">
        <v>461</v>
      </c>
      <c r="H73" s="210"/>
      <c r="I73" s="210"/>
      <c r="J73" s="210"/>
      <c r="K73" s="210"/>
    </row>
    <row r="74" spans="1:11" ht="6" customHeight="1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</row>
    <row r="75" spans="1:11" ht="18" customHeight="1" x14ac:dyDescent="0.25">
      <c r="A75" s="213" t="s">
        <v>550</v>
      </c>
      <c r="B75" s="209"/>
      <c r="C75" s="209"/>
      <c r="D75" s="209"/>
      <c r="E75" s="209"/>
      <c r="F75" s="209"/>
      <c r="G75" s="209"/>
      <c r="H75" s="209"/>
      <c r="I75" s="209"/>
      <c r="J75" s="210"/>
      <c r="K75" s="210"/>
    </row>
    <row r="76" spans="1:11" ht="15.75" customHeight="1" x14ac:dyDescent="0.25">
      <c r="A76" s="214" t="s">
        <v>136</v>
      </c>
      <c r="B76" s="214" t="s">
        <v>551</v>
      </c>
      <c r="C76" s="214"/>
      <c r="D76" s="214" t="s">
        <v>552</v>
      </c>
      <c r="E76" s="214" t="s">
        <v>553</v>
      </c>
      <c r="F76" s="214"/>
      <c r="G76" s="214"/>
      <c r="H76" s="214" t="s">
        <v>421</v>
      </c>
      <c r="I76" s="214"/>
      <c r="J76" s="210"/>
      <c r="K76" s="210"/>
    </row>
    <row r="77" spans="1:11" ht="15" customHeight="1" x14ac:dyDescent="0.25">
      <c r="A77" s="216">
        <v>4155</v>
      </c>
      <c r="B77" s="217" t="s">
        <v>373</v>
      </c>
      <c r="C77" s="216" t="s">
        <v>554</v>
      </c>
      <c r="D77" s="217" t="s">
        <v>168</v>
      </c>
      <c r="E77" s="217" t="s">
        <v>555</v>
      </c>
      <c r="F77" s="217"/>
      <c r="G77" s="217"/>
      <c r="H77" s="216" t="s">
        <v>424</v>
      </c>
      <c r="I77" s="216"/>
      <c r="J77" s="210"/>
      <c r="K77" s="210"/>
    </row>
    <row r="78" spans="1:11" ht="15" customHeight="1" x14ac:dyDescent="0.25">
      <c r="A78" s="223">
        <v>1065</v>
      </c>
      <c r="B78" s="224" t="s">
        <v>355</v>
      </c>
      <c r="C78" s="223" t="s">
        <v>554</v>
      </c>
      <c r="D78" s="224" t="s">
        <v>167</v>
      </c>
      <c r="E78" s="224" t="s">
        <v>556</v>
      </c>
      <c r="F78" s="224"/>
      <c r="G78" s="224"/>
      <c r="H78" s="223" t="s">
        <v>461</v>
      </c>
      <c r="I78" s="223"/>
      <c r="J78" s="210"/>
      <c r="K78" s="210"/>
    </row>
    <row r="79" spans="1:11" ht="15" customHeight="1" x14ac:dyDescent="0.25">
      <c r="A79" s="223">
        <v>184</v>
      </c>
      <c r="B79" s="224" t="s">
        <v>357</v>
      </c>
      <c r="C79" s="223" t="s">
        <v>554</v>
      </c>
      <c r="D79" s="224" t="s">
        <v>163</v>
      </c>
      <c r="E79" s="224" t="s">
        <v>557</v>
      </c>
      <c r="F79" s="224"/>
      <c r="G79" s="224"/>
      <c r="H79" s="223" t="s">
        <v>461</v>
      </c>
      <c r="I79" s="223"/>
      <c r="J79" s="210"/>
      <c r="K79" s="210"/>
    </row>
    <row r="80" spans="1:11" ht="6" customHeight="1" x14ac:dyDescent="0.25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</row>
    <row r="81" spans="1:11" ht="18" customHeight="1" x14ac:dyDescent="0.25">
      <c r="A81" s="213" t="s">
        <v>558</v>
      </c>
      <c r="B81" s="209"/>
      <c r="C81" s="209"/>
      <c r="D81" s="209"/>
      <c r="E81" s="209"/>
      <c r="F81" s="209"/>
      <c r="G81" s="209"/>
      <c r="H81" s="209"/>
      <c r="I81" s="209"/>
      <c r="J81" s="210"/>
      <c r="K81" s="210"/>
    </row>
    <row r="82" spans="1:11" ht="15.75" customHeight="1" x14ac:dyDescent="0.25">
      <c r="A82" s="214" t="s">
        <v>297</v>
      </c>
      <c r="B82" s="214" t="s">
        <v>417</v>
      </c>
      <c r="C82" s="214" t="s">
        <v>418</v>
      </c>
      <c r="D82" s="214" t="s">
        <v>559</v>
      </c>
      <c r="E82" s="214" t="s">
        <v>560</v>
      </c>
      <c r="F82" s="214" t="s">
        <v>420</v>
      </c>
      <c r="G82" s="214"/>
      <c r="H82" s="214" t="s">
        <v>421</v>
      </c>
      <c r="I82" s="214"/>
      <c r="J82" s="210"/>
      <c r="K82" s="210"/>
    </row>
    <row r="83" spans="1:11" ht="15" customHeight="1" x14ac:dyDescent="0.25">
      <c r="A83" s="216">
        <v>6337</v>
      </c>
      <c r="B83" s="216">
        <v>166</v>
      </c>
      <c r="C83" s="217" t="s">
        <v>48</v>
      </c>
      <c r="D83" s="217" t="s">
        <v>561</v>
      </c>
      <c r="E83" s="217" t="s">
        <v>562</v>
      </c>
      <c r="F83" s="217" t="s">
        <v>563</v>
      </c>
      <c r="G83" s="217"/>
      <c r="H83" s="216" t="s">
        <v>424</v>
      </c>
      <c r="I83" s="216"/>
      <c r="J83" s="210"/>
      <c r="K83" s="210"/>
    </row>
    <row r="84" spans="1:11" ht="15" customHeight="1" x14ac:dyDescent="0.25">
      <c r="A84" s="216">
        <v>6416</v>
      </c>
      <c r="B84" s="216">
        <v>171</v>
      </c>
      <c r="C84" s="217" t="s">
        <v>49</v>
      </c>
      <c r="D84" s="217" t="s">
        <v>561</v>
      </c>
      <c r="E84" s="217" t="s">
        <v>562</v>
      </c>
      <c r="F84" s="217" t="s">
        <v>563</v>
      </c>
      <c r="G84" s="217"/>
      <c r="H84" s="216" t="s">
        <v>424</v>
      </c>
      <c r="I84" s="216"/>
      <c r="J84" s="210"/>
      <c r="K84" s="210"/>
    </row>
    <row r="85" spans="1:11" ht="15" customHeight="1" x14ac:dyDescent="0.25">
      <c r="A85" s="216">
        <v>6206</v>
      </c>
      <c r="B85" s="216">
        <v>120</v>
      </c>
      <c r="C85" s="217" t="s">
        <v>51</v>
      </c>
      <c r="D85" s="217" t="s">
        <v>561</v>
      </c>
      <c r="E85" s="217" t="s">
        <v>562</v>
      </c>
      <c r="F85" s="217" t="s">
        <v>563</v>
      </c>
      <c r="G85" s="217"/>
      <c r="H85" s="216" t="s">
        <v>424</v>
      </c>
      <c r="I85" s="216"/>
      <c r="J85" s="210"/>
      <c r="K85" s="210"/>
    </row>
    <row r="86" spans="1:11" ht="15" customHeight="1" x14ac:dyDescent="0.25">
      <c r="A86" s="216">
        <v>5814</v>
      </c>
      <c r="B86" s="216">
        <v>95</v>
      </c>
      <c r="C86" s="217" t="s">
        <v>52</v>
      </c>
      <c r="D86" s="217" t="s">
        <v>561</v>
      </c>
      <c r="E86" s="217" t="s">
        <v>562</v>
      </c>
      <c r="F86" s="217" t="s">
        <v>563</v>
      </c>
      <c r="G86" s="217"/>
      <c r="H86" s="216" t="s">
        <v>424</v>
      </c>
      <c r="I86" s="216"/>
      <c r="J86" s="210"/>
      <c r="K86" s="210"/>
    </row>
    <row r="87" spans="1:11" ht="15" customHeight="1" x14ac:dyDescent="0.25">
      <c r="A87" s="216">
        <v>9002</v>
      </c>
      <c r="B87" s="216">
        <v>901</v>
      </c>
      <c r="C87" s="217" t="s">
        <v>53</v>
      </c>
      <c r="D87" s="217" t="s">
        <v>561</v>
      </c>
      <c r="E87" s="217" t="s">
        <v>562</v>
      </c>
      <c r="F87" s="217" t="s">
        <v>563</v>
      </c>
      <c r="G87" s="217"/>
      <c r="H87" s="216" t="s">
        <v>424</v>
      </c>
      <c r="I87" s="216"/>
      <c r="J87" s="210"/>
      <c r="K87" s="210"/>
    </row>
    <row r="88" spans="1:11" ht="15" customHeight="1" x14ac:dyDescent="0.25">
      <c r="A88" s="216">
        <v>4050</v>
      </c>
      <c r="B88" s="216">
        <v>142</v>
      </c>
      <c r="C88" s="217" t="s">
        <v>55</v>
      </c>
      <c r="D88" s="217" t="s">
        <v>561</v>
      </c>
      <c r="E88" s="217" t="s">
        <v>562</v>
      </c>
      <c r="F88" s="217" t="s">
        <v>563</v>
      </c>
      <c r="G88" s="217"/>
      <c r="H88" s="216" t="s">
        <v>424</v>
      </c>
      <c r="I88" s="216"/>
      <c r="J88" s="210"/>
      <c r="K88" s="210"/>
    </row>
    <row r="89" spans="1:11" ht="15" customHeight="1" x14ac:dyDescent="0.25">
      <c r="A89" s="216">
        <v>6312</v>
      </c>
      <c r="B89" s="216">
        <v>157</v>
      </c>
      <c r="C89" s="217" t="s">
        <v>56</v>
      </c>
      <c r="D89" s="217" t="s">
        <v>561</v>
      </c>
      <c r="E89" s="217" t="s">
        <v>562</v>
      </c>
      <c r="F89" s="217" t="s">
        <v>563</v>
      </c>
      <c r="G89" s="217"/>
      <c r="H89" s="216" t="s">
        <v>424</v>
      </c>
      <c r="I89" s="216"/>
      <c r="J89" s="210"/>
      <c r="K89" s="210"/>
    </row>
    <row r="90" spans="1:11" ht="15" customHeight="1" x14ac:dyDescent="0.25">
      <c r="A90" s="216">
        <v>6595</v>
      </c>
      <c r="B90" s="216">
        <v>192</v>
      </c>
      <c r="C90" s="217" t="s">
        <v>58</v>
      </c>
      <c r="D90" s="217" t="s">
        <v>561</v>
      </c>
      <c r="E90" s="217" t="s">
        <v>562</v>
      </c>
      <c r="F90" s="217" t="s">
        <v>563</v>
      </c>
      <c r="G90" s="217"/>
      <c r="H90" s="216" t="s">
        <v>424</v>
      </c>
      <c r="I90" s="216"/>
      <c r="J90" s="210"/>
      <c r="K90" s="210"/>
    </row>
    <row r="91" spans="1:11" ht="6" customHeight="1" x14ac:dyDescent="0.25">
      <c r="A91" s="218"/>
      <c r="B91" s="210"/>
      <c r="C91" s="210"/>
      <c r="D91" s="210"/>
      <c r="E91" s="210"/>
      <c r="F91" s="210"/>
      <c r="G91" s="210"/>
      <c r="H91" s="210"/>
      <c r="I91" s="210"/>
      <c r="J91" s="210"/>
      <c r="K91" s="210"/>
    </row>
    <row r="92" spans="1:11" ht="18" customHeight="1" x14ac:dyDescent="0.25">
      <c r="A92" s="213" t="s">
        <v>564</v>
      </c>
      <c r="B92" s="209"/>
      <c r="C92" s="209"/>
      <c r="D92" s="209"/>
      <c r="E92" s="209"/>
      <c r="F92" s="209"/>
      <c r="G92" s="209"/>
      <c r="H92" s="209"/>
      <c r="I92" s="209"/>
      <c r="J92" s="210"/>
      <c r="K92" s="210"/>
    </row>
    <row r="93" spans="1:11" ht="13.5" customHeight="1" x14ac:dyDescent="0.25">
      <c r="A93" s="234" t="s">
        <v>565</v>
      </c>
      <c r="B93" s="235"/>
      <c r="C93" s="235"/>
      <c r="D93" s="235"/>
      <c r="E93" s="235"/>
      <c r="F93" s="235"/>
      <c r="G93" s="235"/>
      <c r="H93" s="235"/>
      <c r="I93" s="235"/>
      <c r="J93" s="210"/>
      <c r="K93" s="210"/>
    </row>
    <row r="94" spans="1:11" ht="15.75" customHeight="1" x14ac:dyDescent="0.25">
      <c r="A94" s="214" t="s">
        <v>566</v>
      </c>
      <c r="B94" s="214"/>
      <c r="C94" s="214" t="s">
        <v>510</v>
      </c>
      <c r="D94" s="214"/>
      <c r="E94" s="214"/>
      <c r="F94" s="214"/>
      <c r="G94" s="214"/>
      <c r="H94" s="214"/>
      <c r="I94" s="214"/>
      <c r="J94" s="210"/>
      <c r="K94" s="210"/>
    </row>
    <row r="95" spans="1:11" ht="15" customHeight="1" x14ac:dyDescent="0.25">
      <c r="A95" s="229" t="s">
        <v>567</v>
      </c>
      <c r="B95" s="229"/>
      <c r="C95" s="229" t="s">
        <v>568</v>
      </c>
      <c r="D95" s="229"/>
      <c r="E95" s="229"/>
      <c r="F95" s="229"/>
      <c r="G95" s="229"/>
      <c r="H95" s="229"/>
      <c r="I95" s="229"/>
      <c r="J95" s="210"/>
      <c r="K95" s="210"/>
    </row>
    <row r="96" spans="1:11" ht="15" customHeight="1" x14ac:dyDescent="0.25">
      <c r="A96" s="229" t="s">
        <v>569</v>
      </c>
      <c r="B96" s="229"/>
      <c r="C96" s="229" t="s">
        <v>570</v>
      </c>
      <c r="D96" s="229"/>
      <c r="E96" s="229"/>
      <c r="F96" s="229"/>
      <c r="G96" s="229"/>
      <c r="H96" s="229"/>
      <c r="I96" s="229"/>
      <c r="J96" s="210"/>
      <c r="K96" s="210"/>
    </row>
    <row r="97" spans="1:11" ht="15" customHeight="1" x14ac:dyDescent="0.25">
      <c r="A97" s="229" t="s">
        <v>571</v>
      </c>
      <c r="B97" s="229"/>
      <c r="C97" s="229" t="s">
        <v>572</v>
      </c>
      <c r="D97" s="229"/>
      <c r="E97" s="229"/>
      <c r="F97" s="229"/>
      <c r="G97" s="229"/>
      <c r="H97" s="229"/>
      <c r="I97" s="229"/>
      <c r="J97" s="210"/>
      <c r="K97" s="210"/>
    </row>
    <row r="98" spans="1:11" ht="15" customHeight="1" x14ac:dyDescent="0.25">
      <c r="A98" s="229" t="s">
        <v>573</v>
      </c>
      <c r="B98" s="229"/>
      <c r="C98" s="229" t="s">
        <v>574</v>
      </c>
      <c r="D98" s="229"/>
      <c r="E98" s="229"/>
      <c r="F98" s="229"/>
      <c r="G98" s="229"/>
      <c r="H98" s="229"/>
      <c r="I98" s="229"/>
      <c r="J98" s="210"/>
      <c r="K98" s="210"/>
    </row>
    <row r="99" spans="1:11" ht="15" customHeight="1" x14ac:dyDescent="0.25">
      <c r="A99" s="229" t="s">
        <v>575</v>
      </c>
      <c r="B99" s="229"/>
      <c r="C99" s="229" t="s">
        <v>576</v>
      </c>
      <c r="D99" s="229"/>
      <c r="E99" s="229"/>
      <c r="F99" s="229"/>
      <c r="G99" s="229"/>
      <c r="H99" s="229"/>
      <c r="I99" s="229"/>
      <c r="J99" s="210"/>
      <c r="K99" s="210"/>
    </row>
    <row r="100" spans="1:11" ht="15" customHeight="1" x14ac:dyDescent="0.25">
      <c r="A100" s="229" t="s">
        <v>577</v>
      </c>
      <c r="B100" s="229"/>
      <c r="C100" s="229" t="s">
        <v>578</v>
      </c>
      <c r="D100" s="229"/>
      <c r="E100" s="229"/>
      <c r="F100" s="229"/>
      <c r="G100" s="229"/>
      <c r="H100" s="229"/>
      <c r="I100" s="229"/>
      <c r="J100" s="210"/>
      <c r="K100" s="210"/>
    </row>
    <row r="101" spans="1:11" ht="6" customHeight="1" x14ac:dyDescent="0.25">
      <c r="A101" s="210"/>
      <c r="B101" s="210"/>
      <c r="C101" s="210"/>
      <c r="D101" s="210"/>
      <c r="E101" s="210"/>
      <c r="F101" s="210"/>
      <c r="G101" s="210"/>
      <c r="H101" s="210"/>
      <c r="I101" s="210"/>
      <c r="J101" s="210"/>
      <c r="K101" s="210"/>
    </row>
    <row r="102" spans="1:11" ht="15.75" customHeight="1" x14ac:dyDescent="0.25">
      <c r="A102" s="214" t="s">
        <v>579</v>
      </c>
      <c r="B102" s="214" t="s">
        <v>580</v>
      </c>
      <c r="C102" s="214" t="s">
        <v>581</v>
      </c>
      <c r="D102" s="214"/>
      <c r="E102" s="214"/>
      <c r="F102" s="214"/>
      <c r="G102" s="214"/>
      <c r="H102" s="214" t="s">
        <v>421</v>
      </c>
      <c r="I102" s="214"/>
      <c r="J102" s="210"/>
      <c r="K102" s="210"/>
    </row>
    <row r="103" spans="1:11" ht="15.75" customHeight="1" x14ac:dyDescent="0.25">
      <c r="A103" s="217" t="s">
        <v>519</v>
      </c>
      <c r="B103" s="216" t="s">
        <v>582</v>
      </c>
      <c r="C103" s="217" t="s">
        <v>583</v>
      </c>
      <c r="D103" s="217"/>
      <c r="E103" s="217"/>
      <c r="F103" s="217"/>
      <c r="G103" s="217"/>
      <c r="H103" s="217" t="s">
        <v>424</v>
      </c>
      <c r="I103" s="216"/>
      <c r="J103" s="210"/>
      <c r="K103" s="210"/>
    </row>
    <row r="104" spans="1:11" ht="15.75" customHeight="1" x14ac:dyDescent="0.25">
      <c r="A104" s="224" t="s">
        <v>584</v>
      </c>
      <c r="B104" s="223" t="s">
        <v>585</v>
      </c>
      <c r="C104" s="224" t="s">
        <v>586</v>
      </c>
      <c r="D104" s="224"/>
      <c r="E104" s="224"/>
      <c r="F104" s="224"/>
      <c r="G104" s="224"/>
      <c r="H104" s="224" t="s">
        <v>461</v>
      </c>
      <c r="I104" s="223"/>
      <c r="J104" s="210"/>
      <c r="K104" s="210"/>
    </row>
    <row r="105" spans="1:11" ht="15.75" customHeight="1" x14ac:dyDescent="0.25">
      <c r="A105" s="224" t="s">
        <v>587</v>
      </c>
      <c r="B105" s="223" t="s">
        <v>588</v>
      </c>
      <c r="C105" s="224" t="s">
        <v>589</v>
      </c>
      <c r="D105" s="224"/>
      <c r="E105" s="224"/>
      <c r="F105" s="224"/>
      <c r="G105" s="224"/>
      <c r="H105" s="224" t="s">
        <v>461</v>
      </c>
      <c r="I105" s="223"/>
      <c r="J105" s="210"/>
      <c r="K105" s="210"/>
    </row>
    <row r="106" spans="1:11" ht="15.75" customHeight="1" x14ac:dyDescent="0.25">
      <c r="A106" s="229" t="s">
        <v>590</v>
      </c>
      <c r="B106" s="228" t="s">
        <v>591</v>
      </c>
      <c r="C106" s="229" t="s">
        <v>592</v>
      </c>
      <c r="D106" s="229"/>
      <c r="E106" s="229"/>
      <c r="F106" s="229"/>
      <c r="G106" s="229"/>
      <c r="H106" s="229" t="s">
        <v>525</v>
      </c>
      <c r="I106" s="228"/>
      <c r="J106" s="210"/>
      <c r="K106" s="210"/>
    </row>
    <row r="107" spans="1:11" ht="6" customHeight="1" x14ac:dyDescent="0.25">
      <c r="A107" s="218"/>
      <c r="B107" s="210"/>
      <c r="C107" s="218"/>
      <c r="D107" s="210"/>
      <c r="E107" s="218"/>
      <c r="F107" s="210"/>
      <c r="G107" s="218"/>
      <c r="H107" s="210"/>
      <c r="I107" s="218"/>
      <c r="J107" s="218"/>
      <c r="K107" s="210"/>
    </row>
    <row r="108" spans="1:11" ht="15.75" customHeight="1" x14ac:dyDescent="0.25">
      <c r="A108" s="214" t="s">
        <v>593</v>
      </c>
      <c r="B108" s="214" t="s">
        <v>136</v>
      </c>
      <c r="C108" s="214" t="s">
        <v>594</v>
      </c>
      <c r="D108" s="214"/>
      <c r="E108" s="214" t="s">
        <v>595</v>
      </c>
      <c r="F108" s="214"/>
      <c r="G108" s="214" t="s">
        <v>596</v>
      </c>
      <c r="H108" s="214" t="s">
        <v>597</v>
      </c>
      <c r="I108" s="214" t="s">
        <v>598</v>
      </c>
      <c r="J108" s="210"/>
      <c r="K108" s="210"/>
    </row>
    <row r="109" spans="1:11" ht="15" customHeight="1" x14ac:dyDescent="0.25">
      <c r="A109" s="236">
        <v>1</v>
      </c>
      <c r="B109" s="236">
        <v>3734</v>
      </c>
      <c r="C109" s="237" t="s">
        <v>262</v>
      </c>
      <c r="D109" s="237"/>
      <c r="E109" s="236">
        <v>55</v>
      </c>
      <c r="F109" s="236"/>
      <c r="G109" s="236">
        <v>4.58</v>
      </c>
      <c r="H109" s="236">
        <v>6.38</v>
      </c>
      <c r="I109" s="236" t="s">
        <v>599</v>
      </c>
      <c r="J109" s="210"/>
      <c r="K109" s="210"/>
    </row>
    <row r="110" spans="1:11" ht="15" customHeight="1" x14ac:dyDescent="0.25">
      <c r="A110" s="228">
        <v>2</v>
      </c>
      <c r="B110" s="228">
        <v>6038</v>
      </c>
      <c r="C110" s="229" t="s">
        <v>263</v>
      </c>
      <c r="D110" s="229"/>
      <c r="E110" s="228">
        <v>25</v>
      </c>
      <c r="F110" s="228"/>
      <c r="G110" s="228">
        <v>2.08</v>
      </c>
      <c r="H110" s="228">
        <v>2.9</v>
      </c>
      <c r="I110" s="228" t="s">
        <v>600</v>
      </c>
      <c r="J110" s="238"/>
      <c r="K110" s="210"/>
    </row>
    <row r="111" spans="1:11" ht="15" customHeight="1" x14ac:dyDescent="0.25">
      <c r="A111" s="236">
        <v>3</v>
      </c>
      <c r="B111" s="236">
        <v>3858</v>
      </c>
      <c r="C111" s="237" t="s">
        <v>264</v>
      </c>
      <c r="D111" s="237"/>
      <c r="E111" s="239">
        <v>24.1</v>
      </c>
      <c r="F111" s="236"/>
      <c r="G111" s="239">
        <v>2.0099999999999998</v>
      </c>
      <c r="H111" s="236">
        <v>2.8</v>
      </c>
      <c r="I111" s="236" t="s">
        <v>601</v>
      </c>
      <c r="J111" s="218"/>
      <c r="K111" s="210"/>
    </row>
    <row r="112" spans="1:11" ht="15" customHeight="1" x14ac:dyDescent="0.25">
      <c r="A112" s="228">
        <v>4</v>
      </c>
      <c r="B112" s="228">
        <v>3754</v>
      </c>
      <c r="C112" s="229" t="s">
        <v>265</v>
      </c>
      <c r="D112" s="229"/>
      <c r="E112" s="240">
        <v>23</v>
      </c>
      <c r="F112" s="228"/>
      <c r="G112" s="240">
        <v>1.92</v>
      </c>
      <c r="H112" s="228">
        <v>2.67</v>
      </c>
      <c r="I112" s="228" t="s">
        <v>602</v>
      </c>
      <c r="J112" s="218"/>
      <c r="K112" s="210"/>
    </row>
    <row r="113" spans="1:11" ht="15" customHeight="1" x14ac:dyDescent="0.25">
      <c r="A113" s="236">
        <v>5</v>
      </c>
      <c r="B113" s="236">
        <v>3755</v>
      </c>
      <c r="C113" s="237" t="s">
        <v>266</v>
      </c>
      <c r="D113" s="237"/>
      <c r="E113" s="239">
        <v>21</v>
      </c>
      <c r="F113" s="236"/>
      <c r="G113" s="239">
        <v>1.75</v>
      </c>
      <c r="H113" s="236">
        <v>2.44</v>
      </c>
      <c r="I113" s="236" t="s">
        <v>603</v>
      </c>
      <c r="J113" s="218"/>
      <c r="K113" s="210"/>
    </row>
    <row r="114" spans="1:11" ht="15" customHeight="1" x14ac:dyDescent="0.25">
      <c r="A114" s="228">
        <v>6</v>
      </c>
      <c r="B114" s="228">
        <v>1928</v>
      </c>
      <c r="C114" s="229" t="s">
        <v>267</v>
      </c>
      <c r="D114" s="229"/>
      <c r="E114" s="240">
        <v>20</v>
      </c>
      <c r="F114" s="228"/>
      <c r="G114" s="240">
        <v>1.67</v>
      </c>
      <c r="H114" s="228">
        <v>2.3199999999999998</v>
      </c>
      <c r="I114" s="228" t="s">
        <v>604</v>
      </c>
      <c r="J114" s="218"/>
      <c r="K114" s="210"/>
    </row>
    <row r="115" spans="1:11" ht="15" customHeight="1" x14ac:dyDescent="0.25">
      <c r="A115" s="236">
        <v>7</v>
      </c>
      <c r="B115" s="236">
        <v>7094</v>
      </c>
      <c r="C115" s="237" t="s">
        <v>605</v>
      </c>
      <c r="D115" s="237"/>
      <c r="E115" s="239">
        <v>20</v>
      </c>
      <c r="F115" s="236"/>
      <c r="G115" s="239">
        <v>1.67</v>
      </c>
      <c r="H115" s="236">
        <v>2.3199999999999998</v>
      </c>
      <c r="I115" s="236" t="s">
        <v>604</v>
      </c>
      <c r="J115" s="218"/>
      <c r="K115" s="210"/>
    </row>
    <row r="116" spans="1:11" ht="15" customHeight="1" x14ac:dyDescent="0.25">
      <c r="A116" s="228">
        <v>8</v>
      </c>
      <c r="B116" s="228">
        <v>3736</v>
      </c>
      <c r="C116" s="229" t="s">
        <v>269</v>
      </c>
      <c r="D116" s="229"/>
      <c r="E116" s="240">
        <v>13.8</v>
      </c>
      <c r="F116" s="228"/>
      <c r="G116" s="240">
        <v>1.1499999999999999</v>
      </c>
      <c r="H116" s="228">
        <v>1.6</v>
      </c>
      <c r="I116" s="228" t="s">
        <v>606</v>
      </c>
      <c r="J116" s="218"/>
      <c r="K116" s="210"/>
    </row>
    <row r="117" spans="1:11" ht="15" customHeight="1" x14ac:dyDescent="0.25">
      <c r="A117" s="236">
        <v>9</v>
      </c>
      <c r="B117" s="236">
        <v>3955</v>
      </c>
      <c r="C117" s="237" t="s">
        <v>270</v>
      </c>
      <c r="D117" s="237"/>
      <c r="E117" s="239">
        <v>11</v>
      </c>
      <c r="F117" s="236"/>
      <c r="G117" s="239">
        <v>0.92</v>
      </c>
      <c r="H117" s="236">
        <v>1.28</v>
      </c>
      <c r="I117" s="236" t="s">
        <v>607</v>
      </c>
      <c r="J117" s="218"/>
      <c r="K117" s="210"/>
    </row>
    <row r="118" spans="1:11" ht="15" customHeight="1" x14ac:dyDescent="0.25">
      <c r="A118" s="228">
        <v>10</v>
      </c>
      <c r="B118" s="228">
        <v>7398</v>
      </c>
      <c r="C118" s="229" t="s">
        <v>271</v>
      </c>
      <c r="D118" s="229"/>
      <c r="E118" s="240">
        <v>9</v>
      </c>
      <c r="F118" s="228"/>
      <c r="G118" s="240">
        <v>0.75</v>
      </c>
      <c r="H118" s="228">
        <v>1.04</v>
      </c>
      <c r="I118" s="228" t="s">
        <v>608</v>
      </c>
      <c r="J118" s="218"/>
      <c r="K118" s="210"/>
    </row>
    <row r="119" spans="1:11" ht="12" customHeight="1" x14ac:dyDescent="0.25">
      <c r="A119" s="241" t="s">
        <v>609</v>
      </c>
      <c r="B119" s="242"/>
      <c r="C119" s="242"/>
      <c r="D119" s="235"/>
      <c r="E119" s="243"/>
      <c r="F119" s="235"/>
      <c r="G119" s="243"/>
      <c r="H119" s="235"/>
      <c r="I119" s="242"/>
      <c r="J119" s="218"/>
      <c r="K119" s="210"/>
    </row>
    <row r="120" spans="1:11" ht="15" customHeight="1" x14ac:dyDescent="0.25">
      <c r="A120" s="218"/>
      <c r="B120" s="218"/>
      <c r="C120" s="218"/>
      <c r="D120" s="210"/>
      <c r="E120" s="244"/>
      <c r="F120" s="210"/>
      <c r="G120" s="244"/>
      <c r="H120" s="210"/>
      <c r="I120" s="218"/>
      <c r="J120" s="218"/>
      <c r="K120" s="210"/>
    </row>
    <row r="121" spans="1:11" ht="15" customHeight="1" x14ac:dyDescent="0.25">
      <c r="A121" s="218"/>
      <c r="B121" s="218"/>
      <c r="C121" s="218"/>
      <c r="D121" s="210"/>
      <c r="E121" s="244"/>
      <c r="F121" s="210"/>
      <c r="G121" s="244"/>
      <c r="H121" s="210"/>
      <c r="I121" s="218"/>
      <c r="J121" s="218"/>
      <c r="K121" s="210"/>
    </row>
    <row r="122" spans="1:11" ht="15" customHeight="1" x14ac:dyDescent="0.25">
      <c r="A122" s="218"/>
      <c r="B122" s="218"/>
      <c r="C122" s="218"/>
      <c r="D122" s="210"/>
      <c r="E122" s="244"/>
      <c r="F122" s="210"/>
      <c r="G122" s="244"/>
      <c r="H122" s="210"/>
      <c r="I122" s="218"/>
      <c r="J122" s="218"/>
      <c r="K122" s="210"/>
    </row>
    <row r="123" spans="1:11" ht="15" customHeight="1" x14ac:dyDescent="0.25">
      <c r="A123" s="218"/>
      <c r="B123" s="218"/>
      <c r="C123" s="218"/>
      <c r="D123" s="210"/>
      <c r="E123" s="244"/>
      <c r="F123" s="210"/>
      <c r="G123" s="244"/>
      <c r="H123" s="210"/>
      <c r="I123" s="218"/>
      <c r="J123" s="218"/>
      <c r="K123" s="210"/>
    </row>
    <row r="124" spans="1:11" ht="15" customHeight="1" x14ac:dyDescent="0.25">
      <c r="A124" s="218"/>
      <c r="B124" s="218"/>
      <c r="C124" s="218"/>
      <c r="D124" s="210"/>
      <c r="E124" s="244"/>
      <c r="F124" s="210"/>
      <c r="G124" s="244"/>
      <c r="H124" s="210"/>
      <c r="I124" s="218"/>
      <c r="J124" s="218"/>
      <c r="K124" s="210"/>
    </row>
    <row r="125" spans="1:11" ht="15.75" customHeight="1" x14ac:dyDescent="0.25">
      <c r="A125" s="225"/>
      <c r="B125" s="210"/>
      <c r="C125" s="210"/>
      <c r="D125" s="210"/>
      <c r="E125" s="210"/>
      <c r="F125" s="210"/>
      <c r="G125" s="210"/>
      <c r="H125" s="210"/>
      <c r="I125" s="210"/>
      <c r="J125" s="210"/>
      <c r="K125" s="210"/>
    </row>
    <row r="126" spans="1:11" ht="15" customHeight="1" x14ac:dyDescent="0.25">
      <c r="A126" s="225"/>
      <c r="B126" s="210"/>
      <c r="C126" s="218"/>
      <c r="D126" s="210"/>
      <c r="E126" s="210"/>
      <c r="F126" s="210"/>
      <c r="G126" s="210"/>
      <c r="H126" s="210"/>
      <c r="I126" s="210"/>
      <c r="J126" s="210"/>
      <c r="K126" s="210"/>
    </row>
    <row r="127" spans="1:11" ht="15" customHeight="1" x14ac:dyDescent="0.25">
      <c r="A127" s="225"/>
      <c r="B127" s="210"/>
      <c r="C127" s="218"/>
      <c r="D127" s="210"/>
      <c r="E127" s="210"/>
      <c r="F127" s="210"/>
      <c r="G127" s="210"/>
      <c r="H127" s="210"/>
      <c r="I127" s="210"/>
      <c r="J127" s="210"/>
      <c r="K127" s="210"/>
    </row>
    <row r="128" spans="1:11" ht="15" customHeight="1" x14ac:dyDescent="0.25">
      <c r="A128" s="225"/>
      <c r="B128" s="210"/>
      <c r="C128" s="218"/>
      <c r="D128" s="210"/>
      <c r="E128" s="210"/>
      <c r="F128" s="210"/>
      <c r="G128" s="210"/>
      <c r="H128" s="210"/>
      <c r="I128" s="210"/>
      <c r="J128" s="210"/>
      <c r="K128" s="210"/>
    </row>
    <row r="129" spans="1:11" ht="15" customHeight="1" x14ac:dyDescent="0.25">
      <c r="A129" s="225"/>
      <c r="B129" s="210"/>
      <c r="C129" s="218"/>
      <c r="D129" s="210"/>
      <c r="E129" s="210"/>
      <c r="F129" s="210"/>
      <c r="G129" s="210"/>
      <c r="H129" s="210"/>
      <c r="I129" s="210"/>
      <c r="J129" s="210"/>
      <c r="K129" s="210"/>
    </row>
    <row r="130" spans="1:11" ht="15" customHeight="1" x14ac:dyDescent="0.25">
      <c r="A130" s="225"/>
      <c r="B130" s="210"/>
      <c r="C130" s="218"/>
      <c r="D130" s="210"/>
      <c r="E130" s="210"/>
      <c r="F130" s="210"/>
      <c r="G130" s="210"/>
      <c r="H130" s="210"/>
      <c r="I130" s="210"/>
      <c r="J130" s="210"/>
      <c r="K130" s="210"/>
    </row>
    <row r="131" spans="1:11" ht="15.75" customHeight="1" x14ac:dyDescent="0.25">
      <c r="A131" s="225"/>
      <c r="B131" s="210"/>
      <c r="C131" s="210"/>
      <c r="D131" s="210"/>
      <c r="E131" s="210"/>
      <c r="F131" s="210"/>
      <c r="G131" s="210"/>
      <c r="H131" s="210"/>
      <c r="I131" s="210"/>
      <c r="J131" s="210"/>
      <c r="K131" s="210"/>
    </row>
    <row r="132" spans="1:11" ht="15.75" customHeight="1" x14ac:dyDescent="0.25">
      <c r="A132" s="238"/>
      <c r="B132" s="238"/>
      <c r="C132" s="238"/>
      <c r="D132" s="210"/>
      <c r="E132" s="210"/>
      <c r="F132" s="210"/>
      <c r="G132" s="210"/>
      <c r="H132" s="210"/>
      <c r="I132" s="238"/>
      <c r="J132" s="210"/>
      <c r="K132" s="210"/>
    </row>
    <row r="133" spans="1:11" ht="30" customHeight="1" x14ac:dyDescent="0.25">
      <c r="A133" s="225"/>
      <c r="B133" s="238"/>
      <c r="C133" s="218"/>
      <c r="D133" s="210"/>
      <c r="E133" s="210"/>
      <c r="F133" s="210"/>
      <c r="G133" s="210"/>
      <c r="H133" s="210"/>
      <c r="I133" s="238"/>
      <c r="J133" s="210"/>
      <c r="K133" s="210"/>
    </row>
    <row r="134" spans="1:11" ht="30" customHeight="1" x14ac:dyDescent="0.25">
      <c r="A134" s="225"/>
      <c r="B134" s="238"/>
      <c r="C134" s="218"/>
      <c r="D134" s="210"/>
      <c r="E134" s="210"/>
      <c r="F134" s="210"/>
      <c r="G134" s="210"/>
      <c r="H134" s="210"/>
      <c r="I134" s="238"/>
      <c r="J134" s="210"/>
      <c r="K134" s="210"/>
    </row>
    <row r="135" spans="1:11" ht="30" customHeight="1" x14ac:dyDescent="0.25">
      <c r="A135" s="225"/>
      <c r="B135" s="238"/>
      <c r="C135" s="218"/>
      <c r="D135" s="210"/>
      <c r="E135" s="210"/>
      <c r="F135" s="210"/>
      <c r="G135" s="210"/>
      <c r="H135" s="210"/>
      <c r="I135" s="238"/>
      <c r="J135" s="210"/>
      <c r="K135" s="210"/>
    </row>
    <row r="136" spans="1:11" ht="30" customHeight="1" x14ac:dyDescent="0.25">
      <c r="A136" s="225"/>
      <c r="B136" s="238"/>
      <c r="C136" s="218"/>
      <c r="D136" s="210"/>
      <c r="E136" s="210"/>
      <c r="F136" s="210"/>
      <c r="G136" s="210"/>
      <c r="H136" s="210"/>
      <c r="I136" s="238"/>
      <c r="J136" s="210"/>
      <c r="K136" s="210"/>
    </row>
    <row r="137" spans="1:11" ht="30" customHeight="1" x14ac:dyDescent="0.25">
      <c r="A137" s="225"/>
      <c r="B137" s="238"/>
      <c r="C137" s="218"/>
      <c r="D137" s="210"/>
      <c r="E137" s="210"/>
      <c r="F137" s="210"/>
      <c r="G137" s="210"/>
      <c r="H137" s="210"/>
      <c r="I137" s="238"/>
      <c r="J137" s="210"/>
      <c r="K137" s="210"/>
    </row>
    <row r="138" spans="1:11" ht="15.75" customHeight="1" x14ac:dyDescent="0.25">
      <c r="A138" s="225"/>
      <c r="B138" s="210"/>
      <c r="C138" s="210"/>
      <c r="D138" s="210"/>
      <c r="E138" s="210"/>
      <c r="F138" s="210"/>
      <c r="G138" s="210"/>
      <c r="H138" s="210"/>
      <c r="I138" s="210"/>
      <c r="J138" s="210"/>
      <c r="K138" s="210"/>
    </row>
    <row r="139" spans="1:11" ht="15.75" customHeight="1" x14ac:dyDescent="0.25">
      <c r="A139" s="238"/>
      <c r="B139" s="238"/>
      <c r="C139" s="238"/>
      <c r="D139" s="210"/>
      <c r="E139" s="238"/>
      <c r="F139" s="210"/>
      <c r="G139" s="238"/>
      <c r="H139" s="210"/>
      <c r="I139" s="238"/>
      <c r="J139" s="210"/>
      <c r="K139" s="238"/>
    </row>
    <row r="140" spans="1:11" ht="15" customHeight="1" x14ac:dyDescent="0.25">
      <c r="A140" s="238"/>
      <c r="B140" s="238"/>
      <c r="C140" s="238"/>
      <c r="D140" s="210"/>
      <c r="E140" s="245"/>
      <c r="F140" s="210"/>
      <c r="G140" s="246"/>
      <c r="H140" s="210"/>
      <c r="I140" s="246"/>
      <c r="J140" s="210"/>
      <c r="K140" s="238"/>
    </row>
    <row r="141" spans="1:11" ht="15" customHeight="1" x14ac:dyDescent="0.25">
      <c r="A141" s="238"/>
      <c r="B141" s="238"/>
      <c r="C141" s="238"/>
      <c r="D141" s="210"/>
      <c r="E141" s="245"/>
      <c r="F141" s="210"/>
      <c r="G141" s="246"/>
      <c r="H141" s="210"/>
      <c r="I141" s="246"/>
      <c r="J141" s="210"/>
      <c r="K141" s="238"/>
    </row>
    <row r="142" spans="1:11" ht="15" customHeight="1" x14ac:dyDescent="0.25">
      <c r="A142" s="238"/>
      <c r="B142" s="238"/>
      <c r="C142" s="238"/>
      <c r="D142" s="210"/>
      <c r="E142" s="245"/>
      <c r="F142" s="210"/>
      <c r="G142" s="246"/>
      <c r="H142" s="210"/>
      <c r="I142" s="246"/>
      <c r="J142" s="210"/>
      <c r="K142" s="238"/>
    </row>
    <row r="143" spans="1:11" ht="15" customHeight="1" x14ac:dyDescent="0.25">
      <c r="A143" s="238"/>
      <c r="B143" s="238"/>
      <c r="C143" s="238"/>
      <c r="D143" s="210"/>
      <c r="E143" s="245"/>
      <c r="F143" s="210"/>
      <c r="G143" s="246"/>
      <c r="H143" s="210"/>
      <c r="I143" s="246"/>
      <c r="J143" s="210"/>
      <c r="K143" s="238"/>
    </row>
    <row r="144" spans="1:11" ht="15" customHeight="1" x14ac:dyDescent="0.25">
      <c r="A144" s="238"/>
      <c r="B144" s="238"/>
      <c r="C144" s="238"/>
      <c r="D144" s="210"/>
      <c r="E144" s="245"/>
      <c r="F144" s="210"/>
      <c r="G144" s="246"/>
      <c r="H144" s="210"/>
      <c r="I144" s="246"/>
      <c r="J144" s="210"/>
      <c r="K144" s="238"/>
    </row>
    <row r="145" spans="1:11" ht="15" customHeight="1" x14ac:dyDescent="0.25">
      <c r="A145" s="238"/>
      <c r="B145" s="238"/>
      <c r="C145" s="238"/>
      <c r="D145" s="210"/>
      <c r="E145" s="245"/>
      <c r="F145" s="210"/>
      <c r="G145" s="246"/>
      <c r="H145" s="210"/>
      <c r="I145" s="246"/>
      <c r="J145" s="210"/>
      <c r="K145" s="238"/>
    </row>
    <row r="146" spans="1:11" ht="15" customHeight="1" x14ac:dyDescent="0.25">
      <c r="A146" s="238"/>
      <c r="B146" s="238"/>
      <c r="C146" s="238"/>
      <c r="D146" s="210"/>
      <c r="E146" s="245"/>
      <c r="F146" s="210"/>
      <c r="G146" s="246"/>
      <c r="H146" s="210"/>
      <c r="I146" s="246"/>
      <c r="J146" s="210"/>
      <c r="K146" s="238"/>
    </row>
    <row r="147" spans="1:11" ht="15" customHeight="1" x14ac:dyDescent="0.25">
      <c r="A147" s="238"/>
      <c r="B147" s="238"/>
      <c r="C147" s="238"/>
      <c r="D147" s="210"/>
      <c r="E147" s="245"/>
      <c r="F147" s="210"/>
      <c r="G147" s="246"/>
      <c r="H147" s="210"/>
      <c r="I147" s="246"/>
      <c r="J147" s="210"/>
      <c r="K147" s="238"/>
    </row>
    <row r="148" spans="1:11" ht="15" customHeight="1" x14ac:dyDescent="0.25">
      <c r="A148" s="238"/>
      <c r="B148" s="238"/>
      <c r="C148" s="238"/>
      <c r="D148" s="210"/>
      <c r="E148" s="245"/>
      <c r="F148" s="210"/>
      <c r="G148" s="246"/>
      <c r="H148" s="210"/>
      <c r="I148" s="246"/>
      <c r="J148" s="210"/>
      <c r="K148" s="238"/>
    </row>
    <row r="149" spans="1:11" ht="15" customHeight="1" x14ac:dyDescent="0.25">
      <c r="A149" s="238"/>
      <c r="B149" s="238"/>
      <c r="C149" s="238"/>
      <c r="D149" s="210"/>
      <c r="E149" s="245"/>
      <c r="F149" s="210"/>
      <c r="G149" s="246"/>
      <c r="H149" s="210"/>
      <c r="I149" s="246"/>
      <c r="J149" s="210"/>
      <c r="K149" s="238"/>
    </row>
    <row r="150" spans="1:11" ht="19.5" customHeight="1" x14ac:dyDescent="0.25">
      <c r="A150" s="218"/>
      <c r="B150" s="210"/>
      <c r="C150" s="210"/>
      <c r="D150" s="210"/>
      <c r="E150" s="210"/>
      <c r="F150" s="210"/>
      <c r="G150" s="210"/>
      <c r="H150" s="210"/>
      <c r="I150" s="210"/>
      <c r="J150" s="210"/>
      <c r="K150" s="210"/>
    </row>
    <row r="151" spans="1:11" ht="4.5" customHeight="1" x14ac:dyDescent="0.25">
      <c r="A151" s="210"/>
      <c r="B151" s="210"/>
      <c r="C151" s="210"/>
      <c r="D151" s="210"/>
      <c r="E151" s="210"/>
      <c r="F151" s="210"/>
      <c r="G151" s="210"/>
      <c r="H151" s="210"/>
      <c r="I151" s="210"/>
      <c r="J151" s="210"/>
      <c r="K151" s="210"/>
    </row>
    <row r="152" spans="1:11" ht="4.5" customHeight="1" x14ac:dyDescent="0.25">
      <c r="A152" s="210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</row>
    <row r="153" spans="1:11" ht="4.5" customHeight="1" x14ac:dyDescent="0.25">
      <c r="A153" s="210"/>
      <c r="B153" s="210"/>
      <c r="C153" s="210"/>
      <c r="D153" s="210"/>
      <c r="E153" s="210"/>
      <c r="F153" s="210"/>
      <c r="G153" s="210"/>
      <c r="H153" s="210"/>
      <c r="I153" s="210"/>
      <c r="J153" s="210"/>
      <c r="K153" s="210"/>
    </row>
    <row r="154" spans="1:11" ht="4.5" customHeight="1" x14ac:dyDescent="0.25">
      <c r="A154" s="210"/>
      <c r="B154" s="210"/>
      <c r="C154" s="210"/>
      <c r="D154" s="210"/>
      <c r="E154" s="210"/>
      <c r="F154" s="210"/>
      <c r="G154" s="210"/>
      <c r="H154" s="210"/>
      <c r="I154" s="210"/>
      <c r="J154" s="210"/>
      <c r="K154" s="210"/>
    </row>
    <row r="155" spans="1:11" ht="4.5" customHeight="1" x14ac:dyDescent="0.25">
      <c r="A155" s="210"/>
      <c r="B155" s="210"/>
      <c r="C155" s="210"/>
      <c r="D155" s="210"/>
      <c r="E155" s="210"/>
      <c r="F155" s="210"/>
      <c r="G155" s="210"/>
      <c r="H155" s="210"/>
      <c r="I155" s="210"/>
      <c r="J155" s="210"/>
      <c r="K155" s="210"/>
    </row>
    <row r="156" spans="1:11" ht="4.5" customHeight="1" x14ac:dyDescent="0.25">
      <c r="A156" s="210"/>
      <c r="B156" s="210"/>
      <c r="C156" s="210"/>
      <c r="D156" s="210"/>
      <c r="E156" s="210"/>
      <c r="F156" s="210"/>
      <c r="G156" s="210"/>
      <c r="H156" s="210"/>
      <c r="I156" s="210"/>
      <c r="J156" s="210"/>
      <c r="K156" s="210"/>
    </row>
    <row r="157" spans="1:11" ht="4.5" customHeight="1" x14ac:dyDescent="0.25">
      <c r="A157" s="210"/>
      <c r="B157" s="210"/>
      <c r="C157" s="210"/>
      <c r="D157" s="210"/>
      <c r="E157" s="210"/>
      <c r="F157" s="210"/>
      <c r="G157" s="210"/>
      <c r="H157" s="210"/>
      <c r="I157" s="210"/>
      <c r="J157" s="210"/>
      <c r="K157" s="210"/>
    </row>
    <row r="158" spans="1:11" ht="18" customHeight="1" x14ac:dyDescent="0.25">
      <c r="A158" s="210"/>
      <c r="B158" s="210"/>
      <c r="C158" s="210"/>
      <c r="D158" s="210"/>
      <c r="E158" s="210"/>
      <c r="F158" s="210"/>
      <c r="G158" s="210"/>
      <c r="H158" s="210"/>
      <c r="I158" s="210"/>
      <c r="J158" s="210"/>
      <c r="K158" s="210"/>
    </row>
    <row r="159" spans="1:11" ht="13.5" customHeight="1" x14ac:dyDescent="0.25">
      <c r="A159" s="210"/>
      <c r="B159" s="210"/>
      <c r="C159" s="210"/>
      <c r="D159" s="210"/>
      <c r="E159" s="210"/>
      <c r="F159" s="210"/>
      <c r="G159" s="210"/>
      <c r="H159" s="210"/>
      <c r="I159" s="210"/>
      <c r="J159" s="210"/>
      <c r="K159" s="210"/>
    </row>
    <row r="160" spans="1:11" ht="3.75" customHeight="1" x14ac:dyDescent="0.25"/>
    <row r="161" ht="15.75" customHeight="1" x14ac:dyDescent="0.25"/>
    <row r="162" ht="30" customHeight="1" x14ac:dyDescent="0.25"/>
    <row r="163" ht="30" customHeight="1" x14ac:dyDescent="0.25"/>
    <row r="164" ht="30" customHeight="1" x14ac:dyDescent="0.25"/>
  </sheetData>
  <autoFilter ref="A52:J64" xr:uid="{00000000-0009-0000-0000-000006000000}">
    <sortState xmlns:xlrd2="http://schemas.microsoft.com/office/spreadsheetml/2017/richdata2" ref="A53:J64">
      <sortCondition ref="A53:A64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"/>
  <sheetViews>
    <sheetView showGridLines="0" zoomScaleNormal="100" workbookViewId="0">
      <pane ySplit="3" topLeftCell="A4" activePane="bottomLeft" state="frozen"/>
      <selection pane="bottomLeft" activeCell="D10" sqref="D10"/>
    </sheetView>
  </sheetViews>
  <sheetFormatPr defaultColWidth="8.7109375" defaultRowHeight="15" x14ac:dyDescent="0.25"/>
  <cols>
    <col min="1" max="1" width="5" customWidth="1"/>
    <col min="2" max="2" width="8" customWidth="1"/>
    <col min="3" max="3" width="38.140625" customWidth="1"/>
    <col min="4" max="4" width="38" customWidth="1"/>
    <col min="5" max="5" width="10" customWidth="1"/>
    <col min="6" max="7" width="14" customWidth="1"/>
    <col min="8" max="8" width="36" customWidth="1"/>
  </cols>
  <sheetData>
    <row r="1" spans="1:9" ht="30" customHeight="1" x14ac:dyDescent="0.25">
      <c r="A1" s="298" t="s">
        <v>610</v>
      </c>
      <c r="B1" s="275"/>
      <c r="C1" s="275"/>
      <c r="D1" s="275"/>
      <c r="E1" s="275"/>
      <c r="F1" s="275"/>
      <c r="G1" s="275"/>
      <c r="H1" s="275"/>
    </row>
    <row r="2" spans="1:9" ht="15.75" customHeight="1" x14ac:dyDescent="0.25">
      <c r="A2" s="297" t="s">
        <v>611</v>
      </c>
      <c r="B2" s="275"/>
      <c r="C2" s="275"/>
      <c r="D2" s="275"/>
      <c r="E2" s="275"/>
      <c r="F2" s="275"/>
      <c r="G2" s="275"/>
      <c r="H2" s="275"/>
    </row>
    <row r="3" spans="1:9" ht="19.5" customHeight="1" x14ac:dyDescent="0.25">
      <c r="A3" s="247" t="s">
        <v>612</v>
      </c>
      <c r="B3" s="247" t="s">
        <v>297</v>
      </c>
      <c r="C3" s="247" t="s">
        <v>3</v>
      </c>
      <c r="D3" s="247" t="s">
        <v>613</v>
      </c>
      <c r="E3" s="247" t="s">
        <v>614</v>
      </c>
      <c r="F3" s="247" t="s">
        <v>615</v>
      </c>
      <c r="G3" s="247" t="s">
        <v>143</v>
      </c>
      <c r="H3" s="247" t="s">
        <v>616</v>
      </c>
      <c r="I3" t="s">
        <v>617</v>
      </c>
    </row>
    <row r="4" spans="1:9" ht="15" customHeight="1" x14ac:dyDescent="0.25">
      <c r="A4" s="261">
        <v>1</v>
      </c>
      <c r="B4" s="261">
        <v>3447</v>
      </c>
      <c r="C4" s="262" t="s">
        <v>26</v>
      </c>
      <c r="D4" s="262" t="s">
        <v>39</v>
      </c>
      <c r="E4" s="261" t="s">
        <v>618</v>
      </c>
      <c r="F4" s="263">
        <v>37632</v>
      </c>
      <c r="G4" s="261" t="s">
        <v>619</v>
      </c>
      <c r="H4" s="264" t="s">
        <v>620</v>
      </c>
      <c r="I4">
        <f>IFERROR(SUMPRODUCT((TableBOM[Product ID]=B4)*(TableBOM[Material Category]="CAP")*TableBOM[Item ID]),0)</f>
        <v>68</v>
      </c>
    </row>
    <row r="5" spans="1:9" ht="15" customHeight="1" x14ac:dyDescent="0.25">
      <c r="A5" s="261">
        <v>2</v>
      </c>
      <c r="B5" s="261">
        <v>3726</v>
      </c>
      <c r="C5" s="262" t="s">
        <v>26</v>
      </c>
      <c r="D5" s="262" t="s">
        <v>40</v>
      </c>
      <c r="E5" s="261" t="s">
        <v>618</v>
      </c>
      <c r="F5" s="263">
        <v>30912</v>
      </c>
      <c r="G5" s="261" t="s">
        <v>619</v>
      </c>
      <c r="H5" s="264" t="s">
        <v>620</v>
      </c>
      <c r="I5">
        <f>IFERROR(SUMPRODUCT((TableBOM[Product ID]=B5)*(TableBOM[Material Category]="CAP")*TableBOM[Item ID]),0)</f>
        <v>68</v>
      </c>
    </row>
    <row r="6" spans="1:9" ht="15" customHeight="1" x14ac:dyDescent="0.25">
      <c r="A6" s="261">
        <v>3</v>
      </c>
      <c r="B6" s="261">
        <v>5699</v>
      </c>
      <c r="C6" s="262" t="s">
        <v>26</v>
      </c>
      <c r="D6" s="262" t="s">
        <v>33</v>
      </c>
      <c r="E6" s="261" t="s">
        <v>621</v>
      </c>
      <c r="F6" s="263">
        <v>24470</v>
      </c>
      <c r="G6" s="261" t="s">
        <v>619</v>
      </c>
      <c r="H6" s="264" t="s">
        <v>620</v>
      </c>
      <c r="I6">
        <f>IFERROR(SUMPRODUCT((TableBOM[Product ID]=B6)*(TableBOM[Material Category]="CAP")*TableBOM[Item ID]),0)</f>
        <v>6971</v>
      </c>
    </row>
    <row r="7" spans="1:9" ht="15" customHeight="1" x14ac:dyDescent="0.25">
      <c r="A7" s="261">
        <v>4</v>
      </c>
      <c r="B7" s="261">
        <v>6470</v>
      </c>
      <c r="C7" s="262" t="s">
        <v>26</v>
      </c>
      <c r="D7" s="262" t="s">
        <v>41</v>
      </c>
      <c r="E7" s="261" t="s">
        <v>618</v>
      </c>
      <c r="F7" s="263">
        <v>0</v>
      </c>
      <c r="G7" s="261" t="s">
        <v>619</v>
      </c>
      <c r="H7" s="264" t="s">
        <v>620</v>
      </c>
      <c r="I7">
        <f>IFERROR(SUMPRODUCT((TableBOM[Product ID]=B7)*(TableBOM[Material Category]="CAP")*TableBOM[Item ID]),0)</f>
        <v>68</v>
      </c>
    </row>
    <row r="8" spans="1:9" ht="15" customHeight="1" x14ac:dyDescent="0.25">
      <c r="A8" s="261">
        <v>5</v>
      </c>
      <c r="B8" s="261">
        <v>4050</v>
      </c>
      <c r="C8" s="262" t="s">
        <v>54</v>
      </c>
      <c r="D8" s="262" t="s">
        <v>55</v>
      </c>
      <c r="E8" s="261" t="s">
        <v>622</v>
      </c>
      <c r="F8" s="263">
        <v>9450</v>
      </c>
      <c r="G8" s="261" t="s">
        <v>619</v>
      </c>
      <c r="H8" s="264" t="s">
        <v>620</v>
      </c>
      <c r="I8">
        <f>IFERROR(SUMPRODUCT((TableBOM[Product ID]=B8)*(TableBOM[Material Category]="CAP")*TableBOM[Item ID]),0)</f>
        <v>578</v>
      </c>
    </row>
    <row r="9" spans="1:9" ht="15" customHeight="1" x14ac:dyDescent="0.25">
      <c r="A9" s="261">
        <v>6</v>
      </c>
      <c r="B9" s="261">
        <v>6337</v>
      </c>
      <c r="C9" s="262" t="s">
        <v>47</v>
      </c>
      <c r="D9" s="262" t="s">
        <v>48</v>
      </c>
      <c r="E9" s="261" t="s">
        <v>622</v>
      </c>
      <c r="F9" s="263">
        <v>15680</v>
      </c>
      <c r="G9" s="261" t="s">
        <v>619</v>
      </c>
      <c r="H9" s="264" t="s">
        <v>620</v>
      </c>
      <c r="I9">
        <f>IFERROR(SUMPRODUCT((TableBOM[Product ID]=B9)*(TableBOM[Material Category]="CAP")*TableBOM[Item ID]),0)</f>
        <v>578</v>
      </c>
    </row>
    <row r="10" spans="1:9" ht="15" customHeight="1" x14ac:dyDescent="0.25">
      <c r="A10" s="261">
        <v>7</v>
      </c>
      <c r="B10" s="261">
        <v>6416</v>
      </c>
      <c r="C10" s="262" t="s">
        <v>47</v>
      </c>
      <c r="D10" s="262" t="s">
        <v>49</v>
      </c>
      <c r="E10" s="261" t="s">
        <v>622</v>
      </c>
      <c r="F10" s="263">
        <v>25480</v>
      </c>
      <c r="G10" s="261" t="s">
        <v>619</v>
      </c>
      <c r="H10" s="264" t="s">
        <v>620</v>
      </c>
      <c r="I10">
        <f>IFERROR(SUMPRODUCT((TableBOM[Product ID]=B10)*(TableBOM[Material Category]="CAP")*TableBOM[Item ID]),0)</f>
        <v>578</v>
      </c>
    </row>
    <row r="11" spans="1:9" ht="15" customHeight="1" x14ac:dyDescent="0.25">
      <c r="A11" s="261">
        <v>8</v>
      </c>
      <c r="B11" s="261">
        <v>6515</v>
      </c>
      <c r="C11" s="262" t="s">
        <v>26</v>
      </c>
      <c r="D11" s="262" t="s">
        <v>62</v>
      </c>
      <c r="E11" s="261" t="s">
        <v>623</v>
      </c>
      <c r="F11" s="263">
        <v>43888</v>
      </c>
      <c r="G11" s="261" t="s">
        <v>619</v>
      </c>
      <c r="H11" s="264" t="s">
        <v>620</v>
      </c>
      <c r="I11">
        <f>IFERROR(SUMPRODUCT((TableBOM[Product ID]=B11)*(TableBOM[Material Category]="CAP")*TableBOM[Item ID]),0)</f>
        <v>1073</v>
      </c>
    </row>
    <row r="12" spans="1:9" ht="15" customHeight="1" x14ac:dyDescent="0.25">
      <c r="A12" s="261">
        <v>9</v>
      </c>
      <c r="B12" s="261">
        <v>5782</v>
      </c>
      <c r="C12" s="262" t="s">
        <v>59</v>
      </c>
      <c r="D12" s="262" t="s">
        <v>60</v>
      </c>
      <c r="E12" s="261" t="s">
        <v>623</v>
      </c>
      <c r="F12" s="263">
        <v>63648</v>
      </c>
      <c r="G12" s="261" t="s">
        <v>619</v>
      </c>
      <c r="H12" s="264" t="s">
        <v>620</v>
      </c>
      <c r="I12">
        <f>IFERROR(SUMPRODUCT((TableBOM[Product ID]=B12)*(TableBOM[Material Category]="CAP")*TableBOM[Item ID]),0)</f>
        <v>1285</v>
      </c>
    </row>
    <row r="13" spans="1:9" ht="15" customHeight="1" x14ac:dyDescent="0.25">
      <c r="A13" s="261">
        <v>10</v>
      </c>
      <c r="B13" s="261">
        <v>6206</v>
      </c>
      <c r="C13" s="262" t="s">
        <v>50</v>
      </c>
      <c r="D13" s="262" t="s">
        <v>51</v>
      </c>
      <c r="E13" s="261" t="s">
        <v>622</v>
      </c>
      <c r="F13" s="263">
        <v>150300</v>
      </c>
      <c r="G13" s="261" t="s">
        <v>619</v>
      </c>
      <c r="H13" s="264" t="s">
        <v>620</v>
      </c>
      <c r="I13">
        <f>IFERROR(SUMPRODUCT((TableBOM[Product ID]=B13)*(TableBOM[Material Category]="CAP")*TableBOM[Item ID]),0)</f>
        <v>68</v>
      </c>
    </row>
    <row r="14" spans="1:9" ht="15" customHeight="1" x14ac:dyDescent="0.25">
      <c r="A14" s="265">
        <v>11</v>
      </c>
      <c r="B14" s="265">
        <v>6206</v>
      </c>
      <c r="C14" s="266" t="s">
        <v>50</v>
      </c>
      <c r="D14" s="266" t="s">
        <v>51</v>
      </c>
      <c r="E14" s="265" t="s">
        <v>622</v>
      </c>
      <c r="F14" s="267">
        <v>17280</v>
      </c>
      <c r="G14" s="265" t="s">
        <v>624</v>
      </c>
      <c r="H14" s="268" t="s">
        <v>625</v>
      </c>
      <c r="I14">
        <f>IFERROR(SUMPRODUCT((TableBOM[Product ID]=B14)*(TableBOM[Material Category]="CAP")*TableBOM[Item ID]),0)</f>
        <v>68</v>
      </c>
    </row>
    <row r="15" spans="1:9" ht="15" customHeight="1" x14ac:dyDescent="0.25">
      <c r="A15" s="265">
        <v>12</v>
      </c>
      <c r="B15" s="265">
        <v>3726</v>
      </c>
      <c r="C15" s="266" t="s">
        <v>26</v>
      </c>
      <c r="D15" s="266" t="s">
        <v>40</v>
      </c>
      <c r="E15" s="265" t="s">
        <v>618</v>
      </c>
      <c r="F15" s="267">
        <v>19824</v>
      </c>
      <c r="G15" s="265" t="s">
        <v>624</v>
      </c>
      <c r="H15" s="268" t="s">
        <v>625</v>
      </c>
      <c r="I15">
        <f>IFERROR(SUMPRODUCT((TableBOM[Product ID]=B15)*(TableBOM[Material Category]="CAP")*TableBOM[Item ID]),0)</f>
        <v>68</v>
      </c>
    </row>
    <row r="16" spans="1:9" ht="15" customHeight="1" x14ac:dyDescent="0.25">
      <c r="A16" s="265">
        <v>13</v>
      </c>
      <c r="B16" s="265">
        <v>3447</v>
      </c>
      <c r="C16" s="266" t="s">
        <v>26</v>
      </c>
      <c r="D16" s="266" t="s">
        <v>39</v>
      </c>
      <c r="E16" s="265" t="s">
        <v>618</v>
      </c>
      <c r="F16" s="267">
        <v>116928</v>
      </c>
      <c r="G16" s="265" t="s">
        <v>624</v>
      </c>
      <c r="H16" s="268" t="s">
        <v>625</v>
      </c>
      <c r="I16">
        <f>IFERROR(SUMPRODUCT((TableBOM[Product ID]=B16)*(TableBOM[Material Category]="CAP")*TableBOM[Item ID]),0)</f>
        <v>68</v>
      </c>
    </row>
    <row r="17" spans="1:9" ht="15" customHeight="1" x14ac:dyDescent="0.25">
      <c r="A17" s="265">
        <v>14</v>
      </c>
      <c r="B17" s="265">
        <v>5699</v>
      </c>
      <c r="C17" s="266" t="s">
        <v>26</v>
      </c>
      <c r="D17" s="266" t="s">
        <v>33</v>
      </c>
      <c r="E17" s="265" t="s">
        <v>621</v>
      </c>
      <c r="F17" s="267">
        <v>11220</v>
      </c>
      <c r="G17" s="265" t="s">
        <v>624</v>
      </c>
      <c r="H17" s="268" t="s">
        <v>625</v>
      </c>
      <c r="I17">
        <f>IFERROR(SUMPRODUCT((TableBOM[Product ID]=B17)*(TableBOM[Material Category]="CAP")*TableBOM[Item ID]),0)</f>
        <v>6971</v>
      </c>
    </row>
    <row r="18" spans="1:9" ht="15" customHeight="1" x14ac:dyDescent="0.25">
      <c r="A18" s="265">
        <v>15</v>
      </c>
      <c r="B18" s="265">
        <v>6515</v>
      </c>
      <c r="C18" s="266" t="s">
        <v>26</v>
      </c>
      <c r="D18" s="266" t="s">
        <v>62</v>
      </c>
      <c r="E18" s="265" t="s">
        <v>623</v>
      </c>
      <c r="F18" s="267">
        <v>47424</v>
      </c>
      <c r="G18" s="265" t="s">
        <v>624</v>
      </c>
      <c r="H18" s="268" t="s">
        <v>625</v>
      </c>
      <c r="I18">
        <f>IFERROR(SUMPRODUCT((TableBOM[Product ID]=B18)*(TableBOM[Material Category]="CAP")*TableBOM[Item ID]),0)</f>
        <v>1073</v>
      </c>
    </row>
    <row r="19" spans="1:9" ht="15" customHeight="1" x14ac:dyDescent="0.25">
      <c r="A19" s="265">
        <v>16</v>
      </c>
      <c r="B19" s="265">
        <v>6077</v>
      </c>
      <c r="C19" s="266" t="s">
        <v>29</v>
      </c>
      <c r="D19" s="266" t="s">
        <v>30</v>
      </c>
      <c r="E19" s="265" t="s">
        <v>621</v>
      </c>
      <c r="F19" s="267">
        <v>23460</v>
      </c>
      <c r="G19" s="265" t="s">
        <v>624</v>
      </c>
      <c r="H19" s="268" t="s">
        <v>625</v>
      </c>
      <c r="I19">
        <f>IFERROR(SUMPRODUCT((TableBOM[Product ID]=B19)*(TableBOM[Material Category]="CAP")*TableBOM[Item ID]),0)</f>
        <v>7370</v>
      </c>
    </row>
    <row r="20" spans="1:9" ht="15" customHeight="1" x14ac:dyDescent="0.25">
      <c r="A20" s="265">
        <v>17</v>
      </c>
      <c r="B20" s="265">
        <v>5814</v>
      </c>
      <c r="C20" s="266" t="s">
        <v>29</v>
      </c>
      <c r="D20" s="266" t="s">
        <v>52</v>
      </c>
      <c r="E20" s="265" t="s">
        <v>622</v>
      </c>
      <c r="F20" s="267">
        <v>23562</v>
      </c>
      <c r="G20" s="265" t="s">
        <v>624</v>
      </c>
      <c r="H20" s="268" t="s">
        <v>626</v>
      </c>
      <c r="I20">
        <f>IFERROR(SUMPRODUCT((TableBOM[Product ID]=B20)*(TableBOM[Material Category]="CAP")*TableBOM[Item ID]),0)</f>
        <v>578</v>
      </c>
    </row>
    <row r="21" spans="1:9" ht="15" customHeight="1" x14ac:dyDescent="0.25">
      <c r="A21" s="265">
        <v>18</v>
      </c>
      <c r="B21" s="265">
        <v>6228</v>
      </c>
      <c r="C21" s="266" t="s">
        <v>29</v>
      </c>
      <c r="D21" s="266" t="s">
        <v>38</v>
      </c>
      <c r="E21" s="265" t="s">
        <v>618</v>
      </c>
      <c r="F21" s="267">
        <v>13440</v>
      </c>
      <c r="G21" s="265" t="s">
        <v>624</v>
      </c>
      <c r="H21" s="268" t="s">
        <v>626</v>
      </c>
      <c r="I21">
        <f>IFERROR(SUMPRODUCT((TableBOM[Product ID]=B21)*(TableBOM[Material Category]="CAP")*TableBOM[Item ID]),0)</f>
        <v>68</v>
      </c>
    </row>
    <row r="22" spans="1:9" ht="15" customHeight="1" x14ac:dyDescent="0.25">
      <c r="A22" s="265">
        <v>19</v>
      </c>
      <c r="B22" s="265">
        <v>6530</v>
      </c>
      <c r="C22" s="266" t="s">
        <v>63</v>
      </c>
      <c r="D22" s="266" t="s">
        <v>66</v>
      </c>
      <c r="E22" s="265" t="s">
        <v>627</v>
      </c>
      <c r="F22" s="267">
        <v>4500</v>
      </c>
      <c r="G22" s="265" t="s">
        <v>624</v>
      </c>
      <c r="H22" s="268" t="s">
        <v>628</v>
      </c>
      <c r="I22">
        <f>IFERROR(SUMPRODUCT((TableBOM[Product ID]=B22)*(TableBOM[Material Category]="CAP")*TableBOM[Item ID]),0)</f>
        <v>578</v>
      </c>
    </row>
    <row r="23" spans="1:9" ht="15" customHeight="1" x14ac:dyDescent="0.25">
      <c r="A23" s="265">
        <v>20</v>
      </c>
      <c r="B23" s="265">
        <v>5782</v>
      </c>
      <c r="C23" s="266" t="s">
        <v>59</v>
      </c>
      <c r="D23" s="266" t="s">
        <v>60</v>
      </c>
      <c r="E23" s="265" t="s">
        <v>623</v>
      </c>
      <c r="F23" s="267">
        <v>10500</v>
      </c>
      <c r="G23" s="265" t="s">
        <v>624</v>
      </c>
      <c r="H23" s="268" t="s">
        <v>629</v>
      </c>
      <c r="I23">
        <f>IFERROR(SUMPRODUCT((TableBOM[Product ID]=B23)*(TableBOM[Material Category]="CAP")*TableBOM[Item ID]),0)</f>
        <v>1285</v>
      </c>
    </row>
    <row r="24" spans="1:9" ht="15" customHeight="1" x14ac:dyDescent="0.25">
      <c r="A24" s="265">
        <v>21</v>
      </c>
      <c r="B24" s="265">
        <v>6624</v>
      </c>
      <c r="C24" s="266" t="s">
        <v>26</v>
      </c>
      <c r="D24" s="266" t="s">
        <v>28</v>
      </c>
      <c r="E24" s="265" t="s">
        <v>630</v>
      </c>
      <c r="F24" s="267">
        <v>5292</v>
      </c>
      <c r="G24" s="265" t="s">
        <v>624</v>
      </c>
      <c r="H24" s="268" t="s">
        <v>629</v>
      </c>
      <c r="I24">
        <f>IFERROR(SUMPRODUCT((TableBOM[Product ID]=B24)*(TableBOM[Material Category]="CAP")*TableBOM[Item ID]),0)</f>
        <v>80</v>
      </c>
    </row>
    <row r="25" spans="1:9" ht="15" customHeight="1" x14ac:dyDescent="0.25">
      <c r="A25" s="265">
        <v>22</v>
      </c>
      <c r="B25" s="265">
        <v>5699</v>
      </c>
      <c r="C25" s="266" t="s">
        <v>26</v>
      </c>
      <c r="D25" s="266" t="s">
        <v>33</v>
      </c>
      <c r="E25" s="265" t="s">
        <v>621</v>
      </c>
      <c r="F25" s="267">
        <v>67530</v>
      </c>
      <c r="G25" s="265" t="s">
        <v>624</v>
      </c>
      <c r="H25" s="268" t="s">
        <v>629</v>
      </c>
      <c r="I25">
        <f>IFERROR(SUMPRODUCT((TableBOM[Product ID]=B25)*(TableBOM[Material Category]="CAP")*TableBOM[Item ID]),0)</f>
        <v>6971</v>
      </c>
    </row>
    <row r="26" spans="1:9" ht="15" customHeight="1" x14ac:dyDescent="0.25">
      <c r="A26" s="265">
        <v>23</v>
      </c>
      <c r="B26" s="265">
        <v>5731</v>
      </c>
      <c r="C26" s="266" t="s">
        <v>26</v>
      </c>
      <c r="D26" s="266" t="s">
        <v>34</v>
      </c>
      <c r="E26" s="265" t="s">
        <v>621</v>
      </c>
      <c r="F26" s="267">
        <v>58000</v>
      </c>
      <c r="G26" s="265" t="s">
        <v>624</v>
      </c>
      <c r="H26" s="268" t="s">
        <v>629</v>
      </c>
      <c r="I26">
        <f>IFERROR(SUMPRODUCT((TableBOM[Product ID]=B26)*(TableBOM[Material Category]="CAP")*TableBOM[Item ID]),0)</f>
        <v>6971</v>
      </c>
    </row>
    <row r="27" spans="1:9" ht="15" customHeight="1" x14ac:dyDescent="0.25">
      <c r="A27" s="269"/>
      <c r="B27" s="269"/>
      <c r="C27" s="270"/>
      <c r="D27" s="270"/>
      <c r="E27" s="269"/>
      <c r="F27" s="271"/>
      <c r="G27" s="269"/>
      <c r="H27" s="272"/>
      <c r="I27">
        <f>IFERROR(SUMPRODUCT((TableBOM[Product ID]=B27)*(TableBOM[Material Category]="CAP")*TableBOM[Item ID]),0)</f>
        <v>0</v>
      </c>
    </row>
    <row r="28" spans="1:9" ht="15" customHeight="1" x14ac:dyDescent="0.25">
      <c r="A28" s="273"/>
      <c r="B28" s="273"/>
      <c r="C28" s="273"/>
      <c r="D28" s="273"/>
      <c r="E28" s="273"/>
      <c r="F28" s="273"/>
      <c r="G28" s="273"/>
      <c r="H28" s="273"/>
      <c r="I28">
        <f>IFERROR(SUMPRODUCT((TableBOM[Product ID]=B28)*(TableBOM[Material Category]="CAP")*TableBOM[Item ID]),0)</f>
        <v>0</v>
      </c>
    </row>
    <row r="29" spans="1:9" ht="15" customHeight="1" x14ac:dyDescent="0.25">
      <c r="A29" s="273"/>
      <c r="B29" s="273"/>
      <c r="C29" s="273"/>
      <c r="D29" s="273"/>
      <c r="E29" s="273"/>
      <c r="F29" s="273"/>
      <c r="G29" s="273"/>
      <c r="H29" s="273"/>
      <c r="I29">
        <f>IFERROR(SUMPRODUCT((TableBOM[Product ID]=B29)*(TableBOM[Material Category]="CAP")*TableBOM[Item ID]),0)</f>
        <v>0</v>
      </c>
    </row>
    <row r="30" spans="1:9" ht="15" customHeight="1" x14ac:dyDescent="0.25">
      <c r="A30" s="273"/>
      <c r="B30" s="273"/>
      <c r="C30" s="273"/>
      <c r="D30" s="273"/>
      <c r="E30" s="273"/>
      <c r="F30" s="273"/>
      <c r="G30" s="273"/>
      <c r="H30" s="273"/>
      <c r="I30">
        <f>IFERROR(SUMPRODUCT((TableBOM[Product ID]=B30)*(TableBOM[Material Category]="CAP")*TableBOM[Item ID]),0)</f>
        <v>0</v>
      </c>
    </row>
    <row r="31" spans="1:9" ht="15" customHeight="1" x14ac:dyDescent="0.25">
      <c r="A31" s="273"/>
      <c r="B31" s="273"/>
      <c r="C31" s="273"/>
      <c r="D31" s="273"/>
      <c r="E31" s="273"/>
      <c r="F31" s="273"/>
      <c r="G31" s="273"/>
      <c r="H31" s="273"/>
      <c r="I31">
        <f>IFERROR(SUMPRODUCT((TableBOM[Product ID]=B31)*(TableBOM[Material Category]="CAP")*TableBOM[Item ID]),0)</f>
        <v>0</v>
      </c>
    </row>
    <row r="32" spans="1:9" ht="15" customHeight="1" x14ac:dyDescent="0.25">
      <c r="A32" s="273"/>
      <c r="B32" s="273"/>
      <c r="C32" s="273"/>
      <c r="D32" s="273"/>
      <c r="E32" s="273"/>
      <c r="F32" s="273"/>
      <c r="G32" s="273"/>
      <c r="H32" s="273"/>
      <c r="I32">
        <f>IFERROR(SUMPRODUCT((TableBOM[Product ID]=B32)*(TableBOM[Material Category]="CAP")*TableBOM[Item ID]),0)</f>
        <v>0</v>
      </c>
    </row>
    <row r="33" spans="1:9" ht="15" customHeight="1" x14ac:dyDescent="0.25">
      <c r="A33" s="273"/>
      <c r="B33" s="273"/>
      <c r="C33" s="273"/>
      <c r="D33" s="273"/>
      <c r="E33" s="273"/>
      <c r="F33" s="273"/>
      <c r="G33" s="273"/>
      <c r="H33" s="273"/>
      <c r="I33">
        <f>IFERROR(SUMPRODUCT((TableBOM[Product ID]=B33)*(TableBOM[Material Category]="CAP")*TableBOM[Item ID]),0)</f>
        <v>0</v>
      </c>
    </row>
    <row r="34" spans="1:9" ht="15" customHeight="1" x14ac:dyDescent="0.25">
      <c r="A34" s="273"/>
      <c r="B34" s="273"/>
      <c r="C34" s="273"/>
      <c r="D34" s="273"/>
      <c r="E34" s="273"/>
      <c r="F34" s="273"/>
      <c r="G34" s="273"/>
      <c r="H34" s="273"/>
      <c r="I34">
        <f>IFERROR(SUMPRODUCT((TableBOM[Product ID]=B34)*(TableBOM[Material Category]="CAP")*TableBOM[Item ID]),0)</f>
        <v>0</v>
      </c>
    </row>
    <row r="35" spans="1:9" ht="15" customHeight="1" x14ac:dyDescent="0.25">
      <c r="A35" s="273"/>
      <c r="B35" s="273"/>
      <c r="C35" s="273"/>
      <c r="D35" s="273"/>
      <c r="E35" s="273"/>
      <c r="F35" s="273"/>
      <c r="G35" s="273"/>
      <c r="H35" s="273"/>
      <c r="I35">
        <f>IFERROR(SUMPRODUCT((TableBOM[Product ID]=B35)*(TableBOM[Material Category]="CAP")*TableBOM[Item ID]),0)</f>
        <v>0</v>
      </c>
    </row>
    <row r="36" spans="1:9" ht="15" customHeight="1" x14ac:dyDescent="0.25">
      <c r="A36" s="273"/>
      <c r="B36" s="273"/>
      <c r="C36" s="273"/>
      <c r="D36" s="273"/>
      <c r="E36" s="273"/>
      <c r="F36" s="273"/>
      <c r="G36" s="273"/>
      <c r="H36" s="273"/>
      <c r="I36">
        <f>IFERROR(SUMPRODUCT((TableBOM[Product ID]=B36)*(TableBOM[Material Category]="CAP")*TableBOM[Item ID]),0)</f>
        <v>0</v>
      </c>
    </row>
    <row r="37" spans="1:9" ht="15" customHeight="1" x14ac:dyDescent="0.25">
      <c r="A37" s="273"/>
      <c r="B37" s="273"/>
      <c r="C37" s="273"/>
      <c r="D37" s="273"/>
      <c r="E37" s="273"/>
      <c r="F37" s="273"/>
      <c r="G37" s="273"/>
      <c r="H37" s="273"/>
      <c r="I37">
        <f>IFERROR(SUMPRODUCT((TableBOM[Product ID]=B37)*(TableBOM[Material Category]="CAP")*TableBOM[Item ID]),0)</f>
        <v>0</v>
      </c>
    </row>
    <row r="38" spans="1:9" ht="15" customHeight="1" x14ac:dyDescent="0.25">
      <c r="A38" s="273"/>
      <c r="B38" s="273"/>
      <c r="C38" s="273"/>
      <c r="D38" s="273"/>
      <c r="E38" s="273"/>
      <c r="F38" s="273"/>
      <c r="G38" s="273"/>
      <c r="H38" s="273"/>
      <c r="I38">
        <f>IFERROR(SUMPRODUCT((TableBOM[Product ID]=B38)*(TableBOM[Material Category]="CAP")*TableBOM[Item ID]),0)</f>
        <v>0</v>
      </c>
    </row>
    <row r="39" spans="1:9" ht="15" customHeight="1" x14ac:dyDescent="0.25">
      <c r="A39" s="273"/>
      <c r="B39" s="273"/>
      <c r="C39" s="273"/>
      <c r="D39" s="273"/>
      <c r="E39" s="273"/>
      <c r="F39" s="273"/>
      <c r="G39" s="273"/>
      <c r="H39" s="273"/>
      <c r="I39">
        <f>IFERROR(SUMPRODUCT((TableBOM[Product ID]=B39)*(TableBOM[Material Category]="CAP")*TableBOM[Item ID]),0)</f>
        <v>0</v>
      </c>
    </row>
    <row r="40" spans="1:9" ht="15" customHeight="1" x14ac:dyDescent="0.25">
      <c r="A40" s="273"/>
      <c r="B40" s="273"/>
      <c r="C40" s="273"/>
      <c r="D40" s="273"/>
      <c r="E40" s="273"/>
      <c r="F40" s="273"/>
      <c r="G40" s="273"/>
      <c r="H40" s="273"/>
      <c r="I40">
        <f>IFERROR(SUMPRODUCT((TableBOM[Product ID]=B40)*(TableBOM[Material Category]="CAP")*TableBOM[Item ID]),0)</f>
        <v>0</v>
      </c>
    </row>
    <row r="41" spans="1:9" ht="15" customHeight="1" x14ac:dyDescent="0.25">
      <c r="A41" s="273"/>
      <c r="B41" s="273"/>
      <c r="C41" s="273"/>
      <c r="D41" s="273"/>
      <c r="E41" s="273"/>
      <c r="F41" s="273"/>
      <c r="G41" s="273"/>
      <c r="H41" s="273"/>
      <c r="I41">
        <f>IFERROR(SUMPRODUCT((TableBOM[Product ID]=B41)*(TableBOM[Material Category]="CAP")*TableBOM[Item ID]),0)</f>
        <v>0</v>
      </c>
    </row>
    <row r="42" spans="1:9" ht="15" customHeight="1" x14ac:dyDescent="0.25">
      <c r="A42" s="273"/>
      <c r="B42" s="273"/>
      <c r="C42" s="273"/>
      <c r="D42" s="273"/>
      <c r="E42" s="273"/>
      <c r="F42" s="273"/>
      <c r="G42" s="273"/>
      <c r="H42" s="273"/>
      <c r="I42">
        <f>IFERROR(SUMPRODUCT((TableBOM[Product ID]=B42)*(TableBOM[Material Category]="CAP")*TableBOM[Item ID]),0)</f>
        <v>0</v>
      </c>
    </row>
    <row r="43" spans="1:9" ht="15" customHeight="1" x14ac:dyDescent="0.25">
      <c r="A43" s="273"/>
      <c r="B43" s="273"/>
      <c r="C43" s="273"/>
      <c r="D43" s="273"/>
      <c r="E43" s="273"/>
      <c r="F43" s="273"/>
      <c r="G43" s="273"/>
      <c r="H43" s="273"/>
      <c r="I43">
        <f>IFERROR(SUMPRODUCT((TableBOM[Product ID]=B43)*(TableBOM[Material Category]="CAP")*TableBOM[Item ID]),0)</f>
        <v>0</v>
      </c>
    </row>
    <row r="44" spans="1:9" ht="15" customHeight="1" x14ac:dyDescent="0.25">
      <c r="A44" s="273"/>
      <c r="B44" s="273"/>
      <c r="C44" s="273"/>
      <c r="D44" s="273"/>
      <c r="E44" s="273"/>
      <c r="F44" s="273"/>
      <c r="G44" s="273"/>
      <c r="H44" s="273"/>
      <c r="I44">
        <f>IFERROR(SUMPRODUCT((TableBOM[Product ID]=B44)*(TableBOM[Material Category]="CAP")*TableBOM[Item ID]),0)</f>
        <v>0</v>
      </c>
    </row>
    <row r="45" spans="1:9" ht="15" customHeight="1" x14ac:dyDescent="0.25">
      <c r="A45" s="273"/>
      <c r="B45" s="273"/>
      <c r="C45" s="273"/>
      <c r="D45" s="273"/>
      <c r="E45" s="273"/>
      <c r="F45" s="273"/>
      <c r="G45" s="273"/>
      <c r="H45" s="273"/>
      <c r="I45">
        <f>IFERROR(SUMPRODUCT((TableBOM[Product ID]=B45)*(TableBOM[Material Category]="CAP")*TableBOM[Item ID]),0)</f>
        <v>0</v>
      </c>
    </row>
    <row r="46" spans="1:9" ht="15" customHeight="1" x14ac:dyDescent="0.25">
      <c r="A46" s="273"/>
      <c r="B46" s="273"/>
      <c r="C46" s="273"/>
      <c r="D46" s="273"/>
      <c r="E46" s="273"/>
      <c r="F46" s="273"/>
      <c r="G46" s="273"/>
      <c r="H46" s="273"/>
      <c r="I46">
        <f>IFERROR(SUMPRODUCT((TableBOM[Product ID]=B46)*(TableBOM[Material Category]="CAP")*TableBOM[Item ID]),0)</f>
        <v>0</v>
      </c>
    </row>
    <row r="47" spans="1:9" ht="15" customHeight="1" x14ac:dyDescent="0.25">
      <c r="A47" s="273"/>
      <c r="B47" s="273"/>
      <c r="C47" s="273"/>
      <c r="D47" s="273"/>
      <c r="E47" s="273"/>
      <c r="F47" s="273"/>
      <c r="G47" s="273"/>
      <c r="H47" s="273"/>
      <c r="I47">
        <f>IFERROR(SUMPRODUCT((TableBOM[Product ID]=B47)*(TableBOM[Material Category]="CAP")*TableBOM[Item ID]),0)</f>
        <v>0</v>
      </c>
    </row>
    <row r="48" spans="1:9" ht="15" customHeight="1" x14ac:dyDescent="0.25">
      <c r="A48" s="273"/>
      <c r="B48" s="273"/>
      <c r="C48" s="273"/>
      <c r="D48" s="273"/>
      <c r="E48" s="273"/>
      <c r="F48" s="273"/>
      <c r="G48" s="273"/>
      <c r="H48" s="273"/>
      <c r="I48">
        <f>IFERROR(SUMPRODUCT((TableBOM[Product ID]=B48)*(TableBOM[Material Category]="CAP")*TableBOM[Item ID]),0)</f>
        <v>0</v>
      </c>
    </row>
    <row r="49" spans="1:9" ht="15" customHeight="1" x14ac:dyDescent="0.25">
      <c r="A49" s="273"/>
      <c r="B49" s="273"/>
      <c r="C49" s="273"/>
      <c r="D49" s="273"/>
      <c r="E49" s="273"/>
      <c r="F49" s="273"/>
      <c r="G49" s="273"/>
      <c r="H49" s="273"/>
      <c r="I49">
        <f>IFERROR(SUMPRODUCT((TableBOM[Product ID]=B49)*(TableBOM[Material Category]="CAP")*TableBOM[Item ID]),0)</f>
        <v>0</v>
      </c>
    </row>
    <row r="50" spans="1:9" ht="15" customHeight="1" x14ac:dyDescent="0.25">
      <c r="A50" s="273"/>
      <c r="B50" s="273"/>
      <c r="C50" s="273"/>
      <c r="D50" s="273"/>
      <c r="E50" s="273"/>
      <c r="F50" s="273"/>
      <c r="G50" s="273"/>
      <c r="H50" s="273"/>
      <c r="I50">
        <f>IFERROR(SUMPRODUCT((TableBOM[Product ID]=B50)*(TableBOM[Material Category]="CAP")*TableBOM[Item ID]),0)</f>
        <v>0</v>
      </c>
    </row>
    <row r="51" spans="1:9" ht="15" customHeight="1" x14ac:dyDescent="0.25">
      <c r="A51" s="273"/>
      <c r="B51" s="273"/>
      <c r="C51" s="273"/>
      <c r="D51" s="273"/>
      <c r="E51" s="273"/>
      <c r="F51" s="273"/>
      <c r="G51" s="273"/>
      <c r="H51" s="273"/>
      <c r="I51">
        <f>IFERROR(SUMPRODUCT((TableBOM[Product ID]=B51)*(TableBOM[Material Category]="CAP")*TableBOM[Item ID]),0)</f>
        <v>0</v>
      </c>
    </row>
    <row r="52" spans="1:9" ht="15" customHeight="1" x14ac:dyDescent="0.25">
      <c r="A52" s="273"/>
      <c r="B52" s="273"/>
      <c r="C52" s="273"/>
      <c r="D52" s="273"/>
      <c r="E52" s="273"/>
      <c r="F52" s="273"/>
      <c r="G52" s="273"/>
      <c r="H52" s="273"/>
      <c r="I52">
        <f>IFERROR(SUMPRODUCT((TableBOM[Product ID]=B52)*(TableBOM[Material Category]="CAP")*TableBOM[Item ID]),0)</f>
        <v>0</v>
      </c>
    </row>
    <row r="53" spans="1:9" ht="15" customHeight="1" x14ac:dyDescent="0.25">
      <c r="A53" s="273"/>
      <c r="B53" s="273"/>
      <c r="C53" s="273"/>
      <c r="D53" s="273"/>
      <c r="E53" s="273"/>
      <c r="F53" s="273"/>
      <c r="G53" s="273"/>
      <c r="H53" s="273"/>
      <c r="I53">
        <f>IFERROR(SUMPRODUCT((TableBOM[Product ID]=B53)*(TableBOM[Material Category]="CAP")*TableBOM[Item ID]),0)</f>
        <v>0</v>
      </c>
    </row>
    <row r="54" spans="1:9" ht="15" customHeight="1" x14ac:dyDescent="0.25">
      <c r="A54" s="273"/>
      <c r="B54" s="273"/>
      <c r="C54" s="273"/>
      <c r="D54" s="273"/>
      <c r="E54" s="273"/>
      <c r="F54" s="273"/>
      <c r="G54" s="273"/>
      <c r="H54" s="273"/>
      <c r="I54">
        <f>IFERROR(SUMPRODUCT((TableBOM[Product ID]=B54)*(TableBOM[Material Category]="CAP")*TableBOM[Item ID]),0)</f>
        <v>0</v>
      </c>
    </row>
    <row r="55" spans="1:9" ht="15" customHeight="1" x14ac:dyDescent="0.25">
      <c r="A55" s="273"/>
      <c r="B55" s="273"/>
      <c r="C55" s="273"/>
      <c r="D55" s="273"/>
      <c r="E55" s="273"/>
      <c r="F55" s="273"/>
      <c r="G55" s="273"/>
      <c r="H55" s="273"/>
      <c r="I55">
        <f>IFERROR(SUMPRODUCT((TableBOM[Product ID]=B55)*(TableBOM[Material Category]="CAP")*TableBOM[Item ID]),0)</f>
        <v>0</v>
      </c>
    </row>
    <row r="56" spans="1:9" ht="15" customHeight="1" x14ac:dyDescent="0.25">
      <c r="A56" s="273"/>
      <c r="B56" s="273"/>
      <c r="C56" s="273"/>
      <c r="D56" s="273"/>
      <c r="E56" s="273"/>
      <c r="F56" s="273"/>
      <c r="G56" s="273"/>
      <c r="H56" s="273"/>
      <c r="I56">
        <f>IFERROR(SUMPRODUCT((TableBOM[Product ID]=B56)*(TableBOM[Material Category]="CAP")*TableBOM[Item ID]),0)</f>
        <v>0</v>
      </c>
    </row>
    <row r="57" spans="1:9" ht="15" customHeight="1" x14ac:dyDescent="0.25">
      <c r="A57" s="273"/>
      <c r="B57" s="273"/>
      <c r="C57" s="273"/>
      <c r="D57" s="273"/>
      <c r="E57" s="273"/>
      <c r="F57" s="273"/>
      <c r="G57" s="273"/>
      <c r="H57" s="273"/>
      <c r="I57">
        <f>IFERROR(SUMPRODUCT((TableBOM[Product ID]=B57)*(TableBOM[Material Category]="CAP")*TableBOM[Item ID]),0)</f>
        <v>0</v>
      </c>
    </row>
    <row r="58" spans="1:9" ht="15" customHeight="1" x14ac:dyDescent="0.25">
      <c r="A58" s="273"/>
      <c r="B58" s="273"/>
      <c r="C58" s="273"/>
      <c r="D58" s="273"/>
      <c r="E58" s="273"/>
      <c r="F58" s="273"/>
      <c r="G58" s="273"/>
      <c r="H58" s="273"/>
      <c r="I58">
        <f>IFERROR(SUMPRODUCT((TableBOM[Product ID]=B58)*(TableBOM[Material Category]="CAP")*TableBOM[Item ID]),0)</f>
        <v>0</v>
      </c>
    </row>
    <row r="59" spans="1:9" ht="15" customHeight="1" x14ac:dyDescent="0.25">
      <c r="A59" s="273"/>
      <c r="B59" s="273"/>
      <c r="C59" s="273"/>
      <c r="D59" s="273"/>
      <c r="E59" s="273"/>
      <c r="F59" s="273"/>
      <c r="G59" s="273"/>
      <c r="H59" s="273"/>
      <c r="I59">
        <f>IFERROR(SUMPRODUCT((TableBOM[Product ID]=B59)*(TableBOM[Material Category]="CAP")*TableBOM[Item ID]),0)</f>
        <v>0</v>
      </c>
    </row>
    <row r="60" spans="1:9" ht="15" customHeight="1" x14ac:dyDescent="0.25">
      <c r="A60" s="273"/>
      <c r="B60" s="273"/>
      <c r="C60" s="273"/>
      <c r="D60" s="273"/>
      <c r="E60" s="273"/>
      <c r="F60" s="273"/>
      <c r="G60" s="273"/>
      <c r="H60" s="273"/>
      <c r="I60">
        <f>IFERROR(SUMPRODUCT((TableBOM[Product ID]=B60)*(TableBOM[Material Category]="CAP")*TableBOM[Item ID]),0)</f>
        <v>0</v>
      </c>
    </row>
    <row r="61" spans="1:9" ht="15" customHeight="1" x14ac:dyDescent="0.25">
      <c r="A61" s="273"/>
      <c r="B61" s="273"/>
      <c r="C61" s="273"/>
      <c r="D61" s="273"/>
      <c r="E61" s="273"/>
      <c r="F61" s="273"/>
      <c r="G61" s="273"/>
      <c r="H61" s="273"/>
      <c r="I61">
        <f>IFERROR(SUMPRODUCT((TableBOM[Product ID]=B61)*(TableBOM[Material Category]="CAP")*TableBOM[Item ID]),0)</f>
        <v>0</v>
      </c>
    </row>
    <row r="62" spans="1:9" ht="15" customHeight="1" x14ac:dyDescent="0.25">
      <c r="A62" s="273"/>
      <c r="B62" s="273"/>
      <c r="C62" s="273"/>
      <c r="D62" s="273"/>
      <c r="E62" s="273"/>
      <c r="F62" s="273"/>
      <c r="G62" s="273"/>
      <c r="H62" s="273"/>
      <c r="I62">
        <f>IFERROR(SUMPRODUCT((TableBOM[Product ID]=B62)*(TableBOM[Material Category]="CAP")*TableBOM[Item ID]),0)</f>
        <v>0</v>
      </c>
    </row>
    <row r="63" spans="1:9" ht="15" customHeight="1" x14ac:dyDescent="0.25">
      <c r="A63" s="273"/>
      <c r="B63" s="273"/>
      <c r="C63" s="273"/>
      <c r="D63" s="273"/>
      <c r="E63" s="273"/>
      <c r="F63" s="273"/>
      <c r="G63" s="273"/>
      <c r="H63" s="273"/>
      <c r="I63">
        <f>IFERROR(SUMPRODUCT((TableBOM[Product ID]=B63)*(TableBOM[Material Category]="CAP")*TableBOM[Item ID]),0)</f>
        <v>0</v>
      </c>
    </row>
    <row r="64" spans="1:9" ht="15" customHeight="1" x14ac:dyDescent="0.25">
      <c r="A64" s="273"/>
      <c r="B64" s="273"/>
      <c r="C64" s="273"/>
      <c r="D64" s="273"/>
      <c r="E64" s="273"/>
      <c r="F64" s="273"/>
      <c r="G64" s="273"/>
      <c r="H64" s="273"/>
      <c r="I64">
        <f>IFERROR(SUMPRODUCT((TableBOM[Product ID]=B64)*(TableBOM[Material Category]="CAP")*TableBOM[Item ID]),0)</f>
        <v>0</v>
      </c>
    </row>
    <row r="65" spans="1:9" ht="15" customHeight="1" x14ac:dyDescent="0.25">
      <c r="A65" s="273"/>
      <c r="B65" s="273"/>
      <c r="C65" s="273"/>
      <c r="D65" s="273"/>
      <c r="E65" s="273"/>
      <c r="F65" s="273"/>
      <c r="G65" s="273"/>
      <c r="H65" s="273"/>
      <c r="I65">
        <f>IFERROR(SUMPRODUCT((TableBOM[Product ID]=B65)*(TableBOM[Material Category]="CAP")*TableBOM[Item ID]),0)</f>
        <v>0</v>
      </c>
    </row>
    <row r="66" spans="1:9" ht="15" customHeight="1" x14ac:dyDescent="0.25">
      <c r="A66" s="273"/>
      <c r="B66" s="273"/>
      <c r="C66" s="273"/>
      <c r="D66" s="273"/>
      <c r="E66" s="273"/>
      <c r="F66" s="273"/>
      <c r="G66" s="273"/>
      <c r="H66" s="273"/>
      <c r="I66">
        <f>IFERROR(SUMPRODUCT((TableBOM[Product ID]=B66)*(TableBOM[Material Category]="CAP")*TableBOM[Item ID]),0)</f>
        <v>0</v>
      </c>
    </row>
    <row r="67" spans="1:9" ht="15" customHeight="1" x14ac:dyDescent="0.25">
      <c r="A67" s="273"/>
      <c r="B67" s="273"/>
      <c r="C67" s="273"/>
      <c r="D67" s="273"/>
      <c r="E67" s="273"/>
      <c r="F67" s="273"/>
      <c r="G67" s="273"/>
      <c r="H67" s="273"/>
      <c r="I67">
        <f>IFERROR(SUMPRODUCT((TableBOM[Product ID]=B67)*(TableBOM[Material Category]="CAP")*TableBOM[Item ID]),0)</f>
        <v>0</v>
      </c>
    </row>
    <row r="68" spans="1:9" ht="15" customHeight="1" x14ac:dyDescent="0.25">
      <c r="A68" s="273"/>
      <c r="B68" s="273"/>
      <c r="C68" s="273"/>
      <c r="D68" s="273"/>
      <c r="E68" s="273"/>
      <c r="F68" s="273"/>
      <c r="G68" s="273"/>
      <c r="H68" s="273"/>
      <c r="I68">
        <f>IFERROR(SUMPRODUCT((TableBOM[Product ID]=B68)*(TableBOM[Material Category]="CAP")*TableBOM[Item ID]),0)</f>
        <v>0</v>
      </c>
    </row>
    <row r="69" spans="1:9" ht="15" customHeight="1" x14ac:dyDescent="0.25">
      <c r="A69" s="273"/>
      <c r="B69" s="273"/>
      <c r="C69" s="273"/>
      <c r="D69" s="273"/>
      <c r="E69" s="273"/>
      <c r="F69" s="273"/>
      <c r="G69" s="273"/>
      <c r="H69" s="273"/>
      <c r="I69">
        <f>IFERROR(SUMPRODUCT((TableBOM[Product ID]=B69)*(TableBOM[Material Category]="CAP")*TableBOM[Item ID]),0)</f>
        <v>0</v>
      </c>
    </row>
    <row r="70" spans="1:9" ht="15" customHeight="1" x14ac:dyDescent="0.25">
      <c r="A70" s="273"/>
      <c r="B70" s="273"/>
      <c r="C70" s="273"/>
      <c r="D70" s="273"/>
      <c r="E70" s="273"/>
      <c r="F70" s="273"/>
      <c r="G70" s="273"/>
      <c r="H70" s="273"/>
      <c r="I70">
        <f>IFERROR(SUMPRODUCT((TableBOM[Product ID]=B70)*(TableBOM[Material Category]="CAP")*TableBOM[Item ID]),0)</f>
        <v>0</v>
      </c>
    </row>
    <row r="71" spans="1:9" ht="15" customHeight="1" x14ac:dyDescent="0.25">
      <c r="A71" s="273"/>
      <c r="B71" s="273"/>
      <c r="C71" s="273"/>
      <c r="D71" s="273"/>
      <c r="E71" s="273"/>
      <c r="F71" s="273"/>
      <c r="G71" s="273"/>
      <c r="H71" s="273"/>
      <c r="I71">
        <f>IFERROR(SUMPRODUCT((TableBOM[Product ID]=B71)*(TableBOM[Material Category]="CAP")*TableBOM[Item ID]),0)</f>
        <v>0</v>
      </c>
    </row>
    <row r="72" spans="1:9" ht="15" customHeight="1" x14ac:dyDescent="0.25">
      <c r="A72" s="273"/>
      <c r="B72" s="273"/>
      <c r="C72" s="273"/>
      <c r="D72" s="273"/>
      <c r="E72" s="273"/>
      <c r="F72" s="273"/>
      <c r="G72" s="273"/>
      <c r="H72" s="273"/>
      <c r="I72">
        <f>IFERROR(SUMPRODUCT((TableBOM[Product ID]=B72)*(TableBOM[Material Category]="CAP")*TableBOM[Item ID]),0)</f>
        <v>0</v>
      </c>
    </row>
    <row r="73" spans="1:9" ht="15" customHeight="1" x14ac:dyDescent="0.25">
      <c r="A73" s="273"/>
      <c r="B73" s="273"/>
      <c r="C73" s="273"/>
      <c r="D73" s="273"/>
      <c r="E73" s="273"/>
      <c r="F73" s="273"/>
      <c r="G73" s="273"/>
      <c r="H73" s="273"/>
      <c r="I73">
        <f>IFERROR(SUMPRODUCT((TableBOM[Product ID]=B73)*(TableBOM[Material Category]="CAP")*TableBOM[Item ID]),0)</f>
        <v>0</v>
      </c>
    </row>
    <row r="74" spans="1:9" ht="15" customHeight="1" x14ac:dyDescent="0.25">
      <c r="A74" s="273"/>
      <c r="B74" s="273"/>
      <c r="C74" s="273"/>
      <c r="D74" s="273"/>
      <c r="E74" s="273"/>
      <c r="F74" s="273"/>
      <c r="G74" s="273"/>
      <c r="H74" s="273"/>
      <c r="I74">
        <f>IFERROR(SUMPRODUCT((TableBOM[Product ID]=B74)*(TableBOM[Material Category]="CAP")*TableBOM[Item ID]),0)</f>
        <v>0</v>
      </c>
    </row>
    <row r="75" spans="1:9" ht="15" customHeight="1" x14ac:dyDescent="0.25">
      <c r="A75" s="273"/>
      <c r="B75" s="273"/>
      <c r="C75" s="273"/>
      <c r="D75" s="273"/>
      <c r="E75" s="273"/>
      <c r="F75" s="273"/>
      <c r="G75" s="273"/>
      <c r="H75" s="273"/>
      <c r="I75">
        <f>IFERROR(SUMPRODUCT((TableBOM[Product ID]=B75)*(TableBOM[Material Category]="CAP")*TableBOM[Item ID]),0)</f>
        <v>0</v>
      </c>
    </row>
    <row r="76" spans="1:9" ht="15" customHeight="1" x14ac:dyDescent="0.25">
      <c r="A76" s="273"/>
      <c r="B76" s="273"/>
      <c r="C76" s="273"/>
      <c r="D76" s="273"/>
      <c r="E76" s="273"/>
      <c r="F76" s="273"/>
      <c r="G76" s="273"/>
      <c r="H76" s="273"/>
      <c r="I76">
        <f>IFERROR(SUMPRODUCT((TableBOM[Product ID]=B76)*(TableBOM[Material Category]="CAP")*TableBOM[Item ID]),0)</f>
        <v>0</v>
      </c>
    </row>
    <row r="77" spans="1:9" ht="15" customHeight="1" x14ac:dyDescent="0.25">
      <c r="A77" s="273"/>
      <c r="B77" s="273"/>
      <c r="C77" s="273"/>
      <c r="D77" s="273"/>
      <c r="E77" s="273"/>
      <c r="F77" s="273"/>
      <c r="G77" s="273"/>
      <c r="H77" s="273"/>
      <c r="I77">
        <f>IFERROR(SUMPRODUCT((TableBOM[Product ID]=B77)*(TableBOM[Material Category]="CAP")*TableBOM[Item ID]),0)</f>
        <v>0</v>
      </c>
    </row>
    <row r="78" spans="1:9" ht="15" customHeight="1" x14ac:dyDescent="0.25">
      <c r="A78" s="273"/>
      <c r="B78" s="273"/>
      <c r="C78" s="273"/>
      <c r="D78" s="273"/>
      <c r="E78" s="273"/>
      <c r="F78" s="273"/>
      <c r="G78" s="273"/>
      <c r="H78" s="273"/>
      <c r="I78">
        <f>IFERROR(SUMPRODUCT((TableBOM[Product ID]=B78)*(TableBOM[Material Category]="CAP")*TableBOM[Item ID]),0)</f>
        <v>0</v>
      </c>
    </row>
    <row r="79" spans="1:9" ht="15" customHeight="1" x14ac:dyDescent="0.25">
      <c r="A79" s="273"/>
      <c r="B79" s="273"/>
      <c r="C79" s="273"/>
      <c r="D79" s="273"/>
      <c r="E79" s="273"/>
      <c r="F79" s="273"/>
      <c r="G79" s="273"/>
      <c r="H79" s="273"/>
      <c r="I79">
        <f>IFERROR(SUMPRODUCT((TableBOM[Product ID]=B79)*(TableBOM[Material Category]="CAP")*TableBOM[Item ID]),0)</f>
        <v>0</v>
      </c>
    </row>
    <row r="80" spans="1:9" ht="15" customHeight="1" x14ac:dyDescent="0.25">
      <c r="A80" s="273"/>
      <c r="B80" s="273"/>
      <c r="C80" s="273"/>
      <c r="D80" s="273"/>
      <c r="E80" s="273"/>
      <c r="F80" s="273"/>
      <c r="G80" s="273"/>
      <c r="H80" s="273"/>
      <c r="I80">
        <f>IFERROR(SUMPRODUCT((TableBOM[Product ID]=B80)*(TableBOM[Material Category]="CAP")*TableBOM[Item ID]),0)</f>
        <v>0</v>
      </c>
    </row>
    <row r="81" spans="1:9" ht="15" customHeight="1" x14ac:dyDescent="0.25">
      <c r="A81" s="273"/>
      <c r="B81" s="273"/>
      <c r="C81" s="273"/>
      <c r="D81" s="273"/>
      <c r="E81" s="273"/>
      <c r="F81" s="273"/>
      <c r="G81" s="273"/>
      <c r="H81" s="273"/>
      <c r="I81">
        <f>IFERROR(SUMPRODUCT((TableBOM[Product ID]=B81)*(TableBOM[Material Category]="CAP")*TableBOM[Item ID]),0)</f>
        <v>0</v>
      </c>
    </row>
    <row r="82" spans="1:9" ht="15" customHeight="1" x14ac:dyDescent="0.25">
      <c r="A82" s="273"/>
      <c r="B82" s="273"/>
      <c r="C82" s="273"/>
      <c r="D82" s="273"/>
      <c r="E82" s="273"/>
      <c r="F82" s="273"/>
      <c r="G82" s="273"/>
      <c r="H82" s="273"/>
      <c r="I82">
        <f>IFERROR(SUMPRODUCT((TableBOM[Product ID]=B82)*(TableBOM[Material Category]="CAP")*TableBOM[Item ID]),0)</f>
        <v>0</v>
      </c>
    </row>
    <row r="83" spans="1:9" ht="15" customHeight="1" x14ac:dyDescent="0.25">
      <c r="A83" s="273"/>
      <c r="B83" s="273"/>
      <c r="C83" s="273"/>
      <c r="D83" s="273"/>
      <c r="E83" s="273"/>
      <c r="F83" s="273"/>
      <c r="G83" s="273"/>
      <c r="H83" s="273"/>
      <c r="I83">
        <f>IFERROR(SUMPRODUCT((TableBOM[Product ID]=B83)*(TableBOM[Material Category]="CAP")*TableBOM[Item ID]),0)</f>
        <v>0</v>
      </c>
    </row>
    <row r="84" spans="1:9" ht="15" customHeight="1" x14ac:dyDescent="0.25">
      <c r="A84" s="273"/>
      <c r="B84" s="273"/>
      <c r="C84" s="273"/>
      <c r="D84" s="273"/>
      <c r="E84" s="273"/>
      <c r="F84" s="273"/>
      <c r="G84" s="273"/>
      <c r="H84" s="273"/>
      <c r="I84">
        <f>IFERROR(SUMPRODUCT((TableBOM[Product ID]=B84)*(TableBOM[Material Category]="CAP")*TableBOM[Item ID]),0)</f>
        <v>0</v>
      </c>
    </row>
    <row r="85" spans="1:9" ht="15" customHeight="1" x14ac:dyDescent="0.25">
      <c r="A85" s="273"/>
      <c r="B85" s="273"/>
      <c r="C85" s="273"/>
      <c r="D85" s="273"/>
      <c r="E85" s="273"/>
      <c r="F85" s="273"/>
      <c r="G85" s="273"/>
      <c r="H85" s="273"/>
      <c r="I85">
        <f>IFERROR(SUMPRODUCT((TableBOM[Product ID]=B85)*(TableBOM[Material Category]="CAP")*TableBOM[Item ID]),0)</f>
        <v>0</v>
      </c>
    </row>
    <row r="86" spans="1:9" ht="15" customHeight="1" x14ac:dyDescent="0.25">
      <c r="A86" s="273"/>
      <c r="B86" s="273"/>
      <c r="C86" s="273"/>
      <c r="D86" s="273"/>
      <c r="E86" s="273"/>
      <c r="F86" s="273"/>
      <c r="G86" s="273"/>
      <c r="H86" s="273"/>
      <c r="I86">
        <f>IFERROR(SUMPRODUCT((TableBOM[Product ID]=B86)*(TableBOM[Material Category]="CAP")*TableBOM[Item ID]),0)</f>
        <v>0</v>
      </c>
    </row>
    <row r="87" spans="1:9" ht="15" customHeight="1" x14ac:dyDescent="0.25">
      <c r="A87" s="273"/>
      <c r="B87" s="273"/>
      <c r="C87" s="273"/>
      <c r="D87" s="273"/>
      <c r="E87" s="273"/>
      <c r="F87" s="273"/>
      <c r="G87" s="273"/>
      <c r="H87" s="273"/>
      <c r="I87">
        <f>IFERROR(SUMPRODUCT((TableBOM[Product ID]=B87)*(TableBOM[Material Category]="CAP")*TableBOM[Item ID]),0)</f>
        <v>0</v>
      </c>
    </row>
    <row r="88" spans="1:9" ht="15" customHeight="1" x14ac:dyDescent="0.25">
      <c r="A88" s="273"/>
      <c r="B88" s="273"/>
      <c r="C88" s="273"/>
      <c r="D88" s="273"/>
      <c r="E88" s="273"/>
      <c r="F88" s="273"/>
      <c r="G88" s="273"/>
      <c r="H88" s="273"/>
      <c r="I88">
        <f>IFERROR(SUMPRODUCT((TableBOM[Product ID]=B88)*(TableBOM[Material Category]="CAP")*TableBOM[Item ID]),0)</f>
        <v>0</v>
      </c>
    </row>
    <row r="89" spans="1:9" ht="15" customHeight="1" x14ac:dyDescent="0.25">
      <c r="A89" s="273"/>
      <c r="B89" s="273"/>
      <c r="C89" s="273"/>
      <c r="D89" s="273"/>
      <c r="E89" s="273"/>
      <c r="F89" s="273"/>
      <c r="G89" s="273"/>
      <c r="H89" s="273"/>
      <c r="I89">
        <f>IFERROR(SUMPRODUCT((TableBOM[Product ID]=B89)*(TableBOM[Material Category]="CAP")*TableBOM[Item ID]),0)</f>
        <v>0</v>
      </c>
    </row>
    <row r="90" spans="1:9" ht="15" customHeight="1" x14ac:dyDescent="0.25">
      <c r="A90" s="273"/>
      <c r="B90" s="273"/>
      <c r="C90" s="273"/>
      <c r="D90" s="273"/>
      <c r="E90" s="273"/>
      <c r="F90" s="273"/>
      <c r="G90" s="273"/>
      <c r="H90" s="273"/>
      <c r="I90">
        <f>IFERROR(SUMPRODUCT((TableBOM[Product ID]=B90)*(TableBOM[Material Category]="CAP")*TableBOM[Item ID]),0)</f>
        <v>0</v>
      </c>
    </row>
    <row r="91" spans="1:9" ht="15" customHeight="1" x14ac:dyDescent="0.25">
      <c r="A91" s="273"/>
      <c r="B91" s="273"/>
      <c r="C91" s="273"/>
      <c r="D91" s="273"/>
      <c r="E91" s="273"/>
      <c r="F91" s="273"/>
      <c r="G91" s="273"/>
      <c r="H91" s="273"/>
      <c r="I91">
        <f>IFERROR(SUMPRODUCT((TableBOM[Product ID]=B91)*(TableBOM[Material Category]="CAP")*TableBOM[Item ID]),0)</f>
        <v>0</v>
      </c>
    </row>
    <row r="92" spans="1:9" ht="15" customHeight="1" x14ac:dyDescent="0.25">
      <c r="A92" s="273"/>
      <c r="B92" s="273"/>
      <c r="C92" s="273"/>
      <c r="D92" s="273"/>
      <c r="E92" s="273"/>
      <c r="F92" s="273"/>
      <c r="G92" s="273"/>
      <c r="H92" s="273"/>
      <c r="I92">
        <f>IFERROR(SUMPRODUCT((TableBOM[Product ID]=B92)*(TableBOM[Material Category]="CAP")*TableBOM[Item ID]),0)</f>
        <v>0</v>
      </c>
    </row>
    <row r="93" spans="1:9" ht="15" customHeight="1" x14ac:dyDescent="0.25">
      <c r="A93" s="273"/>
      <c r="B93" s="273"/>
      <c r="C93" s="273"/>
      <c r="D93" s="273"/>
      <c r="E93" s="273"/>
      <c r="F93" s="273"/>
      <c r="G93" s="273"/>
      <c r="H93" s="273"/>
      <c r="I93">
        <f>IFERROR(SUMPRODUCT((TableBOM[Product ID]=B93)*(TableBOM[Material Category]="CAP")*TableBOM[Item ID]),0)</f>
        <v>0</v>
      </c>
    </row>
    <row r="94" spans="1:9" ht="15" customHeight="1" x14ac:dyDescent="0.25">
      <c r="A94" s="273"/>
      <c r="B94" s="273"/>
      <c r="C94" s="273"/>
      <c r="D94" s="273"/>
      <c r="E94" s="273"/>
      <c r="F94" s="273"/>
      <c r="G94" s="273"/>
      <c r="H94" s="273"/>
      <c r="I94">
        <f>IFERROR(SUMPRODUCT((TableBOM[Product ID]=B94)*(TableBOM[Material Category]="CAP")*TableBOM[Item ID]),0)</f>
        <v>0</v>
      </c>
    </row>
    <row r="95" spans="1:9" ht="15" customHeight="1" x14ac:dyDescent="0.25">
      <c r="A95" s="273"/>
      <c r="B95" s="273"/>
      <c r="C95" s="273"/>
      <c r="D95" s="273"/>
      <c r="E95" s="273"/>
      <c r="F95" s="273"/>
      <c r="G95" s="273"/>
      <c r="H95" s="273"/>
      <c r="I95">
        <f>IFERROR(SUMPRODUCT((TableBOM[Product ID]=B95)*(TableBOM[Material Category]="CAP")*TableBOM[Item ID]),0)</f>
        <v>0</v>
      </c>
    </row>
    <row r="96" spans="1:9" ht="15" customHeight="1" x14ac:dyDescent="0.25">
      <c r="A96" s="273"/>
      <c r="B96" s="273"/>
      <c r="C96" s="273"/>
      <c r="D96" s="273"/>
      <c r="E96" s="273"/>
      <c r="F96" s="273"/>
      <c r="G96" s="273"/>
      <c r="H96" s="273"/>
      <c r="I96">
        <f>IFERROR(SUMPRODUCT((TableBOM[Product ID]=B96)*(TableBOM[Material Category]="CAP")*TableBOM[Item ID]),0)</f>
        <v>0</v>
      </c>
    </row>
    <row r="97" spans="1:9" ht="15" customHeight="1" x14ac:dyDescent="0.25">
      <c r="A97" s="273"/>
      <c r="B97" s="273"/>
      <c r="C97" s="273"/>
      <c r="D97" s="273"/>
      <c r="E97" s="273"/>
      <c r="F97" s="273"/>
      <c r="G97" s="273"/>
      <c r="H97" s="273"/>
      <c r="I97">
        <f>IFERROR(SUMPRODUCT((TableBOM[Product ID]=B97)*(TableBOM[Material Category]="CAP")*TableBOM[Item ID]),0)</f>
        <v>0</v>
      </c>
    </row>
    <row r="98" spans="1:9" ht="15" customHeight="1" x14ac:dyDescent="0.25">
      <c r="A98" s="273"/>
      <c r="B98" s="273"/>
      <c r="C98" s="273"/>
      <c r="D98" s="273"/>
      <c r="E98" s="273"/>
      <c r="F98" s="273"/>
      <c r="G98" s="273"/>
      <c r="H98" s="273"/>
      <c r="I98">
        <f>IFERROR(SUMPRODUCT((TableBOM[Product ID]=B98)*(TableBOM[Material Category]="CAP")*TableBOM[Item ID]),0)</f>
        <v>0</v>
      </c>
    </row>
    <row r="99" spans="1:9" ht="15" customHeight="1" x14ac:dyDescent="0.25">
      <c r="A99" s="273"/>
      <c r="B99" s="273"/>
      <c r="C99" s="273"/>
      <c r="D99" s="273"/>
      <c r="E99" s="273"/>
      <c r="F99" s="273"/>
      <c r="G99" s="273"/>
      <c r="H99" s="273"/>
      <c r="I99">
        <f>IFERROR(SUMPRODUCT((TableBOM[Product ID]=B99)*(TableBOM[Material Category]="CAP")*TableBOM[Item ID]),0)</f>
        <v>0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0"/>
  <sheetViews>
    <sheetView showGridLines="0" topLeftCell="A121" zoomScaleNormal="100" workbookViewId="0">
      <selection activeCell="B114" sqref="B114"/>
    </sheetView>
  </sheetViews>
  <sheetFormatPr defaultColWidth="8.7109375" defaultRowHeight="15" x14ac:dyDescent="0.25"/>
  <cols>
    <col min="1" max="1" width="18" customWidth="1"/>
    <col min="2" max="2" width="42" customWidth="1"/>
    <col min="3" max="3" width="66.7109375" customWidth="1"/>
    <col min="4" max="4" width="18" customWidth="1"/>
    <col min="5" max="5" width="2" customWidth="1"/>
    <col min="6" max="10" width="8.7109375" customWidth="1"/>
  </cols>
  <sheetData>
    <row r="1" spans="1:5" ht="30" customHeight="1" x14ac:dyDescent="0.25">
      <c r="A1" s="248" t="s">
        <v>631</v>
      </c>
      <c r="B1" s="209"/>
      <c r="C1" s="209"/>
      <c r="D1" s="209"/>
      <c r="E1" s="209"/>
    </row>
    <row r="2" spans="1:5" ht="13.5" customHeight="1" x14ac:dyDescent="0.25">
      <c r="A2" s="249" t="s">
        <v>632</v>
      </c>
      <c r="B2" s="250" t="s">
        <v>633</v>
      </c>
      <c r="C2" s="250" t="s">
        <v>634</v>
      </c>
      <c r="D2" s="250"/>
      <c r="E2" s="210"/>
    </row>
    <row r="3" spans="1:5" ht="4.5" customHeight="1" x14ac:dyDescent="0.25">
      <c r="A3" s="225"/>
      <c r="B3" s="225"/>
      <c r="C3" s="210"/>
      <c r="D3" s="210"/>
      <c r="E3" s="210"/>
    </row>
    <row r="4" spans="1:5" ht="19.5" customHeight="1" x14ac:dyDescent="0.25">
      <c r="A4" s="251" t="s">
        <v>635</v>
      </c>
      <c r="B4" s="252"/>
      <c r="C4" s="209"/>
      <c r="D4" s="209"/>
      <c r="E4" s="209"/>
    </row>
    <row r="5" spans="1:5" ht="12.75" customHeight="1" x14ac:dyDescent="0.25">
      <c r="A5" s="253" t="s">
        <v>636</v>
      </c>
      <c r="B5" s="254"/>
      <c r="C5" s="255"/>
      <c r="D5" s="255"/>
      <c r="E5" s="210"/>
    </row>
    <row r="6" spans="1:5" ht="15.75" customHeight="1" x14ac:dyDescent="0.25">
      <c r="A6" s="214" t="s">
        <v>637</v>
      </c>
      <c r="B6" s="214" t="s">
        <v>638</v>
      </c>
      <c r="C6" s="214" t="s">
        <v>510</v>
      </c>
      <c r="D6" s="214" t="s">
        <v>639</v>
      </c>
      <c r="E6" s="210"/>
    </row>
    <row r="7" spans="1:5" ht="24" customHeight="1" x14ac:dyDescent="0.25">
      <c r="A7" s="256">
        <v>1</v>
      </c>
      <c r="B7" s="256" t="s">
        <v>640</v>
      </c>
      <c r="C7" s="256" t="s">
        <v>641</v>
      </c>
      <c r="D7" s="257" t="s">
        <v>642</v>
      </c>
      <c r="E7" s="210"/>
    </row>
    <row r="8" spans="1:5" s="258" customFormat="1" ht="24" customHeight="1" x14ac:dyDescent="0.2">
      <c r="A8" s="229">
        <v>2</v>
      </c>
      <c r="B8" s="229" t="s">
        <v>643</v>
      </c>
      <c r="C8" s="229" t="s">
        <v>644</v>
      </c>
      <c r="D8" s="228" t="s">
        <v>645</v>
      </c>
      <c r="E8" s="210"/>
    </row>
    <row r="9" spans="1:5" s="258" customFormat="1" ht="24" customHeight="1" x14ac:dyDescent="0.2">
      <c r="A9" s="256">
        <v>3</v>
      </c>
      <c r="B9" s="256" t="s">
        <v>646</v>
      </c>
      <c r="C9" s="256" t="s">
        <v>647</v>
      </c>
      <c r="D9" s="257" t="s">
        <v>648</v>
      </c>
      <c r="E9" s="210"/>
    </row>
    <row r="10" spans="1:5" s="258" customFormat="1" ht="24" customHeight="1" x14ac:dyDescent="0.2">
      <c r="A10" s="229">
        <v>4</v>
      </c>
      <c r="B10" s="229" t="s">
        <v>649</v>
      </c>
      <c r="C10" s="229" t="s">
        <v>650</v>
      </c>
      <c r="D10" s="228" t="s">
        <v>645</v>
      </c>
      <c r="E10" s="210"/>
    </row>
    <row r="11" spans="1:5" ht="15" customHeight="1" x14ac:dyDescent="0.25">
      <c r="A11" s="256">
        <v>5</v>
      </c>
      <c r="B11" s="256" t="s">
        <v>651</v>
      </c>
      <c r="C11" s="256" t="s">
        <v>652</v>
      </c>
      <c r="D11" s="257" t="s">
        <v>653</v>
      </c>
      <c r="E11" s="210"/>
    </row>
    <row r="12" spans="1:5" ht="24" customHeight="1" x14ac:dyDescent="0.25">
      <c r="A12" s="229">
        <v>6</v>
      </c>
      <c r="B12" s="229" t="s">
        <v>654</v>
      </c>
      <c r="C12" s="229" t="s">
        <v>655</v>
      </c>
      <c r="D12" s="228" t="s">
        <v>653</v>
      </c>
      <c r="E12" s="210"/>
    </row>
    <row r="13" spans="1:5" ht="24" customHeight="1" x14ac:dyDescent="0.25">
      <c r="A13" s="256">
        <v>7</v>
      </c>
      <c r="B13" s="256" t="s">
        <v>656</v>
      </c>
      <c r="C13" s="256" t="s">
        <v>657</v>
      </c>
      <c r="D13" s="257" t="s">
        <v>653</v>
      </c>
      <c r="E13" s="210"/>
    </row>
    <row r="14" spans="1:5" ht="21.75" customHeight="1" x14ac:dyDescent="0.25">
      <c r="A14" s="229">
        <v>8</v>
      </c>
      <c r="B14" s="229" t="s">
        <v>658</v>
      </c>
      <c r="C14" s="229" t="s">
        <v>659</v>
      </c>
      <c r="D14" s="228" t="s">
        <v>653</v>
      </c>
      <c r="E14" s="210"/>
    </row>
    <row r="15" spans="1:5" s="258" customFormat="1" ht="15" customHeight="1" x14ac:dyDescent="0.2">
      <c r="A15" s="256">
        <v>9</v>
      </c>
      <c r="B15" s="256" t="s">
        <v>660</v>
      </c>
      <c r="C15" s="256" t="s">
        <v>661</v>
      </c>
      <c r="D15" s="257" t="s">
        <v>662</v>
      </c>
      <c r="E15" s="210"/>
    </row>
    <row r="16" spans="1:5" ht="24" customHeight="1" x14ac:dyDescent="0.25">
      <c r="A16" s="229">
        <v>10</v>
      </c>
      <c r="B16" s="229" t="s">
        <v>663</v>
      </c>
      <c r="C16" s="229" t="s">
        <v>664</v>
      </c>
      <c r="D16" s="228" t="s">
        <v>653</v>
      </c>
      <c r="E16" s="210"/>
    </row>
    <row r="17" spans="1:5" s="258" customFormat="1" ht="4.5" customHeight="1" x14ac:dyDescent="0.2">
      <c r="A17" s="215"/>
      <c r="B17" s="259"/>
      <c r="C17" s="259"/>
      <c r="D17" s="259"/>
      <c r="E17" s="210"/>
    </row>
    <row r="18" spans="1:5" s="258" customFormat="1" ht="19.5" customHeight="1" x14ac:dyDescent="0.2">
      <c r="A18" s="251" t="s">
        <v>665</v>
      </c>
      <c r="B18" s="252"/>
      <c r="C18" s="252"/>
      <c r="D18" s="252"/>
      <c r="E18" s="209"/>
    </row>
    <row r="19" spans="1:5" s="258" customFormat="1" ht="15.75" customHeight="1" x14ac:dyDescent="0.2">
      <c r="A19" s="214" t="s">
        <v>666</v>
      </c>
      <c r="B19" s="214" t="s">
        <v>667</v>
      </c>
      <c r="C19" s="214" t="s">
        <v>301</v>
      </c>
      <c r="D19" s="214" t="s">
        <v>668</v>
      </c>
      <c r="E19" s="210"/>
    </row>
    <row r="20" spans="1:5" s="258" customFormat="1" ht="24" customHeight="1" x14ac:dyDescent="0.2">
      <c r="A20" s="256" t="s">
        <v>669</v>
      </c>
      <c r="B20" s="256" t="s">
        <v>670</v>
      </c>
      <c r="C20" s="256" t="s">
        <v>671</v>
      </c>
      <c r="D20" s="257" t="s">
        <v>672</v>
      </c>
      <c r="E20" s="210"/>
    </row>
    <row r="21" spans="1:5" ht="15" customHeight="1" x14ac:dyDescent="0.25">
      <c r="A21" s="229" t="s">
        <v>645</v>
      </c>
      <c r="B21" s="229" t="s">
        <v>673</v>
      </c>
      <c r="C21" s="229" t="s">
        <v>674</v>
      </c>
      <c r="D21" s="228" t="s">
        <v>675</v>
      </c>
      <c r="E21" s="210"/>
    </row>
    <row r="22" spans="1:5" ht="15" customHeight="1" x14ac:dyDescent="0.25">
      <c r="A22" s="256" t="s">
        <v>662</v>
      </c>
      <c r="B22" s="256" t="s">
        <v>676</v>
      </c>
      <c r="C22" s="256" t="s">
        <v>677</v>
      </c>
      <c r="D22" s="257" t="s">
        <v>675</v>
      </c>
      <c r="E22" s="210"/>
    </row>
    <row r="23" spans="1:5" ht="15" customHeight="1" x14ac:dyDescent="0.25">
      <c r="A23" s="229" t="s">
        <v>653</v>
      </c>
      <c r="B23" s="229" t="s">
        <v>678</v>
      </c>
      <c r="C23" s="229" t="s">
        <v>679</v>
      </c>
      <c r="D23" s="228" t="s">
        <v>675</v>
      </c>
      <c r="E23" s="210"/>
    </row>
    <row r="24" spans="1:5" ht="15" customHeight="1" x14ac:dyDescent="0.25">
      <c r="A24" s="256" t="s">
        <v>680</v>
      </c>
      <c r="B24" s="256" t="s">
        <v>681</v>
      </c>
      <c r="C24" s="256" t="s">
        <v>682</v>
      </c>
      <c r="D24" s="257" t="s">
        <v>675</v>
      </c>
      <c r="E24" s="210"/>
    </row>
    <row r="25" spans="1:5" ht="15" customHeight="1" x14ac:dyDescent="0.25">
      <c r="A25" s="229" t="s">
        <v>683</v>
      </c>
      <c r="B25" s="229" t="s">
        <v>684</v>
      </c>
      <c r="C25" s="229" t="s">
        <v>685</v>
      </c>
      <c r="D25" s="228"/>
      <c r="E25" s="210"/>
    </row>
    <row r="26" spans="1:5" ht="4.5" customHeight="1" x14ac:dyDescent="0.25">
      <c r="A26" s="233"/>
      <c r="B26" s="259"/>
      <c r="C26" s="259"/>
      <c r="D26" s="259"/>
      <c r="E26" s="210"/>
    </row>
    <row r="27" spans="1:5" ht="19.5" customHeight="1" x14ac:dyDescent="0.25">
      <c r="A27" s="251" t="s">
        <v>686</v>
      </c>
      <c r="B27" s="252"/>
      <c r="C27" s="252"/>
      <c r="D27" s="252"/>
      <c r="E27" s="209"/>
    </row>
    <row r="28" spans="1:5" ht="15.75" customHeight="1" x14ac:dyDescent="0.25">
      <c r="A28" s="214" t="s">
        <v>687</v>
      </c>
      <c r="B28" s="214" t="s">
        <v>143</v>
      </c>
      <c r="C28" s="214" t="s">
        <v>688</v>
      </c>
      <c r="D28" s="214"/>
      <c r="E28" s="210"/>
    </row>
    <row r="29" spans="1:5" ht="15" customHeight="1" x14ac:dyDescent="0.25">
      <c r="A29" s="256" t="s">
        <v>675</v>
      </c>
      <c r="B29" s="256" t="s">
        <v>689</v>
      </c>
      <c r="C29" s="256" t="s">
        <v>690</v>
      </c>
      <c r="D29" s="257"/>
      <c r="E29" s="210"/>
    </row>
    <row r="30" spans="1:5" ht="15" customHeight="1" x14ac:dyDescent="0.25">
      <c r="A30" s="229" t="s">
        <v>691</v>
      </c>
      <c r="B30" s="229" t="s">
        <v>692</v>
      </c>
      <c r="C30" s="229" t="s">
        <v>693</v>
      </c>
      <c r="D30" s="228"/>
      <c r="E30" s="210"/>
    </row>
    <row r="31" spans="1:5" ht="15" customHeight="1" x14ac:dyDescent="0.25">
      <c r="A31" s="256" t="s">
        <v>694</v>
      </c>
      <c r="B31" s="256" t="s">
        <v>695</v>
      </c>
      <c r="C31" s="256" t="s">
        <v>696</v>
      </c>
      <c r="D31" s="257"/>
      <c r="E31" s="210"/>
    </row>
    <row r="32" spans="1:5" ht="15.75" customHeight="1" x14ac:dyDescent="0.25">
      <c r="A32" s="214" t="s">
        <v>566</v>
      </c>
      <c r="B32" s="214" t="s">
        <v>510</v>
      </c>
      <c r="C32" s="214"/>
      <c r="D32" s="214"/>
      <c r="E32" s="210"/>
    </row>
    <row r="33" spans="1:5" ht="15" customHeight="1" x14ac:dyDescent="0.25">
      <c r="A33" s="256" t="s">
        <v>697</v>
      </c>
      <c r="B33" s="256" t="s">
        <v>698</v>
      </c>
      <c r="C33" s="256"/>
      <c r="D33" s="257"/>
      <c r="E33" s="210"/>
    </row>
    <row r="34" spans="1:5" ht="15" customHeight="1" x14ac:dyDescent="0.25">
      <c r="A34" s="229" t="s">
        <v>699</v>
      </c>
      <c r="B34" s="229" t="s">
        <v>700</v>
      </c>
      <c r="C34" s="229"/>
      <c r="D34" s="228"/>
      <c r="E34" s="210"/>
    </row>
    <row r="35" spans="1:5" ht="15" customHeight="1" x14ac:dyDescent="0.25">
      <c r="A35" s="256" t="s">
        <v>701</v>
      </c>
      <c r="B35" s="256" t="s">
        <v>702</v>
      </c>
      <c r="C35" s="256"/>
      <c r="D35" s="257"/>
      <c r="E35" s="210"/>
    </row>
    <row r="36" spans="1:5" ht="15" customHeight="1" x14ac:dyDescent="0.25">
      <c r="A36" s="229" t="s">
        <v>421</v>
      </c>
      <c r="B36" s="229" t="s">
        <v>703</v>
      </c>
      <c r="C36" s="229"/>
      <c r="D36" s="228"/>
      <c r="E36" s="210"/>
    </row>
    <row r="37" spans="1:5" ht="15" customHeight="1" x14ac:dyDescent="0.25">
      <c r="A37" s="256" t="s">
        <v>704</v>
      </c>
      <c r="B37" s="256" t="s">
        <v>705</v>
      </c>
      <c r="C37" s="256"/>
      <c r="D37" s="257"/>
      <c r="E37" s="210"/>
    </row>
    <row r="38" spans="1:5" ht="4.5" customHeight="1" x14ac:dyDescent="0.25">
      <c r="A38" s="233"/>
      <c r="B38" s="259"/>
      <c r="C38" s="259"/>
      <c r="D38" s="259"/>
      <c r="E38" s="210"/>
    </row>
    <row r="39" spans="1:5" ht="19.5" customHeight="1" x14ac:dyDescent="0.25">
      <c r="A39" s="251" t="s">
        <v>706</v>
      </c>
      <c r="B39" s="252"/>
      <c r="C39" s="252"/>
      <c r="D39" s="252"/>
      <c r="E39" s="209"/>
    </row>
    <row r="40" spans="1:5" ht="15.75" customHeight="1" x14ac:dyDescent="0.25">
      <c r="A40" s="214" t="s">
        <v>707</v>
      </c>
      <c r="B40" s="214" t="s">
        <v>708</v>
      </c>
      <c r="C40" s="214" t="s">
        <v>709</v>
      </c>
      <c r="D40" s="214"/>
      <c r="E40" s="210"/>
    </row>
    <row r="41" spans="1:5" ht="24" customHeight="1" x14ac:dyDescent="0.25">
      <c r="A41" s="256" t="s">
        <v>710</v>
      </c>
      <c r="B41" s="256" t="s">
        <v>711</v>
      </c>
      <c r="C41" s="256" t="s">
        <v>712</v>
      </c>
      <c r="D41" s="257"/>
      <c r="E41" s="210"/>
    </row>
    <row r="42" spans="1:5" ht="36" customHeight="1" x14ac:dyDescent="0.25">
      <c r="A42" s="229" t="s">
        <v>713</v>
      </c>
      <c r="B42" s="229" t="s">
        <v>714</v>
      </c>
      <c r="C42" s="229" t="s">
        <v>715</v>
      </c>
      <c r="D42" s="228"/>
      <c r="E42" s="210"/>
    </row>
    <row r="43" spans="1:5" ht="36" customHeight="1" x14ac:dyDescent="0.25">
      <c r="A43" s="256" t="s">
        <v>716</v>
      </c>
      <c r="B43" s="256" t="s">
        <v>717</v>
      </c>
      <c r="C43" s="256" t="s">
        <v>718</v>
      </c>
      <c r="D43" s="257"/>
      <c r="E43" s="210"/>
    </row>
    <row r="44" spans="1:5" ht="36" customHeight="1" x14ac:dyDescent="0.25">
      <c r="A44" s="229" t="s">
        <v>719</v>
      </c>
      <c r="B44" s="229" t="s">
        <v>720</v>
      </c>
      <c r="C44" s="229" t="s">
        <v>721</v>
      </c>
      <c r="D44" s="228"/>
      <c r="E44" s="210"/>
    </row>
    <row r="45" spans="1:5" ht="24" customHeight="1" x14ac:dyDescent="0.25">
      <c r="A45" s="256" t="s">
        <v>722</v>
      </c>
      <c r="B45" s="256" t="s">
        <v>723</v>
      </c>
      <c r="C45" s="256" t="s">
        <v>724</v>
      </c>
      <c r="D45" s="257"/>
      <c r="E45" s="210"/>
    </row>
    <row r="46" spans="1:5" ht="21.75" customHeight="1" x14ac:dyDescent="0.25">
      <c r="A46" s="229" t="s">
        <v>725</v>
      </c>
      <c r="B46" s="229" t="s">
        <v>726</v>
      </c>
      <c r="C46" s="229" t="s">
        <v>727</v>
      </c>
      <c r="D46" s="228"/>
      <c r="E46" s="210"/>
    </row>
    <row r="47" spans="1:5" ht="24" customHeight="1" x14ac:dyDescent="0.25">
      <c r="A47" s="256" t="s">
        <v>728</v>
      </c>
      <c r="B47" s="256" t="s">
        <v>729</v>
      </c>
      <c r="C47" s="256" t="s">
        <v>730</v>
      </c>
      <c r="D47" s="257"/>
      <c r="E47" s="210"/>
    </row>
    <row r="48" spans="1:5" ht="24" customHeight="1" x14ac:dyDescent="0.25">
      <c r="A48" s="229" t="s">
        <v>731</v>
      </c>
      <c r="B48" s="229" t="s">
        <v>732</v>
      </c>
      <c r="C48" s="229" t="s">
        <v>733</v>
      </c>
      <c r="D48" s="228"/>
      <c r="E48" s="210"/>
    </row>
    <row r="49" spans="1:5" ht="15" customHeight="1" x14ac:dyDescent="0.25">
      <c r="A49" s="256" t="s">
        <v>734</v>
      </c>
      <c r="B49" s="256" t="s">
        <v>735</v>
      </c>
      <c r="C49" s="256"/>
      <c r="D49" s="257"/>
      <c r="E49" s="210"/>
    </row>
    <row r="50" spans="1:5" ht="4.5" customHeight="1" x14ac:dyDescent="0.25">
      <c r="A50" s="233"/>
      <c r="B50" s="259"/>
      <c r="C50" s="259"/>
      <c r="D50" s="259"/>
      <c r="E50" s="210"/>
    </row>
    <row r="51" spans="1:5" ht="19.5" customHeight="1" x14ac:dyDescent="0.25">
      <c r="A51" s="251" t="s">
        <v>736</v>
      </c>
      <c r="B51" s="252"/>
      <c r="C51" s="252"/>
      <c r="D51" s="252"/>
      <c r="E51" s="209"/>
    </row>
    <row r="52" spans="1:5" ht="15.75" customHeight="1" x14ac:dyDescent="0.25">
      <c r="A52" s="214" t="s">
        <v>737</v>
      </c>
      <c r="B52" s="214" t="s">
        <v>738</v>
      </c>
      <c r="C52" s="214" t="s">
        <v>301</v>
      </c>
      <c r="D52" s="214"/>
      <c r="E52" s="210"/>
    </row>
    <row r="53" spans="1:5" ht="18" customHeight="1" x14ac:dyDescent="0.25">
      <c r="A53" s="256" t="s">
        <v>739</v>
      </c>
      <c r="B53" s="256" t="s">
        <v>740</v>
      </c>
      <c r="C53" s="256" t="s">
        <v>741</v>
      </c>
      <c r="D53" s="257"/>
      <c r="E53" s="210"/>
    </row>
    <row r="54" spans="1:5" ht="18" customHeight="1" x14ac:dyDescent="0.25">
      <c r="A54" s="229" t="s">
        <v>742</v>
      </c>
      <c r="B54" s="229" t="s">
        <v>743</v>
      </c>
      <c r="C54" s="229" t="s">
        <v>744</v>
      </c>
      <c r="D54" s="228"/>
      <c r="E54" s="210"/>
    </row>
    <row r="55" spans="1:5" ht="18" customHeight="1" x14ac:dyDescent="0.25">
      <c r="A55" s="256" t="s">
        <v>745</v>
      </c>
      <c r="B55" s="256" t="s">
        <v>746</v>
      </c>
      <c r="C55" s="256"/>
      <c r="D55" s="257"/>
      <c r="E55" s="210"/>
    </row>
    <row r="56" spans="1:5" ht="18" customHeight="1" x14ac:dyDescent="0.25">
      <c r="A56" s="229" t="s">
        <v>747</v>
      </c>
      <c r="B56" s="229" t="s">
        <v>748</v>
      </c>
      <c r="C56" s="229"/>
      <c r="D56" s="228"/>
      <c r="E56" s="210"/>
    </row>
    <row r="57" spans="1:5" ht="18" customHeight="1" x14ac:dyDescent="0.25">
      <c r="A57" s="256" t="s">
        <v>749</v>
      </c>
      <c r="B57" s="256" t="s">
        <v>750</v>
      </c>
      <c r="C57" s="256" t="s">
        <v>751</v>
      </c>
      <c r="D57" s="257"/>
      <c r="E57" s="210"/>
    </row>
    <row r="58" spans="1:5" ht="4.5" customHeight="1" x14ac:dyDescent="0.25">
      <c r="A58" s="233"/>
      <c r="B58" s="259"/>
      <c r="C58" s="259"/>
      <c r="D58" s="259"/>
      <c r="E58" s="210"/>
    </row>
    <row r="59" spans="1:5" ht="19.5" customHeight="1" x14ac:dyDescent="0.25">
      <c r="A59" s="251" t="s">
        <v>752</v>
      </c>
      <c r="B59" s="209"/>
      <c r="C59" s="209"/>
      <c r="D59" s="209"/>
      <c r="E59" s="209"/>
    </row>
    <row r="60" spans="1:5" ht="15.75" customHeight="1" x14ac:dyDescent="0.25">
      <c r="A60" s="214" t="s">
        <v>566</v>
      </c>
      <c r="B60" s="214" t="s">
        <v>510</v>
      </c>
      <c r="C60" s="214"/>
      <c r="D60" s="214"/>
      <c r="E60" s="210"/>
    </row>
    <row r="61" spans="1:5" ht="36" customHeight="1" x14ac:dyDescent="0.25">
      <c r="A61" s="256" t="s">
        <v>753</v>
      </c>
      <c r="B61" s="256" t="s">
        <v>754</v>
      </c>
      <c r="C61" s="256"/>
      <c r="D61" s="257"/>
      <c r="E61" s="210"/>
    </row>
    <row r="62" spans="1:5" ht="24" customHeight="1" x14ac:dyDescent="0.25">
      <c r="A62" s="229" t="s">
        <v>755</v>
      </c>
      <c r="B62" s="229" t="s">
        <v>756</v>
      </c>
      <c r="C62" s="229"/>
      <c r="D62" s="228"/>
      <c r="E62" s="210"/>
    </row>
    <row r="63" spans="1:5" ht="36" customHeight="1" x14ac:dyDescent="0.25">
      <c r="A63" s="256" t="s">
        <v>757</v>
      </c>
      <c r="B63" s="256" t="s">
        <v>758</v>
      </c>
      <c r="C63" s="256"/>
      <c r="D63" s="257"/>
      <c r="E63" s="210"/>
    </row>
    <row r="64" spans="1:5" ht="24" customHeight="1" x14ac:dyDescent="0.25">
      <c r="A64" s="229" t="s">
        <v>759</v>
      </c>
      <c r="B64" s="229" t="s">
        <v>760</v>
      </c>
      <c r="C64" s="229"/>
      <c r="D64" s="228"/>
      <c r="E64" s="210"/>
    </row>
    <row r="65" spans="1:5" ht="36" customHeight="1" x14ac:dyDescent="0.25">
      <c r="A65" s="256" t="s">
        <v>761</v>
      </c>
      <c r="B65" s="256" t="s">
        <v>762</v>
      </c>
      <c r="C65" s="256"/>
      <c r="D65" s="257"/>
      <c r="E65" s="210"/>
    </row>
    <row r="66" spans="1:5" ht="36" customHeight="1" x14ac:dyDescent="0.25">
      <c r="A66" s="229" t="s">
        <v>763</v>
      </c>
      <c r="B66" s="229" t="s">
        <v>764</v>
      </c>
      <c r="C66" s="229"/>
      <c r="D66" s="228"/>
      <c r="E66" s="210"/>
    </row>
    <row r="67" spans="1:5" ht="36" customHeight="1" x14ac:dyDescent="0.25">
      <c r="A67" s="256" t="s">
        <v>765</v>
      </c>
      <c r="B67" s="256" t="s">
        <v>766</v>
      </c>
      <c r="C67" s="256"/>
      <c r="D67" s="257"/>
      <c r="E67" s="210"/>
    </row>
    <row r="68" spans="1:5" ht="24" customHeight="1" x14ac:dyDescent="0.25">
      <c r="A68" s="229" t="s">
        <v>767</v>
      </c>
      <c r="B68" s="229" t="s">
        <v>768</v>
      </c>
      <c r="C68" s="229"/>
      <c r="D68" s="228"/>
      <c r="E68" s="210"/>
    </row>
    <row r="69" spans="1:5" ht="36" customHeight="1" x14ac:dyDescent="0.25">
      <c r="A69" s="256" t="s">
        <v>769</v>
      </c>
      <c r="B69" s="256" t="s">
        <v>770</v>
      </c>
      <c r="C69" s="256"/>
      <c r="D69" s="257"/>
      <c r="E69" s="210"/>
    </row>
    <row r="70" spans="1:5" ht="24" customHeight="1" x14ac:dyDescent="0.25">
      <c r="A70" s="229" t="s">
        <v>771</v>
      </c>
      <c r="B70" s="229" t="s">
        <v>772</v>
      </c>
      <c r="C70" s="229"/>
      <c r="D70" s="228"/>
      <c r="E70" s="210"/>
    </row>
    <row r="71" spans="1:5" ht="24" customHeight="1" x14ac:dyDescent="0.25">
      <c r="A71" s="256" t="s">
        <v>773</v>
      </c>
      <c r="B71" s="256" t="s">
        <v>774</v>
      </c>
      <c r="C71" s="256"/>
      <c r="D71" s="257"/>
      <c r="E71" s="210"/>
    </row>
    <row r="72" spans="1:5" ht="24" customHeight="1" x14ac:dyDescent="0.25">
      <c r="A72" s="229" t="s">
        <v>775</v>
      </c>
      <c r="B72" s="229" t="s">
        <v>776</v>
      </c>
      <c r="C72" s="229"/>
      <c r="D72" s="228"/>
      <c r="E72" s="210"/>
    </row>
    <row r="73" spans="1:5" ht="36" customHeight="1" x14ac:dyDescent="0.25">
      <c r="A73" s="256" t="s">
        <v>777</v>
      </c>
      <c r="B73" s="256" t="s">
        <v>778</v>
      </c>
      <c r="C73" s="256"/>
      <c r="D73" s="257"/>
      <c r="E73" s="210"/>
    </row>
    <row r="74" spans="1:5" ht="36" customHeight="1" x14ac:dyDescent="0.25">
      <c r="A74" s="229" t="s">
        <v>779</v>
      </c>
      <c r="B74" s="229" t="s">
        <v>780</v>
      </c>
      <c r="C74" s="229"/>
      <c r="D74" s="228"/>
      <c r="E74" s="210"/>
    </row>
    <row r="75" spans="1:5" ht="4.5" customHeight="1" x14ac:dyDescent="0.25">
      <c r="A75" s="233"/>
      <c r="B75" s="259"/>
      <c r="C75" s="259"/>
      <c r="D75" s="259"/>
      <c r="E75" s="210"/>
    </row>
    <row r="76" spans="1:5" ht="19.5" customHeight="1" x14ac:dyDescent="0.25">
      <c r="A76" s="251" t="s">
        <v>781</v>
      </c>
      <c r="B76" s="252"/>
      <c r="C76" s="252"/>
      <c r="D76" s="252"/>
      <c r="E76" s="209"/>
    </row>
    <row r="77" spans="1:5" ht="15.75" customHeight="1" x14ac:dyDescent="0.25">
      <c r="A77" s="214" t="s">
        <v>638</v>
      </c>
      <c r="B77" s="214" t="s">
        <v>510</v>
      </c>
      <c r="C77" s="214" t="s">
        <v>301</v>
      </c>
      <c r="D77" s="214"/>
      <c r="E77" s="210"/>
    </row>
    <row r="78" spans="1:5" ht="24" customHeight="1" x14ac:dyDescent="0.25">
      <c r="A78" s="256" t="s">
        <v>782</v>
      </c>
      <c r="B78" s="256" t="s">
        <v>783</v>
      </c>
      <c r="C78" s="256" t="s">
        <v>784</v>
      </c>
      <c r="D78" s="257"/>
      <c r="E78" s="210"/>
    </row>
    <row r="79" spans="1:5" ht="36" customHeight="1" x14ac:dyDescent="0.25">
      <c r="A79" s="229" t="s">
        <v>785</v>
      </c>
      <c r="B79" s="229" t="s">
        <v>786</v>
      </c>
      <c r="C79" s="229"/>
      <c r="D79" s="228"/>
      <c r="E79" s="210"/>
    </row>
    <row r="80" spans="1:5" ht="24" customHeight="1" x14ac:dyDescent="0.25">
      <c r="A80" s="256" t="s">
        <v>787</v>
      </c>
      <c r="B80" s="256" t="s">
        <v>788</v>
      </c>
      <c r="C80" s="256"/>
      <c r="D80" s="257"/>
      <c r="E80" s="210"/>
    </row>
    <row r="81" spans="1:5" ht="24" customHeight="1" x14ac:dyDescent="0.25">
      <c r="A81" s="229" t="s">
        <v>789</v>
      </c>
      <c r="B81" s="229" t="s">
        <v>790</v>
      </c>
      <c r="C81" s="229"/>
      <c r="D81" s="228"/>
      <c r="E81" s="210"/>
    </row>
    <row r="82" spans="1:5" ht="24" customHeight="1" x14ac:dyDescent="0.25">
      <c r="A82" s="256" t="s">
        <v>791</v>
      </c>
      <c r="B82" s="256" t="s">
        <v>792</v>
      </c>
      <c r="C82" s="256"/>
      <c r="D82" s="257"/>
      <c r="E82" s="210"/>
    </row>
    <row r="83" spans="1:5" ht="24" customHeight="1" x14ac:dyDescent="0.25">
      <c r="A83" s="229" t="s">
        <v>793</v>
      </c>
      <c r="B83" s="229" t="s">
        <v>794</v>
      </c>
      <c r="C83" s="229"/>
      <c r="D83" s="228"/>
      <c r="E83" s="210"/>
    </row>
    <row r="84" spans="1:5" ht="24" customHeight="1" x14ac:dyDescent="0.25">
      <c r="A84" s="256" t="s">
        <v>795</v>
      </c>
      <c r="B84" s="256" t="s">
        <v>796</v>
      </c>
      <c r="C84" s="256" t="s">
        <v>797</v>
      </c>
      <c r="D84" s="257"/>
      <c r="E84" s="210"/>
    </row>
    <row r="85" spans="1:5" ht="24" customHeight="1" x14ac:dyDescent="0.25">
      <c r="A85" s="229" t="s">
        <v>798</v>
      </c>
      <c r="B85" s="229" t="s">
        <v>799</v>
      </c>
      <c r="C85" s="229"/>
      <c r="D85" s="228"/>
      <c r="E85" s="210"/>
    </row>
    <row r="86" spans="1:5" ht="36" customHeight="1" x14ac:dyDescent="0.25">
      <c r="A86" s="256" t="s">
        <v>800</v>
      </c>
      <c r="B86" s="256" t="s">
        <v>801</v>
      </c>
      <c r="C86" s="256"/>
      <c r="D86" s="257"/>
      <c r="E86" s="210"/>
    </row>
    <row r="87" spans="1:5" ht="24" customHeight="1" x14ac:dyDescent="0.25">
      <c r="A87" s="229" t="s">
        <v>802</v>
      </c>
      <c r="B87" s="229" t="s">
        <v>803</v>
      </c>
      <c r="C87" s="229"/>
      <c r="D87" s="228"/>
      <c r="E87" s="210"/>
    </row>
    <row r="88" spans="1:5" ht="36" customHeight="1" x14ac:dyDescent="0.25">
      <c r="A88" s="256" t="s">
        <v>804</v>
      </c>
      <c r="B88" s="256" t="s">
        <v>805</v>
      </c>
      <c r="C88" s="256"/>
      <c r="D88" s="257"/>
      <c r="E88" s="210"/>
    </row>
    <row r="89" spans="1:5" ht="15" customHeight="1" x14ac:dyDescent="0.25">
      <c r="A89" s="229" t="s">
        <v>345</v>
      </c>
      <c r="B89" s="229" t="s">
        <v>806</v>
      </c>
      <c r="C89" s="229"/>
      <c r="D89" s="228"/>
      <c r="E89" s="210"/>
    </row>
    <row r="90" spans="1:5" ht="24" customHeight="1" x14ac:dyDescent="0.25">
      <c r="A90" s="256" t="s">
        <v>807</v>
      </c>
      <c r="B90" s="256" t="s">
        <v>808</v>
      </c>
      <c r="C90" s="256" t="s">
        <v>809</v>
      </c>
      <c r="D90" s="257"/>
      <c r="E90" s="210"/>
    </row>
    <row r="91" spans="1:5" ht="36" customHeight="1" x14ac:dyDescent="0.25">
      <c r="A91" s="229" t="s">
        <v>810</v>
      </c>
      <c r="B91" s="229" t="s">
        <v>811</v>
      </c>
      <c r="C91" s="229"/>
      <c r="D91" s="228"/>
      <c r="E91" s="210"/>
    </row>
    <row r="92" spans="1:5" ht="4.5" customHeight="1" x14ac:dyDescent="0.25">
      <c r="A92" s="225"/>
      <c r="B92" s="259"/>
      <c r="C92" s="259"/>
      <c r="D92" s="259"/>
      <c r="E92" s="210"/>
    </row>
    <row r="93" spans="1:5" ht="19.5" customHeight="1" x14ac:dyDescent="0.25">
      <c r="A93" s="251" t="s">
        <v>812</v>
      </c>
      <c r="B93" s="252"/>
      <c r="C93" s="252"/>
      <c r="D93" s="252"/>
      <c r="E93" s="209"/>
    </row>
    <row r="94" spans="1:5" ht="15.75" customHeight="1" x14ac:dyDescent="0.25">
      <c r="A94" s="214" t="s">
        <v>813</v>
      </c>
      <c r="B94" s="214" t="s">
        <v>510</v>
      </c>
      <c r="C94" s="214" t="s">
        <v>301</v>
      </c>
      <c r="D94" s="214"/>
      <c r="E94" s="210"/>
    </row>
    <row r="95" spans="1:5" ht="24" customHeight="1" x14ac:dyDescent="0.25">
      <c r="A95" s="256" t="s">
        <v>814</v>
      </c>
      <c r="B95" s="256" t="s">
        <v>815</v>
      </c>
      <c r="C95" s="256"/>
      <c r="D95" s="257"/>
      <c r="E95" s="210"/>
    </row>
    <row r="96" spans="1:5" ht="48" customHeight="1" x14ac:dyDescent="0.25">
      <c r="A96" s="229" t="s">
        <v>816</v>
      </c>
      <c r="B96" s="229" t="s">
        <v>817</v>
      </c>
      <c r="C96" s="229" t="s">
        <v>818</v>
      </c>
      <c r="D96" s="228"/>
      <c r="E96" s="210"/>
    </row>
    <row r="97" spans="1:5" ht="24" customHeight="1" x14ac:dyDescent="0.25">
      <c r="A97" s="256" t="s">
        <v>819</v>
      </c>
      <c r="B97" s="256" t="s">
        <v>820</v>
      </c>
      <c r="C97" s="256"/>
      <c r="D97" s="257"/>
      <c r="E97" s="210"/>
    </row>
    <row r="98" spans="1:5" ht="24" customHeight="1" x14ac:dyDescent="0.25">
      <c r="A98" s="229" t="s">
        <v>821</v>
      </c>
      <c r="B98" s="229" t="s">
        <v>822</v>
      </c>
      <c r="C98" s="229" t="s">
        <v>823</v>
      </c>
      <c r="D98" s="228"/>
      <c r="E98" s="210"/>
    </row>
    <row r="99" spans="1:5" ht="36" customHeight="1" x14ac:dyDescent="0.25">
      <c r="A99" s="256" t="s">
        <v>824</v>
      </c>
      <c r="B99" s="256" t="s">
        <v>825</v>
      </c>
      <c r="C99" s="256"/>
      <c r="D99" s="257"/>
      <c r="E99" s="210"/>
    </row>
    <row r="100" spans="1:5" ht="4.5" customHeight="1" x14ac:dyDescent="0.25">
      <c r="A100" s="260"/>
      <c r="B100" s="259"/>
      <c r="C100" s="259"/>
      <c r="D100" s="259"/>
      <c r="E100" s="210"/>
    </row>
    <row r="101" spans="1:5" ht="19.5" customHeight="1" x14ac:dyDescent="0.25">
      <c r="A101" s="251" t="s">
        <v>826</v>
      </c>
      <c r="B101" s="209"/>
      <c r="C101" s="209"/>
      <c r="D101" s="209"/>
      <c r="E101" s="209"/>
    </row>
    <row r="102" spans="1:5" ht="15.75" customHeight="1" x14ac:dyDescent="0.25">
      <c r="A102" s="214" t="s">
        <v>637</v>
      </c>
      <c r="B102" s="214" t="s">
        <v>827</v>
      </c>
      <c r="C102" s="214" t="s">
        <v>510</v>
      </c>
      <c r="D102" s="214" t="s">
        <v>639</v>
      </c>
      <c r="E102" s="210"/>
    </row>
    <row r="103" spans="1:5" ht="24" customHeight="1" x14ac:dyDescent="0.25">
      <c r="A103" s="256">
        <v>1</v>
      </c>
      <c r="B103" s="256" t="s">
        <v>828</v>
      </c>
      <c r="C103" s="256" t="s">
        <v>829</v>
      </c>
      <c r="D103" s="257" t="s">
        <v>830</v>
      </c>
      <c r="E103" s="210"/>
    </row>
    <row r="104" spans="1:5" ht="21.75" customHeight="1" x14ac:dyDescent="0.25">
      <c r="A104" s="229">
        <v>2</v>
      </c>
      <c r="B104" s="229" t="s">
        <v>831</v>
      </c>
      <c r="C104" s="229" t="s">
        <v>832</v>
      </c>
      <c r="D104" s="228" t="s">
        <v>653</v>
      </c>
      <c r="E104" s="210"/>
    </row>
    <row r="105" spans="1:5" ht="21.75" customHeight="1" x14ac:dyDescent="0.25">
      <c r="A105" s="256">
        <v>3</v>
      </c>
      <c r="B105" s="256" t="s">
        <v>833</v>
      </c>
      <c r="C105" s="256" t="s">
        <v>834</v>
      </c>
      <c r="D105" s="257" t="s">
        <v>830</v>
      </c>
      <c r="E105" s="210"/>
    </row>
    <row r="106" spans="1:5" ht="15" customHeight="1" x14ac:dyDescent="0.25">
      <c r="A106" s="229">
        <v>4</v>
      </c>
      <c r="B106" s="229" t="s">
        <v>835</v>
      </c>
      <c r="C106" s="229" t="s">
        <v>836</v>
      </c>
      <c r="D106" s="228" t="s">
        <v>830</v>
      </c>
      <c r="E106" s="210"/>
    </row>
    <row r="107" spans="1:5" ht="24" customHeight="1" x14ac:dyDescent="0.25">
      <c r="A107" s="256">
        <v>5</v>
      </c>
      <c r="B107" s="256" t="s">
        <v>837</v>
      </c>
      <c r="C107" s="256" t="s">
        <v>838</v>
      </c>
      <c r="D107" s="257" t="s">
        <v>653</v>
      </c>
      <c r="E107" s="210"/>
    </row>
    <row r="108" spans="1:5" ht="21.75" customHeight="1" x14ac:dyDescent="0.25">
      <c r="A108" s="229">
        <v>6</v>
      </c>
      <c r="B108" s="229" t="s">
        <v>839</v>
      </c>
      <c r="C108" s="229" t="s">
        <v>840</v>
      </c>
      <c r="D108" s="228" t="s">
        <v>653</v>
      </c>
      <c r="E108" s="210"/>
    </row>
    <row r="109" spans="1:5" ht="21.75" customHeight="1" x14ac:dyDescent="0.25">
      <c r="A109" s="256">
        <v>7</v>
      </c>
      <c r="B109" s="256" t="s">
        <v>841</v>
      </c>
      <c r="C109" s="256" t="s">
        <v>842</v>
      </c>
      <c r="D109" s="257" t="s">
        <v>653</v>
      </c>
      <c r="E109" s="210"/>
    </row>
    <row r="110" spans="1:5" ht="21.75" customHeight="1" x14ac:dyDescent="0.25">
      <c r="A110" s="229">
        <v>8</v>
      </c>
      <c r="B110" s="229" t="s">
        <v>843</v>
      </c>
      <c r="C110" s="229" t="s">
        <v>844</v>
      </c>
      <c r="D110" s="228" t="s">
        <v>653</v>
      </c>
      <c r="E110" s="210"/>
    </row>
    <row r="111" spans="1:5" ht="24" customHeight="1" x14ac:dyDescent="0.25">
      <c r="A111" s="256">
        <v>9</v>
      </c>
      <c r="B111" s="256" t="s">
        <v>845</v>
      </c>
      <c r="C111" s="256" t="s">
        <v>846</v>
      </c>
      <c r="D111" s="257" t="s">
        <v>653</v>
      </c>
      <c r="E111" s="210"/>
    </row>
    <row r="112" spans="1:5" ht="24" customHeight="1" x14ac:dyDescent="0.25">
      <c r="A112" s="229">
        <v>10</v>
      </c>
      <c r="B112" s="229" t="s">
        <v>847</v>
      </c>
      <c r="C112" s="229" t="s">
        <v>848</v>
      </c>
      <c r="D112" s="228" t="s">
        <v>669</v>
      </c>
      <c r="E112" s="210"/>
    </row>
    <row r="113" spans="1:5" ht="15" customHeight="1" x14ac:dyDescent="0.25">
      <c r="A113" s="256">
        <v>11</v>
      </c>
      <c r="B113" s="256" t="s">
        <v>849</v>
      </c>
      <c r="C113" s="256" t="s">
        <v>850</v>
      </c>
      <c r="D113" s="257" t="s">
        <v>669</v>
      </c>
      <c r="E113" s="210"/>
    </row>
    <row r="114" spans="1:5" ht="15" customHeight="1" x14ac:dyDescent="0.25">
      <c r="A114" s="229">
        <v>12</v>
      </c>
      <c r="B114" s="229" t="s">
        <v>851</v>
      </c>
      <c r="C114" s="229" t="s">
        <v>852</v>
      </c>
      <c r="D114" s="228" t="s">
        <v>662</v>
      </c>
      <c r="E114" s="210"/>
    </row>
    <row r="115" spans="1:5" ht="21.75" customHeight="1" x14ac:dyDescent="0.25">
      <c r="A115" s="256">
        <v>13</v>
      </c>
      <c r="B115" s="256" t="s">
        <v>853</v>
      </c>
      <c r="C115" s="256" t="s">
        <v>854</v>
      </c>
      <c r="D115" s="257" t="s">
        <v>653</v>
      </c>
      <c r="E115" s="210"/>
    </row>
    <row r="116" spans="1:5" ht="24" customHeight="1" x14ac:dyDescent="0.25">
      <c r="A116" s="229">
        <v>14</v>
      </c>
      <c r="B116" s="229" t="s">
        <v>855</v>
      </c>
      <c r="C116" s="229" t="s">
        <v>856</v>
      </c>
      <c r="D116" s="228" t="s">
        <v>830</v>
      </c>
      <c r="E116" s="210"/>
    </row>
    <row r="117" spans="1:5" ht="24" customHeight="1" x14ac:dyDescent="0.25">
      <c r="A117" s="256">
        <v>15</v>
      </c>
      <c r="B117" s="256" t="s">
        <v>857</v>
      </c>
      <c r="C117" s="256"/>
      <c r="D117" s="257" t="s">
        <v>653</v>
      </c>
      <c r="E117" s="210"/>
    </row>
    <row r="118" spans="1:5" ht="21.75" customHeight="1" x14ac:dyDescent="0.25">
      <c r="A118" s="229">
        <v>16</v>
      </c>
      <c r="B118" s="229" t="s">
        <v>858</v>
      </c>
      <c r="C118" s="229"/>
      <c r="D118" s="228" t="s">
        <v>653</v>
      </c>
      <c r="E118" s="210"/>
    </row>
    <row r="119" spans="1:5" ht="24" customHeight="1" x14ac:dyDescent="0.25">
      <c r="A119" s="256">
        <v>17</v>
      </c>
      <c r="B119" s="256" t="s">
        <v>859</v>
      </c>
      <c r="C119" s="256" t="s">
        <v>860</v>
      </c>
      <c r="D119" s="257" t="s">
        <v>830</v>
      </c>
      <c r="E119" s="210"/>
    </row>
    <row r="120" spans="1:5" ht="24" customHeight="1" x14ac:dyDescent="0.25">
      <c r="A120" s="229">
        <v>18</v>
      </c>
      <c r="B120" s="229" t="s">
        <v>861</v>
      </c>
      <c r="C120" s="229" t="s">
        <v>862</v>
      </c>
      <c r="D120" s="228" t="s">
        <v>830</v>
      </c>
      <c r="E120" s="210"/>
    </row>
    <row r="121" spans="1:5" ht="24" customHeight="1" x14ac:dyDescent="0.25">
      <c r="A121" s="256">
        <v>19</v>
      </c>
      <c r="B121" s="256" t="s">
        <v>863</v>
      </c>
      <c r="C121" s="256" t="s">
        <v>864</v>
      </c>
      <c r="D121" s="257" t="s">
        <v>865</v>
      </c>
      <c r="E121" s="210"/>
    </row>
    <row r="122" spans="1:5" ht="24" customHeight="1" x14ac:dyDescent="0.25">
      <c r="A122" s="229" t="s">
        <v>866</v>
      </c>
      <c r="B122" s="229" t="s">
        <v>867</v>
      </c>
      <c r="C122" s="229" t="s">
        <v>868</v>
      </c>
      <c r="D122" s="228" t="s">
        <v>653</v>
      </c>
      <c r="E122" s="210"/>
    </row>
    <row r="123" spans="1:5" ht="4.5" customHeight="1" x14ac:dyDescent="0.25">
      <c r="A123" s="233" t="s">
        <v>869</v>
      </c>
      <c r="B123" s="259" t="s">
        <v>870</v>
      </c>
      <c r="C123" s="259"/>
      <c r="D123" s="259"/>
      <c r="E123" s="210"/>
    </row>
    <row r="124" spans="1:5" ht="19.5" customHeight="1" x14ac:dyDescent="0.25">
      <c r="A124" t="s">
        <v>871</v>
      </c>
      <c r="B124" t="s">
        <v>872</v>
      </c>
    </row>
    <row r="125" spans="1:5" ht="12.75" customHeight="1" x14ac:dyDescent="0.25">
      <c r="A125" t="s">
        <v>873</v>
      </c>
      <c r="B125" t="s">
        <v>874</v>
      </c>
    </row>
    <row r="126" spans="1:5" ht="13.5" customHeight="1" x14ac:dyDescent="0.25"/>
    <row r="127" spans="1:5" ht="13.5" customHeight="1" x14ac:dyDescent="0.25"/>
    <row r="128" spans="1:5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25.5" customHeight="1" x14ac:dyDescent="0.25"/>
    <row r="140" ht="25.5" customHeight="1" x14ac:dyDescent="0.25"/>
    <row r="141" ht="25.5" customHeight="1" x14ac:dyDescent="0.25"/>
    <row r="142" ht="15" customHeight="1" x14ac:dyDescent="0.25"/>
    <row r="143" ht="25.5" customHeight="1" x14ac:dyDescent="0.25"/>
    <row r="144" ht="25.5" customHeight="1" x14ac:dyDescent="0.25"/>
    <row r="145" ht="25.5" customHeight="1" x14ac:dyDescent="0.25"/>
    <row r="146" ht="25.5" customHeight="1" x14ac:dyDescent="0.25"/>
    <row r="147" ht="25.5" customHeight="1" x14ac:dyDescent="0.25"/>
    <row r="148" ht="25.5" customHeight="1" x14ac:dyDescent="0.25"/>
    <row r="149" ht="25.5" customHeight="1" x14ac:dyDescent="0.25"/>
    <row r="150" ht="25.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Tubex_Dashboard</vt:lpstr>
      <vt:lpstr>MRP</vt:lpstr>
      <vt:lpstr>BOM</vt:lpstr>
      <vt:lpstr>Inventory</vt:lpstr>
      <vt:lpstr>Product_Catalog</vt:lpstr>
      <vt:lpstr>Production_Log</vt:lpstr>
      <vt:lpstr>BOM Issues</vt:lpstr>
      <vt:lpstr>FG Stock</vt:lpstr>
      <vt:lpstr>Notes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Alpha Containers Planning System v7.2</dc:title>
  <dc:subject>Planning &amp; Supply Chain — Tubex / Aerosol Plants</dc:subject>
  <dc:creator>Muhammad Sikander</dc:creator>
  <cp:keywords>production inventory planning procurement</cp:keywords>
  <dc:description>Production &amp; Inventory Planning System — Alpha Containers (Pvt.) Ltd</dc:description>
  <cp:lastModifiedBy>Sikander Shahjahan</cp:lastModifiedBy>
  <cp:revision>37</cp:revision>
  <dcterms:created xsi:type="dcterms:W3CDTF">2026-03-01T07:48:13Z</dcterms:created>
  <dcterms:modified xsi:type="dcterms:W3CDTF">2026-05-15T07:23:25Z</dcterms:modified>
  <cp:category>Operations</cp:category>
  <dc:language>en-US</dc:language>
</cp:coreProperties>
</file>