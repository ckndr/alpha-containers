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1_886AB056DFEED299E3E3EB7BDBADB221D0691CC2" xr6:coauthVersionLast="47" xr6:coauthVersionMax="47" xr10:uidLastSave="{00000000-0000-0000-0000-000000000000}"/>
  <bookViews>
    <workbookView xWindow="1950" yWindow="1950" windowWidth="16200" windowHeight="9270" tabRatio="500" activeTab="1" xr2:uid="{00000000-000D-0000-FFFF-FFFF00000000}"/>
  </bookViews>
  <sheets>
    <sheet name="Tubex_Dashboard" sheetId="1" r:id="rId1"/>
    <sheet name="MRP" sheetId="2" r:id="rId2"/>
    <sheet name="Production_Log" sheetId="3" r:id="rId3"/>
    <sheet name="BOM" sheetId="4" r:id="rId4"/>
    <sheet name="Inventory" sheetId="5" r:id="rId5"/>
    <sheet name="Product_Catalog" sheetId="6" r:id="rId6"/>
    <sheet name="BOM Issues" sheetId="7" r:id="rId7"/>
    <sheet name="FG Stock" sheetId="8" r:id="rId8"/>
    <sheet name="Future_Plans" sheetId="9" r:id="rId9"/>
    <sheet name="OTIF_Data" sheetId="10" r:id="rId10"/>
    <sheet name="Production_OTIF" sheetId="11" r:id="rId11"/>
  </sheets>
  <definedNames>
    <definedName name="_xlnm._FilterDatabase" localSheetId="6" hidden="1">'BOM Issues'!$A$52:$J$64</definedName>
    <definedName name="_xlnm._FilterDatabase" localSheetId="1" hidden="1">MRP!$A$10:$J$91</definedName>
    <definedName name="_xlnm._FilterDatabase" localSheetId="5" hidden="1">Product_Catalog!$A$2:$S$55</definedName>
    <definedName name="_xlnm._FilterDatabase" localSheetId="2" hidden="1">Production_Log!$A$2:$R$140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E29" i="11"/>
  <c r="C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D29" i="11" s="1"/>
  <c r="E14" i="11"/>
  <c r="F14" i="11" s="1"/>
  <c r="G14" i="11" s="1"/>
  <c r="C14" i="11"/>
  <c r="B14" i="11"/>
  <c r="D14" i="11" s="1"/>
  <c r="E13" i="11"/>
  <c r="F13" i="11" s="1"/>
  <c r="G13" i="11" s="1"/>
  <c r="C13" i="11"/>
  <c r="B13" i="11"/>
  <c r="D13" i="11" s="1"/>
  <c r="E12" i="11"/>
  <c r="F12" i="11" s="1"/>
  <c r="G12" i="11" s="1"/>
  <c r="C12" i="11"/>
  <c r="B12" i="11"/>
  <c r="D12" i="11" s="1"/>
  <c r="E11" i="11"/>
  <c r="F11" i="11" s="1"/>
  <c r="G11" i="11" s="1"/>
  <c r="C11" i="11"/>
  <c r="B11" i="11"/>
  <c r="D11" i="11" s="1"/>
  <c r="E10" i="11"/>
  <c r="F10" i="11" s="1"/>
  <c r="G10" i="11" s="1"/>
  <c r="C10" i="11"/>
  <c r="B10" i="11"/>
  <c r="D10" i="11" s="1"/>
  <c r="E9" i="11"/>
  <c r="F9" i="11" s="1"/>
  <c r="G9" i="11" s="1"/>
  <c r="C9" i="11"/>
  <c r="B9" i="11"/>
  <c r="D9" i="11" s="1"/>
  <c r="E8" i="11"/>
  <c r="F8" i="11" s="1"/>
  <c r="G8" i="11" s="1"/>
  <c r="C8" i="11"/>
  <c r="B8" i="11"/>
  <c r="D8" i="11" s="1"/>
  <c r="E7" i="11"/>
  <c r="F7" i="11" s="1"/>
  <c r="G7" i="11" s="1"/>
  <c r="C7" i="11"/>
  <c r="B7" i="11"/>
  <c r="D7" i="11" s="1"/>
  <c r="E6" i="11"/>
  <c r="C6" i="11"/>
  <c r="C15" i="11" s="1"/>
  <c r="B6" i="11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H113" i="5"/>
  <c r="J113" i="5" s="1"/>
  <c r="H112" i="5"/>
  <c r="J112" i="5" s="1"/>
  <c r="H111" i="5"/>
  <c r="J111" i="5" s="1"/>
  <c r="H110" i="5"/>
  <c r="J110" i="5" s="1"/>
  <c r="H109" i="5"/>
  <c r="J109" i="5" s="1"/>
  <c r="H108" i="5"/>
  <c r="J108" i="5" s="1"/>
  <c r="H107" i="5"/>
  <c r="J107" i="5" s="1"/>
  <c r="H106" i="5"/>
  <c r="J106" i="5" s="1"/>
  <c r="H105" i="5"/>
  <c r="J105" i="5" s="1"/>
  <c r="H104" i="5"/>
  <c r="J104" i="5" s="1"/>
  <c r="H103" i="5"/>
  <c r="J103" i="5" s="1"/>
  <c r="H102" i="5"/>
  <c r="J102" i="5" s="1"/>
  <c r="H101" i="5"/>
  <c r="J101" i="5" s="1"/>
  <c r="H100" i="5"/>
  <c r="J100" i="5" s="1"/>
  <c r="H99" i="5"/>
  <c r="J99" i="5" s="1"/>
  <c r="H98" i="5"/>
  <c r="J98" i="5" s="1"/>
  <c r="J96" i="5"/>
  <c r="H94" i="5"/>
  <c r="J94" i="5" s="1"/>
  <c r="H93" i="5"/>
  <c r="J93" i="5" s="1"/>
  <c r="H92" i="5"/>
  <c r="J92" i="5" s="1"/>
  <c r="H91" i="5"/>
  <c r="J91" i="5" s="1"/>
  <c r="H90" i="5"/>
  <c r="J90" i="5" s="1"/>
  <c r="H89" i="5"/>
  <c r="J89" i="5" s="1"/>
  <c r="H88" i="5"/>
  <c r="J88" i="5" s="1"/>
  <c r="H87" i="5"/>
  <c r="J87" i="5" s="1"/>
  <c r="H86" i="5"/>
  <c r="J86" i="5" s="1"/>
  <c r="H85" i="5"/>
  <c r="J85" i="5" s="1"/>
  <c r="H84" i="5"/>
  <c r="J84" i="5" s="1"/>
  <c r="H83" i="5"/>
  <c r="J83" i="5" s="1"/>
  <c r="H82" i="5"/>
  <c r="J82" i="5" s="1"/>
  <c r="H81" i="5"/>
  <c r="J81" i="5" s="1"/>
  <c r="H80" i="5"/>
  <c r="J80" i="5" s="1"/>
  <c r="H79" i="5"/>
  <c r="J79" i="5" s="1"/>
  <c r="H78" i="5"/>
  <c r="J78" i="5" s="1"/>
  <c r="H77" i="5"/>
  <c r="J77" i="5" s="1"/>
  <c r="H76" i="5"/>
  <c r="J76" i="5" s="1"/>
  <c r="H75" i="5"/>
  <c r="J75" i="5" s="1"/>
  <c r="H74" i="5"/>
  <c r="J74" i="5" s="1"/>
  <c r="H73" i="5"/>
  <c r="J73" i="5" s="1"/>
  <c r="H72" i="5"/>
  <c r="J72" i="5" s="1"/>
  <c r="H71" i="5"/>
  <c r="J71" i="5" s="1"/>
  <c r="H70" i="5"/>
  <c r="J70" i="5" s="1"/>
  <c r="H69" i="5"/>
  <c r="J69" i="5" s="1"/>
  <c r="H68" i="5"/>
  <c r="J68" i="5" s="1"/>
  <c r="H67" i="5"/>
  <c r="J67" i="5" s="1"/>
  <c r="H66" i="5"/>
  <c r="J66" i="5" s="1"/>
  <c r="H65" i="5"/>
  <c r="J65" i="5" s="1"/>
  <c r="H64" i="5"/>
  <c r="J64" i="5" s="1"/>
  <c r="H63" i="5"/>
  <c r="J63" i="5" s="1"/>
  <c r="H62" i="5"/>
  <c r="J62" i="5" s="1"/>
  <c r="H61" i="5"/>
  <c r="J61" i="5" s="1"/>
  <c r="H60" i="5"/>
  <c r="J60" i="5" s="1"/>
  <c r="H59" i="5"/>
  <c r="J59" i="5" s="1"/>
  <c r="H58" i="5"/>
  <c r="J58" i="5" s="1"/>
  <c r="H57" i="5"/>
  <c r="J57" i="5" s="1"/>
  <c r="H56" i="5"/>
  <c r="J56" i="5" s="1"/>
  <c r="H55" i="5"/>
  <c r="J55" i="5" s="1"/>
  <c r="H54" i="5"/>
  <c r="J54" i="5" s="1"/>
  <c r="H53" i="5"/>
  <c r="J53" i="5" s="1"/>
  <c r="H52" i="5"/>
  <c r="J52" i="5" s="1"/>
  <c r="H51" i="5"/>
  <c r="J51" i="5" s="1"/>
  <c r="H50" i="5"/>
  <c r="J50" i="5" s="1"/>
  <c r="H49" i="5"/>
  <c r="J49" i="5" s="1"/>
  <c r="H48" i="5"/>
  <c r="J48" i="5" s="1"/>
  <c r="H47" i="5"/>
  <c r="J47" i="5" s="1"/>
  <c r="H46" i="5"/>
  <c r="J46" i="5" s="1"/>
  <c r="H45" i="5"/>
  <c r="J45" i="5" s="1"/>
  <c r="H44" i="5"/>
  <c r="J44" i="5" s="1"/>
  <c r="H43" i="5"/>
  <c r="J43" i="5" s="1"/>
  <c r="H42" i="5"/>
  <c r="J42" i="5" s="1"/>
  <c r="H41" i="5"/>
  <c r="J41" i="5" s="1"/>
  <c r="H40" i="5"/>
  <c r="J40" i="5" s="1"/>
  <c r="H39" i="5"/>
  <c r="J39" i="5" s="1"/>
  <c r="H38" i="5"/>
  <c r="J38" i="5" s="1"/>
  <c r="H37" i="5"/>
  <c r="J37" i="5" s="1"/>
  <c r="H36" i="5"/>
  <c r="J36" i="5" s="1"/>
  <c r="H35" i="5"/>
  <c r="J35" i="5" s="1"/>
  <c r="H34" i="5"/>
  <c r="J34" i="5" s="1"/>
  <c r="H33" i="5"/>
  <c r="J33" i="5" s="1"/>
  <c r="H32" i="5"/>
  <c r="J32" i="5" s="1"/>
  <c r="H31" i="5"/>
  <c r="J31" i="5" s="1"/>
  <c r="H30" i="5"/>
  <c r="J30" i="5" s="1"/>
  <c r="H29" i="5"/>
  <c r="J29" i="5" s="1"/>
  <c r="H28" i="5"/>
  <c r="J28" i="5" s="1"/>
  <c r="H27" i="5"/>
  <c r="J27" i="5" s="1"/>
  <c r="H26" i="5"/>
  <c r="J26" i="5" s="1"/>
  <c r="H25" i="5"/>
  <c r="J25" i="5" s="1"/>
  <c r="H24" i="5"/>
  <c r="J24" i="5" s="1"/>
  <c r="H23" i="5"/>
  <c r="J23" i="5" s="1"/>
  <c r="H22" i="5"/>
  <c r="J22" i="5" s="1"/>
  <c r="H21" i="5"/>
  <c r="J21" i="5" s="1"/>
  <c r="H20" i="5"/>
  <c r="J20" i="5" s="1"/>
  <c r="H19" i="5"/>
  <c r="J19" i="5" s="1"/>
  <c r="H18" i="5"/>
  <c r="J18" i="5" s="1"/>
  <c r="H17" i="5"/>
  <c r="J17" i="5" s="1"/>
  <c r="H16" i="5"/>
  <c r="J16" i="5" s="1"/>
  <c r="H15" i="5"/>
  <c r="J15" i="5" s="1"/>
  <c r="J13" i="5"/>
  <c r="H11" i="5"/>
  <c r="J11" i="5" s="1"/>
  <c r="H10" i="5"/>
  <c r="J10" i="5" s="1"/>
  <c r="H9" i="5"/>
  <c r="J9" i="5" s="1"/>
  <c r="H8" i="5"/>
  <c r="J8" i="5" s="1"/>
  <c r="H7" i="5"/>
  <c r="J7" i="5" s="1"/>
  <c r="H6" i="5"/>
  <c r="J6" i="5" s="1"/>
  <c r="H5" i="5"/>
  <c r="J5" i="5" s="1"/>
  <c r="H4" i="5"/>
  <c r="J4" i="5" s="1"/>
  <c r="H3" i="5"/>
  <c r="J3" i="5" s="1"/>
  <c r="J1" i="5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K26" i="1"/>
  <c r="H25" i="1"/>
  <c r="G25" i="1"/>
  <c r="H24" i="1"/>
  <c r="G24" i="1"/>
  <c r="H23" i="1"/>
  <c r="H22" i="1"/>
  <c r="G22" i="1"/>
  <c r="H21" i="1"/>
  <c r="G21" i="1"/>
  <c r="H20" i="1"/>
  <c r="G20" i="1"/>
  <c r="N19" i="1"/>
  <c r="H19" i="1"/>
  <c r="G19" i="1"/>
  <c r="N18" i="1"/>
  <c r="K18" i="1"/>
  <c r="N17" i="1"/>
  <c r="H17" i="1"/>
  <c r="G17" i="1"/>
  <c r="N16" i="1"/>
  <c r="H16" i="1"/>
  <c r="G16" i="1"/>
  <c r="N15" i="1"/>
  <c r="H15" i="1"/>
  <c r="G15" i="1"/>
  <c r="N14" i="1"/>
  <c r="H14" i="1"/>
  <c r="G14" i="1"/>
  <c r="H13" i="1"/>
  <c r="G13" i="1"/>
  <c r="H12" i="1"/>
  <c r="G12" i="1"/>
  <c r="H11" i="1"/>
  <c r="H18" i="1" s="1"/>
  <c r="G11" i="1"/>
  <c r="N9" i="1"/>
  <c r="N8" i="1"/>
  <c r="J8" i="1"/>
  <c r="G8" i="1" a="1"/>
  <c r="G8" i="1" s="1"/>
  <c r="D8" i="1"/>
  <c r="B8" i="1"/>
  <c r="N7" i="1"/>
  <c r="C7" i="1"/>
  <c r="J6" i="1"/>
  <c r="G6" i="1" a="1"/>
  <c r="G6" i="1" s="1"/>
  <c r="D6" i="1"/>
  <c r="B6" i="1"/>
  <c r="C5" i="1"/>
  <c r="H3" i="1"/>
  <c r="F111" i="2"/>
  <c r="F110" i="2"/>
  <c r="F109" i="2"/>
  <c r="F108" i="2"/>
  <c r="F107" i="2"/>
  <c r="F106" i="2"/>
  <c r="F105" i="2"/>
  <c r="G101" i="2"/>
  <c r="H101" i="2" s="1"/>
  <c r="G100" i="2"/>
  <c r="H100" i="2" s="1"/>
  <c r="G99" i="2"/>
  <c r="F99" i="2"/>
  <c r="G98" i="2"/>
  <c r="H98" i="2" s="1"/>
  <c r="G97" i="2"/>
  <c r="H97" i="2" s="1"/>
  <c r="G96" i="2"/>
  <c r="H94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8" i="2"/>
  <c r="G7" i="2"/>
  <c r="H7" i="2" s="1"/>
  <c r="G6" i="2"/>
  <c r="H6" i="2" s="1"/>
  <c r="G5" i="2"/>
  <c r="H5" i="2" s="1"/>
  <c r="G4" i="2"/>
  <c r="H4" i="2" s="1"/>
  <c r="G3" i="2"/>
  <c r="H1" i="2"/>
  <c r="H26" i="1" l="1"/>
  <c r="E15" i="11"/>
  <c r="F15" i="11" s="1"/>
  <c r="G15" i="11" s="1"/>
  <c r="F6" i="11"/>
  <c r="G6" i="11" s="1"/>
  <c r="B15" i="11"/>
  <c r="D15" i="11" s="1"/>
  <c r="D6" i="11"/>
  <c r="I68" i="1"/>
  <c r="J68" i="1"/>
  <c r="I67" i="1"/>
  <c r="J67" i="1"/>
  <c r="J66" i="1"/>
  <c r="I66" i="1"/>
  <c r="J65" i="1"/>
  <c r="I65" i="1"/>
  <c r="I64" i="1"/>
  <c r="J64" i="1"/>
  <c r="I63" i="1"/>
  <c r="J63" i="1"/>
  <c r="I62" i="1"/>
  <c r="J62" i="1"/>
  <c r="I61" i="1"/>
  <c r="J61" i="1"/>
  <c r="J60" i="1"/>
  <c r="I60" i="1"/>
  <c r="J59" i="1"/>
  <c r="I59" i="1"/>
  <c r="J58" i="1"/>
  <c r="I58" i="1"/>
  <c r="J57" i="1"/>
  <c r="I57" i="1"/>
  <c r="J56" i="1"/>
  <c r="I56" i="1"/>
  <c r="I55" i="1"/>
  <c r="J55" i="1"/>
  <c r="I54" i="1"/>
  <c r="J54" i="1"/>
  <c r="J53" i="1"/>
  <c r="I53" i="1"/>
  <c r="I52" i="1"/>
  <c r="J52" i="1"/>
  <c r="J51" i="1"/>
  <c r="I51" i="1"/>
  <c r="J50" i="1"/>
  <c r="I50" i="1"/>
  <c r="I49" i="1"/>
  <c r="J49" i="1"/>
  <c r="J48" i="1"/>
  <c r="I48" i="1"/>
  <c r="I47" i="1"/>
  <c r="J47" i="1"/>
  <c r="J46" i="1"/>
  <c r="I46" i="1"/>
  <c r="I45" i="1"/>
  <c r="J45" i="1"/>
  <c r="J44" i="1"/>
  <c r="I44" i="1"/>
  <c r="J43" i="1"/>
  <c r="I43" i="1"/>
  <c r="J42" i="1"/>
  <c r="I42" i="1"/>
  <c r="J41" i="1"/>
  <c r="I41" i="1"/>
  <c r="J40" i="1"/>
  <c r="I40" i="1"/>
  <c r="I39" i="1"/>
  <c r="J39" i="1"/>
  <c r="J38" i="1"/>
  <c r="I38" i="1"/>
  <c r="I37" i="1"/>
  <c r="J37" i="1"/>
  <c r="J36" i="1"/>
  <c r="I36" i="1"/>
  <c r="I35" i="1"/>
  <c r="J35" i="1"/>
  <c r="J34" i="1"/>
  <c r="I34" i="1"/>
  <c r="J33" i="1"/>
  <c r="I33" i="1"/>
  <c r="J32" i="1"/>
  <c r="I32" i="1"/>
  <c r="I31" i="1"/>
  <c r="J31" i="1"/>
  <c r="I30" i="1"/>
  <c r="J30" i="1"/>
  <c r="J29" i="1"/>
  <c r="I29" i="1"/>
  <c r="I28" i="1"/>
  <c r="J28" i="1"/>
  <c r="I27" i="1"/>
  <c r="J27" i="1"/>
  <c r="J25" i="1"/>
  <c r="I25" i="1"/>
  <c r="J24" i="1"/>
  <c r="I24" i="1"/>
  <c r="I22" i="1"/>
  <c r="J22" i="1"/>
  <c r="I21" i="1"/>
  <c r="J21" i="1"/>
  <c r="J20" i="1"/>
  <c r="I20" i="1"/>
  <c r="J19" i="1"/>
  <c r="I19" i="1"/>
  <c r="I17" i="1"/>
  <c r="J17" i="1"/>
  <c r="J16" i="1"/>
  <c r="I16" i="1"/>
  <c r="J15" i="1"/>
  <c r="I15" i="1"/>
  <c r="N20" i="1"/>
  <c r="O14" i="1" s="1"/>
  <c r="I14" i="1"/>
  <c r="J14" i="1"/>
  <c r="I13" i="1"/>
  <c r="J13" i="1"/>
  <c r="J12" i="1"/>
  <c r="I12" i="1"/>
  <c r="G18" i="1"/>
  <c r="J18" i="1" s="1"/>
  <c r="J11" i="1"/>
  <c r="I11" i="1"/>
  <c r="I18" i="1" s="1"/>
  <c r="N10" i="1"/>
  <c r="O7" i="1"/>
  <c r="F102" i="2"/>
  <c r="H99" i="2"/>
  <c r="G23" i="1"/>
  <c r="G26" i="1" s="1"/>
  <c r="G102" i="2"/>
  <c r="H96" i="2"/>
  <c r="G8" i="2"/>
  <c r="H3" i="2"/>
  <c r="J26" i="1" l="1"/>
  <c r="O15" i="1"/>
  <c r="O16" i="1"/>
  <c r="O17" i="1"/>
  <c r="O18" i="1"/>
  <c r="O19" i="1"/>
  <c r="O8" i="1"/>
  <c r="O9" i="1"/>
  <c r="I23" i="1"/>
  <c r="J23" i="1"/>
  <c r="H102" i="2"/>
  <c r="E105" i="2"/>
  <c r="H105" i="2"/>
  <c r="J105" i="2"/>
  <c r="E106" i="2"/>
  <c r="H106" i="2"/>
  <c r="J106" i="2"/>
  <c r="E107" i="2"/>
  <c r="H107" i="2"/>
  <c r="J107" i="2"/>
  <c r="E108" i="2"/>
  <c r="H108" i="2"/>
  <c r="J108" i="2"/>
  <c r="E109" i="2"/>
  <c r="H109" i="2"/>
  <c r="J109" i="2"/>
  <c r="E110" i="2"/>
  <c r="H110" i="2"/>
  <c r="J110" i="2"/>
  <c r="E111" i="2"/>
  <c r="H111" i="2"/>
  <c r="J111" i="2"/>
  <c r="H8" i="2"/>
  <c r="E13" i="2"/>
  <c r="H14" i="2"/>
  <c r="J14" i="2"/>
  <c r="H16" i="2"/>
  <c r="J16" i="2"/>
  <c r="H18" i="2"/>
  <c r="J18" i="2"/>
  <c r="H20" i="2"/>
  <c r="J20" i="2"/>
  <c r="H22" i="2"/>
  <c r="J22" i="2"/>
  <c r="H24" i="2"/>
  <c r="J24" i="2"/>
  <c r="H26" i="2"/>
  <c r="J26" i="2"/>
  <c r="H28" i="2"/>
  <c r="J28" i="2"/>
  <c r="H30" i="2"/>
  <c r="J30" i="2"/>
  <c r="E33" i="2"/>
  <c r="H75" i="2"/>
  <c r="J75" i="2"/>
  <c r="H76" i="2"/>
  <c r="J76" i="2"/>
  <c r="E78" i="2"/>
  <c r="E79" i="2"/>
  <c r="E80" i="2"/>
  <c r="E81" i="2"/>
  <c r="E82" i="2"/>
  <c r="E83" i="2"/>
  <c r="E84" i="2"/>
  <c r="E85" i="2"/>
  <c r="H86" i="2"/>
  <c r="J86" i="2"/>
  <c r="H90" i="2"/>
  <c r="J90" i="2"/>
  <c r="E91" i="2"/>
  <c r="H91" i="2"/>
  <c r="J91" i="2"/>
  <c r="H11" i="2"/>
  <c r="J11" i="2"/>
  <c r="E14" i="2"/>
  <c r="E16" i="2"/>
  <c r="E18" i="2"/>
  <c r="H19" i="2"/>
  <c r="J19" i="2"/>
  <c r="H21" i="2"/>
  <c r="J21" i="2"/>
  <c r="E24" i="2"/>
  <c r="H25" i="2"/>
  <c r="J25" i="2"/>
  <c r="E28" i="2"/>
  <c r="H29" i="2"/>
  <c r="J29" i="2"/>
  <c r="H31" i="2"/>
  <c r="J31" i="2"/>
  <c r="H33" i="2"/>
  <c r="J33" i="2"/>
  <c r="J74" i="2"/>
  <c r="E76" i="2"/>
  <c r="E77" i="2"/>
  <c r="J77" i="2"/>
  <c r="E11" i="2"/>
  <c r="H12" i="2"/>
  <c r="J12" i="2"/>
  <c r="E15" i="2"/>
  <c r="E17" i="2"/>
  <c r="E19" i="2"/>
  <c r="E21" i="2"/>
  <c r="E23" i="2"/>
  <c r="E25" i="2"/>
  <c r="E27" i="2"/>
  <c r="E29" i="2"/>
  <c r="E31" i="2"/>
  <c r="H32" i="2"/>
  <c r="J32" i="2"/>
  <c r="E75" i="2"/>
  <c r="H77" i="2"/>
  <c r="H78" i="2"/>
  <c r="J78" i="2"/>
  <c r="H79" i="2"/>
  <c r="J79" i="2"/>
  <c r="H80" i="2"/>
  <c r="J80" i="2"/>
  <c r="H81" i="2"/>
  <c r="J81" i="2"/>
  <c r="H82" i="2"/>
  <c r="J82" i="2"/>
  <c r="H83" i="2"/>
  <c r="J83" i="2"/>
  <c r="H84" i="2"/>
  <c r="J84" i="2"/>
  <c r="H85" i="2"/>
  <c r="J85" i="2"/>
  <c r="E86" i="2"/>
  <c r="E87" i="2"/>
  <c r="H87" i="2"/>
  <c r="J87" i="2"/>
  <c r="E88" i="2"/>
  <c r="H88" i="2"/>
  <c r="J88" i="2"/>
  <c r="E89" i="2"/>
  <c r="H89" i="2"/>
  <c r="J89" i="2"/>
  <c r="E90" i="2"/>
  <c r="E12" i="2"/>
  <c r="H13" i="2"/>
  <c r="J13" i="2"/>
  <c r="H15" i="2"/>
  <c r="J15" i="2"/>
  <c r="H17" i="2"/>
  <c r="J17" i="2"/>
  <c r="E20" i="2"/>
  <c r="E22" i="2"/>
  <c r="H23" i="2"/>
  <c r="J23" i="2"/>
  <c r="E26" i="2"/>
  <c r="H27" i="2"/>
  <c r="J27" i="2"/>
  <c r="E30" i="2"/>
  <c r="E32" i="2"/>
  <c r="E34" i="2"/>
  <c r="H34" i="2"/>
  <c r="J34" i="2"/>
  <c r="E35" i="2"/>
  <c r="H35" i="2"/>
  <c r="J35" i="2"/>
  <c r="E36" i="2"/>
  <c r="H36" i="2"/>
  <c r="J36" i="2"/>
  <c r="E37" i="2"/>
  <c r="H37" i="2"/>
  <c r="J37" i="2"/>
  <c r="E38" i="2"/>
  <c r="H38" i="2"/>
  <c r="J38" i="2"/>
  <c r="E39" i="2"/>
  <c r="H39" i="2"/>
  <c r="J39" i="2"/>
  <c r="E40" i="2"/>
  <c r="H40" i="2"/>
  <c r="J40" i="2"/>
  <c r="E41" i="2"/>
  <c r="H41" i="2"/>
  <c r="J41" i="2"/>
  <c r="E42" i="2"/>
  <c r="H42" i="2"/>
  <c r="J42" i="2"/>
  <c r="E43" i="2"/>
  <c r="H43" i="2"/>
  <c r="J43" i="2"/>
  <c r="E44" i="2"/>
  <c r="H44" i="2"/>
  <c r="J44" i="2"/>
  <c r="E45" i="2"/>
  <c r="H45" i="2"/>
  <c r="J45" i="2"/>
  <c r="E46" i="2"/>
  <c r="H46" i="2"/>
  <c r="J46" i="2"/>
  <c r="E47" i="2"/>
  <c r="H47" i="2"/>
  <c r="J47" i="2"/>
  <c r="E48" i="2"/>
  <c r="H48" i="2"/>
  <c r="J48" i="2"/>
  <c r="E49" i="2"/>
  <c r="H49" i="2"/>
  <c r="J49" i="2"/>
  <c r="E50" i="2"/>
  <c r="H50" i="2"/>
  <c r="J50" i="2"/>
  <c r="E51" i="2"/>
  <c r="H51" i="2"/>
  <c r="J51" i="2"/>
  <c r="E52" i="2"/>
  <c r="H52" i="2"/>
  <c r="J52" i="2"/>
  <c r="E53" i="2"/>
  <c r="H53" i="2"/>
  <c r="J53" i="2"/>
  <c r="E54" i="2"/>
  <c r="H54" i="2"/>
  <c r="J54" i="2"/>
  <c r="E55" i="2"/>
  <c r="H55" i="2"/>
  <c r="J55" i="2"/>
  <c r="E56" i="2"/>
  <c r="H56" i="2"/>
  <c r="J56" i="2"/>
  <c r="E57" i="2"/>
  <c r="H57" i="2"/>
  <c r="J57" i="2"/>
  <c r="E58" i="2"/>
  <c r="H58" i="2"/>
  <c r="J58" i="2"/>
  <c r="E59" i="2"/>
  <c r="H59" i="2"/>
  <c r="J59" i="2"/>
  <c r="E60" i="2"/>
  <c r="H60" i="2"/>
  <c r="J60" i="2"/>
  <c r="E61" i="2"/>
  <c r="H61" i="2"/>
  <c r="J61" i="2"/>
  <c r="E62" i="2"/>
  <c r="H62" i="2"/>
  <c r="J62" i="2"/>
  <c r="E63" i="2"/>
  <c r="H63" i="2"/>
  <c r="J63" i="2"/>
  <c r="E64" i="2"/>
  <c r="H64" i="2"/>
  <c r="J64" i="2"/>
  <c r="E65" i="2"/>
  <c r="H65" i="2"/>
  <c r="J65" i="2"/>
  <c r="E66" i="2"/>
  <c r="H66" i="2"/>
  <c r="J66" i="2"/>
  <c r="E67" i="2"/>
  <c r="H67" i="2"/>
  <c r="J67" i="2"/>
  <c r="E68" i="2"/>
  <c r="H68" i="2"/>
  <c r="J68" i="2"/>
  <c r="E69" i="2"/>
  <c r="H69" i="2"/>
  <c r="J69" i="2"/>
  <c r="E70" i="2"/>
  <c r="H70" i="2"/>
  <c r="J70" i="2"/>
  <c r="E71" i="2"/>
  <c r="H71" i="2"/>
  <c r="J71" i="2"/>
  <c r="E72" i="2"/>
  <c r="H72" i="2"/>
  <c r="J72" i="2"/>
  <c r="E73" i="2"/>
  <c r="H73" i="2"/>
  <c r="J73" i="2"/>
  <c r="E74" i="2"/>
  <c r="H74" i="2"/>
  <c r="I26" i="1"/>
  <c r="G105" i="2" l="1"/>
  <c r="I105" i="2"/>
  <c r="G106" i="2"/>
  <c r="I106" i="2"/>
  <c r="G107" i="2"/>
  <c r="I107" i="2"/>
  <c r="G108" i="2"/>
  <c r="I108" i="2"/>
  <c r="G109" i="2"/>
  <c r="I109" i="2"/>
  <c r="G110" i="2"/>
  <c r="I110" i="2"/>
  <c r="G111" i="2"/>
  <c r="I111" i="2"/>
  <c r="G13" i="2"/>
  <c r="I13" i="2"/>
  <c r="G33" i="2"/>
  <c r="I33" i="2"/>
  <c r="G78" i="2"/>
  <c r="I78" i="2"/>
  <c r="G79" i="2"/>
  <c r="I79" i="2"/>
  <c r="G80" i="2"/>
  <c r="I80" i="2"/>
  <c r="G81" i="2"/>
  <c r="I81" i="2"/>
  <c r="G82" i="2"/>
  <c r="I82" i="2"/>
  <c r="G83" i="2"/>
  <c r="I83" i="2"/>
  <c r="G84" i="2"/>
  <c r="I84" i="2"/>
  <c r="G85" i="2"/>
  <c r="I85" i="2"/>
  <c r="G91" i="2"/>
  <c r="I91" i="2"/>
  <c r="G14" i="2"/>
  <c r="I14" i="2"/>
  <c r="G16" i="2"/>
  <c r="I16" i="2"/>
  <c r="G18" i="2"/>
  <c r="I18" i="2" s="1"/>
  <c r="G24" i="2"/>
  <c r="I24" i="2"/>
  <c r="G28" i="2"/>
  <c r="I28" i="2"/>
  <c r="G76" i="2"/>
  <c r="I76" i="2"/>
  <c r="G77" i="2"/>
  <c r="I77" i="2"/>
  <c r="G11" i="2"/>
  <c r="I11" i="2"/>
  <c r="G15" i="2"/>
  <c r="I15" i="2"/>
  <c r="G17" i="2"/>
  <c r="I17" i="2"/>
  <c r="G19" i="2"/>
  <c r="I19" i="2"/>
  <c r="G21" i="2"/>
  <c r="I21" i="2"/>
  <c r="G23" i="2"/>
  <c r="I23" i="2"/>
  <c r="G25" i="2"/>
  <c r="I25" i="2"/>
  <c r="G27" i="2"/>
  <c r="I27" i="2"/>
  <c r="G29" i="2"/>
  <c r="I29" i="2"/>
  <c r="G31" i="2"/>
  <c r="I31" i="2"/>
  <c r="G75" i="2"/>
  <c r="I75" i="2"/>
  <c r="G86" i="2"/>
  <c r="I86" i="2"/>
  <c r="G87" i="2"/>
  <c r="I87" i="2"/>
  <c r="G88" i="2"/>
  <c r="I88" i="2"/>
  <c r="G89" i="2"/>
  <c r="I89" i="2"/>
  <c r="G90" i="2"/>
  <c r="I90" i="2"/>
  <c r="G12" i="2"/>
  <c r="I12" i="2"/>
  <c r="G20" i="2"/>
  <c r="I20" i="2"/>
  <c r="I22" i="2"/>
  <c r="G22" i="2"/>
  <c r="G26" i="2"/>
  <c r="I26" i="2"/>
  <c r="G30" i="2"/>
  <c r="I30" i="2"/>
  <c r="G32" i="2"/>
  <c r="I32" i="2"/>
  <c r="G34" i="2"/>
  <c r="I34" i="2"/>
  <c r="G35" i="2"/>
  <c r="I35" i="2"/>
  <c r="G36" i="2"/>
  <c r="I36" i="2"/>
  <c r="G37" i="2"/>
  <c r="I37" i="2"/>
  <c r="G38" i="2"/>
  <c r="I38" i="2"/>
  <c r="G39" i="2"/>
  <c r="I39" i="2"/>
  <c r="G40" i="2"/>
  <c r="I40" i="2"/>
  <c r="G41" i="2"/>
  <c r="I41" i="2"/>
  <c r="G42" i="2"/>
  <c r="I42" i="2"/>
  <c r="G43" i="2"/>
  <c r="I43" i="2"/>
  <c r="G44" i="2"/>
  <c r="I44" i="2"/>
  <c r="G45" i="2"/>
  <c r="I45" i="2"/>
  <c r="G46" i="2"/>
  <c r="I46" i="2"/>
  <c r="G47" i="2"/>
  <c r="I47" i="2"/>
  <c r="G48" i="2"/>
  <c r="I48" i="2"/>
  <c r="G49" i="2"/>
  <c r="I49" i="2"/>
  <c r="G50" i="2"/>
  <c r="I50" i="2"/>
  <c r="G51" i="2"/>
  <c r="I51" i="2"/>
  <c r="G52" i="2"/>
  <c r="I52" i="2"/>
  <c r="G53" i="2"/>
  <c r="I53" i="2"/>
  <c r="G54" i="2"/>
  <c r="I54" i="2"/>
  <c r="G55" i="2"/>
  <c r="I55" i="2"/>
  <c r="G56" i="2"/>
  <c r="I56" i="2"/>
  <c r="G57" i="2"/>
  <c r="I57" i="2"/>
  <c r="G58" i="2"/>
  <c r="I58" i="2"/>
  <c r="G59" i="2"/>
  <c r="I59" i="2"/>
  <c r="G60" i="2"/>
  <c r="I60" i="2"/>
  <c r="G61" i="2"/>
  <c r="I61" i="2"/>
  <c r="G62" i="2"/>
  <c r="I62" i="2"/>
  <c r="G63" i="2"/>
  <c r="I63" i="2"/>
  <c r="G64" i="2"/>
  <c r="I64" i="2"/>
  <c r="G65" i="2"/>
  <c r="I65" i="2"/>
  <c r="G66" i="2"/>
  <c r="I66" i="2"/>
  <c r="G67" i="2"/>
  <c r="I67" i="2"/>
  <c r="G68" i="2"/>
  <c r="I68" i="2"/>
  <c r="G69" i="2"/>
  <c r="I69" i="2"/>
  <c r="G70" i="2"/>
  <c r="I70" i="2"/>
  <c r="G71" i="2"/>
  <c r="I71" i="2"/>
  <c r="G72" i="2"/>
  <c r="I72" i="2"/>
  <c r="G73" i="2"/>
  <c r="I73" i="2"/>
  <c r="G74" i="2"/>
  <c r="I74" i="2"/>
</calcChain>
</file>

<file path=xl/sharedStrings.xml><?xml version="1.0" encoding="utf-8"?>
<sst xmlns="http://schemas.openxmlformats.org/spreadsheetml/2006/main" count="6023" uniqueCount="906">
  <si>
    <t>OCTOBER 2026 Tube Required Orders</t>
  </si>
  <si>
    <t>Date:</t>
  </si>
  <si>
    <t>Dia</t>
  </si>
  <si>
    <t>Customer</t>
  </si>
  <si>
    <t>Product Name</t>
  </si>
  <si>
    <t>Product ID</t>
  </si>
  <si>
    <t>Job Order #</t>
  </si>
  <si>
    <t>Required Qty</t>
  </si>
  <si>
    <t>Produced</t>
  </si>
  <si>
    <t>Remaining Balance</t>
  </si>
  <si>
    <t>Remarks</t>
  </si>
  <si>
    <t>Mablay Beauty PVT LTD.</t>
  </si>
  <si>
    <t>VINCE HIS ONLY BEARD &amp; MUSTACHE COLOR CREAM</t>
  </si>
  <si>
    <t>Samsol International Private Limited</t>
  </si>
  <si>
    <t>TUBES COMMON RED</t>
  </si>
  <si>
    <t>Order Not Approved</t>
  </si>
  <si>
    <t>VINCE NURTURAL</t>
  </si>
  <si>
    <t>6901 &amp; 6905</t>
  </si>
  <si>
    <t>Order Complete</t>
  </si>
  <si>
    <t>Golden Pearl Cosmetics (PVT) LTD</t>
  </si>
  <si>
    <t>HELLO HAIR COLOR</t>
  </si>
  <si>
    <t>Hola Hair</t>
  </si>
  <si>
    <t>H.H 100GM</t>
  </si>
  <si>
    <t>TOTAL:</t>
  </si>
  <si>
    <t>OCTOBER TUBES MATERIAL REQUIREMENT PLAN</t>
  </si>
  <si>
    <t>Item ID</t>
  </si>
  <si>
    <t>Category</t>
  </si>
  <si>
    <t>Item Name</t>
  </si>
  <si>
    <t>UOM</t>
  </si>
  <si>
    <t>Current Stock (Store + WIP)</t>
  </si>
  <si>
    <t>Surplus / (Deficit)</t>
  </si>
  <si>
    <t>Current Stock
Pieces Can Produce</t>
  </si>
  <si>
    <t>Status</t>
  </si>
  <si>
    <t>Product Name(s)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</si>
  <si>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</si>
  <si>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</si>
  <si>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</si>
  <si>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</si>
  <si>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</si>
  <si>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</si>
  <si>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</si>
  <si>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</si>
  <si>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</si>
  <si>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</si>
  <si>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</si>
  <si>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</si>
  <si>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SLUG 30X4.8</t>
  </si>
  <si>
    <t>32X5.2</t>
  </si>
  <si>
    <t>32x5.0</t>
  </si>
  <si>
    <t>35X5.0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</si>
  <si>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</si>
  <si>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</si>
  <si>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</si>
  <si>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</si>
  <si>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</si>
  <si>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</si>
  <si>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</si>
  <si>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</si>
  <si>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</si>
  <si>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</si>
  <si>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</si>
  <si>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</si>
  <si>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</si>
  <si>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</si>
  <si>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</si>
  <si>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</si>
  <si>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</si>
  <si>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</si>
  <si>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</si>
  <si>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</si>
  <si>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</si>
  <si>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CAP</t>
  </si>
  <si>
    <t>M-7 S/M F/P (S) WHITE</t>
  </si>
  <si>
    <t>PCS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</si>
  <si>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</si>
  <si>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</si>
  <si>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</si>
  <si>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</si>
  <si>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</si>
  <si>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</si>
  <si>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</si>
  <si>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</si>
  <si>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</si>
  <si>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</si>
  <si>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</si>
  <si>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</si>
  <si>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</si>
  <si>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</si>
  <si>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</si>
  <si>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</si>
  <si>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</si>
  <si>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</si>
  <si>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</si>
  <si>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</si>
  <si>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</si>
  <si>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</si>
  <si>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</si>
  <si>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</si>
  <si>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</si>
  <si>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</si>
  <si>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</si>
  <si>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</si>
  <si>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</si>
  <si>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</si>
  <si>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</si>
  <si>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ZINC POWDER</t>
  </si>
  <si>
    <t>ZINC STEARATE</t>
  </si>
  <si>
    <t>ZINC ARCHIMATE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</si>
  <si>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</si>
  <si>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</si>
  <si>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</si>
  <si>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</si>
  <si>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</si>
  <si>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</si>
  <si>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</si>
  <si>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</si>
  <si>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</si>
  <si>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</si>
  <si>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</si>
  <si>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</si>
  <si>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</si>
  <si>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</si>
  <si>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</si>
  <si>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</si>
  <si>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</si>
  <si>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</si>
  <si>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</si>
  <si>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</si>
  <si>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</si>
  <si>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</si>
  <si>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PACKING</t>
  </si>
  <si>
    <t>PLASTIC DOORI</t>
  </si>
  <si>
    <t>ROLL</t>
  </si>
  <si>
    <t>OCTOBER 2026 PET Required Pet Orders</t>
  </si>
  <si>
    <t>75 ml</t>
  </si>
  <si>
    <t>Alpha Labs PVT LTD</t>
  </si>
  <si>
    <t>PET BOTTLE (75ML) TRANSPARENT BODY MIST</t>
  </si>
  <si>
    <t>352</t>
  </si>
  <si>
    <t>130 ml</t>
  </si>
  <si>
    <t>PET BOTTLE 130ML WHITE</t>
  </si>
  <si>
    <t>PET BOTTLE SMALL (130ML) TRANSPARENT</t>
  </si>
  <si>
    <t>355</t>
  </si>
  <si>
    <t>354</t>
  </si>
  <si>
    <t>150 ml</t>
  </si>
  <si>
    <t>PET BOTTLE (150ML)TRANSPARENT BODY MIST</t>
  </si>
  <si>
    <t>341, 347, 348 &amp; 353</t>
  </si>
  <si>
    <t>200 ml</t>
  </si>
  <si>
    <t>PET BOTTLE LARGE (200 ML) YELLOW</t>
  </si>
  <si>
    <t>OCTOBER PET MATERIAL REQUIREMENT PLAN</t>
  </si>
  <si>
    <t>Carton</t>
  </si>
  <si>
    <t>Poly Bag</t>
  </si>
  <si>
    <t>POLY BAG 24X36 (LDPE)</t>
  </si>
  <si>
    <t>TUBEX  — October 2026 Month to Date Report</t>
  </si>
  <si>
    <t>Report Date:</t>
  </si>
  <si>
    <t>TUBE</t>
  </si>
  <si>
    <t>TUBE — MTD</t>
  </si>
  <si>
    <t>TUBE — REJECT %</t>
  </si>
  <si>
    <t>Dispatch — MTD</t>
  </si>
  <si>
    <t>Press &amp; Printing Downtime – MTD (Tubes)</t>
  </si>
  <si>
    <t>Hours (MTD)</t>
  </si>
  <si>
    <t>% Share</t>
  </si>
  <si>
    <t>PET</t>
  </si>
  <si>
    <t>PET — MTD</t>
  </si>
  <si>
    <t>PET — REJECT %</t>
  </si>
  <si>
    <t>PET Shifts</t>
  </si>
  <si>
    <t>Material Shortage</t>
  </si>
  <si>
    <t>A+B (8+8)</t>
  </si>
  <si>
    <t>Mechanical</t>
  </si>
  <si>
    <t>Summary of Production &amp; Dispatch - MTD</t>
  </si>
  <si>
    <t>Changeover</t>
  </si>
  <si>
    <t>Type</t>
  </si>
  <si>
    <t>Prod ID</t>
  </si>
  <si>
    <t>Orders</t>
  </si>
  <si>
    <t>MTD Produced</t>
  </si>
  <si>
    <t>Remaining</t>
  </si>
  <si>
    <t>Compliance</t>
  </si>
  <si>
    <t>Dispatch</t>
  </si>
  <si>
    <t>TOTAL</t>
  </si>
  <si>
    <t>100%</t>
  </si>
  <si>
    <t>PF Machine Downtime – MTD (PET)</t>
  </si>
  <si>
    <t>Compressor Issue</t>
  </si>
  <si>
    <t>Operations</t>
  </si>
  <si>
    <t>Adore</t>
  </si>
  <si>
    <t>V- HC BROWN</t>
  </si>
  <si>
    <t>V-HC BLACK</t>
  </si>
  <si>
    <t>Electrical</t>
  </si>
  <si>
    <t>PET BOTTLE SMALL (120ML) YELLOW</t>
  </si>
  <si>
    <t>120 ml</t>
  </si>
  <si>
    <t>TRANSPARENT BOTTLE 150ML</t>
  </si>
  <si>
    <t>Bahadur</t>
  </si>
  <si>
    <t>BAHADUR TUBE 12.5MM</t>
  </si>
  <si>
    <t>Brookes Pharma Private Limited</t>
  </si>
  <si>
    <t>ECZEMUS OINTMENT 0.03% 10G</t>
  </si>
  <si>
    <t>S-45 DIA 19MM</t>
  </si>
  <si>
    <t>S-43 DIA 19MM</t>
  </si>
  <si>
    <t>PYODINE GEL 20GM</t>
  </si>
  <si>
    <t>CONTRATUBEX GEL 20G</t>
  </si>
  <si>
    <t>S-43 DIA 20.5</t>
  </si>
  <si>
    <t>SAMSOL HAIR COLOR 45 DIA 20.5 MM</t>
  </si>
  <si>
    <t>S-45 DIA 20.5</t>
  </si>
  <si>
    <t>SAMSOL HAIR COLOR 43 DIA 20.5 MM</t>
  </si>
  <si>
    <t>SAMSOL HAIR COLOR 39 SMALL PURPLE</t>
  </si>
  <si>
    <t>SAMSOL HAIR COLOR 41 SMALL PURPLE</t>
  </si>
  <si>
    <t>HIS ONLY HAIR COLOR CREAM 40GM</t>
  </si>
  <si>
    <t>S-45</t>
  </si>
  <si>
    <t>S 43 25MM</t>
  </si>
  <si>
    <t>TUBES</t>
  </si>
  <si>
    <t>TUBE COMMON PURPLE</t>
  </si>
  <si>
    <t>TUBES MEN BLUE</t>
  </si>
  <si>
    <t>SAMSOL RED 25MM</t>
  </si>
  <si>
    <t>DTM</t>
  </si>
  <si>
    <t>DTM DIA 25MM</t>
  </si>
  <si>
    <t>Professional Beauty Solution (Pvt) Ltd</t>
  </si>
  <si>
    <t>BELINI HAIR COLOR 50ML</t>
  </si>
  <si>
    <t>Seatle (Private) Limited</t>
  </si>
  <si>
    <t>DOWFEN GEL 50G</t>
  </si>
  <si>
    <t>Professional Beauty Solution (PVT) LTD.Pakistan</t>
  </si>
  <si>
    <t>EAZICOLOR PREMIUM HAIR COLOUR 60ML</t>
  </si>
  <si>
    <t>HIBA S HAIR COLOR 60ML</t>
  </si>
  <si>
    <t>Al-Rehman Group</t>
  </si>
  <si>
    <t>SIGNATURE HAIR COLOR CREAM 60ML</t>
  </si>
  <si>
    <t>ACTIVE PRO HAIR COLOR CREAM 60ML</t>
  </si>
  <si>
    <t>VINCE NURTURAL (Varnish)</t>
  </si>
  <si>
    <t>EAZI COLOR PERMANENT HAIR COLOUR 60ML</t>
  </si>
  <si>
    <t>Mateen Sons</t>
  </si>
  <si>
    <t>GP DIA 30MM</t>
  </si>
  <si>
    <t>Mega Grey</t>
  </si>
  <si>
    <t>M.G</t>
  </si>
  <si>
    <t>ANVIL 43</t>
  </si>
  <si>
    <t>ANVIL 45</t>
  </si>
  <si>
    <t>BLACK SMALL BOTTLE 120ML</t>
  </si>
  <si>
    <t>WHITE SMALL BOTTLE 120ML</t>
  </si>
  <si>
    <t>Horizon Chem</t>
  </si>
  <si>
    <t>PET BOTTLE LARGE 200ML WHITE</t>
  </si>
  <si>
    <t>PET BOTTLE MUSTARD OIL (200ML) TRANSPARENT</t>
  </si>
  <si>
    <t>PET BOTTLE COCONUT OIL (200ML) WHITE</t>
  </si>
  <si>
    <t>BLACK BOTTLE 200ML</t>
  </si>
  <si>
    <t>TRANSPARENT BOTTLE 300ML</t>
  </si>
  <si>
    <t>300 ml</t>
  </si>
  <si>
    <t>TRANSPARENT JAR 500ML</t>
  </si>
  <si>
    <t>500 ml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</si>
  <si>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</si>
  <si>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</si>
  <si>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</si>
  <si>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</si>
  <si>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</si>
  <si>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</si>
  <si>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</si>
  <si>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</si>
  <si>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</si>
  <si>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</si>
  <si>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</si>
  <si>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</si>
  <si>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</si>
  <si>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</si>
  <si>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</si>
  <si>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</si>
  <si>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Compressor Issue DT</t>
  </si>
  <si>
    <t>Order not available DT</t>
  </si>
  <si>
    <t>Lacquer-03</t>
  </si>
  <si>
    <t>Latex-01</t>
  </si>
  <si>
    <t>PF Machine</t>
  </si>
  <si>
    <t>Press-04</t>
  </si>
  <si>
    <t>Printing-04</t>
  </si>
  <si>
    <t>Press-03</t>
  </si>
  <si>
    <t>Lacquer-04</t>
  </si>
  <si>
    <t>Press-06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</si>
  <si>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</si>
  <si>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</si>
  <si>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</si>
  <si>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</si>
  <si>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</si>
  <si>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</si>
  <si>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</si>
  <si>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COMMON</t>
  </si>
  <si>
    <t>Aluminum Slugs</t>
  </si>
  <si>
    <t>Added for 13.5x4.2 inventory rate</t>
  </si>
  <si>
    <t>POLYSTER BASE COAT WHITE 234</t>
  </si>
  <si>
    <t>Base Coat</t>
  </si>
  <si>
    <t>Caps</t>
  </si>
  <si>
    <t>Cartons</t>
  </si>
  <si>
    <t>Zinc Stearate</t>
  </si>
  <si>
    <t>Lacquer</t>
  </si>
  <si>
    <t>Thinner</t>
  </si>
  <si>
    <t>Packing Tape</t>
  </si>
  <si>
    <t>Slug</t>
  </si>
  <si>
    <t>PHLOGIN GEL 20G</t>
  </si>
  <si>
    <t>POLYSTER BASE COAT WHITE 23410 CT</t>
  </si>
  <si>
    <t>pcs</t>
  </si>
  <si>
    <t>20.5x510 5ply L21.5" W14.5" H6"</t>
  </si>
  <si>
    <t>Zinc</t>
  </si>
  <si>
    <t>Tape</t>
  </si>
  <si>
    <t>INK</t>
  </si>
  <si>
    <t>ORANGE (LOCAL)</t>
  </si>
  <si>
    <t>Ink</t>
  </si>
  <si>
    <t>Latex</t>
  </si>
  <si>
    <t>25x336 5Ply L21.5" W14.5" H7 "</t>
  </si>
  <si>
    <t>RED BRONZE (LOCAL) 32519</t>
  </si>
  <si>
    <t>GERANIUM (EVER SHINE) ES-130</t>
  </si>
  <si>
    <t>Switched from 406 to 3597</t>
  </si>
  <si>
    <t>GOLD V0221267-RF-401363</t>
  </si>
  <si>
    <t>M-12 S/M SPR WHITE DIA 30 SCABIN</t>
  </si>
  <si>
    <t>35x180 5ply L21.5" W14.5" H8.5"</t>
  </si>
  <si>
    <t>Zinc Powder</t>
  </si>
  <si>
    <t>Professional Beauty Solution (Pvt) Ltd.Pakistan</t>
  </si>
  <si>
    <t>30X150 3Ply L18.75" W12.5" H6.5"</t>
  </si>
  <si>
    <t>35x180 5ply</t>
  </si>
  <si>
    <t>PET Resin</t>
  </si>
  <si>
    <t>Preform 22g (same as 150ml)</t>
  </si>
  <si>
    <t>MASTER CARTON</t>
  </si>
  <si>
    <t>Master Carton</t>
  </si>
  <si>
    <t>Packing</t>
  </si>
  <si>
    <t>Masterbatch</t>
  </si>
  <si>
    <t>Master Batch</t>
  </si>
  <si>
    <t>MASTER CARTON 34.7 X 59.5 X 34.5</t>
  </si>
  <si>
    <t xml:space="preserve">Slugs Inventory — October 2026 MONTH TO DATE </t>
  </si>
  <si>
    <t>Item Name (ERP)</t>
  </si>
  <si>
    <t>Opening</t>
  </si>
  <si>
    <t>Received from Vendor</t>
  </si>
  <si>
    <t>Issued to Production</t>
  </si>
  <si>
    <t>Store Balance</t>
  </si>
  <si>
    <t>WIP</t>
  </si>
  <si>
    <t>Pieces Can Be Produced (Store + Floor Stock)</t>
  </si>
  <si>
    <t>Status / Remarks</t>
  </si>
  <si>
    <t>30X4.5 S/M</t>
  </si>
  <si>
    <t>Inactive (Not in use)</t>
  </si>
  <si>
    <t>Inventory — October 2026 Month to Date</t>
  </si>
  <si>
    <t>Work In Process</t>
  </si>
  <si>
    <t xml:space="preserve">Pieces Can Be Produced </t>
  </si>
  <si>
    <t>LACQUAR IMP 49989</t>
  </si>
  <si>
    <t>Not active in ERP</t>
  </si>
  <si>
    <t>LACQUAR RHENANIA (ACTEGA COLL 299)</t>
  </si>
  <si>
    <t>PIGMENTED LACQUAR 57300</t>
  </si>
  <si>
    <t>E/P LACQUAR 4000 A/R</t>
  </si>
  <si>
    <t>Cap</t>
  </si>
  <si>
    <t>THINNER LACQUAR SOL EPOXY</t>
  </si>
  <si>
    <t>VIOLET 501 IMP</t>
  </si>
  <si>
    <t>VIOLET 502 IMP</t>
  </si>
  <si>
    <t>GREEN 165000</t>
  </si>
  <si>
    <t>BROWN 157662</t>
  </si>
  <si>
    <t>BLUE 126039</t>
  </si>
  <si>
    <t>MEGENTA RED 152166</t>
  </si>
  <si>
    <t>BLUE 165743</t>
  </si>
  <si>
    <t>BLACK (LOCAL) 77660</t>
  </si>
  <si>
    <t>YELLOW (PASTAL-C)</t>
  </si>
  <si>
    <t>INK JET BLACK 77842</t>
  </si>
  <si>
    <t>MAGENTA (LOCAL) 32500</t>
  </si>
  <si>
    <t>WHITE (LOCAL) 07094</t>
  </si>
  <si>
    <t>INK BLUE ES 164</t>
  </si>
  <si>
    <t>VIOLET 400484</t>
  </si>
  <si>
    <t>GOLD (LOCAL) 97035</t>
  </si>
  <si>
    <t>BLUE BRONZE (LOCAL) 51168</t>
  </si>
  <si>
    <t>PINK FLUORESCENT</t>
  </si>
  <si>
    <t>VIOLET TUB 400011</t>
  </si>
  <si>
    <t>YELLOW LEMON 18600</t>
  </si>
  <si>
    <t>INK BLUE PC</t>
  </si>
  <si>
    <t>INK CYAN PROCESS 51650</t>
  </si>
  <si>
    <t>INK GOLD V0221267AT-401363 IMP</t>
  </si>
  <si>
    <t>INK BLACK 158000 IMPORTED</t>
  </si>
  <si>
    <t>INK GREEN ES 166</t>
  </si>
  <si>
    <t>PURPLE 48054</t>
  </si>
  <si>
    <t>PET Inventory — October 2026 Month to Date</t>
  </si>
  <si>
    <t>MASTER BATCH ONCOLOR YELLOW NE12340208-ZN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</si>
  <si>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</si>
  <si>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</si>
  <si>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</si>
  <si>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</si>
  <si>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</si>
  <si>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</si>
  <si>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</si>
  <si>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</si>
  <si>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</si>
  <si>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</si>
  <si>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</si>
  <si>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</si>
  <si>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</si>
  <si>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</si>
  <si>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</si>
  <si>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</si>
  <si>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</si>
  <si>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</si>
  <si>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</si>
  <si>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PID</t>
  </si>
  <si>
    <t>BOM#</t>
  </si>
  <si>
    <t>Product</t>
  </si>
  <si>
    <t>Issue</t>
  </si>
  <si>
    <t>ERP Action Required</t>
  </si>
  <si>
    <t>Priority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</si>
  <si>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</si>
  <si>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</si>
  <si>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</si>
  <si>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</si>
  <si>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</si>
  <si>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</si>
  <si>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</si>
  <si>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</si>
  <si>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</si>
  <si>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</si>
  <si>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</si>
  <si>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</si>
  <si>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</si>
  <si>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</si>
  <si>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</si>
  <si>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</si>
  <si>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</si>
  <si>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Notes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</si>
  <si>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</si>
  <si>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</si>
  <si>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</si>
  <si>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</si>
  <si>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</si>
  <si>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</si>
  <si>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</si>
  <si>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</si>
  <si>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</si>
  <si>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</si>
  <si>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</si>
  <si>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</si>
  <si>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</si>
  <si>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</si>
  <si>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</si>
  <si>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</si>
  <si>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</si>
  <si>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</si>
  <si>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</si>
  <si>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</si>
  <si>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</si>
  <si>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</si>
  <si>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</si>
  <si>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</si>
  <si>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</si>
  <si>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</si>
  <si>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</si>
  <si>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</si>
  <si>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</si>
  <si>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</si>
  <si>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</si>
  <si>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</si>
  <si>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</si>
  <si>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</si>
  <si>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</si>
  <si>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</si>
  <si>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</si>
  <si>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</si>
  <si>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</si>
  <si>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</si>
  <si>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</si>
  <si>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</si>
  <si>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</si>
  <si>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</si>
  <si>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</si>
  <si>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</si>
  <si>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</si>
  <si>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</si>
  <si>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</si>
  <si>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</si>
  <si>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</si>
  <si>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</si>
  <si>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</si>
  <si>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</si>
  <si>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</si>
  <si>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</si>
  <si>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</si>
  <si>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</si>
  <si>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</si>
  <si>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</si>
  <si>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</si>
  <si>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</si>
  <si>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</si>
  <si>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</si>
  <si>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</si>
  <si>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</si>
  <si>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</si>
  <si>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</si>
  <si>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</si>
  <si>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</si>
  <si>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</si>
  <si>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</si>
  <si>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</si>
  <si>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</si>
  <si>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</si>
  <si>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</si>
  <si>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</si>
  <si>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</si>
  <si>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</si>
  <si>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</si>
  <si>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</si>
  <si>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</si>
  <si>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</si>
  <si>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</si>
  <si>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</si>
  <si>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</si>
  <si>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</si>
  <si>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</si>
  <si>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</si>
  <si>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</si>
  <si>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</si>
  <si>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</si>
  <si>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</si>
  <si>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</si>
  <si>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</si>
  <si>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</si>
  <si>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</si>
  <si>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</si>
  <si>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</si>
  <si>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</si>
  <si>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</si>
  <si>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</si>
  <si>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</si>
  <si>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</si>
  <si>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</si>
  <si>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</si>
  <si>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</si>
  <si>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</si>
  <si>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</si>
  <si>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</si>
  <si>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</si>
  <si>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</si>
  <si>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</si>
  <si>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</si>
  <si>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</si>
  <si>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</si>
  <si>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</si>
  <si>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</si>
  <si>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</si>
  <si>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</si>
  <si>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</si>
  <si>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</si>
  <si>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</si>
  <si>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</si>
  <si>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</si>
  <si>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</si>
  <si>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</si>
  <si>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</si>
  <si>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</si>
  <si>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</si>
  <si>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</si>
  <si>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</si>
  <si>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</si>
  <si>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</si>
  <si>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</si>
  <si>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</si>
  <si>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</si>
  <si>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</si>
  <si>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</si>
  <si>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</si>
  <si>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</si>
  <si>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</si>
  <si>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</si>
  <si>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</si>
  <si>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</si>
  <si>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</si>
  <si>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</si>
  <si>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</si>
  <si>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</si>
  <si>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</si>
  <si>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</si>
  <si>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</si>
  <si>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</si>
  <si>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</si>
  <si>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</si>
  <si>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</si>
  <si>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</si>
  <si>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</si>
  <si>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</si>
  <si>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</si>
  <si>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</si>
  <si>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</si>
  <si>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</si>
  <si>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</si>
  <si>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</si>
  <si>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BLACK (LOCAL) 77842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</si>
  <si>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</si>
  <si>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</si>
  <si>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</si>
  <si>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</si>
  <si>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</si>
  <si>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</si>
  <si>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21-Oct-2026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</si>
  <si>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</si>
  <si>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</si>
  <si>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</si>
  <si>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</si>
  <si>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</si>
  <si>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</si>
  <si>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</si>
  <si>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150ml</t>
  </si>
  <si>
    <t>OK</t>
  </si>
  <si>
    <t>Ready for dispatch</t>
  </si>
  <si>
    <t>30</t>
  </si>
  <si>
    <t>32</t>
  </si>
  <si>
    <t>25</t>
  </si>
  <si>
    <t>Samsol 45 - No Order</t>
  </si>
  <si>
    <t>No Order</t>
  </si>
  <si>
    <t>Quality Hold</t>
  </si>
  <si>
    <t>Inprogress On Packing</t>
  </si>
  <si>
    <t>20.5</t>
  </si>
  <si>
    <t>Order Cancel</t>
  </si>
  <si>
    <t>19</t>
  </si>
  <si>
    <t>Not Ready</t>
  </si>
  <si>
    <t>ALPHA CONTAINERS — STRATEGIC ROADMAP &amp; AGENTIC IMPLEMENTATION SPECIFICATIONS</t>
  </si>
  <si>
    <t>Feature ID</t>
  </si>
  <si>
    <t>Feature Name</t>
  </si>
  <si>
    <t>Target Files &amp; Scope</t>
  </si>
  <si>
    <t>Architecture &amp; Implementation Spec</t>
  </si>
  <si>
    <t>Priority &amp; Impact</t>
  </si>
  <si>
    <t>FP-01</t>
  </si>
  <si>
    <t>Web Dashboard &amp; UX</t>
  </si>
  <si>
    <t>Raw Material Yield &amp; Capacity Simulator (Slugs &amp; Resin)</t>
  </si>
  <si>
    <t>Tubex.html (#panel-calc)
sw.js (cache bump)</t>
  </si>
  <si>
    <t>Interactive dual-mode raw material converter in Tubex.html under Material Calc tab.
1. Mode Switcher: Toggle between [Aluminum Slugs (Tubes)] and [PET Resin (Bottles)].
2. Aluminum Slugs Converter:
   • Plant Diameters: 12.5/13.5mm (1.95g), 16mm (2.52g), 19mm (3.37g), 20.5mm (3.94g), 25mm (5.92g), 30mm (8.00g), 32mm (10.86g), 35mm (12.82g).
   • Forward: Net Tubes = Floor((Stock_kg * 1000) / (Slug_Weight_g * (1 + Scrap_Factor))). Default scrap 10% (slider 5–20%).
   • Reverse: Required Slugs kg = Round((Target_Pieces / 1000) * Slug_Weight_g * (1 + Scrap_Factor), 2).
3. PET Resin Converter:
   • Formats: 60ml (10.5g), 75ml (12.5g), 100ml (15g), 120ml (17.1g), 130ml (18g), 150ml (21g), 200ml (23.75g), 250ml (26g), 300ml (25g), 500ml (50g).
   • Default scrap 15%, Masterbatch dosing 2.0%. Compares producible bottles and required Masterbatch across all sizes in responsive cards.
4. Store Stock Auto-Fill: '⚡ Load Store Stock' button pulling live kg balance directly from DASH_DATA.inventory for selected diameter/resin.
5. Safety: 100% reactive client-side JavaScript. Zero Excel modifications.</t>
  </si>
  <si>
    <t>Ready to Implement</t>
  </si>
  <si>
    <t>High / Quick Win</t>
  </si>
  <si>
    <t>FP-04</t>
  </si>
  <si>
    <t>Dark / Light Theme Toggle &amp; Mobile Touch Navigation</t>
  </si>
  <si>
    <t>Tubex.html (CSS, Header, JS)
sw.js (cache bump)</t>
  </si>
  <si>
    <t>Add high-contrast industrial dark mode and smooth mobile swipe gestures to Tubex.html.
1. Industrial Dark Palette: Define [data-theme="dark"] CSS variables:
   • Background: #0d1526, Card/Surface: #15203b, Border: #233554, Text: #e2e8f0, Muted: #8c9cb8, Accent: #f5c842.
   • Header button 🌓 toggling theme; persist choice in localStorage ('tubex_theme') with prefers-color-scheme sync.
2. Mobile Touch Swipe Navigation:
   • Listen to touchstart/touchend on main view (threshold |dx| &gt;= 60px and |dx| &gt;= 2*|dy|).
   • Ignore touches inside horizontally scrollable data tables (.tbl-wrap).
   • Swipe Left: Next Tab; Swipe Right: Previous Tab across the 6 tabs:
     [Dashboard ⇄ Customer Report ⇄ Material Calc ⇄ Production ⇄ FG Stock ⇄ Inventory].
3. Safety: Purely CSS/JS enhancements. Fully responsive, preserves desktop click navigation.</t>
  </si>
  <si>
    <t>Medium / Polish</t>
  </si>
  <si>
    <t>FP-05</t>
  </si>
  <si>
    <t>One-Click Executive PDF &amp; CSV Report Exporter</t>
  </si>
  <si>
    <t>Tubex.html (@media print, JS)
sw.js (cache bump)</t>
  </si>
  <si>
    <t>Add 1-click printable executive summary PDF and table CSV export to Tubex.html.
1. Executive 1-Page Printable Briefing:
   • Dedicated @media print stylesheet formatting Dashboard view into a clean, compact 1-page printable layout.
   • Content: Plant Date &amp; Shift Timestamps, MTD KPIs, Printing OTIF status, Top Active Orders with compliance bars, and Downtime summary.
   • Automatically hides buttons, search bars, banners, and tab selectors when printing.
   • '📄 Print Executive Summary' button triggering window.print().
2. UTF-8 CSV Data Exporters:
   • Add '📥 Export CSV' buttons to Orders table, Inventory table, and FG Stock table.
   • Generates UTF-8 encoded CSV with Byte Order Mark (\uFEFF) so Urdu / customer names open cleanly in Excel without corruption.
3. Safety: 100% client-side Blob generation. Zero external heavy library dependencies.</t>
  </si>
  <si>
    <t>Medium / Quick Win</t>
  </si>
  <si>
    <t>FP-08</t>
  </si>
  <si>
    <t>Pipeline Automation</t>
  </si>
  <si>
    <t>Automated Daily Morning Executive Briefing (WhatsApp Text Generator)</t>
  </si>
  <si>
    <t>Scripts/daily.py (Step 7)
Logs/daily_briefing.txt</t>
  </si>
  <si>
    <t>Automatically compose a concise, emoji-formatted morning executive text summary during daily.py, copying directly to Windows clipboard for 1-click WhatsApp sharing.
1. Briefing Payload Composition (computed at Step 7 after screenshot):
   • 🏭 Plant Date &amp; Shift Timestamps
   • 📦 Yesterday Production: Tube pieces (Print 1 &amp; 2) + PET bottles (PF 1 &amp; 2)
   • 📈 MTD Progress vs Plan: Produced total vs Monthly Plan (% compliance &amp; required run-rate)
   • 🎯 Printing 22K Target: Lines achieving 22,000 pcs/day OTIF benchmark
   • 🚨 Critical Shortages: Open MRP materials with deficit balance (Required &gt; Store + WIP)
   • ⏱️ Top Downtimes: Top 3 machine downtime causes and hours
   • 🔗 Live Link: GitHub Pages URL for phone access
2. Delivery Mechanism:
   • Save text copy to Logs/daily_briefing.txt.
   • Automatically copy text to Windows clipboard via win32clipboard / powershell.
   • Console notification: '[OK] Morning briefing copied to clipboard — press Ctrl+V in WhatsApp'.
3. Safety: Completely non-destructive. No brittle web scrapers or unofficial WhatsApp APIs.</t>
  </si>
  <si>
    <t>High / Time Saver</t>
  </si>
  <si>
    <t>FP-11</t>
  </si>
  <si>
    <t>Shop-Floor Scheduling</t>
  </si>
  <si>
    <t>Smart Printing Line Changeover &amp; Sequence Scheduler</t>
  </si>
  <si>
    <t>Tubex.html (Production Tab / Card)
Scripts/schedule_advisory.py (Optional)</t>
  </si>
  <si>
    <t>Algorithmic sequencing advisory tool to minimize mechanical tooling changes and ink washdowns on Print 1 and Print 2.
1. Machine Line Constraints:
   • Print 1: Small/medium diameters (12.5mm, 13.5mm, 16mm, 19mm, 20.5mm, 25mm).
   • Print 2: Medium/large diameters (25mm, 30mm, 32mm, 35mm).
2. Sequencing Optimization Algorithm:
   • Ingest unfulfilled orders from Tubex_Dashboard and MRP.
   • Group jobs by Diameter (eliminates 3–4 hour mechanical tooling changeovers).
   • Sub-sequence within diameter by Nozzle / Shoulder Type.
   • Sub-sequence by Base Coat Color gradient (White → Clear/Varnish → Dark/Red/Black) to eliminate wash-down ink cycles (saving 1–2 hours per wash).
3. Advisory Deliverable in Dashboard:
   • Interactive recommended schedule card under Production tab in Tubex.html.
   • Displays estimated downtime hours saved and extra piece capacity gained.
   • Allows supervisor to flag priority rush jobs with visual changeover penalty indicator.
4. Safety: Non-destructive advisory view. Does NOT overwrite master Excel job orders.</t>
  </si>
  <si>
    <t>Strategic / Efficiency</t>
  </si>
  <si>
    <t>Month</t>
  </si>
  <si>
    <t>Printer</t>
  </si>
  <si>
    <t>Total Output</t>
  </si>
  <si>
    <t>Good Output</t>
  </si>
  <si>
    <t>Reject Output</t>
  </si>
  <si>
    <t>Downtime Reason</t>
  </si>
  <si>
    <t>Downtime Min</t>
  </si>
  <si>
    <t>2026-01-06</t>
  </si>
  <si>
    <t>January</t>
  </si>
  <si>
    <t>Normal</t>
  </si>
  <si>
    <t>-</t>
  </si>
  <si>
    <t>Printing-05</t>
  </si>
  <si>
    <t>ACTIVE PRO HAIR COLOR CREAM 60ML, SAMSOL HAIR COLOR 39 SMALL PURPLE, SAMSOL HAIR COLOR 41 SMALL PURPLE</t>
  </si>
  <si>
    <t>2026-01-07</t>
  </si>
  <si>
    <t>S 43 25MM, TUBES</t>
  </si>
  <si>
    <t>2026-01-08</t>
  </si>
  <si>
    <t>2026-01-09</t>
  </si>
  <si>
    <t>HIBA S HAIR COLOR 60ML, SIGNATURE HAIR COLOR CREAM 60ML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</si>
  <si>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</si>
  <si>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</si>
  <si>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</si>
  <si>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</si>
  <si>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</si>
  <si>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</si>
  <si>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</si>
  <si>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</si>
  <si>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</si>
  <si>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</si>
  <si>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Printing-03</t>
  </si>
  <si>
    <t>2026-01-22</t>
  </si>
  <si>
    <t>2026-01-23</t>
  </si>
  <si>
    <t>2026-01-24</t>
  </si>
  <si>
    <t>2026-01-29</t>
  </si>
  <si>
    <t>2026-01-30</t>
  </si>
  <si>
    <t>2026-01-31</t>
  </si>
  <si>
    <t>2026-02-02</t>
  </si>
  <si>
    <t>February</t>
  </si>
  <si>
    <t>2026-02-03</t>
  </si>
  <si>
    <t>PYODINE GEL 20GM, SAMSOL HAIR COLOR 43 DIA 20.5 MM</t>
  </si>
  <si>
    <t>2026-02-04</t>
  </si>
  <si>
    <t>2026-02-06</t>
  </si>
  <si>
    <t>2026-02-09</t>
  </si>
  <si>
    <t>Power Shutdown</t>
  </si>
  <si>
    <t>2026-02-10</t>
  </si>
  <si>
    <t>Idle</t>
  </si>
  <si>
    <t>Plant active, printer idle</t>
  </si>
  <si>
    <t>2026-02-11</t>
  </si>
  <si>
    <t>2026-02-12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</si>
  <si>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</si>
  <si>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</si>
  <si>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</si>
  <si>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</si>
  <si>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</si>
  <si>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</si>
  <si>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</si>
  <si>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Printing-02</t>
  </si>
  <si>
    <t>2026-02-21</t>
  </si>
  <si>
    <t>2026-02-23</t>
  </si>
  <si>
    <t>2026-02-24</t>
  </si>
  <si>
    <t>2026-02-25</t>
  </si>
  <si>
    <t>2026-02-26</t>
  </si>
  <si>
    <t>2026-02-27</t>
  </si>
  <si>
    <t>HELLO HAIR COLOR, M.G</t>
  </si>
  <si>
    <t>2026-02-28</t>
  </si>
  <si>
    <t>2026-03-02</t>
  </si>
  <si>
    <t>March</t>
  </si>
  <si>
    <t>S-43 DIA 20.5, S-45 DIA 20.5</t>
  </si>
  <si>
    <t>2026-03-03</t>
  </si>
  <si>
    <t>2026-03-04</t>
  </si>
  <si>
    <t>Printing-01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</si>
  <si>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</si>
  <si>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</si>
  <si>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</si>
  <si>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</si>
  <si>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</si>
  <si>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</si>
  <si>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</si>
  <si>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</si>
  <si>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HELLO HAIR COLOR, S 43 25MM</t>
  </si>
  <si>
    <t>2026-03-14</t>
  </si>
  <si>
    <t>2026-03-16</t>
  </si>
  <si>
    <t>2026-03-17</t>
  </si>
  <si>
    <t>2026-03-18</t>
  </si>
  <si>
    <t>2026-03-19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</si>
  <si>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</si>
  <si>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</si>
  <si>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</si>
  <si>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</si>
  <si>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</si>
  <si>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</si>
  <si>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</si>
  <si>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</si>
  <si>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April</t>
  </si>
  <si>
    <t>2026-04-02</t>
  </si>
  <si>
    <t>2026-04-03</t>
  </si>
  <si>
    <t>ANVIL 43, HELLO HAIR COLOR</t>
  </si>
  <si>
    <t>2026-04-04</t>
  </si>
  <si>
    <t>2026-04-06</t>
  </si>
  <si>
    <t>2026-04-07</t>
  </si>
  <si>
    <t>2026-04-08</t>
  </si>
  <si>
    <t>2026-04-09</t>
  </si>
  <si>
    <t>PHLOGIN GEL 20G, S-43 DIA 20.5</t>
  </si>
  <si>
    <t>2026-04-10</t>
  </si>
  <si>
    <t>2026-04-11</t>
  </si>
  <si>
    <t>2026-04-13</t>
  </si>
  <si>
    <t>2026-04-14</t>
  </si>
  <si>
    <t>2026-04-15</t>
  </si>
  <si>
    <t>2026-04-16</t>
  </si>
  <si>
    <t>Gas Shutdown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</si>
  <si>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</si>
  <si>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</si>
  <si>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</si>
  <si>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</si>
  <si>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</si>
  <si>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</si>
  <si>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</si>
  <si>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</si>
  <si>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</si>
  <si>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DOWFEN GEL 50G, HELLO HAIR COLOR</t>
  </si>
  <si>
    <t>2026-04-28</t>
  </si>
  <si>
    <t>S-43 DIA 19MM, S-45 DIA 19MM</t>
  </si>
  <si>
    <t>2026-04-29</t>
  </si>
  <si>
    <t>2026-04-30</t>
  </si>
  <si>
    <t>2026-05-02</t>
  </si>
  <si>
    <t>May</t>
  </si>
  <si>
    <t>2026-05-04</t>
  </si>
  <si>
    <t>2026-05-05</t>
  </si>
  <si>
    <t>2026-05-06</t>
  </si>
  <si>
    <t>2026-05-07</t>
  </si>
  <si>
    <t>2026-05-08</t>
  </si>
  <si>
    <t>VINCE HIS ONLY BEARD &amp; MUSTACHE COL</t>
  </si>
  <si>
    <t>2026-05-09</t>
  </si>
  <si>
    <t>2026-05-11</t>
  </si>
  <si>
    <t>H.H 100GM, VINCE NURTURAL</t>
  </si>
  <si>
    <t>2026-05-12</t>
  </si>
  <si>
    <t>2026-05-13</t>
  </si>
  <si>
    <t>V- HC BROWN, V-HC BLACK</t>
  </si>
  <si>
    <t>2026-05-14</t>
  </si>
  <si>
    <t>2026-05-16</t>
  </si>
  <si>
    <t>Worker Shortage</t>
  </si>
  <si>
    <t>2026-05-18</t>
  </si>
  <si>
    <t>2026-05-19</t>
  </si>
  <si>
    <t>2026-05-20</t>
  </si>
  <si>
    <t>2026-05-21</t>
  </si>
  <si>
    <t>S 43 25MM, S-45</t>
  </si>
  <si>
    <t>2026-05-22</t>
  </si>
  <si>
    <t>2026-05-23</t>
  </si>
  <si>
    <t>2026-06-01</t>
  </si>
  <si>
    <t>June</t>
  </si>
  <si>
    <t>2026-06-02</t>
  </si>
  <si>
    <t>2026-06-08</t>
  </si>
  <si>
    <t>2026-06-09</t>
  </si>
  <si>
    <t>2026-06-10</t>
  </si>
  <si>
    <t>2026-06-11</t>
  </si>
  <si>
    <t>TUBE COMMON PURPLE, TUBES COMMON RED</t>
  </si>
  <si>
    <t>2026-06-12</t>
  </si>
  <si>
    <t>2026-06-13</t>
  </si>
  <si>
    <t>TUBE COMMON PURPLE, TUBES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</si>
  <si>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</si>
  <si>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</si>
  <si>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</si>
  <si>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</si>
  <si>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</si>
  <si>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</si>
  <si>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</si>
  <si>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2026-06-27</t>
  </si>
  <si>
    <t>2026-06-29</t>
  </si>
  <si>
    <t>2026-06-30</t>
  </si>
  <si>
    <t>2026-07-01</t>
  </si>
  <si>
    <t>July</t>
  </si>
  <si>
    <t>2026-07-02</t>
  </si>
  <si>
    <t>2026-07-03</t>
  </si>
  <si>
    <t>2026-07-04</t>
  </si>
  <si>
    <t>2026-07-06</t>
  </si>
  <si>
    <t>2026-07-07</t>
  </si>
  <si>
    <t>No Production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</si>
  <si>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</si>
  <si>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</si>
  <si>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</si>
  <si>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</si>
  <si>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</si>
  <si>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</si>
  <si>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</si>
  <si>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</si>
  <si>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</si>
  <si>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</si>
  <si>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</si>
  <si>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</si>
  <si>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</si>
  <si>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</si>
  <si>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</si>
  <si>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</si>
  <si>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</si>
  <si>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</si>
  <si>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</si>
  <si>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</si>
  <si>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</si>
  <si>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</si>
  <si>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August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</si>
  <si>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</si>
  <si>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</si>
  <si>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</si>
  <si>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</si>
  <si>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</si>
  <si>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</si>
  <si>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</si>
  <si>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</si>
  <si>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</si>
  <si>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</si>
  <si>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2026-08-19</t>
  </si>
  <si>
    <t>2026-08-20</t>
  </si>
  <si>
    <t>2026-08-21</t>
  </si>
  <si>
    <t>2026-08-22</t>
  </si>
  <si>
    <t>2026-08-24</t>
  </si>
  <si>
    <t>2026-08-25</t>
  </si>
  <si>
    <t>2026-08-27</t>
  </si>
  <si>
    <t>2026-08-28</t>
  </si>
  <si>
    <t>2026-08-29</t>
  </si>
  <si>
    <t>2026-08-31</t>
  </si>
  <si>
    <t>HELLO HAIR COLOR, VINCE NURTURAL</t>
  </si>
  <si>
    <t>2026-09-01</t>
  </si>
  <si>
    <t>September</t>
  </si>
  <si>
    <t>2026-09-03</t>
  </si>
  <si>
    <t>2026-09-05</t>
  </si>
  <si>
    <t>2026-09-07</t>
  </si>
  <si>
    <t>2026-09-08</t>
  </si>
  <si>
    <t>2026-09-09</t>
  </si>
  <si>
    <t>2026-09-10</t>
  </si>
  <si>
    <t>2026-09-11</t>
  </si>
  <si>
    <t>HIS ONLY HAIR COLOR CREAM 40GM, TUBES COMMON RED</t>
  </si>
  <si>
    <t>2026-09-12</t>
  </si>
  <si>
    <t>2026-09-14</t>
  </si>
  <si>
    <t>PRODUCTION OTIF - Printing Performance Dashboard</t>
  </si>
  <si>
    <t>Target / Printer / Day:</t>
  </si>
  <si>
    <t>&lt;-- [EDITABLE INPUT CELL]</t>
  </si>
  <si>
    <t>2026 MONTHLY SUMMARY</t>
  </si>
  <si>
    <t>Working
Days</t>
  </si>
  <si>
    <t>Days Hit
Target</t>
  </si>
  <si>
    <t>OTIF %</t>
  </si>
  <si>
    <t>Total Output
(Pcs)</t>
  </si>
  <si>
    <t>Avg Output
/ Day</t>
  </si>
  <si>
    <t>Efficiency %</t>
  </si>
  <si>
    <t>2026 YTD</t>
  </si>
  <si>
    <t>SEPTEMBER 2026 - DAILY DETAIL</t>
  </si>
  <si>
    <t>Hit Target?</t>
  </si>
  <si>
    <t>Efficiency</t>
  </si>
  <si>
    <t>Downtime</t>
  </si>
  <si>
    <t>September MTD:</t>
  </si>
  <si>
    <t>pcs/day avg</t>
  </si>
  <si>
    <t>METHODOLOGY &amp; FORMULA ARCHITECTURE</t>
  </si>
  <si>
    <t>Scope of Measurement</t>
  </si>
  <si>
    <t>Printing department only. Evaluated per printer per operating day.</t>
  </si>
  <si>
    <t>Total Output Counted</t>
  </si>
  <si>
    <t>Good output + Rejects = Total production volume realized on that printer day.</t>
  </si>
  <si>
    <t>OTIF % Formula</t>
  </si>
  <si>
    <t>Formula: (Working Days Meeting or Exceeding Target) / (Total Working Days) * 100</t>
  </si>
  <si>
    <t>OTIF Definition</t>
  </si>
  <si>
    <t>Measures daily reliability: what percentage of working days did the printer achieve the designated output threshold?</t>
  </si>
  <si>
    <t>Efficiency % Formula</t>
  </si>
  <si>
    <t>Formula: (Average Daily Output) / (Daily Target in $C$2) * 100</t>
  </si>
  <si>
    <t>Efficiency Definition</t>
  </si>
  <si>
    <t>Measures volume realization: on average, what percentage of daily target capacity was produced?</t>
  </si>
  <si>
    <t>AUDITED DAY CLASSIFICATIONS</t>
  </si>
  <si>
    <t>Normal Production Day</t>
  </si>
  <si>
    <t>Printer produced output with no job changeover. Counted in both OTIF and Efficiency.</t>
  </si>
  <si>
    <t>Changeover Day</t>
  </si>
  <si>
    <t>Day scheduled for job changeover / retooling. Excluded from OTIF (pass/fail not applicable); fully included in Efficiency denominator.</t>
  </si>
  <si>
    <t>Idle Day (Plant Active)</t>
  </si>
  <si>
    <t>Printer output was 0 but other plant departments (Press, Lacquer, PF) were running. Counted as an operational miss in both OTIF and Efficiency.</t>
  </si>
  <si>
    <t>Plant Off / Holiday</t>
  </si>
  <si>
    <t>All departments across the factory registered 0 production (official plant shutdown / holiday). Excluded from all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</si>
</sst>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[$-F800]dddd\,\ mmmm\ dd\,\ yyyy"/>
    <numFmt numFmtId="171" formatCode="[$-409]d&quot;th&quot;\ mmm\ yy"/>
    <numFmt numFmtId="172" formatCode="0.#"/>
    <numFmt numFmtId="173" formatCode="_(* #,##0.00_);_(* \(#,##0.00\);_(* \-??_);_(@_)"/>
  </numFmts>
  <fonts count="8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0"/>
      <color rgb="FFFFFFFF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1A1A2E"/>
      <name val="Segoe UI"/>
      <family val="2"/>
    </font>
    <font>
      <b/>
      <sz val="9"/>
      <color rgb="FF1A1A2E"/>
      <name val="Segoe UI"/>
      <family val="2"/>
    </font>
    <font>
      <b/>
      <sz val="9"/>
      <color rgb="FFFFFFFF"/>
      <name val="Segoe UI"/>
      <family val="2"/>
    </font>
    <font>
      <b/>
      <sz val="9"/>
      <name val="Segoe UI"/>
      <family val="2"/>
    </font>
    <font>
      <b/>
      <sz val="9"/>
      <color rgb="FFFFFFFF"/>
      <name val="Segoe UI"/>
      <family val="2"/>
    </font>
    <font>
      <sz val="9"/>
      <name val="Segoe UI"/>
      <family val="2"/>
    </font>
    <font>
      <sz val="10"/>
      <name val="Arial"/>
    </font>
    <font>
      <b/>
      <sz val="10"/>
      <name val="Arial"/>
    </font>
    <font>
      <b/>
      <sz val="11"/>
      <color rgb="FFBDD7EE"/>
      <name val="Segoe UI"/>
    </font>
    <font>
      <b/>
      <sz val="9.5"/>
      <color rgb="FF1F3864"/>
      <name val="Segoe UI"/>
    </font>
    <font>
      <sz val="9"/>
      <name val="Segoe UI"/>
    </font>
    <font>
      <b/>
      <sz val="9"/>
      <name val="Segoe UI"/>
    </font>
    <font>
      <b/>
      <sz val="11"/>
      <color rgb="FFB4E0E0"/>
      <name val="Segoe UI"/>
    </font>
    <font>
      <b/>
      <sz val="9.5"/>
      <color rgb="FF1F6B75"/>
      <name val="Segoe UI"/>
    </font>
    <font>
      <sz val="9"/>
      <color rgb="FF1A1A2E"/>
      <name val="Segoe UI"/>
    </font>
    <font>
      <b/>
      <sz val="9"/>
      <color rgb="FF1A1A2E"/>
      <name val="Segoe UI"/>
    </font>
    <font>
      <sz val="9"/>
      <color rgb="FFFF0000"/>
      <name val="Segoe UI"/>
    </font>
    <font>
      <b/>
      <sz val="9"/>
      <color rgb="FFFF0000"/>
      <name val="Segoe UI"/>
    </font>
    <font>
      <sz val="11"/>
      <color rgb="FFFF0000"/>
      <name val="Calibri"/>
    </font>
    <font>
      <b/>
      <sz val="9.5"/>
      <color rgb="FF1A1A2E"/>
      <name val="Segoe UI"/>
    </font>
    <font>
      <b/>
      <sz val="14"/>
      <color rgb="FFFFFFFF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name val="Calibri"/>
    </font>
    <font>
      <sz val="11"/>
      <name val="Calibri"/>
    </font>
    <font>
      <b/>
      <sz val="12"/>
      <name val="Calibri"/>
    </font>
    <font>
      <b/>
      <sz val="12"/>
      <color rgb="FFFFFFFF"/>
      <name val="Segoe UI"/>
    </font>
    <font>
      <b/>
      <sz val="10"/>
      <color rgb="FFFFFFFF"/>
      <name val="Segoe UI"/>
    </font>
    <font>
      <b/>
      <sz val="10"/>
      <color rgb="FF1F3864"/>
      <name val="Segoe UI"/>
    </font>
    <font>
      <b/>
      <sz val="9.5"/>
      <color rgb="FF2E4D8F"/>
      <name val="Segoe UI"/>
    </font>
    <font>
      <b/>
      <sz val="10"/>
      <color rgb="FF000000"/>
      <name val="Segoe UI"/>
    </font>
    <font>
      <sz val="9"/>
      <color rgb="FF1B3A57"/>
      <name val="Consolas"/>
    </font>
    <font>
      <sz val="9"/>
      <color rgb="FF262626"/>
      <name val="Segoe UI"/>
    </font>
    <font>
      <b/>
      <sz val="9"/>
      <color rgb="FF1B5E20"/>
      <name val="Segoe UI"/>
    </font>
    <font>
      <b/>
      <sz val="9"/>
      <color rgb="FFB71C1C"/>
      <name val="Segoe UI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3"/>
      <color rgb="FF1F4E79"/>
      <name val="Calibri"/>
    </font>
    <font>
      <i/>
      <sz val="9"/>
      <color rgb="FF595959"/>
      <name val="Calibri"/>
    </font>
    <font>
      <i/>
      <sz val="10"/>
      <color rgb="FF777777"/>
      <name val="Calibri"/>
    </font>
    <font>
      <sz val="10"/>
      <color rgb="FF444444"/>
      <name val="Calibri"/>
    </font>
    <font>
      <b/>
      <sz val="11"/>
      <color rgb="FF777777"/>
      <name val="Calibri"/>
    </font>
    <font>
      <b/>
      <sz val="10"/>
      <color rgb="FFFFFFFF"/>
      <name val="Arial"/>
    </font>
    <font>
      <i/>
      <sz val="9"/>
      <color rgb="FF888888"/>
      <name val="Segoe UI"/>
    </font>
    <font>
      <b/>
      <i/>
      <sz val="9"/>
      <color rgb="FF888888"/>
      <name val="Segoe UI"/>
    </font>
    <font>
      <i/>
      <sz val="11"/>
      <color rgb="FF888888"/>
      <name val="Calibri"/>
    </font>
    <font>
      <b/>
      <sz val="18"/>
      <color rgb="FFFFFFFF"/>
      <name val="Segoe UI"/>
    </font>
  </fonts>
  <fills count="39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4D8F"/>
      </patternFill>
    </fill>
    <fill>
      <patternFill patternType="solid">
        <fgColor rgb="FF2E4D8F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D0EAEA"/>
      </patternFill>
    </fill>
    <fill>
      <patternFill patternType="solid">
        <fgColor rgb="FF1F3864"/>
        <bgColor rgb="FF1F3864"/>
      </patternFill>
    </fill>
    <fill>
      <patternFill patternType="solid">
        <fgColor rgb="FF2E4D8F"/>
        <bgColor rgb="FF2E4D8F"/>
      </patternFill>
    </fill>
    <fill>
      <patternFill patternType="solid">
        <fgColor rgb="FFFFFFFF"/>
        <bgColor rgb="FFFFFFFF"/>
      </patternFill>
    </fill>
    <fill>
      <patternFill patternType="solid">
        <fgColor rgb="FF1A2B4A"/>
      </patternFill>
    </fill>
    <fill>
      <patternFill patternType="solid">
        <fgColor rgb="FF2E4D8F"/>
      </patternFill>
    </fill>
    <fill>
      <patternFill patternType="solid">
        <fgColor rgb="FFF2F5F9"/>
      </patternFill>
    </fill>
    <fill>
      <patternFill patternType="solid">
        <f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7F9FC"/>
        <bgColor rgb="FFF7F9FC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6B75"/>
        <bgColor rgb="FF1F6B75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E4D8F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41"/>
    <xf numFmtId="173" fontId="20" fillId="0" borderId="41"/>
    <xf numFmtId="0" fontId="20" fillId="0" borderId="41"/>
    <xf numFmtId="0" fontId="20" fillId="0" borderId="41">
      <alignment horizontal="left"/>
    </xf>
    <xf numFmtId="0" fontId="20" fillId="0" borderId="41"/>
    <xf numFmtId="0" fontId="20" fillId="0" borderId="41"/>
    <xf numFmtId="0" fontId="1" fillId="0" borderId="41"/>
    <xf numFmtId="0" fontId="1" fillId="0" borderId="41">
      <alignment horizontal="left"/>
    </xf>
    <xf numFmtId="0" fontId="20" fillId="0" borderId="41"/>
    <xf numFmtId="43" fontId="20" fillId="0" borderId="41"/>
  </cellStyleXfs>
  <cellXfs count="373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13" fillId="2" borderId="0" xfId="0" applyFont="1" applyFill="1" applyBorder="1"/>
    <xf numFmtId="0" fontId="13" fillId="0" borderId="0" xfId="0" applyFont="1" applyBorder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14" fillId="0" borderId="0" xfId="0" applyFont="1" applyBorder="1"/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0" fontId="0" fillId="0" borderId="0" xfId="0" applyBorder="1" applyAlignment="1">
      <alignment vertical="center" wrapText="1"/>
    </xf>
    <xf numFmtId="0" fontId="15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8" fillId="3" borderId="0" xfId="0" applyFont="1" applyFill="1" applyBorder="1"/>
    <xf numFmtId="167" fontId="12" fillId="4" borderId="8" xfId="0" applyNumberFormat="1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center" wrapText="1"/>
    </xf>
    <xf numFmtId="3" fontId="12" fillId="4" borderId="9" xfId="0" applyNumberFormat="1" applyFont="1" applyFill="1" applyBorder="1" applyAlignment="1">
      <alignment horizontal="center" wrapText="1"/>
    </xf>
    <xf numFmtId="168" fontId="12" fillId="4" borderId="9" xfId="0" applyNumberFormat="1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vertical="center"/>
    </xf>
    <xf numFmtId="0" fontId="25" fillId="11" borderId="12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left" vertical="top" wrapText="1"/>
    </xf>
    <xf numFmtId="0" fontId="9" fillId="0" borderId="11" xfId="0" applyFont="1" applyBorder="1"/>
    <xf numFmtId="0" fontId="21" fillId="10" borderId="12" xfId="0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left" vertical="top" wrapText="1"/>
    </xf>
    <xf numFmtId="0" fontId="23" fillId="11" borderId="12" xfId="0" applyFont="1" applyFill="1" applyBorder="1" applyAlignment="1">
      <alignment horizontal="left" vertical="top" wrapText="1"/>
    </xf>
    <xf numFmtId="0" fontId="26" fillId="11" borderId="12" xfId="0" applyFont="1" applyFill="1" applyBorder="1" applyAlignment="1">
      <alignment horizontal="left" vertical="top" wrapText="1"/>
    </xf>
    <xf numFmtId="0" fontId="19" fillId="12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left" vertical="top" wrapText="1"/>
    </xf>
    <xf numFmtId="0" fontId="23" fillId="12" borderId="12" xfId="0" applyFont="1" applyFill="1" applyBorder="1" applyAlignment="1">
      <alignment horizontal="left" vertical="top" wrapText="1"/>
    </xf>
    <xf numFmtId="0" fontId="26" fillId="12" borderId="1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indent="1"/>
    </xf>
    <xf numFmtId="0" fontId="24" fillId="12" borderId="12" xfId="0" applyFont="1" applyFill="1" applyBorder="1" applyAlignment="1">
      <alignment horizontal="left" vertical="top" wrapText="1"/>
    </xf>
    <xf numFmtId="0" fontId="24" fillId="11" borderId="1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2" fontId="19" fillId="11" borderId="12" xfId="0" applyNumberFormat="1" applyFont="1" applyFill="1" applyBorder="1" applyAlignment="1">
      <alignment horizontal="left" vertical="top" wrapText="1"/>
    </xf>
    <xf numFmtId="2" fontId="19" fillId="12" borderId="12" xfId="0" applyNumberFormat="1" applyFont="1" applyFill="1" applyBorder="1" applyAlignment="1">
      <alignment horizontal="left" vertical="top" wrapText="1"/>
    </xf>
    <xf numFmtId="2" fontId="9" fillId="0" borderId="11" xfId="0" applyNumberFormat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169" fontId="9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27" fillId="2" borderId="0" xfId="0" applyFont="1" applyFill="1" applyBorder="1"/>
    <xf numFmtId="0" fontId="28" fillId="0" borderId="0" xfId="0" applyFont="1" applyBorder="1" applyAlignment="1">
      <alignment horizontal="center"/>
    </xf>
    <xf numFmtId="0" fontId="28" fillId="2" borderId="0" xfId="0" applyFont="1" applyFill="1" applyBorder="1"/>
    <xf numFmtId="0" fontId="28" fillId="0" borderId="0" xfId="0" applyFont="1" applyBorder="1"/>
    <xf numFmtId="9" fontId="28" fillId="0" borderId="0" xfId="0" applyNumberFormat="1" applyFont="1" applyBorder="1"/>
    <xf numFmtId="0" fontId="30" fillId="3" borderId="0" xfId="0" applyFont="1" applyFill="1" applyBorder="1" applyAlignment="1">
      <alignment horizontal="center" vertical="center"/>
    </xf>
    <xf numFmtId="0" fontId="30" fillId="3" borderId="0" xfId="0" applyFont="1" applyFill="1" applyBorder="1" applyAlignment="1">
      <alignment horizontal="left" vertical="center"/>
    </xf>
    <xf numFmtId="168" fontId="32" fillId="3" borderId="0" xfId="0" applyNumberFormat="1" applyFont="1" applyFill="1" applyBorder="1" applyAlignment="1">
      <alignment horizontal="center" vertical="center"/>
    </xf>
    <xf numFmtId="3" fontId="29" fillId="3" borderId="0" xfId="0" applyNumberFormat="1" applyFont="1" applyFill="1" applyBorder="1" applyAlignment="1">
      <alignment horizontal="center" vertical="center"/>
    </xf>
    <xf numFmtId="168" fontId="29" fillId="3" borderId="0" xfId="0" applyNumberFormat="1" applyFont="1" applyFill="1" applyBorder="1" applyAlignment="1">
      <alignment horizontal="center" vertical="center"/>
    </xf>
    <xf numFmtId="3" fontId="29" fillId="3" borderId="0" xfId="0" applyNumberFormat="1" applyFont="1" applyFill="1" applyBorder="1" applyAlignment="1">
      <alignment vertical="center"/>
    </xf>
    <xf numFmtId="0" fontId="34" fillId="5" borderId="0" xfId="0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vertical="center"/>
    </xf>
    <xf numFmtId="168" fontId="32" fillId="5" borderId="0" xfId="0" applyNumberFormat="1" applyFont="1" applyFill="1" applyBorder="1" applyAlignment="1">
      <alignment horizontal="center" vertical="center"/>
    </xf>
    <xf numFmtId="3" fontId="29" fillId="5" borderId="0" xfId="0" applyNumberFormat="1" applyFont="1" applyFill="1" applyBorder="1" applyAlignment="1">
      <alignment horizontal="center" vertical="center"/>
    </xf>
    <xf numFmtId="168" fontId="29" fillId="5" borderId="0" xfId="0" applyNumberFormat="1" applyFont="1" applyFill="1" applyBorder="1" applyAlignment="1">
      <alignment horizontal="center" vertical="center"/>
    </xf>
    <xf numFmtId="169" fontId="28" fillId="0" borderId="0" xfId="0" applyNumberFormat="1" applyFont="1" applyBorder="1"/>
    <xf numFmtId="3" fontId="3" fillId="4" borderId="1" xfId="9" applyNumberFormat="1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9" fontId="33" fillId="4" borderId="1" xfId="0" applyNumberFormat="1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/>
    </xf>
    <xf numFmtId="0" fontId="27" fillId="2" borderId="13" xfId="0" applyFont="1" applyFill="1" applyBorder="1"/>
    <xf numFmtId="0" fontId="28" fillId="0" borderId="13" xfId="0" applyFont="1" applyBorder="1"/>
    <xf numFmtId="0" fontId="28" fillId="2" borderId="13" xfId="0" applyFont="1" applyFill="1" applyBorder="1"/>
    <xf numFmtId="0" fontId="30" fillId="3" borderId="13" xfId="0" applyFont="1" applyFill="1" applyBorder="1" applyAlignment="1">
      <alignment vertical="center"/>
    </xf>
    <xf numFmtId="0" fontId="8" fillId="3" borderId="1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1" fontId="37" fillId="0" borderId="1" xfId="0" applyNumberFormat="1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37" fillId="6" borderId="7" xfId="0" applyFont="1" applyFill="1" applyBorder="1" applyAlignment="1">
      <alignment horizontal="center" vertical="center"/>
    </xf>
    <xf numFmtId="0" fontId="37" fillId="7" borderId="7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1" fontId="39" fillId="0" borderId="1" xfId="0" applyNumberFormat="1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0" fillId="0" borderId="15" xfId="0" applyNumberFormat="1" applyBorder="1"/>
    <xf numFmtId="0" fontId="3" fillId="4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15" fillId="0" borderId="16" xfId="0" applyFont="1" applyBorder="1" applyAlignment="1">
      <alignment horizontal="left"/>
    </xf>
    <xf numFmtId="0" fontId="37" fillId="6" borderId="16" xfId="0" applyFont="1" applyFill="1" applyBorder="1" applyAlignment="1">
      <alignment horizontal="left" vertical="center"/>
    </xf>
    <xf numFmtId="0" fontId="37" fillId="7" borderId="16" xfId="0" applyFont="1" applyFill="1" applyBorder="1" applyAlignment="1">
      <alignment horizontal="left" vertical="center"/>
    </xf>
    <xf numFmtId="0" fontId="7" fillId="0" borderId="0" xfId="0" applyFont="1" applyBorder="1"/>
    <xf numFmtId="0" fontId="27" fillId="2" borderId="17" xfId="0" applyFont="1" applyFill="1" applyBorder="1"/>
    <xf numFmtId="0" fontId="28" fillId="2" borderId="17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left" vertical="center"/>
    </xf>
    <xf numFmtId="166" fontId="2" fillId="7" borderId="18" xfId="0" applyNumberFormat="1" applyFont="1" applyFill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34" fillId="5" borderId="19" xfId="0" applyFont="1" applyFill="1" applyBorder="1" applyAlignment="1">
      <alignment vertical="center"/>
    </xf>
    <xf numFmtId="0" fontId="30" fillId="3" borderId="19" xfId="0" applyFont="1" applyFill="1" applyBorder="1" applyAlignment="1">
      <alignment vertical="center"/>
    </xf>
    <xf numFmtId="170" fontId="30" fillId="3" borderId="19" xfId="0" applyNumberFormat="1" applyFont="1" applyFill="1" applyBorder="1" applyAlignment="1">
      <alignment horizontal="center" vertical="center"/>
    </xf>
    <xf numFmtId="170" fontId="34" fillId="5" borderId="19" xfId="0" applyNumberFormat="1" applyFont="1" applyFill="1" applyBorder="1" applyAlignment="1">
      <alignment horizontal="center" vertical="center"/>
    </xf>
    <xf numFmtId="0" fontId="43" fillId="13" borderId="20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3" fontId="42" fillId="6" borderId="1" xfId="0" applyNumberFormat="1" applyFont="1" applyFill="1" applyBorder="1" applyAlignment="1">
      <alignment horizontal="center" vertical="center"/>
    </xf>
    <xf numFmtId="1" fontId="42" fillId="6" borderId="1" xfId="0" applyNumberFormat="1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3" fontId="42" fillId="6" borderId="1" xfId="0" applyNumberFormat="1" applyFont="1" applyFill="1" applyBorder="1" applyAlignment="1">
      <alignment horizontal="left" vertical="center"/>
    </xf>
    <xf numFmtId="2" fontId="42" fillId="6" borderId="1" xfId="0" applyNumberFormat="1" applyFont="1" applyFill="1" applyBorder="1" applyAlignment="1">
      <alignment horizontal="center" vertical="center"/>
    </xf>
    <xf numFmtId="3" fontId="42" fillId="0" borderId="1" xfId="0" applyNumberFormat="1" applyFont="1" applyBorder="1" applyAlignment="1">
      <alignment horizontal="center" vertical="center" wrapText="1"/>
    </xf>
    <xf numFmtId="3" fontId="44" fillId="15" borderId="21" xfId="0" applyNumberFormat="1" applyFont="1" applyFill="1" applyBorder="1" applyAlignment="1">
      <alignment horizontal="center" vertical="center"/>
    </xf>
    <xf numFmtId="3" fontId="44" fillId="15" borderId="21" xfId="0" applyNumberFormat="1" applyFont="1" applyFill="1" applyBorder="1" applyAlignment="1">
      <alignment horizontal="left" vertical="center"/>
    </xf>
    <xf numFmtId="0" fontId="45" fillId="14" borderId="21" xfId="0" applyFont="1" applyFill="1" applyBorder="1" applyAlignment="1">
      <alignment horizontal="left" vertical="center" wrapText="1"/>
    </xf>
    <xf numFmtId="3" fontId="44" fillId="16" borderId="22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3" fontId="36" fillId="16" borderId="22" xfId="0" applyNumberFormat="1" applyFont="1" applyFill="1" applyBorder="1" applyAlignment="1">
      <alignment horizontal="center" vertical="center"/>
    </xf>
    <xf numFmtId="0" fontId="1" fillId="0" borderId="0" xfId="0" applyFont="1" applyBorder="1"/>
    <xf numFmtId="3" fontId="36" fillId="15" borderId="21" xfId="0" applyNumberFormat="1" applyFont="1" applyFill="1" applyBorder="1" applyAlignment="1">
      <alignment horizontal="left" vertical="center"/>
    </xf>
    <xf numFmtId="0" fontId="60" fillId="0" borderId="16" xfId="0" applyFont="1" applyBorder="1" applyAlignment="1">
      <alignment horizontal="left" vertical="center" wrapText="1"/>
    </xf>
    <xf numFmtId="0" fontId="57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1" fontId="57" fillId="0" borderId="1" xfId="0" applyNumberFormat="1" applyFont="1" applyBorder="1" applyAlignment="1">
      <alignment horizontal="center" vertical="center"/>
    </xf>
    <xf numFmtId="1" fontId="58" fillId="0" borderId="1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left"/>
    </xf>
    <xf numFmtId="0" fontId="57" fillId="6" borderId="16" xfId="0" applyFont="1" applyFill="1" applyBorder="1" applyAlignment="1">
      <alignment horizontal="left" vertical="center"/>
    </xf>
    <xf numFmtId="0" fontId="57" fillId="7" borderId="16" xfId="0" applyFont="1" applyFill="1" applyBorder="1" applyAlignment="1">
      <alignment horizontal="left" vertical="center"/>
    </xf>
    <xf numFmtId="0" fontId="59" fillId="0" borderId="0" xfId="0" applyFont="1" applyBorder="1"/>
    <xf numFmtId="0" fontId="41" fillId="6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" fontId="45" fillId="14" borderId="21" xfId="0" applyNumberFormat="1" applyFont="1" applyFill="1" applyBorder="1" applyAlignment="1">
      <alignment horizontal="left" vertical="center" wrapText="1"/>
    </xf>
    <xf numFmtId="3" fontId="9" fillId="0" borderId="2" xfId="0" applyNumberFormat="1" applyFont="1" applyBorder="1" applyAlignment="1">
      <alignment horizontal="center" vertical="center"/>
    </xf>
    <xf numFmtId="3" fontId="57" fillId="0" borderId="2" xfId="0" applyNumberFormat="1" applyFont="1" applyBorder="1" applyAlignment="1">
      <alignment horizontal="center" vertical="center"/>
    </xf>
    <xf numFmtId="3" fontId="37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71" fontId="8" fillId="3" borderId="4" xfId="0" applyNumberFormat="1" applyFont="1" applyFill="1" applyBorder="1" applyAlignment="1">
      <alignment horizontal="left" vertical="center"/>
    </xf>
    <xf numFmtId="171" fontId="8" fillId="3" borderId="6" xfId="0" applyNumberFormat="1" applyFont="1" applyFill="1" applyBorder="1" applyAlignment="1">
      <alignment horizontal="left"/>
    </xf>
    <xf numFmtId="171" fontId="8" fillId="3" borderId="15" xfId="0" applyNumberFormat="1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left" vertical="center"/>
    </xf>
    <xf numFmtId="0" fontId="62" fillId="23" borderId="24" xfId="0" applyFont="1" applyFill="1" applyBorder="1" applyAlignment="1">
      <alignment horizontal="center" vertical="center"/>
    </xf>
    <xf numFmtId="0" fontId="63" fillId="24" borderId="25" xfId="0" applyFont="1" applyFill="1" applyBorder="1" applyAlignment="1">
      <alignment horizontal="center" vertical="center"/>
    </xf>
    <xf numFmtId="0" fontId="63" fillId="24" borderId="25" xfId="0" applyFont="1" applyFill="1" applyBorder="1" applyAlignment="1">
      <alignment horizontal="left" vertical="center"/>
    </xf>
    <xf numFmtId="165" fontId="63" fillId="24" borderId="25" xfId="0" applyNumberFormat="1" applyFont="1" applyFill="1" applyBorder="1" applyAlignment="1">
      <alignment horizontal="right" vertical="center"/>
    </xf>
    <xf numFmtId="168" fontId="63" fillId="24" borderId="25" xfId="0" applyNumberFormat="1" applyFont="1" applyFill="1" applyBorder="1" applyAlignment="1">
      <alignment horizontal="right" vertical="center"/>
    </xf>
    <xf numFmtId="0" fontId="63" fillId="24" borderId="24" xfId="0" applyFont="1" applyFill="1" applyBorder="1" applyAlignment="1">
      <alignment horizontal="center" vertical="center"/>
    </xf>
    <xf numFmtId="0" fontId="63" fillId="24" borderId="24" xfId="0" applyFont="1" applyFill="1" applyBorder="1" applyAlignment="1">
      <alignment horizontal="left" vertical="center"/>
    </xf>
    <xf numFmtId="165" fontId="63" fillId="24" borderId="24" xfId="0" applyNumberFormat="1" applyFont="1" applyFill="1" applyBorder="1" applyAlignment="1">
      <alignment horizontal="right" vertical="center"/>
    </xf>
    <xf numFmtId="168" fontId="63" fillId="24" borderId="24" xfId="0" applyNumberFormat="1" applyFont="1" applyFill="1" applyBorder="1" applyAlignment="1">
      <alignment horizontal="right" vertical="center"/>
    </xf>
    <xf numFmtId="0" fontId="55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left" vertical="center"/>
    </xf>
    <xf numFmtId="1" fontId="55" fillId="0" borderId="1" xfId="0" applyNumberFormat="1" applyFont="1" applyBorder="1" applyAlignment="1">
      <alignment horizontal="center" vertical="center"/>
    </xf>
    <xf numFmtId="1" fontId="56" fillId="0" borderId="1" xfId="0" applyNumberFormat="1" applyFont="1" applyBorder="1" applyAlignment="1">
      <alignment horizontal="center" vertical="center"/>
    </xf>
    <xf numFmtId="3" fontId="55" fillId="0" borderId="2" xfId="0" applyNumberFormat="1" applyFont="1" applyBorder="1" applyAlignment="1">
      <alignment horizontal="center" vertical="center"/>
    </xf>
    <xf numFmtId="0" fontId="68" fillId="26" borderId="26" xfId="0" applyFont="1" applyFill="1" applyBorder="1" applyAlignment="1">
      <alignment horizontal="center" vertical="center" wrapText="1"/>
    </xf>
    <xf numFmtId="0" fontId="68" fillId="26" borderId="26" xfId="0" applyFont="1" applyFill="1" applyBorder="1" applyAlignment="1">
      <alignment horizontal="left" vertical="center" wrapText="1"/>
    </xf>
    <xf numFmtId="0" fontId="69" fillId="27" borderId="26" xfId="0" applyFont="1" applyFill="1" applyBorder="1" applyAlignment="1">
      <alignment horizontal="center" vertical="top" wrapText="1"/>
    </xf>
    <xf numFmtId="0" fontId="70" fillId="27" borderId="26" xfId="0" applyFont="1" applyFill="1" applyBorder="1" applyAlignment="1">
      <alignment horizontal="center" vertical="top" wrapText="1"/>
    </xf>
    <xf numFmtId="0" fontId="71" fillId="27" borderId="26" xfId="0" applyFont="1" applyFill="1" applyBorder="1" applyAlignment="1">
      <alignment horizontal="left" vertical="top" wrapText="1"/>
    </xf>
    <xf numFmtId="0" fontId="72" fillId="27" borderId="26" xfId="0" applyFont="1" applyFill="1" applyBorder="1" applyAlignment="1">
      <alignment horizontal="left" vertical="top" wrapText="1"/>
    </xf>
    <xf numFmtId="0" fontId="73" fillId="27" borderId="26" xfId="0" applyFont="1" applyFill="1" applyBorder="1" applyAlignment="1">
      <alignment horizontal="left" vertical="top" wrapText="1"/>
    </xf>
    <xf numFmtId="0" fontId="74" fillId="27" borderId="26" xfId="0" applyFont="1" applyFill="1" applyBorder="1" applyAlignment="1">
      <alignment horizontal="center" vertical="top" wrapText="1"/>
    </xf>
    <xf numFmtId="0" fontId="75" fillId="27" borderId="26" xfId="0" applyFont="1" applyFill="1" applyBorder="1" applyAlignment="1">
      <alignment horizontal="center" vertical="top" wrapText="1"/>
    </xf>
    <xf numFmtId="0" fontId="69" fillId="28" borderId="26" xfId="0" applyFont="1" applyFill="1" applyBorder="1" applyAlignment="1">
      <alignment horizontal="center" vertical="top" wrapText="1"/>
    </xf>
    <xf numFmtId="0" fontId="70" fillId="28" borderId="26" xfId="0" applyFont="1" applyFill="1" applyBorder="1" applyAlignment="1">
      <alignment horizontal="center" vertical="top" wrapText="1"/>
    </xf>
    <xf numFmtId="0" fontId="71" fillId="28" borderId="26" xfId="0" applyFont="1" applyFill="1" applyBorder="1" applyAlignment="1">
      <alignment horizontal="left" vertical="top" wrapText="1"/>
    </xf>
    <xf numFmtId="0" fontId="72" fillId="28" borderId="26" xfId="0" applyFont="1" applyFill="1" applyBorder="1" applyAlignment="1">
      <alignment horizontal="left" vertical="top" wrapText="1"/>
    </xf>
    <xf numFmtId="0" fontId="73" fillId="28" borderId="26" xfId="0" applyFont="1" applyFill="1" applyBorder="1" applyAlignment="1">
      <alignment horizontal="left" vertical="top" wrapText="1"/>
    </xf>
    <xf numFmtId="0" fontId="74" fillId="28" borderId="26" xfId="0" applyFont="1" applyFill="1" applyBorder="1" applyAlignment="1">
      <alignment horizontal="center" vertical="top" wrapText="1"/>
    </xf>
    <xf numFmtId="0" fontId="75" fillId="28" borderId="26" xfId="0" applyFont="1" applyFill="1" applyBorder="1" applyAlignment="1">
      <alignment horizontal="center" vertical="top" wrapText="1"/>
    </xf>
    <xf numFmtId="0" fontId="76" fillId="29" borderId="29" xfId="0" applyFont="1" applyFill="1" applyBorder="1" applyAlignment="1">
      <alignment horizontal="center" vertical="center"/>
    </xf>
    <xf numFmtId="0" fontId="65" fillId="0" borderId="30" xfId="0" applyFont="1" applyBorder="1" applyAlignment="1">
      <alignment horizontal="center"/>
    </xf>
    <xf numFmtId="3" fontId="65" fillId="0" borderId="30" xfId="0" applyNumberFormat="1" applyFont="1" applyBorder="1" applyAlignment="1">
      <alignment horizontal="right"/>
    </xf>
    <xf numFmtId="0" fontId="65" fillId="0" borderId="30" xfId="0" applyFont="1" applyBorder="1" applyAlignment="1">
      <alignment horizontal="left"/>
    </xf>
    <xf numFmtId="0" fontId="65" fillId="0" borderId="30" xfId="0" applyFont="1" applyBorder="1" applyAlignment="1">
      <alignment horizontal="right"/>
    </xf>
    <xf numFmtId="0" fontId="0" fillId="0" borderId="31" xfId="0" applyBorder="1"/>
    <xf numFmtId="0" fontId="78" fillId="0" borderId="0" xfId="0" applyFont="1" applyBorder="1" applyAlignment="1">
      <alignment horizontal="right" vertical="center"/>
    </xf>
    <xf numFmtId="3" fontId="79" fillId="30" borderId="32" xfId="0" applyNumberFormat="1" applyFont="1" applyFill="1" applyBorder="1" applyAlignment="1">
      <alignment horizontal="center" vertical="center"/>
    </xf>
    <xf numFmtId="0" fontId="76" fillId="31" borderId="30" xfId="0" applyFont="1" applyFill="1" applyBorder="1" applyAlignment="1">
      <alignment horizontal="center" vertical="center" wrapText="1"/>
    </xf>
    <xf numFmtId="0" fontId="64" fillId="0" borderId="30" xfId="0" applyFont="1" applyBorder="1" applyAlignment="1">
      <alignment horizontal="left" vertical="center" wrapText="1"/>
    </xf>
    <xf numFmtId="0" fontId="65" fillId="0" borderId="30" xfId="0" applyFont="1" applyBorder="1" applyAlignment="1">
      <alignment horizontal="center" vertical="center" wrapText="1"/>
    </xf>
    <xf numFmtId="168" fontId="66" fillId="0" borderId="30" xfId="0" applyNumberFormat="1" applyFont="1" applyBorder="1" applyAlignment="1">
      <alignment horizontal="center" vertical="center" wrapText="1"/>
    </xf>
    <xf numFmtId="3" fontId="65" fillId="0" borderId="30" xfId="0" applyNumberFormat="1" applyFont="1" applyBorder="1" applyAlignment="1">
      <alignment horizontal="center" vertical="center" wrapText="1"/>
    </xf>
    <xf numFmtId="168" fontId="64" fillId="0" borderId="30" xfId="0" applyNumberFormat="1" applyFont="1" applyBorder="1" applyAlignment="1">
      <alignment horizontal="center" vertical="center" wrapText="1"/>
    </xf>
    <xf numFmtId="0" fontId="76" fillId="32" borderId="30" xfId="0" applyFont="1" applyFill="1" applyBorder="1" applyAlignment="1">
      <alignment horizontal="left" vertical="center" wrapText="1"/>
    </xf>
    <xf numFmtId="0" fontId="76" fillId="32" borderId="30" xfId="0" applyFont="1" applyFill="1" applyBorder="1" applyAlignment="1">
      <alignment horizontal="center" vertical="center" wrapText="1"/>
    </xf>
    <xf numFmtId="168" fontId="76" fillId="32" borderId="30" xfId="0" applyNumberFormat="1" applyFont="1" applyFill="1" applyBorder="1" applyAlignment="1">
      <alignment horizontal="center" vertical="center" wrapText="1"/>
    </xf>
    <xf numFmtId="3" fontId="76" fillId="32" borderId="30" xfId="0" applyNumberFormat="1" applyFont="1" applyFill="1" applyBorder="1" applyAlignment="1">
      <alignment horizontal="center" vertical="center" wrapText="1"/>
    </xf>
    <xf numFmtId="0" fontId="65" fillId="0" borderId="30" xfId="0" applyFont="1" applyBorder="1" applyAlignment="1">
      <alignment horizontal="left" vertical="center" wrapText="1"/>
    </xf>
    <xf numFmtId="0" fontId="64" fillId="0" borderId="30" xfId="0" applyFont="1" applyBorder="1" applyAlignment="1">
      <alignment horizontal="center" vertical="center" wrapText="1"/>
    </xf>
    <xf numFmtId="0" fontId="81" fillId="33" borderId="30" xfId="0" applyFont="1" applyFill="1" applyBorder="1" applyAlignment="1">
      <alignment horizontal="left" vertical="center" wrapText="1"/>
    </xf>
    <xf numFmtId="0" fontId="64" fillId="34" borderId="30" xfId="0" applyFont="1" applyFill="1" applyBorder="1" applyAlignment="1">
      <alignment horizontal="left" vertical="center" wrapText="1"/>
    </xf>
    <xf numFmtId="0" fontId="65" fillId="34" borderId="30" xfId="0" applyFont="1" applyFill="1" applyBorder="1" applyAlignment="1">
      <alignment horizontal="center" vertical="center" wrapText="1"/>
    </xf>
    <xf numFmtId="3" fontId="66" fillId="34" borderId="30" xfId="0" applyNumberFormat="1" applyFont="1" applyFill="1" applyBorder="1" applyAlignment="1">
      <alignment horizontal="center" vertical="center" wrapText="1"/>
    </xf>
    <xf numFmtId="0" fontId="64" fillId="35" borderId="30" xfId="0" applyFont="1" applyFill="1" applyBorder="1" applyAlignment="1">
      <alignment horizontal="left" vertical="center" wrapText="1"/>
    </xf>
    <xf numFmtId="168" fontId="83" fillId="33" borderId="30" xfId="0" applyNumberFormat="1" applyFont="1" applyFill="1" applyBorder="1" applyAlignment="1">
      <alignment horizontal="center" vertical="center" wrapText="1"/>
    </xf>
    <xf numFmtId="168" fontId="66" fillId="34" borderId="30" xfId="0" applyNumberFormat="1" applyFont="1" applyFill="1" applyBorder="1" applyAlignment="1">
      <alignment horizontal="center" vertical="center" wrapText="1"/>
    </xf>
    <xf numFmtId="3" fontId="64" fillId="34" borderId="30" xfId="0" applyNumberFormat="1" applyFont="1" applyFill="1" applyBorder="1" applyAlignment="1">
      <alignment horizontal="center" vertical="center" wrapText="1"/>
    </xf>
    <xf numFmtId="0" fontId="80" fillId="34" borderId="30" xfId="0" applyFont="1" applyFill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1" fontId="9" fillId="0" borderId="35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0" fontId="57" fillId="0" borderId="36" xfId="0" applyFont="1" applyBorder="1" applyAlignment="1">
      <alignment horizontal="center" vertical="center"/>
    </xf>
    <xf numFmtId="0" fontId="57" fillId="0" borderId="36" xfId="0" applyFont="1" applyBorder="1" applyAlignment="1">
      <alignment horizontal="left" vertical="center"/>
    </xf>
    <xf numFmtId="1" fontId="57" fillId="0" borderId="36" xfId="0" applyNumberFormat="1" applyFont="1" applyBorder="1" applyAlignment="1">
      <alignment horizontal="center" vertical="center"/>
    </xf>
    <xf numFmtId="1" fontId="58" fillId="0" borderId="36" xfId="0" applyNumberFormat="1" applyFont="1" applyBorder="1" applyAlignment="1">
      <alignment horizontal="center" vertical="center"/>
    </xf>
    <xf numFmtId="0" fontId="57" fillId="7" borderId="36" xfId="0" applyFont="1" applyFill="1" applyBorder="1" applyAlignment="1">
      <alignment horizontal="left" vertical="center"/>
    </xf>
    <xf numFmtId="0" fontId="63" fillId="24" borderId="38" xfId="0" applyFont="1" applyFill="1" applyBorder="1" applyAlignment="1">
      <alignment horizontal="center" vertical="center"/>
    </xf>
    <xf numFmtId="0" fontId="63" fillId="24" borderId="38" xfId="0" applyFont="1" applyFill="1" applyBorder="1" applyAlignment="1">
      <alignment horizontal="left" vertical="center"/>
    </xf>
    <xf numFmtId="165" fontId="63" fillId="24" borderId="38" xfId="0" applyNumberFormat="1" applyFont="1" applyFill="1" applyBorder="1" applyAlignment="1">
      <alignment horizontal="right" vertical="center"/>
    </xf>
    <xf numFmtId="168" fontId="63" fillId="24" borderId="38" xfId="0" applyNumberFormat="1" applyFont="1" applyFill="1" applyBorder="1" applyAlignment="1">
      <alignment horizontal="right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left" vertical="center"/>
    </xf>
    <xf numFmtId="0" fontId="85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left" vertical="center"/>
    </xf>
    <xf numFmtId="1" fontId="85" fillId="0" borderId="1" xfId="0" applyNumberFormat="1" applyFont="1" applyBorder="1" applyAlignment="1">
      <alignment horizontal="center" vertical="center"/>
    </xf>
    <xf numFmtId="1" fontId="86" fillId="0" borderId="1" xfId="0" applyNumberFormat="1" applyFont="1" applyBorder="1" applyAlignment="1">
      <alignment horizontal="center" vertical="center"/>
    </xf>
    <xf numFmtId="3" fontId="85" fillId="0" borderId="2" xfId="0" applyNumberFormat="1" applyFont="1" applyBorder="1" applyAlignment="1">
      <alignment horizontal="center" vertical="center"/>
    </xf>
    <xf numFmtId="0" fontId="87" fillId="0" borderId="0" xfId="0" applyFont="1" applyBorder="1"/>
    <xf numFmtId="3" fontId="88" fillId="38" borderId="0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42" fillId="0" borderId="39" xfId="0" applyFont="1" applyBorder="1" applyAlignment="1">
      <alignment horizontal="center" vertical="center" wrapText="1"/>
    </xf>
    <xf numFmtId="0" fontId="42" fillId="0" borderId="39" xfId="0" applyFont="1" applyBorder="1" applyAlignment="1">
      <alignment horizontal="left" vertical="center" wrapText="1"/>
    </xf>
    <xf numFmtId="1" fontId="42" fillId="0" borderId="39" xfId="0" applyNumberFormat="1" applyFont="1" applyBorder="1" applyAlignment="1">
      <alignment horizontal="center" vertical="center" wrapText="1"/>
    </xf>
    <xf numFmtId="3" fontId="42" fillId="0" borderId="39" xfId="0" applyNumberFormat="1" applyFont="1" applyBorder="1" applyAlignment="1">
      <alignment horizontal="center" vertical="center" wrapText="1"/>
    </xf>
    <xf numFmtId="0" fontId="42" fillId="0" borderId="39" xfId="0" applyFont="1" applyBorder="1" applyAlignment="1">
      <alignment horizontal="center" vertical="center"/>
    </xf>
    <xf numFmtId="0" fontId="42" fillId="0" borderId="39" xfId="0" applyFont="1" applyBorder="1" applyAlignment="1">
      <alignment horizontal="left" vertical="center"/>
    </xf>
    <xf numFmtId="0" fontId="9" fillId="0" borderId="39" xfId="0" applyFont="1" applyBorder="1" applyAlignment="1">
      <alignment horizontal="center" vertical="center"/>
    </xf>
    <xf numFmtId="1" fontId="42" fillId="0" borderId="39" xfId="0" applyNumberFormat="1" applyFont="1" applyBorder="1" applyAlignment="1">
      <alignment horizontal="center" vertical="center"/>
    </xf>
    <xf numFmtId="3" fontId="42" fillId="0" borderId="39" xfId="0" applyNumberFormat="1" applyFont="1" applyBorder="1" applyAlignment="1">
      <alignment horizontal="center" vertical="center"/>
    </xf>
    <xf numFmtId="0" fontId="42" fillId="6" borderId="3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9" fillId="6" borderId="40" xfId="0" applyFont="1" applyFill="1" applyBorder="1" applyAlignment="1">
      <alignment horizontal="center" vertical="center"/>
    </xf>
    <xf numFmtId="2" fontId="9" fillId="6" borderId="40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2" fontId="3" fillId="4" borderId="9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/>
    </xf>
    <xf numFmtId="0" fontId="20" fillId="0" borderId="41" xfId="0" applyFont="1"/>
    <xf numFmtId="167" fontId="20" fillId="0" borderId="41" xfId="0" applyNumberFormat="1" applyFont="1"/>
    <xf numFmtId="3" fontId="20" fillId="0" borderId="41" xfId="0" applyNumberFormat="1" applyFont="1"/>
    <xf numFmtId="168" fontId="20" fillId="0" borderId="41" xfId="0" applyNumberFormat="1" applyFont="1"/>
    <xf numFmtId="0" fontId="55" fillId="36" borderId="45" xfId="0" applyFont="1" applyFill="1" applyBorder="1" applyAlignment="1">
      <alignment horizontal="center" vertical="center"/>
    </xf>
    <xf numFmtId="0" fontId="55" fillId="36" borderId="45" xfId="0" applyFont="1" applyFill="1" applyBorder="1" applyAlignment="1">
      <alignment horizontal="left" vertical="center"/>
    </xf>
    <xf numFmtId="3" fontId="56" fillId="36" borderId="45" xfId="0" applyNumberFormat="1" applyFont="1" applyFill="1" applyBorder="1" applyAlignment="1">
      <alignment horizontal="center" vertical="center"/>
    </xf>
    <xf numFmtId="0" fontId="55" fillId="36" borderId="45" xfId="0" applyFont="1" applyFill="1" applyBorder="1" applyAlignment="1">
      <alignment horizontal="left" vertical="center" wrapText="1"/>
    </xf>
    <xf numFmtId="0" fontId="55" fillId="0" borderId="44" xfId="0" applyFont="1" applyBorder="1"/>
    <xf numFmtId="0" fontId="55" fillId="37" borderId="45" xfId="0" applyFont="1" applyFill="1" applyBorder="1" applyAlignment="1">
      <alignment horizontal="center" vertical="center"/>
    </xf>
    <xf numFmtId="0" fontId="55" fillId="37" borderId="45" xfId="0" applyFont="1" applyFill="1" applyBorder="1" applyAlignment="1">
      <alignment horizontal="left" vertical="center"/>
    </xf>
    <xf numFmtId="3" fontId="56" fillId="37" borderId="45" xfId="0" applyNumberFormat="1" applyFont="1" applyFill="1" applyBorder="1" applyAlignment="1">
      <alignment horizontal="center" vertical="center"/>
    </xf>
    <xf numFmtId="0" fontId="55" fillId="37" borderId="45" xfId="0" applyFont="1" applyFill="1" applyBorder="1" applyAlignment="1">
      <alignment horizontal="left" vertical="center" wrapText="1"/>
    </xf>
    <xf numFmtId="0" fontId="55" fillId="0" borderId="44" xfId="0" applyFont="1" applyBorder="1" applyAlignment="1">
      <alignment horizontal="center" vertical="center"/>
    </xf>
    <xf numFmtId="0" fontId="55" fillId="0" borderId="44" xfId="0" applyFont="1" applyBorder="1" applyAlignment="1">
      <alignment horizontal="left" vertical="center"/>
    </xf>
    <xf numFmtId="3" fontId="55" fillId="0" borderId="44" xfId="0" applyNumberFormat="1" applyFont="1" applyBorder="1" applyAlignment="1">
      <alignment horizontal="center" vertical="center"/>
    </xf>
    <xf numFmtId="0" fontId="55" fillId="0" borderId="44" xfId="0" applyFont="1" applyBorder="1" applyAlignment="1">
      <alignment horizontal="left" vertical="center" wrapText="1"/>
    </xf>
    <xf numFmtId="0" fontId="27" fillId="0" borderId="44" xfId="0" applyFont="1" applyBorder="1"/>
    <xf numFmtId="0" fontId="28" fillId="0" borderId="44" xfId="0" applyFont="1" applyBorder="1"/>
    <xf numFmtId="0" fontId="50" fillId="17" borderId="47" xfId="0" applyFont="1" applyFill="1" applyBorder="1" applyAlignment="1">
      <alignment horizontal="left" vertical="center"/>
    </xf>
    <xf numFmtId="0" fontId="50" fillId="17" borderId="47" xfId="0" applyFont="1" applyFill="1" applyBorder="1" applyAlignment="1">
      <alignment horizontal="right" vertical="center"/>
    </xf>
    <xf numFmtId="0" fontId="51" fillId="0" borderId="47" xfId="0" applyFont="1" applyBorder="1" applyAlignment="1">
      <alignment horizontal="left" vertical="center"/>
    </xf>
    <xf numFmtId="166" fontId="51" fillId="0" borderId="47" xfId="0" applyNumberFormat="1" applyFont="1" applyBorder="1" applyAlignment="1">
      <alignment horizontal="right" vertical="center"/>
    </xf>
    <xf numFmtId="168" fontId="51" fillId="0" borderId="47" xfId="0" applyNumberFormat="1" applyFont="1" applyBorder="1" applyAlignment="1">
      <alignment horizontal="right" vertical="center"/>
    </xf>
    <xf numFmtId="169" fontId="28" fillId="0" borderId="44" xfId="0" applyNumberFormat="1" applyFont="1" applyBorder="1"/>
    <xf numFmtId="0" fontId="52" fillId="18" borderId="47" xfId="0" applyFont="1" applyFill="1" applyBorder="1" applyAlignment="1">
      <alignment horizontal="left" vertical="center"/>
    </xf>
    <xf numFmtId="166" fontId="52" fillId="18" borderId="47" xfId="0" applyNumberFormat="1" applyFont="1" applyFill="1" applyBorder="1" applyAlignment="1">
      <alignment horizontal="right" vertical="center"/>
    </xf>
    <xf numFmtId="168" fontId="52" fillId="18" borderId="47" xfId="0" applyNumberFormat="1" applyFont="1" applyFill="1" applyBorder="1" applyAlignment="1">
      <alignment horizontal="right" vertical="center"/>
    </xf>
    <xf numFmtId="0" fontId="47" fillId="0" borderId="46" xfId="0" applyFont="1" applyBorder="1" applyAlignment="1">
      <alignment horizontal="center" vertical="center"/>
    </xf>
    <xf numFmtId="0" fontId="47" fillId="0" borderId="46" xfId="0" applyFont="1" applyBorder="1" applyAlignment="1">
      <alignment horizontal="left" vertical="center"/>
    </xf>
    <xf numFmtId="3" fontId="47" fillId="0" borderId="46" xfId="0" applyNumberFormat="1" applyFont="1" applyBorder="1" applyAlignment="1">
      <alignment horizontal="left" vertical="center"/>
    </xf>
    <xf numFmtId="172" fontId="47" fillId="0" borderId="46" xfId="0" applyNumberFormat="1" applyFont="1" applyBorder="1" applyAlignment="1">
      <alignment horizontal="center" vertical="center"/>
    </xf>
    <xf numFmtId="3" fontId="47" fillId="0" borderId="46" xfId="0" applyNumberFormat="1" applyFont="1" applyBorder="1" applyAlignment="1">
      <alignment horizontal="center" vertical="center"/>
    </xf>
    <xf numFmtId="3" fontId="48" fillId="0" borderId="46" xfId="0" applyNumberFormat="1" applyFont="1" applyBorder="1" applyAlignment="1">
      <alignment horizontal="center" vertical="center"/>
    </xf>
    <xf numFmtId="9" fontId="47" fillId="0" borderId="46" xfId="0" applyNumberFormat="1" applyFont="1" applyBorder="1" applyAlignment="1">
      <alignment horizontal="center" vertical="center"/>
    </xf>
    <xf numFmtId="0" fontId="48" fillId="0" borderId="46" xfId="0" applyFont="1" applyBorder="1" applyAlignment="1">
      <alignment horizontal="left" vertical="center"/>
    </xf>
    <xf numFmtId="0" fontId="53" fillId="0" borderId="44" xfId="0" applyFont="1" applyBorder="1"/>
    <xf numFmtId="0" fontId="0" fillId="0" borderId="44" xfId="0" applyBorder="1"/>
    <xf numFmtId="0" fontId="54" fillId="21" borderId="47" xfId="0" applyFont="1" applyFill="1" applyBorder="1" applyAlignment="1">
      <alignment horizontal="left" vertical="center"/>
    </xf>
    <xf numFmtId="166" fontId="54" fillId="21" borderId="47" xfId="0" applyNumberFormat="1" applyFont="1" applyFill="1" applyBorder="1" applyAlignment="1">
      <alignment horizontal="right" vertical="center"/>
    </xf>
    <xf numFmtId="168" fontId="54" fillId="21" borderId="47" xfId="0" applyNumberFormat="1" applyFont="1" applyFill="1" applyBorder="1" applyAlignment="1">
      <alignment horizontal="right" vertical="center"/>
    </xf>
    <xf numFmtId="3" fontId="51" fillId="0" borderId="47" xfId="0" applyNumberFormat="1" applyFont="1" applyBorder="1" applyAlignment="1">
      <alignment horizontal="left" vertical="center"/>
    </xf>
    <xf numFmtId="0" fontId="45" fillId="3" borderId="42" xfId="0" applyFont="1" applyFill="1" applyBorder="1" applyAlignment="1">
      <alignment horizontal="left" vertical="center"/>
    </xf>
    <xf numFmtId="169" fontId="45" fillId="3" borderId="42" xfId="0" applyNumberFormat="1" applyFont="1" applyFill="1" applyBorder="1" applyAlignment="1">
      <alignment horizontal="center" vertical="center"/>
    </xf>
    <xf numFmtId="0" fontId="45" fillId="3" borderId="42" xfId="0" applyFont="1" applyFill="1" applyBorder="1" applyAlignment="1">
      <alignment horizontal="right" vertical="center"/>
    </xf>
    <xf numFmtId="3" fontId="45" fillId="3" borderId="42" xfId="0" applyNumberFormat="1" applyFont="1" applyFill="1" applyBorder="1" applyAlignment="1">
      <alignment horizontal="center" vertical="center"/>
    </xf>
    <xf numFmtId="168" fontId="84" fillId="3" borderId="42" xfId="0" applyNumberFormat="1" applyFont="1" applyFill="1" applyBorder="1" applyAlignment="1">
      <alignment horizontal="center" vertical="center"/>
    </xf>
    <xf numFmtId="0" fontId="51" fillId="0" borderId="44" xfId="0" applyFont="1" applyBorder="1"/>
    <xf numFmtId="166" fontId="51" fillId="0" borderId="44" xfId="0" applyNumberFormat="1" applyFont="1" applyBorder="1"/>
    <xf numFmtId="168" fontId="51" fillId="0" borderId="44" xfId="0" applyNumberFormat="1" applyFont="1" applyBorder="1"/>
    <xf numFmtId="0" fontId="20" fillId="0" borderId="44" xfId="0" applyFont="1" applyBorder="1"/>
    <xf numFmtId="0" fontId="52" fillId="0" borderId="44" xfId="0" applyFont="1" applyBorder="1"/>
    <xf numFmtId="166" fontId="52" fillId="0" borderId="44" xfId="0" applyNumberFormat="1" applyFont="1" applyBorder="1"/>
    <xf numFmtId="168" fontId="52" fillId="0" borderId="44" xfId="0" applyNumberFormat="1" applyFont="1" applyBorder="1"/>
    <xf numFmtId="0" fontId="46" fillId="0" borderId="44" xfId="0" applyFont="1" applyBorder="1"/>
    <xf numFmtId="166" fontId="46" fillId="0" borderId="44" xfId="0" applyNumberFormat="1" applyFont="1" applyBorder="1"/>
    <xf numFmtId="168" fontId="46" fillId="0" borderId="44" xfId="0" applyNumberFormat="1" applyFont="1" applyBorder="1"/>
    <xf numFmtId="0" fontId="44" fillId="0" borderId="44" xfId="0" applyFont="1" applyBorder="1"/>
    <xf numFmtId="166" fontId="44" fillId="0" borderId="44" xfId="0" applyNumberFormat="1" applyFont="1" applyBorder="1"/>
    <xf numFmtId="168" fontId="44" fillId="0" borderId="44" xfId="0" applyNumberFormat="1" applyFont="1" applyBorder="1"/>
    <xf numFmtId="0" fontId="47" fillId="0" borderId="44" xfId="0" applyFont="1" applyBorder="1"/>
    <xf numFmtId="0" fontId="30" fillId="3" borderId="41" xfId="0" applyFont="1" applyFill="1"/>
    <xf numFmtId="0" fontId="28" fillId="0" borderId="0" xfId="0" applyFont="1" applyBorder="1"/>
    <xf numFmtId="0" fontId="28" fillId="0" borderId="0" xfId="0" applyFont="1" applyBorder="1" applyAlignment="1">
      <alignment horizontal="center"/>
    </xf>
    <xf numFmtId="9" fontId="28" fillId="0" borderId="0" xfId="0" applyNumberFormat="1" applyFont="1" applyBorder="1"/>
    <xf numFmtId="3" fontId="29" fillId="3" borderId="41" xfId="0" applyNumberFormat="1" applyFont="1" applyFill="1" applyAlignment="1">
      <alignment horizontal="center" vertical="center"/>
    </xf>
    <xf numFmtId="167" fontId="31" fillId="3" borderId="41" xfId="0" applyNumberFormat="1" applyFont="1" applyFill="1" applyAlignment="1">
      <alignment horizontal="center"/>
    </xf>
    <xf numFmtId="0" fontId="34" fillId="5" borderId="41" xfId="0" applyFont="1" applyFill="1" applyAlignment="1">
      <alignment vertical="center"/>
    </xf>
    <xf numFmtId="0" fontId="30" fillId="3" borderId="41" xfId="0" applyFont="1" applyFill="1" applyAlignment="1">
      <alignment vertical="center"/>
    </xf>
    <xf numFmtId="0" fontId="29" fillId="3" borderId="41" xfId="0" applyFont="1" applyFill="1" applyAlignment="1">
      <alignment horizontal="center" vertical="center"/>
    </xf>
    <xf numFmtId="0" fontId="49" fillId="19" borderId="44" xfId="0" applyFont="1" applyFill="1" applyBorder="1" applyAlignment="1">
      <alignment horizontal="center" vertical="center" wrapText="1"/>
    </xf>
    <xf numFmtId="0" fontId="0" fillId="19" borderId="41" xfId="0" applyFill="1" applyAlignment="1">
      <alignment horizontal="center" vertical="center" wrapText="1"/>
    </xf>
    <xf numFmtId="3" fontId="29" fillId="5" borderId="41" xfId="0" applyNumberFormat="1" applyFont="1" applyFill="1" applyAlignment="1">
      <alignment horizontal="center" vertical="center"/>
    </xf>
    <xf numFmtId="0" fontId="53" fillId="20" borderId="44" xfId="0" applyFont="1" applyFill="1" applyBorder="1" applyAlignment="1">
      <alignment horizontal="center" vertical="center" wrapText="1"/>
    </xf>
    <xf numFmtId="0" fontId="0" fillId="20" borderId="41" xfId="0" applyFill="1" applyAlignment="1">
      <alignment horizontal="center" vertical="center" wrapText="1"/>
    </xf>
    <xf numFmtId="0" fontId="35" fillId="3" borderId="5" xfId="0" applyFont="1" applyFill="1" applyBorder="1" applyAlignment="1">
      <alignment horizontal="center" vertical="center"/>
    </xf>
    <xf numFmtId="0" fontId="0" fillId="0" borderId="6" xfId="0" applyBorder="1"/>
    <xf numFmtId="0" fontId="61" fillId="22" borderId="8" xfId="0" applyFont="1" applyFill="1" applyBorder="1" applyAlignment="1">
      <alignment horizontal="left" vertical="center"/>
    </xf>
    <xf numFmtId="0" fontId="0" fillId="0" borderId="8" xfId="0" applyBorder="1"/>
    <xf numFmtId="0" fontId="8" fillId="3" borderId="6" xfId="0" applyFont="1" applyFill="1" applyBorder="1" applyAlignment="1">
      <alignment horizontal="center"/>
    </xf>
    <xf numFmtId="0" fontId="22" fillId="9" borderId="41" xfId="0" applyFont="1" applyFill="1" applyAlignment="1">
      <alignment horizontal="left" vertical="center"/>
    </xf>
    <xf numFmtId="0" fontId="0" fillId="0" borderId="0" xfId="0" applyBorder="1"/>
    <xf numFmtId="0" fontId="18" fillId="8" borderId="41" xfId="0" applyFont="1" applyFill="1" applyAlignment="1">
      <alignment horizontal="left" vertical="center" indent="1"/>
    </xf>
    <xf numFmtId="0" fontId="8" fillId="3" borderId="41" xfId="0" applyFont="1" applyFill="1" applyAlignment="1">
      <alignment horizontal="left" vertical="center" indent="1"/>
    </xf>
    <xf numFmtId="0" fontId="67" fillId="25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79" fillId="0" borderId="41" xfId="0" applyFont="1" applyAlignment="1">
      <alignment horizontal="left" vertical="center" wrapText="1"/>
    </xf>
    <xf numFmtId="0" fontId="82" fillId="35" borderId="43" xfId="0" applyFont="1" applyFill="1" applyBorder="1" applyAlignment="1">
      <alignment horizontal="left" vertical="center" wrapText="1"/>
    </xf>
    <xf numFmtId="0" fontId="0" fillId="0" borderId="33" xfId="0" applyBorder="1"/>
    <xf numFmtId="0" fontId="0" fillId="0" borderId="34" xfId="0" applyBorder="1"/>
    <xf numFmtId="0" fontId="77" fillId="0" borderId="41" xfId="0" applyFont="1" applyAlignment="1">
      <alignment horizontal="left" vertical="center" wrapText="1"/>
    </xf>
    <xf numFmtId="0" fontId="80" fillId="0" borderId="41" xfId="0" applyFont="1" applyAlignment="1">
      <alignment horizontal="left" vertical="center"/>
    </xf>
    <xf numFmtId="0" fontId="78" fillId="34" borderId="41" xfId="0" applyFont="1" applyFill="1" applyAlignment="1">
      <alignment horizontal="left" vertical="center" wrapText="1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0">
    <dxf>
      <font>
        <i/>
        <sz val="10"/>
        <color rgb="FF777777"/>
        <name val="Calibri"/>
      </font>
      <fill>
        <patternFill patternType="solid">
          <fgColor rgb="FFF2F2F2"/>
          <bgColor rgb="FFF2F2F2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2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51" totalsRowShown="0"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IP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showGridLines="0" zoomScaleNormal="100" workbookViewId="0">
      <selection sqref="A1:O26"/>
    </sheetView>
  </sheetViews>
  <sheetFormatPr defaultColWidth="8.7109375" defaultRowHeight="16.5" x14ac:dyDescent="0.3"/>
  <cols>
    <col min="1" max="1" width="1.5703125" style="90" customWidth="1"/>
    <col min="2" max="2" width="7" style="90" customWidth="1"/>
    <col min="3" max="3" width="36.42578125" style="90" customWidth="1"/>
    <col min="4" max="4" width="45" style="90" customWidth="1"/>
    <col min="5" max="5" width="8.85546875" style="88" customWidth="1"/>
    <col min="6" max="6" width="9.140625" style="90" hidden="1" customWidth="1"/>
    <col min="7" max="7" width="12.140625" style="91" customWidth="1"/>
    <col min="8" max="8" width="11.140625" style="90" customWidth="1"/>
    <col min="9" max="9" width="10.28515625" style="90" customWidth="1"/>
    <col min="10" max="10" width="10.5703125" style="90" customWidth="1"/>
    <col min="11" max="11" width="9.28515625" style="90" customWidth="1"/>
    <col min="12" max="12" width="23" style="90" bestFit="1" customWidth="1"/>
    <col min="13" max="13" width="14.7109375" style="90" customWidth="1"/>
    <col min="14" max="14" width="13.28515625" style="90" customWidth="1"/>
    <col min="15" max="15" width="9.5703125" style="90" customWidth="1"/>
    <col min="16" max="246" width="8.7109375" style="90" customWidth="1"/>
    <col min="247" max="16384" width="8.7109375" style="90"/>
  </cols>
  <sheetData>
    <row r="1" spans="1:29" ht="6" customHeight="1" x14ac:dyDescent="0.3">
      <c r="A1" s="87"/>
      <c r="B1" s="87"/>
      <c r="C1" s="87"/>
      <c r="D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 spans="1:29" ht="26.25" customHeight="1" x14ac:dyDescent="0.3">
      <c r="A2" s="87"/>
      <c r="B2" s="348" t="s">
        <v>152</v>
      </c>
      <c r="C2" s="341"/>
      <c r="D2" s="341"/>
      <c r="E2" s="342"/>
      <c r="F2" s="341"/>
      <c r="G2" s="343"/>
      <c r="H2" s="341"/>
      <c r="I2" s="341"/>
      <c r="J2" s="341"/>
      <c r="K2" s="341"/>
      <c r="L2" s="341"/>
      <c r="M2" s="341"/>
      <c r="N2" s="341"/>
      <c r="O2" s="341"/>
      <c r="P2" s="87"/>
      <c r="Q2" s="87"/>
      <c r="R2" s="87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 spans="1:29" ht="21.75" customHeight="1" x14ac:dyDescent="0.3">
      <c r="A3" s="87"/>
      <c r="B3" s="340" t="s">
        <v>153</v>
      </c>
      <c r="C3" s="341"/>
      <c r="D3" s="341"/>
      <c r="E3" s="342"/>
      <c r="F3" s="341"/>
      <c r="G3" s="343"/>
      <c r="H3" s="345">
        <f ca="1">TODAY()</f>
        <v>46316</v>
      </c>
      <c r="I3" s="341"/>
      <c r="J3" s="341"/>
      <c r="K3" s="341"/>
      <c r="L3" s="341"/>
      <c r="M3" s="341"/>
      <c r="N3" s="341"/>
      <c r="O3" s="341"/>
      <c r="P3" s="87"/>
      <c r="Q3" s="87"/>
      <c r="R3" s="87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 spans="1:29" ht="3" customHeight="1" x14ac:dyDescent="0.3">
      <c r="A4" s="87"/>
      <c r="B4" s="87"/>
      <c r="C4" s="87"/>
      <c r="D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 spans="1:29" ht="30" customHeight="1" x14ac:dyDescent="0.3">
      <c r="A5" s="87"/>
      <c r="B5" s="139" t="s">
        <v>154</v>
      </c>
      <c r="C5" s="140">
        <f>MAX(Production_Log!$A$3:$A$8961)</f>
        <v>46315</v>
      </c>
      <c r="D5" s="92" t="s">
        <v>155</v>
      </c>
      <c r="E5" s="92"/>
      <c r="F5" s="93"/>
      <c r="G5" s="347" t="s">
        <v>156</v>
      </c>
      <c r="H5" s="341"/>
      <c r="I5" s="94"/>
      <c r="J5" s="347" t="s">
        <v>157</v>
      </c>
      <c r="K5" s="341"/>
      <c r="L5" s="111"/>
      <c r="M5" s="349" t="s">
        <v>158</v>
      </c>
      <c r="N5" s="350"/>
      <c r="O5" s="350"/>
      <c r="P5" s="296"/>
      <c r="Q5" s="296"/>
      <c r="R5" s="296"/>
      <c r="S5" s="297"/>
      <c r="T5" s="297"/>
      <c r="U5" s="297"/>
      <c r="V5" s="297"/>
      <c r="W5" s="89"/>
      <c r="X5" s="89"/>
      <c r="Y5" s="89"/>
      <c r="Z5" s="89"/>
      <c r="AA5" s="89"/>
      <c r="AB5" s="89"/>
      <c r="AC5" s="89"/>
    </row>
    <row r="6" spans="1:29" ht="26.25" customHeight="1" x14ac:dyDescent="0.3">
      <c r="A6" s="87"/>
      <c r="B6" s="344">
        <f>SUMPRODUCT((Production_Log!$A$3:$A$8961=MAX(Production_Log!$A$3:$A$8961))*(LEFT(Production_Log!$B$3:$B$8961,5)="Print")*(ISERROR(SEARCH("(Varnish)",Production_Log!$D$3:$D$8961)))*Production_Log!$H$3:$H$8961)</f>
        <v>23086</v>
      </c>
      <c r="C6" s="341"/>
      <c r="D6" s="95">
        <f>SUMIF($B$11:$B$68,"TUBE",$H$11:$H$68)</f>
        <v>257602</v>
      </c>
      <c r="E6" s="344"/>
      <c r="F6" s="341"/>
      <c r="G6" s="96">
        <f t="array" ref="G6">IFERROR(SUMPRODUCT((Production_Log!$F$3:$F$8961&lt;&gt;0)*(LEFT(Production_Log!$B$3:$B$8961,5)="Print")*(ISERROR(SEARCH("(Varnish)",Production_Log!$D$3:$D$8961)))*Production_Log!$I$3:$I$8961)/SUMPRODUCT((Production_Log!$F$3:$F$8961&lt;&gt;0)*(LEFT(Production_Log!$B$3:$B$8961,5)="Print")*(ISERROR(SEARCH("(Varnish)",Production_Log!$D$3:$D$8961)))*(Production_Log!$H$3:$H$8961+Production_Log!$I$3:$I$8961)),"-")</f>
        <v>3.001069389845315E-2</v>
      </c>
      <c r="H6" s="96"/>
      <c r="I6" s="94"/>
      <c r="J6" s="344">
        <f>SUMIF($B$11:$B$68,"TUBE",$K$11:$K$68)</f>
        <v>215199</v>
      </c>
      <c r="K6" s="341"/>
      <c r="L6" s="97"/>
      <c r="M6" s="298" t="s">
        <v>26</v>
      </c>
      <c r="N6" s="299" t="s">
        <v>159</v>
      </c>
      <c r="O6" s="299" t="s">
        <v>160</v>
      </c>
      <c r="P6" s="296"/>
      <c r="Q6" s="296"/>
      <c r="R6" s="297"/>
      <c r="S6" s="297"/>
      <c r="T6" s="297"/>
      <c r="U6" s="297"/>
      <c r="V6" s="297"/>
      <c r="W6" s="89"/>
      <c r="X6" s="89"/>
      <c r="Y6" s="89"/>
      <c r="Z6" s="89"/>
      <c r="AA6" s="89"/>
      <c r="AB6" s="89"/>
      <c r="AC6" s="89"/>
    </row>
    <row r="7" spans="1:29" ht="27" customHeight="1" x14ac:dyDescent="0.3">
      <c r="A7" s="87"/>
      <c r="B7" s="138" t="s">
        <v>161</v>
      </c>
      <c r="C7" s="141">
        <f>MAX(Production_Log!$A$3:$A$8961)</f>
        <v>46315</v>
      </c>
      <c r="D7" s="98" t="s">
        <v>162</v>
      </c>
      <c r="E7" s="98"/>
      <c r="F7" s="99"/>
      <c r="G7" s="346" t="s">
        <v>163</v>
      </c>
      <c r="H7" s="341"/>
      <c r="I7" s="100"/>
      <c r="J7" s="99" t="s">
        <v>157</v>
      </c>
      <c r="K7" s="99"/>
      <c r="L7" s="98" t="s">
        <v>164</v>
      </c>
      <c r="M7" s="300" t="s">
        <v>165</v>
      </c>
      <c r="N7" s="301">
        <f>SUMPRODUCT(((LEFT(Production_Log!$B$3:$B$1000,5)="Press")+(LEFT(Production_Log!$B$3:$B$1000,5)="Print")+(LEFT(Production_Log!$B$3:$B$1000,5)="PLINE"))*Production_Log!$M$3:$M$1000)/60</f>
        <v>45.333333333333336</v>
      </c>
      <c r="O7" s="302">
        <f>IFERROR(N7/$N$10,"")</f>
        <v>0.55623721881390598</v>
      </c>
      <c r="P7" s="296"/>
      <c r="Q7" s="296"/>
      <c r="R7" s="297"/>
      <c r="S7" s="297"/>
      <c r="T7" s="297"/>
      <c r="U7" s="297"/>
      <c r="V7" s="297"/>
      <c r="W7" s="89"/>
      <c r="X7" s="89"/>
      <c r="Y7" s="89"/>
      <c r="Z7" s="89"/>
      <c r="AA7" s="89"/>
      <c r="AB7" s="89"/>
      <c r="AC7" s="89"/>
    </row>
    <row r="8" spans="1:29" ht="27" customHeight="1" x14ac:dyDescent="0.3">
      <c r="A8" s="87"/>
      <c r="B8" s="351">
        <f>SUMPRODUCT((Production_Log!$A$3:$A$8961=MAX(Production_Log!$A$3:$A$8961))*(Production_Log!$B$3:$B$8961="PF Machine")*Production_Log!$H$3:$H$8961)</f>
        <v>5980</v>
      </c>
      <c r="C8" s="341"/>
      <c r="D8" s="101">
        <f>SUMIF($B$11:$B$68,"PET",$H$11:$H$68)</f>
        <v>132160</v>
      </c>
      <c r="E8" s="351"/>
      <c r="F8" s="341"/>
      <c r="G8" s="102">
        <f t="array" ref="G8">IFERROR(SUMPRODUCT((Production_Log!$B$3:$B$8961="PF Machine")*Production_Log!$I$3:$I$8961)/SUMPRODUCT((Production_Log!$B$3:$B$8961="PF Machine")*(Production_Log!$H$3:$H$8961+Production_Log!$I$3:$I$8961)),0)</f>
        <v>0.25665110523651496</v>
      </c>
      <c r="H8" s="102"/>
      <c r="I8" s="100"/>
      <c r="J8" s="351">
        <f>SUMIF($B$11:$B$68,"PET",$K$11:$K$68)</f>
        <v>151990</v>
      </c>
      <c r="K8" s="341"/>
      <c r="L8" s="260" t="s">
        <v>166</v>
      </c>
      <c r="M8" s="300" t="s">
        <v>167</v>
      </c>
      <c r="N8" s="301">
        <f>SUMPRODUCT(((LEFT(Production_Log!$B$3:$B$1000,5)="Press")+(LEFT(Production_Log!$B$3:$B$1000,5)="Print")+(LEFT(Production_Log!$B$3:$B$1000,5)="PLINE"))*Production_Log!$K$3:$K$1000)/60</f>
        <v>28.166666666666668</v>
      </c>
      <c r="O8" s="302">
        <f>IFERROR(N8/$N$10,"")</f>
        <v>0.3456032719836401</v>
      </c>
      <c r="P8" s="296"/>
      <c r="Q8" s="296"/>
      <c r="R8" s="297"/>
      <c r="S8" s="297"/>
      <c r="T8" s="297"/>
      <c r="U8" s="297"/>
      <c r="V8" s="297"/>
      <c r="W8" s="89"/>
      <c r="X8" s="89"/>
      <c r="Y8" s="89"/>
      <c r="Z8" s="89"/>
      <c r="AA8" s="89"/>
      <c r="AB8" s="89"/>
      <c r="AC8" s="89"/>
    </row>
    <row r="9" spans="1:29" ht="20.25" customHeight="1" x14ac:dyDescent="0.3">
      <c r="A9" s="87"/>
      <c r="B9" s="354" t="s">
        <v>168</v>
      </c>
      <c r="C9" s="355"/>
      <c r="D9" s="355"/>
      <c r="E9" s="355"/>
      <c r="F9" s="355"/>
      <c r="G9" s="355"/>
      <c r="H9" s="355"/>
      <c r="I9" s="355"/>
      <c r="J9" s="355"/>
      <c r="K9" s="355"/>
      <c r="L9" s="355"/>
      <c r="M9" s="300" t="s">
        <v>169</v>
      </c>
      <c r="N9" s="301">
        <f>SUMPRODUCT(((LEFT(Production_Log!$B$3:$B$1000,5)="Press")+(LEFT(Production_Log!$B$3:$B$1000,5)="Print")+(LEFT(Production_Log!$B$3:$B$1000,5)="PLINE"))*Production_Log!$N$3:$N$1000)/60</f>
        <v>8</v>
      </c>
      <c r="O9" s="302">
        <f>IFERROR(N9/$N$10,"")</f>
        <v>9.815950920245399E-2</v>
      </c>
      <c r="P9" s="296"/>
      <c r="Q9" s="296"/>
      <c r="R9" s="297"/>
      <c r="S9" s="297"/>
      <c r="T9" s="303"/>
      <c r="U9" s="297"/>
      <c r="V9" s="297"/>
      <c r="W9" s="89"/>
      <c r="X9" s="89"/>
      <c r="Y9" s="89"/>
      <c r="Z9" s="89"/>
      <c r="AA9" s="89"/>
      <c r="AB9" s="89"/>
      <c r="AC9" s="89"/>
    </row>
    <row r="10" spans="1:29" ht="30" customHeight="1" x14ac:dyDescent="0.3">
      <c r="A10" s="87"/>
      <c r="B10" s="105" t="s">
        <v>170</v>
      </c>
      <c r="C10" s="105" t="s">
        <v>3</v>
      </c>
      <c r="D10" s="105" t="s">
        <v>4</v>
      </c>
      <c r="E10" s="105" t="s">
        <v>2</v>
      </c>
      <c r="F10" s="105" t="s">
        <v>171</v>
      </c>
      <c r="G10" s="105" t="s">
        <v>172</v>
      </c>
      <c r="H10" s="105" t="s">
        <v>173</v>
      </c>
      <c r="I10" s="105" t="s">
        <v>174</v>
      </c>
      <c r="J10" s="106" t="s">
        <v>175</v>
      </c>
      <c r="K10" s="107" t="s">
        <v>176</v>
      </c>
      <c r="L10" s="107" t="s">
        <v>10</v>
      </c>
      <c r="M10" s="304" t="s">
        <v>177</v>
      </c>
      <c r="N10" s="305">
        <f>SUM(N7:N9)</f>
        <v>81.5</v>
      </c>
      <c r="O10" s="306" t="s">
        <v>178</v>
      </c>
      <c r="P10" s="296"/>
      <c r="Q10" s="296"/>
      <c r="R10" s="297"/>
      <c r="S10" s="297"/>
      <c r="T10" s="303"/>
      <c r="U10" s="297"/>
      <c r="V10" s="297"/>
      <c r="W10" s="89"/>
      <c r="X10" s="89"/>
      <c r="Y10" s="89"/>
      <c r="Z10" s="89"/>
      <c r="AA10" s="89"/>
      <c r="AB10" s="89"/>
      <c r="AC10" s="89"/>
    </row>
    <row r="11" spans="1:29" s="109" customFormat="1" x14ac:dyDescent="0.3">
      <c r="A11" s="108"/>
      <c r="B11" s="307" t="s">
        <v>154</v>
      </c>
      <c r="C11" s="308" t="s">
        <v>11</v>
      </c>
      <c r="D11" s="309" t="s">
        <v>12</v>
      </c>
      <c r="E11" s="310">
        <v>20.5</v>
      </c>
      <c r="F11" s="311">
        <v>6077</v>
      </c>
      <c r="G11" s="311">
        <f>IFERROR(INDEX(MRP!$F$3:$F$150,MATCH(F11,MRP!$D$3:$D$150,0)),0)</f>
        <v>22000</v>
      </c>
      <c r="H11" s="312">
        <f>SUMPRODUCT((Production_Log!$F$3:$F$1000=F11)*((LEFT(Production_Log!$B$3:$B$1000,5)="Print")+(LEFT(Production_Log!$B$3:$B$1000,5)="PLINE"))*(ISERROR(SEARCH("(Varnish)",Production_Log!$D$3:$D$1000)))*Production_Log!$H$3:$H$1000)</f>
        <v>0</v>
      </c>
      <c r="I11" s="311">
        <f t="shared" ref="I11:I17" si="0">G11-H11</f>
        <v>22000</v>
      </c>
      <c r="J11" s="313">
        <f t="shared" ref="J11:J42" si="1">IF(G11=0,"-",H11/G11)</f>
        <v>0</v>
      </c>
      <c r="K11" s="312"/>
      <c r="L11" s="314"/>
      <c r="M11" s="315"/>
      <c r="N11" s="316"/>
      <c r="O11" s="316"/>
      <c r="P11" s="296"/>
      <c r="Q11" s="296"/>
      <c r="R11" s="296"/>
      <c r="S11" s="316"/>
      <c r="T11" s="303"/>
      <c r="U11" s="316"/>
      <c r="V11" s="297"/>
      <c r="W11" s="110"/>
      <c r="X11" s="110"/>
      <c r="Y11" s="110"/>
      <c r="Z11" s="110"/>
      <c r="AA11" s="110"/>
      <c r="AB11" s="110"/>
      <c r="AC11" s="110"/>
    </row>
    <row r="12" spans="1:29" ht="30" customHeight="1" x14ac:dyDescent="0.3">
      <c r="A12" s="87"/>
      <c r="B12" s="307" t="s">
        <v>154</v>
      </c>
      <c r="C12" s="308" t="s">
        <v>13</v>
      </c>
      <c r="D12" s="309" t="s">
        <v>14</v>
      </c>
      <c r="E12" s="310">
        <v>25</v>
      </c>
      <c r="F12" s="311">
        <v>6470</v>
      </c>
      <c r="G12" s="311">
        <f>IFERROR(INDEX(MRP!$F$3:$F$150,MATCH(F12,MRP!$D$3:$D$150,0)),0)</f>
        <v>30000</v>
      </c>
      <c r="H12" s="312">
        <f>SUMPRODUCT((Production_Log!$F$3:$F$1000=F12)*((LEFT(Production_Log!$B$3:$B$1000,5)="Print")+(LEFT(Production_Log!$B$3:$B$1000,5)="PLINE"))*(ISERROR(SEARCH("(Varnish)",Production_Log!$D$3:$D$1000)))*Production_Log!$H$3:$H$1000)</f>
        <v>0</v>
      </c>
      <c r="I12" s="311">
        <f t="shared" si="0"/>
        <v>30000</v>
      </c>
      <c r="J12" s="313">
        <f t="shared" si="1"/>
        <v>0</v>
      </c>
      <c r="K12" s="312"/>
      <c r="L12" s="314" t="s">
        <v>15</v>
      </c>
      <c r="M12" s="352" t="s">
        <v>179</v>
      </c>
      <c r="N12" s="353"/>
      <c r="O12" s="353"/>
      <c r="P12" s="296"/>
      <c r="Q12" s="296"/>
      <c r="R12" s="297"/>
      <c r="S12" s="297"/>
      <c r="T12" s="303"/>
      <c r="U12" s="297"/>
      <c r="V12" s="297"/>
      <c r="W12" s="89"/>
      <c r="X12" s="89"/>
      <c r="Y12" s="89"/>
      <c r="Z12" s="89"/>
      <c r="AA12" s="89"/>
      <c r="AB12" s="89"/>
      <c r="AC12" s="89"/>
    </row>
    <row r="13" spans="1:29" x14ac:dyDescent="0.3">
      <c r="A13" s="87"/>
      <c r="B13" s="307" t="s">
        <v>154</v>
      </c>
      <c r="C13" s="308" t="s">
        <v>11</v>
      </c>
      <c r="D13" s="309" t="s">
        <v>16</v>
      </c>
      <c r="E13" s="310">
        <v>30</v>
      </c>
      <c r="F13" s="311">
        <v>5814</v>
      </c>
      <c r="G13" s="311">
        <f>IFERROR(INDEX(MRP!$F$3:$F$150,MATCH(F13,MRP!$D$3:$D$150,0)),0)</f>
        <v>50000</v>
      </c>
      <c r="H13" s="312">
        <f>SUMPRODUCT((Production_Log!$F$3:$F$1000=F13)*((LEFT(Production_Log!$B$3:$B$1000,5)="Print")+(LEFT(Production_Log!$B$3:$B$1000,5)="PLINE"))*(ISERROR(SEARCH("(Varnish)",Production_Log!$D$3:$D$1000)))*Production_Log!$H$3:$H$1000)</f>
        <v>49742</v>
      </c>
      <c r="I13" s="311">
        <f t="shared" si="0"/>
        <v>258</v>
      </c>
      <c r="J13" s="313">
        <f t="shared" si="1"/>
        <v>0.99483999999999995</v>
      </c>
      <c r="K13" s="312">
        <v>47793</v>
      </c>
      <c r="L13" s="314" t="s">
        <v>18</v>
      </c>
      <c r="M13" s="317" t="s">
        <v>26</v>
      </c>
      <c r="N13" s="318" t="s">
        <v>159</v>
      </c>
      <c r="O13" s="319" t="s">
        <v>160</v>
      </c>
      <c r="P13" s="296"/>
      <c r="Q13" s="296"/>
      <c r="R13" s="297"/>
      <c r="S13" s="297"/>
      <c r="T13" s="303"/>
      <c r="U13" s="297"/>
      <c r="V13" s="297"/>
      <c r="W13" s="89"/>
      <c r="X13" s="89"/>
      <c r="Y13" s="89"/>
      <c r="Z13" s="89"/>
      <c r="AA13" s="89"/>
      <c r="AB13" s="89"/>
      <c r="AC13" s="89"/>
    </row>
    <row r="14" spans="1:29" x14ac:dyDescent="0.3">
      <c r="A14" s="87"/>
      <c r="B14" s="307" t="s">
        <v>154</v>
      </c>
      <c r="C14" s="308" t="s">
        <v>19</v>
      </c>
      <c r="D14" s="309" t="s">
        <v>20</v>
      </c>
      <c r="E14" s="310">
        <v>30</v>
      </c>
      <c r="F14" s="311">
        <v>6206</v>
      </c>
      <c r="G14" s="311">
        <f>IFERROR(INDEX(MRP!$F$3:$F$150,MATCH(F14,MRP!$D$3:$D$150,0)),0)</f>
        <v>389418</v>
      </c>
      <c r="H14" s="312">
        <f>SUMPRODUCT((Production_Log!$F$3:$F$1000=F14)*((LEFT(Production_Log!$B$3:$B$1000,5)="Print")+(LEFT(Production_Log!$B$3:$B$1000,5)="PLINE"))*(ISERROR(SEARCH("(Varnish)",Production_Log!$D$3:$D$1000)))*Production_Log!$H$3:$H$1000)</f>
        <v>149188</v>
      </c>
      <c r="I14" s="311">
        <f t="shared" si="0"/>
        <v>240230</v>
      </c>
      <c r="J14" s="313">
        <f t="shared" si="1"/>
        <v>0.38310504393736294</v>
      </c>
      <c r="K14" s="312">
        <v>110432</v>
      </c>
      <c r="L14" s="314"/>
      <c r="M14" s="320" t="s">
        <v>180</v>
      </c>
      <c r="N14" s="301">
        <f>SUMPRODUCT(((LEFT(Production_Log!$B$3:$B$1000,2)="PF")+(LEFT(Production_Log!$B$3:$B$1000,3)="PET"))*Production_Log!$S$3:$S$1000)/60</f>
        <v>38</v>
      </c>
      <c r="O14" s="302">
        <f t="shared" ref="O14:O19" si="2">IFERROR(N14/$N$20,"")</f>
        <v>0.40425531914893614</v>
      </c>
      <c r="P14" s="296"/>
      <c r="Q14" s="296"/>
      <c r="R14" s="296"/>
      <c r="S14" s="297"/>
      <c r="T14" s="303"/>
      <c r="U14" s="297"/>
      <c r="V14" s="296"/>
      <c r="W14" s="87"/>
      <c r="X14" s="89"/>
      <c r="Y14" s="89"/>
      <c r="Z14" s="89"/>
      <c r="AA14" s="89"/>
      <c r="AB14" s="89"/>
      <c r="AC14" s="89"/>
    </row>
    <row r="15" spans="1:29" x14ac:dyDescent="0.3">
      <c r="B15" s="307" t="s">
        <v>154</v>
      </c>
      <c r="C15" s="308" t="s">
        <v>21</v>
      </c>
      <c r="D15" s="309" t="s">
        <v>22</v>
      </c>
      <c r="E15" s="310">
        <v>32</v>
      </c>
      <c r="F15" s="311">
        <v>6515</v>
      </c>
      <c r="G15" s="311">
        <f>IFERROR(INDEX(MRP!$F$3:$F$150,MATCH(F15,MRP!$D$3:$D$150,0)),0)</f>
        <v>172336</v>
      </c>
      <c r="H15" s="312">
        <f>SUMPRODUCT((Production_Log!$F$3:$F$1000=F15)*((LEFT(Production_Log!$B$3:$B$1000,5)="Print")+(LEFT(Production_Log!$B$3:$B$1000,5)="PLINE"))*(ISERROR(SEARCH("(Varnish)",Production_Log!$D$3:$D$1000)))*Production_Log!$H$3:$H$1000)</f>
        <v>58672</v>
      </c>
      <c r="I15" s="311">
        <f t="shared" si="0"/>
        <v>113664</v>
      </c>
      <c r="J15" s="313">
        <f t="shared" si="1"/>
        <v>0.34045121158666791</v>
      </c>
      <c r="K15" s="312">
        <v>37232</v>
      </c>
      <c r="L15" s="314"/>
      <c r="M15" s="300" t="s">
        <v>181</v>
      </c>
      <c r="N15" s="301">
        <f>SUMPRODUCT(((LEFT(Production_Log!$B$3:$B$1000,2)="PF")+(LEFT(Production_Log!$B$3:$B$1000,3)="PET"))*Production_Log!$O$3:$O$1000)/60</f>
        <v>27.5</v>
      </c>
      <c r="O15" s="302">
        <f t="shared" si="2"/>
        <v>0.29255319148936171</v>
      </c>
      <c r="P15" s="316"/>
      <c r="Q15" s="316"/>
      <c r="R15" s="316"/>
      <c r="S15" s="316"/>
      <c r="T15" s="316"/>
      <c r="U15" s="316"/>
      <c r="V15" s="316"/>
    </row>
    <row r="16" spans="1:29" ht="16.5" customHeight="1" x14ac:dyDescent="0.3">
      <c r="A16" s="87"/>
      <c r="B16" s="307" t="s">
        <v>154</v>
      </c>
      <c r="C16" s="308" t="s">
        <v>182</v>
      </c>
      <c r="D16" s="309" t="s">
        <v>183</v>
      </c>
      <c r="E16" s="310">
        <v>35</v>
      </c>
      <c r="F16" s="311">
        <v>6530</v>
      </c>
      <c r="G16" s="311">
        <f>IFERROR(INDEX(MRP!$F$3:$F$150,MATCH(F16,MRP!$D$3:$D$150,0)),0)</f>
        <v>0</v>
      </c>
      <c r="H16" s="312">
        <f>SUMPRODUCT((Production_Log!$F$3:$F$1000=F16)*((LEFT(Production_Log!$B$3:$B$1000,5)="Print")+(LEFT(Production_Log!$B$3:$B$1000,5)="PLINE"))*(ISERROR(SEARCH("(Varnish)",Production_Log!$D$3:$D$1000)))*Production_Log!$H$3:$H$1000)</f>
        <v>0</v>
      </c>
      <c r="I16" s="311">
        <f t="shared" si="0"/>
        <v>0</v>
      </c>
      <c r="J16" s="313" t="str">
        <f t="shared" si="1"/>
        <v>-</v>
      </c>
      <c r="K16" s="312">
        <v>15422</v>
      </c>
      <c r="L16" s="314"/>
      <c r="M16" s="300" t="s">
        <v>167</v>
      </c>
      <c r="N16" s="301">
        <f>SUMPRODUCT(((LEFT(Production_Log!$B$3:$B$1000,2)="PF")+(LEFT(Production_Log!$B$3:$B$1000,3)="PET"))*Production_Log!$K$3:$K$1000)/60</f>
        <v>10.5</v>
      </c>
      <c r="O16" s="302">
        <f t="shared" si="2"/>
        <v>0.11170212765957446</v>
      </c>
      <c r="P16" s="296"/>
      <c r="Q16" s="296"/>
      <c r="R16" s="296"/>
      <c r="S16" s="296"/>
      <c r="T16" s="296"/>
      <c r="U16" s="296"/>
      <c r="V16" s="297"/>
      <c r="W16" s="89"/>
      <c r="X16" s="89"/>
      <c r="Y16" s="89"/>
      <c r="Z16" s="89"/>
      <c r="AA16" s="89"/>
      <c r="AB16" s="89"/>
      <c r="AC16" s="89"/>
    </row>
    <row r="17" spans="1:29" ht="16.5" customHeight="1" x14ac:dyDescent="0.3">
      <c r="A17" s="87"/>
      <c r="B17" s="307" t="s">
        <v>154</v>
      </c>
      <c r="C17" s="308" t="s">
        <v>182</v>
      </c>
      <c r="D17" s="309" t="s">
        <v>184</v>
      </c>
      <c r="E17" s="310">
        <v>35</v>
      </c>
      <c r="F17" s="311">
        <v>6531</v>
      </c>
      <c r="G17" s="311">
        <f>IFERROR(INDEX(MRP!$F$3:$F$150,MATCH(F17,MRP!$D$3:$D$150,0)),0)</f>
        <v>0</v>
      </c>
      <c r="H17" s="312">
        <f>SUMPRODUCT((Production_Log!$F$3:$F$1000=F17)*((LEFT(Production_Log!$B$3:$B$1000,5)="Print")+(LEFT(Production_Log!$B$3:$B$1000,5)="PLINE"))*(ISERROR(SEARCH("(Varnish)",Production_Log!$D$3:$D$1000)))*Production_Log!$H$3:$H$1000)</f>
        <v>0</v>
      </c>
      <c r="I17" s="311">
        <f t="shared" si="0"/>
        <v>0</v>
      </c>
      <c r="J17" s="313" t="str">
        <f t="shared" si="1"/>
        <v>-</v>
      </c>
      <c r="K17" s="312">
        <v>4320</v>
      </c>
      <c r="L17" s="314"/>
      <c r="M17" s="300" t="s">
        <v>169</v>
      </c>
      <c r="N17" s="301">
        <f>SUMPRODUCT(((LEFT(Production_Log!$B$3:$B$1000,2)="PF")+(LEFT(Production_Log!$B$3:$B$1000,3)="PET"))*Production_Log!$N$3:$N$1000)/60</f>
        <v>8</v>
      </c>
      <c r="O17" s="302">
        <f t="shared" si="2"/>
        <v>8.5106382978723402E-2</v>
      </c>
      <c r="P17" s="296"/>
      <c r="Q17" s="296"/>
      <c r="R17" s="296"/>
      <c r="S17" s="297"/>
      <c r="T17" s="303"/>
      <c r="U17" s="297"/>
      <c r="V17" s="296"/>
      <c r="W17" s="87"/>
      <c r="X17" s="89"/>
      <c r="Y17" s="89"/>
      <c r="Z17" s="89"/>
      <c r="AA17" s="89"/>
      <c r="AB17" s="89"/>
      <c r="AC17" s="89"/>
    </row>
    <row r="18" spans="1:29" ht="16.5" customHeight="1" x14ac:dyDescent="0.3">
      <c r="A18" s="87"/>
      <c r="B18" s="321"/>
      <c r="C18" s="322"/>
      <c r="D18" s="323" t="s">
        <v>177</v>
      </c>
      <c r="E18" s="321"/>
      <c r="F18" s="322"/>
      <c r="G18" s="324">
        <f>SUM(G11:G17)</f>
        <v>663754</v>
      </c>
      <c r="H18" s="324">
        <f>SUM(H11:H17)</f>
        <v>257602</v>
      </c>
      <c r="I18" s="324">
        <f>SUMIF(I11:I17,"&gt;"&amp;0)</f>
        <v>406152</v>
      </c>
      <c r="J18" s="325">
        <f t="shared" si="1"/>
        <v>0.38809860279561403</v>
      </c>
      <c r="K18" s="324">
        <f>SUM(K11:K17)</f>
        <v>215199</v>
      </c>
      <c r="L18" s="324"/>
      <c r="M18" s="300" t="s">
        <v>165</v>
      </c>
      <c r="N18" s="301">
        <f>SUMPRODUCT(((LEFT(Production_Log!$B$3:$B$1000,2)="PF")+(LEFT(Production_Log!$B$3:$B$1000,3)="PET"))*Production_Log!$M$3:$M$1000)/60</f>
        <v>7</v>
      </c>
      <c r="O18" s="302">
        <f t="shared" si="2"/>
        <v>7.4468085106382975E-2</v>
      </c>
      <c r="P18" s="296"/>
      <c r="Q18" s="296"/>
      <c r="R18" s="296"/>
      <c r="S18" s="296"/>
      <c r="T18" s="296"/>
      <c r="U18" s="296"/>
      <c r="V18" s="297"/>
      <c r="W18" s="89"/>
      <c r="X18" s="89"/>
      <c r="Y18" s="89"/>
      <c r="Z18" s="89"/>
      <c r="AA18" s="89"/>
      <c r="AB18" s="89"/>
      <c r="AC18" s="89"/>
    </row>
    <row r="19" spans="1:29" ht="16.5" customHeight="1" x14ac:dyDescent="0.3">
      <c r="A19" s="87"/>
      <c r="B19" s="307" t="s">
        <v>161</v>
      </c>
      <c r="C19" s="308" t="s">
        <v>135</v>
      </c>
      <c r="D19" s="309" t="s">
        <v>136</v>
      </c>
      <c r="E19" s="310" t="s">
        <v>134</v>
      </c>
      <c r="F19" s="311">
        <v>8018</v>
      </c>
      <c r="G19" s="311">
        <f>IFERROR(INDEX(MRP!$F$3:$F$150,MATCH(F19,MRP!$D$3:$D$150,0)),0)</f>
        <v>25000</v>
      </c>
      <c r="H19" s="312">
        <f>SUMPRODUCT((Production_Log!$F$3:$F$1000=F19)*Production_Log!$H$3:$H$1000)</f>
        <v>0</v>
      </c>
      <c r="I19" s="311">
        <f t="shared" ref="I19:I25" si="3">G19-H19</f>
        <v>25000</v>
      </c>
      <c r="J19" s="313">
        <f t="shared" si="1"/>
        <v>0</v>
      </c>
      <c r="K19" s="312"/>
      <c r="L19" s="314"/>
      <c r="M19" s="300" t="s">
        <v>185</v>
      </c>
      <c r="N19" s="301">
        <f>SUMPRODUCT(((LEFT(Production_Log!$B$3:$B$1000,2)="PF")+(LEFT(Production_Log!$B$3:$B$1000,3)="PET"))*Production_Log!$L$3:$L$1000)/60</f>
        <v>3</v>
      </c>
      <c r="O19" s="302">
        <f t="shared" si="2"/>
        <v>3.1914893617021274E-2</v>
      </c>
      <c r="P19" s="296"/>
      <c r="Q19" s="296"/>
      <c r="R19" s="297"/>
      <c r="S19" s="297"/>
      <c r="T19" s="303"/>
      <c r="U19" s="297"/>
      <c r="V19" s="297"/>
      <c r="W19" s="89"/>
      <c r="X19" s="89"/>
      <c r="Y19" s="89"/>
      <c r="Z19" s="89"/>
      <c r="AA19" s="89"/>
      <c r="AB19" s="89"/>
      <c r="AC19" s="89"/>
    </row>
    <row r="20" spans="1:29" ht="16.5" customHeight="1" x14ac:dyDescent="0.3">
      <c r="A20" s="87"/>
      <c r="B20" s="307" t="s">
        <v>161</v>
      </c>
      <c r="C20" s="308" t="s">
        <v>13</v>
      </c>
      <c r="D20" s="309" t="s">
        <v>186</v>
      </c>
      <c r="E20" s="310" t="s">
        <v>187</v>
      </c>
      <c r="F20" s="311">
        <v>8005</v>
      </c>
      <c r="G20" s="311">
        <f>IFERROR(INDEX(MRP!$F$3:$F$150,MATCH(F20,MRP!$D$3:$D$150,0)),0)</f>
        <v>0</v>
      </c>
      <c r="H20" s="312">
        <f>SUMPRODUCT((Production_Log!$F$3:$F$1000=F20)*Production_Log!$H$3:$H$1000)</f>
        <v>0</v>
      </c>
      <c r="I20" s="311">
        <f t="shared" si="3"/>
        <v>0</v>
      </c>
      <c r="J20" s="313" t="str">
        <f t="shared" si="1"/>
        <v>-</v>
      </c>
      <c r="K20" s="312">
        <v>12840</v>
      </c>
      <c r="L20" s="314"/>
      <c r="M20" s="304" t="s">
        <v>177</v>
      </c>
      <c r="N20" s="305">
        <f>SUM(N14:N19)</f>
        <v>94</v>
      </c>
      <c r="O20" s="306" t="s">
        <v>178</v>
      </c>
      <c r="P20" s="296"/>
      <c r="Q20" s="296"/>
      <c r="R20" s="297"/>
      <c r="S20" s="316"/>
      <c r="T20" s="303"/>
      <c r="U20" s="316"/>
      <c r="V20" s="297"/>
      <c r="W20" s="89"/>
      <c r="X20" s="89"/>
      <c r="Y20" s="89"/>
      <c r="Z20" s="89"/>
      <c r="AA20" s="89"/>
      <c r="AB20" s="89"/>
      <c r="AC20" s="89"/>
    </row>
    <row r="21" spans="1:29" ht="16.5" customHeight="1" x14ac:dyDescent="0.3">
      <c r="A21" s="87"/>
      <c r="B21" s="307" t="s">
        <v>161</v>
      </c>
      <c r="C21" s="308" t="s">
        <v>11</v>
      </c>
      <c r="D21" s="309" t="s">
        <v>139</v>
      </c>
      <c r="E21" s="310" t="s">
        <v>138</v>
      </c>
      <c r="F21" s="311">
        <v>8015</v>
      </c>
      <c r="G21" s="311">
        <f>IFERROR(INDEX(MRP!$F$3:$F$150,MATCH(F21,MRP!$D$3:$D$150,0)),0)</f>
        <v>9480</v>
      </c>
      <c r="H21" s="312">
        <f>SUMPRODUCT((Production_Log!$F$3:$F$1000=F21)*Production_Log!$H$3:$H$1000)</f>
        <v>0</v>
      </c>
      <c r="I21" s="311">
        <f t="shared" si="3"/>
        <v>9480</v>
      </c>
      <c r="J21" s="313">
        <f t="shared" si="1"/>
        <v>0</v>
      </c>
      <c r="K21" s="312"/>
      <c r="L21" s="314"/>
      <c r="M21" s="326"/>
      <c r="N21" s="327"/>
      <c r="O21" s="328"/>
      <c r="P21" s="296"/>
      <c r="Q21" s="296"/>
      <c r="R21" s="296"/>
      <c r="S21" s="316"/>
      <c r="T21" s="303"/>
      <c r="U21" s="316"/>
      <c r="V21" s="297"/>
      <c r="W21" s="89"/>
      <c r="X21" s="89"/>
      <c r="Y21" s="89"/>
      <c r="Z21" s="89"/>
      <c r="AA21" s="89"/>
      <c r="AB21" s="89"/>
      <c r="AC21" s="89"/>
    </row>
    <row r="22" spans="1:29" ht="16.5" customHeight="1" x14ac:dyDescent="0.3">
      <c r="A22" s="132"/>
      <c r="B22" s="307" t="s">
        <v>161</v>
      </c>
      <c r="C22" s="308" t="s">
        <v>135</v>
      </c>
      <c r="D22" s="309" t="s">
        <v>140</v>
      </c>
      <c r="E22" s="310" t="s">
        <v>138</v>
      </c>
      <c r="F22" s="311">
        <v>8019</v>
      </c>
      <c r="G22" s="311">
        <f>IFERROR(INDEX(MRP!$F$3:$F$150,MATCH(F22,MRP!$D$3:$D$150,0)),0)</f>
        <v>5000</v>
      </c>
      <c r="H22" s="312">
        <f>SUMPRODUCT((Production_Log!$F$3:$F$1000=F22)*Production_Log!$H$3:$H$1000)</f>
        <v>5000</v>
      </c>
      <c r="I22" s="311">
        <f t="shared" si="3"/>
        <v>0</v>
      </c>
      <c r="J22" s="313">
        <f t="shared" si="1"/>
        <v>1</v>
      </c>
      <c r="K22" s="312">
        <v>5060</v>
      </c>
      <c r="L22" s="314" t="s">
        <v>18</v>
      </c>
      <c r="M22" s="326"/>
      <c r="N22" s="327"/>
      <c r="O22" s="328"/>
      <c r="P22" s="296"/>
      <c r="Q22" s="296"/>
      <c r="R22" s="296"/>
      <c r="S22" s="329"/>
      <c r="T22" s="316"/>
      <c r="U22" s="316"/>
      <c r="V22" s="316"/>
    </row>
    <row r="23" spans="1:29" x14ac:dyDescent="0.3">
      <c r="A23" s="87"/>
      <c r="B23" s="307" t="s">
        <v>161</v>
      </c>
      <c r="C23" s="308" t="s">
        <v>11</v>
      </c>
      <c r="D23" s="309" t="s">
        <v>140</v>
      </c>
      <c r="E23" s="310" t="s">
        <v>138</v>
      </c>
      <c r="F23" s="311">
        <v>8010</v>
      </c>
      <c r="G23" s="311">
        <f>IFERROR(INDEX(MRP!$F$3:$F$150,MATCH(F23,MRP!$D$3:$D$150,0)),0)</f>
        <v>18500</v>
      </c>
      <c r="H23" s="312">
        <f>SUMPRODUCT((Production_Log!$F$3:$F$1000=F23)*Production_Log!$H$3:$H$1000)</f>
        <v>18690</v>
      </c>
      <c r="I23" s="311">
        <f t="shared" si="3"/>
        <v>-190</v>
      </c>
      <c r="J23" s="313">
        <f t="shared" si="1"/>
        <v>1.0102702702702702</v>
      </c>
      <c r="K23" s="312">
        <v>30130</v>
      </c>
      <c r="L23" s="314" t="s">
        <v>18</v>
      </c>
      <c r="M23" s="330"/>
      <c r="N23" s="331"/>
      <c r="O23" s="332"/>
      <c r="P23" s="296"/>
      <c r="Q23" s="296"/>
      <c r="R23" s="296"/>
      <c r="S23" s="296"/>
      <c r="T23" s="296"/>
      <c r="U23" s="296"/>
      <c r="V23" s="296"/>
      <c r="W23" s="87"/>
      <c r="X23" s="89"/>
      <c r="Y23" s="89"/>
      <c r="Z23" s="89"/>
      <c r="AA23" s="89"/>
      <c r="AB23" s="89"/>
      <c r="AC23" s="89"/>
    </row>
    <row r="24" spans="1:29" ht="16.5" customHeight="1" x14ac:dyDescent="0.3">
      <c r="A24" s="87"/>
      <c r="B24" s="307" t="s">
        <v>161</v>
      </c>
      <c r="C24" s="308" t="s">
        <v>135</v>
      </c>
      <c r="D24" s="309" t="s">
        <v>188</v>
      </c>
      <c r="E24" s="310" t="s">
        <v>143</v>
      </c>
      <c r="F24" s="311">
        <v>8001</v>
      </c>
      <c r="G24" s="311">
        <f>IFERROR(INDEX(MRP!$F$3:$F$150,MATCH(F24,MRP!$D$3:$D$150,0)),0)</f>
        <v>549967</v>
      </c>
      <c r="H24" s="312">
        <f>SUMPRODUCT((Production_Log!$F$3:$F$1000=F24)*Production_Log!$H$3:$H$1000)</f>
        <v>108470</v>
      </c>
      <c r="I24" s="311">
        <f t="shared" si="3"/>
        <v>441497</v>
      </c>
      <c r="J24" s="313">
        <f t="shared" si="1"/>
        <v>0.19723001561911896</v>
      </c>
      <c r="K24" s="312">
        <v>103960</v>
      </c>
      <c r="L24" s="314"/>
      <c r="M24" s="333"/>
      <c r="N24" s="334"/>
      <c r="O24" s="335"/>
      <c r="P24" s="296"/>
      <c r="Q24" s="296"/>
      <c r="R24" s="296"/>
      <c r="S24" s="296"/>
      <c r="T24" s="296"/>
      <c r="U24" s="296"/>
      <c r="V24" s="296"/>
      <c r="W24" s="87"/>
      <c r="X24" s="89"/>
      <c r="Y24" s="89"/>
      <c r="Z24" s="89"/>
      <c r="AA24" s="89"/>
      <c r="AB24" s="89"/>
      <c r="AC24" s="89"/>
    </row>
    <row r="25" spans="1:29" ht="16.5" customHeight="1" x14ac:dyDescent="0.3">
      <c r="A25" s="87"/>
      <c r="B25" s="307" t="s">
        <v>161</v>
      </c>
      <c r="C25" s="308" t="s">
        <v>13</v>
      </c>
      <c r="D25" s="309" t="s">
        <v>147</v>
      </c>
      <c r="E25" s="310" t="s">
        <v>146</v>
      </c>
      <c r="F25" s="311">
        <v>8006</v>
      </c>
      <c r="G25" s="311">
        <f>IFERROR(INDEX(MRP!$F$3:$F$150,MATCH(F25,MRP!$D$3:$D$150,0)),0)</f>
        <v>4280</v>
      </c>
      <c r="H25" s="312">
        <f>SUMPRODUCT((Production_Log!$F$3:$F$1000=F25)*Production_Log!$H$3:$H$1000)</f>
        <v>0</v>
      </c>
      <c r="I25" s="311">
        <f t="shared" si="3"/>
        <v>4280</v>
      </c>
      <c r="J25" s="313">
        <f t="shared" si="1"/>
        <v>0</v>
      </c>
      <c r="K25" s="312"/>
      <c r="L25" s="314"/>
      <c r="M25" s="333"/>
      <c r="N25" s="334"/>
      <c r="O25" s="335"/>
      <c r="P25" s="296"/>
      <c r="Q25" s="296"/>
      <c r="R25" s="297"/>
      <c r="S25" s="316"/>
      <c r="T25" s="303"/>
      <c r="U25" s="316"/>
      <c r="V25" s="297"/>
      <c r="W25" s="89"/>
      <c r="X25" s="89"/>
      <c r="Y25" s="89"/>
      <c r="Z25" s="89"/>
      <c r="AA25" s="89"/>
      <c r="AB25" s="89"/>
      <c r="AC25" s="89"/>
    </row>
    <row r="26" spans="1:29" ht="16.5" customHeight="1" x14ac:dyDescent="0.3">
      <c r="A26" s="132"/>
      <c r="B26" s="321"/>
      <c r="C26" s="322"/>
      <c r="D26" s="323" t="s">
        <v>177</v>
      </c>
      <c r="E26" s="321"/>
      <c r="F26" s="322"/>
      <c r="G26" s="324">
        <f>SUM(G19:G25)</f>
        <v>612227</v>
      </c>
      <c r="H26" s="324">
        <f>SUM(H19:H25)</f>
        <v>132160</v>
      </c>
      <c r="I26" s="324">
        <f>SUMIF(I19:I25,"&gt;"&amp;0)</f>
        <v>480257</v>
      </c>
      <c r="J26" s="325">
        <f t="shared" si="1"/>
        <v>0.2158676438641223</v>
      </c>
      <c r="K26" s="324">
        <f>SUM(K19:K25)</f>
        <v>151990</v>
      </c>
      <c r="L26" s="324"/>
      <c r="M26" s="333"/>
      <c r="N26" s="334"/>
      <c r="O26" s="335"/>
      <c r="P26" s="296"/>
      <c r="Q26" s="296"/>
      <c r="R26" s="297"/>
      <c r="S26" s="316"/>
      <c r="T26" s="303"/>
      <c r="U26" s="316"/>
      <c r="V26" s="297"/>
      <c r="W26" s="133"/>
      <c r="X26" s="133"/>
      <c r="Y26" s="133"/>
      <c r="Z26" s="133"/>
      <c r="AA26" s="133"/>
      <c r="AB26" s="133"/>
      <c r="AC26" s="133"/>
    </row>
    <row r="27" spans="1:29" ht="16.5" customHeight="1" x14ac:dyDescent="0.3">
      <c r="A27" s="87"/>
      <c r="B27" s="307" t="s">
        <v>154</v>
      </c>
      <c r="C27" s="308" t="s">
        <v>189</v>
      </c>
      <c r="D27" s="309" t="s">
        <v>190</v>
      </c>
      <c r="E27" s="310">
        <v>12.5</v>
      </c>
      <c r="F27" s="311">
        <v>9004</v>
      </c>
      <c r="G27" s="311">
        <f>IFERROR(INDEX(MRP!$F$3:$F$150,MATCH(F27,MRP!$D$3:$D$150,0)),0)</f>
        <v>0</v>
      </c>
      <c r="H27" s="312">
        <f>SUMPRODUCT((Production_Log!$F$3:$F$1000=F27)*((LEFT(Production_Log!$B$3:$B$1000,5)="Print")+(LEFT(Production_Log!$B$3:$B$1000,5)="PLINE"))*(ISERROR(SEARCH("(Varnish)",Production_Log!$D$3:$D$1000)))*Production_Log!$H$3:$H$1000)</f>
        <v>0</v>
      </c>
      <c r="I27" s="311">
        <f t="shared" ref="I27:I68" si="4">G27-H27</f>
        <v>0</v>
      </c>
      <c r="J27" s="313" t="str">
        <f t="shared" si="1"/>
        <v>-</v>
      </c>
      <c r="K27" s="312"/>
      <c r="L27" s="314"/>
      <c r="M27" s="336"/>
      <c r="N27" s="337"/>
      <c r="O27" s="338"/>
      <c r="P27" s="296"/>
      <c r="Q27" s="296"/>
      <c r="R27" s="297"/>
      <c r="S27" s="316"/>
      <c r="T27" s="303"/>
      <c r="U27" s="316"/>
      <c r="V27" s="297"/>
      <c r="W27" s="89"/>
      <c r="X27" s="89"/>
      <c r="Y27" s="89"/>
      <c r="Z27" s="89"/>
      <c r="AA27" s="89"/>
      <c r="AB27" s="89"/>
      <c r="AC27" s="89"/>
    </row>
    <row r="28" spans="1:29" ht="16.5" customHeight="1" x14ac:dyDescent="0.3">
      <c r="A28" s="87"/>
      <c r="B28" s="307" t="s">
        <v>154</v>
      </c>
      <c r="C28" s="308" t="s">
        <v>191</v>
      </c>
      <c r="D28" s="309" t="s">
        <v>192</v>
      </c>
      <c r="E28" s="310">
        <v>16</v>
      </c>
      <c r="F28" s="311">
        <v>6561</v>
      </c>
      <c r="G28" s="311">
        <f>IFERROR(INDEX(MRP!$F$3:$F$150,MATCH(F28,MRP!$D$3:$D$150,0)),0)</f>
        <v>0</v>
      </c>
      <c r="H28" s="312">
        <f>SUMPRODUCT((Production_Log!$F$3:$F$1000=F28)*((LEFT(Production_Log!$B$3:$B$1000,5)="Print")+(LEFT(Production_Log!$B$3:$B$1000,5)="PLINE"))*(ISERROR(SEARCH("(Varnish)",Production_Log!$D$3:$D$1000)))*Production_Log!$H$3:$H$1000)</f>
        <v>0</v>
      </c>
      <c r="I28" s="311">
        <f t="shared" si="4"/>
        <v>0</v>
      </c>
      <c r="J28" s="313" t="str">
        <f t="shared" si="1"/>
        <v>-</v>
      </c>
      <c r="K28" s="312"/>
      <c r="L28" s="314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87"/>
      <c r="X28" s="89"/>
      <c r="Y28" s="89"/>
      <c r="Z28" s="89"/>
      <c r="AA28" s="89"/>
      <c r="AB28" s="89"/>
      <c r="AC28" s="89"/>
    </row>
    <row r="29" spans="1:29" ht="16.5" customHeight="1" x14ac:dyDescent="0.3">
      <c r="A29" s="87"/>
      <c r="B29" s="307" t="s">
        <v>154</v>
      </c>
      <c r="C29" s="308" t="s">
        <v>13</v>
      </c>
      <c r="D29" s="309" t="s">
        <v>193</v>
      </c>
      <c r="E29" s="310">
        <v>19</v>
      </c>
      <c r="F29" s="311">
        <v>6624</v>
      </c>
      <c r="G29" s="311">
        <f>IFERROR(INDEX(MRP!$F$3:$F$150,MATCH(F29,MRP!$D$3:$D$150,0)),0)</f>
        <v>0</v>
      </c>
      <c r="H29" s="312">
        <f>SUMPRODUCT((Production_Log!$F$3:$F$1000=F29)*((LEFT(Production_Log!$B$3:$B$1000,5)="Print")+(LEFT(Production_Log!$B$3:$B$1000,5)="PLINE"))*(ISERROR(SEARCH("(Varnish)",Production_Log!$D$3:$D$1000)))*Production_Log!$H$3:$H$1000)</f>
        <v>0</v>
      </c>
      <c r="I29" s="311">
        <f t="shared" si="4"/>
        <v>0</v>
      </c>
      <c r="J29" s="313" t="str">
        <f t="shared" si="1"/>
        <v>-</v>
      </c>
      <c r="K29" s="312"/>
      <c r="L29" s="314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87"/>
      <c r="X29" s="89"/>
      <c r="Y29" s="89"/>
      <c r="Z29" s="89"/>
      <c r="AA29" s="89"/>
      <c r="AB29" s="89"/>
      <c r="AC29" s="89"/>
    </row>
    <row r="30" spans="1:29" ht="16.5" customHeight="1" x14ac:dyDescent="0.3">
      <c r="A30" s="87"/>
      <c r="B30" s="307" t="s">
        <v>154</v>
      </c>
      <c r="C30" s="308" t="s">
        <v>13</v>
      </c>
      <c r="D30" s="309" t="s">
        <v>194</v>
      </c>
      <c r="E30" s="310">
        <v>19</v>
      </c>
      <c r="F30" s="311">
        <v>6623</v>
      </c>
      <c r="G30" s="311">
        <f>IFERROR(INDEX(MRP!$F$3:$F$150,MATCH(F30,MRP!$D$3:$D$150,0)),0)</f>
        <v>0</v>
      </c>
      <c r="H30" s="312">
        <f>SUMPRODUCT((Production_Log!$F$3:$F$1000=F30)*((LEFT(Production_Log!$B$3:$B$1000,5)="Print")+(LEFT(Production_Log!$B$3:$B$1000,5)="PLINE"))*(ISERROR(SEARCH("(Varnish)",Production_Log!$D$3:$D$1000)))*Production_Log!$H$3:$H$1000)</f>
        <v>0</v>
      </c>
      <c r="I30" s="311">
        <f t="shared" si="4"/>
        <v>0</v>
      </c>
      <c r="J30" s="313" t="str">
        <f t="shared" si="1"/>
        <v>-</v>
      </c>
      <c r="K30" s="312"/>
      <c r="L30" s="314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87"/>
      <c r="X30" s="89"/>
      <c r="Y30" s="89"/>
      <c r="Z30" s="89"/>
      <c r="AA30" s="89"/>
      <c r="AB30" s="89"/>
      <c r="AC30" s="89"/>
    </row>
    <row r="31" spans="1:29" ht="16.5" customHeight="1" x14ac:dyDescent="0.3">
      <c r="A31" s="87"/>
      <c r="B31" s="307" t="s">
        <v>154</v>
      </c>
      <c r="C31" s="308" t="s">
        <v>191</v>
      </c>
      <c r="D31" s="309" t="s">
        <v>194</v>
      </c>
      <c r="E31" s="310">
        <v>19</v>
      </c>
      <c r="F31" s="311">
        <v>6559</v>
      </c>
      <c r="G31" s="311">
        <f>IFERROR(INDEX(MRP!$F$3:$F$150,MATCH(F31,MRP!$D$3:$D$150,0)),0)</f>
        <v>0</v>
      </c>
      <c r="H31" s="312">
        <f>SUMPRODUCT((Production_Log!$F$3:$F$1000=F31)*((LEFT(Production_Log!$B$3:$B$1000,5)="Print")+(LEFT(Production_Log!$B$3:$B$1000,5)="PLINE"))*(ISERROR(SEARCH("(Varnish)",Production_Log!$D$3:$D$1000)))*Production_Log!$H$3:$H$1000)</f>
        <v>0</v>
      </c>
      <c r="I31" s="311">
        <f t="shared" si="4"/>
        <v>0</v>
      </c>
      <c r="J31" s="313" t="str">
        <f t="shared" si="1"/>
        <v>-</v>
      </c>
      <c r="K31" s="312"/>
      <c r="L31" s="314"/>
      <c r="M31" s="296"/>
      <c r="N31" s="296"/>
      <c r="O31" s="296"/>
      <c r="P31" s="296"/>
      <c r="Q31" s="296"/>
      <c r="R31" s="296"/>
      <c r="S31" s="316"/>
      <c r="T31" s="303"/>
      <c r="U31" s="316"/>
      <c r="V31" s="297"/>
      <c r="W31" s="89"/>
      <c r="X31" s="89"/>
      <c r="Y31" s="89"/>
      <c r="Z31" s="89"/>
      <c r="AA31" s="89"/>
      <c r="AB31" s="89"/>
      <c r="AC31" s="89"/>
    </row>
    <row r="32" spans="1:29" ht="16.5" customHeight="1" x14ac:dyDescent="0.3">
      <c r="A32" s="87"/>
      <c r="B32" s="307" t="s">
        <v>154</v>
      </c>
      <c r="C32" s="308" t="s">
        <v>191</v>
      </c>
      <c r="D32" s="309" t="s">
        <v>195</v>
      </c>
      <c r="E32" s="310">
        <v>19</v>
      </c>
      <c r="F32" s="311">
        <v>1085</v>
      </c>
      <c r="G32" s="311">
        <f>IFERROR(INDEX(MRP!$F$3:$F$150,MATCH(F32,MRP!$D$3:$D$150,0)),0)</f>
        <v>0</v>
      </c>
      <c r="H32" s="312">
        <f>SUMPRODUCT((Production_Log!$F$3:$F$1000=F32)*((LEFT(Production_Log!$B$3:$B$1000,5)="Print")+(LEFT(Production_Log!$B$3:$B$1000,5)="PLINE"))*(ISERROR(SEARCH("(Varnish)",Production_Log!$D$3:$D$1000)))*Production_Log!$H$3:$H$1000)</f>
        <v>0</v>
      </c>
      <c r="I32" s="311">
        <f t="shared" si="4"/>
        <v>0</v>
      </c>
      <c r="J32" s="313" t="str">
        <f t="shared" si="1"/>
        <v>-</v>
      </c>
      <c r="K32" s="312"/>
      <c r="L32" s="314"/>
      <c r="M32" s="296"/>
      <c r="N32" s="296"/>
      <c r="O32" s="296"/>
      <c r="P32" s="296"/>
      <c r="Q32" s="296"/>
      <c r="R32" s="296"/>
      <c r="S32" s="316"/>
      <c r="T32" s="303"/>
      <c r="U32" s="316"/>
      <c r="V32" s="297"/>
      <c r="W32" s="89"/>
      <c r="X32" s="89"/>
      <c r="Y32" s="89"/>
      <c r="Z32" s="89"/>
      <c r="AA32" s="89"/>
      <c r="AB32" s="89"/>
      <c r="AC32" s="89"/>
    </row>
    <row r="33" spans="1:29" ht="16.5" customHeight="1" x14ac:dyDescent="0.3">
      <c r="A33" s="87"/>
      <c r="B33" s="307" t="s">
        <v>154</v>
      </c>
      <c r="C33" s="308" t="s">
        <v>191</v>
      </c>
      <c r="D33" s="309" t="s">
        <v>196</v>
      </c>
      <c r="E33" s="310">
        <v>19</v>
      </c>
      <c r="F33" s="311">
        <v>6560</v>
      </c>
      <c r="G33" s="311">
        <f>IFERROR(INDEX(MRP!$F$3:$F$150,MATCH(F33,MRP!$D$3:$D$150,0)),0)</f>
        <v>0</v>
      </c>
      <c r="H33" s="312">
        <f>SUMPRODUCT((Production_Log!$F$3:$F$1000=F33)*((LEFT(Production_Log!$B$3:$B$1000,5)="Print")+(LEFT(Production_Log!$B$3:$B$1000,5)="PLINE"))*(ISERROR(SEARCH("(Varnish)",Production_Log!$D$3:$D$1000)))*Production_Log!$H$3:$H$1000)</f>
        <v>0</v>
      </c>
      <c r="I33" s="311">
        <f t="shared" si="4"/>
        <v>0</v>
      </c>
      <c r="J33" s="313" t="str">
        <f t="shared" si="1"/>
        <v>-</v>
      </c>
      <c r="K33" s="312"/>
      <c r="L33" s="314"/>
      <c r="M33" s="296"/>
      <c r="N33" s="296"/>
      <c r="O33" s="296"/>
      <c r="P33" s="296"/>
      <c r="Q33" s="296"/>
      <c r="R33" s="297"/>
      <c r="S33" s="316"/>
      <c r="T33" s="303"/>
      <c r="U33" s="316"/>
      <c r="V33" s="297"/>
      <c r="W33" s="89"/>
      <c r="X33" s="89"/>
      <c r="Y33" s="89"/>
      <c r="Z33" s="89"/>
      <c r="AA33" s="89"/>
      <c r="AB33" s="89"/>
      <c r="AC33" s="89"/>
    </row>
    <row r="34" spans="1:29" ht="16.5" customHeight="1" x14ac:dyDescent="0.3">
      <c r="A34" s="87"/>
      <c r="B34" s="307" t="s">
        <v>154</v>
      </c>
      <c r="C34" s="308" t="s">
        <v>13</v>
      </c>
      <c r="D34" s="309" t="s">
        <v>197</v>
      </c>
      <c r="E34" s="310">
        <v>20.5</v>
      </c>
      <c r="F34" s="311">
        <v>5699</v>
      </c>
      <c r="G34" s="311">
        <f>IFERROR(INDEX(MRP!$F$3:$F$150,MATCH(F34,MRP!$D$3:$D$150,0)),0)</f>
        <v>0</v>
      </c>
      <c r="H34" s="312">
        <f>SUMPRODUCT((Production_Log!$F$3:$F$1000=F34)*((LEFT(Production_Log!$B$3:$B$1000,5)="Print")+(LEFT(Production_Log!$B$3:$B$1000,5)="PLINE"))*(ISERROR(SEARCH("(Varnish)",Production_Log!$D$3:$D$1000)))*Production_Log!$H$3:$H$1000)</f>
        <v>0</v>
      </c>
      <c r="I34" s="311">
        <f t="shared" si="4"/>
        <v>0</v>
      </c>
      <c r="J34" s="313" t="str">
        <f t="shared" si="1"/>
        <v>-</v>
      </c>
      <c r="K34" s="312"/>
      <c r="L34" s="314"/>
      <c r="M34" s="316"/>
      <c r="N34" s="316"/>
      <c r="O34" s="316"/>
      <c r="P34" s="296"/>
      <c r="Q34" s="296"/>
      <c r="R34" s="296"/>
      <c r="S34" s="316"/>
      <c r="T34" s="303"/>
      <c r="U34" s="316"/>
      <c r="V34" s="297"/>
      <c r="W34" s="89"/>
      <c r="X34" s="89"/>
      <c r="Y34" s="89"/>
      <c r="Z34" s="89"/>
      <c r="AA34" s="89"/>
      <c r="AB34" s="89"/>
      <c r="AC34" s="89"/>
    </row>
    <row r="35" spans="1:29" ht="16.5" customHeight="1" x14ac:dyDescent="0.3">
      <c r="A35" s="87"/>
      <c r="B35" s="307" t="s">
        <v>154</v>
      </c>
      <c r="C35" s="308" t="s">
        <v>13</v>
      </c>
      <c r="D35" s="309" t="s">
        <v>198</v>
      </c>
      <c r="E35" s="310">
        <v>20.5</v>
      </c>
      <c r="F35" s="311">
        <v>5731</v>
      </c>
      <c r="G35" s="311">
        <f>IFERROR(INDEX(MRP!$F$3:$F$150,MATCH(F35,MRP!$D$3:$D$150,0)),0)</f>
        <v>0</v>
      </c>
      <c r="H35" s="312">
        <f>SUMPRODUCT((Production_Log!$F$3:$F$1000=F35)*((LEFT(Production_Log!$B$3:$B$1000,5)="Print")+(LEFT(Production_Log!$B$3:$B$1000,5)="PLINE"))*(ISERROR(SEARCH("(Varnish)",Production_Log!$D$3:$D$1000)))*Production_Log!$H$3:$H$1000)</f>
        <v>0</v>
      </c>
      <c r="I35" s="311">
        <f t="shared" si="4"/>
        <v>0</v>
      </c>
      <c r="J35" s="313" t="str">
        <f t="shared" si="1"/>
        <v>-</v>
      </c>
      <c r="K35" s="312"/>
      <c r="L35" s="314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87"/>
      <c r="X35" s="89"/>
      <c r="Y35" s="89"/>
      <c r="Z35" s="89"/>
      <c r="AA35" s="89"/>
      <c r="AB35" s="89"/>
      <c r="AC35" s="89"/>
    </row>
    <row r="36" spans="1:29" ht="16.5" customHeight="1" x14ac:dyDescent="0.3">
      <c r="A36" s="87"/>
      <c r="B36" s="307" t="s">
        <v>154</v>
      </c>
      <c r="C36" s="308" t="s">
        <v>13</v>
      </c>
      <c r="D36" s="309" t="s">
        <v>199</v>
      </c>
      <c r="E36" s="310">
        <v>20.5</v>
      </c>
      <c r="F36" s="311">
        <v>5698</v>
      </c>
      <c r="G36" s="311">
        <f>IFERROR(INDEX(MRP!$F$3:$F$150,MATCH(F36,MRP!$D$3:$D$150,0)),0)</f>
        <v>0</v>
      </c>
      <c r="H36" s="312">
        <f>SUMPRODUCT((Production_Log!$F$3:$F$1000=F36)*((LEFT(Production_Log!$B$3:$B$1000,5)="Print")+(LEFT(Production_Log!$B$3:$B$1000,5)="PLINE"))*(ISERROR(SEARCH("(Varnish)",Production_Log!$D$3:$D$1000)))*Production_Log!$H$3:$H$1000)</f>
        <v>0</v>
      </c>
      <c r="I36" s="311">
        <f t="shared" si="4"/>
        <v>0</v>
      </c>
      <c r="J36" s="313" t="str">
        <f t="shared" si="1"/>
        <v>-</v>
      </c>
      <c r="K36" s="312"/>
      <c r="L36" s="314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87"/>
      <c r="X36" s="89"/>
      <c r="Y36" s="89"/>
      <c r="Z36" s="89"/>
      <c r="AA36" s="89"/>
      <c r="AB36" s="89"/>
      <c r="AC36" s="89"/>
    </row>
    <row r="37" spans="1:29" ht="16.5" customHeight="1" x14ac:dyDescent="0.3">
      <c r="A37" s="87"/>
      <c r="B37" s="307" t="s">
        <v>154</v>
      </c>
      <c r="C37" s="308" t="s">
        <v>13</v>
      </c>
      <c r="D37" s="309" t="s">
        <v>200</v>
      </c>
      <c r="E37" s="310">
        <v>20.5</v>
      </c>
      <c r="F37" s="311">
        <v>5732</v>
      </c>
      <c r="G37" s="311">
        <f>IFERROR(INDEX(MRP!$F$3:$F$150,MATCH(F37,MRP!$D$3:$D$150,0)),0)</f>
        <v>0</v>
      </c>
      <c r="H37" s="312">
        <f>SUMPRODUCT((Production_Log!$F$3:$F$1000=F37)*((LEFT(Production_Log!$B$3:$B$1000,5)="Print")+(LEFT(Production_Log!$B$3:$B$1000,5)="PLINE"))*(ISERROR(SEARCH("(Varnish)",Production_Log!$D$3:$D$1000)))*Production_Log!$H$3:$H$1000)</f>
        <v>0</v>
      </c>
      <c r="I37" s="311">
        <f t="shared" si="4"/>
        <v>0</v>
      </c>
      <c r="J37" s="313" t="str">
        <f t="shared" si="1"/>
        <v>-</v>
      </c>
      <c r="K37" s="312"/>
      <c r="L37" s="314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87"/>
      <c r="X37" s="89"/>
      <c r="Y37" s="89"/>
      <c r="Z37" s="89"/>
      <c r="AA37" s="89"/>
      <c r="AB37" s="89"/>
      <c r="AC37" s="89"/>
    </row>
    <row r="38" spans="1:29" ht="16.5" customHeight="1" x14ac:dyDescent="0.3">
      <c r="A38" s="87"/>
      <c r="B38" s="307" t="s">
        <v>154</v>
      </c>
      <c r="C38" s="308" t="s">
        <v>13</v>
      </c>
      <c r="D38" s="309" t="s">
        <v>201</v>
      </c>
      <c r="E38" s="310">
        <v>20.5</v>
      </c>
      <c r="F38" s="311">
        <v>6556</v>
      </c>
      <c r="G38" s="311">
        <f>IFERROR(INDEX(MRP!$F$3:$F$150,MATCH(F38,MRP!$D$3:$D$150,0)),0)</f>
        <v>0</v>
      </c>
      <c r="H38" s="312">
        <f>SUMPRODUCT((Production_Log!$F$3:$F$1000=F38)*((LEFT(Production_Log!$B$3:$B$1000,5)="Print")+(LEFT(Production_Log!$B$3:$B$1000,5)="PLINE"))*(ISERROR(SEARCH("(Varnish)",Production_Log!$D$3:$D$1000)))*Production_Log!$H$3:$H$1000)</f>
        <v>0</v>
      </c>
      <c r="I38" s="311">
        <f t="shared" si="4"/>
        <v>0</v>
      </c>
      <c r="J38" s="313" t="str">
        <f t="shared" si="1"/>
        <v>-</v>
      </c>
      <c r="K38" s="312"/>
      <c r="L38" s="314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87"/>
      <c r="X38" s="89"/>
      <c r="Y38" s="89"/>
      <c r="Z38" s="89"/>
      <c r="AA38" s="89"/>
      <c r="AB38" s="89"/>
      <c r="AC38" s="89"/>
    </row>
    <row r="39" spans="1:29" ht="16.5" customHeight="1" x14ac:dyDescent="0.3">
      <c r="A39" s="87"/>
      <c r="B39" s="307" t="s">
        <v>154</v>
      </c>
      <c r="C39" s="308" t="s">
        <v>13</v>
      </c>
      <c r="D39" s="309" t="s">
        <v>202</v>
      </c>
      <c r="E39" s="310">
        <v>20.5</v>
      </c>
      <c r="F39" s="311">
        <v>6557</v>
      </c>
      <c r="G39" s="311">
        <f>IFERROR(INDEX(MRP!$F$3:$F$150,MATCH(F39,MRP!$D$3:$D$150,0)),0)</f>
        <v>0</v>
      </c>
      <c r="H39" s="312">
        <f>SUMPRODUCT((Production_Log!$F$3:$F$1000=F39)*((LEFT(Production_Log!$B$3:$B$1000,5)="Print")+(LEFT(Production_Log!$B$3:$B$1000,5)="PLINE"))*(ISERROR(SEARCH("(Varnish)",Production_Log!$D$3:$D$1000)))*Production_Log!$H$3:$H$1000)</f>
        <v>0</v>
      </c>
      <c r="I39" s="311">
        <f t="shared" si="4"/>
        <v>0</v>
      </c>
      <c r="J39" s="313" t="str">
        <f t="shared" si="1"/>
        <v>-</v>
      </c>
      <c r="K39" s="312"/>
      <c r="L39" s="314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87"/>
      <c r="X39" s="89"/>
      <c r="Y39" s="89"/>
      <c r="Z39" s="89"/>
      <c r="AA39" s="89"/>
      <c r="AB39" s="89"/>
      <c r="AC39" s="89"/>
    </row>
    <row r="40" spans="1:29" ht="16.5" customHeight="1" x14ac:dyDescent="0.3">
      <c r="A40" s="87"/>
      <c r="B40" s="307" t="s">
        <v>154</v>
      </c>
      <c r="C40" s="308" t="s">
        <v>11</v>
      </c>
      <c r="D40" s="309" t="s">
        <v>203</v>
      </c>
      <c r="E40" s="310">
        <v>25</v>
      </c>
      <c r="F40" s="311">
        <v>6228</v>
      </c>
      <c r="G40" s="311">
        <f>IFERROR(INDEX(MRP!$F$3:$F$150,MATCH(F40,MRP!$D$3:$D$150,0)),0)</f>
        <v>0</v>
      </c>
      <c r="H40" s="312">
        <f>SUMPRODUCT((Production_Log!$F$3:$F$1000=F40)*((LEFT(Production_Log!$B$3:$B$1000,5)="Print")+(LEFT(Production_Log!$B$3:$B$1000,5)="PLINE"))*(ISERROR(SEARCH("(Varnish)",Production_Log!$D$3:$D$1000)))*Production_Log!$H$3:$H$1000)</f>
        <v>0</v>
      </c>
      <c r="I40" s="311">
        <f t="shared" si="4"/>
        <v>0</v>
      </c>
      <c r="J40" s="313" t="str">
        <f t="shared" si="1"/>
        <v>-</v>
      </c>
      <c r="K40" s="312"/>
      <c r="L40" s="314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87"/>
      <c r="X40" s="89"/>
      <c r="Y40" s="89"/>
      <c r="Z40" s="89"/>
      <c r="AA40" s="89"/>
      <c r="AB40" s="89"/>
      <c r="AC40" s="89"/>
    </row>
    <row r="41" spans="1:29" ht="16.5" customHeight="1" x14ac:dyDescent="0.3">
      <c r="A41" s="87"/>
      <c r="B41" s="307" t="s">
        <v>154</v>
      </c>
      <c r="C41" s="308" t="s">
        <v>13</v>
      </c>
      <c r="D41" s="309" t="s">
        <v>204</v>
      </c>
      <c r="E41" s="310">
        <v>25</v>
      </c>
      <c r="F41" s="311">
        <v>5389</v>
      </c>
      <c r="G41" s="311">
        <f>IFERROR(INDEX(MRP!$F$3:$F$150,MATCH(F41,MRP!$D$3:$D$150,0)),0)</f>
        <v>0</v>
      </c>
      <c r="H41" s="312">
        <f>SUMPRODUCT((Production_Log!$F$3:$F$1000=F41)*((LEFT(Production_Log!$B$3:$B$1000,5)="Print")+(LEFT(Production_Log!$B$3:$B$1000,5)="PLINE"))*(ISERROR(SEARCH("(Varnish)",Production_Log!$D$3:$D$1000)))*Production_Log!$H$3:$H$1000)</f>
        <v>0</v>
      </c>
      <c r="I41" s="311">
        <f t="shared" si="4"/>
        <v>0</v>
      </c>
      <c r="J41" s="313" t="str">
        <f t="shared" si="1"/>
        <v>-</v>
      </c>
      <c r="K41" s="312"/>
      <c r="L41" s="314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87"/>
      <c r="X41" s="89"/>
      <c r="Y41" s="89"/>
      <c r="Z41" s="89"/>
      <c r="AA41" s="89"/>
      <c r="AB41" s="89"/>
      <c r="AC41" s="89"/>
    </row>
    <row r="42" spans="1:29" ht="16.5" customHeight="1" x14ac:dyDescent="0.3">
      <c r="A42" s="87"/>
      <c r="B42" s="307" t="s">
        <v>154</v>
      </c>
      <c r="C42" s="308" t="s">
        <v>13</v>
      </c>
      <c r="D42" s="309" t="s">
        <v>205</v>
      </c>
      <c r="E42" s="310">
        <v>25</v>
      </c>
      <c r="F42" s="311">
        <v>3447</v>
      </c>
      <c r="G42" s="311">
        <f>IFERROR(INDEX(MRP!$F$3:$F$150,MATCH(F42,MRP!$D$3:$D$150,0)),0)</f>
        <v>0</v>
      </c>
      <c r="H42" s="312">
        <f>SUMPRODUCT((Production_Log!$F$3:$F$1000=F42)*((LEFT(Production_Log!$B$3:$B$1000,5)="Print")+(LEFT(Production_Log!$B$3:$B$1000,5)="PLINE"))*(ISERROR(SEARCH("(Varnish)",Production_Log!$D$3:$D$1000)))*Production_Log!$H$3:$H$1000)</f>
        <v>0</v>
      </c>
      <c r="I42" s="311">
        <f t="shared" si="4"/>
        <v>0</v>
      </c>
      <c r="J42" s="313" t="str">
        <f t="shared" si="1"/>
        <v>-</v>
      </c>
      <c r="K42" s="312"/>
      <c r="L42" s="314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87"/>
      <c r="X42" s="89"/>
      <c r="Y42" s="89"/>
      <c r="Z42" s="89"/>
      <c r="AA42" s="89"/>
      <c r="AB42" s="89"/>
      <c r="AC42" s="89"/>
    </row>
    <row r="43" spans="1:29" ht="16.5" customHeight="1" x14ac:dyDescent="0.3">
      <c r="A43" s="87"/>
      <c r="B43" s="307" t="s">
        <v>154</v>
      </c>
      <c r="C43" s="308" t="s">
        <v>13</v>
      </c>
      <c r="D43" s="309" t="s">
        <v>206</v>
      </c>
      <c r="E43" s="310">
        <v>25</v>
      </c>
      <c r="F43" s="311">
        <v>3726</v>
      </c>
      <c r="G43" s="311">
        <f>IFERROR(INDEX(MRP!$F$3:$F$150,MATCH(F43,MRP!$D$3:$D$150,0)),0)</f>
        <v>0</v>
      </c>
      <c r="H43" s="312">
        <f>SUMPRODUCT((Production_Log!$F$3:$F$1000=F43)*((LEFT(Production_Log!$B$3:$B$1000,5)="Print")+(LEFT(Production_Log!$B$3:$B$1000,5)="PLINE"))*(ISERROR(SEARCH("(Varnish)",Production_Log!$D$3:$D$1000)))*Production_Log!$H$3:$H$1000)</f>
        <v>0</v>
      </c>
      <c r="I43" s="311">
        <f t="shared" si="4"/>
        <v>0</v>
      </c>
      <c r="J43" s="313" t="str">
        <f t="shared" ref="J43:J68" si="5">IF(G43=0,"-",H43/G43)</f>
        <v>-</v>
      </c>
      <c r="K43" s="312"/>
      <c r="L43" s="314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87"/>
      <c r="X43" s="89"/>
      <c r="Y43" s="89"/>
      <c r="Z43" s="89"/>
      <c r="AA43" s="89"/>
      <c r="AB43" s="89"/>
      <c r="AC43" s="89"/>
    </row>
    <row r="44" spans="1:29" ht="16.5" customHeight="1" x14ac:dyDescent="0.3">
      <c r="A44" s="87"/>
      <c r="B44" s="307" t="s">
        <v>154</v>
      </c>
      <c r="C44" s="308" t="s">
        <v>13</v>
      </c>
      <c r="D44" s="309" t="s">
        <v>207</v>
      </c>
      <c r="E44" s="310">
        <v>25</v>
      </c>
      <c r="F44" s="311">
        <v>6532</v>
      </c>
      <c r="G44" s="311">
        <f>IFERROR(INDEX(MRP!$F$3:$F$150,MATCH(F44,MRP!$D$3:$D$150,0)),0)</f>
        <v>0</v>
      </c>
      <c r="H44" s="312">
        <f>SUMPRODUCT((Production_Log!$F$3:$F$1000=F44)*((LEFT(Production_Log!$B$3:$B$1000,5)="Print")+(LEFT(Production_Log!$B$3:$B$1000,5)="PLINE"))*(ISERROR(SEARCH("(Varnish)",Production_Log!$D$3:$D$1000)))*Production_Log!$H$3:$H$1000)</f>
        <v>0</v>
      </c>
      <c r="I44" s="311">
        <f t="shared" si="4"/>
        <v>0</v>
      </c>
      <c r="J44" s="313" t="str">
        <f t="shared" si="5"/>
        <v>-</v>
      </c>
      <c r="K44" s="312"/>
      <c r="L44" s="314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87"/>
      <c r="X44" s="89"/>
      <c r="Y44" s="89"/>
      <c r="Z44" s="89"/>
      <c r="AA44" s="89"/>
      <c r="AB44" s="89"/>
      <c r="AC44" s="89"/>
    </row>
    <row r="45" spans="1:29" ht="16.5" customHeight="1" x14ac:dyDescent="0.3">
      <c r="A45" s="87"/>
      <c r="B45" s="307" t="s">
        <v>154</v>
      </c>
      <c r="C45" s="308" t="s">
        <v>13</v>
      </c>
      <c r="D45" s="309" t="s">
        <v>208</v>
      </c>
      <c r="E45" s="310">
        <v>25</v>
      </c>
      <c r="F45" s="311">
        <v>6506</v>
      </c>
      <c r="G45" s="311">
        <f>IFERROR(INDEX(MRP!$F$3:$F$150,MATCH(F45,MRP!$D$3:$D$150,0)),0)</f>
        <v>0</v>
      </c>
      <c r="H45" s="312">
        <f>SUMPRODUCT((Production_Log!$F$3:$F$1000=F45)*((LEFT(Production_Log!$B$3:$B$1000,5)="Print")+(LEFT(Production_Log!$B$3:$B$1000,5)="PLINE"))*(ISERROR(SEARCH("(Varnish)",Production_Log!$D$3:$D$1000)))*Production_Log!$H$3:$H$1000)</f>
        <v>0</v>
      </c>
      <c r="I45" s="311">
        <f t="shared" si="4"/>
        <v>0</v>
      </c>
      <c r="J45" s="313" t="str">
        <f t="shared" si="5"/>
        <v>-</v>
      </c>
      <c r="K45" s="312"/>
      <c r="L45" s="314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87"/>
      <c r="X45" s="89"/>
      <c r="Y45" s="89"/>
      <c r="Z45" s="89"/>
      <c r="AA45" s="89"/>
      <c r="AB45" s="89"/>
      <c r="AC45" s="89"/>
    </row>
    <row r="46" spans="1:29" ht="16.5" customHeight="1" x14ac:dyDescent="0.3">
      <c r="A46" s="87"/>
      <c r="B46" s="307" t="s">
        <v>154</v>
      </c>
      <c r="C46" s="308" t="s">
        <v>13</v>
      </c>
      <c r="D46" s="309" t="s">
        <v>209</v>
      </c>
      <c r="E46" s="310">
        <v>25</v>
      </c>
      <c r="F46" s="311">
        <v>9006</v>
      </c>
      <c r="G46" s="311">
        <f>IFERROR(INDEX(MRP!$F$3:$F$150,MATCH(F46,MRP!$D$3:$D$150,0)),0)</f>
        <v>0</v>
      </c>
      <c r="H46" s="312">
        <f>SUMPRODUCT((Production_Log!$F$3:$F$1000=F46)*((LEFT(Production_Log!$B$3:$B$1000,5)="Print")+(LEFT(Production_Log!$B$3:$B$1000,5)="PLINE"))*(ISERROR(SEARCH("(Varnish)",Production_Log!$D$3:$D$1000)))*Production_Log!$H$3:$H$1000)</f>
        <v>0</v>
      </c>
      <c r="I46" s="311">
        <f t="shared" si="4"/>
        <v>0</v>
      </c>
      <c r="J46" s="313" t="str">
        <f t="shared" si="5"/>
        <v>-</v>
      </c>
      <c r="K46" s="312"/>
      <c r="L46" s="314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87"/>
      <c r="X46" s="89"/>
      <c r="Y46" s="89"/>
      <c r="Z46" s="89"/>
      <c r="AA46" s="89"/>
      <c r="AB46" s="89"/>
      <c r="AC46" s="89"/>
    </row>
    <row r="47" spans="1:29" ht="16.5" customHeight="1" x14ac:dyDescent="0.3">
      <c r="A47" s="87"/>
      <c r="B47" s="307" t="s">
        <v>154</v>
      </c>
      <c r="C47" s="308" t="s">
        <v>210</v>
      </c>
      <c r="D47" s="309" t="s">
        <v>211</v>
      </c>
      <c r="E47" s="310">
        <v>25</v>
      </c>
      <c r="F47" s="311">
        <v>6338</v>
      </c>
      <c r="G47" s="311">
        <f>IFERROR(INDEX(MRP!$F$3:$F$150,MATCH(F47,MRP!$D$3:$D$150,0)),0)</f>
        <v>0</v>
      </c>
      <c r="H47" s="312">
        <f>SUMPRODUCT((Production_Log!$F$3:$F$1000=F47)*((LEFT(Production_Log!$B$3:$B$1000,5)="Print")+(LEFT(Production_Log!$B$3:$B$1000,5)="PLINE"))*(ISERROR(SEARCH("(Varnish)",Production_Log!$D$3:$D$1000)))*Production_Log!$H$3:$H$1000)</f>
        <v>0</v>
      </c>
      <c r="I47" s="311">
        <f t="shared" si="4"/>
        <v>0</v>
      </c>
      <c r="J47" s="313" t="str">
        <f t="shared" si="5"/>
        <v>-</v>
      </c>
      <c r="K47" s="312"/>
      <c r="L47" s="314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87"/>
      <c r="X47" s="89"/>
      <c r="Y47" s="89"/>
      <c r="Z47" s="89"/>
      <c r="AA47" s="89"/>
      <c r="AB47" s="89"/>
      <c r="AC47" s="89"/>
    </row>
    <row r="48" spans="1:29" ht="16.5" customHeight="1" x14ac:dyDescent="0.3">
      <c r="A48" s="87"/>
      <c r="B48" s="307" t="s">
        <v>154</v>
      </c>
      <c r="C48" s="308" t="s">
        <v>212</v>
      </c>
      <c r="D48" s="309" t="s">
        <v>213</v>
      </c>
      <c r="E48" s="310">
        <v>25</v>
      </c>
      <c r="F48" s="311">
        <v>4227</v>
      </c>
      <c r="G48" s="311">
        <f>IFERROR(INDEX(MRP!$F$3:$F$150,MATCH(F48,MRP!$D$3:$D$150,0)),0)</f>
        <v>0</v>
      </c>
      <c r="H48" s="312">
        <f>SUMPRODUCT((Production_Log!$F$3:$F$1000=F48)*((LEFT(Production_Log!$B$3:$B$1000,5)="Print")+(LEFT(Production_Log!$B$3:$B$1000,5)="PLINE"))*(ISERROR(SEARCH("(Varnish)",Production_Log!$D$3:$D$1000)))*Production_Log!$H$3:$H$1000)</f>
        <v>0</v>
      </c>
      <c r="I48" s="311">
        <f t="shared" si="4"/>
        <v>0</v>
      </c>
      <c r="J48" s="313" t="str">
        <f t="shared" si="5"/>
        <v>-</v>
      </c>
      <c r="K48" s="312"/>
      <c r="L48" s="314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87"/>
      <c r="X48" s="89"/>
      <c r="Y48" s="89"/>
      <c r="Z48" s="89"/>
      <c r="AA48" s="89"/>
      <c r="AB48" s="89"/>
      <c r="AC48" s="89"/>
    </row>
    <row r="49" spans="1:29" ht="16.5" customHeight="1" x14ac:dyDescent="0.3">
      <c r="A49" s="87"/>
      <c r="B49" s="307" t="s">
        <v>154</v>
      </c>
      <c r="C49" s="308" t="s">
        <v>214</v>
      </c>
      <c r="D49" s="309" t="s">
        <v>215</v>
      </c>
      <c r="E49" s="310">
        <v>30</v>
      </c>
      <c r="F49" s="311">
        <v>6595</v>
      </c>
      <c r="G49" s="311">
        <f>IFERROR(INDEX(MRP!$F$3:$F$150,MATCH(F49,MRP!$D$3:$D$150,0)),0)</f>
        <v>0</v>
      </c>
      <c r="H49" s="312">
        <f>SUMPRODUCT((Production_Log!$F$3:$F$1000=F49)*((LEFT(Production_Log!$B$3:$B$1000,5)="Print")+(LEFT(Production_Log!$B$3:$B$1000,5)="PLINE"))*(ISERROR(SEARCH("(Varnish)",Production_Log!$D$3:$D$1000)))*Production_Log!$H$3:$H$1000)</f>
        <v>0</v>
      </c>
      <c r="I49" s="311">
        <f t="shared" si="4"/>
        <v>0</v>
      </c>
      <c r="J49" s="313" t="str">
        <f t="shared" si="5"/>
        <v>-</v>
      </c>
      <c r="K49" s="312"/>
      <c r="L49" s="314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87"/>
      <c r="X49" s="89"/>
      <c r="Y49" s="89"/>
      <c r="Z49" s="89"/>
      <c r="AA49" s="89"/>
      <c r="AB49" s="89"/>
      <c r="AC49" s="89"/>
    </row>
    <row r="50" spans="1:29" ht="16.5" customHeight="1" x14ac:dyDescent="0.3">
      <c r="A50" s="87"/>
      <c r="B50" s="307" t="s">
        <v>154</v>
      </c>
      <c r="C50" s="308" t="s">
        <v>216</v>
      </c>
      <c r="D50" s="309" t="s">
        <v>217</v>
      </c>
      <c r="E50" s="310">
        <v>30</v>
      </c>
      <c r="F50" s="311">
        <v>4050</v>
      </c>
      <c r="G50" s="311">
        <f>IFERROR(INDEX(MRP!$F$3:$F$150,MATCH(F50,MRP!$D$3:$D$150,0)),0)</f>
        <v>0</v>
      </c>
      <c r="H50" s="312">
        <f>SUMPRODUCT((Production_Log!$F$3:$F$1000=F50)*((LEFT(Production_Log!$B$3:$B$1000,5)="Print")+(LEFT(Production_Log!$B$3:$B$1000,5)="PLINE"))*(ISERROR(SEARCH("(Varnish)",Production_Log!$D$3:$D$1000)))*Production_Log!$H$3:$H$1000)</f>
        <v>0</v>
      </c>
      <c r="I50" s="311">
        <f t="shared" si="4"/>
        <v>0</v>
      </c>
      <c r="J50" s="313" t="str">
        <f t="shared" si="5"/>
        <v>-</v>
      </c>
      <c r="K50" s="312"/>
      <c r="L50" s="314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87"/>
      <c r="X50" s="89"/>
      <c r="Y50" s="89"/>
      <c r="Z50" s="89"/>
      <c r="AA50" s="89"/>
      <c r="AB50" s="89"/>
      <c r="AC50" s="89"/>
    </row>
    <row r="51" spans="1:29" ht="16.5" customHeight="1" x14ac:dyDescent="0.3">
      <c r="A51" s="87"/>
      <c r="B51" s="307" t="s">
        <v>154</v>
      </c>
      <c r="C51" s="308" t="s">
        <v>216</v>
      </c>
      <c r="D51" s="309" t="s">
        <v>218</v>
      </c>
      <c r="E51" s="310">
        <v>30</v>
      </c>
      <c r="F51" s="311">
        <v>6312</v>
      </c>
      <c r="G51" s="311">
        <f>IFERROR(INDEX(MRP!$F$3:$F$150,MATCH(F51,MRP!$D$3:$D$150,0)),0)</f>
        <v>0</v>
      </c>
      <c r="H51" s="312">
        <f>SUMPRODUCT((Production_Log!$F$3:$F$1000=F51)*((LEFT(Production_Log!$B$3:$B$1000,5)="Print")+(LEFT(Production_Log!$B$3:$B$1000,5)="PLINE"))*(ISERROR(SEARCH("(Varnish)",Production_Log!$D$3:$D$1000)))*Production_Log!$H$3:$H$1000)</f>
        <v>0</v>
      </c>
      <c r="I51" s="311">
        <f t="shared" si="4"/>
        <v>0</v>
      </c>
      <c r="J51" s="313" t="str">
        <f t="shared" si="5"/>
        <v>-</v>
      </c>
      <c r="K51" s="312"/>
      <c r="L51" s="314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87"/>
      <c r="X51" s="89"/>
      <c r="Y51" s="89"/>
      <c r="Z51" s="89"/>
      <c r="AA51" s="89"/>
      <c r="AB51" s="89"/>
      <c r="AC51" s="89"/>
    </row>
    <row r="52" spans="1:29" ht="16.5" customHeight="1" x14ac:dyDescent="0.3">
      <c r="A52" s="87"/>
      <c r="B52" s="307" t="s">
        <v>154</v>
      </c>
      <c r="C52" s="308" t="s">
        <v>219</v>
      </c>
      <c r="D52" s="309" t="s">
        <v>220</v>
      </c>
      <c r="E52" s="310">
        <v>30</v>
      </c>
      <c r="F52" s="311">
        <v>6416</v>
      </c>
      <c r="G52" s="311">
        <f>IFERROR(INDEX(MRP!$F$3:$F$150,MATCH(F52,MRP!$D$3:$D$150,0)),0)</f>
        <v>0</v>
      </c>
      <c r="H52" s="312">
        <f>SUMPRODUCT((Production_Log!$F$3:$F$1000=F52)*((LEFT(Production_Log!$B$3:$B$1000,5)="Print")+(LEFT(Production_Log!$B$3:$B$1000,5)="PLINE"))*(ISERROR(SEARCH("(Varnish)",Production_Log!$D$3:$D$1000)))*Production_Log!$H$3:$H$1000)</f>
        <v>0</v>
      </c>
      <c r="I52" s="311">
        <f t="shared" si="4"/>
        <v>0</v>
      </c>
      <c r="J52" s="313" t="str">
        <f t="shared" si="5"/>
        <v>-</v>
      </c>
      <c r="K52" s="312"/>
      <c r="L52" s="314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87"/>
      <c r="X52" s="89"/>
      <c r="Y52" s="89"/>
      <c r="Z52" s="89"/>
      <c r="AA52" s="89"/>
      <c r="AB52" s="89"/>
      <c r="AC52" s="89"/>
    </row>
    <row r="53" spans="1:29" ht="16.5" customHeight="1" x14ac:dyDescent="0.3">
      <c r="A53" s="87"/>
      <c r="B53" s="307" t="s">
        <v>154</v>
      </c>
      <c r="C53" s="308" t="s">
        <v>219</v>
      </c>
      <c r="D53" s="309" t="s">
        <v>221</v>
      </c>
      <c r="E53" s="310">
        <v>30</v>
      </c>
      <c r="F53" s="311">
        <v>6337</v>
      </c>
      <c r="G53" s="311">
        <f>IFERROR(INDEX(MRP!$F$3:$F$150,MATCH(F53,MRP!$D$3:$D$150,0)),0)</f>
        <v>0</v>
      </c>
      <c r="H53" s="312">
        <f>SUMPRODUCT((Production_Log!$F$3:$F$1000=F53)*((LEFT(Production_Log!$B$3:$B$1000,5)="Print")+(LEFT(Production_Log!$B$3:$B$1000,5)="PLINE"))*(ISERROR(SEARCH("(Varnish)",Production_Log!$D$3:$D$1000)))*Production_Log!$H$3:$H$1000)</f>
        <v>0</v>
      </c>
      <c r="I53" s="311">
        <f t="shared" si="4"/>
        <v>0</v>
      </c>
      <c r="J53" s="313" t="str">
        <f t="shared" si="5"/>
        <v>-</v>
      </c>
      <c r="K53" s="312"/>
      <c r="L53" s="314"/>
      <c r="M53" s="316"/>
      <c r="N53" s="316"/>
      <c r="O53" s="316"/>
      <c r="P53" s="296"/>
      <c r="Q53" s="296"/>
      <c r="R53" s="296"/>
      <c r="S53" s="316"/>
      <c r="T53" s="303"/>
      <c r="U53" s="316"/>
      <c r="V53" s="297"/>
      <c r="W53" s="89"/>
      <c r="X53" s="89"/>
      <c r="Y53" s="89"/>
      <c r="Z53" s="89"/>
      <c r="AA53" s="89"/>
      <c r="AB53" s="89"/>
      <c r="AC53" s="89"/>
    </row>
    <row r="54" spans="1:29" ht="16.5" customHeight="1" x14ac:dyDescent="0.3">
      <c r="A54" s="87"/>
      <c r="B54" s="307" t="s">
        <v>154</v>
      </c>
      <c r="C54" s="308" t="s">
        <v>11</v>
      </c>
      <c r="D54" s="309" t="s">
        <v>222</v>
      </c>
      <c r="E54" s="310">
        <v>30</v>
      </c>
      <c r="F54" s="311">
        <v>9002</v>
      </c>
      <c r="G54" s="311">
        <f>IFERROR(INDEX(MRP!$F$3:$F$150,MATCH(F54,MRP!$D$3:$D$150,0)),0)</f>
        <v>0</v>
      </c>
      <c r="H54" s="312">
        <f>SUMPRODUCT((Production_Log!$F$3:$F$1000=F54)*((LEFT(Production_Log!$B$3:$B$1000,5)="Print")+(LEFT(Production_Log!$B$3:$B$1000,5)="PLINE"))*(ISERROR(SEARCH("(Varnish)",Production_Log!$D$3:$D$1000)))*Production_Log!$H$3:$H$1000)</f>
        <v>0</v>
      </c>
      <c r="I54" s="311">
        <f t="shared" si="4"/>
        <v>0</v>
      </c>
      <c r="J54" s="313" t="str">
        <f t="shared" si="5"/>
        <v>-</v>
      </c>
      <c r="K54" s="312"/>
      <c r="L54" s="314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87"/>
      <c r="X54" s="89"/>
      <c r="Y54" s="89"/>
      <c r="Z54" s="89"/>
      <c r="AA54" s="89"/>
      <c r="AB54" s="89"/>
      <c r="AC54" s="89"/>
    </row>
    <row r="55" spans="1:29" ht="16.5" customHeight="1" x14ac:dyDescent="0.3">
      <c r="A55" s="87"/>
      <c r="B55" s="307" t="s">
        <v>154</v>
      </c>
      <c r="C55" s="308" t="s">
        <v>216</v>
      </c>
      <c r="D55" s="309" t="s">
        <v>223</v>
      </c>
      <c r="E55" s="310">
        <v>30</v>
      </c>
      <c r="F55" s="311">
        <v>2909</v>
      </c>
      <c r="G55" s="311">
        <f>IFERROR(INDEX(MRP!$F$3:$F$150,MATCH(F55,MRP!$D$3:$D$150,0)),0)</f>
        <v>0</v>
      </c>
      <c r="H55" s="312">
        <f>SUMPRODUCT((Production_Log!$F$3:$F$1000=F55)*((LEFT(Production_Log!$B$3:$B$1000,5)="Print")+(LEFT(Production_Log!$B$3:$B$1000,5)="PLINE"))*(ISERROR(SEARCH("(Varnish)",Production_Log!$D$3:$D$1000)))*Production_Log!$H$3:$H$1000)</f>
        <v>0</v>
      </c>
      <c r="I55" s="311">
        <f t="shared" si="4"/>
        <v>0</v>
      </c>
      <c r="J55" s="313" t="str">
        <f t="shared" si="5"/>
        <v>-</v>
      </c>
      <c r="K55" s="312"/>
      <c r="L55" s="314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87"/>
      <c r="X55" s="89"/>
      <c r="Y55" s="89"/>
      <c r="Z55" s="89"/>
      <c r="AA55" s="89"/>
      <c r="AB55" s="89"/>
      <c r="AC55" s="89"/>
    </row>
    <row r="56" spans="1:29" ht="16.5" customHeight="1" x14ac:dyDescent="0.3">
      <c r="A56" s="87"/>
      <c r="B56" s="307" t="s">
        <v>154</v>
      </c>
      <c r="C56" s="308" t="s">
        <v>224</v>
      </c>
      <c r="D56" s="309" t="s">
        <v>225</v>
      </c>
      <c r="E56" s="310">
        <v>30</v>
      </c>
      <c r="F56" s="311">
        <v>6151</v>
      </c>
      <c r="G56" s="311">
        <f>IFERROR(INDEX(MRP!$F$3:$F$150,MATCH(F56,MRP!$D$3:$D$150,0)),0)</f>
        <v>0</v>
      </c>
      <c r="H56" s="312">
        <f>SUMPRODUCT((Production_Log!$F$3:$F$1000=F56)*((LEFT(Production_Log!$B$3:$B$1000,5)="Print")+(LEFT(Production_Log!$B$3:$B$1000,5)="PLINE"))*(ISERROR(SEARCH("(Varnish)",Production_Log!$D$3:$D$1000)))*Production_Log!$H$3:$H$1000)</f>
        <v>0</v>
      </c>
      <c r="I56" s="311">
        <f t="shared" si="4"/>
        <v>0</v>
      </c>
      <c r="J56" s="313" t="str">
        <f t="shared" si="5"/>
        <v>-</v>
      </c>
      <c r="K56" s="312"/>
      <c r="L56" s="314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87"/>
      <c r="X56" s="89"/>
      <c r="Y56" s="89"/>
      <c r="Z56" s="89"/>
      <c r="AA56" s="89"/>
      <c r="AB56" s="89"/>
      <c r="AC56" s="89"/>
    </row>
    <row r="57" spans="1:29" ht="16.5" customHeight="1" x14ac:dyDescent="0.3">
      <c r="A57" s="87"/>
      <c r="B57" s="307" t="s">
        <v>154</v>
      </c>
      <c r="C57" s="308" t="s">
        <v>226</v>
      </c>
      <c r="D57" s="309" t="s">
        <v>227</v>
      </c>
      <c r="E57" s="310">
        <v>32</v>
      </c>
      <c r="F57" s="311">
        <v>5782</v>
      </c>
      <c r="G57" s="311">
        <f>IFERROR(INDEX(MRP!$F$3:$F$150,MATCH(F57,MRP!$D$3:$D$150,0)),0)</f>
        <v>0</v>
      </c>
      <c r="H57" s="312">
        <f>SUMPRODUCT((Production_Log!$F$3:$F$1000=F57)*((LEFT(Production_Log!$B$3:$B$1000,5)="Print")+(LEFT(Production_Log!$B$3:$B$1000,5)="PLINE"))*(ISERROR(SEARCH("(Varnish)",Production_Log!$D$3:$D$1000)))*Production_Log!$H$3:$H$1000)</f>
        <v>0</v>
      </c>
      <c r="I57" s="311">
        <f t="shared" si="4"/>
        <v>0</v>
      </c>
      <c r="J57" s="313" t="str">
        <f t="shared" si="5"/>
        <v>-</v>
      </c>
      <c r="K57" s="312"/>
      <c r="L57" s="314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87"/>
      <c r="X57" s="89"/>
      <c r="Y57" s="89"/>
      <c r="Z57" s="89"/>
      <c r="AA57" s="89"/>
      <c r="AB57" s="89"/>
      <c r="AC57" s="89"/>
    </row>
    <row r="58" spans="1:29" ht="16.5" customHeight="1" x14ac:dyDescent="0.3">
      <c r="A58" s="87"/>
      <c r="B58" s="307" t="s">
        <v>154</v>
      </c>
      <c r="C58" s="308" t="s">
        <v>182</v>
      </c>
      <c r="D58" s="309" t="s">
        <v>228</v>
      </c>
      <c r="E58" s="310">
        <v>35</v>
      </c>
      <c r="F58" s="311">
        <v>6020</v>
      </c>
      <c r="G58" s="311">
        <f>IFERROR(INDEX(MRP!$F$3:$F$150,MATCH(F58,MRP!$D$3:$D$150,0)),0)</f>
        <v>0</v>
      </c>
      <c r="H58" s="312">
        <f>SUMPRODUCT((Production_Log!$F$3:$F$1000=F58)*((LEFT(Production_Log!$B$3:$B$1000,5)="Print")+(LEFT(Production_Log!$B$3:$B$1000,5)="PLINE"))*(ISERROR(SEARCH("(Varnish)",Production_Log!$D$3:$D$1000)))*Production_Log!$H$3:$H$1000)</f>
        <v>0</v>
      </c>
      <c r="I58" s="311">
        <f t="shared" si="4"/>
        <v>0</v>
      </c>
      <c r="J58" s="313" t="str">
        <f t="shared" si="5"/>
        <v>-</v>
      </c>
      <c r="K58" s="312"/>
      <c r="L58" s="314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87"/>
      <c r="X58" s="89"/>
      <c r="Y58" s="89"/>
      <c r="Z58" s="89"/>
      <c r="AA58" s="89"/>
      <c r="AB58" s="89"/>
      <c r="AC58" s="89"/>
    </row>
    <row r="59" spans="1:29" x14ac:dyDescent="0.3">
      <c r="B59" s="307" t="s">
        <v>154</v>
      </c>
      <c r="C59" s="308" t="s">
        <v>182</v>
      </c>
      <c r="D59" s="309" t="s">
        <v>229</v>
      </c>
      <c r="E59" s="310">
        <v>35</v>
      </c>
      <c r="F59" s="311">
        <v>6021</v>
      </c>
      <c r="G59" s="311">
        <f>IFERROR(INDEX(MRP!$F$3:$F$150,MATCH(F59,MRP!$D$3:$D$150,0)),0)</f>
        <v>0</v>
      </c>
      <c r="H59" s="312">
        <f>SUMPRODUCT((Production_Log!$F$3:$F$1000=F59)*((LEFT(Production_Log!$B$3:$B$1000,5)="Print")+(LEFT(Production_Log!$B$3:$B$1000,5)="PLINE"))*(ISERROR(SEARCH("(Varnish)",Production_Log!$D$3:$D$1000)))*Production_Log!$H$3:$H$1000)</f>
        <v>0</v>
      </c>
      <c r="I59" s="311">
        <f t="shared" si="4"/>
        <v>0</v>
      </c>
      <c r="J59" s="313" t="str">
        <f t="shared" si="5"/>
        <v>-</v>
      </c>
      <c r="K59" s="312"/>
      <c r="L59" s="314"/>
      <c r="M59" s="316"/>
      <c r="N59" s="316"/>
      <c r="O59" s="316"/>
      <c r="P59" s="316"/>
      <c r="Q59" s="316"/>
      <c r="R59" s="316"/>
      <c r="S59" s="316"/>
      <c r="T59" s="316"/>
      <c r="U59" s="316"/>
      <c r="V59" s="316"/>
    </row>
    <row r="60" spans="1:29" x14ac:dyDescent="0.3">
      <c r="B60" s="307" t="s">
        <v>161</v>
      </c>
      <c r="C60" s="308" t="s">
        <v>13</v>
      </c>
      <c r="D60" s="309" t="s">
        <v>230</v>
      </c>
      <c r="E60" s="310" t="s">
        <v>187</v>
      </c>
      <c r="F60" s="311">
        <v>8011</v>
      </c>
      <c r="G60" s="311">
        <f>IFERROR(INDEX(MRP!$F$3:$F$150,MATCH(F60,MRP!$D$3:$D$150,0)),0)</f>
        <v>0</v>
      </c>
      <c r="H60" s="312">
        <f>SUMPRODUCT((Production_Log!$F$3:$F$1000=F60)*Production_Log!$H$3:$H$1000)</f>
        <v>0</v>
      </c>
      <c r="I60" s="311">
        <f t="shared" si="4"/>
        <v>0</v>
      </c>
      <c r="J60" s="313" t="str">
        <f t="shared" si="5"/>
        <v>-</v>
      </c>
      <c r="K60" s="312"/>
      <c r="L60" s="314"/>
      <c r="M60" s="316"/>
      <c r="N60" s="316"/>
      <c r="O60" s="316"/>
      <c r="P60" s="316"/>
      <c r="Q60" s="316"/>
      <c r="R60" s="316"/>
      <c r="S60" s="316"/>
      <c r="T60" s="316"/>
      <c r="U60" s="316"/>
      <c r="V60" s="316"/>
    </row>
    <row r="61" spans="1:29" x14ac:dyDescent="0.3">
      <c r="B61" s="307" t="s">
        <v>161</v>
      </c>
      <c r="C61" s="308" t="s">
        <v>13</v>
      </c>
      <c r="D61" s="309" t="s">
        <v>231</v>
      </c>
      <c r="E61" s="310" t="s">
        <v>187</v>
      </c>
      <c r="F61" s="311">
        <v>8012</v>
      </c>
      <c r="G61" s="311">
        <f>IFERROR(INDEX(MRP!$F$3:$F$150,MATCH(F61,MRP!$D$3:$D$150,0)),0)</f>
        <v>0</v>
      </c>
      <c r="H61" s="312">
        <f>SUMPRODUCT((Production_Log!$F$3:$F$1000=F61)*Production_Log!$H$3:$H$1000)</f>
        <v>0</v>
      </c>
      <c r="I61" s="311">
        <f t="shared" si="4"/>
        <v>0</v>
      </c>
      <c r="J61" s="313" t="str">
        <f t="shared" si="5"/>
        <v>-</v>
      </c>
      <c r="K61" s="312"/>
      <c r="L61" s="314"/>
    </row>
    <row r="62" spans="1:29" x14ac:dyDescent="0.3">
      <c r="B62" s="307" t="s">
        <v>161</v>
      </c>
      <c r="C62" s="308" t="s">
        <v>232</v>
      </c>
      <c r="D62" s="309" t="s">
        <v>144</v>
      </c>
      <c r="E62" s="310" t="s">
        <v>143</v>
      </c>
      <c r="F62" s="311">
        <v>8017</v>
      </c>
      <c r="G62" s="311">
        <f>IFERROR(INDEX(MRP!$F$3:$F$150,MATCH(F62,MRP!$D$3:$D$150,0)),0)</f>
        <v>0</v>
      </c>
      <c r="H62" s="312">
        <f>SUMPRODUCT((Production_Log!$F$3:$F$1000=F62)*Production_Log!$H$3:$H$1000)</f>
        <v>0</v>
      </c>
      <c r="I62" s="311">
        <f t="shared" si="4"/>
        <v>0</v>
      </c>
      <c r="J62" s="313" t="str">
        <f t="shared" si="5"/>
        <v>-</v>
      </c>
      <c r="K62" s="312"/>
      <c r="L62" s="314"/>
    </row>
    <row r="63" spans="1:29" ht="16.5" customHeight="1" x14ac:dyDescent="0.3">
      <c r="A63" s="87"/>
      <c r="B63" s="307" t="s">
        <v>161</v>
      </c>
      <c r="C63" s="308" t="s">
        <v>13</v>
      </c>
      <c r="D63" s="309" t="s">
        <v>233</v>
      </c>
      <c r="E63" s="310" t="s">
        <v>146</v>
      </c>
      <c r="F63" s="311">
        <v>8007</v>
      </c>
      <c r="G63" s="311">
        <f>IFERROR(INDEX(MRP!$F$3:$F$150,MATCH(F63,MRP!$D$3:$D$150,0)),0)</f>
        <v>0</v>
      </c>
      <c r="H63" s="312">
        <f>SUMPRODUCT((Production_Log!$F$3:$F$1000=F63)*Production_Log!$H$3:$H$1000)</f>
        <v>0</v>
      </c>
      <c r="I63" s="311">
        <f t="shared" si="4"/>
        <v>0</v>
      </c>
      <c r="J63" s="313" t="str">
        <f t="shared" si="5"/>
        <v>-</v>
      </c>
      <c r="K63" s="312"/>
      <c r="L63" s="314"/>
      <c r="M63" s="87"/>
      <c r="N63" s="87"/>
      <c r="O63" s="87"/>
      <c r="P63" s="87"/>
      <c r="Q63" s="87"/>
      <c r="R63" s="89"/>
      <c r="T63" s="103"/>
      <c r="V63" s="89"/>
      <c r="W63" s="89"/>
      <c r="X63" s="89"/>
      <c r="Y63" s="89"/>
      <c r="Z63" s="89"/>
      <c r="AA63" s="89"/>
      <c r="AB63" s="89"/>
      <c r="AC63" s="89"/>
    </row>
    <row r="64" spans="1:29" ht="16.5" customHeight="1" x14ac:dyDescent="0.3">
      <c r="A64" s="87"/>
      <c r="B64" s="307" t="s">
        <v>161</v>
      </c>
      <c r="C64" s="308" t="s">
        <v>13</v>
      </c>
      <c r="D64" s="309" t="s">
        <v>234</v>
      </c>
      <c r="E64" s="310" t="s">
        <v>146</v>
      </c>
      <c r="F64" s="311">
        <v>8014</v>
      </c>
      <c r="G64" s="311">
        <f>IFERROR(INDEX(MRP!$F$3:$F$150,MATCH(F64,MRP!$D$3:$D$150,0)),0)</f>
        <v>0</v>
      </c>
      <c r="H64" s="312">
        <f>SUMPRODUCT((Production_Log!$F$3:$F$1000=F64)*Production_Log!$H$3:$H$1000)</f>
        <v>0</v>
      </c>
      <c r="I64" s="311">
        <f t="shared" si="4"/>
        <v>0</v>
      </c>
      <c r="J64" s="313" t="str">
        <f t="shared" si="5"/>
        <v>-</v>
      </c>
      <c r="K64" s="312"/>
      <c r="L64" s="314"/>
      <c r="M64" s="87"/>
      <c r="N64" s="87"/>
      <c r="O64" s="87"/>
      <c r="P64" s="87"/>
      <c r="Q64" s="87"/>
      <c r="R64" s="89"/>
      <c r="T64" s="103"/>
      <c r="V64" s="89"/>
      <c r="W64" s="89"/>
      <c r="X64" s="89"/>
      <c r="Y64" s="89"/>
      <c r="Z64" s="89"/>
      <c r="AA64" s="89"/>
      <c r="AB64" s="89"/>
      <c r="AC64" s="89"/>
    </row>
    <row r="65" spans="2:12" x14ac:dyDescent="0.3">
      <c r="B65" s="307" t="s">
        <v>161</v>
      </c>
      <c r="C65" s="308" t="s">
        <v>13</v>
      </c>
      <c r="D65" s="309" t="s">
        <v>235</v>
      </c>
      <c r="E65" s="310" t="s">
        <v>146</v>
      </c>
      <c r="F65" s="311">
        <v>8016</v>
      </c>
      <c r="G65" s="311">
        <f>IFERROR(INDEX(MRP!$F$3:$F$150,MATCH(F65,MRP!$D$3:$D$150,0)),0)</f>
        <v>0</v>
      </c>
      <c r="H65" s="312">
        <f>SUMPRODUCT((Production_Log!$F$3:$F$1000=F65)*Production_Log!$H$3:$H$1000)</f>
        <v>0</v>
      </c>
      <c r="I65" s="311">
        <f t="shared" si="4"/>
        <v>0</v>
      </c>
      <c r="J65" s="313" t="str">
        <f t="shared" si="5"/>
        <v>-</v>
      </c>
      <c r="K65" s="312"/>
      <c r="L65" s="314"/>
    </row>
    <row r="66" spans="2:12" x14ac:dyDescent="0.3">
      <c r="B66" s="307" t="s">
        <v>161</v>
      </c>
      <c r="C66" s="308" t="s">
        <v>13</v>
      </c>
      <c r="D66" s="309" t="s">
        <v>236</v>
      </c>
      <c r="E66" s="310" t="s">
        <v>146</v>
      </c>
      <c r="F66" s="311">
        <v>8008</v>
      </c>
      <c r="G66" s="311">
        <f>IFERROR(INDEX(MRP!$F$3:$F$150,MATCH(F66,MRP!$D$3:$D$150,0)),0)</f>
        <v>0</v>
      </c>
      <c r="H66" s="312">
        <f>SUMPRODUCT((Production_Log!$F$3:$F$1000=F66)*Production_Log!$H$3:$H$1000)</f>
        <v>0</v>
      </c>
      <c r="I66" s="311">
        <f t="shared" si="4"/>
        <v>0</v>
      </c>
      <c r="J66" s="313" t="str">
        <f t="shared" si="5"/>
        <v>-</v>
      </c>
      <c r="K66" s="312"/>
      <c r="L66" s="314"/>
    </row>
    <row r="67" spans="2:12" ht="15" customHeight="1" x14ac:dyDescent="0.3">
      <c r="B67" s="307" t="s">
        <v>161</v>
      </c>
      <c r="C67" s="308" t="s">
        <v>11</v>
      </c>
      <c r="D67" s="309" t="s">
        <v>237</v>
      </c>
      <c r="E67" s="310" t="s">
        <v>238</v>
      </c>
      <c r="F67" s="311">
        <v>8009</v>
      </c>
      <c r="G67" s="311">
        <f>IFERROR(INDEX(MRP!$F$3:$F$150,MATCH(F67,MRP!$D$3:$D$150,0)),0)</f>
        <v>0</v>
      </c>
      <c r="H67" s="312">
        <f>SUMPRODUCT((Production_Log!$F$3:$F$1000=F67)*Production_Log!$H$3:$H$1000)</f>
        <v>0</v>
      </c>
      <c r="I67" s="311">
        <f t="shared" si="4"/>
        <v>0</v>
      </c>
      <c r="J67" s="313" t="str">
        <f t="shared" si="5"/>
        <v>-</v>
      </c>
      <c r="K67" s="312"/>
      <c r="L67" s="314"/>
    </row>
    <row r="68" spans="2:12" ht="15" customHeight="1" x14ac:dyDescent="0.3">
      <c r="B68" s="307" t="s">
        <v>161</v>
      </c>
      <c r="C68" s="308" t="s">
        <v>11</v>
      </c>
      <c r="D68" s="309" t="s">
        <v>239</v>
      </c>
      <c r="E68" s="310" t="s">
        <v>240</v>
      </c>
      <c r="F68" s="311">
        <v>8013</v>
      </c>
      <c r="G68" s="311">
        <f>IFERROR(INDEX(MRP!$F$3:$F$150,MATCH(F68,MRP!$D$3:$D$150,0)),0)</f>
        <v>0</v>
      </c>
      <c r="H68" s="312">
        <f>SUMPRODUCT((Production_Log!$F$3:$F$1000=F68)*Production_Log!$H$3:$H$1000)</f>
        <v>0</v>
      </c>
      <c r="I68" s="311">
        <f t="shared" si="4"/>
        <v>0</v>
      </c>
      <c r="J68" s="313" t="str">
        <f t="shared" si="5"/>
        <v>-</v>
      </c>
      <c r="K68" s="312"/>
      <c r="L68" s="314"/>
    </row>
    <row r="69" spans="2:12" ht="15" customHeight="1" x14ac:dyDescent="0.3"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</row>
    <row r="70" spans="2:12" ht="15" customHeight="1" x14ac:dyDescent="0.3"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</row>
    <row r="71" spans="2:12" x14ac:dyDescent="0.3"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</row>
    <row r="72" spans="2:12" x14ac:dyDescent="0.3"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</row>
    <row r="73" spans="2:12" x14ac:dyDescent="0.3"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</row>
    <row r="74" spans="2:12" x14ac:dyDescent="0.3"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</row>
    <row r="75" spans="2:12" x14ac:dyDescent="0.3"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</row>
    <row r="76" spans="2:12" x14ac:dyDescent="0.3"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</row>
    <row r="77" spans="2:12" x14ac:dyDescent="0.3"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</row>
    <row r="78" spans="2:12" x14ac:dyDescent="0.3"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</row>
    <row r="79" spans="2:12" x14ac:dyDescent="0.3"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</row>
    <row r="80" spans="2:12" x14ac:dyDescent="0.3"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</row>
    <row r="81" spans="2:12" x14ac:dyDescent="0.3"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</row>
    <row r="82" spans="2:12" x14ac:dyDescent="0.3"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</row>
    <row r="83" spans="2:12" x14ac:dyDescent="0.3"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</row>
    <row r="84" spans="2:12" x14ac:dyDescent="0.3"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</row>
    <row r="85" spans="2:12" x14ac:dyDescent="0.3"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</row>
    <row r="86" spans="2:12" x14ac:dyDescent="0.3"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</row>
    <row r="87" spans="2:12" x14ac:dyDescent="0.3"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</row>
    <row r="88" spans="2:12" x14ac:dyDescent="0.3"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</row>
    <row r="89" spans="2:12" x14ac:dyDescent="0.3"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</row>
    <row r="90" spans="2:12" x14ac:dyDescent="0.3"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</row>
    <row r="91" spans="2:12" x14ac:dyDescent="0.3"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</row>
    <row r="92" spans="2:12" x14ac:dyDescent="0.3"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</row>
    <row r="93" spans="2:12" x14ac:dyDescent="0.3"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</row>
    <row r="94" spans="2:12" x14ac:dyDescent="0.3"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</row>
    <row r="95" spans="2:12" x14ac:dyDescent="0.3"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</row>
    <row r="96" spans="2:12" x14ac:dyDescent="0.3"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</row>
    <row r="97" spans="2:12" x14ac:dyDescent="0.3"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</row>
    <row r="98" spans="2:12" x14ac:dyDescent="0.3"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</row>
    <row r="99" spans="2:12" x14ac:dyDescent="0.3"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</row>
    <row r="100" spans="2:12" x14ac:dyDescent="0.3"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</row>
    <row r="101" spans="2:12" x14ac:dyDescent="0.3"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</row>
    <row r="102" spans="2:12" x14ac:dyDescent="0.3"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</row>
    <row r="103" spans="2:12" x14ac:dyDescent="0.3"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</row>
    <row r="104" spans="2:12" x14ac:dyDescent="0.3"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</row>
    <row r="105" spans="2:12" x14ac:dyDescent="0.3"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</row>
    <row r="106" spans="2:12" x14ac:dyDescent="0.3"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</row>
    <row r="107" spans="2:12" x14ac:dyDescent="0.3"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</row>
    <row r="108" spans="2:12" x14ac:dyDescent="0.3"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</row>
    <row r="109" spans="2:12" x14ac:dyDescent="0.3"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</row>
    <row r="110" spans="2:12" x14ac:dyDescent="0.3"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</row>
    <row r="111" spans="2:12" x14ac:dyDescent="0.3"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</row>
    <row r="112" spans="2:12" x14ac:dyDescent="0.3"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</row>
    <row r="113" spans="2:12" x14ac:dyDescent="0.3"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</row>
    <row r="114" spans="2:12" x14ac:dyDescent="0.3"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</row>
    <row r="115" spans="2:12" x14ac:dyDescent="0.3"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</row>
    <row r="116" spans="2:12" x14ac:dyDescent="0.3"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</row>
    <row r="117" spans="2:12" x14ac:dyDescent="0.3"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</row>
    <row r="118" spans="2:12" x14ac:dyDescent="0.3"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</row>
    <row r="119" spans="2:12" x14ac:dyDescent="0.3"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</row>
    <row r="120" spans="2:12" x14ac:dyDescent="0.3"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</row>
    <row r="121" spans="2:12" x14ac:dyDescent="0.3"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</row>
    <row r="122" spans="2:12" x14ac:dyDescent="0.3"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</row>
    <row r="123" spans="2:12" x14ac:dyDescent="0.3"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</row>
    <row r="124" spans="2:12" x14ac:dyDescent="0.3"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</row>
    <row r="125" spans="2:12" x14ac:dyDescent="0.3"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</row>
    <row r="126" spans="2:12" x14ac:dyDescent="0.3"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</row>
    <row r="127" spans="2:12" x14ac:dyDescent="0.3"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</row>
    <row r="128" spans="2:12" x14ac:dyDescent="0.3"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</row>
    <row r="129" spans="2:12" x14ac:dyDescent="0.3"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</row>
    <row r="130" spans="2:12" x14ac:dyDescent="0.3"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</row>
    <row r="131" spans="2:12" x14ac:dyDescent="0.3"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</row>
    <row r="132" spans="2:12" x14ac:dyDescent="0.3"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</row>
    <row r="133" spans="2:12" x14ac:dyDescent="0.3"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</row>
    <row r="134" spans="2:12" x14ac:dyDescent="0.3"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</row>
    <row r="135" spans="2:12" x14ac:dyDescent="0.3"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</row>
    <row r="136" spans="2:12" x14ac:dyDescent="0.3"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</row>
    <row r="137" spans="2:12" x14ac:dyDescent="0.3"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</row>
    <row r="138" spans="2:12" x14ac:dyDescent="0.3"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</row>
    <row r="139" spans="2:12" x14ac:dyDescent="0.3"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</row>
    <row r="140" spans="2:12" x14ac:dyDescent="0.3"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</row>
    <row r="141" spans="2:12" x14ac:dyDescent="0.3"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</row>
    <row r="142" spans="2:12" x14ac:dyDescent="0.3"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</row>
    <row r="143" spans="2:12" x14ac:dyDescent="0.3"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</row>
    <row r="144" spans="2:12" x14ac:dyDescent="0.3"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</row>
    <row r="145" spans="2:12" x14ac:dyDescent="0.3"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</row>
    <row r="146" spans="2:12" x14ac:dyDescent="0.3"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</row>
    <row r="147" spans="2:12" x14ac:dyDescent="0.3"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</row>
    <row r="148" spans="2:12" x14ac:dyDescent="0.3"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</row>
    <row r="149" spans="2:12" x14ac:dyDescent="0.3"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</row>
    <row r="150" spans="2:12" x14ac:dyDescent="0.3"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</row>
    <row r="151" spans="2:12" x14ac:dyDescent="0.3"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</row>
    <row r="152" spans="2:12" x14ac:dyDescent="0.3"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</row>
    <row r="153" spans="2:12" x14ac:dyDescent="0.3"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</row>
    <row r="154" spans="2:12" x14ac:dyDescent="0.3"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</row>
    <row r="155" spans="2:12" x14ac:dyDescent="0.3"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</row>
    <row r="156" spans="2:12" x14ac:dyDescent="0.3"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</row>
    <row r="157" spans="2:12" x14ac:dyDescent="0.3"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</row>
    <row r="158" spans="2:12" x14ac:dyDescent="0.3"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</row>
    <row r="159" spans="2:12" x14ac:dyDescent="0.3"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</row>
    <row r="160" spans="2:12" x14ac:dyDescent="0.3"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</row>
    <row r="161" spans="2:12" x14ac:dyDescent="0.3"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</row>
    <row r="162" spans="2:12" x14ac:dyDescent="0.3"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</row>
    <row r="163" spans="2:12" x14ac:dyDescent="0.3"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</row>
    <row r="164" spans="2:12" x14ac:dyDescent="0.3"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</row>
    <row r="165" spans="2:12" x14ac:dyDescent="0.3"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</row>
    <row r="166" spans="2:12" x14ac:dyDescent="0.3"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</row>
    <row r="167" spans="2:12" x14ac:dyDescent="0.3"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</row>
    <row r="168" spans="2:12" x14ac:dyDescent="0.3"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</row>
    <row r="169" spans="2:12" x14ac:dyDescent="0.3"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</row>
    <row r="170" spans="2:12" x14ac:dyDescent="0.3"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</row>
    <row r="171" spans="2:12" x14ac:dyDescent="0.3"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</row>
    <row r="172" spans="2:12" x14ac:dyDescent="0.3"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</row>
    <row r="173" spans="2:12" x14ac:dyDescent="0.3"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</row>
    <row r="174" spans="2:12" x14ac:dyDescent="0.3"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</row>
    <row r="175" spans="2:12" x14ac:dyDescent="0.3"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</row>
    <row r="176" spans="2:12" x14ac:dyDescent="0.3"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</row>
    <row r="177" spans="2:12" x14ac:dyDescent="0.3"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</row>
    <row r="178" spans="2:12" x14ac:dyDescent="0.3"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</row>
    <row r="179" spans="2:12" x14ac:dyDescent="0.3"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</row>
    <row r="180" spans="2:12" x14ac:dyDescent="0.3"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</row>
    <row r="181" spans="2:12" x14ac:dyDescent="0.3"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</row>
    <row r="182" spans="2:12" x14ac:dyDescent="0.3"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</row>
    <row r="183" spans="2:12" x14ac:dyDescent="0.3"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</row>
    <row r="184" spans="2:12" x14ac:dyDescent="0.3"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</row>
    <row r="185" spans="2:12" x14ac:dyDescent="0.3"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</row>
    <row r="186" spans="2:12" x14ac:dyDescent="0.3"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</row>
    <row r="187" spans="2:12" x14ac:dyDescent="0.3"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</row>
    <row r="188" spans="2:12" x14ac:dyDescent="0.3"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</row>
    <row r="189" spans="2:12" x14ac:dyDescent="0.3"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</row>
    <row r="190" spans="2:12" x14ac:dyDescent="0.3"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</row>
    <row r="191" spans="2:12" x14ac:dyDescent="0.3"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</row>
    <row r="192" spans="2:12" x14ac:dyDescent="0.3"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</row>
    <row r="193" spans="2:12" x14ac:dyDescent="0.3"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</row>
    <row r="194" spans="2:12" x14ac:dyDescent="0.3"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</row>
    <row r="195" spans="2:12" x14ac:dyDescent="0.3"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</row>
    <row r="196" spans="2:12" x14ac:dyDescent="0.3"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</row>
    <row r="197" spans="2:12" x14ac:dyDescent="0.3"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</row>
    <row r="198" spans="2:12" x14ac:dyDescent="0.3"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</row>
    <row r="199" spans="2:12" x14ac:dyDescent="0.3"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</row>
    <row r="200" spans="2:12" x14ac:dyDescent="0.3"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</row>
    <row r="201" spans="2:12" x14ac:dyDescent="0.3"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</row>
  </sheetData>
  <mergeCells count="15">
    <mergeCell ref="B2:O2"/>
    <mergeCell ref="M5:O5"/>
    <mergeCell ref="G5:H5"/>
    <mergeCell ref="J8:K8"/>
    <mergeCell ref="M12:O12"/>
    <mergeCell ref="B8:C8"/>
    <mergeCell ref="E8:F8"/>
    <mergeCell ref="B9:L9"/>
    <mergeCell ref="B3:G3"/>
    <mergeCell ref="B6:C6"/>
    <mergeCell ref="E6:F6"/>
    <mergeCell ref="H3:O3"/>
    <mergeCell ref="G7:H7"/>
    <mergeCell ref="J6:K6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11"/>
  <sheetViews>
    <sheetView tabSelected="1" topLeftCell="A62" zoomScaleNormal="100" workbookViewId="0">
      <selection activeCell="H105" sqref="H105"/>
    </sheetView>
  </sheetViews>
  <sheetFormatPr defaultColWidth="8.7109375" defaultRowHeight="15" x14ac:dyDescent="0.25"/>
  <cols>
    <col min="1" max="1" width="9" customWidth="1"/>
    <col min="2" max="2" width="30.7109375" customWidth="1"/>
    <col min="3" max="3" width="38.42578125" style="3" customWidth="1"/>
    <col min="4" max="4" width="1.5703125" hidden="1" customWidth="1"/>
    <col min="5" max="5" width="14.5703125" style="4" customWidth="1"/>
    <col min="6" max="6" width="16.5703125" style="4" customWidth="1"/>
    <col min="7" max="7" width="11.7109375" style="5" customWidth="1"/>
    <col min="8" max="8" width="17.5703125" style="4" customWidth="1"/>
    <col min="9" max="9" width="13.85546875" style="3" customWidth="1"/>
    <col min="10" max="10" width="48" style="3" customWidth="1"/>
    <col min="11" max="11" width="18" customWidth="1"/>
    <col min="12" max="12" width="12" customWidth="1"/>
    <col min="13" max="13" width="24" customWidth="1"/>
  </cols>
  <sheetData>
    <row r="1" spans="1:19" ht="30" customHeight="1" x14ac:dyDescent="0.25">
      <c r="A1" s="6" t="s">
        <v>0</v>
      </c>
      <c r="B1" s="7"/>
      <c r="C1" s="7"/>
      <c r="D1" s="7"/>
      <c r="E1" s="8"/>
      <c r="F1" s="8"/>
      <c r="G1" s="9" t="s">
        <v>1</v>
      </c>
      <c r="H1" s="175">
        <f ca="1">TODAY()</f>
        <v>46316</v>
      </c>
      <c r="I1" s="10"/>
      <c r="J1" s="169"/>
      <c r="K1" s="11"/>
      <c r="L1" s="11"/>
      <c r="M1" s="11"/>
      <c r="N1" s="11"/>
      <c r="O1" s="11"/>
      <c r="P1" s="11"/>
      <c r="Q1" s="11"/>
      <c r="R1" s="11"/>
      <c r="S1" s="2"/>
    </row>
    <row r="2" spans="1:19" ht="21" customHeight="1" x14ac:dyDescent="0.25">
      <c r="A2" s="12" t="s">
        <v>2</v>
      </c>
      <c r="B2" s="12" t="s">
        <v>3</v>
      </c>
      <c r="C2" s="13" t="s">
        <v>4</v>
      </c>
      <c r="D2" s="13" t="s">
        <v>5</v>
      </c>
      <c r="E2" s="14" t="s">
        <v>6</v>
      </c>
      <c r="F2" s="14" t="s">
        <v>7</v>
      </c>
      <c r="G2" s="15" t="s">
        <v>8</v>
      </c>
      <c r="H2" s="12" t="s">
        <v>9</v>
      </c>
      <c r="I2" s="12" t="s">
        <v>10</v>
      </c>
      <c r="J2" s="169"/>
      <c r="K2" s="11"/>
      <c r="L2" s="11"/>
      <c r="M2" s="11"/>
      <c r="N2" s="11"/>
      <c r="O2" s="11"/>
      <c r="P2" s="11"/>
      <c r="Q2" s="11"/>
      <c r="R2" s="11"/>
      <c r="S2" s="2"/>
    </row>
    <row r="3" spans="1:19" ht="24" customHeight="1" x14ac:dyDescent="0.25">
      <c r="A3" s="261">
        <v>20.5</v>
      </c>
      <c r="B3" s="262" t="s">
        <v>11</v>
      </c>
      <c r="C3" s="263" t="s">
        <v>12</v>
      </c>
      <c r="D3" s="261">
        <v>6077</v>
      </c>
      <c r="E3" s="264">
        <v>6907</v>
      </c>
      <c r="F3" s="264">
        <v>22000</v>
      </c>
      <c r="G3" s="264">
        <f>INDEX(Tubex_Dashboard!$H$11:$H$100,MATCH(MRP!D3,Tubex_Dashboard!$F$11:$F$100,0))</f>
        <v>0</v>
      </c>
      <c r="H3" s="265">
        <f>F3-G3</f>
        <v>22000</v>
      </c>
      <c r="I3" s="265"/>
    </row>
    <row r="4" spans="1:19" ht="24" customHeight="1" x14ac:dyDescent="0.25">
      <c r="A4" s="261">
        <v>25</v>
      </c>
      <c r="B4" s="262" t="s">
        <v>13</v>
      </c>
      <c r="C4" s="263" t="s">
        <v>14</v>
      </c>
      <c r="D4" s="261">
        <v>6470</v>
      </c>
      <c r="E4" s="264"/>
      <c r="F4" s="264">
        <v>30000</v>
      </c>
      <c r="G4" s="264">
        <f>INDEX(Tubex_Dashboard!$H$11:$H$100,MATCH(MRP!D4,Tubex_Dashboard!$F$11:$F$100,0))</f>
        <v>0</v>
      </c>
      <c r="H4" s="265">
        <f>F4-G4</f>
        <v>30000</v>
      </c>
      <c r="I4" s="265" t="s">
        <v>15</v>
      </c>
    </row>
    <row r="5" spans="1:19" ht="24" customHeight="1" x14ac:dyDescent="0.25">
      <c r="A5" s="261">
        <v>30</v>
      </c>
      <c r="B5" s="262" t="s">
        <v>11</v>
      </c>
      <c r="C5" s="263" t="s">
        <v>16</v>
      </c>
      <c r="D5" s="261">
        <v>5814</v>
      </c>
      <c r="E5" s="264" t="s">
        <v>17</v>
      </c>
      <c r="F5" s="264">
        <v>50000</v>
      </c>
      <c r="G5" s="264">
        <f>INDEX(Tubex_Dashboard!$H$11:$H$100,MATCH(MRP!D5,Tubex_Dashboard!$F$11:$F$100,0))</f>
        <v>49742</v>
      </c>
      <c r="H5" s="265">
        <f>F5-G5</f>
        <v>258</v>
      </c>
      <c r="I5" s="265" t="s">
        <v>18</v>
      </c>
    </row>
    <row r="6" spans="1:19" ht="24" customHeight="1" x14ac:dyDescent="0.25">
      <c r="A6" s="261">
        <v>30</v>
      </c>
      <c r="B6" s="262" t="s">
        <v>19</v>
      </c>
      <c r="C6" s="263" t="s">
        <v>20</v>
      </c>
      <c r="D6" s="261">
        <v>6206</v>
      </c>
      <c r="E6" s="264">
        <v>6902</v>
      </c>
      <c r="F6" s="264">
        <v>389418</v>
      </c>
      <c r="G6" s="264">
        <f>INDEX(Tubex_Dashboard!$H$11:$H$100,MATCH(MRP!D6,Tubex_Dashboard!$F$11:$F$100,0))</f>
        <v>149188</v>
      </c>
      <c r="H6" s="265">
        <f>F6-G6</f>
        <v>240230</v>
      </c>
      <c r="I6" s="265"/>
    </row>
    <row r="7" spans="1:19" ht="24" customHeight="1" x14ac:dyDescent="0.25">
      <c r="A7" s="261">
        <v>32</v>
      </c>
      <c r="B7" s="262" t="s">
        <v>21</v>
      </c>
      <c r="C7" s="263" t="s">
        <v>22</v>
      </c>
      <c r="D7" s="261">
        <v>6515</v>
      </c>
      <c r="E7" s="264">
        <v>6904</v>
      </c>
      <c r="F7" s="264">
        <v>172336</v>
      </c>
      <c r="G7" s="264">
        <f>INDEX(Tubex_Dashboard!$H$11:$H$100,MATCH(MRP!D7,Tubex_Dashboard!$F$11:$F$100,0))</f>
        <v>58672</v>
      </c>
      <c r="H7" s="265">
        <f>F7-G7</f>
        <v>113664</v>
      </c>
      <c r="I7" s="265"/>
    </row>
    <row r="8" spans="1:19" ht="24" customHeight="1" x14ac:dyDescent="0.25">
      <c r="A8" s="12"/>
      <c r="B8" s="12"/>
      <c r="C8" s="13"/>
      <c r="D8" s="13"/>
      <c r="E8" s="14" t="s">
        <v>23</v>
      </c>
      <c r="F8" s="104">
        <f>SUM(F3:F7)</f>
        <v>663754</v>
      </c>
      <c r="G8" s="104">
        <f>SUM(G3:G7)</f>
        <v>257602</v>
      </c>
      <c r="H8" s="104">
        <f>SUMIF(H3:H7, "&gt;0")</f>
        <v>406152</v>
      </c>
      <c r="I8" s="12"/>
      <c r="J8" s="169"/>
      <c r="K8" s="11"/>
      <c r="L8" s="11"/>
      <c r="M8" s="11"/>
      <c r="N8" s="11"/>
      <c r="O8" s="11"/>
      <c r="P8" s="11"/>
      <c r="Q8" s="11"/>
      <c r="R8" s="2"/>
    </row>
    <row r="9" spans="1:19" ht="36" customHeight="1" x14ac:dyDescent="0.25">
      <c r="A9" s="18" t="s">
        <v>24</v>
      </c>
      <c r="B9" s="19"/>
      <c r="C9" s="19"/>
      <c r="D9" s="19"/>
      <c r="E9" s="20"/>
      <c r="F9" s="20"/>
      <c r="G9" s="21"/>
      <c r="H9" s="20"/>
      <c r="I9" s="19"/>
      <c r="J9" s="169"/>
      <c r="K9" s="11"/>
      <c r="L9" s="11"/>
      <c r="M9" s="11"/>
      <c r="N9" s="11"/>
      <c r="O9" s="11"/>
      <c r="P9" s="11"/>
      <c r="Q9" s="11"/>
      <c r="R9" s="11"/>
      <c r="S9" s="2"/>
    </row>
    <row r="10" spans="1:19" ht="29.25" customHeight="1" x14ac:dyDescent="0.25">
      <c r="A10" s="12" t="s">
        <v>25</v>
      </c>
      <c r="B10" s="12" t="s">
        <v>26</v>
      </c>
      <c r="C10" s="12" t="s">
        <v>27</v>
      </c>
      <c r="D10" s="12" t="s">
        <v>28</v>
      </c>
      <c r="E10" s="14" t="s">
        <v>7</v>
      </c>
      <c r="F10" s="14" t="s">
        <v>29</v>
      </c>
      <c r="G10" s="15" t="s">
        <v>30</v>
      </c>
      <c r="H10" s="142" t="s">
        <v>31</v>
      </c>
      <c r="I10" s="12" t="s">
        <v>32</v>
      </c>
      <c r="J10" s="153" t="s">
        <v>33</v>
      </c>
      <c r="L10" s="11"/>
      <c r="M10" s="11"/>
      <c r="N10" s="11"/>
      <c r="O10" s="11"/>
      <c r="P10" s="11"/>
      <c r="Q10" s="11"/>
      <c r="R10" s="11"/>
      <c r="S10" s="2"/>
    </row>
    <row r="11" spans="1:19" hidden="1" x14ac:dyDescent="0.25">
      <c r="A11" s="16">
        <v>33</v>
      </c>
      <c r="B11" s="143" t="s">
        <v>34</v>
      </c>
      <c r="C11" s="143" t="s">
        <v>35</v>
      </c>
      <c r="D11" s="143" t="s">
        <v>36</v>
      </c>
      <c r="E11" s="144">
        <f>SUMPRODUCT((TableBOM[Item ID]=A11)*TableBOM[Per 1000 Units]*(1+TableBOM[Scrap %])*((SUMIF($D$3:$D$7,TableBOM[Product ID],$H$3:$H$7))&gt;0)*(SUMIF($D$3:$D$7,TableBOM[Product ID],$H$3:$H$7))/1000)</f>
        <v>0</v>
      </c>
      <c r="F11" s="144">
        <f>IFERROR(INDEX(TableInventory[Store Balance],MATCH(A11,TableInventory[Item ID],0)),0)+IFERROR(INDEX(TableInventory[WIP],MATCH(A11,TableInventory[Item ID],0)),0)</f>
        <v>0</v>
      </c>
      <c r="G11" s="144">
        <f t="shared" ref="G11:G42" si="0">F11-E11</f>
        <v>0</v>
      </c>
      <c r="H11" s="151" t="str">
        <f>IFERROR(IF(SUMPRODUCT((TableBOM[Item ID]=A11)*((SUMIF($D$3:$D$7,TableBOM[Product ID],$H$3:$H$7))&gt;0)*(SUMIF($D$3:$D$7,TableBOM[Product ID],$H$3:$H$7))*TableBOM[Per 1000 Units]*(1+TableBOM[Scrap %]))=0,"-",ROUND(F11*1000*SUMPRODUCT((TableBOM[Item ID]=A11)*((SUMIF($D$3:$D$7,TableBOM[Product ID],$H$3:$H$7))&gt;0)*(SUMIF($D$3:$D$7,TableBOM[Product ID],$H$3:$H$7)))/SUMPRODUCT((TableBOM[Item ID]=A11)*((SUMIF($D$3:$D$7,TableBOM[Product ID],$H$3:$H$7))&gt;0)*(SUMIF($D$3:$D$7,TableBOM[Product ID],$H$3:$H$7))*TableBOM[Per 1000 Units]*(1+TableBOM[Scrap %])),0)),"-")</f>
        <v>-</v>
      </c>
      <c r="I11" s="146" t="str">
        <f t="shared" ref="I11:I42" si="1">IF(E11=0,"Not needed",IF(G11&lt;0,"SHORTAGE",IF(G11&lt;E11*0.1,"LOW","OK")))</f>
        <v>Not needed</v>
      </c>
      <c r="J11" s="151" t="str">
        <f>IF(LEN(IF((COUNTIFS(TableBOM[Product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 &amp; IF((COUNTIFS(TableBOM[Product ID],$D$7,TableBOM[Item ID],$A11)&gt;0)*($H$7&gt;0),$C$7&amp;", ",""))&gt;1,LEFT(IF((COUNTIFS(TableBOM[Product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 &amp; IF((COUNTIFS(TableBOM[Product ID],$D$7,TableBOM[Item ID],$A11)&gt;0)*($H$7&gt;0),$C$7&amp;", ",""),LEN(IF((COUNTIFS(TableBOM[Product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 &amp; IF((COUNTIFS(TableBOM[Product ID],$D$7,TableBOM[Item ID],$A11)&gt;0)*($H$7&gt;0),$C$7&amp;", ",""))-2),"")</f>
        <v/>
      </c>
      <c r="L11" s="11"/>
      <c r="M11" s="11"/>
      <c r="N11" s="11"/>
      <c r="O11" s="11"/>
      <c r="P11" s="11"/>
      <c r="Q11" s="11"/>
      <c r="R11" s="11"/>
      <c r="S11" s="2"/>
    </row>
    <row r="12" spans="1:19" hidden="1" x14ac:dyDescent="0.25">
      <c r="A12" s="16">
        <v>31</v>
      </c>
      <c r="B12" s="143" t="s">
        <v>34</v>
      </c>
      <c r="C12" s="143" t="s">
        <v>37</v>
      </c>
      <c r="D12" s="143" t="s">
        <v>36</v>
      </c>
      <c r="E12" s="144">
        <f>SUMPRODUCT((TableBOM[Item ID]=A12)*TableBOM[Per 1000 Units]*(1+TableBOM[Scrap %])*((SUMIF($D$3:$D$7,TableBOM[Product ID],$H$3:$H$7))&gt;0)*(SUMIF($D$3:$D$7,TableBOM[Product ID],$H$3:$H$7))/1000)</f>
        <v>0</v>
      </c>
      <c r="F12" s="144">
        <f>IFERROR(INDEX(TableInventory[Store Balance],MATCH(A12,TableInventory[Item ID],0)),0)+IFERROR(INDEX(TableInventory[WIP],MATCH(A12,TableInventory[Item ID],0)),0)</f>
        <v>71.5</v>
      </c>
      <c r="G12" s="144">
        <f t="shared" si="0"/>
        <v>71.5</v>
      </c>
      <c r="H12" s="151" t="str">
        <f>IFERROR(IF(SUMPRODUCT((TableBOM[Item ID]=A12)*((SUMIF($D$3:$D$7,TableBOM[Product ID],$H$3:$H$7))&gt;0)*(SUMIF($D$3:$D$7,TableBOM[Product ID],$H$3:$H$7))*TableBOM[Per 1000 Units]*(1+TableBOM[Scrap %]))=0,"-",ROUND(F12*1000*SUMPRODUCT((TableBOM[Item ID]=A12)*((SUMIF($D$3:$D$7,TableBOM[Product ID],$H$3:$H$7))&gt;0)*(SUMIF($D$3:$D$7,TableBOM[Product ID],$H$3:$H$7)))/SUMPRODUCT((TableBOM[Item ID]=A12)*((SUMIF($D$3:$D$7,TableBOM[Product ID],$H$3:$H$7))&gt;0)*(SUMIF($D$3:$D$7,TableBOM[Product ID],$H$3:$H$7))*TableBOM[Per 1000 Units]*(1+TableBOM[Scrap %])),0)),"-")</f>
        <v>-</v>
      </c>
      <c r="I12" s="146" t="str">
        <f t="shared" si="1"/>
        <v>Not needed</v>
      </c>
      <c r="J12" s="151" t="str">
        <f>IF(LEN(IF((COUNTIFS(TableBOM[Product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",""))&gt;1,LEFT(IF((COUNTIFS(TableBOM[Product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",""),LEN(IF((COUNTIFS(TableBOM[Product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",""))-2),"")</f>
        <v/>
      </c>
      <c r="L12" s="11"/>
      <c r="M12" s="11"/>
      <c r="N12" s="11"/>
      <c r="O12" s="11"/>
      <c r="P12" s="11"/>
      <c r="Q12" s="11"/>
      <c r="R12" s="11"/>
      <c r="S12" s="2"/>
    </row>
    <row r="13" spans="1:19" hidden="1" x14ac:dyDescent="0.25">
      <c r="A13" s="16">
        <v>2799</v>
      </c>
      <c r="B13" s="143" t="s">
        <v>34</v>
      </c>
      <c r="C13" s="143" t="s">
        <v>38</v>
      </c>
      <c r="D13" s="143" t="s">
        <v>36</v>
      </c>
      <c r="E13" s="144">
        <f>SUMPRODUCT((TableBOM[Item ID]=A13)*TableBOM[Per 1000 Units]*(1+TableBOM[Scrap %])*((SUMIF($D$3:$D$7,TableBOM[Product ID],$H$3:$H$7))&gt;0)*(SUMIF($D$3:$D$7,TableBOM[Product ID],$H$3:$H$7))/1000)</f>
        <v>0</v>
      </c>
      <c r="F13" s="144">
        <f>IFERROR(INDEX(TableInventory[Store Balance],MATCH(A13,TableInventory[Item ID],0)),0)+IFERROR(INDEX(TableInventory[WIP],MATCH(A13,TableInventory[Item ID],0)),0)</f>
        <v>88</v>
      </c>
      <c r="G13" s="144">
        <f t="shared" si="0"/>
        <v>88</v>
      </c>
      <c r="H13" s="151" t="str">
        <f>IFERROR(IF(SUMPRODUCT((TableBOM[Item ID]=A13)*((SUMIF($D$3:$D$7,TableBOM[Product ID],$H$3:$H$7))&gt;0)*(SUMIF($D$3:$D$7,TableBOM[Product ID],$H$3:$H$7))*TableBOM[Per 1000 Units]*(1+TableBOM[Scrap %]))=0,"-",ROUND(F13*1000*SUMPRODUCT((TableBOM[Item ID]=A13)*((SUMIF($D$3:$D$7,TableBOM[Product ID],$H$3:$H$7))&gt;0)*(SUMIF($D$3:$D$7,TableBOM[Product ID],$H$3:$H$7)))/SUMPRODUCT((TableBOM[Item ID]=A13)*((SUMIF($D$3:$D$7,TableBOM[Product ID],$H$3:$H$7))&gt;0)*(SUMIF($D$3:$D$7,TableBOM[Product ID],$H$3:$H$7))*TableBOM[Per 1000 Units]*(1+TableBOM[Scrap %])),0)),"-")</f>
        <v>-</v>
      </c>
      <c r="I13" s="146" t="str">
        <f t="shared" si="1"/>
        <v>Not needed</v>
      </c>
      <c r="J13" s="151" t="str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",""))-2),"")</f>
        <v/>
      </c>
      <c r="L13" s="11"/>
      <c r="M13" s="11"/>
      <c r="N13" s="11"/>
      <c r="O13" s="11"/>
      <c r="P13" s="11"/>
      <c r="Q13" s="11"/>
      <c r="R13" s="11"/>
      <c r="S13" s="2"/>
    </row>
    <row r="14" spans="1:19" hidden="1" x14ac:dyDescent="0.25">
      <c r="A14" s="16">
        <v>25</v>
      </c>
      <c r="B14" s="143" t="s">
        <v>34</v>
      </c>
      <c r="C14" s="143" t="s">
        <v>39</v>
      </c>
      <c r="D14" s="143" t="s">
        <v>36</v>
      </c>
      <c r="E14" s="145">
        <f>SUMPRODUCT((TableBOM[Item ID]=A14)*TableBOM[Per 1000 Units]*(1+TableBOM[Scrap %])*((SUMIF($D$3:$D$7,TableBOM[Product ID],$H$3:$H$7))&gt;0)*(SUMIF($D$3:$D$7,TableBOM[Product ID],$H$3:$H$7))/1000)</f>
        <v>0</v>
      </c>
      <c r="F14" s="145">
        <f>IFERROR(INDEX(TableInventory[Store Balance],MATCH(A14,TableInventory[Item ID],0)),0)+IFERROR(INDEX(TableInventory[WIP],MATCH(A14,TableInventory[Item ID],0)),0)</f>
        <v>0</v>
      </c>
      <c r="G14" s="149">
        <f t="shared" si="0"/>
        <v>0</v>
      </c>
      <c r="H14" s="151" t="str">
        <f>IFERROR(IF(SUMPRODUCT((TableBOM[Item ID]=A14)*((SUMIF($D$3:$D$7,TableBOM[Product ID],$H$3:$H$7))&gt;0)*(SUMIF($D$3:$D$7,TableBOM[Product ID],$H$3:$H$7))*TableBOM[Per 1000 Units]*(1+TableBOM[Scrap %]))=0,"-",ROUND(F14*1000*SUMPRODUCT((TableBOM[Item ID]=A14)*((SUMIF($D$3:$D$7,TableBOM[Product ID],$H$3:$H$7))&gt;0)*(SUMIF($D$3:$D$7,TableBOM[Product ID],$H$3:$H$7)))/SUMPRODUCT((TableBOM[Item ID]=A14)*((SUMIF($D$3:$D$7,TableBOM[Product ID],$H$3:$H$7))&gt;0)*(SUMIF($D$3:$D$7,TableBOM[Product ID],$H$3:$H$7))*TableBOM[Per 1000 Units]*(1+TableBOM[Scrap %])),0)),"-")</f>
        <v>-</v>
      </c>
      <c r="I14" s="146" t="str">
        <f t="shared" si="1"/>
        <v>Not needed</v>
      </c>
      <c r="J14" s="151" t="str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",""))-2),"")</f>
        <v/>
      </c>
      <c r="L14" s="11"/>
      <c r="M14" s="11"/>
      <c r="N14" s="11"/>
      <c r="O14" s="11"/>
      <c r="P14" s="11"/>
      <c r="Q14" s="11"/>
      <c r="R14" s="11"/>
      <c r="S14" s="2"/>
    </row>
    <row r="15" spans="1:19" hidden="1" x14ac:dyDescent="0.25">
      <c r="A15" s="16">
        <v>22</v>
      </c>
      <c r="B15" s="143" t="s">
        <v>34</v>
      </c>
      <c r="C15" s="143" t="s">
        <v>40</v>
      </c>
      <c r="D15" s="143" t="s">
        <v>36</v>
      </c>
      <c r="E15" s="145">
        <f>SUMPRODUCT((TableBOM[Item ID]=A15)*TableBOM[Per 1000 Units]*(1+TableBOM[Scrap %])*((SUMIF($D$3:$D$7,TableBOM[Product ID],$H$3:$H$7))&gt;0)*(SUMIF($D$3:$D$7,TableBOM[Product ID],$H$3:$H$7))/1000)</f>
        <v>0</v>
      </c>
      <c r="F15" s="145">
        <f>IFERROR(INDEX(TableInventory[Store Balance],MATCH(A15,TableInventory[Item ID],0)),0)+IFERROR(INDEX(TableInventory[WIP],MATCH(A15,TableInventory[Item ID],0)),0)</f>
        <v>0</v>
      </c>
      <c r="G15" s="149">
        <f t="shared" si="0"/>
        <v>0</v>
      </c>
      <c r="H15" s="151" t="str">
        <f>IFERROR(IF(SUMPRODUCT((TableBOM[Item ID]=A15)*((SUMIF($D$3:$D$7,TableBOM[Product ID],$H$3:$H$7))&gt;0)*(SUMIF($D$3:$D$7,TableBOM[Product ID],$H$3:$H$7))*TableBOM[Per 1000 Units]*(1+TableBOM[Scrap %]))=0,"-",ROUND(F15*1000*SUMPRODUCT((TableBOM[Item ID]=A15)*((SUMIF($D$3:$D$7,TableBOM[Product ID],$H$3:$H$7))&gt;0)*(SUMIF($D$3:$D$7,TableBOM[Product ID],$H$3:$H$7)))/SUMPRODUCT((TableBOM[Item ID]=A15)*((SUMIF($D$3:$D$7,TableBOM[Product ID],$H$3:$H$7))&gt;0)*(SUMIF($D$3:$D$7,TableBOM[Product ID],$H$3:$H$7))*TableBOM[Per 1000 Units]*(1+TableBOM[Scrap %])),0)),"-")</f>
        <v>-</v>
      </c>
      <c r="I15" s="146" t="str">
        <f t="shared" si="1"/>
        <v>Not needed</v>
      </c>
      <c r="J15" s="151" t="str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",""))-2),"")</f>
        <v/>
      </c>
    </row>
    <row r="16" spans="1:19" hidden="1" x14ac:dyDescent="0.25">
      <c r="A16" s="16">
        <v>19</v>
      </c>
      <c r="B16" s="143" t="s">
        <v>34</v>
      </c>
      <c r="C16" s="143" t="s">
        <v>41</v>
      </c>
      <c r="D16" s="143" t="s">
        <v>36</v>
      </c>
      <c r="E16" s="144">
        <f>SUMPRODUCT((TableBOM[Item ID]=A16)*TableBOM[Per 1000 Units]*(1+TableBOM[Scrap %])*((SUMIF($D$3:$D$7,TableBOM[Product ID],$H$3:$H$7))&gt;0)*(SUMIF($D$3:$D$7,TableBOM[Product ID],$H$3:$H$7))/1000)</f>
        <v>0</v>
      </c>
      <c r="F16" s="144">
        <f>IFERROR(INDEX(TableInventory[Store Balance],MATCH(A16,TableInventory[Item ID],0)),0)+IFERROR(INDEX(TableInventory[WIP],MATCH(A16,TableInventory[Item ID],0)),0)</f>
        <v>425</v>
      </c>
      <c r="G16" s="144">
        <f t="shared" si="0"/>
        <v>425</v>
      </c>
      <c r="H16" s="151" t="str">
        <f>IFERROR(IF(SUMPRODUCT((TableBOM[Item ID]=A16)*((SUMIF($D$3:$D$7,TableBOM[Product ID],$H$3:$H$7))&gt;0)*(SUMIF($D$3:$D$7,TableBOM[Product ID],$H$3:$H$7))*TableBOM[Per 1000 Units]*(1+TableBOM[Scrap %]))=0,"-",ROUND(F16*1000*SUMPRODUCT((TableBOM[Item ID]=A16)*((SUMIF($D$3:$D$7,TableBOM[Product ID],$H$3:$H$7))&gt;0)*(SUMIF($D$3:$D$7,TableBOM[Product ID],$H$3:$H$7)))/SUMPRODUCT((TableBOM[Item ID]=A16)*((SUMIF($D$3:$D$7,TableBOM[Product ID],$H$3:$H$7))&gt;0)*(SUMIF($D$3:$D$7,TableBOM[Product ID],$H$3:$H$7))*TableBOM[Per 1000 Units]*(1+TableBOM[Scrap %])),0)),"-")</f>
        <v>-</v>
      </c>
      <c r="I16" s="146" t="str">
        <f t="shared" si="1"/>
        <v>Not needed</v>
      </c>
      <c r="J16" s="151" t="str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",""))-2),"")</f>
        <v/>
      </c>
    </row>
    <row r="17" spans="1:19" x14ac:dyDescent="0.25">
      <c r="A17" s="16">
        <v>4179</v>
      </c>
      <c r="B17" s="143" t="s">
        <v>34</v>
      </c>
      <c r="C17" s="143" t="s">
        <v>42</v>
      </c>
      <c r="D17" s="143" t="s">
        <v>36</v>
      </c>
      <c r="E17" s="144">
        <f>SUMPRODUCT((TableBOM[Item ID]=A17)*TableBOM[Per 1000 Units]*(1+TableBOM[Scrap %])*((SUMIF($D$3:$D$7,TableBOM[Product ID],$H$3:$H$7))&gt;0)*(SUMIF($D$3:$D$7,TableBOM[Product ID],$H$3:$H$7))/1000)</f>
        <v>95.275400000000005</v>
      </c>
      <c r="F17" s="144">
        <f>IFERROR(INDEX(TableInventory[Store Balance],MATCH(A17,TableInventory[Item ID],0)),0)+IFERROR(INDEX(TableInventory[WIP],MATCH(A17,TableInventory[Item ID],0)),0)</f>
        <v>132</v>
      </c>
      <c r="G17" s="144">
        <f t="shared" si="0"/>
        <v>36.724599999999995</v>
      </c>
      <c r="H17" s="151">
        <f>IFERROR(IF(SUMPRODUCT((TableBOM[Item ID]=A17)*((SUMIF($D$3:$D$7,TableBOM[Product ID],$H$3:$H$7))&gt;0)*(SUMIF($D$3:$D$7,TableBOM[Product ID],$H$3:$H$7))*TableBOM[Per 1000 Units]*(1+TableBOM[Scrap %]))=0,"-",ROUND(F17*1000*SUMPRODUCT((TableBOM[Item ID]=A17)*((SUMIF($D$3:$D$7,TableBOM[Product ID],$H$3:$H$7))&gt;0)*(SUMIF($D$3:$D$7,TableBOM[Product ID],$H$3:$H$7)))/SUMPRODUCT((TableBOM[Item ID]=A17)*((SUMIF($D$3:$D$7,TableBOM[Product ID],$H$3:$H$7))&gt;0)*(SUMIF($D$3:$D$7,TableBOM[Product ID],$H$3:$H$7))*TableBOM[Per 1000 Units]*(1+TableBOM[Scrap %])),0)),"-")</f>
        <v>30480</v>
      </c>
      <c r="I17" s="146" t="str">
        <f t="shared" si="1"/>
        <v>OK</v>
      </c>
      <c r="J17" s="152" t="str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",""))-2),"")</f>
        <v>VINCE HIS ONLY BEARD &amp; MUSTACHE COLOR CREAM</v>
      </c>
    </row>
    <row r="18" spans="1:19" x14ac:dyDescent="0.25">
      <c r="A18" s="16">
        <v>6</v>
      </c>
      <c r="B18" s="143" t="s">
        <v>34</v>
      </c>
      <c r="C18" s="143" t="s">
        <v>43</v>
      </c>
      <c r="D18" s="143" t="s">
        <v>36</v>
      </c>
      <c r="E18" s="144">
        <f>SUMPRODUCT((TableBOM[Item ID]=A18)*TableBOM[Per 1000 Units]*(1+TableBOM[Scrap %])*((SUMIF($D$3:$D$7,TableBOM[Product ID],$H$3:$H$7))&gt;0)*(SUMIF($D$3:$D$7,TableBOM[Product ID],$H$3:$H$7))/1000)</f>
        <v>195.261</v>
      </c>
      <c r="F18" s="144">
        <f>IFERROR(INDEX(TableInventory[Store Balance],MATCH(A18,TableInventory[Item ID],0)),0)+IFERROR(INDEX(TableInventory[WIP],MATCH(A18,TableInventory[Item ID],0)),0)</f>
        <v>103</v>
      </c>
      <c r="G18" s="144">
        <f t="shared" si="0"/>
        <v>-92.260999999999996</v>
      </c>
      <c r="H18" s="151">
        <f>IFERROR(IF(SUMPRODUCT((TableBOM[Item ID]=A18)*((SUMIF($D$3:$D$7,TableBOM[Product ID],$H$3:$H$7))&gt;0)*(SUMIF($D$3:$D$7,TableBOM[Product ID],$H$3:$H$7))*TableBOM[Per 1000 Units]*(1+TableBOM[Scrap %]))=0,"-",ROUND(F18*1000*SUMPRODUCT((TableBOM[Item ID]=A18)*((SUMIF($D$3:$D$7,TableBOM[Product ID],$H$3:$H$7))&gt;0)*(SUMIF($D$3:$D$7,TableBOM[Product ID],$H$3:$H$7)))/SUMPRODUCT((TableBOM[Item ID]=A18)*((SUMIF($D$3:$D$7,TableBOM[Product ID],$H$3:$H$7))&gt;0)*(SUMIF($D$3:$D$7,TableBOM[Product ID],$H$3:$H$7))*TableBOM[Per 1000 Units]*(1+TableBOM[Scrap %])),0)),"-")</f>
        <v>15825</v>
      </c>
      <c r="I18" s="146" t="str">
        <f t="shared" si="1"/>
        <v>SHORTAGE</v>
      </c>
      <c r="J18" s="152" t="str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",""))-2),"")</f>
        <v>TUBES COMMON RED</v>
      </c>
    </row>
    <row r="19" spans="1:19" hidden="1" x14ac:dyDescent="0.25">
      <c r="A19" s="16">
        <v>10</v>
      </c>
      <c r="B19" s="143" t="s">
        <v>34</v>
      </c>
      <c r="C19" s="143" t="s">
        <v>44</v>
      </c>
      <c r="D19" s="143" t="s">
        <v>36</v>
      </c>
      <c r="E19" s="144">
        <f>SUMPRODUCT((TableBOM[Item ID]=A19)*TableBOM[Per 1000 Units]*(1+TableBOM[Scrap %])*((SUMIF($D$3:$D$7,TableBOM[Product ID],$H$3:$H$7))&gt;0)*(SUMIF($D$3:$D$7,TableBOM[Product ID],$H$3:$H$7))/1000)</f>
        <v>0</v>
      </c>
      <c r="F19" s="144">
        <f>IFERROR(INDEX(TableInventory[Store Balance],MATCH(A19,TableInventory[Item ID],0)),0)+IFERROR(INDEX(TableInventory[WIP],MATCH(A19,TableInventory[Item ID],0)),0)</f>
        <v>0</v>
      </c>
      <c r="G19" s="144">
        <f t="shared" si="0"/>
        <v>0</v>
      </c>
      <c r="H19" s="151" t="str">
        <f>IFERROR(IF(SUMPRODUCT((TableBOM[Item ID]=A19)*((SUMIF($D$3:$D$7,TableBOM[Product ID],$H$3:$H$7))&gt;0)*(SUMIF($D$3:$D$7,TableBOM[Product ID],$H$3:$H$7))*TableBOM[Per 1000 Units]*(1+TableBOM[Scrap %]))=0,"-",ROUND(F19*1000*SUMPRODUCT((TableBOM[Item ID]=A19)*((SUMIF($D$3:$D$7,TableBOM[Product ID],$H$3:$H$7))&gt;0)*(SUMIF($D$3:$D$7,TableBOM[Product ID],$H$3:$H$7)))/SUMPRODUCT((TableBOM[Item ID]=A19)*((SUMIF($D$3:$D$7,TableBOM[Product ID],$H$3:$H$7))&gt;0)*(SUMIF($D$3:$D$7,TableBOM[Product ID],$H$3:$H$7))*TableBOM[Per 1000 Units]*(1+TableBOM[Scrap %])),0)),"-")</f>
        <v>-</v>
      </c>
      <c r="I19" s="146" t="str">
        <f t="shared" si="1"/>
        <v>Not needed</v>
      </c>
      <c r="J19" s="151" t="str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",""))-2),"")</f>
        <v/>
      </c>
    </row>
    <row r="20" spans="1:19" hidden="1" x14ac:dyDescent="0.25">
      <c r="A20" s="16">
        <v>2</v>
      </c>
      <c r="B20" s="143" t="s">
        <v>34</v>
      </c>
      <c r="C20" s="143" t="s">
        <v>45</v>
      </c>
      <c r="D20" s="143" t="s">
        <v>36</v>
      </c>
      <c r="E20" s="144">
        <f>SUMPRODUCT((TableBOM[Item ID]=A20)*TableBOM[Per 1000 Units]*(1+TableBOM[Scrap %])*((SUMIF($D$3:$D$7,TableBOM[Product ID],$H$3:$H$7))&gt;0)*(SUMIF($D$3:$D$7,TableBOM[Product ID],$H$3:$H$7))/1000)</f>
        <v>0</v>
      </c>
      <c r="F20" s="144">
        <f>IFERROR(INDEX(TableInventory[Store Balance],MATCH(A20,TableInventory[Item ID],0)),0)+IFERROR(INDEX(TableInventory[WIP],MATCH(A20,TableInventory[Item ID],0)),0)</f>
        <v>0</v>
      </c>
      <c r="G20" s="144">
        <f t="shared" si="0"/>
        <v>0</v>
      </c>
      <c r="H20" s="151" t="str">
        <f>IFERROR(IF(SUMPRODUCT((TableBOM[Item ID]=A20)*((SUMIF($D$3:$D$7,TableBOM[Product ID],$H$3:$H$7))&gt;0)*(SUMIF($D$3:$D$7,TableBOM[Product ID],$H$3:$H$7))*TableBOM[Per 1000 Units]*(1+TableBOM[Scrap %]))=0,"-",ROUND(F20*1000*SUMPRODUCT((TableBOM[Item ID]=A20)*((SUMIF($D$3:$D$7,TableBOM[Product ID],$H$3:$H$7))&gt;0)*(SUMIF($D$3:$D$7,TableBOM[Product ID],$H$3:$H$7)))/SUMPRODUCT((TableBOM[Item ID]=A20)*((SUMIF($D$3:$D$7,TableBOM[Product ID],$H$3:$H$7))&gt;0)*(SUMIF($D$3:$D$7,TableBOM[Product ID],$H$3:$H$7))*TableBOM[Per 1000 Units]*(1+TableBOM[Scrap %])),0)),"-")</f>
        <v>-</v>
      </c>
      <c r="I20" s="146" t="str">
        <f t="shared" si="1"/>
        <v>Not needed</v>
      </c>
      <c r="J20" s="151" t="str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",""))-2),"")</f>
        <v/>
      </c>
    </row>
    <row r="21" spans="1:19" x14ac:dyDescent="0.25">
      <c r="A21" s="16">
        <v>3597</v>
      </c>
      <c r="B21" s="143" t="s">
        <v>34</v>
      </c>
      <c r="C21" s="143" t="s">
        <v>46</v>
      </c>
      <c r="D21" s="143" t="s">
        <v>36</v>
      </c>
      <c r="E21" s="144">
        <f>SUMPRODUCT((TableBOM[Item ID]=A21)*TableBOM[Per 1000 Units]*(1+TableBOM[Scrap %])*((SUMIF($D$3:$D$7,TableBOM[Product ID],$H$3:$H$7))&gt;0)*(SUMIF($D$3:$D$7,TableBOM[Product ID],$H$3:$H$7))/1000)</f>
        <v>2116.2943999999998</v>
      </c>
      <c r="F21" s="145">
        <f>IFERROR(INDEX(TableInventory[Store Balance],MATCH(A21,TableInventory[Item ID],0)),0)+IFERROR(INDEX(TableInventory[WIP],MATCH(A21,TableInventory[Item ID],0)),0)</f>
        <v>85</v>
      </c>
      <c r="G21" s="144">
        <f t="shared" si="0"/>
        <v>-2031.2943999999998</v>
      </c>
      <c r="H21" s="151">
        <f>IFERROR(IF(SUMPRODUCT((TableBOM[Item ID]=A21)*((SUMIF($D$3:$D$7,TableBOM[Product ID],$H$3:$H$7))&gt;0)*(SUMIF($D$3:$D$7,TableBOM[Product ID],$H$3:$H$7))*TableBOM[Per 1000 Units]*(1+TableBOM[Scrap %]))=0,"-",ROUND(F21*1000*SUMPRODUCT((TableBOM[Item ID]=A21)*((SUMIF($D$3:$D$7,TableBOM[Product ID],$H$3:$H$7))&gt;0)*(SUMIF($D$3:$D$7,TableBOM[Product ID],$H$3:$H$7)))/SUMPRODUCT((TableBOM[Item ID]=A21)*((SUMIF($D$3:$D$7,TableBOM[Product ID],$H$3:$H$7))&gt;0)*(SUMIF($D$3:$D$7,TableBOM[Product ID],$H$3:$H$7))*TableBOM[Per 1000 Units]*(1+TableBOM[Scrap %])),0)),"-")</f>
        <v>9659</v>
      </c>
      <c r="I21" s="146" t="str">
        <f t="shared" si="1"/>
        <v>SHORTAGE</v>
      </c>
      <c r="J21" s="152" t="str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",""))-2),"")</f>
        <v>VINCE NURTURAL, HELLO HAIR COLOR</v>
      </c>
      <c r="L21" s="11"/>
      <c r="M21" s="11"/>
      <c r="N21" s="11"/>
      <c r="O21" s="11"/>
      <c r="P21" s="11"/>
      <c r="Q21" s="11"/>
      <c r="R21" s="11"/>
      <c r="S21" s="2"/>
    </row>
    <row r="22" spans="1:19" hidden="1" x14ac:dyDescent="0.25">
      <c r="A22" s="16">
        <v>6961</v>
      </c>
      <c r="B22" s="143" t="s">
        <v>34</v>
      </c>
      <c r="C22" s="143" t="s">
        <v>47</v>
      </c>
      <c r="D22" s="143" t="s">
        <v>36</v>
      </c>
      <c r="E22" s="145">
        <f>SUMPRODUCT((TableBOM[Item ID]=A22)*TableBOM[Per 1000 Units]*(1+TableBOM[Scrap %])*((SUMIF($D$3:$D$7,TableBOM[Product ID],$H$3:$H$7))&gt;0)*(SUMIF($D$3:$D$7,TableBOM[Product ID],$H$3:$H$7))/1000)</f>
        <v>0</v>
      </c>
      <c r="F22" s="145">
        <f>IFERROR(INDEX(TableInventory[Store Balance],MATCH(A22,TableInventory[Item ID],0)),0)+IFERROR(INDEX(TableInventory[WIP],MATCH(A22,TableInventory[Item ID],0)),0)</f>
        <v>0</v>
      </c>
      <c r="G22" s="149">
        <f t="shared" si="0"/>
        <v>0</v>
      </c>
      <c r="H22" s="151" t="str">
        <f>IFERROR(IF(SUMPRODUCT((TableBOM[Item ID]=A22)*((SUMIF($D$3:$D$7,TableBOM[Product ID],$H$3:$H$7))&gt;0)*(SUMIF($D$3:$D$7,TableBOM[Product ID],$H$3:$H$7))*TableBOM[Per 1000 Units]*(1+TableBOM[Scrap %]))=0,"-",ROUND(F22*1000*SUMPRODUCT((TableBOM[Item ID]=A22)*((SUMIF($D$3:$D$7,TableBOM[Product ID],$H$3:$H$7))&gt;0)*(SUMIF($D$3:$D$7,TableBOM[Product ID],$H$3:$H$7)))/SUMPRODUCT((TableBOM[Item ID]=A22)*((SUMIF($D$3:$D$7,TableBOM[Product ID],$H$3:$H$7))&gt;0)*(SUMIF($D$3:$D$7,TableBOM[Product ID],$H$3:$H$7))*TableBOM[Per 1000 Units]*(1+TableBOM[Scrap %])),0)),"-")</f>
        <v>-</v>
      </c>
      <c r="I22" s="146" t="str">
        <f t="shared" si="1"/>
        <v>Not needed</v>
      </c>
      <c r="J22" s="151" t="str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",""))-2),"")</f>
        <v/>
      </c>
      <c r="L22" s="11"/>
      <c r="M22" s="11"/>
      <c r="N22" s="11"/>
      <c r="O22" s="11"/>
      <c r="P22" s="11"/>
      <c r="Q22" s="11"/>
      <c r="R22" s="11"/>
      <c r="S22" s="2"/>
    </row>
    <row r="23" spans="1:19" x14ac:dyDescent="0.25">
      <c r="A23" s="16">
        <v>3935</v>
      </c>
      <c r="B23" s="143" t="s">
        <v>34</v>
      </c>
      <c r="C23" s="143" t="s">
        <v>48</v>
      </c>
      <c r="D23" s="143" t="s">
        <v>36</v>
      </c>
      <c r="E23" s="144">
        <f>SUMPRODUCT((TableBOM[Item ID]=A23)*TableBOM[Per 1000 Units]*(1+TableBOM[Scrap %])*((SUMIF($D$3:$D$7,TableBOM[Product ID],$H$3:$H$7))&gt;0)*(SUMIF($D$3:$D$7,TableBOM[Product ID],$H$3:$H$7))/1000)</f>
        <v>1358.2302412800002</v>
      </c>
      <c r="F23" s="144">
        <f>IFERROR(INDEX(TableInventory[Store Balance],MATCH(A23,TableInventory[Item ID],0)),0)+IFERROR(INDEX(TableInventory[WIP],MATCH(A23,TableInventory[Item ID],0)),0)</f>
        <v>0</v>
      </c>
      <c r="G23" s="144">
        <f t="shared" si="0"/>
        <v>-1358.2302412800002</v>
      </c>
      <c r="H23" s="151">
        <f>IFERROR(IF(SUMPRODUCT((TableBOM[Item ID]=A23)*((SUMIF($D$3:$D$7,TableBOM[Product ID],$H$3:$H$7))&gt;0)*(SUMIF($D$3:$D$7,TableBOM[Product ID],$H$3:$H$7))*TableBOM[Per 1000 Units]*(1+TableBOM[Scrap %]))=0,"-",ROUND(F23*1000*SUMPRODUCT((TableBOM[Item ID]=A23)*((SUMIF($D$3:$D$7,TableBOM[Product ID],$H$3:$H$7))&gt;0)*(SUMIF($D$3:$D$7,TableBOM[Product ID],$H$3:$H$7)))/SUMPRODUCT((TableBOM[Item ID]=A23)*((SUMIF($D$3:$D$7,TableBOM[Product ID],$H$3:$H$7))&gt;0)*(SUMIF($D$3:$D$7,TableBOM[Product ID],$H$3:$H$7))*TableBOM[Per 1000 Units]*(1+TableBOM[Scrap %])),0)),"-")</f>
        <v>0</v>
      </c>
      <c r="I23" s="146" t="str">
        <f t="shared" si="1"/>
        <v>SHORTAGE</v>
      </c>
      <c r="J23" s="152" t="str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",""))-2),"")</f>
        <v>H.H 100GM</v>
      </c>
      <c r="L23" s="11"/>
      <c r="M23" s="11"/>
      <c r="N23" s="11"/>
      <c r="O23" s="11"/>
      <c r="P23" s="11"/>
      <c r="Q23" s="11"/>
      <c r="R23" s="11"/>
      <c r="S23" s="2"/>
    </row>
    <row r="24" spans="1:19" hidden="1" x14ac:dyDescent="0.25">
      <c r="A24" s="16">
        <v>3503</v>
      </c>
      <c r="B24" s="143" t="s">
        <v>34</v>
      </c>
      <c r="C24" s="143" t="s">
        <v>49</v>
      </c>
      <c r="D24" s="143" t="s">
        <v>36</v>
      </c>
      <c r="E24" s="144">
        <f>SUMPRODUCT((TableBOM[Item ID]=A24)*TableBOM[Per 1000 Units]*(1+TableBOM[Scrap %])*((SUMIF($D$3:$D$7,TableBOM[Product ID],$H$3:$H$7))&gt;0)*(SUMIF($D$3:$D$7,TableBOM[Product ID],$H$3:$H$7))/1000)</f>
        <v>0</v>
      </c>
      <c r="F24" s="144">
        <f>IFERROR(INDEX(TableInventory[Store Balance],MATCH(A24,TableInventory[Item ID],0)),0)+IFERROR(INDEX(TableInventory[WIP],MATCH(A24,TableInventory[Item ID],0)),0)</f>
        <v>328</v>
      </c>
      <c r="G24" s="144">
        <f t="shared" si="0"/>
        <v>328</v>
      </c>
      <c r="H24" s="151" t="str">
        <f>IFERROR(IF(SUMPRODUCT((TableBOM[Item ID]=A24)*((SUMIF($D$3:$D$7,TableBOM[Product ID],$H$3:$H$7))&gt;0)*(SUMIF($D$3:$D$7,TableBOM[Product ID],$H$3:$H$7))*TableBOM[Per 1000 Units]*(1+TableBOM[Scrap %]))=0,"-",ROUND(F24*1000*SUMPRODUCT((TableBOM[Item ID]=A24)*((SUMIF($D$3:$D$7,TableBOM[Product ID],$H$3:$H$7))&gt;0)*(SUMIF($D$3:$D$7,TableBOM[Product ID],$H$3:$H$7)))/SUMPRODUCT((TableBOM[Item ID]=A24)*((SUMIF($D$3:$D$7,TableBOM[Product ID],$H$3:$H$7))&gt;0)*(SUMIF($D$3:$D$7,TableBOM[Product ID],$H$3:$H$7))*TableBOM[Per 1000 Units]*(1+TableBOM[Scrap %])),0)),"-")</f>
        <v>-</v>
      </c>
      <c r="I24" s="150" t="str">
        <f t="shared" si="1"/>
        <v>Not needed</v>
      </c>
      <c r="J24" s="151" t="str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",""))-2),"")</f>
        <v/>
      </c>
    </row>
    <row r="25" spans="1:19" ht="24" hidden="1" customHeight="1" x14ac:dyDescent="0.25">
      <c r="A25" s="16">
        <v>184</v>
      </c>
      <c r="B25" s="143" t="s">
        <v>50</v>
      </c>
      <c r="C25" s="143" t="s">
        <v>51</v>
      </c>
      <c r="D25" s="143" t="s">
        <v>36</v>
      </c>
      <c r="E25" s="144">
        <f>SUMPRODUCT((TableBOM[Item ID]=A25)*TableBOM[Per 1000 Units]*(1+TableBOM[Scrap %])*((SUMIF($D$3:$D$7,TableBOM[Product ID],$H$3:$H$7))&gt;0)*(SUMIF($D$3:$D$7,TableBOM[Product ID],$H$3:$H$7))/1000)</f>
        <v>0</v>
      </c>
      <c r="F25" s="144">
        <f>IFERROR(INDEX(TableInventory[Store Balance],MATCH(A25,TableInventory[Item ID],0)),0)+IFERROR(INDEX(TableInventory[WIP],MATCH(A25,TableInventory[Item ID],0)),0)</f>
        <v>0</v>
      </c>
      <c r="G25" s="144">
        <f t="shared" si="0"/>
        <v>0</v>
      </c>
      <c r="H25" s="151" t="str">
        <f>IFERROR(IF(SUMPRODUCT((TableBOM[Item ID]=A25)*((SUMIF($D$3:$D$7,TableBOM[Product ID],$H$3:$H$7))&gt;0)*(SUMIF($D$3:$D$7,TableBOM[Product ID],$H$3:$H$7))*TableBOM[Per 1000 Units]*(1+TableBOM[Scrap %]))=0,"-",ROUND(F25*1000*SUMPRODUCT((TableBOM[Item ID]=A25)*((SUMIF($D$3:$D$7,TableBOM[Product ID],$H$3:$H$7))&gt;0)*(SUMIF($D$3:$D$7,TableBOM[Product ID],$H$3:$H$7)))/SUMPRODUCT((TableBOM[Item ID]=A25)*((SUMIF($D$3:$D$7,TableBOM[Product ID],$H$3:$H$7))&gt;0)*(SUMIF($D$3:$D$7,TableBOM[Product ID],$H$3:$H$7))*TableBOM[Per 1000 Units]*(1+TableBOM[Scrap %])),0)),"-")</f>
        <v>-</v>
      </c>
      <c r="I25" s="146" t="str">
        <f t="shared" si="1"/>
        <v>Not needed</v>
      </c>
      <c r="J25" s="151" t="str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",""))-2),"")</f>
        <v/>
      </c>
      <c r="L25" s="11"/>
      <c r="M25" s="11"/>
      <c r="N25" s="11"/>
      <c r="O25" s="11"/>
      <c r="P25" s="11"/>
      <c r="Q25" s="11"/>
      <c r="R25" s="11"/>
      <c r="S25" s="2"/>
    </row>
    <row r="26" spans="1:19" hidden="1" x14ac:dyDescent="0.25">
      <c r="A26" s="16">
        <v>185</v>
      </c>
      <c r="B26" s="143" t="s">
        <v>50</v>
      </c>
      <c r="C26" s="143" t="s">
        <v>52</v>
      </c>
      <c r="D26" s="143" t="s">
        <v>53</v>
      </c>
      <c r="E26" s="144">
        <f>SUMPRODUCT((TableBOM[Item ID]=A26)*TableBOM[Per 1000 Units]*(1+TableBOM[Scrap %])*((SUMIF($D$3:$D$7,TableBOM[Product ID],$H$3:$H$7))&gt;0)*(SUMIF($D$3:$D$7,TableBOM[Product ID],$H$3:$H$7))/1000)</f>
        <v>0</v>
      </c>
      <c r="F26" s="144">
        <f>IFERROR(INDEX(TableInventory[Store Balance],MATCH(A26,TableInventory[Item ID],0)),0)+IFERROR(INDEX(TableInventory[WIP],MATCH(A26,TableInventory[Item ID],0)),0)</f>
        <v>50</v>
      </c>
      <c r="G26" s="144">
        <f t="shared" si="0"/>
        <v>50</v>
      </c>
      <c r="H26" s="151" t="str">
        <f>IFERROR(IF(SUMPRODUCT((TableBOM[Item ID]=A26)*((SUMIF($D$3:$D$7,TableBOM[Product ID],$H$3:$H$7))&gt;0)*(SUMIF($D$3:$D$7,TableBOM[Product ID],$H$3:$H$7))*TableBOM[Per 1000 Units]*(1+TableBOM[Scrap %]))=0,"-",ROUND(F26*1000*SUMPRODUCT((TableBOM[Item ID]=A26)*((SUMIF($D$3:$D$7,TableBOM[Product ID],$H$3:$H$7))&gt;0)*(SUMIF($D$3:$D$7,TableBOM[Product ID],$H$3:$H$7)))/SUMPRODUCT((TableBOM[Item ID]=A26)*((SUMIF($D$3:$D$7,TableBOM[Product ID],$H$3:$H$7))&gt;0)*(SUMIF($D$3:$D$7,TableBOM[Product ID],$H$3:$H$7))*TableBOM[Per 1000 Units]*(1+TableBOM[Scrap %])),0)),"-")</f>
        <v>-</v>
      </c>
      <c r="I26" s="146" t="str">
        <f t="shared" si="1"/>
        <v>Not needed</v>
      </c>
      <c r="J26" s="151" t="str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",""))-2),"")</f>
        <v/>
      </c>
      <c r="L26" s="11"/>
      <c r="M26" s="11"/>
      <c r="N26" s="11"/>
      <c r="O26" s="11"/>
      <c r="P26" s="11"/>
      <c r="Q26" s="11"/>
      <c r="R26" s="11"/>
      <c r="S26" s="2"/>
    </row>
    <row r="27" spans="1:19" hidden="1" x14ac:dyDescent="0.25">
      <c r="A27" s="16">
        <v>188</v>
      </c>
      <c r="B27" s="143" t="s">
        <v>50</v>
      </c>
      <c r="C27" s="143" t="s">
        <v>54</v>
      </c>
      <c r="D27" s="143" t="s">
        <v>36</v>
      </c>
      <c r="E27" s="144">
        <f>SUMPRODUCT((TableBOM[Item ID]=A27)*TableBOM[Per 1000 Units]*(1+TableBOM[Scrap %])*((SUMIF($D$3:$D$7,TableBOM[Product ID],$H$3:$H$7))&gt;0)*(SUMIF($D$3:$D$7,TableBOM[Product ID],$H$3:$H$7))/1000)</f>
        <v>0</v>
      </c>
      <c r="F27" s="144">
        <f>IFERROR(INDEX(TableInventory[Store Balance],MATCH(A27,TableInventory[Item ID],0)),0)+IFERROR(INDEX(TableInventory[WIP],MATCH(A27,TableInventory[Item ID],0)),0)</f>
        <v>91</v>
      </c>
      <c r="G27" s="144">
        <f t="shared" si="0"/>
        <v>91</v>
      </c>
      <c r="H27" s="151" t="str">
        <f>IFERROR(IF(SUMPRODUCT((TableBOM[Item ID]=A27)*((SUMIF($D$3:$D$7,TableBOM[Product ID],$H$3:$H$7))&gt;0)*(SUMIF($D$3:$D$7,TableBOM[Product ID],$H$3:$H$7))*TableBOM[Per 1000 Units]*(1+TableBOM[Scrap %]))=0,"-",ROUND(F27*1000*SUMPRODUCT((TableBOM[Item ID]=A27)*((SUMIF($D$3:$D$7,TableBOM[Product ID],$H$3:$H$7))&gt;0)*(SUMIF($D$3:$D$7,TableBOM[Product ID],$H$3:$H$7)))/SUMPRODUCT((TableBOM[Item ID]=A27)*((SUMIF($D$3:$D$7,TableBOM[Product ID],$H$3:$H$7))&gt;0)*(SUMIF($D$3:$D$7,TableBOM[Product ID],$H$3:$H$7))*TableBOM[Per 1000 Units]*(1+TableBOM[Scrap %])),0)),"-")</f>
        <v>-</v>
      </c>
      <c r="I27" s="146" t="str">
        <f t="shared" si="1"/>
        <v>Not needed</v>
      </c>
      <c r="J27" s="151" t="str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",""))-2),"")</f>
        <v/>
      </c>
      <c r="L27" s="11"/>
      <c r="M27" s="11"/>
      <c r="N27" s="11"/>
      <c r="O27" s="11"/>
      <c r="P27" s="11"/>
      <c r="Q27" s="11"/>
      <c r="R27" s="11"/>
      <c r="S27" s="2"/>
    </row>
    <row r="28" spans="1:19" hidden="1" x14ac:dyDescent="0.25">
      <c r="A28" s="16">
        <v>1065</v>
      </c>
      <c r="B28" s="143" t="s">
        <v>50</v>
      </c>
      <c r="C28" s="143" t="s">
        <v>55</v>
      </c>
      <c r="D28" s="143" t="s">
        <v>36</v>
      </c>
      <c r="E28" s="144">
        <f>SUMPRODUCT((TableBOM[Item ID]=A28)*TableBOM[Per 1000 Units]*(1+TableBOM[Scrap %])*((SUMIF($D$3:$D$7,TableBOM[Product ID],$H$3:$H$7))&gt;0)*(SUMIF($D$3:$D$7,TableBOM[Product ID],$H$3:$H$7))/1000)</f>
        <v>0</v>
      </c>
      <c r="F28" s="144">
        <f>IFERROR(INDEX(TableInventory[Store Balance],MATCH(A28,TableInventory[Item ID],0)),0)+IFERROR(INDEX(TableInventory[WIP],MATCH(A28,TableInventory[Item ID],0)),0)</f>
        <v>0</v>
      </c>
      <c r="G28" s="144">
        <f t="shared" si="0"/>
        <v>0</v>
      </c>
      <c r="H28" s="151" t="str">
        <f>IFERROR(IF(SUMPRODUCT((TableBOM[Item ID]=A28)*((SUMIF($D$3:$D$7,TableBOM[Product ID],$H$3:$H$7))&gt;0)*(SUMIF($D$3:$D$7,TableBOM[Product ID],$H$3:$H$7))*TableBOM[Per 1000 Units]*(1+TableBOM[Scrap %]))=0,"-",ROUND(F28*1000*SUMPRODUCT((TableBOM[Item ID]=A28)*((SUMIF($D$3:$D$7,TableBOM[Product ID],$H$3:$H$7))&gt;0)*(SUMIF($D$3:$D$7,TableBOM[Product ID],$H$3:$H$7)))/SUMPRODUCT((TableBOM[Item ID]=A28)*((SUMIF($D$3:$D$7,TableBOM[Product ID],$H$3:$H$7))&gt;0)*(SUMIF($D$3:$D$7,TableBOM[Product ID],$H$3:$H$7))*TableBOM[Per 1000 Units]*(1+TableBOM[Scrap %])),0)),"-")</f>
        <v>-</v>
      </c>
      <c r="I28" s="146" t="str">
        <f t="shared" si="1"/>
        <v>Not needed</v>
      </c>
      <c r="J28" s="151" t="str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",""))-2),"")</f>
        <v/>
      </c>
      <c r="L28" s="11"/>
      <c r="M28" s="11"/>
      <c r="N28" s="11"/>
      <c r="O28" s="11"/>
      <c r="P28" s="11"/>
      <c r="Q28" s="11"/>
      <c r="R28" s="11"/>
      <c r="S28" s="2"/>
    </row>
    <row r="29" spans="1:19" x14ac:dyDescent="0.25">
      <c r="A29" s="16">
        <v>4155</v>
      </c>
      <c r="B29" s="143" t="s">
        <v>50</v>
      </c>
      <c r="C29" s="143" t="s">
        <v>56</v>
      </c>
      <c r="D29" s="143" t="s">
        <v>36</v>
      </c>
      <c r="E29" s="144">
        <f>SUMPRODUCT((TableBOM[Item ID]=A29)*TableBOM[Per 1000 Units]*(1+TableBOM[Scrap %])*((SUMIF($D$3:$D$7,TableBOM[Product ID],$H$3:$H$7))&gt;0)*(SUMIF($D$3:$D$7,TableBOM[Product ID],$H$3:$H$7))/1000)</f>
        <v>109.53532282</v>
      </c>
      <c r="F29" s="144">
        <f>IFERROR(INDEX(TableInventory[Store Balance],MATCH(A29,TableInventory[Item ID],0)),0)+IFERROR(INDEX(TableInventory[WIP],MATCH(A29,TableInventory[Item ID],0)),0)</f>
        <v>100</v>
      </c>
      <c r="G29" s="144">
        <f t="shared" si="0"/>
        <v>-9.5353228200000046</v>
      </c>
      <c r="H29" s="151">
        <f>IFERROR(IF(SUMPRODUCT((TableBOM[Item ID]=A29)*((SUMIF($D$3:$D$7,TableBOM[Product ID],$H$3:$H$7))&gt;0)*(SUMIF($D$3:$D$7,TableBOM[Product ID],$H$3:$H$7))*TableBOM[Per 1000 Units]*(1+TableBOM[Scrap %]))=0,"-",ROUND(F29*1000*SUMPRODUCT((TableBOM[Item ID]=A29)*((SUMIF($D$3:$D$7,TableBOM[Product ID],$H$3:$H$7))&gt;0)*(SUMIF($D$3:$D$7,TableBOM[Product ID],$H$3:$H$7)))/SUMPRODUCT((TableBOM[Item ID]=A29)*((SUMIF($D$3:$D$7,TableBOM[Product ID],$H$3:$H$7))&gt;0)*(SUMIF($D$3:$D$7,TableBOM[Product ID],$H$3:$H$7))*TableBOM[Per 1000 Units]*(1+TableBOM[Scrap %])),0)),"-")</f>
        <v>370795</v>
      </c>
      <c r="I29" s="146" t="str">
        <f t="shared" si="1"/>
        <v>SHORTAGE</v>
      </c>
      <c r="J29" s="152" t="str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",""))-2),"")</f>
        <v>VINCE HIS ONLY BEARD &amp; MUSTACHE COLOR CREAM, TUBES COMMON RED, VINCE NURTURAL, HELLO HAIR COLOR, H.H 100GM</v>
      </c>
      <c r="L29" s="11"/>
      <c r="M29" s="11"/>
      <c r="N29" s="11"/>
      <c r="O29" s="11"/>
      <c r="P29" s="11"/>
      <c r="Q29" s="11"/>
      <c r="R29" s="11"/>
      <c r="S29" s="2"/>
    </row>
    <row r="30" spans="1:19" hidden="1" x14ac:dyDescent="0.25">
      <c r="A30" s="16">
        <v>170</v>
      </c>
      <c r="B30" s="143" t="s">
        <v>57</v>
      </c>
      <c r="C30" s="143" t="s">
        <v>58</v>
      </c>
      <c r="D30" s="143" t="s">
        <v>36</v>
      </c>
      <c r="E30" s="144">
        <f>SUMPRODUCT((TableBOM[Item ID]=A30)*TableBOM[Per 1000 Units]*(1+TableBOM[Scrap %])*((SUMIF($D$3:$D$7,TableBOM[Product ID],$H$3:$H$7))&gt;0)*(SUMIF($D$3:$D$7,TableBOM[Product ID],$H$3:$H$7))/1000)</f>
        <v>0</v>
      </c>
      <c r="F30" s="144">
        <f>IFERROR(INDEX(TableInventory[Store Balance],MATCH(A30,TableInventory[Item ID],0)),0)+IFERROR(INDEX(TableInventory[WIP],MATCH(A30,TableInventory[Item ID],0)),0)</f>
        <v>0</v>
      </c>
      <c r="G30" s="144">
        <f t="shared" si="0"/>
        <v>0</v>
      </c>
      <c r="H30" s="151" t="str">
        <f>IFERROR(IF(SUMPRODUCT((TableBOM[Item ID]=A30)*((SUMIF($D$3:$D$7,TableBOM[Product ID],$H$3:$H$7))&gt;0)*(SUMIF($D$3:$D$7,TableBOM[Product ID],$H$3:$H$7))*TableBOM[Per 1000 Units]*(1+TableBOM[Scrap %]))=0,"-",ROUND(F30*1000*SUMPRODUCT((TableBOM[Item ID]=A30)*((SUMIF($D$3:$D$7,TableBOM[Product ID],$H$3:$H$7))&gt;0)*(SUMIF($D$3:$D$7,TableBOM[Product ID],$H$3:$H$7)))/SUMPRODUCT((TableBOM[Item ID]=A30)*((SUMIF($D$3:$D$7,TableBOM[Product ID],$H$3:$H$7))&gt;0)*(SUMIF($D$3:$D$7,TableBOM[Product ID],$H$3:$H$7))*TableBOM[Per 1000 Units]*(1+TableBOM[Scrap %])),0)),"-")</f>
        <v>-</v>
      </c>
      <c r="I30" s="146" t="str">
        <f t="shared" si="1"/>
        <v>Not needed</v>
      </c>
      <c r="J30" s="151" t="str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",""))-2),"")</f>
        <v/>
      </c>
      <c r="L30" s="11"/>
      <c r="M30" s="11"/>
      <c r="N30" s="11"/>
      <c r="O30" s="11"/>
      <c r="P30" s="11"/>
      <c r="Q30" s="11"/>
      <c r="R30" s="11"/>
      <c r="S30" s="2"/>
    </row>
    <row r="31" spans="1:19" hidden="1" x14ac:dyDescent="0.25">
      <c r="A31" s="16">
        <v>175</v>
      </c>
      <c r="B31" s="143" t="s">
        <v>57</v>
      </c>
      <c r="C31" s="143" t="s">
        <v>59</v>
      </c>
      <c r="D31" s="143" t="s">
        <v>36</v>
      </c>
      <c r="E31" s="144">
        <f>SUMPRODUCT((TableBOM[Item ID]=A31)*TableBOM[Per 1000 Units]*(1+TableBOM[Scrap %])*((SUMIF($D$3:$D$7,TableBOM[Product ID],$H$3:$H$7))&gt;0)*(SUMIF($D$3:$D$7,TableBOM[Product ID],$H$3:$H$7))/1000)</f>
        <v>0</v>
      </c>
      <c r="F31" s="144">
        <f>IFERROR(INDEX(TableInventory[Store Balance],MATCH(A31,TableInventory[Item ID],0)),0)+IFERROR(INDEX(TableInventory[WIP],MATCH(A31,TableInventory[Item ID],0)),0)</f>
        <v>30</v>
      </c>
      <c r="G31" s="144">
        <f t="shared" si="0"/>
        <v>30</v>
      </c>
      <c r="H31" s="151" t="str">
        <f>IFERROR(IF(SUMPRODUCT((TableBOM[Item ID]=A31)*((SUMIF($D$3:$D$7,TableBOM[Product ID],$H$3:$H$7))&gt;0)*(SUMIF($D$3:$D$7,TableBOM[Product ID],$H$3:$H$7))*TableBOM[Per 1000 Units]*(1+TableBOM[Scrap %]))=0,"-",ROUND(F31*1000*SUMPRODUCT((TableBOM[Item ID]=A31)*((SUMIF($D$3:$D$7,TableBOM[Product ID],$H$3:$H$7))&gt;0)*(SUMIF($D$3:$D$7,TableBOM[Product ID],$H$3:$H$7)))/SUMPRODUCT((TableBOM[Item ID]=A31)*((SUMIF($D$3:$D$7,TableBOM[Product ID],$H$3:$H$7))&gt;0)*(SUMIF($D$3:$D$7,TableBOM[Product ID],$H$3:$H$7))*TableBOM[Per 1000 Units]*(1+TableBOM[Scrap %])),0)),"-")</f>
        <v>-</v>
      </c>
      <c r="I31" s="146" t="str">
        <f t="shared" si="1"/>
        <v>Not needed</v>
      </c>
      <c r="J31" s="151" t="str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",""))-2),"")</f>
        <v/>
      </c>
      <c r="L31" s="11"/>
      <c r="M31" s="11"/>
      <c r="N31" s="11"/>
      <c r="O31" s="11"/>
      <c r="P31" s="11"/>
      <c r="Q31" s="11"/>
      <c r="R31" s="11"/>
      <c r="S31" s="2"/>
    </row>
    <row r="32" spans="1:19" hidden="1" x14ac:dyDescent="0.25">
      <c r="A32" s="16">
        <v>192</v>
      </c>
      <c r="B32" s="143" t="s">
        <v>57</v>
      </c>
      <c r="C32" s="143" t="s">
        <v>60</v>
      </c>
      <c r="D32" s="143" t="s">
        <v>36</v>
      </c>
      <c r="E32" s="144">
        <f>SUMPRODUCT((TableBOM[Item ID]=A32)*TableBOM[Per 1000 Units]*(1+TableBOM[Scrap %])*((SUMIF($D$3:$D$7,TableBOM[Product ID],$H$3:$H$7))&gt;0)*(SUMIF($D$3:$D$7,TableBOM[Product ID],$H$3:$H$7))/1000)</f>
        <v>0</v>
      </c>
      <c r="F32" s="144">
        <f>IFERROR(INDEX(TableInventory[Store Balance],MATCH(A32,TableInventory[Item ID],0)),0)+IFERROR(INDEX(TableInventory[WIP],MATCH(A32,TableInventory[Item ID],0)),0)</f>
        <v>50</v>
      </c>
      <c r="G32" s="144">
        <f t="shared" si="0"/>
        <v>50</v>
      </c>
      <c r="H32" s="151" t="str">
        <f>IFERROR(IF(SUMPRODUCT((TableBOM[Item ID]=A32)*((SUMIF($D$3:$D$7,TableBOM[Product ID],$H$3:$H$7))&gt;0)*(SUMIF($D$3:$D$7,TableBOM[Product ID],$H$3:$H$7))*TableBOM[Per 1000 Units]*(1+TableBOM[Scrap %]))=0,"-",ROUND(F32*1000*SUMPRODUCT((TableBOM[Item ID]=A32)*((SUMIF($D$3:$D$7,TableBOM[Product ID],$H$3:$H$7))&gt;0)*(SUMIF($D$3:$D$7,TableBOM[Product ID],$H$3:$H$7)))/SUMPRODUCT((TableBOM[Item ID]=A32)*((SUMIF($D$3:$D$7,TableBOM[Product ID],$H$3:$H$7))&gt;0)*(SUMIF($D$3:$D$7,TableBOM[Product ID],$H$3:$H$7))*TableBOM[Per 1000 Units]*(1+TableBOM[Scrap %])),0)),"-")</f>
        <v>-</v>
      </c>
      <c r="I32" s="146" t="str">
        <f t="shared" si="1"/>
        <v>Not needed</v>
      </c>
      <c r="J32" s="151" t="str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",""))-2),"")</f>
        <v/>
      </c>
      <c r="L32" s="11"/>
      <c r="M32" s="11"/>
      <c r="N32" s="11"/>
      <c r="O32" s="11"/>
      <c r="P32" s="11"/>
      <c r="Q32" s="11"/>
      <c r="R32" s="11"/>
      <c r="S32" s="2"/>
    </row>
    <row r="33" spans="1:19" x14ac:dyDescent="0.25">
      <c r="A33" s="16">
        <v>3595</v>
      </c>
      <c r="B33" s="143" t="s">
        <v>57</v>
      </c>
      <c r="C33" s="143" t="s">
        <v>61</v>
      </c>
      <c r="D33" s="143" t="s">
        <v>36</v>
      </c>
      <c r="E33" s="144">
        <f>SUMPRODUCT((TableBOM[Item ID]=A33)*TableBOM[Per 1000 Units]*(1+TableBOM[Scrap %])*((SUMIF($D$3:$D$7,TableBOM[Product ID],$H$3:$H$7))&gt;0)*(SUMIF($D$3:$D$7,TableBOM[Product ID],$H$3:$H$7))/1000)</f>
        <v>302.46091392000005</v>
      </c>
      <c r="F33" s="144">
        <f>IFERROR(INDEX(TableInventory[Store Balance],MATCH(A33,TableInventory[Item ID],0)),0)+IFERROR(INDEX(TableInventory[WIP],MATCH(A33,TableInventory[Item ID],0)),0)</f>
        <v>150</v>
      </c>
      <c r="G33" s="144">
        <f t="shared" si="0"/>
        <v>-152.46091392000005</v>
      </c>
      <c r="H33" s="151">
        <f>IFERROR(IF(SUMPRODUCT((TableBOM[Item ID]=A33)*((SUMIF($D$3:$D$7,TableBOM[Product ID],$H$3:$H$7))&gt;0)*(SUMIF($D$3:$D$7,TableBOM[Product ID],$H$3:$H$7))*TableBOM[Per 1000 Units]*(1+TableBOM[Scrap %]))=0,"-",ROUND(F33*1000*SUMPRODUCT((TableBOM[Item ID]=A33)*((SUMIF($D$3:$D$7,TableBOM[Product ID],$H$3:$H$7))&gt;0)*(SUMIF($D$3:$D$7,TableBOM[Product ID],$H$3:$H$7)))/SUMPRODUCT((TableBOM[Item ID]=A33)*((SUMIF($D$3:$D$7,TableBOM[Product ID],$H$3:$H$7))&gt;0)*(SUMIF($D$3:$D$7,TableBOM[Product ID],$H$3:$H$7))*TableBOM[Per 1000 Units]*(1+TableBOM[Scrap %])),0)),"-")</f>
        <v>201424</v>
      </c>
      <c r="I33" s="146" t="str">
        <f t="shared" si="1"/>
        <v>SHORTAGE</v>
      </c>
      <c r="J33" s="152" t="str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",""))-2),"")</f>
        <v>VINCE HIS ONLY BEARD &amp; MUSTACHE COLOR CREAM, TUBES COMMON RED, VINCE NURTURAL, HELLO HAIR COLOR, H.H 100GM</v>
      </c>
      <c r="L33" s="11"/>
      <c r="M33" s="11"/>
      <c r="N33" s="11"/>
      <c r="O33" s="11"/>
      <c r="P33" s="11"/>
      <c r="Q33" s="11"/>
      <c r="R33" s="11"/>
      <c r="S33" s="2"/>
    </row>
    <row r="34" spans="1:19" hidden="1" x14ac:dyDescent="0.25">
      <c r="A34" s="16">
        <v>3869</v>
      </c>
      <c r="B34" s="143" t="s">
        <v>57</v>
      </c>
      <c r="C34" s="143" t="s">
        <v>62</v>
      </c>
      <c r="D34" s="143" t="s">
        <v>36</v>
      </c>
      <c r="E34" s="144">
        <f>SUMPRODUCT((TableBOM[Item ID]=A34)*TableBOM[Per 1000 Units]*(1+TableBOM[Scrap %])*((SUMIF($D$3:$D$7,TableBOM[Product ID],$H$3:$H$7))&gt;0)*(SUMIF($D$3:$D$7,TableBOM[Product ID],$H$3:$H$7))/1000)</f>
        <v>0</v>
      </c>
      <c r="F34" s="144">
        <f>IFERROR(INDEX(TableInventory[Store Balance],MATCH(A34,TableInventory[Item ID],0)),0)+IFERROR(INDEX(TableInventory[WIP],MATCH(A34,TableInventory[Item ID],0)),0)</f>
        <v>60</v>
      </c>
      <c r="G34" s="144">
        <f t="shared" si="0"/>
        <v>60</v>
      </c>
      <c r="H34" s="151" t="str">
        <f>IFERROR(IF(SUMPRODUCT((TableBOM[Item ID]=A34)*((SUMIF($D$3:$D$7,TableBOM[Product ID],$H$3:$H$7))&gt;0)*(SUMIF($D$3:$D$7,TableBOM[Product ID],$H$3:$H$7))*TableBOM[Per 1000 Units]*(1+TableBOM[Scrap %]))=0,"-",ROUND(F34*1000*SUMPRODUCT((TableBOM[Item ID]=A34)*((SUMIF($D$3:$D$7,TableBOM[Product ID],$H$3:$H$7))&gt;0)*(SUMIF($D$3:$D$7,TableBOM[Product ID],$H$3:$H$7)))/SUMPRODUCT((TableBOM[Item ID]=A34)*((SUMIF($D$3:$D$7,TableBOM[Product ID],$H$3:$H$7))&gt;0)*(SUMIF($D$3:$D$7,TableBOM[Product ID],$H$3:$H$7))*TableBOM[Per 1000 Units]*(1+TableBOM[Scrap %])),0)),"-")</f>
        <v>-</v>
      </c>
      <c r="I34" s="146" t="str">
        <f t="shared" si="1"/>
        <v>Not needed</v>
      </c>
      <c r="J34" s="151" t="str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",""))-2),"")</f>
        <v/>
      </c>
      <c r="L34" s="11"/>
      <c r="M34" s="11"/>
      <c r="N34" s="11"/>
      <c r="O34" s="11"/>
      <c r="P34" s="11"/>
      <c r="Q34" s="11"/>
      <c r="R34" s="11"/>
      <c r="S34" s="2"/>
    </row>
    <row r="35" spans="1:19" hidden="1" x14ac:dyDescent="0.25">
      <c r="A35" s="16">
        <v>4156</v>
      </c>
      <c r="B35" s="143" t="s">
        <v>57</v>
      </c>
      <c r="C35" s="143" t="s">
        <v>63</v>
      </c>
      <c r="D35" s="143" t="s">
        <v>36</v>
      </c>
      <c r="E35" s="144">
        <f>SUMPRODUCT((TableBOM[Item ID]=A35)*TableBOM[Per 1000 Units]*(1+TableBOM[Scrap %])*((SUMIF($D$3:$D$7,TableBOM[Product ID],$H$3:$H$7))&gt;0)*(SUMIF($D$3:$D$7,TableBOM[Product ID],$H$3:$H$7))/1000)</f>
        <v>0</v>
      </c>
      <c r="F35" s="144">
        <f>IFERROR(INDEX(TableInventory[Store Balance],MATCH(A35,TableInventory[Item ID],0)),0)+IFERROR(INDEX(TableInventory[WIP],MATCH(A35,TableInventory[Item ID],0)),0)</f>
        <v>0</v>
      </c>
      <c r="G35" s="144">
        <f t="shared" si="0"/>
        <v>0</v>
      </c>
      <c r="H35" s="151" t="str">
        <f>IFERROR(IF(SUMPRODUCT((TableBOM[Item ID]=A35)*((SUMIF($D$3:$D$7,TableBOM[Product ID],$H$3:$H$7))&gt;0)*(SUMIF($D$3:$D$7,TableBOM[Product ID],$H$3:$H$7))*TableBOM[Per 1000 Units]*(1+TableBOM[Scrap %]))=0,"-",ROUND(F35*1000*SUMPRODUCT((TableBOM[Item ID]=A35)*((SUMIF($D$3:$D$7,TableBOM[Product ID],$H$3:$H$7))&gt;0)*(SUMIF($D$3:$D$7,TableBOM[Product ID],$H$3:$H$7)))/SUMPRODUCT((TableBOM[Item ID]=A35)*((SUMIF($D$3:$D$7,TableBOM[Product ID],$H$3:$H$7))&gt;0)*(SUMIF($D$3:$D$7,TableBOM[Product ID],$H$3:$H$7))*TableBOM[Per 1000 Units]*(1+TableBOM[Scrap %])),0)),"-")</f>
        <v>-</v>
      </c>
      <c r="I35" s="146" t="str">
        <f t="shared" si="1"/>
        <v>Not needed</v>
      </c>
      <c r="J35" s="151" t="str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",""))-2),"")</f>
        <v/>
      </c>
    </row>
    <row r="36" spans="1:19" hidden="1" x14ac:dyDescent="0.25">
      <c r="A36" s="16">
        <v>4157</v>
      </c>
      <c r="B36" s="143" t="s">
        <v>57</v>
      </c>
      <c r="C36" s="143" t="s">
        <v>64</v>
      </c>
      <c r="D36" s="143" t="s">
        <v>36</v>
      </c>
      <c r="E36" s="144">
        <f>SUMPRODUCT((TableBOM[Item ID]=A36)*TableBOM[Per 1000 Units]*(1+TableBOM[Scrap %])*((SUMIF($D$3:$D$7,TableBOM[Product ID],$H$3:$H$7))&gt;0)*(SUMIF($D$3:$D$7,TableBOM[Product ID],$H$3:$H$7))/1000)</f>
        <v>0</v>
      </c>
      <c r="F36" s="144">
        <f>IFERROR(INDEX(TableInventory[Store Balance],MATCH(A36,TableInventory[Item ID],0)),0)+IFERROR(INDEX(TableInventory[WIP],MATCH(A36,TableInventory[Item ID],0)),0)</f>
        <v>240</v>
      </c>
      <c r="G36" s="144">
        <f t="shared" si="0"/>
        <v>240</v>
      </c>
      <c r="H36" s="151" t="str">
        <f>IFERROR(IF(SUMPRODUCT((TableBOM[Item ID]=A36)*((SUMIF($D$3:$D$7,TableBOM[Product ID],$H$3:$H$7))&gt;0)*(SUMIF($D$3:$D$7,TableBOM[Product ID],$H$3:$H$7))*TableBOM[Per 1000 Units]*(1+TableBOM[Scrap %]))=0,"-",ROUND(F36*1000*SUMPRODUCT((TableBOM[Item ID]=A36)*((SUMIF($D$3:$D$7,TableBOM[Product ID],$H$3:$H$7))&gt;0)*(SUMIF($D$3:$D$7,TableBOM[Product ID],$H$3:$H$7)))/SUMPRODUCT((TableBOM[Item ID]=A36)*((SUMIF($D$3:$D$7,TableBOM[Product ID],$H$3:$H$7))&gt;0)*(SUMIF($D$3:$D$7,TableBOM[Product ID],$H$3:$H$7))*TableBOM[Per 1000 Units]*(1+TableBOM[Scrap %])),0)),"-")</f>
        <v>-</v>
      </c>
      <c r="I36" s="146" t="str">
        <f t="shared" si="1"/>
        <v>Not needed</v>
      </c>
      <c r="J36" s="151" t="str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",""))-2),"")</f>
        <v/>
      </c>
    </row>
    <row r="37" spans="1:19" hidden="1" x14ac:dyDescent="0.25">
      <c r="A37" s="16">
        <v>5895</v>
      </c>
      <c r="B37" s="143" t="s">
        <v>57</v>
      </c>
      <c r="C37" s="143" t="s">
        <v>65</v>
      </c>
      <c r="D37" s="143" t="s">
        <v>36</v>
      </c>
      <c r="E37" s="144">
        <f>SUMPRODUCT((TableBOM[Item ID]=A37)*TableBOM[Per 1000 Units]*(1+TableBOM[Scrap %])*((SUMIF($D$3:$D$7,TableBOM[Product ID],$H$3:$H$7))&gt;0)*(SUMIF($D$3:$D$7,TableBOM[Product ID],$H$3:$H$7))/1000)</f>
        <v>0</v>
      </c>
      <c r="F37" s="144">
        <f>IFERROR(INDEX(TableInventory[Store Balance],MATCH(A37,TableInventory[Item ID],0)),0)+IFERROR(INDEX(TableInventory[WIP],MATCH(A37,TableInventory[Item ID],0)),0)</f>
        <v>50</v>
      </c>
      <c r="G37" s="144">
        <f t="shared" si="0"/>
        <v>50</v>
      </c>
      <c r="H37" s="151" t="str">
        <f>IFERROR(IF(SUMPRODUCT((TableBOM[Item ID]=A37)*((SUMIF($D$3:$D$7,TableBOM[Product ID],$H$3:$H$7))&gt;0)*(SUMIF($D$3:$D$7,TableBOM[Product ID],$H$3:$H$7))*TableBOM[Per 1000 Units]*(1+TableBOM[Scrap %]))=0,"-",ROUND(F37*1000*SUMPRODUCT((TableBOM[Item ID]=A37)*((SUMIF($D$3:$D$7,TableBOM[Product ID],$H$3:$H$7))&gt;0)*(SUMIF($D$3:$D$7,TableBOM[Product ID],$H$3:$H$7)))/SUMPRODUCT((TableBOM[Item ID]=A37)*((SUMIF($D$3:$D$7,TableBOM[Product ID],$H$3:$H$7))&gt;0)*(SUMIF($D$3:$D$7,TableBOM[Product ID],$H$3:$H$7))*TableBOM[Per 1000 Units]*(1+TableBOM[Scrap %])),0)),"-")</f>
        <v>-</v>
      </c>
      <c r="I37" s="146" t="str">
        <f t="shared" si="1"/>
        <v>Not needed</v>
      </c>
      <c r="J37" s="151" t="str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",""))-2),"")</f>
        <v/>
      </c>
      <c r="L37" s="11"/>
      <c r="M37" s="11"/>
      <c r="N37" s="11"/>
      <c r="O37" s="11"/>
      <c r="P37" s="11"/>
      <c r="Q37" s="11"/>
      <c r="R37" s="11"/>
      <c r="S37" s="2"/>
    </row>
    <row r="38" spans="1:19" hidden="1" x14ac:dyDescent="0.25">
      <c r="A38" s="16">
        <v>5974</v>
      </c>
      <c r="B38" s="143" t="s">
        <v>57</v>
      </c>
      <c r="C38" s="143" t="s">
        <v>66</v>
      </c>
      <c r="D38" s="143" t="s">
        <v>53</v>
      </c>
      <c r="E38" s="144">
        <f>SUMPRODUCT((TableBOM[Item ID]=A38)*TableBOM[Per 1000 Units]*(1+TableBOM[Scrap %])*((SUMIF($D$3:$D$7,TableBOM[Product ID],$H$3:$H$7))&gt;0)*(SUMIF($D$3:$D$7,TableBOM[Product ID],$H$3:$H$7))/1000)</f>
        <v>0</v>
      </c>
      <c r="F38" s="144">
        <f>IFERROR(INDEX(TableInventory[Store Balance],MATCH(A38,TableInventory[Item ID],0)),0)+IFERROR(INDEX(TableInventory[WIP],MATCH(A38,TableInventory[Item ID],0)),0)</f>
        <v>75</v>
      </c>
      <c r="G38" s="144">
        <f t="shared" si="0"/>
        <v>75</v>
      </c>
      <c r="H38" s="151" t="str">
        <f>IFERROR(IF(SUMPRODUCT((TableBOM[Item ID]=A38)*((SUMIF($D$3:$D$7,TableBOM[Product ID],$H$3:$H$7))&gt;0)*(SUMIF($D$3:$D$7,TableBOM[Product ID],$H$3:$H$7))*TableBOM[Per 1000 Units]*(1+TableBOM[Scrap %]))=0,"-",ROUND(F38*1000*SUMPRODUCT((TableBOM[Item ID]=A38)*((SUMIF($D$3:$D$7,TableBOM[Product ID],$H$3:$H$7))&gt;0)*(SUMIF($D$3:$D$7,TableBOM[Product ID],$H$3:$H$7)))/SUMPRODUCT((TableBOM[Item ID]=A38)*((SUMIF($D$3:$D$7,TableBOM[Product ID],$H$3:$H$7))&gt;0)*(SUMIF($D$3:$D$7,TableBOM[Product ID],$H$3:$H$7))*TableBOM[Per 1000 Units]*(1+TableBOM[Scrap %])),0)),"-")</f>
        <v>-</v>
      </c>
      <c r="I38" s="146" t="str">
        <f t="shared" si="1"/>
        <v>Not needed</v>
      </c>
      <c r="J38" s="151" t="str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",""))-2),"")</f>
        <v/>
      </c>
    </row>
    <row r="39" spans="1:19" hidden="1" x14ac:dyDescent="0.25">
      <c r="A39" s="16">
        <v>177</v>
      </c>
      <c r="B39" s="143" t="s">
        <v>57</v>
      </c>
      <c r="C39" s="143" t="s">
        <v>67</v>
      </c>
      <c r="D39" s="143" t="s">
        <v>36</v>
      </c>
      <c r="E39" s="144">
        <f>SUMPRODUCT((TableBOM[Item ID]=A39)*TableBOM[Per 1000 Units]*(1+TableBOM[Scrap %])*((SUMIF($D$3:$D$7,TableBOM[Product ID],$H$3:$H$7))&gt;0)*(SUMIF($D$3:$D$7,TableBOM[Product ID],$H$3:$H$7))/1000)</f>
        <v>0</v>
      </c>
      <c r="F39" s="144">
        <f>IFERROR(INDEX(TableInventory[Store Balance],MATCH(A39,TableInventory[Item ID],0)),0)+IFERROR(INDEX(TableInventory[WIP],MATCH(A39,TableInventory[Item ID],0)),0)</f>
        <v>450</v>
      </c>
      <c r="G39" s="144">
        <f t="shared" si="0"/>
        <v>450</v>
      </c>
      <c r="H39" s="151" t="str">
        <f>IFERROR(IF(SUMPRODUCT((TableBOM[Item ID]=A39)*((SUMIF($D$3:$D$7,TableBOM[Product ID],$H$3:$H$7))&gt;0)*(SUMIF($D$3:$D$7,TableBOM[Product ID],$H$3:$H$7))*TableBOM[Per 1000 Units]*(1+TableBOM[Scrap %]))=0,"-",ROUND(F39*1000*SUMPRODUCT((TableBOM[Item ID]=A39)*((SUMIF($D$3:$D$7,TableBOM[Product ID],$H$3:$H$7))&gt;0)*(SUMIF($D$3:$D$7,TableBOM[Product ID],$H$3:$H$7)))/SUMPRODUCT((TableBOM[Item ID]=A39)*((SUMIF($D$3:$D$7,TableBOM[Product ID],$H$3:$H$7))&gt;0)*(SUMIF($D$3:$D$7,TableBOM[Product ID],$H$3:$H$7))*TableBOM[Per 1000 Units]*(1+TableBOM[Scrap %])),0)),"-")</f>
        <v>-</v>
      </c>
      <c r="I39" s="146" t="str">
        <f t="shared" si="1"/>
        <v>Not needed</v>
      </c>
      <c r="J39" s="151" t="str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",""))-2),"")</f>
        <v/>
      </c>
    </row>
    <row r="40" spans="1:19" hidden="1" x14ac:dyDescent="0.25">
      <c r="A40" s="16">
        <v>6132</v>
      </c>
      <c r="B40" s="143" t="s">
        <v>57</v>
      </c>
      <c r="C40" s="143" t="s">
        <v>68</v>
      </c>
      <c r="D40" s="143" t="s">
        <v>36</v>
      </c>
      <c r="E40" s="144">
        <f>SUMPRODUCT((TableBOM[Item ID]=A40)*TableBOM[Per 1000 Units]*(1+TableBOM[Scrap %])*((SUMIF($D$3:$D$7,TableBOM[Product ID],$H$3:$H$7))&gt;0)*(SUMIF($D$3:$D$7,TableBOM[Product ID],$H$3:$H$7))/1000)</f>
        <v>0</v>
      </c>
      <c r="F40" s="144">
        <f>IFERROR(INDEX(TableInventory[Store Balance],MATCH(A40,TableInventory[Item ID],0)),0)+IFERROR(INDEX(TableInventory[WIP],MATCH(A40,TableInventory[Item ID],0)),0)</f>
        <v>60</v>
      </c>
      <c r="G40" s="144">
        <f t="shared" si="0"/>
        <v>60</v>
      </c>
      <c r="H40" s="151" t="str">
        <f>IFERROR(IF(SUMPRODUCT((TableBOM[Item ID]=A40)*((SUMIF($D$3:$D$7,TableBOM[Product ID],$H$3:$H$7))&gt;0)*(SUMIF($D$3:$D$7,TableBOM[Product ID],$H$3:$H$7))*TableBOM[Per 1000 Units]*(1+TableBOM[Scrap %]))=0,"-",ROUND(F40*1000*SUMPRODUCT((TableBOM[Item ID]=A40)*((SUMIF($D$3:$D$7,TableBOM[Product ID],$H$3:$H$7))&gt;0)*(SUMIF($D$3:$D$7,TableBOM[Product ID],$H$3:$H$7)))/SUMPRODUCT((TableBOM[Item ID]=A40)*((SUMIF($D$3:$D$7,TableBOM[Product ID],$H$3:$H$7))&gt;0)*(SUMIF($D$3:$D$7,TableBOM[Product ID],$H$3:$H$7))*TableBOM[Per 1000 Units]*(1+TableBOM[Scrap %])),0)),"-")</f>
        <v>-</v>
      </c>
      <c r="I40" s="146" t="str">
        <f t="shared" si="1"/>
        <v>Not needed</v>
      </c>
      <c r="J40" s="151" t="str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",""))-2),"")</f>
        <v/>
      </c>
    </row>
    <row r="41" spans="1:19" x14ac:dyDescent="0.25">
      <c r="A41" s="16">
        <v>186</v>
      </c>
      <c r="B41" s="143" t="s">
        <v>69</v>
      </c>
      <c r="C41" s="143" t="s">
        <v>70</v>
      </c>
      <c r="D41" s="143" t="s">
        <v>36</v>
      </c>
      <c r="E41" s="144">
        <f>SUMPRODUCT((TableBOM[Item ID]=A41)*TableBOM[Per 1000 Units]*(1+TableBOM[Scrap %])*((SUMIF($D$3:$D$7,TableBOM[Product ID],$H$3:$H$7))&gt;0)*(SUMIF($D$3:$D$7,TableBOM[Product ID],$H$3:$H$7))/1000)</f>
        <v>161.546176</v>
      </c>
      <c r="F41" s="144">
        <f>IFERROR(INDEX(TableInventory[Store Balance],MATCH(A41,TableInventory[Item ID],0)),0)+IFERROR(INDEX(TableInventory[WIP],MATCH(A41,TableInventory[Item ID],0)),0)</f>
        <v>405</v>
      </c>
      <c r="G41" s="144">
        <f t="shared" si="0"/>
        <v>243.453824</v>
      </c>
      <c r="H41" s="151">
        <f>IFERROR(IF(SUMPRODUCT((TableBOM[Item ID]=A41)*((SUMIF($D$3:$D$7,TableBOM[Product ID],$H$3:$H$7))&gt;0)*(SUMIF($D$3:$D$7,TableBOM[Product ID],$H$3:$H$7))*TableBOM[Per 1000 Units]*(1+TableBOM[Scrap %]))=0,"-",ROUND(F41*1000*SUMPRODUCT((TableBOM[Item ID]=A41)*((SUMIF($D$3:$D$7,TableBOM[Product ID],$H$3:$H$7))&gt;0)*(SUMIF($D$3:$D$7,TableBOM[Product ID],$H$3:$H$7)))/SUMPRODUCT((TableBOM[Item ID]=A41)*((SUMIF($D$3:$D$7,TableBOM[Product ID],$H$3:$H$7))&gt;0)*(SUMIF($D$3:$D$7,TableBOM[Product ID],$H$3:$H$7))*TableBOM[Per 1000 Units]*(1+TableBOM[Scrap %])),0)),"-")</f>
        <v>887867</v>
      </c>
      <c r="I41" s="146" t="str">
        <f t="shared" si="1"/>
        <v>OK</v>
      </c>
      <c r="J41" s="152" t="str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",""))-2),"")</f>
        <v>VINCE NURTURAL, HELLO HAIR COLOR, H.H 100GM</v>
      </c>
    </row>
    <row r="42" spans="1:19" hidden="1" x14ac:dyDescent="0.25">
      <c r="A42" s="16">
        <v>69</v>
      </c>
      <c r="B42" s="143" t="s">
        <v>71</v>
      </c>
      <c r="C42" s="143" t="s">
        <v>72</v>
      </c>
      <c r="D42" s="143" t="s">
        <v>73</v>
      </c>
      <c r="E42" s="144">
        <f>SUMPRODUCT((TableBOM[Item ID]=A42)*TableBOM[Per 1000 Units]*(1+TableBOM[Scrap %])*((SUMIF($D$3:$D$7,TableBOM[Product ID],$H$3:$H$7))&gt;0)*(SUMIF($D$3:$D$7,TableBOM[Product ID],$H$3:$H$7))/1000)</f>
        <v>0</v>
      </c>
      <c r="F42" s="144">
        <f>IFERROR(INDEX(TableInventory[Store Balance],MATCH(A42,TableInventory[Item ID],0)),0)+IFERROR(INDEX(TableInventory[WIP],MATCH(A42,TableInventory[Item ID],0)),0)</f>
        <v>0</v>
      </c>
      <c r="G42" s="144">
        <f t="shared" si="0"/>
        <v>0</v>
      </c>
      <c r="H42" s="151" t="str">
        <f>IFERROR(IF(SUMPRODUCT((TableBOM[Item ID]=A42)*((SUMIF($D$3:$D$7,TableBOM[Product ID],$H$3:$H$7))&gt;0)*(SUMIF($D$3:$D$7,TableBOM[Product ID],$H$3:$H$7))*TableBOM[Per 1000 Units]*(1+TableBOM[Scrap %]))=0,"-",ROUND(F42*1000*SUMPRODUCT((TableBOM[Item ID]=A42)*((SUMIF($D$3:$D$7,TableBOM[Product ID],$H$3:$H$7))&gt;0)*(SUMIF($D$3:$D$7,TableBOM[Product ID],$H$3:$H$7)))/SUMPRODUCT((TableBOM[Item ID]=A42)*((SUMIF($D$3:$D$7,TableBOM[Product ID],$H$3:$H$7))&gt;0)*(SUMIF($D$3:$D$7,TableBOM[Product ID],$H$3:$H$7))*TableBOM[Per 1000 Units]*(1+TableBOM[Scrap %])),0)),"-")</f>
        <v>-</v>
      </c>
      <c r="I42" s="146" t="str">
        <f t="shared" si="1"/>
        <v>Not needed</v>
      </c>
      <c r="J42" s="151" t="str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",""))-2),"")</f>
        <v/>
      </c>
    </row>
    <row r="43" spans="1:19" hidden="1" x14ac:dyDescent="0.25">
      <c r="A43" s="16">
        <v>99</v>
      </c>
      <c r="B43" s="143" t="s">
        <v>71</v>
      </c>
      <c r="C43" s="143" t="s">
        <v>74</v>
      </c>
      <c r="D43" s="143" t="s">
        <v>73</v>
      </c>
      <c r="E43" s="144">
        <f>SUMPRODUCT((TableBOM[Item ID]=A43)*TableBOM[Per 1000 Units]*(1+TableBOM[Scrap %])*((SUMIF($D$3:$D$7,TableBOM[Product ID],$H$3:$H$7))&gt;0)*(SUMIF($D$3:$D$7,TableBOM[Product ID],$H$3:$H$7))/1000)</f>
        <v>0</v>
      </c>
      <c r="F43" s="144">
        <f>IFERROR(INDEX(TableInventory[Store Balance],MATCH(A43,TableInventory[Item ID],0)),0)+IFERROR(INDEX(TableInventory[WIP],MATCH(A43,TableInventory[Item ID],0)),0)</f>
        <v>10000</v>
      </c>
      <c r="G43" s="144">
        <f t="shared" ref="G43:G74" si="2">F43-E43</f>
        <v>10000</v>
      </c>
      <c r="H43" s="151" t="str">
        <f>IFERROR(IF(SUMPRODUCT((TableBOM[Item ID]=A43)*((SUMIF($D$3:$D$7,TableBOM[Product ID],$H$3:$H$7))&gt;0)*(SUMIF($D$3:$D$7,TableBOM[Product ID],$H$3:$H$7))*TableBOM[Per 1000 Units]*(1+TableBOM[Scrap %]))=0,"-",ROUND(F43*1000*SUMPRODUCT((TableBOM[Item ID]=A43)*((SUMIF($D$3:$D$7,TableBOM[Product ID],$H$3:$H$7))&gt;0)*(SUMIF($D$3:$D$7,TableBOM[Product ID],$H$3:$H$7)))/SUMPRODUCT((TableBOM[Item ID]=A43)*((SUMIF($D$3:$D$7,TableBOM[Product ID],$H$3:$H$7))&gt;0)*(SUMIF($D$3:$D$7,TableBOM[Product ID],$H$3:$H$7))*TableBOM[Per 1000 Units]*(1+TableBOM[Scrap %])),0)),"-")</f>
        <v>-</v>
      </c>
      <c r="I43" s="146" t="str">
        <f t="shared" ref="I43:I74" si="3">IF(E43=0,"Not needed",IF(G43&lt;0,"SHORTAGE",IF(G43&lt;E43*0.1,"LOW","OK")))</f>
        <v>Not needed</v>
      </c>
      <c r="J43" s="151" t="str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",""))-2),"")</f>
        <v/>
      </c>
      <c r="L43" s="11"/>
      <c r="M43" s="11"/>
      <c r="N43" s="11"/>
      <c r="O43" s="11"/>
      <c r="P43" s="11"/>
      <c r="Q43" s="11"/>
      <c r="R43" s="11"/>
      <c r="S43" s="2"/>
    </row>
    <row r="44" spans="1:19" hidden="1" x14ac:dyDescent="0.25">
      <c r="A44" s="16">
        <v>72</v>
      </c>
      <c r="B44" s="143" t="s">
        <v>71</v>
      </c>
      <c r="C44" s="143" t="s">
        <v>75</v>
      </c>
      <c r="D44" s="143" t="s">
        <v>73</v>
      </c>
      <c r="E44" s="144">
        <f>SUMPRODUCT((TableBOM[Item ID]=A44)*TableBOM[Per 1000 Units]*(1+TableBOM[Scrap %])*((SUMIF($D$3:$D$7,TableBOM[Product ID],$H$3:$H$7))&gt;0)*(SUMIF($D$3:$D$7,TableBOM[Product ID],$H$3:$H$7))/1000)</f>
        <v>0</v>
      </c>
      <c r="F44" s="144">
        <f>IFERROR(INDEX(TableInventory[Store Balance],MATCH(A44,TableInventory[Item ID],0)),0)+IFERROR(INDEX(TableInventory[WIP],MATCH(A44,TableInventory[Item ID],0)),0)</f>
        <v>23741</v>
      </c>
      <c r="G44" s="144">
        <f t="shared" si="2"/>
        <v>23741</v>
      </c>
      <c r="H44" s="151" t="str">
        <f>IFERROR(IF(SUMPRODUCT((TableBOM[Item ID]=A44)*((SUMIF($D$3:$D$7,TableBOM[Product ID],$H$3:$H$7))&gt;0)*(SUMIF($D$3:$D$7,TableBOM[Product ID],$H$3:$H$7))*TableBOM[Per 1000 Units]*(1+TableBOM[Scrap %]))=0,"-",ROUND(F44*1000*SUMPRODUCT((TableBOM[Item ID]=A44)*((SUMIF($D$3:$D$7,TableBOM[Product ID],$H$3:$H$7))&gt;0)*(SUMIF($D$3:$D$7,TableBOM[Product ID],$H$3:$H$7)))/SUMPRODUCT((TableBOM[Item ID]=A44)*((SUMIF($D$3:$D$7,TableBOM[Product ID],$H$3:$H$7))&gt;0)*(SUMIF($D$3:$D$7,TableBOM[Product ID],$H$3:$H$7))*TableBOM[Per 1000 Units]*(1+TableBOM[Scrap %])),0)),"-")</f>
        <v>-</v>
      </c>
      <c r="I44" s="146" t="str">
        <f t="shared" si="3"/>
        <v>Not needed</v>
      </c>
      <c r="J44" s="151" t="str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",""))-2),"")</f>
        <v/>
      </c>
      <c r="L44" s="11"/>
      <c r="M44" s="11"/>
      <c r="N44" s="11"/>
      <c r="O44" s="11"/>
      <c r="P44" s="11"/>
      <c r="Q44" s="11"/>
      <c r="R44" s="11"/>
      <c r="S44" s="2"/>
    </row>
    <row r="45" spans="1:19" hidden="1" x14ac:dyDescent="0.25">
      <c r="A45" s="16">
        <v>79</v>
      </c>
      <c r="B45" s="143" t="s">
        <v>71</v>
      </c>
      <c r="C45" s="143" t="s">
        <v>76</v>
      </c>
      <c r="D45" s="143" t="s">
        <v>73</v>
      </c>
      <c r="E45" s="144">
        <f>SUMPRODUCT((TableBOM[Item ID]=A45)*TableBOM[Per 1000 Units]*(1+TableBOM[Scrap %])*((SUMIF($D$3:$D$7,TableBOM[Product ID],$H$3:$H$7))&gt;0)*(SUMIF($D$3:$D$7,TableBOM[Product ID],$H$3:$H$7))/1000)</f>
        <v>0</v>
      </c>
      <c r="F45" s="144">
        <f>IFERROR(INDEX(TableInventory[Store Balance],MATCH(A45,TableInventory[Item ID],0)),0)+IFERROR(INDEX(TableInventory[WIP],MATCH(A45,TableInventory[Item ID],0)),0)</f>
        <v>0</v>
      </c>
      <c r="G45" s="144">
        <f t="shared" si="2"/>
        <v>0</v>
      </c>
      <c r="H45" s="151" t="str">
        <f>IFERROR(IF(SUMPRODUCT((TableBOM[Item ID]=A45)*((SUMIF($D$3:$D$7,TableBOM[Product ID],$H$3:$H$7))&gt;0)*(SUMIF($D$3:$D$7,TableBOM[Product ID],$H$3:$H$7))*TableBOM[Per 1000 Units]*(1+TableBOM[Scrap %]))=0,"-",ROUND(F45*1000*SUMPRODUCT((TableBOM[Item ID]=A45)*((SUMIF($D$3:$D$7,TableBOM[Product ID],$H$3:$H$7))&gt;0)*(SUMIF($D$3:$D$7,TableBOM[Product ID],$H$3:$H$7)))/SUMPRODUCT((TableBOM[Item ID]=A45)*((SUMIF($D$3:$D$7,TableBOM[Product ID],$H$3:$H$7))&gt;0)*(SUMIF($D$3:$D$7,TableBOM[Product ID],$H$3:$H$7))*TableBOM[Per 1000 Units]*(1+TableBOM[Scrap %])),0)),"-")</f>
        <v>-</v>
      </c>
      <c r="I45" s="146" t="str">
        <f t="shared" si="3"/>
        <v>Not needed</v>
      </c>
      <c r="J45" s="151" t="str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",""))-2),"")</f>
        <v/>
      </c>
      <c r="L45" s="11"/>
      <c r="M45" s="11"/>
      <c r="N45" s="11"/>
      <c r="O45" s="11"/>
      <c r="P45" s="11"/>
      <c r="Q45" s="11"/>
      <c r="R45" s="11"/>
      <c r="S45" s="2"/>
    </row>
    <row r="46" spans="1:19" hidden="1" x14ac:dyDescent="0.25">
      <c r="A46" s="16">
        <v>80</v>
      </c>
      <c r="B46" s="143" t="s">
        <v>71</v>
      </c>
      <c r="C46" s="143" t="s">
        <v>77</v>
      </c>
      <c r="D46" s="143" t="s">
        <v>73</v>
      </c>
      <c r="E46" s="144">
        <f>SUMPRODUCT((TableBOM[Item ID]=A46)*TableBOM[Per 1000 Units]*(1+TableBOM[Scrap %])*((SUMIF($D$3:$D$7,TableBOM[Product ID],$H$3:$H$7))&gt;0)*(SUMIF($D$3:$D$7,TableBOM[Product ID],$H$3:$H$7))/1000)</f>
        <v>0</v>
      </c>
      <c r="F46" s="144">
        <f>IFERROR(INDEX(TableInventory[Store Balance],MATCH(A46,TableInventory[Item ID],0)),0)+IFERROR(INDEX(TableInventory[WIP],MATCH(A46,TableInventory[Item ID],0)),0)</f>
        <v>0</v>
      </c>
      <c r="G46" s="144">
        <f t="shared" si="2"/>
        <v>0</v>
      </c>
      <c r="H46" s="151" t="str">
        <f>IFERROR(IF(SUMPRODUCT((TableBOM[Item ID]=A46)*((SUMIF($D$3:$D$7,TableBOM[Product ID],$H$3:$H$7))&gt;0)*(SUMIF($D$3:$D$7,TableBOM[Product ID],$H$3:$H$7))*TableBOM[Per 1000 Units]*(1+TableBOM[Scrap %]))=0,"-",ROUND(F46*1000*SUMPRODUCT((TableBOM[Item ID]=A46)*((SUMIF($D$3:$D$7,TableBOM[Product ID],$H$3:$H$7))&gt;0)*(SUMIF($D$3:$D$7,TableBOM[Product ID],$H$3:$H$7)))/SUMPRODUCT((TableBOM[Item ID]=A46)*((SUMIF($D$3:$D$7,TableBOM[Product ID],$H$3:$H$7))&gt;0)*(SUMIF($D$3:$D$7,TableBOM[Product ID],$H$3:$H$7))*TableBOM[Per 1000 Units]*(1+TableBOM[Scrap %])),0)),"-")</f>
        <v>-</v>
      </c>
      <c r="I46" s="146" t="str">
        <f t="shared" si="3"/>
        <v>Not needed</v>
      </c>
      <c r="J46" s="151" t="str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",""))-2),"")</f>
        <v/>
      </c>
    </row>
    <row r="47" spans="1:19" hidden="1" x14ac:dyDescent="0.25">
      <c r="A47" s="16">
        <v>81</v>
      </c>
      <c r="B47" s="143" t="s">
        <v>71</v>
      </c>
      <c r="C47" s="143" t="s">
        <v>78</v>
      </c>
      <c r="D47" s="143" t="s">
        <v>73</v>
      </c>
      <c r="E47" s="144">
        <f>SUMPRODUCT((TableBOM[Item ID]=A47)*TableBOM[Per 1000 Units]*(1+TableBOM[Scrap %])*((SUMIF($D$3:$D$7,TableBOM[Product ID],$H$3:$H$7))&gt;0)*(SUMIF($D$3:$D$7,TableBOM[Product ID],$H$3:$H$7))/1000)</f>
        <v>0</v>
      </c>
      <c r="F47" s="144">
        <f>IFERROR(INDEX(TableInventory[Store Balance],MATCH(A47,TableInventory[Item ID],0)),0)+IFERROR(INDEX(TableInventory[WIP],MATCH(A47,TableInventory[Item ID],0)),0)</f>
        <v>554300</v>
      </c>
      <c r="G47" s="144">
        <f t="shared" si="2"/>
        <v>554300</v>
      </c>
      <c r="H47" s="151" t="str">
        <f>IFERROR(IF(SUMPRODUCT((TableBOM[Item ID]=A47)*((SUMIF($D$3:$D$7,TableBOM[Product ID],$H$3:$H$7))&gt;0)*(SUMIF($D$3:$D$7,TableBOM[Product ID],$H$3:$H$7))*TableBOM[Per 1000 Units]*(1+TableBOM[Scrap %]))=0,"-",ROUND(F47*1000*SUMPRODUCT((TableBOM[Item ID]=A47)*((SUMIF($D$3:$D$7,TableBOM[Product ID],$H$3:$H$7))&gt;0)*(SUMIF($D$3:$D$7,TableBOM[Product ID],$H$3:$H$7)))/SUMPRODUCT((TableBOM[Item ID]=A47)*((SUMIF($D$3:$D$7,TableBOM[Product ID],$H$3:$H$7))&gt;0)*(SUMIF($D$3:$D$7,TableBOM[Product ID],$H$3:$H$7))*TableBOM[Per 1000 Units]*(1+TableBOM[Scrap %])),0)),"-")</f>
        <v>-</v>
      </c>
      <c r="I47" s="146" t="str">
        <f t="shared" si="3"/>
        <v>Not needed</v>
      </c>
      <c r="J47" s="151" t="str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",""))-2),"")</f>
        <v/>
      </c>
    </row>
    <row r="48" spans="1:19" hidden="1" x14ac:dyDescent="0.25">
      <c r="A48" s="16">
        <v>1800</v>
      </c>
      <c r="B48" s="143" t="s">
        <v>71</v>
      </c>
      <c r="C48" s="143" t="s">
        <v>79</v>
      </c>
      <c r="D48" s="143" t="s">
        <v>73</v>
      </c>
      <c r="E48" s="144">
        <f>SUMPRODUCT((TableBOM[Item ID]=A48)*TableBOM[Per 1000 Units]*(1+TableBOM[Scrap %])*((SUMIF($D$3:$D$7,TableBOM[Product ID],$H$3:$H$7))&gt;0)*(SUMIF($D$3:$D$7,TableBOM[Product ID],$H$3:$H$7))/1000)</f>
        <v>0</v>
      </c>
      <c r="F48" s="144">
        <f>IFERROR(INDEX(TableInventory[Store Balance],MATCH(A48,TableInventory[Item ID],0)),0)+IFERROR(INDEX(TableInventory[WIP],MATCH(A48,TableInventory[Item ID],0)),0)</f>
        <v>0</v>
      </c>
      <c r="G48" s="144">
        <f t="shared" si="2"/>
        <v>0</v>
      </c>
      <c r="H48" s="151" t="str">
        <f>IFERROR(IF(SUMPRODUCT((TableBOM[Item ID]=A48)*((SUMIF($D$3:$D$7,TableBOM[Product ID],$H$3:$H$7))&gt;0)*(SUMIF($D$3:$D$7,TableBOM[Product ID],$H$3:$H$7))*TableBOM[Per 1000 Units]*(1+TableBOM[Scrap %]))=0,"-",ROUND(F48*1000*SUMPRODUCT((TableBOM[Item ID]=A48)*((SUMIF($D$3:$D$7,TableBOM[Product ID],$H$3:$H$7))&gt;0)*(SUMIF($D$3:$D$7,TableBOM[Product ID],$H$3:$H$7)))/SUMPRODUCT((TableBOM[Item ID]=A48)*((SUMIF($D$3:$D$7,TableBOM[Product ID],$H$3:$H$7))&gt;0)*(SUMIF($D$3:$D$7,TableBOM[Product ID],$H$3:$H$7))*TableBOM[Per 1000 Units]*(1+TableBOM[Scrap %])),0)),"-")</f>
        <v>-</v>
      </c>
      <c r="I48" s="146" t="str">
        <f t="shared" si="3"/>
        <v>Not needed</v>
      </c>
      <c r="J48" s="151" t="str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",""))-2),"")</f>
        <v/>
      </c>
    </row>
    <row r="49" spans="1:10" hidden="1" x14ac:dyDescent="0.25">
      <c r="A49" s="16">
        <v>3211</v>
      </c>
      <c r="B49" s="143" t="s">
        <v>71</v>
      </c>
      <c r="C49" s="143" t="s">
        <v>80</v>
      </c>
      <c r="D49" s="143" t="s">
        <v>73</v>
      </c>
      <c r="E49" s="149">
        <f>SUMPRODUCT((TableBOM[Item ID]=A49)*TableBOM[Per 1000 Units]*(1+TableBOM[Scrap %])*((SUMIF($D$3:$D$7,TableBOM[Product ID],$H$3:$H$7))&gt;0)*(SUMIF($D$3:$D$7,TableBOM[Product ID],$H$3:$H$7))/1000)</f>
        <v>0</v>
      </c>
      <c r="F49" s="149">
        <f>IFERROR(INDEX(TableInventory[Store Balance],MATCH(A49,TableInventory[Item ID],0)),0)+IFERROR(INDEX(TableInventory[WIP],MATCH(A49,TableInventory[Item ID],0)),0)</f>
        <v>4000</v>
      </c>
      <c r="G49" s="149">
        <f t="shared" si="2"/>
        <v>4000</v>
      </c>
      <c r="H49" s="151" t="str">
        <f>IFERROR(IF(SUMPRODUCT((TableBOM[Item ID]=A49)*((SUMIF($D$3:$D$7,TableBOM[Product ID],$H$3:$H$7))&gt;0)*(SUMIF($D$3:$D$7,TableBOM[Product ID],$H$3:$H$7))*TableBOM[Per 1000 Units]*(1+TableBOM[Scrap %]))=0,"-",ROUND(F49*1000*SUMPRODUCT((TableBOM[Item ID]=A49)*((SUMIF($D$3:$D$7,TableBOM[Product ID],$H$3:$H$7))&gt;0)*(SUMIF($D$3:$D$7,TableBOM[Product ID],$H$3:$H$7)))/SUMPRODUCT((TableBOM[Item ID]=A49)*((SUMIF($D$3:$D$7,TableBOM[Product ID],$H$3:$H$7))&gt;0)*(SUMIF($D$3:$D$7,TableBOM[Product ID],$H$3:$H$7))*TableBOM[Per 1000 Units]*(1+TableBOM[Scrap %])),0)),"-")</f>
        <v>-</v>
      </c>
      <c r="I49" s="146" t="str">
        <f t="shared" si="3"/>
        <v>Not needed</v>
      </c>
      <c r="J49" s="151" t="str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",""))-2),"")</f>
        <v/>
      </c>
    </row>
    <row r="50" spans="1:10" hidden="1" x14ac:dyDescent="0.25">
      <c r="A50" s="16">
        <v>4015</v>
      </c>
      <c r="B50" s="143" t="s">
        <v>71</v>
      </c>
      <c r="C50" s="143" t="s">
        <v>81</v>
      </c>
      <c r="D50" s="143" t="s">
        <v>73</v>
      </c>
      <c r="E50" s="144">
        <f>SUMPRODUCT((TableBOM[Item ID]=A50)*TableBOM[Per 1000 Units]*(1+TableBOM[Scrap %])*((SUMIF($D$3:$D$7,TableBOM[Product ID],$H$3:$H$7))&gt;0)*(SUMIF($D$3:$D$7,TableBOM[Product ID],$H$3:$H$7))/1000)</f>
        <v>0</v>
      </c>
      <c r="F50" s="144">
        <f>IFERROR(INDEX(TableInventory[Store Balance],MATCH(A50,TableInventory[Item ID],0)),0)+IFERROR(INDEX(TableInventory[WIP],MATCH(A50,TableInventory[Item ID],0)),0)</f>
        <v>475000</v>
      </c>
      <c r="G50" s="144">
        <f t="shared" si="2"/>
        <v>475000</v>
      </c>
      <c r="H50" s="151" t="str">
        <f>IFERROR(IF(SUMPRODUCT((TableBOM[Item ID]=A50)*((SUMIF($D$3:$D$7,TableBOM[Product ID],$H$3:$H$7))&gt;0)*(SUMIF($D$3:$D$7,TableBOM[Product ID],$H$3:$H$7))*TableBOM[Per 1000 Units]*(1+TableBOM[Scrap %]))=0,"-",ROUND(F50*1000*SUMPRODUCT((TableBOM[Item ID]=A50)*((SUMIF($D$3:$D$7,TableBOM[Product ID],$H$3:$H$7))&gt;0)*(SUMIF($D$3:$D$7,TableBOM[Product ID],$H$3:$H$7)))/SUMPRODUCT((TableBOM[Item ID]=A50)*((SUMIF($D$3:$D$7,TableBOM[Product ID],$H$3:$H$7))&gt;0)*(SUMIF($D$3:$D$7,TableBOM[Product ID],$H$3:$H$7))*TableBOM[Per 1000 Units]*(1+TableBOM[Scrap %])),0)),"-")</f>
        <v>-</v>
      </c>
      <c r="I50" s="146" t="str">
        <f t="shared" si="3"/>
        <v>Not needed</v>
      </c>
      <c r="J50" s="151" t="str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",""))-2),"")</f>
        <v/>
      </c>
    </row>
    <row r="51" spans="1:10" hidden="1" x14ac:dyDescent="0.25">
      <c r="A51" s="16">
        <v>4044</v>
      </c>
      <c r="B51" s="143" t="s">
        <v>71</v>
      </c>
      <c r="C51" s="143" t="s">
        <v>82</v>
      </c>
      <c r="D51" s="143" t="s">
        <v>73</v>
      </c>
      <c r="E51" s="144">
        <f>SUMPRODUCT((TableBOM[Item ID]=A51)*TableBOM[Per 1000 Units]*(1+TableBOM[Scrap %])*((SUMIF($D$3:$D$7,TableBOM[Product ID],$H$3:$H$7))&gt;0)*(SUMIF($D$3:$D$7,TableBOM[Product ID],$H$3:$H$7))/1000)</f>
        <v>0</v>
      </c>
      <c r="F51" s="144">
        <f>IFERROR(INDEX(TableInventory[Store Balance],MATCH(A51,TableInventory[Item ID],0)),0)+IFERROR(INDEX(TableInventory[WIP],MATCH(A51,TableInventory[Item ID],0)),0)</f>
        <v>0</v>
      </c>
      <c r="G51" s="144">
        <f t="shared" si="2"/>
        <v>0</v>
      </c>
      <c r="H51" s="151" t="str">
        <f>IFERROR(IF(SUMPRODUCT((TableBOM[Item ID]=A51)*((SUMIF($D$3:$D$7,TableBOM[Product ID],$H$3:$H$7))&gt;0)*(SUMIF($D$3:$D$7,TableBOM[Product ID],$H$3:$H$7))*TableBOM[Per 1000 Units]*(1+TableBOM[Scrap %]))=0,"-",ROUND(F51*1000*SUMPRODUCT((TableBOM[Item ID]=A51)*((SUMIF($D$3:$D$7,TableBOM[Product ID],$H$3:$H$7))&gt;0)*(SUMIF($D$3:$D$7,TableBOM[Product ID],$H$3:$H$7)))/SUMPRODUCT((TableBOM[Item ID]=A51)*((SUMIF($D$3:$D$7,TableBOM[Product ID],$H$3:$H$7))&gt;0)*(SUMIF($D$3:$D$7,TableBOM[Product ID],$H$3:$H$7))*TableBOM[Per 1000 Units]*(1+TableBOM[Scrap %])),0)),"-")</f>
        <v>-</v>
      </c>
      <c r="I51" s="146" t="str">
        <f t="shared" si="3"/>
        <v>Not needed</v>
      </c>
      <c r="J51" s="151" t="str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",""))-2),"")</f>
        <v/>
      </c>
    </row>
    <row r="52" spans="1:10" hidden="1" x14ac:dyDescent="0.25">
      <c r="A52" s="16">
        <v>4088</v>
      </c>
      <c r="B52" s="143" t="s">
        <v>71</v>
      </c>
      <c r="C52" s="143" t="s">
        <v>83</v>
      </c>
      <c r="D52" s="143" t="s">
        <v>73</v>
      </c>
      <c r="E52" s="144">
        <f>SUMPRODUCT((TableBOM[Item ID]=A52)*TableBOM[Per 1000 Units]*(1+TableBOM[Scrap %])*((SUMIF($D$3:$D$7,TableBOM[Product ID],$H$3:$H$7))&gt;0)*(SUMIF($D$3:$D$7,TableBOM[Product ID],$H$3:$H$7))/1000)</f>
        <v>0</v>
      </c>
      <c r="F52" s="144">
        <f>IFERROR(INDEX(TableInventory[Store Balance],MATCH(A52,TableInventory[Item ID],0)),0)+IFERROR(INDEX(TableInventory[WIP],MATCH(A52,TableInventory[Item ID],0)),0)</f>
        <v>0</v>
      </c>
      <c r="G52" s="144">
        <f t="shared" si="2"/>
        <v>0</v>
      </c>
      <c r="H52" s="151" t="str">
        <f>IFERROR(IF(SUMPRODUCT((TableBOM[Item ID]=A52)*((SUMIF($D$3:$D$7,TableBOM[Product ID],$H$3:$H$7))&gt;0)*(SUMIF($D$3:$D$7,TableBOM[Product ID],$H$3:$H$7))*TableBOM[Per 1000 Units]*(1+TableBOM[Scrap %]))=0,"-",ROUND(F52*1000*SUMPRODUCT((TableBOM[Item ID]=A52)*((SUMIF($D$3:$D$7,TableBOM[Product ID],$H$3:$H$7))&gt;0)*(SUMIF($D$3:$D$7,TableBOM[Product ID],$H$3:$H$7)))/SUMPRODUCT((TableBOM[Item ID]=A52)*((SUMIF($D$3:$D$7,TableBOM[Product ID],$H$3:$H$7))&gt;0)*(SUMIF($D$3:$D$7,TableBOM[Product ID],$H$3:$H$7))*TableBOM[Per 1000 Units]*(1+TableBOM[Scrap %])),0)),"-")</f>
        <v>-</v>
      </c>
      <c r="I52" s="146" t="str">
        <f t="shared" si="3"/>
        <v>Not needed</v>
      </c>
      <c r="J52" s="151" t="str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",""))-2),"")</f>
        <v/>
      </c>
    </row>
    <row r="53" spans="1:10" hidden="1" x14ac:dyDescent="0.25">
      <c r="A53" s="16">
        <v>4143</v>
      </c>
      <c r="B53" s="143" t="s">
        <v>71</v>
      </c>
      <c r="C53" s="143" t="s">
        <v>84</v>
      </c>
      <c r="D53" s="143" t="s">
        <v>73</v>
      </c>
      <c r="E53" s="144">
        <f>SUMPRODUCT((TableBOM[Item ID]=A53)*TableBOM[Per 1000 Units]*(1+TableBOM[Scrap %])*((SUMIF($D$3:$D$7,TableBOM[Product ID],$H$3:$H$7))&gt;0)*(SUMIF($D$3:$D$7,TableBOM[Product ID],$H$3:$H$7))/1000)</f>
        <v>0</v>
      </c>
      <c r="F53" s="144">
        <f>IFERROR(INDEX(TableInventory[Store Balance],MATCH(A53,TableInventory[Item ID],0)),0)+IFERROR(INDEX(TableInventory[WIP],MATCH(A53,TableInventory[Item ID],0)),0)</f>
        <v>65000</v>
      </c>
      <c r="G53" s="144">
        <f t="shared" si="2"/>
        <v>65000</v>
      </c>
      <c r="H53" s="151" t="str">
        <f>IFERROR(IF(SUMPRODUCT((TableBOM[Item ID]=A53)*((SUMIF($D$3:$D$7,TableBOM[Product ID],$H$3:$H$7))&gt;0)*(SUMIF($D$3:$D$7,TableBOM[Product ID],$H$3:$H$7))*TableBOM[Per 1000 Units]*(1+TableBOM[Scrap %]))=0,"-",ROUND(F53*1000*SUMPRODUCT((TableBOM[Item ID]=A53)*((SUMIF($D$3:$D$7,TableBOM[Product ID],$H$3:$H$7))&gt;0)*(SUMIF($D$3:$D$7,TableBOM[Product ID],$H$3:$H$7)))/SUMPRODUCT((TableBOM[Item ID]=A53)*((SUMIF($D$3:$D$7,TableBOM[Product ID],$H$3:$H$7))&gt;0)*(SUMIF($D$3:$D$7,TableBOM[Product ID],$H$3:$H$7))*TableBOM[Per 1000 Units]*(1+TableBOM[Scrap %])),0)),"-")</f>
        <v>-</v>
      </c>
      <c r="I53" s="146" t="str">
        <f t="shared" si="3"/>
        <v>Not needed</v>
      </c>
      <c r="J53" s="151" t="str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",""))-2),"")</f>
        <v/>
      </c>
    </row>
    <row r="54" spans="1:10" hidden="1" x14ac:dyDescent="0.25">
      <c r="A54" s="16">
        <v>6971</v>
      </c>
      <c r="B54" s="143" t="s">
        <v>71</v>
      </c>
      <c r="C54" s="143" t="s">
        <v>85</v>
      </c>
      <c r="D54" s="143" t="s">
        <v>73</v>
      </c>
      <c r="E54" s="144">
        <f>SUMPRODUCT((TableBOM[Item ID]=A54)*TableBOM[Per 1000 Units]*(1+TableBOM[Scrap %])*((SUMIF($D$3:$D$7,TableBOM[Product ID],$H$3:$H$7))&gt;0)*(SUMIF($D$3:$D$7,TableBOM[Product ID],$H$3:$H$7))/1000)</f>
        <v>0</v>
      </c>
      <c r="F54" s="144">
        <f>IFERROR(INDEX(TableInventory[Store Balance],MATCH(A54,TableInventory[Item ID],0)),0)+IFERROR(INDEX(TableInventory[WIP],MATCH(A54,TableInventory[Item ID],0)),0)</f>
        <v>0</v>
      </c>
      <c r="G54" s="144">
        <f t="shared" si="2"/>
        <v>0</v>
      </c>
      <c r="H54" s="151" t="str">
        <f>IFERROR(IF(SUMPRODUCT((TableBOM[Item ID]=A54)*((SUMIF($D$3:$D$7,TableBOM[Product ID],$H$3:$H$7))&gt;0)*(SUMIF($D$3:$D$7,TableBOM[Product ID],$H$3:$H$7))*TableBOM[Per 1000 Units]*(1+TableBOM[Scrap %]))=0,"-",ROUND(F54*1000*SUMPRODUCT((TableBOM[Item ID]=A54)*((SUMIF($D$3:$D$7,TableBOM[Product ID],$H$3:$H$7))&gt;0)*(SUMIF($D$3:$D$7,TableBOM[Product ID],$H$3:$H$7)))/SUMPRODUCT((TableBOM[Item ID]=A54)*((SUMIF($D$3:$D$7,TableBOM[Product ID],$H$3:$H$7))&gt;0)*(SUMIF($D$3:$D$7,TableBOM[Product ID],$H$3:$H$7))*TableBOM[Per 1000 Units]*(1+TableBOM[Scrap %])),0)),"-")</f>
        <v>-</v>
      </c>
      <c r="I54" s="146" t="str">
        <f t="shared" si="3"/>
        <v>Not needed</v>
      </c>
      <c r="J54" s="151" t="str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",""))-2),"")</f>
        <v/>
      </c>
    </row>
    <row r="55" spans="1:10" x14ac:dyDescent="0.25">
      <c r="A55" s="16">
        <v>7370</v>
      </c>
      <c r="B55" s="143" t="s">
        <v>71</v>
      </c>
      <c r="C55" s="143" t="s">
        <v>86</v>
      </c>
      <c r="D55" s="143" t="s">
        <v>73</v>
      </c>
      <c r="E55" s="144">
        <f>SUMPRODUCT((TableBOM[Item ID]=A55)*TableBOM[Per 1000 Units]*(1+TableBOM[Scrap %])*((SUMIF($D$3:$D$7,TableBOM[Product ID],$H$3:$H$7))&gt;0)*(SUMIF($D$3:$D$7,TableBOM[Product ID],$H$3:$H$7))/1000)</f>
        <v>22440</v>
      </c>
      <c r="F55" s="144">
        <f>IFERROR(INDEX(TableInventory[Store Balance],MATCH(A55,TableInventory[Item ID],0)),0)+IFERROR(INDEX(TableInventory[WIP],MATCH(A55,TableInventory[Item ID],0)),0)</f>
        <v>47000</v>
      </c>
      <c r="G55" s="144">
        <f t="shared" si="2"/>
        <v>24560</v>
      </c>
      <c r="H55" s="151">
        <f>IFERROR(IF(SUMPRODUCT((TableBOM[Item ID]=A55)*((SUMIF($D$3:$D$7,TableBOM[Product ID],$H$3:$H$7))&gt;0)*(SUMIF($D$3:$D$7,TableBOM[Product ID],$H$3:$H$7))*TableBOM[Per 1000 Units]*(1+TableBOM[Scrap %]))=0,"-",ROUND(F55*1000*SUMPRODUCT((TableBOM[Item ID]=A55)*((SUMIF($D$3:$D$7,TableBOM[Product ID],$H$3:$H$7))&gt;0)*(SUMIF($D$3:$D$7,TableBOM[Product ID],$H$3:$H$7)))/SUMPRODUCT((TableBOM[Item ID]=A55)*((SUMIF($D$3:$D$7,TableBOM[Product ID],$H$3:$H$7))&gt;0)*(SUMIF($D$3:$D$7,TableBOM[Product ID],$H$3:$H$7))*TableBOM[Per 1000 Units]*(1+TableBOM[Scrap %])),0)),"-")</f>
        <v>46078</v>
      </c>
      <c r="I55" s="146" t="str">
        <f t="shared" si="3"/>
        <v>OK</v>
      </c>
      <c r="J55" s="152" t="str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",""))-2),"")</f>
        <v>VINCE HIS ONLY BEARD &amp; MUSTACHE COLOR CREAM</v>
      </c>
    </row>
    <row r="56" spans="1:10" x14ac:dyDescent="0.25">
      <c r="A56" s="16">
        <v>68</v>
      </c>
      <c r="B56" s="143" t="s">
        <v>71</v>
      </c>
      <c r="C56" s="143" t="s">
        <v>87</v>
      </c>
      <c r="D56" s="143" t="s">
        <v>73</v>
      </c>
      <c r="E56" s="144">
        <f>SUMPRODUCT((TableBOM[Item ID]=A56)*TableBOM[Per 1000 Units]*(1+TableBOM[Scrap %])*((SUMIF($D$3:$D$7,TableBOM[Product ID],$H$3:$H$7))&gt;0)*(SUMIF($D$3:$D$7,TableBOM[Product ID],$H$3:$H$7))/1000)</f>
        <v>275634.59999999998</v>
      </c>
      <c r="F56" s="144">
        <f>IFERROR(INDEX(TableInventory[Store Balance],MATCH(A56,TableInventory[Item ID],0)),0)+IFERROR(INDEX(TableInventory[WIP],MATCH(A56,TableInventory[Item ID],0)),0)</f>
        <v>160000</v>
      </c>
      <c r="G56" s="144">
        <f t="shared" si="2"/>
        <v>-115634.59999999998</v>
      </c>
      <c r="H56" s="151">
        <f>IFERROR(IF(SUMPRODUCT((TableBOM[Item ID]=A56)*((SUMIF($D$3:$D$7,TableBOM[Product ID],$H$3:$H$7))&gt;0)*(SUMIF($D$3:$D$7,TableBOM[Product ID],$H$3:$H$7))*TableBOM[Per 1000 Units]*(1+TableBOM[Scrap %]))=0,"-",ROUND(F56*1000*SUMPRODUCT((TableBOM[Item ID]=A56)*((SUMIF($D$3:$D$7,TableBOM[Product ID],$H$3:$H$7))&gt;0)*(SUMIF($D$3:$D$7,TableBOM[Product ID],$H$3:$H$7)))/SUMPRODUCT((TableBOM[Item ID]=A56)*((SUMIF($D$3:$D$7,TableBOM[Product ID],$H$3:$H$7))&gt;0)*(SUMIF($D$3:$D$7,TableBOM[Product ID],$H$3:$H$7))*TableBOM[Per 1000 Units]*(1+TableBOM[Scrap %])),0)),"-")</f>
        <v>156863</v>
      </c>
      <c r="I56" s="146" t="str">
        <f t="shared" si="3"/>
        <v>SHORTAGE</v>
      </c>
      <c r="J56" s="152" t="str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",""))-2),"")</f>
        <v>TUBES COMMON RED, HELLO HAIR COLOR</v>
      </c>
    </row>
    <row r="57" spans="1:10" hidden="1" x14ac:dyDescent="0.25">
      <c r="A57" s="16">
        <v>102</v>
      </c>
      <c r="B57" s="143" t="s">
        <v>71</v>
      </c>
      <c r="C57" s="143" t="s">
        <v>88</v>
      </c>
      <c r="D57" s="143" t="s">
        <v>73</v>
      </c>
      <c r="E57" s="144">
        <f>SUMPRODUCT((TableBOM[Item ID]=A57)*TableBOM[Per 1000 Units]*(1+TableBOM[Scrap %])*((SUMIF($D$3:$D$7,TableBOM[Product ID],$H$3:$H$7))&gt;0)*(SUMIF($D$3:$D$7,TableBOM[Product ID],$H$3:$H$7))/1000)</f>
        <v>0</v>
      </c>
      <c r="F57" s="144">
        <f>IFERROR(INDEX(TableInventory[Store Balance],MATCH(A57,TableInventory[Item ID],0)),0)+IFERROR(INDEX(TableInventory[WIP],MATCH(A57,TableInventory[Item ID],0)),0)</f>
        <v>0</v>
      </c>
      <c r="G57" s="144">
        <f t="shared" si="2"/>
        <v>0</v>
      </c>
      <c r="H57" s="151" t="str">
        <f>IFERROR(IF(SUMPRODUCT((TableBOM[Item ID]=A57)*((SUMIF($D$3:$D$7,TableBOM[Product ID],$H$3:$H$7))&gt;0)*(SUMIF($D$3:$D$7,TableBOM[Product ID],$H$3:$H$7))*TableBOM[Per 1000 Units]*(1+TableBOM[Scrap %]))=0,"-",ROUND(F57*1000*SUMPRODUCT((TableBOM[Item ID]=A57)*((SUMIF($D$3:$D$7,TableBOM[Product ID],$H$3:$H$7))&gt;0)*(SUMIF($D$3:$D$7,TableBOM[Product ID],$H$3:$H$7)))/SUMPRODUCT((TableBOM[Item ID]=A57)*((SUMIF($D$3:$D$7,TableBOM[Product ID],$H$3:$H$7))&gt;0)*(SUMIF($D$3:$D$7,TableBOM[Product ID],$H$3:$H$7))*TableBOM[Per 1000 Units]*(1+TableBOM[Scrap %])),0)),"-")</f>
        <v>-</v>
      </c>
      <c r="I57" s="146" t="str">
        <f t="shared" si="3"/>
        <v>Not needed</v>
      </c>
      <c r="J57" s="151" t="str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",""))-2),"")</f>
        <v/>
      </c>
    </row>
    <row r="58" spans="1:10" x14ac:dyDescent="0.25">
      <c r="A58" s="16">
        <v>1073</v>
      </c>
      <c r="B58" s="143" t="s">
        <v>71</v>
      </c>
      <c r="C58" s="143" t="s">
        <v>89</v>
      </c>
      <c r="D58" s="143" t="s">
        <v>73</v>
      </c>
      <c r="E58" s="144">
        <f>SUMPRODUCT((TableBOM[Item ID]=A58)*TableBOM[Per 1000 Units]*(1+TableBOM[Scrap %])*((SUMIF($D$3:$D$7,TableBOM[Product ID],$H$3:$H$7))&gt;0)*(SUMIF($D$3:$D$7,TableBOM[Product ID],$H$3:$H$7))/1000)</f>
        <v>115937.28</v>
      </c>
      <c r="F58" s="144">
        <f>IFERROR(INDEX(TableInventory[Store Balance],MATCH(A58,TableInventory[Item ID],0)),0)+IFERROR(INDEX(TableInventory[WIP],MATCH(A58,TableInventory[Item ID],0)),0)</f>
        <v>160000</v>
      </c>
      <c r="G58" s="144">
        <f t="shared" si="2"/>
        <v>44062.720000000001</v>
      </c>
      <c r="H58" s="151">
        <f>IFERROR(IF(SUMPRODUCT((TableBOM[Item ID]=A58)*((SUMIF($D$3:$D$7,TableBOM[Product ID],$H$3:$H$7))&gt;0)*(SUMIF($D$3:$D$7,TableBOM[Product ID],$H$3:$H$7))*TableBOM[Per 1000 Units]*(1+TableBOM[Scrap %]))=0,"-",ROUND(F58*1000*SUMPRODUCT((TableBOM[Item ID]=A58)*((SUMIF($D$3:$D$7,TableBOM[Product ID],$H$3:$H$7))&gt;0)*(SUMIF($D$3:$D$7,TableBOM[Product ID],$H$3:$H$7)))/SUMPRODUCT((TableBOM[Item ID]=A58)*((SUMIF($D$3:$D$7,TableBOM[Product ID],$H$3:$H$7))&gt;0)*(SUMIF($D$3:$D$7,TableBOM[Product ID],$H$3:$H$7))*TableBOM[Per 1000 Units]*(1+TableBOM[Scrap %])),0)),"-")</f>
        <v>156863</v>
      </c>
      <c r="I58" s="146" t="str">
        <f t="shared" si="3"/>
        <v>OK</v>
      </c>
      <c r="J58" s="152" t="str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",""))-2),"")</f>
        <v>H.H 100GM</v>
      </c>
    </row>
    <row r="59" spans="1:10" hidden="1" x14ac:dyDescent="0.25">
      <c r="A59" s="16">
        <v>1285</v>
      </c>
      <c r="B59" s="143" t="s">
        <v>71</v>
      </c>
      <c r="C59" s="143" t="s">
        <v>90</v>
      </c>
      <c r="D59" s="143" t="s">
        <v>73</v>
      </c>
      <c r="E59" s="144">
        <f>SUMPRODUCT((TableBOM[Item ID]=A59)*TableBOM[Per 1000 Units]*(1+TableBOM[Scrap %])*((SUMIF($D$3:$D$7,TableBOM[Product ID],$H$3:$H$7))&gt;0)*(SUMIF($D$3:$D$7,TableBOM[Product ID],$H$3:$H$7))/1000)</f>
        <v>0</v>
      </c>
      <c r="F59" s="144">
        <f>IFERROR(INDEX(TableInventory[Store Balance],MATCH(A59,TableInventory[Item ID],0)),0)+IFERROR(INDEX(TableInventory[WIP],MATCH(A59,TableInventory[Item ID],0)),0)</f>
        <v>208000</v>
      </c>
      <c r="G59" s="144">
        <f t="shared" si="2"/>
        <v>208000</v>
      </c>
      <c r="H59" s="151" t="str">
        <f>IFERROR(IF(SUMPRODUCT((TableBOM[Item ID]=A59)*((SUMIF($D$3:$D$7,TableBOM[Product ID],$H$3:$H$7))&gt;0)*(SUMIF($D$3:$D$7,TableBOM[Product ID],$H$3:$H$7))*TableBOM[Per 1000 Units]*(1+TableBOM[Scrap %]))=0,"-",ROUND(F59*1000*SUMPRODUCT((TableBOM[Item ID]=A59)*((SUMIF($D$3:$D$7,TableBOM[Product ID],$H$3:$H$7))&gt;0)*(SUMIF($D$3:$D$7,TableBOM[Product ID],$H$3:$H$7)))/SUMPRODUCT((TableBOM[Item ID]=A59)*((SUMIF($D$3:$D$7,TableBOM[Product ID],$H$3:$H$7))&gt;0)*(SUMIF($D$3:$D$7,TableBOM[Product ID],$H$3:$H$7))*TableBOM[Per 1000 Units]*(1+TableBOM[Scrap %])),0)),"-")</f>
        <v>-</v>
      </c>
      <c r="I59" s="146" t="str">
        <f t="shared" si="3"/>
        <v>Not needed</v>
      </c>
      <c r="J59" s="151" t="str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",""))-2),"")</f>
        <v/>
      </c>
    </row>
    <row r="60" spans="1:10" hidden="1" x14ac:dyDescent="0.25">
      <c r="A60" s="16">
        <v>3522</v>
      </c>
      <c r="B60" s="143" t="s">
        <v>71</v>
      </c>
      <c r="C60" s="143" t="s">
        <v>91</v>
      </c>
      <c r="D60" s="143" t="s">
        <v>73</v>
      </c>
      <c r="E60" s="144">
        <f>SUMPRODUCT((TableBOM[Item ID]=A60)*TableBOM[Per 1000 Units]*(1+TableBOM[Scrap %])*((SUMIF($D$3:$D$7,TableBOM[Product ID],$H$3:$H$7))&gt;0)*(SUMIF($D$3:$D$7,TableBOM[Product ID],$H$3:$H$7))/1000)</f>
        <v>0</v>
      </c>
      <c r="F60" s="144">
        <f>IFERROR(INDEX(TableInventory[Store Balance],MATCH(A60,TableInventory[Item ID],0)),0)+IFERROR(INDEX(TableInventory[WIP],MATCH(A60,TableInventory[Item ID],0)),0)</f>
        <v>75000</v>
      </c>
      <c r="G60" s="144">
        <f t="shared" si="2"/>
        <v>75000</v>
      </c>
      <c r="H60" s="151" t="str">
        <f>IFERROR(IF(SUMPRODUCT((TableBOM[Item ID]=A60)*((SUMIF($D$3:$D$7,TableBOM[Product ID],$H$3:$H$7))&gt;0)*(SUMIF($D$3:$D$7,TableBOM[Product ID],$H$3:$H$7))*TableBOM[Per 1000 Units]*(1+TableBOM[Scrap %]))=0,"-",ROUND(F60*1000*SUMPRODUCT((TableBOM[Item ID]=A60)*((SUMIF($D$3:$D$7,TableBOM[Product ID],$H$3:$H$7))&gt;0)*(SUMIF($D$3:$D$7,TableBOM[Product ID],$H$3:$H$7)))/SUMPRODUCT((TableBOM[Item ID]=A60)*((SUMIF($D$3:$D$7,TableBOM[Product ID],$H$3:$H$7))&gt;0)*(SUMIF($D$3:$D$7,TableBOM[Product ID],$H$3:$H$7))*TableBOM[Per 1000 Units]*(1+TableBOM[Scrap %])),0)),"-")</f>
        <v>-</v>
      </c>
      <c r="I60" s="146" t="str">
        <f t="shared" si="3"/>
        <v>Not needed</v>
      </c>
      <c r="J60" s="151" t="str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",""))-2),"")</f>
        <v/>
      </c>
    </row>
    <row r="61" spans="1:10" hidden="1" x14ac:dyDescent="0.25">
      <c r="A61" s="16">
        <v>3866</v>
      </c>
      <c r="B61" s="143" t="s">
        <v>71</v>
      </c>
      <c r="C61" s="143" t="s">
        <v>92</v>
      </c>
      <c r="D61" s="143" t="s">
        <v>73</v>
      </c>
      <c r="E61" s="144">
        <f>SUMPRODUCT((TableBOM[Item ID]=A61)*TableBOM[Per 1000 Units]*(1+TableBOM[Scrap %])*((SUMIF($D$3:$D$7,TableBOM[Product ID],$H$3:$H$7))&gt;0)*(SUMIF($D$3:$D$7,TableBOM[Product ID],$H$3:$H$7))/1000)</f>
        <v>0</v>
      </c>
      <c r="F61" s="144">
        <f>IFERROR(INDEX(TableInventory[Store Balance],MATCH(A61,TableInventory[Item ID],0)),0)+IFERROR(INDEX(TableInventory[WIP],MATCH(A61,TableInventory[Item ID],0)),0)</f>
        <v>0</v>
      </c>
      <c r="G61" s="144">
        <f t="shared" si="2"/>
        <v>0</v>
      </c>
      <c r="H61" s="151" t="str">
        <f>IFERROR(IF(SUMPRODUCT((TableBOM[Item ID]=A61)*((SUMIF($D$3:$D$7,TableBOM[Product ID],$H$3:$H$7))&gt;0)*(SUMIF($D$3:$D$7,TableBOM[Product ID],$H$3:$H$7))*TableBOM[Per 1000 Units]*(1+TableBOM[Scrap %]))=0,"-",ROUND(F61*1000*SUMPRODUCT((TableBOM[Item ID]=A61)*((SUMIF($D$3:$D$7,TableBOM[Product ID],$H$3:$H$7))&gt;0)*(SUMIF($D$3:$D$7,TableBOM[Product ID],$H$3:$H$7)))/SUMPRODUCT((TableBOM[Item ID]=A61)*((SUMIF($D$3:$D$7,TableBOM[Product ID],$H$3:$H$7))&gt;0)*(SUMIF($D$3:$D$7,TableBOM[Product ID],$H$3:$H$7))*TableBOM[Per 1000 Units]*(1+TableBOM[Scrap %])),0)),"-")</f>
        <v>-</v>
      </c>
      <c r="I61" s="146" t="str">
        <f t="shared" si="3"/>
        <v>Not needed</v>
      </c>
      <c r="J61" s="151" t="str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",""))-2),"")</f>
        <v/>
      </c>
    </row>
    <row r="62" spans="1:10" x14ac:dyDescent="0.25">
      <c r="A62" s="16">
        <v>578</v>
      </c>
      <c r="B62" s="143" t="s">
        <v>71</v>
      </c>
      <c r="C62" s="143" t="s">
        <v>93</v>
      </c>
      <c r="D62" s="143" t="s">
        <v>73</v>
      </c>
      <c r="E62" s="144">
        <f>SUMPRODUCT((TableBOM[Item ID]=A62)*TableBOM[Per 1000 Units]*(1+TableBOM[Scrap %])*((SUMIF($D$3:$D$7,TableBOM[Product ID],$H$3:$H$7))&gt;0)*(SUMIF($D$3:$D$7,TableBOM[Product ID],$H$3:$H$7))/1000)</f>
        <v>263.16000000000003</v>
      </c>
      <c r="F62" s="144">
        <f>IFERROR(INDEX(TableInventory[Store Balance],MATCH(A62,TableInventory[Item ID],0)),0)+IFERROR(INDEX(TableInventory[WIP],MATCH(A62,TableInventory[Item ID],0)),0)</f>
        <v>806</v>
      </c>
      <c r="G62" s="144">
        <f t="shared" si="2"/>
        <v>542.83999999999992</v>
      </c>
      <c r="H62" s="151">
        <f>IFERROR(IF(SUMPRODUCT((TableBOM[Item ID]=A62)*((SUMIF($D$3:$D$7,TableBOM[Product ID],$H$3:$H$7))&gt;0)*(SUMIF($D$3:$D$7,TableBOM[Product ID],$H$3:$H$7))*TableBOM[Per 1000 Units]*(1+TableBOM[Scrap %]))=0,"-",ROUND(F62*1000*SUMPRODUCT((TableBOM[Item ID]=A62)*((SUMIF($D$3:$D$7,TableBOM[Product ID],$H$3:$H$7))&gt;0)*(SUMIF($D$3:$D$7,TableBOM[Product ID],$H$3:$H$7)))/SUMPRODUCT((TableBOM[Item ID]=A62)*((SUMIF($D$3:$D$7,TableBOM[Product ID],$H$3:$H$7))&gt;0)*(SUMIF($D$3:$D$7,TableBOM[Product ID],$H$3:$H$7))*TableBOM[Per 1000 Units]*(1+TableBOM[Scrap %])),0)),"-")</f>
        <v>790</v>
      </c>
      <c r="I62" s="146" t="str">
        <f t="shared" si="3"/>
        <v>OK</v>
      </c>
      <c r="J62" s="152" t="str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",""))-2),"")</f>
        <v>VINCE NURTURAL</v>
      </c>
    </row>
    <row r="63" spans="1:10" hidden="1" x14ac:dyDescent="0.25">
      <c r="A63" s="16">
        <v>9902</v>
      </c>
      <c r="B63" s="143" t="s">
        <v>71</v>
      </c>
      <c r="C63" s="143" t="s">
        <v>94</v>
      </c>
      <c r="D63" s="143" t="s">
        <v>73</v>
      </c>
      <c r="E63" s="144">
        <f>SUMPRODUCT((TableBOM[Item ID]=A63)*TableBOM[Per 1000 Units]*(1+TableBOM[Scrap %])*((SUMIF($D$3:$D$7,TableBOM[Product ID],$H$3:$H$7))&gt;0)*(SUMIF($D$3:$D$7,TableBOM[Product ID],$H$3:$H$7))/1000)</f>
        <v>0</v>
      </c>
      <c r="F63" s="144">
        <f>IFERROR(INDEX(TableInventory[Store Balance],MATCH(A63,TableInventory[Item ID],0)),0)+IFERROR(INDEX(TableInventory[WIP],MATCH(A63,TableInventory[Item ID],0)),0)</f>
        <v>0</v>
      </c>
      <c r="G63" s="144">
        <f t="shared" si="2"/>
        <v>0</v>
      </c>
      <c r="H63" s="151" t="str">
        <f>IFERROR(IF(SUMPRODUCT((TableBOM[Item ID]=A63)*((SUMIF($D$3:$D$7,TableBOM[Product ID],$H$3:$H$7))&gt;0)*(SUMIF($D$3:$D$7,TableBOM[Product ID],$H$3:$H$7))*TableBOM[Per 1000 Units]*(1+TableBOM[Scrap %]))=0,"-",ROUND(F63*1000*SUMPRODUCT((TableBOM[Item ID]=A63)*((SUMIF($D$3:$D$7,TableBOM[Product ID],$H$3:$H$7))&gt;0)*(SUMIF($D$3:$D$7,TableBOM[Product ID],$H$3:$H$7)))/SUMPRODUCT((TableBOM[Item ID]=A63)*((SUMIF($D$3:$D$7,TableBOM[Product ID],$H$3:$H$7))&gt;0)*(SUMIF($D$3:$D$7,TableBOM[Product ID],$H$3:$H$7))*TableBOM[Per 1000 Units]*(1+TableBOM[Scrap %])),0)),"-")</f>
        <v>-</v>
      </c>
      <c r="I63" s="146" t="str">
        <f t="shared" si="3"/>
        <v>Not needed</v>
      </c>
      <c r="J63" s="151" t="str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",""))-2),"")</f>
        <v/>
      </c>
    </row>
    <row r="64" spans="1:10" hidden="1" x14ac:dyDescent="0.25">
      <c r="A64" s="16">
        <v>9903</v>
      </c>
      <c r="B64" s="143" t="s">
        <v>95</v>
      </c>
      <c r="C64" s="143" t="s">
        <v>96</v>
      </c>
      <c r="D64" s="143" t="s">
        <v>73</v>
      </c>
      <c r="E64" s="144">
        <f>SUMPRODUCT((TableBOM[Item ID]=A64)*TableBOM[Per 1000 Units]*(1+TableBOM[Scrap %])*((SUMIF($D$3:$D$7,TableBOM[Product ID],$H$3:$H$7))&gt;0)*(SUMIF($D$3:$D$7,TableBOM[Product ID],$H$3:$H$7))/1000)</f>
        <v>0</v>
      </c>
      <c r="F64" s="144">
        <f>IFERROR(INDEX(TableInventory[Store Balance],MATCH(A64,TableInventory[Item ID],0)),0)+IFERROR(INDEX(TableInventory[WIP],MATCH(A64,TableInventory[Item ID],0)),0)</f>
        <v>0</v>
      </c>
      <c r="G64" s="144">
        <f t="shared" si="2"/>
        <v>0</v>
      </c>
      <c r="H64" s="151" t="str">
        <f>IFERROR(IF(SUMPRODUCT((TableBOM[Item ID]=A64)*((SUMIF($D$3:$D$7,TableBOM[Product ID],$H$3:$H$7))&gt;0)*(SUMIF($D$3:$D$7,TableBOM[Product ID],$H$3:$H$7))*TableBOM[Per 1000 Units]*(1+TableBOM[Scrap %]))=0,"-",ROUND(F64*1000*SUMPRODUCT((TableBOM[Item ID]=A64)*((SUMIF($D$3:$D$7,TableBOM[Product ID],$H$3:$H$7))&gt;0)*(SUMIF($D$3:$D$7,TableBOM[Product ID],$H$3:$H$7)))/SUMPRODUCT((TableBOM[Item ID]=A64)*((SUMIF($D$3:$D$7,TableBOM[Product ID],$H$3:$H$7))&gt;0)*(SUMIF($D$3:$D$7,TableBOM[Product ID],$H$3:$H$7))*TableBOM[Per 1000 Units]*(1+TableBOM[Scrap %])),0)),"-")</f>
        <v>-</v>
      </c>
      <c r="I64" s="146" t="str">
        <f t="shared" si="3"/>
        <v>Not needed</v>
      </c>
      <c r="J64" s="151" t="str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",""))-2),"")</f>
        <v/>
      </c>
    </row>
    <row r="65" spans="1:19" ht="24" hidden="1" customHeight="1" x14ac:dyDescent="0.25">
      <c r="A65" s="16">
        <v>36</v>
      </c>
      <c r="B65" s="143" t="s">
        <v>95</v>
      </c>
      <c r="C65" s="143" t="s">
        <v>97</v>
      </c>
      <c r="D65" s="143" t="s">
        <v>73</v>
      </c>
      <c r="E65" s="144">
        <f>SUMPRODUCT((TableBOM[Item ID]=A65)*TableBOM[Per 1000 Units]*(1+TableBOM[Scrap %])*((SUMIF($D$3:$D$7,TableBOM[Product ID],$H$3:$H$7))&gt;0)*(SUMIF($D$3:$D$7,TableBOM[Product ID],$H$3:$H$7))/1000)</f>
        <v>0</v>
      </c>
      <c r="F65" s="144">
        <f>IFERROR(INDEX(TableInventory[Store Balance],MATCH(A65,TableInventory[Item ID],0)),0)+IFERROR(INDEX(TableInventory[WIP],MATCH(A65,TableInventory[Item ID],0)),0)</f>
        <v>0</v>
      </c>
      <c r="G65" s="144">
        <f t="shared" si="2"/>
        <v>0</v>
      </c>
      <c r="H65" s="151" t="str">
        <f>IFERROR(IF(SUMPRODUCT((TableBOM[Item ID]=A65)*((SUMIF($D$3:$D$7,TableBOM[Product ID],$H$3:$H$7))&gt;0)*(SUMIF($D$3:$D$7,TableBOM[Product ID],$H$3:$H$7))*TableBOM[Per 1000 Units]*(1+TableBOM[Scrap %]))=0,"-",ROUND(F65*1000*SUMPRODUCT((TableBOM[Item ID]=A65)*((SUMIF($D$3:$D$7,TableBOM[Product ID],$H$3:$H$7))&gt;0)*(SUMIF($D$3:$D$7,TableBOM[Product ID],$H$3:$H$7)))/SUMPRODUCT((TableBOM[Item ID]=A65)*((SUMIF($D$3:$D$7,TableBOM[Product ID],$H$3:$H$7))&gt;0)*(SUMIF($D$3:$D$7,TableBOM[Product ID],$H$3:$H$7))*TableBOM[Per 1000 Units]*(1+TableBOM[Scrap %])),0)),"-")</f>
        <v>-</v>
      </c>
      <c r="I65" s="146" t="str">
        <f t="shared" si="3"/>
        <v>Not needed</v>
      </c>
      <c r="J65" s="151" t="str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",""))-2),"")</f>
        <v/>
      </c>
    </row>
    <row r="66" spans="1:19" hidden="1" x14ac:dyDescent="0.25">
      <c r="A66" s="16">
        <v>200</v>
      </c>
      <c r="B66" s="143" t="s">
        <v>95</v>
      </c>
      <c r="C66" s="143" t="s">
        <v>98</v>
      </c>
      <c r="D66" s="143" t="s">
        <v>73</v>
      </c>
      <c r="E66" s="144">
        <f>SUMPRODUCT((TableBOM[Item ID]=A66)*TableBOM[Per 1000 Units]*(1+TableBOM[Scrap %])*((SUMIF($D$3:$D$7,TableBOM[Product ID],$H$3:$H$7))&gt;0)*(SUMIF($D$3:$D$7,TableBOM[Product ID],$H$3:$H$7))/1000)</f>
        <v>0</v>
      </c>
      <c r="F66" s="144">
        <f>IFERROR(INDEX(TableInventory[Store Balance],MATCH(A66,TableInventory[Item ID],0)),0)+IFERROR(INDEX(TableInventory[WIP],MATCH(A66,TableInventory[Item ID],0)),0)</f>
        <v>0</v>
      </c>
      <c r="G66" s="144">
        <f t="shared" si="2"/>
        <v>0</v>
      </c>
      <c r="H66" s="151" t="str">
        <f>IFERROR(IF(SUMPRODUCT((TableBOM[Item ID]=A66)*((SUMIF($D$3:$D$7,TableBOM[Product ID],$H$3:$H$7))&gt;0)*(SUMIF($D$3:$D$7,TableBOM[Product ID],$H$3:$H$7))*TableBOM[Per 1000 Units]*(1+TableBOM[Scrap %]))=0,"-",ROUND(F66*1000*SUMPRODUCT((TableBOM[Item ID]=A66)*((SUMIF($D$3:$D$7,TableBOM[Product ID],$H$3:$H$7))&gt;0)*(SUMIF($D$3:$D$7,TableBOM[Product ID],$H$3:$H$7)))/SUMPRODUCT((TableBOM[Item ID]=A66)*((SUMIF($D$3:$D$7,TableBOM[Product ID],$H$3:$H$7))&gt;0)*(SUMIF($D$3:$D$7,TableBOM[Product ID],$H$3:$H$7))*TableBOM[Per 1000 Units]*(1+TableBOM[Scrap %])),0)),"-")</f>
        <v>-</v>
      </c>
      <c r="I66" s="146" t="str">
        <f t="shared" si="3"/>
        <v>Not needed</v>
      </c>
      <c r="J66" s="151" t="str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",""))-2),"")</f>
        <v/>
      </c>
    </row>
    <row r="67" spans="1:19" hidden="1" x14ac:dyDescent="0.25">
      <c r="A67" s="16">
        <v>39</v>
      </c>
      <c r="B67" s="143" t="s">
        <v>95</v>
      </c>
      <c r="C67" s="143" t="s">
        <v>99</v>
      </c>
      <c r="D67" s="143" t="s">
        <v>73</v>
      </c>
      <c r="E67" s="144">
        <f>SUMPRODUCT((TableBOM[Item ID]=A67)*TableBOM[Per 1000 Units]*(1+TableBOM[Scrap %])*((SUMIF($D$3:$D$7,TableBOM[Product ID],$H$3:$H$7))&gt;0)*(SUMIF($D$3:$D$7,TableBOM[Product ID],$H$3:$H$7))/1000)</f>
        <v>0</v>
      </c>
      <c r="F67" s="144">
        <f>IFERROR(INDEX(TableInventory[Store Balance],MATCH(A67,TableInventory[Item ID],0)),0)+IFERROR(INDEX(TableInventory[WIP],MATCH(A67,TableInventory[Item ID],0)),0)</f>
        <v>0</v>
      </c>
      <c r="G67" s="144">
        <f t="shared" si="2"/>
        <v>0</v>
      </c>
      <c r="H67" s="151" t="str">
        <f>IFERROR(IF(SUMPRODUCT((TableBOM[Item ID]=A67)*((SUMIF($D$3:$D$7,TableBOM[Product ID],$H$3:$H$7))&gt;0)*(SUMIF($D$3:$D$7,TableBOM[Product ID],$H$3:$H$7))*TableBOM[Per 1000 Units]*(1+TableBOM[Scrap %]))=0,"-",ROUND(F67*1000*SUMPRODUCT((TableBOM[Item ID]=A67)*((SUMIF($D$3:$D$7,TableBOM[Product ID],$H$3:$H$7))&gt;0)*(SUMIF($D$3:$D$7,TableBOM[Product ID],$H$3:$H$7)))/SUMPRODUCT((TableBOM[Item ID]=A67)*((SUMIF($D$3:$D$7,TableBOM[Product ID],$H$3:$H$7))&gt;0)*(SUMIF($D$3:$D$7,TableBOM[Product ID],$H$3:$H$7))*TableBOM[Per 1000 Units]*(1+TableBOM[Scrap %])),0)),"-")</f>
        <v>-</v>
      </c>
      <c r="I67" s="146" t="str">
        <f t="shared" si="3"/>
        <v>Not needed</v>
      </c>
      <c r="J67" s="151" t="str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",""))-2),"")</f>
        <v/>
      </c>
    </row>
    <row r="68" spans="1:19" x14ac:dyDescent="0.25">
      <c r="A68" s="16">
        <v>3619</v>
      </c>
      <c r="B68" s="143" t="s">
        <v>95</v>
      </c>
      <c r="C68" s="143" t="s">
        <v>100</v>
      </c>
      <c r="D68" s="143" t="s">
        <v>73</v>
      </c>
      <c r="E68" s="144">
        <f>SUMPRODUCT((TableBOM[Item ID]=A68)*TableBOM[Per 1000 Units]*(1+TableBOM[Scrap %])*((SUMIF($D$3:$D$7,TableBOM[Product ID],$H$3:$H$7))&gt;0)*(SUMIF($D$3:$D$7,TableBOM[Product ID],$H$3:$H$7))/1000)</f>
        <v>41.14</v>
      </c>
      <c r="F68" s="144">
        <f>IFERROR(INDEX(TableInventory[Store Balance],MATCH(A68,TableInventory[Item ID],0)),0)+IFERROR(INDEX(TableInventory[WIP],MATCH(A68,TableInventory[Item ID],0)),0)</f>
        <v>280</v>
      </c>
      <c r="G68" s="144">
        <f t="shared" si="2"/>
        <v>238.86</v>
      </c>
      <c r="H68" s="151">
        <f>IFERROR(IF(SUMPRODUCT((TableBOM[Item ID]=A68)*((SUMIF($D$3:$D$7,TableBOM[Product ID],$H$3:$H$7))&gt;0)*(SUMIF($D$3:$D$7,TableBOM[Product ID],$H$3:$H$7))*TableBOM[Per 1000 Units]*(1+TableBOM[Scrap %]))=0,"-",ROUND(F68*1000*SUMPRODUCT((TableBOM[Item ID]=A68)*((SUMIF($D$3:$D$7,TableBOM[Product ID],$H$3:$H$7))&gt;0)*(SUMIF($D$3:$D$7,TableBOM[Product ID],$H$3:$H$7)))/SUMPRODUCT((TableBOM[Item ID]=A68)*((SUMIF($D$3:$D$7,TableBOM[Product ID],$H$3:$H$7))&gt;0)*(SUMIF($D$3:$D$7,TableBOM[Product ID],$H$3:$H$7))*TableBOM[Per 1000 Units]*(1+TableBOM[Scrap %])),0)),"-")</f>
        <v>149733</v>
      </c>
      <c r="I68" s="146" t="str">
        <f t="shared" si="3"/>
        <v>OK</v>
      </c>
      <c r="J68" s="152" t="str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",""))-2),"")</f>
        <v>VINCE HIS ONLY BEARD &amp; MUSTACHE COLOR CREAM</v>
      </c>
    </row>
    <row r="69" spans="1:19" ht="24" customHeight="1" x14ac:dyDescent="0.25">
      <c r="A69" s="16">
        <v>3598</v>
      </c>
      <c r="B69" s="143" t="s">
        <v>95</v>
      </c>
      <c r="C69" s="143" t="s">
        <v>101</v>
      </c>
      <c r="D69" s="143" t="s">
        <v>73</v>
      </c>
      <c r="E69" s="144">
        <f>SUMPRODUCT((TableBOM[Item ID]=A69)*TableBOM[Per 1000 Units]*(1+TableBOM[Scrap %])*((SUMIF($D$3:$D$7,TableBOM[Product ID],$H$3:$H$7))&gt;0)*(SUMIF($D$3:$D$7,TableBOM[Product ID],$H$3:$H$7))/1000)</f>
        <v>1209.6859324000002</v>
      </c>
      <c r="F69" s="144">
        <f>IFERROR(INDEX(TableInventory[Store Balance],MATCH(A69,TableInventory[Item ID],0)),0)+IFERROR(INDEX(TableInventory[WIP],MATCH(A69,TableInventory[Item ID],0)),0)</f>
        <v>167</v>
      </c>
      <c r="G69" s="144">
        <f t="shared" si="2"/>
        <v>-1042.6859324000002</v>
      </c>
      <c r="H69" s="151">
        <f>IFERROR(IF(SUMPRODUCT((TableBOM[Item ID]=A69)*((SUMIF($D$3:$D$7,TableBOM[Product ID],$H$3:$H$7))&gt;0)*(SUMIF($D$3:$D$7,TableBOM[Product ID],$H$3:$H$7))*TableBOM[Per 1000 Units]*(1+TableBOM[Scrap %]))=0,"-",ROUND(F69*1000*SUMPRODUCT((TableBOM[Item ID]=A69)*((SUMIF($D$3:$D$7,TableBOM[Product ID],$H$3:$H$7))&gt;0)*(SUMIF($D$3:$D$7,TableBOM[Product ID],$H$3:$H$7)))/SUMPRODUCT((TableBOM[Item ID]=A69)*((SUMIF($D$3:$D$7,TableBOM[Product ID],$H$3:$H$7))&gt;0)*(SUMIF($D$3:$D$7,TableBOM[Product ID],$H$3:$H$7))*TableBOM[Per 1000 Units]*(1+TableBOM[Scrap %])),0)),"-")</f>
        <v>37342</v>
      </c>
      <c r="I69" s="146" t="str">
        <f t="shared" si="3"/>
        <v>SHORTAGE</v>
      </c>
      <c r="J69" s="152" t="str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",""))-2),"")</f>
        <v>TUBES COMMON RED, VINCE NURTURAL, HELLO HAIR COLOR</v>
      </c>
    </row>
    <row r="70" spans="1:19" hidden="1" x14ac:dyDescent="0.25">
      <c r="A70" s="16">
        <v>45</v>
      </c>
      <c r="B70" s="143" t="s">
        <v>95</v>
      </c>
      <c r="C70" s="143" t="s">
        <v>102</v>
      </c>
      <c r="D70" s="143" t="s">
        <v>73</v>
      </c>
      <c r="E70" s="144">
        <f>SUMPRODUCT((TableBOM[Item ID]=A70)*TableBOM[Per 1000 Units]*(1+TableBOM[Scrap %])*((SUMIF($D$3:$D$7,TableBOM[Product ID],$H$3:$H$7))&gt;0)*(SUMIF($D$3:$D$7,TableBOM[Product ID],$H$3:$H$7))/1000)</f>
        <v>0</v>
      </c>
      <c r="F70" s="144">
        <f>IFERROR(INDEX(TableInventory[Store Balance],MATCH(A70,TableInventory[Item ID],0)),0)+IFERROR(INDEX(TableInventory[WIP],MATCH(A70,TableInventory[Item ID],0)),0)</f>
        <v>0</v>
      </c>
      <c r="G70" s="144">
        <f t="shared" si="2"/>
        <v>0</v>
      </c>
      <c r="H70" s="151" t="str">
        <f>IFERROR(IF(SUMPRODUCT((TableBOM[Item ID]=A70)*((SUMIF($D$3:$D$7,TableBOM[Product ID],$H$3:$H$7))&gt;0)*(SUMIF($D$3:$D$7,TableBOM[Product ID],$H$3:$H$7))*TableBOM[Per 1000 Units]*(1+TableBOM[Scrap %]))=0,"-",ROUND(F70*1000*SUMPRODUCT((TableBOM[Item ID]=A70)*((SUMIF($D$3:$D$7,TableBOM[Product ID],$H$3:$H$7))&gt;0)*(SUMIF($D$3:$D$7,TableBOM[Product ID],$H$3:$H$7)))/SUMPRODUCT((TableBOM[Item ID]=A70)*((SUMIF($D$3:$D$7,TableBOM[Product ID],$H$3:$H$7))&gt;0)*(SUMIF($D$3:$D$7,TableBOM[Product ID],$H$3:$H$7))*TableBOM[Per 1000 Units]*(1+TableBOM[Scrap %])),0)),"-")</f>
        <v>-</v>
      </c>
      <c r="I70" s="146" t="str">
        <f t="shared" si="3"/>
        <v>Not needed</v>
      </c>
      <c r="J70" s="151" t="str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",""))-2),"")</f>
        <v/>
      </c>
    </row>
    <row r="71" spans="1:19" x14ac:dyDescent="0.25">
      <c r="A71" s="16">
        <v>3988</v>
      </c>
      <c r="B71" s="143" t="s">
        <v>95</v>
      </c>
      <c r="C71" s="143" t="s">
        <v>103</v>
      </c>
      <c r="D71" s="143" t="s">
        <v>73</v>
      </c>
      <c r="E71" s="144">
        <f>SUMPRODUCT((TableBOM[Item ID]=A71)*TableBOM[Per 1000 Units]*(1+TableBOM[Scrap %])*((SUMIF($D$3:$D$7,TableBOM[Product ID],$H$3:$H$7))&gt;0)*(SUMIF($D$3:$D$7,TableBOM[Product ID],$H$3:$H$7))/1000)</f>
        <v>757.68422400000009</v>
      </c>
      <c r="F71" s="144">
        <f>IFERROR(INDEX(TableInventory[Store Balance],MATCH(A71,TableInventory[Item ID],0)),0)+IFERROR(INDEX(TableInventory[WIP],MATCH(A71,TableInventory[Item ID],0)),0)</f>
        <v>1412</v>
      </c>
      <c r="G71" s="144">
        <f t="shared" si="2"/>
        <v>654.31577599999991</v>
      </c>
      <c r="H71" s="151">
        <f>IFERROR(IF(SUMPRODUCT((TableBOM[Item ID]=A71)*((SUMIF($D$3:$D$7,TableBOM[Product ID],$H$3:$H$7))&gt;0)*(SUMIF($D$3:$D$7,TableBOM[Product ID],$H$3:$H$7))*TableBOM[Per 1000 Units]*(1+TableBOM[Scrap %]))=0,"-",ROUND(F71*1000*SUMPRODUCT((TableBOM[Item ID]=A71)*((SUMIF($D$3:$D$7,TableBOM[Product ID],$H$3:$H$7))&gt;0)*(SUMIF($D$3:$D$7,TableBOM[Product ID],$H$3:$H$7)))/SUMPRODUCT((TableBOM[Item ID]=A71)*((SUMIF($D$3:$D$7,TableBOM[Product ID],$H$3:$H$7))&gt;0)*(SUMIF($D$3:$D$7,TableBOM[Product ID],$H$3:$H$7))*TableBOM[Per 1000 Units]*(1+TableBOM[Scrap %])),0)),"-")</f>
        <v>211821</v>
      </c>
      <c r="I71" s="146" t="str">
        <f t="shared" si="3"/>
        <v>OK</v>
      </c>
      <c r="J71" s="152" t="str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",""))-2),"")</f>
        <v>H.H 100GM</v>
      </c>
    </row>
    <row r="72" spans="1:19" hidden="1" x14ac:dyDescent="0.25">
      <c r="A72" s="16">
        <v>5977</v>
      </c>
      <c r="B72" s="143" t="s">
        <v>95</v>
      </c>
      <c r="C72" s="143" t="s">
        <v>104</v>
      </c>
      <c r="D72" s="143" t="s">
        <v>73</v>
      </c>
      <c r="E72" s="144">
        <f>SUMPRODUCT((TableBOM[Item ID]=A72)*TableBOM[Per 1000 Units]*(1+TableBOM[Scrap %])*((SUMIF($D$3:$D$7,TableBOM[Product ID],$H$3:$H$7))&gt;0)*(SUMIF($D$3:$D$7,TableBOM[Product ID],$H$3:$H$7))/1000)</f>
        <v>0</v>
      </c>
      <c r="F72" s="144">
        <f>IFERROR(INDEX(TableInventory[Store Balance],MATCH(A72,TableInventory[Item ID],0)),0)+IFERROR(INDEX(TableInventory[WIP],MATCH(A72,TableInventory[Item ID],0)),0)</f>
        <v>221</v>
      </c>
      <c r="G72" s="144">
        <f t="shared" si="2"/>
        <v>221</v>
      </c>
      <c r="H72" s="151" t="str">
        <f>IFERROR(IF(SUMPRODUCT((TableBOM[Item ID]=A72)*((SUMIF($D$3:$D$7,TableBOM[Product ID],$H$3:$H$7))&gt;0)*(SUMIF($D$3:$D$7,TableBOM[Product ID],$H$3:$H$7))*TableBOM[Per 1000 Units]*(1+TableBOM[Scrap %]))=0,"-",ROUND(F72*1000*SUMPRODUCT((TableBOM[Item ID]=A72)*((SUMIF($D$3:$D$7,TableBOM[Product ID],$H$3:$H$7))&gt;0)*(SUMIF($D$3:$D$7,TableBOM[Product ID],$H$3:$H$7)))/SUMPRODUCT((TableBOM[Item ID]=A72)*((SUMIF($D$3:$D$7,TableBOM[Product ID],$H$3:$H$7))&gt;0)*(SUMIF($D$3:$D$7,TableBOM[Product ID],$H$3:$H$7))*TableBOM[Per 1000 Units]*(1+TableBOM[Scrap %])),0)),"-")</f>
        <v>-</v>
      </c>
      <c r="I72" s="146" t="str">
        <f t="shared" si="3"/>
        <v>Not needed</v>
      </c>
      <c r="J72" s="151" t="str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",""))-2),"")</f>
        <v/>
      </c>
    </row>
    <row r="73" spans="1:19" ht="15" customHeight="1" x14ac:dyDescent="0.25">
      <c r="A73" s="16">
        <v>194</v>
      </c>
      <c r="B73" s="143" t="s">
        <v>105</v>
      </c>
      <c r="C73" s="143" t="s">
        <v>106</v>
      </c>
      <c r="D73" s="143" t="s">
        <v>36</v>
      </c>
      <c r="E73" s="144">
        <f>SUMPRODUCT((TableBOM[Item ID]=A73)*TableBOM[Per 1000 Units]*(1+TableBOM[Scrap %])*((SUMIF($D$3:$D$7,TableBOM[Product ID],$H$3:$H$7))&gt;0)*(SUMIF($D$3:$D$7,TableBOM[Product ID],$H$3:$H$7))/1000)</f>
        <v>3.6842388000000001</v>
      </c>
      <c r="F73" s="144">
        <f>IFERROR(INDEX(TableInventory[Store Balance],MATCH(A73,TableInventory[Item ID],0)),0)+IFERROR(INDEX(TableInventory[WIP],MATCH(A73,TableInventory[Item ID],0)),0)</f>
        <v>15.5</v>
      </c>
      <c r="G73" s="144">
        <f t="shared" si="2"/>
        <v>11.815761200000001</v>
      </c>
      <c r="H73" s="151">
        <f>IFERROR(IF(SUMPRODUCT((TableBOM[Item ID]=A73)*((SUMIF($D$3:$D$7,TableBOM[Product ID],$H$3:$H$7))&gt;0)*(SUMIF($D$3:$D$7,TableBOM[Product ID],$H$3:$H$7))*TableBOM[Per 1000 Units]*(1+TableBOM[Scrap %]))=0,"-",ROUND(F73*1000*SUMPRODUCT((TableBOM[Item ID]=A73)*((SUMIF($D$3:$D$7,TableBOM[Product ID],$H$3:$H$7))&gt;0)*(SUMIF($D$3:$D$7,TableBOM[Product ID],$H$3:$H$7)))/SUMPRODUCT((TableBOM[Item ID]=A73)*((SUMIF($D$3:$D$7,TableBOM[Product ID],$H$3:$H$7))&gt;0)*(SUMIF($D$3:$D$7,TableBOM[Product ID],$H$3:$H$7))*TableBOM[Per 1000 Units]*(1+TableBOM[Scrap %])),0)),"-")</f>
        <v>1707641</v>
      </c>
      <c r="I73" s="146" t="str">
        <f t="shared" si="3"/>
        <v>OK</v>
      </c>
      <c r="J73" s="152" t="str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",""))-2),"")</f>
        <v>VINCE HIS ONLY BEARD &amp; MUSTACHE COLOR CREAM, TUBES COMMON RED, HELLO HAIR COLOR, H.H 100GM</v>
      </c>
    </row>
    <row r="74" spans="1:19" ht="15" hidden="1" customHeight="1" x14ac:dyDescent="0.25">
      <c r="A74" s="16">
        <v>4165</v>
      </c>
      <c r="B74" s="143" t="s">
        <v>105</v>
      </c>
      <c r="C74" s="143" t="s">
        <v>107</v>
      </c>
      <c r="D74" s="143" t="s">
        <v>36</v>
      </c>
      <c r="E74" s="144">
        <f>SUMPRODUCT((TableBOM[Item ID]=A74)*TableBOM[Per 1000 Units]*(1+TableBOM[Scrap %])*((SUMIF($D$3:$D$7,TableBOM[Product ID],$H$3:$H$7))&gt;0)*(SUMIF($D$3:$D$7,TableBOM[Product ID],$H$3:$H$7))/1000)</f>
        <v>0</v>
      </c>
      <c r="F74" s="144">
        <f>IFERROR(INDEX(TableInventory[Store Balance],MATCH(A74,TableInventory[Item ID],0)),0)+IFERROR(INDEX(TableInventory[WIP],MATCH(A74,TableInventory[Item ID],0)),0)</f>
        <v>0</v>
      </c>
      <c r="G74" s="144">
        <f t="shared" si="2"/>
        <v>0</v>
      </c>
      <c r="H74" s="151" t="str">
        <f>IFERROR(IF(SUMPRODUCT((TableBOM[Item ID]=A74)*((SUMIF($D$3:$D$7,TableBOM[Product ID],$H$3:$H$7))&gt;0)*(SUMIF($D$3:$D$7,TableBOM[Product ID],$H$3:$H$7))*TableBOM[Per 1000 Units]*(1+TableBOM[Scrap %]))=0,"-",ROUND(F74*1000*SUMPRODUCT((TableBOM[Item ID]=A74)*((SUMIF($D$3:$D$7,TableBOM[Product ID],$H$3:$H$7))&gt;0)*(SUMIF($D$3:$D$7,TableBOM[Product ID],$H$3:$H$7)))/SUMPRODUCT((TableBOM[Item ID]=A74)*((SUMIF($D$3:$D$7,TableBOM[Product ID],$H$3:$H$7))&gt;0)*(SUMIF($D$3:$D$7,TableBOM[Product ID],$H$3:$H$7))*TableBOM[Per 1000 Units]*(1+TableBOM[Scrap %])),0)),"-")</f>
        <v>-</v>
      </c>
      <c r="I74" s="146" t="str">
        <f t="shared" si="3"/>
        <v>Not needed</v>
      </c>
      <c r="J74" s="151" t="str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",""))-2),"")</f>
        <v/>
      </c>
      <c r="L74" s="11"/>
      <c r="M74" s="11"/>
      <c r="N74" s="11"/>
      <c r="O74" s="11"/>
      <c r="P74" s="11"/>
      <c r="Q74" s="11"/>
      <c r="R74" s="11"/>
      <c r="S74" s="2"/>
    </row>
    <row r="75" spans="1:19" ht="15" customHeight="1" x14ac:dyDescent="0.25">
      <c r="A75" s="16">
        <v>3635</v>
      </c>
      <c r="B75" s="143" t="s">
        <v>108</v>
      </c>
      <c r="C75" s="143" t="s">
        <v>109</v>
      </c>
      <c r="D75" s="143" t="s">
        <v>73</v>
      </c>
      <c r="E75" s="144">
        <f>SUMPRODUCT((TableBOM[Item ID]=A75)*TableBOM[Per 1000 Units]*(1+TableBOM[Scrap %])*((SUMIF($D$3:$D$7,TableBOM[Product ID],$H$3:$H$7))&gt;0)*(SUMIF($D$3:$D$7,TableBOM[Product ID],$H$3:$H$7))/1000)</f>
        <v>66.307648</v>
      </c>
      <c r="F75" s="144">
        <f>IFERROR(INDEX(TableInventory[Store Balance],MATCH(A75,TableInventory[Item ID],0)),0)+IFERROR(INDEX(TableInventory[WIP],MATCH(A75,TableInventory[Item ID],0)),0)</f>
        <v>216</v>
      </c>
      <c r="G75" s="144">
        <f t="shared" ref="G75:G106" si="4">F75-E75</f>
        <v>149.692352</v>
      </c>
      <c r="H75" s="151">
        <f>IFERROR(IF(SUMPRODUCT((TableBOM[Item ID]=A75)*((SUMIF($D$3:$D$7,TableBOM[Product ID],$H$3:$H$7))&gt;0)*(SUMIF($D$3:$D$7,TableBOM[Product ID],$H$3:$H$7))*TableBOM[Per 1000 Units]*(1+TableBOM[Scrap %]))=0,"-",ROUND(F75*1000*SUMPRODUCT((TableBOM[Item ID]=A75)*((SUMIF($D$3:$D$7,TableBOM[Product ID],$H$3:$H$7))&gt;0)*(SUMIF($D$3:$D$7,TableBOM[Product ID],$H$3:$H$7)))/SUMPRODUCT((TableBOM[Item ID]=A75)*((SUMIF($D$3:$D$7,TableBOM[Product ID],$H$3:$H$7))&gt;0)*(SUMIF($D$3:$D$7,TableBOM[Product ID],$H$3:$H$7))*TableBOM[Per 1000 Units]*(1+TableBOM[Scrap %])),0)),"-")</f>
        <v>1323058</v>
      </c>
      <c r="I75" s="146" t="str">
        <f t="shared" ref="I75:I91" si="5">IF(E75=0,"Not needed",IF(G75&lt;0,"SHORTAGE",IF(G75&lt;E75*0.1,"LOW","OK")))</f>
        <v>OK</v>
      </c>
      <c r="J75" s="152" t="str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",""))-2),"")</f>
        <v>VINCE HIS ONLY BEARD &amp; MUSTACHE COLOR CREAM, TUBES COMMON RED, VINCE NURTURAL, HELLO HAIR COLOR, H.H 100GM</v>
      </c>
    </row>
    <row r="76" spans="1:19" ht="15" hidden="1" customHeight="1" x14ac:dyDescent="0.25">
      <c r="A76" s="16">
        <v>190</v>
      </c>
      <c r="B76" s="143" t="s">
        <v>110</v>
      </c>
      <c r="C76" s="143" t="s">
        <v>111</v>
      </c>
      <c r="D76" s="143" t="s">
        <v>53</v>
      </c>
      <c r="E76" s="144">
        <f>SUMPRODUCT((TableBOM[Item ID]=A76)*TableBOM[Per 1000 Units]*(1+TableBOM[Scrap %])*((SUMIF($D$3:$D$7,TableBOM[Product ID],$H$3:$H$7))&gt;0)*(SUMIF($D$3:$D$7,TableBOM[Product ID],$H$3:$H$7))/1000)</f>
        <v>0</v>
      </c>
      <c r="F76" s="144">
        <f>IFERROR(INDEX(TableInventory[Store Balance],MATCH(A76,TableInventory[Item ID],0)),0)+IFERROR(INDEX(TableInventory[WIP],MATCH(A76,TableInventory[Item ID],0)),0)</f>
        <v>65</v>
      </c>
      <c r="G76" s="144">
        <f t="shared" si="4"/>
        <v>65</v>
      </c>
      <c r="H76" s="151" t="str">
        <f>IFERROR(IF(SUMPRODUCT((TableBOM[Item ID]=A76)*((SUMIF($D$3:$D$7,TableBOM[Product ID],$H$3:$H$7))&gt;0)*(SUMIF($D$3:$D$7,TableBOM[Product ID],$H$3:$H$7))*TableBOM[Per 1000 Units]*(1+TableBOM[Scrap %]))=0,"-",ROUND(F76*1000*SUMPRODUCT((TableBOM[Item ID]=A76)*((SUMIF($D$3:$D$7,TableBOM[Product ID],$H$3:$H$7))&gt;0)*(SUMIF($D$3:$D$7,TableBOM[Product ID],$H$3:$H$7)))/SUMPRODUCT((TableBOM[Item ID]=A76)*((SUMIF($D$3:$D$7,TableBOM[Product ID],$H$3:$H$7))&gt;0)*(SUMIF($D$3:$D$7,TableBOM[Product ID],$H$3:$H$7))*TableBOM[Per 1000 Units]*(1+TableBOM[Scrap %])),0)),"-")</f>
        <v>-</v>
      </c>
      <c r="I76" s="146" t="str">
        <f t="shared" si="5"/>
        <v>Not needed</v>
      </c>
      <c r="J76" s="151" t="str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",""))-2),"")</f>
        <v/>
      </c>
    </row>
    <row r="77" spans="1:19" ht="15" hidden="1" customHeight="1" x14ac:dyDescent="0.25">
      <c r="A77" s="16">
        <v>191</v>
      </c>
      <c r="B77" s="143" t="s">
        <v>110</v>
      </c>
      <c r="C77" s="143" t="s">
        <v>112</v>
      </c>
      <c r="D77" s="143" t="s">
        <v>53</v>
      </c>
      <c r="E77" s="144">
        <f>SUMPRODUCT((TableBOM[Item ID]=A77)*TableBOM[Per 1000 Units]*(1+TableBOM[Scrap %])*((SUMIF($D$3:$D$7,TableBOM[Product ID],$H$3:$H$7))&gt;0)*(SUMIF($D$3:$D$7,TableBOM[Product ID],$H$3:$H$7))/1000)</f>
        <v>0</v>
      </c>
      <c r="F77" s="144">
        <f>IFERROR(INDEX(TableInventory[Store Balance],MATCH(A77,TableInventory[Item ID],0)),0)+IFERROR(INDEX(TableInventory[WIP],MATCH(A77,TableInventory[Item ID],0)),0)</f>
        <v>50</v>
      </c>
      <c r="G77" s="144">
        <f t="shared" si="4"/>
        <v>50</v>
      </c>
      <c r="H77" s="151" t="str">
        <f>IFERROR(IF(SUMPRODUCT((TableBOM[Item ID]=A77)*((SUMIF($D$3:$D$7,TableBOM[Product ID],$H$3:$H$7))&gt;0)*(SUMIF($D$3:$D$7,TableBOM[Product ID],$H$3:$H$7))*TableBOM[Per 1000 Units]*(1+TableBOM[Scrap %]))=0,"-",ROUND(F77*1000*SUMPRODUCT((TableBOM[Item ID]=A77)*((SUMIF($D$3:$D$7,TableBOM[Product ID],$H$3:$H$7))&gt;0)*(SUMIF($D$3:$D$7,TableBOM[Product ID],$H$3:$H$7)))/SUMPRODUCT((TableBOM[Item ID]=A77)*((SUMIF($D$3:$D$7,TableBOM[Product ID],$H$3:$H$7))&gt;0)*(SUMIF($D$3:$D$7,TableBOM[Product ID],$H$3:$H$7))*TableBOM[Per 1000 Units]*(1+TableBOM[Scrap %])),0)),"-")</f>
        <v>-</v>
      </c>
      <c r="I77" s="146" t="str">
        <f t="shared" si="5"/>
        <v>Not needed</v>
      </c>
      <c r="J77" s="151" t="str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",""))-2),"")</f>
        <v/>
      </c>
    </row>
    <row r="78" spans="1:19" ht="15" hidden="1" customHeight="1" x14ac:dyDescent="0.25">
      <c r="A78" s="16">
        <v>2680</v>
      </c>
      <c r="B78" s="143" t="s">
        <v>113</v>
      </c>
      <c r="C78" s="143" t="s">
        <v>114</v>
      </c>
      <c r="D78" s="143" t="s">
        <v>36</v>
      </c>
      <c r="E78" s="144">
        <f>SUMPRODUCT((TableBOM[Item ID]=A78)*TableBOM[Per 1000 Units]*(1+TableBOM[Scrap %])*((SUMIF($D$3:$D$7,TableBOM[Product ID],$H$3:$H$7))&gt;0)*(SUMIF($D$3:$D$7,TableBOM[Product ID],$H$3:$H$7))/1000)</f>
        <v>0</v>
      </c>
      <c r="F78" s="144">
        <f>IFERROR(INDEX(TableInventory[Store Balance],MATCH(A78,TableInventory[Item ID],0)),0)+IFERROR(INDEX(TableInventory[WIP],MATCH(A78,TableInventory[Item ID],0)),0)</f>
        <v>50</v>
      </c>
      <c r="G78" s="144">
        <f t="shared" si="4"/>
        <v>50</v>
      </c>
      <c r="H78" s="151" t="str">
        <f>IFERROR(IF(SUMPRODUCT((TableBOM[Item ID]=A78)*((SUMIF($D$3:$D$7,TableBOM[Product ID],$H$3:$H$7))&gt;0)*(SUMIF($D$3:$D$7,TableBOM[Product ID],$H$3:$H$7))*TableBOM[Per 1000 Units]*(1+TableBOM[Scrap %]))=0,"-",ROUND(F78*1000*SUMPRODUCT((TableBOM[Item ID]=A78)*((SUMIF($D$3:$D$7,TableBOM[Product ID],$H$3:$H$7))&gt;0)*(SUMIF($D$3:$D$7,TableBOM[Product ID],$H$3:$H$7)))/SUMPRODUCT((TableBOM[Item ID]=A78)*((SUMIF($D$3:$D$7,TableBOM[Product ID],$H$3:$H$7))&gt;0)*(SUMIF($D$3:$D$7,TableBOM[Product ID],$H$3:$H$7))*TableBOM[Per 1000 Units]*(1+TableBOM[Scrap %])),0)),"-")</f>
        <v>-</v>
      </c>
      <c r="I78" s="146" t="str">
        <f t="shared" si="5"/>
        <v>Not needed</v>
      </c>
      <c r="J78" s="151" t="str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",""))-2),"")</f>
        <v/>
      </c>
    </row>
    <row r="79" spans="1:19" ht="15" hidden="1" customHeight="1" x14ac:dyDescent="0.25">
      <c r="A79" s="16">
        <v>3492</v>
      </c>
      <c r="B79" s="143" t="s">
        <v>115</v>
      </c>
      <c r="C79" s="143" t="s">
        <v>116</v>
      </c>
      <c r="D79" s="143" t="s">
        <v>36</v>
      </c>
      <c r="E79" s="144">
        <f>SUMPRODUCT((TableBOM[Item ID]=A79)*TableBOM[Per 1000 Units]*(1+TableBOM[Scrap %])*((SUMIF($D$3:$D$7,TableBOM[Product ID],$H$3:$H$7))&gt;0)*(SUMIF($D$3:$D$7,TableBOM[Product ID],$H$3:$H$7))/1000)</f>
        <v>0</v>
      </c>
      <c r="F79" s="144">
        <f>IFERROR(INDEX(TableInventory[Store Balance],MATCH(A79,TableInventory[Item ID],0)),0)+IFERROR(INDEX(TableInventory[WIP],MATCH(A79,TableInventory[Item ID],0)),0)</f>
        <v>75</v>
      </c>
      <c r="G79" s="144">
        <f t="shared" si="4"/>
        <v>75</v>
      </c>
      <c r="H79" s="151" t="str">
        <f>IFERROR(IF(SUMPRODUCT((TableBOM[Item ID]=A79)*((SUMIF($D$3:$D$7,TableBOM[Product ID],$H$3:$H$7))&gt;0)*(SUMIF($D$3:$D$7,TableBOM[Product ID],$H$3:$H$7))*TableBOM[Per 1000 Units]*(1+TableBOM[Scrap %]))=0,"-",ROUND(F79*1000*SUMPRODUCT((TableBOM[Item ID]=A79)*((SUMIF($D$3:$D$7,TableBOM[Product ID],$H$3:$H$7))&gt;0)*(SUMIF($D$3:$D$7,TableBOM[Product ID],$H$3:$H$7)))/SUMPRODUCT((TableBOM[Item ID]=A79)*((SUMIF($D$3:$D$7,TableBOM[Product ID],$H$3:$H$7))&gt;0)*(SUMIF($D$3:$D$7,TableBOM[Product ID],$H$3:$H$7))*TableBOM[Per 1000 Units]*(1+TableBOM[Scrap %])),0)),"-")</f>
        <v>-</v>
      </c>
      <c r="I79" s="146" t="str">
        <f t="shared" si="5"/>
        <v>Not needed</v>
      </c>
      <c r="J79" s="151" t="str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",""))-2),"")</f>
        <v/>
      </c>
    </row>
    <row r="80" spans="1:19" ht="15" hidden="1" customHeight="1" x14ac:dyDescent="0.25">
      <c r="A80" s="16">
        <v>4002</v>
      </c>
      <c r="B80" s="143" t="s">
        <v>115</v>
      </c>
      <c r="C80" s="143" t="s">
        <v>117</v>
      </c>
      <c r="D80" s="143" t="s">
        <v>36</v>
      </c>
      <c r="E80" s="144">
        <f>SUMPRODUCT((TableBOM[Item ID]=A80)*TableBOM[Per 1000 Units]*(1+TableBOM[Scrap %])*((SUMIF($D$3:$D$7,TableBOM[Product ID],$H$3:$H$7))&gt;0)*(SUMIF($D$3:$D$7,TableBOM[Product ID],$H$3:$H$7))/1000)</f>
        <v>0</v>
      </c>
      <c r="F80" s="144">
        <f>IFERROR(INDEX(TableInventory[Store Balance],MATCH(A80,TableInventory[Item ID],0)),0)+IFERROR(INDEX(TableInventory[WIP],MATCH(A80,TableInventory[Item ID],0)),0)</f>
        <v>25</v>
      </c>
      <c r="G80" s="144">
        <f t="shared" si="4"/>
        <v>25</v>
      </c>
      <c r="H80" s="151" t="str">
        <f>IFERROR(IF(SUMPRODUCT((TableBOM[Item ID]=A80)*((SUMIF($D$3:$D$7,TableBOM[Product ID],$H$3:$H$7))&gt;0)*(SUMIF($D$3:$D$7,TableBOM[Product ID],$H$3:$H$7))*TableBOM[Per 1000 Units]*(1+TableBOM[Scrap %]))=0,"-",ROUND(F80*1000*SUMPRODUCT((TableBOM[Item ID]=A80)*((SUMIF($D$3:$D$7,TableBOM[Product ID],$H$3:$H$7))&gt;0)*(SUMIF($D$3:$D$7,TableBOM[Product ID],$H$3:$H$7)))/SUMPRODUCT((TableBOM[Item ID]=A80)*((SUMIF($D$3:$D$7,TableBOM[Product ID],$H$3:$H$7))&gt;0)*(SUMIF($D$3:$D$7,TableBOM[Product ID],$H$3:$H$7))*TableBOM[Per 1000 Units]*(1+TableBOM[Scrap %])),0)),"-")</f>
        <v>-</v>
      </c>
      <c r="I80" s="146" t="str">
        <f t="shared" si="5"/>
        <v>Not needed</v>
      </c>
      <c r="J80" s="151" t="str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",""))-2),"")</f>
        <v/>
      </c>
    </row>
    <row r="81" spans="1:19" ht="15" hidden="1" customHeight="1" x14ac:dyDescent="0.25">
      <c r="A81" s="16">
        <v>4310</v>
      </c>
      <c r="B81" s="143" t="s">
        <v>115</v>
      </c>
      <c r="C81" s="143" t="s">
        <v>118</v>
      </c>
      <c r="D81" s="143" t="s">
        <v>36</v>
      </c>
      <c r="E81" s="144">
        <f>SUMPRODUCT((TableBOM[Item ID]=A81)*TableBOM[Per 1000 Units]*(1+TableBOM[Scrap %])*((SUMIF($D$3:$D$7,TableBOM[Product ID],$H$3:$H$7))&gt;0)*(SUMIF($D$3:$D$7,TableBOM[Product ID],$H$3:$H$7))/1000)</f>
        <v>0</v>
      </c>
      <c r="F81" s="144">
        <f>IFERROR(INDEX(TableInventory[Store Balance],MATCH(A81,TableInventory[Item ID],0)),0)+IFERROR(INDEX(TableInventory[WIP],MATCH(A81,TableInventory[Item ID],0)),0)</f>
        <v>36.229999999999997</v>
      </c>
      <c r="G81" s="144">
        <f t="shared" si="4"/>
        <v>36.229999999999997</v>
      </c>
      <c r="H81" s="151" t="str">
        <f>IFERROR(IF(SUMPRODUCT((TableBOM[Item ID]=A81)*((SUMIF($D$3:$D$7,TableBOM[Product ID],$H$3:$H$7))&gt;0)*(SUMIF($D$3:$D$7,TableBOM[Product ID],$H$3:$H$7))*TableBOM[Per 1000 Units]*(1+TableBOM[Scrap %]))=0,"-",ROUND(F81*1000*SUMPRODUCT((TableBOM[Item ID]=A81)*((SUMIF($D$3:$D$7,TableBOM[Product ID],$H$3:$H$7))&gt;0)*(SUMIF($D$3:$D$7,TableBOM[Product ID],$H$3:$H$7)))/SUMPRODUCT((TableBOM[Item ID]=A81)*((SUMIF($D$3:$D$7,TableBOM[Product ID],$H$3:$H$7))&gt;0)*(SUMIF($D$3:$D$7,TableBOM[Product ID],$H$3:$H$7))*TableBOM[Per 1000 Units]*(1+TableBOM[Scrap %])),0)),"-")</f>
        <v>-</v>
      </c>
      <c r="I81" s="146" t="str">
        <f t="shared" si="5"/>
        <v>Not needed</v>
      </c>
      <c r="J81" s="151" t="str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",""))-2),"")</f>
        <v/>
      </c>
    </row>
    <row r="82" spans="1:19" ht="15" hidden="1" customHeight="1" x14ac:dyDescent="0.25">
      <c r="A82" s="16">
        <v>5625</v>
      </c>
      <c r="B82" s="143" t="s">
        <v>115</v>
      </c>
      <c r="C82" s="143" t="s">
        <v>119</v>
      </c>
      <c r="D82" s="143" t="s">
        <v>36</v>
      </c>
      <c r="E82" s="144">
        <f>SUMPRODUCT((TableBOM[Item ID]=A82)*TableBOM[Per 1000 Units]*(1+TableBOM[Scrap %])*((SUMIF($D$3:$D$7,TableBOM[Product ID],$H$3:$H$7))&gt;0)*(SUMIF($D$3:$D$7,TableBOM[Product ID],$H$3:$H$7))/1000)</f>
        <v>0</v>
      </c>
      <c r="F82" s="144">
        <f>IFERROR(INDEX(TableInventory[Store Balance],MATCH(A82,TableInventory[Item ID],0)),0)+IFERROR(INDEX(TableInventory[WIP],MATCH(A82,TableInventory[Item ID],0)),0)</f>
        <v>48.5</v>
      </c>
      <c r="G82" s="144">
        <f t="shared" si="4"/>
        <v>48.5</v>
      </c>
      <c r="H82" s="151" t="str">
        <f>IFERROR(IF(SUMPRODUCT((TableBOM[Item ID]=A82)*((SUMIF($D$3:$D$7,TableBOM[Product ID],$H$3:$H$7))&gt;0)*(SUMIF($D$3:$D$7,TableBOM[Product ID],$H$3:$H$7))*TableBOM[Per 1000 Units]*(1+TableBOM[Scrap %]))=0,"-",ROUND(F82*1000*SUMPRODUCT((TableBOM[Item ID]=A82)*((SUMIF($D$3:$D$7,TableBOM[Product ID],$H$3:$H$7))&gt;0)*(SUMIF($D$3:$D$7,TableBOM[Product ID],$H$3:$H$7)))/SUMPRODUCT((TableBOM[Item ID]=A82)*((SUMIF($D$3:$D$7,TableBOM[Product ID],$H$3:$H$7))&gt;0)*(SUMIF($D$3:$D$7,TableBOM[Product ID],$H$3:$H$7))*TableBOM[Per 1000 Units]*(1+TableBOM[Scrap %])),0)),"-")</f>
        <v>-</v>
      </c>
      <c r="I82" s="146" t="str">
        <f t="shared" si="5"/>
        <v>Not needed</v>
      </c>
      <c r="J82" s="151" t="str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",""))-2),"")</f>
        <v/>
      </c>
    </row>
    <row r="83" spans="1:19" ht="15" hidden="1" customHeight="1" x14ac:dyDescent="0.25">
      <c r="A83" s="16">
        <v>5816</v>
      </c>
      <c r="B83" s="143" t="s">
        <v>115</v>
      </c>
      <c r="C83" s="143" t="s">
        <v>120</v>
      </c>
      <c r="D83" s="143" t="s">
        <v>36</v>
      </c>
      <c r="E83" s="144">
        <f>SUMPRODUCT((TableBOM[Item ID]=A83)*TableBOM[Per 1000 Units]*(1+TableBOM[Scrap %])*((SUMIF($D$3:$D$7,TableBOM[Product ID],$H$3:$H$7))&gt;0)*(SUMIF($D$3:$D$7,TableBOM[Product ID],$H$3:$H$7))/1000)</f>
        <v>0</v>
      </c>
      <c r="F83" s="144">
        <f>IFERROR(INDEX(TableInventory[Store Balance],MATCH(A83,TableInventory[Item ID],0)),0)+IFERROR(INDEX(TableInventory[WIP],MATCH(A83,TableInventory[Item ID],0)),0)</f>
        <v>0</v>
      </c>
      <c r="G83" s="144">
        <f t="shared" si="4"/>
        <v>0</v>
      </c>
      <c r="H83" s="151" t="str">
        <f>IFERROR(IF(SUMPRODUCT((TableBOM[Item ID]=A83)*((SUMIF($D$3:$D$7,TableBOM[Product ID],$H$3:$H$7))&gt;0)*(SUMIF($D$3:$D$7,TableBOM[Product ID],$H$3:$H$7))*TableBOM[Per 1000 Units]*(1+TableBOM[Scrap %]))=0,"-",ROUND(F83*1000*SUMPRODUCT((TableBOM[Item ID]=A83)*((SUMIF($D$3:$D$7,TableBOM[Product ID],$H$3:$H$7))&gt;0)*(SUMIF($D$3:$D$7,TableBOM[Product ID],$H$3:$H$7)))/SUMPRODUCT((TableBOM[Item ID]=A83)*((SUMIF($D$3:$D$7,TableBOM[Product ID],$H$3:$H$7))&gt;0)*(SUMIF($D$3:$D$7,TableBOM[Product ID],$H$3:$H$7))*TableBOM[Per 1000 Units]*(1+TableBOM[Scrap %])),0)),"-")</f>
        <v>-</v>
      </c>
      <c r="I83" s="146" t="str">
        <f t="shared" si="5"/>
        <v>Not needed</v>
      </c>
      <c r="J83" s="151" t="str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",""))-2),"")</f>
        <v/>
      </c>
    </row>
    <row r="84" spans="1:19" ht="15" hidden="1" customHeight="1" x14ac:dyDescent="0.25">
      <c r="A84" s="16">
        <v>6135</v>
      </c>
      <c r="B84" s="143" t="s">
        <v>115</v>
      </c>
      <c r="C84" s="143" t="s">
        <v>121</v>
      </c>
      <c r="D84" s="143" t="s">
        <v>36</v>
      </c>
      <c r="E84" s="144">
        <f>SUMPRODUCT((TableBOM[Item ID]=A84)*TableBOM[Per 1000 Units]*(1+TableBOM[Scrap %])*((SUMIF($D$3:$D$7,TableBOM[Product ID],$H$3:$H$7))&gt;0)*(SUMIF($D$3:$D$7,TableBOM[Product ID],$H$3:$H$7))/1000)</f>
        <v>0</v>
      </c>
      <c r="F84" s="144">
        <f>IFERROR(INDEX(TableInventory[Store Balance],MATCH(A84,TableInventory[Item ID],0)),0)+IFERROR(INDEX(TableInventory[WIP],MATCH(A84,TableInventory[Item ID],0)),0)</f>
        <v>200</v>
      </c>
      <c r="G84" s="144">
        <f t="shared" si="4"/>
        <v>200</v>
      </c>
      <c r="H84" s="151" t="str">
        <f>IFERROR(IF(SUMPRODUCT((TableBOM[Item ID]=A84)*((SUMIF($D$3:$D$7,TableBOM[Product ID],$H$3:$H$7))&gt;0)*(SUMIF($D$3:$D$7,TableBOM[Product ID],$H$3:$H$7))*TableBOM[Per 1000 Units]*(1+TableBOM[Scrap %]))=0,"-",ROUND(F84*1000*SUMPRODUCT((TableBOM[Item ID]=A84)*((SUMIF($D$3:$D$7,TableBOM[Product ID],$H$3:$H$7))&gt;0)*(SUMIF($D$3:$D$7,TableBOM[Product ID],$H$3:$H$7)))/SUMPRODUCT((TableBOM[Item ID]=A84)*((SUMIF($D$3:$D$7,TableBOM[Product ID],$H$3:$H$7))&gt;0)*(SUMIF($D$3:$D$7,TableBOM[Product ID],$H$3:$H$7))*TableBOM[Per 1000 Units]*(1+TableBOM[Scrap %])),0)),"-")</f>
        <v>-</v>
      </c>
      <c r="I84" s="146" t="str">
        <f t="shared" si="5"/>
        <v>Not needed</v>
      </c>
      <c r="J84" s="151" t="str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",""))-2),"")</f>
        <v/>
      </c>
    </row>
    <row r="85" spans="1:19" ht="15" hidden="1" customHeight="1" x14ac:dyDescent="0.25">
      <c r="A85" s="16">
        <v>7133</v>
      </c>
      <c r="B85" s="143" t="s">
        <v>115</v>
      </c>
      <c r="C85" s="143" t="s">
        <v>122</v>
      </c>
      <c r="D85" s="143" t="s">
        <v>36</v>
      </c>
      <c r="E85" s="144">
        <f>SUMPRODUCT((TableBOM[Item ID]=A85)*TableBOM[Per 1000 Units]*(1+TableBOM[Scrap %])*((SUMIF($D$3:$D$7,TableBOM[Product ID],$H$3:$H$7))&gt;0)*(SUMIF($D$3:$D$7,TableBOM[Product ID],$H$3:$H$7))/1000)</f>
        <v>0</v>
      </c>
      <c r="F85" s="144">
        <f>IFERROR(INDEX(TableInventory[Store Balance],MATCH(A85,TableInventory[Item ID],0)),0)+IFERROR(INDEX(TableInventory[WIP],MATCH(A85,TableInventory[Item ID],0)),0)</f>
        <v>20</v>
      </c>
      <c r="G85" s="144">
        <f t="shared" si="4"/>
        <v>20</v>
      </c>
      <c r="H85" s="151" t="str">
        <f>IFERROR(IF(SUMPRODUCT((TableBOM[Item ID]=A85)*((SUMIF($D$3:$D$7,TableBOM[Product ID],$H$3:$H$7))&gt;0)*(SUMIF($D$3:$D$7,TableBOM[Product ID],$H$3:$H$7))*TableBOM[Per 1000 Units]*(1+TableBOM[Scrap %]))=0,"-",ROUND(F85*1000*SUMPRODUCT((TableBOM[Item ID]=A85)*((SUMIF($D$3:$D$7,TableBOM[Product ID],$H$3:$H$7))&gt;0)*(SUMIF($D$3:$D$7,TableBOM[Product ID],$H$3:$H$7)))/SUMPRODUCT((TableBOM[Item ID]=A85)*((SUMIF($D$3:$D$7,TableBOM[Product ID],$H$3:$H$7))&gt;0)*(SUMIF($D$3:$D$7,TableBOM[Product ID],$H$3:$H$7))*TableBOM[Per 1000 Units]*(1+TableBOM[Scrap %])),0)),"-")</f>
        <v>-</v>
      </c>
      <c r="I85" s="146" t="str">
        <f t="shared" si="5"/>
        <v>Not needed</v>
      </c>
      <c r="J85" s="151" t="str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",""))-2),"")</f>
        <v/>
      </c>
    </row>
    <row r="86" spans="1:19" ht="16.5" hidden="1" customHeight="1" x14ac:dyDescent="0.25">
      <c r="A86" s="16">
        <v>7412</v>
      </c>
      <c r="B86" s="143" t="s">
        <v>115</v>
      </c>
      <c r="C86" s="143" t="s">
        <v>123</v>
      </c>
      <c r="D86" s="143" t="s">
        <v>36</v>
      </c>
      <c r="E86" s="144">
        <f>SUMPRODUCT((TableBOM[Item ID]=A86)*TableBOM[Per 1000 Units]*(1+TableBOM[Scrap %])*((SUMIF($D$3:$D$7,TableBOM[Product ID],$H$3:$H$7))&gt;0)*(SUMIF($D$3:$D$7,TableBOM[Product ID],$H$3:$H$7))/1000)</f>
        <v>0</v>
      </c>
      <c r="F86" s="144">
        <f>IFERROR(INDEX(TableInventory[Store Balance],MATCH(A86,TableInventory[Item ID],0)),0)+IFERROR(INDEX(TableInventory[WIP],MATCH(A86,TableInventory[Item ID],0)),0)</f>
        <v>25</v>
      </c>
      <c r="G86" s="144">
        <f t="shared" si="4"/>
        <v>25</v>
      </c>
      <c r="H86" s="151" t="str">
        <f>IFERROR(IF(SUMPRODUCT((TableBOM[Item ID]=A86)*((SUMIF($D$3:$D$7,TableBOM[Product ID],$H$3:$H$7))&gt;0)*(SUMIF($D$3:$D$7,TableBOM[Product ID],$H$3:$H$7))*TableBOM[Per 1000 Units]*(1+TableBOM[Scrap %]))=0,"-",ROUND(F86*1000*SUMPRODUCT((TableBOM[Item ID]=A86)*((SUMIF($D$3:$D$7,TableBOM[Product ID],$H$3:$H$7))&gt;0)*(SUMIF($D$3:$D$7,TableBOM[Product ID],$H$3:$H$7)))/SUMPRODUCT((TableBOM[Item ID]=A86)*((SUMIF($D$3:$D$7,TableBOM[Product ID],$H$3:$H$7))&gt;0)*(SUMIF($D$3:$D$7,TableBOM[Product ID],$H$3:$H$7))*TableBOM[Per 1000 Units]*(1+TableBOM[Scrap %])),0)),"-")</f>
        <v>-</v>
      </c>
      <c r="I86" s="146" t="str">
        <f t="shared" si="5"/>
        <v>Not needed</v>
      </c>
      <c r="J86" s="151" t="str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",""))-2),"")</f>
        <v/>
      </c>
    </row>
    <row r="87" spans="1:19" ht="15" hidden="1" customHeight="1" x14ac:dyDescent="0.25">
      <c r="A87" s="16">
        <v>3752</v>
      </c>
      <c r="B87" s="143" t="s">
        <v>124</v>
      </c>
      <c r="C87" s="143" t="s">
        <v>125</v>
      </c>
      <c r="D87" s="143" t="s">
        <v>36</v>
      </c>
      <c r="E87" s="144">
        <f>SUMPRODUCT((TableBOM[Item ID]=A87)*TableBOM[Per 1000 Units]*(1+TableBOM[Scrap %])*((SUMIF($D$3:$D$7,TableBOM[Product ID],$H$3:$H$7))&gt;0)*(SUMIF($D$3:$D$7,TableBOM[Product ID],$H$3:$H$7))/1000)</f>
        <v>0</v>
      </c>
      <c r="F87" s="144">
        <f>IFERROR(INDEX(TableInventory[Store Balance],MATCH(A87,TableInventory[Item ID],0)),0)+IFERROR(INDEX(TableInventory[WIP],MATCH(A87,TableInventory[Item ID],0)),0)</f>
        <v>56</v>
      </c>
      <c r="G87" s="144">
        <f t="shared" si="4"/>
        <v>56</v>
      </c>
      <c r="H87" s="151" t="str">
        <f>IFERROR(IF(SUMPRODUCT((TableBOM[Item ID]=A87)*((SUMIF($D$3:$D$7,TableBOM[Product ID],$H$3:$H$7))&gt;0)*(SUMIF($D$3:$D$7,TableBOM[Product ID],$H$3:$H$7))*TableBOM[Per 1000 Units]*(1+TableBOM[Scrap %]))=0,"-",ROUND(F87*1000*SUMPRODUCT((TableBOM[Item ID]=A87)*((SUMIF($D$3:$D$7,TableBOM[Product ID],$H$3:$H$7))&gt;0)*(SUMIF($D$3:$D$7,TableBOM[Product ID],$H$3:$H$7)))/SUMPRODUCT((TableBOM[Item ID]=A87)*((SUMIF($D$3:$D$7,TableBOM[Product ID],$H$3:$H$7))&gt;0)*(SUMIF($D$3:$D$7,TableBOM[Product ID],$H$3:$H$7))*TableBOM[Per 1000 Units]*(1+TableBOM[Scrap %])),0)),"-")</f>
        <v>-</v>
      </c>
      <c r="I87" s="146" t="str">
        <f t="shared" si="5"/>
        <v>Not needed</v>
      </c>
      <c r="J87" s="151" t="str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",""))-2),"")</f>
        <v/>
      </c>
    </row>
    <row r="88" spans="1:19" ht="15" hidden="1" customHeight="1" x14ac:dyDescent="0.25">
      <c r="A88" s="16">
        <v>4248</v>
      </c>
      <c r="B88" s="143" t="s">
        <v>124</v>
      </c>
      <c r="C88" s="143" t="s">
        <v>126</v>
      </c>
      <c r="D88" s="143" t="s">
        <v>36</v>
      </c>
      <c r="E88" s="144">
        <f>SUMPRODUCT((TableBOM[Item ID]=A88)*TableBOM[Per 1000 Units]*(1+TableBOM[Scrap %])*((SUMIF($D$3:$D$7,TableBOM[Product ID],$H$3:$H$7))&gt;0)*(SUMIF($D$3:$D$7,TableBOM[Product ID],$H$3:$H$7))/1000)</f>
        <v>0</v>
      </c>
      <c r="F88" s="144">
        <f>IFERROR(INDEX(TableInventory[Store Balance],MATCH(A88,TableInventory[Item ID],0)),0)+IFERROR(INDEX(TableInventory[WIP],MATCH(A88,TableInventory[Item ID],0)),0)</f>
        <v>250</v>
      </c>
      <c r="G88" s="144">
        <f t="shared" si="4"/>
        <v>250</v>
      </c>
      <c r="H88" s="151" t="str">
        <f>IFERROR(IF(SUMPRODUCT((TableBOM[Item ID]=A88)*((SUMIF($D$3:$D$7,TableBOM[Product ID],$H$3:$H$7))&gt;0)*(SUMIF($D$3:$D$7,TableBOM[Product ID],$H$3:$H$7))*TableBOM[Per 1000 Units]*(1+TableBOM[Scrap %]))=0,"-",ROUND(F88*1000*SUMPRODUCT((TableBOM[Item ID]=A88)*((SUMIF($D$3:$D$7,TableBOM[Product ID],$H$3:$H$7))&gt;0)*(SUMIF($D$3:$D$7,TableBOM[Product ID],$H$3:$H$7)))/SUMPRODUCT((TableBOM[Item ID]=A88)*((SUMIF($D$3:$D$7,TableBOM[Product ID],$H$3:$H$7))&gt;0)*(SUMIF($D$3:$D$7,TableBOM[Product ID],$H$3:$H$7))*TableBOM[Per 1000 Units]*(1+TableBOM[Scrap %])),0)),"-")</f>
        <v>-</v>
      </c>
      <c r="I88" s="146" t="str">
        <f t="shared" si="5"/>
        <v>Not needed</v>
      </c>
      <c r="J88" s="151" t="str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",""))-2),"")</f>
        <v/>
      </c>
    </row>
    <row r="89" spans="1:19" ht="15" hidden="1" customHeight="1" x14ac:dyDescent="0.25">
      <c r="A89" s="16">
        <v>6042</v>
      </c>
      <c r="B89" s="143" t="s">
        <v>124</v>
      </c>
      <c r="C89" s="143" t="s">
        <v>127</v>
      </c>
      <c r="D89" s="143" t="s">
        <v>36</v>
      </c>
      <c r="E89" s="144">
        <f>SUMPRODUCT((TableBOM[Item ID]=A89)*TableBOM[Per 1000 Units]*(1+TableBOM[Scrap %])*((SUMIF($D$3:$D$7,TableBOM[Product ID],$H$3:$H$7))&gt;0)*(SUMIF($D$3:$D$7,TableBOM[Product ID],$H$3:$H$7))/1000)</f>
        <v>0</v>
      </c>
      <c r="F89" s="144">
        <f>IFERROR(INDEX(TableInventory[Store Balance],MATCH(A89,TableInventory[Item ID],0)),0)+IFERROR(INDEX(TableInventory[WIP],MATCH(A89,TableInventory[Item ID],0)),0)</f>
        <v>25</v>
      </c>
      <c r="G89" s="144">
        <f t="shared" si="4"/>
        <v>25</v>
      </c>
      <c r="H89" s="151" t="str">
        <f>IFERROR(IF(SUMPRODUCT((TableBOM[Item ID]=A89)*((SUMIF($D$3:$D$7,TableBOM[Product ID],$H$3:$H$7))&gt;0)*(SUMIF($D$3:$D$7,TableBOM[Product ID],$H$3:$H$7))*TableBOM[Per 1000 Units]*(1+TableBOM[Scrap %]))=0,"-",ROUND(F89*1000*SUMPRODUCT((TableBOM[Item ID]=A89)*((SUMIF($D$3:$D$7,TableBOM[Product ID],$H$3:$H$7))&gt;0)*(SUMIF($D$3:$D$7,TableBOM[Product ID],$H$3:$H$7)))/SUMPRODUCT((TableBOM[Item ID]=A89)*((SUMIF($D$3:$D$7,TableBOM[Product ID],$H$3:$H$7))&gt;0)*(SUMIF($D$3:$D$7,TableBOM[Product ID],$H$3:$H$7))*TableBOM[Per 1000 Units]*(1+TableBOM[Scrap %])),0)),"-")</f>
        <v>-</v>
      </c>
      <c r="I89" s="146" t="str">
        <f t="shared" si="5"/>
        <v>Not needed</v>
      </c>
      <c r="J89" s="151" t="str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",""))-2),"")</f>
        <v/>
      </c>
    </row>
    <row r="90" spans="1:19" ht="15" hidden="1" customHeight="1" x14ac:dyDescent="0.25">
      <c r="A90" s="16">
        <v>2267</v>
      </c>
      <c r="B90" s="143" t="s">
        <v>128</v>
      </c>
      <c r="C90" s="143" t="s">
        <v>129</v>
      </c>
      <c r="D90" s="143" t="s">
        <v>73</v>
      </c>
      <c r="E90" s="144">
        <f>SUMPRODUCT((TableBOM[Item ID]=A90)*TableBOM[Per 1000 Units]*(1+TableBOM[Scrap %])*((SUMIF($D$3:$D$7,TableBOM[Product ID],$H$3:$H$7))&gt;0)*(SUMIF($D$3:$D$7,TableBOM[Product ID],$H$3:$H$7))/1000)</f>
        <v>0</v>
      </c>
      <c r="F90" s="144">
        <f>IFERROR(INDEX(TableInventory[Store Balance],MATCH(A90,TableInventory[Item ID],0)),0)+IFERROR(INDEX(TableInventory[WIP],MATCH(A90,TableInventory[Item ID],0)),0)</f>
        <v>275</v>
      </c>
      <c r="G90" s="144">
        <f t="shared" si="4"/>
        <v>275</v>
      </c>
      <c r="H90" s="151" t="str">
        <f>IFERROR(IF(SUMPRODUCT((TableBOM[Item ID]=A90)*((SUMIF($D$3:$D$7,TableBOM[Product ID],$H$3:$H$7))&gt;0)*(SUMIF($D$3:$D$7,TableBOM[Product ID],$H$3:$H$7))*TableBOM[Per 1000 Units]*(1+TableBOM[Scrap %]))=0,"-",ROUND(F90*1000*SUMPRODUCT((TableBOM[Item ID]=A90)*((SUMIF($D$3:$D$7,TableBOM[Product ID],$H$3:$H$7))&gt;0)*(SUMIF($D$3:$D$7,TableBOM[Product ID],$H$3:$H$7)))/SUMPRODUCT((TableBOM[Item ID]=A90)*((SUMIF($D$3:$D$7,TableBOM[Product ID],$H$3:$H$7))&gt;0)*(SUMIF($D$3:$D$7,TableBOM[Product ID],$H$3:$H$7))*TableBOM[Per 1000 Units]*(1+TableBOM[Scrap %])),0)),"-")</f>
        <v>-</v>
      </c>
      <c r="I90" s="146" t="str">
        <f t="shared" si="5"/>
        <v>Not needed</v>
      </c>
      <c r="J90" s="151" t="str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",""))-2),"")</f>
        <v/>
      </c>
    </row>
    <row r="91" spans="1:19" ht="15" hidden="1" customHeight="1" x14ac:dyDescent="0.25">
      <c r="A91" s="16">
        <v>3043</v>
      </c>
      <c r="B91" s="143" t="s">
        <v>130</v>
      </c>
      <c r="C91" s="143" t="s">
        <v>131</v>
      </c>
      <c r="D91" s="143" t="s">
        <v>132</v>
      </c>
      <c r="E91" s="144">
        <f>SUMPRODUCT((TableBOM[Item ID]=A91)*TableBOM[Per 1000 Units]*(1+TableBOM[Scrap %])*((SUMIF($D$3:$D$7,TableBOM[Product ID],$H$3:$H$7))&gt;0)*(SUMIF($D$3:$D$7,TableBOM[Product ID],$H$3:$H$7))/1000)</f>
        <v>0</v>
      </c>
      <c r="F91" s="144">
        <f>IFERROR(INDEX(TableInventory[Store Balance],MATCH(A91,TableInventory[Item ID],0)),0)+IFERROR(INDEX(TableInventory[WIP],MATCH(A91,TableInventory[Item ID],0)),0)</f>
        <v>0</v>
      </c>
      <c r="G91" s="144">
        <f t="shared" si="4"/>
        <v>0</v>
      </c>
      <c r="H91" s="151" t="str">
        <f>IFERROR(IF(SUMPRODUCT((TableBOM[Item ID]=A91)*((SUMIF($D$3:$D$7,TableBOM[Product ID],$H$3:$H$7))&gt;0)*(SUMIF($D$3:$D$7,TableBOM[Product ID],$H$3:$H$7))*TableBOM[Per 1000 Units]*(1+TableBOM[Scrap %]))=0,"-",ROUND(F91*1000*SUMPRODUCT((TableBOM[Item ID]=A91)*((SUMIF($D$3:$D$7,TableBOM[Product ID],$H$3:$H$7))&gt;0)*(SUMIF($D$3:$D$7,TableBOM[Product ID],$H$3:$H$7)))/SUMPRODUCT((TableBOM[Item ID]=A91)*((SUMIF($D$3:$D$7,TableBOM[Product ID],$H$3:$H$7))&gt;0)*(SUMIF($D$3:$D$7,TableBOM[Product ID],$H$3:$H$7))*TableBOM[Per 1000 Units]*(1+TableBOM[Scrap %])),0)),"-")</f>
        <v>-</v>
      </c>
      <c r="I91" s="146" t="str">
        <f t="shared" si="5"/>
        <v>Not needed</v>
      </c>
      <c r="J91" s="151" t="str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",""))-2),"")</f>
        <v/>
      </c>
    </row>
    <row r="92" spans="1:19" ht="15" customHeight="1" x14ac:dyDescent="0.25">
      <c r="A92" s="16"/>
      <c r="B92" s="16"/>
      <c r="C92" s="16"/>
      <c r="D92" s="16"/>
      <c r="E92" s="24"/>
      <c r="F92" s="24"/>
      <c r="G92" s="17"/>
      <c r="H92" s="22"/>
      <c r="I92" s="23"/>
    </row>
    <row r="93" spans="1:19" ht="18.75" customHeight="1" x14ac:dyDescent="0.25">
      <c r="A93" s="273"/>
      <c r="B93" s="273"/>
      <c r="C93" s="273"/>
      <c r="D93" s="16"/>
      <c r="E93" s="274"/>
      <c r="F93" s="274"/>
      <c r="G93" s="17"/>
      <c r="H93" s="22"/>
      <c r="I93" s="23"/>
    </row>
    <row r="94" spans="1:19" ht="18.75" customHeight="1" x14ac:dyDescent="0.25">
      <c r="A94" s="113" t="s">
        <v>133</v>
      </c>
      <c r="B94" s="272"/>
      <c r="C94" s="278"/>
      <c r="D94" s="272"/>
      <c r="E94" s="113"/>
      <c r="F94" s="278"/>
      <c r="G94" s="9" t="s">
        <v>1</v>
      </c>
      <c r="H94" s="175">
        <f ca="1">TODAY()</f>
        <v>46316</v>
      </c>
      <c r="I94" s="112"/>
    </row>
    <row r="95" spans="1:19" ht="15" customHeight="1" x14ac:dyDescent="0.25">
      <c r="A95" s="275" t="s">
        <v>2</v>
      </c>
      <c r="B95" s="275" t="s">
        <v>3</v>
      </c>
      <c r="C95" s="276" t="s">
        <v>4</v>
      </c>
      <c r="D95" s="13" t="s">
        <v>5</v>
      </c>
      <c r="E95" s="277" t="s">
        <v>6</v>
      </c>
      <c r="F95" s="277" t="s">
        <v>7</v>
      </c>
      <c r="G95" s="15" t="s">
        <v>8</v>
      </c>
      <c r="H95" s="12" t="s">
        <v>9</v>
      </c>
      <c r="I95" s="12" t="s">
        <v>10</v>
      </c>
      <c r="J95" s="169"/>
      <c r="K95" s="11"/>
      <c r="L95" s="11"/>
      <c r="M95" s="11"/>
      <c r="N95" s="11"/>
      <c r="O95" s="11"/>
      <c r="P95" s="11"/>
      <c r="Q95" s="11"/>
      <c r="R95" s="11"/>
      <c r="S95" s="2"/>
    </row>
    <row r="96" spans="1:19" ht="19.5" customHeight="1" x14ac:dyDescent="0.25">
      <c r="A96" s="266" t="s">
        <v>134</v>
      </c>
      <c r="B96" s="266" t="s">
        <v>135</v>
      </c>
      <c r="C96" s="267" t="s">
        <v>136</v>
      </c>
      <c r="D96" s="268">
        <v>8018</v>
      </c>
      <c r="E96" s="269" t="s">
        <v>137</v>
      </c>
      <c r="F96" s="269">
        <v>25000</v>
      </c>
      <c r="G96" s="269">
        <f>INDEX(Tubex_Dashboard!$H$11:$H$100,MATCH(MRP!D96,Tubex_Dashboard!$F$11:$F$100,0))</f>
        <v>0</v>
      </c>
      <c r="H96" s="270">
        <f t="shared" ref="H96:H101" si="6">F96-G96</f>
        <v>25000</v>
      </c>
      <c r="I96" s="271"/>
    </row>
    <row r="97" spans="1:18" ht="15" customHeight="1" x14ac:dyDescent="0.25">
      <c r="A97" s="266" t="s">
        <v>138</v>
      </c>
      <c r="B97" s="266" t="s">
        <v>11</v>
      </c>
      <c r="C97" s="267" t="s">
        <v>139</v>
      </c>
      <c r="D97" s="268">
        <v>8015</v>
      </c>
      <c r="E97" s="269">
        <v>344</v>
      </c>
      <c r="F97" s="269">
        <v>9480</v>
      </c>
      <c r="G97" s="269">
        <f>INDEX(Tubex_Dashboard!$H$11:$H$100,MATCH(MRP!D97,Tubex_Dashboard!$F$11:$F$100,0))</f>
        <v>0</v>
      </c>
      <c r="H97" s="270">
        <f t="shared" si="6"/>
        <v>9480</v>
      </c>
      <c r="I97" s="271"/>
    </row>
    <row r="98" spans="1:18" ht="15" customHeight="1" x14ac:dyDescent="0.25">
      <c r="A98" s="266" t="s">
        <v>138</v>
      </c>
      <c r="B98" s="266" t="s">
        <v>135</v>
      </c>
      <c r="C98" s="267" t="s">
        <v>140</v>
      </c>
      <c r="D98" s="268">
        <v>8019</v>
      </c>
      <c r="E98" s="269" t="s">
        <v>141</v>
      </c>
      <c r="F98" s="269">
        <v>5000</v>
      </c>
      <c r="G98" s="269">
        <f>INDEX(Tubex_Dashboard!$H$11:$H$100,MATCH(MRP!D98,Tubex_Dashboard!$F$11:$F$100,0))</f>
        <v>5000</v>
      </c>
      <c r="H98" s="270">
        <f t="shared" si="6"/>
        <v>0</v>
      </c>
      <c r="I98" s="271" t="s">
        <v>18</v>
      </c>
    </row>
    <row r="99" spans="1:18" ht="24" customHeight="1" x14ac:dyDescent="0.25">
      <c r="A99" s="266" t="s">
        <v>138</v>
      </c>
      <c r="B99" s="266" t="s">
        <v>11</v>
      </c>
      <c r="C99" s="267" t="s">
        <v>140</v>
      </c>
      <c r="D99" s="268">
        <v>8010</v>
      </c>
      <c r="E99" s="269" t="s">
        <v>142</v>
      </c>
      <c r="F99" s="269">
        <f>30000-11500</f>
        <v>18500</v>
      </c>
      <c r="G99" s="269">
        <f>INDEX(Tubex_Dashboard!$H$11:$H$100,MATCH(MRP!D99,Tubex_Dashboard!$F$11:$F$100,0))</f>
        <v>18690</v>
      </c>
      <c r="H99" s="270">
        <f t="shared" si="6"/>
        <v>-190</v>
      </c>
      <c r="I99" s="271" t="s">
        <v>18</v>
      </c>
    </row>
    <row r="100" spans="1:18" ht="24" customHeight="1" x14ac:dyDescent="0.25">
      <c r="A100" s="266" t="s">
        <v>143</v>
      </c>
      <c r="B100" s="266" t="s">
        <v>135</v>
      </c>
      <c r="C100" s="267" t="s">
        <v>144</v>
      </c>
      <c r="D100" s="268">
        <v>8001</v>
      </c>
      <c r="E100" s="264" t="s">
        <v>145</v>
      </c>
      <c r="F100" s="269">
        <v>549967</v>
      </c>
      <c r="G100" s="269">
        <f>INDEX(Tubex_Dashboard!$H$11:$H$100,MATCH(MRP!D100,Tubex_Dashboard!$F$11:$F$100,0))</f>
        <v>108470</v>
      </c>
      <c r="H100" s="270">
        <f t="shared" si="6"/>
        <v>441497</v>
      </c>
      <c r="I100" s="271"/>
    </row>
    <row r="101" spans="1:18" ht="24" customHeight="1" x14ac:dyDescent="0.25">
      <c r="A101" s="266" t="s">
        <v>146</v>
      </c>
      <c r="B101" s="266" t="s">
        <v>13</v>
      </c>
      <c r="C101" s="267" t="s">
        <v>147</v>
      </c>
      <c r="D101" s="268">
        <v>8006</v>
      </c>
      <c r="E101" s="269">
        <v>351</v>
      </c>
      <c r="F101" s="269">
        <v>4280</v>
      </c>
      <c r="G101" s="269">
        <f>INDEX(Tubex_Dashboard!$H$11:$H$100,MATCH(MRP!D101,Tubex_Dashboard!$F$11:$F$100,0))</f>
        <v>0</v>
      </c>
      <c r="H101" s="270">
        <f t="shared" si="6"/>
        <v>4280</v>
      </c>
      <c r="I101" s="271"/>
    </row>
    <row r="102" spans="1:18" ht="19.5" customHeight="1" x14ac:dyDescent="0.25">
      <c r="A102" s="12"/>
      <c r="B102" s="12"/>
      <c r="C102" s="13"/>
      <c r="D102" s="13"/>
      <c r="E102" s="14" t="s">
        <v>23</v>
      </c>
      <c r="F102" s="104">
        <f>SUM(F96:F101)</f>
        <v>612227</v>
      </c>
      <c r="G102" s="104">
        <f>SUM(G96:G101)</f>
        <v>132160</v>
      </c>
      <c r="H102" s="104">
        <f>SUMIF(H96:H101, "&gt;0")</f>
        <v>480257</v>
      </c>
      <c r="I102" s="12"/>
      <c r="J102" s="169"/>
      <c r="K102" s="11"/>
      <c r="L102" s="11"/>
      <c r="M102" s="11"/>
      <c r="N102" s="11"/>
      <c r="O102" s="11"/>
      <c r="P102" s="11"/>
      <c r="Q102" s="11"/>
      <c r="R102" s="2"/>
    </row>
    <row r="103" spans="1:18" ht="24" customHeight="1" x14ac:dyDescent="0.25">
      <c r="A103" s="113" t="s">
        <v>148</v>
      </c>
      <c r="B103" s="113"/>
      <c r="C103" s="113"/>
      <c r="D103" s="113"/>
      <c r="E103" s="113"/>
      <c r="F103" s="113"/>
      <c r="G103" s="113"/>
      <c r="H103" s="113"/>
      <c r="I103" s="113"/>
    </row>
    <row r="104" spans="1:18" ht="24" customHeight="1" x14ac:dyDescent="0.25">
      <c r="A104" s="29" t="s">
        <v>25</v>
      </c>
      <c r="B104" s="29" t="s">
        <v>26</v>
      </c>
      <c r="C104" s="30" t="s">
        <v>27</v>
      </c>
      <c r="D104" s="29" t="s">
        <v>28</v>
      </c>
      <c r="E104" s="31" t="s">
        <v>7</v>
      </c>
      <c r="F104" s="15" t="s">
        <v>29</v>
      </c>
      <c r="G104" s="15" t="s">
        <v>30</v>
      </c>
      <c r="H104" s="142" t="s">
        <v>31</v>
      </c>
      <c r="I104" s="32" t="s">
        <v>32</v>
      </c>
      <c r="J104" s="170" t="s">
        <v>33</v>
      </c>
    </row>
    <row r="105" spans="1:18" ht="24" customHeight="1" x14ac:dyDescent="0.25">
      <c r="A105" s="168">
        <v>2680</v>
      </c>
      <c r="B105" s="143" t="s">
        <v>113</v>
      </c>
      <c r="C105" s="147" t="s">
        <v>114</v>
      </c>
      <c r="D105" s="16" t="s">
        <v>36</v>
      </c>
      <c r="E105" s="145">
        <f>SUMPRODUCT((TableBOM[Item ID]=A105)*TableBOM[Per 1000 Units]*(1+TableBOM[Scrap %])*((SUMIF($D$96:$D$101,TableBOM[Product ID],$H$96:$H$101))&gt;0)*(SUMIF($D$96:$D$101,TableBOM[Product ID],$H$96:$H$101))/1000)</f>
        <v>12105.695799999998</v>
      </c>
      <c r="F105" s="145">
        <f>IFERROR(INDEX(TableInventory[Store Balance],MATCH(A105,TableInventory[Item ID],0)),0)+IFERROR(INDEX(TableInventory[WIP],MATCH(A105,TableInventory[Item ID],0)),0)</f>
        <v>50</v>
      </c>
      <c r="G105" s="145">
        <f t="shared" ref="G105:G111" si="7">F105-E105</f>
        <v>-12055.695799999998</v>
      </c>
      <c r="H105" s="154">
        <f>IFERROR(IF(SUMPRODUCT((TableBOM[Item ID]=A105)*((SUMIF($D$96:$D$101,TableBOM[Product ID],$H$96:$H$101))&gt;0)*(SUMIF($D$96:$D$101,TableBOM[Product ID],$H$96:$H$101))*TableBOM[Per 1000 Units]*(1+TableBOM[Scrap %]))=0,"-",ROUND(F105*1000*SUMPRODUCT((TableBOM[Item ID]=A105)*((SUMIF($D$96:$D$101,TableBOM[Product ID],$H$96:$H$101))&gt;0)*(SUMIF($D$96:$D$101,TableBOM[Product ID],$H$96:$H$101)))/SUMPRODUCT((TableBOM[Item ID]=A105)*((SUMIF($D$96:$D$101,TableBOM[Product ID],$H$96:$H$101))&gt;0)*(SUMIF($D$96:$D$101,TableBOM[Product ID],$H$96:$H$101))*TableBOM[Per 1000 Units]*(1+TableBOM[Scrap %])),0)),"-")</f>
        <v>1984</v>
      </c>
      <c r="I105" s="148" t="str">
        <f t="shared" ref="I105:I111" si="8">IF(E105=0,"Not needed",IF(G105&lt;0,"SHORTAGE",IF(G105&lt;E105*0.1,"LOW","OK")))</f>
        <v>SHORTAGE</v>
      </c>
      <c r="J105" s="158" t="str">
        <f>IF(LEN(IF((COUNTIFS(TableBOM[Product ID],$D$96,TableBOM[Item ID],$A105)&gt;0)*($H$96&gt;0),"Alpha 75ml TRP, ","") &amp; IF((COUNTIFS(TableBOM[Product ID],$D$97,TableBOM[Item ID],$A105)&gt;0)*($H$97&gt;0),"Mablay 130ml White, ","") &amp; IF((COUNTIFS(TableBOM[Product ID],$D$98,TableBOM[Item ID],$A105)&gt;0)*($H$98&gt;0),"Alpha 130ml TRP, ","") &amp; IF((COUNTIFS(TableBOM[Product ID],$D$99,TableBOM[Item ID],$A105)&gt;0)*($H$99&gt;0),"Mablay 130ml TRP, ","") &amp; IF((COUNTIFS(TableBOM[Product ID],$D$100,TableBOM[Item ID],$A105)&gt;0)*($H$100&gt;0),"Alpha 150ml TRP, ","") &amp; IF((COUNTIFS(TableBOM[Product ID],$D$101,TableBOM[Item ID],$A105)&gt;0)*($H$101&gt;0),"Samsol Yellow 200ml, ",""))&gt;1,LEFT(IF((COUNTIFS(TableBOM[Product ID],$D$96,TableBOM[Item ID],$A105)&gt;0)*($H$96&gt;0),"Alpha 75ml TRP, ","") &amp; IF((COUNTIFS(TableBOM[Product ID],$D$97,TableBOM[Item ID],$A105)&gt;0)*($H$97&gt;0),"Mablay 130ml White, ","") &amp; IF((COUNTIFS(TableBOM[Product ID],$D$98,TableBOM[Item ID],$A105)&gt;0)*($H$98&gt;0),"Alpha 130ml TRP, ","") &amp; IF((COUNTIFS(TableBOM[Product ID],$D$99,TableBOM[Item ID],$A105)&gt;0)*($H$99&gt;0),"Mablay 130ml TRP, ","") &amp; IF((COUNTIFS(TableBOM[Product ID],$D$100,TableBOM[Item ID],$A105)&gt;0)*($H$100&gt;0),"Alpha 150ml TRP, ","") &amp; IF((COUNTIFS(TableBOM[Product ID],$D$101,TableBOM[Item ID],$A105)&gt;0)*($H$101&gt;0),"Samsol Yellow 200ml, ",""),LEN(IF((COUNTIFS(TableBOM[Product ID],$D$96,TableBOM[Item ID],$A105)&gt;0)*($H$96&gt;0),"Alpha 75ml TRP, ","") &amp; IF((COUNTIFS(TableBOM[Product ID],$D$97,TableBOM[Item ID],$A105)&gt;0)*($H$97&gt;0),"Mablay 130ml White, ","") &amp; IF((COUNTIFS(TableBOM[Product ID],$D$98,TableBOM[Item ID],$A105)&gt;0)*($H$98&gt;0),"Alpha 130ml TRP, ","") &amp; IF((COUNTIFS(TableBOM[Product ID],$D$99,TableBOM[Item ID],$A105)&gt;0)*($H$99&gt;0),"Mablay 130ml TRP, ","") &amp; IF((COUNTIFS(TableBOM[Product ID],$D$100,TableBOM[Item ID],$A105)&gt;0)*($H$100&gt;0),"Alpha 150ml TRP, ","") &amp; IF((COUNTIFS(TableBOM[Product ID],$D$101,TableBOM[Item ID],$A105)&gt;0)*($H$101&gt;0),"Samsol Yellow 200ml, ",""))-2),"")</f>
        <v>Alpha 75ml TRP, Mablay 130ml White, Alpha 150ml TRP, Samsol Yellow 200ml</v>
      </c>
    </row>
    <row r="106" spans="1:18" x14ac:dyDescent="0.25">
      <c r="A106" s="168">
        <v>4002</v>
      </c>
      <c r="B106" s="143" t="s">
        <v>115</v>
      </c>
      <c r="C106" s="147" t="s">
        <v>117</v>
      </c>
      <c r="D106" s="16" t="s">
        <v>36</v>
      </c>
      <c r="E106" s="145">
        <f>SUMPRODUCT((TableBOM[Item ID]=A106)*TableBOM[Per 1000 Units]*(1+TableBOM[Scrap %])*((SUMIF($D$96:$D$101,TableBOM[Product ID],$H$96:$H$101))&gt;0)*(SUMIF($D$96:$D$101,TableBOM[Product ID],$H$96:$H$101))/1000)</f>
        <v>6.1524999999999999</v>
      </c>
      <c r="F106" s="145">
        <f>IFERROR(INDEX(TableInventory[Store Balance],MATCH(A106,TableInventory[Item ID],0)),0)+IFERROR(INDEX(TableInventory[WIP],MATCH(A106,TableInventory[Item ID],0)),0)</f>
        <v>25</v>
      </c>
      <c r="G106" s="145">
        <f t="shared" si="7"/>
        <v>18.8475</v>
      </c>
      <c r="H106" s="154">
        <f>IFERROR(IF(SUMPRODUCT((TableBOM[Item ID]=A106)*((SUMIF($D$96:$D$101,TableBOM[Product ID],$H$96:$H$101))&gt;0)*(SUMIF($D$96:$D$101,TableBOM[Product ID],$H$96:$H$101))*TableBOM[Per 1000 Units]*(1+TableBOM[Scrap %]))=0,"-",ROUND(F106*1000*SUMPRODUCT((TableBOM[Item ID]=A106)*((SUMIF($D$96:$D$101,TableBOM[Product ID],$H$96:$H$101))&gt;0)*(SUMIF($D$96:$D$101,TableBOM[Product ID],$H$96:$H$101)))/SUMPRODUCT((TableBOM[Item ID]=A106)*((SUMIF($D$96:$D$101,TableBOM[Product ID],$H$96:$H$101))&gt;0)*(SUMIF($D$96:$D$101,TableBOM[Product ID],$H$96:$H$101))*TableBOM[Per 1000 Units]*(1+TableBOM[Scrap %])),0)),"-")</f>
        <v>17391</v>
      </c>
      <c r="I106" s="148" t="str">
        <f t="shared" si="8"/>
        <v>OK</v>
      </c>
      <c r="J106" s="158" t="str">
        <f>IF(LEN(IF((COUNTIFS(TableBOM[Product ID],$D$96,TableBOM[Item ID],$A106)&gt;0)*($H$96&gt;0),"Alpha 75ml TRP, ","") &amp; IF((COUNTIFS(TableBOM[Product ID],$D$97,TableBOM[Item ID],$A106)&gt;0)*($H$97&gt;0),"Mablay 130ml White, ","") &amp; IF((COUNTIFS(TableBOM[Product ID],$D$98,TableBOM[Item ID],$A106)&gt;0)*($H$98&gt;0),"Alpha 130ml TRP, ","") &amp; IF((COUNTIFS(TableBOM[Product ID],$D$99,TableBOM[Item ID],$A106)&gt;0)*($H$99&gt;0),"Mablay 130ml TRP, ","") &amp; IF((COUNTIFS(TableBOM[Product ID],$D$100,TableBOM[Item ID],$A106)&gt;0)*($H$100&gt;0),"Alpha 150ml TRP, ","") &amp; IF((COUNTIFS(TableBOM[Product ID],$D$101,TableBOM[Item ID],$A106)&gt;0)*($H$101&gt;0),"Samsol Yellow 200ml, ",""))&gt;1,LEFT(IF((COUNTIFS(TableBOM[Product ID],$D$96,TableBOM[Item ID],$A106)&gt;0)*($H$96&gt;0),"Alpha 75ml TRP, ","") &amp; IF((COUNTIFS(TableBOM[Product ID],$D$97,TableBOM[Item ID],$A106)&gt;0)*($H$97&gt;0),"Mablay 130ml White, ","") &amp; IF((COUNTIFS(TableBOM[Product ID],$D$98,TableBOM[Item ID],$A106)&gt;0)*($H$98&gt;0),"Alpha 130ml TRP, ","") &amp; IF((COUNTIFS(TableBOM[Product ID],$D$99,TableBOM[Item ID],$A106)&gt;0)*($H$99&gt;0),"Mablay 130ml TRP, ","") &amp; IF((COUNTIFS(TableBOM[Product ID],$D$100,TableBOM[Item ID],$A106)&gt;0)*($H$100&gt;0),"Alpha 150ml TRP, ","") &amp; IF((COUNTIFS(TableBOM[Product ID],$D$101,TableBOM[Item ID],$A106)&gt;0)*($H$101&gt;0),"Samsol Yellow 200ml, ",""),LEN(IF((COUNTIFS(TableBOM[Product ID],$D$96,TableBOM[Item ID],$A106)&gt;0)*($H$96&gt;0),"Alpha 75ml TRP, ","") &amp; IF((COUNTIFS(TableBOM[Product ID],$D$97,TableBOM[Item ID],$A106)&gt;0)*($H$97&gt;0),"Mablay 130ml White, ","") &amp; IF((COUNTIFS(TableBOM[Product ID],$D$98,TableBOM[Item ID],$A106)&gt;0)*($H$98&gt;0),"Alpha 130ml TRP, ","") &amp; IF((COUNTIFS(TableBOM[Product ID],$D$99,TableBOM[Item ID],$A106)&gt;0)*($H$99&gt;0),"Mablay 130ml TRP, ","") &amp; IF((COUNTIFS(TableBOM[Product ID],$D$100,TableBOM[Item ID],$A106)&gt;0)*($H$100&gt;0),"Alpha 150ml TRP, ","") &amp; IF((COUNTIFS(TableBOM[Product ID],$D$101,TableBOM[Item ID],$A106)&gt;0)*($H$101&gt;0),"Samsol Yellow 200ml, ",""))-2),"")</f>
        <v>Samsol Yellow 200ml</v>
      </c>
    </row>
    <row r="107" spans="1:18" x14ac:dyDescent="0.25">
      <c r="A107" s="168">
        <v>5816</v>
      </c>
      <c r="B107" s="143" t="s">
        <v>115</v>
      </c>
      <c r="C107" s="147" t="s">
        <v>120</v>
      </c>
      <c r="D107" s="16" t="s">
        <v>36</v>
      </c>
      <c r="E107" s="145">
        <f>SUMPRODUCT((TableBOM[Item ID]=A107)*TableBOM[Per 1000 Units]*(1+TableBOM[Scrap %])*((SUMIF($D$96:$D$101,TableBOM[Product ID],$H$96:$H$101))&gt;0)*(SUMIF($D$96:$D$101,TableBOM[Product ID],$H$96:$H$101))/1000)</f>
        <v>9.8117999999999999</v>
      </c>
      <c r="F107" s="145">
        <f>IFERROR(INDEX(TableInventory[Store Balance],MATCH(A107,TableInventory[Item ID],0)),0)+IFERROR(INDEX(TableInventory[WIP],MATCH(A107,TableInventory[Item ID],0)),0)</f>
        <v>0</v>
      </c>
      <c r="G107" s="145">
        <f t="shared" si="7"/>
        <v>-9.8117999999999999</v>
      </c>
      <c r="H107" s="154">
        <f>IFERROR(IF(SUMPRODUCT((TableBOM[Item ID]=A107)*((SUMIF($D$96:$D$101,TableBOM[Product ID],$H$96:$H$101))&gt;0)*(SUMIF($D$96:$D$101,TableBOM[Product ID],$H$96:$H$101))*TableBOM[Per 1000 Units]*(1+TableBOM[Scrap %]))=0,"-",ROUND(F107*1000*SUMPRODUCT((TableBOM[Item ID]=A107)*((SUMIF($D$96:$D$101,TableBOM[Product ID],$H$96:$H$101))&gt;0)*(SUMIF($D$96:$D$101,TableBOM[Product ID],$H$96:$H$101)))/SUMPRODUCT((TableBOM[Item ID]=A107)*((SUMIF($D$96:$D$101,TableBOM[Product ID],$H$96:$H$101))&gt;0)*(SUMIF($D$96:$D$101,TableBOM[Product ID],$H$96:$H$101))*TableBOM[Per 1000 Units]*(1+TableBOM[Scrap %])),0)),"-")</f>
        <v>0</v>
      </c>
      <c r="I107" s="148" t="str">
        <f t="shared" si="8"/>
        <v>SHORTAGE</v>
      </c>
      <c r="J107" s="158" t="str">
        <f>IF(LEN(IF((COUNTIFS(TableBOM[Product ID],$D$96,TableBOM[Item ID],$A107)&gt;0)*($H$96&gt;0),"Alpha 75ml TRP, ","") &amp; IF((COUNTIFS(TableBOM[Product ID],$D$97,TableBOM[Item ID],$A107)&gt;0)*($H$97&gt;0),"Mablay 130ml White, ","") &amp; IF((COUNTIFS(TableBOM[Product ID],$D$98,TableBOM[Item ID],$A107)&gt;0)*($H$98&gt;0),"Alpha 130ml TRP, ","") &amp; IF((COUNTIFS(TableBOM[Product ID],$D$99,TableBOM[Item ID],$A107)&gt;0)*($H$99&gt;0),"Mablay 130ml TRP, ","") &amp; IF((COUNTIFS(TableBOM[Product ID],$D$100,TableBOM[Item ID],$A107)&gt;0)*($H$100&gt;0),"Alpha 150ml TRP, ","") &amp; IF((COUNTIFS(TableBOM[Product ID],$D$101,TableBOM[Item ID],$A107)&gt;0)*($H$101&gt;0),"Samsol Yellow 200ml, ",""))&gt;1,LEFT(IF((COUNTIFS(TableBOM[Product ID],$D$96,TableBOM[Item ID],$A107)&gt;0)*($H$96&gt;0),"Alpha 75ml TRP, ","") &amp; IF((COUNTIFS(TableBOM[Product ID],$D$97,TableBOM[Item ID],$A107)&gt;0)*($H$97&gt;0),"Mablay 130ml White, ","") &amp; IF((COUNTIFS(TableBOM[Product ID],$D$98,TableBOM[Item ID],$A107)&gt;0)*($H$98&gt;0),"Alpha 130ml TRP, ","") &amp; IF((COUNTIFS(TableBOM[Product ID],$D$99,TableBOM[Item ID],$A107)&gt;0)*($H$99&gt;0),"Mablay 130ml TRP, ","") &amp; IF((COUNTIFS(TableBOM[Product ID],$D$100,TableBOM[Item ID],$A107)&gt;0)*($H$100&gt;0),"Alpha 150ml TRP, ","") &amp; IF((COUNTIFS(TableBOM[Product ID],$D$101,TableBOM[Item ID],$A107)&gt;0)*($H$101&gt;0),"Samsol Yellow 200ml, ",""),LEN(IF((COUNTIFS(TableBOM[Product ID],$D$96,TableBOM[Item ID],$A107)&gt;0)*($H$96&gt;0),"Alpha 75ml TRP, ","") &amp; IF((COUNTIFS(TableBOM[Product ID],$D$97,TableBOM[Item ID],$A107)&gt;0)*($H$97&gt;0),"Mablay 130ml White, ","") &amp; IF((COUNTIFS(TableBOM[Product ID],$D$98,TableBOM[Item ID],$A107)&gt;0)*($H$98&gt;0),"Alpha 130ml TRP, ","") &amp; IF((COUNTIFS(TableBOM[Product ID],$D$99,TableBOM[Item ID],$A107)&gt;0)*($H$99&gt;0),"Mablay 130ml TRP, ","") &amp; IF((COUNTIFS(TableBOM[Product ID],$D$100,TableBOM[Item ID],$A107)&gt;0)*($H$100&gt;0),"Alpha 150ml TRP, ","") &amp; IF((COUNTIFS(TableBOM[Product ID],$D$101,TableBOM[Item ID],$A107)&gt;0)*($H$101&gt;0),"Samsol Yellow 200ml, ",""))-2),"")</f>
        <v>Mablay 130ml White</v>
      </c>
    </row>
    <row r="108" spans="1:18" s="157" customFormat="1" x14ac:dyDescent="0.25">
      <c r="A108" s="168">
        <v>5977</v>
      </c>
      <c r="B108" s="143" t="s">
        <v>149</v>
      </c>
      <c r="C108" s="147" t="s">
        <v>104</v>
      </c>
      <c r="D108" s="16" t="s">
        <v>73</v>
      </c>
      <c r="E108" s="145">
        <f>SUMPRODUCT((TableBOM[Item ID]=A108)*TableBOM[Per 1000 Units]*(1+TableBOM[Scrap %])*((SUMIF($D$96:$D$101,TableBOM[Product ID],$H$96:$H$101))&gt;0)*(SUMIF($D$96:$D$101,TableBOM[Product ID],$H$96:$H$101))/1000)</f>
        <v>588.03570884999999</v>
      </c>
      <c r="F108" s="145">
        <f>IFERROR(INDEX(TableInventory[Store Balance],MATCH(A108,TableInventory[Item ID],0)),0)+IFERROR(INDEX(TableInventory[WIP],MATCH(A108,TableInventory[Item ID],0)),0)</f>
        <v>221</v>
      </c>
      <c r="G108" s="145">
        <f t="shared" si="7"/>
        <v>-367.03570884999999</v>
      </c>
      <c r="H108" s="154">
        <f>IFERROR(IF(SUMPRODUCT((TableBOM[Item ID]=A108)*((SUMIF($D$96:$D$101,TableBOM[Product ID],$H$96:$H$101))&gt;0)*(SUMIF($D$96:$D$101,TableBOM[Product ID],$H$96:$H$101))*TableBOM[Per 1000 Units]*(1+TableBOM[Scrap %]))=0,"-",ROUND(F108*1000*SUMPRODUCT((TableBOM[Item ID]=A108)*((SUMIF($D$96:$D$101,TableBOM[Product ID],$H$96:$H$101))&gt;0)*(SUMIF($D$96:$D$101,TableBOM[Product ID],$H$96:$H$101)))/SUMPRODUCT((TableBOM[Item ID]=A108)*((SUMIF($D$96:$D$101,TableBOM[Product ID],$H$96:$H$101))&gt;0)*(SUMIF($D$96:$D$101,TableBOM[Product ID],$H$96:$H$101))*TableBOM[Per 1000 Units]*(1+TableBOM[Scrap %])),0)),"-")</f>
        <v>178885</v>
      </c>
      <c r="I108" s="148" t="str">
        <f t="shared" si="8"/>
        <v>SHORTAGE</v>
      </c>
      <c r="J108" s="152" t="str">
        <f>IF(LEN(IF((COUNTIFS(TableBOM[Product ID],$D$96,TableBOM[Item ID],$A108)&gt;0)*($H$96&gt;0),"Alpha 75ml TRP, ","") &amp; IF((COUNTIFS(TableBOM[Product ID],$D$97,TableBOM[Item ID],$A108)&gt;0)*($H$97&gt;0),"Mablay 130ml White, ","") &amp; IF((COUNTIFS(TableBOM[Product ID],$D$98,TableBOM[Item ID],$A108)&gt;0)*($H$98&gt;0),"Alpha 130ml TRP, ","") &amp; IF((COUNTIFS(TableBOM[Product ID],$D$99,TableBOM[Item ID],$A108)&gt;0)*($H$99&gt;0),"Mablay 130ml TRP, ","") &amp; IF((COUNTIFS(TableBOM[Product ID],$D$100,TableBOM[Item ID],$A108)&gt;0)*($H$100&gt;0),"Alpha 150ml TRP, ","") &amp; IF((COUNTIFS(TableBOM[Product ID],$D$101,TableBOM[Item ID],$A108)&gt;0)*($H$101&gt;0),"Samsol Yellow 200ml, ",""))&gt;1,LEFT(IF((COUNTIFS(TableBOM[Product ID],$D$96,TableBOM[Item ID],$A108)&gt;0)*($H$96&gt;0),"Alpha 75ml TRP, ","") &amp; IF((COUNTIFS(TableBOM[Product ID],$D$97,TableBOM[Item ID],$A108)&gt;0)*($H$97&gt;0),"Mablay 130ml White, ","") &amp; IF((COUNTIFS(TableBOM[Product ID],$D$98,TableBOM[Item ID],$A108)&gt;0)*($H$98&gt;0),"Alpha 130ml TRP, ","") &amp; IF((COUNTIFS(TableBOM[Product ID],$D$99,TableBOM[Item ID],$A108)&gt;0)*($H$99&gt;0),"Mablay 130ml TRP, ","") &amp; IF((COUNTIFS(TableBOM[Product ID],$D$100,TableBOM[Item ID],$A108)&gt;0)*($H$100&gt;0),"Alpha 150ml TRP, ","") &amp; IF((COUNTIFS(TableBOM[Product ID],$D$101,TableBOM[Item ID],$A108)&gt;0)*($H$101&gt;0),"Samsol Yellow 200ml, ",""),LEN(IF((COUNTIFS(TableBOM[Product ID],$D$96,TableBOM[Item ID],$A108)&gt;0)*($H$96&gt;0),"Alpha 75ml TRP, ","") &amp; IF((COUNTIFS(TableBOM[Product ID],$D$97,TableBOM[Item ID],$A108)&gt;0)*($H$97&gt;0),"Mablay 130ml White, ","") &amp; IF((COUNTIFS(TableBOM[Product ID],$D$98,TableBOM[Item ID],$A108)&gt;0)*($H$98&gt;0),"Alpha 130ml TRP, ","") &amp; IF((COUNTIFS(TableBOM[Product ID],$D$99,TableBOM[Item ID],$A108)&gt;0)*($H$99&gt;0),"Mablay 130ml TRP, ","") &amp; IF((COUNTIFS(TableBOM[Product ID],$D$100,TableBOM[Item ID],$A108)&gt;0)*($H$100&gt;0),"Alpha 150ml TRP, ","") &amp; IF((COUNTIFS(TableBOM[Product ID],$D$101,TableBOM[Item ID],$A108)&gt;0)*($H$101&gt;0),"Samsol Yellow 200ml, ",""))-2),"")</f>
        <v>Alpha 75ml TRP, Mablay 130ml White, Alpha 150ml TRP</v>
      </c>
    </row>
    <row r="109" spans="1:18" x14ac:dyDescent="0.25">
      <c r="A109" s="168">
        <v>2267</v>
      </c>
      <c r="B109" s="143" t="s">
        <v>150</v>
      </c>
      <c r="C109" s="147" t="s">
        <v>129</v>
      </c>
      <c r="D109" s="16" t="s">
        <v>73</v>
      </c>
      <c r="E109" s="145">
        <f>SUMPRODUCT((TableBOM[Item ID]=A109)*TableBOM[Per 1000 Units]*(1+TableBOM[Scrap %])*((SUMIF($D$96:$D$101,TableBOM[Product ID],$H$96:$H$101))&gt;0)*(SUMIF($D$96:$D$101,TableBOM[Product ID],$H$96:$H$101))/1000)</f>
        <v>4667.9165988000004</v>
      </c>
      <c r="F109" s="145">
        <f>IFERROR(INDEX(TableInventory[Store Balance],MATCH(A109,TableInventory[Item ID],0)),0)+IFERROR(INDEX(TableInventory[WIP],MATCH(A109,TableInventory[Item ID],0)),0)</f>
        <v>275</v>
      </c>
      <c r="G109" s="145">
        <f t="shared" si="7"/>
        <v>-4392.9165988000004</v>
      </c>
      <c r="H109" s="154">
        <f>IFERROR(IF(SUMPRODUCT((TableBOM[Item ID]=A109)*((SUMIF($D$96:$D$101,TableBOM[Product ID],$H$96:$H$101))&gt;0)*(SUMIF($D$96:$D$101,TableBOM[Product ID],$H$96:$H$101))*TableBOM[Per 1000 Units]*(1+TableBOM[Scrap %]))=0,"-",ROUND(F109*1000*SUMPRODUCT((TableBOM[Item ID]=A109)*((SUMIF($D$96:$D$101,TableBOM[Product ID],$H$96:$H$101))&gt;0)*(SUMIF($D$96:$D$101,TableBOM[Product ID],$H$96:$H$101)))/SUMPRODUCT((TableBOM[Item ID]=A109)*((SUMIF($D$96:$D$101,TableBOM[Product ID],$H$96:$H$101))&gt;0)*(SUMIF($D$96:$D$101,TableBOM[Product ID],$H$96:$H$101))*TableBOM[Per 1000 Units]*(1+TableBOM[Scrap %])),0)),"-")</f>
        <v>28041</v>
      </c>
      <c r="I109" s="148" t="str">
        <f t="shared" si="8"/>
        <v>SHORTAGE</v>
      </c>
      <c r="J109" s="152" t="str">
        <f>IF(LEN(IF((COUNTIFS(TableBOM[Product ID],$D$96,TableBOM[Item ID],$A109)&gt;0)*($H$96&gt;0),"Alpha 75ml TRP, ","") &amp; IF((COUNTIFS(TableBOM[Product ID],$D$97,TableBOM[Item ID],$A109)&gt;0)*($H$97&gt;0),"Mablay 130ml White, ","") &amp; IF((COUNTIFS(TableBOM[Product ID],$D$98,TableBOM[Item ID],$A109)&gt;0)*($H$98&gt;0),"Alpha 130ml TRP, ","") &amp; IF((COUNTIFS(TableBOM[Product ID],$D$99,TableBOM[Item ID],$A109)&gt;0)*($H$99&gt;0),"Mablay 130ml TRP, ","") &amp; IF((COUNTIFS(TableBOM[Product ID],$D$100,TableBOM[Item ID],$A109)&gt;0)*($H$100&gt;0),"Alpha 150ml TRP, ","") &amp; IF((COUNTIFS(TableBOM[Product ID],$D$101,TableBOM[Item ID],$A109)&gt;0)*($H$101&gt;0),"Samsol Yellow 200ml, ",""))&gt;1,LEFT(IF((COUNTIFS(TableBOM[Product ID],$D$96,TableBOM[Item ID],$A109)&gt;0)*($H$96&gt;0),"Alpha 75ml TRP, ","") &amp; IF((COUNTIFS(TableBOM[Product ID],$D$97,TableBOM[Item ID],$A109)&gt;0)*($H$97&gt;0),"Mablay 130ml White, ","") &amp; IF((COUNTIFS(TableBOM[Product ID],$D$98,TableBOM[Item ID],$A109)&gt;0)*($H$98&gt;0),"Alpha 130ml TRP, ","") &amp; IF((COUNTIFS(TableBOM[Product ID],$D$99,TableBOM[Item ID],$A109)&gt;0)*($H$99&gt;0),"Mablay 130ml TRP, ","") &amp; IF((COUNTIFS(TableBOM[Product ID],$D$100,TableBOM[Item ID],$A109)&gt;0)*($H$100&gt;0),"Alpha 150ml TRP, ","") &amp; IF((COUNTIFS(TableBOM[Product ID],$D$101,TableBOM[Item ID],$A109)&gt;0)*($H$101&gt;0),"Samsol Yellow 200ml, ",""),LEN(IF((COUNTIFS(TableBOM[Product ID],$D$96,TableBOM[Item ID],$A109)&gt;0)*($H$96&gt;0),"Alpha 75ml TRP, ","") &amp; IF((COUNTIFS(TableBOM[Product ID],$D$97,TableBOM[Item ID],$A109)&gt;0)*($H$97&gt;0),"Mablay 130ml White, ","") &amp; IF((COUNTIFS(TableBOM[Product ID],$D$98,TableBOM[Item ID],$A109)&gt;0)*($H$98&gt;0),"Alpha 130ml TRP, ","") &amp; IF((COUNTIFS(TableBOM[Product ID],$D$99,TableBOM[Item ID],$A109)&gt;0)*($H$99&gt;0),"Mablay 130ml TRP, ","") &amp; IF((COUNTIFS(TableBOM[Product ID],$D$100,TableBOM[Item ID],$A109)&gt;0)*($H$100&gt;0),"Alpha 150ml TRP, ","") &amp; IF((COUNTIFS(TableBOM[Product ID],$D$101,TableBOM[Item ID],$A109)&gt;0)*($H$101&gt;0),"Samsol Yellow 200ml, ",""))-2),"")</f>
        <v>Alpha 75ml TRP, Mablay 130ml White, Alpha 150ml TRP</v>
      </c>
    </row>
    <row r="110" spans="1:18" x14ac:dyDescent="0.25">
      <c r="A110" s="168">
        <v>3006</v>
      </c>
      <c r="B110" s="155" t="s">
        <v>150</v>
      </c>
      <c r="C110" s="33" t="s">
        <v>151</v>
      </c>
      <c r="D110" s="16" t="s">
        <v>73</v>
      </c>
      <c r="E110" s="17">
        <f>SUMPRODUCT((TableBOM[Item ID]=A110)*TableBOM[Per 1000 Units]*(1+TableBOM[Scrap %])*((SUMIF($D$96:$D$101,TableBOM[Product ID],$H$96:$H$101))&gt;0)*(SUMIF($D$96:$D$101,TableBOM[Product ID],$H$96:$H$101))/1000)</f>
        <v>41.015025999999999</v>
      </c>
      <c r="F110" s="17">
        <f>IFERROR(INDEX(TableInventory[Store Balance],MATCH(A110,TableInventory[Item ID],0)),0)+IFERROR(INDEX(TableInventory[WIP],MATCH(A110,TableInventory[Item ID],0)),0)</f>
        <v>150</v>
      </c>
      <c r="G110" s="17">
        <f t="shared" si="7"/>
        <v>108.98497399999999</v>
      </c>
      <c r="H110" s="156">
        <f>IFERROR(IF(SUMPRODUCT((TableBOM[Item ID]=A110)*((SUMIF($D$96:$D$101,TableBOM[Product ID],$H$96:$H$101))&gt;0)*(SUMIF($D$96:$D$101,TableBOM[Product ID],$H$96:$H$101))*TableBOM[Per 1000 Units]*(1+TableBOM[Scrap %]))=0,"-",ROUND(F110*1000*SUMPRODUCT((TableBOM[Item ID]=A110)*((SUMIF($D$96:$D$101,TableBOM[Product ID],$H$96:$H$101))&gt;0)*(SUMIF($D$96:$D$101,TableBOM[Product ID],$H$96:$H$101)))/SUMPRODUCT((TableBOM[Item ID]=A110)*((SUMIF($D$96:$D$101,TableBOM[Product ID],$H$96:$H$101))&gt;0)*(SUMIF($D$96:$D$101,TableBOM[Product ID],$H$96:$H$101))*TableBOM[Per 1000 Units]*(1+TableBOM[Scrap %])),0)),"-")</f>
        <v>15653</v>
      </c>
      <c r="I110" s="33" t="str">
        <f t="shared" si="8"/>
        <v>OK</v>
      </c>
      <c r="J110" s="158" t="str">
        <f>IF(LEN(IF((COUNTIFS(TableBOM[Product ID],$D$96,TableBOM[Item ID],$A110)&gt;0)*($H$96&gt;0),"Alpha 75ml TRP, ","") &amp; IF((COUNTIFS(TableBOM[Product ID],$D$97,TableBOM[Item ID],$A110)&gt;0)*($H$97&gt;0),"Mablay 130ml White, ","") &amp; IF((COUNTIFS(TableBOM[Product ID],$D$98,TableBOM[Item ID],$A110)&gt;0)*($H$98&gt;0),"Alpha 130ml TRP, ","") &amp; IF((COUNTIFS(TableBOM[Product ID],$D$99,TableBOM[Item ID],$A110)&gt;0)*($H$99&gt;0),"Mablay 130ml TRP, ","") &amp; IF((COUNTIFS(TableBOM[Product ID],$D$100,TableBOM[Item ID],$A110)&gt;0)*($H$100&gt;0),"Alpha 150ml TRP, ","") &amp; IF((COUNTIFS(TableBOM[Product ID],$D$101,TableBOM[Item ID],$A110)&gt;0)*($H$101&gt;0),"Samsol Yellow 200ml, ",""))&gt;1,LEFT(IF((COUNTIFS(TableBOM[Product ID],$D$96,TableBOM[Item ID],$A110)&gt;0)*($H$96&gt;0),"Alpha 75ml TRP, ","") &amp; IF((COUNTIFS(TableBOM[Product ID],$D$97,TableBOM[Item ID],$A110)&gt;0)*($H$97&gt;0),"Mablay 130ml White, ","") &amp; IF((COUNTIFS(TableBOM[Product ID],$D$98,TableBOM[Item ID],$A110)&gt;0)*($H$98&gt;0),"Alpha 130ml TRP, ","") &amp; IF((COUNTIFS(TableBOM[Product ID],$D$99,TableBOM[Item ID],$A110)&gt;0)*($H$99&gt;0),"Mablay 130ml TRP, ","") &amp; IF((COUNTIFS(TableBOM[Product ID],$D$100,TableBOM[Item ID],$A110)&gt;0)*($H$100&gt;0),"Alpha 150ml TRP, ","") &amp; IF((COUNTIFS(TableBOM[Product ID],$D$101,TableBOM[Item ID],$A110)&gt;0)*($H$101&gt;0),"Samsol Yellow 200ml, ",""),LEN(IF((COUNTIFS(TableBOM[Product ID],$D$96,TableBOM[Item ID],$A110)&gt;0)*($H$96&gt;0),"Alpha 75ml TRP, ","") &amp; IF((COUNTIFS(TableBOM[Product ID],$D$97,TableBOM[Item ID],$A110)&gt;0)*($H$97&gt;0),"Mablay 130ml White, ","") &amp; IF((COUNTIFS(TableBOM[Product ID],$D$98,TableBOM[Item ID],$A110)&gt;0)*($H$98&gt;0),"Alpha 130ml TRP, ","") &amp; IF((COUNTIFS(TableBOM[Product ID],$D$99,TableBOM[Item ID],$A110)&gt;0)*($H$99&gt;0),"Mablay 130ml TRP, ","") &amp; IF((COUNTIFS(TableBOM[Product ID],$D$100,TableBOM[Item ID],$A110)&gt;0)*($H$100&gt;0),"Alpha 150ml TRP, ","") &amp; IF((COUNTIFS(TableBOM[Product ID],$D$101,TableBOM[Item ID],$A110)&gt;0)*($H$101&gt;0),"Samsol Yellow 200ml, ",""))-2),"")</f>
        <v>Samsol Yellow 200ml</v>
      </c>
    </row>
    <row r="111" spans="1:18" x14ac:dyDescent="0.25">
      <c r="A111" s="168">
        <v>3043</v>
      </c>
      <c r="B111" s="143" t="s">
        <v>130</v>
      </c>
      <c r="C111" s="147" t="s">
        <v>131</v>
      </c>
      <c r="D111" s="16" t="s">
        <v>132</v>
      </c>
      <c r="E111" s="145">
        <f>SUMPRODUCT((TableBOM[Item ID]=A111)*TableBOM[Per 1000 Units]*(1+TableBOM[Scrap %])*((SUMIF($D$96:$D$101,TableBOM[Product ID],$H$96:$H$101))&gt;0)*(SUMIF($D$96:$D$101,TableBOM[Product ID],$H$96:$H$101))/1000)</f>
        <v>2.7614777500000001</v>
      </c>
      <c r="F111" s="145">
        <f>IFERROR(INDEX(TableInventory[Store Balance],MATCH(A111,TableInventory[Item ID],0)),0)+IFERROR(INDEX(TableInventory[WIP],MATCH(A111,TableInventory[Item ID],0)),0)</f>
        <v>0</v>
      </c>
      <c r="G111" s="145">
        <f t="shared" si="7"/>
        <v>-2.7614777500000001</v>
      </c>
      <c r="H111" s="154">
        <f>IFERROR(IF(SUMPRODUCT((TableBOM[Item ID]=A111)*((SUMIF($D$96:$D$101,TableBOM[Product ID],$H$96:$H$101))&gt;0)*(SUMIF($D$96:$D$101,TableBOM[Product ID],$H$96:$H$101))*TableBOM[Per 1000 Units]*(1+TableBOM[Scrap %]))=0,"-",ROUND(F111*1000*SUMPRODUCT((TableBOM[Item ID]=A111)*((SUMIF($D$96:$D$101,TableBOM[Product ID],$H$96:$H$101))&gt;0)*(SUMIF($D$96:$D$101,TableBOM[Product ID],$H$96:$H$101)))/SUMPRODUCT((TableBOM[Item ID]=A111)*((SUMIF($D$96:$D$101,TableBOM[Product ID],$H$96:$H$101))&gt;0)*(SUMIF($D$96:$D$101,TableBOM[Product ID],$H$96:$H$101))*TableBOM[Per 1000 Units]*(1+TableBOM[Scrap %])),0)),"-")</f>
        <v>0</v>
      </c>
      <c r="I111" s="147" t="str">
        <f t="shared" si="8"/>
        <v>SHORTAGE</v>
      </c>
      <c r="J111" s="152" t="str">
        <f>IF(LEN(IF((COUNTIFS(TableBOM[Product ID],$D$96,TableBOM[Item ID],$A111)&gt;0)*($H$96&gt;0),"Alpha 75ml TRP, ","") &amp; IF((COUNTIFS(TableBOM[Product ID],$D$97,TableBOM[Item ID],$A111)&gt;0)*($H$97&gt;0),"Mablay 130ml White, ","") &amp; IF((COUNTIFS(TableBOM[Product ID],$D$98,TableBOM[Item ID],$A111)&gt;0)*($H$98&gt;0),"Alpha 130ml TRP, ","") &amp; IF((COUNTIFS(TableBOM[Product ID],$D$99,TableBOM[Item ID],$A111)&gt;0)*($H$99&gt;0),"Mablay 130ml TRP, ","") &amp; IF((COUNTIFS(TableBOM[Product ID],$D$100,TableBOM[Item ID],$A111)&gt;0)*($H$100&gt;0),"Alpha 150ml TRP, ","") &amp; IF((COUNTIFS(TableBOM[Product ID],$D$101,TableBOM[Item ID],$A111)&gt;0)*($H$101&gt;0),"Samsol Yellow 200ml, ",""))&gt;1,LEFT(IF((COUNTIFS(TableBOM[Product ID],$D$96,TableBOM[Item ID],$A111)&gt;0)*($H$96&gt;0),"Alpha 75ml TRP, ","") &amp; IF((COUNTIFS(TableBOM[Product ID],$D$97,TableBOM[Item ID],$A111)&gt;0)*($H$97&gt;0),"Mablay 130ml White, ","") &amp; IF((COUNTIFS(TableBOM[Product ID],$D$98,TableBOM[Item ID],$A111)&gt;0)*($H$98&gt;0),"Alpha 130ml TRP, ","") &amp; IF((COUNTIFS(TableBOM[Product ID],$D$99,TableBOM[Item ID],$A111)&gt;0)*($H$99&gt;0),"Mablay 130ml TRP, ","") &amp; IF((COUNTIFS(TableBOM[Product ID],$D$100,TableBOM[Item ID],$A111)&gt;0)*($H$100&gt;0),"Alpha 150ml TRP, ","") &amp; IF((COUNTIFS(TableBOM[Product ID],$D$101,TableBOM[Item ID],$A111)&gt;0)*($H$101&gt;0),"Samsol Yellow 200ml, ",""),LEN(IF((COUNTIFS(TableBOM[Product ID],$D$96,TableBOM[Item ID],$A111)&gt;0)*($H$96&gt;0),"Alpha 75ml TRP, ","") &amp; IF((COUNTIFS(TableBOM[Product ID],$D$97,TableBOM[Item ID],$A111)&gt;0)*($H$97&gt;0),"Mablay 130ml White, ","") &amp; IF((COUNTIFS(TableBOM[Product ID],$D$98,TableBOM[Item ID],$A111)&gt;0)*($H$98&gt;0),"Alpha 130ml TRP, ","") &amp; IF((COUNTIFS(TableBOM[Product ID],$D$99,TableBOM[Item ID],$A111)&gt;0)*($H$99&gt;0),"Mablay 130ml TRP, ","") &amp; IF((COUNTIFS(TableBOM[Product ID],$D$100,TableBOM[Item ID],$A111)&gt;0)*($H$100&gt;0),"Alpha 150ml TRP, ","") &amp; IF((COUNTIFS(TableBOM[Product ID],$D$101,TableBOM[Item ID],$A111)&gt;0)*($H$101&gt;0),"Samsol Yellow 200ml, ",""))-2),"")</f>
        <v>Alpha 75ml TRP, Mablay 130ml White, Alpha 150ml TRP, Samsol Yellow 200ml</v>
      </c>
    </row>
  </sheetData>
  <autoFilter ref="A10:J91" xr:uid="{00000000-0009-0000-0000-000001000000}">
    <filterColumn colId="4">
      <filters>
        <filter val="1,048"/>
        <filter val="1,457"/>
        <filter val="1,878"/>
        <filter val="135"/>
        <filter val="160,295"/>
        <filter val="195"/>
        <filter val="2,587"/>
        <filter val="211"/>
        <filter val="22,440"/>
        <filter val="263"/>
        <filter val="330,156"/>
        <filter val="379"/>
        <filter val="41"/>
        <filter val="5"/>
        <filter val="84"/>
        <filter val="95"/>
      </filters>
    </filterColumn>
  </autoFilter>
  <conditionalFormatting sqref="K3">
    <cfRule type="cellIs" dxfId="9" priority="10" operator="equal">
      <formula>"OK"</formula>
    </cfRule>
    <cfRule type="cellIs" dxfId="8" priority="11" operator="equal">
      <formula>"LOW"</formula>
    </cfRule>
    <cfRule type="cellIs" dxfId="7" priority="12" operator="equal">
      <formula>"SHORTAGE"</formula>
    </cfRule>
  </conditionalFormatting>
  <dataValidations count="3">
    <dataValidation type="list" allowBlank="1" sqref="H2:I3 I3:I7 I9:I12 I15 I17:I18 I20:I22 I24:I30 I33 I92" xr:uid="{00000000-0002-0000-0100-000000000000}">
      <formula1>"Confirmed,1st Week,2nd Week,Tentative,In Process,Initial Stage,Completed,Cancelled"</formula1>
      <formula2>0</formula2>
    </dataValidation>
    <dataValidation type="list" allowBlank="1" sqref="B3:B12 C3" xr:uid="{00000000-0002-0000-0100-000001000000}">
      <formula1>"Alpha Lab,Brookes Pharma,DTM,Golden Pearl,Mabley Beauty,Mega Grey,PBS,Samsol"</formula1>
      <formula2>0</formula2>
    </dataValidation>
    <dataValidation type="list" allowBlank="1" sqref="C3:C12 D3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5"/>
  <sheetViews>
    <sheetView topLeftCell="A57" zoomScaleNormal="100" workbookViewId="0">
      <selection activeCell="H20" sqref="H20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20" ht="15" customHeight="1" x14ac:dyDescent="0.35">
      <c r="A1" s="53" t="s">
        <v>241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2"/>
    </row>
    <row r="2" spans="1:20" ht="29.25" customHeight="1" x14ac:dyDescent="0.25">
      <c r="A2" s="54" t="s">
        <v>242</v>
      </c>
      <c r="B2" s="55" t="s">
        <v>243</v>
      </c>
      <c r="C2" s="56" t="s">
        <v>3</v>
      </c>
      <c r="D2" s="56" t="s">
        <v>4</v>
      </c>
      <c r="E2" s="55" t="s">
        <v>244</v>
      </c>
      <c r="F2" s="57" t="s">
        <v>5</v>
      </c>
      <c r="G2" s="58" t="s">
        <v>245</v>
      </c>
      <c r="H2" s="58" t="s">
        <v>246</v>
      </c>
      <c r="I2" s="58" t="s">
        <v>247</v>
      </c>
      <c r="J2" s="59" t="s">
        <v>248</v>
      </c>
      <c r="K2" s="55" t="s">
        <v>249</v>
      </c>
      <c r="L2" s="55" t="s">
        <v>250</v>
      </c>
      <c r="M2" s="55" t="s">
        <v>251</v>
      </c>
      <c r="N2" s="55" t="s">
        <v>252</v>
      </c>
      <c r="O2" s="55" t="s">
        <v>253</v>
      </c>
      <c r="P2" s="55" t="s">
        <v>254</v>
      </c>
      <c r="Q2" s="55" t="s">
        <v>255</v>
      </c>
      <c r="R2" s="55" t="s">
        <v>256</v>
      </c>
      <c r="S2" s="55" t="s">
        <v>257</v>
      </c>
      <c r="T2" s="55" t="s">
        <v>258</v>
      </c>
    </row>
    <row r="3" spans="1:20" ht="15" customHeight="1" x14ac:dyDescent="0.25">
      <c r="A3" s="280">
        <v>46296</v>
      </c>
      <c r="B3" s="279" t="s">
        <v>259</v>
      </c>
      <c r="C3" s="279" t="s">
        <v>19</v>
      </c>
      <c r="D3" s="279" t="s">
        <v>20</v>
      </c>
      <c r="E3" s="279">
        <v>30</v>
      </c>
      <c r="F3" s="279">
        <v>6206</v>
      </c>
      <c r="G3" s="281">
        <v>20000</v>
      </c>
      <c r="H3" s="281">
        <v>19625</v>
      </c>
      <c r="I3" s="281">
        <v>375</v>
      </c>
      <c r="J3" s="282">
        <f t="shared" ref="J3:J34" si="0">IFERROR(I3/(H3+I3),"")</f>
        <v>1.8749999999999999E-2</v>
      </c>
      <c r="K3" s="279"/>
      <c r="L3" s="279"/>
      <c r="M3" s="279"/>
      <c r="N3" s="279"/>
      <c r="O3" s="279"/>
      <c r="P3" s="279"/>
      <c r="Q3" s="279"/>
      <c r="R3" s="279"/>
      <c r="S3" s="279"/>
      <c r="T3" s="279"/>
    </row>
    <row r="4" spans="1:20" ht="15" customHeight="1" x14ac:dyDescent="0.25">
      <c r="A4" s="280">
        <v>46296</v>
      </c>
      <c r="B4" s="279" t="s">
        <v>260</v>
      </c>
      <c r="C4" s="279" t="s">
        <v>19</v>
      </c>
      <c r="D4" s="279" t="s">
        <v>20</v>
      </c>
      <c r="E4" s="279">
        <v>30</v>
      </c>
      <c r="F4" s="279">
        <v>6206</v>
      </c>
      <c r="G4" s="281">
        <v>28000</v>
      </c>
      <c r="H4" s="281">
        <v>27980</v>
      </c>
      <c r="I4" s="281">
        <v>20</v>
      </c>
      <c r="J4" s="282">
        <f t="shared" si="0"/>
        <v>7.1428571428571429E-4</v>
      </c>
      <c r="K4" s="279"/>
      <c r="L4" s="279"/>
      <c r="M4" s="279"/>
      <c r="N4" s="279"/>
      <c r="O4" s="279"/>
      <c r="P4" s="279"/>
      <c r="Q4" s="279"/>
      <c r="R4" s="279"/>
      <c r="S4" s="279"/>
      <c r="T4" s="279"/>
    </row>
    <row r="5" spans="1:20" ht="15" customHeight="1" x14ac:dyDescent="0.25">
      <c r="A5" s="280">
        <v>46296</v>
      </c>
      <c r="B5" s="279" t="s">
        <v>261</v>
      </c>
      <c r="C5" s="279" t="s">
        <v>135</v>
      </c>
      <c r="D5" s="279" t="s">
        <v>140</v>
      </c>
      <c r="E5" s="279" t="s">
        <v>138</v>
      </c>
      <c r="F5" s="279">
        <v>8019</v>
      </c>
      <c r="G5" s="281">
        <v>5060</v>
      </c>
      <c r="H5" s="281">
        <v>5000</v>
      </c>
      <c r="I5" s="281">
        <v>60</v>
      </c>
      <c r="J5" s="282">
        <f t="shared" si="0"/>
        <v>1.1857707509881422E-2</v>
      </c>
      <c r="K5" s="279"/>
      <c r="L5" s="279"/>
      <c r="M5" s="279"/>
      <c r="N5" s="279"/>
      <c r="O5" s="279"/>
      <c r="P5" s="279"/>
      <c r="Q5" s="279"/>
      <c r="R5" s="279"/>
      <c r="S5" s="279"/>
      <c r="T5" s="279"/>
    </row>
    <row r="6" spans="1:20" ht="15" customHeight="1" x14ac:dyDescent="0.25">
      <c r="A6" s="280">
        <v>46296</v>
      </c>
      <c r="B6" s="279" t="s">
        <v>261</v>
      </c>
      <c r="C6" s="279" t="s">
        <v>11</v>
      </c>
      <c r="D6" s="279" t="s">
        <v>140</v>
      </c>
      <c r="E6" s="279" t="s">
        <v>138</v>
      </c>
      <c r="F6" s="279">
        <v>8010</v>
      </c>
      <c r="G6" s="281">
        <v>7140</v>
      </c>
      <c r="H6" s="281">
        <v>4200</v>
      </c>
      <c r="I6" s="281">
        <v>2940</v>
      </c>
      <c r="J6" s="282">
        <f t="shared" si="0"/>
        <v>0.41176470588235292</v>
      </c>
      <c r="K6" s="279">
        <v>270</v>
      </c>
      <c r="L6" s="279"/>
      <c r="M6" s="279"/>
      <c r="N6" s="279"/>
      <c r="O6" s="279"/>
      <c r="P6" s="279"/>
      <c r="Q6" s="279"/>
      <c r="R6" s="279"/>
      <c r="S6" s="279"/>
      <c r="T6" s="279"/>
    </row>
    <row r="7" spans="1:20" ht="15" customHeight="1" x14ac:dyDescent="0.25">
      <c r="A7" s="280">
        <v>46296</v>
      </c>
      <c r="B7" s="279" t="s">
        <v>262</v>
      </c>
      <c r="C7" s="279" t="s">
        <v>19</v>
      </c>
      <c r="D7" s="279" t="s">
        <v>20</v>
      </c>
      <c r="E7" s="279">
        <v>30</v>
      </c>
      <c r="F7" s="279">
        <v>6206</v>
      </c>
      <c r="G7" s="281">
        <v>22900</v>
      </c>
      <c r="H7" s="281">
        <v>22815</v>
      </c>
      <c r="I7" s="281">
        <v>85</v>
      </c>
      <c r="J7" s="282">
        <f t="shared" si="0"/>
        <v>3.7117903930131003E-3</v>
      </c>
      <c r="K7" s="279"/>
      <c r="L7" s="279"/>
      <c r="M7" s="279"/>
      <c r="N7" s="279"/>
      <c r="O7" s="279"/>
      <c r="P7" s="279"/>
      <c r="Q7" s="279"/>
      <c r="R7" s="279"/>
      <c r="S7" s="279"/>
      <c r="T7" s="279"/>
    </row>
    <row r="8" spans="1:20" ht="15" customHeight="1" x14ac:dyDescent="0.25">
      <c r="A8" s="280">
        <v>46296</v>
      </c>
      <c r="B8" s="279" t="s">
        <v>263</v>
      </c>
      <c r="C8" s="279" t="s">
        <v>19</v>
      </c>
      <c r="D8" s="279" t="s">
        <v>20</v>
      </c>
      <c r="E8" s="279">
        <v>30</v>
      </c>
      <c r="F8" s="279">
        <v>6206</v>
      </c>
      <c r="G8" s="281">
        <v>24678</v>
      </c>
      <c r="H8" s="281">
        <v>24038</v>
      </c>
      <c r="I8" s="281">
        <v>640</v>
      </c>
      <c r="J8" s="282">
        <f t="shared" si="0"/>
        <v>2.5934030310397926E-2</v>
      </c>
      <c r="K8" s="279"/>
      <c r="L8" s="279"/>
      <c r="M8" s="279"/>
      <c r="N8" s="279"/>
      <c r="O8" s="279"/>
      <c r="P8" s="279"/>
      <c r="Q8" s="279"/>
      <c r="R8" s="279"/>
      <c r="S8" s="279"/>
      <c r="T8" s="279"/>
    </row>
    <row r="9" spans="1:20" ht="15" customHeight="1" x14ac:dyDescent="0.25">
      <c r="A9" s="280">
        <v>46297</v>
      </c>
      <c r="B9" s="279" t="s">
        <v>259</v>
      </c>
      <c r="C9" s="279" t="s">
        <v>19</v>
      </c>
      <c r="D9" s="279" t="s">
        <v>20</v>
      </c>
      <c r="E9" s="279">
        <v>30</v>
      </c>
      <c r="F9" s="279">
        <v>6206</v>
      </c>
      <c r="G9" s="281">
        <v>21000</v>
      </c>
      <c r="H9" s="281">
        <v>20675</v>
      </c>
      <c r="I9" s="281">
        <v>325</v>
      </c>
      <c r="J9" s="282">
        <f t="shared" si="0"/>
        <v>1.5476190476190477E-2</v>
      </c>
      <c r="K9" s="279"/>
      <c r="L9" s="279"/>
      <c r="M9" s="279"/>
      <c r="N9" s="279"/>
      <c r="O9" s="279"/>
      <c r="P9" s="279"/>
      <c r="Q9" s="279"/>
      <c r="R9" s="279"/>
      <c r="S9" s="279"/>
      <c r="T9" s="279"/>
    </row>
    <row r="10" spans="1:20" ht="15" customHeight="1" x14ac:dyDescent="0.25">
      <c r="A10" s="280">
        <v>46297</v>
      </c>
      <c r="B10" s="279" t="s">
        <v>260</v>
      </c>
      <c r="C10" s="279" t="s">
        <v>19</v>
      </c>
      <c r="D10" s="279" t="s">
        <v>20</v>
      </c>
      <c r="E10" s="279">
        <v>30</v>
      </c>
      <c r="F10" s="279">
        <v>6206</v>
      </c>
      <c r="G10" s="281">
        <v>25000</v>
      </c>
      <c r="H10" s="281">
        <v>24985</v>
      </c>
      <c r="I10" s="281">
        <v>15</v>
      </c>
      <c r="J10" s="282">
        <f t="shared" si="0"/>
        <v>5.9999999999999995E-4</v>
      </c>
      <c r="K10" s="279"/>
      <c r="L10" s="279"/>
      <c r="M10" s="279"/>
      <c r="N10" s="279"/>
      <c r="O10" s="279"/>
      <c r="P10" s="279"/>
      <c r="Q10" s="279"/>
      <c r="R10" s="279"/>
      <c r="S10" s="279"/>
      <c r="T10" s="279"/>
    </row>
    <row r="11" spans="1:20" ht="15" customHeight="1" x14ac:dyDescent="0.25">
      <c r="A11" s="280">
        <v>46297</v>
      </c>
      <c r="B11" s="279" t="s">
        <v>261</v>
      </c>
      <c r="C11" s="279" t="s">
        <v>11</v>
      </c>
      <c r="D11" s="279" t="s">
        <v>140</v>
      </c>
      <c r="E11" s="279" t="s">
        <v>138</v>
      </c>
      <c r="F11" s="279">
        <v>8010</v>
      </c>
      <c r="G11" s="281">
        <v>11745</v>
      </c>
      <c r="H11" s="281">
        <v>8395</v>
      </c>
      <c r="I11" s="281">
        <v>3350</v>
      </c>
      <c r="J11" s="282">
        <f t="shared" si="0"/>
        <v>0.28522775649212428</v>
      </c>
      <c r="K11" s="279">
        <v>300</v>
      </c>
      <c r="L11" s="279"/>
      <c r="M11" s="279"/>
      <c r="N11" s="279"/>
      <c r="O11" s="279"/>
      <c r="P11" s="279"/>
      <c r="Q11" s="279"/>
      <c r="R11" s="279"/>
      <c r="S11" s="279"/>
      <c r="T11" s="279"/>
    </row>
    <row r="12" spans="1:20" ht="15" customHeight="1" x14ac:dyDescent="0.25">
      <c r="A12" s="280">
        <v>46297</v>
      </c>
      <c r="B12" s="279" t="s">
        <v>262</v>
      </c>
      <c r="C12" s="279" t="s">
        <v>19</v>
      </c>
      <c r="D12" s="279" t="s">
        <v>20</v>
      </c>
      <c r="E12" s="279">
        <v>30</v>
      </c>
      <c r="F12" s="279">
        <v>6206</v>
      </c>
      <c r="G12" s="281">
        <v>16000</v>
      </c>
      <c r="H12" s="281">
        <v>15895</v>
      </c>
      <c r="I12" s="281">
        <v>105</v>
      </c>
      <c r="J12" s="282">
        <f t="shared" si="0"/>
        <v>6.5624999999999998E-3</v>
      </c>
      <c r="K12" s="279">
        <v>180</v>
      </c>
      <c r="L12" s="279"/>
      <c r="M12" s="279"/>
      <c r="N12" s="279"/>
      <c r="O12" s="279"/>
      <c r="P12" s="279"/>
      <c r="Q12" s="279"/>
      <c r="R12" s="279"/>
      <c r="S12" s="279"/>
      <c r="T12" s="279"/>
    </row>
    <row r="13" spans="1:20" ht="15" customHeight="1" x14ac:dyDescent="0.25">
      <c r="A13" s="280">
        <v>46297</v>
      </c>
      <c r="B13" s="279" t="s">
        <v>263</v>
      </c>
      <c r="C13" s="279" t="s">
        <v>19</v>
      </c>
      <c r="D13" s="279" t="s">
        <v>20</v>
      </c>
      <c r="E13" s="279">
        <v>30</v>
      </c>
      <c r="F13" s="279">
        <v>6206</v>
      </c>
      <c r="G13" s="281">
        <v>15850</v>
      </c>
      <c r="H13" s="281">
        <v>15470</v>
      </c>
      <c r="I13" s="281">
        <v>380</v>
      </c>
      <c r="J13" s="282">
        <f t="shared" si="0"/>
        <v>2.3974763406940065E-2</v>
      </c>
      <c r="K13" s="279"/>
      <c r="L13" s="279"/>
      <c r="M13" s="279">
        <v>150</v>
      </c>
      <c r="N13" s="279"/>
      <c r="O13" s="279"/>
      <c r="P13" s="279"/>
      <c r="Q13" s="279"/>
      <c r="R13" s="279"/>
      <c r="S13" s="279"/>
      <c r="T13" s="279"/>
    </row>
    <row r="14" spans="1:20" ht="15" customHeight="1" x14ac:dyDescent="0.25">
      <c r="A14" s="280">
        <v>46298</v>
      </c>
      <c r="B14" s="279" t="s">
        <v>259</v>
      </c>
      <c r="C14" s="279" t="s">
        <v>19</v>
      </c>
      <c r="D14" s="279" t="s">
        <v>20</v>
      </c>
      <c r="E14" s="279">
        <v>30</v>
      </c>
      <c r="F14" s="279">
        <v>6206</v>
      </c>
      <c r="G14" s="281">
        <v>24000</v>
      </c>
      <c r="H14" s="281">
        <v>23550</v>
      </c>
      <c r="I14" s="281">
        <v>450</v>
      </c>
      <c r="J14" s="282">
        <f t="shared" si="0"/>
        <v>1.8749999999999999E-2</v>
      </c>
      <c r="K14" s="279"/>
      <c r="L14" s="279"/>
      <c r="M14" s="279"/>
      <c r="N14" s="279"/>
      <c r="O14" s="279"/>
      <c r="P14" s="279"/>
      <c r="Q14" s="279"/>
      <c r="R14" s="279"/>
      <c r="S14" s="279"/>
      <c r="T14" s="279"/>
    </row>
    <row r="15" spans="1:20" ht="15" customHeight="1" x14ac:dyDescent="0.25">
      <c r="A15" s="280">
        <v>46298</v>
      </c>
      <c r="B15" s="279" t="s">
        <v>260</v>
      </c>
      <c r="C15" s="279" t="s">
        <v>19</v>
      </c>
      <c r="D15" s="279" t="s">
        <v>20</v>
      </c>
      <c r="E15" s="279">
        <v>30</v>
      </c>
      <c r="F15" s="279">
        <v>6206</v>
      </c>
      <c r="G15" s="281">
        <v>24000</v>
      </c>
      <c r="H15" s="281">
        <v>23980</v>
      </c>
      <c r="I15" s="281">
        <v>20</v>
      </c>
      <c r="J15" s="282">
        <f t="shared" si="0"/>
        <v>8.3333333333333339E-4</v>
      </c>
      <c r="K15" s="279"/>
      <c r="L15" s="279"/>
      <c r="M15" s="279"/>
      <c r="N15" s="279"/>
      <c r="O15" s="279"/>
      <c r="P15" s="279"/>
      <c r="Q15" s="279"/>
      <c r="R15" s="279"/>
      <c r="S15" s="279"/>
      <c r="T15" s="279"/>
    </row>
    <row r="16" spans="1:20" ht="15" customHeight="1" x14ac:dyDescent="0.25">
      <c r="A16" s="280">
        <v>46298</v>
      </c>
      <c r="B16" s="279" t="s">
        <v>261</v>
      </c>
      <c r="C16" s="279" t="s">
        <v>11</v>
      </c>
      <c r="D16" s="279" t="s">
        <v>140</v>
      </c>
      <c r="E16" s="279" t="s">
        <v>138</v>
      </c>
      <c r="F16" s="279">
        <v>8010</v>
      </c>
      <c r="G16" s="281">
        <v>7470</v>
      </c>
      <c r="H16" s="281">
        <v>6095</v>
      </c>
      <c r="I16" s="281">
        <v>1375</v>
      </c>
      <c r="J16" s="282">
        <f t="shared" si="0"/>
        <v>0.18406961178045517</v>
      </c>
      <c r="K16" s="279"/>
      <c r="L16" s="279"/>
      <c r="M16" s="279"/>
      <c r="N16" s="279"/>
      <c r="O16" s="279">
        <v>540</v>
      </c>
      <c r="P16" s="279"/>
      <c r="Q16" s="279"/>
      <c r="R16" s="279"/>
      <c r="S16" s="279"/>
      <c r="T16" s="279"/>
    </row>
    <row r="17" spans="1:20" ht="15" customHeight="1" x14ac:dyDescent="0.25">
      <c r="A17" s="280">
        <v>46298</v>
      </c>
      <c r="B17" s="279" t="s">
        <v>262</v>
      </c>
      <c r="C17" s="279" t="s">
        <v>19</v>
      </c>
      <c r="D17" s="279" t="s">
        <v>20</v>
      </c>
      <c r="E17" s="279">
        <v>30</v>
      </c>
      <c r="F17" s="279">
        <v>6206</v>
      </c>
      <c r="G17" s="281">
        <v>20500</v>
      </c>
      <c r="H17" s="281">
        <v>20385</v>
      </c>
      <c r="I17" s="281">
        <v>115</v>
      </c>
      <c r="J17" s="282">
        <f t="shared" si="0"/>
        <v>5.6097560975609754E-3</v>
      </c>
      <c r="K17" s="279"/>
      <c r="L17" s="279"/>
      <c r="M17" s="279"/>
      <c r="N17" s="279"/>
      <c r="O17" s="279"/>
      <c r="P17" s="279"/>
      <c r="Q17" s="279"/>
      <c r="R17" s="279"/>
      <c r="S17" s="279"/>
      <c r="T17" s="279"/>
    </row>
    <row r="18" spans="1:20" ht="15" customHeight="1" x14ac:dyDescent="0.25">
      <c r="A18" s="280">
        <v>46298</v>
      </c>
      <c r="B18" s="279" t="s">
        <v>263</v>
      </c>
      <c r="C18" s="279" t="s">
        <v>19</v>
      </c>
      <c r="D18" s="279" t="s">
        <v>20</v>
      </c>
      <c r="E18" s="279">
        <v>30</v>
      </c>
      <c r="F18" s="279">
        <v>6206</v>
      </c>
      <c r="G18" s="281">
        <v>25843</v>
      </c>
      <c r="H18" s="281">
        <v>25288</v>
      </c>
      <c r="I18" s="281">
        <v>555</v>
      </c>
      <c r="J18" s="282">
        <f t="shared" si="0"/>
        <v>2.1475834848895252E-2</v>
      </c>
      <c r="K18" s="279"/>
      <c r="L18" s="279"/>
      <c r="M18" s="279"/>
      <c r="N18" s="279"/>
      <c r="O18" s="279"/>
      <c r="P18" s="279"/>
      <c r="Q18" s="279"/>
      <c r="R18" s="279"/>
      <c r="S18" s="279"/>
      <c r="T18" s="279"/>
    </row>
    <row r="19" spans="1:20" ht="15" customHeight="1" x14ac:dyDescent="0.25">
      <c r="A19" s="280">
        <v>46300</v>
      </c>
      <c r="B19" s="279" t="s">
        <v>259</v>
      </c>
      <c r="C19" s="279" t="s">
        <v>11</v>
      </c>
      <c r="D19" s="279" t="s">
        <v>16</v>
      </c>
      <c r="E19" s="279">
        <v>30</v>
      </c>
      <c r="F19" s="279">
        <v>5814</v>
      </c>
      <c r="G19" s="281">
        <v>1000</v>
      </c>
      <c r="H19" s="281">
        <v>945</v>
      </c>
      <c r="I19" s="281">
        <v>55</v>
      </c>
      <c r="J19" s="282">
        <f t="shared" si="0"/>
        <v>5.5E-2</v>
      </c>
      <c r="K19" s="279"/>
      <c r="L19" s="279"/>
      <c r="M19" s="279">
        <v>420</v>
      </c>
      <c r="N19" s="279"/>
      <c r="O19" s="279"/>
      <c r="P19" s="279"/>
      <c r="Q19" s="279"/>
      <c r="R19" s="279"/>
      <c r="S19" s="279"/>
      <c r="T19" s="279"/>
    </row>
    <row r="20" spans="1:20" ht="15" customHeight="1" x14ac:dyDescent="0.25">
      <c r="A20" s="280">
        <v>46300</v>
      </c>
      <c r="B20" s="279" t="s">
        <v>261</v>
      </c>
      <c r="C20" s="279" t="s">
        <v>135</v>
      </c>
      <c r="D20" s="279" t="s">
        <v>188</v>
      </c>
      <c r="E20" s="279" t="s">
        <v>143</v>
      </c>
      <c r="F20" s="279">
        <v>8001</v>
      </c>
      <c r="G20" s="281">
        <v>3265</v>
      </c>
      <c r="H20" s="281">
        <v>1035</v>
      </c>
      <c r="I20" s="281">
        <v>2230</v>
      </c>
      <c r="J20" s="282">
        <f t="shared" si="0"/>
        <v>0.68300153139356812</v>
      </c>
      <c r="K20" s="279"/>
      <c r="L20" s="279"/>
      <c r="M20" s="279"/>
      <c r="N20" s="279">
        <v>480</v>
      </c>
      <c r="O20" s="279">
        <v>420</v>
      </c>
      <c r="P20" s="279"/>
      <c r="Q20" s="279"/>
      <c r="R20" s="279"/>
      <c r="S20" s="279"/>
      <c r="T20" s="279"/>
    </row>
    <row r="21" spans="1:20" ht="15" customHeight="1" x14ac:dyDescent="0.25">
      <c r="A21" s="280">
        <v>46300</v>
      </c>
      <c r="B21" s="279" t="s">
        <v>264</v>
      </c>
      <c r="C21" s="279" t="s">
        <v>11</v>
      </c>
      <c r="D21" s="279" t="s">
        <v>16</v>
      </c>
      <c r="E21" s="279">
        <v>30</v>
      </c>
      <c r="F21" s="279">
        <v>5814</v>
      </c>
      <c r="G21" s="281">
        <v>9500</v>
      </c>
      <c r="H21" s="281">
        <v>9415</v>
      </c>
      <c r="I21" s="281">
        <v>85</v>
      </c>
      <c r="J21" s="282">
        <f t="shared" si="0"/>
        <v>8.9473684210526309E-3</v>
      </c>
      <c r="K21" s="279">
        <v>360</v>
      </c>
      <c r="L21" s="279"/>
      <c r="M21" s="279"/>
      <c r="N21" s="279"/>
      <c r="O21" s="279"/>
      <c r="P21" s="279"/>
      <c r="Q21" s="279"/>
      <c r="R21" s="279"/>
      <c r="S21" s="279"/>
      <c r="T21" s="279"/>
    </row>
    <row r="22" spans="1:20" ht="15" customHeight="1" x14ac:dyDescent="0.25">
      <c r="A22" s="280">
        <v>46300</v>
      </c>
      <c r="B22" s="279" t="s">
        <v>263</v>
      </c>
      <c r="C22" s="279" t="s">
        <v>11</v>
      </c>
      <c r="D22" s="279" t="s">
        <v>16</v>
      </c>
      <c r="E22" s="279">
        <v>30</v>
      </c>
      <c r="F22" s="279">
        <v>5814</v>
      </c>
      <c r="G22" s="281">
        <v>0</v>
      </c>
      <c r="H22" s="281">
        <v>0</v>
      </c>
      <c r="I22" s="281">
        <v>0</v>
      </c>
      <c r="J22" s="282" t="str">
        <f t="shared" si="0"/>
        <v/>
      </c>
      <c r="K22" s="279"/>
      <c r="L22" s="279"/>
      <c r="M22" s="279">
        <v>480</v>
      </c>
      <c r="N22" s="279"/>
      <c r="O22" s="279"/>
      <c r="P22" s="279"/>
      <c r="Q22" s="279"/>
      <c r="R22" s="279"/>
      <c r="S22" s="279"/>
      <c r="T22" s="279"/>
    </row>
    <row r="23" spans="1:20" ht="15" customHeight="1" x14ac:dyDescent="0.25">
      <c r="A23" s="280">
        <v>46301</v>
      </c>
      <c r="B23" s="279" t="s">
        <v>259</v>
      </c>
      <c r="C23" s="279" t="s">
        <v>11</v>
      </c>
      <c r="D23" s="279" t="s">
        <v>16</v>
      </c>
      <c r="E23" s="279">
        <v>30</v>
      </c>
      <c r="F23" s="279">
        <v>5814</v>
      </c>
      <c r="G23" s="281">
        <v>11500</v>
      </c>
      <c r="H23" s="281">
        <v>10950</v>
      </c>
      <c r="I23" s="281">
        <v>550</v>
      </c>
      <c r="J23" s="282">
        <f t="shared" si="0"/>
        <v>4.7826086956521741E-2</v>
      </c>
      <c r="K23" s="279">
        <v>180</v>
      </c>
      <c r="L23" s="279"/>
      <c r="M23" s="279"/>
      <c r="N23" s="279"/>
      <c r="O23" s="279"/>
      <c r="P23" s="279"/>
      <c r="Q23" s="279"/>
      <c r="R23" s="279"/>
      <c r="S23" s="279"/>
      <c r="T23" s="279"/>
    </row>
    <row r="24" spans="1:20" ht="15" customHeight="1" x14ac:dyDescent="0.25">
      <c r="A24" s="280">
        <v>46301</v>
      </c>
      <c r="B24" s="279" t="s">
        <v>261</v>
      </c>
      <c r="C24" s="279" t="s">
        <v>135</v>
      </c>
      <c r="D24" s="279" t="s">
        <v>188</v>
      </c>
      <c r="E24" s="279" t="s">
        <v>143</v>
      </c>
      <c r="F24" s="279">
        <v>8001</v>
      </c>
      <c r="G24" s="281">
        <v>9930</v>
      </c>
      <c r="H24" s="281">
        <v>5980</v>
      </c>
      <c r="I24" s="281">
        <v>3950</v>
      </c>
      <c r="J24" s="282">
        <f t="shared" si="0"/>
        <v>0.39778449144008055</v>
      </c>
      <c r="K24" s="279"/>
      <c r="L24" s="279"/>
      <c r="M24" s="279"/>
      <c r="N24" s="279"/>
      <c r="O24" s="279">
        <v>60</v>
      </c>
      <c r="P24" s="279"/>
      <c r="Q24" s="279"/>
      <c r="R24" s="279"/>
      <c r="S24" s="279">
        <v>360</v>
      </c>
      <c r="T24" s="279"/>
    </row>
    <row r="25" spans="1:20" ht="15" customHeight="1" x14ac:dyDescent="0.25">
      <c r="A25" s="280">
        <v>46301</v>
      </c>
      <c r="B25" s="279" t="s">
        <v>264</v>
      </c>
      <c r="C25" s="279" t="s">
        <v>11</v>
      </c>
      <c r="D25" s="279" t="s">
        <v>16</v>
      </c>
      <c r="E25" s="279">
        <v>30</v>
      </c>
      <c r="F25" s="279">
        <v>5814</v>
      </c>
      <c r="G25" s="281">
        <v>17000</v>
      </c>
      <c r="H25" s="281">
        <v>16750</v>
      </c>
      <c r="I25" s="281">
        <v>250</v>
      </c>
      <c r="J25" s="282">
        <f t="shared" si="0"/>
        <v>1.4705882352941176E-2</v>
      </c>
      <c r="K25" s="279">
        <v>150</v>
      </c>
      <c r="L25" s="279"/>
      <c r="M25" s="279"/>
      <c r="N25" s="279"/>
      <c r="O25" s="279"/>
      <c r="P25" s="279"/>
      <c r="Q25" s="279"/>
      <c r="R25" s="279"/>
      <c r="S25" s="279"/>
      <c r="T25" s="279"/>
    </row>
    <row r="26" spans="1:20" ht="15" customHeight="1" x14ac:dyDescent="0.25">
      <c r="A26" s="280">
        <v>46301</v>
      </c>
      <c r="B26" s="279" t="s">
        <v>263</v>
      </c>
      <c r="C26" s="279" t="s">
        <v>11</v>
      </c>
      <c r="D26" s="279" t="s">
        <v>16</v>
      </c>
      <c r="E26" s="279">
        <v>30</v>
      </c>
      <c r="F26" s="279">
        <v>5814</v>
      </c>
      <c r="G26" s="281">
        <v>10143</v>
      </c>
      <c r="H26" s="281">
        <v>9758</v>
      </c>
      <c r="I26" s="281">
        <v>385</v>
      </c>
      <c r="J26" s="282">
        <f t="shared" si="0"/>
        <v>3.7957211870255352E-2</v>
      </c>
      <c r="K26" s="279"/>
      <c r="L26" s="279"/>
      <c r="M26" s="279">
        <v>240</v>
      </c>
      <c r="N26" s="279"/>
      <c r="O26" s="279"/>
      <c r="P26" s="279"/>
      <c r="Q26" s="279"/>
      <c r="R26" s="279"/>
      <c r="S26" s="279"/>
      <c r="T26" s="279"/>
    </row>
    <row r="27" spans="1:20" ht="15" customHeight="1" x14ac:dyDescent="0.25">
      <c r="A27" s="280">
        <v>46302</v>
      </c>
      <c r="B27" s="279" t="s">
        <v>259</v>
      </c>
      <c r="C27" s="279" t="s">
        <v>11</v>
      </c>
      <c r="D27" s="279" t="s">
        <v>16</v>
      </c>
      <c r="E27" s="279">
        <v>30</v>
      </c>
      <c r="F27" s="279">
        <v>5814</v>
      </c>
      <c r="G27" s="281">
        <v>17000</v>
      </c>
      <c r="H27" s="281">
        <v>16460</v>
      </c>
      <c r="I27" s="281">
        <v>540</v>
      </c>
      <c r="J27" s="282">
        <f t="shared" si="0"/>
        <v>3.1764705882352938E-2</v>
      </c>
      <c r="K27" s="279">
        <v>60</v>
      </c>
      <c r="L27" s="279"/>
      <c r="M27" s="279"/>
      <c r="N27" s="279"/>
      <c r="O27" s="279"/>
      <c r="P27" s="279"/>
      <c r="Q27" s="279"/>
      <c r="R27" s="279"/>
      <c r="S27" s="279"/>
      <c r="T27" s="279"/>
    </row>
    <row r="28" spans="1:20" ht="15" customHeight="1" x14ac:dyDescent="0.25">
      <c r="A28" s="280">
        <v>46302</v>
      </c>
      <c r="B28" s="279" t="s">
        <v>260</v>
      </c>
      <c r="C28" s="279" t="s">
        <v>11</v>
      </c>
      <c r="D28" s="279" t="s">
        <v>16</v>
      </c>
      <c r="E28" s="279">
        <v>30</v>
      </c>
      <c r="F28" s="279">
        <v>5814</v>
      </c>
      <c r="G28" s="281">
        <v>13000</v>
      </c>
      <c r="H28" s="281">
        <v>12990</v>
      </c>
      <c r="I28" s="281">
        <v>10</v>
      </c>
      <c r="J28" s="282">
        <f t="shared" si="0"/>
        <v>7.6923076923076923E-4</v>
      </c>
      <c r="K28" s="279"/>
      <c r="L28" s="279"/>
      <c r="M28" s="279"/>
      <c r="N28" s="279"/>
      <c r="O28" s="279"/>
      <c r="P28" s="279"/>
      <c r="Q28" s="279"/>
      <c r="R28" s="279"/>
      <c r="S28" s="279"/>
      <c r="T28" s="279"/>
    </row>
    <row r="29" spans="1:20" ht="15" customHeight="1" x14ac:dyDescent="0.25">
      <c r="A29" s="280">
        <v>46302</v>
      </c>
      <c r="B29" s="279" t="s">
        <v>261</v>
      </c>
      <c r="C29" s="279" t="s">
        <v>135</v>
      </c>
      <c r="D29" s="279" t="s">
        <v>188</v>
      </c>
      <c r="E29" s="279" t="s">
        <v>143</v>
      </c>
      <c r="F29" s="279">
        <v>8001</v>
      </c>
      <c r="G29" s="281">
        <v>10990</v>
      </c>
      <c r="H29" s="281">
        <v>7590</v>
      </c>
      <c r="I29" s="281">
        <v>3400</v>
      </c>
      <c r="J29" s="282">
        <f t="shared" si="0"/>
        <v>0.30937215650591449</v>
      </c>
      <c r="K29" s="279"/>
      <c r="L29" s="279"/>
      <c r="M29" s="279"/>
      <c r="N29" s="279"/>
      <c r="O29" s="279">
        <v>150</v>
      </c>
      <c r="P29" s="279"/>
      <c r="Q29" s="279"/>
      <c r="R29" s="279"/>
      <c r="S29" s="279"/>
      <c r="T29" s="279"/>
    </row>
    <row r="30" spans="1:20" ht="15" customHeight="1" x14ac:dyDescent="0.25">
      <c r="A30" s="280">
        <v>46302</v>
      </c>
      <c r="B30" s="279" t="s">
        <v>264</v>
      </c>
      <c r="C30" s="279" t="s">
        <v>11</v>
      </c>
      <c r="D30" s="279" t="s">
        <v>16</v>
      </c>
      <c r="E30" s="279">
        <v>30</v>
      </c>
      <c r="F30" s="279">
        <v>5814</v>
      </c>
      <c r="G30" s="281">
        <v>20400</v>
      </c>
      <c r="H30" s="281">
        <v>20150</v>
      </c>
      <c r="I30" s="281">
        <v>250</v>
      </c>
      <c r="J30" s="282">
        <f t="shared" si="0"/>
        <v>1.2254901960784314E-2</v>
      </c>
      <c r="K30" s="279">
        <v>60</v>
      </c>
      <c r="L30" s="279"/>
      <c r="M30" s="279"/>
      <c r="N30" s="279"/>
      <c r="O30" s="279"/>
      <c r="P30" s="279"/>
      <c r="Q30" s="279"/>
      <c r="R30" s="279"/>
      <c r="S30" s="279"/>
      <c r="T30" s="279"/>
    </row>
    <row r="31" spans="1:20" ht="15" customHeight="1" x14ac:dyDescent="0.25">
      <c r="A31" s="280">
        <v>46302</v>
      </c>
      <c r="B31" s="279" t="s">
        <v>263</v>
      </c>
      <c r="C31" s="279" t="s">
        <v>11</v>
      </c>
      <c r="D31" s="279" t="s">
        <v>16</v>
      </c>
      <c r="E31" s="279">
        <v>30</v>
      </c>
      <c r="F31" s="279">
        <v>5814</v>
      </c>
      <c r="G31" s="281">
        <v>17025</v>
      </c>
      <c r="H31" s="281">
        <v>16660</v>
      </c>
      <c r="I31" s="281">
        <v>365</v>
      </c>
      <c r="J31" s="282">
        <f t="shared" si="0"/>
        <v>2.1439060205580028E-2</v>
      </c>
      <c r="K31" s="279"/>
      <c r="L31" s="279"/>
      <c r="M31" s="279"/>
      <c r="N31" s="279"/>
      <c r="O31" s="279"/>
      <c r="P31" s="279"/>
      <c r="Q31" s="279"/>
      <c r="R31" s="279"/>
      <c r="S31" s="279"/>
      <c r="T31" s="279"/>
    </row>
    <row r="32" spans="1:20" ht="15" customHeight="1" x14ac:dyDescent="0.25">
      <c r="A32" s="280">
        <v>46303</v>
      </c>
      <c r="B32" s="279" t="s">
        <v>259</v>
      </c>
      <c r="C32" s="279" t="s">
        <v>11</v>
      </c>
      <c r="D32" s="279" t="s">
        <v>16</v>
      </c>
      <c r="E32" s="279">
        <v>30</v>
      </c>
      <c r="F32" s="279">
        <v>5814</v>
      </c>
      <c r="G32" s="281">
        <v>17000</v>
      </c>
      <c r="H32" s="281">
        <v>16635</v>
      </c>
      <c r="I32" s="281">
        <v>365</v>
      </c>
      <c r="J32" s="282">
        <f t="shared" si="0"/>
        <v>2.1470588235294116E-2</v>
      </c>
      <c r="K32" s="279"/>
      <c r="L32" s="279"/>
      <c r="M32" s="279"/>
      <c r="N32" s="279">
        <v>60</v>
      </c>
      <c r="O32" s="279"/>
      <c r="P32" s="279"/>
      <c r="Q32" s="279"/>
      <c r="R32" s="279"/>
      <c r="S32" s="279"/>
      <c r="T32" s="279"/>
    </row>
    <row r="33" spans="1:20" ht="15" customHeight="1" x14ac:dyDescent="0.25">
      <c r="A33" s="280">
        <v>46303</v>
      </c>
      <c r="B33" s="279" t="s">
        <v>260</v>
      </c>
      <c r="C33" s="279" t="s">
        <v>11</v>
      </c>
      <c r="D33" s="279" t="s">
        <v>16</v>
      </c>
      <c r="E33" s="279">
        <v>30</v>
      </c>
      <c r="F33" s="279">
        <v>5814</v>
      </c>
      <c r="G33" s="281">
        <v>22134</v>
      </c>
      <c r="H33" s="281">
        <v>22114</v>
      </c>
      <c r="I33" s="281">
        <v>20</v>
      </c>
      <c r="J33" s="282">
        <f t="shared" si="0"/>
        <v>9.0358724134815215E-4</v>
      </c>
      <c r="K33" s="279"/>
      <c r="L33" s="279"/>
      <c r="M33" s="279"/>
      <c r="N33" s="279"/>
      <c r="O33" s="279"/>
      <c r="P33" s="279"/>
      <c r="Q33" s="279"/>
      <c r="R33" s="279"/>
      <c r="S33" s="279"/>
      <c r="T33" s="279"/>
    </row>
    <row r="34" spans="1:20" ht="15" customHeight="1" x14ac:dyDescent="0.25">
      <c r="A34" s="280">
        <v>46303</v>
      </c>
      <c r="B34" s="279" t="s">
        <v>261</v>
      </c>
      <c r="C34" s="279" t="s">
        <v>135</v>
      </c>
      <c r="D34" s="279" t="s">
        <v>188</v>
      </c>
      <c r="E34" s="279" t="s">
        <v>143</v>
      </c>
      <c r="F34" s="279">
        <v>8001</v>
      </c>
      <c r="G34" s="281">
        <v>6545</v>
      </c>
      <c r="H34" s="281">
        <v>4255</v>
      </c>
      <c r="I34" s="281">
        <v>2290</v>
      </c>
      <c r="J34" s="282">
        <f t="shared" si="0"/>
        <v>0.34988540870893814</v>
      </c>
      <c r="K34" s="279"/>
      <c r="L34" s="279"/>
      <c r="M34" s="279"/>
      <c r="N34" s="279"/>
      <c r="O34" s="279">
        <v>240</v>
      </c>
      <c r="P34" s="279"/>
      <c r="Q34" s="279"/>
      <c r="R34" s="279"/>
      <c r="S34" s="279">
        <v>300</v>
      </c>
      <c r="T34" s="279"/>
    </row>
    <row r="35" spans="1:20" ht="15" customHeight="1" x14ac:dyDescent="0.25">
      <c r="A35" s="280">
        <v>46303</v>
      </c>
      <c r="B35" s="279" t="s">
        <v>264</v>
      </c>
      <c r="C35" s="279" t="s">
        <v>11</v>
      </c>
      <c r="D35" s="279" t="s">
        <v>16</v>
      </c>
      <c r="E35" s="279">
        <v>30</v>
      </c>
      <c r="F35" s="279">
        <v>5814</v>
      </c>
      <c r="G35" s="281">
        <v>10600</v>
      </c>
      <c r="H35" s="281">
        <v>10480</v>
      </c>
      <c r="I35" s="281">
        <v>120</v>
      </c>
      <c r="J35" s="282">
        <f t="shared" ref="J35:J66" si="1">IFERROR(I35/(H35+I35),"")</f>
        <v>1.1320754716981131E-2</v>
      </c>
      <c r="K35" s="279"/>
      <c r="L35" s="279"/>
      <c r="M35" s="279"/>
      <c r="N35" s="279">
        <v>240</v>
      </c>
      <c r="O35" s="279"/>
      <c r="P35" s="279"/>
      <c r="Q35" s="279"/>
      <c r="R35" s="279"/>
      <c r="S35" s="279"/>
      <c r="T35" s="279"/>
    </row>
    <row r="36" spans="1:20" ht="15" customHeight="1" x14ac:dyDescent="0.25">
      <c r="A36" s="280">
        <v>46303</v>
      </c>
      <c r="B36" s="279" t="s">
        <v>264</v>
      </c>
      <c r="C36" s="279" t="s">
        <v>21</v>
      </c>
      <c r="D36" s="279" t="s">
        <v>22</v>
      </c>
      <c r="E36" s="279">
        <v>30</v>
      </c>
      <c r="F36" s="279">
        <v>6515</v>
      </c>
      <c r="G36" s="281">
        <v>3000</v>
      </c>
      <c r="H36" s="281">
        <v>2970</v>
      </c>
      <c r="I36" s="281">
        <v>30</v>
      </c>
      <c r="J36" s="282">
        <f t="shared" si="1"/>
        <v>0.01</v>
      </c>
      <c r="K36" s="279"/>
      <c r="L36" s="279"/>
      <c r="M36" s="279"/>
      <c r="N36" s="279"/>
      <c r="O36" s="279"/>
      <c r="P36" s="279"/>
      <c r="Q36" s="279"/>
      <c r="R36" s="279"/>
      <c r="S36" s="279"/>
      <c r="T36" s="279"/>
    </row>
    <row r="37" spans="1:20" ht="15" customHeight="1" x14ac:dyDescent="0.25">
      <c r="A37" s="280">
        <v>46303</v>
      </c>
      <c r="B37" s="279" t="s">
        <v>263</v>
      </c>
      <c r="C37" s="279" t="s">
        <v>11</v>
      </c>
      <c r="D37" s="279" t="s">
        <v>16</v>
      </c>
      <c r="E37" s="279">
        <v>30</v>
      </c>
      <c r="F37" s="279">
        <v>5814</v>
      </c>
      <c r="G37" s="281">
        <v>23919</v>
      </c>
      <c r="H37" s="281">
        <v>23324</v>
      </c>
      <c r="I37" s="281">
        <v>595</v>
      </c>
      <c r="J37" s="282">
        <f t="shared" si="1"/>
        <v>2.4875621890547265E-2</v>
      </c>
      <c r="K37" s="279"/>
      <c r="L37" s="279"/>
      <c r="M37" s="279"/>
      <c r="N37" s="279"/>
      <c r="O37" s="279"/>
      <c r="P37" s="279"/>
      <c r="Q37" s="279"/>
      <c r="R37" s="279"/>
      <c r="S37" s="279"/>
      <c r="T37" s="279"/>
    </row>
    <row r="38" spans="1:20" ht="15" customHeight="1" x14ac:dyDescent="0.25">
      <c r="A38" s="280">
        <v>46304</v>
      </c>
      <c r="B38" s="279" t="s">
        <v>265</v>
      </c>
      <c r="C38" s="279" t="s">
        <v>21</v>
      </c>
      <c r="D38" s="279" t="s">
        <v>22</v>
      </c>
      <c r="E38" s="279">
        <v>30</v>
      </c>
      <c r="F38" s="279">
        <v>6515</v>
      </c>
      <c r="G38" s="281">
        <v>13330</v>
      </c>
      <c r="H38" s="281">
        <v>13000</v>
      </c>
      <c r="I38" s="281">
        <v>330</v>
      </c>
      <c r="J38" s="282">
        <f t="shared" si="1"/>
        <v>2.4756189047261814E-2</v>
      </c>
      <c r="K38" s="279"/>
      <c r="L38" s="279"/>
      <c r="M38" s="279">
        <v>180</v>
      </c>
      <c r="N38" s="279"/>
      <c r="O38" s="279"/>
      <c r="P38" s="279"/>
      <c r="Q38" s="279"/>
      <c r="R38" s="279"/>
      <c r="S38" s="279"/>
      <c r="T38" s="279"/>
    </row>
    <row r="39" spans="1:20" ht="15" customHeight="1" x14ac:dyDescent="0.25">
      <c r="A39" s="280">
        <v>46304</v>
      </c>
      <c r="B39" s="279" t="s">
        <v>260</v>
      </c>
      <c r="C39" s="279" t="s">
        <v>11</v>
      </c>
      <c r="D39" s="279" t="s">
        <v>16</v>
      </c>
      <c r="E39" s="279">
        <v>30</v>
      </c>
      <c r="F39" s="279">
        <v>5814</v>
      </c>
      <c r="G39" s="281">
        <v>13300</v>
      </c>
      <c r="H39" s="281">
        <v>13293</v>
      </c>
      <c r="I39" s="281">
        <v>7</v>
      </c>
      <c r="J39" s="282">
        <f t="shared" si="1"/>
        <v>5.263157894736842E-4</v>
      </c>
      <c r="K39" s="279"/>
      <c r="L39" s="279"/>
      <c r="M39" s="279"/>
      <c r="N39" s="279"/>
      <c r="O39" s="279">
        <v>180</v>
      </c>
      <c r="P39" s="279"/>
      <c r="Q39" s="279"/>
      <c r="R39" s="279"/>
      <c r="S39" s="279"/>
      <c r="T39" s="279"/>
    </row>
    <row r="40" spans="1:20" ht="15" customHeight="1" x14ac:dyDescent="0.25">
      <c r="A40" s="280">
        <v>46304</v>
      </c>
      <c r="B40" s="279" t="s">
        <v>261</v>
      </c>
      <c r="C40" s="279" t="s">
        <v>135</v>
      </c>
      <c r="D40" s="279" t="s">
        <v>188</v>
      </c>
      <c r="E40" s="279" t="s">
        <v>143</v>
      </c>
      <c r="F40" s="279">
        <v>8001</v>
      </c>
      <c r="G40" s="281">
        <v>8715</v>
      </c>
      <c r="H40" s="281">
        <v>6095</v>
      </c>
      <c r="I40" s="281">
        <v>2620</v>
      </c>
      <c r="J40" s="282">
        <f t="shared" si="1"/>
        <v>0.30063109581181868</v>
      </c>
      <c r="K40" s="279"/>
      <c r="L40" s="279">
        <v>120</v>
      </c>
      <c r="M40" s="279"/>
      <c r="N40" s="279"/>
      <c r="O40" s="279">
        <v>60</v>
      </c>
      <c r="P40" s="279"/>
      <c r="Q40" s="279"/>
      <c r="R40" s="279"/>
      <c r="S40" s="279">
        <v>180</v>
      </c>
      <c r="T40" s="279"/>
    </row>
    <row r="41" spans="1:20" ht="15" customHeight="1" x14ac:dyDescent="0.25">
      <c r="A41" s="280">
        <v>46304</v>
      </c>
      <c r="B41" s="279" t="s">
        <v>264</v>
      </c>
      <c r="C41" s="279" t="s">
        <v>21</v>
      </c>
      <c r="D41" s="279" t="s">
        <v>22</v>
      </c>
      <c r="E41" s="279">
        <v>30</v>
      </c>
      <c r="F41" s="279">
        <v>6515</v>
      </c>
      <c r="G41" s="281">
        <v>18125</v>
      </c>
      <c r="H41" s="281">
        <v>18000</v>
      </c>
      <c r="I41" s="281">
        <v>125</v>
      </c>
      <c r="J41" s="282">
        <f t="shared" si="1"/>
        <v>6.8965517241379309E-3</v>
      </c>
      <c r="K41" s="279">
        <v>120</v>
      </c>
      <c r="L41" s="279"/>
      <c r="M41" s="279"/>
      <c r="N41" s="279"/>
      <c r="O41" s="279"/>
      <c r="P41" s="279"/>
      <c r="Q41" s="279"/>
      <c r="R41" s="279"/>
      <c r="S41" s="279"/>
      <c r="T41" s="279"/>
    </row>
    <row r="42" spans="1:20" ht="15" customHeight="1" x14ac:dyDescent="0.25">
      <c r="A42" s="280">
        <v>46304</v>
      </c>
      <c r="B42" s="279" t="s">
        <v>263</v>
      </c>
      <c r="C42" s="279" t="s">
        <v>21</v>
      </c>
      <c r="D42" s="279" t="s">
        <v>22</v>
      </c>
      <c r="E42" s="279">
        <v>30</v>
      </c>
      <c r="F42" s="279">
        <v>6515</v>
      </c>
      <c r="G42" s="281">
        <v>9933</v>
      </c>
      <c r="H42" s="281">
        <v>9568</v>
      </c>
      <c r="I42" s="281">
        <v>365</v>
      </c>
      <c r="J42" s="282">
        <f t="shared" si="1"/>
        <v>3.6746199536897214E-2</v>
      </c>
      <c r="K42" s="279"/>
      <c r="L42" s="279"/>
      <c r="M42" s="279">
        <v>200</v>
      </c>
      <c r="N42" s="279">
        <v>120</v>
      </c>
      <c r="O42" s="279"/>
      <c r="P42" s="279"/>
      <c r="Q42" s="279"/>
      <c r="R42" s="279"/>
      <c r="S42" s="279"/>
      <c r="T42" s="279"/>
    </row>
    <row r="43" spans="1:20" ht="15" customHeight="1" x14ac:dyDescent="0.25">
      <c r="A43" s="280">
        <v>46305</v>
      </c>
      <c r="B43" s="279" t="s">
        <v>265</v>
      </c>
      <c r="C43" s="279" t="s">
        <v>21</v>
      </c>
      <c r="D43" s="279" t="s">
        <v>22</v>
      </c>
      <c r="E43" s="279">
        <v>30</v>
      </c>
      <c r="F43" s="279">
        <v>6515</v>
      </c>
      <c r="G43" s="281">
        <v>9000</v>
      </c>
      <c r="H43" s="281">
        <v>8880</v>
      </c>
      <c r="I43" s="281">
        <v>120</v>
      </c>
      <c r="J43" s="282">
        <f t="shared" si="1"/>
        <v>1.3333333333333334E-2</v>
      </c>
      <c r="K43" s="279"/>
      <c r="L43" s="279"/>
      <c r="M43" s="279">
        <v>260</v>
      </c>
      <c r="N43" s="279"/>
      <c r="O43" s="279"/>
      <c r="P43" s="279"/>
      <c r="Q43" s="279"/>
      <c r="R43" s="279"/>
      <c r="S43" s="279"/>
      <c r="T43" s="279"/>
    </row>
    <row r="44" spans="1:20" ht="15" customHeight="1" x14ac:dyDescent="0.25">
      <c r="A44" s="280">
        <v>46305</v>
      </c>
      <c r="B44" s="279" t="s">
        <v>260</v>
      </c>
      <c r="C44" s="279" t="s">
        <v>21</v>
      </c>
      <c r="D44" s="279" t="s">
        <v>22</v>
      </c>
      <c r="E44" s="279">
        <v>30</v>
      </c>
      <c r="F44" s="279">
        <v>6515</v>
      </c>
      <c r="G44" s="281">
        <v>12688</v>
      </c>
      <c r="H44" s="281">
        <v>12678</v>
      </c>
      <c r="I44" s="281">
        <v>10</v>
      </c>
      <c r="J44" s="282">
        <f t="shared" si="1"/>
        <v>7.8814627994955864E-4</v>
      </c>
      <c r="K44" s="279"/>
      <c r="L44" s="279"/>
      <c r="M44" s="279"/>
      <c r="N44" s="279"/>
      <c r="O44" s="279">
        <v>180</v>
      </c>
      <c r="P44" s="279"/>
      <c r="Q44" s="279"/>
      <c r="R44" s="279"/>
      <c r="S44" s="279"/>
      <c r="T44" s="279"/>
    </row>
    <row r="45" spans="1:20" ht="15" customHeight="1" x14ac:dyDescent="0.25">
      <c r="A45" s="280">
        <v>46305</v>
      </c>
      <c r="B45" s="279" t="s">
        <v>261</v>
      </c>
      <c r="C45" s="279" t="s">
        <v>135</v>
      </c>
      <c r="D45" s="279" t="s">
        <v>188</v>
      </c>
      <c r="E45" s="279" t="s">
        <v>143</v>
      </c>
      <c r="F45" s="279">
        <v>8001</v>
      </c>
      <c r="G45" s="281">
        <v>12185</v>
      </c>
      <c r="H45" s="281">
        <v>10235</v>
      </c>
      <c r="I45" s="281">
        <v>1950</v>
      </c>
      <c r="J45" s="282">
        <f t="shared" si="1"/>
        <v>0.16003282724661469</v>
      </c>
      <c r="K45" s="279"/>
      <c r="L45" s="279"/>
      <c r="M45" s="279"/>
      <c r="N45" s="279"/>
      <c r="O45" s="279">
        <v>60</v>
      </c>
      <c r="P45" s="279"/>
      <c r="Q45" s="279"/>
      <c r="R45" s="279"/>
      <c r="S45" s="279"/>
      <c r="T45" s="279"/>
    </row>
    <row r="46" spans="1:20" ht="15" customHeight="1" x14ac:dyDescent="0.25">
      <c r="A46" s="280">
        <v>46305</v>
      </c>
      <c r="B46" s="279" t="s">
        <v>264</v>
      </c>
      <c r="C46" s="279" t="s">
        <v>21</v>
      </c>
      <c r="D46" s="279" t="s">
        <v>22</v>
      </c>
      <c r="E46" s="279">
        <v>30</v>
      </c>
      <c r="F46" s="279">
        <v>6515</v>
      </c>
      <c r="G46" s="281">
        <v>5900</v>
      </c>
      <c r="H46" s="281">
        <v>5830</v>
      </c>
      <c r="I46" s="281">
        <v>70</v>
      </c>
      <c r="J46" s="282">
        <f t="shared" si="1"/>
        <v>1.1864406779661017E-2</v>
      </c>
      <c r="K46" s="279">
        <v>360</v>
      </c>
      <c r="L46" s="279"/>
      <c r="M46" s="279"/>
      <c r="N46" s="279"/>
      <c r="O46" s="279"/>
      <c r="P46" s="279"/>
      <c r="Q46" s="279"/>
      <c r="R46" s="279"/>
      <c r="S46" s="279"/>
      <c r="T46" s="279"/>
    </row>
    <row r="47" spans="1:20" ht="15" customHeight="1" x14ac:dyDescent="0.25">
      <c r="A47" s="280">
        <v>46305</v>
      </c>
      <c r="B47" s="279" t="s">
        <v>263</v>
      </c>
      <c r="C47" s="279" t="s">
        <v>21</v>
      </c>
      <c r="D47" s="279" t="s">
        <v>22</v>
      </c>
      <c r="E47" s="279">
        <v>30</v>
      </c>
      <c r="F47" s="279">
        <v>6515</v>
      </c>
      <c r="G47" s="281">
        <v>5801</v>
      </c>
      <c r="H47" s="281">
        <v>5616</v>
      </c>
      <c r="I47" s="281">
        <v>185</v>
      </c>
      <c r="J47" s="282">
        <f t="shared" si="1"/>
        <v>3.1891053266678161E-2</v>
      </c>
      <c r="K47" s="279"/>
      <c r="L47" s="279"/>
      <c r="M47" s="279">
        <v>360</v>
      </c>
      <c r="N47" s="279"/>
      <c r="O47" s="279"/>
      <c r="P47" s="279"/>
      <c r="Q47" s="279"/>
      <c r="R47" s="279"/>
      <c r="S47" s="279"/>
      <c r="T47" s="279"/>
    </row>
    <row r="48" spans="1:20" ht="15" customHeight="1" x14ac:dyDescent="0.25">
      <c r="A48" s="280">
        <v>46307</v>
      </c>
      <c r="B48" s="279" t="s">
        <v>259</v>
      </c>
      <c r="C48" s="279" t="s">
        <v>19</v>
      </c>
      <c r="D48" s="279" t="s">
        <v>20</v>
      </c>
      <c r="E48" s="279">
        <v>30</v>
      </c>
      <c r="F48" s="279">
        <v>6206</v>
      </c>
      <c r="G48" s="281">
        <v>16000</v>
      </c>
      <c r="H48" s="281">
        <v>15650</v>
      </c>
      <c r="I48" s="281">
        <v>350</v>
      </c>
      <c r="J48" s="282">
        <f t="shared" si="1"/>
        <v>2.1874999999999999E-2</v>
      </c>
      <c r="K48" s="279"/>
      <c r="L48" s="279"/>
      <c r="M48" s="279">
        <v>60</v>
      </c>
      <c r="N48" s="279"/>
      <c r="O48" s="279"/>
      <c r="P48" s="279"/>
      <c r="Q48" s="279"/>
      <c r="R48" s="279"/>
      <c r="S48" s="279"/>
      <c r="T48" s="279"/>
    </row>
    <row r="49" spans="1:20" ht="15" customHeight="1" x14ac:dyDescent="0.25">
      <c r="A49" s="280">
        <v>46307</v>
      </c>
      <c r="B49" s="279" t="s">
        <v>260</v>
      </c>
      <c r="C49" s="279" t="s">
        <v>19</v>
      </c>
      <c r="D49" s="279" t="s">
        <v>20</v>
      </c>
      <c r="E49" s="279">
        <v>30</v>
      </c>
      <c r="F49" s="279">
        <v>6206</v>
      </c>
      <c r="G49" s="281">
        <v>10000</v>
      </c>
      <c r="H49" s="281">
        <v>9995</v>
      </c>
      <c r="I49" s="281">
        <v>5</v>
      </c>
      <c r="J49" s="282">
        <f t="shared" si="1"/>
        <v>5.0000000000000001E-4</v>
      </c>
      <c r="K49" s="279"/>
      <c r="L49" s="279"/>
      <c r="M49" s="279"/>
      <c r="N49" s="279"/>
      <c r="O49" s="279">
        <v>240</v>
      </c>
      <c r="P49" s="279"/>
      <c r="Q49" s="279"/>
      <c r="R49" s="279"/>
      <c r="S49" s="279"/>
      <c r="T49" s="279"/>
    </row>
    <row r="50" spans="1:20" ht="15" customHeight="1" x14ac:dyDescent="0.25">
      <c r="A50" s="280">
        <v>46307</v>
      </c>
      <c r="B50" s="279" t="s">
        <v>261</v>
      </c>
      <c r="C50" s="279" t="s">
        <v>135</v>
      </c>
      <c r="D50" s="279" t="s">
        <v>188</v>
      </c>
      <c r="E50" s="279" t="s">
        <v>143</v>
      </c>
      <c r="F50" s="279">
        <v>8001</v>
      </c>
      <c r="G50" s="281">
        <v>11050</v>
      </c>
      <c r="H50" s="281">
        <v>8050</v>
      </c>
      <c r="I50" s="281">
        <v>3000</v>
      </c>
      <c r="J50" s="282">
        <f t="shared" si="1"/>
        <v>0.27149321266968324</v>
      </c>
      <c r="K50" s="279"/>
      <c r="L50" s="279">
        <v>60</v>
      </c>
      <c r="M50" s="279"/>
      <c r="N50" s="279"/>
      <c r="O50" s="279"/>
      <c r="P50" s="279"/>
      <c r="Q50" s="279"/>
      <c r="R50" s="279"/>
      <c r="S50" s="279">
        <v>60</v>
      </c>
      <c r="T50" s="279"/>
    </row>
    <row r="51" spans="1:20" ht="15" customHeight="1" x14ac:dyDescent="0.25">
      <c r="A51" s="280">
        <v>46307</v>
      </c>
      <c r="B51" s="279" t="s">
        <v>262</v>
      </c>
      <c r="C51" s="279" t="s">
        <v>19</v>
      </c>
      <c r="D51" s="279" t="s">
        <v>20</v>
      </c>
      <c r="E51" s="279">
        <v>30</v>
      </c>
      <c r="F51" s="279">
        <v>6206</v>
      </c>
      <c r="G51" s="281">
        <v>20300</v>
      </c>
      <c r="H51" s="281">
        <v>20100</v>
      </c>
      <c r="I51" s="281">
        <v>200</v>
      </c>
      <c r="J51" s="282">
        <f t="shared" si="1"/>
        <v>9.852216748768473E-3</v>
      </c>
      <c r="K51" s="279"/>
      <c r="L51" s="279"/>
      <c r="M51" s="279"/>
      <c r="N51" s="279"/>
      <c r="O51" s="279"/>
      <c r="P51" s="279"/>
      <c r="Q51" s="279"/>
      <c r="R51" s="279"/>
      <c r="S51" s="279"/>
      <c r="T51" s="279"/>
    </row>
    <row r="52" spans="1:20" ht="15" customHeight="1" x14ac:dyDescent="0.25">
      <c r="A52" s="280">
        <v>46307</v>
      </c>
      <c r="B52" s="279" t="s">
        <v>263</v>
      </c>
      <c r="C52" s="279" t="s">
        <v>19</v>
      </c>
      <c r="D52" s="279" t="s">
        <v>20</v>
      </c>
      <c r="E52" s="279">
        <v>30</v>
      </c>
      <c r="F52" s="279">
        <v>6206</v>
      </c>
      <c r="G52" s="281">
        <v>14090</v>
      </c>
      <c r="H52" s="281">
        <v>13090</v>
      </c>
      <c r="I52" s="281">
        <v>1000</v>
      </c>
      <c r="J52" s="282">
        <f t="shared" si="1"/>
        <v>7.0972320794889993E-2</v>
      </c>
      <c r="K52" s="279"/>
      <c r="L52" s="279"/>
      <c r="M52" s="279">
        <v>150</v>
      </c>
      <c r="N52" s="279"/>
      <c r="O52" s="279"/>
      <c r="P52" s="279"/>
      <c r="Q52" s="279"/>
      <c r="R52" s="279"/>
      <c r="S52" s="279"/>
      <c r="T52" s="279"/>
    </row>
    <row r="53" spans="1:20" ht="15" customHeight="1" x14ac:dyDescent="0.25">
      <c r="A53" s="280">
        <v>46308</v>
      </c>
      <c r="B53" s="279" t="s">
        <v>259</v>
      </c>
      <c r="C53" s="279" t="s">
        <v>19</v>
      </c>
      <c r="D53" s="279" t="s">
        <v>20</v>
      </c>
      <c r="E53" s="279">
        <v>30</v>
      </c>
      <c r="F53" s="279">
        <v>6206</v>
      </c>
      <c r="G53" s="281">
        <v>17000</v>
      </c>
      <c r="H53" s="281">
        <v>16715</v>
      </c>
      <c r="I53" s="281">
        <v>285</v>
      </c>
      <c r="J53" s="282">
        <f t="shared" si="1"/>
        <v>1.6764705882352942E-2</v>
      </c>
      <c r="K53" s="279"/>
      <c r="L53" s="279"/>
      <c r="M53" s="279">
        <v>60</v>
      </c>
      <c r="N53" s="279"/>
      <c r="O53" s="279"/>
      <c r="P53" s="279"/>
      <c r="Q53" s="279"/>
      <c r="R53" s="279"/>
      <c r="S53" s="279"/>
      <c r="T53" s="279"/>
    </row>
    <row r="54" spans="1:20" ht="15" customHeight="1" x14ac:dyDescent="0.25">
      <c r="A54" s="280">
        <v>46308</v>
      </c>
      <c r="B54" s="279" t="s">
        <v>260</v>
      </c>
      <c r="C54" s="279" t="s">
        <v>19</v>
      </c>
      <c r="D54" s="279" t="s">
        <v>20</v>
      </c>
      <c r="E54" s="279">
        <v>30</v>
      </c>
      <c r="F54" s="279">
        <v>6206</v>
      </c>
      <c r="G54" s="281">
        <v>22134</v>
      </c>
      <c r="H54" s="281">
        <v>22124</v>
      </c>
      <c r="I54" s="281">
        <v>10</v>
      </c>
      <c r="J54" s="282">
        <f t="shared" si="1"/>
        <v>4.5179362067407608E-4</v>
      </c>
      <c r="K54" s="279"/>
      <c r="L54" s="279"/>
      <c r="M54" s="279"/>
      <c r="N54" s="279"/>
      <c r="O54" s="279"/>
      <c r="P54" s="279"/>
      <c r="Q54" s="279"/>
      <c r="R54" s="279"/>
      <c r="S54" s="279"/>
      <c r="T54" s="279"/>
    </row>
    <row r="55" spans="1:20" ht="15" customHeight="1" x14ac:dyDescent="0.25">
      <c r="A55" s="280">
        <v>46308</v>
      </c>
      <c r="B55" s="279" t="s">
        <v>261</v>
      </c>
      <c r="C55" s="279" t="s">
        <v>135</v>
      </c>
      <c r="D55" s="279" t="s">
        <v>188</v>
      </c>
      <c r="E55" s="279" t="s">
        <v>143</v>
      </c>
      <c r="F55" s="279">
        <v>8001</v>
      </c>
      <c r="G55" s="281">
        <v>7840</v>
      </c>
      <c r="H55" s="281">
        <v>4140</v>
      </c>
      <c r="I55" s="281">
        <v>3700</v>
      </c>
      <c r="J55" s="282">
        <f t="shared" si="1"/>
        <v>0.47193877551020408</v>
      </c>
      <c r="K55" s="279"/>
      <c r="L55" s="279"/>
      <c r="M55" s="279"/>
      <c r="N55" s="279"/>
      <c r="O55" s="279">
        <v>120</v>
      </c>
      <c r="P55" s="279"/>
      <c r="Q55" s="279"/>
      <c r="R55" s="279"/>
      <c r="S55" s="279">
        <v>360</v>
      </c>
      <c r="T55" s="279"/>
    </row>
    <row r="56" spans="1:20" ht="15" customHeight="1" x14ac:dyDescent="0.25">
      <c r="A56" s="280">
        <v>46308</v>
      </c>
      <c r="B56" s="279" t="s">
        <v>262</v>
      </c>
      <c r="C56" s="279" t="s">
        <v>19</v>
      </c>
      <c r="D56" s="279" t="s">
        <v>20</v>
      </c>
      <c r="E56" s="279">
        <v>30</v>
      </c>
      <c r="F56" s="279">
        <v>6206</v>
      </c>
      <c r="G56" s="281">
        <v>9100</v>
      </c>
      <c r="H56" s="281">
        <v>8100</v>
      </c>
      <c r="I56" s="281">
        <v>1000</v>
      </c>
      <c r="J56" s="282">
        <f t="shared" si="1"/>
        <v>0.10989010989010989</v>
      </c>
      <c r="K56" s="279"/>
      <c r="L56" s="279"/>
      <c r="M56" s="279">
        <v>240</v>
      </c>
      <c r="N56" s="279"/>
      <c r="O56" s="279"/>
      <c r="P56" s="279"/>
      <c r="Q56" s="279"/>
      <c r="R56" s="279"/>
      <c r="S56" s="279"/>
      <c r="T56" s="279"/>
    </row>
    <row r="57" spans="1:20" ht="15" customHeight="1" x14ac:dyDescent="0.25">
      <c r="A57" s="280">
        <v>46308</v>
      </c>
      <c r="B57" s="279" t="s">
        <v>263</v>
      </c>
      <c r="C57" s="279" t="s">
        <v>19</v>
      </c>
      <c r="D57" s="279" t="s">
        <v>20</v>
      </c>
      <c r="E57" s="279">
        <v>30</v>
      </c>
      <c r="F57" s="279">
        <v>6206</v>
      </c>
      <c r="G57" s="281">
        <v>18260</v>
      </c>
      <c r="H57" s="281">
        <v>17850</v>
      </c>
      <c r="I57" s="281">
        <v>410</v>
      </c>
      <c r="J57" s="282">
        <f t="shared" si="1"/>
        <v>2.2453450164293537E-2</v>
      </c>
      <c r="K57" s="279"/>
      <c r="L57" s="279"/>
      <c r="M57" s="279">
        <v>90</v>
      </c>
      <c r="N57" s="279"/>
      <c r="O57" s="279"/>
      <c r="P57" s="279"/>
      <c r="Q57" s="279"/>
      <c r="R57" s="279"/>
      <c r="S57" s="279"/>
      <c r="T57" s="279"/>
    </row>
    <row r="58" spans="1:20" ht="15" customHeight="1" x14ac:dyDescent="0.25">
      <c r="A58" s="280">
        <v>46309</v>
      </c>
      <c r="B58" s="279" t="s">
        <v>259</v>
      </c>
      <c r="C58" s="279" t="s">
        <v>19</v>
      </c>
      <c r="D58" s="279" t="s">
        <v>20</v>
      </c>
      <c r="E58" s="279">
        <v>30</v>
      </c>
      <c r="F58" s="279">
        <v>6206</v>
      </c>
      <c r="G58" s="281">
        <v>9000</v>
      </c>
      <c r="H58" s="281">
        <v>8860</v>
      </c>
      <c r="I58" s="281">
        <v>140</v>
      </c>
      <c r="J58" s="282">
        <f t="shared" si="1"/>
        <v>1.5555555555555555E-2</v>
      </c>
      <c r="K58" s="279"/>
      <c r="L58" s="279"/>
      <c r="M58" s="279">
        <v>240</v>
      </c>
      <c r="N58" s="279"/>
      <c r="O58" s="279"/>
      <c r="P58" s="279"/>
      <c r="Q58" s="279"/>
      <c r="R58" s="279"/>
      <c r="S58" s="279"/>
      <c r="T58" s="279"/>
    </row>
    <row r="59" spans="1:20" ht="15" customHeight="1" x14ac:dyDescent="0.25">
      <c r="A59" s="280">
        <v>46309</v>
      </c>
      <c r="B59" s="279" t="s">
        <v>260</v>
      </c>
      <c r="C59" s="279" t="s">
        <v>19</v>
      </c>
      <c r="D59" s="279" t="s">
        <v>20</v>
      </c>
      <c r="E59" s="279">
        <v>30</v>
      </c>
      <c r="F59" s="279">
        <v>6206</v>
      </c>
      <c r="G59" s="281">
        <v>1000</v>
      </c>
      <c r="H59" s="281">
        <v>995</v>
      </c>
      <c r="I59" s="281">
        <v>5</v>
      </c>
      <c r="J59" s="282">
        <f t="shared" si="1"/>
        <v>5.0000000000000001E-3</v>
      </c>
      <c r="K59" s="279"/>
      <c r="L59" s="279"/>
      <c r="M59" s="279"/>
      <c r="N59" s="279"/>
      <c r="O59" s="279">
        <v>420</v>
      </c>
      <c r="P59" s="279"/>
      <c r="Q59" s="279"/>
      <c r="R59" s="279"/>
      <c r="S59" s="279"/>
      <c r="T59" s="279"/>
    </row>
    <row r="60" spans="1:20" ht="15" customHeight="1" x14ac:dyDescent="0.25">
      <c r="A60" s="280">
        <v>46309</v>
      </c>
      <c r="B60" s="279" t="s">
        <v>261</v>
      </c>
      <c r="C60" s="279" t="s">
        <v>135</v>
      </c>
      <c r="D60" s="279" t="s">
        <v>188</v>
      </c>
      <c r="E60" s="279" t="s">
        <v>143</v>
      </c>
      <c r="F60" s="279">
        <v>8001</v>
      </c>
      <c r="G60" s="281">
        <v>16045</v>
      </c>
      <c r="H60" s="281">
        <v>11845</v>
      </c>
      <c r="I60" s="281">
        <v>4200</v>
      </c>
      <c r="J60" s="282">
        <f t="shared" si="1"/>
        <v>0.2617637893424743</v>
      </c>
      <c r="K60" s="279">
        <v>60</v>
      </c>
      <c r="L60" s="279"/>
      <c r="M60" s="279"/>
      <c r="N60" s="279"/>
      <c r="O60" s="279"/>
      <c r="P60" s="279"/>
      <c r="Q60" s="279"/>
      <c r="R60" s="279"/>
      <c r="S60" s="279">
        <v>60</v>
      </c>
      <c r="T60" s="279"/>
    </row>
    <row r="61" spans="1:20" ht="15" customHeight="1" x14ac:dyDescent="0.25">
      <c r="A61" s="280">
        <v>46309</v>
      </c>
      <c r="B61" s="279" t="s">
        <v>262</v>
      </c>
      <c r="C61" s="279" t="s">
        <v>19</v>
      </c>
      <c r="D61" s="279" t="s">
        <v>20</v>
      </c>
      <c r="E61" s="279">
        <v>30</v>
      </c>
      <c r="F61" s="279">
        <v>6206</v>
      </c>
      <c r="G61" s="281">
        <v>16400</v>
      </c>
      <c r="H61" s="281">
        <v>16240</v>
      </c>
      <c r="I61" s="281">
        <v>160</v>
      </c>
      <c r="J61" s="282">
        <f t="shared" si="1"/>
        <v>9.7560975609756097E-3</v>
      </c>
      <c r="K61" s="279">
        <v>120</v>
      </c>
      <c r="L61" s="279"/>
      <c r="M61" s="279"/>
      <c r="N61" s="279"/>
      <c r="O61" s="279"/>
      <c r="P61" s="279"/>
      <c r="Q61" s="279"/>
      <c r="R61" s="279"/>
      <c r="S61" s="279"/>
      <c r="T61" s="279"/>
    </row>
    <row r="62" spans="1:20" ht="15" customHeight="1" x14ac:dyDescent="0.25">
      <c r="A62" s="280">
        <v>46309</v>
      </c>
      <c r="B62" s="279" t="s">
        <v>263</v>
      </c>
      <c r="C62" s="279" t="s">
        <v>19</v>
      </c>
      <c r="D62" s="279" t="s">
        <v>20</v>
      </c>
      <c r="E62" s="279">
        <v>30</v>
      </c>
      <c r="F62" s="279">
        <v>6206</v>
      </c>
      <c r="G62" s="281">
        <v>7520</v>
      </c>
      <c r="H62" s="281">
        <v>7280</v>
      </c>
      <c r="I62" s="281">
        <v>240</v>
      </c>
      <c r="J62" s="282">
        <f t="shared" si="1"/>
        <v>3.1914893617021274E-2</v>
      </c>
      <c r="K62" s="279"/>
      <c r="L62" s="279"/>
      <c r="M62" s="279">
        <v>300</v>
      </c>
      <c r="N62" s="279"/>
      <c r="O62" s="279"/>
      <c r="P62" s="279"/>
      <c r="Q62" s="279"/>
      <c r="R62" s="279"/>
      <c r="S62" s="279"/>
      <c r="T62" s="279"/>
    </row>
    <row r="63" spans="1:20" ht="15" customHeight="1" x14ac:dyDescent="0.25">
      <c r="A63" s="280">
        <v>46310</v>
      </c>
      <c r="B63" s="279" t="s">
        <v>265</v>
      </c>
      <c r="C63" s="279" t="s">
        <v>21</v>
      </c>
      <c r="D63" s="279" t="s">
        <v>22</v>
      </c>
      <c r="E63" s="279">
        <v>32</v>
      </c>
      <c r="F63" s="279">
        <v>6515</v>
      </c>
      <c r="G63" s="281">
        <v>12000</v>
      </c>
      <c r="H63" s="281">
        <v>11690</v>
      </c>
      <c r="I63" s="281">
        <v>310</v>
      </c>
      <c r="J63" s="282">
        <f t="shared" si="1"/>
        <v>2.5833333333333333E-2</v>
      </c>
      <c r="K63" s="279"/>
      <c r="L63" s="279"/>
      <c r="M63" s="279">
        <v>200</v>
      </c>
      <c r="N63" s="279"/>
      <c r="O63" s="279"/>
      <c r="P63" s="279"/>
      <c r="Q63" s="279"/>
      <c r="R63" s="279"/>
      <c r="S63" s="279"/>
      <c r="T63" s="279"/>
    </row>
    <row r="64" spans="1:20" ht="15" customHeight="1" x14ac:dyDescent="0.25">
      <c r="A64" s="280">
        <v>46310</v>
      </c>
      <c r="B64" s="279" t="s">
        <v>260</v>
      </c>
      <c r="C64" s="279" t="s">
        <v>21</v>
      </c>
      <c r="D64" s="279" t="s">
        <v>22</v>
      </c>
      <c r="E64" s="279">
        <v>32</v>
      </c>
      <c r="F64" s="279">
        <v>6515</v>
      </c>
      <c r="G64" s="281">
        <v>17000</v>
      </c>
      <c r="H64" s="281">
        <v>16990</v>
      </c>
      <c r="I64" s="281">
        <v>10</v>
      </c>
      <c r="J64" s="282">
        <f t="shared" si="1"/>
        <v>5.8823529411764701E-4</v>
      </c>
      <c r="K64" s="279"/>
      <c r="L64" s="279"/>
      <c r="M64" s="279"/>
      <c r="N64" s="279"/>
      <c r="O64" s="279">
        <v>120</v>
      </c>
      <c r="P64" s="279"/>
      <c r="Q64" s="279"/>
      <c r="R64" s="279"/>
      <c r="S64" s="279"/>
      <c r="T64" s="279"/>
    </row>
    <row r="65" spans="1:20" ht="15" customHeight="1" x14ac:dyDescent="0.25">
      <c r="A65" s="280">
        <v>46310</v>
      </c>
      <c r="B65" s="279" t="s">
        <v>261</v>
      </c>
      <c r="C65" s="279" t="s">
        <v>135</v>
      </c>
      <c r="D65" s="279" t="s">
        <v>188</v>
      </c>
      <c r="E65" s="279" t="s">
        <v>143</v>
      </c>
      <c r="F65" s="279">
        <v>8001</v>
      </c>
      <c r="G65" s="281">
        <v>9445</v>
      </c>
      <c r="H65" s="281">
        <v>4945</v>
      </c>
      <c r="I65" s="281">
        <v>4500</v>
      </c>
      <c r="J65" s="282">
        <f t="shared" si="1"/>
        <v>0.47644256220222342</v>
      </c>
      <c r="K65" s="279"/>
      <c r="L65" s="279"/>
      <c r="M65" s="279"/>
      <c r="N65" s="279"/>
      <c r="O65" s="279"/>
      <c r="P65" s="279"/>
      <c r="Q65" s="279"/>
      <c r="R65" s="279"/>
      <c r="S65" s="279">
        <v>420</v>
      </c>
      <c r="T65" s="279"/>
    </row>
    <row r="66" spans="1:20" ht="15" customHeight="1" x14ac:dyDescent="0.25">
      <c r="A66" s="280">
        <v>46310</v>
      </c>
      <c r="B66" s="279" t="s">
        <v>264</v>
      </c>
      <c r="C66" s="279" t="s">
        <v>21</v>
      </c>
      <c r="D66" s="279" t="s">
        <v>22</v>
      </c>
      <c r="E66" s="279">
        <v>32</v>
      </c>
      <c r="F66" s="279">
        <v>6515</v>
      </c>
      <c r="G66" s="281">
        <v>9000</v>
      </c>
      <c r="H66" s="281">
        <v>8700</v>
      </c>
      <c r="I66" s="281">
        <v>300</v>
      </c>
      <c r="J66" s="282">
        <f t="shared" si="1"/>
        <v>3.3333333333333333E-2</v>
      </c>
      <c r="K66" s="279">
        <v>260</v>
      </c>
      <c r="L66" s="279"/>
      <c r="M66" s="279"/>
      <c r="N66" s="279"/>
      <c r="O66" s="279"/>
      <c r="P66" s="279"/>
      <c r="Q66" s="279"/>
      <c r="R66" s="279"/>
      <c r="S66" s="279"/>
      <c r="T66" s="279"/>
    </row>
    <row r="67" spans="1:20" ht="15" customHeight="1" x14ac:dyDescent="0.25">
      <c r="A67" s="280">
        <v>46310</v>
      </c>
      <c r="B67" s="279" t="s">
        <v>263</v>
      </c>
      <c r="C67" s="279" t="s">
        <v>21</v>
      </c>
      <c r="D67" s="279" t="s">
        <v>22</v>
      </c>
      <c r="E67" s="279">
        <v>32</v>
      </c>
      <c r="F67" s="279">
        <v>6515</v>
      </c>
      <c r="G67" s="281">
        <v>14288</v>
      </c>
      <c r="H67" s="281">
        <v>13328</v>
      </c>
      <c r="I67" s="281">
        <v>960</v>
      </c>
      <c r="J67" s="282">
        <f t="shared" ref="J67:J98" si="2">IFERROR(I67/(H67+I67),"")</f>
        <v>6.7189249720044794E-2</v>
      </c>
      <c r="K67" s="279"/>
      <c r="L67" s="279"/>
      <c r="M67" s="279">
        <v>210</v>
      </c>
      <c r="N67" s="279"/>
      <c r="O67" s="279"/>
      <c r="P67" s="279"/>
      <c r="Q67" s="279"/>
      <c r="R67" s="279"/>
      <c r="S67" s="279"/>
      <c r="T67" s="279"/>
    </row>
    <row r="68" spans="1:20" ht="15" customHeight="1" x14ac:dyDescent="0.25">
      <c r="A68" s="280">
        <v>46311</v>
      </c>
      <c r="B68" s="279" t="s">
        <v>265</v>
      </c>
      <c r="C68" s="279" t="s">
        <v>21</v>
      </c>
      <c r="D68" s="279" t="s">
        <v>22</v>
      </c>
      <c r="E68" s="279">
        <v>32</v>
      </c>
      <c r="F68" s="279">
        <v>6515</v>
      </c>
      <c r="G68" s="281">
        <v>14000</v>
      </c>
      <c r="H68" s="281">
        <v>13720</v>
      </c>
      <c r="I68" s="281">
        <v>280</v>
      </c>
      <c r="J68" s="282">
        <f t="shared" si="2"/>
        <v>0.02</v>
      </c>
      <c r="K68" s="279"/>
      <c r="L68" s="279"/>
      <c r="M68" s="279">
        <v>120</v>
      </c>
      <c r="N68" s="279"/>
      <c r="O68" s="279"/>
      <c r="P68" s="279"/>
      <c r="Q68" s="279"/>
      <c r="R68" s="279"/>
      <c r="S68" s="279"/>
      <c r="T68" s="279"/>
    </row>
    <row r="69" spans="1:20" ht="15" customHeight="1" x14ac:dyDescent="0.25">
      <c r="A69" s="280">
        <v>46311</v>
      </c>
      <c r="B69" s="279" t="s">
        <v>260</v>
      </c>
      <c r="C69" s="279" t="s">
        <v>21</v>
      </c>
      <c r="D69" s="279" t="s">
        <v>22</v>
      </c>
      <c r="E69" s="279">
        <v>32</v>
      </c>
      <c r="F69" s="279">
        <v>6515</v>
      </c>
      <c r="G69" s="281">
        <v>5000</v>
      </c>
      <c r="H69" s="281">
        <v>4995</v>
      </c>
      <c r="I69" s="281">
        <v>5</v>
      </c>
      <c r="J69" s="282">
        <f t="shared" si="2"/>
        <v>1E-3</v>
      </c>
      <c r="K69" s="279"/>
      <c r="L69" s="279"/>
      <c r="M69" s="279"/>
      <c r="N69" s="279"/>
      <c r="O69" s="279">
        <v>360</v>
      </c>
      <c r="P69" s="279"/>
      <c r="Q69" s="279"/>
      <c r="R69" s="279"/>
      <c r="S69" s="279"/>
      <c r="T69" s="279"/>
    </row>
    <row r="70" spans="1:20" ht="15" customHeight="1" x14ac:dyDescent="0.25">
      <c r="A70" s="280">
        <v>46311</v>
      </c>
      <c r="B70" s="279" t="s">
        <v>261</v>
      </c>
      <c r="C70" s="279" t="s">
        <v>135</v>
      </c>
      <c r="D70" s="279" t="s">
        <v>188</v>
      </c>
      <c r="E70" s="279" t="s">
        <v>143</v>
      </c>
      <c r="F70" s="279">
        <v>8001</v>
      </c>
      <c r="G70" s="281">
        <v>10460</v>
      </c>
      <c r="H70" s="281">
        <v>8165</v>
      </c>
      <c r="I70" s="281">
        <v>2295</v>
      </c>
      <c r="J70" s="282">
        <f t="shared" si="2"/>
        <v>0.21940726577437858</v>
      </c>
      <c r="K70" s="279"/>
      <c r="L70" s="279"/>
      <c r="M70" s="279"/>
      <c r="N70" s="279"/>
      <c r="O70" s="279"/>
      <c r="P70" s="279"/>
      <c r="Q70" s="279"/>
      <c r="R70" s="279"/>
      <c r="S70" s="279">
        <v>180</v>
      </c>
      <c r="T70" s="279"/>
    </row>
    <row r="71" spans="1:20" ht="15" customHeight="1" x14ac:dyDescent="0.25">
      <c r="A71" s="280">
        <v>46311</v>
      </c>
      <c r="B71" s="279" t="s">
        <v>264</v>
      </c>
      <c r="C71" s="279" t="s">
        <v>21</v>
      </c>
      <c r="D71" s="279" t="s">
        <v>22</v>
      </c>
      <c r="E71" s="279">
        <v>32</v>
      </c>
      <c r="F71" s="279">
        <v>6515</v>
      </c>
      <c r="G71" s="281">
        <v>17000</v>
      </c>
      <c r="H71" s="281">
        <v>16850</v>
      </c>
      <c r="I71" s="281">
        <v>150</v>
      </c>
      <c r="J71" s="282">
        <f t="shared" si="2"/>
        <v>8.8235294117647058E-3</v>
      </c>
      <c r="K71" s="279">
        <v>80</v>
      </c>
      <c r="L71" s="279"/>
      <c r="M71" s="279"/>
      <c r="N71" s="279"/>
      <c r="O71" s="279"/>
      <c r="P71" s="279"/>
      <c r="Q71" s="279"/>
      <c r="R71" s="279"/>
      <c r="S71" s="279"/>
      <c r="T71" s="279"/>
    </row>
    <row r="72" spans="1:20" ht="15" customHeight="1" x14ac:dyDescent="0.25">
      <c r="A72" s="280">
        <v>46311</v>
      </c>
      <c r="B72" s="279" t="s">
        <v>263</v>
      </c>
      <c r="C72" s="279" t="s">
        <v>21</v>
      </c>
      <c r="D72" s="279" t="s">
        <v>22</v>
      </c>
      <c r="E72" s="279">
        <v>32</v>
      </c>
      <c r="F72" s="279">
        <v>6515</v>
      </c>
      <c r="G72" s="281">
        <v>7297</v>
      </c>
      <c r="H72" s="281">
        <v>7072</v>
      </c>
      <c r="I72" s="281">
        <v>225</v>
      </c>
      <c r="J72" s="282">
        <f t="shared" si="2"/>
        <v>3.0834589557352337E-2</v>
      </c>
      <c r="K72" s="279"/>
      <c r="L72" s="279"/>
      <c r="M72" s="279">
        <v>300</v>
      </c>
      <c r="N72" s="279"/>
      <c r="O72" s="279"/>
      <c r="P72" s="279"/>
      <c r="Q72" s="279"/>
      <c r="R72" s="279"/>
      <c r="S72" s="279"/>
      <c r="T72" s="279"/>
    </row>
    <row r="73" spans="1:20" ht="15" customHeight="1" x14ac:dyDescent="0.25">
      <c r="A73" s="280">
        <v>46312</v>
      </c>
      <c r="B73" s="279" t="s">
        <v>265</v>
      </c>
      <c r="C73" s="279" t="s">
        <v>21</v>
      </c>
      <c r="D73" s="279" t="s">
        <v>22</v>
      </c>
      <c r="E73" s="279">
        <v>32</v>
      </c>
      <c r="F73" s="279">
        <v>6515</v>
      </c>
      <c r="G73" s="281">
        <v>12000</v>
      </c>
      <c r="H73" s="281">
        <v>11740</v>
      </c>
      <c r="I73" s="281">
        <v>260</v>
      </c>
      <c r="J73" s="282">
        <f t="shared" si="2"/>
        <v>2.1666666666666667E-2</v>
      </c>
      <c r="K73" s="279"/>
      <c r="L73" s="279"/>
      <c r="M73" s="279">
        <v>200</v>
      </c>
      <c r="N73" s="279"/>
      <c r="O73" s="279"/>
      <c r="P73" s="279"/>
      <c r="Q73" s="279"/>
      <c r="R73" s="279"/>
      <c r="S73" s="279"/>
      <c r="T73" s="279"/>
    </row>
    <row r="74" spans="1:20" ht="15" customHeight="1" x14ac:dyDescent="0.25">
      <c r="A74" s="280">
        <v>46312</v>
      </c>
      <c r="B74" s="279" t="s">
        <v>260</v>
      </c>
      <c r="C74" s="279" t="s">
        <v>21</v>
      </c>
      <c r="D74" s="279" t="s">
        <v>22</v>
      </c>
      <c r="E74" s="279">
        <v>32</v>
      </c>
      <c r="F74" s="279">
        <v>6515</v>
      </c>
      <c r="G74" s="281">
        <v>12060</v>
      </c>
      <c r="H74" s="281">
        <v>12050</v>
      </c>
      <c r="I74" s="281">
        <v>10</v>
      </c>
      <c r="J74" s="282">
        <f t="shared" si="2"/>
        <v>8.2918739635157548E-4</v>
      </c>
      <c r="K74" s="279"/>
      <c r="L74" s="279"/>
      <c r="M74" s="279"/>
      <c r="N74" s="279"/>
      <c r="O74" s="279">
        <v>240</v>
      </c>
      <c r="P74" s="279"/>
      <c r="Q74" s="279"/>
      <c r="R74" s="279"/>
      <c r="S74" s="279"/>
      <c r="T74" s="279"/>
    </row>
    <row r="75" spans="1:20" ht="15" customHeight="1" x14ac:dyDescent="0.25">
      <c r="A75" s="280">
        <v>46312</v>
      </c>
      <c r="B75" s="279" t="s">
        <v>261</v>
      </c>
      <c r="C75" s="279" t="s">
        <v>135</v>
      </c>
      <c r="D75" s="279" t="s">
        <v>188</v>
      </c>
      <c r="E75" s="279" t="s">
        <v>143</v>
      </c>
      <c r="F75" s="279">
        <v>8001</v>
      </c>
      <c r="G75" s="281">
        <v>17975</v>
      </c>
      <c r="H75" s="281">
        <v>15525</v>
      </c>
      <c r="I75" s="281">
        <v>2450</v>
      </c>
      <c r="J75" s="282">
        <f t="shared" si="2"/>
        <v>0.13630041724617525</v>
      </c>
      <c r="K75" s="279"/>
      <c r="L75" s="279"/>
      <c r="M75" s="279"/>
      <c r="N75" s="279"/>
      <c r="O75" s="279"/>
      <c r="P75" s="279"/>
      <c r="Q75" s="279"/>
      <c r="R75" s="279"/>
      <c r="S75" s="279">
        <v>360</v>
      </c>
      <c r="T75" s="279"/>
    </row>
    <row r="76" spans="1:20" ht="15" customHeight="1" x14ac:dyDescent="0.25">
      <c r="A76" s="280">
        <v>46312</v>
      </c>
      <c r="B76" s="279" t="s">
        <v>264</v>
      </c>
      <c r="C76" s="279" t="s">
        <v>21</v>
      </c>
      <c r="D76" s="279" t="s">
        <v>22</v>
      </c>
      <c r="E76" s="279">
        <v>32</v>
      </c>
      <c r="F76" s="279">
        <v>6515</v>
      </c>
      <c r="G76" s="281">
        <v>9500</v>
      </c>
      <c r="H76" s="281">
        <v>9405</v>
      </c>
      <c r="I76" s="281">
        <v>95</v>
      </c>
      <c r="J76" s="282">
        <f t="shared" si="2"/>
        <v>0.01</v>
      </c>
      <c r="K76" s="279"/>
      <c r="L76" s="279"/>
      <c r="M76" s="279"/>
      <c r="N76" s="279">
        <v>120</v>
      </c>
      <c r="O76" s="279"/>
      <c r="P76" s="279"/>
      <c r="Q76" s="279"/>
      <c r="R76" s="279"/>
      <c r="S76" s="279"/>
      <c r="T76" s="279"/>
    </row>
    <row r="77" spans="1:20" ht="15" customHeight="1" x14ac:dyDescent="0.25">
      <c r="A77" s="280">
        <v>46312</v>
      </c>
      <c r="B77" s="279" t="s">
        <v>262</v>
      </c>
      <c r="C77" s="279" t="s">
        <v>19</v>
      </c>
      <c r="D77" s="279" t="s">
        <v>20</v>
      </c>
      <c r="E77" s="279">
        <v>30</v>
      </c>
      <c r="F77" s="279">
        <v>6206</v>
      </c>
      <c r="G77" s="281">
        <v>8600</v>
      </c>
      <c r="H77" s="281">
        <v>8500</v>
      </c>
      <c r="I77" s="281">
        <v>100</v>
      </c>
      <c r="J77" s="282">
        <f t="shared" si="2"/>
        <v>1.1627906976744186E-2</v>
      </c>
      <c r="K77" s="279"/>
      <c r="L77" s="279"/>
      <c r="M77" s="279"/>
      <c r="N77" s="279"/>
      <c r="O77" s="279"/>
      <c r="P77" s="279"/>
      <c r="Q77" s="279"/>
      <c r="R77" s="279"/>
      <c r="S77" s="279"/>
      <c r="T77" s="279"/>
    </row>
    <row r="78" spans="1:20" ht="15" customHeight="1" x14ac:dyDescent="0.25">
      <c r="A78" s="280">
        <v>46312</v>
      </c>
      <c r="B78" s="279" t="s">
        <v>266</v>
      </c>
      <c r="C78" s="279" t="s">
        <v>13</v>
      </c>
      <c r="D78" s="279" t="s">
        <v>14</v>
      </c>
      <c r="E78" s="279">
        <v>25</v>
      </c>
      <c r="F78" s="279">
        <v>6470</v>
      </c>
      <c r="G78" s="281">
        <v>9900</v>
      </c>
      <c r="H78" s="281">
        <v>9820</v>
      </c>
      <c r="I78" s="281">
        <v>80</v>
      </c>
      <c r="J78" s="282">
        <f t="shared" si="2"/>
        <v>8.0808080808080808E-3</v>
      </c>
      <c r="K78" s="279"/>
      <c r="L78" s="279"/>
      <c r="M78" s="279"/>
      <c r="N78" s="279"/>
      <c r="O78" s="279"/>
      <c r="P78" s="279"/>
      <c r="Q78" s="279"/>
      <c r="R78" s="279"/>
      <c r="S78" s="279"/>
      <c r="T78" s="279"/>
    </row>
    <row r="79" spans="1:20" ht="15" customHeight="1" x14ac:dyDescent="0.25">
      <c r="A79" s="280">
        <v>46312</v>
      </c>
      <c r="B79" s="279" t="s">
        <v>263</v>
      </c>
      <c r="C79" s="279" t="s">
        <v>21</v>
      </c>
      <c r="D79" s="279" t="s">
        <v>22</v>
      </c>
      <c r="E79" s="279">
        <v>32</v>
      </c>
      <c r="F79" s="279">
        <v>6515</v>
      </c>
      <c r="G79" s="281">
        <v>23683</v>
      </c>
      <c r="H79" s="281">
        <v>23088</v>
      </c>
      <c r="I79" s="281">
        <v>595</v>
      </c>
      <c r="J79" s="282">
        <f t="shared" si="2"/>
        <v>2.5123506312544862E-2</v>
      </c>
      <c r="K79" s="279"/>
      <c r="L79" s="279"/>
      <c r="M79" s="279"/>
      <c r="N79" s="279"/>
      <c r="O79" s="279"/>
      <c r="P79" s="279"/>
      <c r="Q79" s="279"/>
      <c r="R79" s="279"/>
      <c r="S79" s="279"/>
      <c r="T79" s="279"/>
    </row>
    <row r="80" spans="1:20" ht="15" customHeight="1" x14ac:dyDescent="0.25">
      <c r="A80" s="280">
        <v>46314</v>
      </c>
      <c r="B80" s="279" t="s">
        <v>259</v>
      </c>
      <c r="C80" s="279" t="s">
        <v>19</v>
      </c>
      <c r="D80" s="279" t="s">
        <v>20</v>
      </c>
      <c r="E80" s="279">
        <v>30</v>
      </c>
      <c r="F80" s="279">
        <v>6206</v>
      </c>
      <c r="G80" s="281">
        <v>25000</v>
      </c>
      <c r="H80" s="281">
        <v>24590</v>
      </c>
      <c r="I80" s="281">
        <v>410</v>
      </c>
      <c r="J80" s="282">
        <f t="shared" si="2"/>
        <v>1.6400000000000001E-2</v>
      </c>
      <c r="K80" s="279"/>
      <c r="L80" s="279"/>
      <c r="M80" s="279"/>
      <c r="N80" s="279"/>
      <c r="O80" s="279"/>
      <c r="P80" s="279"/>
      <c r="Q80" s="279"/>
      <c r="R80" s="279"/>
      <c r="S80" s="279"/>
      <c r="T80" s="279"/>
    </row>
    <row r="81" spans="1:20" ht="15" customHeight="1" x14ac:dyDescent="0.25">
      <c r="A81" s="280">
        <v>46314</v>
      </c>
      <c r="B81" s="279" t="s">
        <v>260</v>
      </c>
      <c r="C81" s="279" t="s">
        <v>19</v>
      </c>
      <c r="D81" s="279" t="s">
        <v>20</v>
      </c>
      <c r="E81" s="279">
        <v>30</v>
      </c>
      <c r="F81" s="279">
        <v>6206</v>
      </c>
      <c r="G81" s="281">
        <v>17000</v>
      </c>
      <c r="H81" s="281">
        <v>16990</v>
      </c>
      <c r="I81" s="281">
        <v>10</v>
      </c>
      <c r="J81" s="282">
        <f t="shared" si="2"/>
        <v>5.8823529411764701E-4</v>
      </c>
      <c r="K81" s="279"/>
      <c r="L81" s="279"/>
      <c r="M81" s="279"/>
      <c r="N81" s="279"/>
      <c r="O81" s="279">
        <v>60</v>
      </c>
      <c r="P81" s="279"/>
      <c r="Q81" s="279"/>
      <c r="R81" s="279"/>
      <c r="S81" s="279"/>
      <c r="T81" s="279"/>
    </row>
    <row r="82" spans="1:20" ht="15" customHeight="1" x14ac:dyDescent="0.25">
      <c r="A82" s="280">
        <v>46314</v>
      </c>
      <c r="B82" s="279" t="s">
        <v>261</v>
      </c>
      <c r="C82" s="279" t="s">
        <v>135</v>
      </c>
      <c r="D82" s="279" t="s">
        <v>188</v>
      </c>
      <c r="E82" s="279" t="s">
        <v>143</v>
      </c>
      <c r="F82" s="279">
        <v>8001</v>
      </c>
      <c r="G82" s="281">
        <v>15350</v>
      </c>
      <c r="H82" s="281">
        <v>14630</v>
      </c>
      <c r="I82" s="281">
        <v>720</v>
      </c>
      <c r="J82" s="282">
        <f t="shared" si="2"/>
        <v>4.6905537459283386E-2</v>
      </c>
      <c r="K82" s="279"/>
      <c r="L82" s="279"/>
      <c r="M82" s="279"/>
      <c r="N82" s="279"/>
      <c r="O82" s="279"/>
      <c r="P82" s="279"/>
      <c r="Q82" s="279"/>
      <c r="R82" s="279"/>
      <c r="S82" s="279"/>
      <c r="T82" s="279"/>
    </row>
    <row r="83" spans="1:20" ht="15" customHeight="1" x14ac:dyDescent="0.25">
      <c r="A83" s="280">
        <v>46314</v>
      </c>
      <c r="B83" s="279" t="s">
        <v>262</v>
      </c>
      <c r="C83" s="279" t="s">
        <v>19</v>
      </c>
      <c r="D83" s="279" t="s">
        <v>20</v>
      </c>
      <c r="E83" s="279">
        <v>30</v>
      </c>
      <c r="F83" s="279">
        <v>6206</v>
      </c>
      <c r="G83" s="281">
        <v>28000</v>
      </c>
      <c r="H83" s="281">
        <v>27815</v>
      </c>
      <c r="I83" s="281">
        <v>185</v>
      </c>
      <c r="J83" s="282">
        <f t="shared" si="2"/>
        <v>6.6071428571428574E-3</v>
      </c>
      <c r="K83" s="279"/>
      <c r="L83" s="279"/>
      <c r="M83" s="279"/>
      <c r="N83" s="279"/>
      <c r="O83" s="279"/>
      <c r="P83" s="279"/>
      <c r="Q83" s="279"/>
      <c r="R83" s="279"/>
      <c r="S83" s="279"/>
      <c r="T83" s="279"/>
    </row>
    <row r="84" spans="1:20" ht="15" customHeight="1" x14ac:dyDescent="0.25">
      <c r="A84" s="280">
        <v>46314</v>
      </c>
      <c r="B84" s="279" t="s">
        <v>263</v>
      </c>
      <c r="C84" s="279" t="s">
        <v>19</v>
      </c>
      <c r="D84" s="279" t="s">
        <v>20</v>
      </c>
      <c r="E84" s="279">
        <v>30</v>
      </c>
      <c r="F84" s="279">
        <v>6206</v>
      </c>
      <c r="G84" s="281">
        <v>23636</v>
      </c>
      <c r="H84" s="281">
        <v>23086</v>
      </c>
      <c r="I84" s="281">
        <v>550</v>
      </c>
      <c r="J84" s="282">
        <f t="shared" si="2"/>
        <v>2.3269588762904046E-2</v>
      </c>
      <c r="K84" s="279"/>
      <c r="L84" s="279"/>
      <c r="M84" s="279"/>
      <c r="N84" s="279"/>
      <c r="O84" s="279"/>
      <c r="P84" s="279"/>
      <c r="Q84" s="279"/>
      <c r="R84" s="279"/>
      <c r="S84" s="279"/>
      <c r="T84" s="279"/>
    </row>
    <row r="85" spans="1:20" ht="15" customHeight="1" x14ac:dyDescent="0.25">
      <c r="A85" s="280">
        <v>46315</v>
      </c>
      <c r="B85" s="279" t="s">
        <v>259</v>
      </c>
      <c r="C85" s="279" t="s">
        <v>19</v>
      </c>
      <c r="D85" s="279" t="s">
        <v>20</v>
      </c>
      <c r="E85" s="279">
        <v>30</v>
      </c>
      <c r="F85" s="279">
        <v>6206</v>
      </c>
      <c r="G85" s="281">
        <v>27000</v>
      </c>
      <c r="H85" s="281">
        <v>26535</v>
      </c>
      <c r="I85" s="281">
        <v>465</v>
      </c>
      <c r="J85" s="282">
        <f t="shared" si="2"/>
        <v>1.7222222222222222E-2</v>
      </c>
      <c r="K85" s="279"/>
      <c r="L85" s="279"/>
      <c r="M85" s="279"/>
      <c r="N85" s="279"/>
      <c r="O85" s="279"/>
      <c r="P85" s="279"/>
      <c r="Q85" s="279"/>
      <c r="R85" s="279"/>
      <c r="S85" s="279"/>
      <c r="T85" s="279"/>
    </row>
    <row r="86" spans="1:20" ht="15" customHeight="1" x14ac:dyDescent="0.25">
      <c r="A86" s="280">
        <v>46315</v>
      </c>
      <c r="B86" s="279" t="s">
        <v>260</v>
      </c>
      <c r="C86" s="279" t="s">
        <v>19</v>
      </c>
      <c r="D86" s="279" t="s">
        <v>20</v>
      </c>
      <c r="E86" s="279">
        <v>30</v>
      </c>
      <c r="F86" s="279">
        <v>6206</v>
      </c>
      <c r="G86" s="281">
        <v>24038</v>
      </c>
      <c r="H86" s="281">
        <v>24028</v>
      </c>
      <c r="I86" s="281">
        <v>10</v>
      </c>
      <c r="J86" s="282">
        <f t="shared" si="2"/>
        <v>4.160079873533572E-4</v>
      </c>
      <c r="K86" s="279"/>
      <c r="L86" s="279"/>
      <c r="M86" s="279"/>
      <c r="N86" s="279"/>
      <c r="O86" s="279"/>
      <c r="P86" s="279"/>
      <c r="Q86" s="279"/>
      <c r="R86" s="279"/>
      <c r="S86" s="279"/>
      <c r="T86" s="279"/>
    </row>
    <row r="87" spans="1:20" ht="15" customHeight="1" x14ac:dyDescent="0.25">
      <c r="A87" s="280">
        <v>46315</v>
      </c>
      <c r="B87" s="279" t="s">
        <v>261</v>
      </c>
      <c r="C87" s="279" t="s">
        <v>135</v>
      </c>
      <c r="D87" s="279" t="s">
        <v>188</v>
      </c>
      <c r="E87" s="279" t="s">
        <v>143</v>
      </c>
      <c r="F87" s="279">
        <v>8001</v>
      </c>
      <c r="G87" s="281">
        <v>6580</v>
      </c>
      <c r="H87" s="281">
        <v>5980</v>
      </c>
      <c r="I87" s="281">
        <v>600</v>
      </c>
      <c r="J87" s="282">
        <f t="shared" si="2"/>
        <v>9.1185410334346503E-2</v>
      </c>
      <c r="K87" s="279"/>
      <c r="L87" s="279"/>
      <c r="M87" s="279">
        <v>420</v>
      </c>
      <c r="N87" s="279"/>
      <c r="O87" s="279"/>
      <c r="P87" s="279"/>
      <c r="Q87" s="279"/>
      <c r="R87" s="279"/>
      <c r="S87" s="279"/>
      <c r="T87" s="279"/>
    </row>
    <row r="88" spans="1:20" ht="15" customHeight="1" x14ac:dyDescent="0.25">
      <c r="A88" s="280">
        <v>46315</v>
      </c>
      <c r="B88" s="279" t="s">
        <v>262</v>
      </c>
      <c r="C88" s="279" t="s">
        <v>19</v>
      </c>
      <c r="D88" s="279" t="s">
        <v>20</v>
      </c>
      <c r="E88" s="279">
        <v>30</v>
      </c>
      <c r="F88" s="279">
        <v>6206</v>
      </c>
      <c r="G88" s="281">
        <v>25000</v>
      </c>
      <c r="H88" s="281">
        <v>24790</v>
      </c>
      <c r="I88" s="281">
        <v>210</v>
      </c>
      <c r="J88" s="282">
        <f t="shared" si="2"/>
        <v>8.3999999999999995E-3</v>
      </c>
      <c r="K88" s="279"/>
      <c r="L88" s="279"/>
      <c r="M88" s="279"/>
      <c r="N88" s="279"/>
      <c r="O88" s="279"/>
      <c r="P88" s="279"/>
      <c r="Q88" s="279"/>
      <c r="R88" s="279"/>
      <c r="S88" s="279"/>
      <c r="T88" s="279"/>
    </row>
    <row r="89" spans="1:20" ht="15" customHeight="1" x14ac:dyDescent="0.25">
      <c r="A89" s="280">
        <v>46315</v>
      </c>
      <c r="B89" s="279" t="s">
        <v>263</v>
      </c>
      <c r="C89" s="279" t="s">
        <v>19</v>
      </c>
      <c r="D89" s="279" t="s">
        <v>20</v>
      </c>
      <c r="E89" s="279">
        <v>30</v>
      </c>
      <c r="F89" s="279">
        <v>6206</v>
      </c>
      <c r="G89" s="281">
        <v>23606</v>
      </c>
      <c r="H89" s="281">
        <v>23086</v>
      </c>
      <c r="I89" s="281">
        <v>520</v>
      </c>
      <c r="J89" s="282">
        <f t="shared" si="2"/>
        <v>2.2028297890366855E-2</v>
      </c>
      <c r="K89" s="279"/>
      <c r="L89" s="279"/>
      <c r="M89" s="279"/>
      <c r="N89" s="279"/>
      <c r="O89" s="279"/>
      <c r="P89" s="279"/>
      <c r="Q89" s="279"/>
      <c r="R89" s="279"/>
      <c r="S89" s="279"/>
      <c r="T89" s="279"/>
    </row>
    <row r="90" spans="1:20" ht="15" customHeight="1" x14ac:dyDescent="0.25"/>
    <row r="91" spans="1:20" ht="15" customHeight="1" x14ac:dyDescent="0.25"/>
    <row r="92" spans="1:20" ht="15" customHeight="1" x14ac:dyDescent="0.25"/>
    <row r="93" spans="1:20" ht="15" customHeight="1" x14ac:dyDescent="0.25"/>
    <row r="94" spans="1:20" ht="15" customHeight="1" x14ac:dyDescent="0.25"/>
    <row r="95" spans="1:20" ht="15" customHeight="1" x14ac:dyDescent="0.25"/>
    <row r="96" spans="1:20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</sheetData>
  <autoFilter ref="A2:R14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6"/>
  <sheetViews>
    <sheetView zoomScaleNormal="100" workbookViewId="0">
      <pane ySplit="2" topLeftCell="A25" activePane="bottomLeft" state="frozen"/>
      <selection activeCell="C1" sqref="C1"/>
      <selection pane="bottomLeft" activeCell="D6" sqref="D6"/>
    </sheetView>
  </sheetViews>
  <sheetFormatPr defaultColWidth="8.7109375" defaultRowHeight="15" x14ac:dyDescent="0.25"/>
  <cols>
    <col min="1" max="1" width="12" customWidth="1"/>
    <col min="2" max="2" width="10" customWidth="1"/>
    <col min="3" max="3" width="36" style="3" customWidth="1"/>
    <col min="4" max="4" width="42" style="3" customWidth="1"/>
    <col min="5" max="5" width="10" customWidth="1"/>
    <col min="6" max="6" width="18" customWidth="1"/>
    <col min="7" max="7" width="10" customWidth="1"/>
    <col min="8" max="8" width="36" style="3" customWidth="1"/>
    <col min="9" max="9" width="8" customWidth="1"/>
    <col min="10" max="10" width="16" style="34" customWidth="1"/>
    <col min="11" max="11" width="18" style="3" customWidth="1"/>
    <col min="12" max="12" width="10" style="35" customWidth="1"/>
    <col min="13" max="13" width="45" style="36" customWidth="1"/>
  </cols>
  <sheetData>
    <row r="1" spans="1:17" ht="32.1" customHeight="1" x14ac:dyDescent="0.25">
      <c r="A1" s="356" t="s">
        <v>267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7"/>
      <c r="N1" s="2"/>
      <c r="O1" s="2"/>
    </row>
    <row r="2" spans="1:17" s="38" customFormat="1" ht="26.1" customHeight="1" x14ac:dyDescent="0.2">
      <c r="A2" s="180" t="s">
        <v>5</v>
      </c>
      <c r="B2" s="180" t="s">
        <v>268</v>
      </c>
      <c r="C2" s="180" t="s">
        <v>3</v>
      </c>
      <c r="D2" s="180" t="s">
        <v>4</v>
      </c>
      <c r="E2" s="180" t="s">
        <v>2</v>
      </c>
      <c r="F2" s="180" t="s">
        <v>269</v>
      </c>
      <c r="G2" s="180" t="s">
        <v>25</v>
      </c>
      <c r="H2" s="180" t="s">
        <v>27</v>
      </c>
      <c r="I2" s="180" t="s">
        <v>28</v>
      </c>
      <c r="J2" s="180" t="s">
        <v>270</v>
      </c>
      <c r="K2" s="180" t="s">
        <v>271</v>
      </c>
      <c r="L2" s="180" t="s">
        <v>272</v>
      </c>
      <c r="M2" s="180" t="s">
        <v>273</v>
      </c>
      <c r="N2" s="37"/>
      <c r="O2" s="37"/>
    </row>
    <row r="3" spans="1:17" ht="20.100000000000001" customHeight="1" x14ac:dyDescent="0.25">
      <c r="A3" s="181">
        <v>9004</v>
      </c>
      <c r="B3" s="181"/>
      <c r="C3" s="182" t="s">
        <v>274</v>
      </c>
      <c r="D3" s="182" t="s">
        <v>190</v>
      </c>
      <c r="E3" s="181">
        <v>13.5</v>
      </c>
      <c r="F3" s="182" t="s">
        <v>34</v>
      </c>
      <c r="G3" s="181">
        <v>31</v>
      </c>
      <c r="H3" s="182" t="s">
        <v>37</v>
      </c>
      <c r="I3" s="181" t="s">
        <v>36</v>
      </c>
      <c r="J3" s="183">
        <v>1.623</v>
      </c>
      <c r="K3" s="182" t="s">
        <v>275</v>
      </c>
      <c r="L3" s="184">
        <v>0.1</v>
      </c>
      <c r="M3" s="182" t="s">
        <v>276</v>
      </c>
      <c r="N3" s="41"/>
      <c r="O3" s="41"/>
      <c r="P3" s="41"/>
      <c r="Q3" s="42"/>
    </row>
    <row r="4" spans="1:17" ht="20.100000000000001" customHeight="1" x14ac:dyDescent="0.25">
      <c r="A4" s="181">
        <v>6561</v>
      </c>
      <c r="B4" s="181">
        <v>190</v>
      </c>
      <c r="C4" s="182" t="s">
        <v>191</v>
      </c>
      <c r="D4" s="182" t="s">
        <v>192</v>
      </c>
      <c r="E4" s="181">
        <v>16</v>
      </c>
      <c r="F4" s="182" t="s">
        <v>34</v>
      </c>
      <c r="G4" s="181">
        <v>2799</v>
      </c>
      <c r="H4" s="182" t="s">
        <v>38</v>
      </c>
      <c r="I4" s="181" t="s">
        <v>36</v>
      </c>
      <c r="J4" s="183">
        <v>2.5188899999999999</v>
      </c>
      <c r="K4" s="182" t="s">
        <v>275</v>
      </c>
      <c r="L4" s="184">
        <v>0.1</v>
      </c>
      <c r="M4" s="182"/>
      <c r="N4" s="41"/>
      <c r="O4" s="41"/>
      <c r="P4" s="41"/>
      <c r="Q4" s="42"/>
    </row>
    <row r="5" spans="1:17" ht="20.100000000000001" customHeight="1" x14ac:dyDescent="0.25">
      <c r="A5" s="185">
        <v>6561</v>
      </c>
      <c r="B5" s="185">
        <v>190</v>
      </c>
      <c r="C5" s="186" t="s">
        <v>191</v>
      </c>
      <c r="D5" s="186" t="s">
        <v>192</v>
      </c>
      <c r="E5" s="185">
        <v>16</v>
      </c>
      <c r="F5" s="186" t="s">
        <v>57</v>
      </c>
      <c r="G5" s="185">
        <v>3595</v>
      </c>
      <c r="H5" s="186" t="s">
        <v>277</v>
      </c>
      <c r="I5" s="185" t="s">
        <v>36</v>
      </c>
      <c r="J5" s="187">
        <v>0.28999999999999998</v>
      </c>
      <c r="K5" s="186" t="s">
        <v>278</v>
      </c>
      <c r="L5" s="188">
        <v>0.1</v>
      </c>
      <c r="M5" s="186"/>
      <c r="N5" s="41"/>
      <c r="O5" s="41"/>
      <c r="P5" s="41"/>
      <c r="Q5" s="42"/>
    </row>
    <row r="6" spans="1:17" ht="20.100000000000001" customHeight="1" x14ac:dyDescent="0.25">
      <c r="A6" s="185">
        <v>6561</v>
      </c>
      <c r="B6" s="185">
        <v>190</v>
      </c>
      <c r="C6" s="186" t="s">
        <v>191</v>
      </c>
      <c r="D6" s="186" t="s">
        <v>192</v>
      </c>
      <c r="E6" s="185">
        <v>16</v>
      </c>
      <c r="F6" s="186" t="s">
        <v>71</v>
      </c>
      <c r="G6" s="185">
        <v>69</v>
      </c>
      <c r="H6" s="186" t="s">
        <v>72</v>
      </c>
      <c r="I6" s="185" t="s">
        <v>73</v>
      </c>
      <c r="J6" s="187">
        <v>1000</v>
      </c>
      <c r="K6" s="186" t="s">
        <v>279</v>
      </c>
      <c r="L6" s="188">
        <v>0.02</v>
      </c>
      <c r="M6" s="186"/>
      <c r="N6" s="41"/>
      <c r="O6" s="41"/>
      <c r="P6" s="41"/>
      <c r="Q6" s="42"/>
    </row>
    <row r="7" spans="1:17" ht="20.100000000000001" customHeight="1" x14ac:dyDescent="0.25">
      <c r="A7" s="185">
        <v>6561</v>
      </c>
      <c r="B7" s="185">
        <v>190</v>
      </c>
      <c r="C7" s="186" t="s">
        <v>191</v>
      </c>
      <c r="D7" s="186" t="s">
        <v>192</v>
      </c>
      <c r="E7" s="185">
        <v>16</v>
      </c>
      <c r="F7" s="186" t="s">
        <v>95</v>
      </c>
      <c r="G7" s="185">
        <v>36</v>
      </c>
      <c r="H7" s="186" t="s">
        <v>97</v>
      </c>
      <c r="I7" s="185" t="s">
        <v>73</v>
      </c>
      <c r="J7" s="187">
        <v>5</v>
      </c>
      <c r="K7" s="186" t="s">
        <v>280</v>
      </c>
      <c r="L7" s="188">
        <v>0.1</v>
      </c>
      <c r="M7" s="186"/>
      <c r="N7" s="41"/>
      <c r="O7" s="41"/>
      <c r="P7" s="41"/>
      <c r="Q7" s="42"/>
    </row>
    <row r="8" spans="1:17" ht="20.100000000000001" customHeight="1" x14ac:dyDescent="0.25">
      <c r="A8" s="185">
        <v>6561</v>
      </c>
      <c r="B8" s="185">
        <v>190</v>
      </c>
      <c r="C8" s="186" t="s">
        <v>191</v>
      </c>
      <c r="D8" s="186" t="s">
        <v>192</v>
      </c>
      <c r="E8" s="185">
        <v>16</v>
      </c>
      <c r="F8" s="186" t="s">
        <v>105</v>
      </c>
      <c r="G8" s="185">
        <v>194</v>
      </c>
      <c r="H8" s="186" t="s">
        <v>106</v>
      </c>
      <c r="I8" s="185" t="s">
        <v>36</v>
      </c>
      <c r="J8" s="187">
        <v>2.6196399999999999E-3</v>
      </c>
      <c r="K8" s="186" t="s">
        <v>281</v>
      </c>
      <c r="L8" s="188">
        <v>0.1</v>
      </c>
      <c r="M8" s="186"/>
      <c r="N8" s="41"/>
      <c r="O8" s="41"/>
      <c r="P8" s="41"/>
      <c r="Q8" s="42"/>
    </row>
    <row r="9" spans="1:17" ht="20.100000000000001" customHeight="1" x14ac:dyDescent="0.25">
      <c r="A9" s="185">
        <v>6561</v>
      </c>
      <c r="B9" s="185">
        <v>190</v>
      </c>
      <c r="C9" s="186" t="s">
        <v>191</v>
      </c>
      <c r="D9" s="186" t="s">
        <v>192</v>
      </c>
      <c r="E9" s="185">
        <v>16</v>
      </c>
      <c r="F9" s="186" t="s">
        <v>50</v>
      </c>
      <c r="G9" s="185">
        <v>4155</v>
      </c>
      <c r="H9" s="186" t="s">
        <v>56</v>
      </c>
      <c r="I9" s="185" t="s">
        <v>53</v>
      </c>
      <c r="J9" s="187">
        <v>0.17</v>
      </c>
      <c r="K9" s="186" t="s">
        <v>282</v>
      </c>
      <c r="L9" s="188">
        <v>0.1</v>
      </c>
      <c r="M9" s="186"/>
      <c r="N9" s="41"/>
      <c r="O9" s="41"/>
      <c r="P9" s="41"/>
      <c r="Q9" s="42"/>
    </row>
    <row r="10" spans="1:17" ht="20.100000000000001" customHeight="1" x14ac:dyDescent="0.25">
      <c r="A10" s="185">
        <v>6561</v>
      </c>
      <c r="B10" s="185">
        <v>190</v>
      </c>
      <c r="C10" s="186" t="s">
        <v>191</v>
      </c>
      <c r="D10" s="186" t="s">
        <v>192</v>
      </c>
      <c r="E10" s="185">
        <v>16</v>
      </c>
      <c r="F10" s="186" t="s">
        <v>110</v>
      </c>
      <c r="G10" s="185">
        <v>190</v>
      </c>
      <c r="H10" s="186" t="s">
        <v>111</v>
      </c>
      <c r="I10" s="185" t="s">
        <v>53</v>
      </c>
      <c r="J10" s="187">
        <v>0.06</v>
      </c>
      <c r="K10" s="186" t="s">
        <v>283</v>
      </c>
      <c r="L10" s="188">
        <v>0.1</v>
      </c>
      <c r="M10" s="186"/>
      <c r="N10" s="41"/>
      <c r="O10" s="41"/>
      <c r="P10" s="41"/>
      <c r="Q10" s="42"/>
    </row>
    <row r="11" spans="1:17" ht="20.100000000000001" customHeight="1" x14ac:dyDescent="0.25">
      <c r="A11" s="185">
        <v>6561</v>
      </c>
      <c r="B11" s="185">
        <v>190</v>
      </c>
      <c r="C11" s="186" t="s">
        <v>191</v>
      </c>
      <c r="D11" s="186" t="s">
        <v>192</v>
      </c>
      <c r="E11" s="185">
        <v>16</v>
      </c>
      <c r="F11" s="186" t="s">
        <v>108</v>
      </c>
      <c r="G11" s="185">
        <v>3635</v>
      </c>
      <c r="H11" s="186" t="s">
        <v>109</v>
      </c>
      <c r="I11" s="185" t="s">
        <v>73</v>
      </c>
      <c r="J11" s="187">
        <v>0.11899999999999999</v>
      </c>
      <c r="K11" s="186" t="s">
        <v>284</v>
      </c>
      <c r="L11" s="188">
        <v>0.1</v>
      </c>
      <c r="M11" s="186"/>
      <c r="N11" s="41"/>
      <c r="O11" s="41"/>
      <c r="P11" s="41"/>
      <c r="Q11" s="42"/>
    </row>
    <row r="12" spans="1:17" ht="20.100000000000001" customHeight="1" x14ac:dyDescent="0.25">
      <c r="A12" s="185">
        <v>6561</v>
      </c>
      <c r="B12" s="185">
        <v>190</v>
      </c>
      <c r="C12" s="186" t="s">
        <v>191</v>
      </c>
      <c r="D12" s="186" t="s">
        <v>192</v>
      </c>
      <c r="E12" s="185">
        <v>16</v>
      </c>
      <c r="F12" s="186" t="s">
        <v>95</v>
      </c>
      <c r="G12" s="185">
        <v>200</v>
      </c>
      <c r="H12" s="186" t="s">
        <v>98</v>
      </c>
      <c r="I12" s="185" t="s">
        <v>73</v>
      </c>
      <c r="J12" s="187">
        <v>0.55000000000000004</v>
      </c>
      <c r="K12" s="186" t="s">
        <v>280</v>
      </c>
      <c r="L12" s="188">
        <v>0.1</v>
      </c>
      <c r="M12" s="186"/>
      <c r="N12" s="41"/>
      <c r="O12" s="41"/>
      <c r="P12" s="41"/>
      <c r="Q12" s="42"/>
    </row>
    <row r="13" spans="1:17" ht="20.100000000000001" customHeight="1" x14ac:dyDescent="0.25">
      <c r="A13" s="181">
        <v>6560</v>
      </c>
      <c r="B13" s="181">
        <v>189</v>
      </c>
      <c r="C13" s="182" t="s">
        <v>191</v>
      </c>
      <c r="D13" s="182" t="s">
        <v>196</v>
      </c>
      <c r="E13" s="181">
        <v>19</v>
      </c>
      <c r="F13" s="182" t="s">
        <v>285</v>
      </c>
      <c r="G13" s="181">
        <v>19</v>
      </c>
      <c r="H13" s="182" t="s">
        <v>41</v>
      </c>
      <c r="I13" s="181" t="s">
        <v>36</v>
      </c>
      <c r="J13" s="183">
        <v>3.367</v>
      </c>
      <c r="K13" s="182" t="s">
        <v>275</v>
      </c>
      <c r="L13" s="184">
        <v>0.1</v>
      </c>
      <c r="M13" s="182"/>
      <c r="N13" s="41"/>
      <c r="O13" s="41"/>
      <c r="P13" s="41"/>
      <c r="Q13" s="42"/>
    </row>
    <row r="14" spans="1:17" ht="20.100000000000001" customHeight="1" x14ac:dyDescent="0.25">
      <c r="A14" s="185">
        <v>6560</v>
      </c>
      <c r="B14" s="185">
        <v>189</v>
      </c>
      <c r="C14" s="186" t="s">
        <v>191</v>
      </c>
      <c r="D14" s="186" t="s">
        <v>196</v>
      </c>
      <c r="E14" s="185">
        <v>19</v>
      </c>
      <c r="F14" s="186" t="s">
        <v>57</v>
      </c>
      <c r="G14" s="185">
        <v>3595</v>
      </c>
      <c r="H14" s="186" t="s">
        <v>277</v>
      </c>
      <c r="I14" s="185" t="s">
        <v>36</v>
      </c>
      <c r="J14" s="187">
        <v>0.31</v>
      </c>
      <c r="K14" s="186" t="s">
        <v>278</v>
      </c>
      <c r="L14" s="188">
        <v>0.1</v>
      </c>
      <c r="M14" s="186"/>
      <c r="N14" s="41"/>
      <c r="O14" s="41"/>
      <c r="P14" s="41"/>
      <c r="Q14" s="42"/>
    </row>
    <row r="15" spans="1:17" ht="20.100000000000001" customHeight="1" x14ac:dyDescent="0.25">
      <c r="A15" s="185">
        <v>6560</v>
      </c>
      <c r="B15" s="185">
        <v>189</v>
      </c>
      <c r="C15" s="186" t="s">
        <v>191</v>
      </c>
      <c r="D15" s="186" t="s">
        <v>196</v>
      </c>
      <c r="E15" s="185">
        <v>19</v>
      </c>
      <c r="F15" s="186" t="s">
        <v>71</v>
      </c>
      <c r="G15" s="185">
        <v>81</v>
      </c>
      <c r="H15" s="186" t="s">
        <v>78</v>
      </c>
      <c r="I15" s="185" t="s">
        <v>73</v>
      </c>
      <c r="J15" s="187">
        <v>1000</v>
      </c>
      <c r="K15" s="186" t="s">
        <v>279</v>
      </c>
      <c r="L15" s="188">
        <v>0.02</v>
      </c>
      <c r="M15" s="186"/>
      <c r="N15" s="41"/>
      <c r="O15" s="41"/>
      <c r="P15" s="41"/>
      <c r="Q15" s="42"/>
    </row>
    <row r="16" spans="1:17" ht="20.100000000000001" customHeight="1" x14ac:dyDescent="0.25">
      <c r="A16" s="185">
        <v>6560</v>
      </c>
      <c r="B16" s="185">
        <v>189</v>
      </c>
      <c r="C16" s="186" t="s">
        <v>191</v>
      </c>
      <c r="D16" s="186" t="s">
        <v>196</v>
      </c>
      <c r="E16" s="185">
        <v>19</v>
      </c>
      <c r="F16" s="186" t="s">
        <v>95</v>
      </c>
      <c r="G16" s="185">
        <v>39</v>
      </c>
      <c r="H16" s="186" t="s">
        <v>99</v>
      </c>
      <c r="I16" s="185" t="s">
        <v>73</v>
      </c>
      <c r="J16" s="187">
        <v>5</v>
      </c>
      <c r="K16" s="186" t="s">
        <v>280</v>
      </c>
      <c r="L16" s="188">
        <v>0.1</v>
      </c>
      <c r="M16" s="186"/>
      <c r="N16" s="41"/>
      <c r="O16" s="41"/>
      <c r="P16" s="41"/>
      <c r="Q16" s="42"/>
    </row>
    <row r="17" spans="1:17" ht="20.100000000000001" customHeight="1" x14ac:dyDescent="0.25">
      <c r="A17" s="185">
        <v>6560</v>
      </c>
      <c r="B17" s="185">
        <v>189</v>
      </c>
      <c r="C17" s="186" t="s">
        <v>191</v>
      </c>
      <c r="D17" s="186" t="s">
        <v>196</v>
      </c>
      <c r="E17" s="185">
        <v>19</v>
      </c>
      <c r="F17" s="186" t="s">
        <v>105</v>
      </c>
      <c r="G17" s="185">
        <v>194</v>
      </c>
      <c r="H17" s="186" t="s">
        <v>106</v>
      </c>
      <c r="I17" s="185" t="s">
        <v>36</v>
      </c>
      <c r="J17" s="187">
        <v>3.3999999999999998E-3</v>
      </c>
      <c r="K17" s="186" t="s">
        <v>281</v>
      </c>
      <c r="L17" s="188">
        <v>0.1</v>
      </c>
      <c r="M17" s="186"/>
      <c r="N17" s="41"/>
      <c r="O17" s="41"/>
      <c r="P17" s="41"/>
      <c r="Q17" s="42"/>
    </row>
    <row r="18" spans="1:17" ht="20.100000000000001" customHeight="1" x14ac:dyDescent="0.25">
      <c r="A18" s="185">
        <v>6560</v>
      </c>
      <c r="B18" s="185">
        <v>189</v>
      </c>
      <c r="C18" s="186" t="s">
        <v>191</v>
      </c>
      <c r="D18" s="186" t="s">
        <v>196</v>
      </c>
      <c r="E18" s="185">
        <v>19</v>
      </c>
      <c r="F18" s="186" t="s">
        <v>108</v>
      </c>
      <c r="G18" s="185">
        <v>3635</v>
      </c>
      <c r="H18" s="186" t="s">
        <v>109</v>
      </c>
      <c r="I18" s="185" t="s">
        <v>73</v>
      </c>
      <c r="J18" s="187">
        <v>0.13800000000000001</v>
      </c>
      <c r="K18" s="186" t="s">
        <v>284</v>
      </c>
      <c r="L18" s="188">
        <v>0.1</v>
      </c>
      <c r="M18" s="186"/>
      <c r="N18" s="41"/>
      <c r="O18" s="41"/>
      <c r="P18" s="41"/>
      <c r="Q18" s="42"/>
    </row>
    <row r="19" spans="1:17" ht="20.100000000000001" customHeight="1" x14ac:dyDescent="0.25">
      <c r="A19" s="185">
        <v>6560</v>
      </c>
      <c r="B19" s="185">
        <v>189</v>
      </c>
      <c r="C19" s="186" t="s">
        <v>191</v>
      </c>
      <c r="D19" s="186" t="s">
        <v>196</v>
      </c>
      <c r="E19" s="185">
        <v>19</v>
      </c>
      <c r="F19" s="186" t="s">
        <v>50</v>
      </c>
      <c r="G19" s="185">
        <v>4155</v>
      </c>
      <c r="H19" s="186" t="s">
        <v>56</v>
      </c>
      <c r="I19" s="185" t="s">
        <v>53</v>
      </c>
      <c r="J19" s="187">
        <v>0.1449</v>
      </c>
      <c r="K19" s="186" t="s">
        <v>282</v>
      </c>
      <c r="L19" s="188">
        <v>0.1</v>
      </c>
      <c r="M19" s="186"/>
      <c r="N19" s="41"/>
      <c r="O19" s="41"/>
      <c r="P19" s="41"/>
      <c r="Q19" s="42"/>
    </row>
    <row r="20" spans="1:17" ht="20.100000000000001" customHeight="1" x14ac:dyDescent="0.25">
      <c r="A20" s="181">
        <v>6559</v>
      </c>
      <c r="B20" s="181">
        <v>188</v>
      </c>
      <c r="C20" s="182" t="s">
        <v>191</v>
      </c>
      <c r="D20" s="182" t="s">
        <v>286</v>
      </c>
      <c r="E20" s="181">
        <v>19</v>
      </c>
      <c r="F20" s="182" t="s">
        <v>285</v>
      </c>
      <c r="G20" s="181">
        <v>19</v>
      </c>
      <c r="H20" s="182" t="s">
        <v>41</v>
      </c>
      <c r="I20" s="181" t="s">
        <v>36</v>
      </c>
      <c r="J20" s="183">
        <v>3.367</v>
      </c>
      <c r="K20" s="182" t="s">
        <v>275</v>
      </c>
      <c r="L20" s="184">
        <v>0.1</v>
      </c>
      <c r="M20" s="182"/>
      <c r="N20" s="41"/>
      <c r="O20" s="41"/>
      <c r="P20" s="41"/>
      <c r="Q20" s="42"/>
    </row>
    <row r="21" spans="1:17" ht="20.100000000000001" customHeight="1" x14ac:dyDescent="0.25">
      <c r="A21" s="185">
        <v>6559</v>
      </c>
      <c r="B21" s="185">
        <v>188</v>
      </c>
      <c r="C21" s="186" t="s">
        <v>191</v>
      </c>
      <c r="D21" s="186" t="s">
        <v>286</v>
      </c>
      <c r="E21" s="185">
        <v>19</v>
      </c>
      <c r="F21" s="186" t="s">
        <v>57</v>
      </c>
      <c r="G21" s="185">
        <v>3595</v>
      </c>
      <c r="H21" s="186" t="s">
        <v>277</v>
      </c>
      <c r="I21" s="185" t="s">
        <v>36</v>
      </c>
      <c r="J21" s="187">
        <v>0.31</v>
      </c>
      <c r="K21" s="186" t="s">
        <v>278</v>
      </c>
      <c r="L21" s="188">
        <v>0.1</v>
      </c>
      <c r="M21" s="186"/>
      <c r="N21" s="41"/>
      <c r="O21" s="41"/>
      <c r="P21" s="41"/>
      <c r="Q21" s="42"/>
    </row>
    <row r="22" spans="1:17" ht="20.100000000000001" customHeight="1" x14ac:dyDescent="0.25">
      <c r="A22" s="185">
        <v>6559</v>
      </c>
      <c r="B22" s="185">
        <v>188</v>
      </c>
      <c r="C22" s="186" t="s">
        <v>191</v>
      </c>
      <c r="D22" s="186" t="s">
        <v>286</v>
      </c>
      <c r="E22" s="185">
        <v>19</v>
      </c>
      <c r="F22" s="186" t="s">
        <v>71</v>
      </c>
      <c r="G22" s="185">
        <v>81</v>
      </c>
      <c r="H22" s="186" t="s">
        <v>78</v>
      </c>
      <c r="I22" s="185" t="s">
        <v>73</v>
      </c>
      <c r="J22" s="187">
        <v>1000</v>
      </c>
      <c r="K22" s="186" t="s">
        <v>279</v>
      </c>
      <c r="L22" s="188">
        <v>0.02</v>
      </c>
      <c r="M22" s="186"/>
      <c r="N22" s="41"/>
      <c r="O22" s="41"/>
      <c r="P22" s="41"/>
      <c r="Q22" s="42"/>
    </row>
    <row r="23" spans="1:17" ht="20.100000000000001" customHeight="1" x14ac:dyDescent="0.25">
      <c r="A23" s="185">
        <v>6559</v>
      </c>
      <c r="B23" s="185">
        <v>188</v>
      </c>
      <c r="C23" s="186" t="s">
        <v>191</v>
      </c>
      <c r="D23" s="186" t="s">
        <v>286</v>
      </c>
      <c r="E23" s="185">
        <v>19</v>
      </c>
      <c r="F23" s="186" t="s">
        <v>95</v>
      </c>
      <c r="G23" s="185">
        <v>39</v>
      </c>
      <c r="H23" s="186" t="s">
        <v>99</v>
      </c>
      <c r="I23" s="185" t="s">
        <v>73</v>
      </c>
      <c r="J23" s="187">
        <v>5</v>
      </c>
      <c r="K23" s="186" t="s">
        <v>280</v>
      </c>
      <c r="L23" s="188">
        <v>0.1</v>
      </c>
      <c r="M23" s="186"/>
      <c r="N23" s="41"/>
      <c r="O23" s="41"/>
      <c r="P23" s="41"/>
      <c r="Q23" s="42"/>
    </row>
    <row r="24" spans="1:17" ht="20.100000000000001" customHeight="1" x14ac:dyDescent="0.25">
      <c r="A24" s="185">
        <v>6559</v>
      </c>
      <c r="B24" s="185">
        <v>188</v>
      </c>
      <c r="C24" s="186" t="s">
        <v>191</v>
      </c>
      <c r="D24" s="186" t="s">
        <v>286</v>
      </c>
      <c r="E24" s="185">
        <v>19</v>
      </c>
      <c r="F24" s="186" t="s">
        <v>105</v>
      </c>
      <c r="G24" s="185">
        <v>194</v>
      </c>
      <c r="H24" s="186" t="s">
        <v>106</v>
      </c>
      <c r="I24" s="185" t="s">
        <v>36</v>
      </c>
      <c r="J24" s="187">
        <v>3.3999999999999998E-3</v>
      </c>
      <c r="K24" s="186" t="s">
        <v>281</v>
      </c>
      <c r="L24" s="188">
        <v>0.1</v>
      </c>
      <c r="M24" s="186"/>
      <c r="N24" s="41"/>
      <c r="O24" s="41"/>
      <c r="P24" s="41"/>
      <c r="Q24" s="42"/>
    </row>
    <row r="25" spans="1:17" ht="20.100000000000001" customHeight="1" x14ac:dyDescent="0.25">
      <c r="A25" s="185">
        <v>6559</v>
      </c>
      <c r="B25" s="185">
        <v>188</v>
      </c>
      <c r="C25" s="186" t="s">
        <v>191</v>
      </c>
      <c r="D25" s="186" t="s">
        <v>286</v>
      </c>
      <c r="E25" s="185">
        <v>19</v>
      </c>
      <c r="F25" s="186" t="s">
        <v>108</v>
      </c>
      <c r="G25" s="185">
        <v>3635</v>
      </c>
      <c r="H25" s="186" t="s">
        <v>109</v>
      </c>
      <c r="I25" s="185" t="s">
        <v>73</v>
      </c>
      <c r="J25" s="187">
        <v>0.13800000000000001</v>
      </c>
      <c r="K25" s="186" t="s">
        <v>284</v>
      </c>
      <c r="L25" s="188">
        <v>0.1</v>
      </c>
      <c r="M25" s="186"/>
      <c r="N25" s="41"/>
      <c r="O25" s="41"/>
      <c r="P25" s="41"/>
      <c r="Q25" s="42"/>
    </row>
    <row r="26" spans="1:17" ht="20.100000000000001" customHeight="1" x14ac:dyDescent="0.25">
      <c r="A26" s="185">
        <v>6559</v>
      </c>
      <c r="B26" s="185">
        <v>188</v>
      </c>
      <c r="C26" s="186" t="s">
        <v>191</v>
      </c>
      <c r="D26" s="186" t="s">
        <v>286</v>
      </c>
      <c r="E26" s="185">
        <v>19</v>
      </c>
      <c r="F26" s="186" t="s">
        <v>50</v>
      </c>
      <c r="G26" s="185">
        <v>4155</v>
      </c>
      <c r="H26" s="186" t="s">
        <v>56</v>
      </c>
      <c r="I26" s="185" t="s">
        <v>53</v>
      </c>
      <c r="J26" s="187">
        <v>0.1449</v>
      </c>
      <c r="K26" s="186" t="s">
        <v>282</v>
      </c>
      <c r="L26" s="188">
        <v>0.1</v>
      </c>
      <c r="M26" s="186"/>
      <c r="N26" s="41"/>
      <c r="O26" s="41"/>
      <c r="P26" s="41"/>
      <c r="Q26" s="42"/>
    </row>
    <row r="27" spans="1:17" ht="20.100000000000001" customHeight="1" x14ac:dyDescent="0.25">
      <c r="A27" s="181">
        <v>1085</v>
      </c>
      <c r="B27" s="181">
        <v>187</v>
      </c>
      <c r="C27" s="182" t="s">
        <v>191</v>
      </c>
      <c r="D27" s="182" t="s">
        <v>195</v>
      </c>
      <c r="E27" s="181">
        <v>19</v>
      </c>
      <c r="F27" s="182" t="s">
        <v>285</v>
      </c>
      <c r="G27" s="181">
        <v>19</v>
      </c>
      <c r="H27" s="182" t="s">
        <v>41</v>
      </c>
      <c r="I27" s="181" t="s">
        <v>36</v>
      </c>
      <c r="J27" s="183">
        <v>3.367</v>
      </c>
      <c r="K27" s="182" t="s">
        <v>275</v>
      </c>
      <c r="L27" s="184">
        <v>0.1</v>
      </c>
      <c r="M27" s="182"/>
      <c r="N27" s="41"/>
      <c r="O27" s="41"/>
      <c r="P27" s="41"/>
      <c r="Q27" s="42"/>
    </row>
    <row r="28" spans="1:17" ht="20.100000000000001" customHeight="1" x14ac:dyDescent="0.25">
      <c r="A28" s="185">
        <v>1085</v>
      </c>
      <c r="B28" s="185">
        <v>187</v>
      </c>
      <c r="C28" s="186" t="s">
        <v>191</v>
      </c>
      <c r="D28" s="186" t="s">
        <v>195</v>
      </c>
      <c r="E28" s="185">
        <v>19</v>
      </c>
      <c r="F28" s="186" t="s">
        <v>57</v>
      </c>
      <c r="G28" s="185">
        <v>3595</v>
      </c>
      <c r="H28" s="186" t="s">
        <v>277</v>
      </c>
      <c r="I28" s="185" t="s">
        <v>36</v>
      </c>
      <c r="J28" s="187">
        <v>0.31</v>
      </c>
      <c r="K28" s="186" t="s">
        <v>278</v>
      </c>
      <c r="L28" s="188">
        <v>0.1</v>
      </c>
      <c r="M28" s="186"/>
      <c r="N28" s="41"/>
      <c r="O28" s="41"/>
      <c r="P28" s="41"/>
      <c r="Q28" s="42"/>
    </row>
    <row r="29" spans="1:17" ht="20.100000000000001" customHeight="1" x14ac:dyDescent="0.25">
      <c r="A29" s="185">
        <v>1085</v>
      </c>
      <c r="B29" s="185">
        <v>187</v>
      </c>
      <c r="C29" s="186" t="s">
        <v>191</v>
      </c>
      <c r="D29" s="186" t="s">
        <v>195</v>
      </c>
      <c r="E29" s="185">
        <v>19</v>
      </c>
      <c r="F29" s="186" t="s">
        <v>71</v>
      </c>
      <c r="G29" s="185">
        <v>81</v>
      </c>
      <c r="H29" s="186" t="s">
        <v>78</v>
      </c>
      <c r="I29" s="185" t="s">
        <v>73</v>
      </c>
      <c r="J29" s="187">
        <v>1000</v>
      </c>
      <c r="K29" s="186" t="s">
        <v>279</v>
      </c>
      <c r="L29" s="188">
        <v>0.02</v>
      </c>
      <c r="M29" s="186"/>
      <c r="N29" s="41"/>
      <c r="O29" s="41"/>
      <c r="P29" s="41"/>
      <c r="Q29" s="42"/>
    </row>
    <row r="30" spans="1:17" ht="20.100000000000001" customHeight="1" x14ac:dyDescent="0.25">
      <c r="A30" s="185">
        <v>1085</v>
      </c>
      <c r="B30" s="185">
        <v>187</v>
      </c>
      <c r="C30" s="186" t="s">
        <v>191</v>
      </c>
      <c r="D30" s="186" t="s">
        <v>195</v>
      </c>
      <c r="E30" s="185">
        <v>19</v>
      </c>
      <c r="F30" s="186" t="s">
        <v>95</v>
      </c>
      <c r="G30" s="185">
        <v>39</v>
      </c>
      <c r="H30" s="186" t="s">
        <v>99</v>
      </c>
      <c r="I30" s="185" t="s">
        <v>73</v>
      </c>
      <c r="J30" s="187">
        <v>5</v>
      </c>
      <c r="K30" s="186" t="s">
        <v>280</v>
      </c>
      <c r="L30" s="188">
        <v>0.1</v>
      </c>
      <c r="M30" s="186"/>
      <c r="N30" s="41"/>
      <c r="O30" s="41"/>
      <c r="P30" s="41"/>
      <c r="Q30" s="42"/>
    </row>
    <row r="31" spans="1:17" ht="20.100000000000001" customHeight="1" x14ac:dyDescent="0.25">
      <c r="A31" s="185">
        <v>1085</v>
      </c>
      <c r="B31" s="185">
        <v>187</v>
      </c>
      <c r="C31" s="186" t="s">
        <v>191</v>
      </c>
      <c r="D31" s="186" t="s">
        <v>195</v>
      </c>
      <c r="E31" s="185">
        <v>19</v>
      </c>
      <c r="F31" s="186" t="s">
        <v>105</v>
      </c>
      <c r="G31" s="185">
        <v>194</v>
      </c>
      <c r="H31" s="186" t="s">
        <v>106</v>
      </c>
      <c r="I31" s="185" t="s">
        <v>36</v>
      </c>
      <c r="J31" s="187">
        <v>3.3999999999999998E-3</v>
      </c>
      <c r="K31" s="186" t="s">
        <v>281</v>
      </c>
      <c r="L31" s="188">
        <v>0.1</v>
      </c>
      <c r="M31" s="186"/>
      <c r="N31" s="41"/>
      <c r="O31" s="41"/>
      <c r="P31" s="41"/>
      <c r="Q31" s="42"/>
    </row>
    <row r="32" spans="1:17" ht="20.100000000000001" customHeight="1" x14ac:dyDescent="0.25">
      <c r="A32" s="185">
        <v>1085</v>
      </c>
      <c r="B32" s="185">
        <v>187</v>
      </c>
      <c r="C32" s="186" t="s">
        <v>191</v>
      </c>
      <c r="D32" s="186" t="s">
        <v>195</v>
      </c>
      <c r="E32" s="185">
        <v>19</v>
      </c>
      <c r="F32" s="186" t="s">
        <v>108</v>
      </c>
      <c r="G32" s="185">
        <v>3635</v>
      </c>
      <c r="H32" s="186" t="s">
        <v>109</v>
      </c>
      <c r="I32" s="185" t="s">
        <v>73</v>
      </c>
      <c r="J32" s="187">
        <v>0.13800000000000001</v>
      </c>
      <c r="K32" s="186" t="s">
        <v>284</v>
      </c>
      <c r="L32" s="188">
        <v>0.1</v>
      </c>
      <c r="M32" s="186"/>
      <c r="N32" s="41"/>
      <c r="O32" s="41"/>
      <c r="P32" s="41"/>
      <c r="Q32" s="42"/>
    </row>
    <row r="33" spans="1:17" ht="20.100000000000001" customHeight="1" x14ac:dyDescent="0.25">
      <c r="A33" s="185">
        <v>1085</v>
      </c>
      <c r="B33" s="185">
        <v>187</v>
      </c>
      <c r="C33" s="186" t="s">
        <v>191</v>
      </c>
      <c r="D33" s="186" t="s">
        <v>195</v>
      </c>
      <c r="E33" s="185">
        <v>19</v>
      </c>
      <c r="F33" s="186" t="s">
        <v>50</v>
      </c>
      <c r="G33" s="185">
        <v>4155</v>
      </c>
      <c r="H33" s="186" t="s">
        <v>56</v>
      </c>
      <c r="I33" s="185" t="s">
        <v>53</v>
      </c>
      <c r="J33" s="187">
        <v>0.1449</v>
      </c>
      <c r="K33" s="186" t="s">
        <v>282</v>
      </c>
      <c r="L33" s="188">
        <v>0.1</v>
      </c>
      <c r="M33" s="186"/>
      <c r="N33" s="41"/>
      <c r="O33" s="41"/>
      <c r="P33" s="41"/>
      <c r="Q33" s="42"/>
    </row>
    <row r="34" spans="1:17" ht="20.100000000000001" customHeight="1" x14ac:dyDescent="0.25">
      <c r="A34" s="181">
        <v>6623</v>
      </c>
      <c r="B34" s="181">
        <v>193</v>
      </c>
      <c r="C34" s="182" t="s">
        <v>13</v>
      </c>
      <c r="D34" s="182" t="s">
        <v>194</v>
      </c>
      <c r="E34" s="181">
        <v>19</v>
      </c>
      <c r="F34" s="182" t="s">
        <v>34</v>
      </c>
      <c r="G34" s="181">
        <v>19</v>
      </c>
      <c r="H34" s="182" t="s">
        <v>41</v>
      </c>
      <c r="I34" s="181" t="s">
        <v>36</v>
      </c>
      <c r="J34" s="183">
        <v>3.367</v>
      </c>
      <c r="K34" s="182" t="s">
        <v>34</v>
      </c>
      <c r="L34" s="184">
        <v>0.1</v>
      </c>
      <c r="M34" s="182"/>
      <c r="N34" s="41"/>
      <c r="O34" s="41"/>
      <c r="P34" s="41"/>
      <c r="Q34" s="42"/>
    </row>
    <row r="35" spans="1:17" ht="20.100000000000001" customHeight="1" x14ac:dyDescent="0.25">
      <c r="A35" s="185">
        <v>6623</v>
      </c>
      <c r="B35" s="185">
        <v>193</v>
      </c>
      <c r="C35" s="186" t="s">
        <v>13</v>
      </c>
      <c r="D35" s="186" t="s">
        <v>194</v>
      </c>
      <c r="E35" s="185">
        <v>19</v>
      </c>
      <c r="F35" s="186" t="s">
        <v>57</v>
      </c>
      <c r="G35" s="185">
        <v>3595</v>
      </c>
      <c r="H35" s="186" t="s">
        <v>287</v>
      </c>
      <c r="I35" s="185" t="s">
        <v>36</v>
      </c>
      <c r="J35" s="187">
        <v>0.31</v>
      </c>
      <c r="K35" s="186" t="s">
        <v>57</v>
      </c>
      <c r="L35" s="188">
        <v>0.1</v>
      </c>
      <c r="M35" s="186"/>
      <c r="N35" s="41"/>
      <c r="O35" s="41"/>
      <c r="P35" s="41"/>
      <c r="Q35" s="42"/>
    </row>
    <row r="36" spans="1:17" ht="20.100000000000001" customHeight="1" x14ac:dyDescent="0.25">
      <c r="A36" s="185">
        <v>6623</v>
      </c>
      <c r="B36" s="185">
        <v>193</v>
      </c>
      <c r="C36" s="186" t="s">
        <v>13</v>
      </c>
      <c r="D36" s="186" t="s">
        <v>194</v>
      </c>
      <c r="E36" s="185">
        <v>19</v>
      </c>
      <c r="F36" s="186" t="s">
        <v>71</v>
      </c>
      <c r="G36" s="185">
        <v>80</v>
      </c>
      <c r="H36" s="186" t="s">
        <v>77</v>
      </c>
      <c r="I36" s="185" t="s">
        <v>288</v>
      </c>
      <c r="J36" s="187">
        <v>1000</v>
      </c>
      <c r="K36" s="186" t="s">
        <v>71</v>
      </c>
      <c r="L36" s="188">
        <v>0.02</v>
      </c>
      <c r="M36" s="186"/>
      <c r="N36" s="41"/>
      <c r="O36" s="41"/>
      <c r="P36" s="41"/>
      <c r="Q36" s="42"/>
    </row>
    <row r="37" spans="1:17" ht="20.100000000000001" customHeight="1" x14ac:dyDescent="0.25">
      <c r="A37" s="185">
        <v>6623</v>
      </c>
      <c r="B37" s="185">
        <v>193</v>
      </c>
      <c r="C37" s="186" t="s">
        <v>13</v>
      </c>
      <c r="D37" s="186" t="s">
        <v>194</v>
      </c>
      <c r="E37" s="185">
        <v>19</v>
      </c>
      <c r="F37" s="186" t="s">
        <v>95</v>
      </c>
      <c r="G37" s="185">
        <v>3619</v>
      </c>
      <c r="H37" s="186" t="s">
        <v>289</v>
      </c>
      <c r="I37" s="185" t="s">
        <v>288</v>
      </c>
      <c r="J37" s="187">
        <v>1.7</v>
      </c>
      <c r="K37" s="186" t="s">
        <v>95</v>
      </c>
      <c r="L37" s="188">
        <v>0.1</v>
      </c>
      <c r="M37" s="186"/>
      <c r="N37" s="41"/>
      <c r="O37" s="41"/>
      <c r="P37" s="41"/>
      <c r="Q37" s="42"/>
    </row>
    <row r="38" spans="1:17" ht="20.100000000000001" customHeight="1" x14ac:dyDescent="0.25">
      <c r="A38" s="185">
        <v>6623</v>
      </c>
      <c r="B38" s="185">
        <v>193</v>
      </c>
      <c r="C38" s="186" t="s">
        <v>13</v>
      </c>
      <c r="D38" s="186" t="s">
        <v>194</v>
      </c>
      <c r="E38" s="185">
        <v>19</v>
      </c>
      <c r="F38" s="186" t="s">
        <v>105</v>
      </c>
      <c r="G38" s="185">
        <v>194</v>
      </c>
      <c r="H38" s="186" t="s">
        <v>106</v>
      </c>
      <c r="I38" s="185" t="s">
        <v>36</v>
      </c>
      <c r="J38" s="187">
        <v>3.3999999999999998E-3</v>
      </c>
      <c r="K38" s="186" t="s">
        <v>105</v>
      </c>
      <c r="L38" s="188">
        <v>0.1</v>
      </c>
      <c r="M38" s="186"/>
      <c r="N38" s="41"/>
      <c r="O38" s="41"/>
      <c r="P38" s="41"/>
      <c r="Q38" s="42"/>
    </row>
    <row r="39" spans="1:17" ht="20.100000000000001" customHeight="1" x14ac:dyDescent="0.25">
      <c r="A39" s="185">
        <v>6623</v>
      </c>
      <c r="B39" s="185">
        <v>193</v>
      </c>
      <c r="C39" s="186" t="s">
        <v>13</v>
      </c>
      <c r="D39" s="186" t="s">
        <v>194</v>
      </c>
      <c r="E39" s="185">
        <v>19</v>
      </c>
      <c r="F39" s="186" t="s">
        <v>50</v>
      </c>
      <c r="G39" s="185">
        <v>4155</v>
      </c>
      <c r="H39" s="186" t="s">
        <v>56</v>
      </c>
      <c r="I39" s="185" t="s">
        <v>53</v>
      </c>
      <c r="J39" s="187">
        <v>0.1449</v>
      </c>
      <c r="K39" s="186" t="s">
        <v>50</v>
      </c>
      <c r="L39" s="188">
        <v>0.1</v>
      </c>
      <c r="M39" s="186"/>
      <c r="N39" s="41"/>
      <c r="O39" s="41"/>
      <c r="P39" s="41"/>
      <c r="Q39" s="42"/>
    </row>
    <row r="40" spans="1:17" ht="20.100000000000001" customHeight="1" x14ac:dyDescent="0.25">
      <c r="A40" s="185">
        <v>6623</v>
      </c>
      <c r="B40" s="185">
        <v>193</v>
      </c>
      <c r="C40" s="186" t="s">
        <v>13</v>
      </c>
      <c r="D40" s="186" t="s">
        <v>194</v>
      </c>
      <c r="E40" s="185">
        <v>19</v>
      </c>
      <c r="F40" s="186" t="s">
        <v>108</v>
      </c>
      <c r="G40" s="185">
        <v>3635</v>
      </c>
      <c r="H40" s="186" t="s">
        <v>109</v>
      </c>
      <c r="I40" s="185" t="s">
        <v>73</v>
      </c>
      <c r="J40" s="187">
        <v>5.8999999999999997E-2</v>
      </c>
      <c r="K40" s="186" t="s">
        <v>108</v>
      </c>
      <c r="L40" s="188">
        <v>0.1</v>
      </c>
      <c r="M40" s="186"/>
      <c r="N40" s="41"/>
      <c r="O40" s="41"/>
      <c r="P40" s="41"/>
      <c r="Q40" s="42"/>
    </row>
    <row r="41" spans="1:17" ht="20.100000000000001" customHeight="1" x14ac:dyDescent="0.25">
      <c r="A41" s="181">
        <v>6624</v>
      </c>
      <c r="B41" s="181">
        <v>192</v>
      </c>
      <c r="C41" s="182" t="s">
        <v>13</v>
      </c>
      <c r="D41" s="182" t="s">
        <v>193</v>
      </c>
      <c r="E41" s="181">
        <v>19</v>
      </c>
      <c r="F41" s="182" t="s">
        <v>34</v>
      </c>
      <c r="G41" s="181">
        <v>19</v>
      </c>
      <c r="H41" s="182" t="s">
        <v>41</v>
      </c>
      <c r="I41" s="181" t="s">
        <v>36</v>
      </c>
      <c r="J41" s="183">
        <v>3.367</v>
      </c>
      <c r="K41" s="182" t="s">
        <v>34</v>
      </c>
      <c r="L41" s="184">
        <v>0.1</v>
      </c>
      <c r="M41" s="182"/>
      <c r="N41" s="41"/>
      <c r="O41" s="41"/>
      <c r="P41" s="41"/>
      <c r="Q41" s="42"/>
    </row>
    <row r="42" spans="1:17" ht="20.100000000000001" customHeight="1" x14ac:dyDescent="0.25">
      <c r="A42" s="185">
        <v>6624</v>
      </c>
      <c r="B42" s="185">
        <v>192</v>
      </c>
      <c r="C42" s="186" t="s">
        <v>13</v>
      </c>
      <c r="D42" s="186" t="s">
        <v>193</v>
      </c>
      <c r="E42" s="185">
        <v>19</v>
      </c>
      <c r="F42" s="186" t="s">
        <v>57</v>
      </c>
      <c r="G42" s="185">
        <v>3595</v>
      </c>
      <c r="H42" s="186" t="s">
        <v>287</v>
      </c>
      <c r="I42" s="185" t="s">
        <v>36</v>
      </c>
      <c r="J42" s="187">
        <v>0.31</v>
      </c>
      <c r="K42" s="186" t="s">
        <v>57</v>
      </c>
      <c r="L42" s="188">
        <v>0.1</v>
      </c>
      <c r="M42" s="186"/>
      <c r="N42" s="41"/>
      <c r="O42" s="41"/>
      <c r="P42" s="41"/>
      <c r="Q42" s="42"/>
    </row>
    <row r="43" spans="1:17" ht="20.100000000000001" customHeight="1" x14ac:dyDescent="0.25">
      <c r="A43" s="185">
        <v>6624</v>
      </c>
      <c r="B43" s="185">
        <v>192</v>
      </c>
      <c r="C43" s="186" t="s">
        <v>13</v>
      </c>
      <c r="D43" s="186" t="s">
        <v>193</v>
      </c>
      <c r="E43" s="185">
        <v>19</v>
      </c>
      <c r="F43" s="186" t="s">
        <v>71</v>
      </c>
      <c r="G43" s="185">
        <v>80</v>
      </c>
      <c r="H43" s="186" t="s">
        <v>77</v>
      </c>
      <c r="I43" s="185" t="s">
        <v>288</v>
      </c>
      <c r="J43" s="187">
        <v>1000</v>
      </c>
      <c r="K43" s="186" t="s">
        <v>71</v>
      </c>
      <c r="L43" s="188">
        <v>0.02</v>
      </c>
      <c r="M43" s="186"/>
      <c r="N43" s="41"/>
      <c r="O43" s="41"/>
      <c r="P43" s="41"/>
      <c r="Q43" s="42"/>
    </row>
    <row r="44" spans="1:17" ht="20.100000000000001" customHeight="1" x14ac:dyDescent="0.25">
      <c r="A44" s="185">
        <v>6624</v>
      </c>
      <c r="B44" s="185">
        <v>192</v>
      </c>
      <c r="C44" s="186" t="s">
        <v>13</v>
      </c>
      <c r="D44" s="186" t="s">
        <v>193</v>
      </c>
      <c r="E44" s="185">
        <v>19</v>
      </c>
      <c r="F44" s="186" t="s">
        <v>95</v>
      </c>
      <c r="G44" s="185">
        <v>3619</v>
      </c>
      <c r="H44" s="186" t="s">
        <v>289</v>
      </c>
      <c r="I44" s="185" t="s">
        <v>288</v>
      </c>
      <c r="J44" s="187">
        <v>1.7</v>
      </c>
      <c r="K44" s="186" t="s">
        <v>95</v>
      </c>
      <c r="L44" s="188">
        <v>0.1</v>
      </c>
      <c r="M44" s="186"/>
      <c r="N44" s="41"/>
      <c r="O44" s="41"/>
      <c r="P44" s="41"/>
      <c r="Q44" s="42"/>
    </row>
    <row r="45" spans="1:17" ht="20.100000000000001" customHeight="1" x14ac:dyDescent="0.25">
      <c r="A45" s="185">
        <v>6624</v>
      </c>
      <c r="B45" s="185">
        <v>192</v>
      </c>
      <c r="C45" s="186" t="s">
        <v>13</v>
      </c>
      <c r="D45" s="186" t="s">
        <v>193</v>
      </c>
      <c r="E45" s="185">
        <v>19</v>
      </c>
      <c r="F45" s="186" t="s">
        <v>105</v>
      </c>
      <c r="G45" s="185">
        <v>194</v>
      </c>
      <c r="H45" s="186" t="s">
        <v>106</v>
      </c>
      <c r="I45" s="185" t="s">
        <v>36</v>
      </c>
      <c r="J45" s="187">
        <v>3.3999999999999998E-3</v>
      </c>
      <c r="K45" s="186" t="s">
        <v>105</v>
      </c>
      <c r="L45" s="188">
        <v>0.1</v>
      </c>
      <c r="M45" s="186"/>
      <c r="N45" s="41"/>
      <c r="O45" s="41"/>
      <c r="P45" s="41"/>
      <c r="Q45" s="42"/>
    </row>
    <row r="46" spans="1:17" ht="20.100000000000001" customHeight="1" x14ac:dyDescent="0.25">
      <c r="A46" s="185">
        <v>6624</v>
      </c>
      <c r="B46" s="185">
        <v>192</v>
      </c>
      <c r="C46" s="186" t="s">
        <v>13</v>
      </c>
      <c r="D46" s="186" t="s">
        <v>193</v>
      </c>
      <c r="E46" s="185">
        <v>19</v>
      </c>
      <c r="F46" s="186" t="s">
        <v>50</v>
      </c>
      <c r="G46" s="185">
        <v>4155</v>
      </c>
      <c r="H46" s="186" t="s">
        <v>56</v>
      </c>
      <c r="I46" s="185" t="s">
        <v>53</v>
      </c>
      <c r="J46" s="187">
        <v>0.1449</v>
      </c>
      <c r="K46" s="186" t="s">
        <v>50</v>
      </c>
      <c r="L46" s="188">
        <v>0.1</v>
      </c>
      <c r="M46" s="186"/>
      <c r="N46" s="41"/>
      <c r="O46" s="41"/>
      <c r="P46" s="41"/>
      <c r="Q46" s="42"/>
    </row>
    <row r="47" spans="1:17" ht="20.100000000000001" customHeight="1" x14ac:dyDescent="0.25">
      <c r="A47" s="185">
        <v>6624</v>
      </c>
      <c r="B47" s="185">
        <v>192</v>
      </c>
      <c r="C47" s="186" t="s">
        <v>13</v>
      </c>
      <c r="D47" s="186" t="s">
        <v>193</v>
      </c>
      <c r="E47" s="185">
        <v>19</v>
      </c>
      <c r="F47" s="186" t="s">
        <v>108</v>
      </c>
      <c r="G47" s="185">
        <v>3635</v>
      </c>
      <c r="H47" s="186" t="s">
        <v>109</v>
      </c>
      <c r="I47" s="185" t="s">
        <v>73</v>
      </c>
      <c r="J47" s="187">
        <v>5.8999999999999997E-2</v>
      </c>
      <c r="K47" s="186" t="s">
        <v>108</v>
      </c>
      <c r="L47" s="188">
        <v>0.1</v>
      </c>
      <c r="M47" s="186"/>
      <c r="N47" s="41"/>
      <c r="O47" s="41"/>
      <c r="P47" s="41"/>
      <c r="Q47" s="42"/>
    </row>
    <row r="48" spans="1:17" ht="20.100000000000001" customHeight="1" x14ac:dyDescent="0.25">
      <c r="A48" s="181">
        <v>6077</v>
      </c>
      <c r="B48" s="181">
        <v>138</v>
      </c>
      <c r="C48" s="182" t="s">
        <v>11</v>
      </c>
      <c r="D48" s="182" t="s">
        <v>12</v>
      </c>
      <c r="E48" s="181">
        <v>20.5</v>
      </c>
      <c r="F48" s="182" t="s">
        <v>34</v>
      </c>
      <c r="G48" s="181">
        <v>4179</v>
      </c>
      <c r="H48" s="182" t="s">
        <v>42</v>
      </c>
      <c r="I48" s="181" t="s">
        <v>36</v>
      </c>
      <c r="J48" s="183">
        <v>3.9369999999999998</v>
      </c>
      <c r="K48" s="182" t="s">
        <v>275</v>
      </c>
      <c r="L48" s="184">
        <v>0.1</v>
      </c>
      <c r="M48" s="182"/>
      <c r="N48" s="41"/>
      <c r="O48" s="41"/>
      <c r="P48" s="41"/>
      <c r="Q48" s="42"/>
    </row>
    <row r="49" spans="1:17" ht="20.100000000000001" customHeight="1" x14ac:dyDescent="0.25">
      <c r="A49" s="185">
        <v>6077</v>
      </c>
      <c r="B49" s="185">
        <v>138</v>
      </c>
      <c r="C49" s="186" t="s">
        <v>11</v>
      </c>
      <c r="D49" s="186" t="s">
        <v>12</v>
      </c>
      <c r="E49" s="185">
        <v>20.5</v>
      </c>
      <c r="F49" s="186" t="s">
        <v>57</v>
      </c>
      <c r="G49" s="185">
        <v>3595</v>
      </c>
      <c r="H49" s="186" t="s">
        <v>277</v>
      </c>
      <c r="I49" s="185" t="s">
        <v>36</v>
      </c>
      <c r="J49" s="187">
        <v>0.31</v>
      </c>
      <c r="K49" s="186" t="s">
        <v>278</v>
      </c>
      <c r="L49" s="188">
        <v>0.1</v>
      </c>
      <c r="M49" s="186"/>
      <c r="N49" s="41"/>
      <c r="O49" s="41"/>
      <c r="P49" s="41"/>
      <c r="Q49" s="42"/>
    </row>
    <row r="50" spans="1:17" ht="20.100000000000001" customHeight="1" x14ac:dyDescent="0.25">
      <c r="A50" s="185">
        <v>6077</v>
      </c>
      <c r="B50" s="185">
        <v>138</v>
      </c>
      <c r="C50" s="186" t="s">
        <v>11</v>
      </c>
      <c r="D50" s="186" t="s">
        <v>12</v>
      </c>
      <c r="E50" s="185">
        <v>20.5</v>
      </c>
      <c r="F50" s="186" t="s">
        <v>71</v>
      </c>
      <c r="G50" s="185">
        <v>7370</v>
      </c>
      <c r="H50" s="186" t="s">
        <v>86</v>
      </c>
      <c r="I50" s="185" t="s">
        <v>73</v>
      </c>
      <c r="J50" s="187">
        <v>1000</v>
      </c>
      <c r="K50" s="186" t="s">
        <v>279</v>
      </c>
      <c r="L50" s="188">
        <v>0.02</v>
      </c>
      <c r="M50" s="186"/>
      <c r="N50" s="41"/>
      <c r="O50" s="41"/>
      <c r="P50" s="41"/>
      <c r="Q50" s="42"/>
    </row>
    <row r="51" spans="1:17" ht="20.100000000000001" customHeight="1" x14ac:dyDescent="0.25">
      <c r="A51" s="185">
        <v>6077</v>
      </c>
      <c r="B51" s="185">
        <v>138</v>
      </c>
      <c r="C51" s="186" t="s">
        <v>11</v>
      </c>
      <c r="D51" s="186" t="s">
        <v>12</v>
      </c>
      <c r="E51" s="185">
        <v>20.5</v>
      </c>
      <c r="F51" s="186" t="s">
        <v>95</v>
      </c>
      <c r="G51" s="185">
        <v>3619</v>
      </c>
      <c r="H51" s="186" t="s">
        <v>100</v>
      </c>
      <c r="I51" s="185" t="s">
        <v>73</v>
      </c>
      <c r="J51" s="187">
        <v>1.7</v>
      </c>
      <c r="K51" s="186" t="s">
        <v>280</v>
      </c>
      <c r="L51" s="188">
        <v>0.1</v>
      </c>
      <c r="M51" s="186"/>
      <c r="N51" s="41"/>
      <c r="O51" s="41"/>
      <c r="P51" s="41"/>
      <c r="Q51" s="42"/>
    </row>
    <row r="52" spans="1:17" ht="20.100000000000001" customHeight="1" x14ac:dyDescent="0.25">
      <c r="A52" s="185">
        <v>6077</v>
      </c>
      <c r="B52" s="185">
        <v>138</v>
      </c>
      <c r="C52" s="186" t="s">
        <v>11</v>
      </c>
      <c r="D52" s="186" t="s">
        <v>12</v>
      </c>
      <c r="E52" s="185">
        <v>20.5</v>
      </c>
      <c r="F52" s="186" t="s">
        <v>105</v>
      </c>
      <c r="G52" s="185">
        <v>194</v>
      </c>
      <c r="H52" s="186" t="s">
        <v>106</v>
      </c>
      <c r="I52" s="185" t="s">
        <v>36</v>
      </c>
      <c r="J52" s="187">
        <v>3.3999999999999998E-3</v>
      </c>
      <c r="K52" s="186" t="s">
        <v>290</v>
      </c>
      <c r="L52" s="188">
        <v>0.1</v>
      </c>
      <c r="M52" s="186"/>
      <c r="N52" s="41"/>
      <c r="O52" s="41"/>
      <c r="P52" s="41"/>
      <c r="Q52" s="42"/>
    </row>
    <row r="53" spans="1:17" ht="20.100000000000001" customHeight="1" x14ac:dyDescent="0.25">
      <c r="A53" s="185">
        <v>6077</v>
      </c>
      <c r="B53" s="185">
        <v>138</v>
      </c>
      <c r="C53" s="186" t="s">
        <v>11</v>
      </c>
      <c r="D53" s="186" t="s">
        <v>12</v>
      </c>
      <c r="E53" s="185">
        <v>20.5</v>
      </c>
      <c r="F53" s="186" t="s">
        <v>50</v>
      </c>
      <c r="G53" s="185">
        <v>4155</v>
      </c>
      <c r="H53" s="186" t="s">
        <v>56</v>
      </c>
      <c r="I53" s="185" t="s">
        <v>36</v>
      </c>
      <c r="J53" s="187">
        <v>0.1449</v>
      </c>
      <c r="K53" s="186" t="s">
        <v>282</v>
      </c>
      <c r="L53" s="188">
        <v>0.1</v>
      </c>
      <c r="M53" s="186"/>
      <c r="N53" s="41"/>
      <c r="O53" s="41"/>
      <c r="P53" s="41"/>
      <c r="Q53" s="42"/>
    </row>
    <row r="54" spans="1:17" ht="20.100000000000001" customHeight="1" x14ac:dyDescent="0.25">
      <c r="A54" s="185">
        <v>6077</v>
      </c>
      <c r="B54" s="185">
        <v>138</v>
      </c>
      <c r="C54" s="186" t="s">
        <v>11</v>
      </c>
      <c r="D54" s="186" t="s">
        <v>12</v>
      </c>
      <c r="E54" s="185">
        <v>20.5</v>
      </c>
      <c r="F54" s="186" t="s">
        <v>108</v>
      </c>
      <c r="G54" s="185">
        <v>3635</v>
      </c>
      <c r="H54" s="186" t="s">
        <v>109</v>
      </c>
      <c r="I54" s="185" t="s">
        <v>73</v>
      </c>
      <c r="J54" s="187">
        <v>5.8999999999999997E-2</v>
      </c>
      <c r="K54" s="186" t="s">
        <v>291</v>
      </c>
      <c r="L54" s="188">
        <v>0.1</v>
      </c>
      <c r="M54" s="186"/>
      <c r="N54" s="41"/>
      <c r="O54" s="41"/>
      <c r="P54" s="41"/>
      <c r="Q54" s="42"/>
    </row>
    <row r="55" spans="1:17" ht="20.100000000000001" customHeight="1" x14ac:dyDescent="0.25">
      <c r="A55" s="181">
        <v>5699</v>
      </c>
      <c r="B55" s="181">
        <v>21</v>
      </c>
      <c r="C55" s="182" t="s">
        <v>13</v>
      </c>
      <c r="D55" s="182" t="s">
        <v>197</v>
      </c>
      <c r="E55" s="181">
        <v>20.5</v>
      </c>
      <c r="F55" s="182" t="s">
        <v>34</v>
      </c>
      <c r="G55" s="181">
        <v>4179</v>
      </c>
      <c r="H55" s="182" t="s">
        <v>42</v>
      </c>
      <c r="I55" s="181" t="s">
        <v>36</v>
      </c>
      <c r="J55" s="183">
        <v>3.9369999999999998</v>
      </c>
      <c r="K55" s="182" t="s">
        <v>275</v>
      </c>
      <c r="L55" s="184">
        <v>0.1</v>
      </c>
      <c r="M55" s="182"/>
      <c r="N55" s="41"/>
      <c r="O55" s="41"/>
      <c r="P55" s="41"/>
      <c r="Q55" s="42"/>
    </row>
    <row r="56" spans="1:17" ht="20.100000000000001" customHeight="1" x14ac:dyDescent="0.25">
      <c r="A56" s="185">
        <v>5699</v>
      </c>
      <c r="B56" s="185">
        <v>21</v>
      </c>
      <c r="C56" s="186" t="s">
        <v>13</v>
      </c>
      <c r="D56" s="186" t="s">
        <v>197</v>
      </c>
      <c r="E56" s="185">
        <v>20.5</v>
      </c>
      <c r="F56" s="186" t="s">
        <v>57</v>
      </c>
      <c r="G56" s="185">
        <v>3595</v>
      </c>
      <c r="H56" s="186" t="s">
        <v>277</v>
      </c>
      <c r="I56" s="185" t="s">
        <v>36</v>
      </c>
      <c r="J56" s="187">
        <v>0.38500000000000001</v>
      </c>
      <c r="K56" s="186" t="s">
        <v>278</v>
      </c>
      <c r="L56" s="188">
        <v>0.1</v>
      </c>
      <c r="M56" s="186"/>
      <c r="N56" s="41"/>
      <c r="O56" s="41"/>
      <c r="P56" s="41"/>
      <c r="Q56" s="42"/>
    </row>
    <row r="57" spans="1:17" ht="20.100000000000001" customHeight="1" x14ac:dyDescent="0.25">
      <c r="A57" s="185">
        <v>5699</v>
      </c>
      <c r="B57" s="185">
        <v>21</v>
      </c>
      <c r="C57" s="186" t="s">
        <v>13</v>
      </c>
      <c r="D57" s="186" t="s">
        <v>197</v>
      </c>
      <c r="E57" s="185">
        <v>20.5</v>
      </c>
      <c r="F57" s="186" t="s">
        <v>71</v>
      </c>
      <c r="G57" s="185">
        <v>6971</v>
      </c>
      <c r="H57" s="186" t="s">
        <v>85</v>
      </c>
      <c r="I57" s="185" t="s">
        <v>73</v>
      </c>
      <c r="J57" s="187">
        <v>1000</v>
      </c>
      <c r="K57" s="186" t="s">
        <v>279</v>
      </c>
      <c r="L57" s="188">
        <v>0.02</v>
      </c>
      <c r="M57" s="186"/>
      <c r="N57" s="41"/>
      <c r="O57" s="41"/>
      <c r="P57" s="41"/>
      <c r="Q57" s="42"/>
    </row>
    <row r="58" spans="1:17" ht="20.100000000000001" customHeight="1" x14ac:dyDescent="0.25">
      <c r="A58" s="185">
        <v>5699</v>
      </c>
      <c r="B58" s="185">
        <v>21</v>
      </c>
      <c r="C58" s="186" t="s">
        <v>13</v>
      </c>
      <c r="D58" s="186" t="s">
        <v>197</v>
      </c>
      <c r="E58" s="185">
        <v>20.5</v>
      </c>
      <c r="F58" s="186" t="s">
        <v>95</v>
      </c>
      <c r="G58" s="185">
        <v>3619</v>
      </c>
      <c r="H58" s="186" t="s">
        <v>100</v>
      </c>
      <c r="I58" s="185" t="s">
        <v>73</v>
      </c>
      <c r="J58" s="187">
        <v>1.9607000000000001</v>
      </c>
      <c r="K58" s="186" t="s">
        <v>280</v>
      </c>
      <c r="L58" s="188">
        <v>0.1</v>
      </c>
      <c r="M58" s="186"/>
      <c r="N58" s="41"/>
      <c r="O58" s="41"/>
      <c r="P58" s="41"/>
      <c r="Q58" s="42"/>
    </row>
    <row r="59" spans="1:17" ht="20.100000000000001" customHeight="1" x14ac:dyDescent="0.25">
      <c r="A59" s="185">
        <v>5699</v>
      </c>
      <c r="B59" s="185">
        <v>21</v>
      </c>
      <c r="C59" s="186" t="s">
        <v>13</v>
      </c>
      <c r="D59" s="186" t="s">
        <v>197</v>
      </c>
      <c r="E59" s="185">
        <v>20.5</v>
      </c>
      <c r="F59" s="186" t="s">
        <v>105</v>
      </c>
      <c r="G59" s="185">
        <v>194</v>
      </c>
      <c r="H59" s="186" t="s">
        <v>106</v>
      </c>
      <c r="I59" s="185" t="s">
        <v>36</v>
      </c>
      <c r="J59" s="187">
        <v>4.0899999999999999E-3</v>
      </c>
      <c r="K59" s="186" t="s">
        <v>281</v>
      </c>
      <c r="L59" s="188">
        <v>0.1</v>
      </c>
      <c r="M59" s="186"/>
      <c r="N59" s="41"/>
      <c r="O59" s="41"/>
      <c r="P59" s="41"/>
      <c r="Q59" s="42"/>
    </row>
    <row r="60" spans="1:17" ht="20.100000000000001" customHeight="1" x14ac:dyDescent="0.25">
      <c r="A60" s="185">
        <v>5699</v>
      </c>
      <c r="B60" s="185">
        <v>21</v>
      </c>
      <c r="C60" s="186" t="s">
        <v>13</v>
      </c>
      <c r="D60" s="186" t="s">
        <v>197</v>
      </c>
      <c r="E60" s="185">
        <v>20.5</v>
      </c>
      <c r="F60" s="186" t="s">
        <v>50</v>
      </c>
      <c r="G60" s="185">
        <v>4155</v>
      </c>
      <c r="H60" s="186" t="s">
        <v>56</v>
      </c>
      <c r="I60" s="185" t="s">
        <v>53</v>
      </c>
      <c r="J60" s="187">
        <v>0.24</v>
      </c>
      <c r="K60" s="186" t="s">
        <v>282</v>
      </c>
      <c r="L60" s="188">
        <v>0.1</v>
      </c>
      <c r="M60" s="186"/>
      <c r="N60" s="41"/>
      <c r="O60" s="41"/>
      <c r="P60" s="41"/>
      <c r="Q60" s="42"/>
    </row>
    <row r="61" spans="1:17" ht="20.100000000000001" customHeight="1" x14ac:dyDescent="0.25">
      <c r="A61" s="185">
        <v>5699</v>
      </c>
      <c r="B61" s="185">
        <v>21</v>
      </c>
      <c r="C61" s="186" t="s">
        <v>13</v>
      </c>
      <c r="D61" s="186" t="s">
        <v>197</v>
      </c>
      <c r="E61" s="185">
        <v>20.5</v>
      </c>
      <c r="F61" s="186" t="s">
        <v>108</v>
      </c>
      <c r="G61" s="185">
        <v>3635</v>
      </c>
      <c r="H61" s="186" t="s">
        <v>109</v>
      </c>
      <c r="I61" s="185" t="s">
        <v>73</v>
      </c>
      <c r="J61" s="187">
        <v>5.8999999999999997E-2</v>
      </c>
      <c r="K61" s="186" t="s">
        <v>284</v>
      </c>
      <c r="L61" s="188">
        <v>0.1</v>
      </c>
      <c r="M61" s="186"/>
      <c r="N61" s="41"/>
      <c r="O61" s="41"/>
      <c r="P61" s="41"/>
      <c r="Q61" s="42"/>
    </row>
    <row r="62" spans="1:17" ht="20.100000000000001" customHeight="1" x14ac:dyDescent="0.25">
      <c r="A62" s="181">
        <v>5698</v>
      </c>
      <c r="B62" s="181">
        <v>22</v>
      </c>
      <c r="C62" s="182" t="s">
        <v>13</v>
      </c>
      <c r="D62" s="182" t="s">
        <v>199</v>
      </c>
      <c r="E62" s="181">
        <v>20.5</v>
      </c>
      <c r="F62" s="182" t="s">
        <v>34</v>
      </c>
      <c r="G62" s="181">
        <v>4179</v>
      </c>
      <c r="H62" s="182" t="s">
        <v>42</v>
      </c>
      <c r="I62" s="181" t="s">
        <v>36</v>
      </c>
      <c r="J62" s="183">
        <v>3.9369999999999998</v>
      </c>
      <c r="K62" s="182" t="s">
        <v>275</v>
      </c>
      <c r="L62" s="184">
        <v>0.1</v>
      </c>
      <c r="M62" s="182"/>
      <c r="N62" s="41"/>
      <c r="O62" s="41"/>
      <c r="P62" s="41"/>
      <c r="Q62" s="42"/>
    </row>
    <row r="63" spans="1:17" ht="20.100000000000001" customHeight="1" x14ac:dyDescent="0.25">
      <c r="A63" s="185">
        <v>5698</v>
      </c>
      <c r="B63" s="185">
        <v>22</v>
      </c>
      <c r="C63" s="186" t="s">
        <v>13</v>
      </c>
      <c r="D63" s="186" t="s">
        <v>199</v>
      </c>
      <c r="E63" s="185">
        <v>20.5</v>
      </c>
      <c r="F63" s="186" t="s">
        <v>57</v>
      </c>
      <c r="G63" s="185">
        <v>3595</v>
      </c>
      <c r="H63" s="186" t="s">
        <v>277</v>
      </c>
      <c r="I63" s="185" t="s">
        <v>36</v>
      </c>
      <c r="J63" s="187">
        <v>0.38500000000000001</v>
      </c>
      <c r="K63" s="186" t="s">
        <v>278</v>
      </c>
      <c r="L63" s="188">
        <v>0.1</v>
      </c>
      <c r="M63" s="186"/>
      <c r="N63" s="41"/>
      <c r="O63" s="41"/>
      <c r="P63" s="41"/>
      <c r="Q63" s="42"/>
    </row>
    <row r="64" spans="1:17" ht="20.100000000000001" customHeight="1" x14ac:dyDescent="0.25">
      <c r="A64" s="185">
        <v>5698</v>
      </c>
      <c r="B64" s="185">
        <v>22</v>
      </c>
      <c r="C64" s="186" t="s">
        <v>13</v>
      </c>
      <c r="D64" s="186" t="s">
        <v>199</v>
      </c>
      <c r="E64" s="185">
        <v>20.5</v>
      </c>
      <c r="F64" s="186" t="s">
        <v>71</v>
      </c>
      <c r="G64" s="185">
        <v>6971</v>
      </c>
      <c r="H64" s="186" t="s">
        <v>85</v>
      </c>
      <c r="I64" s="185" t="s">
        <v>73</v>
      </c>
      <c r="J64" s="187">
        <v>1000</v>
      </c>
      <c r="K64" s="186" t="s">
        <v>279</v>
      </c>
      <c r="L64" s="188">
        <v>0.02</v>
      </c>
      <c r="M64" s="186"/>
      <c r="N64" s="41"/>
      <c r="O64" s="41"/>
      <c r="P64" s="41"/>
      <c r="Q64" s="42"/>
    </row>
    <row r="65" spans="1:17" ht="20.100000000000001" customHeight="1" x14ac:dyDescent="0.25">
      <c r="A65" s="185">
        <v>5698</v>
      </c>
      <c r="B65" s="185">
        <v>22</v>
      </c>
      <c r="C65" s="186" t="s">
        <v>13</v>
      </c>
      <c r="D65" s="186" t="s">
        <v>199</v>
      </c>
      <c r="E65" s="185">
        <v>20.5</v>
      </c>
      <c r="F65" s="186" t="s">
        <v>95</v>
      </c>
      <c r="G65" s="185">
        <v>3619</v>
      </c>
      <c r="H65" s="186" t="s">
        <v>100</v>
      </c>
      <c r="I65" s="185" t="s">
        <v>73</v>
      </c>
      <c r="J65" s="187">
        <v>2.976</v>
      </c>
      <c r="K65" s="186" t="s">
        <v>280</v>
      </c>
      <c r="L65" s="188">
        <v>0.1</v>
      </c>
      <c r="M65" s="186"/>
      <c r="N65" s="41"/>
      <c r="O65" s="41"/>
      <c r="P65" s="41"/>
      <c r="Q65" s="42"/>
    </row>
    <row r="66" spans="1:17" ht="20.100000000000001" customHeight="1" x14ac:dyDescent="0.25">
      <c r="A66" s="185">
        <v>5698</v>
      </c>
      <c r="B66" s="185">
        <v>22</v>
      </c>
      <c r="C66" s="186" t="s">
        <v>13</v>
      </c>
      <c r="D66" s="186" t="s">
        <v>199</v>
      </c>
      <c r="E66" s="185">
        <v>20.5</v>
      </c>
      <c r="F66" s="186" t="s">
        <v>105</v>
      </c>
      <c r="G66" s="185">
        <v>194</v>
      </c>
      <c r="H66" s="186" t="s">
        <v>106</v>
      </c>
      <c r="I66" s="185" t="s">
        <v>36</v>
      </c>
      <c r="J66" s="187">
        <v>4.0899999999999999E-3</v>
      </c>
      <c r="K66" s="186" t="s">
        <v>281</v>
      </c>
      <c r="L66" s="188">
        <v>0.1</v>
      </c>
      <c r="M66" s="186"/>
      <c r="N66" s="41"/>
      <c r="O66" s="41"/>
      <c r="P66" s="41"/>
      <c r="Q66" s="42"/>
    </row>
    <row r="67" spans="1:17" ht="20.100000000000001" customHeight="1" x14ac:dyDescent="0.25">
      <c r="A67" s="185">
        <v>5698</v>
      </c>
      <c r="B67" s="185">
        <v>22</v>
      </c>
      <c r="C67" s="186" t="s">
        <v>13</v>
      </c>
      <c r="D67" s="186" t="s">
        <v>199</v>
      </c>
      <c r="E67" s="185">
        <v>20.5</v>
      </c>
      <c r="F67" s="186" t="s">
        <v>50</v>
      </c>
      <c r="G67" s="185">
        <v>4155</v>
      </c>
      <c r="H67" s="186" t="s">
        <v>56</v>
      </c>
      <c r="I67" s="185" t="s">
        <v>53</v>
      </c>
      <c r="J67" s="187">
        <v>0.24</v>
      </c>
      <c r="K67" s="186" t="s">
        <v>282</v>
      </c>
      <c r="L67" s="188">
        <v>0.1</v>
      </c>
      <c r="M67" s="186"/>
      <c r="N67" s="41"/>
      <c r="O67" s="41"/>
      <c r="P67" s="41"/>
      <c r="Q67" s="42"/>
    </row>
    <row r="68" spans="1:17" ht="20.100000000000001" customHeight="1" x14ac:dyDescent="0.25">
      <c r="A68" s="185">
        <v>5698</v>
      </c>
      <c r="B68" s="185">
        <v>22</v>
      </c>
      <c r="C68" s="186" t="s">
        <v>13</v>
      </c>
      <c r="D68" s="186" t="s">
        <v>199</v>
      </c>
      <c r="E68" s="185">
        <v>20.5</v>
      </c>
      <c r="F68" s="186" t="s">
        <v>108</v>
      </c>
      <c r="G68" s="185">
        <v>3635</v>
      </c>
      <c r="H68" s="186" t="s">
        <v>109</v>
      </c>
      <c r="I68" s="185" t="s">
        <v>73</v>
      </c>
      <c r="J68" s="187">
        <v>5.8999999999999997E-2</v>
      </c>
      <c r="K68" s="186" t="s">
        <v>284</v>
      </c>
      <c r="L68" s="188">
        <v>0.1</v>
      </c>
      <c r="M68" s="186"/>
      <c r="N68" s="41"/>
      <c r="O68" s="41"/>
      <c r="P68" s="41"/>
      <c r="Q68" s="42"/>
    </row>
    <row r="69" spans="1:17" ht="20.100000000000001" customHeight="1" x14ac:dyDescent="0.25">
      <c r="A69" s="181">
        <v>6556</v>
      </c>
      <c r="B69" s="181">
        <v>186</v>
      </c>
      <c r="C69" s="182" t="s">
        <v>13</v>
      </c>
      <c r="D69" s="182" t="s">
        <v>201</v>
      </c>
      <c r="E69" s="181">
        <v>20.5</v>
      </c>
      <c r="F69" s="182" t="s">
        <v>34</v>
      </c>
      <c r="G69" s="181">
        <v>4179</v>
      </c>
      <c r="H69" s="182" t="s">
        <v>42</v>
      </c>
      <c r="I69" s="181" t="s">
        <v>36</v>
      </c>
      <c r="J69" s="183">
        <v>3.9369999999999998</v>
      </c>
      <c r="K69" s="182" t="s">
        <v>275</v>
      </c>
      <c r="L69" s="184">
        <v>0.1</v>
      </c>
      <c r="M69" s="182"/>
      <c r="N69" s="41"/>
      <c r="O69" s="41"/>
      <c r="P69" s="41"/>
      <c r="Q69" s="42"/>
    </row>
    <row r="70" spans="1:17" ht="20.100000000000001" customHeight="1" x14ac:dyDescent="0.25">
      <c r="A70" s="185">
        <v>6556</v>
      </c>
      <c r="B70" s="185">
        <v>186</v>
      </c>
      <c r="C70" s="186" t="s">
        <v>13</v>
      </c>
      <c r="D70" s="186" t="s">
        <v>201</v>
      </c>
      <c r="E70" s="185">
        <v>20.5</v>
      </c>
      <c r="F70" s="186" t="s">
        <v>57</v>
      </c>
      <c r="G70" s="185">
        <v>3595</v>
      </c>
      <c r="H70" s="186" t="s">
        <v>277</v>
      </c>
      <c r="I70" s="185" t="s">
        <v>36</v>
      </c>
      <c r="J70" s="187">
        <v>0.38500000000000001</v>
      </c>
      <c r="K70" s="186" t="s">
        <v>278</v>
      </c>
      <c r="L70" s="188">
        <v>0.1</v>
      </c>
      <c r="M70" s="186"/>
      <c r="N70" s="41"/>
      <c r="O70" s="41"/>
      <c r="P70" s="41"/>
      <c r="Q70" s="42"/>
    </row>
    <row r="71" spans="1:17" ht="20.100000000000001" customHeight="1" x14ac:dyDescent="0.25">
      <c r="A71" s="185">
        <v>6556</v>
      </c>
      <c r="B71" s="185">
        <v>186</v>
      </c>
      <c r="C71" s="186" t="s">
        <v>13</v>
      </c>
      <c r="D71" s="186" t="s">
        <v>201</v>
      </c>
      <c r="E71" s="185">
        <v>20.5</v>
      </c>
      <c r="F71" s="186" t="s">
        <v>71</v>
      </c>
      <c r="G71" s="185">
        <v>6971</v>
      </c>
      <c r="H71" s="186" t="s">
        <v>85</v>
      </c>
      <c r="I71" s="185" t="s">
        <v>73</v>
      </c>
      <c r="J71" s="187">
        <v>1000</v>
      </c>
      <c r="K71" s="186" t="s">
        <v>279</v>
      </c>
      <c r="L71" s="188">
        <v>0.02</v>
      </c>
      <c r="M71" s="186"/>
      <c r="N71" s="41"/>
      <c r="O71" s="41"/>
      <c r="P71" s="41"/>
      <c r="Q71" s="42"/>
    </row>
    <row r="72" spans="1:17" ht="20.100000000000001" customHeight="1" x14ac:dyDescent="0.25">
      <c r="A72" s="185">
        <v>6556</v>
      </c>
      <c r="B72" s="185">
        <v>186</v>
      </c>
      <c r="C72" s="186" t="s">
        <v>13</v>
      </c>
      <c r="D72" s="186" t="s">
        <v>201</v>
      </c>
      <c r="E72" s="185">
        <v>20.5</v>
      </c>
      <c r="F72" s="186" t="s">
        <v>95</v>
      </c>
      <c r="G72" s="185">
        <v>3619</v>
      </c>
      <c r="H72" s="186" t="s">
        <v>100</v>
      </c>
      <c r="I72" s="185" t="s">
        <v>73</v>
      </c>
      <c r="J72" s="187">
        <v>1.9607000000000001</v>
      </c>
      <c r="K72" s="186" t="s">
        <v>280</v>
      </c>
      <c r="L72" s="188">
        <v>0.1</v>
      </c>
      <c r="M72" s="186"/>
      <c r="N72" s="41"/>
      <c r="O72" s="41"/>
      <c r="P72" s="41"/>
      <c r="Q72" s="42"/>
    </row>
    <row r="73" spans="1:17" ht="20.100000000000001" customHeight="1" x14ac:dyDescent="0.25">
      <c r="A73" s="185">
        <v>6556</v>
      </c>
      <c r="B73" s="185">
        <v>186</v>
      </c>
      <c r="C73" s="186" t="s">
        <v>13</v>
      </c>
      <c r="D73" s="186" t="s">
        <v>201</v>
      </c>
      <c r="E73" s="185">
        <v>20.5</v>
      </c>
      <c r="F73" s="186" t="s">
        <v>105</v>
      </c>
      <c r="G73" s="185">
        <v>194</v>
      </c>
      <c r="H73" s="186" t="s">
        <v>106</v>
      </c>
      <c r="I73" s="185" t="s">
        <v>36</v>
      </c>
      <c r="J73" s="187">
        <v>4.0899999999999999E-3</v>
      </c>
      <c r="K73" s="186" t="s">
        <v>281</v>
      </c>
      <c r="L73" s="188">
        <v>0.1</v>
      </c>
      <c r="M73" s="186"/>
      <c r="N73" s="41"/>
      <c r="O73" s="41"/>
      <c r="P73" s="41"/>
      <c r="Q73" s="42"/>
    </row>
    <row r="74" spans="1:17" ht="20.100000000000001" customHeight="1" x14ac:dyDescent="0.25">
      <c r="A74" s="185">
        <v>6556</v>
      </c>
      <c r="B74" s="185">
        <v>186</v>
      </c>
      <c r="C74" s="186" t="s">
        <v>13</v>
      </c>
      <c r="D74" s="186" t="s">
        <v>201</v>
      </c>
      <c r="E74" s="185">
        <v>20.5</v>
      </c>
      <c r="F74" s="186" t="s">
        <v>50</v>
      </c>
      <c r="G74" s="185">
        <v>4155</v>
      </c>
      <c r="H74" s="186" t="s">
        <v>56</v>
      </c>
      <c r="I74" s="185" t="s">
        <v>53</v>
      </c>
      <c r="J74" s="187">
        <v>0.24</v>
      </c>
      <c r="K74" s="186" t="s">
        <v>282</v>
      </c>
      <c r="L74" s="188">
        <v>0.1</v>
      </c>
      <c r="M74" s="186"/>
      <c r="N74" s="41"/>
      <c r="O74" s="41"/>
      <c r="P74" s="41"/>
      <c r="Q74" s="42"/>
    </row>
    <row r="75" spans="1:17" ht="20.100000000000001" customHeight="1" x14ac:dyDescent="0.25">
      <c r="A75" s="185">
        <v>6556</v>
      </c>
      <c r="B75" s="185">
        <v>186</v>
      </c>
      <c r="C75" s="186" t="s">
        <v>13</v>
      </c>
      <c r="D75" s="186" t="s">
        <v>201</v>
      </c>
      <c r="E75" s="185">
        <v>20.5</v>
      </c>
      <c r="F75" s="186" t="s">
        <v>108</v>
      </c>
      <c r="G75" s="185">
        <v>3635</v>
      </c>
      <c r="H75" s="186" t="s">
        <v>109</v>
      </c>
      <c r="I75" s="185" t="s">
        <v>73</v>
      </c>
      <c r="J75" s="187">
        <v>5.8999999999999997E-2</v>
      </c>
      <c r="K75" s="186" t="s">
        <v>284</v>
      </c>
      <c r="L75" s="188">
        <v>0.1</v>
      </c>
      <c r="M75" s="186"/>
      <c r="N75" s="41"/>
      <c r="O75" s="41"/>
      <c r="P75" s="41"/>
      <c r="Q75" s="42"/>
    </row>
    <row r="76" spans="1:17" ht="20.100000000000001" customHeight="1" x14ac:dyDescent="0.25">
      <c r="A76" s="181">
        <v>6557</v>
      </c>
      <c r="B76" s="181">
        <v>185</v>
      </c>
      <c r="C76" s="182" t="s">
        <v>13</v>
      </c>
      <c r="D76" s="182" t="s">
        <v>202</v>
      </c>
      <c r="E76" s="181">
        <v>20.5</v>
      </c>
      <c r="F76" s="182" t="s">
        <v>34</v>
      </c>
      <c r="G76" s="181">
        <v>4179</v>
      </c>
      <c r="H76" s="182" t="s">
        <v>42</v>
      </c>
      <c r="I76" s="181" t="s">
        <v>36</v>
      </c>
      <c r="J76" s="183">
        <v>3.9369999999999998</v>
      </c>
      <c r="K76" s="182" t="s">
        <v>275</v>
      </c>
      <c r="L76" s="184">
        <v>0.1</v>
      </c>
      <c r="M76" s="182"/>
      <c r="N76" s="41"/>
      <c r="O76" s="41"/>
      <c r="P76" s="41"/>
      <c r="Q76" s="42"/>
    </row>
    <row r="77" spans="1:17" ht="20.100000000000001" customHeight="1" x14ac:dyDescent="0.25">
      <c r="A77" s="185">
        <v>6557</v>
      </c>
      <c r="B77" s="185">
        <v>185</v>
      </c>
      <c r="C77" s="186" t="s">
        <v>13</v>
      </c>
      <c r="D77" s="186" t="s">
        <v>202</v>
      </c>
      <c r="E77" s="185">
        <v>20.5</v>
      </c>
      <c r="F77" s="186" t="s">
        <v>57</v>
      </c>
      <c r="G77" s="185">
        <v>3595</v>
      </c>
      <c r="H77" s="186" t="s">
        <v>277</v>
      </c>
      <c r="I77" s="185" t="s">
        <v>36</v>
      </c>
      <c r="J77" s="187">
        <v>0.38500000000000001</v>
      </c>
      <c r="K77" s="186" t="s">
        <v>278</v>
      </c>
      <c r="L77" s="188">
        <v>0.1</v>
      </c>
      <c r="M77" s="186"/>
      <c r="N77" s="41"/>
      <c r="O77" s="41"/>
      <c r="P77" s="41"/>
      <c r="Q77" s="42"/>
    </row>
    <row r="78" spans="1:17" ht="20.100000000000001" customHeight="1" x14ac:dyDescent="0.25">
      <c r="A78" s="185">
        <v>6557</v>
      </c>
      <c r="B78" s="185">
        <v>185</v>
      </c>
      <c r="C78" s="186" t="s">
        <v>13</v>
      </c>
      <c r="D78" s="186" t="s">
        <v>202</v>
      </c>
      <c r="E78" s="185">
        <v>20.5</v>
      </c>
      <c r="F78" s="186" t="s">
        <v>71</v>
      </c>
      <c r="G78" s="185">
        <v>6971</v>
      </c>
      <c r="H78" s="186" t="s">
        <v>85</v>
      </c>
      <c r="I78" s="185" t="s">
        <v>73</v>
      </c>
      <c r="J78" s="187">
        <v>1000</v>
      </c>
      <c r="K78" s="186" t="s">
        <v>279</v>
      </c>
      <c r="L78" s="188">
        <v>0.02</v>
      </c>
      <c r="M78" s="186"/>
      <c r="N78" s="41"/>
      <c r="O78" s="41"/>
      <c r="P78" s="41"/>
      <c r="Q78" s="42"/>
    </row>
    <row r="79" spans="1:17" ht="20.100000000000001" customHeight="1" x14ac:dyDescent="0.25">
      <c r="A79" s="185">
        <v>6557</v>
      </c>
      <c r="B79" s="185">
        <v>185</v>
      </c>
      <c r="C79" s="186" t="s">
        <v>13</v>
      </c>
      <c r="D79" s="186" t="s">
        <v>202</v>
      </c>
      <c r="E79" s="185">
        <v>20.5</v>
      </c>
      <c r="F79" s="186" t="s">
        <v>95</v>
      </c>
      <c r="G79" s="185">
        <v>3619</v>
      </c>
      <c r="H79" s="186" t="s">
        <v>100</v>
      </c>
      <c r="I79" s="185" t="s">
        <v>73</v>
      </c>
      <c r="J79" s="187">
        <v>1.9607000000000001</v>
      </c>
      <c r="K79" s="186" t="s">
        <v>280</v>
      </c>
      <c r="L79" s="188">
        <v>0.1</v>
      </c>
      <c r="M79" s="186"/>
      <c r="N79" s="41"/>
      <c r="O79" s="41"/>
      <c r="P79" s="41"/>
      <c r="Q79" s="42"/>
    </row>
    <row r="80" spans="1:17" ht="20.100000000000001" customHeight="1" x14ac:dyDescent="0.25">
      <c r="A80" s="185">
        <v>6557</v>
      </c>
      <c r="B80" s="185">
        <v>185</v>
      </c>
      <c r="C80" s="186" t="s">
        <v>13</v>
      </c>
      <c r="D80" s="186" t="s">
        <v>202</v>
      </c>
      <c r="E80" s="185">
        <v>20.5</v>
      </c>
      <c r="F80" s="186" t="s">
        <v>105</v>
      </c>
      <c r="G80" s="185">
        <v>194</v>
      </c>
      <c r="H80" s="186" t="s">
        <v>106</v>
      </c>
      <c r="I80" s="185" t="s">
        <v>36</v>
      </c>
      <c r="J80" s="187">
        <v>4.0899999999999999E-3</v>
      </c>
      <c r="K80" s="186" t="s">
        <v>281</v>
      </c>
      <c r="L80" s="188">
        <v>0.1</v>
      </c>
      <c r="M80" s="186"/>
      <c r="N80" s="41"/>
      <c r="O80" s="41"/>
      <c r="P80" s="41"/>
      <c r="Q80" s="42"/>
    </row>
    <row r="81" spans="1:17" ht="20.100000000000001" customHeight="1" x14ac:dyDescent="0.25">
      <c r="A81" s="185">
        <v>6557</v>
      </c>
      <c r="B81" s="185">
        <v>185</v>
      </c>
      <c r="C81" s="186" t="s">
        <v>13</v>
      </c>
      <c r="D81" s="186" t="s">
        <v>202</v>
      </c>
      <c r="E81" s="185">
        <v>20.5</v>
      </c>
      <c r="F81" s="186" t="s">
        <v>50</v>
      </c>
      <c r="G81" s="185">
        <v>4155</v>
      </c>
      <c r="H81" s="186" t="s">
        <v>56</v>
      </c>
      <c r="I81" s="185" t="s">
        <v>53</v>
      </c>
      <c r="J81" s="187">
        <v>0.24</v>
      </c>
      <c r="K81" s="186" t="s">
        <v>282</v>
      </c>
      <c r="L81" s="188">
        <v>0.1</v>
      </c>
      <c r="M81" s="186"/>
      <c r="N81" s="41"/>
      <c r="O81" s="41"/>
      <c r="P81" s="41"/>
      <c r="Q81" s="42"/>
    </row>
    <row r="82" spans="1:17" ht="20.100000000000001" customHeight="1" x14ac:dyDescent="0.25">
      <c r="A82" s="185">
        <v>6557</v>
      </c>
      <c r="B82" s="185">
        <v>185</v>
      </c>
      <c r="C82" s="186" t="s">
        <v>13</v>
      </c>
      <c r="D82" s="186" t="s">
        <v>202</v>
      </c>
      <c r="E82" s="185">
        <v>20.5</v>
      </c>
      <c r="F82" s="186" t="s">
        <v>108</v>
      </c>
      <c r="G82" s="185">
        <v>3635</v>
      </c>
      <c r="H82" s="186" t="s">
        <v>109</v>
      </c>
      <c r="I82" s="185" t="s">
        <v>73</v>
      </c>
      <c r="J82" s="187">
        <v>5.8999999999999997E-2</v>
      </c>
      <c r="K82" s="186" t="s">
        <v>284</v>
      </c>
      <c r="L82" s="188">
        <v>0.1</v>
      </c>
      <c r="M82" s="186"/>
      <c r="N82" s="41"/>
      <c r="O82" s="41"/>
      <c r="P82" s="41"/>
      <c r="Q82" s="42"/>
    </row>
    <row r="83" spans="1:17" ht="20.100000000000001" customHeight="1" x14ac:dyDescent="0.25">
      <c r="A83" s="181">
        <v>5732</v>
      </c>
      <c r="B83" s="181">
        <v>33</v>
      </c>
      <c r="C83" s="182" t="s">
        <v>13</v>
      </c>
      <c r="D83" s="182" t="s">
        <v>200</v>
      </c>
      <c r="E83" s="181">
        <v>20.5</v>
      </c>
      <c r="F83" s="182" t="s">
        <v>34</v>
      </c>
      <c r="G83" s="181">
        <v>4179</v>
      </c>
      <c r="H83" s="182" t="s">
        <v>42</v>
      </c>
      <c r="I83" s="181" t="s">
        <v>36</v>
      </c>
      <c r="J83" s="183">
        <v>3.9369999999999998</v>
      </c>
      <c r="K83" s="182" t="s">
        <v>275</v>
      </c>
      <c r="L83" s="184">
        <v>0.1</v>
      </c>
      <c r="M83" s="182"/>
      <c r="N83" s="41"/>
      <c r="O83" s="41"/>
      <c r="P83" s="41"/>
      <c r="Q83" s="42"/>
    </row>
    <row r="84" spans="1:17" ht="20.100000000000001" customHeight="1" x14ac:dyDescent="0.25">
      <c r="A84" s="185">
        <v>5732</v>
      </c>
      <c r="B84" s="185">
        <v>33</v>
      </c>
      <c r="C84" s="186" t="s">
        <v>13</v>
      </c>
      <c r="D84" s="186" t="s">
        <v>200</v>
      </c>
      <c r="E84" s="185">
        <v>20.5</v>
      </c>
      <c r="F84" s="186" t="s">
        <v>57</v>
      </c>
      <c r="G84" s="185">
        <v>3595</v>
      </c>
      <c r="H84" s="186" t="s">
        <v>277</v>
      </c>
      <c r="I84" s="185" t="s">
        <v>36</v>
      </c>
      <c r="J84" s="187">
        <v>0.38500000000000001</v>
      </c>
      <c r="K84" s="186" t="s">
        <v>278</v>
      </c>
      <c r="L84" s="188">
        <v>0.1</v>
      </c>
      <c r="M84" s="186"/>
      <c r="N84" s="41"/>
      <c r="O84" s="41"/>
      <c r="P84" s="41"/>
      <c r="Q84" s="42"/>
    </row>
    <row r="85" spans="1:17" ht="20.100000000000001" customHeight="1" x14ac:dyDescent="0.25">
      <c r="A85" s="185">
        <v>5732</v>
      </c>
      <c r="B85" s="185">
        <v>33</v>
      </c>
      <c r="C85" s="186" t="s">
        <v>13</v>
      </c>
      <c r="D85" s="186" t="s">
        <v>200</v>
      </c>
      <c r="E85" s="185">
        <v>20.5</v>
      </c>
      <c r="F85" s="186" t="s">
        <v>71</v>
      </c>
      <c r="G85" s="185">
        <v>6971</v>
      </c>
      <c r="H85" s="186" t="s">
        <v>85</v>
      </c>
      <c r="I85" s="185" t="s">
        <v>73</v>
      </c>
      <c r="J85" s="187">
        <v>1000</v>
      </c>
      <c r="K85" s="186" t="s">
        <v>279</v>
      </c>
      <c r="L85" s="188">
        <v>0.02</v>
      </c>
      <c r="M85" s="186"/>
      <c r="N85" s="41"/>
      <c r="O85" s="41"/>
      <c r="P85" s="41"/>
      <c r="Q85" s="42"/>
    </row>
    <row r="86" spans="1:17" ht="20.100000000000001" customHeight="1" x14ac:dyDescent="0.25">
      <c r="A86" s="185">
        <v>5732</v>
      </c>
      <c r="B86" s="185">
        <v>33</v>
      </c>
      <c r="C86" s="186" t="s">
        <v>13</v>
      </c>
      <c r="D86" s="186" t="s">
        <v>200</v>
      </c>
      <c r="E86" s="185">
        <v>20.5</v>
      </c>
      <c r="F86" s="186" t="s">
        <v>95</v>
      </c>
      <c r="G86" s="185">
        <v>3619</v>
      </c>
      <c r="H86" s="186" t="s">
        <v>100</v>
      </c>
      <c r="I86" s="185" t="s">
        <v>73</v>
      </c>
      <c r="J86" s="187">
        <v>1.96</v>
      </c>
      <c r="K86" s="186" t="s">
        <v>280</v>
      </c>
      <c r="L86" s="188">
        <v>0.1</v>
      </c>
      <c r="M86" s="186"/>
      <c r="N86" s="41"/>
      <c r="O86" s="41"/>
      <c r="P86" s="41"/>
      <c r="Q86" s="42"/>
    </row>
    <row r="87" spans="1:17" ht="20.100000000000001" customHeight="1" x14ac:dyDescent="0.25">
      <c r="A87" s="185">
        <v>5732</v>
      </c>
      <c r="B87" s="185">
        <v>33</v>
      </c>
      <c r="C87" s="186" t="s">
        <v>13</v>
      </c>
      <c r="D87" s="186" t="s">
        <v>200</v>
      </c>
      <c r="E87" s="185">
        <v>20.5</v>
      </c>
      <c r="F87" s="186" t="s">
        <v>105</v>
      </c>
      <c r="G87" s="185">
        <v>194</v>
      </c>
      <c r="H87" s="186" t="s">
        <v>106</v>
      </c>
      <c r="I87" s="185" t="s">
        <v>36</v>
      </c>
      <c r="J87" s="187">
        <v>4.0899999999999999E-3</v>
      </c>
      <c r="K87" s="186" t="s">
        <v>290</v>
      </c>
      <c r="L87" s="188">
        <v>0.1</v>
      </c>
      <c r="M87" s="186"/>
      <c r="N87" s="41"/>
      <c r="O87" s="41"/>
      <c r="P87" s="41"/>
      <c r="Q87" s="42"/>
    </row>
    <row r="88" spans="1:17" ht="20.100000000000001" customHeight="1" x14ac:dyDescent="0.25">
      <c r="A88" s="185">
        <v>5732</v>
      </c>
      <c r="B88" s="185">
        <v>33</v>
      </c>
      <c r="C88" s="186" t="s">
        <v>13</v>
      </c>
      <c r="D88" s="186" t="s">
        <v>200</v>
      </c>
      <c r="E88" s="185">
        <v>20.5</v>
      </c>
      <c r="F88" s="186" t="s">
        <v>50</v>
      </c>
      <c r="G88" s="185">
        <v>4155</v>
      </c>
      <c r="H88" s="186" t="s">
        <v>56</v>
      </c>
      <c r="I88" s="185" t="s">
        <v>53</v>
      </c>
      <c r="J88" s="187">
        <v>0.24</v>
      </c>
      <c r="K88" s="186" t="s">
        <v>282</v>
      </c>
      <c r="L88" s="188">
        <v>0.1</v>
      </c>
      <c r="M88" s="186"/>
      <c r="N88" s="41"/>
      <c r="O88" s="41"/>
      <c r="P88" s="41"/>
      <c r="Q88" s="42"/>
    </row>
    <row r="89" spans="1:17" ht="20.100000000000001" customHeight="1" x14ac:dyDescent="0.25">
      <c r="A89" s="185">
        <v>5732</v>
      </c>
      <c r="B89" s="185">
        <v>33</v>
      </c>
      <c r="C89" s="186" t="s">
        <v>13</v>
      </c>
      <c r="D89" s="186" t="s">
        <v>200</v>
      </c>
      <c r="E89" s="185">
        <v>20.5</v>
      </c>
      <c r="F89" s="186" t="s">
        <v>108</v>
      </c>
      <c r="G89" s="185">
        <v>3635</v>
      </c>
      <c r="H89" s="186" t="s">
        <v>109</v>
      </c>
      <c r="I89" s="185" t="s">
        <v>73</v>
      </c>
      <c r="J89" s="187">
        <v>2.996</v>
      </c>
      <c r="K89" s="186" t="s">
        <v>291</v>
      </c>
      <c r="L89" s="188">
        <v>0.1</v>
      </c>
      <c r="M89" s="186"/>
      <c r="N89" s="41"/>
      <c r="O89" s="41"/>
      <c r="P89" s="41"/>
      <c r="Q89" s="42"/>
    </row>
    <row r="90" spans="1:17" ht="20.100000000000001" customHeight="1" x14ac:dyDescent="0.25">
      <c r="A90" s="181">
        <v>5731</v>
      </c>
      <c r="B90" s="181">
        <v>32</v>
      </c>
      <c r="C90" s="182" t="s">
        <v>13</v>
      </c>
      <c r="D90" s="182" t="s">
        <v>198</v>
      </c>
      <c r="E90" s="181">
        <v>20.5</v>
      </c>
      <c r="F90" s="182" t="s">
        <v>34</v>
      </c>
      <c r="G90" s="181">
        <v>4179</v>
      </c>
      <c r="H90" s="182" t="s">
        <v>42</v>
      </c>
      <c r="I90" s="181" t="s">
        <v>36</v>
      </c>
      <c r="J90" s="183">
        <v>3.9369999999999998</v>
      </c>
      <c r="K90" s="182" t="s">
        <v>275</v>
      </c>
      <c r="L90" s="184">
        <v>0.1</v>
      </c>
      <c r="M90" s="182"/>
      <c r="N90" s="41"/>
      <c r="O90" s="41"/>
      <c r="P90" s="41"/>
      <c r="Q90" s="42"/>
    </row>
    <row r="91" spans="1:17" ht="20.100000000000001" customHeight="1" x14ac:dyDescent="0.25">
      <c r="A91" s="185">
        <v>5731</v>
      </c>
      <c r="B91" s="185">
        <v>32</v>
      </c>
      <c r="C91" s="186" t="s">
        <v>13</v>
      </c>
      <c r="D91" s="186" t="s">
        <v>198</v>
      </c>
      <c r="E91" s="185">
        <v>20.5</v>
      </c>
      <c r="F91" s="186" t="s">
        <v>57</v>
      </c>
      <c r="G91" s="185">
        <v>3595</v>
      </c>
      <c r="H91" s="186" t="s">
        <v>277</v>
      </c>
      <c r="I91" s="185" t="s">
        <v>36</v>
      </c>
      <c r="J91" s="187">
        <v>0.38500000000000001</v>
      </c>
      <c r="K91" s="186" t="s">
        <v>278</v>
      </c>
      <c r="L91" s="188">
        <v>0.1</v>
      </c>
      <c r="M91" s="186"/>
      <c r="N91" s="41"/>
      <c r="O91" s="41"/>
      <c r="P91" s="41"/>
      <c r="Q91" s="42"/>
    </row>
    <row r="92" spans="1:17" ht="20.100000000000001" customHeight="1" x14ac:dyDescent="0.25">
      <c r="A92" s="185">
        <v>5731</v>
      </c>
      <c r="B92" s="185">
        <v>32</v>
      </c>
      <c r="C92" s="186" t="s">
        <v>13</v>
      </c>
      <c r="D92" s="186" t="s">
        <v>198</v>
      </c>
      <c r="E92" s="185">
        <v>20.5</v>
      </c>
      <c r="F92" s="186" t="s">
        <v>71</v>
      </c>
      <c r="G92" s="185">
        <v>6971</v>
      </c>
      <c r="H92" s="186" t="s">
        <v>85</v>
      </c>
      <c r="I92" s="185" t="s">
        <v>73</v>
      </c>
      <c r="J92" s="187">
        <v>1000</v>
      </c>
      <c r="K92" s="186" t="s">
        <v>279</v>
      </c>
      <c r="L92" s="188">
        <v>0.02</v>
      </c>
      <c r="M92" s="186"/>
      <c r="N92" s="41"/>
      <c r="O92" s="41"/>
      <c r="P92" s="41"/>
      <c r="Q92" s="42"/>
    </row>
    <row r="93" spans="1:17" ht="20.100000000000001" customHeight="1" x14ac:dyDescent="0.25">
      <c r="A93" s="185">
        <v>5731</v>
      </c>
      <c r="B93" s="185">
        <v>32</v>
      </c>
      <c r="C93" s="186" t="s">
        <v>13</v>
      </c>
      <c r="D93" s="186" t="s">
        <v>198</v>
      </c>
      <c r="E93" s="185">
        <v>20.5</v>
      </c>
      <c r="F93" s="186" t="s">
        <v>95</v>
      </c>
      <c r="G93" s="185">
        <v>3619</v>
      </c>
      <c r="H93" s="186" t="s">
        <v>100</v>
      </c>
      <c r="I93" s="185" t="s">
        <v>73</v>
      </c>
      <c r="J93" s="187">
        <v>1.96</v>
      </c>
      <c r="K93" s="186" t="s">
        <v>280</v>
      </c>
      <c r="L93" s="188">
        <v>0.1</v>
      </c>
      <c r="M93" s="186"/>
      <c r="N93" s="41"/>
      <c r="O93" s="41"/>
      <c r="P93" s="41"/>
      <c r="Q93" s="42"/>
    </row>
    <row r="94" spans="1:17" ht="20.100000000000001" customHeight="1" x14ac:dyDescent="0.25">
      <c r="A94" s="185">
        <v>5731</v>
      </c>
      <c r="B94" s="185">
        <v>32</v>
      </c>
      <c r="C94" s="186" t="s">
        <v>13</v>
      </c>
      <c r="D94" s="186" t="s">
        <v>198</v>
      </c>
      <c r="E94" s="185">
        <v>20.5</v>
      </c>
      <c r="F94" s="186" t="s">
        <v>105</v>
      </c>
      <c r="G94" s="185">
        <v>194</v>
      </c>
      <c r="H94" s="186" t="s">
        <v>106</v>
      </c>
      <c r="I94" s="185" t="s">
        <v>36</v>
      </c>
      <c r="J94" s="187">
        <v>4.0940000000000004E-3</v>
      </c>
      <c r="K94" s="186" t="s">
        <v>281</v>
      </c>
      <c r="L94" s="188">
        <v>0.1</v>
      </c>
      <c r="M94" s="186"/>
      <c r="N94" s="41"/>
      <c r="O94" s="41"/>
      <c r="P94" s="41"/>
      <c r="Q94" s="42"/>
    </row>
    <row r="95" spans="1:17" ht="20.100000000000001" customHeight="1" x14ac:dyDescent="0.25">
      <c r="A95" s="185">
        <v>5731</v>
      </c>
      <c r="B95" s="185">
        <v>32</v>
      </c>
      <c r="C95" s="186" t="s">
        <v>13</v>
      </c>
      <c r="D95" s="186" t="s">
        <v>198</v>
      </c>
      <c r="E95" s="185">
        <v>20.5</v>
      </c>
      <c r="F95" s="186" t="s">
        <v>50</v>
      </c>
      <c r="G95" s="185">
        <v>4155</v>
      </c>
      <c r="H95" s="186" t="s">
        <v>56</v>
      </c>
      <c r="I95" s="185" t="s">
        <v>53</v>
      </c>
      <c r="J95" s="187">
        <v>0.24</v>
      </c>
      <c r="K95" s="186" t="s">
        <v>282</v>
      </c>
      <c r="L95" s="188">
        <v>0.1</v>
      </c>
      <c r="M95" s="186"/>
      <c r="N95" s="41"/>
      <c r="O95" s="41"/>
      <c r="P95" s="41"/>
      <c r="Q95" s="42"/>
    </row>
    <row r="96" spans="1:17" ht="20.100000000000001" customHeight="1" x14ac:dyDescent="0.25">
      <c r="A96" s="185">
        <v>5731</v>
      </c>
      <c r="B96" s="185">
        <v>32</v>
      </c>
      <c r="C96" s="186" t="s">
        <v>13</v>
      </c>
      <c r="D96" s="186" t="s">
        <v>198</v>
      </c>
      <c r="E96" s="185">
        <v>20.5</v>
      </c>
      <c r="F96" s="186" t="s">
        <v>108</v>
      </c>
      <c r="G96" s="185">
        <v>3635</v>
      </c>
      <c r="H96" s="186" t="s">
        <v>109</v>
      </c>
      <c r="I96" s="185" t="s">
        <v>73</v>
      </c>
      <c r="J96" s="187">
        <v>2.996</v>
      </c>
      <c r="K96" s="186" t="s">
        <v>284</v>
      </c>
      <c r="L96" s="188">
        <v>0.1</v>
      </c>
      <c r="M96" s="186"/>
      <c r="N96" s="41"/>
      <c r="O96" s="41"/>
      <c r="P96" s="41"/>
      <c r="Q96" s="42"/>
    </row>
    <row r="97" spans="1:17" ht="20.100000000000001" customHeight="1" x14ac:dyDescent="0.25">
      <c r="A97" s="181">
        <v>6338</v>
      </c>
      <c r="B97" s="181">
        <v>167</v>
      </c>
      <c r="C97" s="182" t="s">
        <v>210</v>
      </c>
      <c r="D97" s="182" t="s">
        <v>211</v>
      </c>
      <c r="E97" s="181">
        <v>25</v>
      </c>
      <c r="F97" s="182" t="s">
        <v>285</v>
      </c>
      <c r="G97" s="181">
        <v>6</v>
      </c>
      <c r="H97" s="182" t="s">
        <v>43</v>
      </c>
      <c r="I97" s="181" t="s">
        <v>36</v>
      </c>
      <c r="J97" s="183">
        <v>5.9169999999999998</v>
      </c>
      <c r="K97" s="182" t="s">
        <v>275</v>
      </c>
      <c r="L97" s="184">
        <v>0.1</v>
      </c>
      <c r="M97" s="182"/>
      <c r="N97" s="41"/>
      <c r="O97" s="41"/>
      <c r="P97" s="41"/>
      <c r="Q97" s="42"/>
    </row>
    <row r="98" spans="1:17" ht="20.100000000000001" customHeight="1" x14ac:dyDescent="0.25">
      <c r="A98" s="185">
        <v>6338</v>
      </c>
      <c r="B98" s="185">
        <v>167</v>
      </c>
      <c r="C98" s="186" t="s">
        <v>210</v>
      </c>
      <c r="D98" s="186" t="s">
        <v>211</v>
      </c>
      <c r="E98" s="185">
        <v>25</v>
      </c>
      <c r="F98" s="186" t="s">
        <v>57</v>
      </c>
      <c r="G98" s="185">
        <v>3595</v>
      </c>
      <c r="H98" s="186" t="s">
        <v>277</v>
      </c>
      <c r="I98" s="185" t="s">
        <v>36</v>
      </c>
      <c r="J98" s="187">
        <v>0.56000000000000005</v>
      </c>
      <c r="K98" s="186" t="s">
        <v>278</v>
      </c>
      <c r="L98" s="188">
        <v>0.1</v>
      </c>
      <c r="M98" s="186"/>
      <c r="N98" s="41"/>
      <c r="O98" s="41"/>
      <c r="P98" s="41"/>
      <c r="Q98" s="42"/>
    </row>
    <row r="99" spans="1:17" ht="20.100000000000001" customHeight="1" x14ac:dyDescent="0.25">
      <c r="A99" s="185">
        <v>6338</v>
      </c>
      <c r="B99" s="185">
        <v>167</v>
      </c>
      <c r="C99" s="186" t="s">
        <v>210</v>
      </c>
      <c r="D99" s="186" t="s">
        <v>211</v>
      </c>
      <c r="E99" s="185">
        <v>25</v>
      </c>
      <c r="F99" s="186" t="s">
        <v>95</v>
      </c>
      <c r="G99" s="185">
        <v>3598</v>
      </c>
      <c r="H99" s="186" t="s">
        <v>101</v>
      </c>
      <c r="I99" s="185" t="s">
        <v>73</v>
      </c>
      <c r="J99" s="187">
        <v>2.976</v>
      </c>
      <c r="K99" s="186" t="s">
        <v>280</v>
      </c>
      <c r="L99" s="188">
        <v>0.1</v>
      </c>
      <c r="M99" s="186"/>
      <c r="N99" s="41"/>
      <c r="O99" s="41"/>
      <c r="P99" s="41"/>
      <c r="Q99" s="42"/>
    </row>
    <row r="100" spans="1:17" ht="20.100000000000001" customHeight="1" x14ac:dyDescent="0.25">
      <c r="A100" s="185">
        <v>6338</v>
      </c>
      <c r="B100" s="185">
        <v>167</v>
      </c>
      <c r="C100" s="186" t="s">
        <v>210</v>
      </c>
      <c r="D100" s="186" t="s">
        <v>211</v>
      </c>
      <c r="E100" s="185">
        <v>25</v>
      </c>
      <c r="F100" s="186" t="s">
        <v>105</v>
      </c>
      <c r="G100" s="185">
        <v>194</v>
      </c>
      <c r="H100" s="186" t="s">
        <v>106</v>
      </c>
      <c r="I100" s="185" t="s">
        <v>36</v>
      </c>
      <c r="J100" s="187">
        <v>5.8700000000000002E-3</v>
      </c>
      <c r="K100" s="186" t="s">
        <v>281</v>
      </c>
      <c r="L100" s="188">
        <v>0.1</v>
      </c>
      <c r="M100" s="186"/>
      <c r="N100" s="41"/>
      <c r="O100" s="41"/>
      <c r="P100" s="41"/>
      <c r="Q100" s="42"/>
    </row>
    <row r="101" spans="1:17" ht="20.100000000000001" customHeight="1" x14ac:dyDescent="0.25">
      <c r="A101" s="185">
        <v>6338</v>
      </c>
      <c r="B101" s="185">
        <v>167</v>
      </c>
      <c r="C101" s="186" t="s">
        <v>210</v>
      </c>
      <c r="D101" s="186" t="s">
        <v>211</v>
      </c>
      <c r="E101" s="185">
        <v>25</v>
      </c>
      <c r="F101" s="186" t="s">
        <v>50</v>
      </c>
      <c r="G101" s="185">
        <v>4155</v>
      </c>
      <c r="H101" s="186" t="s">
        <v>56</v>
      </c>
      <c r="I101" s="185" t="s">
        <v>53</v>
      </c>
      <c r="J101" s="187">
        <v>0.37369999999999998</v>
      </c>
      <c r="K101" s="186" t="s">
        <v>282</v>
      </c>
      <c r="L101" s="188">
        <v>0.1</v>
      </c>
      <c r="M101" s="186"/>
      <c r="N101" s="41"/>
      <c r="O101" s="41"/>
      <c r="P101" s="41"/>
      <c r="Q101" s="42"/>
    </row>
    <row r="102" spans="1:17" ht="20.100000000000001" customHeight="1" x14ac:dyDescent="0.25">
      <c r="A102" s="185">
        <v>6338</v>
      </c>
      <c r="B102" s="185">
        <v>167</v>
      </c>
      <c r="C102" s="186" t="s">
        <v>210</v>
      </c>
      <c r="D102" s="186" t="s">
        <v>211</v>
      </c>
      <c r="E102" s="185">
        <v>25</v>
      </c>
      <c r="F102" s="186" t="s">
        <v>108</v>
      </c>
      <c r="G102" s="185">
        <v>3635</v>
      </c>
      <c r="H102" s="186" t="s">
        <v>109</v>
      </c>
      <c r="I102" s="185" t="s">
        <v>73</v>
      </c>
      <c r="J102" s="187">
        <v>7.9000000000000008E-3</v>
      </c>
      <c r="K102" s="186" t="s">
        <v>284</v>
      </c>
      <c r="L102" s="188">
        <v>0.1</v>
      </c>
      <c r="M102" s="186"/>
      <c r="N102" s="41"/>
      <c r="O102" s="41"/>
      <c r="P102" s="41"/>
      <c r="Q102" s="42"/>
    </row>
    <row r="103" spans="1:17" ht="20.100000000000001" customHeight="1" x14ac:dyDescent="0.25">
      <c r="A103" s="185">
        <v>6338</v>
      </c>
      <c r="B103" s="185">
        <v>167</v>
      </c>
      <c r="C103" s="186" t="s">
        <v>210</v>
      </c>
      <c r="D103" s="186" t="s">
        <v>211</v>
      </c>
      <c r="E103" s="185">
        <v>25</v>
      </c>
      <c r="F103" s="186" t="s">
        <v>292</v>
      </c>
      <c r="G103" s="185">
        <v>3857</v>
      </c>
      <c r="H103" s="186" t="s">
        <v>293</v>
      </c>
      <c r="I103" s="185" t="s">
        <v>36</v>
      </c>
      <c r="J103" s="187">
        <v>0.33</v>
      </c>
      <c r="K103" s="186" t="s">
        <v>294</v>
      </c>
      <c r="L103" s="188">
        <v>0.1</v>
      </c>
      <c r="M103" s="186"/>
      <c r="N103" s="41"/>
      <c r="O103" s="41"/>
      <c r="P103" s="41"/>
      <c r="Q103" s="42"/>
    </row>
    <row r="104" spans="1:17" ht="20.100000000000001" customHeight="1" x14ac:dyDescent="0.25">
      <c r="A104" s="181">
        <v>6228</v>
      </c>
      <c r="B104" s="181">
        <v>150</v>
      </c>
      <c r="C104" s="182" t="s">
        <v>11</v>
      </c>
      <c r="D104" s="182" t="s">
        <v>203</v>
      </c>
      <c r="E104" s="181">
        <v>25</v>
      </c>
      <c r="F104" s="182" t="s">
        <v>34</v>
      </c>
      <c r="G104" s="181">
        <v>6</v>
      </c>
      <c r="H104" s="182" t="s">
        <v>43</v>
      </c>
      <c r="I104" s="181" t="s">
        <v>36</v>
      </c>
      <c r="J104" s="183">
        <v>5.97</v>
      </c>
      <c r="K104" s="182" t="s">
        <v>275</v>
      </c>
      <c r="L104" s="184">
        <v>0.1</v>
      </c>
      <c r="M104" s="182"/>
      <c r="N104" s="41"/>
      <c r="O104" s="41"/>
      <c r="P104" s="41"/>
      <c r="Q104" s="42"/>
    </row>
    <row r="105" spans="1:17" ht="20.100000000000001" customHeight="1" x14ac:dyDescent="0.25">
      <c r="A105" s="185">
        <v>6228</v>
      </c>
      <c r="B105" s="185">
        <v>150</v>
      </c>
      <c r="C105" s="186" t="s">
        <v>11</v>
      </c>
      <c r="D105" s="186" t="s">
        <v>203</v>
      </c>
      <c r="E105" s="185">
        <v>25</v>
      </c>
      <c r="F105" s="186" t="s">
        <v>57</v>
      </c>
      <c r="G105" s="185">
        <v>3595</v>
      </c>
      <c r="H105" s="186" t="s">
        <v>277</v>
      </c>
      <c r="I105" s="185" t="s">
        <v>36</v>
      </c>
      <c r="J105" s="187">
        <v>0.61199999999999999</v>
      </c>
      <c r="K105" s="186" t="s">
        <v>278</v>
      </c>
      <c r="L105" s="188">
        <v>0.1</v>
      </c>
      <c r="M105" s="186"/>
      <c r="N105" s="41"/>
      <c r="O105" s="41"/>
      <c r="P105" s="41"/>
      <c r="Q105" s="42"/>
    </row>
    <row r="106" spans="1:17" ht="20.100000000000001" customHeight="1" x14ac:dyDescent="0.25">
      <c r="A106" s="185">
        <v>6228</v>
      </c>
      <c r="B106" s="185">
        <v>150</v>
      </c>
      <c r="C106" s="186" t="s">
        <v>11</v>
      </c>
      <c r="D106" s="186" t="s">
        <v>203</v>
      </c>
      <c r="E106" s="185">
        <v>25</v>
      </c>
      <c r="F106" s="186" t="s">
        <v>69</v>
      </c>
      <c r="G106" s="185">
        <v>186</v>
      </c>
      <c r="H106" s="186" t="s">
        <v>70</v>
      </c>
      <c r="I106" s="185" t="s">
        <v>36</v>
      </c>
      <c r="J106" s="187">
        <v>0.25</v>
      </c>
      <c r="K106" s="186" t="s">
        <v>295</v>
      </c>
      <c r="L106" s="188">
        <v>0.1</v>
      </c>
      <c r="M106" s="186"/>
      <c r="N106" s="41"/>
      <c r="O106" s="41"/>
      <c r="P106" s="41"/>
      <c r="Q106" s="42"/>
    </row>
    <row r="107" spans="1:17" ht="20.100000000000001" customHeight="1" x14ac:dyDescent="0.25">
      <c r="A107" s="185">
        <v>6228</v>
      </c>
      <c r="B107" s="185">
        <v>150</v>
      </c>
      <c r="C107" s="186" t="s">
        <v>11</v>
      </c>
      <c r="D107" s="186" t="s">
        <v>203</v>
      </c>
      <c r="E107" s="185">
        <v>25</v>
      </c>
      <c r="F107" s="186" t="s">
        <v>71</v>
      </c>
      <c r="G107" s="185">
        <v>68</v>
      </c>
      <c r="H107" s="186" t="s">
        <v>87</v>
      </c>
      <c r="I107" s="185" t="s">
        <v>73</v>
      </c>
      <c r="J107" s="187">
        <v>1000</v>
      </c>
      <c r="K107" s="186" t="s">
        <v>279</v>
      </c>
      <c r="L107" s="188">
        <v>0.02</v>
      </c>
      <c r="M107" s="186"/>
      <c r="N107" s="41"/>
      <c r="O107" s="41"/>
      <c r="P107" s="41"/>
      <c r="Q107" s="42"/>
    </row>
    <row r="108" spans="1:17" ht="20.100000000000001" customHeight="1" x14ac:dyDescent="0.25">
      <c r="A108" s="185">
        <v>6228</v>
      </c>
      <c r="B108" s="185">
        <v>150</v>
      </c>
      <c r="C108" s="186" t="s">
        <v>11</v>
      </c>
      <c r="D108" s="186" t="s">
        <v>203</v>
      </c>
      <c r="E108" s="185">
        <v>25</v>
      </c>
      <c r="F108" s="186" t="s">
        <v>95</v>
      </c>
      <c r="G108" s="185">
        <v>3598</v>
      </c>
      <c r="H108" s="186" t="s">
        <v>101</v>
      </c>
      <c r="I108" s="185" t="s">
        <v>73</v>
      </c>
      <c r="J108" s="187">
        <v>2.976</v>
      </c>
      <c r="K108" s="186" t="s">
        <v>280</v>
      </c>
      <c r="L108" s="188">
        <v>0.1</v>
      </c>
      <c r="M108" s="186"/>
      <c r="N108" s="41"/>
      <c r="O108" s="41"/>
      <c r="P108" s="41"/>
      <c r="Q108" s="42"/>
    </row>
    <row r="109" spans="1:17" ht="20.100000000000001" customHeight="1" x14ac:dyDescent="0.25">
      <c r="A109" s="185">
        <v>6228</v>
      </c>
      <c r="B109" s="185">
        <v>150</v>
      </c>
      <c r="C109" s="186" t="s">
        <v>11</v>
      </c>
      <c r="D109" s="186" t="s">
        <v>203</v>
      </c>
      <c r="E109" s="185">
        <v>25</v>
      </c>
      <c r="F109" s="186" t="s">
        <v>105</v>
      </c>
      <c r="G109" s="185">
        <v>194</v>
      </c>
      <c r="H109" s="186" t="s">
        <v>106</v>
      </c>
      <c r="I109" s="185" t="s">
        <v>36</v>
      </c>
      <c r="J109" s="187">
        <v>6.1538499999999998E-3</v>
      </c>
      <c r="K109" s="186" t="s">
        <v>281</v>
      </c>
      <c r="L109" s="188">
        <v>0.1</v>
      </c>
      <c r="M109" s="186"/>
      <c r="N109" s="41"/>
      <c r="O109" s="41"/>
      <c r="P109" s="41"/>
      <c r="Q109" s="42"/>
    </row>
    <row r="110" spans="1:17" ht="20.100000000000001" customHeight="1" x14ac:dyDescent="0.25">
      <c r="A110" s="185">
        <v>6228</v>
      </c>
      <c r="B110" s="185">
        <v>150</v>
      </c>
      <c r="C110" s="186" t="s">
        <v>11</v>
      </c>
      <c r="D110" s="186" t="s">
        <v>203</v>
      </c>
      <c r="E110" s="185">
        <v>25</v>
      </c>
      <c r="F110" s="186" t="s">
        <v>50</v>
      </c>
      <c r="G110" s="185">
        <v>4155</v>
      </c>
      <c r="H110" s="186" t="s">
        <v>56</v>
      </c>
      <c r="I110" s="185" t="s">
        <v>36</v>
      </c>
      <c r="J110" s="187">
        <v>0.29199999999999998</v>
      </c>
      <c r="K110" s="186" t="s">
        <v>282</v>
      </c>
      <c r="L110" s="188">
        <v>0.1</v>
      </c>
      <c r="M110" s="186"/>
      <c r="N110" s="41"/>
      <c r="O110" s="41"/>
      <c r="P110" s="41"/>
      <c r="Q110" s="42"/>
    </row>
    <row r="111" spans="1:17" ht="20.100000000000001" customHeight="1" x14ac:dyDescent="0.25">
      <c r="A111" s="185">
        <v>6228</v>
      </c>
      <c r="B111" s="185">
        <v>150</v>
      </c>
      <c r="C111" s="186" t="s">
        <v>11</v>
      </c>
      <c r="D111" s="186" t="s">
        <v>203</v>
      </c>
      <c r="E111" s="185">
        <v>25</v>
      </c>
      <c r="F111" s="186" t="s">
        <v>108</v>
      </c>
      <c r="G111" s="185">
        <v>3635</v>
      </c>
      <c r="H111" s="186" t="s">
        <v>109</v>
      </c>
      <c r="I111" s="185" t="s">
        <v>73</v>
      </c>
      <c r="J111" s="187">
        <v>7.9000000000000001E-2</v>
      </c>
      <c r="K111" s="186" t="s">
        <v>284</v>
      </c>
      <c r="L111" s="188">
        <v>0.1</v>
      </c>
      <c r="M111" s="186"/>
      <c r="N111" s="41"/>
      <c r="O111" s="41"/>
      <c r="P111" s="41"/>
      <c r="Q111" s="42"/>
    </row>
    <row r="112" spans="1:17" ht="20.100000000000001" customHeight="1" x14ac:dyDescent="0.25">
      <c r="A112" s="181">
        <v>4227</v>
      </c>
      <c r="B112" s="181">
        <v>20</v>
      </c>
      <c r="C112" s="182" t="s">
        <v>212</v>
      </c>
      <c r="D112" s="182" t="s">
        <v>213</v>
      </c>
      <c r="E112" s="181">
        <v>25</v>
      </c>
      <c r="F112" s="182" t="s">
        <v>34</v>
      </c>
      <c r="G112" s="181">
        <v>6</v>
      </c>
      <c r="H112" s="182" t="s">
        <v>43</v>
      </c>
      <c r="I112" s="181" t="s">
        <v>36</v>
      </c>
      <c r="J112" s="183">
        <v>5.9170999999999996</v>
      </c>
      <c r="K112" s="182" t="s">
        <v>34</v>
      </c>
      <c r="L112" s="184">
        <v>0.1</v>
      </c>
      <c r="M112" s="182"/>
      <c r="N112" s="41"/>
      <c r="O112" s="41"/>
      <c r="P112" s="41"/>
      <c r="Q112" s="42"/>
    </row>
    <row r="113" spans="1:17" ht="20.100000000000001" customHeight="1" x14ac:dyDescent="0.25">
      <c r="A113" s="185">
        <v>4227</v>
      </c>
      <c r="B113" s="185">
        <v>20</v>
      </c>
      <c r="C113" s="186" t="s">
        <v>212</v>
      </c>
      <c r="D113" s="186" t="s">
        <v>213</v>
      </c>
      <c r="E113" s="185">
        <v>25</v>
      </c>
      <c r="F113" s="186" t="s">
        <v>69</v>
      </c>
      <c r="G113" s="185">
        <v>186</v>
      </c>
      <c r="H113" s="186" t="s">
        <v>70</v>
      </c>
      <c r="I113" s="185" t="s">
        <v>36</v>
      </c>
      <c r="J113" s="187">
        <v>0.09</v>
      </c>
      <c r="K113" s="186" t="s">
        <v>69</v>
      </c>
      <c r="L113" s="188">
        <v>0.1</v>
      </c>
      <c r="M113" s="186"/>
      <c r="N113" s="41"/>
      <c r="O113" s="41"/>
      <c r="P113" s="41"/>
      <c r="Q113" s="42"/>
    </row>
    <row r="114" spans="1:17" ht="20.100000000000001" customHeight="1" x14ac:dyDescent="0.25">
      <c r="A114" s="185">
        <v>4227</v>
      </c>
      <c r="B114" s="185">
        <v>20</v>
      </c>
      <c r="C114" s="186" t="s">
        <v>212</v>
      </c>
      <c r="D114" s="186" t="s">
        <v>213</v>
      </c>
      <c r="E114" s="185">
        <v>25</v>
      </c>
      <c r="F114" s="186" t="s">
        <v>71</v>
      </c>
      <c r="G114" s="185">
        <v>3522</v>
      </c>
      <c r="H114" s="186" t="s">
        <v>91</v>
      </c>
      <c r="I114" s="185" t="s">
        <v>73</v>
      </c>
      <c r="J114" s="187">
        <v>1000</v>
      </c>
      <c r="K114" s="186" t="s">
        <v>71</v>
      </c>
      <c r="L114" s="188">
        <v>0.02</v>
      </c>
      <c r="M114" s="186"/>
      <c r="N114" s="41"/>
      <c r="O114" s="41"/>
      <c r="P114" s="41"/>
      <c r="Q114" s="42"/>
    </row>
    <row r="115" spans="1:17" ht="20.100000000000001" customHeight="1" x14ac:dyDescent="0.25">
      <c r="A115" s="185">
        <v>4227</v>
      </c>
      <c r="B115" s="185">
        <v>20</v>
      </c>
      <c r="C115" s="186" t="s">
        <v>212</v>
      </c>
      <c r="D115" s="186" t="s">
        <v>213</v>
      </c>
      <c r="E115" s="185">
        <v>25</v>
      </c>
      <c r="F115" s="186" t="s">
        <v>95</v>
      </c>
      <c r="G115" s="185">
        <v>3598</v>
      </c>
      <c r="H115" s="186" t="s">
        <v>296</v>
      </c>
      <c r="I115" s="185" t="s">
        <v>73</v>
      </c>
      <c r="J115" s="187">
        <v>2.9761000000000002</v>
      </c>
      <c r="K115" s="186" t="s">
        <v>95</v>
      </c>
      <c r="L115" s="188">
        <v>0.1</v>
      </c>
      <c r="M115" s="186"/>
      <c r="N115" s="41"/>
      <c r="O115" s="41"/>
      <c r="P115" s="41"/>
      <c r="Q115" s="42"/>
    </row>
    <row r="116" spans="1:17" ht="20.100000000000001" customHeight="1" x14ac:dyDescent="0.25">
      <c r="A116" s="185">
        <v>4227</v>
      </c>
      <c r="B116" s="185">
        <v>20</v>
      </c>
      <c r="C116" s="186" t="s">
        <v>212</v>
      </c>
      <c r="D116" s="186" t="s">
        <v>213</v>
      </c>
      <c r="E116" s="185">
        <v>25</v>
      </c>
      <c r="F116" s="186" t="s">
        <v>105</v>
      </c>
      <c r="G116" s="185">
        <v>194</v>
      </c>
      <c r="H116" s="186" t="s">
        <v>106</v>
      </c>
      <c r="I116" s="185" t="s">
        <v>36</v>
      </c>
      <c r="J116" s="187">
        <v>8.3199999999999993E-3</v>
      </c>
      <c r="K116" s="186" t="s">
        <v>105</v>
      </c>
      <c r="L116" s="188">
        <v>0.1</v>
      </c>
      <c r="M116" s="186"/>
      <c r="N116" s="41"/>
      <c r="O116" s="41"/>
      <c r="P116" s="41"/>
      <c r="Q116" s="42"/>
    </row>
    <row r="117" spans="1:17" ht="20.100000000000001" customHeight="1" x14ac:dyDescent="0.25">
      <c r="A117" s="185">
        <v>4227</v>
      </c>
      <c r="B117" s="185">
        <v>20</v>
      </c>
      <c r="C117" s="186" t="s">
        <v>212</v>
      </c>
      <c r="D117" s="186" t="s">
        <v>213</v>
      </c>
      <c r="E117" s="185">
        <v>25</v>
      </c>
      <c r="F117" s="186" t="s">
        <v>50</v>
      </c>
      <c r="G117" s="185">
        <v>4155</v>
      </c>
      <c r="H117" s="186" t="s">
        <v>56</v>
      </c>
      <c r="I117" s="185" t="s">
        <v>36</v>
      </c>
      <c r="J117" s="187">
        <v>0.42020000000000002</v>
      </c>
      <c r="K117" s="186" t="s">
        <v>50</v>
      </c>
      <c r="L117" s="188">
        <v>0.1</v>
      </c>
      <c r="M117" s="186"/>
      <c r="N117" s="41"/>
      <c r="O117" s="41"/>
      <c r="P117" s="41"/>
      <c r="Q117" s="42"/>
    </row>
    <row r="118" spans="1:17" ht="20.100000000000001" customHeight="1" x14ac:dyDescent="0.25">
      <c r="A118" s="185">
        <v>4227</v>
      </c>
      <c r="B118" s="185">
        <v>20</v>
      </c>
      <c r="C118" s="186" t="s">
        <v>212</v>
      </c>
      <c r="D118" s="186" t="s">
        <v>213</v>
      </c>
      <c r="E118" s="185">
        <v>25</v>
      </c>
      <c r="F118" s="186" t="s">
        <v>108</v>
      </c>
      <c r="G118" s="185">
        <v>3635</v>
      </c>
      <c r="H118" s="186" t="s">
        <v>109</v>
      </c>
      <c r="I118" s="185" t="s">
        <v>73</v>
      </c>
      <c r="J118" s="187">
        <v>7.9000000000000001E-2</v>
      </c>
      <c r="K118" s="186" t="s">
        <v>108</v>
      </c>
      <c r="L118" s="188">
        <v>0.1</v>
      </c>
      <c r="M118" s="186"/>
      <c r="N118" s="41"/>
      <c r="O118" s="41"/>
      <c r="P118" s="41"/>
      <c r="Q118" s="42"/>
    </row>
    <row r="119" spans="1:17" ht="20.100000000000001" customHeight="1" x14ac:dyDescent="0.25">
      <c r="A119" s="181">
        <v>3447</v>
      </c>
      <c r="B119" s="181">
        <v>34</v>
      </c>
      <c r="C119" s="182" t="s">
        <v>13</v>
      </c>
      <c r="D119" s="182" t="s">
        <v>205</v>
      </c>
      <c r="E119" s="181">
        <v>25</v>
      </c>
      <c r="F119" s="182" t="s">
        <v>34</v>
      </c>
      <c r="G119" s="181">
        <v>6</v>
      </c>
      <c r="H119" s="182" t="s">
        <v>43</v>
      </c>
      <c r="I119" s="181" t="s">
        <v>36</v>
      </c>
      <c r="J119" s="183">
        <v>5.9169999999999998</v>
      </c>
      <c r="K119" s="182" t="s">
        <v>275</v>
      </c>
      <c r="L119" s="184">
        <v>0.1</v>
      </c>
      <c r="M119" s="182"/>
      <c r="N119" s="41"/>
      <c r="O119" s="41"/>
      <c r="P119" s="41"/>
      <c r="Q119" s="42"/>
    </row>
    <row r="120" spans="1:17" ht="20.100000000000001" customHeight="1" x14ac:dyDescent="0.25">
      <c r="A120" s="185">
        <v>3447</v>
      </c>
      <c r="B120" s="185">
        <v>34</v>
      </c>
      <c r="C120" s="186" t="s">
        <v>13</v>
      </c>
      <c r="D120" s="186" t="s">
        <v>205</v>
      </c>
      <c r="E120" s="185">
        <v>25</v>
      </c>
      <c r="F120" s="186" t="s">
        <v>57</v>
      </c>
      <c r="G120" s="185">
        <v>3595</v>
      </c>
      <c r="H120" s="186" t="s">
        <v>277</v>
      </c>
      <c r="I120" s="185" t="s">
        <v>36</v>
      </c>
      <c r="J120" s="187">
        <v>0.61</v>
      </c>
      <c r="K120" s="186" t="s">
        <v>278</v>
      </c>
      <c r="L120" s="188">
        <v>0.1</v>
      </c>
      <c r="M120" s="186"/>
      <c r="N120" s="41"/>
      <c r="O120" s="41"/>
      <c r="P120" s="41"/>
      <c r="Q120" s="42"/>
    </row>
    <row r="121" spans="1:17" ht="20.100000000000001" customHeight="1" x14ac:dyDescent="0.25">
      <c r="A121" s="185">
        <v>3447</v>
      </c>
      <c r="B121" s="185">
        <v>34</v>
      </c>
      <c r="C121" s="186" t="s">
        <v>13</v>
      </c>
      <c r="D121" s="186" t="s">
        <v>205</v>
      </c>
      <c r="E121" s="185">
        <v>25</v>
      </c>
      <c r="F121" s="186" t="s">
        <v>71</v>
      </c>
      <c r="G121" s="185">
        <v>68</v>
      </c>
      <c r="H121" s="186" t="s">
        <v>87</v>
      </c>
      <c r="I121" s="185" t="s">
        <v>73</v>
      </c>
      <c r="J121" s="187">
        <v>1000</v>
      </c>
      <c r="K121" s="186" t="s">
        <v>279</v>
      </c>
      <c r="L121" s="188">
        <v>0.02</v>
      </c>
      <c r="M121" s="186"/>
      <c r="N121" s="41"/>
      <c r="O121" s="41"/>
      <c r="P121" s="41"/>
      <c r="Q121" s="42"/>
    </row>
    <row r="122" spans="1:17" ht="20.100000000000001" customHeight="1" x14ac:dyDescent="0.25">
      <c r="A122" s="185">
        <v>3447</v>
      </c>
      <c r="B122" s="185">
        <v>34</v>
      </c>
      <c r="C122" s="186" t="s">
        <v>13</v>
      </c>
      <c r="D122" s="186" t="s">
        <v>205</v>
      </c>
      <c r="E122" s="185">
        <v>25</v>
      </c>
      <c r="F122" s="186" t="s">
        <v>95</v>
      </c>
      <c r="G122" s="185">
        <v>3598</v>
      </c>
      <c r="H122" s="186" t="s">
        <v>101</v>
      </c>
      <c r="I122" s="185" t="s">
        <v>73</v>
      </c>
      <c r="J122" s="187">
        <v>2.976</v>
      </c>
      <c r="K122" s="186" t="s">
        <v>280</v>
      </c>
      <c r="L122" s="188">
        <v>0.1</v>
      </c>
      <c r="M122" s="186"/>
      <c r="N122" s="41"/>
      <c r="O122" s="41"/>
      <c r="P122" s="41"/>
      <c r="Q122" s="42"/>
    </row>
    <row r="123" spans="1:17" ht="20.100000000000001" customHeight="1" x14ac:dyDescent="0.25">
      <c r="A123" s="185">
        <v>3447</v>
      </c>
      <c r="B123" s="185">
        <v>34</v>
      </c>
      <c r="C123" s="186" t="s">
        <v>13</v>
      </c>
      <c r="D123" s="186" t="s">
        <v>205</v>
      </c>
      <c r="E123" s="185">
        <v>25</v>
      </c>
      <c r="F123" s="186" t="s">
        <v>105</v>
      </c>
      <c r="G123" s="185">
        <v>194</v>
      </c>
      <c r="H123" s="186" t="s">
        <v>106</v>
      </c>
      <c r="I123" s="185" t="s">
        <v>36</v>
      </c>
      <c r="J123" s="187">
        <v>6.1500000000000001E-3</v>
      </c>
      <c r="K123" s="186" t="s">
        <v>281</v>
      </c>
      <c r="L123" s="188">
        <v>0.1</v>
      </c>
      <c r="M123" s="186"/>
      <c r="N123" s="41"/>
      <c r="O123" s="41"/>
      <c r="P123" s="41"/>
      <c r="Q123" s="42"/>
    </row>
    <row r="124" spans="1:17" ht="20.100000000000001" customHeight="1" x14ac:dyDescent="0.25">
      <c r="A124" s="185">
        <v>3447</v>
      </c>
      <c r="B124" s="185">
        <v>34</v>
      </c>
      <c r="C124" s="186" t="s">
        <v>13</v>
      </c>
      <c r="D124" s="186" t="s">
        <v>205</v>
      </c>
      <c r="E124" s="185">
        <v>25</v>
      </c>
      <c r="F124" s="186" t="s">
        <v>50</v>
      </c>
      <c r="G124" s="185">
        <v>4155</v>
      </c>
      <c r="H124" s="186" t="s">
        <v>56</v>
      </c>
      <c r="I124" s="185" t="s">
        <v>53</v>
      </c>
      <c r="J124" s="187">
        <v>0.37369999999999998</v>
      </c>
      <c r="K124" s="186" t="s">
        <v>282</v>
      </c>
      <c r="L124" s="188">
        <v>0.1</v>
      </c>
      <c r="M124" s="186"/>
      <c r="N124" s="41"/>
      <c r="O124" s="41"/>
      <c r="P124" s="41"/>
      <c r="Q124" s="42"/>
    </row>
    <row r="125" spans="1:17" ht="20.100000000000001" customHeight="1" x14ac:dyDescent="0.25">
      <c r="A125" s="185">
        <v>3447</v>
      </c>
      <c r="B125" s="185">
        <v>34</v>
      </c>
      <c r="C125" s="186" t="s">
        <v>13</v>
      </c>
      <c r="D125" s="186" t="s">
        <v>205</v>
      </c>
      <c r="E125" s="185">
        <v>25</v>
      </c>
      <c r="F125" s="186" t="s">
        <v>108</v>
      </c>
      <c r="G125" s="185">
        <v>3635</v>
      </c>
      <c r="H125" s="186" t="s">
        <v>109</v>
      </c>
      <c r="I125" s="185" t="s">
        <v>73</v>
      </c>
      <c r="J125" s="187">
        <v>4.7119999999999997</v>
      </c>
      <c r="K125" s="186" t="s">
        <v>284</v>
      </c>
      <c r="L125" s="188">
        <v>0.1</v>
      </c>
      <c r="M125" s="186"/>
      <c r="N125" s="41"/>
      <c r="O125" s="41"/>
      <c r="P125" s="41"/>
      <c r="Q125" s="42"/>
    </row>
    <row r="126" spans="1:17" ht="20.100000000000001" customHeight="1" x14ac:dyDescent="0.25">
      <c r="A126" s="181">
        <v>5389</v>
      </c>
      <c r="B126" s="181">
        <v>35</v>
      </c>
      <c r="C126" s="182" t="s">
        <v>13</v>
      </c>
      <c r="D126" s="182" t="s">
        <v>204</v>
      </c>
      <c r="E126" s="181">
        <v>25</v>
      </c>
      <c r="F126" s="182" t="s">
        <v>34</v>
      </c>
      <c r="G126" s="181">
        <v>6</v>
      </c>
      <c r="H126" s="182" t="s">
        <v>43</v>
      </c>
      <c r="I126" s="181" t="s">
        <v>36</v>
      </c>
      <c r="J126" s="183">
        <v>5.9169999999999998</v>
      </c>
      <c r="K126" s="182" t="s">
        <v>275</v>
      </c>
      <c r="L126" s="184">
        <v>0.1</v>
      </c>
      <c r="M126" s="182"/>
      <c r="N126" s="41"/>
      <c r="O126" s="41"/>
      <c r="P126" s="41"/>
      <c r="Q126" s="42"/>
    </row>
    <row r="127" spans="1:17" ht="20.100000000000001" customHeight="1" x14ac:dyDescent="0.25">
      <c r="A127" s="185">
        <v>5389</v>
      </c>
      <c r="B127" s="185">
        <v>35</v>
      </c>
      <c r="C127" s="186" t="s">
        <v>13</v>
      </c>
      <c r="D127" s="186" t="s">
        <v>204</v>
      </c>
      <c r="E127" s="185">
        <v>25</v>
      </c>
      <c r="F127" s="186" t="s">
        <v>57</v>
      </c>
      <c r="G127" s="185">
        <v>3595</v>
      </c>
      <c r="H127" s="186" t="s">
        <v>277</v>
      </c>
      <c r="I127" s="185" t="s">
        <v>36</v>
      </c>
      <c r="J127" s="187">
        <v>0.61199999999999999</v>
      </c>
      <c r="K127" s="186" t="s">
        <v>278</v>
      </c>
      <c r="L127" s="188">
        <v>0.1</v>
      </c>
      <c r="M127" s="186"/>
      <c r="N127" s="41"/>
      <c r="O127" s="41"/>
      <c r="P127" s="41"/>
      <c r="Q127" s="42"/>
    </row>
    <row r="128" spans="1:17" ht="20.100000000000001" customHeight="1" x14ac:dyDescent="0.25">
      <c r="A128" s="185">
        <v>5389</v>
      </c>
      <c r="B128" s="185">
        <v>35</v>
      </c>
      <c r="C128" s="186" t="s">
        <v>13</v>
      </c>
      <c r="D128" s="186" t="s">
        <v>204</v>
      </c>
      <c r="E128" s="185">
        <v>25</v>
      </c>
      <c r="F128" s="186" t="s">
        <v>71</v>
      </c>
      <c r="G128" s="185">
        <v>68</v>
      </c>
      <c r="H128" s="186" t="s">
        <v>87</v>
      </c>
      <c r="I128" s="185" t="s">
        <v>73</v>
      </c>
      <c r="J128" s="187">
        <v>1000</v>
      </c>
      <c r="K128" s="186" t="s">
        <v>279</v>
      </c>
      <c r="L128" s="188">
        <v>0.02</v>
      </c>
      <c r="M128" s="186"/>
      <c r="N128" s="41"/>
      <c r="O128" s="41"/>
      <c r="P128" s="41"/>
      <c r="Q128" s="42"/>
    </row>
    <row r="129" spans="1:17" ht="20.100000000000001" customHeight="1" x14ac:dyDescent="0.25">
      <c r="A129" s="185">
        <v>5389</v>
      </c>
      <c r="B129" s="185">
        <v>35</v>
      </c>
      <c r="C129" s="186" t="s">
        <v>13</v>
      </c>
      <c r="D129" s="186" t="s">
        <v>204</v>
      </c>
      <c r="E129" s="185">
        <v>25</v>
      </c>
      <c r="F129" s="186" t="s">
        <v>95</v>
      </c>
      <c r="G129" s="185">
        <v>3598</v>
      </c>
      <c r="H129" s="186" t="s">
        <v>101</v>
      </c>
      <c r="I129" s="185" t="s">
        <v>73</v>
      </c>
      <c r="J129" s="187">
        <v>2.976</v>
      </c>
      <c r="K129" s="186" t="s">
        <v>280</v>
      </c>
      <c r="L129" s="188">
        <v>0.1</v>
      </c>
      <c r="M129" s="186"/>
      <c r="N129" s="41"/>
      <c r="O129" s="41"/>
      <c r="P129" s="41"/>
      <c r="Q129" s="42"/>
    </row>
    <row r="130" spans="1:17" ht="20.100000000000001" customHeight="1" x14ac:dyDescent="0.25">
      <c r="A130" s="185">
        <v>5389</v>
      </c>
      <c r="B130" s="185">
        <v>35</v>
      </c>
      <c r="C130" s="186" t="s">
        <v>13</v>
      </c>
      <c r="D130" s="186" t="s">
        <v>204</v>
      </c>
      <c r="E130" s="185">
        <v>25</v>
      </c>
      <c r="F130" s="186" t="s">
        <v>105</v>
      </c>
      <c r="G130" s="185">
        <v>194</v>
      </c>
      <c r="H130" s="186" t="s">
        <v>106</v>
      </c>
      <c r="I130" s="185" t="s">
        <v>36</v>
      </c>
      <c r="J130" s="187">
        <v>6.1500000000000001E-3</v>
      </c>
      <c r="K130" s="186" t="s">
        <v>281</v>
      </c>
      <c r="L130" s="188">
        <v>0.1</v>
      </c>
      <c r="M130" s="186"/>
      <c r="N130" s="41"/>
      <c r="O130" s="41"/>
      <c r="P130" s="41"/>
      <c r="Q130" s="42"/>
    </row>
    <row r="131" spans="1:17" ht="20.100000000000001" customHeight="1" x14ac:dyDescent="0.25">
      <c r="A131" s="185">
        <v>5389</v>
      </c>
      <c r="B131" s="185">
        <v>35</v>
      </c>
      <c r="C131" s="186" t="s">
        <v>13</v>
      </c>
      <c r="D131" s="186" t="s">
        <v>204</v>
      </c>
      <c r="E131" s="185">
        <v>25</v>
      </c>
      <c r="F131" s="186" t="s">
        <v>50</v>
      </c>
      <c r="G131" s="185">
        <v>4155</v>
      </c>
      <c r="H131" s="186" t="s">
        <v>56</v>
      </c>
      <c r="I131" s="185" t="s">
        <v>53</v>
      </c>
      <c r="J131" s="187">
        <v>0.29199999999999998</v>
      </c>
      <c r="K131" s="186" t="s">
        <v>282</v>
      </c>
      <c r="L131" s="188">
        <v>0.1</v>
      </c>
      <c r="M131" s="186"/>
      <c r="N131" s="41"/>
      <c r="O131" s="41"/>
      <c r="P131" s="41"/>
      <c r="Q131" s="42"/>
    </row>
    <row r="132" spans="1:17" ht="20.100000000000001" customHeight="1" x14ac:dyDescent="0.25">
      <c r="A132" s="185">
        <v>5389</v>
      </c>
      <c r="B132" s="185">
        <v>35</v>
      </c>
      <c r="C132" s="186" t="s">
        <v>13</v>
      </c>
      <c r="D132" s="186" t="s">
        <v>204</v>
      </c>
      <c r="E132" s="185">
        <v>25</v>
      </c>
      <c r="F132" s="186" t="s">
        <v>108</v>
      </c>
      <c r="G132" s="185">
        <v>3635</v>
      </c>
      <c r="H132" s="186" t="s">
        <v>109</v>
      </c>
      <c r="I132" s="185" t="s">
        <v>73</v>
      </c>
      <c r="J132" s="187">
        <v>7.9000000000000001E-2</v>
      </c>
      <c r="K132" s="186" t="s">
        <v>284</v>
      </c>
      <c r="L132" s="188">
        <v>0.1</v>
      </c>
      <c r="M132" s="186"/>
      <c r="N132" s="41"/>
      <c r="O132" s="41"/>
      <c r="P132" s="41"/>
      <c r="Q132" s="42"/>
    </row>
    <row r="133" spans="1:17" ht="20.100000000000001" customHeight="1" x14ac:dyDescent="0.25">
      <c r="A133" s="181">
        <v>6532</v>
      </c>
      <c r="B133" s="181">
        <v>181</v>
      </c>
      <c r="C133" s="182" t="s">
        <v>13</v>
      </c>
      <c r="D133" s="182" t="s">
        <v>207</v>
      </c>
      <c r="E133" s="181">
        <v>25</v>
      </c>
      <c r="F133" s="182" t="s">
        <v>34</v>
      </c>
      <c r="G133" s="181">
        <v>6</v>
      </c>
      <c r="H133" s="182" t="s">
        <v>43</v>
      </c>
      <c r="I133" s="181" t="s">
        <v>36</v>
      </c>
      <c r="J133" s="183">
        <v>5.9169999999999998</v>
      </c>
      <c r="K133" s="182" t="s">
        <v>275</v>
      </c>
      <c r="L133" s="184">
        <v>0.1</v>
      </c>
      <c r="M133" s="182"/>
      <c r="N133" s="41"/>
      <c r="O133" s="41"/>
      <c r="P133" s="41"/>
      <c r="Q133" s="42"/>
    </row>
    <row r="134" spans="1:17" ht="20.100000000000001" customHeight="1" x14ac:dyDescent="0.25">
      <c r="A134" s="185">
        <v>6532</v>
      </c>
      <c r="B134" s="185">
        <v>181</v>
      </c>
      <c r="C134" s="186" t="s">
        <v>13</v>
      </c>
      <c r="D134" s="186" t="s">
        <v>207</v>
      </c>
      <c r="E134" s="185">
        <v>25</v>
      </c>
      <c r="F134" s="186" t="s">
        <v>57</v>
      </c>
      <c r="G134" s="185">
        <v>3595</v>
      </c>
      <c r="H134" s="186" t="s">
        <v>277</v>
      </c>
      <c r="I134" s="185" t="s">
        <v>36</v>
      </c>
      <c r="J134" s="187">
        <v>0.61199999999999999</v>
      </c>
      <c r="K134" s="186" t="s">
        <v>278</v>
      </c>
      <c r="L134" s="188">
        <v>0.1</v>
      </c>
      <c r="M134" s="186"/>
      <c r="N134" s="41"/>
      <c r="O134" s="41"/>
      <c r="P134" s="41"/>
      <c r="Q134" s="42"/>
    </row>
    <row r="135" spans="1:17" ht="20.100000000000001" customHeight="1" x14ac:dyDescent="0.25">
      <c r="A135" s="185">
        <v>6532</v>
      </c>
      <c r="B135" s="185">
        <v>181</v>
      </c>
      <c r="C135" s="186" t="s">
        <v>13</v>
      </c>
      <c r="D135" s="186" t="s">
        <v>207</v>
      </c>
      <c r="E135" s="185">
        <v>25</v>
      </c>
      <c r="F135" s="186" t="s">
        <v>71</v>
      </c>
      <c r="G135" s="185">
        <v>68</v>
      </c>
      <c r="H135" s="186" t="s">
        <v>87</v>
      </c>
      <c r="I135" s="185" t="s">
        <v>73</v>
      </c>
      <c r="J135" s="187">
        <v>1000</v>
      </c>
      <c r="K135" s="186" t="s">
        <v>279</v>
      </c>
      <c r="L135" s="188">
        <v>0.02</v>
      </c>
      <c r="M135" s="186"/>
      <c r="N135" s="41"/>
      <c r="O135" s="41"/>
      <c r="P135" s="41"/>
      <c r="Q135" s="42"/>
    </row>
    <row r="136" spans="1:17" ht="20.100000000000001" customHeight="1" x14ac:dyDescent="0.25">
      <c r="A136" s="185">
        <v>6532</v>
      </c>
      <c r="B136" s="185">
        <v>181</v>
      </c>
      <c r="C136" s="186" t="s">
        <v>13</v>
      </c>
      <c r="D136" s="186" t="s">
        <v>207</v>
      </c>
      <c r="E136" s="185">
        <v>25</v>
      </c>
      <c r="F136" s="186" t="s">
        <v>95</v>
      </c>
      <c r="G136" s="185">
        <v>3598</v>
      </c>
      <c r="H136" s="186" t="s">
        <v>101</v>
      </c>
      <c r="I136" s="185" t="s">
        <v>73</v>
      </c>
      <c r="J136" s="187">
        <v>2.976</v>
      </c>
      <c r="K136" s="186" t="s">
        <v>280</v>
      </c>
      <c r="L136" s="188">
        <v>0.1</v>
      </c>
      <c r="M136" s="186"/>
      <c r="N136" s="41"/>
      <c r="O136" s="41"/>
      <c r="P136" s="41"/>
      <c r="Q136" s="42"/>
    </row>
    <row r="137" spans="1:17" ht="20.100000000000001" customHeight="1" x14ac:dyDescent="0.25">
      <c r="A137" s="185">
        <v>6532</v>
      </c>
      <c r="B137" s="185">
        <v>181</v>
      </c>
      <c r="C137" s="186" t="s">
        <v>13</v>
      </c>
      <c r="D137" s="186" t="s">
        <v>207</v>
      </c>
      <c r="E137" s="185">
        <v>25</v>
      </c>
      <c r="F137" s="186" t="s">
        <v>105</v>
      </c>
      <c r="G137" s="185">
        <v>194</v>
      </c>
      <c r="H137" s="186" t="s">
        <v>106</v>
      </c>
      <c r="I137" s="185" t="s">
        <v>36</v>
      </c>
      <c r="J137" s="187">
        <v>6.1538499999999998E-3</v>
      </c>
      <c r="K137" s="186" t="s">
        <v>281</v>
      </c>
      <c r="L137" s="188">
        <v>0.1</v>
      </c>
      <c r="M137" s="186"/>
      <c r="N137" s="41"/>
      <c r="O137" s="41"/>
      <c r="P137" s="41"/>
      <c r="Q137" s="42"/>
    </row>
    <row r="138" spans="1:17" ht="20.100000000000001" customHeight="1" x14ac:dyDescent="0.25">
      <c r="A138" s="185">
        <v>6532</v>
      </c>
      <c r="B138" s="185">
        <v>181</v>
      </c>
      <c r="C138" s="186" t="s">
        <v>13</v>
      </c>
      <c r="D138" s="186" t="s">
        <v>207</v>
      </c>
      <c r="E138" s="185">
        <v>25</v>
      </c>
      <c r="F138" s="186" t="s">
        <v>50</v>
      </c>
      <c r="G138" s="185">
        <v>4155</v>
      </c>
      <c r="H138" s="186" t="s">
        <v>56</v>
      </c>
      <c r="I138" s="185" t="s">
        <v>53</v>
      </c>
      <c r="J138" s="187">
        <v>0.29199999999999998</v>
      </c>
      <c r="K138" s="186" t="s">
        <v>282</v>
      </c>
      <c r="L138" s="188">
        <v>0.1</v>
      </c>
      <c r="M138" s="186"/>
      <c r="N138" s="41"/>
      <c r="O138" s="41"/>
      <c r="P138" s="41"/>
      <c r="Q138" s="42"/>
    </row>
    <row r="139" spans="1:17" ht="20.100000000000001" customHeight="1" x14ac:dyDescent="0.25">
      <c r="A139" s="185">
        <v>6532</v>
      </c>
      <c r="B139" s="185">
        <v>181</v>
      </c>
      <c r="C139" s="186" t="s">
        <v>13</v>
      </c>
      <c r="D139" s="186" t="s">
        <v>207</v>
      </c>
      <c r="E139" s="185">
        <v>25</v>
      </c>
      <c r="F139" s="186" t="s">
        <v>108</v>
      </c>
      <c r="G139" s="185">
        <v>3635</v>
      </c>
      <c r="H139" s="186" t="s">
        <v>109</v>
      </c>
      <c r="I139" s="185" t="s">
        <v>73</v>
      </c>
      <c r="J139" s="187">
        <v>7.9000000000000001E-2</v>
      </c>
      <c r="K139" s="186" t="s">
        <v>284</v>
      </c>
      <c r="L139" s="188">
        <v>0.1</v>
      </c>
      <c r="M139" s="186"/>
      <c r="N139" s="41"/>
      <c r="O139" s="41"/>
      <c r="P139" s="41"/>
      <c r="Q139" s="42"/>
    </row>
    <row r="140" spans="1:17" ht="20.100000000000001" customHeight="1" x14ac:dyDescent="0.25">
      <c r="A140" s="181">
        <v>3726</v>
      </c>
      <c r="B140" s="181">
        <v>9</v>
      </c>
      <c r="C140" s="182" t="s">
        <v>13</v>
      </c>
      <c r="D140" s="182" t="s">
        <v>206</v>
      </c>
      <c r="E140" s="181">
        <v>25</v>
      </c>
      <c r="F140" s="182" t="s">
        <v>34</v>
      </c>
      <c r="G140" s="181">
        <v>6</v>
      </c>
      <c r="H140" s="182" t="s">
        <v>43</v>
      </c>
      <c r="I140" s="181" t="s">
        <v>36</v>
      </c>
      <c r="J140" s="183">
        <v>5.9169999999999998</v>
      </c>
      <c r="K140" s="182" t="s">
        <v>275</v>
      </c>
      <c r="L140" s="184">
        <v>0.1</v>
      </c>
      <c r="M140" s="182"/>
      <c r="N140" s="41"/>
      <c r="O140" s="41"/>
      <c r="P140" s="41"/>
      <c r="Q140" s="42"/>
    </row>
    <row r="141" spans="1:17" ht="20.100000000000001" customHeight="1" x14ac:dyDescent="0.25">
      <c r="A141" s="185">
        <v>3726</v>
      </c>
      <c r="B141" s="185">
        <v>9</v>
      </c>
      <c r="C141" s="186" t="s">
        <v>13</v>
      </c>
      <c r="D141" s="186" t="s">
        <v>206</v>
      </c>
      <c r="E141" s="185">
        <v>25</v>
      </c>
      <c r="F141" s="186" t="s">
        <v>57</v>
      </c>
      <c r="G141" s="185">
        <v>3595</v>
      </c>
      <c r="H141" s="186" t="s">
        <v>277</v>
      </c>
      <c r="I141" s="185" t="s">
        <v>36</v>
      </c>
      <c r="J141" s="187">
        <v>0.61199999999999999</v>
      </c>
      <c r="K141" s="186" t="s">
        <v>278</v>
      </c>
      <c r="L141" s="188">
        <v>0.1</v>
      </c>
      <c r="M141" s="186"/>
      <c r="N141" s="41"/>
      <c r="O141" s="41"/>
      <c r="P141" s="41"/>
      <c r="Q141" s="42"/>
    </row>
    <row r="142" spans="1:17" ht="20.100000000000001" customHeight="1" x14ac:dyDescent="0.25">
      <c r="A142" s="185">
        <v>3726</v>
      </c>
      <c r="B142" s="185">
        <v>9</v>
      </c>
      <c r="C142" s="186" t="s">
        <v>13</v>
      </c>
      <c r="D142" s="186" t="s">
        <v>206</v>
      </c>
      <c r="E142" s="185">
        <v>25</v>
      </c>
      <c r="F142" s="186" t="s">
        <v>71</v>
      </c>
      <c r="G142" s="185">
        <v>68</v>
      </c>
      <c r="H142" s="186" t="s">
        <v>87</v>
      </c>
      <c r="I142" s="185" t="s">
        <v>73</v>
      </c>
      <c r="J142" s="187">
        <v>1000</v>
      </c>
      <c r="K142" s="186" t="s">
        <v>279</v>
      </c>
      <c r="L142" s="188">
        <v>0.02</v>
      </c>
      <c r="M142" s="186"/>
      <c r="N142" s="41"/>
      <c r="O142" s="41"/>
      <c r="P142" s="41"/>
      <c r="Q142" s="42"/>
    </row>
    <row r="143" spans="1:17" ht="20.100000000000001" customHeight="1" x14ac:dyDescent="0.25">
      <c r="A143" s="185">
        <v>3726</v>
      </c>
      <c r="B143" s="185">
        <v>9</v>
      </c>
      <c r="C143" s="186" t="s">
        <v>13</v>
      </c>
      <c r="D143" s="186" t="s">
        <v>206</v>
      </c>
      <c r="E143" s="185">
        <v>25</v>
      </c>
      <c r="F143" s="186" t="s">
        <v>95</v>
      </c>
      <c r="G143" s="185">
        <v>3598</v>
      </c>
      <c r="H143" s="186" t="s">
        <v>101</v>
      </c>
      <c r="I143" s="185" t="s">
        <v>73</v>
      </c>
      <c r="J143" s="187">
        <v>2.976</v>
      </c>
      <c r="K143" s="186" t="s">
        <v>280</v>
      </c>
      <c r="L143" s="188">
        <v>0.1</v>
      </c>
      <c r="M143" s="186"/>
      <c r="N143" s="41"/>
      <c r="O143" s="41"/>
      <c r="P143" s="41"/>
      <c r="Q143" s="42"/>
    </row>
    <row r="144" spans="1:17" ht="20.100000000000001" customHeight="1" x14ac:dyDescent="0.25">
      <c r="A144" s="185">
        <v>3726</v>
      </c>
      <c r="B144" s="185">
        <v>9</v>
      </c>
      <c r="C144" s="186" t="s">
        <v>13</v>
      </c>
      <c r="D144" s="186" t="s">
        <v>206</v>
      </c>
      <c r="E144" s="185">
        <v>25</v>
      </c>
      <c r="F144" s="186" t="s">
        <v>105</v>
      </c>
      <c r="G144" s="185">
        <v>194</v>
      </c>
      <c r="H144" s="186" t="s">
        <v>106</v>
      </c>
      <c r="I144" s="185" t="s">
        <v>36</v>
      </c>
      <c r="J144" s="187">
        <v>6.1500000000000001E-3</v>
      </c>
      <c r="K144" s="186" t="s">
        <v>281</v>
      </c>
      <c r="L144" s="188">
        <v>0.1</v>
      </c>
      <c r="M144" s="186"/>
      <c r="N144" s="41"/>
      <c r="O144" s="41"/>
      <c r="P144" s="41"/>
      <c r="Q144" s="42"/>
    </row>
    <row r="145" spans="1:17" ht="20.100000000000001" customHeight="1" x14ac:dyDescent="0.25">
      <c r="A145" s="185">
        <v>3726</v>
      </c>
      <c r="B145" s="185">
        <v>9</v>
      </c>
      <c r="C145" s="186" t="s">
        <v>13</v>
      </c>
      <c r="D145" s="186" t="s">
        <v>206</v>
      </c>
      <c r="E145" s="185">
        <v>25</v>
      </c>
      <c r="F145" s="186" t="s">
        <v>50</v>
      </c>
      <c r="G145" s="185">
        <v>4155</v>
      </c>
      <c r="H145" s="186" t="s">
        <v>56</v>
      </c>
      <c r="I145" s="185" t="s">
        <v>53</v>
      </c>
      <c r="J145" s="187">
        <v>0.29199999999999998</v>
      </c>
      <c r="K145" s="186" t="s">
        <v>282</v>
      </c>
      <c r="L145" s="188">
        <v>0.1</v>
      </c>
      <c r="M145" s="186"/>
      <c r="N145" s="41"/>
      <c r="O145" s="41"/>
      <c r="P145" s="41"/>
      <c r="Q145" s="42"/>
    </row>
    <row r="146" spans="1:17" ht="20.100000000000001" customHeight="1" x14ac:dyDescent="0.25">
      <c r="A146" s="185">
        <v>3726</v>
      </c>
      <c r="B146" s="185">
        <v>9</v>
      </c>
      <c r="C146" s="186" t="s">
        <v>13</v>
      </c>
      <c r="D146" s="186" t="s">
        <v>206</v>
      </c>
      <c r="E146" s="185">
        <v>25</v>
      </c>
      <c r="F146" s="186" t="s">
        <v>108</v>
      </c>
      <c r="G146" s="185">
        <v>3635</v>
      </c>
      <c r="H146" s="186" t="s">
        <v>109</v>
      </c>
      <c r="I146" s="185" t="s">
        <v>73</v>
      </c>
      <c r="J146" s="187">
        <v>7.9000000000000001E-2</v>
      </c>
      <c r="K146" s="186" t="s">
        <v>284</v>
      </c>
      <c r="L146" s="188">
        <v>0.1</v>
      </c>
      <c r="M146" s="186"/>
      <c r="N146" s="41"/>
      <c r="O146" s="41"/>
      <c r="P146" s="41"/>
      <c r="Q146" s="42"/>
    </row>
    <row r="147" spans="1:17" ht="20.100000000000001" customHeight="1" x14ac:dyDescent="0.25">
      <c r="A147" s="181">
        <v>6470</v>
      </c>
      <c r="B147" s="181">
        <v>177</v>
      </c>
      <c r="C147" s="182" t="s">
        <v>13</v>
      </c>
      <c r="D147" s="182" t="s">
        <v>14</v>
      </c>
      <c r="E147" s="181">
        <v>25</v>
      </c>
      <c r="F147" s="182" t="s">
        <v>34</v>
      </c>
      <c r="G147" s="181">
        <v>6</v>
      </c>
      <c r="H147" s="182" t="s">
        <v>43</v>
      </c>
      <c r="I147" s="181" t="s">
        <v>36</v>
      </c>
      <c r="J147" s="183">
        <v>5.9169999999999998</v>
      </c>
      <c r="K147" s="182" t="s">
        <v>275</v>
      </c>
      <c r="L147" s="184">
        <v>0.1</v>
      </c>
      <c r="M147" s="182"/>
      <c r="N147" s="41"/>
      <c r="O147" s="41"/>
      <c r="P147" s="41"/>
      <c r="Q147" s="42"/>
    </row>
    <row r="148" spans="1:17" ht="20.100000000000001" customHeight="1" x14ac:dyDescent="0.25">
      <c r="A148" s="185">
        <v>6470</v>
      </c>
      <c r="B148" s="185">
        <v>177</v>
      </c>
      <c r="C148" s="186" t="s">
        <v>13</v>
      </c>
      <c r="D148" s="186" t="s">
        <v>14</v>
      </c>
      <c r="E148" s="185">
        <v>25</v>
      </c>
      <c r="F148" s="186" t="s">
        <v>57</v>
      </c>
      <c r="G148" s="185">
        <v>3595</v>
      </c>
      <c r="H148" s="186" t="s">
        <v>277</v>
      </c>
      <c r="I148" s="185" t="s">
        <v>36</v>
      </c>
      <c r="J148" s="187">
        <v>0.61199999999999999</v>
      </c>
      <c r="K148" s="186" t="s">
        <v>278</v>
      </c>
      <c r="L148" s="188">
        <v>0.1</v>
      </c>
      <c r="M148" s="186"/>
      <c r="N148" s="41"/>
      <c r="O148" s="41"/>
      <c r="P148" s="41"/>
      <c r="Q148" s="42"/>
    </row>
    <row r="149" spans="1:17" ht="20.100000000000001" customHeight="1" x14ac:dyDescent="0.25">
      <c r="A149" s="185">
        <v>6470</v>
      </c>
      <c r="B149" s="185">
        <v>177</v>
      </c>
      <c r="C149" s="186" t="s">
        <v>13</v>
      </c>
      <c r="D149" s="186" t="s">
        <v>14</v>
      </c>
      <c r="E149" s="185">
        <v>25</v>
      </c>
      <c r="F149" s="186" t="s">
        <v>71</v>
      </c>
      <c r="G149" s="185">
        <v>68</v>
      </c>
      <c r="H149" s="186" t="s">
        <v>87</v>
      </c>
      <c r="I149" s="185" t="s">
        <v>73</v>
      </c>
      <c r="J149" s="187">
        <v>1000</v>
      </c>
      <c r="K149" s="186" t="s">
        <v>279</v>
      </c>
      <c r="L149" s="188">
        <v>0.02</v>
      </c>
      <c r="M149" s="186"/>
      <c r="N149" s="41"/>
      <c r="O149" s="41"/>
      <c r="P149" s="41"/>
      <c r="Q149" s="42"/>
    </row>
    <row r="150" spans="1:17" ht="20.100000000000001" customHeight="1" x14ac:dyDescent="0.25">
      <c r="A150" s="185">
        <v>6470</v>
      </c>
      <c r="B150" s="185">
        <v>177</v>
      </c>
      <c r="C150" s="186" t="s">
        <v>13</v>
      </c>
      <c r="D150" s="186" t="s">
        <v>14</v>
      </c>
      <c r="E150" s="185">
        <v>25</v>
      </c>
      <c r="F150" s="186" t="s">
        <v>95</v>
      </c>
      <c r="G150" s="185">
        <v>3598</v>
      </c>
      <c r="H150" s="186" t="s">
        <v>101</v>
      </c>
      <c r="I150" s="185" t="s">
        <v>73</v>
      </c>
      <c r="J150" s="187">
        <v>2.976</v>
      </c>
      <c r="K150" s="186" t="s">
        <v>280</v>
      </c>
      <c r="L150" s="188">
        <v>0.1</v>
      </c>
      <c r="M150" s="186"/>
      <c r="N150" s="41"/>
      <c r="O150" s="41"/>
      <c r="P150" s="41"/>
      <c r="Q150" s="42"/>
    </row>
    <row r="151" spans="1:17" ht="20.100000000000001" customHeight="1" x14ac:dyDescent="0.25">
      <c r="A151" s="185">
        <v>6470</v>
      </c>
      <c r="B151" s="185">
        <v>177</v>
      </c>
      <c r="C151" s="186" t="s">
        <v>13</v>
      </c>
      <c r="D151" s="186" t="s">
        <v>14</v>
      </c>
      <c r="E151" s="185">
        <v>25</v>
      </c>
      <c r="F151" s="186" t="s">
        <v>105</v>
      </c>
      <c r="G151" s="185">
        <v>194</v>
      </c>
      <c r="H151" s="186" t="s">
        <v>106</v>
      </c>
      <c r="I151" s="185" t="s">
        <v>36</v>
      </c>
      <c r="J151" s="187">
        <v>6.1539999999999997E-3</v>
      </c>
      <c r="K151" s="186" t="s">
        <v>281</v>
      </c>
      <c r="L151" s="188">
        <v>0.1</v>
      </c>
      <c r="M151" s="186"/>
      <c r="N151" s="41"/>
      <c r="O151" s="41"/>
      <c r="P151" s="41"/>
      <c r="Q151" s="42"/>
    </row>
    <row r="152" spans="1:17" ht="20.100000000000001" customHeight="1" x14ac:dyDescent="0.25">
      <c r="A152" s="185">
        <v>6470</v>
      </c>
      <c r="B152" s="185">
        <v>177</v>
      </c>
      <c r="C152" s="186" t="s">
        <v>13</v>
      </c>
      <c r="D152" s="186" t="s">
        <v>14</v>
      </c>
      <c r="E152" s="185">
        <v>25</v>
      </c>
      <c r="F152" s="186" t="s">
        <v>50</v>
      </c>
      <c r="G152" s="185">
        <v>4155</v>
      </c>
      <c r="H152" s="186" t="s">
        <v>56</v>
      </c>
      <c r="I152" s="185" t="s">
        <v>53</v>
      </c>
      <c r="J152" s="187">
        <v>0.29199999999999998</v>
      </c>
      <c r="K152" s="186" t="s">
        <v>282</v>
      </c>
      <c r="L152" s="188">
        <v>0.1</v>
      </c>
      <c r="M152" s="186"/>
      <c r="N152" s="41"/>
      <c r="O152" s="41"/>
      <c r="P152" s="41"/>
      <c r="Q152" s="42"/>
    </row>
    <row r="153" spans="1:17" ht="20.100000000000001" customHeight="1" x14ac:dyDescent="0.25">
      <c r="A153" s="185">
        <v>6470</v>
      </c>
      <c r="B153" s="185">
        <v>177</v>
      </c>
      <c r="C153" s="186" t="s">
        <v>13</v>
      </c>
      <c r="D153" s="186" t="s">
        <v>14</v>
      </c>
      <c r="E153" s="185">
        <v>25</v>
      </c>
      <c r="F153" s="186" t="s">
        <v>108</v>
      </c>
      <c r="G153" s="185">
        <v>3635</v>
      </c>
      <c r="H153" s="186" t="s">
        <v>109</v>
      </c>
      <c r="I153" s="185" t="s">
        <v>73</v>
      </c>
      <c r="J153" s="187">
        <v>7.9000000000000001E-2</v>
      </c>
      <c r="K153" s="186" t="s">
        <v>284</v>
      </c>
      <c r="L153" s="188">
        <v>0.1</v>
      </c>
      <c r="M153" s="186"/>
      <c r="N153" s="41"/>
      <c r="O153" s="41"/>
      <c r="P153" s="41"/>
      <c r="Q153" s="42"/>
    </row>
    <row r="154" spans="1:17" ht="20.100000000000001" customHeight="1" x14ac:dyDescent="0.25">
      <c r="A154" s="185">
        <v>6470</v>
      </c>
      <c r="B154" s="185">
        <v>177</v>
      </c>
      <c r="C154" s="186" t="s">
        <v>13</v>
      </c>
      <c r="D154" s="186" t="s">
        <v>14</v>
      </c>
      <c r="E154" s="185">
        <v>25</v>
      </c>
      <c r="F154" s="186" t="s">
        <v>292</v>
      </c>
      <c r="G154" s="185">
        <v>3754</v>
      </c>
      <c r="H154" s="186" t="s">
        <v>297</v>
      </c>
      <c r="I154" s="185" t="s">
        <v>36</v>
      </c>
      <c r="J154" s="187">
        <v>2.5000000000000001E-2</v>
      </c>
      <c r="K154" s="186" t="s">
        <v>294</v>
      </c>
      <c r="L154" s="188">
        <v>0.1</v>
      </c>
      <c r="M154" s="186"/>
      <c r="N154" s="41"/>
      <c r="O154" s="41"/>
      <c r="P154" s="41"/>
      <c r="Q154" s="42"/>
    </row>
    <row r="155" spans="1:17" ht="20.100000000000001" customHeight="1" x14ac:dyDescent="0.25">
      <c r="A155" s="185">
        <v>6470</v>
      </c>
      <c r="B155" s="185">
        <v>177</v>
      </c>
      <c r="C155" s="186" t="s">
        <v>13</v>
      </c>
      <c r="D155" s="186" t="s">
        <v>14</v>
      </c>
      <c r="E155" s="185">
        <v>25</v>
      </c>
      <c r="F155" s="186" t="s">
        <v>292</v>
      </c>
      <c r="G155" s="185">
        <v>3955</v>
      </c>
      <c r="H155" s="186" t="s">
        <v>298</v>
      </c>
      <c r="I155" s="185" t="s">
        <v>36</v>
      </c>
      <c r="J155" s="187">
        <v>2.5000000000000001E-2</v>
      </c>
      <c r="K155" s="186" t="s">
        <v>294</v>
      </c>
      <c r="L155" s="188">
        <v>0.1</v>
      </c>
      <c r="M155" s="186"/>
      <c r="N155" s="41"/>
      <c r="O155" s="41"/>
      <c r="P155" s="41"/>
      <c r="Q155" s="42"/>
    </row>
    <row r="156" spans="1:17" ht="20.100000000000001" customHeight="1" x14ac:dyDescent="0.25">
      <c r="A156" s="181">
        <v>6506</v>
      </c>
      <c r="B156" s="181">
        <v>179</v>
      </c>
      <c r="C156" s="182" t="s">
        <v>13</v>
      </c>
      <c r="D156" s="182" t="s">
        <v>208</v>
      </c>
      <c r="E156" s="181">
        <v>25</v>
      </c>
      <c r="F156" s="182" t="s">
        <v>34</v>
      </c>
      <c r="G156" s="181">
        <v>6</v>
      </c>
      <c r="H156" s="182" t="s">
        <v>43</v>
      </c>
      <c r="I156" s="181" t="s">
        <v>36</v>
      </c>
      <c r="J156" s="183">
        <v>5.9169999999999998</v>
      </c>
      <c r="K156" s="182" t="s">
        <v>275</v>
      </c>
      <c r="L156" s="184">
        <v>0.1</v>
      </c>
      <c r="M156" s="182"/>
      <c r="N156" s="41"/>
      <c r="O156" s="41"/>
      <c r="P156" s="41"/>
      <c r="Q156" s="42"/>
    </row>
    <row r="157" spans="1:17" ht="20.100000000000001" customHeight="1" x14ac:dyDescent="0.25">
      <c r="A157" s="185">
        <v>6506</v>
      </c>
      <c r="B157" s="185">
        <v>179</v>
      </c>
      <c r="C157" s="186" t="s">
        <v>13</v>
      </c>
      <c r="D157" s="186" t="s">
        <v>208</v>
      </c>
      <c r="E157" s="185">
        <v>25</v>
      </c>
      <c r="F157" s="186" t="s">
        <v>57</v>
      </c>
      <c r="G157" s="185">
        <v>3595</v>
      </c>
      <c r="H157" s="186" t="s">
        <v>277</v>
      </c>
      <c r="I157" s="185" t="s">
        <v>36</v>
      </c>
      <c r="J157" s="187">
        <v>0.61199999999999999</v>
      </c>
      <c r="K157" s="186" t="s">
        <v>278</v>
      </c>
      <c r="L157" s="188">
        <v>0.1</v>
      </c>
      <c r="M157" s="186"/>
      <c r="N157" s="41"/>
      <c r="O157" s="41"/>
      <c r="P157" s="41"/>
      <c r="Q157" s="42"/>
    </row>
    <row r="158" spans="1:17" ht="20.100000000000001" customHeight="1" x14ac:dyDescent="0.25">
      <c r="A158" s="185">
        <v>6506</v>
      </c>
      <c r="B158" s="185">
        <v>179</v>
      </c>
      <c r="C158" s="186" t="s">
        <v>13</v>
      </c>
      <c r="D158" s="186" t="s">
        <v>208</v>
      </c>
      <c r="E158" s="185">
        <v>25</v>
      </c>
      <c r="F158" s="186" t="s">
        <v>71</v>
      </c>
      <c r="G158" s="185">
        <v>68</v>
      </c>
      <c r="H158" s="186" t="s">
        <v>87</v>
      </c>
      <c r="I158" s="185" t="s">
        <v>73</v>
      </c>
      <c r="J158" s="187">
        <v>1000</v>
      </c>
      <c r="K158" s="186" t="s">
        <v>279</v>
      </c>
      <c r="L158" s="188">
        <v>0.02</v>
      </c>
      <c r="M158" s="186"/>
      <c r="N158" s="41"/>
      <c r="O158" s="41"/>
      <c r="P158" s="41"/>
      <c r="Q158" s="42"/>
    </row>
    <row r="159" spans="1:17" ht="20.100000000000001" customHeight="1" x14ac:dyDescent="0.25">
      <c r="A159" s="185">
        <v>6506</v>
      </c>
      <c r="B159" s="185">
        <v>179</v>
      </c>
      <c r="C159" s="186" t="s">
        <v>13</v>
      </c>
      <c r="D159" s="186" t="s">
        <v>208</v>
      </c>
      <c r="E159" s="185">
        <v>25</v>
      </c>
      <c r="F159" s="186" t="s">
        <v>95</v>
      </c>
      <c r="G159" s="185">
        <v>3598</v>
      </c>
      <c r="H159" s="186" t="s">
        <v>101</v>
      </c>
      <c r="I159" s="185" t="s">
        <v>73</v>
      </c>
      <c r="J159" s="187">
        <v>2.976</v>
      </c>
      <c r="K159" s="186" t="s">
        <v>280</v>
      </c>
      <c r="L159" s="188">
        <v>0.1</v>
      </c>
      <c r="M159" s="186"/>
      <c r="N159" s="41"/>
      <c r="O159" s="41"/>
      <c r="P159" s="41"/>
      <c r="Q159" s="42"/>
    </row>
    <row r="160" spans="1:17" ht="20.100000000000001" customHeight="1" x14ac:dyDescent="0.25">
      <c r="A160" s="185">
        <v>6506</v>
      </c>
      <c r="B160" s="185">
        <v>179</v>
      </c>
      <c r="C160" s="186" t="s">
        <v>13</v>
      </c>
      <c r="D160" s="186" t="s">
        <v>208</v>
      </c>
      <c r="E160" s="185">
        <v>25</v>
      </c>
      <c r="F160" s="186" t="s">
        <v>105</v>
      </c>
      <c r="G160" s="185">
        <v>194</v>
      </c>
      <c r="H160" s="186" t="s">
        <v>106</v>
      </c>
      <c r="I160" s="185" t="s">
        <v>36</v>
      </c>
      <c r="J160" s="187">
        <v>6.1539999999999997E-3</v>
      </c>
      <c r="K160" s="186" t="s">
        <v>281</v>
      </c>
      <c r="L160" s="188">
        <v>0.1</v>
      </c>
      <c r="M160" s="186"/>
      <c r="N160" s="41"/>
      <c r="O160" s="41"/>
      <c r="P160" s="41"/>
      <c r="Q160" s="42"/>
    </row>
    <row r="161" spans="1:17" ht="20.100000000000001" customHeight="1" x14ac:dyDescent="0.25">
      <c r="A161" s="185">
        <v>6506</v>
      </c>
      <c r="B161" s="185">
        <v>179</v>
      </c>
      <c r="C161" s="186" t="s">
        <v>13</v>
      </c>
      <c r="D161" s="186" t="s">
        <v>208</v>
      </c>
      <c r="E161" s="185">
        <v>25</v>
      </c>
      <c r="F161" s="186" t="s">
        <v>50</v>
      </c>
      <c r="G161" s="185">
        <v>4155</v>
      </c>
      <c r="H161" s="186" t="s">
        <v>56</v>
      </c>
      <c r="I161" s="185" t="s">
        <v>53</v>
      </c>
      <c r="J161" s="187">
        <v>0.29199999999999998</v>
      </c>
      <c r="K161" s="186" t="s">
        <v>282</v>
      </c>
      <c r="L161" s="188">
        <v>0.1</v>
      </c>
      <c r="M161" s="186"/>
      <c r="N161" s="41"/>
      <c r="O161" s="41"/>
      <c r="P161" s="41"/>
      <c r="Q161" s="42"/>
    </row>
    <row r="162" spans="1:17" ht="20.100000000000001" customHeight="1" x14ac:dyDescent="0.25">
      <c r="A162" s="185">
        <v>6506</v>
      </c>
      <c r="B162" s="185">
        <v>179</v>
      </c>
      <c r="C162" s="186" t="s">
        <v>13</v>
      </c>
      <c r="D162" s="186" t="s">
        <v>208</v>
      </c>
      <c r="E162" s="185">
        <v>25</v>
      </c>
      <c r="F162" s="186" t="s">
        <v>108</v>
      </c>
      <c r="G162" s="185">
        <v>3635</v>
      </c>
      <c r="H162" s="186" t="s">
        <v>109</v>
      </c>
      <c r="I162" s="185" t="s">
        <v>73</v>
      </c>
      <c r="J162" s="187">
        <v>7.9000000000000001E-2</v>
      </c>
      <c r="K162" s="186" t="s">
        <v>284</v>
      </c>
      <c r="L162" s="188">
        <v>0.1</v>
      </c>
      <c r="M162" s="186"/>
      <c r="N162" s="41"/>
      <c r="O162" s="41"/>
      <c r="P162" s="41"/>
      <c r="Q162" s="42"/>
    </row>
    <row r="163" spans="1:17" ht="20.100000000000001" customHeight="1" x14ac:dyDescent="0.25">
      <c r="A163" s="181">
        <v>6337</v>
      </c>
      <c r="B163" s="181">
        <v>166</v>
      </c>
      <c r="C163" s="182" t="s">
        <v>219</v>
      </c>
      <c r="D163" s="182" t="s">
        <v>221</v>
      </c>
      <c r="E163" s="181">
        <v>30</v>
      </c>
      <c r="F163" s="182" t="s">
        <v>34</v>
      </c>
      <c r="G163" s="181">
        <v>3597</v>
      </c>
      <c r="H163" s="182" t="s">
        <v>46</v>
      </c>
      <c r="I163" s="181" t="s">
        <v>36</v>
      </c>
      <c r="J163" s="183">
        <v>8</v>
      </c>
      <c r="K163" s="182" t="s">
        <v>275</v>
      </c>
      <c r="L163" s="184">
        <v>0.1</v>
      </c>
      <c r="M163" s="182" t="s">
        <v>299</v>
      </c>
      <c r="N163" s="41"/>
      <c r="O163" s="41"/>
      <c r="P163" s="41"/>
      <c r="Q163" s="42"/>
    </row>
    <row r="164" spans="1:17" ht="20.100000000000001" customHeight="1" x14ac:dyDescent="0.25">
      <c r="A164" s="185">
        <v>6337</v>
      </c>
      <c r="B164" s="185">
        <v>166</v>
      </c>
      <c r="C164" s="186" t="s">
        <v>219</v>
      </c>
      <c r="D164" s="186" t="s">
        <v>221</v>
      </c>
      <c r="E164" s="185">
        <v>30</v>
      </c>
      <c r="F164" s="186" t="s">
        <v>57</v>
      </c>
      <c r="G164" s="185">
        <v>3595</v>
      </c>
      <c r="H164" s="186" t="s">
        <v>277</v>
      </c>
      <c r="I164" s="185" t="s">
        <v>36</v>
      </c>
      <c r="J164" s="187">
        <v>0.67</v>
      </c>
      <c r="K164" s="186" t="s">
        <v>278</v>
      </c>
      <c r="L164" s="188">
        <v>0.1</v>
      </c>
      <c r="M164" s="186"/>
      <c r="N164" s="41"/>
      <c r="O164" s="41"/>
      <c r="P164" s="41"/>
      <c r="Q164" s="42"/>
    </row>
    <row r="165" spans="1:17" ht="20.100000000000001" customHeight="1" x14ac:dyDescent="0.25">
      <c r="A165" s="185">
        <v>6337</v>
      </c>
      <c r="B165" s="185">
        <v>166</v>
      </c>
      <c r="C165" s="186" t="s">
        <v>219</v>
      </c>
      <c r="D165" s="186" t="s">
        <v>221</v>
      </c>
      <c r="E165" s="185">
        <v>30</v>
      </c>
      <c r="F165" s="186" t="s">
        <v>69</v>
      </c>
      <c r="G165" s="185">
        <v>186</v>
      </c>
      <c r="H165" s="186" t="s">
        <v>70</v>
      </c>
      <c r="I165" s="185" t="s">
        <v>36</v>
      </c>
      <c r="J165" s="187">
        <v>0.28000000000000003</v>
      </c>
      <c r="K165" s="186" t="s">
        <v>295</v>
      </c>
      <c r="L165" s="188">
        <v>0.1</v>
      </c>
      <c r="M165" s="186"/>
      <c r="N165" s="41"/>
      <c r="O165" s="41"/>
      <c r="P165" s="41"/>
      <c r="Q165" s="42"/>
    </row>
    <row r="166" spans="1:17" ht="20.100000000000001" customHeight="1" x14ac:dyDescent="0.25">
      <c r="A166" s="185">
        <v>6337</v>
      </c>
      <c r="B166" s="185">
        <v>166</v>
      </c>
      <c r="C166" s="186" t="s">
        <v>219</v>
      </c>
      <c r="D166" s="186" t="s">
        <v>221</v>
      </c>
      <c r="E166" s="185">
        <v>30</v>
      </c>
      <c r="F166" s="186" t="s">
        <v>71</v>
      </c>
      <c r="G166" s="185">
        <v>578</v>
      </c>
      <c r="H166" s="186" t="s">
        <v>93</v>
      </c>
      <c r="I166" s="185" t="s">
        <v>73</v>
      </c>
      <c r="J166" s="187">
        <v>1000</v>
      </c>
      <c r="K166" s="186" t="s">
        <v>279</v>
      </c>
      <c r="L166" s="188">
        <v>0.02</v>
      </c>
      <c r="M166" s="186"/>
      <c r="N166" s="41"/>
      <c r="O166" s="41"/>
      <c r="P166" s="41"/>
      <c r="Q166" s="42"/>
    </row>
    <row r="167" spans="1:17" ht="20.100000000000001" customHeight="1" x14ac:dyDescent="0.25">
      <c r="A167" s="185">
        <v>6337</v>
      </c>
      <c r="B167" s="185">
        <v>166</v>
      </c>
      <c r="C167" s="186" t="s">
        <v>219</v>
      </c>
      <c r="D167" s="186" t="s">
        <v>221</v>
      </c>
      <c r="E167" s="185">
        <v>30</v>
      </c>
      <c r="F167" s="186" t="s">
        <v>95</v>
      </c>
      <c r="G167" s="185">
        <v>45</v>
      </c>
      <c r="H167" s="186" t="s">
        <v>102</v>
      </c>
      <c r="I167" s="185" t="s">
        <v>73</v>
      </c>
      <c r="J167" s="187">
        <v>6.6665999999999999</v>
      </c>
      <c r="K167" s="186" t="s">
        <v>280</v>
      </c>
      <c r="L167" s="188">
        <v>0.1</v>
      </c>
      <c r="M167" s="186"/>
      <c r="N167" s="41"/>
      <c r="O167" s="41"/>
      <c r="P167" s="41"/>
      <c r="Q167" s="42"/>
    </row>
    <row r="168" spans="1:17" ht="20.100000000000001" customHeight="1" x14ac:dyDescent="0.25">
      <c r="A168" s="185">
        <v>6337</v>
      </c>
      <c r="B168" s="185">
        <v>166</v>
      </c>
      <c r="C168" s="186" t="s">
        <v>219</v>
      </c>
      <c r="D168" s="186" t="s">
        <v>221</v>
      </c>
      <c r="E168" s="185">
        <v>30</v>
      </c>
      <c r="F168" s="186" t="s">
        <v>50</v>
      </c>
      <c r="G168" s="185">
        <v>4155</v>
      </c>
      <c r="H168" s="186" t="s">
        <v>56</v>
      </c>
      <c r="I168" s="185" t="s">
        <v>36</v>
      </c>
      <c r="J168" s="187">
        <v>0.28000000000000003</v>
      </c>
      <c r="K168" s="186" t="s">
        <v>282</v>
      </c>
      <c r="L168" s="188">
        <v>0.1</v>
      </c>
      <c r="M168" s="186"/>
      <c r="N168" s="41"/>
      <c r="O168" s="41"/>
      <c r="P168" s="41"/>
      <c r="Q168" s="42"/>
    </row>
    <row r="169" spans="1:17" ht="20.100000000000001" customHeight="1" x14ac:dyDescent="0.25">
      <c r="A169" s="185">
        <v>6337</v>
      </c>
      <c r="B169" s="185">
        <v>166</v>
      </c>
      <c r="C169" s="186" t="s">
        <v>219</v>
      </c>
      <c r="D169" s="186" t="s">
        <v>221</v>
      </c>
      <c r="E169" s="185">
        <v>30</v>
      </c>
      <c r="F169" s="186" t="s">
        <v>108</v>
      </c>
      <c r="G169" s="185">
        <v>3635</v>
      </c>
      <c r="H169" s="186" t="s">
        <v>109</v>
      </c>
      <c r="I169" s="185" t="s">
        <v>73</v>
      </c>
      <c r="J169" s="187">
        <v>0.156</v>
      </c>
      <c r="K169" s="186" t="s">
        <v>291</v>
      </c>
      <c r="L169" s="188">
        <v>0.1</v>
      </c>
      <c r="M169" s="186"/>
      <c r="N169" s="41"/>
      <c r="O169" s="41"/>
      <c r="P169" s="41"/>
      <c r="Q169" s="42"/>
    </row>
    <row r="170" spans="1:17" ht="20.100000000000001" customHeight="1" x14ac:dyDescent="0.25">
      <c r="A170" s="185">
        <v>6337</v>
      </c>
      <c r="B170" s="185">
        <v>166</v>
      </c>
      <c r="C170" s="186" t="s">
        <v>219</v>
      </c>
      <c r="D170" s="186" t="s">
        <v>221</v>
      </c>
      <c r="E170" s="185">
        <v>30</v>
      </c>
      <c r="F170" s="186" t="s">
        <v>105</v>
      </c>
      <c r="G170" s="185">
        <v>194</v>
      </c>
      <c r="H170" s="186" t="s">
        <v>106</v>
      </c>
      <c r="I170" s="185" t="s">
        <v>36</v>
      </c>
      <c r="J170" s="187">
        <v>8.3199999999999993E-3</v>
      </c>
      <c r="K170" s="186" t="s">
        <v>105</v>
      </c>
      <c r="L170" s="188">
        <v>0.1</v>
      </c>
      <c r="M170" s="186"/>
      <c r="N170" s="41"/>
      <c r="O170" s="41"/>
      <c r="P170" s="41"/>
      <c r="Q170" s="42"/>
    </row>
    <row r="171" spans="1:17" ht="20.100000000000001" customHeight="1" x14ac:dyDescent="0.25">
      <c r="A171" s="181">
        <v>6416</v>
      </c>
      <c r="B171" s="181">
        <v>171</v>
      </c>
      <c r="C171" s="182" t="s">
        <v>219</v>
      </c>
      <c r="D171" s="182" t="s">
        <v>220</v>
      </c>
      <c r="E171" s="181">
        <v>30</v>
      </c>
      <c r="F171" s="182" t="s">
        <v>34</v>
      </c>
      <c r="G171" s="181">
        <v>3597</v>
      </c>
      <c r="H171" s="182" t="s">
        <v>46</v>
      </c>
      <c r="I171" s="181" t="s">
        <v>36</v>
      </c>
      <c r="J171" s="183">
        <v>8</v>
      </c>
      <c r="K171" s="182" t="s">
        <v>275</v>
      </c>
      <c r="L171" s="184">
        <v>0.1</v>
      </c>
      <c r="M171" s="182" t="s">
        <v>299</v>
      </c>
      <c r="N171" s="41"/>
      <c r="O171" s="41"/>
      <c r="P171" s="41"/>
      <c r="Q171" s="42"/>
    </row>
    <row r="172" spans="1:17" ht="20.100000000000001" customHeight="1" x14ac:dyDescent="0.25">
      <c r="A172" s="185">
        <v>6416</v>
      </c>
      <c r="B172" s="185">
        <v>171</v>
      </c>
      <c r="C172" s="186" t="s">
        <v>219</v>
      </c>
      <c r="D172" s="186" t="s">
        <v>220</v>
      </c>
      <c r="E172" s="185">
        <v>30</v>
      </c>
      <c r="F172" s="186" t="s">
        <v>57</v>
      </c>
      <c r="G172" s="185">
        <v>3595</v>
      </c>
      <c r="H172" s="186" t="s">
        <v>277</v>
      </c>
      <c r="I172" s="185" t="s">
        <v>36</v>
      </c>
      <c r="J172" s="187">
        <v>0.67</v>
      </c>
      <c r="K172" s="186" t="s">
        <v>278</v>
      </c>
      <c r="L172" s="188">
        <v>0.1</v>
      </c>
      <c r="M172" s="186"/>
      <c r="N172" s="41"/>
      <c r="O172" s="41"/>
      <c r="P172" s="41"/>
      <c r="Q172" s="42"/>
    </row>
    <row r="173" spans="1:17" ht="20.100000000000001" customHeight="1" x14ac:dyDescent="0.25">
      <c r="A173" s="185">
        <v>6416</v>
      </c>
      <c r="B173" s="185">
        <v>171</v>
      </c>
      <c r="C173" s="186" t="s">
        <v>219</v>
      </c>
      <c r="D173" s="186" t="s">
        <v>220</v>
      </c>
      <c r="E173" s="185">
        <v>30</v>
      </c>
      <c r="F173" s="186" t="s">
        <v>69</v>
      </c>
      <c r="G173" s="185">
        <v>186</v>
      </c>
      <c r="H173" s="186" t="s">
        <v>70</v>
      </c>
      <c r="I173" s="185" t="s">
        <v>36</v>
      </c>
      <c r="J173" s="187">
        <v>0.28000000000000003</v>
      </c>
      <c r="K173" s="186" t="s">
        <v>295</v>
      </c>
      <c r="L173" s="188">
        <v>0.1</v>
      </c>
      <c r="M173" s="186"/>
      <c r="N173" s="41"/>
      <c r="O173" s="41"/>
      <c r="P173" s="41"/>
      <c r="Q173" s="42"/>
    </row>
    <row r="174" spans="1:17" ht="20.100000000000001" customHeight="1" x14ac:dyDescent="0.25">
      <c r="A174" s="185">
        <v>6416</v>
      </c>
      <c r="B174" s="185">
        <v>171</v>
      </c>
      <c r="C174" s="186" t="s">
        <v>219</v>
      </c>
      <c r="D174" s="186" t="s">
        <v>220</v>
      </c>
      <c r="E174" s="185">
        <v>30</v>
      </c>
      <c r="F174" s="186" t="s">
        <v>71</v>
      </c>
      <c r="G174" s="185">
        <v>578</v>
      </c>
      <c r="H174" s="186" t="s">
        <v>93</v>
      </c>
      <c r="I174" s="185" t="s">
        <v>73</v>
      </c>
      <c r="J174" s="187">
        <v>1000</v>
      </c>
      <c r="K174" s="186" t="s">
        <v>279</v>
      </c>
      <c r="L174" s="188">
        <v>0.02</v>
      </c>
      <c r="M174" s="186"/>
      <c r="N174" s="41"/>
      <c r="O174" s="41"/>
      <c r="P174" s="41"/>
      <c r="Q174" s="42"/>
    </row>
    <row r="175" spans="1:17" ht="20.100000000000001" customHeight="1" x14ac:dyDescent="0.25">
      <c r="A175" s="185">
        <v>6416</v>
      </c>
      <c r="B175" s="185">
        <v>171</v>
      </c>
      <c r="C175" s="186" t="s">
        <v>219</v>
      </c>
      <c r="D175" s="186" t="s">
        <v>220</v>
      </c>
      <c r="E175" s="185">
        <v>30</v>
      </c>
      <c r="F175" s="186" t="s">
        <v>95</v>
      </c>
      <c r="G175" s="185">
        <v>3598</v>
      </c>
      <c r="H175" s="186" t="s">
        <v>101</v>
      </c>
      <c r="I175" s="185" t="s">
        <v>73</v>
      </c>
      <c r="J175" s="187">
        <v>4.2016</v>
      </c>
      <c r="K175" s="186" t="s">
        <v>280</v>
      </c>
      <c r="L175" s="188">
        <v>0.1</v>
      </c>
      <c r="M175" s="186"/>
      <c r="N175" s="41"/>
      <c r="O175" s="41"/>
      <c r="P175" s="41"/>
      <c r="Q175" s="42"/>
    </row>
    <row r="176" spans="1:17" ht="20.100000000000001" customHeight="1" x14ac:dyDescent="0.25">
      <c r="A176" s="185">
        <v>6416</v>
      </c>
      <c r="B176" s="185">
        <v>171</v>
      </c>
      <c r="C176" s="186" t="s">
        <v>219</v>
      </c>
      <c r="D176" s="186" t="s">
        <v>220</v>
      </c>
      <c r="E176" s="185">
        <v>30</v>
      </c>
      <c r="F176" s="186" t="s">
        <v>50</v>
      </c>
      <c r="G176" s="185">
        <v>4155</v>
      </c>
      <c r="H176" s="186" t="s">
        <v>56</v>
      </c>
      <c r="I176" s="185" t="s">
        <v>36</v>
      </c>
      <c r="J176" s="187">
        <v>0.28000000000000003</v>
      </c>
      <c r="K176" s="186" t="s">
        <v>282</v>
      </c>
      <c r="L176" s="188">
        <v>0.1</v>
      </c>
      <c r="M176" s="186"/>
      <c r="N176" s="41"/>
      <c r="O176" s="41"/>
      <c r="P176" s="41"/>
      <c r="Q176" s="42"/>
    </row>
    <row r="177" spans="1:17" ht="20.100000000000001" customHeight="1" x14ac:dyDescent="0.25">
      <c r="A177" s="185">
        <v>6416</v>
      </c>
      <c r="B177" s="185">
        <v>171</v>
      </c>
      <c r="C177" s="186" t="s">
        <v>219</v>
      </c>
      <c r="D177" s="186" t="s">
        <v>220</v>
      </c>
      <c r="E177" s="185">
        <v>30</v>
      </c>
      <c r="F177" s="186" t="s">
        <v>108</v>
      </c>
      <c r="G177" s="185">
        <v>3635</v>
      </c>
      <c r="H177" s="186" t="s">
        <v>109</v>
      </c>
      <c r="I177" s="185" t="s">
        <v>73</v>
      </c>
      <c r="J177" s="187">
        <v>0.156</v>
      </c>
      <c r="K177" s="186" t="s">
        <v>291</v>
      </c>
      <c r="L177" s="188">
        <v>0.1</v>
      </c>
      <c r="M177" s="186"/>
      <c r="N177" s="41"/>
      <c r="O177" s="41"/>
      <c r="P177" s="41"/>
      <c r="Q177" s="42"/>
    </row>
    <row r="178" spans="1:17" ht="20.100000000000001" customHeight="1" x14ac:dyDescent="0.25">
      <c r="A178" s="185">
        <v>6416</v>
      </c>
      <c r="B178" s="185">
        <v>171</v>
      </c>
      <c r="C178" s="186" t="s">
        <v>219</v>
      </c>
      <c r="D178" s="186" t="s">
        <v>220</v>
      </c>
      <c r="E178" s="185">
        <v>30</v>
      </c>
      <c r="F178" s="186" t="s">
        <v>105</v>
      </c>
      <c r="G178" s="185">
        <v>194</v>
      </c>
      <c r="H178" s="186" t="s">
        <v>106</v>
      </c>
      <c r="I178" s="185" t="s">
        <v>36</v>
      </c>
      <c r="J178" s="187">
        <v>8.3199999999999993E-3</v>
      </c>
      <c r="K178" s="186" t="s">
        <v>105</v>
      </c>
      <c r="L178" s="188">
        <v>0.1</v>
      </c>
      <c r="M178" s="186"/>
      <c r="N178" s="41"/>
      <c r="O178" s="41"/>
      <c r="P178" s="41"/>
      <c r="Q178" s="42"/>
    </row>
    <row r="179" spans="1:17" ht="20.100000000000001" customHeight="1" x14ac:dyDescent="0.25">
      <c r="A179" s="181">
        <v>6206</v>
      </c>
      <c r="B179" s="181">
        <v>149</v>
      </c>
      <c r="C179" s="182" t="s">
        <v>19</v>
      </c>
      <c r="D179" s="182" t="s">
        <v>20</v>
      </c>
      <c r="E179" s="181">
        <v>30</v>
      </c>
      <c r="F179" s="182" t="s">
        <v>34</v>
      </c>
      <c r="G179" s="181">
        <v>3597</v>
      </c>
      <c r="H179" s="182" t="s">
        <v>46</v>
      </c>
      <c r="I179" s="181" t="s">
        <v>36</v>
      </c>
      <c r="J179" s="183">
        <v>8</v>
      </c>
      <c r="K179" s="182" t="s">
        <v>275</v>
      </c>
      <c r="L179" s="184">
        <v>0.1</v>
      </c>
      <c r="M179" s="182" t="s">
        <v>299</v>
      </c>
      <c r="N179" s="41"/>
      <c r="O179" s="41"/>
      <c r="P179" s="41"/>
      <c r="Q179" s="42"/>
    </row>
    <row r="180" spans="1:17" ht="20.100000000000001" customHeight="1" x14ac:dyDescent="0.25">
      <c r="A180" s="185">
        <v>6206</v>
      </c>
      <c r="B180" s="185">
        <v>149</v>
      </c>
      <c r="C180" s="186" t="s">
        <v>19</v>
      </c>
      <c r="D180" s="186" t="s">
        <v>20</v>
      </c>
      <c r="E180" s="185">
        <v>30</v>
      </c>
      <c r="F180" s="186" t="s">
        <v>57</v>
      </c>
      <c r="G180" s="185">
        <v>3595</v>
      </c>
      <c r="H180" s="186" t="s">
        <v>277</v>
      </c>
      <c r="I180" s="185" t="s">
        <v>36</v>
      </c>
      <c r="J180" s="187">
        <v>0.67</v>
      </c>
      <c r="K180" s="186" t="s">
        <v>278</v>
      </c>
      <c r="L180" s="188">
        <v>0.1</v>
      </c>
      <c r="M180" s="186"/>
      <c r="N180" s="41"/>
      <c r="O180" s="41"/>
      <c r="P180" s="41"/>
      <c r="Q180" s="42"/>
    </row>
    <row r="181" spans="1:17" ht="20.100000000000001" customHeight="1" x14ac:dyDescent="0.25">
      <c r="A181" s="185">
        <v>6206</v>
      </c>
      <c r="B181" s="185">
        <v>149</v>
      </c>
      <c r="C181" s="186" t="s">
        <v>19</v>
      </c>
      <c r="D181" s="186" t="s">
        <v>20</v>
      </c>
      <c r="E181" s="185">
        <v>30</v>
      </c>
      <c r="F181" s="186" t="s">
        <v>69</v>
      </c>
      <c r="G181" s="185">
        <v>186</v>
      </c>
      <c r="H181" s="186" t="s">
        <v>70</v>
      </c>
      <c r="I181" s="185" t="s">
        <v>36</v>
      </c>
      <c r="J181" s="187">
        <v>0.28000000000000003</v>
      </c>
      <c r="K181" s="186" t="s">
        <v>295</v>
      </c>
      <c r="L181" s="188">
        <v>0.1</v>
      </c>
      <c r="M181" s="186"/>
      <c r="N181" s="41"/>
      <c r="O181" s="41"/>
      <c r="P181" s="41"/>
      <c r="Q181" s="42"/>
    </row>
    <row r="182" spans="1:17" ht="20.100000000000001" customHeight="1" x14ac:dyDescent="0.25">
      <c r="A182" s="185">
        <v>6206</v>
      </c>
      <c r="B182" s="185">
        <v>149</v>
      </c>
      <c r="C182" s="186" t="s">
        <v>19</v>
      </c>
      <c r="D182" s="186" t="s">
        <v>20</v>
      </c>
      <c r="E182" s="185">
        <v>30</v>
      </c>
      <c r="F182" s="186" t="s">
        <v>71</v>
      </c>
      <c r="G182" s="185">
        <v>68</v>
      </c>
      <c r="H182" s="186" t="s">
        <v>87</v>
      </c>
      <c r="I182" s="185" t="s">
        <v>73</v>
      </c>
      <c r="J182" s="187">
        <v>1000</v>
      </c>
      <c r="K182" s="186" t="s">
        <v>279</v>
      </c>
      <c r="L182" s="188">
        <v>0.02</v>
      </c>
      <c r="M182" s="186"/>
      <c r="N182" s="41"/>
      <c r="O182" s="41"/>
      <c r="P182" s="41"/>
      <c r="Q182" s="42"/>
    </row>
    <row r="183" spans="1:17" ht="20.100000000000001" customHeight="1" x14ac:dyDescent="0.25">
      <c r="A183" s="185">
        <v>6206</v>
      </c>
      <c r="B183" s="185">
        <v>149</v>
      </c>
      <c r="C183" s="186" t="s">
        <v>19</v>
      </c>
      <c r="D183" s="186" t="s">
        <v>20</v>
      </c>
      <c r="E183" s="185">
        <v>30</v>
      </c>
      <c r="F183" s="186" t="s">
        <v>95</v>
      </c>
      <c r="G183" s="185">
        <v>3598</v>
      </c>
      <c r="H183" s="186" t="s">
        <v>101</v>
      </c>
      <c r="I183" s="185" t="s">
        <v>73</v>
      </c>
      <c r="J183" s="187">
        <v>4.2016</v>
      </c>
      <c r="K183" s="186" t="s">
        <v>280</v>
      </c>
      <c r="L183" s="188">
        <v>0.1</v>
      </c>
      <c r="M183" s="186"/>
      <c r="N183" s="41"/>
      <c r="O183" s="41"/>
      <c r="P183" s="41"/>
      <c r="Q183" s="42"/>
    </row>
    <row r="184" spans="1:17" ht="20.100000000000001" customHeight="1" x14ac:dyDescent="0.25">
      <c r="A184" s="185">
        <v>6206</v>
      </c>
      <c r="B184" s="185">
        <v>149</v>
      </c>
      <c r="C184" s="186" t="s">
        <v>19</v>
      </c>
      <c r="D184" s="186" t="s">
        <v>20</v>
      </c>
      <c r="E184" s="185">
        <v>30</v>
      </c>
      <c r="F184" s="186" t="s">
        <v>105</v>
      </c>
      <c r="G184" s="185">
        <v>194</v>
      </c>
      <c r="H184" s="186" t="s">
        <v>106</v>
      </c>
      <c r="I184" s="185" t="s">
        <v>36</v>
      </c>
      <c r="J184" s="187">
        <v>8.3199999999999993E-3</v>
      </c>
      <c r="K184" s="186" t="s">
        <v>281</v>
      </c>
      <c r="L184" s="188">
        <v>0.1</v>
      </c>
      <c r="M184" s="186"/>
      <c r="N184" s="41"/>
      <c r="O184" s="41"/>
      <c r="P184" s="41"/>
      <c r="Q184" s="42"/>
    </row>
    <row r="185" spans="1:17" ht="20.100000000000001" customHeight="1" x14ac:dyDescent="0.25">
      <c r="A185" s="185">
        <v>6206</v>
      </c>
      <c r="B185" s="185">
        <v>149</v>
      </c>
      <c r="C185" s="186" t="s">
        <v>19</v>
      </c>
      <c r="D185" s="186" t="s">
        <v>20</v>
      </c>
      <c r="E185" s="185">
        <v>30</v>
      </c>
      <c r="F185" s="186" t="s">
        <v>50</v>
      </c>
      <c r="G185" s="185">
        <v>4155</v>
      </c>
      <c r="H185" s="186" t="s">
        <v>56</v>
      </c>
      <c r="I185" s="185" t="s">
        <v>36</v>
      </c>
      <c r="J185" s="187">
        <v>0.28000000000000003</v>
      </c>
      <c r="K185" s="186" t="s">
        <v>282</v>
      </c>
      <c r="L185" s="188">
        <v>0.1</v>
      </c>
      <c r="M185" s="186"/>
      <c r="N185" s="41"/>
      <c r="O185" s="41"/>
      <c r="P185" s="41"/>
      <c r="Q185" s="42"/>
    </row>
    <row r="186" spans="1:17" ht="20.100000000000001" customHeight="1" x14ac:dyDescent="0.25">
      <c r="A186" s="185">
        <v>6206</v>
      </c>
      <c r="B186" s="185">
        <v>149</v>
      </c>
      <c r="C186" s="186" t="s">
        <v>19</v>
      </c>
      <c r="D186" s="186" t="s">
        <v>20</v>
      </c>
      <c r="E186" s="185">
        <v>30</v>
      </c>
      <c r="F186" s="186" t="s">
        <v>108</v>
      </c>
      <c r="G186" s="185">
        <v>3635</v>
      </c>
      <c r="H186" s="186" t="s">
        <v>109</v>
      </c>
      <c r="I186" s="185" t="s">
        <v>73</v>
      </c>
      <c r="J186" s="187">
        <v>0.156</v>
      </c>
      <c r="K186" s="186" t="s">
        <v>284</v>
      </c>
      <c r="L186" s="188">
        <v>0.1</v>
      </c>
      <c r="M186" s="186"/>
      <c r="N186" s="41"/>
      <c r="O186" s="41"/>
      <c r="P186" s="41"/>
      <c r="Q186" s="42"/>
    </row>
    <row r="187" spans="1:17" ht="20.100000000000001" customHeight="1" x14ac:dyDescent="0.25">
      <c r="A187" s="185">
        <v>6206</v>
      </c>
      <c r="B187" s="185">
        <v>149</v>
      </c>
      <c r="C187" s="186" t="s">
        <v>19</v>
      </c>
      <c r="D187" s="186" t="s">
        <v>20</v>
      </c>
      <c r="E187" s="185">
        <v>30</v>
      </c>
      <c r="F187" s="186" t="s">
        <v>292</v>
      </c>
      <c r="G187" s="185">
        <v>6935</v>
      </c>
      <c r="H187" s="186" t="s">
        <v>300</v>
      </c>
      <c r="I187" s="185" t="s">
        <v>36</v>
      </c>
      <c r="J187" s="187">
        <v>3.3000000000000002E-2</v>
      </c>
      <c r="K187" s="186" t="s">
        <v>294</v>
      </c>
      <c r="L187" s="188">
        <v>0.1</v>
      </c>
      <c r="M187" s="186"/>
      <c r="N187" s="41"/>
      <c r="O187" s="41"/>
      <c r="P187" s="41"/>
      <c r="Q187" s="42"/>
    </row>
    <row r="188" spans="1:17" ht="20.100000000000001" customHeight="1" x14ac:dyDescent="0.25">
      <c r="A188" s="181">
        <v>5814</v>
      </c>
      <c r="B188" s="181">
        <v>95</v>
      </c>
      <c r="C188" s="182" t="s">
        <v>11</v>
      </c>
      <c r="D188" s="182" t="s">
        <v>16</v>
      </c>
      <c r="E188" s="181">
        <v>30</v>
      </c>
      <c r="F188" s="182" t="s">
        <v>34</v>
      </c>
      <c r="G188" s="181">
        <v>3597</v>
      </c>
      <c r="H188" s="182" t="s">
        <v>46</v>
      </c>
      <c r="I188" s="181" t="s">
        <v>36</v>
      </c>
      <c r="J188" s="183">
        <v>8</v>
      </c>
      <c r="K188" s="182" t="s">
        <v>275</v>
      </c>
      <c r="L188" s="184">
        <v>0.1</v>
      </c>
      <c r="M188" s="182" t="s">
        <v>299</v>
      </c>
      <c r="N188" s="41"/>
      <c r="O188" s="41"/>
      <c r="P188" s="41"/>
      <c r="Q188" s="42"/>
    </row>
    <row r="189" spans="1:17" ht="20.100000000000001" customHeight="1" x14ac:dyDescent="0.25">
      <c r="A189" s="185">
        <v>5814</v>
      </c>
      <c r="B189" s="185">
        <v>95</v>
      </c>
      <c r="C189" s="186" t="s">
        <v>11</v>
      </c>
      <c r="D189" s="186" t="s">
        <v>16</v>
      </c>
      <c r="E189" s="185">
        <v>30</v>
      </c>
      <c r="F189" s="186" t="s">
        <v>57</v>
      </c>
      <c r="G189" s="185">
        <v>3595</v>
      </c>
      <c r="H189" s="186" t="s">
        <v>277</v>
      </c>
      <c r="I189" s="185" t="s">
        <v>36</v>
      </c>
      <c r="J189" s="187">
        <v>0.66839999999999999</v>
      </c>
      <c r="K189" s="186" t="s">
        <v>278</v>
      </c>
      <c r="L189" s="188">
        <v>0.1</v>
      </c>
      <c r="M189" s="186"/>
      <c r="N189" s="41"/>
      <c r="O189" s="41"/>
      <c r="P189" s="41"/>
      <c r="Q189" s="42"/>
    </row>
    <row r="190" spans="1:17" ht="20.100000000000001" customHeight="1" x14ac:dyDescent="0.25">
      <c r="A190" s="185">
        <v>5814</v>
      </c>
      <c r="B190" s="185">
        <v>95</v>
      </c>
      <c r="C190" s="186" t="s">
        <v>11</v>
      </c>
      <c r="D190" s="186" t="s">
        <v>16</v>
      </c>
      <c r="E190" s="185">
        <v>30</v>
      </c>
      <c r="F190" s="186" t="s">
        <v>69</v>
      </c>
      <c r="G190" s="185">
        <v>186</v>
      </c>
      <c r="H190" s="186" t="s">
        <v>70</v>
      </c>
      <c r="I190" s="185" t="s">
        <v>36</v>
      </c>
      <c r="J190" s="187">
        <v>0.12</v>
      </c>
      <c r="K190" s="186" t="s">
        <v>295</v>
      </c>
      <c r="L190" s="188">
        <v>0.1</v>
      </c>
      <c r="M190" s="186"/>
      <c r="N190" s="41"/>
      <c r="O190" s="41"/>
      <c r="P190" s="41"/>
      <c r="Q190" s="42"/>
    </row>
    <row r="191" spans="1:17" ht="20.100000000000001" customHeight="1" x14ac:dyDescent="0.25">
      <c r="A191" s="185">
        <v>5814</v>
      </c>
      <c r="B191" s="185">
        <v>95</v>
      </c>
      <c r="C191" s="186" t="s">
        <v>11</v>
      </c>
      <c r="D191" s="186" t="s">
        <v>16</v>
      </c>
      <c r="E191" s="185">
        <v>30</v>
      </c>
      <c r="F191" s="186" t="s">
        <v>71</v>
      </c>
      <c r="G191" s="185">
        <v>578</v>
      </c>
      <c r="H191" s="186" t="s">
        <v>93</v>
      </c>
      <c r="I191" s="185" t="s">
        <v>73</v>
      </c>
      <c r="J191" s="187">
        <v>1000</v>
      </c>
      <c r="K191" s="186" t="s">
        <v>279</v>
      </c>
      <c r="L191" s="188">
        <v>0.02</v>
      </c>
      <c r="M191" s="186"/>
      <c r="N191" s="41"/>
      <c r="O191" s="41"/>
      <c r="P191" s="41"/>
      <c r="Q191" s="42"/>
    </row>
    <row r="192" spans="1:17" ht="20.100000000000001" customHeight="1" x14ac:dyDescent="0.25">
      <c r="A192" s="185">
        <v>5814</v>
      </c>
      <c r="B192" s="185">
        <v>95</v>
      </c>
      <c r="C192" s="186" t="s">
        <v>11</v>
      </c>
      <c r="D192" s="186" t="s">
        <v>16</v>
      </c>
      <c r="E192" s="185">
        <v>30</v>
      </c>
      <c r="F192" s="186" t="s">
        <v>50</v>
      </c>
      <c r="G192" s="185">
        <v>4155</v>
      </c>
      <c r="H192" s="186" t="s">
        <v>56</v>
      </c>
      <c r="I192" s="185" t="s">
        <v>36</v>
      </c>
      <c r="J192" s="187">
        <v>0.2959</v>
      </c>
      <c r="K192" s="186" t="s">
        <v>282</v>
      </c>
      <c r="L192" s="188">
        <v>0.1</v>
      </c>
      <c r="M192" s="186"/>
      <c r="N192" s="41"/>
      <c r="O192" s="41"/>
      <c r="P192" s="41"/>
      <c r="Q192" s="42"/>
    </row>
    <row r="193" spans="1:17" ht="20.100000000000001" customHeight="1" x14ac:dyDescent="0.25">
      <c r="A193" s="185">
        <v>5814</v>
      </c>
      <c r="B193" s="185">
        <v>95</v>
      </c>
      <c r="C193" s="186" t="s">
        <v>11</v>
      </c>
      <c r="D193" s="186" t="s">
        <v>16</v>
      </c>
      <c r="E193" s="185">
        <v>30</v>
      </c>
      <c r="F193" s="186" t="s">
        <v>108</v>
      </c>
      <c r="G193" s="185">
        <v>3635</v>
      </c>
      <c r="H193" s="186" t="s">
        <v>109</v>
      </c>
      <c r="I193" s="185" t="s">
        <v>73</v>
      </c>
      <c r="J193" s="187">
        <v>0.156</v>
      </c>
      <c r="K193" s="186" t="s">
        <v>284</v>
      </c>
      <c r="L193" s="188">
        <v>0.1</v>
      </c>
      <c r="M193" s="186"/>
      <c r="N193" s="41"/>
      <c r="O193" s="41"/>
      <c r="P193" s="41"/>
      <c r="Q193" s="42"/>
    </row>
    <row r="194" spans="1:17" ht="20.100000000000001" customHeight="1" x14ac:dyDescent="0.25">
      <c r="A194" s="185">
        <v>5814</v>
      </c>
      <c r="B194" s="185">
        <v>95</v>
      </c>
      <c r="C194" s="186" t="s">
        <v>11</v>
      </c>
      <c r="D194" s="186" t="s">
        <v>16</v>
      </c>
      <c r="E194" s="185">
        <v>30</v>
      </c>
      <c r="F194" s="186" t="s">
        <v>95</v>
      </c>
      <c r="G194" s="185">
        <v>3598</v>
      </c>
      <c r="H194" s="186" t="s">
        <v>101</v>
      </c>
      <c r="I194" s="185" t="s">
        <v>73</v>
      </c>
      <c r="J194" s="187">
        <v>4.202</v>
      </c>
      <c r="K194" s="186" t="s">
        <v>280</v>
      </c>
      <c r="L194" s="188">
        <v>0.1</v>
      </c>
      <c r="M194" s="186"/>
      <c r="N194" s="41"/>
      <c r="O194" s="41"/>
      <c r="P194" s="41"/>
      <c r="Q194" s="42"/>
    </row>
    <row r="195" spans="1:17" ht="20.100000000000001" customHeight="1" x14ac:dyDescent="0.25">
      <c r="A195" s="181">
        <v>6151</v>
      </c>
      <c r="B195" s="181">
        <v>146</v>
      </c>
      <c r="C195" s="182" t="s">
        <v>224</v>
      </c>
      <c r="D195" s="182" t="s">
        <v>225</v>
      </c>
      <c r="E195" s="181">
        <v>30</v>
      </c>
      <c r="F195" s="182" t="s">
        <v>285</v>
      </c>
      <c r="G195" s="181">
        <v>3597</v>
      </c>
      <c r="H195" s="182" t="s">
        <v>46</v>
      </c>
      <c r="I195" s="181" t="s">
        <v>36</v>
      </c>
      <c r="J195" s="183">
        <v>8</v>
      </c>
      <c r="K195" s="182" t="s">
        <v>34</v>
      </c>
      <c r="L195" s="184">
        <v>0.1</v>
      </c>
      <c r="M195" s="182" t="s">
        <v>299</v>
      </c>
      <c r="N195" s="41"/>
      <c r="O195" s="41"/>
      <c r="P195" s="41"/>
      <c r="Q195" s="42"/>
    </row>
    <row r="196" spans="1:17" ht="20.100000000000001" customHeight="1" x14ac:dyDescent="0.25">
      <c r="A196" s="185">
        <v>6151</v>
      </c>
      <c r="B196" s="185">
        <v>146</v>
      </c>
      <c r="C196" s="186" t="s">
        <v>224</v>
      </c>
      <c r="D196" s="186" t="s">
        <v>225</v>
      </c>
      <c r="E196" s="185">
        <v>30</v>
      </c>
      <c r="F196" s="186" t="s">
        <v>57</v>
      </c>
      <c r="G196" s="185">
        <v>3595</v>
      </c>
      <c r="H196" s="186" t="s">
        <v>277</v>
      </c>
      <c r="I196" s="185" t="s">
        <v>36</v>
      </c>
      <c r="J196" s="187">
        <v>0.67</v>
      </c>
      <c r="K196" s="186" t="s">
        <v>57</v>
      </c>
      <c r="L196" s="188">
        <v>0.1</v>
      </c>
      <c r="M196" s="186"/>
      <c r="N196" s="41"/>
      <c r="O196" s="41"/>
      <c r="P196" s="41"/>
      <c r="Q196" s="42"/>
    </row>
    <row r="197" spans="1:17" ht="20.100000000000001" customHeight="1" x14ac:dyDescent="0.25">
      <c r="A197" s="185">
        <v>6151</v>
      </c>
      <c r="B197" s="185">
        <v>146</v>
      </c>
      <c r="C197" s="186" t="s">
        <v>224</v>
      </c>
      <c r="D197" s="186" t="s">
        <v>225</v>
      </c>
      <c r="E197" s="185">
        <v>30</v>
      </c>
      <c r="F197" s="186" t="s">
        <v>69</v>
      </c>
      <c r="G197" s="185">
        <v>186</v>
      </c>
      <c r="H197" s="186" t="s">
        <v>70</v>
      </c>
      <c r="I197" s="185" t="s">
        <v>36</v>
      </c>
      <c r="J197" s="187">
        <v>0.28000000000000003</v>
      </c>
      <c r="K197" s="186" t="s">
        <v>69</v>
      </c>
      <c r="L197" s="188">
        <v>0.1</v>
      </c>
      <c r="M197" s="186"/>
      <c r="N197" s="41"/>
      <c r="O197" s="41"/>
      <c r="P197" s="41"/>
      <c r="Q197" s="42"/>
    </row>
    <row r="198" spans="1:17" ht="20.100000000000001" customHeight="1" x14ac:dyDescent="0.25">
      <c r="A198" s="185">
        <v>6151</v>
      </c>
      <c r="B198" s="185">
        <v>146</v>
      </c>
      <c r="C198" s="186" t="s">
        <v>224</v>
      </c>
      <c r="D198" s="186" t="s">
        <v>225</v>
      </c>
      <c r="E198" s="185">
        <v>30</v>
      </c>
      <c r="F198" s="186" t="s">
        <v>71</v>
      </c>
      <c r="G198" s="185">
        <v>578</v>
      </c>
      <c r="H198" s="186" t="s">
        <v>301</v>
      </c>
      <c r="I198" s="185" t="s">
        <v>288</v>
      </c>
      <c r="J198" s="187">
        <v>1000</v>
      </c>
      <c r="K198" s="186" t="s">
        <v>71</v>
      </c>
      <c r="L198" s="188">
        <v>0.02</v>
      </c>
      <c r="M198" s="186"/>
      <c r="N198" s="41"/>
      <c r="O198" s="41"/>
      <c r="P198" s="41"/>
      <c r="Q198" s="42"/>
    </row>
    <row r="199" spans="1:17" ht="20.100000000000001" customHeight="1" x14ac:dyDescent="0.25">
      <c r="A199" s="185">
        <v>6151</v>
      </c>
      <c r="B199" s="185">
        <v>146</v>
      </c>
      <c r="C199" s="186" t="s">
        <v>224</v>
      </c>
      <c r="D199" s="186" t="s">
        <v>225</v>
      </c>
      <c r="E199" s="185">
        <v>30</v>
      </c>
      <c r="F199" s="186" t="s">
        <v>95</v>
      </c>
      <c r="G199" s="185">
        <v>3988</v>
      </c>
      <c r="H199" s="186" t="s">
        <v>302</v>
      </c>
      <c r="I199" s="185" t="s">
        <v>288</v>
      </c>
      <c r="J199" s="187">
        <v>4.2016</v>
      </c>
      <c r="K199" s="186" t="s">
        <v>95</v>
      </c>
      <c r="L199" s="188">
        <v>0.1</v>
      </c>
      <c r="M199" s="186"/>
      <c r="N199" s="41"/>
      <c r="O199" s="41"/>
      <c r="P199" s="41"/>
      <c r="Q199" s="42"/>
    </row>
    <row r="200" spans="1:17" ht="20.100000000000001" customHeight="1" x14ac:dyDescent="0.25">
      <c r="A200" s="185">
        <v>6151</v>
      </c>
      <c r="B200" s="185">
        <v>146</v>
      </c>
      <c r="C200" s="186" t="s">
        <v>224</v>
      </c>
      <c r="D200" s="186" t="s">
        <v>225</v>
      </c>
      <c r="E200" s="185">
        <v>30</v>
      </c>
      <c r="F200" s="186" t="s">
        <v>303</v>
      </c>
      <c r="G200" s="185">
        <v>194</v>
      </c>
      <c r="H200" s="186" t="s">
        <v>106</v>
      </c>
      <c r="I200" s="185" t="s">
        <v>36</v>
      </c>
      <c r="J200" s="187">
        <v>8.3199999999999993E-3</v>
      </c>
      <c r="K200" s="186" t="s">
        <v>36</v>
      </c>
      <c r="L200" s="188">
        <v>0.1</v>
      </c>
      <c r="M200" s="186"/>
      <c r="N200" s="41"/>
      <c r="O200" s="41"/>
      <c r="P200" s="41"/>
      <c r="Q200" s="42"/>
    </row>
    <row r="201" spans="1:17" ht="20.100000000000001" customHeight="1" x14ac:dyDescent="0.25">
      <c r="A201" s="185">
        <v>6151</v>
      </c>
      <c r="B201" s="185">
        <v>146</v>
      </c>
      <c r="C201" s="186" t="s">
        <v>224</v>
      </c>
      <c r="D201" s="186" t="s">
        <v>225</v>
      </c>
      <c r="E201" s="185">
        <v>30</v>
      </c>
      <c r="F201" s="186" t="s">
        <v>50</v>
      </c>
      <c r="G201" s="185">
        <v>4155</v>
      </c>
      <c r="H201" s="186" t="s">
        <v>56</v>
      </c>
      <c r="I201" s="185" t="s">
        <v>36</v>
      </c>
      <c r="J201" s="187">
        <v>0.28000000000000003</v>
      </c>
      <c r="K201" s="186" t="s">
        <v>50</v>
      </c>
      <c r="L201" s="188">
        <v>0.1</v>
      </c>
      <c r="M201" s="186"/>
      <c r="N201" s="41"/>
      <c r="O201" s="41"/>
      <c r="P201" s="41"/>
      <c r="Q201" s="42"/>
    </row>
    <row r="202" spans="1:17" ht="20.100000000000001" customHeight="1" x14ac:dyDescent="0.25">
      <c r="A202" s="185">
        <v>6151</v>
      </c>
      <c r="B202" s="185">
        <v>146</v>
      </c>
      <c r="C202" s="186" t="s">
        <v>224</v>
      </c>
      <c r="D202" s="186" t="s">
        <v>225</v>
      </c>
      <c r="E202" s="185">
        <v>30</v>
      </c>
      <c r="F202" s="186" t="s">
        <v>108</v>
      </c>
      <c r="G202" s="185">
        <v>3635</v>
      </c>
      <c r="H202" s="186" t="s">
        <v>109</v>
      </c>
      <c r="I202" s="185" t="s">
        <v>73</v>
      </c>
      <c r="J202" s="187">
        <v>0.156</v>
      </c>
      <c r="K202" s="186" t="s">
        <v>108</v>
      </c>
      <c r="L202" s="188">
        <v>0.1</v>
      </c>
      <c r="M202" s="186"/>
      <c r="N202" s="41"/>
      <c r="O202" s="41"/>
      <c r="P202" s="41"/>
      <c r="Q202" s="42"/>
    </row>
    <row r="203" spans="1:17" ht="20.100000000000001" customHeight="1" x14ac:dyDescent="0.25">
      <c r="A203" s="185">
        <v>6151</v>
      </c>
      <c r="B203" s="185">
        <v>146</v>
      </c>
      <c r="C203" s="186" t="s">
        <v>224</v>
      </c>
      <c r="D203" s="186" t="s">
        <v>225</v>
      </c>
      <c r="E203" s="185">
        <v>30</v>
      </c>
      <c r="F203" s="186" t="s">
        <v>292</v>
      </c>
      <c r="G203" s="185">
        <v>6935</v>
      </c>
      <c r="H203" s="186" t="s">
        <v>300</v>
      </c>
      <c r="I203" s="185" t="s">
        <v>36</v>
      </c>
      <c r="J203" s="187">
        <v>3.3000000000000002E-2</v>
      </c>
      <c r="K203" s="186" t="s">
        <v>292</v>
      </c>
      <c r="L203" s="188">
        <v>0.1</v>
      </c>
      <c r="M203" s="186"/>
      <c r="N203" s="41"/>
      <c r="O203" s="41"/>
      <c r="P203" s="41"/>
      <c r="Q203" s="42"/>
    </row>
    <row r="204" spans="1:17" ht="20.100000000000001" customHeight="1" x14ac:dyDescent="0.25">
      <c r="A204" s="181">
        <v>2909</v>
      </c>
      <c r="B204" s="181">
        <v>56</v>
      </c>
      <c r="C204" s="182" t="s">
        <v>304</v>
      </c>
      <c r="D204" s="182" t="s">
        <v>223</v>
      </c>
      <c r="E204" s="181">
        <v>30</v>
      </c>
      <c r="F204" s="182" t="s">
        <v>285</v>
      </c>
      <c r="G204" s="181">
        <v>3597</v>
      </c>
      <c r="H204" s="182" t="s">
        <v>46</v>
      </c>
      <c r="I204" s="181" t="s">
        <v>36</v>
      </c>
      <c r="J204" s="183">
        <v>8</v>
      </c>
      <c r="K204" s="182" t="s">
        <v>34</v>
      </c>
      <c r="L204" s="184">
        <v>0.1</v>
      </c>
      <c r="M204" s="182" t="s">
        <v>299</v>
      </c>
      <c r="N204" s="41"/>
      <c r="O204" s="41"/>
      <c r="P204" s="41"/>
      <c r="Q204" s="42"/>
    </row>
    <row r="205" spans="1:17" ht="20.100000000000001" customHeight="1" x14ac:dyDescent="0.25">
      <c r="A205" s="185">
        <v>2909</v>
      </c>
      <c r="B205" s="185">
        <v>56</v>
      </c>
      <c r="C205" s="186" t="s">
        <v>304</v>
      </c>
      <c r="D205" s="186" t="s">
        <v>223</v>
      </c>
      <c r="E205" s="185">
        <v>30</v>
      </c>
      <c r="F205" s="186" t="s">
        <v>57</v>
      </c>
      <c r="G205" s="185">
        <v>3595</v>
      </c>
      <c r="H205" s="186" t="s">
        <v>277</v>
      </c>
      <c r="I205" s="185" t="s">
        <v>36</v>
      </c>
      <c r="J205" s="187">
        <v>0.67</v>
      </c>
      <c r="K205" s="186" t="s">
        <v>57</v>
      </c>
      <c r="L205" s="188">
        <v>0.1</v>
      </c>
      <c r="M205" s="186"/>
      <c r="N205" s="41"/>
      <c r="O205" s="41"/>
      <c r="P205" s="41"/>
      <c r="Q205" s="42"/>
    </row>
    <row r="206" spans="1:17" ht="20.100000000000001" customHeight="1" x14ac:dyDescent="0.25">
      <c r="A206" s="185">
        <v>2909</v>
      </c>
      <c r="B206" s="185">
        <v>56</v>
      </c>
      <c r="C206" s="186" t="s">
        <v>304</v>
      </c>
      <c r="D206" s="186" t="s">
        <v>223</v>
      </c>
      <c r="E206" s="185">
        <v>30</v>
      </c>
      <c r="F206" s="186" t="s">
        <v>95</v>
      </c>
      <c r="G206" s="185">
        <v>45</v>
      </c>
      <c r="H206" s="186" t="s">
        <v>305</v>
      </c>
      <c r="I206" s="185" t="s">
        <v>288</v>
      </c>
      <c r="J206" s="187">
        <v>6.6665999999999999</v>
      </c>
      <c r="K206" s="186" t="s">
        <v>95</v>
      </c>
      <c r="L206" s="188">
        <v>0.1</v>
      </c>
      <c r="M206" s="186"/>
      <c r="N206" s="41"/>
      <c r="O206" s="41"/>
      <c r="P206" s="41"/>
      <c r="Q206" s="42"/>
    </row>
    <row r="207" spans="1:17" ht="20.100000000000001" customHeight="1" x14ac:dyDescent="0.25">
      <c r="A207" s="185">
        <v>2909</v>
      </c>
      <c r="B207" s="185">
        <v>56</v>
      </c>
      <c r="C207" s="186" t="s">
        <v>304</v>
      </c>
      <c r="D207" s="186" t="s">
        <v>223</v>
      </c>
      <c r="E207" s="185">
        <v>30</v>
      </c>
      <c r="F207" s="186" t="s">
        <v>303</v>
      </c>
      <c r="G207" s="185">
        <v>194</v>
      </c>
      <c r="H207" s="186" t="s">
        <v>106</v>
      </c>
      <c r="I207" s="185" t="s">
        <v>36</v>
      </c>
      <c r="J207" s="187">
        <v>8.3199999999999993E-3</v>
      </c>
      <c r="K207" s="186" t="s">
        <v>36</v>
      </c>
      <c r="L207" s="188">
        <v>0.1</v>
      </c>
      <c r="M207" s="186"/>
      <c r="N207" s="41"/>
      <c r="O207" s="41"/>
      <c r="P207" s="41"/>
      <c r="Q207" s="42"/>
    </row>
    <row r="208" spans="1:17" ht="20.100000000000001" customHeight="1" x14ac:dyDescent="0.25">
      <c r="A208" s="185">
        <v>2909</v>
      </c>
      <c r="B208" s="185">
        <v>56</v>
      </c>
      <c r="C208" s="186" t="s">
        <v>304</v>
      </c>
      <c r="D208" s="186" t="s">
        <v>223</v>
      </c>
      <c r="E208" s="185">
        <v>30</v>
      </c>
      <c r="F208" s="186" t="s">
        <v>50</v>
      </c>
      <c r="G208" s="185">
        <v>4155</v>
      </c>
      <c r="H208" s="186" t="s">
        <v>56</v>
      </c>
      <c r="I208" s="185" t="s">
        <v>36</v>
      </c>
      <c r="J208" s="187">
        <v>0.28000000000000003</v>
      </c>
      <c r="K208" s="186" t="s">
        <v>50</v>
      </c>
      <c r="L208" s="188">
        <v>0.1</v>
      </c>
      <c r="M208" s="186"/>
      <c r="N208" s="41"/>
      <c r="O208" s="41"/>
      <c r="P208" s="41"/>
      <c r="Q208" s="42"/>
    </row>
    <row r="209" spans="1:17" ht="20.100000000000001" customHeight="1" x14ac:dyDescent="0.25">
      <c r="A209" s="185">
        <v>2909</v>
      </c>
      <c r="B209" s="185">
        <v>56</v>
      </c>
      <c r="C209" s="186" t="s">
        <v>304</v>
      </c>
      <c r="D209" s="186" t="s">
        <v>223</v>
      </c>
      <c r="E209" s="185">
        <v>30</v>
      </c>
      <c r="F209" s="186" t="s">
        <v>108</v>
      </c>
      <c r="G209" s="185">
        <v>3635</v>
      </c>
      <c r="H209" s="186" t="s">
        <v>109</v>
      </c>
      <c r="I209" s="185" t="s">
        <v>73</v>
      </c>
      <c r="J209" s="187">
        <v>0.156</v>
      </c>
      <c r="K209" s="186" t="s">
        <v>108</v>
      </c>
      <c r="L209" s="188">
        <v>0.1</v>
      </c>
      <c r="M209" s="186"/>
      <c r="N209" s="41"/>
      <c r="O209" s="41"/>
      <c r="P209" s="41"/>
      <c r="Q209" s="42"/>
    </row>
    <row r="210" spans="1:17" ht="20.100000000000001" customHeight="1" x14ac:dyDescent="0.25">
      <c r="A210" s="181">
        <v>4050</v>
      </c>
      <c r="B210" s="181">
        <v>19</v>
      </c>
      <c r="C210" s="182" t="s">
        <v>216</v>
      </c>
      <c r="D210" s="182" t="s">
        <v>217</v>
      </c>
      <c r="E210" s="181">
        <v>30</v>
      </c>
      <c r="F210" s="182" t="s">
        <v>34</v>
      </c>
      <c r="G210" s="181">
        <v>3597</v>
      </c>
      <c r="H210" s="182" t="s">
        <v>46</v>
      </c>
      <c r="I210" s="181" t="s">
        <v>36</v>
      </c>
      <c r="J210" s="183">
        <v>8</v>
      </c>
      <c r="K210" s="182" t="s">
        <v>275</v>
      </c>
      <c r="L210" s="184">
        <v>0.1</v>
      </c>
      <c r="M210" s="182" t="s">
        <v>299</v>
      </c>
      <c r="N210" s="41"/>
      <c r="O210" s="41"/>
      <c r="P210" s="41"/>
      <c r="Q210" s="42"/>
    </row>
    <row r="211" spans="1:17" ht="20.100000000000001" customHeight="1" x14ac:dyDescent="0.25">
      <c r="A211" s="185">
        <v>4050</v>
      </c>
      <c r="B211" s="185">
        <v>19</v>
      </c>
      <c r="C211" s="186" t="s">
        <v>216</v>
      </c>
      <c r="D211" s="186" t="s">
        <v>217</v>
      </c>
      <c r="E211" s="185">
        <v>30</v>
      </c>
      <c r="F211" s="186" t="s">
        <v>57</v>
      </c>
      <c r="G211" s="185">
        <v>3595</v>
      </c>
      <c r="H211" s="186" t="s">
        <v>277</v>
      </c>
      <c r="I211" s="185" t="s">
        <v>36</v>
      </c>
      <c r="J211" s="187">
        <v>0.66839999999999999</v>
      </c>
      <c r="K211" s="186" t="s">
        <v>278</v>
      </c>
      <c r="L211" s="188">
        <v>0.1</v>
      </c>
      <c r="M211" s="186"/>
      <c r="N211" s="41"/>
      <c r="O211" s="41"/>
      <c r="P211" s="41"/>
      <c r="Q211" s="42"/>
    </row>
    <row r="212" spans="1:17" ht="20.100000000000001" customHeight="1" x14ac:dyDescent="0.25">
      <c r="A212" s="185">
        <v>4050</v>
      </c>
      <c r="B212" s="185">
        <v>19</v>
      </c>
      <c r="C212" s="186" t="s">
        <v>216</v>
      </c>
      <c r="D212" s="186" t="s">
        <v>217</v>
      </c>
      <c r="E212" s="185">
        <v>30</v>
      </c>
      <c r="F212" s="186" t="s">
        <v>69</v>
      </c>
      <c r="G212" s="185">
        <v>186</v>
      </c>
      <c r="H212" s="186" t="s">
        <v>70</v>
      </c>
      <c r="I212" s="185" t="s">
        <v>36</v>
      </c>
      <c r="J212" s="187">
        <v>0.12</v>
      </c>
      <c r="K212" s="186" t="s">
        <v>295</v>
      </c>
      <c r="L212" s="188">
        <v>0.1</v>
      </c>
      <c r="M212" s="186"/>
      <c r="N212" s="41"/>
      <c r="O212" s="41"/>
      <c r="P212" s="41"/>
      <c r="Q212" s="42"/>
    </row>
    <row r="213" spans="1:17" ht="20.100000000000001" customHeight="1" x14ac:dyDescent="0.25">
      <c r="A213" s="185">
        <v>4050</v>
      </c>
      <c r="B213" s="185">
        <v>19</v>
      </c>
      <c r="C213" s="186" t="s">
        <v>216</v>
      </c>
      <c r="D213" s="186" t="s">
        <v>217</v>
      </c>
      <c r="E213" s="185">
        <v>30</v>
      </c>
      <c r="F213" s="186" t="s">
        <v>71</v>
      </c>
      <c r="G213" s="185">
        <v>578</v>
      </c>
      <c r="H213" s="186" t="s">
        <v>93</v>
      </c>
      <c r="I213" s="185" t="s">
        <v>73</v>
      </c>
      <c r="J213" s="187">
        <v>1000</v>
      </c>
      <c r="K213" s="186" t="s">
        <v>279</v>
      </c>
      <c r="L213" s="188">
        <v>0.02</v>
      </c>
      <c r="M213" s="186"/>
      <c r="N213" s="41"/>
      <c r="O213" s="41"/>
      <c r="P213" s="41"/>
      <c r="Q213" s="42"/>
    </row>
    <row r="214" spans="1:17" ht="20.100000000000001" customHeight="1" x14ac:dyDescent="0.25">
      <c r="A214" s="185">
        <v>4050</v>
      </c>
      <c r="B214" s="185">
        <v>19</v>
      </c>
      <c r="C214" s="186" t="s">
        <v>216</v>
      </c>
      <c r="D214" s="186" t="s">
        <v>217</v>
      </c>
      <c r="E214" s="185">
        <v>30</v>
      </c>
      <c r="F214" s="186" t="s">
        <v>95</v>
      </c>
      <c r="G214" s="185">
        <v>45</v>
      </c>
      <c r="H214" s="186" t="s">
        <v>102</v>
      </c>
      <c r="I214" s="185" t="s">
        <v>73</v>
      </c>
      <c r="J214" s="187">
        <v>6.6660000000000004</v>
      </c>
      <c r="K214" s="186" t="s">
        <v>280</v>
      </c>
      <c r="L214" s="188">
        <v>0.1</v>
      </c>
      <c r="M214" s="186"/>
      <c r="N214" s="41"/>
      <c r="O214" s="41"/>
      <c r="P214" s="41"/>
      <c r="Q214" s="42"/>
    </row>
    <row r="215" spans="1:17" ht="20.100000000000001" customHeight="1" x14ac:dyDescent="0.25">
      <c r="A215" s="185">
        <v>4050</v>
      </c>
      <c r="B215" s="185">
        <v>19</v>
      </c>
      <c r="C215" s="186" t="s">
        <v>216</v>
      </c>
      <c r="D215" s="186" t="s">
        <v>217</v>
      </c>
      <c r="E215" s="185">
        <v>30</v>
      </c>
      <c r="F215" s="186" t="s">
        <v>105</v>
      </c>
      <c r="G215" s="185">
        <v>194</v>
      </c>
      <c r="H215" s="186" t="s">
        <v>106</v>
      </c>
      <c r="I215" s="185" t="s">
        <v>36</v>
      </c>
      <c r="J215" s="187">
        <v>8.3199999999999993E-3</v>
      </c>
      <c r="K215" s="186" t="s">
        <v>281</v>
      </c>
      <c r="L215" s="188">
        <v>0.1</v>
      </c>
      <c r="M215" s="186"/>
      <c r="N215" s="41"/>
      <c r="O215" s="41"/>
      <c r="P215" s="41"/>
      <c r="Q215" s="42"/>
    </row>
    <row r="216" spans="1:17" ht="20.100000000000001" customHeight="1" x14ac:dyDescent="0.25">
      <c r="A216" s="185">
        <v>4050</v>
      </c>
      <c r="B216" s="185">
        <v>19</v>
      </c>
      <c r="C216" s="186" t="s">
        <v>216</v>
      </c>
      <c r="D216" s="186" t="s">
        <v>217</v>
      </c>
      <c r="E216" s="185">
        <v>30</v>
      </c>
      <c r="F216" s="186" t="s">
        <v>50</v>
      </c>
      <c r="G216" s="185">
        <v>4155</v>
      </c>
      <c r="H216" s="186" t="s">
        <v>56</v>
      </c>
      <c r="I216" s="185" t="s">
        <v>36</v>
      </c>
      <c r="J216" s="187">
        <v>0.2959</v>
      </c>
      <c r="K216" s="186" t="s">
        <v>282</v>
      </c>
      <c r="L216" s="188">
        <v>0.1</v>
      </c>
      <c r="M216" s="186"/>
      <c r="N216" s="41"/>
      <c r="O216" s="41"/>
      <c r="P216" s="41"/>
      <c r="Q216" s="42"/>
    </row>
    <row r="217" spans="1:17" ht="20.100000000000001" customHeight="1" x14ac:dyDescent="0.25">
      <c r="A217" s="185">
        <v>4050</v>
      </c>
      <c r="B217" s="185">
        <v>19</v>
      </c>
      <c r="C217" s="186" t="s">
        <v>216</v>
      </c>
      <c r="D217" s="186" t="s">
        <v>217</v>
      </c>
      <c r="E217" s="185">
        <v>30</v>
      </c>
      <c r="F217" s="186" t="s">
        <v>108</v>
      </c>
      <c r="G217" s="185">
        <v>3635</v>
      </c>
      <c r="H217" s="186" t="s">
        <v>109</v>
      </c>
      <c r="I217" s="185" t="s">
        <v>73</v>
      </c>
      <c r="J217" s="187">
        <v>0.156</v>
      </c>
      <c r="K217" s="186" t="s">
        <v>284</v>
      </c>
      <c r="L217" s="188">
        <v>0.1</v>
      </c>
      <c r="M217" s="186"/>
      <c r="N217" s="41"/>
      <c r="O217" s="41"/>
      <c r="P217" s="41"/>
      <c r="Q217" s="42"/>
    </row>
    <row r="218" spans="1:17" ht="20.100000000000001" customHeight="1" x14ac:dyDescent="0.25">
      <c r="A218" s="181">
        <v>6312</v>
      </c>
      <c r="B218" s="181">
        <v>157</v>
      </c>
      <c r="C218" s="182" t="s">
        <v>216</v>
      </c>
      <c r="D218" s="182" t="s">
        <v>218</v>
      </c>
      <c r="E218" s="181">
        <v>30</v>
      </c>
      <c r="F218" s="182" t="s">
        <v>34</v>
      </c>
      <c r="G218" s="181">
        <v>3597</v>
      </c>
      <c r="H218" s="182" t="s">
        <v>46</v>
      </c>
      <c r="I218" s="181" t="s">
        <v>36</v>
      </c>
      <c r="J218" s="183">
        <v>8</v>
      </c>
      <c r="K218" s="182" t="s">
        <v>275</v>
      </c>
      <c r="L218" s="184">
        <v>0.1</v>
      </c>
      <c r="M218" s="182" t="s">
        <v>299</v>
      </c>
      <c r="N218" s="41"/>
      <c r="O218" s="41"/>
      <c r="P218" s="41"/>
      <c r="Q218" s="42"/>
    </row>
    <row r="219" spans="1:17" ht="20.100000000000001" customHeight="1" x14ac:dyDescent="0.25">
      <c r="A219" s="185">
        <v>6312</v>
      </c>
      <c r="B219" s="185">
        <v>157</v>
      </c>
      <c r="C219" s="186" t="s">
        <v>216</v>
      </c>
      <c r="D219" s="186" t="s">
        <v>218</v>
      </c>
      <c r="E219" s="185">
        <v>30</v>
      </c>
      <c r="F219" s="186" t="s">
        <v>57</v>
      </c>
      <c r="G219" s="185">
        <v>3595</v>
      </c>
      <c r="H219" s="186" t="s">
        <v>277</v>
      </c>
      <c r="I219" s="185" t="s">
        <v>36</v>
      </c>
      <c r="J219" s="187">
        <v>0.67</v>
      </c>
      <c r="K219" s="186" t="s">
        <v>278</v>
      </c>
      <c r="L219" s="188">
        <v>0.1</v>
      </c>
      <c r="M219" s="186"/>
      <c r="N219" s="41"/>
      <c r="O219" s="41"/>
      <c r="P219" s="41"/>
      <c r="Q219" s="42"/>
    </row>
    <row r="220" spans="1:17" ht="20.100000000000001" customHeight="1" x14ac:dyDescent="0.25">
      <c r="A220" s="185">
        <v>6312</v>
      </c>
      <c r="B220" s="185">
        <v>157</v>
      </c>
      <c r="C220" s="186" t="s">
        <v>216</v>
      </c>
      <c r="D220" s="186" t="s">
        <v>218</v>
      </c>
      <c r="E220" s="185">
        <v>30</v>
      </c>
      <c r="F220" s="186" t="s">
        <v>95</v>
      </c>
      <c r="G220" s="185">
        <v>45</v>
      </c>
      <c r="H220" s="186" t="s">
        <v>102</v>
      </c>
      <c r="I220" s="185" t="s">
        <v>73</v>
      </c>
      <c r="J220" s="187">
        <v>6.6665999999999999</v>
      </c>
      <c r="K220" s="186" t="s">
        <v>280</v>
      </c>
      <c r="L220" s="188">
        <v>0.1</v>
      </c>
      <c r="M220" s="186"/>
      <c r="N220" s="41"/>
      <c r="O220" s="41"/>
      <c r="P220" s="41"/>
      <c r="Q220" s="42"/>
    </row>
    <row r="221" spans="1:17" ht="20.100000000000001" customHeight="1" x14ac:dyDescent="0.25">
      <c r="A221" s="185">
        <v>6312</v>
      </c>
      <c r="B221" s="185">
        <v>157</v>
      </c>
      <c r="C221" s="186" t="s">
        <v>216</v>
      </c>
      <c r="D221" s="186" t="s">
        <v>218</v>
      </c>
      <c r="E221" s="185">
        <v>30</v>
      </c>
      <c r="F221" s="186" t="s">
        <v>50</v>
      </c>
      <c r="G221" s="185">
        <v>4155</v>
      </c>
      <c r="H221" s="186" t="s">
        <v>56</v>
      </c>
      <c r="I221" s="185" t="s">
        <v>36</v>
      </c>
      <c r="J221" s="187">
        <v>0.28000000000000003</v>
      </c>
      <c r="K221" s="186" t="s">
        <v>282</v>
      </c>
      <c r="L221" s="188">
        <v>0.1</v>
      </c>
      <c r="M221" s="186"/>
      <c r="N221" s="41"/>
      <c r="O221" s="41"/>
      <c r="P221" s="41"/>
      <c r="Q221" s="42"/>
    </row>
    <row r="222" spans="1:17" ht="20.100000000000001" customHeight="1" x14ac:dyDescent="0.25">
      <c r="A222" s="185">
        <v>6312</v>
      </c>
      <c r="B222" s="185">
        <v>157</v>
      </c>
      <c r="C222" s="186" t="s">
        <v>216</v>
      </c>
      <c r="D222" s="186" t="s">
        <v>218</v>
      </c>
      <c r="E222" s="185">
        <v>30</v>
      </c>
      <c r="F222" s="186" t="s">
        <v>108</v>
      </c>
      <c r="G222" s="185">
        <v>3635</v>
      </c>
      <c r="H222" s="186" t="s">
        <v>109</v>
      </c>
      <c r="I222" s="185" t="s">
        <v>73</v>
      </c>
      <c r="J222" s="187">
        <v>0.156</v>
      </c>
      <c r="K222" s="186" t="s">
        <v>291</v>
      </c>
      <c r="L222" s="188">
        <v>0.1</v>
      </c>
      <c r="M222" s="186"/>
      <c r="N222" s="41"/>
      <c r="O222" s="41"/>
      <c r="P222" s="41"/>
      <c r="Q222" s="42"/>
    </row>
    <row r="223" spans="1:17" ht="20.100000000000001" customHeight="1" x14ac:dyDescent="0.25">
      <c r="A223" s="185">
        <v>6312</v>
      </c>
      <c r="B223" s="185">
        <v>157</v>
      </c>
      <c r="C223" s="186" t="s">
        <v>216</v>
      </c>
      <c r="D223" s="186" t="s">
        <v>218</v>
      </c>
      <c r="E223" s="185">
        <v>30</v>
      </c>
      <c r="F223" s="186" t="s">
        <v>105</v>
      </c>
      <c r="G223" s="185">
        <v>194</v>
      </c>
      <c r="H223" s="186" t="s">
        <v>106</v>
      </c>
      <c r="I223" s="185" t="s">
        <v>36</v>
      </c>
      <c r="J223" s="187">
        <v>8.3199999999999993E-3</v>
      </c>
      <c r="K223" s="186" t="s">
        <v>105</v>
      </c>
      <c r="L223" s="188">
        <v>0.1</v>
      </c>
      <c r="M223" s="186"/>
      <c r="N223" s="41"/>
      <c r="O223" s="41"/>
      <c r="P223" s="41"/>
      <c r="Q223" s="42"/>
    </row>
    <row r="224" spans="1:17" ht="20.100000000000001" customHeight="1" x14ac:dyDescent="0.25">
      <c r="A224" s="181">
        <v>6595</v>
      </c>
      <c r="B224" s="181">
        <v>191</v>
      </c>
      <c r="C224" s="182" t="s">
        <v>214</v>
      </c>
      <c r="D224" s="182" t="s">
        <v>215</v>
      </c>
      <c r="E224" s="181">
        <v>30</v>
      </c>
      <c r="F224" s="182" t="s">
        <v>34</v>
      </c>
      <c r="G224" s="181">
        <v>3597</v>
      </c>
      <c r="H224" s="182" t="s">
        <v>46</v>
      </c>
      <c r="I224" s="181" t="s">
        <v>36</v>
      </c>
      <c r="J224" s="183">
        <v>8</v>
      </c>
      <c r="K224" s="182" t="s">
        <v>275</v>
      </c>
      <c r="L224" s="184">
        <v>0.1</v>
      </c>
      <c r="M224" s="182" t="s">
        <v>299</v>
      </c>
      <c r="N224" s="41"/>
      <c r="O224" s="41"/>
      <c r="P224" s="41"/>
      <c r="Q224" s="42"/>
    </row>
    <row r="225" spans="1:17" ht="20.100000000000001" customHeight="1" x14ac:dyDescent="0.25">
      <c r="A225" s="185">
        <v>6595</v>
      </c>
      <c r="B225" s="185">
        <v>191</v>
      </c>
      <c r="C225" s="186" t="s">
        <v>214</v>
      </c>
      <c r="D225" s="186" t="s">
        <v>215</v>
      </c>
      <c r="E225" s="185">
        <v>30</v>
      </c>
      <c r="F225" s="186" t="s">
        <v>57</v>
      </c>
      <c r="G225" s="185">
        <v>3595</v>
      </c>
      <c r="H225" s="186" t="s">
        <v>277</v>
      </c>
      <c r="I225" s="185" t="s">
        <v>36</v>
      </c>
      <c r="J225" s="187">
        <v>0.67</v>
      </c>
      <c r="K225" s="186" t="s">
        <v>278</v>
      </c>
      <c r="L225" s="188">
        <v>0.1</v>
      </c>
      <c r="M225" s="186"/>
      <c r="N225" s="41"/>
      <c r="O225" s="41"/>
      <c r="P225" s="41"/>
      <c r="Q225" s="42"/>
    </row>
    <row r="226" spans="1:17" ht="20.100000000000001" customHeight="1" x14ac:dyDescent="0.25">
      <c r="A226" s="185">
        <v>6595</v>
      </c>
      <c r="B226" s="185">
        <v>191</v>
      </c>
      <c r="C226" s="186" t="s">
        <v>214</v>
      </c>
      <c r="D226" s="186" t="s">
        <v>215</v>
      </c>
      <c r="E226" s="185">
        <v>30</v>
      </c>
      <c r="F226" s="186" t="s">
        <v>69</v>
      </c>
      <c r="G226" s="185">
        <v>186</v>
      </c>
      <c r="H226" s="186" t="s">
        <v>70</v>
      </c>
      <c r="I226" s="185" t="s">
        <v>36</v>
      </c>
      <c r="J226" s="187">
        <v>0.28000000000000003</v>
      </c>
      <c r="K226" s="186" t="s">
        <v>295</v>
      </c>
      <c r="L226" s="188">
        <v>0.1</v>
      </c>
      <c r="M226" s="186"/>
      <c r="N226" s="41"/>
      <c r="O226" s="41"/>
      <c r="P226" s="41"/>
      <c r="Q226" s="42"/>
    </row>
    <row r="227" spans="1:17" ht="20.100000000000001" customHeight="1" x14ac:dyDescent="0.25">
      <c r="A227" s="185">
        <v>6595</v>
      </c>
      <c r="B227" s="185">
        <v>191</v>
      </c>
      <c r="C227" s="186" t="s">
        <v>214</v>
      </c>
      <c r="D227" s="186" t="s">
        <v>215</v>
      </c>
      <c r="E227" s="185">
        <v>30</v>
      </c>
      <c r="F227" s="186" t="s">
        <v>71</v>
      </c>
      <c r="G227" s="185">
        <v>3211</v>
      </c>
      <c r="H227" s="186" t="s">
        <v>80</v>
      </c>
      <c r="I227" s="185" t="s">
        <v>73</v>
      </c>
      <c r="J227" s="187">
        <v>1000</v>
      </c>
      <c r="K227" s="186" t="s">
        <v>279</v>
      </c>
      <c r="L227" s="188">
        <v>0.02</v>
      </c>
      <c r="M227" s="186"/>
      <c r="N227" s="41"/>
      <c r="O227" s="41"/>
      <c r="P227" s="41"/>
      <c r="Q227" s="42"/>
    </row>
    <row r="228" spans="1:17" ht="20.100000000000001" customHeight="1" x14ac:dyDescent="0.25">
      <c r="A228" s="185">
        <v>6595</v>
      </c>
      <c r="B228" s="185">
        <v>191</v>
      </c>
      <c r="C228" s="186" t="s">
        <v>214</v>
      </c>
      <c r="D228" s="186" t="s">
        <v>215</v>
      </c>
      <c r="E228" s="185">
        <v>30</v>
      </c>
      <c r="F228" s="186" t="s">
        <v>95</v>
      </c>
      <c r="G228" s="185">
        <v>3598</v>
      </c>
      <c r="H228" s="186" t="s">
        <v>101</v>
      </c>
      <c r="I228" s="185" t="s">
        <v>73</v>
      </c>
      <c r="J228" s="187">
        <v>4.2016</v>
      </c>
      <c r="K228" s="186" t="s">
        <v>280</v>
      </c>
      <c r="L228" s="188">
        <v>0.1</v>
      </c>
      <c r="M228" s="186"/>
      <c r="N228" s="41"/>
      <c r="O228" s="41"/>
      <c r="P228" s="41"/>
      <c r="Q228" s="42"/>
    </row>
    <row r="229" spans="1:17" ht="20.100000000000001" customHeight="1" x14ac:dyDescent="0.25">
      <c r="A229" s="185">
        <v>6595</v>
      </c>
      <c r="B229" s="185">
        <v>191</v>
      </c>
      <c r="C229" s="186" t="s">
        <v>214</v>
      </c>
      <c r="D229" s="186" t="s">
        <v>215</v>
      </c>
      <c r="E229" s="185">
        <v>30</v>
      </c>
      <c r="F229" s="186" t="s">
        <v>50</v>
      </c>
      <c r="G229" s="185">
        <v>4155</v>
      </c>
      <c r="H229" s="186" t="s">
        <v>56</v>
      </c>
      <c r="I229" s="185" t="s">
        <v>53</v>
      </c>
      <c r="J229" s="187">
        <v>0.28000000000000003</v>
      </c>
      <c r="K229" s="186" t="s">
        <v>282</v>
      </c>
      <c r="L229" s="188">
        <v>0.1</v>
      </c>
      <c r="M229" s="186"/>
      <c r="N229" s="41"/>
      <c r="O229" s="41"/>
      <c r="P229" s="41"/>
      <c r="Q229" s="42"/>
    </row>
    <row r="230" spans="1:17" ht="20.100000000000001" customHeight="1" x14ac:dyDescent="0.25">
      <c r="A230" s="185">
        <v>6595</v>
      </c>
      <c r="B230" s="185">
        <v>191</v>
      </c>
      <c r="C230" s="186" t="s">
        <v>214</v>
      </c>
      <c r="D230" s="186" t="s">
        <v>215</v>
      </c>
      <c r="E230" s="185">
        <v>30</v>
      </c>
      <c r="F230" s="186" t="s">
        <v>105</v>
      </c>
      <c r="G230" s="185">
        <v>194</v>
      </c>
      <c r="H230" s="186" t="s">
        <v>106</v>
      </c>
      <c r="I230" s="185" t="s">
        <v>36</v>
      </c>
      <c r="J230" s="187">
        <v>8.3219999999999995E-3</v>
      </c>
      <c r="K230" s="186" t="s">
        <v>281</v>
      </c>
      <c r="L230" s="188">
        <v>0.1</v>
      </c>
      <c r="M230" s="186"/>
      <c r="N230" s="41"/>
      <c r="O230" s="41"/>
      <c r="P230" s="41"/>
      <c r="Q230" s="42"/>
    </row>
    <row r="231" spans="1:17" ht="20.100000000000001" customHeight="1" x14ac:dyDescent="0.25">
      <c r="A231" s="185">
        <v>6595</v>
      </c>
      <c r="B231" s="185">
        <v>191</v>
      </c>
      <c r="C231" s="186" t="s">
        <v>214</v>
      </c>
      <c r="D231" s="186" t="s">
        <v>215</v>
      </c>
      <c r="E231" s="185">
        <v>30</v>
      </c>
      <c r="F231" s="186" t="s">
        <v>108</v>
      </c>
      <c r="G231" s="185">
        <v>3635</v>
      </c>
      <c r="H231" s="186" t="s">
        <v>109</v>
      </c>
      <c r="I231" s="185" t="s">
        <v>73</v>
      </c>
      <c r="J231" s="187">
        <v>0.156</v>
      </c>
      <c r="K231" s="186" t="s">
        <v>284</v>
      </c>
      <c r="L231" s="188">
        <v>0.1</v>
      </c>
      <c r="M231" s="186"/>
      <c r="N231" s="41"/>
      <c r="O231" s="41"/>
      <c r="P231" s="41"/>
      <c r="Q231" s="42"/>
    </row>
    <row r="232" spans="1:17" ht="20.100000000000001" customHeight="1" x14ac:dyDescent="0.25">
      <c r="A232" s="181">
        <v>6515</v>
      </c>
      <c r="B232" s="181">
        <v>180</v>
      </c>
      <c r="C232" s="182" t="s">
        <v>21</v>
      </c>
      <c r="D232" s="182" t="s">
        <v>22</v>
      </c>
      <c r="E232" s="181">
        <v>32</v>
      </c>
      <c r="F232" s="182" t="s">
        <v>34</v>
      </c>
      <c r="G232" s="181">
        <v>3935</v>
      </c>
      <c r="H232" s="182" t="s">
        <v>48</v>
      </c>
      <c r="I232" s="181" t="s">
        <v>36</v>
      </c>
      <c r="J232" s="183">
        <v>10.863200000000001</v>
      </c>
      <c r="K232" s="182" t="s">
        <v>275</v>
      </c>
      <c r="L232" s="184">
        <v>0.1</v>
      </c>
      <c r="M232" s="182"/>
      <c r="N232" s="41"/>
      <c r="O232" s="41"/>
      <c r="P232" s="41"/>
      <c r="Q232" s="42"/>
    </row>
    <row r="233" spans="1:17" ht="20.100000000000001" customHeight="1" x14ac:dyDescent="0.25">
      <c r="A233" s="185">
        <v>6515</v>
      </c>
      <c r="B233" s="185">
        <v>180</v>
      </c>
      <c r="C233" s="186" t="s">
        <v>21</v>
      </c>
      <c r="D233" s="186" t="s">
        <v>22</v>
      </c>
      <c r="E233" s="185">
        <v>32</v>
      </c>
      <c r="F233" s="186" t="s">
        <v>57</v>
      </c>
      <c r="G233" s="185">
        <v>3595</v>
      </c>
      <c r="H233" s="186" t="s">
        <v>277</v>
      </c>
      <c r="I233" s="185" t="s">
        <v>36</v>
      </c>
      <c r="J233" s="187">
        <v>0.78</v>
      </c>
      <c r="K233" s="186" t="s">
        <v>278</v>
      </c>
      <c r="L233" s="188">
        <v>0.1</v>
      </c>
      <c r="M233" s="186"/>
      <c r="N233" s="41"/>
      <c r="O233" s="41"/>
      <c r="P233" s="41"/>
      <c r="Q233" s="42"/>
    </row>
    <row r="234" spans="1:17" ht="20.100000000000001" customHeight="1" x14ac:dyDescent="0.25">
      <c r="A234" s="185">
        <v>6515</v>
      </c>
      <c r="B234" s="185">
        <v>180</v>
      </c>
      <c r="C234" s="186" t="s">
        <v>21</v>
      </c>
      <c r="D234" s="186" t="s">
        <v>22</v>
      </c>
      <c r="E234" s="185">
        <v>32</v>
      </c>
      <c r="F234" s="186" t="s">
        <v>69</v>
      </c>
      <c r="G234" s="185">
        <v>186</v>
      </c>
      <c r="H234" s="186" t="s">
        <v>70</v>
      </c>
      <c r="I234" s="185" t="s">
        <v>36</v>
      </c>
      <c r="J234" s="187">
        <v>0.7</v>
      </c>
      <c r="K234" s="186" t="s">
        <v>295</v>
      </c>
      <c r="L234" s="188">
        <v>0.1</v>
      </c>
      <c r="M234" s="186"/>
      <c r="N234" s="41"/>
      <c r="O234" s="41"/>
      <c r="P234" s="41"/>
      <c r="Q234" s="42"/>
    </row>
    <row r="235" spans="1:17" ht="20.100000000000001" customHeight="1" x14ac:dyDescent="0.25">
      <c r="A235" s="185">
        <v>6515</v>
      </c>
      <c r="B235" s="185">
        <v>180</v>
      </c>
      <c r="C235" s="186" t="s">
        <v>21</v>
      </c>
      <c r="D235" s="186" t="s">
        <v>22</v>
      </c>
      <c r="E235" s="185">
        <v>32</v>
      </c>
      <c r="F235" s="186" t="s">
        <v>71</v>
      </c>
      <c r="G235" s="185">
        <v>1073</v>
      </c>
      <c r="H235" s="186" t="s">
        <v>89</v>
      </c>
      <c r="I235" s="185" t="s">
        <v>73</v>
      </c>
      <c r="J235" s="187">
        <v>1000</v>
      </c>
      <c r="K235" s="186" t="s">
        <v>279</v>
      </c>
      <c r="L235" s="188">
        <v>0.02</v>
      </c>
      <c r="M235" s="186"/>
      <c r="N235" s="41"/>
      <c r="O235" s="41"/>
      <c r="P235" s="41"/>
      <c r="Q235" s="42"/>
    </row>
    <row r="236" spans="1:17" ht="20.100000000000001" customHeight="1" x14ac:dyDescent="0.25">
      <c r="A236" s="185">
        <v>6515</v>
      </c>
      <c r="B236" s="185">
        <v>180</v>
      </c>
      <c r="C236" s="186" t="s">
        <v>21</v>
      </c>
      <c r="D236" s="186" t="s">
        <v>22</v>
      </c>
      <c r="E236" s="185">
        <v>32</v>
      </c>
      <c r="F236" s="186" t="s">
        <v>95</v>
      </c>
      <c r="G236" s="185">
        <v>3988</v>
      </c>
      <c r="H236" s="186" t="s">
        <v>306</v>
      </c>
      <c r="I236" s="185" t="s">
        <v>73</v>
      </c>
      <c r="J236" s="187">
        <v>6.06</v>
      </c>
      <c r="K236" s="186" t="s">
        <v>280</v>
      </c>
      <c r="L236" s="188">
        <v>0.1</v>
      </c>
      <c r="M236" s="186"/>
      <c r="N236" s="41"/>
      <c r="O236" s="41"/>
      <c r="P236" s="41"/>
      <c r="Q236" s="42"/>
    </row>
    <row r="237" spans="1:17" ht="20.100000000000001" customHeight="1" x14ac:dyDescent="0.25">
      <c r="A237" s="185">
        <v>6515</v>
      </c>
      <c r="B237" s="185">
        <v>180</v>
      </c>
      <c r="C237" s="186" t="s">
        <v>21</v>
      </c>
      <c r="D237" s="186" t="s">
        <v>22</v>
      </c>
      <c r="E237" s="185">
        <v>32</v>
      </c>
      <c r="F237" s="186" t="s">
        <v>105</v>
      </c>
      <c r="G237" s="185">
        <v>194</v>
      </c>
      <c r="H237" s="186" t="s">
        <v>106</v>
      </c>
      <c r="I237" s="185" t="s">
        <v>36</v>
      </c>
      <c r="J237" s="187">
        <v>9.5999999999999992E-3</v>
      </c>
      <c r="K237" s="186" t="s">
        <v>281</v>
      </c>
      <c r="L237" s="188">
        <v>0.1</v>
      </c>
      <c r="M237" s="186"/>
      <c r="N237" s="41"/>
      <c r="O237" s="41"/>
      <c r="P237" s="41"/>
      <c r="Q237" s="42"/>
    </row>
    <row r="238" spans="1:17" ht="20.100000000000001" customHeight="1" x14ac:dyDescent="0.25">
      <c r="A238" s="185">
        <v>6515</v>
      </c>
      <c r="B238" s="185">
        <v>180</v>
      </c>
      <c r="C238" s="186" t="s">
        <v>21</v>
      </c>
      <c r="D238" s="186" t="s">
        <v>22</v>
      </c>
      <c r="E238" s="185">
        <v>32</v>
      </c>
      <c r="F238" s="186" t="s">
        <v>50</v>
      </c>
      <c r="G238" s="185">
        <v>4155</v>
      </c>
      <c r="H238" s="186" t="s">
        <v>56</v>
      </c>
      <c r="I238" s="185" t="s">
        <v>36</v>
      </c>
      <c r="J238" s="187">
        <v>0.17849999999999999</v>
      </c>
      <c r="K238" s="186" t="s">
        <v>282</v>
      </c>
      <c r="L238" s="188">
        <v>0.1</v>
      </c>
      <c r="M238" s="186"/>
      <c r="N238" s="41"/>
      <c r="O238" s="41"/>
      <c r="P238" s="41"/>
      <c r="Q238" s="42"/>
    </row>
    <row r="239" spans="1:17" ht="20.100000000000001" customHeight="1" x14ac:dyDescent="0.25">
      <c r="A239" s="185">
        <v>6515</v>
      </c>
      <c r="B239" s="185">
        <v>180</v>
      </c>
      <c r="C239" s="186" t="s">
        <v>21</v>
      </c>
      <c r="D239" s="186" t="s">
        <v>22</v>
      </c>
      <c r="E239" s="185">
        <v>32</v>
      </c>
      <c r="F239" s="186" t="s">
        <v>108</v>
      </c>
      <c r="G239" s="185">
        <v>3635</v>
      </c>
      <c r="H239" s="186" t="s">
        <v>109</v>
      </c>
      <c r="I239" s="185" t="s">
        <v>73</v>
      </c>
      <c r="J239" s="187">
        <v>0.16800000000000001</v>
      </c>
      <c r="K239" s="186" t="s">
        <v>284</v>
      </c>
      <c r="L239" s="188">
        <v>0.1</v>
      </c>
      <c r="M239" s="186"/>
      <c r="N239" s="41"/>
      <c r="O239" s="41"/>
      <c r="P239" s="41"/>
      <c r="Q239" s="42"/>
    </row>
    <row r="240" spans="1:17" ht="20.100000000000001" customHeight="1" x14ac:dyDescent="0.25">
      <c r="A240" s="181">
        <v>5782</v>
      </c>
      <c r="B240" s="181">
        <v>70</v>
      </c>
      <c r="C240" s="182" t="s">
        <v>226</v>
      </c>
      <c r="D240" s="182" t="s">
        <v>227</v>
      </c>
      <c r="E240" s="181">
        <v>32</v>
      </c>
      <c r="F240" s="182" t="s">
        <v>34</v>
      </c>
      <c r="G240" s="181">
        <v>3935</v>
      </c>
      <c r="H240" s="182" t="s">
        <v>48</v>
      </c>
      <c r="I240" s="181" t="s">
        <v>36</v>
      </c>
      <c r="J240" s="183">
        <v>10.863200000000001</v>
      </c>
      <c r="K240" s="182" t="s">
        <v>275</v>
      </c>
      <c r="L240" s="184">
        <v>0.1</v>
      </c>
      <c r="M240" s="182"/>
      <c r="N240" s="41"/>
      <c r="O240" s="41"/>
      <c r="P240" s="41"/>
      <c r="Q240" s="42"/>
    </row>
    <row r="241" spans="1:17" ht="20.100000000000001" customHeight="1" x14ac:dyDescent="0.25">
      <c r="A241" s="185">
        <v>5782</v>
      </c>
      <c r="B241" s="185">
        <v>70</v>
      </c>
      <c r="C241" s="186" t="s">
        <v>226</v>
      </c>
      <c r="D241" s="186" t="s">
        <v>227</v>
      </c>
      <c r="E241" s="185">
        <v>32</v>
      </c>
      <c r="F241" s="186" t="s">
        <v>57</v>
      </c>
      <c r="G241" s="185">
        <v>3595</v>
      </c>
      <c r="H241" s="186" t="s">
        <v>277</v>
      </c>
      <c r="I241" s="185" t="s">
        <v>36</v>
      </c>
      <c r="J241" s="187">
        <v>0.78</v>
      </c>
      <c r="K241" s="186" t="s">
        <v>278</v>
      </c>
      <c r="L241" s="188">
        <v>0.1</v>
      </c>
      <c r="M241" s="186"/>
      <c r="N241" s="41"/>
      <c r="O241" s="41"/>
      <c r="P241" s="41"/>
      <c r="Q241" s="42"/>
    </row>
    <row r="242" spans="1:17" ht="20.100000000000001" customHeight="1" x14ac:dyDescent="0.25">
      <c r="A242" s="185">
        <v>5782</v>
      </c>
      <c r="B242" s="185">
        <v>70</v>
      </c>
      <c r="C242" s="186" t="s">
        <v>226</v>
      </c>
      <c r="D242" s="186" t="s">
        <v>227</v>
      </c>
      <c r="E242" s="185">
        <v>32</v>
      </c>
      <c r="F242" s="186" t="s">
        <v>69</v>
      </c>
      <c r="G242" s="185">
        <v>186</v>
      </c>
      <c r="H242" s="186" t="s">
        <v>70</v>
      </c>
      <c r="I242" s="185" t="s">
        <v>36</v>
      </c>
      <c r="J242" s="187">
        <v>0.7</v>
      </c>
      <c r="K242" s="186" t="s">
        <v>295</v>
      </c>
      <c r="L242" s="188">
        <v>0.1</v>
      </c>
      <c r="M242" s="186"/>
      <c r="N242" s="41"/>
      <c r="O242" s="41"/>
      <c r="P242" s="41"/>
      <c r="Q242" s="42"/>
    </row>
    <row r="243" spans="1:17" ht="20.100000000000001" customHeight="1" x14ac:dyDescent="0.25">
      <c r="A243" s="185">
        <v>5782</v>
      </c>
      <c r="B243" s="185">
        <v>70</v>
      </c>
      <c r="C243" s="186" t="s">
        <v>226</v>
      </c>
      <c r="D243" s="186" t="s">
        <v>227</v>
      </c>
      <c r="E243" s="185">
        <v>32</v>
      </c>
      <c r="F243" s="186" t="s">
        <v>71</v>
      </c>
      <c r="G243" s="185">
        <v>1285</v>
      </c>
      <c r="H243" s="186" t="s">
        <v>90</v>
      </c>
      <c r="I243" s="185" t="s">
        <v>73</v>
      </c>
      <c r="J243" s="187">
        <v>1000</v>
      </c>
      <c r="K243" s="186" t="s">
        <v>279</v>
      </c>
      <c r="L243" s="188">
        <v>0.02</v>
      </c>
      <c r="M243" s="186"/>
      <c r="N243" s="41"/>
      <c r="O243" s="41"/>
      <c r="P243" s="41"/>
      <c r="Q243" s="42"/>
    </row>
    <row r="244" spans="1:17" ht="20.100000000000001" customHeight="1" x14ac:dyDescent="0.25">
      <c r="A244" s="185">
        <v>5782</v>
      </c>
      <c r="B244" s="185">
        <v>70</v>
      </c>
      <c r="C244" s="186" t="s">
        <v>226</v>
      </c>
      <c r="D244" s="186" t="s">
        <v>227</v>
      </c>
      <c r="E244" s="185">
        <v>32</v>
      </c>
      <c r="F244" s="186" t="s">
        <v>95</v>
      </c>
      <c r="G244" s="185">
        <v>3988</v>
      </c>
      <c r="H244" s="186" t="s">
        <v>306</v>
      </c>
      <c r="I244" s="185" t="s">
        <v>73</v>
      </c>
      <c r="J244" s="187">
        <v>6.06</v>
      </c>
      <c r="K244" s="186" t="s">
        <v>280</v>
      </c>
      <c r="L244" s="188">
        <v>0.1</v>
      </c>
      <c r="M244" s="186"/>
      <c r="N244" s="41"/>
      <c r="O244" s="41"/>
      <c r="P244" s="41"/>
      <c r="Q244" s="42"/>
    </row>
    <row r="245" spans="1:17" ht="20.100000000000001" customHeight="1" x14ac:dyDescent="0.25">
      <c r="A245" s="185">
        <v>5782</v>
      </c>
      <c r="B245" s="185">
        <v>70</v>
      </c>
      <c r="C245" s="186" t="s">
        <v>226</v>
      </c>
      <c r="D245" s="186" t="s">
        <v>227</v>
      </c>
      <c r="E245" s="185">
        <v>32</v>
      </c>
      <c r="F245" s="186" t="s">
        <v>105</v>
      </c>
      <c r="G245" s="185">
        <v>194</v>
      </c>
      <c r="H245" s="186" t="s">
        <v>106</v>
      </c>
      <c r="I245" s="185" t="s">
        <v>36</v>
      </c>
      <c r="J245" s="187">
        <v>9.5999999999999992E-3</v>
      </c>
      <c r="K245" s="186" t="s">
        <v>281</v>
      </c>
      <c r="L245" s="188">
        <v>0.1</v>
      </c>
      <c r="M245" s="186"/>
      <c r="N245" s="41"/>
      <c r="O245" s="41"/>
      <c r="P245" s="41"/>
      <c r="Q245" s="42"/>
    </row>
    <row r="246" spans="1:17" ht="20.100000000000001" customHeight="1" x14ac:dyDescent="0.25">
      <c r="A246" s="185">
        <v>5782</v>
      </c>
      <c r="B246" s="185">
        <v>70</v>
      </c>
      <c r="C246" s="186" t="s">
        <v>226</v>
      </c>
      <c r="D246" s="186" t="s">
        <v>227</v>
      </c>
      <c r="E246" s="185">
        <v>32</v>
      </c>
      <c r="F246" s="186" t="s">
        <v>50</v>
      </c>
      <c r="G246" s="185">
        <v>4155</v>
      </c>
      <c r="H246" s="186" t="s">
        <v>56</v>
      </c>
      <c r="I246" s="185" t="s">
        <v>53</v>
      </c>
      <c r="J246" s="187">
        <v>0.17849999999999999</v>
      </c>
      <c r="K246" s="186" t="s">
        <v>282</v>
      </c>
      <c r="L246" s="188">
        <v>0.1</v>
      </c>
      <c r="M246" s="186"/>
      <c r="N246" s="41"/>
      <c r="O246" s="41"/>
      <c r="P246" s="41"/>
      <c r="Q246" s="42"/>
    </row>
    <row r="247" spans="1:17" ht="20.100000000000001" customHeight="1" x14ac:dyDescent="0.25">
      <c r="A247" s="185">
        <v>5782</v>
      </c>
      <c r="B247" s="185">
        <v>70</v>
      </c>
      <c r="C247" s="186" t="s">
        <v>226</v>
      </c>
      <c r="D247" s="186" t="s">
        <v>227</v>
      </c>
      <c r="E247" s="185">
        <v>32</v>
      </c>
      <c r="F247" s="186" t="s">
        <v>108</v>
      </c>
      <c r="G247" s="185">
        <v>3635</v>
      </c>
      <c r="H247" s="186" t="s">
        <v>109</v>
      </c>
      <c r="I247" s="185" t="s">
        <v>73</v>
      </c>
      <c r="J247" s="187">
        <v>0.16800000000000001</v>
      </c>
      <c r="K247" s="186" t="s">
        <v>284</v>
      </c>
      <c r="L247" s="188">
        <v>0.1</v>
      </c>
      <c r="M247" s="186"/>
      <c r="N247" s="41"/>
      <c r="O247" s="41"/>
      <c r="P247" s="41"/>
      <c r="Q247" s="42"/>
    </row>
    <row r="248" spans="1:17" ht="20.100000000000001" customHeight="1" x14ac:dyDescent="0.25">
      <c r="A248" s="181">
        <v>6020</v>
      </c>
      <c r="B248" s="181">
        <v>130</v>
      </c>
      <c r="C248" s="182" t="s">
        <v>182</v>
      </c>
      <c r="D248" s="182" t="s">
        <v>228</v>
      </c>
      <c r="E248" s="181">
        <v>35</v>
      </c>
      <c r="F248" s="182" t="s">
        <v>34</v>
      </c>
      <c r="G248" s="181">
        <v>3503</v>
      </c>
      <c r="H248" s="182" t="s">
        <v>49</v>
      </c>
      <c r="I248" s="181" t="s">
        <v>36</v>
      </c>
      <c r="J248" s="183">
        <v>12.82</v>
      </c>
      <c r="K248" s="182" t="s">
        <v>275</v>
      </c>
      <c r="L248" s="184">
        <v>0.1</v>
      </c>
      <c r="M248" s="182"/>
      <c r="N248" s="41"/>
      <c r="O248" s="41"/>
      <c r="P248" s="41"/>
      <c r="Q248" s="42"/>
    </row>
    <row r="249" spans="1:17" ht="20.100000000000001" customHeight="1" x14ac:dyDescent="0.25">
      <c r="A249" s="185">
        <v>6020</v>
      </c>
      <c r="B249" s="185">
        <v>130</v>
      </c>
      <c r="C249" s="186" t="s">
        <v>182</v>
      </c>
      <c r="D249" s="186" t="s">
        <v>228</v>
      </c>
      <c r="E249" s="185">
        <v>35</v>
      </c>
      <c r="F249" s="186" t="s">
        <v>57</v>
      </c>
      <c r="G249" s="185">
        <v>4156</v>
      </c>
      <c r="H249" s="186" t="s">
        <v>63</v>
      </c>
      <c r="I249" s="185" t="s">
        <v>36</v>
      </c>
      <c r="J249" s="187">
        <v>1.2</v>
      </c>
      <c r="K249" s="186" t="s">
        <v>278</v>
      </c>
      <c r="L249" s="188">
        <v>0.1</v>
      </c>
      <c r="M249" s="186"/>
      <c r="N249" s="41"/>
      <c r="O249" s="41"/>
      <c r="P249" s="41"/>
      <c r="Q249" s="42"/>
    </row>
    <row r="250" spans="1:17" ht="20.100000000000001" customHeight="1" x14ac:dyDescent="0.25">
      <c r="A250" s="185">
        <v>6020</v>
      </c>
      <c r="B250" s="185">
        <v>130</v>
      </c>
      <c r="C250" s="186" t="s">
        <v>182</v>
      </c>
      <c r="D250" s="186" t="s">
        <v>228</v>
      </c>
      <c r="E250" s="185">
        <v>35</v>
      </c>
      <c r="F250" s="186" t="s">
        <v>57</v>
      </c>
      <c r="G250" s="185">
        <v>177</v>
      </c>
      <c r="H250" s="186" t="s">
        <v>67</v>
      </c>
      <c r="I250" s="185" t="s">
        <v>36</v>
      </c>
      <c r="J250" s="187">
        <v>0.78</v>
      </c>
      <c r="K250" s="186" t="s">
        <v>278</v>
      </c>
      <c r="L250" s="188">
        <v>0.1</v>
      </c>
      <c r="M250" s="186"/>
      <c r="N250" s="41"/>
      <c r="O250" s="41"/>
      <c r="P250" s="41"/>
      <c r="Q250" s="42"/>
    </row>
    <row r="251" spans="1:17" ht="20.100000000000001" customHeight="1" x14ac:dyDescent="0.25">
      <c r="A251" s="185">
        <v>6020</v>
      </c>
      <c r="B251" s="185">
        <v>130</v>
      </c>
      <c r="C251" s="186" t="s">
        <v>182</v>
      </c>
      <c r="D251" s="186" t="s">
        <v>228</v>
      </c>
      <c r="E251" s="185">
        <v>35</v>
      </c>
      <c r="F251" s="186" t="s">
        <v>71</v>
      </c>
      <c r="G251" s="185">
        <v>1073</v>
      </c>
      <c r="H251" s="186" t="s">
        <v>89</v>
      </c>
      <c r="I251" s="185" t="s">
        <v>73</v>
      </c>
      <c r="J251" s="187">
        <v>1000</v>
      </c>
      <c r="K251" s="186" t="s">
        <v>279</v>
      </c>
      <c r="L251" s="188">
        <v>0.02</v>
      </c>
      <c r="M251" s="186"/>
      <c r="N251" s="41"/>
      <c r="O251" s="41"/>
      <c r="P251" s="41"/>
      <c r="Q251" s="42"/>
    </row>
    <row r="252" spans="1:17" ht="20.100000000000001" customHeight="1" x14ac:dyDescent="0.25">
      <c r="A252" s="185">
        <v>6020</v>
      </c>
      <c r="B252" s="185">
        <v>130</v>
      </c>
      <c r="C252" s="186" t="s">
        <v>182</v>
      </c>
      <c r="D252" s="186" t="s">
        <v>228</v>
      </c>
      <c r="E252" s="185">
        <v>35</v>
      </c>
      <c r="F252" s="186" t="s">
        <v>95</v>
      </c>
      <c r="G252" s="185">
        <v>3988</v>
      </c>
      <c r="H252" s="186" t="s">
        <v>306</v>
      </c>
      <c r="I252" s="185" t="s">
        <v>73</v>
      </c>
      <c r="J252" s="187">
        <v>6.06</v>
      </c>
      <c r="K252" s="186" t="s">
        <v>280</v>
      </c>
      <c r="L252" s="188">
        <v>0.1</v>
      </c>
      <c r="M252" s="186"/>
      <c r="N252" s="41"/>
      <c r="O252" s="41"/>
      <c r="P252" s="41"/>
      <c r="Q252" s="42"/>
    </row>
    <row r="253" spans="1:17" ht="20.100000000000001" customHeight="1" x14ac:dyDescent="0.25">
      <c r="A253" s="185">
        <v>6020</v>
      </c>
      <c r="B253" s="185">
        <v>130</v>
      </c>
      <c r="C253" s="186" t="s">
        <v>182</v>
      </c>
      <c r="D253" s="186" t="s">
        <v>228</v>
      </c>
      <c r="E253" s="185">
        <v>35</v>
      </c>
      <c r="F253" s="186" t="s">
        <v>105</v>
      </c>
      <c r="G253" s="185">
        <v>194</v>
      </c>
      <c r="H253" s="186" t="s">
        <v>106</v>
      </c>
      <c r="I253" s="185" t="s">
        <v>36</v>
      </c>
      <c r="J253" s="187">
        <v>1.333E-2</v>
      </c>
      <c r="K253" s="186" t="s">
        <v>281</v>
      </c>
      <c r="L253" s="188">
        <v>0.1</v>
      </c>
      <c r="M253" s="186"/>
      <c r="N253" s="41"/>
      <c r="O253" s="41"/>
      <c r="P253" s="41"/>
      <c r="Q253" s="42"/>
    </row>
    <row r="254" spans="1:17" ht="20.100000000000001" customHeight="1" x14ac:dyDescent="0.25">
      <c r="A254" s="185">
        <v>6020</v>
      </c>
      <c r="B254" s="185">
        <v>130</v>
      </c>
      <c r="C254" s="186" t="s">
        <v>182</v>
      </c>
      <c r="D254" s="186" t="s">
        <v>228</v>
      </c>
      <c r="E254" s="185">
        <v>35</v>
      </c>
      <c r="F254" s="186" t="s">
        <v>108</v>
      </c>
      <c r="G254" s="185">
        <v>3635</v>
      </c>
      <c r="H254" s="186" t="s">
        <v>109</v>
      </c>
      <c r="I254" s="185" t="s">
        <v>73</v>
      </c>
      <c r="J254" s="187">
        <v>0.16800000000000001</v>
      </c>
      <c r="K254" s="186" t="s">
        <v>284</v>
      </c>
      <c r="L254" s="188">
        <v>0.1</v>
      </c>
      <c r="M254" s="186"/>
      <c r="N254" s="41"/>
      <c r="O254" s="41"/>
      <c r="P254" s="41"/>
      <c r="Q254" s="42"/>
    </row>
    <row r="255" spans="1:17" ht="20.100000000000001" customHeight="1" x14ac:dyDescent="0.25">
      <c r="A255" s="185">
        <v>6020</v>
      </c>
      <c r="B255" s="185">
        <v>130</v>
      </c>
      <c r="C255" s="186" t="s">
        <v>182</v>
      </c>
      <c r="D255" s="186" t="s">
        <v>228</v>
      </c>
      <c r="E255" s="185">
        <v>35</v>
      </c>
      <c r="F255" s="186" t="s">
        <v>50</v>
      </c>
      <c r="G255" s="185">
        <v>4155</v>
      </c>
      <c r="H255" s="186" t="s">
        <v>56</v>
      </c>
      <c r="I255" s="185" t="s">
        <v>36</v>
      </c>
      <c r="J255" s="187">
        <v>0.5</v>
      </c>
      <c r="K255" s="186" t="s">
        <v>282</v>
      </c>
      <c r="L255" s="188">
        <v>0.1</v>
      </c>
      <c r="M255" s="186"/>
      <c r="N255" s="41"/>
      <c r="O255" s="41"/>
      <c r="P255" s="41"/>
      <c r="Q255" s="42"/>
    </row>
    <row r="256" spans="1:17" ht="20.100000000000001" customHeight="1" x14ac:dyDescent="0.25">
      <c r="A256" s="185">
        <v>6020</v>
      </c>
      <c r="B256" s="185">
        <v>130</v>
      </c>
      <c r="C256" s="186" t="s">
        <v>182</v>
      </c>
      <c r="D256" s="186" t="s">
        <v>228</v>
      </c>
      <c r="E256" s="185">
        <v>35</v>
      </c>
      <c r="F256" s="186" t="s">
        <v>69</v>
      </c>
      <c r="G256" s="185">
        <v>186</v>
      </c>
      <c r="H256" s="186" t="s">
        <v>70</v>
      </c>
      <c r="I256" s="185" t="s">
        <v>36</v>
      </c>
      <c r="J256" s="187">
        <v>0.7</v>
      </c>
      <c r="K256" s="186" t="s">
        <v>295</v>
      </c>
      <c r="L256" s="188">
        <v>0.1</v>
      </c>
      <c r="M256" s="186"/>
      <c r="N256" s="41"/>
      <c r="O256" s="41"/>
      <c r="P256" s="41"/>
      <c r="Q256" s="42"/>
    </row>
    <row r="257" spans="1:17" ht="20.100000000000001" customHeight="1" x14ac:dyDescent="0.25">
      <c r="A257" s="181">
        <v>6021</v>
      </c>
      <c r="B257" s="181">
        <v>131</v>
      </c>
      <c r="C257" s="182" t="s">
        <v>182</v>
      </c>
      <c r="D257" s="182" t="s">
        <v>229</v>
      </c>
      <c r="E257" s="181">
        <v>35</v>
      </c>
      <c r="F257" s="182" t="s">
        <v>34</v>
      </c>
      <c r="G257" s="181">
        <v>3503</v>
      </c>
      <c r="H257" s="182" t="s">
        <v>49</v>
      </c>
      <c r="I257" s="181" t="s">
        <v>36</v>
      </c>
      <c r="J257" s="183">
        <v>12.82</v>
      </c>
      <c r="K257" s="182" t="s">
        <v>275</v>
      </c>
      <c r="L257" s="184">
        <v>0.1</v>
      </c>
      <c r="M257" s="182"/>
      <c r="N257" s="41"/>
      <c r="O257" s="41"/>
      <c r="P257" s="41"/>
      <c r="Q257" s="42"/>
    </row>
    <row r="258" spans="1:17" ht="20.100000000000001" customHeight="1" x14ac:dyDescent="0.25">
      <c r="A258" s="185">
        <v>6021</v>
      </c>
      <c r="B258" s="185">
        <v>131</v>
      </c>
      <c r="C258" s="186" t="s">
        <v>182</v>
      </c>
      <c r="D258" s="186" t="s">
        <v>229</v>
      </c>
      <c r="E258" s="185">
        <v>35</v>
      </c>
      <c r="F258" s="186" t="s">
        <v>57</v>
      </c>
      <c r="G258" s="185">
        <v>4156</v>
      </c>
      <c r="H258" s="186" t="s">
        <v>63</v>
      </c>
      <c r="I258" s="185" t="s">
        <v>36</v>
      </c>
      <c r="J258" s="187">
        <v>1.2</v>
      </c>
      <c r="K258" s="186" t="s">
        <v>278</v>
      </c>
      <c r="L258" s="188">
        <v>0.1</v>
      </c>
      <c r="M258" s="186"/>
      <c r="N258" s="41"/>
      <c r="O258" s="41"/>
      <c r="P258" s="41"/>
      <c r="Q258" s="42"/>
    </row>
    <row r="259" spans="1:17" ht="20.100000000000001" customHeight="1" x14ac:dyDescent="0.25">
      <c r="A259" s="185">
        <v>6021</v>
      </c>
      <c r="B259" s="185">
        <v>131</v>
      </c>
      <c r="C259" s="186" t="s">
        <v>182</v>
      </c>
      <c r="D259" s="186" t="s">
        <v>229</v>
      </c>
      <c r="E259" s="185">
        <v>35</v>
      </c>
      <c r="F259" s="186" t="s">
        <v>57</v>
      </c>
      <c r="G259" s="185">
        <v>177</v>
      </c>
      <c r="H259" s="186" t="s">
        <v>67</v>
      </c>
      <c r="I259" s="185" t="s">
        <v>36</v>
      </c>
      <c r="J259" s="187">
        <v>0.78</v>
      </c>
      <c r="K259" s="186" t="s">
        <v>278</v>
      </c>
      <c r="L259" s="188">
        <v>0.1</v>
      </c>
      <c r="M259" s="186"/>
      <c r="N259" s="41"/>
      <c r="O259" s="41"/>
      <c r="P259" s="41"/>
      <c r="Q259" s="42"/>
    </row>
    <row r="260" spans="1:17" ht="20.100000000000001" customHeight="1" x14ac:dyDescent="0.25">
      <c r="A260" s="185">
        <v>6021</v>
      </c>
      <c r="B260" s="185">
        <v>131</v>
      </c>
      <c r="C260" s="186" t="s">
        <v>182</v>
      </c>
      <c r="D260" s="186" t="s">
        <v>229</v>
      </c>
      <c r="E260" s="185">
        <v>35</v>
      </c>
      <c r="F260" s="186" t="s">
        <v>71</v>
      </c>
      <c r="G260" s="185">
        <v>1073</v>
      </c>
      <c r="H260" s="186" t="s">
        <v>89</v>
      </c>
      <c r="I260" s="185" t="s">
        <v>73</v>
      </c>
      <c r="J260" s="187">
        <v>1000</v>
      </c>
      <c r="K260" s="186" t="s">
        <v>279</v>
      </c>
      <c r="L260" s="188">
        <v>0.02</v>
      </c>
      <c r="M260" s="186"/>
      <c r="N260" s="41"/>
      <c r="O260" s="41"/>
      <c r="P260" s="41"/>
      <c r="Q260" s="42"/>
    </row>
    <row r="261" spans="1:17" ht="20.100000000000001" customHeight="1" x14ac:dyDescent="0.25">
      <c r="A261" s="185">
        <v>6021</v>
      </c>
      <c r="B261" s="185">
        <v>131</v>
      </c>
      <c r="C261" s="186" t="s">
        <v>182</v>
      </c>
      <c r="D261" s="186" t="s">
        <v>229</v>
      </c>
      <c r="E261" s="185">
        <v>35</v>
      </c>
      <c r="F261" s="186" t="s">
        <v>95</v>
      </c>
      <c r="G261" s="185">
        <v>3988</v>
      </c>
      <c r="H261" s="186" t="s">
        <v>306</v>
      </c>
      <c r="I261" s="185" t="s">
        <v>73</v>
      </c>
      <c r="J261" s="187">
        <v>6.06</v>
      </c>
      <c r="K261" s="186" t="s">
        <v>280</v>
      </c>
      <c r="L261" s="188">
        <v>0.1</v>
      </c>
      <c r="M261" s="186"/>
      <c r="N261" s="41"/>
      <c r="O261" s="41"/>
      <c r="P261" s="41"/>
      <c r="Q261" s="42"/>
    </row>
    <row r="262" spans="1:17" ht="20.100000000000001" customHeight="1" x14ac:dyDescent="0.25">
      <c r="A262" s="185">
        <v>6021</v>
      </c>
      <c r="B262" s="185">
        <v>131</v>
      </c>
      <c r="C262" s="186" t="s">
        <v>182</v>
      </c>
      <c r="D262" s="186" t="s">
        <v>229</v>
      </c>
      <c r="E262" s="185">
        <v>35</v>
      </c>
      <c r="F262" s="186" t="s">
        <v>105</v>
      </c>
      <c r="G262" s="185">
        <v>194</v>
      </c>
      <c r="H262" s="186" t="s">
        <v>106</v>
      </c>
      <c r="I262" s="185" t="s">
        <v>36</v>
      </c>
      <c r="J262" s="187">
        <v>1.333E-2</v>
      </c>
      <c r="K262" s="186" t="s">
        <v>281</v>
      </c>
      <c r="L262" s="188">
        <v>0.1</v>
      </c>
      <c r="M262" s="186"/>
      <c r="N262" s="41"/>
      <c r="O262" s="41"/>
      <c r="P262" s="41"/>
      <c r="Q262" s="42"/>
    </row>
    <row r="263" spans="1:17" ht="20.100000000000001" customHeight="1" x14ac:dyDescent="0.25">
      <c r="A263" s="185">
        <v>6021</v>
      </c>
      <c r="B263" s="185">
        <v>131</v>
      </c>
      <c r="C263" s="186" t="s">
        <v>182</v>
      </c>
      <c r="D263" s="186" t="s">
        <v>229</v>
      </c>
      <c r="E263" s="185">
        <v>35</v>
      </c>
      <c r="F263" s="186" t="s">
        <v>108</v>
      </c>
      <c r="G263" s="185">
        <v>3635</v>
      </c>
      <c r="H263" s="186" t="s">
        <v>109</v>
      </c>
      <c r="I263" s="185" t="s">
        <v>73</v>
      </c>
      <c r="J263" s="187">
        <v>0.16800000000000001</v>
      </c>
      <c r="K263" s="186" t="s">
        <v>284</v>
      </c>
      <c r="L263" s="188">
        <v>0.1</v>
      </c>
      <c r="M263" s="186"/>
      <c r="N263" s="41"/>
      <c r="O263" s="41"/>
      <c r="P263" s="41"/>
      <c r="Q263" s="42"/>
    </row>
    <row r="264" spans="1:17" ht="20.100000000000001" customHeight="1" x14ac:dyDescent="0.25">
      <c r="A264" s="185">
        <v>6021</v>
      </c>
      <c r="B264" s="185">
        <v>131</v>
      </c>
      <c r="C264" s="186" t="s">
        <v>182</v>
      </c>
      <c r="D264" s="186" t="s">
        <v>229</v>
      </c>
      <c r="E264" s="185">
        <v>35</v>
      </c>
      <c r="F264" s="186" t="s">
        <v>50</v>
      </c>
      <c r="G264" s="185">
        <v>4155</v>
      </c>
      <c r="H264" s="186" t="s">
        <v>56</v>
      </c>
      <c r="I264" s="185" t="s">
        <v>36</v>
      </c>
      <c r="J264" s="187">
        <v>0.5</v>
      </c>
      <c r="K264" s="186" t="s">
        <v>282</v>
      </c>
      <c r="L264" s="188">
        <v>0.1</v>
      </c>
      <c r="M264" s="186"/>
      <c r="N264" s="41"/>
      <c r="O264" s="41"/>
      <c r="P264" s="41"/>
      <c r="Q264" s="42"/>
    </row>
    <row r="265" spans="1:17" ht="20.100000000000001" customHeight="1" x14ac:dyDescent="0.25">
      <c r="A265" s="185">
        <v>6021</v>
      </c>
      <c r="B265" s="185">
        <v>131</v>
      </c>
      <c r="C265" s="186" t="s">
        <v>182</v>
      </c>
      <c r="D265" s="186" t="s">
        <v>229</v>
      </c>
      <c r="E265" s="185">
        <v>35</v>
      </c>
      <c r="F265" s="186" t="s">
        <v>69</v>
      </c>
      <c r="G265" s="185">
        <v>186</v>
      </c>
      <c r="H265" s="186" t="s">
        <v>70</v>
      </c>
      <c r="I265" s="185" t="s">
        <v>36</v>
      </c>
      <c r="J265" s="187">
        <v>0.7</v>
      </c>
      <c r="K265" s="186" t="s">
        <v>295</v>
      </c>
      <c r="L265" s="188">
        <v>0.1</v>
      </c>
      <c r="M265" s="186"/>
      <c r="N265" s="41"/>
      <c r="O265" s="41"/>
      <c r="P265" s="41"/>
      <c r="Q265" s="42"/>
    </row>
    <row r="266" spans="1:17" ht="20.100000000000001" customHeight="1" x14ac:dyDescent="0.25">
      <c r="A266" s="181">
        <v>6530</v>
      </c>
      <c r="B266" s="181">
        <v>182</v>
      </c>
      <c r="C266" s="182" t="s">
        <v>182</v>
      </c>
      <c r="D266" s="182" t="s">
        <v>183</v>
      </c>
      <c r="E266" s="181">
        <v>35</v>
      </c>
      <c r="F266" s="182" t="s">
        <v>34</v>
      </c>
      <c r="G266" s="181">
        <v>3503</v>
      </c>
      <c r="H266" s="182" t="s">
        <v>49</v>
      </c>
      <c r="I266" s="181" t="s">
        <v>36</v>
      </c>
      <c r="J266" s="183">
        <v>12.82</v>
      </c>
      <c r="K266" s="182" t="s">
        <v>275</v>
      </c>
      <c r="L266" s="184">
        <v>0.1</v>
      </c>
      <c r="M266" s="182"/>
      <c r="N266" s="41"/>
      <c r="O266" s="41"/>
      <c r="P266" s="41"/>
      <c r="Q266" s="42"/>
    </row>
    <row r="267" spans="1:17" ht="20.100000000000001" customHeight="1" x14ac:dyDescent="0.25">
      <c r="A267" s="185">
        <v>6530</v>
      </c>
      <c r="B267" s="185">
        <v>182</v>
      </c>
      <c r="C267" s="186" t="s">
        <v>182</v>
      </c>
      <c r="D267" s="186" t="s">
        <v>183</v>
      </c>
      <c r="E267" s="185">
        <v>35</v>
      </c>
      <c r="F267" s="186" t="s">
        <v>57</v>
      </c>
      <c r="G267" s="185">
        <v>3595</v>
      </c>
      <c r="H267" s="186" t="s">
        <v>277</v>
      </c>
      <c r="I267" s="185" t="s">
        <v>36</v>
      </c>
      <c r="J267" s="187">
        <v>0.78</v>
      </c>
      <c r="K267" s="186" t="s">
        <v>278</v>
      </c>
      <c r="L267" s="188">
        <v>0.1</v>
      </c>
      <c r="M267" s="186"/>
      <c r="N267" s="41"/>
      <c r="O267" s="41"/>
      <c r="P267" s="41"/>
      <c r="Q267" s="42"/>
    </row>
    <row r="268" spans="1:17" ht="20.100000000000001" customHeight="1" x14ac:dyDescent="0.25">
      <c r="A268" s="185">
        <v>6530</v>
      </c>
      <c r="B268" s="185">
        <v>182</v>
      </c>
      <c r="C268" s="186" t="s">
        <v>182</v>
      </c>
      <c r="D268" s="186" t="s">
        <v>183</v>
      </c>
      <c r="E268" s="185">
        <v>35</v>
      </c>
      <c r="F268" s="186" t="s">
        <v>71</v>
      </c>
      <c r="G268" s="185">
        <v>578</v>
      </c>
      <c r="H268" s="186" t="s">
        <v>93</v>
      </c>
      <c r="I268" s="185" t="s">
        <v>73</v>
      </c>
      <c r="J268" s="187">
        <v>1000</v>
      </c>
      <c r="K268" s="186" t="s">
        <v>279</v>
      </c>
      <c r="L268" s="188">
        <v>0.02</v>
      </c>
      <c r="M268" s="186"/>
      <c r="N268" s="41"/>
      <c r="O268" s="41"/>
      <c r="P268" s="41"/>
      <c r="Q268" s="42"/>
    </row>
    <row r="269" spans="1:17" ht="20.100000000000001" customHeight="1" x14ac:dyDescent="0.25">
      <c r="A269" s="185">
        <v>6530</v>
      </c>
      <c r="B269" s="185">
        <v>182</v>
      </c>
      <c r="C269" s="186" t="s">
        <v>182</v>
      </c>
      <c r="D269" s="186" t="s">
        <v>183</v>
      </c>
      <c r="E269" s="185">
        <v>35</v>
      </c>
      <c r="F269" s="186" t="s">
        <v>95</v>
      </c>
      <c r="G269" s="185">
        <v>3988</v>
      </c>
      <c r="H269" s="186" t="s">
        <v>306</v>
      </c>
      <c r="I269" s="185" t="s">
        <v>73</v>
      </c>
      <c r="J269" s="187">
        <v>6.06</v>
      </c>
      <c r="K269" s="186" t="s">
        <v>280</v>
      </c>
      <c r="L269" s="188">
        <v>0.1</v>
      </c>
      <c r="M269" s="186"/>
      <c r="N269" s="41"/>
      <c r="O269" s="41"/>
      <c r="P269" s="41"/>
      <c r="Q269" s="42"/>
    </row>
    <row r="270" spans="1:17" ht="20.100000000000001" customHeight="1" x14ac:dyDescent="0.25">
      <c r="A270" s="185">
        <v>6530</v>
      </c>
      <c r="B270" s="185">
        <v>182</v>
      </c>
      <c r="C270" s="186" t="s">
        <v>182</v>
      </c>
      <c r="D270" s="186" t="s">
        <v>183</v>
      </c>
      <c r="E270" s="185">
        <v>35</v>
      </c>
      <c r="F270" s="186" t="s">
        <v>105</v>
      </c>
      <c r="G270" s="185">
        <v>194</v>
      </c>
      <c r="H270" s="186" t="s">
        <v>106</v>
      </c>
      <c r="I270" s="185" t="s">
        <v>36</v>
      </c>
      <c r="J270" s="187">
        <v>1.3299999999999999E-2</v>
      </c>
      <c r="K270" s="186" t="s">
        <v>281</v>
      </c>
      <c r="L270" s="188">
        <v>0.1</v>
      </c>
      <c r="M270" s="186"/>
      <c r="N270" s="41"/>
      <c r="O270" s="41"/>
      <c r="P270" s="41"/>
      <c r="Q270" s="42"/>
    </row>
    <row r="271" spans="1:17" ht="20.100000000000001" customHeight="1" x14ac:dyDescent="0.25">
      <c r="A271" s="185">
        <v>6530</v>
      </c>
      <c r="B271" s="185">
        <v>182</v>
      </c>
      <c r="C271" s="186" t="s">
        <v>182</v>
      </c>
      <c r="D271" s="186" t="s">
        <v>183</v>
      </c>
      <c r="E271" s="185">
        <v>35</v>
      </c>
      <c r="F271" s="186" t="s">
        <v>50</v>
      </c>
      <c r="G271" s="185">
        <v>4155</v>
      </c>
      <c r="H271" s="186" t="s">
        <v>56</v>
      </c>
      <c r="I271" s="185" t="s">
        <v>36</v>
      </c>
      <c r="J271" s="187">
        <v>0.16</v>
      </c>
      <c r="K271" s="186" t="s">
        <v>282</v>
      </c>
      <c r="L271" s="188">
        <v>0.1</v>
      </c>
      <c r="M271" s="186"/>
      <c r="N271" s="41"/>
      <c r="O271" s="41"/>
      <c r="P271" s="41"/>
      <c r="Q271" s="42"/>
    </row>
    <row r="272" spans="1:17" ht="20.100000000000001" customHeight="1" x14ac:dyDescent="0.25">
      <c r="A272" s="185">
        <v>6530</v>
      </c>
      <c r="B272" s="185">
        <v>182</v>
      </c>
      <c r="C272" s="186" t="s">
        <v>182</v>
      </c>
      <c r="D272" s="186" t="s">
        <v>183</v>
      </c>
      <c r="E272" s="185">
        <v>35</v>
      </c>
      <c r="F272" s="186" t="s">
        <v>108</v>
      </c>
      <c r="G272" s="185">
        <v>3635</v>
      </c>
      <c r="H272" s="186" t="s">
        <v>109</v>
      </c>
      <c r="I272" s="185" t="s">
        <v>73</v>
      </c>
      <c r="J272" s="187">
        <v>0.16800000000000001</v>
      </c>
      <c r="K272" s="186" t="s">
        <v>284</v>
      </c>
      <c r="L272" s="188">
        <v>0.1</v>
      </c>
      <c r="M272" s="186"/>
      <c r="N272" s="41"/>
      <c r="O272" s="41"/>
      <c r="P272" s="41"/>
      <c r="Q272" s="42"/>
    </row>
    <row r="273" spans="1:17" ht="20.100000000000001" customHeight="1" x14ac:dyDescent="0.25">
      <c r="A273" s="181">
        <v>6531</v>
      </c>
      <c r="B273" s="181">
        <v>183</v>
      </c>
      <c r="C273" s="182" t="s">
        <v>182</v>
      </c>
      <c r="D273" s="182" t="s">
        <v>184</v>
      </c>
      <c r="E273" s="181">
        <v>35</v>
      </c>
      <c r="F273" s="182" t="s">
        <v>34</v>
      </c>
      <c r="G273" s="181">
        <v>3503</v>
      </c>
      <c r="H273" s="182" t="s">
        <v>49</v>
      </c>
      <c r="I273" s="181" t="s">
        <v>36</v>
      </c>
      <c r="J273" s="183">
        <v>12.82</v>
      </c>
      <c r="K273" s="182" t="s">
        <v>275</v>
      </c>
      <c r="L273" s="184">
        <v>0.1</v>
      </c>
      <c r="M273" s="182"/>
      <c r="N273" s="41"/>
      <c r="O273" s="41"/>
      <c r="P273" s="41"/>
      <c r="Q273" s="42"/>
    </row>
    <row r="274" spans="1:17" ht="20.100000000000001" customHeight="1" x14ac:dyDescent="0.25">
      <c r="A274" s="185">
        <v>6531</v>
      </c>
      <c r="B274" s="185">
        <v>183</v>
      </c>
      <c r="C274" s="186" t="s">
        <v>182</v>
      </c>
      <c r="D274" s="186" t="s">
        <v>184</v>
      </c>
      <c r="E274" s="185">
        <v>35</v>
      </c>
      <c r="F274" s="186" t="s">
        <v>57</v>
      </c>
      <c r="G274" s="185">
        <v>3595</v>
      </c>
      <c r="H274" s="186" t="s">
        <v>277</v>
      </c>
      <c r="I274" s="185" t="s">
        <v>36</v>
      </c>
      <c r="J274" s="187">
        <v>0.78</v>
      </c>
      <c r="K274" s="186" t="s">
        <v>278</v>
      </c>
      <c r="L274" s="188">
        <v>0.1</v>
      </c>
      <c r="M274" s="186"/>
      <c r="N274" s="41"/>
      <c r="O274" s="41"/>
      <c r="P274" s="41"/>
      <c r="Q274" s="42"/>
    </row>
    <row r="275" spans="1:17" ht="20.100000000000001" customHeight="1" x14ac:dyDescent="0.25">
      <c r="A275" s="185">
        <v>6531</v>
      </c>
      <c r="B275" s="185">
        <v>183</v>
      </c>
      <c r="C275" s="186" t="s">
        <v>182</v>
      </c>
      <c r="D275" s="186" t="s">
        <v>184</v>
      </c>
      <c r="E275" s="185">
        <v>35</v>
      </c>
      <c r="F275" s="186" t="s">
        <v>71</v>
      </c>
      <c r="G275" s="185">
        <v>578</v>
      </c>
      <c r="H275" s="186" t="s">
        <v>93</v>
      </c>
      <c r="I275" s="185" t="s">
        <v>73</v>
      </c>
      <c r="J275" s="187">
        <v>1000</v>
      </c>
      <c r="K275" s="186" t="s">
        <v>279</v>
      </c>
      <c r="L275" s="188">
        <v>0.02</v>
      </c>
      <c r="M275" s="186"/>
      <c r="N275" s="41"/>
      <c r="O275" s="41"/>
      <c r="P275" s="41"/>
      <c r="Q275" s="42"/>
    </row>
    <row r="276" spans="1:17" ht="20.100000000000001" customHeight="1" x14ac:dyDescent="0.25">
      <c r="A276" s="185">
        <v>6531</v>
      </c>
      <c r="B276" s="185">
        <v>183</v>
      </c>
      <c r="C276" s="186" t="s">
        <v>182</v>
      </c>
      <c r="D276" s="186" t="s">
        <v>184</v>
      </c>
      <c r="E276" s="185">
        <v>35</v>
      </c>
      <c r="F276" s="186" t="s">
        <v>95</v>
      </c>
      <c r="G276" s="185">
        <v>3988</v>
      </c>
      <c r="H276" s="186" t="s">
        <v>306</v>
      </c>
      <c r="I276" s="185" t="s">
        <v>73</v>
      </c>
      <c r="J276" s="187">
        <v>6.06</v>
      </c>
      <c r="K276" s="186" t="s">
        <v>280</v>
      </c>
      <c r="L276" s="188">
        <v>0.1</v>
      </c>
      <c r="M276" s="186"/>
      <c r="N276" s="41"/>
      <c r="O276" s="41"/>
      <c r="P276" s="41"/>
      <c r="Q276" s="42"/>
    </row>
    <row r="277" spans="1:17" ht="20.100000000000001" customHeight="1" x14ac:dyDescent="0.25">
      <c r="A277" s="185">
        <v>6531</v>
      </c>
      <c r="B277" s="185">
        <v>183</v>
      </c>
      <c r="C277" s="186" t="s">
        <v>182</v>
      </c>
      <c r="D277" s="186" t="s">
        <v>184</v>
      </c>
      <c r="E277" s="185">
        <v>35</v>
      </c>
      <c r="F277" s="186" t="s">
        <v>105</v>
      </c>
      <c r="G277" s="185">
        <v>194</v>
      </c>
      <c r="H277" s="186" t="s">
        <v>106</v>
      </c>
      <c r="I277" s="185" t="s">
        <v>36</v>
      </c>
      <c r="J277" s="187">
        <v>1.3299999999999999E-2</v>
      </c>
      <c r="K277" s="186" t="s">
        <v>281</v>
      </c>
      <c r="L277" s="188">
        <v>0.1</v>
      </c>
      <c r="M277" s="186"/>
      <c r="N277" s="41"/>
      <c r="O277" s="41"/>
      <c r="P277" s="41"/>
      <c r="Q277" s="42"/>
    </row>
    <row r="278" spans="1:17" ht="20.100000000000001" customHeight="1" x14ac:dyDescent="0.25">
      <c r="A278" s="185">
        <v>6531</v>
      </c>
      <c r="B278" s="185">
        <v>183</v>
      </c>
      <c r="C278" s="186" t="s">
        <v>182</v>
      </c>
      <c r="D278" s="186" t="s">
        <v>184</v>
      </c>
      <c r="E278" s="185">
        <v>35</v>
      </c>
      <c r="F278" s="186" t="s">
        <v>50</v>
      </c>
      <c r="G278" s="185">
        <v>4155</v>
      </c>
      <c r="H278" s="186" t="s">
        <v>56</v>
      </c>
      <c r="I278" s="185" t="s">
        <v>36</v>
      </c>
      <c r="J278" s="187">
        <v>0.16</v>
      </c>
      <c r="K278" s="186" t="s">
        <v>282</v>
      </c>
      <c r="L278" s="188">
        <v>0.1</v>
      </c>
      <c r="M278" s="186"/>
    </row>
    <row r="279" spans="1:17" ht="20.100000000000001" customHeight="1" x14ac:dyDescent="0.25">
      <c r="A279" s="185">
        <v>6531</v>
      </c>
      <c r="B279" s="185">
        <v>183</v>
      </c>
      <c r="C279" s="186" t="s">
        <v>182</v>
      </c>
      <c r="D279" s="186" t="s">
        <v>184</v>
      </c>
      <c r="E279" s="185">
        <v>35</v>
      </c>
      <c r="F279" s="186" t="s">
        <v>108</v>
      </c>
      <c r="G279" s="185">
        <v>3635</v>
      </c>
      <c r="H279" s="186" t="s">
        <v>109</v>
      </c>
      <c r="I279" s="185" t="s">
        <v>73</v>
      </c>
      <c r="J279" s="187">
        <v>0.16800000000000001</v>
      </c>
      <c r="K279" s="186" t="s">
        <v>284</v>
      </c>
      <c r="L279" s="188">
        <v>0.1</v>
      </c>
      <c r="M279" s="186"/>
    </row>
    <row r="280" spans="1:17" ht="20.100000000000001" customHeight="1" x14ac:dyDescent="0.25">
      <c r="A280" s="181">
        <v>8018</v>
      </c>
      <c r="B280" s="181">
        <v>818</v>
      </c>
      <c r="C280" s="182" t="s">
        <v>135</v>
      </c>
      <c r="D280" s="182" t="s">
        <v>136</v>
      </c>
      <c r="E280" s="181" t="s">
        <v>134</v>
      </c>
      <c r="F280" s="182" t="s">
        <v>113</v>
      </c>
      <c r="G280" s="181">
        <v>2680</v>
      </c>
      <c r="H280" s="182" t="s">
        <v>114</v>
      </c>
      <c r="I280" s="181" t="s">
        <v>36</v>
      </c>
      <c r="J280" s="183">
        <v>22</v>
      </c>
      <c r="K280" s="182" t="s">
        <v>307</v>
      </c>
      <c r="L280" s="184">
        <v>0.15</v>
      </c>
      <c r="M280" s="182" t="s">
        <v>308</v>
      </c>
    </row>
    <row r="281" spans="1:17" ht="20.100000000000001" customHeight="1" x14ac:dyDescent="0.25">
      <c r="A281" s="185">
        <v>8018</v>
      </c>
      <c r="B281" s="185">
        <v>818</v>
      </c>
      <c r="C281" s="186" t="s">
        <v>135</v>
      </c>
      <c r="D281" s="186" t="s">
        <v>136</v>
      </c>
      <c r="E281" s="185" t="s">
        <v>134</v>
      </c>
      <c r="F281" s="186" t="s">
        <v>309</v>
      </c>
      <c r="G281" s="185">
        <v>5977</v>
      </c>
      <c r="H281" s="186" t="s">
        <v>104</v>
      </c>
      <c r="I281" s="185" t="s">
        <v>73</v>
      </c>
      <c r="J281" s="187">
        <v>0.625</v>
      </c>
      <c r="K281" s="186" t="s">
        <v>310</v>
      </c>
      <c r="L281" s="188">
        <v>0.15</v>
      </c>
      <c r="M281" s="186"/>
    </row>
    <row r="282" spans="1:17" ht="20.100000000000001" customHeight="1" x14ac:dyDescent="0.25">
      <c r="A282" s="185">
        <v>8018</v>
      </c>
      <c r="B282" s="185">
        <v>818</v>
      </c>
      <c r="C282" s="186" t="s">
        <v>135</v>
      </c>
      <c r="D282" s="186" t="s">
        <v>136</v>
      </c>
      <c r="E282" s="185" t="s">
        <v>134</v>
      </c>
      <c r="F282" s="186" t="s">
        <v>128</v>
      </c>
      <c r="G282" s="185">
        <v>2267</v>
      </c>
      <c r="H282" s="186" t="s">
        <v>129</v>
      </c>
      <c r="I282" s="185" t="s">
        <v>73</v>
      </c>
      <c r="J282" s="187">
        <v>5</v>
      </c>
      <c r="K282" s="186" t="s">
        <v>150</v>
      </c>
      <c r="L282" s="188">
        <v>0.15</v>
      </c>
      <c r="M282" s="186"/>
      <c r="N282" s="41"/>
      <c r="O282" s="41"/>
      <c r="P282" s="41"/>
      <c r="Q282" s="42"/>
    </row>
    <row r="283" spans="1:17" ht="20.100000000000001" customHeight="1" x14ac:dyDescent="0.25">
      <c r="A283" s="185">
        <v>8018</v>
      </c>
      <c r="B283" s="185">
        <v>818</v>
      </c>
      <c r="C283" s="186" t="s">
        <v>135</v>
      </c>
      <c r="D283" s="186" t="s">
        <v>136</v>
      </c>
      <c r="E283" s="185" t="s">
        <v>134</v>
      </c>
      <c r="F283" s="186" t="s">
        <v>108</v>
      </c>
      <c r="G283" s="185">
        <v>3635</v>
      </c>
      <c r="H283" s="186" t="s">
        <v>109</v>
      </c>
      <c r="I283" s="185" t="s">
        <v>73</v>
      </c>
      <c r="J283" s="187">
        <v>1.6E-2</v>
      </c>
      <c r="K283" s="186" t="s">
        <v>284</v>
      </c>
      <c r="L283" s="188">
        <v>0.15</v>
      </c>
      <c r="M283" s="186"/>
      <c r="N283" s="41"/>
      <c r="O283" s="41"/>
      <c r="P283" s="41"/>
      <c r="Q283" s="42"/>
    </row>
    <row r="284" spans="1:17" ht="20.100000000000001" customHeight="1" x14ac:dyDescent="0.25">
      <c r="A284" s="185">
        <v>8018</v>
      </c>
      <c r="B284" s="185">
        <v>818</v>
      </c>
      <c r="C284" s="186" t="s">
        <v>135</v>
      </c>
      <c r="D284" s="186" t="s">
        <v>136</v>
      </c>
      <c r="E284" s="185" t="s">
        <v>134</v>
      </c>
      <c r="F284" s="186" t="s">
        <v>131</v>
      </c>
      <c r="G284" s="185">
        <v>3043</v>
      </c>
      <c r="H284" s="186" t="s">
        <v>131</v>
      </c>
      <c r="I284" s="185" t="s">
        <v>132</v>
      </c>
      <c r="J284" s="187">
        <v>5.0000000000000001E-3</v>
      </c>
      <c r="K284" s="186" t="s">
        <v>311</v>
      </c>
      <c r="L284" s="188">
        <v>0.15</v>
      </c>
      <c r="M284" s="186"/>
      <c r="N284" s="41"/>
      <c r="O284" s="41"/>
      <c r="P284" s="41"/>
      <c r="Q284" s="42"/>
    </row>
    <row r="285" spans="1:17" ht="20.100000000000001" customHeight="1" x14ac:dyDescent="0.25">
      <c r="A285" s="181">
        <v>8011</v>
      </c>
      <c r="B285" s="181">
        <v>811</v>
      </c>
      <c r="C285" s="182" t="s">
        <v>13</v>
      </c>
      <c r="D285" s="182" t="s">
        <v>230</v>
      </c>
      <c r="E285" s="181" t="s">
        <v>187</v>
      </c>
      <c r="F285" s="182" t="s">
        <v>113</v>
      </c>
      <c r="G285" s="181">
        <v>2680</v>
      </c>
      <c r="H285" s="182" t="s">
        <v>114</v>
      </c>
      <c r="I285" s="181" t="s">
        <v>36</v>
      </c>
      <c r="J285" s="183">
        <v>17.46</v>
      </c>
      <c r="K285" s="182" t="s">
        <v>307</v>
      </c>
      <c r="L285" s="184">
        <v>0.15</v>
      </c>
      <c r="M285" s="182"/>
      <c r="N285" s="41"/>
      <c r="O285" s="41"/>
      <c r="P285" s="41"/>
      <c r="Q285" s="42"/>
    </row>
    <row r="286" spans="1:17" ht="20.100000000000001" customHeight="1" x14ac:dyDescent="0.25">
      <c r="A286" s="185">
        <v>8011</v>
      </c>
      <c r="B286" s="185">
        <v>811</v>
      </c>
      <c r="C286" s="186" t="s">
        <v>13</v>
      </c>
      <c r="D286" s="186" t="s">
        <v>230</v>
      </c>
      <c r="E286" s="185" t="s">
        <v>187</v>
      </c>
      <c r="F286" s="186" t="s">
        <v>115</v>
      </c>
      <c r="G286" s="185">
        <v>7412</v>
      </c>
      <c r="H286" s="186" t="s">
        <v>123</v>
      </c>
      <c r="I286" s="185" t="s">
        <v>36</v>
      </c>
      <c r="J286" s="187">
        <v>0.54</v>
      </c>
      <c r="K286" s="186" t="s">
        <v>312</v>
      </c>
      <c r="L286" s="188">
        <v>0.15</v>
      </c>
      <c r="M286" s="186"/>
      <c r="N286" s="41"/>
      <c r="O286" s="41"/>
      <c r="P286" s="41"/>
      <c r="Q286" s="42"/>
    </row>
    <row r="287" spans="1:17" ht="20.100000000000001" customHeight="1" x14ac:dyDescent="0.25">
      <c r="A287" s="185">
        <v>8011</v>
      </c>
      <c r="B287" s="185">
        <v>811</v>
      </c>
      <c r="C287" s="186" t="s">
        <v>13</v>
      </c>
      <c r="D287" s="186" t="s">
        <v>230</v>
      </c>
      <c r="E287" s="185" t="s">
        <v>187</v>
      </c>
      <c r="F287" s="186" t="s">
        <v>128</v>
      </c>
      <c r="G287" s="185">
        <v>2267</v>
      </c>
      <c r="H287" s="186" t="s">
        <v>129</v>
      </c>
      <c r="I287" s="185" t="s">
        <v>73</v>
      </c>
      <c r="J287" s="187">
        <v>8.3330000000000002</v>
      </c>
      <c r="K287" s="186" t="s">
        <v>150</v>
      </c>
      <c r="L287" s="188">
        <v>0.15</v>
      </c>
      <c r="M287" s="186"/>
      <c r="N287" s="41"/>
      <c r="O287" s="41"/>
      <c r="P287" s="41"/>
      <c r="Q287" s="42"/>
    </row>
    <row r="288" spans="1:17" ht="20.100000000000001" customHeight="1" x14ac:dyDescent="0.25">
      <c r="A288" s="185">
        <v>8011</v>
      </c>
      <c r="B288" s="185">
        <v>811</v>
      </c>
      <c r="C288" s="186" t="s">
        <v>13</v>
      </c>
      <c r="D288" s="186" t="s">
        <v>230</v>
      </c>
      <c r="E288" s="185" t="s">
        <v>187</v>
      </c>
      <c r="F288" s="186" t="s">
        <v>131</v>
      </c>
      <c r="G288" s="185">
        <v>3043</v>
      </c>
      <c r="H288" s="186" t="s">
        <v>131</v>
      </c>
      <c r="I288" s="185" t="s">
        <v>132</v>
      </c>
      <c r="J288" s="187">
        <v>5.0000000000000001E-3</v>
      </c>
      <c r="K288" s="186" t="s">
        <v>311</v>
      </c>
      <c r="L288" s="188">
        <v>0.15</v>
      </c>
      <c r="M288" s="186"/>
      <c r="N288" s="41"/>
      <c r="O288" s="41"/>
      <c r="P288" s="41"/>
      <c r="Q288" s="42"/>
    </row>
    <row r="289" spans="1:17" ht="20.100000000000001" customHeight="1" x14ac:dyDescent="0.25">
      <c r="A289" s="181">
        <v>8005</v>
      </c>
      <c r="B289" s="181">
        <v>805</v>
      </c>
      <c r="C289" s="182" t="s">
        <v>13</v>
      </c>
      <c r="D289" s="182" t="s">
        <v>186</v>
      </c>
      <c r="E289" s="181" t="s">
        <v>187</v>
      </c>
      <c r="F289" s="182" t="s">
        <v>113</v>
      </c>
      <c r="G289" s="181">
        <v>2680</v>
      </c>
      <c r="H289" s="182" t="s">
        <v>114</v>
      </c>
      <c r="I289" s="181" t="s">
        <v>36</v>
      </c>
      <c r="J289" s="183">
        <v>17.100000000000001</v>
      </c>
      <c r="K289" s="182" t="s">
        <v>307</v>
      </c>
      <c r="L289" s="184">
        <v>0.15</v>
      </c>
      <c r="M289" s="182"/>
      <c r="N289" s="41"/>
      <c r="O289" s="41"/>
      <c r="P289" s="41"/>
      <c r="Q289" s="42"/>
    </row>
    <row r="290" spans="1:17" ht="20.100000000000001" customHeight="1" x14ac:dyDescent="0.25">
      <c r="A290" s="185">
        <v>8005</v>
      </c>
      <c r="B290" s="185">
        <v>805</v>
      </c>
      <c r="C290" s="186" t="s">
        <v>13</v>
      </c>
      <c r="D290" s="186" t="s">
        <v>186</v>
      </c>
      <c r="E290" s="185" t="s">
        <v>187</v>
      </c>
      <c r="F290" s="186" t="s">
        <v>115</v>
      </c>
      <c r="G290" s="185">
        <v>4002</v>
      </c>
      <c r="H290" s="186" t="s">
        <v>117</v>
      </c>
      <c r="I290" s="185" t="s">
        <v>36</v>
      </c>
      <c r="J290" s="187">
        <v>0.9</v>
      </c>
      <c r="K290" s="186" t="s">
        <v>312</v>
      </c>
      <c r="L290" s="188">
        <v>0.15</v>
      </c>
      <c r="M290" s="186"/>
      <c r="N290" s="41"/>
      <c r="O290" s="41"/>
      <c r="P290" s="41"/>
      <c r="Q290" s="42"/>
    </row>
    <row r="291" spans="1:17" ht="20.100000000000001" customHeight="1" x14ac:dyDescent="0.25">
      <c r="A291" s="185">
        <v>8005</v>
      </c>
      <c r="B291" s="185">
        <v>805</v>
      </c>
      <c r="C291" s="186" t="s">
        <v>13</v>
      </c>
      <c r="D291" s="186" t="s">
        <v>186</v>
      </c>
      <c r="E291" s="185" t="s">
        <v>187</v>
      </c>
      <c r="F291" s="186" t="s">
        <v>128</v>
      </c>
      <c r="G291" s="185">
        <v>2267</v>
      </c>
      <c r="H291" s="186" t="s">
        <v>129</v>
      </c>
      <c r="I291" s="185" t="s">
        <v>73</v>
      </c>
      <c r="J291" s="187">
        <v>8.3330000000000002</v>
      </c>
      <c r="K291" s="186" t="s">
        <v>150</v>
      </c>
      <c r="L291" s="188">
        <v>0.15</v>
      </c>
      <c r="M291" s="186"/>
      <c r="N291" s="41"/>
      <c r="O291" s="41"/>
      <c r="P291" s="41"/>
      <c r="Q291" s="42"/>
    </row>
    <row r="292" spans="1:17" ht="20.100000000000001" customHeight="1" x14ac:dyDescent="0.25">
      <c r="A292" s="185">
        <v>8005</v>
      </c>
      <c r="B292" s="185">
        <v>805</v>
      </c>
      <c r="C292" s="186" t="s">
        <v>13</v>
      </c>
      <c r="D292" s="186" t="s">
        <v>186</v>
      </c>
      <c r="E292" s="185" t="s">
        <v>187</v>
      </c>
      <c r="F292" s="186" t="s">
        <v>131</v>
      </c>
      <c r="G292" s="185">
        <v>3043</v>
      </c>
      <c r="H292" s="186" t="s">
        <v>131</v>
      </c>
      <c r="I292" s="185" t="s">
        <v>132</v>
      </c>
      <c r="J292" s="187">
        <v>5.0000000000000001E-3</v>
      </c>
      <c r="K292" s="186" t="s">
        <v>311</v>
      </c>
      <c r="L292" s="188">
        <v>0.15</v>
      </c>
      <c r="M292" s="186"/>
      <c r="N292" s="41"/>
      <c r="O292" s="41"/>
      <c r="P292" s="41"/>
      <c r="Q292" s="42"/>
    </row>
    <row r="293" spans="1:17" ht="20.100000000000001" customHeight="1" x14ac:dyDescent="0.25">
      <c r="A293" s="181">
        <v>8012</v>
      </c>
      <c r="B293" s="181">
        <v>812</v>
      </c>
      <c r="C293" s="182" t="s">
        <v>13</v>
      </c>
      <c r="D293" s="182" t="s">
        <v>231</v>
      </c>
      <c r="E293" s="181" t="s">
        <v>187</v>
      </c>
      <c r="F293" s="182" t="s">
        <v>113</v>
      </c>
      <c r="G293" s="181">
        <v>2680</v>
      </c>
      <c r="H293" s="182" t="s">
        <v>114</v>
      </c>
      <c r="I293" s="181" t="s">
        <v>36</v>
      </c>
      <c r="J293" s="183">
        <v>17.100000000000001</v>
      </c>
      <c r="K293" s="182" t="s">
        <v>307</v>
      </c>
      <c r="L293" s="184">
        <v>0.15</v>
      </c>
      <c r="M293" s="182"/>
      <c r="N293" s="41"/>
      <c r="O293" s="41"/>
      <c r="P293" s="41"/>
      <c r="Q293" s="42"/>
    </row>
    <row r="294" spans="1:17" ht="20.100000000000001" customHeight="1" x14ac:dyDescent="0.25">
      <c r="A294" s="185">
        <v>8012</v>
      </c>
      <c r="B294" s="185">
        <v>812</v>
      </c>
      <c r="C294" s="186" t="s">
        <v>13</v>
      </c>
      <c r="D294" s="186" t="s">
        <v>231</v>
      </c>
      <c r="E294" s="185" t="s">
        <v>187</v>
      </c>
      <c r="F294" s="186" t="s">
        <v>115</v>
      </c>
      <c r="G294" s="185">
        <v>5816</v>
      </c>
      <c r="H294" s="186" t="s">
        <v>120</v>
      </c>
      <c r="I294" s="185" t="s">
        <v>36</v>
      </c>
      <c r="J294" s="187">
        <v>0.9</v>
      </c>
      <c r="K294" s="186" t="s">
        <v>312</v>
      </c>
      <c r="L294" s="188">
        <v>0.15</v>
      </c>
      <c r="M294" s="186"/>
    </row>
    <row r="295" spans="1:17" ht="20.100000000000001" customHeight="1" x14ac:dyDescent="0.25">
      <c r="A295" s="185">
        <v>8012</v>
      </c>
      <c r="B295" s="185">
        <v>812</v>
      </c>
      <c r="C295" s="186" t="s">
        <v>13</v>
      </c>
      <c r="D295" s="186" t="s">
        <v>231</v>
      </c>
      <c r="E295" s="185" t="s">
        <v>187</v>
      </c>
      <c r="F295" s="186" t="s">
        <v>128</v>
      </c>
      <c r="G295" s="185">
        <v>2267</v>
      </c>
      <c r="H295" s="186" t="s">
        <v>129</v>
      </c>
      <c r="I295" s="185" t="s">
        <v>73</v>
      </c>
      <c r="J295" s="187">
        <v>8.3330000000000002</v>
      </c>
      <c r="K295" s="186" t="s">
        <v>150</v>
      </c>
      <c r="L295" s="188">
        <v>0.15</v>
      </c>
      <c r="M295" s="186"/>
    </row>
    <row r="296" spans="1:17" ht="20.100000000000001" customHeight="1" x14ac:dyDescent="0.25">
      <c r="A296" s="185">
        <v>8012</v>
      </c>
      <c r="B296" s="185">
        <v>812</v>
      </c>
      <c r="C296" s="186" t="s">
        <v>13</v>
      </c>
      <c r="D296" s="186" t="s">
        <v>231</v>
      </c>
      <c r="E296" s="185" t="s">
        <v>187</v>
      </c>
      <c r="F296" s="186" t="s">
        <v>131</v>
      </c>
      <c r="G296" s="185">
        <v>3043</v>
      </c>
      <c r="H296" s="186" t="s">
        <v>131</v>
      </c>
      <c r="I296" s="185" t="s">
        <v>132</v>
      </c>
      <c r="J296" s="187">
        <v>5.0000000000000001E-3</v>
      </c>
      <c r="K296" s="186" t="s">
        <v>311</v>
      </c>
      <c r="L296" s="188">
        <v>0.15</v>
      </c>
      <c r="M296" s="186"/>
      <c r="N296" s="41"/>
      <c r="O296" s="41"/>
      <c r="P296" s="41"/>
      <c r="Q296" s="42"/>
    </row>
    <row r="297" spans="1:17" ht="20.100000000000001" customHeight="1" x14ac:dyDescent="0.25">
      <c r="A297" s="181">
        <v>8015</v>
      </c>
      <c r="B297" s="181"/>
      <c r="C297" s="182" t="s">
        <v>11</v>
      </c>
      <c r="D297" s="182" t="s">
        <v>139</v>
      </c>
      <c r="E297" s="181" t="s">
        <v>138</v>
      </c>
      <c r="F297" s="182" t="s">
        <v>113</v>
      </c>
      <c r="G297" s="181">
        <v>2680</v>
      </c>
      <c r="H297" s="182" t="s">
        <v>114</v>
      </c>
      <c r="I297" s="181" t="s">
        <v>36</v>
      </c>
      <c r="J297" s="183">
        <v>17.100000000000001</v>
      </c>
      <c r="K297" s="182" t="s">
        <v>307</v>
      </c>
      <c r="L297" s="184">
        <v>0.15</v>
      </c>
      <c r="M297" s="182"/>
      <c r="N297" s="41"/>
      <c r="O297" s="41"/>
      <c r="P297" s="41"/>
      <c r="Q297" s="42"/>
    </row>
    <row r="298" spans="1:17" ht="20.100000000000001" customHeight="1" x14ac:dyDescent="0.25">
      <c r="A298" s="185">
        <v>8015</v>
      </c>
      <c r="B298" s="185"/>
      <c r="C298" s="186" t="s">
        <v>11</v>
      </c>
      <c r="D298" s="186" t="s">
        <v>139</v>
      </c>
      <c r="E298" s="185" t="s">
        <v>138</v>
      </c>
      <c r="F298" s="186" t="s">
        <v>115</v>
      </c>
      <c r="G298" s="185">
        <v>5816</v>
      </c>
      <c r="H298" s="186" t="s">
        <v>120</v>
      </c>
      <c r="I298" s="185" t="s">
        <v>36</v>
      </c>
      <c r="J298" s="187">
        <v>0.9</v>
      </c>
      <c r="K298" s="186" t="s">
        <v>313</v>
      </c>
      <c r="L298" s="188">
        <v>0.15</v>
      </c>
      <c r="M298" s="186"/>
      <c r="N298" s="41"/>
      <c r="O298" s="41"/>
      <c r="P298" s="41"/>
      <c r="Q298" s="42"/>
    </row>
    <row r="299" spans="1:17" ht="20.100000000000001" customHeight="1" x14ac:dyDescent="0.25">
      <c r="A299" s="185">
        <v>8015</v>
      </c>
      <c r="B299" s="185"/>
      <c r="C299" s="186" t="s">
        <v>11</v>
      </c>
      <c r="D299" s="186" t="s">
        <v>139</v>
      </c>
      <c r="E299" s="185" t="s">
        <v>138</v>
      </c>
      <c r="F299" s="186" t="s">
        <v>309</v>
      </c>
      <c r="G299" s="185">
        <v>5977</v>
      </c>
      <c r="H299" s="186" t="s">
        <v>104</v>
      </c>
      <c r="I299" s="185" t="s">
        <v>73</v>
      </c>
      <c r="J299" s="187">
        <v>1.667</v>
      </c>
      <c r="K299" s="186" t="s">
        <v>310</v>
      </c>
      <c r="L299" s="188">
        <v>0.15</v>
      </c>
      <c r="M299" s="186"/>
      <c r="N299" s="41"/>
      <c r="O299" s="41"/>
      <c r="P299" s="41"/>
      <c r="Q299" s="42"/>
    </row>
    <row r="300" spans="1:17" ht="20.100000000000001" customHeight="1" x14ac:dyDescent="0.25">
      <c r="A300" s="185">
        <v>8015</v>
      </c>
      <c r="B300" s="185"/>
      <c r="C300" s="186" t="s">
        <v>11</v>
      </c>
      <c r="D300" s="186" t="s">
        <v>139</v>
      </c>
      <c r="E300" s="185" t="s">
        <v>138</v>
      </c>
      <c r="F300" s="186" t="s">
        <v>128</v>
      </c>
      <c r="G300" s="185">
        <v>2267</v>
      </c>
      <c r="H300" s="186" t="s">
        <v>129</v>
      </c>
      <c r="I300" s="185" t="s">
        <v>73</v>
      </c>
      <c r="J300" s="187">
        <v>10</v>
      </c>
      <c r="K300" s="186" t="s">
        <v>150</v>
      </c>
      <c r="L300" s="188">
        <v>0.15</v>
      </c>
      <c r="M300" s="186"/>
      <c r="N300" s="41"/>
      <c r="O300" s="41"/>
      <c r="P300" s="41"/>
      <c r="Q300" s="42"/>
    </row>
    <row r="301" spans="1:17" ht="20.100000000000001" customHeight="1" x14ac:dyDescent="0.25">
      <c r="A301" s="185">
        <v>8015</v>
      </c>
      <c r="B301" s="185"/>
      <c r="C301" s="186" t="s">
        <v>11</v>
      </c>
      <c r="D301" s="186" t="s">
        <v>139</v>
      </c>
      <c r="E301" s="185" t="s">
        <v>138</v>
      </c>
      <c r="F301" s="186" t="s">
        <v>108</v>
      </c>
      <c r="G301" s="185">
        <v>3635</v>
      </c>
      <c r="H301" s="186" t="s">
        <v>109</v>
      </c>
      <c r="I301" s="185" t="s">
        <v>73</v>
      </c>
      <c r="J301" s="187">
        <v>4.2000000000000003E-2</v>
      </c>
      <c r="K301" s="186" t="s">
        <v>284</v>
      </c>
      <c r="L301" s="188">
        <v>0.15</v>
      </c>
      <c r="M301" s="186"/>
      <c r="N301" s="41"/>
      <c r="O301" s="41"/>
      <c r="P301" s="41"/>
      <c r="Q301" s="42"/>
    </row>
    <row r="302" spans="1:17" ht="20.100000000000001" customHeight="1" x14ac:dyDescent="0.25">
      <c r="A302" s="185">
        <v>8015</v>
      </c>
      <c r="B302" s="185"/>
      <c r="C302" s="186" t="s">
        <v>11</v>
      </c>
      <c r="D302" s="186" t="s">
        <v>139</v>
      </c>
      <c r="E302" s="185" t="s">
        <v>138</v>
      </c>
      <c r="F302" s="186" t="s">
        <v>131</v>
      </c>
      <c r="G302" s="185">
        <v>3043</v>
      </c>
      <c r="H302" s="186" t="s">
        <v>131</v>
      </c>
      <c r="I302" s="185" t="s">
        <v>132</v>
      </c>
      <c r="J302" s="187">
        <v>5.0000000000000001E-3</v>
      </c>
      <c r="K302" s="186" t="s">
        <v>311</v>
      </c>
      <c r="L302" s="188">
        <v>0.15</v>
      </c>
      <c r="M302" s="186"/>
      <c r="N302" s="41"/>
      <c r="O302" s="41"/>
      <c r="P302" s="41"/>
      <c r="Q302" s="42"/>
    </row>
    <row r="303" spans="1:17" ht="20.100000000000001" customHeight="1" x14ac:dyDescent="0.25">
      <c r="A303" s="181">
        <v>8010</v>
      </c>
      <c r="B303" s="181">
        <v>810</v>
      </c>
      <c r="C303" s="182" t="s">
        <v>11</v>
      </c>
      <c r="D303" s="182" t="s">
        <v>140</v>
      </c>
      <c r="E303" s="181" t="s">
        <v>138</v>
      </c>
      <c r="F303" s="182" t="s">
        <v>113</v>
      </c>
      <c r="G303" s="181">
        <v>2680</v>
      </c>
      <c r="H303" s="182" t="s">
        <v>114</v>
      </c>
      <c r="I303" s="181" t="s">
        <v>36</v>
      </c>
      <c r="J303" s="183">
        <v>18</v>
      </c>
      <c r="K303" s="182" t="s">
        <v>307</v>
      </c>
      <c r="L303" s="184">
        <v>0.15</v>
      </c>
      <c r="M303" s="182"/>
      <c r="N303" s="41"/>
      <c r="O303" s="41"/>
      <c r="P303" s="41"/>
      <c r="Q303" s="42"/>
    </row>
    <row r="304" spans="1:17" ht="20.100000000000001" customHeight="1" x14ac:dyDescent="0.25">
      <c r="A304" s="185">
        <v>8010</v>
      </c>
      <c r="B304" s="185">
        <v>810</v>
      </c>
      <c r="C304" s="186" t="s">
        <v>11</v>
      </c>
      <c r="D304" s="186" t="s">
        <v>140</v>
      </c>
      <c r="E304" s="185" t="s">
        <v>138</v>
      </c>
      <c r="F304" s="186" t="s">
        <v>309</v>
      </c>
      <c r="G304" s="185">
        <v>5977</v>
      </c>
      <c r="H304" s="186" t="s">
        <v>104</v>
      </c>
      <c r="I304" s="185" t="s">
        <v>73</v>
      </c>
      <c r="J304" s="187">
        <v>1.667</v>
      </c>
      <c r="K304" s="186" t="s">
        <v>310</v>
      </c>
      <c r="L304" s="188">
        <v>0.15</v>
      </c>
      <c r="M304" s="186"/>
      <c r="N304" s="41"/>
      <c r="O304" s="41"/>
      <c r="P304" s="41"/>
      <c r="Q304" s="42"/>
    </row>
    <row r="305" spans="1:17" ht="20.100000000000001" customHeight="1" x14ac:dyDescent="0.25">
      <c r="A305" s="185">
        <v>8010</v>
      </c>
      <c r="B305" s="185">
        <v>810</v>
      </c>
      <c r="C305" s="186" t="s">
        <v>11</v>
      </c>
      <c r="D305" s="186" t="s">
        <v>140</v>
      </c>
      <c r="E305" s="185" t="s">
        <v>138</v>
      </c>
      <c r="F305" s="186" t="s">
        <v>128</v>
      </c>
      <c r="G305" s="185">
        <v>2267</v>
      </c>
      <c r="H305" s="186" t="s">
        <v>129</v>
      </c>
      <c r="I305" s="185" t="s">
        <v>73</v>
      </c>
      <c r="J305" s="187">
        <v>10</v>
      </c>
      <c r="K305" s="186" t="s">
        <v>150</v>
      </c>
      <c r="L305" s="188">
        <v>0.15</v>
      </c>
      <c r="M305" s="186"/>
      <c r="N305" s="41"/>
      <c r="O305" s="41"/>
      <c r="P305" s="41"/>
      <c r="Q305" s="42"/>
    </row>
    <row r="306" spans="1:17" ht="20.100000000000001" customHeight="1" x14ac:dyDescent="0.25">
      <c r="A306" s="185">
        <v>8010</v>
      </c>
      <c r="B306" s="185">
        <v>810</v>
      </c>
      <c r="C306" s="186" t="s">
        <v>11</v>
      </c>
      <c r="D306" s="186" t="s">
        <v>140</v>
      </c>
      <c r="E306" s="185" t="s">
        <v>138</v>
      </c>
      <c r="F306" s="186" t="s">
        <v>108</v>
      </c>
      <c r="G306" s="185">
        <v>3635</v>
      </c>
      <c r="H306" s="186" t="s">
        <v>109</v>
      </c>
      <c r="I306" s="185" t="s">
        <v>73</v>
      </c>
      <c r="J306" s="187">
        <v>4.2000000000000003E-2</v>
      </c>
      <c r="K306" s="186" t="s">
        <v>284</v>
      </c>
      <c r="L306" s="188">
        <v>0.15</v>
      </c>
      <c r="M306" s="186"/>
      <c r="N306" s="41"/>
      <c r="O306" s="41"/>
      <c r="P306" s="41"/>
      <c r="Q306" s="42"/>
    </row>
    <row r="307" spans="1:17" ht="20.100000000000001" customHeight="1" x14ac:dyDescent="0.25">
      <c r="A307" s="185">
        <v>8010</v>
      </c>
      <c r="B307" s="185">
        <v>810</v>
      </c>
      <c r="C307" s="186" t="s">
        <v>11</v>
      </c>
      <c r="D307" s="186" t="s">
        <v>140</v>
      </c>
      <c r="E307" s="185" t="s">
        <v>138</v>
      </c>
      <c r="F307" s="186" t="s">
        <v>131</v>
      </c>
      <c r="G307" s="185">
        <v>3043</v>
      </c>
      <c r="H307" s="186" t="s">
        <v>131</v>
      </c>
      <c r="I307" s="185" t="s">
        <v>132</v>
      </c>
      <c r="J307" s="187">
        <v>5.0000000000000001E-3</v>
      </c>
      <c r="K307" s="186" t="s">
        <v>311</v>
      </c>
      <c r="L307" s="188">
        <v>0.15</v>
      </c>
      <c r="M307" s="186"/>
      <c r="N307" s="41"/>
      <c r="O307" s="41"/>
      <c r="P307" s="41"/>
      <c r="Q307" s="42"/>
    </row>
    <row r="308" spans="1:17" ht="20.100000000000001" customHeight="1" x14ac:dyDescent="0.25">
      <c r="A308" s="181">
        <v>8001</v>
      </c>
      <c r="B308" s="181">
        <v>800</v>
      </c>
      <c r="C308" s="182" t="s">
        <v>135</v>
      </c>
      <c r="D308" s="182" t="s">
        <v>188</v>
      </c>
      <c r="E308" s="181" t="s">
        <v>143</v>
      </c>
      <c r="F308" s="182" t="s">
        <v>113</v>
      </c>
      <c r="G308" s="181">
        <v>2680</v>
      </c>
      <c r="H308" s="182" t="s">
        <v>114</v>
      </c>
      <c r="I308" s="181" t="s">
        <v>36</v>
      </c>
      <c r="J308" s="183">
        <v>22</v>
      </c>
      <c r="K308" s="182" t="s">
        <v>307</v>
      </c>
      <c r="L308" s="184">
        <v>0.15</v>
      </c>
      <c r="M308" s="182"/>
      <c r="N308" s="41"/>
      <c r="O308" s="41"/>
      <c r="P308" s="41"/>
      <c r="Q308" s="42"/>
    </row>
    <row r="309" spans="1:17" ht="20.100000000000001" customHeight="1" x14ac:dyDescent="0.25">
      <c r="A309" s="185">
        <v>8001</v>
      </c>
      <c r="B309" s="185">
        <v>800</v>
      </c>
      <c r="C309" s="186" t="s">
        <v>135</v>
      </c>
      <c r="D309" s="186" t="s">
        <v>188</v>
      </c>
      <c r="E309" s="185" t="s">
        <v>143</v>
      </c>
      <c r="F309" s="186" t="s">
        <v>309</v>
      </c>
      <c r="G309" s="185">
        <v>5977</v>
      </c>
      <c r="H309" s="186" t="s">
        <v>104</v>
      </c>
      <c r="I309" s="185" t="s">
        <v>73</v>
      </c>
      <c r="J309" s="187">
        <v>1.087</v>
      </c>
      <c r="K309" s="186" t="s">
        <v>310</v>
      </c>
      <c r="L309" s="188">
        <v>0.15</v>
      </c>
      <c r="M309" s="186"/>
      <c r="N309" s="41"/>
      <c r="O309" s="41"/>
      <c r="P309" s="41"/>
      <c r="Q309" s="42"/>
    </row>
    <row r="310" spans="1:17" ht="20.100000000000001" customHeight="1" x14ac:dyDescent="0.25">
      <c r="A310" s="185">
        <v>8001</v>
      </c>
      <c r="B310" s="185">
        <v>800</v>
      </c>
      <c r="C310" s="186" t="s">
        <v>135</v>
      </c>
      <c r="D310" s="186" t="s">
        <v>188</v>
      </c>
      <c r="E310" s="185" t="s">
        <v>143</v>
      </c>
      <c r="F310" s="186" t="s">
        <v>128</v>
      </c>
      <c r="G310" s="185">
        <v>2267</v>
      </c>
      <c r="H310" s="186" t="s">
        <v>129</v>
      </c>
      <c r="I310" s="185" t="s">
        <v>73</v>
      </c>
      <c r="J310" s="187">
        <v>8.6959999999999997</v>
      </c>
      <c r="K310" s="186" t="s">
        <v>150</v>
      </c>
      <c r="L310" s="188">
        <v>0.15</v>
      </c>
      <c r="M310" s="186"/>
      <c r="N310" s="41"/>
      <c r="O310" s="41"/>
      <c r="P310" s="41"/>
      <c r="Q310" s="42"/>
    </row>
    <row r="311" spans="1:17" ht="20.100000000000001" customHeight="1" x14ac:dyDescent="0.25">
      <c r="A311" s="185">
        <v>8001</v>
      </c>
      <c r="B311" s="185">
        <v>800</v>
      </c>
      <c r="C311" s="186" t="s">
        <v>135</v>
      </c>
      <c r="D311" s="186" t="s">
        <v>188</v>
      </c>
      <c r="E311" s="185" t="s">
        <v>143</v>
      </c>
      <c r="F311" s="186" t="s">
        <v>108</v>
      </c>
      <c r="G311" s="185">
        <v>3635</v>
      </c>
      <c r="H311" s="186" t="s">
        <v>109</v>
      </c>
      <c r="I311" s="185" t="s">
        <v>73</v>
      </c>
      <c r="J311" s="187">
        <v>2.7E-2</v>
      </c>
      <c r="K311" s="186" t="s">
        <v>284</v>
      </c>
      <c r="L311" s="188">
        <v>0.15</v>
      </c>
      <c r="M311" s="186"/>
      <c r="N311" s="41"/>
      <c r="O311" s="41"/>
      <c r="P311" s="41"/>
      <c r="Q311" s="42"/>
    </row>
    <row r="312" spans="1:17" ht="20.100000000000001" customHeight="1" x14ac:dyDescent="0.25">
      <c r="A312" s="185">
        <v>8001</v>
      </c>
      <c r="B312" s="185">
        <v>800</v>
      </c>
      <c r="C312" s="186" t="s">
        <v>135</v>
      </c>
      <c r="D312" s="186" t="s">
        <v>188</v>
      </c>
      <c r="E312" s="185" t="s">
        <v>143</v>
      </c>
      <c r="F312" s="186" t="s">
        <v>131</v>
      </c>
      <c r="G312" s="185">
        <v>3043</v>
      </c>
      <c r="H312" s="186" t="s">
        <v>131</v>
      </c>
      <c r="I312" s="185" t="s">
        <v>132</v>
      </c>
      <c r="J312" s="187">
        <v>5.0000000000000001E-3</v>
      </c>
      <c r="K312" s="186" t="s">
        <v>311</v>
      </c>
      <c r="L312" s="188">
        <v>0.15</v>
      </c>
      <c r="M312" s="186"/>
      <c r="N312" s="41"/>
      <c r="O312" s="41"/>
      <c r="P312" s="41"/>
      <c r="Q312" s="42"/>
    </row>
    <row r="313" spans="1:17" ht="20.100000000000001" customHeight="1" x14ac:dyDescent="0.25">
      <c r="A313" s="181">
        <v>8017</v>
      </c>
      <c r="B313" s="181">
        <v>817</v>
      </c>
      <c r="C313" s="182" t="s">
        <v>232</v>
      </c>
      <c r="D313" s="182" t="s">
        <v>144</v>
      </c>
      <c r="E313" s="181" t="s">
        <v>143</v>
      </c>
      <c r="F313" s="182" t="s">
        <v>113</v>
      </c>
      <c r="G313" s="181">
        <v>2680</v>
      </c>
      <c r="H313" s="182" t="s">
        <v>114</v>
      </c>
      <c r="I313" s="181" t="s">
        <v>36</v>
      </c>
      <c r="J313" s="183">
        <v>22</v>
      </c>
      <c r="K313" s="182" t="s">
        <v>307</v>
      </c>
      <c r="L313" s="184">
        <v>0.15</v>
      </c>
      <c r="M313" s="182"/>
      <c r="N313" s="41"/>
      <c r="O313" s="41"/>
      <c r="P313" s="41"/>
      <c r="Q313" s="42"/>
    </row>
    <row r="314" spans="1:17" ht="20.100000000000001" customHeight="1" x14ac:dyDescent="0.25">
      <c r="A314" s="185">
        <v>8017</v>
      </c>
      <c r="B314" s="185">
        <v>817</v>
      </c>
      <c r="C314" s="186" t="s">
        <v>232</v>
      </c>
      <c r="D314" s="186" t="s">
        <v>144</v>
      </c>
      <c r="E314" s="185" t="s">
        <v>143</v>
      </c>
      <c r="F314" s="186" t="s">
        <v>309</v>
      </c>
      <c r="G314" s="185">
        <v>5977</v>
      </c>
      <c r="H314" s="186" t="s">
        <v>104</v>
      </c>
      <c r="I314" s="185" t="s">
        <v>73</v>
      </c>
      <c r="J314" s="187">
        <v>1.087</v>
      </c>
      <c r="K314" s="186" t="s">
        <v>310</v>
      </c>
      <c r="L314" s="188">
        <v>0.15</v>
      </c>
      <c r="M314" s="186"/>
      <c r="N314" s="41"/>
      <c r="O314" s="41"/>
      <c r="P314" s="41"/>
      <c r="Q314" s="42"/>
    </row>
    <row r="315" spans="1:17" ht="20.100000000000001" customHeight="1" x14ac:dyDescent="0.25">
      <c r="A315" s="185">
        <v>8017</v>
      </c>
      <c r="B315" s="185">
        <v>817</v>
      </c>
      <c r="C315" s="186" t="s">
        <v>232</v>
      </c>
      <c r="D315" s="186" t="s">
        <v>144</v>
      </c>
      <c r="E315" s="185" t="s">
        <v>143</v>
      </c>
      <c r="F315" s="186" t="s">
        <v>128</v>
      </c>
      <c r="G315" s="185">
        <v>2267</v>
      </c>
      <c r="H315" s="186" t="s">
        <v>129</v>
      </c>
      <c r="I315" s="185" t="s">
        <v>73</v>
      </c>
      <c r="J315" s="187">
        <v>8.6959999999999997</v>
      </c>
      <c r="K315" s="186" t="s">
        <v>150</v>
      </c>
      <c r="L315" s="188">
        <v>0.15</v>
      </c>
      <c r="M315" s="186"/>
      <c r="N315" s="41"/>
      <c r="O315" s="41"/>
      <c r="P315" s="41"/>
      <c r="Q315" s="42"/>
    </row>
    <row r="316" spans="1:17" ht="20.100000000000001" customHeight="1" x14ac:dyDescent="0.25">
      <c r="A316" s="185">
        <v>8017</v>
      </c>
      <c r="B316" s="185">
        <v>817</v>
      </c>
      <c r="C316" s="186" t="s">
        <v>232</v>
      </c>
      <c r="D316" s="186" t="s">
        <v>144</v>
      </c>
      <c r="E316" s="185" t="s">
        <v>143</v>
      </c>
      <c r="F316" s="186" t="s">
        <v>108</v>
      </c>
      <c r="G316" s="185">
        <v>3635</v>
      </c>
      <c r="H316" s="186" t="s">
        <v>109</v>
      </c>
      <c r="I316" s="185" t="s">
        <v>73</v>
      </c>
      <c r="J316" s="187">
        <v>2.7E-2</v>
      </c>
      <c r="K316" s="186" t="s">
        <v>284</v>
      </c>
      <c r="L316" s="188">
        <v>0.15</v>
      </c>
      <c r="M316" s="186"/>
      <c r="N316" s="41"/>
      <c r="O316" s="41"/>
      <c r="P316" s="41"/>
      <c r="Q316" s="42"/>
    </row>
    <row r="317" spans="1:17" ht="20.100000000000001" customHeight="1" x14ac:dyDescent="0.25">
      <c r="A317" s="185">
        <v>8017</v>
      </c>
      <c r="B317" s="185">
        <v>817</v>
      </c>
      <c r="C317" s="186" t="s">
        <v>232</v>
      </c>
      <c r="D317" s="186" t="s">
        <v>144</v>
      </c>
      <c r="E317" s="185" t="s">
        <v>143</v>
      </c>
      <c r="F317" s="186" t="s">
        <v>131</v>
      </c>
      <c r="G317" s="185">
        <v>3043</v>
      </c>
      <c r="H317" s="186" t="s">
        <v>131</v>
      </c>
      <c r="I317" s="185" t="s">
        <v>132</v>
      </c>
      <c r="J317" s="187">
        <v>5.0000000000000001E-3</v>
      </c>
      <c r="K317" s="186" t="s">
        <v>311</v>
      </c>
      <c r="L317" s="188">
        <v>0.15</v>
      </c>
      <c r="M317" s="186"/>
      <c r="N317" s="41"/>
      <c r="O317" s="41"/>
      <c r="P317" s="41"/>
      <c r="Q317" s="42"/>
    </row>
    <row r="318" spans="1:17" ht="20.100000000000001" customHeight="1" x14ac:dyDescent="0.25">
      <c r="A318" s="181">
        <v>8008</v>
      </c>
      <c r="B318" s="181">
        <v>808</v>
      </c>
      <c r="C318" s="182" t="s">
        <v>13</v>
      </c>
      <c r="D318" s="182" t="s">
        <v>236</v>
      </c>
      <c r="E318" s="181" t="s">
        <v>146</v>
      </c>
      <c r="F318" s="182" t="s">
        <v>113</v>
      </c>
      <c r="G318" s="181">
        <v>2680</v>
      </c>
      <c r="H318" s="182" t="s">
        <v>114</v>
      </c>
      <c r="I318" s="181" t="s">
        <v>36</v>
      </c>
      <c r="J318" s="183">
        <v>24.25</v>
      </c>
      <c r="K318" s="182" t="s">
        <v>307</v>
      </c>
      <c r="L318" s="184">
        <v>0.15</v>
      </c>
      <c r="M318" s="182"/>
      <c r="N318" s="41"/>
      <c r="O318" s="41"/>
      <c r="P318" s="41"/>
      <c r="Q318" s="42"/>
    </row>
    <row r="319" spans="1:17" ht="20.100000000000001" customHeight="1" x14ac:dyDescent="0.25">
      <c r="A319" s="185">
        <v>8008</v>
      </c>
      <c r="B319" s="185">
        <v>808</v>
      </c>
      <c r="C319" s="186" t="s">
        <v>13</v>
      </c>
      <c r="D319" s="186" t="s">
        <v>236</v>
      </c>
      <c r="E319" s="185" t="s">
        <v>146</v>
      </c>
      <c r="F319" s="186" t="s">
        <v>115</v>
      </c>
      <c r="G319" s="185">
        <v>7412</v>
      </c>
      <c r="H319" s="186" t="s">
        <v>123</v>
      </c>
      <c r="I319" s="185" t="s">
        <v>36</v>
      </c>
      <c r="J319" s="187">
        <v>0.75</v>
      </c>
      <c r="K319" s="186" t="s">
        <v>312</v>
      </c>
      <c r="L319" s="188">
        <v>0.15</v>
      </c>
      <c r="M319" s="186"/>
      <c r="N319" s="41"/>
      <c r="O319" s="41"/>
      <c r="P319" s="41"/>
      <c r="Q319" s="42"/>
    </row>
    <row r="320" spans="1:17" ht="20.100000000000001" customHeight="1" x14ac:dyDescent="0.25">
      <c r="A320" s="185">
        <v>8008</v>
      </c>
      <c r="B320" s="185">
        <v>808</v>
      </c>
      <c r="C320" s="186" t="s">
        <v>13</v>
      </c>
      <c r="D320" s="186" t="s">
        <v>236</v>
      </c>
      <c r="E320" s="185" t="s">
        <v>146</v>
      </c>
      <c r="F320" s="186" t="s">
        <v>128</v>
      </c>
      <c r="G320" s="185">
        <v>3006</v>
      </c>
      <c r="H320" s="186" t="s">
        <v>151</v>
      </c>
      <c r="I320" s="185" t="s">
        <v>73</v>
      </c>
      <c r="J320" s="187">
        <v>8.3330000000000002</v>
      </c>
      <c r="K320" s="186" t="s">
        <v>150</v>
      </c>
      <c r="L320" s="188">
        <v>0.15</v>
      </c>
      <c r="M320" s="186"/>
      <c r="N320" s="41"/>
      <c r="O320" s="41"/>
      <c r="P320" s="41"/>
      <c r="Q320" s="42"/>
    </row>
    <row r="321" spans="1:17" ht="20.100000000000001" customHeight="1" x14ac:dyDescent="0.25">
      <c r="A321" s="185">
        <v>8008</v>
      </c>
      <c r="B321" s="185">
        <v>808</v>
      </c>
      <c r="C321" s="186" t="s">
        <v>13</v>
      </c>
      <c r="D321" s="186" t="s">
        <v>236</v>
      </c>
      <c r="E321" s="185" t="s">
        <v>146</v>
      </c>
      <c r="F321" s="186" t="s">
        <v>131</v>
      </c>
      <c r="G321" s="185">
        <v>3043</v>
      </c>
      <c r="H321" s="186" t="s">
        <v>131</v>
      </c>
      <c r="I321" s="185" t="s">
        <v>132</v>
      </c>
      <c r="J321" s="187">
        <v>5.0000000000000001E-3</v>
      </c>
      <c r="K321" s="186" t="s">
        <v>311</v>
      </c>
      <c r="L321" s="188">
        <v>0.15</v>
      </c>
      <c r="M321" s="186"/>
      <c r="N321" s="41"/>
      <c r="O321" s="41"/>
      <c r="P321" s="41"/>
      <c r="Q321" s="42"/>
    </row>
    <row r="322" spans="1:17" ht="20.100000000000001" customHeight="1" x14ac:dyDescent="0.25">
      <c r="A322" s="181">
        <v>8016</v>
      </c>
      <c r="B322" s="181">
        <v>816</v>
      </c>
      <c r="C322" s="182" t="s">
        <v>13</v>
      </c>
      <c r="D322" s="182" t="s">
        <v>235</v>
      </c>
      <c r="E322" s="181" t="s">
        <v>146</v>
      </c>
      <c r="F322" s="182" t="s">
        <v>113</v>
      </c>
      <c r="G322" s="181">
        <v>2680</v>
      </c>
      <c r="H322" s="182" t="s">
        <v>114</v>
      </c>
      <c r="I322" s="181" t="s">
        <v>36</v>
      </c>
      <c r="J322" s="183">
        <v>23.75</v>
      </c>
      <c r="K322" s="182" t="s">
        <v>307</v>
      </c>
      <c r="L322" s="184">
        <v>0.15</v>
      </c>
      <c r="M322" s="182"/>
      <c r="N322" s="41"/>
      <c r="O322" s="41"/>
      <c r="P322" s="41"/>
      <c r="Q322" s="42"/>
    </row>
    <row r="323" spans="1:17" ht="20.100000000000001" customHeight="1" x14ac:dyDescent="0.25">
      <c r="A323" s="185">
        <v>8016</v>
      </c>
      <c r="B323" s="185">
        <v>816</v>
      </c>
      <c r="C323" s="186" t="s">
        <v>13</v>
      </c>
      <c r="D323" s="186" t="s">
        <v>235</v>
      </c>
      <c r="E323" s="185" t="s">
        <v>146</v>
      </c>
      <c r="F323" s="186" t="s">
        <v>115</v>
      </c>
      <c r="G323" s="185">
        <v>5816</v>
      </c>
      <c r="H323" s="186" t="s">
        <v>120</v>
      </c>
      <c r="I323" s="185" t="s">
        <v>36</v>
      </c>
      <c r="J323" s="187">
        <v>1.25</v>
      </c>
      <c r="K323" s="186" t="s">
        <v>312</v>
      </c>
      <c r="L323" s="188">
        <v>0.15</v>
      </c>
      <c r="M323" s="186"/>
      <c r="N323" s="41"/>
      <c r="O323" s="41"/>
      <c r="P323" s="41"/>
      <c r="Q323" s="42"/>
    </row>
    <row r="324" spans="1:17" ht="20.100000000000001" customHeight="1" x14ac:dyDescent="0.25">
      <c r="A324" s="185">
        <v>8016</v>
      </c>
      <c r="B324" s="185">
        <v>816</v>
      </c>
      <c r="C324" s="186" t="s">
        <v>13</v>
      </c>
      <c r="D324" s="186" t="s">
        <v>235</v>
      </c>
      <c r="E324" s="185" t="s">
        <v>146</v>
      </c>
      <c r="F324" s="186" t="s">
        <v>128</v>
      </c>
      <c r="G324" s="185">
        <v>3006</v>
      </c>
      <c r="H324" s="186" t="s">
        <v>151</v>
      </c>
      <c r="I324" s="185" t="s">
        <v>73</v>
      </c>
      <c r="J324" s="187">
        <v>8.3330000000000002</v>
      </c>
      <c r="K324" s="186" t="s">
        <v>150</v>
      </c>
      <c r="L324" s="188">
        <v>0.15</v>
      </c>
      <c r="M324" s="186"/>
      <c r="N324" s="41"/>
      <c r="O324" s="41"/>
      <c r="P324" s="41"/>
      <c r="Q324" s="42"/>
    </row>
    <row r="325" spans="1:17" ht="20.100000000000001" customHeight="1" x14ac:dyDescent="0.25">
      <c r="A325" s="185">
        <v>8016</v>
      </c>
      <c r="B325" s="185">
        <v>816</v>
      </c>
      <c r="C325" s="186" t="s">
        <v>13</v>
      </c>
      <c r="D325" s="186" t="s">
        <v>235</v>
      </c>
      <c r="E325" s="185" t="s">
        <v>146</v>
      </c>
      <c r="F325" s="186" t="s">
        <v>131</v>
      </c>
      <c r="G325" s="185">
        <v>3043</v>
      </c>
      <c r="H325" s="186" t="s">
        <v>131</v>
      </c>
      <c r="I325" s="185" t="s">
        <v>132</v>
      </c>
      <c r="J325" s="187">
        <v>5.0000000000000001E-3</v>
      </c>
      <c r="K325" s="186" t="s">
        <v>311</v>
      </c>
      <c r="L325" s="188">
        <v>0.15</v>
      </c>
      <c r="M325" s="186"/>
      <c r="N325" s="41"/>
      <c r="O325" s="41"/>
      <c r="P325" s="41"/>
      <c r="Q325" s="42"/>
    </row>
    <row r="326" spans="1:17" ht="20.100000000000001" customHeight="1" x14ac:dyDescent="0.25">
      <c r="A326" s="181">
        <v>8006</v>
      </c>
      <c r="B326" s="181">
        <v>806</v>
      </c>
      <c r="C326" s="182" t="s">
        <v>13</v>
      </c>
      <c r="D326" s="182" t="s">
        <v>147</v>
      </c>
      <c r="E326" s="181" t="s">
        <v>146</v>
      </c>
      <c r="F326" s="182" t="s">
        <v>113</v>
      </c>
      <c r="G326" s="181">
        <v>2680</v>
      </c>
      <c r="H326" s="182" t="s">
        <v>114</v>
      </c>
      <c r="I326" s="181" t="s">
        <v>36</v>
      </c>
      <c r="J326" s="183">
        <v>23.75</v>
      </c>
      <c r="K326" s="182" t="s">
        <v>307</v>
      </c>
      <c r="L326" s="184">
        <v>0.15</v>
      </c>
      <c r="M326" s="182"/>
      <c r="N326" s="41"/>
      <c r="O326" s="41"/>
      <c r="P326" s="41"/>
      <c r="Q326" s="42"/>
    </row>
    <row r="327" spans="1:17" ht="20.100000000000001" customHeight="1" x14ac:dyDescent="0.25">
      <c r="A327" s="185">
        <v>8006</v>
      </c>
      <c r="B327" s="185">
        <v>806</v>
      </c>
      <c r="C327" s="186" t="s">
        <v>13</v>
      </c>
      <c r="D327" s="186" t="s">
        <v>147</v>
      </c>
      <c r="E327" s="185" t="s">
        <v>146</v>
      </c>
      <c r="F327" s="186" t="s">
        <v>115</v>
      </c>
      <c r="G327" s="185">
        <v>4002</v>
      </c>
      <c r="H327" s="186" t="s">
        <v>117</v>
      </c>
      <c r="I327" s="185" t="s">
        <v>36</v>
      </c>
      <c r="J327" s="187">
        <v>1.25</v>
      </c>
      <c r="K327" s="186" t="s">
        <v>312</v>
      </c>
      <c r="L327" s="188">
        <v>0.15</v>
      </c>
      <c r="M327" s="186"/>
      <c r="N327" s="41"/>
      <c r="O327" s="41"/>
      <c r="P327" s="41"/>
      <c r="Q327" s="42"/>
    </row>
    <row r="328" spans="1:17" ht="20.100000000000001" customHeight="1" x14ac:dyDescent="0.25">
      <c r="A328" s="185">
        <v>8006</v>
      </c>
      <c r="B328" s="185">
        <v>806</v>
      </c>
      <c r="C328" s="186" t="s">
        <v>13</v>
      </c>
      <c r="D328" s="186" t="s">
        <v>147</v>
      </c>
      <c r="E328" s="185" t="s">
        <v>146</v>
      </c>
      <c r="F328" s="186" t="s">
        <v>128</v>
      </c>
      <c r="G328" s="185">
        <v>3006</v>
      </c>
      <c r="H328" s="186" t="s">
        <v>151</v>
      </c>
      <c r="I328" s="185" t="s">
        <v>73</v>
      </c>
      <c r="J328" s="187">
        <v>8.3330000000000002</v>
      </c>
      <c r="K328" s="186" t="s">
        <v>150</v>
      </c>
      <c r="L328" s="188">
        <v>0.15</v>
      </c>
      <c r="M328" s="186"/>
      <c r="N328" s="41"/>
      <c r="O328" s="41"/>
      <c r="P328" s="41"/>
      <c r="Q328" s="42"/>
    </row>
    <row r="329" spans="1:17" ht="20.100000000000001" customHeight="1" x14ac:dyDescent="0.25">
      <c r="A329" s="185">
        <v>8006</v>
      </c>
      <c r="B329" s="185">
        <v>806</v>
      </c>
      <c r="C329" s="186" t="s">
        <v>13</v>
      </c>
      <c r="D329" s="186" t="s">
        <v>147</v>
      </c>
      <c r="E329" s="185" t="s">
        <v>146</v>
      </c>
      <c r="F329" s="186" t="s">
        <v>131</v>
      </c>
      <c r="G329" s="185">
        <v>3043</v>
      </c>
      <c r="H329" s="186" t="s">
        <v>131</v>
      </c>
      <c r="I329" s="185" t="s">
        <v>132</v>
      </c>
      <c r="J329" s="187">
        <v>5.0000000000000001E-3</v>
      </c>
      <c r="K329" s="186" t="s">
        <v>311</v>
      </c>
      <c r="L329" s="188">
        <v>0.15</v>
      </c>
      <c r="M329" s="186"/>
    </row>
    <row r="330" spans="1:17" ht="20.100000000000001" customHeight="1" x14ac:dyDescent="0.25">
      <c r="A330" s="181">
        <v>8007</v>
      </c>
      <c r="B330" s="181">
        <v>807</v>
      </c>
      <c r="C330" s="182" t="s">
        <v>13</v>
      </c>
      <c r="D330" s="182" t="s">
        <v>233</v>
      </c>
      <c r="E330" s="181" t="s">
        <v>146</v>
      </c>
      <c r="F330" s="182" t="s">
        <v>113</v>
      </c>
      <c r="G330" s="181">
        <v>2680</v>
      </c>
      <c r="H330" s="182" t="s">
        <v>114</v>
      </c>
      <c r="I330" s="181" t="s">
        <v>36</v>
      </c>
      <c r="J330" s="183">
        <v>23.75</v>
      </c>
      <c r="K330" s="182" t="s">
        <v>307</v>
      </c>
      <c r="L330" s="184">
        <v>0.15</v>
      </c>
      <c r="M330" s="182"/>
    </row>
    <row r="331" spans="1:17" ht="20.100000000000001" customHeight="1" x14ac:dyDescent="0.25">
      <c r="A331" s="185">
        <v>8007</v>
      </c>
      <c r="B331" s="185">
        <v>807</v>
      </c>
      <c r="C331" s="186" t="s">
        <v>13</v>
      </c>
      <c r="D331" s="186" t="s">
        <v>233</v>
      </c>
      <c r="E331" s="185" t="s">
        <v>146</v>
      </c>
      <c r="F331" s="186" t="s">
        <v>115</v>
      </c>
      <c r="G331" s="185">
        <v>5816</v>
      </c>
      <c r="H331" s="186" t="s">
        <v>120</v>
      </c>
      <c r="I331" s="185" t="s">
        <v>36</v>
      </c>
      <c r="J331" s="187">
        <v>1.25</v>
      </c>
      <c r="K331" s="186" t="s">
        <v>312</v>
      </c>
      <c r="L331" s="188">
        <v>0.15</v>
      </c>
      <c r="M331" s="186"/>
    </row>
    <row r="332" spans="1:17" ht="20.100000000000001" customHeight="1" x14ac:dyDescent="0.25">
      <c r="A332" s="185">
        <v>8007</v>
      </c>
      <c r="B332" s="185">
        <v>807</v>
      </c>
      <c r="C332" s="186" t="s">
        <v>13</v>
      </c>
      <c r="D332" s="186" t="s">
        <v>233</v>
      </c>
      <c r="E332" s="185" t="s">
        <v>146</v>
      </c>
      <c r="F332" s="186" t="s">
        <v>128</v>
      </c>
      <c r="G332" s="185">
        <v>3006</v>
      </c>
      <c r="H332" s="186" t="s">
        <v>151</v>
      </c>
      <c r="I332" s="185" t="s">
        <v>73</v>
      </c>
      <c r="J332" s="187">
        <v>8.3330000000000002</v>
      </c>
      <c r="K332" s="186" t="s">
        <v>150</v>
      </c>
      <c r="L332" s="188">
        <v>0.15</v>
      </c>
      <c r="M332" s="186"/>
    </row>
    <row r="333" spans="1:17" ht="20.100000000000001" customHeight="1" x14ac:dyDescent="0.25">
      <c r="A333" s="185">
        <v>8007</v>
      </c>
      <c r="B333" s="185">
        <v>807</v>
      </c>
      <c r="C333" s="186" t="s">
        <v>13</v>
      </c>
      <c r="D333" s="186" t="s">
        <v>233</v>
      </c>
      <c r="E333" s="185" t="s">
        <v>146</v>
      </c>
      <c r="F333" s="186" t="s">
        <v>131</v>
      </c>
      <c r="G333" s="185">
        <v>3043</v>
      </c>
      <c r="H333" s="186" t="s">
        <v>131</v>
      </c>
      <c r="I333" s="185" t="s">
        <v>132</v>
      </c>
      <c r="J333" s="187">
        <v>5.0000000000000001E-3</v>
      </c>
      <c r="K333" s="186" t="s">
        <v>311</v>
      </c>
      <c r="L333" s="188">
        <v>0.15</v>
      </c>
      <c r="M333" s="186"/>
    </row>
    <row r="334" spans="1:17" ht="20.100000000000001" customHeight="1" x14ac:dyDescent="0.25">
      <c r="A334" s="181">
        <v>8014</v>
      </c>
      <c r="B334" s="181">
        <v>814</v>
      </c>
      <c r="C334" s="182" t="s">
        <v>13</v>
      </c>
      <c r="D334" s="182" t="s">
        <v>234</v>
      </c>
      <c r="E334" s="181" t="s">
        <v>146</v>
      </c>
      <c r="F334" s="182" t="s">
        <v>113</v>
      </c>
      <c r="G334" s="181">
        <v>2680</v>
      </c>
      <c r="H334" s="182" t="s">
        <v>114</v>
      </c>
      <c r="I334" s="181" t="s">
        <v>36</v>
      </c>
      <c r="J334" s="183">
        <v>23.75</v>
      </c>
      <c r="K334" s="182" t="s">
        <v>307</v>
      </c>
      <c r="L334" s="184">
        <v>0.15</v>
      </c>
      <c r="M334" s="182"/>
    </row>
    <row r="335" spans="1:17" ht="20.100000000000001" customHeight="1" x14ac:dyDescent="0.25">
      <c r="A335" s="185">
        <v>8014</v>
      </c>
      <c r="B335" s="185">
        <v>814</v>
      </c>
      <c r="C335" s="186" t="s">
        <v>13</v>
      </c>
      <c r="D335" s="186" t="s">
        <v>234</v>
      </c>
      <c r="E335" s="185" t="s">
        <v>146</v>
      </c>
      <c r="F335" s="186" t="s">
        <v>128</v>
      </c>
      <c r="G335" s="185">
        <v>3006</v>
      </c>
      <c r="H335" s="186" t="s">
        <v>151</v>
      </c>
      <c r="I335" s="185" t="s">
        <v>73</v>
      </c>
      <c r="J335" s="187">
        <v>8.3330000000000002</v>
      </c>
      <c r="K335" s="186" t="s">
        <v>150</v>
      </c>
      <c r="L335" s="188">
        <v>0.15</v>
      </c>
      <c r="M335" s="186"/>
    </row>
    <row r="336" spans="1:17" ht="20.100000000000001" customHeight="1" x14ac:dyDescent="0.25">
      <c r="A336" s="185">
        <v>8014</v>
      </c>
      <c r="B336" s="185">
        <v>814</v>
      </c>
      <c r="C336" s="186" t="s">
        <v>13</v>
      </c>
      <c r="D336" s="186" t="s">
        <v>234</v>
      </c>
      <c r="E336" s="185" t="s">
        <v>146</v>
      </c>
      <c r="F336" s="186" t="s">
        <v>131</v>
      </c>
      <c r="G336" s="185">
        <v>3043</v>
      </c>
      <c r="H336" s="186" t="s">
        <v>131</v>
      </c>
      <c r="I336" s="185" t="s">
        <v>132</v>
      </c>
      <c r="J336" s="187">
        <v>5.0000000000000001E-3</v>
      </c>
      <c r="K336" s="186" t="s">
        <v>311</v>
      </c>
      <c r="L336" s="188">
        <v>0.15</v>
      </c>
      <c r="M336" s="186"/>
      <c r="N336" s="41"/>
      <c r="O336" s="41"/>
      <c r="P336" s="41"/>
      <c r="Q336" s="42"/>
    </row>
    <row r="337" spans="1:17" ht="20.100000000000001" customHeight="1" x14ac:dyDescent="0.25">
      <c r="A337" s="181">
        <v>8009</v>
      </c>
      <c r="B337" s="181">
        <v>809</v>
      </c>
      <c r="C337" s="182" t="s">
        <v>11</v>
      </c>
      <c r="D337" s="182" t="s">
        <v>237</v>
      </c>
      <c r="E337" s="181" t="s">
        <v>238</v>
      </c>
      <c r="F337" s="182" t="s">
        <v>113</v>
      </c>
      <c r="G337" s="181">
        <v>2680</v>
      </c>
      <c r="H337" s="182" t="s">
        <v>114</v>
      </c>
      <c r="I337" s="181" t="s">
        <v>36</v>
      </c>
      <c r="J337" s="183">
        <v>25</v>
      </c>
      <c r="K337" s="182" t="s">
        <v>307</v>
      </c>
      <c r="L337" s="184">
        <v>0.15</v>
      </c>
      <c r="M337" s="182"/>
      <c r="N337" s="41"/>
      <c r="O337" s="41"/>
      <c r="P337" s="41"/>
      <c r="Q337" s="42"/>
    </row>
    <row r="338" spans="1:17" ht="20.100000000000001" customHeight="1" x14ac:dyDescent="0.25">
      <c r="A338" s="185">
        <v>8009</v>
      </c>
      <c r="B338" s="185">
        <v>809</v>
      </c>
      <c r="C338" s="186" t="s">
        <v>11</v>
      </c>
      <c r="D338" s="186" t="s">
        <v>237</v>
      </c>
      <c r="E338" s="185" t="s">
        <v>238</v>
      </c>
      <c r="F338" s="186" t="s">
        <v>309</v>
      </c>
      <c r="G338" s="185">
        <v>3621</v>
      </c>
      <c r="H338" s="186" t="s">
        <v>314</v>
      </c>
      <c r="I338" s="185" t="s">
        <v>73</v>
      </c>
      <c r="J338" s="187">
        <v>7.1429999999999998</v>
      </c>
      <c r="K338" s="186" t="s">
        <v>310</v>
      </c>
      <c r="L338" s="188">
        <v>0.15</v>
      </c>
      <c r="M338" s="186"/>
      <c r="N338" s="41"/>
      <c r="O338" s="41"/>
      <c r="P338" s="41"/>
      <c r="Q338" s="42"/>
    </row>
    <row r="339" spans="1:17" ht="20.100000000000001" customHeight="1" x14ac:dyDescent="0.25">
      <c r="A339" s="185">
        <v>8009</v>
      </c>
      <c r="B339" s="185">
        <v>809</v>
      </c>
      <c r="C339" s="186" t="s">
        <v>11</v>
      </c>
      <c r="D339" s="186" t="s">
        <v>237</v>
      </c>
      <c r="E339" s="185" t="s">
        <v>238</v>
      </c>
      <c r="F339" s="186" t="s">
        <v>128</v>
      </c>
      <c r="G339" s="185">
        <v>3006</v>
      </c>
      <c r="H339" s="186" t="s">
        <v>151</v>
      </c>
      <c r="I339" s="185" t="s">
        <v>73</v>
      </c>
      <c r="J339" s="187">
        <v>11.111000000000001</v>
      </c>
      <c r="K339" s="186" t="s">
        <v>150</v>
      </c>
      <c r="L339" s="188">
        <v>0.15</v>
      </c>
      <c r="M339" s="186"/>
      <c r="N339" s="41"/>
      <c r="O339" s="41"/>
      <c r="P339" s="41"/>
      <c r="Q339" s="42"/>
    </row>
    <row r="340" spans="1:17" ht="20.100000000000001" customHeight="1" x14ac:dyDescent="0.25">
      <c r="A340" s="185">
        <v>8009</v>
      </c>
      <c r="B340" s="185">
        <v>809</v>
      </c>
      <c r="C340" s="186" t="s">
        <v>11</v>
      </c>
      <c r="D340" s="186" t="s">
        <v>237</v>
      </c>
      <c r="E340" s="185" t="s">
        <v>238</v>
      </c>
      <c r="F340" s="186" t="s">
        <v>108</v>
      </c>
      <c r="G340" s="185">
        <v>3635</v>
      </c>
      <c r="H340" s="186" t="s">
        <v>109</v>
      </c>
      <c r="I340" s="185" t="s">
        <v>73</v>
      </c>
      <c r="J340" s="187">
        <v>0.17899999999999999</v>
      </c>
      <c r="K340" s="186" t="s">
        <v>284</v>
      </c>
      <c r="L340" s="188">
        <v>0.15</v>
      </c>
      <c r="M340" s="186"/>
      <c r="N340" s="41"/>
      <c r="O340" s="41"/>
      <c r="P340" s="41"/>
      <c r="Q340" s="42"/>
    </row>
    <row r="341" spans="1:17" ht="20.100000000000001" customHeight="1" x14ac:dyDescent="0.25">
      <c r="A341" s="185">
        <v>8009</v>
      </c>
      <c r="B341" s="185">
        <v>809</v>
      </c>
      <c r="C341" s="186" t="s">
        <v>11</v>
      </c>
      <c r="D341" s="186" t="s">
        <v>237</v>
      </c>
      <c r="E341" s="185" t="s">
        <v>238</v>
      </c>
      <c r="F341" s="186" t="s">
        <v>131</v>
      </c>
      <c r="G341" s="185">
        <v>3043</v>
      </c>
      <c r="H341" s="186" t="s">
        <v>131</v>
      </c>
      <c r="I341" s="185" t="s">
        <v>132</v>
      </c>
      <c r="J341" s="187">
        <v>5.0000000000000001E-3</v>
      </c>
      <c r="K341" s="186" t="s">
        <v>311</v>
      </c>
      <c r="L341" s="188">
        <v>0.15</v>
      </c>
      <c r="M341" s="186"/>
      <c r="N341" s="41"/>
      <c r="O341" s="41"/>
      <c r="P341" s="41"/>
      <c r="Q341" s="42"/>
    </row>
    <row r="342" spans="1:17" ht="20.100000000000001" customHeight="1" x14ac:dyDescent="0.25">
      <c r="A342" s="181">
        <v>8013</v>
      </c>
      <c r="B342" s="181">
        <v>813</v>
      </c>
      <c r="C342" s="182" t="s">
        <v>11</v>
      </c>
      <c r="D342" s="182" t="s">
        <v>239</v>
      </c>
      <c r="E342" s="181" t="s">
        <v>240</v>
      </c>
      <c r="F342" s="182" t="s">
        <v>113</v>
      </c>
      <c r="G342" s="181">
        <v>2680</v>
      </c>
      <c r="H342" s="182" t="s">
        <v>114</v>
      </c>
      <c r="I342" s="181" t="s">
        <v>36</v>
      </c>
      <c r="J342" s="183">
        <v>50</v>
      </c>
      <c r="K342" s="182" t="s">
        <v>307</v>
      </c>
      <c r="L342" s="184">
        <v>0.15</v>
      </c>
      <c r="M342" s="182"/>
      <c r="N342" s="41"/>
      <c r="O342" s="41"/>
      <c r="P342" s="41"/>
      <c r="Q342" s="42"/>
    </row>
    <row r="343" spans="1:17" ht="20.100000000000001" customHeight="1" x14ac:dyDescent="0.25">
      <c r="A343" s="185">
        <v>8013</v>
      </c>
      <c r="B343" s="185">
        <v>813</v>
      </c>
      <c r="C343" s="186" t="s">
        <v>11</v>
      </c>
      <c r="D343" s="186" t="s">
        <v>239</v>
      </c>
      <c r="E343" s="185" t="s">
        <v>240</v>
      </c>
      <c r="F343" s="186" t="s">
        <v>309</v>
      </c>
      <c r="G343" s="185">
        <v>3621</v>
      </c>
      <c r="H343" s="186" t="s">
        <v>314</v>
      </c>
      <c r="I343" s="185" t="s">
        <v>73</v>
      </c>
      <c r="J343" s="187">
        <v>2.778</v>
      </c>
      <c r="K343" s="186" t="s">
        <v>310</v>
      </c>
      <c r="L343" s="188">
        <v>0.15</v>
      </c>
      <c r="M343" s="186"/>
      <c r="N343" s="41"/>
      <c r="O343" s="41"/>
      <c r="P343" s="41"/>
      <c r="Q343" s="42"/>
    </row>
    <row r="344" spans="1:17" ht="20.100000000000001" customHeight="1" x14ac:dyDescent="0.25">
      <c r="A344" s="185">
        <v>8013</v>
      </c>
      <c r="B344" s="185">
        <v>813</v>
      </c>
      <c r="C344" s="186" t="s">
        <v>11</v>
      </c>
      <c r="D344" s="186" t="s">
        <v>239</v>
      </c>
      <c r="E344" s="185" t="s">
        <v>240</v>
      </c>
      <c r="F344" s="186" t="s">
        <v>128</v>
      </c>
      <c r="G344" s="185">
        <v>3006</v>
      </c>
      <c r="H344" s="186" t="s">
        <v>151</v>
      </c>
      <c r="I344" s="185" t="s">
        <v>73</v>
      </c>
      <c r="J344" s="187">
        <v>16.667000000000002</v>
      </c>
      <c r="K344" s="186" t="s">
        <v>150</v>
      </c>
      <c r="L344" s="188">
        <v>0.15</v>
      </c>
      <c r="M344" s="186"/>
      <c r="N344" s="41"/>
      <c r="O344" s="41"/>
      <c r="P344" s="41"/>
      <c r="Q344" s="42"/>
    </row>
    <row r="345" spans="1:17" ht="20.100000000000001" customHeight="1" x14ac:dyDescent="0.25">
      <c r="A345" s="185">
        <v>8013</v>
      </c>
      <c r="B345" s="185">
        <v>813</v>
      </c>
      <c r="C345" s="186" t="s">
        <v>11</v>
      </c>
      <c r="D345" s="186" t="s">
        <v>239</v>
      </c>
      <c r="E345" s="185" t="s">
        <v>240</v>
      </c>
      <c r="F345" s="186" t="s">
        <v>108</v>
      </c>
      <c r="G345" s="185">
        <v>3635</v>
      </c>
      <c r="H345" s="186" t="s">
        <v>109</v>
      </c>
      <c r="I345" s="185" t="s">
        <v>73</v>
      </c>
      <c r="J345" s="187">
        <v>6.9000000000000006E-2</v>
      </c>
      <c r="K345" s="186" t="s">
        <v>284</v>
      </c>
      <c r="L345" s="188">
        <v>0.15</v>
      </c>
      <c r="M345" s="186"/>
      <c r="N345" s="41"/>
      <c r="O345" s="41"/>
      <c r="P345" s="41"/>
      <c r="Q345" s="42"/>
    </row>
    <row r="346" spans="1:17" ht="20.100000000000001" customHeight="1" thickBot="1" x14ac:dyDescent="0.3">
      <c r="A346" s="185">
        <v>8013</v>
      </c>
      <c r="B346" s="185">
        <v>813</v>
      </c>
      <c r="C346" s="186" t="s">
        <v>11</v>
      </c>
      <c r="D346" s="186" t="s">
        <v>239</v>
      </c>
      <c r="E346" s="185" t="s">
        <v>240</v>
      </c>
      <c r="F346" s="186" t="s">
        <v>131</v>
      </c>
      <c r="G346" s="185">
        <v>3043</v>
      </c>
      <c r="H346" s="186" t="s">
        <v>131</v>
      </c>
      <c r="I346" s="185" t="s">
        <v>132</v>
      </c>
      <c r="J346" s="187">
        <v>5.0000000000000001E-3</v>
      </c>
      <c r="K346" s="186" t="s">
        <v>311</v>
      </c>
      <c r="L346" s="188">
        <v>0.15</v>
      </c>
      <c r="M346" s="186"/>
      <c r="N346" s="41"/>
      <c r="O346" s="41"/>
      <c r="P346" s="41"/>
      <c r="Q346" s="42"/>
    </row>
    <row r="347" spans="1:17" ht="20.100000000000001" customHeight="1" x14ac:dyDescent="0.25">
      <c r="A347" s="181">
        <v>8019</v>
      </c>
      <c r="B347" s="181">
        <v>819</v>
      </c>
      <c r="C347" s="182" t="s">
        <v>135</v>
      </c>
      <c r="D347" s="182" t="s">
        <v>140</v>
      </c>
      <c r="E347" s="181" t="s">
        <v>138</v>
      </c>
      <c r="F347" s="182" t="s">
        <v>113</v>
      </c>
      <c r="G347" s="181">
        <v>2680</v>
      </c>
      <c r="H347" s="182" t="s">
        <v>114</v>
      </c>
      <c r="I347" s="181" t="s">
        <v>36</v>
      </c>
      <c r="J347" s="183">
        <v>18</v>
      </c>
      <c r="K347" s="182" t="s">
        <v>307</v>
      </c>
      <c r="L347" s="184">
        <v>0.15</v>
      </c>
      <c r="M347" s="182"/>
    </row>
    <row r="348" spans="1:17" ht="20.100000000000001" customHeight="1" x14ac:dyDescent="0.25">
      <c r="A348" s="248">
        <v>8019</v>
      </c>
      <c r="B348" s="248">
        <v>819</v>
      </c>
      <c r="C348" s="249" t="s">
        <v>135</v>
      </c>
      <c r="D348" s="249" t="s">
        <v>140</v>
      </c>
      <c r="E348" s="248" t="s">
        <v>138</v>
      </c>
      <c r="F348" s="249" t="s">
        <v>309</v>
      </c>
      <c r="G348" s="248">
        <v>5977</v>
      </c>
      <c r="H348" s="249" t="s">
        <v>104</v>
      </c>
      <c r="I348" s="248" t="s">
        <v>73</v>
      </c>
      <c r="J348" s="250">
        <v>1.667</v>
      </c>
      <c r="K348" s="249" t="s">
        <v>310</v>
      </c>
      <c r="L348" s="251">
        <v>0.15</v>
      </c>
      <c r="M348" s="249"/>
    </row>
    <row r="349" spans="1:17" ht="20.100000000000001" customHeight="1" x14ac:dyDescent="0.25">
      <c r="A349" s="248">
        <v>8019</v>
      </c>
      <c r="B349" s="248">
        <v>819</v>
      </c>
      <c r="C349" s="249" t="s">
        <v>135</v>
      </c>
      <c r="D349" s="249" t="s">
        <v>140</v>
      </c>
      <c r="E349" s="248" t="s">
        <v>138</v>
      </c>
      <c r="F349" s="249" t="s">
        <v>128</v>
      </c>
      <c r="G349" s="248">
        <v>2267</v>
      </c>
      <c r="H349" s="249" t="s">
        <v>129</v>
      </c>
      <c r="I349" s="248" t="s">
        <v>73</v>
      </c>
      <c r="J349" s="250">
        <v>10</v>
      </c>
      <c r="K349" s="249" t="s">
        <v>150</v>
      </c>
      <c r="L349" s="251">
        <v>0.15</v>
      </c>
      <c r="M349" s="249"/>
    </row>
    <row r="350" spans="1:17" ht="15" customHeight="1" x14ac:dyDescent="0.25">
      <c r="A350" s="248">
        <v>8019</v>
      </c>
      <c r="B350" s="248">
        <v>819</v>
      </c>
      <c r="C350" s="249" t="s">
        <v>135</v>
      </c>
      <c r="D350" s="249" t="s">
        <v>140</v>
      </c>
      <c r="E350" s="248" t="s">
        <v>138</v>
      </c>
      <c r="F350" s="249" t="s">
        <v>108</v>
      </c>
      <c r="G350" s="248">
        <v>3635</v>
      </c>
      <c r="H350" s="249" t="s">
        <v>109</v>
      </c>
      <c r="I350" s="248" t="s">
        <v>73</v>
      </c>
      <c r="J350" s="250">
        <v>4.2000000000000003E-2</v>
      </c>
      <c r="K350" s="249" t="s">
        <v>284</v>
      </c>
      <c r="L350" s="251">
        <v>0.15</v>
      </c>
      <c r="M350" s="249"/>
    </row>
    <row r="351" spans="1:17" ht="15" customHeight="1" x14ac:dyDescent="0.25">
      <c r="A351" s="248">
        <v>8019</v>
      </c>
      <c r="B351" s="248">
        <v>819</v>
      </c>
      <c r="C351" s="249" t="s">
        <v>135</v>
      </c>
      <c r="D351" s="249" t="s">
        <v>140</v>
      </c>
      <c r="E351" s="248" t="s">
        <v>138</v>
      </c>
      <c r="F351" s="249" t="s">
        <v>131</v>
      </c>
      <c r="G351" s="248">
        <v>3043</v>
      </c>
      <c r="H351" s="249" t="s">
        <v>131</v>
      </c>
      <c r="I351" s="248" t="s">
        <v>132</v>
      </c>
      <c r="J351" s="250">
        <v>5.0000000000000001E-3</v>
      </c>
      <c r="K351" s="249" t="s">
        <v>311</v>
      </c>
      <c r="L351" s="251">
        <v>0.15</v>
      </c>
      <c r="M351" s="249"/>
    </row>
    <row r="352" spans="1:17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3"/>
  <sheetViews>
    <sheetView zoomScale="130" zoomScaleNormal="130" workbookViewId="0">
      <selection activeCell="A96" sqref="A96:J109"/>
    </sheetView>
  </sheetViews>
  <sheetFormatPr defaultColWidth="8.7109375" defaultRowHeight="15" x14ac:dyDescent="0.25"/>
  <cols>
    <col min="1" max="1" width="10" customWidth="1"/>
    <col min="2" max="2" width="14" customWidth="1"/>
    <col min="3" max="3" width="36.85546875" customWidth="1"/>
    <col min="4" max="4" width="6" customWidth="1"/>
    <col min="5" max="5" width="8.5703125" style="43" customWidth="1"/>
    <col min="6" max="6" width="8.85546875" style="43" customWidth="1"/>
    <col min="7" max="7" width="11.140625" style="43" customWidth="1"/>
    <col min="8" max="8" width="8.85546875" style="44" customWidth="1"/>
    <col min="9" max="9" width="6.85546875" style="43" hidden="1" customWidth="1"/>
    <col min="10" max="10" width="15" style="125" customWidth="1"/>
    <col min="11" max="11" width="18" style="127" customWidth="1"/>
  </cols>
  <sheetData>
    <row r="1" spans="1:11" ht="19.5" customHeight="1" x14ac:dyDescent="0.35">
      <c r="A1" s="358" t="s">
        <v>315</v>
      </c>
      <c r="B1" s="355"/>
      <c r="C1" s="355"/>
      <c r="D1" s="355"/>
      <c r="E1" s="355"/>
      <c r="F1" s="355"/>
      <c r="G1" s="355"/>
      <c r="H1" s="355"/>
      <c r="I1" s="45" t="s">
        <v>1</v>
      </c>
      <c r="J1" s="176">
        <f ca="1">TODAY()</f>
        <v>46316</v>
      </c>
    </row>
    <row r="2" spans="1:11" s="46" customFormat="1" ht="36" customHeight="1" x14ac:dyDescent="0.25">
      <c r="A2" s="12" t="s">
        <v>25</v>
      </c>
      <c r="B2" s="12" t="s">
        <v>26</v>
      </c>
      <c r="C2" s="12" t="s">
        <v>316</v>
      </c>
      <c r="D2" s="12" t="s">
        <v>28</v>
      </c>
      <c r="E2" s="15" t="s">
        <v>317</v>
      </c>
      <c r="F2" s="15" t="s">
        <v>318</v>
      </c>
      <c r="G2" s="15" t="s">
        <v>319</v>
      </c>
      <c r="H2" s="15" t="s">
        <v>320</v>
      </c>
      <c r="I2" s="15" t="s">
        <v>321</v>
      </c>
      <c r="J2" s="124" t="s">
        <v>322</v>
      </c>
      <c r="K2" s="159" t="s">
        <v>323</v>
      </c>
    </row>
    <row r="3" spans="1:11" ht="15" customHeight="1" x14ac:dyDescent="0.25">
      <c r="A3" s="25">
        <v>31</v>
      </c>
      <c r="B3" s="25" t="s">
        <v>285</v>
      </c>
      <c r="C3" s="26" t="s">
        <v>37</v>
      </c>
      <c r="D3" s="25" t="s">
        <v>36</v>
      </c>
      <c r="E3" s="27">
        <v>71.5</v>
      </c>
      <c r="F3" s="27">
        <v>0</v>
      </c>
      <c r="G3" s="27">
        <v>0</v>
      </c>
      <c r="H3" s="28">
        <f t="shared" ref="H3:H11" si="0">E3+F3-G3</f>
        <v>71.5</v>
      </c>
      <c r="I3" s="27"/>
      <c r="J3" s="171">
        <f>IFERROR(IF(H3+I3="","-",ROUND((H3+I3)/(IFERROR(IF(AVERAGEIF(TableBOM[Item ID],A3,TableBOM[Per 1000 Units])&gt;0,AVERAGEIF(TableBOM[Item ID],A3,TableBOM[Per 1000 Units]),AVERAGEIF(TableBOM[Material Category],B3,TableBOM[Per 1000 Units])),AVERAGEIF(TableBOM[Material Category],B3,TableBOM[Per 1000 Units]))/1000),0)),"-")</f>
        <v>44054</v>
      </c>
    </row>
    <row r="4" spans="1:11" ht="15" customHeight="1" x14ac:dyDescent="0.25">
      <c r="A4" s="25">
        <v>2799</v>
      </c>
      <c r="B4" s="25" t="s">
        <v>285</v>
      </c>
      <c r="C4" s="26" t="s">
        <v>38</v>
      </c>
      <c r="D4" s="25" t="s">
        <v>36</v>
      </c>
      <c r="E4" s="27">
        <v>88</v>
      </c>
      <c r="F4" s="27">
        <v>0</v>
      </c>
      <c r="G4" s="27">
        <v>0</v>
      </c>
      <c r="H4" s="28">
        <f t="shared" si="0"/>
        <v>88</v>
      </c>
      <c r="I4" s="27"/>
      <c r="J4" s="171">
        <f>IFERROR(IF(H4+I4="","-",ROUND((H4+I4)/(IFERROR(IF(AVERAGEIF(TableBOM[Item ID],A4,TableBOM[Per 1000 Units])&gt;0,AVERAGEIF(TableBOM[Item ID],A4,TableBOM[Per 1000 Units]),AVERAGEIF(TableBOM[Material Category],B4,TableBOM[Per 1000 Units])),AVERAGEIF(TableBOM[Material Category],B4,TableBOM[Per 1000 Units]))/1000),0)),"-")</f>
        <v>34936</v>
      </c>
    </row>
    <row r="5" spans="1:11" s="47" customFormat="1" ht="15" customHeight="1" x14ac:dyDescent="0.25">
      <c r="A5" s="25">
        <v>19</v>
      </c>
      <c r="B5" s="25" t="s">
        <v>285</v>
      </c>
      <c r="C5" s="26" t="s">
        <v>41</v>
      </c>
      <c r="D5" s="25" t="s">
        <v>36</v>
      </c>
      <c r="E5" s="27">
        <v>425</v>
      </c>
      <c r="F5" s="27">
        <v>0</v>
      </c>
      <c r="G5" s="27">
        <v>0</v>
      </c>
      <c r="H5" s="28">
        <f t="shared" si="0"/>
        <v>425</v>
      </c>
      <c r="I5" s="27"/>
      <c r="J5" s="171">
        <f>IFERROR(IF(H5+I5="","-",ROUND((H5+I5)/(IFERROR(IF(AVERAGEIF(TableBOM[Item ID],A5,TableBOM[Per 1000 Units])&gt;0,AVERAGEIF(TableBOM[Item ID],A5,TableBOM[Per 1000 Units]),AVERAGEIF(TableBOM[Material Category],B5,TableBOM[Per 1000 Units])),AVERAGEIF(TableBOM[Material Category],B5,TableBOM[Per 1000 Units]))/1000),0)),"-")</f>
        <v>126225</v>
      </c>
      <c r="K5" s="128"/>
    </row>
    <row r="6" spans="1:11" ht="15" customHeight="1" x14ac:dyDescent="0.25">
      <c r="A6" s="25">
        <v>4179</v>
      </c>
      <c r="B6" s="25" t="s">
        <v>285</v>
      </c>
      <c r="C6" s="26" t="s">
        <v>42</v>
      </c>
      <c r="D6" s="25" t="s">
        <v>36</v>
      </c>
      <c r="E6" s="27">
        <v>132</v>
      </c>
      <c r="F6" s="27">
        <v>0</v>
      </c>
      <c r="G6" s="27">
        <v>0</v>
      </c>
      <c r="H6" s="28">
        <f t="shared" si="0"/>
        <v>132</v>
      </c>
      <c r="I6" s="27"/>
      <c r="J6" s="171">
        <f>IFERROR(IF(H6+I6="","-",ROUND((H6+I6)/(IFERROR(IF(AVERAGEIF(TableBOM[Item ID],A6,TableBOM[Per 1000 Units])&gt;0,AVERAGEIF(TableBOM[Item ID],A6,TableBOM[Per 1000 Units]),AVERAGEIF(TableBOM[Material Category],B6,TableBOM[Per 1000 Units])),AVERAGEIF(TableBOM[Material Category],B6,TableBOM[Per 1000 Units]))/1000),0)),"-")</f>
        <v>33528</v>
      </c>
    </row>
    <row r="7" spans="1:11" ht="15" customHeight="1" x14ac:dyDescent="0.25">
      <c r="A7" s="25">
        <v>6</v>
      </c>
      <c r="B7" s="25" t="s">
        <v>285</v>
      </c>
      <c r="C7" s="26" t="s">
        <v>43</v>
      </c>
      <c r="D7" s="25" t="s">
        <v>36</v>
      </c>
      <c r="E7" s="27">
        <v>103</v>
      </c>
      <c r="F7" s="27">
        <v>0</v>
      </c>
      <c r="G7" s="27">
        <v>0</v>
      </c>
      <c r="H7" s="28">
        <f t="shared" si="0"/>
        <v>103</v>
      </c>
      <c r="I7" s="27"/>
      <c r="J7" s="171">
        <f>IFERROR(IF(H7+I7="","-",ROUND((H7+I7)/(IFERROR(IF(AVERAGEIF(TableBOM[Item ID],A7,TableBOM[Per 1000 Units])&gt;0,AVERAGEIF(TableBOM[Item ID],A7,TableBOM[Per 1000 Units]),AVERAGEIF(TableBOM[Material Category],B7,TableBOM[Per 1000 Units])),AVERAGEIF(TableBOM[Material Category],B7,TableBOM[Per 1000 Units]))/1000),0)),"-")</f>
        <v>17390</v>
      </c>
    </row>
    <row r="8" spans="1:11" ht="15" hidden="1" customHeight="1" x14ac:dyDescent="0.25">
      <c r="A8" s="254">
        <v>406</v>
      </c>
      <c r="B8" s="254" t="s">
        <v>285</v>
      </c>
      <c r="C8" s="255" t="s">
        <v>324</v>
      </c>
      <c r="D8" s="254" t="s">
        <v>36</v>
      </c>
      <c r="E8" s="256">
        <v>0</v>
      </c>
      <c r="F8" s="256">
        <v>0</v>
      </c>
      <c r="G8" s="256">
        <v>0</v>
      </c>
      <c r="H8" s="257">
        <f t="shared" si="0"/>
        <v>0</v>
      </c>
      <c r="I8" s="256"/>
      <c r="J8" s="258">
        <f>IFERROR(IF(H8+I8="","-",ROUND((H8+I8)/(IFERROR(IF(AVERAGEIF(TableBOM[Item ID],A8,TableBOM[Per 1000 Units])&gt;0,AVERAGEIF(TableBOM[Item ID],A8,TableBOM[Per 1000 Units]),AVERAGEIF(TableBOM[Material Category],B8,TableBOM[Per 1000 Units])),AVERAGEIF(TableBOM[Material Category],B8,TableBOM[Per 1000 Units]))/1000),0)),"-")</f>
        <v>0</v>
      </c>
      <c r="K8" s="259" t="s">
        <v>325</v>
      </c>
    </row>
    <row r="9" spans="1:11" ht="15" customHeight="1" x14ac:dyDescent="0.25">
      <c r="A9" s="239">
        <v>3597</v>
      </c>
      <c r="B9" s="239" t="s">
        <v>285</v>
      </c>
      <c r="C9" s="240" t="s">
        <v>46</v>
      </c>
      <c r="D9" s="239" t="s">
        <v>36</v>
      </c>
      <c r="E9" s="241">
        <v>975</v>
      </c>
      <c r="F9" s="241">
        <v>950</v>
      </c>
      <c r="G9" s="241">
        <v>1925</v>
      </c>
      <c r="H9" s="242">
        <f t="shared" si="0"/>
        <v>0</v>
      </c>
      <c r="I9" s="241">
        <v>85</v>
      </c>
      <c r="J9" s="171">
        <f>IFERROR(IF(H9+I9="","-",ROUND((H9+I9)/(IFERROR(IF(AVERAGEIF(TableBOM[Item ID],A9,TableBOM[Per 1000 Units])&gt;0,AVERAGEIF(TableBOM[Item ID],A9,TableBOM[Per 1000 Units]),AVERAGEIF(TableBOM[Material Category],B9,TableBOM[Per 1000 Units])),AVERAGEIF(TableBOM[Material Category],B9,TableBOM[Per 1000 Units]))/1000),0)),"-")</f>
        <v>10625</v>
      </c>
    </row>
    <row r="10" spans="1:11" ht="15" customHeight="1" x14ac:dyDescent="0.25">
      <c r="A10" s="25">
        <v>3935</v>
      </c>
      <c r="B10" s="25" t="s">
        <v>285</v>
      </c>
      <c r="C10" s="26" t="s">
        <v>48</v>
      </c>
      <c r="D10" s="25" t="s">
        <v>36</v>
      </c>
      <c r="E10" s="27">
        <v>95</v>
      </c>
      <c r="F10" s="27">
        <v>775</v>
      </c>
      <c r="G10" s="27">
        <v>870</v>
      </c>
      <c r="H10" s="28">
        <f t="shared" si="0"/>
        <v>0</v>
      </c>
      <c r="I10" s="27"/>
      <c r="J10" s="171">
        <f>IFERROR(IF(H10+I10="","-",ROUND((H10+I10)/(IFERROR(IF(AVERAGEIF(TableBOM[Item ID],A10,TableBOM[Per 1000 Units])&gt;0,AVERAGEIF(TableBOM[Item ID],A10,TableBOM[Per 1000 Units]),AVERAGEIF(TableBOM[Material Category],B10,TableBOM[Per 1000 Units])),AVERAGEIF(TableBOM[Material Category],B10,TableBOM[Per 1000 Units]))/1000),0)),"-")</f>
        <v>0</v>
      </c>
    </row>
    <row r="11" spans="1:11" ht="15" customHeight="1" x14ac:dyDescent="0.25">
      <c r="A11" s="25">
        <v>3503</v>
      </c>
      <c r="B11" s="25" t="s">
        <v>285</v>
      </c>
      <c r="C11" s="26" t="s">
        <v>49</v>
      </c>
      <c r="D11" s="25" t="s">
        <v>36</v>
      </c>
      <c r="E11" s="27">
        <v>328</v>
      </c>
      <c r="F11" s="27">
        <v>0</v>
      </c>
      <c r="G11" s="27">
        <v>0</v>
      </c>
      <c r="H11" s="28">
        <f t="shared" si="0"/>
        <v>328</v>
      </c>
      <c r="I11" s="27"/>
      <c r="J11" s="171">
        <f>IFERROR(IF(H11+I11="","-",ROUND((H11+I11)/(IFERROR(IF(AVERAGEIF(TableBOM[Item ID],A11,TableBOM[Per 1000 Units])&gt;0,AVERAGEIF(TableBOM[Item ID],A11,TableBOM[Per 1000 Units]),AVERAGEIF(TableBOM[Material Category],B11,TableBOM[Per 1000 Units])),AVERAGEIF(TableBOM[Material Category],B11,TableBOM[Per 1000 Units]))/1000),0)),"-")</f>
        <v>25585</v>
      </c>
    </row>
    <row r="12" spans="1:11" ht="18.75" customHeight="1" x14ac:dyDescent="0.25"/>
    <row r="13" spans="1:11" ht="18.75" customHeight="1" x14ac:dyDescent="0.35">
      <c r="A13" s="48" t="s">
        <v>326</v>
      </c>
      <c r="B13" s="49"/>
      <c r="C13" s="49"/>
      <c r="D13" s="49"/>
      <c r="E13" s="49"/>
      <c r="F13" s="49"/>
      <c r="G13" s="49"/>
      <c r="H13" s="45" t="s">
        <v>1</v>
      </c>
      <c r="I13" s="49"/>
      <c r="J13" s="176">
        <f ca="1">TODAY()</f>
        <v>46316</v>
      </c>
    </row>
    <row r="14" spans="1:11" ht="37.5" customHeight="1" x14ac:dyDescent="0.25">
      <c r="A14" s="12" t="s">
        <v>25</v>
      </c>
      <c r="B14" s="12" t="s">
        <v>26</v>
      </c>
      <c r="C14" s="12" t="s">
        <v>316</v>
      </c>
      <c r="D14" s="12" t="s">
        <v>28</v>
      </c>
      <c r="E14" s="12" t="s">
        <v>317</v>
      </c>
      <c r="F14" s="12" t="s">
        <v>318</v>
      </c>
      <c r="G14" s="12" t="s">
        <v>319</v>
      </c>
      <c r="H14" s="12" t="s">
        <v>320</v>
      </c>
      <c r="I14" s="12" t="s">
        <v>327</v>
      </c>
      <c r="J14" s="126" t="s">
        <v>328</v>
      </c>
    </row>
    <row r="15" spans="1:11" ht="15" hidden="1" customHeight="1" x14ac:dyDescent="0.25">
      <c r="A15" s="160">
        <v>184</v>
      </c>
      <c r="B15" s="160" t="s">
        <v>282</v>
      </c>
      <c r="C15" s="161" t="s">
        <v>329</v>
      </c>
      <c r="D15" s="160" t="s">
        <v>36</v>
      </c>
      <c r="E15" s="162">
        <v>0</v>
      </c>
      <c r="F15" s="162">
        <v>0</v>
      </c>
      <c r="G15" s="162">
        <v>0</v>
      </c>
      <c r="H15" s="163">
        <f t="shared" ref="H15:H46" si="1">E15+F15-G15</f>
        <v>0</v>
      </c>
      <c r="I15" s="162"/>
      <c r="J15" s="172">
        <f>IFERROR(IF(H15+I15="","-",ROUND((H15+I15)/(IFERROR(IF(AVERAGEIF(TableBOM[Item ID],A15,TableBOM[Per 1000 Units])&gt;0,AVERAGEIF(TableBOM[Item ID],A15,TableBOM[Per 1000 Units]),AVERAGEIF(TableBOM[Material Category],B15,TableBOM[Per 1000 Units])),AVERAGEIF(TableBOM[Material Category],B15,TableBOM[Per 1000 Units]))/1000),0)),"-")</f>
        <v>0</v>
      </c>
      <c r="K15" s="164" t="s">
        <v>330</v>
      </c>
    </row>
    <row r="16" spans="1:11" ht="15" customHeight="1" x14ac:dyDescent="0.25">
      <c r="A16" s="114">
        <v>185</v>
      </c>
      <c r="B16" s="114" t="s">
        <v>282</v>
      </c>
      <c r="C16" s="115" t="s">
        <v>52</v>
      </c>
      <c r="D16" s="114" t="s">
        <v>53</v>
      </c>
      <c r="E16" s="116">
        <v>50</v>
      </c>
      <c r="F16" s="116">
        <v>0</v>
      </c>
      <c r="G16" s="116">
        <v>0</v>
      </c>
      <c r="H16" s="117">
        <f t="shared" si="1"/>
        <v>50</v>
      </c>
      <c r="I16" s="116"/>
      <c r="J16" s="173">
        <f>IFERROR(IF(H16+I16="","-",ROUND((H16+I16)/(IFERROR(IF(AVERAGEIF(TableBOM[Item ID],A16,TableBOM[Per 1000 Units])&gt;0,AVERAGEIF(TableBOM[Item ID],A16,TableBOM[Per 1000 Units]),AVERAGEIF(TableBOM[Material Category],B16,TableBOM[Per 1000 Units])),AVERAGEIF(TableBOM[Material Category],B16,TableBOM[Per 1000 Units]))/1000),0)),"-")</f>
        <v>192152</v>
      </c>
    </row>
    <row r="17" spans="1:16" ht="15" customHeight="1" x14ac:dyDescent="0.25">
      <c r="A17" s="114">
        <v>188</v>
      </c>
      <c r="B17" s="114" t="s">
        <v>282</v>
      </c>
      <c r="C17" s="115" t="s">
        <v>331</v>
      </c>
      <c r="D17" s="114" t="s">
        <v>36</v>
      </c>
      <c r="E17" s="116">
        <v>91</v>
      </c>
      <c r="F17" s="116">
        <v>0</v>
      </c>
      <c r="G17" s="116">
        <v>0</v>
      </c>
      <c r="H17" s="117">
        <f t="shared" si="1"/>
        <v>91</v>
      </c>
      <c r="I17" s="116">
        <v>0</v>
      </c>
      <c r="J17" s="173">
        <f>IFERROR(IF(H17+I17="","-",ROUND((H17+I17)/(IFERROR(IF(AVERAGEIF(TableBOM[Item ID],A17,TableBOM[Per 1000 Units])&gt;0,AVERAGEIF(TableBOM[Item ID],A17,TableBOM[Per 1000 Units]),AVERAGEIF(TableBOM[Material Category],B17,TableBOM[Per 1000 Units])),AVERAGEIF(TableBOM[Material Category],B17,TableBOM[Per 1000 Units]))/1000),0)),"-")</f>
        <v>349716</v>
      </c>
    </row>
    <row r="18" spans="1:16" ht="15" hidden="1" customHeight="1" x14ac:dyDescent="0.25">
      <c r="A18" s="160">
        <v>1065</v>
      </c>
      <c r="B18" s="160" t="s">
        <v>282</v>
      </c>
      <c r="C18" s="161" t="s">
        <v>332</v>
      </c>
      <c r="D18" s="160" t="s">
        <v>36</v>
      </c>
      <c r="E18" s="162">
        <v>0</v>
      </c>
      <c r="F18" s="162">
        <v>0</v>
      </c>
      <c r="G18" s="162">
        <v>0</v>
      </c>
      <c r="H18" s="163">
        <f t="shared" si="1"/>
        <v>0</v>
      </c>
      <c r="I18" s="162"/>
      <c r="J18" s="172">
        <f>IFERROR(IF(H18+I18="","-",ROUND((H18+I18)/(IFERROR(IF(AVERAGEIF(TableBOM[Item ID],A18,TableBOM[Per 1000 Units])&gt;0,AVERAGEIF(TableBOM[Item ID],A18,TableBOM[Per 1000 Units]),AVERAGEIF(TableBOM[Material Category],B18,TableBOM[Per 1000 Units])),AVERAGEIF(TableBOM[Material Category],B18,TableBOM[Per 1000 Units]))/1000),0)),"-")</f>
        <v>0</v>
      </c>
      <c r="K18" s="164" t="s">
        <v>330</v>
      </c>
    </row>
    <row r="19" spans="1:16" ht="15" customHeight="1" x14ac:dyDescent="0.25">
      <c r="A19" s="114">
        <v>4155</v>
      </c>
      <c r="B19" s="114" t="s">
        <v>282</v>
      </c>
      <c r="C19" s="115" t="s">
        <v>333</v>
      </c>
      <c r="D19" s="114" t="s">
        <v>36</v>
      </c>
      <c r="E19" s="116">
        <v>75</v>
      </c>
      <c r="F19" s="116">
        <v>200</v>
      </c>
      <c r="G19" s="116">
        <v>175</v>
      </c>
      <c r="H19" s="117">
        <f t="shared" si="1"/>
        <v>100</v>
      </c>
      <c r="I19" s="116"/>
      <c r="J19" s="173">
        <f>IFERROR(IF(H19+I19="","-",ROUND((H19+I19)/(IFERROR(IF(AVERAGEIF(TableBOM[Item ID],A19,TableBOM[Per 1000 Units])&gt;0,AVERAGEIF(TableBOM[Item ID],A19,TableBOM[Per 1000 Units]),AVERAGEIF(TableBOM[Material Category],B19,TableBOM[Per 1000 Units])),AVERAGEIF(TableBOM[Material Category],B19,TableBOM[Per 1000 Units]))/1000),0)),"-")</f>
        <v>384304</v>
      </c>
    </row>
    <row r="20" spans="1:16" ht="15" hidden="1" customHeight="1" x14ac:dyDescent="0.25">
      <c r="A20" s="160">
        <v>170</v>
      </c>
      <c r="B20" s="160" t="s">
        <v>278</v>
      </c>
      <c r="C20" s="161" t="s">
        <v>58</v>
      </c>
      <c r="D20" s="160" t="s">
        <v>36</v>
      </c>
      <c r="E20" s="162">
        <v>0</v>
      </c>
      <c r="F20" s="162">
        <v>0</v>
      </c>
      <c r="G20" s="162">
        <v>0</v>
      </c>
      <c r="H20" s="163">
        <f t="shared" si="1"/>
        <v>0</v>
      </c>
      <c r="I20" s="162"/>
      <c r="J20" s="172">
        <f>IFERROR(IF(H20+I20="","-",ROUND((H20+I20)/(IFERROR(IF(AVERAGEIF(TableBOM[Item ID],A20,TableBOM[Per 1000 Units])&gt;0,AVERAGEIF(TableBOM[Item ID],A20,TableBOM[Per 1000 Units]),AVERAGEIF(TableBOM[Material Category],B20,TableBOM[Per 1000 Units])),AVERAGEIF(TableBOM[Material Category],B20,TableBOM[Per 1000 Units]))/1000),0)),"-")</f>
        <v>0</v>
      </c>
      <c r="K20" s="164" t="s">
        <v>330</v>
      </c>
    </row>
    <row r="21" spans="1:16" ht="15" customHeight="1" x14ac:dyDescent="0.25">
      <c r="A21" s="114">
        <v>175</v>
      </c>
      <c r="B21" s="114" t="s">
        <v>278</v>
      </c>
      <c r="C21" s="115" t="s">
        <v>59</v>
      </c>
      <c r="D21" s="114" t="s">
        <v>36</v>
      </c>
      <c r="E21" s="116">
        <v>30</v>
      </c>
      <c r="F21" s="116">
        <v>0</v>
      </c>
      <c r="G21" s="116">
        <v>0</v>
      </c>
      <c r="H21" s="117">
        <f t="shared" si="1"/>
        <v>30</v>
      </c>
      <c r="I21" s="116">
        <v>0</v>
      </c>
      <c r="J21" s="173">
        <f>IFERROR(IF(H21+I21="","-",ROUND((H21+I21)/(IFERROR(IF(AVERAGEIF(TableBOM[Item ID],A21,TableBOM[Per 1000 Units])&gt;0,AVERAGEIF(TableBOM[Item ID],A21,TableBOM[Per 1000 Units]),AVERAGEIF(TableBOM[Material Category],B21,TableBOM[Per 1000 Units])),AVERAGEIF(TableBOM[Material Category],B21,TableBOM[Per 1000 Units]))/1000),0)),"-")</f>
        <v>50873</v>
      </c>
    </row>
    <row r="22" spans="1:16" ht="15" customHeight="1" x14ac:dyDescent="0.25">
      <c r="A22" s="114">
        <v>192</v>
      </c>
      <c r="B22" s="114" t="s">
        <v>278</v>
      </c>
      <c r="C22" s="115" t="s">
        <v>60</v>
      </c>
      <c r="D22" s="114" t="s">
        <v>36</v>
      </c>
      <c r="E22" s="116">
        <v>50</v>
      </c>
      <c r="F22" s="116">
        <v>0</v>
      </c>
      <c r="G22" s="116">
        <v>0</v>
      </c>
      <c r="H22" s="117">
        <f t="shared" si="1"/>
        <v>50</v>
      </c>
      <c r="I22" s="116">
        <v>0</v>
      </c>
      <c r="J22" s="173">
        <f>IFERROR(IF(H22+I22="","-",ROUND((H22+I22)/(IFERROR(IF(AVERAGEIF(TableBOM[Item ID],A22,TableBOM[Per 1000 Units])&gt;0,AVERAGEIF(TableBOM[Item ID],A22,TableBOM[Per 1000 Units]),AVERAGEIF(TableBOM[Material Category],B22,TableBOM[Per 1000 Units])),AVERAGEIF(TableBOM[Material Category],B22,TableBOM[Per 1000 Units]))/1000),0)),"-")</f>
        <v>84788</v>
      </c>
    </row>
    <row r="23" spans="1:16" ht="15" customHeight="1" x14ac:dyDescent="0.25">
      <c r="A23" s="114">
        <v>3595</v>
      </c>
      <c r="B23" s="114" t="s">
        <v>278</v>
      </c>
      <c r="C23" s="115" t="s">
        <v>61</v>
      </c>
      <c r="D23" s="114" t="s">
        <v>36</v>
      </c>
      <c r="E23" s="116">
        <v>60</v>
      </c>
      <c r="F23" s="116">
        <v>270</v>
      </c>
      <c r="G23" s="116">
        <v>180</v>
      </c>
      <c r="H23" s="117">
        <f t="shared" si="1"/>
        <v>150</v>
      </c>
      <c r="I23" s="116"/>
      <c r="J23" s="173">
        <f>IFERROR(IF(H23+I23="","-",ROUND((H23+I23)/(IFERROR(IF(AVERAGEIF(TableBOM[Item ID],A23,TableBOM[Per 1000 Units])&gt;0,AVERAGEIF(TableBOM[Item ID],A23,TableBOM[Per 1000 Units]),AVERAGEIF(TableBOM[Material Category],B23,TableBOM[Per 1000 Units])),AVERAGEIF(TableBOM[Material Category],B23,TableBOM[Per 1000 Units]))/1000),0)),"-")</f>
        <v>276441</v>
      </c>
    </row>
    <row r="24" spans="1:16" ht="15" customHeight="1" x14ac:dyDescent="0.25">
      <c r="A24" s="114">
        <v>3869</v>
      </c>
      <c r="B24" s="114" t="s">
        <v>278</v>
      </c>
      <c r="C24" s="115" t="s">
        <v>62</v>
      </c>
      <c r="D24" s="114" t="s">
        <v>36</v>
      </c>
      <c r="E24" s="116">
        <v>60</v>
      </c>
      <c r="F24" s="116">
        <v>0</v>
      </c>
      <c r="G24" s="116">
        <v>0</v>
      </c>
      <c r="H24" s="117">
        <f t="shared" si="1"/>
        <v>60</v>
      </c>
      <c r="I24" s="116">
        <v>0</v>
      </c>
      <c r="J24" s="173">
        <f>IFERROR(IF(H24+I24="","-",ROUND((H24+I24)/(IFERROR(IF(AVERAGEIF(TableBOM[Item ID],A24,TableBOM[Per 1000 Units])&gt;0,AVERAGEIF(TableBOM[Item ID],A24,TableBOM[Per 1000 Units]),AVERAGEIF(TableBOM[Material Category],B24,TableBOM[Per 1000 Units])),AVERAGEIF(TableBOM[Material Category],B24,TableBOM[Per 1000 Units]))/1000),0)),"-")</f>
        <v>101746</v>
      </c>
    </row>
    <row r="25" spans="1:16" ht="15" hidden="1" customHeight="1" x14ac:dyDescent="0.25">
      <c r="A25" s="160">
        <v>4156</v>
      </c>
      <c r="B25" s="160" t="s">
        <v>278</v>
      </c>
      <c r="C25" s="161" t="s">
        <v>63</v>
      </c>
      <c r="D25" s="160" t="s">
        <v>36</v>
      </c>
      <c r="E25" s="162">
        <v>0</v>
      </c>
      <c r="F25" s="162">
        <v>0</v>
      </c>
      <c r="G25" s="162">
        <v>0</v>
      </c>
      <c r="H25" s="163">
        <f t="shared" si="1"/>
        <v>0</v>
      </c>
      <c r="I25" s="162"/>
      <c r="J25" s="172">
        <f>IFERROR(IF(H25+I25="","-",ROUND((H25+I25)/(IFERROR(IF(AVERAGEIF(TableBOM[Item ID],A25,TableBOM[Per 1000 Units])&gt;0,AVERAGEIF(TableBOM[Item ID],A25,TableBOM[Per 1000 Units]),AVERAGEIF(TableBOM[Material Category],B25,TableBOM[Per 1000 Units])),AVERAGEIF(TableBOM[Material Category],B25,TableBOM[Per 1000 Units]))/1000),0)),"-")</f>
        <v>0</v>
      </c>
      <c r="K25" s="164" t="s">
        <v>330</v>
      </c>
    </row>
    <row r="26" spans="1:16" ht="15" customHeight="1" x14ac:dyDescent="0.25">
      <c r="A26" s="114">
        <v>4157</v>
      </c>
      <c r="B26" s="114" t="s">
        <v>278</v>
      </c>
      <c r="C26" s="115" t="s">
        <v>64</v>
      </c>
      <c r="D26" s="114" t="s">
        <v>36</v>
      </c>
      <c r="E26" s="116">
        <v>240</v>
      </c>
      <c r="F26" s="116">
        <v>0</v>
      </c>
      <c r="G26" s="116">
        <v>0</v>
      </c>
      <c r="H26" s="117">
        <f t="shared" si="1"/>
        <v>240</v>
      </c>
      <c r="I26" s="116">
        <v>0</v>
      </c>
      <c r="J26" s="173">
        <f>IFERROR(IF(H26+I26="","-",ROUND((H26+I26)/(IFERROR(IF(AVERAGEIF(TableBOM[Item ID],A26,TableBOM[Per 1000 Units])&gt;0,AVERAGEIF(TableBOM[Item ID],A26,TableBOM[Per 1000 Units]),AVERAGEIF(TableBOM[Material Category],B26,TableBOM[Per 1000 Units])),AVERAGEIF(TableBOM[Material Category],B26,TableBOM[Per 1000 Units]))/1000),0)),"-")</f>
        <v>406983</v>
      </c>
    </row>
    <row r="27" spans="1:16" ht="15" customHeight="1" x14ac:dyDescent="0.25">
      <c r="A27" s="114">
        <v>5895</v>
      </c>
      <c r="B27" s="114" t="s">
        <v>278</v>
      </c>
      <c r="C27" s="115" t="s">
        <v>65</v>
      </c>
      <c r="D27" s="114" t="s">
        <v>36</v>
      </c>
      <c r="E27" s="116">
        <v>50</v>
      </c>
      <c r="F27" s="116">
        <v>0</v>
      </c>
      <c r="G27" s="116">
        <v>0</v>
      </c>
      <c r="H27" s="117">
        <f t="shared" si="1"/>
        <v>50</v>
      </c>
      <c r="I27" s="116">
        <v>0</v>
      </c>
      <c r="J27" s="173">
        <f>IFERROR(IF(H27+I27="","-",ROUND((H27+I27)/(IFERROR(IF(AVERAGEIF(TableBOM[Item ID],A27,TableBOM[Per 1000 Units])&gt;0,AVERAGEIF(TableBOM[Item ID],A27,TableBOM[Per 1000 Units]),AVERAGEIF(TableBOM[Material Category],B27,TableBOM[Per 1000 Units])),AVERAGEIF(TableBOM[Material Category],B27,TableBOM[Per 1000 Units]))/1000),0)),"-")</f>
        <v>84788</v>
      </c>
    </row>
    <row r="28" spans="1:16" ht="15" customHeight="1" x14ac:dyDescent="0.25">
      <c r="A28" s="114">
        <v>5974</v>
      </c>
      <c r="B28" s="114" t="s">
        <v>278</v>
      </c>
      <c r="C28" s="115" t="s">
        <v>66</v>
      </c>
      <c r="D28" s="114" t="s">
        <v>53</v>
      </c>
      <c r="E28" s="116">
        <v>25</v>
      </c>
      <c r="F28" s="116">
        <v>75</v>
      </c>
      <c r="G28" s="116">
        <v>25</v>
      </c>
      <c r="H28" s="117">
        <f t="shared" si="1"/>
        <v>75</v>
      </c>
      <c r="I28" s="116">
        <v>0</v>
      </c>
      <c r="J28" s="173">
        <f>IFERROR(IF(H28+I28="","-",ROUND((H28+I28)/(IFERROR(IF(AVERAGEIF(TableBOM[Item ID],A28,TableBOM[Per 1000 Units])&gt;0,AVERAGEIF(TableBOM[Item ID],A28,TableBOM[Per 1000 Units]),AVERAGEIF(TableBOM[Material Category],B28,TableBOM[Per 1000 Units])),AVERAGEIF(TableBOM[Material Category],B28,TableBOM[Per 1000 Units]))/1000),0)),"-")</f>
        <v>127182</v>
      </c>
      <c r="K28" s="129"/>
      <c r="L28" s="118"/>
      <c r="M28" s="118"/>
      <c r="N28" s="118"/>
      <c r="O28" s="118"/>
      <c r="P28" s="118"/>
    </row>
    <row r="29" spans="1:16" ht="15" customHeight="1" x14ac:dyDescent="0.25">
      <c r="A29" s="114">
        <v>177</v>
      </c>
      <c r="B29" s="114" t="s">
        <v>278</v>
      </c>
      <c r="C29" s="115" t="s">
        <v>67</v>
      </c>
      <c r="D29" s="114" t="s">
        <v>36</v>
      </c>
      <c r="E29" s="116">
        <v>450</v>
      </c>
      <c r="F29" s="116">
        <v>0</v>
      </c>
      <c r="G29" s="116">
        <v>0</v>
      </c>
      <c r="H29" s="117">
        <f t="shared" si="1"/>
        <v>450</v>
      </c>
      <c r="I29" s="116"/>
      <c r="J29" s="173">
        <f>IFERROR(IF(H29+I29="","-",ROUND((H29+I29)/(IFERROR(IF(AVERAGEIF(TableBOM[Item ID],A29,TableBOM[Per 1000 Units])&gt;0,AVERAGEIF(TableBOM[Item ID],A29,TableBOM[Per 1000 Units]),AVERAGEIF(TableBOM[Material Category],B29,TableBOM[Per 1000 Units])),AVERAGEIF(TableBOM[Material Category],B29,TableBOM[Per 1000 Units]))/1000),0)),"-")</f>
        <v>576923</v>
      </c>
      <c r="K29" s="129"/>
      <c r="L29" s="118"/>
      <c r="M29" s="118"/>
      <c r="N29" s="118"/>
      <c r="O29" s="118"/>
      <c r="P29" s="118"/>
    </row>
    <row r="30" spans="1:16" ht="15" customHeight="1" x14ac:dyDescent="0.25">
      <c r="A30" s="114">
        <v>6132</v>
      </c>
      <c r="B30" s="114" t="s">
        <v>278</v>
      </c>
      <c r="C30" s="115" t="s">
        <v>68</v>
      </c>
      <c r="D30" s="114" t="s">
        <v>36</v>
      </c>
      <c r="E30" s="116">
        <v>60</v>
      </c>
      <c r="F30" s="116">
        <v>0</v>
      </c>
      <c r="G30" s="116">
        <v>0</v>
      </c>
      <c r="H30" s="117">
        <f t="shared" si="1"/>
        <v>60</v>
      </c>
      <c r="I30" s="116"/>
      <c r="J30" s="173">
        <f>IFERROR(IF(H30+I30="","-",ROUND((H30+I30)/(IFERROR(IF(AVERAGEIF(TableBOM[Item ID],A30,TableBOM[Per 1000 Units])&gt;0,AVERAGEIF(TableBOM[Item ID],A30,TableBOM[Per 1000 Units]),AVERAGEIF(TableBOM[Material Category],B30,TableBOM[Per 1000 Units])),AVERAGEIF(TableBOM[Material Category],B30,TableBOM[Per 1000 Units]))/1000),0)),"-")</f>
        <v>101746</v>
      </c>
      <c r="K30" s="130"/>
      <c r="L30" s="119"/>
      <c r="M30" s="119"/>
      <c r="N30" s="119"/>
      <c r="O30" s="119"/>
      <c r="P30" s="119"/>
    </row>
    <row r="31" spans="1:16" ht="15" customHeight="1" x14ac:dyDescent="0.25">
      <c r="A31" s="114">
        <v>186</v>
      </c>
      <c r="B31" s="114" t="s">
        <v>295</v>
      </c>
      <c r="C31" s="115" t="s">
        <v>70</v>
      </c>
      <c r="D31" s="114" t="s">
        <v>36</v>
      </c>
      <c r="E31" s="116">
        <v>450</v>
      </c>
      <c r="F31" s="116">
        <v>0</v>
      </c>
      <c r="G31" s="116">
        <v>45</v>
      </c>
      <c r="H31" s="117">
        <f t="shared" si="1"/>
        <v>405</v>
      </c>
      <c r="I31" s="116"/>
      <c r="J31" s="173">
        <f>IFERROR(IF(H31+I31="","-",ROUND((H31+I31)/(IFERROR(IF(AVERAGEIF(TableBOM[Item ID],A31,TableBOM[Per 1000 Units])&gt;0,AVERAGEIF(TableBOM[Item ID],A31,TableBOM[Per 1000 Units]),AVERAGEIF(TableBOM[Material Category],B31,TableBOM[Per 1000 Units])),AVERAGEIF(TableBOM[Material Category],B31,TableBOM[Per 1000 Units]))/1000),0)),"-")</f>
        <v>1101464</v>
      </c>
      <c r="K31" s="129"/>
      <c r="L31" s="118"/>
      <c r="M31" s="118"/>
      <c r="N31" s="118"/>
      <c r="O31" s="118"/>
      <c r="P31" s="118"/>
    </row>
    <row r="32" spans="1:16" ht="15" customHeight="1" x14ac:dyDescent="0.25">
      <c r="A32" s="114">
        <v>194</v>
      </c>
      <c r="B32" s="114" t="s">
        <v>303</v>
      </c>
      <c r="C32" s="115" t="s">
        <v>106</v>
      </c>
      <c r="D32" s="114" t="s">
        <v>36</v>
      </c>
      <c r="E32" s="116">
        <v>21.5</v>
      </c>
      <c r="F32" s="116">
        <v>0</v>
      </c>
      <c r="G32" s="116">
        <v>6</v>
      </c>
      <c r="H32" s="117">
        <f t="shared" si="1"/>
        <v>15.5</v>
      </c>
      <c r="I32" s="116"/>
      <c r="J32" s="173">
        <f>IFERROR(IF(H32+I32="","-",ROUND((H32+I32)/(IFERROR(IF(AVERAGEIF(TableBOM[Item ID],A32,TableBOM[Per 1000 Units])&gt;0,AVERAGEIF(TableBOM[Item ID],A32,TableBOM[Per 1000 Units]),AVERAGEIF(TableBOM[Material Category],B32,TableBOM[Per 1000 Units])),AVERAGEIF(TableBOM[Material Category],B32,TableBOM[Per 1000 Units]))/1000),0)),"-")</f>
        <v>2288373</v>
      </c>
      <c r="K32" s="129"/>
      <c r="L32" s="118"/>
      <c r="M32" s="118"/>
      <c r="N32" s="118"/>
      <c r="O32" s="118"/>
      <c r="P32" s="118"/>
    </row>
    <row r="33" spans="1:16" ht="15" hidden="1" customHeight="1" x14ac:dyDescent="0.25">
      <c r="A33" s="160">
        <v>69</v>
      </c>
      <c r="B33" s="160" t="s">
        <v>334</v>
      </c>
      <c r="C33" s="161" t="s">
        <v>72</v>
      </c>
      <c r="D33" s="160" t="s">
        <v>73</v>
      </c>
      <c r="E33" s="162">
        <v>0</v>
      </c>
      <c r="F33" s="162">
        <v>0</v>
      </c>
      <c r="G33" s="162">
        <v>0</v>
      </c>
      <c r="H33" s="163">
        <f t="shared" si="1"/>
        <v>0</v>
      </c>
      <c r="I33" s="162"/>
      <c r="J33" s="172">
        <f>IFERROR(IF(H33+I33="","-",ROUND((H33+I33)/(IFERROR(IF(AVERAGEIF(TableBOM[Item ID],A33,TableBOM[Per 1000 Units])&gt;0,AVERAGEIF(TableBOM[Item ID],A33,TableBOM[Per 1000 Units]),AVERAGEIF(TableBOM[Material Category],B33,TableBOM[Per 1000 Units])),AVERAGEIF(TableBOM[Material Category],B33,TableBOM[Per 1000 Units]))/1000),0)),"-")</f>
        <v>0</v>
      </c>
      <c r="K33" s="165" t="s">
        <v>330</v>
      </c>
      <c r="L33" s="118"/>
      <c r="M33" s="118"/>
      <c r="N33" s="118"/>
      <c r="O33" s="118"/>
      <c r="P33" s="118"/>
    </row>
    <row r="34" spans="1:16" ht="15" customHeight="1" x14ac:dyDescent="0.25">
      <c r="A34" s="114">
        <v>99</v>
      </c>
      <c r="B34" s="114" t="s">
        <v>334</v>
      </c>
      <c r="C34" s="115" t="s">
        <v>74</v>
      </c>
      <c r="D34" s="114" t="s">
        <v>288</v>
      </c>
      <c r="E34" s="116">
        <v>10000</v>
      </c>
      <c r="F34" s="116">
        <v>0</v>
      </c>
      <c r="G34" s="116">
        <v>0</v>
      </c>
      <c r="H34" s="117">
        <f t="shared" si="1"/>
        <v>10000</v>
      </c>
      <c r="I34" s="116"/>
      <c r="J34" s="173">
        <f>IFERROR(IF(H34+I34="","-",ROUND((H34+I34)/(IFERROR(IF(AVERAGEIF(TableBOM[Item ID],A34,TableBOM[Per 1000 Units])&gt;0,AVERAGEIF(TableBOM[Item ID],A34,TableBOM[Per 1000 Units]),AVERAGEIF(TableBOM[Material Category],B34,TableBOM[Per 1000 Units])),AVERAGEIF(TableBOM[Material Category],B34,TableBOM[Per 1000 Units]))/1000),0)),"-")</f>
        <v>10000</v>
      </c>
      <c r="K34" s="130"/>
      <c r="L34" s="119"/>
      <c r="M34" s="119"/>
      <c r="N34" s="119"/>
      <c r="O34" s="119"/>
      <c r="P34" s="119"/>
    </row>
    <row r="35" spans="1:16" ht="15" customHeight="1" x14ac:dyDescent="0.25">
      <c r="A35" s="114">
        <v>72</v>
      </c>
      <c r="B35" s="114" t="s">
        <v>334</v>
      </c>
      <c r="C35" s="115" t="s">
        <v>75</v>
      </c>
      <c r="D35" s="114" t="s">
        <v>288</v>
      </c>
      <c r="E35" s="116">
        <v>23741</v>
      </c>
      <c r="F35" s="116">
        <v>0</v>
      </c>
      <c r="G35" s="116">
        <v>0</v>
      </c>
      <c r="H35" s="117">
        <f t="shared" si="1"/>
        <v>23741</v>
      </c>
      <c r="I35" s="116"/>
      <c r="J35" s="173">
        <f>IFERROR(IF(H35+I35="","-",ROUND((H35+I35)/(IFERROR(IF(AVERAGEIF(TableBOM[Item ID],A35,TableBOM[Per 1000 Units])&gt;0,AVERAGEIF(TableBOM[Item ID],A35,TableBOM[Per 1000 Units]),AVERAGEIF(TableBOM[Material Category],B35,TableBOM[Per 1000 Units])),AVERAGEIF(TableBOM[Material Category],B35,TableBOM[Per 1000 Units]))/1000),0)),"-")</f>
        <v>23741</v>
      </c>
      <c r="K35" s="129"/>
      <c r="L35" s="118"/>
      <c r="M35" s="118"/>
      <c r="N35" s="118"/>
      <c r="O35" s="118"/>
      <c r="P35" s="118"/>
    </row>
    <row r="36" spans="1:16" ht="15" customHeight="1" x14ac:dyDescent="0.25">
      <c r="A36" s="114">
        <v>79</v>
      </c>
      <c r="B36" s="114" t="s">
        <v>334</v>
      </c>
      <c r="C36" s="115" t="s">
        <v>76</v>
      </c>
      <c r="D36" s="114" t="s">
        <v>288</v>
      </c>
      <c r="E36" s="116">
        <v>83600</v>
      </c>
      <c r="F36" s="116">
        <v>0</v>
      </c>
      <c r="G36" s="116">
        <v>83600</v>
      </c>
      <c r="H36" s="117">
        <f t="shared" si="1"/>
        <v>0</v>
      </c>
      <c r="I36" s="116"/>
      <c r="J36" s="173">
        <f>IFERROR(IF(H36+I36="","-",ROUND((H36+I36)/(IFERROR(IF(AVERAGEIF(TableBOM[Item ID],A36,TableBOM[Per 1000 Units])&gt;0,AVERAGEIF(TableBOM[Item ID],A36,TableBOM[Per 1000 Units]),AVERAGEIF(TableBOM[Material Category],B36,TableBOM[Per 1000 Units])),AVERAGEIF(TableBOM[Material Category],B36,TableBOM[Per 1000 Units]))/1000),0)),"-")</f>
        <v>0</v>
      </c>
      <c r="K36" s="129"/>
      <c r="L36" s="118"/>
      <c r="M36" s="118"/>
      <c r="N36" s="118"/>
      <c r="O36" s="118"/>
      <c r="P36" s="118"/>
    </row>
    <row r="37" spans="1:16" ht="15" customHeight="1" x14ac:dyDescent="0.25">
      <c r="A37" s="114">
        <v>80</v>
      </c>
      <c r="B37" s="114" t="s">
        <v>334</v>
      </c>
      <c r="C37" s="115" t="s">
        <v>77</v>
      </c>
      <c r="D37" s="114" t="s">
        <v>73</v>
      </c>
      <c r="E37" s="116">
        <v>100000</v>
      </c>
      <c r="F37" s="116">
        <v>0</v>
      </c>
      <c r="G37" s="116">
        <v>100000</v>
      </c>
      <c r="H37" s="117">
        <f t="shared" si="1"/>
        <v>0</v>
      </c>
      <c r="I37" s="116">
        <v>0</v>
      </c>
      <c r="J37" s="173">
        <f>IFERROR(IF(H37+I37="","-",ROUND((H37+I37)/(IFERROR(IF(AVERAGEIF(TableBOM[Item ID],A37,TableBOM[Per 1000 Units])&gt;0,AVERAGEIF(TableBOM[Item ID],A37,TableBOM[Per 1000 Units]),AVERAGEIF(TableBOM[Material Category],B37,TableBOM[Per 1000 Units])),AVERAGEIF(TableBOM[Material Category],B37,TableBOM[Per 1000 Units]))/1000),0)),"-")</f>
        <v>0</v>
      </c>
      <c r="K37" s="130"/>
      <c r="L37" s="119"/>
      <c r="M37" s="119"/>
      <c r="N37" s="119"/>
      <c r="O37" s="119"/>
      <c r="P37" s="119"/>
    </row>
    <row r="38" spans="1:16" ht="15" customHeight="1" x14ac:dyDescent="0.25">
      <c r="A38" s="114">
        <v>81</v>
      </c>
      <c r="B38" s="114" t="s">
        <v>334</v>
      </c>
      <c r="C38" s="115" t="s">
        <v>78</v>
      </c>
      <c r="D38" s="114" t="s">
        <v>73</v>
      </c>
      <c r="E38" s="116">
        <v>554300</v>
      </c>
      <c r="F38" s="116">
        <v>0</v>
      </c>
      <c r="G38" s="116">
        <v>0</v>
      </c>
      <c r="H38" s="117">
        <f t="shared" si="1"/>
        <v>554300</v>
      </c>
      <c r="I38" s="116"/>
      <c r="J38" s="173">
        <f>IFERROR(IF(H38+I38="","-",ROUND((H38+I38)/(IFERROR(IF(AVERAGEIF(TableBOM[Item ID],A38,TableBOM[Per 1000 Units])&gt;0,AVERAGEIF(TableBOM[Item ID],A38,TableBOM[Per 1000 Units]),AVERAGEIF(TableBOM[Material Category],B38,TableBOM[Per 1000 Units])),AVERAGEIF(TableBOM[Material Category],B38,TableBOM[Per 1000 Units]))/1000),0)),"-")</f>
        <v>554300</v>
      </c>
      <c r="K38" s="130"/>
      <c r="L38" s="119"/>
      <c r="M38" s="119"/>
      <c r="N38" s="119"/>
      <c r="O38" s="119"/>
      <c r="P38" s="119"/>
    </row>
    <row r="39" spans="1:16" ht="15" hidden="1" customHeight="1" x14ac:dyDescent="0.25">
      <c r="A39" s="160">
        <v>1800</v>
      </c>
      <c r="B39" s="160" t="s">
        <v>334</v>
      </c>
      <c r="C39" s="161" t="s">
        <v>79</v>
      </c>
      <c r="D39" s="160" t="s">
        <v>73</v>
      </c>
      <c r="E39" s="162">
        <v>0</v>
      </c>
      <c r="F39" s="162">
        <v>0</v>
      </c>
      <c r="G39" s="162">
        <v>0</v>
      </c>
      <c r="H39" s="163">
        <f t="shared" si="1"/>
        <v>0</v>
      </c>
      <c r="I39" s="162"/>
      <c r="J39" s="172">
        <f>IFERROR(IF(H39+I39="","-",ROUND((H39+I39)/(IFERROR(IF(AVERAGEIF(TableBOM[Item ID],A39,TableBOM[Per 1000 Units])&gt;0,AVERAGEIF(TableBOM[Item ID],A39,TableBOM[Per 1000 Units]),AVERAGEIF(TableBOM[Material Category],B39,TableBOM[Per 1000 Units])),AVERAGEIF(TableBOM[Material Category],B39,TableBOM[Per 1000 Units]))/1000),0)),"-")</f>
        <v>0</v>
      </c>
      <c r="K39" s="166" t="s">
        <v>330</v>
      </c>
      <c r="L39" s="119"/>
      <c r="M39" s="119"/>
      <c r="N39" s="119"/>
      <c r="O39" s="119"/>
      <c r="P39" s="119"/>
    </row>
    <row r="40" spans="1:16" ht="15" customHeight="1" x14ac:dyDescent="0.25">
      <c r="A40" s="114">
        <v>3211</v>
      </c>
      <c r="B40" s="114" t="s">
        <v>334</v>
      </c>
      <c r="C40" s="115" t="s">
        <v>80</v>
      </c>
      <c r="D40" s="114" t="s">
        <v>73</v>
      </c>
      <c r="E40" s="116">
        <v>4000</v>
      </c>
      <c r="F40" s="116">
        <v>0</v>
      </c>
      <c r="G40" s="116">
        <v>0</v>
      </c>
      <c r="H40" s="117">
        <f t="shared" si="1"/>
        <v>4000</v>
      </c>
      <c r="I40" s="116"/>
      <c r="J40" s="173">
        <f>IFERROR(IF(H40+I40="","-",ROUND((H40+I40)/(IFERROR(IF(AVERAGEIF(TableBOM[Item ID],A40,TableBOM[Per 1000 Units])&gt;0,AVERAGEIF(TableBOM[Item ID],A40,TableBOM[Per 1000 Units]),AVERAGEIF(TableBOM[Material Category],B40,TableBOM[Per 1000 Units])),AVERAGEIF(TableBOM[Material Category],B40,TableBOM[Per 1000 Units]))/1000),0)),"-")</f>
        <v>4000</v>
      </c>
    </row>
    <row r="41" spans="1:16" ht="15" customHeight="1" x14ac:dyDescent="0.25">
      <c r="A41" s="114">
        <v>4015</v>
      </c>
      <c r="B41" s="114" t="s">
        <v>334</v>
      </c>
      <c r="C41" s="115" t="s">
        <v>81</v>
      </c>
      <c r="D41" s="114" t="s">
        <v>73</v>
      </c>
      <c r="E41" s="116">
        <v>475000</v>
      </c>
      <c r="F41" s="116">
        <v>0</v>
      </c>
      <c r="G41" s="116">
        <v>0</v>
      </c>
      <c r="H41" s="117">
        <f t="shared" si="1"/>
        <v>475000</v>
      </c>
      <c r="I41" s="116"/>
      <c r="J41" s="173">
        <f>IFERROR(IF(H41+I41="","-",ROUND((H41+I41)/(IFERROR(IF(AVERAGEIF(TableBOM[Item ID],A41,TableBOM[Per 1000 Units])&gt;0,AVERAGEIF(TableBOM[Item ID],A41,TableBOM[Per 1000 Units]),AVERAGEIF(TableBOM[Material Category],B41,TableBOM[Per 1000 Units])),AVERAGEIF(TableBOM[Material Category],B41,TableBOM[Per 1000 Units]))/1000),0)),"-")</f>
        <v>475000</v>
      </c>
    </row>
    <row r="42" spans="1:16" ht="15" hidden="1" customHeight="1" x14ac:dyDescent="0.25">
      <c r="A42" s="160">
        <v>4044</v>
      </c>
      <c r="B42" s="160" t="s">
        <v>334</v>
      </c>
      <c r="C42" s="161" t="s">
        <v>82</v>
      </c>
      <c r="D42" s="160" t="s">
        <v>73</v>
      </c>
      <c r="E42" s="162">
        <v>0</v>
      </c>
      <c r="F42" s="162">
        <v>0</v>
      </c>
      <c r="G42" s="162">
        <v>0</v>
      </c>
      <c r="H42" s="163">
        <f t="shared" si="1"/>
        <v>0</v>
      </c>
      <c r="I42" s="162"/>
      <c r="J42" s="172">
        <f>IFERROR(IF(H42+I42="","-",ROUND((H42+I42)/(IFERROR(IF(AVERAGEIF(TableBOM[Item ID],A42,TableBOM[Per 1000 Units])&gt;0,AVERAGEIF(TableBOM[Item ID],A42,TableBOM[Per 1000 Units]),AVERAGEIF(TableBOM[Material Category],B42,TableBOM[Per 1000 Units])),AVERAGEIF(TableBOM[Material Category],B42,TableBOM[Per 1000 Units]))/1000),0)),"-")</f>
        <v>0</v>
      </c>
      <c r="K42" s="164" t="s">
        <v>330</v>
      </c>
    </row>
    <row r="43" spans="1:16" ht="15" customHeight="1" x14ac:dyDescent="0.25">
      <c r="A43" s="114">
        <v>4088</v>
      </c>
      <c r="B43" s="114" t="s">
        <v>334</v>
      </c>
      <c r="C43" s="115" t="s">
        <v>83</v>
      </c>
      <c r="D43" s="114" t="s">
        <v>73</v>
      </c>
      <c r="E43" s="116">
        <v>60000</v>
      </c>
      <c r="F43" s="116">
        <v>0</v>
      </c>
      <c r="G43" s="116">
        <v>60000</v>
      </c>
      <c r="H43" s="117">
        <f t="shared" si="1"/>
        <v>0</v>
      </c>
      <c r="I43" s="116"/>
      <c r="J43" s="173">
        <f>IFERROR(IF(H43+I43="","-",ROUND((H43+I43)/(IFERROR(IF(AVERAGEIF(TableBOM[Item ID],A43,TableBOM[Per 1000 Units])&gt;0,AVERAGEIF(TableBOM[Item ID],A43,TableBOM[Per 1000 Units]),AVERAGEIF(TableBOM[Material Category],B43,TableBOM[Per 1000 Units])),AVERAGEIF(TableBOM[Material Category],B43,TableBOM[Per 1000 Units]))/1000),0)),"-")</f>
        <v>0</v>
      </c>
    </row>
    <row r="44" spans="1:16" ht="15" customHeight="1" x14ac:dyDescent="0.25">
      <c r="A44" s="114">
        <v>4143</v>
      </c>
      <c r="B44" s="114" t="s">
        <v>334</v>
      </c>
      <c r="C44" s="115" t="s">
        <v>84</v>
      </c>
      <c r="D44" s="114" t="s">
        <v>73</v>
      </c>
      <c r="E44" s="116">
        <v>65000</v>
      </c>
      <c r="F44" s="116">
        <v>0</v>
      </c>
      <c r="G44" s="116">
        <v>0</v>
      </c>
      <c r="H44" s="117">
        <f t="shared" si="1"/>
        <v>65000</v>
      </c>
      <c r="I44" s="116">
        <v>0</v>
      </c>
      <c r="J44" s="173">
        <f>IFERROR(IF(H44+I44="","-",ROUND((H44+I44)/(IFERROR(IF(AVERAGEIF(TableBOM[Item ID],A44,TableBOM[Per 1000 Units])&gt;0,AVERAGEIF(TableBOM[Item ID],A44,TableBOM[Per 1000 Units]),AVERAGEIF(TableBOM[Material Category],B44,TableBOM[Per 1000 Units])),AVERAGEIF(TableBOM[Material Category],B44,TableBOM[Per 1000 Units]))/1000),0)),"-")</f>
        <v>65000</v>
      </c>
    </row>
    <row r="45" spans="1:16" ht="15" hidden="1" customHeight="1" x14ac:dyDescent="0.25">
      <c r="A45" s="160">
        <v>6971</v>
      </c>
      <c r="B45" s="160" t="s">
        <v>334</v>
      </c>
      <c r="C45" s="161" t="s">
        <v>85</v>
      </c>
      <c r="D45" s="160" t="s">
        <v>73</v>
      </c>
      <c r="E45" s="162">
        <v>0</v>
      </c>
      <c r="F45" s="162">
        <v>0</v>
      </c>
      <c r="G45" s="162">
        <v>0</v>
      </c>
      <c r="H45" s="163">
        <f t="shared" si="1"/>
        <v>0</v>
      </c>
      <c r="I45" s="162"/>
      <c r="J45" s="172">
        <f>IFERROR(IF(H45+I45="","-",ROUND((H45+I45)/(IFERROR(IF(AVERAGEIF(TableBOM[Item ID],A45,TableBOM[Per 1000 Units])&gt;0,AVERAGEIF(TableBOM[Item ID],A45,TableBOM[Per 1000 Units]),AVERAGEIF(TableBOM[Material Category],B45,TableBOM[Per 1000 Units])),AVERAGEIF(TableBOM[Material Category],B45,TableBOM[Per 1000 Units]))/1000),0)),"-")</f>
        <v>0</v>
      </c>
      <c r="K45" s="165" t="s">
        <v>330</v>
      </c>
      <c r="L45" s="118"/>
      <c r="M45" s="118"/>
      <c r="N45" s="118"/>
      <c r="O45" s="118"/>
      <c r="P45" s="118"/>
    </row>
    <row r="46" spans="1:16" ht="15" customHeight="1" x14ac:dyDescent="0.25">
      <c r="A46" s="114">
        <v>7370</v>
      </c>
      <c r="B46" s="114" t="s">
        <v>334</v>
      </c>
      <c r="C46" s="115" t="s">
        <v>86</v>
      </c>
      <c r="D46" s="114" t="s">
        <v>73</v>
      </c>
      <c r="E46" s="116">
        <v>47000</v>
      </c>
      <c r="F46" s="116">
        <v>0</v>
      </c>
      <c r="G46" s="116">
        <v>0</v>
      </c>
      <c r="H46" s="117">
        <f t="shared" si="1"/>
        <v>47000</v>
      </c>
      <c r="I46" s="116">
        <v>0</v>
      </c>
      <c r="J46" s="173">
        <f>IFERROR(IF(H46+I46="","-",ROUND((H46+I46)/(IFERROR(IF(AVERAGEIF(TableBOM[Item ID],A46,TableBOM[Per 1000 Units])&gt;0,AVERAGEIF(TableBOM[Item ID],A46,TableBOM[Per 1000 Units]),AVERAGEIF(TableBOM[Material Category],B46,TableBOM[Per 1000 Units])),AVERAGEIF(TableBOM[Material Category],B46,TableBOM[Per 1000 Units]))/1000),0)),"-")</f>
        <v>47000</v>
      </c>
      <c r="K46" s="130"/>
      <c r="L46" s="119"/>
      <c r="M46" s="119"/>
      <c r="N46" s="119"/>
      <c r="O46" s="119"/>
      <c r="P46" s="119"/>
    </row>
    <row r="47" spans="1:16" ht="15" customHeight="1" x14ac:dyDescent="0.25">
      <c r="A47" s="114">
        <v>68</v>
      </c>
      <c r="B47" s="114" t="s">
        <v>334</v>
      </c>
      <c r="C47" s="115" t="s">
        <v>87</v>
      </c>
      <c r="D47" s="114" t="s">
        <v>73</v>
      </c>
      <c r="E47" s="116">
        <v>140000</v>
      </c>
      <c r="F47" s="116">
        <v>200000</v>
      </c>
      <c r="G47" s="116">
        <v>180000</v>
      </c>
      <c r="H47" s="117">
        <f t="shared" ref="H47:H78" si="2">E47+F47-G47</f>
        <v>160000</v>
      </c>
      <c r="I47" s="116"/>
      <c r="J47" s="173">
        <f>IFERROR(IF(H47+I47="","-",ROUND((H47+I47)/(IFERROR(IF(AVERAGEIF(TableBOM[Item ID],A47,TableBOM[Per 1000 Units])&gt;0,AVERAGEIF(TableBOM[Item ID],A47,TableBOM[Per 1000 Units]),AVERAGEIF(TableBOM[Material Category],B47,TableBOM[Per 1000 Units])),AVERAGEIF(TableBOM[Material Category],B47,TableBOM[Per 1000 Units]))/1000),0)),"-")</f>
        <v>160000</v>
      </c>
      <c r="K47" s="129"/>
      <c r="L47" s="118"/>
      <c r="M47" s="118"/>
      <c r="N47" s="118"/>
      <c r="O47" s="118"/>
      <c r="P47" s="118"/>
    </row>
    <row r="48" spans="1:16" ht="15" customHeight="1" x14ac:dyDescent="0.25">
      <c r="A48" s="114">
        <v>102</v>
      </c>
      <c r="B48" s="114" t="s">
        <v>334</v>
      </c>
      <c r="C48" s="115" t="s">
        <v>88</v>
      </c>
      <c r="D48" s="114" t="s">
        <v>288</v>
      </c>
      <c r="E48" s="116">
        <v>30000</v>
      </c>
      <c r="F48" s="116">
        <v>0</v>
      </c>
      <c r="G48" s="116">
        <v>30000</v>
      </c>
      <c r="H48" s="117">
        <f t="shared" si="2"/>
        <v>0</v>
      </c>
      <c r="I48" s="116"/>
      <c r="J48" s="173">
        <f>IFERROR(IF(H48+I48="","-",ROUND((H48+I48)/(IFERROR(IF(AVERAGEIF(TableBOM[Item ID],A48,TableBOM[Per 1000 Units])&gt;0,AVERAGEIF(TableBOM[Item ID],A48,TableBOM[Per 1000 Units]),AVERAGEIF(TableBOM[Material Category],B48,TableBOM[Per 1000 Units])),AVERAGEIF(TableBOM[Material Category],B48,TableBOM[Per 1000 Units]))/1000),0)),"-")</f>
        <v>0</v>
      </c>
      <c r="K48" s="129"/>
      <c r="L48" s="118"/>
      <c r="M48" s="118"/>
      <c r="N48" s="118"/>
      <c r="O48" s="118"/>
      <c r="P48" s="118"/>
    </row>
    <row r="49" spans="1:16" ht="15" customHeight="1" x14ac:dyDescent="0.25">
      <c r="A49" s="114">
        <v>1073</v>
      </c>
      <c r="B49" s="114" t="s">
        <v>334</v>
      </c>
      <c r="C49" s="115" t="s">
        <v>89</v>
      </c>
      <c r="D49" s="114" t="s">
        <v>73</v>
      </c>
      <c r="E49" s="116">
        <v>195000</v>
      </c>
      <c r="F49" s="116">
        <v>0</v>
      </c>
      <c r="G49" s="116">
        <v>35000</v>
      </c>
      <c r="H49" s="117">
        <f t="shared" si="2"/>
        <v>160000</v>
      </c>
      <c r="I49" s="116"/>
      <c r="J49" s="173">
        <f>IFERROR(IF(H49+I49="","-",ROUND((H49+I49)/(IFERROR(IF(AVERAGEIF(TableBOM[Item ID],A49,TableBOM[Per 1000 Units])&gt;0,AVERAGEIF(TableBOM[Item ID],A49,TableBOM[Per 1000 Units]),AVERAGEIF(TableBOM[Material Category],B49,TableBOM[Per 1000 Units])),AVERAGEIF(TableBOM[Material Category],B49,TableBOM[Per 1000 Units]))/1000),0)),"-")</f>
        <v>160000</v>
      </c>
      <c r="K49" s="129"/>
      <c r="L49" s="118"/>
      <c r="M49" s="118"/>
      <c r="N49" s="118"/>
      <c r="O49" s="118"/>
      <c r="P49" s="118"/>
    </row>
    <row r="50" spans="1:16" ht="15" customHeight="1" x14ac:dyDescent="0.25">
      <c r="A50" s="114">
        <v>1285</v>
      </c>
      <c r="B50" s="114" t="s">
        <v>334</v>
      </c>
      <c r="C50" s="115" t="s">
        <v>90</v>
      </c>
      <c r="D50" s="114" t="s">
        <v>73</v>
      </c>
      <c r="E50" s="116">
        <v>208000</v>
      </c>
      <c r="F50" s="116">
        <v>0</v>
      </c>
      <c r="G50" s="116">
        <v>0</v>
      </c>
      <c r="H50" s="117">
        <f t="shared" si="2"/>
        <v>208000</v>
      </c>
      <c r="I50" s="116"/>
      <c r="J50" s="173">
        <f>IFERROR(IF(H50+I50="","-",ROUND((H50+I50)/(IFERROR(IF(AVERAGEIF(TableBOM[Item ID],A50,TableBOM[Per 1000 Units])&gt;0,AVERAGEIF(TableBOM[Item ID],A50,TableBOM[Per 1000 Units]),AVERAGEIF(TableBOM[Material Category],B50,TableBOM[Per 1000 Units])),AVERAGEIF(TableBOM[Material Category],B50,TableBOM[Per 1000 Units]))/1000),0)),"-")</f>
        <v>208000</v>
      </c>
      <c r="K50" s="130"/>
      <c r="L50" s="119"/>
      <c r="M50" s="119"/>
      <c r="N50" s="119"/>
      <c r="O50" s="119"/>
      <c r="P50" s="119"/>
    </row>
    <row r="51" spans="1:16" ht="15" customHeight="1" x14ac:dyDescent="0.25">
      <c r="A51" s="114">
        <v>3522</v>
      </c>
      <c r="B51" s="114" t="s">
        <v>334</v>
      </c>
      <c r="C51" s="115" t="s">
        <v>91</v>
      </c>
      <c r="D51" s="114" t="s">
        <v>73</v>
      </c>
      <c r="E51" s="116">
        <v>75000</v>
      </c>
      <c r="F51" s="116">
        <v>0</v>
      </c>
      <c r="G51" s="116">
        <v>0</v>
      </c>
      <c r="H51" s="117">
        <f t="shared" si="2"/>
        <v>75000</v>
      </c>
      <c r="I51" s="116">
        <v>0</v>
      </c>
      <c r="J51" s="173">
        <f>IFERROR(IF(H51+I51="","-",ROUND((H51+I51)/(IFERROR(IF(AVERAGEIF(TableBOM[Item ID],A51,TableBOM[Per 1000 Units])&gt;0,AVERAGEIF(TableBOM[Item ID],A51,TableBOM[Per 1000 Units]),AVERAGEIF(TableBOM[Material Category],B51,TableBOM[Per 1000 Units])),AVERAGEIF(TableBOM[Material Category],B51,TableBOM[Per 1000 Units]))/1000),0)),"-")</f>
        <v>75000</v>
      </c>
      <c r="K51" s="130"/>
      <c r="L51" s="119"/>
      <c r="M51" s="119"/>
      <c r="N51" s="119"/>
      <c r="O51" s="119"/>
      <c r="P51" s="119"/>
    </row>
    <row r="52" spans="1:16" ht="15" hidden="1" customHeight="1" x14ac:dyDescent="0.25">
      <c r="A52" s="160">
        <v>3866</v>
      </c>
      <c r="B52" s="160" t="s">
        <v>334</v>
      </c>
      <c r="C52" s="161" t="s">
        <v>92</v>
      </c>
      <c r="D52" s="160" t="s">
        <v>73</v>
      </c>
      <c r="E52" s="162">
        <v>0</v>
      </c>
      <c r="F52" s="162">
        <v>0</v>
      </c>
      <c r="G52" s="162">
        <v>0</v>
      </c>
      <c r="H52" s="163">
        <f t="shared" si="2"/>
        <v>0</v>
      </c>
      <c r="I52" s="162"/>
      <c r="J52" s="172">
        <f>IFERROR(IF(H52+I52="","-",ROUND((H52+I52)/(IFERROR(IF(AVERAGEIF(TableBOM[Item ID],A52,TableBOM[Per 1000 Units])&gt;0,AVERAGEIF(TableBOM[Item ID],A52,TableBOM[Per 1000 Units]),AVERAGEIF(TableBOM[Material Category],B52,TableBOM[Per 1000 Units])),AVERAGEIF(TableBOM[Material Category],B52,TableBOM[Per 1000 Units]))/1000),0)),"-")</f>
        <v>0</v>
      </c>
      <c r="K52" s="166" t="s">
        <v>330</v>
      </c>
      <c r="L52" s="119"/>
      <c r="M52" s="119"/>
      <c r="N52" s="119"/>
      <c r="O52" s="119"/>
      <c r="P52" s="119"/>
    </row>
    <row r="53" spans="1:16" ht="15" customHeight="1" x14ac:dyDescent="0.25">
      <c r="A53" s="120">
        <v>578</v>
      </c>
      <c r="B53" s="120" t="s">
        <v>334</v>
      </c>
      <c r="C53" s="121" t="s">
        <v>93</v>
      </c>
      <c r="D53" s="120" t="s">
        <v>73</v>
      </c>
      <c r="E53" s="122">
        <v>51246</v>
      </c>
      <c r="F53" s="122">
        <v>10000</v>
      </c>
      <c r="G53" s="122">
        <v>60440</v>
      </c>
      <c r="H53" s="123">
        <f t="shared" si="2"/>
        <v>806</v>
      </c>
      <c r="I53" s="122"/>
      <c r="J53" s="174">
        <f>IFERROR(IF(H53+I53="","-",ROUND((H53+I53)/(IFERROR(IF(AVERAGEIF(TableBOM[Item ID],A53,TableBOM[Per 1000 Units])&gt;0,AVERAGEIF(TableBOM[Item ID],A53,TableBOM[Per 1000 Units]),AVERAGEIF(TableBOM[Material Category],B53,TableBOM[Per 1000 Units])),AVERAGEIF(TableBOM[Material Category],B53,TableBOM[Per 1000 Units]))/1000),0)),"-")</f>
        <v>806</v>
      </c>
      <c r="K53" s="129"/>
      <c r="L53" s="118"/>
      <c r="M53" s="118"/>
      <c r="N53" s="118"/>
      <c r="O53" s="118"/>
      <c r="P53" s="118"/>
    </row>
    <row r="54" spans="1:16" ht="15" hidden="1" customHeight="1" x14ac:dyDescent="0.25">
      <c r="A54" s="160">
        <v>36</v>
      </c>
      <c r="B54" s="160" t="s">
        <v>149</v>
      </c>
      <c r="C54" s="161" t="s">
        <v>97</v>
      </c>
      <c r="D54" s="160" t="s">
        <v>73</v>
      </c>
      <c r="E54" s="162">
        <v>0</v>
      </c>
      <c r="F54" s="162">
        <v>0</v>
      </c>
      <c r="G54" s="162">
        <v>0</v>
      </c>
      <c r="H54" s="163">
        <f t="shared" si="2"/>
        <v>0</v>
      </c>
      <c r="I54" s="162"/>
      <c r="J54" s="172">
        <f>IFERROR(IF(H54+I54="","-",ROUND((H54+I54)/(IFERROR(IF(AVERAGEIF(TableBOM[Item ID],A54,TableBOM[Per 1000 Units])&gt;0,AVERAGEIF(TableBOM[Item ID],A54,TableBOM[Per 1000 Units]),AVERAGEIF(TableBOM[Material Category],B54,TableBOM[Per 1000 Units])),AVERAGEIF(TableBOM[Material Category],B54,TableBOM[Per 1000 Units]))/1000),0)),"-")</f>
        <v>0</v>
      </c>
      <c r="K54" s="165" t="s">
        <v>330</v>
      </c>
      <c r="L54" s="118"/>
      <c r="M54" s="118"/>
      <c r="N54" s="118"/>
      <c r="O54" s="118"/>
      <c r="P54" s="118"/>
    </row>
    <row r="55" spans="1:16" ht="15" hidden="1" customHeight="1" x14ac:dyDescent="0.25">
      <c r="A55" s="160">
        <v>200</v>
      </c>
      <c r="B55" s="160" t="s">
        <v>149</v>
      </c>
      <c r="C55" s="161" t="s">
        <v>98</v>
      </c>
      <c r="D55" s="160" t="s">
        <v>73</v>
      </c>
      <c r="E55" s="162">
        <v>0</v>
      </c>
      <c r="F55" s="162">
        <v>0</v>
      </c>
      <c r="G55" s="162">
        <v>0</v>
      </c>
      <c r="H55" s="163">
        <f t="shared" si="2"/>
        <v>0</v>
      </c>
      <c r="I55" s="162"/>
      <c r="J55" s="172">
        <f>IFERROR(IF(H55+I55="","-",ROUND((H55+I55)/(IFERROR(IF(AVERAGEIF(TableBOM[Item ID],A55,TableBOM[Per 1000 Units])&gt;0,AVERAGEIF(TableBOM[Item ID],A55,TableBOM[Per 1000 Units]),AVERAGEIF(TableBOM[Material Category],B55,TableBOM[Per 1000 Units])),AVERAGEIF(TableBOM[Material Category],B55,TableBOM[Per 1000 Units]))/1000),0)),"-")</f>
        <v>0</v>
      </c>
      <c r="K55" s="165" t="s">
        <v>330</v>
      </c>
      <c r="L55" s="118"/>
      <c r="M55" s="118"/>
      <c r="N55" s="118"/>
      <c r="O55" s="118"/>
      <c r="P55" s="118"/>
    </row>
    <row r="56" spans="1:16" ht="15" hidden="1" customHeight="1" x14ac:dyDescent="0.25">
      <c r="A56" s="160">
        <v>39</v>
      </c>
      <c r="B56" s="160" t="s">
        <v>149</v>
      </c>
      <c r="C56" s="161" t="s">
        <v>99</v>
      </c>
      <c r="D56" s="160" t="s">
        <v>73</v>
      </c>
      <c r="E56" s="162">
        <v>0</v>
      </c>
      <c r="F56" s="162">
        <v>0</v>
      </c>
      <c r="G56" s="162">
        <v>0</v>
      </c>
      <c r="H56" s="163">
        <f t="shared" si="2"/>
        <v>0</v>
      </c>
      <c r="I56" s="162"/>
      <c r="J56" s="172">
        <f>IFERROR(IF(H56+I56="","-",ROUND((H56+I56)/(IFERROR(IF(AVERAGEIF(TableBOM[Item ID],A56,TableBOM[Per 1000 Units])&gt;0,AVERAGEIF(TableBOM[Item ID],A56,TableBOM[Per 1000 Units]),AVERAGEIF(TableBOM[Material Category],B56,TableBOM[Per 1000 Units])),AVERAGEIF(TableBOM[Material Category],B56,TableBOM[Per 1000 Units]))/1000),0)),"-")</f>
        <v>0</v>
      </c>
      <c r="K56" s="166" t="s">
        <v>330</v>
      </c>
      <c r="L56" s="119"/>
      <c r="M56" s="119"/>
      <c r="N56" s="119"/>
      <c r="O56" s="119"/>
      <c r="P56" s="119"/>
    </row>
    <row r="57" spans="1:16" ht="15" customHeight="1" x14ac:dyDescent="0.25">
      <c r="A57" s="114">
        <v>3619</v>
      </c>
      <c r="B57" s="114" t="s">
        <v>149</v>
      </c>
      <c r="C57" s="115" t="s">
        <v>100</v>
      </c>
      <c r="D57" s="114" t="s">
        <v>73</v>
      </c>
      <c r="E57" s="116">
        <v>280</v>
      </c>
      <c r="F57" s="116">
        <v>0</v>
      </c>
      <c r="G57" s="116">
        <v>0</v>
      </c>
      <c r="H57" s="117">
        <f t="shared" si="2"/>
        <v>280</v>
      </c>
      <c r="I57" s="116"/>
      <c r="J57" s="173">
        <f>IFERROR(IF(H57+I57="","-",ROUND((H57+I57)/(IFERROR(IF(AVERAGEIF(TableBOM[Item ID],A57,TableBOM[Per 1000 Units])&gt;0,AVERAGEIF(TableBOM[Item ID],A57,TableBOM[Per 1000 Units]),AVERAGEIF(TableBOM[Material Category],B57,TableBOM[Per 1000 Units])),AVERAGEIF(TableBOM[Material Category],B57,TableBOM[Per 1000 Units]))/1000),0)),"-")</f>
        <v>140955</v>
      </c>
      <c r="K57" s="129"/>
      <c r="L57" s="118"/>
      <c r="M57" s="118"/>
      <c r="N57" s="118"/>
      <c r="O57" s="118"/>
      <c r="P57" s="118"/>
    </row>
    <row r="58" spans="1:16" ht="15" customHeight="1" x14ac:dyDescent="0.25">
      <c r="A58" s="114">
        <v>3598</v>
      </c>
      <c r="B58" s="114" t="s">
        <v>149</v>
      </c>
      <c r="C58" s="115" t="s">
        <v>101</v>
      </c>
      <c r="D58" s="114" t="s">
        <v>73</v>
      </c>
      <c r="E58" s="116">
        <v>540</v>
      </c>
      <c r="F58" s="116">
        <v>926</v>
      </c>
      <c r="G58" s="116">
        <v>1299</v>
      </c>
      <c r="H58" s="117">
        <f t="shared" si="2"/>
        <v>167</v>
      </c>
      <c r="I58" s="116"/>
      <c r="J58" s="173">
        <f>IFERROR(IF(H58+I58="","-",ROUND((H58+I58)/(IFERROR(IF(AVERAGEIF(TableBOM[Item ID],A58,TableBOM[Per 1000 Units])&gt;0,AVERAGEIF(TableBOM[Item ID],A58,TableBOM[Per 1000 Units]),AVERAGEIF(TableBOM[Material Category],B58,TableBOM[Per 1000 Units])),AVERAGEIF(TableBOM[Material Category],B58,TableBOM[Per 1000 Units]))/1000),0)),"-")</f>
        <v>49804</v>
      </c>
      <c r="K58" s="129"/>
      <c r="L58" s="118"/>
      <c r="M58" s="118"/>
      <c r="N58" s="118"/>
      <c r="O58" s="118"/>
      <c r="P58" s="118"/>
    </row>
    <row r="59" spans="1:16" ht="15" hidden="1" customHeight="1" x14ac:dyDescent="0.25">
      <c r="A59" s="160">
        <v>45</v>
      </c>
      <c r="B59" s="160" t="s">
        <v>149</v>
      </c>
      <c r="C59" s="161" t="s">
        <v>102</v>
      </c>
      <c r="D59" s="160" t="s">
        <v>73</v>
      </c>
      <c r="E59" s="162">
        <v>0</v>
      </c>
      <c r="F59" s="162">
        <v>0</v>
      </c>
      <c r="G59" s="162">
        <v>0</v>
      </c>
      <c r="H59" s="163">
        <f t="shared" si="2"/>
        <v>0</v>
      </c>
      <c r="I59" s="162"/>
      <c r="J59" s="172">
        <f>IFERROR(IF(H59+I59="","-",ROUND((H59+I59)/(IFERROR(IF(AVERAGEIF(TableBOM[Item ID],A59,TableBOM[Per 1000 Units])&gt;0,AVERAGEIF(TableBOM[Item ID],A59,TableBOM[Per 1000 Units]),AVERAGEIF(TableBOM[Material Category],B59,TableBOM[Per 1000 Units])),AVERAGEIF(TableBOM[Material Category],B59,TableBOM[Per 1000 Units]))/1000),0)),"-")</f>
        <v>0</v>
      </c>
      <c r="K59" s="165" t="s">
        <v>330</v>
      </c>
      <c r="L59" s="118"/>
      <c r="M59" s="118"/>
      <c r="N59" s="118"/>
      <c r="O59" s="118"/>
      <c r="P59" s="118"/>
    </row>
    <row r="60" spans="1:16" ht="15" customHeight="1" x14ac:dyDescent="0.25">
      <c r="A60" s="114">
        <v>3988</v>
      </c>
      <c r="B60" s="114" t="s">
        <v>149</v>
      </c>
      <c r="C60" s="115" t="s">
        <v>103</v>
      </c>
      <c r="D60" s="114" t="s">
        <v>73</v>
      </c>
      <c r="E60" s="116">
        <v>1412</v>
      </c>
      <c r="F60" s="116">
        <v>0</v>
      </c>
      <c r="G60" s="116">
        <v>0</v>
      </c>
      <c r="H60" s="117">
        <f t="shared" si="2"/>
        <v>1412</v>
      </c>
      <c r="I60" s="116"/>
      <c r="J60" s="173">
        <f>IFERROR(IF(H60+I60="","-",ROUND((H60+I60)/(IFERROR(IF(AVERAGEIF(TableBOM[Item ID],A60,TableBOM[Per 1000 Units])&gt;0,AVERAGEIF(TableBOM[Item ID],A60,TableBOM[Per 1000 Units]),AVERAGEIF(TableBOM[Material Category],B60,TableBOM[Per 1000 Units])),AVERAGEIF(TableBOM[Material Category],B60,TableBOM[Per 1000 Units]))/1000),0)),"-")</f>
        <v>243679</v>
      </c>
      <c r="K60" s="130"/>
      <c r="L60" s="119"/>
      <c r="M60" s="119"/>
      <c r="N60" s="119"/>
      <c r="O60" s="119"/>
      <c r="P60" s="119"/>
    </row>
    <row r="61" spans="1:16" ht="15" customHeight="1" x14ac:dyDescent="0.25">
      <c r="A61" s="114">
        <v>5977</v>
      </c>
      <c r="B61" s="114" t="s">
        <v>149</v>
      </c>
      <c r="C61" s="115" t="s">
        <v>104</v>
      </c>
      <c r="D61" s="114" t="s">
        <v>73</v>
      </c>
      <c r="E61" s="116">
        <v>348</v>
      </c>
      <c r="F61" s="116">
        <v>0</v>
      </c>
      <c r="G61" s="116">
        <v>127</v>
      </c>
      <c r="H61" s="117">
        <f t="shared" si="2"/>
        <v>221</v>
      </c>
      <c r="I61" s="116"/>
      <c r="J61" s="173">
        <f>IFERROR(IF(H61+I61="","-",ROUND((H61+I61)/(IFERROR(IF(AVERAGEIF(TableBOM[Item ID],A61,TableBOM[Per 1000 Units])&gt;0,AVERAGEIF(TableBOM[Item ID],A61,TableBOM[Per 1000 Units]),AVERAGEIF(TableBOM[Material Category],B61,TableBOM[Per 1000 Units])),AVERAGEIF(TableBOM[Material Category],B61,TableBOM[Per 1000 Units]))/1000),0)),"-")</f>
        <v>170000</v>
      </c>
      <c r="K61" s="130"/>
      <c r="L61" s="119"/>
      <c r="M61" s="119"/>
      <c r="N61" s="119"/>
      <c r="O61" s="119"/>
      <c r="P61" s="119"/>
    </row>
    <row r="62" spans="1:16" ht="15" hidden="1" customHeight="1" x14ac:dyDescent="0.25">
      <c r="A62" s="243">
        <v>3621</v>
      </c>
      <c r="B62" s="243" t="s">
        <v>149</v>
      </c>
      <c r="C62" s="244" t="s">
        <v>314</v>
      </c>
      <c r="D62" s="243" t="s">
        <v>73</v>
      </c>
      <c r="E62" s="245">
        <v>0</v>
      </c>
      <c r="F62" s="245">
        <v>0</v>
      </c>
      <c r="G62" s="245">
        <v>0</v>
      </c>
      <c r="H62" s="246">
        <f t="shared" si="2"/>
        <v>0</v>
      </c>
      <c r="I62" s="245"/>
      <c r="J62" s="172">
        <f>IFERROR(IF(H62+I62="","-",ROUND((H62+I62)/(IFERROR(IF(AVERAGEIF(TableBOM[Item ID],A62,TableBOM[Per 1000 Units])&gt;0,AVERAGEIF(TableBOM[Item ID],A62,TableBOM[Per 1000 Units]),AVERAGEIF(TableBOM[Material Category],B62,TableBOM[Per 1000 Units])),AVERAGEIF(TableBOM[Material Category],B62,TableBOM[Per 1000 Units]))/1000),0)),"-")</f>
        <v>0</v>
      </c>
      <c r="K62" s="247" t="s">
        <v>330</v>
      </c>
    </row>
    <row r="63" spans="1:16" ht="15" customHeight="1" x14ac:dyDescent="0.25">
      <c r="A63" s="114">
        <v>3635</v>
      </c>
      <c r="B63" s="114" t="s">
        <v>291</v>
      </c>
      <c r="C63" s="115" t="s">
        <v>109</v>
      </c>
      <c r="D63" s="114" t="s">
        <v>73</v>
      </c>
      <c r="E63" s="116">
        <v>282</v>
      </c>
      <c r="F63" s="116">
        <v>0</v>
      </c>
      <c r="G63" s="116">
        <v>66</v>
      </c>
      <c r="H63" s="117">
        <f t="shared" si="2"/>
        <v>216</v>
      </c>
      <c r="I63" s="116"/>
      <c r="J63" s="173">
        <f>IFERROR(IF(H63+I63="","-",ROUND((H63+I63)/(IFERROR(IF(AVERAGEIF(TableBOM[Item ID],A63,TableBOM[Per 1000 Units])&gt;0,AVERAGEIF(TableBOM[Item ID],A63,TableBOM[Per 1000 Units]),AVERAGEIF(TableBOM[Material Category],B63,TableBOM[Per 1000 Units])),AVERAGEIF(TableBOM[Material Category],B63,TableBOM[Per 1000 Units]))/1000),0)),"-")</f>
        <v>645123</v>
      </c>
      <c r="K63" s="130"/>
      <c r="L63" s="119"/>
      <c r="M63" s="119"/>
      <c r="N63" s="119"/>
      <c r="O63" s="119"/>
      <c r="P63" s="119"/>
    </row>
    <row r="64" spans="1:16" ht="15" customHeight="1" x14ac:dyDescent="0.25">
      <c r="A64" s="114">
        <v>190</v>
      </c>
      <c r="B64" s="114" t="s">
        <v>283</v>
      </c>
      <c r="C64" s="115" t="s">
        <v>111</v>
      </c>
      <c r="D64" s="114" t="s">
        <v>53</v>
      </c>
      <c r="E64" s="116">
        <v>75</v>
      </c>
      <c r="F64" s="116">
        <v>100</v>
      </c>
      <c r="G64" s="116">
        <v>110</v>
      </c>
      <c r="H64" s="117">
        <f t="shared" si="2"/>
        <v>65</v>
      </c>
      <c r="I64" s="116"/>
      <c r="J64" s="173">
        <f>IFERROR(IF(H64+I64="","-",ROUND((H64+I64)/(IFERROR(IF(AVERAGEIF(TableBOM[Item ID],A64,TableBOM[Per 1000 Units])&gt;0,AVERAGEIF(TableBOM[Item ID],A64,TableBOM[Per 1000 Units]),AVERAGEIF(TableBOM[Material Category],B64,TableBOM[Per 1000 Units])),AVERAGEIF(TableBOM[Material Category],B64,TableBOM[Per 1000 Units]))/1000),0)),"-")</f>
        <v>1083333</v>
      </c>
      <c r="K64" s="130"/>
      <c r="L64" s="119"/>
      <c r="M64" s="119"/>
      <c r="N64" s="119"/>
      <c r="O64" s="119"/>
      <c r="P64" s="119"/>
    </row>
    <row r="65" spans="1:16" ht="15" customHeight="1" x14ac:dyDescent="0.25">
      <c r="A65" s="114">
        <v>191</v>
      </c>
      <c r="B65" s="114" t="s">
        <v>283</v>
      </c>
      <c r="C65" s="115" t="s">
        <v>335</v>
      </c>
      <c r="D65" s="114" t="s">
        <v>53</v>
      </c>
      <c r="E65" s="116">
        <v>25</v>
      </c>
      <c r="F65" s="116">
        <v>100</v>
      </c>
      <c r="G65" s="116">
        <v>75</v>
      </c>
      <c r="H65" s="117">
        <f t="shared" si="2"/>
        <v>50</v>
      </c>
      <c r="I65" s="116">
        <v>0</v>
      </c>
      <c r="J65" s="173">
        <f>IFERROR(IF(H65+I65="","-",ROUND((H65+I65)/(IFERROR(IF(AVERAGEIF(TableBOM[Item ID],A65,TableBOM[Per 1000 Units])&gt;0,AVERAGEIF(TableBOM[Item ID],A65,TableBOM[Per 1000 Units]),AVERAGEIF(TableBOM[Material Category],B65,TableBOM[Per 1000 Units])),AVERAGEIF(TableBOM[Material Category],B65,TableBOM[Per 1000 Units]))/1000),0)),"-")</f>
        <v>833333</v>
      </c>
      <c r="K65" s="129"/>
      <c r="L65" s="118"/>
      <c r="M65" s="118"/>
      <c r="N65" s="118"/>
      <c r="O65" s="118"/>
      <c r="P65" s="118"/>
    </row>
    <row r="66" spans="1:16" ht="15" customHeight="1" x14ac:dyDescent="0.25">
      <c r="A66" s="114">
        <v>104</v>
      </c>
      <c r="B66" s="114" t="s">
        <v>294</v>
      </c>
      <c r="C66" s="115" t="s">
        <v>336</v>
      </c>
      <c r="D66" s="114" t="s">
        <v>36</v>
      </c>
      <c r="E66" s="116">
        <v>2</v>
      </c>
      <c r="F66" s="116">
        <v>0</v>
      </c>
      <c r="G66" s="116">
        <v>0</v>
      </c>
      <c r="H66" s="117">
        <f t="shared" si="2"/>
        <v>2</v>
      </c>
      <c r="I66" s="116"/>
      <c r="J66" s="173">
        <f>IFERROR(IF(H66+I66="","-",ROUND((H66+I66)/(IFERROR(IF(AVERAGEIF(TableBOM[Item ID],A66,TableBOM[Per 1000 Units])&gt;0,AVERAGEIF(TableBOM[Item ID],A66,TableBOM[Per 1000 Units]),AVERAGEIF(TableBOM[Material Category],B66,TableBOM[Per 1000 Units])),AVERAGEIF(TableBOM[Material Category],B66,TableBOM[Per 1000 Units]))/1000),0)),"-")</f>
        <v>22422</v>
      </c>
      <c r="K66" s="130"/>
      <c r="L66" s="119"/>
      <c r="M66" s="119"/>
      <c r="N66" s="119"/>
      <c r="O66" s="119"/>
      <c r="P66" s="119"/>
    </row>
    <row r="67" spans="1:16" ht="15" customHeight="1" x14ac:dyDescent="0.25">
      <c r="A67" s="114">
        <v>105</v>
      </c>
      <c r="B67" s="114" t="s">
        <v>294</v>
      </c>
      <c r="C67" s="115" t="s">
        <v>337</v>
      </c>
      <c r="D67" s="114" t="s">
        <v>36</v>
      </c>
      <c r="E67" s="116">
        <v>1</v>
      </c>
      <c r="F67" s="116">
        <v>0</v>
      </c>
      <c r="G67" s="116">
        <v>0</v>
      </c>
      <c r="H67" s="117">
        <f t="shared" si="2"/>
        <v>1</v>
      </c>
      <c r="I67" s="116"/>
      <c r="J67" s="173">
        <f>IFERROR(IF(H67+I67="","-",ROUND((H67+I67)/(IFERROR(IF(AVERAGEIF(TableBOM[Item ID],A67,TableBOM[Per 1000 Units])&gt;0,AVERAGEIF(TableBOM[Item ID],A67,TableBOM[Per 1000 Units]),AVERAGEIF(TableBOM[Material Category],B67,TableBOM[Per 1000 Units])),AVERAGEIF(TableBOM[Material Category],B67,TableBOM[Per 1000 Units]))/1000),0)),"-")</f>
        <v>11211</v>
      </c>
      <c r="K67" s="130"/>
      <c r="L67" s="119"/>
      <c r="M67" s="119"/>
      <c r="N67" s="119"/>
      <c r="O67" s="119"/>
      <c r="P67" s="119"/>
    </row>
    <row r="68" spans="1:16" ht="15" customHeight="1" x14ac:dyDescent="0.25">
      <c r="A68" s="114">
        <v>110</v>
      </c>
      <c r="B68" s="114" t="s">
        <v>294</v>
      </c>
      <c r="C68" s="115" t="s">
        <v>338</v>
      </c>
      <c r="D68" s="114" t="s">
        <v>36</v>
      </c>
      <c r="E68" s="116">
        <v>2</v>
      </c>
      <c r="F68" s="116">
        <v>0</v>
      </c>
      <c r="G68" s="116">
        <v>0</v>
      </c>
      <c r="H68" s="117">
        <f t="shared" si="2"/>
        <v>2</v>
      </c>
      <c r="I68" s="116"/>
      <c r="J68" s="173">
        <f>IFERROR(IF(H68+I68="","-",ROUND((H68+I68)/(IFERROR(IF(AVERAGEIF(TableBOM[Item ID],A68,TableBOM[Per 1000 Units])&gt;0,AVERAGEIF(TableBOM[Item ID],A68,TableBOM[Per 1000 Units]),AVERAGEIF(TableBOM[Material Category],B68,TableBOM[Per 1000 Units])),AVERAGEIF(TableBOM[Material Category],B68,TableBOM[Per 1000 Units]))/1000),0)),"-")</f>
        <v>22422</v>
      </c>
      <c r="K68" s="129"/>
      <c r="L68" s="118"/>
      <c r="M68" s="118"/>
      <c r="N68" s="118"/>
      <c r="O68" s="118"/>
      <c r="P68" s="118"/>
    </row>
    <row r="69" spans="1:16" ht="15" customHeight="1" x14ac:dyDescent="0.25">
      <c r="A69" s="160">
        <v>124</v>
      </c>
      <c r="B69" s="160" t="s">
        <v>294</v>
      </c>
      <c r="C69" s="161" t="s">
        <v>339</v>
      </c>
      <c r="D69" s="160" t="s">
        <v>36</v>
      </c>
      <c r="E69" s="162">
        <v>0</v>
      </c>
      <c r="F69" s="162">
        <v>0</v>
      </c>
      <c r="G69" s="162">
        <v>0</v>
      </c>
      <c r="H69" s="163">
        <f t="shared" si="2"/>
        <v>0</v>
      </c>
      <c r="I69" s="162"/>
      <c r="J69" s="172">
        <f>IFERROR(IF(H69+I69="","-",ROUND((H69+I69)/(IFERROR(IF(AVERAGEIF(TableBOM[Item ID],A69,TableBOM[Per 1000 Units])&gt;0,AVERAGEIF(TableBOM[Item ID],A69,TableBOM[Per 1000 Units]),AVERAGEIF(TableBOM[Material Category],B69,TableBOM[Per 1000 Units])),AVERAGEIF(TableBOM[Material Category],B69,TableBOM[Per 1000 Units]))/1000),0)),"-")</f>
        <v>0</v>
      </c>
      <c r="K69" s="166" t="s">
        <v>330</v>
      </c>
      <c r="L69" s="119"/>
      <c r="M69" s="119"/>
      <c r="N69" s="119"/>
      <c r="O69" s="119"/>
      <c r="P69" s="119"/>
    </row>
    <row r="70" spans="1:16" ht="15" customHeight="1" x14ac:dyDescent="0.25">
      <c r="A70" s="114">
        <v>127</v>
      </c>
      <c r="B70" s="114" t="s">
        <v>294</v>
      </c>
      <c r="C70" s="115" t="s">
        <v>340</v>
      </c>
      <c r="D70" s="114" t="s">
        <v>36</v>
      </c>
      <c r="E70" s="116">
        <v>2</v>
      </c>
      <c r="F70" s="116">
        <v>0</v>
      </c>
      <c r="G70" s="116">
        <v>0</v>
      </c>
      <c r="H70" s="117">
        <f t="shared" si="2"/>
        <v>2</v>
      </c>
      <c r="I70" s="116"/>
      <c r="J70" s="173">
        <f>IFERROR(IF(H70+I70="","-",ROUND((H70+I70)/(IFERROR(IF(AVERAGEIF(TableBOM[Item ID],A70,TableBOM[Per 1000 Units])&gt;0,AVERAGEIF(TableBOM[Item ID],A70,TableBOM[Per 1000 Units]),AVERAGEIF(TableBOM[Material Category],B70,TableBOM[Per 1000 Units])),AVERAGEIF(TableBOM[Material Category],B70,TableBOM[Per 1000 Units]))/1000),0)),"-")</f>
        <v>22422</v>
      </c>
      <c r="K70" s="130"/>
      <c r="L70" s="119"/>
      <c r="M70" s="119"/>
      <c r="N70" s="119"/>
      <c r="O70" s="119"/>
      <c r="P70" s="119"/>
    </row>
    <row r="71" spans="1:16" ht="15" customHeight="1" x14ac:dyDescent="0.25">
      <c r="A71" s="114">
        <v>129</v>
      </c>
      <c r="B71" s="114" t="s">
        <v>294</v>
      </c>
      <c r="C71" s="115" t="s">
        <v>341</v>
      </c>
      <c r="D71" s="114" t="s">
        <v>36</v>
      </c>
      <c r="E71" s="116">
        <v>2</v>
      </c>
      <c r="F71" s="116">
        <v>0</v>
      </c>
      <c r="G71" s="116">
        <v>0</v>
      </c>
      <c r="H71" s="117">
        <f t="shared" si="2"/>
        <v>2</v>
      </c>
      <c r="I71" s="116"/>
      <c r="J71" s="173">
        <f>IFERROR(IF(H71+I71="","-",ROUND((H71+I71)/(IFERROR(IF(AVERAGEIF(TableBOM[Item ID],A71,TableBOM[Per 1000 Units])&gt;0,AVERAGEIF(TableBOM[Item ID],A71,TableBOM[Per 1000 Units]),AVERAGEIF(TableBOM[Material Category],B71,TableBOM[Per 1000 Units])),AVERAGEIF(TableBOM[Material Category],B71,TableBOM[Per 1000 Units]))/1000),0)),"-")</f>
        <v>22422</v>
      </c>
      <c r="K71" s="130"/>
      <c r="L71" s="119"/>
      <c r="M71" s="119"/>
      <c r="N71" s="119"/>
      <c r="O71" s="119"/>
      <c r="P71" s="119"/>
    </row>
    <row r="72" spans="1:16" ht="15" customHeight="1" x14ac:dyDescent="0.25">
      <c r="A72" s="114">
        <v>130</v>
      </c>
      <c r="B72" s="114" t="s">
        <v>294</v>
      </c>
      <c r="C72" s="115" t="s">
        <v>342</v>
      </c>
      <c r="D72" s="114" t="s">
        <v>36</v>
      </c>
      <c r="E72" s="116">
        <v>1</v>
      </c>
      <c r="F72" s="116">
        <v>0</v>
      </c>
      <c r="G72" s="116">
        <v>0</v>
      </c>
      <c r="H72" s="117">
        <f t="shared" si="2"/>
        <v>1</v>
      </c>
      <c r="I72" s="116"/>
      <c r="J72" s="173">
        <f>IFERROR(IF(H72+I72="","-",ROUND((H72+I72)/(IFERROR(IF(AVERAGEIF(TableBOM[Item ID],A72,TableBOM[Per 1000 Units])&gt;0,AVERAGEIF(TableBOM[Item ID],A72,TableBOM[Per 1000 Units]),AVERAGEIF(TableBOM[Material Category],B72,TableBOM[Per 1000 Units])),AVERAGEIF(TableBOM[Material Category],B72,TableBOM[Per 1000 Units]))/1000),0)),"-")</f>
        <v>11211</v>
      </c>
      <c r="K72" s="129"/>
      <c r="L72" s="118"/>
      <c r="M72" s="118"/>
      <c r="N72" s="118"/>
      <c r="O72" s="118"/>
      <c r="P72" s="118"/>
    </row>
    <row r="73" spans="1:16" ht="15" customHeight="1" x14ac:dyDescent="0.25">
      <c r="A73" s="189">
        <v>1928</v>
      </c>
      <c r="B73" s="189" t="s">
        <v>294</v>
      </c>
      <c r="C73" s="190" t="s">
        <v>343</v>
      </c>
      <c r="D73" s="189" t="s">
        <v>36</v>
      </c>
      <c r="E73" s="191">
        <v>0</v>
      </c>
      <c r="F73" s="191">
        <v>3</v>
      </c>
      <c r="G73" s="191">
        <v>1</v>
      </c>
      <c r="H73" s="192">
        <f t="shared" si="2"/>
        <v>2</v>
      </c>
      <c r="I73" s="191"/>
      <c r="J73" s="193">
        <f>IFERROR(IF(H73+I73="","-",ROUND((H73+I73)/(IFERROR(IF(AVERAGEIF(TableBOM[Item ID],A73,TableBOM[Per 1000 Units])&gt;0,AVERAGEIF(TableBOM[Item ID],A73,TableBOM[Per 1000 Units]),AVERAGEIF(TableBOM[Material Category],B73,TableBOM[Per 1000 Units])),AVERAGEIF(TableBOM[Material Category],B73,TableBOM[Per 1000 Units]))/1000),0)),"-")</f>
        <v>22422</v>
      </c>
      <c r="K73" s="166"/>
      <c r="L73" s="119"/>
      <c r="M73" s="119"/>
      <c r="N73" s="119"/>
      <c r="O73" s="119"/>
      <c r="P73" s="119"/>
    </row>
    <row r="74" spans="1:16" ht="15" customHeight="1" x14ac:dyDescent="0.25">
      <c r="A74" s="160">
        <v>2284</v>
      </c>
      <c r="B74" s="160" t="s">
        <v>294</v>
      </c>
      <c r="C74" s="161" t="s">
        <v>344</v>
      </c>
      <c r="D74" s="160" t="s">
        <v>36</v>
      </c>
      <c r="E74" s="162">
        <v>0</v>
      </c>
      <c r="F74" s="162">
        <v>0</v>
      </c>
      <c r="G74" s="162">
        <v>0</v>
      </c>
      <c r="H74" s="163">
        <f t="shared" si="2"/>
        <v>0</v>
      </c>
      <c r="I74" s="162"/>
      <c r="J74" s="172">
        <f>IFERROR(IF(H74+I74="","-",ROUND((H74+I74)/(IFERROR(IF(AVERAGEIF(TableBOM[Item ID],A74,TableBOM[Per 1000 Units])&gt;0,AVERAGEIF(TableBOM[Item ID],A74,TableBOM[Per 1000 Units]),AVERAGEIF(TableBOM[Material Category],B74,TableBOM[Per 1000 Units])),AVERAGEIF(TableBOM[Material Category],B74,TableBOM[Per 1000 Units]))/1000),0)),"-")</f>
        <v>0</v>
      </c>
      <c r="K74" s="165" t="s">
        <v>330</v>
      </c>
      <c r="L74" s="118"/>
      <c r="M74" s="118"/>
      <c r="N74" s="118"/>
      <c r="O74" s="118"/>
      <c r="P74" s="118"/>
    </row>
    <row r="75" spans="1:16" ht="15" customHeight="1" x14ac:dyDescent="0.25">
      <c r="A75" s="160">
        <v>3642</v>
      </c>
      <c r="B75" s="160" t="s">
        <v>294</v>
      </c>
      <c r="C75" s="161" t="s">
        <v>345</v>
      </c>
      <c r="D75" s="160" t="s">
        <v>36</v>
      </c>
      <c r="E75" s="162">
        <v>0</v>
      </c>
      <c r="F75" s="162">
        <v>0</v>
      </c>
      <c r="G75" s="162">
        <v>0</v>
      </c>
      <c r="H75" s="163">
        <f t="shared" si="2"/>
        <v>0</v>
      </c>
      <c r="I75" s="162"/>
      <c r="J75" s="172">
        <f>IFERROR(IF(H75+I75="","-",ROUND((H75+I75)/(IFERROR(IF(AVERAGEIF(TableBOM[Item ID],A75,TableBOM[Per 1000 Units])&gt;0,AVERAGEIF(TableBOM[Item ID],A75,TableBOM[Per 1000 Units]),AVERAGEIF(TableBOM[Material Category],B75,TableBOM[Per 1000 Units])),AVERAGEIF(TableBOM[Material Category],B75,TableBOM[Per 1000 Units]))/1000),0)),"-")</f>
        <v>0</v>
      </c>
      <c r="K75" s="166" t="s">
        <v>330</v>
      </c>
      <c r="L75" s="119"/>
      <c r="M75" s="119"/>
      <c r="N75" s="119"/>
      <c r="O75" s="119"/>
      <c r="P75" s="119"/>
    </row>
    <row r="76" spans="1:16" ht="15" customHeight="1" x14ac:dyDescent="0.25">
      <c r="A76" s="114">
        <v>3734</v>
      </c>
      <c r="B76" s="114" t="s">
        <v>294</v>
      </c>
      <c r="C76" s="115" t="s">
        <v>346</v>
      </c>
      <c r="D76" s="114" t="s">
        <v>36</v>
      </c>
      <c r="E76" s="116">
        <v>1</v>
      </c>
      <c r="F76" s="116">
        <v>0</v>
      </c>
      <c r="G76" s="116">
        <v>1</v>
      </c>
      <c r="H76" s="117">
        <f t="shared" si="2"/>
        <v>0</v>
      </c>
      <c r="I76" s="116"/>
      <c r="J76" s="173">
        <f>IFERROR(IF(H76+I76="","-",ROUND((H76+I76)/(IFERROR(IF(AVERAGEIF(TableBOM[Item ID],A76,TableBOM[Per 1000 Units])&gt;0,AVERAGEIF(TableBOM[Item ID],A76,TableBOM[Per 1000 Units]),AVERAGEIF(TableBOM[Material Category],B76,TableBOM[Per 1000 Units])),AVERAGEIF(TableBOM[Material Category],B76,TableBOM[Per 1000 Units]))/1000),0)),"-")</f>
        <v>0</v>
      </c>
      <c r="K76" s="130"/>
      <c r="L76" s="119"/>
      <c r="M76" s="119"/>
      <c r="N76" s="119"/>
      <c r="O76" s="119"/>
      <c r="P76" s="119"/>
    </row>
    <row r="77" spans="1:16" ht="15" customHeight="1" x14ac:dyDescent="0.25">
      <c r="A77" s="114">
        <v>3736</v>
      </c>
      <c r="B77" s="114" t="s">
        <v>294</v>
      </c>
      <c r="C77" s="115" t="s">
        <v>347</v>
      </c>
      <c r="D77" s="114" t="s">
        <v>36</v>
      </c>
      <c r="E77" s="116">
        <v>2.4</v>
      </c>
      <c r="F77" s="116">
        <v>0</v>
      </c>
      <c r="G77" s="116">
        <v>0</v>
      </c>
      <c r="H77" s="117">
        <f t="shared" si="2"/>
        <v>2.4</v>
      </c>
      <c r="I77" s="116"/>
      <c r="J77" s="173">
        <f>IFERROR(IF(H77+I77="","-",ROUND((H77+I77)/(IFERROR(IF(AVERAGEIF(TableBOM[Item ID],A77,TableBOM[Per 1000 Units])&gt;0,AVERAGEIF(TableBOM[Item ID],A77,TableBOM[Per 1000 Units]),AVERAGEIF(TableBOM[Material Category],B77,TableBOM[Per 1000 Units])),AVERAGEIF(TableBOM[Material Category],B77,TableBOM[Per 1000 Units]))/1000),0)),"-")</f>
        <v>26906</v>
      </c>
      <c r="K77" s="129"/>
      <c r="L77" s="118"/>
      <c r="M77" s="118"/>
      <c r="N77" s="118"/>
      <c r="O77" s="118"/>
      <c r="P77" s="118"/>
    </row>
    <row r="78" spans="1:16" ht="15" customHeight="1" x14ac:dyDescent="0.25">
      <c r="A78" s="114">
        <v>3754</v>
      </c>
      <c r="B78" s="114" t="s">
        <v>294</v>
      </c>
      <c r="C78" s="115" t="s">
        <v>297</v>
      </c>
      <c r="D78" s="114" t="s">
        <v>36</v>
      </c>
      <c r="E78" s="116">
        <v>3</v>
      </c>
      <c r="F78" s="116">
        <v>1</v>
      </c>
      <c r="G78" s="116">
        <v>0</v>
      </c>
      <c r="H78" s="117">
        <f t="shared" si="2"/>
        <v>4</v>
      </c>
      <c r="I78" s="116"/>
      <c r="J78" s="173">
        <f>IFERROR(IF(H78+I78="","-",ROUND((H78+I78)/(IFERROR(IF(AVERAGEIF(TableBOM[Item ID],A78,TableBOM[Per 1000 Units])&gt;0,AVERAGEIF(TableBOM[Item ID],A78,TableBOM[Per 1000 Units]),AVERAGEIF(TableBOM[Material Category],B78,TableBOM[Per 1000 Units])),AVERAGEIF(TableBOM[Material Category],B78,TableBOM[Per 1000 Units]))/1000),0)),"-")</f>
        <v>160000</v>
      </c>
      <c r="K78" s="129"/>
      <c r="L78" s="118"/>
      <c r="M78" s="118"/>
      <c r="N78" s="118"/>
      <c r="O78" s="118"/>
      <c r="P78" s="118"/>
    </row>
    <row r="79" spans="1:16" ht="15" customHeight="1" x14ac:dyDescent="0.25">
      <c r="A79" s="160">
        <v>3755</v>
      </c>
      <c r="B79" s="160" t="s">
        <v>294</v>
      </c>
      <c r="C79" s="161" t="s">
        <v>348</v>
      </c>
      <c r="D79" s="160" t="s">
        <v>36</v>
      </c>
      <c r="E79" s="162">
        <v>0</v>
      </c>
      <c r="F79" s="162">
        <v>0</v>
      </c>
      <c r="G79" s="162">
        <v>0</v>
      </c>
      <c r="H79" s="163">
        <f t="shared" ref="H79:H110" si="3">E79+F79-G79</f>
        <v>0</v>
      </c>
      <c r="I79" s="162"/>
      <c r="J79" s="172">
        <f>IFERROR(IF(H79+I79="","-",ROUND((H79+I79)/(IFERROR(IF(AVERAGEIF(TableBOM[Item ID],A79,TableBOM[Per 1000 Units])&gt;0,AVERAGEIF(TableBOM[Item ID],A79,TableBOM[Per 1000 Units]),AVERAGEIF(TableBOM[Material Category],B79,TableBOM[Per 1000 Units])),AVERAGEIF(TableBOM[Material Category],B79,TableBOM[Per 1000 Units]))/1000),0)),"-")</f>
        <v>0</v>
      </c>
      <c r="K79" s="165" t="s">
        <v>330</v>
      </c>
      <c r="L79" s="118"/>
      <c r="M79" s="118"/>
      <c r="N79" s="118"/>
      <c r="O79" s="118"/>
      <c r="P79" s="118"/>
    </row>
    <row r="80" spans="1:16" ht="15" customHeight="1" x14ac:dyDescent="0.25">
      <c r="A80" s="114">
        <v>3800</v>
      </c>
      <c r="B80" s="114" t="s">
        <v>294</v>
      </c>
      <c r="C80" s="115" t="s">
        <v>349</v>
      </c>
      <c r="D80" s="114" t="s">
        <v>36</v>
      </c>
      <c r="E80" s="116">
        <v>1</v>
      </c>
      <c r="F80" s="116">
        <v>0</v>
      </c>
      <c r="G80" s="116">
        <v>0</v>
      </c>
      <c r="H80" s="117">
        <f t="shared" si="3"/>
        <v>1</v>
      </c>
      <c r="I80" s="116"/>
      <c r="J80" s="173">
        <f>IFERROR(IF(H80+I80="","-",ROUND((H80+I80)/(IFERROR(IF(AVERAGEIF(TableBOM[Item ID],A80,TableBOM[Per 1000 Units])&gt;0,AVERAGEIF(TableBOM[Item ID],A80,TableBOM[Per 1000 Units]),AVERAGEIF(TableBOM[Material Category],B80,TableBOM[Per 1000 Units])),AVERAGEIF(TableBOM[Material Category],B80,TableBOM[Per 1000 Units]))/1000),0)),"-")</f>
        <v>11211</v>
      </c>
      <c r="K80" s="130"/>
      <c r="L80" s="119"/>
      <c r="M80" s="119"/>
      <c r="N80" s="119"/>
      <c r="O80" s="119"/>
      <c r="P80" s="119"/>
    </row>
    <row r="81" spans="1:11" ht="15" customHeight="1" x14ac:dyDescent="0.25">
      <c r="A81" s="189">
        <v>3857</v>
      </c>
      <c r="B81" s="189" t="s">
        <v>294</v>
      </c>
      <c r="C81" s="190" t="s">
        <v>293</v>
      </c>
      <c r="D81" s="189" t="s">
        <v>36</v>
      </c>
      <c r="E81" s="191">
        <v>0</v>
      </c>
      <c r="F81" s="191">
        <v>2</v>
      </c>
      <c r="G81" s="191">
        <v>1</v>
      </c>
      <c r="H81" s="192">
        <f t="shared" si="3"/>
        <v>1</v>
      </c>
      <c r="I81" s="191"/>
      <c r="J81" s="193">
        <f>IFERROR(IF(H81+I81="","-",ROUND((H81+I81)/(IFERROR(IF(AVERAGEIF(TableBOM[Item ID],A81,TableBOM[Per 1000 Units])&gt;0,AVERAGEIF(TableBOM[Item ID],A81,TableBOM[Per 1000 Units]),AVERAGEIF(TableBOM[Material Category],B81,TableBOM[Per 1000 Units])),AVERAGEIF(TableBOM[Material Category],B81,TableBOM[Per 1000 Units]))/1000),0)),"-")</f>
        <v>3030</v>
      </c>
      <c r="K81" s="167"/>
    </row>
    <row r="82" spans="1:11" ht="15" customHeight="1" x14ac:dyDescent="0.25">
      <c r="A82" s="189">
        <v>3858</v>
      </c>
      <c r="B82" s="189" t="s">
        <v>294</v>
      </c>
      <c r="C82" s="190" t="s">
        <v>350</v>
      </c>
      <c r="D82" s="189" t="s">
        <v>36</v>
      </c>
      <c r="E82" s="191">
        <v>0</v>
      </c>
      <c r="F82" s="191">
        <v>4</v>
      </c>
      <c r="G82" s="191">
        <v>3</v>
      </c>
      <c r="H82" s="192">
        <f t="shared" si="3"/>
        <v>1</v>
      </c>
      <c r="I82" s="191"/>
      <c r="J82" s="193">
        <f>IFERROR(IF(H82+I82="","-",ROUND((H82+I82)/(IFERROR(IF(AVERAGEIF(TableBOM[Item ID],A82,TableBOM[Per 1000 Units])&gt;0,AVERAGEIF(TableBOM[Item ID],A82,TableBOM[Per 1000 Units]),AVERAGEIF(TableBOM[Material Category],B82,TableBOM[Per 1000 Units])),AVERAGEIF(TableBOM[Material Category],B82,TableBOM[Per 1000 Units]))/1000),0)),"-")</f>
        <v>11211</v>
      </c>
      <c r="K82" s="167"/>
    </row>
    <row r="83" spans="1:11" ht="15" customHeight="1" x14ac:dyDescent="0.25">
      <c r="A83" s="114">
        <v>3955</v>
      </c>
      <c r="B83" s="114" t="s">
        <v>294</v>
      </c>
      <c r="C83" s="115" t="s">
        <v>298</v>
      </c>
      <c r="D83" s="114" t="s">
        <v>36</v>
      </c>
      <c r="E83" s="116">
        <v>1</v>
      </c>
      <c r="F83" s="116">
        <v>1</v>
      </c>
      <c r="G83" s="116">
        <v>0</v>
      </c>
      <c r="H83" s="117">
        <f t="shared" si="3"/>
        <v>2</v>
      </c>
      <c r="I83" s="116"/>
      <c r="J83" s="173">
        <f>IFERROR(IF(H83+I83="","-",ROUND((H83+I83)/(IFERROR(IF(AVERAGEIF(TableBOM[Item ID],A83,TableBOM[Per 1000 Units])&gt;0,AVERAGEIF(TableBOM[Item ID],A83,TableBOM[Per 1000 Units]),AVERAGEIF(TableBOM[Material Category],B83,TableBOM[Per 1000 Units])),AVERAGEIF(TableBOM[Material Category],B83,TableBOM[Per 1000 Units]))/1000),0)),"-")</f>
        <v>80000</v>
      </c>
    </row>
    <row r="84" spans="1:11" ht="15" customHeight="1" x14ac:dyDescent="0.25">
      <c r="A84" s="114">
        <v>3968</v>
      </c>
      <c r="B84" s="114" t="s">
        <v>294</v>
      </c>
      <c r="C84" s="115" t="s">
        <v>351</v>
      </c>
      <c r="D84" s="114" t="s">
        <v>36</v>
      </c>
      <c r="E84" s="116">
        <v>3</v>
      </c>
      <c r="F84" s="116">
        <v>0</v>
      </c>
      <c r="G84" s="116">
        <v>0</v>
      </c>
      <c r="H84" s="117">
        <f t="shared" si="3"/>
        <v>3</v>
      </c>
      <c r="I84" s="116"/>
      <c r="J84" s="173">
        <f>IFERROR(IF(H84+I84="","-",ROUND((H84+I84)/(IFERROR(IF(AVERAGEIF(TableBOM[Item ID],A84,TableBOM[Per 1000 Units])&gt;0,AVERAGEIF(TableBOM[Item ID],A84,TableBOM[Per 1000 Units]),AVERAGEIF(TableBOM[Material Category],B84,TableBOM[Per 1000 Units])),AVERAGEIF(TableBOM[Material Category],B84,TableBOM[Per 1000 Units]))/1000),0)),"-")</f>
        <v>33632</v>
      </c>
    </row>
    <row r="85" spans="1:11" ht="15" customHeight="1" x14ac:dyDescent="0.25">
      <c r="A85" s="114">
        <v>4216</v>
      </c>
      <c r="B85" s="114" t="s">
        <v>294</v>
      </c>
      <c r="C85" s="115" t="s">
        <v>352</v>
      </c>
      <c r="D85" s="114" t="s">
        <v>36</v>
      </c>
      <c r="E85" s="116">
        <v>1</v>
      </c>
      <c r="F85" s="116">
        <v>0</v>
      </c>
      <c r="G85" s="116">
        <v>0</v>
      </c>
      <c r="H85" s="117">
        <f t="shared" si="3"/>
        <v>1</v>
      </c>
      <c r="I85" s="116"/>
      <c r="J85" s="173">
        <f>IFERROR(IF(H85+I85="","-",ROUND((H85+I85)/(IFERROR(IF(AVERAGEIF(TableBOM[Item ID],A85,TableBOM[Per 1000 Units])&gt;0,AVERAGEIF(TableBOM[Item ID],A85,TableBOM[Per 1000 Units]),AVERAGEIF(TableBOM[Material Category],B85,TableBOM[Per 1000 Units])),AVERAGEIF(TableBOM[Material Category],B85,TableBOM[Per 1000 Units]))/1000),0)),"-")</f>
        <v>11211</v>
      </c>
    </row>
    <row r="86" spans="1:11" ht="15" customHeight="1" x14ac:dyDescent="0.25">
      <c r="A86" s="114">
        <v>4306</v>
      </c>
      <c r="B86" s="114" t="s">
        <v>294</v>
      </c>
      <c r="C86" s="115" t="s">
        <v>353</v>
      </c>
      <c r="D86" s="114" t="s">
        <v>36</v>
      </c>
      <c r="E86" s="116">
        <v>3</v>
      </c>
      <c r="F86" s="116">
        <v>0</v>
      </c>
      <c r="G86" s="116">
        <v>0</v>
      </c>
      <c r="H86" s="117">
        <f t="shared" si="3"/>
        <v>3</v>
      </c>
      <c r="I86" s="116"/>
      <c r="J86" s="173">
        <f>IFERROR(IF(H86+I86="","-",ROUND((H86+I86)/(IFERROR(IF(AVERAGEIF(TableBOM[Item ID],A86,TableBOM[Per 1000 Units])&gt;0,AVERAGEIF(TableBOM[Item ID],A86,TableBOM[Per 1000 Units]),AVERAGEIF(TableBOM[Material Category],B86,TableBOM[Per 1000 Units])),AVERAGEIF(TableBOM[Material Category],B86,TableBOM[Per 1000 Units]))/1000),0)),"-")</f>
        <v>33632</v>
      </c>
    </row>
    <row r="87" spans="1:11" ht="15" customHeight="1" x14ac:dyDescent="0.25">
      <c r="A87" s="114">
        <v>5107</v>
      </c>
      <c r="B87" s="114" t="s">
        <v>294</v>
      </c>
      <c r="C87" s="115" t="s">
        <v>354</v>
      </c>
      <c r="D87" s="114" t="s">
        <v>36</v>
      </c>
      <c r="E87" s="116">
        <v>3</v>
      </c>
      <c r="F87" s="116">
        <v>0</v>
      </c>
      <c r="G87" s="116">
        <v>2</v>
      </c>
      <c r="H87" s="117">
        <f t="shared" si="3"/>
        <v>1</v>
      </c>
      <c r="I87" s="116"/>
      <c r="J87" s="173">
        <f>IFERROR(IF(H87+I87="","-",ROUND((H87+I87)/(IFERROR(IF(AVERAGEIF(TableBOM[Item ID],A87,TableBOM[Per 1000 Units])&gt;0,AVERAGEIF(TableBOM[Item ID],A87,TableBOM[Per 1000 Units]),AVERAGEIF(TableBOM[Material Category],B87,TableBOM[Per 1000 Units])),AVERAGEIF(TableBOM[Material Category],B87,TableBOM[Per 1000 Units]))/1000),0)),"-")</f>
        <v>11211</v>
      </c>
    </row>
    <row r="88" spans="1:11" ht="15" customHeight="1" x14ac:dyDescent="0.25">
      <c r="A88" s="189">
        <v>6038</v>
      </c>
      <c r="B88" s="189" t="s">
        <v>294</v>
      </c>
      <c r="C88" s="190" t="s">
        <v>355</v>
      </c>
      <c r="D88" s="189" t="s">
        <v>36</v>
      </c>
      <c r="E88" s="191">
        <v>0</v>
      </c>
      <c r="F88" s="191">
        <v>1</v>
      </c>
      <c r="G88" s="191">
        <v>0</v>
      </c>
      <c r="H88" s="192">
        <f t="shared" si="3"/>
        <v>1</v>
      </c>
      <c r="I88" s="191"/>
      <c r="J88" s="193">
        <f>IFERROR(IF(H88+I88="","-",ROUND((H88+I88)/(IFERROR(IF(AVERAGEIF(TableBOM[Item ID],A88,TableBOM[Per 1000 Units])&gt;0,AVERAGEIF(TableBOM[Item ID],A88,TableBOM[Per 1000 Units]),AVERAGEIF(TableBOM[Material Category],B88,TableBOM[Per 1000 Units])),AVERAGEIF(TableBOM[Material Category],B88,TableBOM[Per 1000 Units]))/1000),0)),"-")</f>
        <v>11211</v>
      </c>
      <c r="K88" s="164"/>
    </row>
    <row r="89" spans="1:11" ht="15" customHeight="1" x14ac:dyDescent="0.25">
      <c r="A89" s="114">
        <v>6040</v>
      </c>
      <c r="B89" s="114" t="s">
        <v>294</v>
      </c>
      <c r="C89" s="115" t="s">
        <v>356</v>
      </c>
      <c r="D89" s="114" t="s">
        <v>36</v>
      </c>
      <c r="E89" s="116">
        <v>1</v>
      </c>
      <c r="F89" s="116">
        <v>0</v>
      </c>
      <c r="G89" s="116">
        <v>1</v>
      </c>
      <c r="H89" s="117">
        <f t="shared" si="3"/>
        <v>0</v>
      </c>
      <c r="I89" s="116"/>
      <c r="J89" s="173">
        <f>IFERROR(IF(H89+I89="","-",ROUND((H89+I89)/(IFERROR(IF(AVERAGEIF(TableBOM[Item ID],A89,TableBOM[Per 1000 Units])&gt;0,AVERAGEIF(TableBOM[Item ID],A89,TableBOM[Per 1000 Units]),AVERAGEIF(TableBOM[Material Category],B89,TableBOM[Per 1000 Units])),AVERAGEIF(TableBOM[Material Category],B89,TableBOM[Per 1000 Units]))/1000),0)),"-")</f>
        <v>0</v>
      </c>
    </row>
    <row r="90" spans="1:11" ht="15" customHeight="1" x14ac:dyDescent="0.25">
      <c r="A90" s="160">
        <v>6935</v>
      </c>
      <c r="B90" s="160" t="s">
        <v>294</v>
      </c>
      <c r="C90" s="161" t="s">
        <v>300</v>
      </c>
      <c r="D90" s="160" t="s">
        <v>36</v>
      </c>
      <c r="E90" s="162">
        <v>0</v>
      </c>
      <c r="F90" s="162">
        <v>0</v>
      </c>
      <c r="G90" s="162">
        <v>0</v>
      </c>
      <c r="H90" s="163">
        <f t="shared" si="3"/>
        <v>0</v>
      </c>
      <c r="I90" s="162"/>
      <c r="J90" s="172">
        <f>IFERROR(IF(H90+I90="","-",ROUND((H90+I90)/(IFERROR(IF(AVERAGEIF(TableBOM[Item ID],A90,TableBOM[Per 1000 Units])&gt;0,AVERAGEIF(TableBOM[Item ID],A90,TableBOM[Per 1000 Units]),AVERAGEIF(TableBOM[Material Category],B90,TableBOM[Per 1000 Units])),AVERAGEIF(TableBOM[Material Category],B90,TableBOM[Per 1000 Units]))/1000),0)),"-")</f>
        <v>0</v>
      </c>
      <c r="K90" s="164" t="s">
        <v>330</v>
      </c>
    </row>
    <row r="91" spans="1:11" ht="15" customHeight="1" x14ac:dyDescent="0.25">
      <c r="A91" s="160">
        <v>7094</v>
      </c>
      <c r="B91" s="160" t="s">
        <v>294</v>
      </c>
      <c r="C91" s="161" t="s">
        <v>357</v>
      </c>
      <c r="D91" s="160" t="s">
        <v>36</v>
      </c>
      <c r="E91" s="162">
        <v>0</v>
      </c>
      <c r="F91" s="162">
        <v>0</v>
      </c>
      <c r="G91" s="162">
        <v>0</v>
      </c>
      <c r="H91" s="163">
        <f t="shared" si="3"/>
        <v>0</v>
      </c>
      <c r="I91" s="162"/>
      <c r="J91" s="172">
        <f>IFERROR(IF(H91+I91="","-",ROUND((H91+I91)/(IFERROR(IF(AVERAGEIF(TableBOM[Item ID],A91,TableBOM[Per 1000 Units])&gt;0,AVERAGEIF(TableBOM[Item ID],A91,TableBOM[Per 1000 Units]),AVERAGEIF(TableBOM[Material Category],B91,TableBOM[Per 1000 Units])),AVERAGEIF(TableBOM[Material Category],B91,TableBOM[Per 1000 Units]))/1000),0)),"-")</f>
        <v>0</v>
      </c>
      <c r="K91" s="164" t="s">
        <v>330</v>
      </c>
    </row>
    <row r="92" spans="1:11" ht="15" customHeight="1" x14ac:dyDescent="0.25">
      <c r="A92" s="160">
        <v>7095</v>
      </c>
      <c r="B92" s="160" t="s">
        <v>294</v>
      </c>
      <c r="C92" s="161" t="s">
        <v>358</v>
      </c>
      <c r="D92" s="160" t="s">
        <v>36</v>
      </c>
      <c r="E92" s="162">
        <v>0</v>
      </c>
      <c r="F92" s="162">
        <v>0</v>
      </c>
      <c r="G92" s="162">
        <v>0</v>
      </c>
      <c r="H92" s="163">
        <f t="shared" si="3"/>
        <v>0</v>
      </c>
      <c r="I92" s="162"/>
      <c r="J92" s="172">
        <f>IFERROR(IF(H92+I92="","-",ROUND((H92+I92)/(IFERROR(IF(AVERAGEIF(TableBOM[Item ID],A92,TableBOM[Per 1000 Units])&gt;0,AVERAGEIF(TableBOM[Item ID],A92,TableBOM[Per 1000 Units]),AVERAGEIF(TableBOM[Material Category],B92,TableBOM[Per 1000 Units])),AVERAGEIF(TableBOM[Material Category],B92,TableBOM[Per 1000 Units]))/1000),0)),"-")</f>
        <v>0</v>
      </c>
      <c r="K92" s="164" t="s">
        <v>330</v>
      </c>
    </row>
    <row r="93" spans="1:11" ht="15" customHeight="1" x14ac:dyDescent="0.25">
      <c r="A93" s="189">
        <v>7152</v>
      </c>
      <c r="B93" s="189" t="s">
        <v>294</v>
      </c>
      <c r="C93" s="190" t="s">
        <v>359</v>
      </c>
      <c r="D93" s="189" t="s">
        <v>36</v>
      </c>
      <c r="E93" s="191">
        <v>0</v>
      </c>
      <c r="F93" s="191">
        <v>1</v>
      </c>
      <c r="G93" s="191">
        <v>1</v>
      </c>
      <c r="H93" s="192">
        <f t="shared" si="3"/>
        <v>0</v>
      </c>
      <c r="I93" s="191"/>
      <c r="J93" s="193">
        <f>IFERROR(IF(H93+I93="","-",ROUND((H93+I93)/(IFERROR(IF(AVERAGEIF(TableBOM[Item ID],A93,TableBOM[Per 1000 Units])&gt;0,AVERAGEIF(TableBOM[Item ID],A93,TableBOM[Per 1000 Units]),AVERAGEIF(TableBOM[Material Category],B93,TableBOM[Per 1000 Units])),AVERAGEIF(TableBOM[Material Category],B93,TableBOM[Per 1000 Units]))/1000),0)),"-")</f>
        <v>0</v>
      </c>
      <c r="K93" s="167"/>
    </row>
    <row r="94" spans="1:11" ht="18.75" customHeight="1" x14ac:dyDescent="0.25">
      <c r="A94" s="25">
        <v>7398</v>
      </c>
      <c r="B94" s="25" t="s">
        <v>294</v>
      </c>
      <c r="C94" s="26" t="s">
        <v>360</v>
      </c>
      <c r="D94" s="25" t="s">
        <v>36</v>
      </c>
      <c r="E94" s="27">
        <v>1</v>
      </c>
      <c r="F94" s="27">
        <v>0</v>
      </c>
      <c r="G94" s="27">
        <v>0</v>
      </c>
      <c r="H94" s="28">
        <f t="shared" si="3"/>
        <v>1</v>
      </c>
      <c r="I94" s="27"/>
      <c r="J94" s="171">
        <f>IFERROR(IF(H94+I94="","-",ROUND((H94+I94)/(IFERROR(IF(AVERAGEIF(TableBOM[Item ID],A94,TableBOM[Per 1000 Units])&gt;0,AVERAGEIF(TableBOM[Item ID],A94,TableBOM[Per 1000 Units]),AVERAGEIF(TableBOM[Material Category],B94,TableBOM[Per 1000 Units])),AVERAGEIF(TableBOM[Material Category],B94,TableBOM[Per 1000 Units]))/1000),0)),"-")</f>
        <v>11211</v>
      </c>
    </row>
    <row r="95" spans="1:11" ht="36" customHeight="1" x14ac:dyDescent="0.25"/>
    <row r="96" spans="1:11" ht="18.75" customHeight="1" x14ac:dyDescent="0.35">
      <c r="A96" s="48" t="s">
        <v>361</v>
      </c>
      <c r="B96" s="49"/>
      <c r="C96" s="49"/>
      <c r="D96" s="49"/>
      <c r="E96" s="49"/>
      <c r="F96" s="49"/>
      <c r="G96" s="49"/>
      <c r="H96" s="49"/>
      <c r="I96" s="49"/>
      <c r="J96" s="177">
        <f ca="1">TODAY()</f>
        <v>46316</v>
      </c>
    </row>
    <row r="97" spans="1:11" ht="36" customHeight="1" x14ac:dyDescent="0.25">
      <c r="A97" s="12" t="s">
        <v>25</v>
      </c>
      <c r="B97" s="12" t="s">
        <v>26</v>
      </c>
      <c r="C97" s="12" t="s">
        <v>316</v>
      </c>
      <c r="D97" s="12" t="s">
        <v>28</v>
      </c>
      <c r="E97" s="12" t="s">
        <v>317</v>
      </c>
      <c r="F97" s="12" t="s">
        <v>318</v>
      </c>
      <c r="G97" s="12" t="s">
        <v>319</v>
      </c>
      <c r="H97" s="12" t="s">
        <v>320</v>
      </c>
      <c r="I97" s="12" t="s">
        <v>327</v>
      </c>
      <c r="J97" s="126" t="s">
        <v>328</v>
      </c>
    </row>
    <row r="98" spans="1:11" ht="15" customHeight="1" x14ac:dyDescent="0.25">
      <c r="A98" s="25">
        <v>2680</v>
      </c>
      <c r="B98" s="25" t="s">
        <v>307</v>
      </c>
      <c r="C98" s="26" t="s">
        <v>114</v>
      </c>
      <c r="D98" s="25" t="s">
        <v>36</v>
      </c>
      <c r="E98" s="27">
        <v>3750</v>
      </c>
      <c r="F98" s="27">
        <v>0</v>
      </c>
      <c r="G98" s="27">
        <v>3700</v>
      </c>
      <c r="H98" s="28">
        <f t="shared" ref="H98:H113" si="4">E98+F98-G98</f>
        <v>50</v>
      </c>
      <c r="I98" s="27">
        <v>0</v>
      </c>
      <c r="J98" s="171">
        <f>IFERROR(IF(H98+I98="","-",ROUND((H98+I98)/(IFERROR(IF(AVERAGEIF(TableBOM[Item ID],A98,TableBOM[Per 1000 Units])&gt;0,AVERAGEIF(TableBOM[Item ID],A98,TableBOM[Per 1000 Units]),AVERAGEIF(TableBOM[Material Category],B98,TableBOM[Per 1000 Units])),AVERAGEIF(TableBOM[Material Category],B98,TableBOM[Per 1000 Units]))/1000),0)),"-")</f>
        <v>2192</v>
      </c>
    </row>
    <row r="99" spans="1:11" s="131" customFormat="1" ht="15" hidden="1" customHeight="1" x14ac:dyDescent="0.25">
      <c r="A99" s="25">
        <v>3492</v>
      </c>
      <c r="B99" s="25" t="s">
        <v>313</v>
      </c>
      <c r="C99" s="26" t="s">
        <v>116</v>
      </c>
      <c r="D99" s="25" t="s">
        <v>36</v>
      </c>
      <c r="E99" s="27">
        <v>75</v>
      </c>
      <c r="F99" s="27">
        <v>0</v>
      </c>
      <c r="G99" s="27">
        <v>0</v>
      </c>
      <c r="H99" s="28">
        <f t="shared" si="4"/>
        <v>75</v>
      </c>
      <c r="I99" s="27">
        <v>0</v>
      </c>
      <c r="J99" s="171">
        <f>IFERROR(IF(H99+I99="","-",ROUND((H99+I99)/(IFERROR(IF(AVERAGEIF(TableBOM[Item ID],A99,TableBOM[Per 1000 Units])&gt;0,AVERAGEIF(TableBOM[Item ID],A99,TableBOM[Per 1000 Units]),AVERAGEIF(TableBOM[Material Category],B99,TableBOM[Per 1000 Units])),AVERAGEIF(TableBOM[Material Category],B99,TableBOM[Per 1000 Units]))/1000),0)),"-")</f>
        <v>77519</v>
      </c>
    </row>
    <row r="100" spans="1:11" ht="15" customHeight="1" x14ac:dyDescent="0.25">
      <c r="A100" s="25">
        <v>4002</v>
      </c>
      <c r="B100" s="25" t="s">
        <v>313</v>
      </c>
      <c r="C100" s="26" t="s">
        <v>117</v>
      </c>
      <c r="D100" s="25" t="s">
        <v>36</v>
      </c>
      <c r="E100" s="27">
        <v>25</v>
      </c>
      <c r="F100" s="27">
        <v>0</v>
      </c>
      <c r="G100" s="27">
        <v>0</v>
      </c>
      <c r="H100" s="28">
        <f t="shared" si="4"/>
        <v>25</v>
      </c>
      <c r="I100" s="27">
        <v>0</v>
      </c>
      <c r="J100" s="171">
        <f>IFERROR(IF(H100+I100="","-",ROUND((H100+I100)/(IFERROR(IF(AVERAGEIF(TableBOM[Item ID],A100,TableBOM[Per 1000 Units])&gt;0,AVERAGEIF(TableBOM[Item ID],A100,TableBOM[Per 1000 Units]),AVERAGEIF(TableBOM[Material Category],B100,TableBOM[Per 1000 Units])),AVERAGEIF(TableBOM[Material Category],B100,TableBOM[Per 1000 Units]))/1000),0)),"-")</f>
        <v>23256</v>
      </c>
    </row>
    <row r="101" spans="1:11" ht="15" hidden="1" customHeight="1" x14ac:dyDescent="0.25">
      <c r="A101" s="160">
        <v>4070</v>
      </c>
      <c r="B101" s="160" t="s">
        <v>313</v>
      </c>
      <c r="C101" s="161" t="s">
        <v>362</v>
      </c>
      <c r="D101" s="160" t="s">
        <v>36</v>
      </c>
      <c r="E101" s="162">
        <v>0</v>
      </c>
      <c r="F101" s="162">
        <v>0</v>
      </c>
      <c r="G101" s="162">
        <v>0</v>
      </c>
      <c r="H101" s="163">
        <f t="shared" si="4"/>
        <v>0</v>
      </c>
      <c r="I101" s="162">
        <v>0</v>
      </c>
      <c r="J101" s="172">
        <f>IFERROR(IF(H101+I101="","-",ROUND((H101+I101)/(IFERROR(IF(AVERAGEIF(TableBOM[Item ID],A101,TableBOM[Per 1000 Units])&gt;0,AVERAGEIF(TableBOM[Item ID],A101,TableBOM[Per 1000 Units]),AVERAGEIF(TableBOM[Material Category],B101,TableBOM[Per 1000 Units])),AVERAGEIF(TableBOM[Material Category],B101,TableBOM[Per 1000 Units]))/1000),0)),"-")</f>
        <v>0</v>
      </c>
      <c r="K101" s="164" t="s">
        <v>330</v>
      </c>
    </row>
    <row r="102" spans="1:11" s="131" customFormat="1" ht="15" hidden="1" customHeight="1" x14ac:dyDescent="0.25">
      <c r="A102" s="25">
        <v>4310</v>
      </c>
      <c r="B102" s="25" t="s">
        <v>313</v>
      </c>
      <c r="C102" s="26" t="s">
        <v>118</v>
      </c>
      <c r="D102" s="25" t="s">
        <v>36</v>
      </c>
      <c r="E102" s="27">
        <v>36.229999999999997</v>
      </c>
      <c r="F102" s="27">
        <v>0</v>
      </c>
      <c r="G102" s="27">
        <v>0</v>
      </c>
      <c r="H102" s="28">
        <f t="shared" si="4"/>
        <v>36.229999999999997</v>
      </c>
      <c r="I102" s="27">
        <v>0</v>
      </c>
      <c r="J102" s="171">
        <f>IFERROR(IF(H102+I102="","-",ROUND((H102+I102)/(IFERROR(IF(AVERAGEIF(TableBOM[Item ID],A102,TableBOM[Per 1000 Units])&gt;0,AVERAGEIF(TableBOM[Item ID],A102,TableBOM[Per 1000 Units]),AVERAGEIF(TableBOM[Material Category],B102,TableBOM[Per 1000 Units])),AVERAGEIF(TableBOM[Material Category],B102,TableBOM[Per 1000 Units]))/1000),0)),"-")</f>
        <v>37447</v>
      </c>
    </row>
    <row r="103" spans="1:11" ht="15" customHeight="1" x14ac:dyDescent="0.25">
      <c r="A103" s="25">
        <v>5625</v>
      </c>
      <c r="B103" s="25" t="s">
        <v>313</v>
      </c>
      <c r="C103" s="26" t="s">
        <v>119</v>
      </c>
      <c r="D103" s="25" t="s">
        <v>36</v>
      </c>
      <c r="E103" s="27">
        <v>48.5</v>
      </c>
      <c r="F103" s="27">
        <v>0</v>
      </c>
      <c r="G103" s="27">
        <v>0</v>
      </c>
      <c r="H103" s="28">
        <f t="shared" si="4"/>
        <v>48.5</v>
      </c>
      <c r="I103" s="27">
        <v>0</v>
      </c>
      <c r="J103" s="171">
        <f>IFERROR(IF(H103+I103="","-",ROUND((H103+I103)/(IFERROR(IF(AVERAGEIF(TableBOM[Item ID],A103,TableBOM[Per 1000 Units])&gt;0,AVERAGEIF(TableBOM[Item ID],A103,TableBOM[Per 1000 Units]),AVERAGEIF(TableBOM[Material Category],B103,TableBOM[Per 1000 Units])),AVERAGEIF(TableBOM[Material Category],B103,TableBOM[Per 1000 Units]))/1000),0)),"-")</f>
        <v>50129</v>
      </c>
    </row>
    <row r="104" spans="1:11" ht="15" hidden="1" customHeight="1" x14ac:dyDescent="0.25">
      <c r="A104" s="160">
        <v>5816</v>
      </c>
      <c r="B104" s="160" t="s">
        <v>313</v>
      </c>
      <c r="C104" s="161" t="s">
        <v>120</v>
      </c>
      <c r="D104" s="160" t="s">
        <v>36</v>
      </c>
      <c r="E104" s="162">
        <v>0</v>
      </c>
      <c r="F104" s="162">
        <v>0</v>
      </c>
      <c r="G104" s="162">
        <v>0</v>
      </c>
      <c r="H104" s="163">
        <f t="shared" si="4"/>
        <v>0</v>
      </c>
      <c r="I104" s="162">
        <v>0</v>
      </c>
      <c r="J104" s="172">
        <f>IFERROR(IF(H104+I104="","-",ROUND((H104+I104)/(IFERROR(IF(AVERAGEIF(TableBOM[Item ID],A104,TableBOM[Per 1000 Units])&gt;0,AVERAGEIF(TableBOM[Item ID],A104,TableBOM[Per 1000 Units]),AVERAGEIF(TableBOM[Material Category],B104,TableBOM[Per 1000 Units])),AVERAGEIF(TableBOM[Material Category],B104,TableBOM[Per 1000 Units]))/1000),0)),"-")</f>
        <v>0</v>
      </c>
      <c r="K104" s="164" t="s">
        <v>330</v>
      </c>
    </row>
    <row r="105" spans="1:11" ht="15" customHeight="1" x14ac:dyDescent="0.25">
      <c r="A105" s="25">
        <v>6135</v>
      </c>
      <c r="B105" s="25" t="s">
        <v>313</v>
      </c>
      <c r="C105" s="26" t="s">
        <v>121</v>
      </c>
      <c r="D105" s="25" t="s">
        <v>36</v>
      </c>
      <c r="E105" s="27">
        <v>200</v>
      </c>
      <c r="F105" s="27">
        <v>0</v>
      </c>
      <c r="G105" s="27">
        <v>0</v>
      </c>
      <c r="H105" s="28">
        <f t="shared" si="4"/>
        <v>200</v>
      </c>
      <c r="I105" s="27">
        <v>0</v>
      </c>
      <c r="J105" s="171">
        <f>IFERROR(IF(H105+I105="","-",ROUND((H105+I105)/(IFERROR(IF(AVERAGEIF(TableBOM[Item ID],A105,TableBOM[Per 1000 Units])&gt;0,AVERAGEIF(TableBOM[Item ID],A105,TableBOM[Per 1000 Units]),AVERAGEIF(TableBOM[Material Category],B105,TableBOM[Per 1000 Units])),AVERAGEIF(TableBOM[Material Category],B105,TableBOM[Per 1000 Units]))/1000),0)),"-")</f>
        <v>206718</v>
      </c>
    </row>
    <row r="106" spans="1:11" ht="15" customHeight="1" x14ac:dyDescent="0.25">
      <c r="A106" s="25">
        <v>7133</v>
      </c>
      <c r="B106" s="25" t="s">
        <v>313</v>
      </c>
      <c r="C106" s="26" t="s">
        <v>122</v>
      </c>
      <c r="D106" s="25" t="s">
        <v>36</v>
      </c>
      <c r="E106" s="27">
        <v>20</v>
      </c>
      <c r="F106" s="27">
        <v>0</v>
      </c>
      <c r="G106" s="27">
        <v>0</v>
      </c>
      <c r="H106" s="28">
        <f t="shared" si="4"/>
        <v>20</v>
      </c>
      <c r="I106" s="27">
        <v>0</v>
      </c>
      <c r="J106" s="171">
        <f>IFERROR(IF(H106+I106="","-",ROUND((H106+I106)/(IFERROR(IF(AVERAGEIF(TableBOM[Item ID],A106,TableBOM[Per 1000 Units])&gt;0,AVERAGEIF(TableBOM[Item ID],A106,TableBOM[Per 1000 Units]),AVERAGEIF(TableBOM[Material Category],B106,TableBOM[Per 1000 Units])),AVERAGEIF(TableBOM[Material Category],B106,TableBOM[Per 1000 Units]))/1000),0)),"-")</f>
        <v>20672</v>
      </c>
    </row>
    <row r="107" spans="1:11" ht="15" customHeight="1" x14ac:dyDescent="0.25">
      <c r="A107" s="25">
        <v>7412</v>
      </c>
      <c r="B107" s="25" t="s">
        <v>313</v>
      </c>
      <c r="C107" s="26" t="s">
        <v>123</v>
      </c>
      <c r="D107" s="25" t="s">
        <v>36</v>
      </c>
      <c r="E107" s="27">
        <v>25</v>
      </c>
      <c r="F107" s="27">
        <v>0</v>
      </c>
      <c r="G107" s="27">
        <v>0</v>
      </c>
      <c r="H107" s="28">
        <f t="shared" si="4"/>
        <v>25</v>
      </c>
      <c r="I107" s="27">
        <v>0</v>
      </c>
      <c r="J107" s="171">
        <f>IFERROR(IF(H107+I107="","-",ROUND((H107+I107)/(IFERROR(IF(AVERAGEIF(TableBOM[Item ID],A107,TableBOM[Per 1000 Units])&gt;0,AVERAGEIF(TableBOM[Item ID],A107,TableBOM[Per 1000 Units]),AVERAGEIF(TableBOM[Material Category],B107,TableBOM[Per 1000 Units])),AVERAGEIF(TableBOM[Material Category],B107,TableBOM[Per 1000 Units]))/1000),0)),"-")</f>
        <v>38760</v>
      </c>
    </row>
    <row r="108" spans="1:11" ht="15" customHeight="1" x14ac:dyDescent="0.25">
      <c r="A108" s="25">
        <v>2267</v>
      </c>
      <c r="B108" s="25" t="s">
        <v>150</v>
      </c>
      <c r="C108" s="26" t="s">
        <v>129</v>
      </c>
      <c r="D108" s="25" t="s">
        <v>73</v>
      </c>
      <c r="E108" s="27">
        <v>328</v>
      </c>
      <c r="F108" s="27">
        <v>0</v>
      </c>
      <c r="G108" s="27">
        <v>53</v>
      </c>
      <c r="H108" s="28">
        <f t="shared" si="4"/>
        <v>275</v>
      </c>
      <c r="I108" s="27"/>
      <c r="J108" s="171">
        <f>IFERROR(IF(H108+I108="","-",ROUND((H108+I108)/(IFERROR(IF(AVERAGEIF(TableBOM[Item ID],A108,TableBOM[Per 1000 Units])&gt;0,AVERAGEIF(TableBOM[Item ID],A108,TableBOM[Per 1000 Units]),AVERAGEIF(TableBOM[Material Category],B108,TableBOM[Per 1000 Units])),AVERAGEIF(TableBOM[Material Category],B108,TableBOM[Per 1000 Units]))/1000),0)),"-")</f>
        <v>31980</v>
      </c>
    </row>
    <row r="109" spans="1:11" ht="15" customHeight="1" x14ac:dyDescent="0.25">
      <c r="A109" s="25">
        <v>3006</v>
      </c>
      <c r="B109" s="25" t="s">
        <v>150</v>
      </c>
      <c r="C109" s="26" t="s">
        <v>151</v>
      </c>
      <c r="D109" s="25" t="s">
        <v>73</v>
      </c>
      <c r="E109" s="27">
        <v>150</v>
      </c>
      <c r="F109" s="27">
        <v>0</v>
      </c>
      <c r="G109" s="27">
        <v>0</v>
      </c>
      <c r="H109" s="28">
        <f t="shared" si="4"/>
        <v>150</v>
      </c>
      <c r="I109" s="27"/>
      <c r="J109" s="171">
        <f>IFERROR(IF(H109+I109="","-",ROUND((H109+I109)/(IFERROR(IF(AVERAGEIF(TableBOM[Item ID],A109,TableBOM[Per 1000 Units])&gt;0,AVERAGEIF(TableBOM[Item ID],A109,TableBOM[Per 1000 Units]),AVERAGEIF(TableBOM[Material Category],B109,TableBOM[Per 1000 Units])),AVERAGEIF(TableBOM[Material Category],B109,TableBOM[Per 1000 Units]))/1000),0)),"-")</f>
        <v>15120</v>
      </c>
    </row>
    <row r="110" spans="1:11" ht="15" customHeight="1" x14ac:dyDescent="0.25">
      <c r="A110" s="25">
        <v>3752</v>
      </c>
      <c r="B110" s="25" t="s">
        <v>363</v>
      </c>
      <c r="C110" s="26" t="s">
        <v>125</v>
      </c>
      <c r="D110" s="25" t="s">
        <v>36</v>
      </c>
      <c r="E110" s="27">
        <v>56</v>
      </c>
      <c r="F110" s="27">
        <v>0</v>
      </c>
      <c r="G110" s="27">
        <v>0</v>
      </c>
      <c r="H110" s="28">
        <f t="shared" si="4"/>
        <v>56</v>
      </c>
      <c r="I110" s="27"/>
      <c r="J110" s="171" t="str">
        <f>IFERROR(IF(H110+I110="","-",ROUND((H110+I110)/(IFERROR(IF(AVERAGEIF(TableBOM[Item ID],A110,TableBOM[Per 1000 Units])&gt;0,AVERAGEIF(TableBOM[Item ID],A110,TableBOM[Per 1000 Units]),AVERAGEIF(TableBOM[Material Category],B110,TableBOM[Per 1000 Units])),AVERAGEIF(TableBOM[Material Category],B110,TableBOM[Per 1000 Units]))/1000),0)),"-")</f>
        <v>-</v>
      </c>
    </row>
    <row r="111" spans="1:11" ht="15" customHeight="1" x14ac:dyDescent="0.25">
      <c r="A111" s="25">
        <v>4248</v>
      </c>
      <c r="B111" s="25" t="s">
        <v>363</v>
      </c>
      <c r="C111" s="26" t="s">
        <v>126</v>
      </c>
      <c r="D111" s="25" t="s">
        <v>36</v>
      </c>
      <c r="E111" s="27">
        <v>250</v>
      </c>
      <c r="F111" s="27">
        <v>0</v>
      </c>
      <c r="G111" s="27">
        <v>0</v>
      </c>
      <c r="H111" s="28">
        <f t="shared" si="4"/>
        <v>250</v>
      </c>
      <c r="I111" s="27"/>
      <c r="J111" s="171" t="str">
        <f>IFERROR(IF(H111+I111="","-",ROUND((H111+I111)/(IFERROR(IF(AVERAGEIF(TableBOM[Item ID],A111,TableBOM[Per 1000 Units])&gt;0,AVERAGEIF(TableBOM[Item ID],A111,TableBOM[Per 1000 Units]),AVERAGEIF(TableBOM[Material Category],B111,TableBOM[Per 1000 Units])),AVERAGEIF(TableBOM[Material Category],B111,TableBOM[Per 1000 Units]))/1000),0)),"-")</f>
        <v>-</v>
      </c>
    </row>
    <row r="112" spans="1:11" x14ac:dyDescent="0.25">
      <c r="A112" s="25">
        <v>6042</v>
      </c>
      <c r="B112" s="25" t="s">
        <v>363</v>
      </c>
      <c r="C112" s="26" t="s">
        <v>127</v>
      </c>
      <c r="D112" s="25" t="s">
        <v>36</v>
      </c>
      <c r="E112" s="27">
        <v>25</v>
      </c>
      <c r="F112" s="27">
        <v>0</v>
      </c>
      <c r="G112" s="27">
        <v>0</v>
      </c>
      <c r="H112" s="28">
        <f t="shared" si="4"/>
        <v>25</v>
      </c>
      <c r="I112" s="27"/>
      <c r="J112" s="171" t="str">
        <f>IFERROR(IF(H112+I112="","-",ROUND((H112+I112)/(IFERROR(IF(AVERAGEIF(TableBOM[Item ID],A112,TableBOM[Per 1000 Units])&gt;0,AVERAGEIF(TableBOM[Item ID],A112,TableBOM[Per 1000 Units]),AVERAGEIF(TableBOM[Material Category],B112,TableBOM[Per 1000 Units])),AVERAGEIF(TableBOM[Material Category],B112,TableBOM[Per 1000 Units]))/1000),0)),"-")</f>
        <v>-</v>
      </c>
    </row>
    <row r="113" spans="1:11" x14ac:dyDescent="0.25">
      <c r="A113" s="160">
        <v>3043</v>
      </c>
      <c r="B113" s="160" t="s">
        <v>311</v>
      </c>
      <c r="C113" s="161" t="s">
        <v>131</v>
      </c>
      <c r="D113" s="160" t="s">
        <v>132</v>
      </c>
      <c r="E113" s="162">
        <v>0</v>
      </c>
      <c r="F113" s="162">
        <v>0</v>
      </c>
      <c r="G113" s="162">
        <v>0</v>
      </c>
      <c r="H113" s="163">
        <f t="shared" si="4"/>
        <v>0</v>
      </c>
      <c r="I113" s="162"/>
      <c r="J113" s="172">
        <f>IFERROR(IF(H113+I113="","-",ROUND((H113+I113)/(IFERROR(IF(AVERAGEIF(TableBOM[Item ID],A113,TableBOM[Per 1000 Units])&gt;0,AVERAGEIF(TableBOM[Item ID],A113,TableBOM[Per 1000 Units]),AVERAGEIF(TableBOM[Material Category],B113,TableBOM[Per 1000 Units])),AVERAGEIF(TableBOM[Material Category],B113,TableBOM[Per 1000 Units]))/1000),0)),"-")</f>
        <v>0</v>
      </c>
      <c r="K113" s="167" t="s">
        <v>330</v>
      </c>
    </row>
  </sheetData>
  <mergeCells count="1">
    <mergeCell ref="A1:H1"/>
  </mergeCells>
  <conditionalFormatting sqref="J3:J11 J13:J82">
    <cfRule type="containsText" dxfId="6" priority="2" operator="containsText" text="BOM Missing">
      <formula>NOT(ISERROR(SEARCH("BOM Missing",J3)))</formula>
    </cfRule>
  </conditionalFormatting>
  <conditionalFormatting sqref="K3:K12">
    <cfRule type="cellIs" dxfId="5" priority="3" operator="equal">
      <formula>"CRITICAL - ORDER NOW"</formula>
    </cfRule>
    <cfRule type="cellIs" dxfId="4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57"/>
  <sheetViews>
    <sheetView zoomScaleNormal="100" workbookViewId="0">
      <pane ySplit="2" topLeftCell="A18" activePane="bottomLeft" state="frozen"/>
      <selection activeCell="D1" sqref="D1"/>
      <selection pane="bottomLeft" activeCell="D20" sqref="D20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50" t="s">
        <v>364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15" customHeight="1" x14ac:dyDescent="0.25">
      <c r="A2" s="29" t="s">
        <v>5</v>
      </c>
      <c r="B2" s="29" t="s">
        <v>268</v>
      </c>
      <c r="C2" s="29" t="s">
        <v>3</v>
      </c>
      <c r="D2" s="29" t="s">
        <v>4</v>
      </c>
      <c r="E2" s="29" t="s">
        <v>365</v>
      </c>
      <c r="F2" s="29" t="s">
        <v>366</v>
      </c>
      <c r="G2" s="29" t="s">
        <v>295</v>
      </c>
      <c r="H2" s="29" t="s">
        <v>367</v>
      </c>
      <c r="I2" s="51" t="s">
        <v>368</v>
      </c>
      <c r="J2" s="51" t="s">
        <v>369</v>
      </c>
      <c r="K2" s="51" t="s">
        <v>370</v>
      </c>
      <c r="L2" s="51" t="s">
        <v>371</v>
      </c>
      <c r="M2" s="51" t="s">
        <v>372</v>
      </c>
      <c r="N2" s="51" t="s">
        <v>373</v>
      </c>
      <c r="O2" s="51" t="s">
        <v>374</v>
      </c>
      <c r="P2" s="51" t="s">
        <v>375</v>
      </c>
      <c r="Q2" s="51" t="s">
        <v>376</v>
      </c>
      <c r="R2" s="51" t="s">
        <v>376</v>
      </c>
      <c r="S2" s="51" t="s">
        <v>376</v>
      </c>
    </row>
    <row r="3" spans="1:19" ht="15" hidden="1" customHeight="1" x14ac:dyDescent="0.25">
      <c r="A3" s="39">
        <v>9004</v>
      </c>
      <c r="B3" s="39">
        <v>904</v>
      </c>
      <c r="C3" s="39" t="s">
        <v>189</v>
      </c>
      <c r="D3" s="40" t="s">
        <v>190</v>
      </c>
      <c r="E3" s="39">
        <v>12.5</v>
      </c>
      <c r="F3" s="39">
        <v>0</v>
      </c>
      <c r="G3" s="39" t="s">
        <v>377</v>
      </c>
      <c r="H3" s="39">
        <v>0</v>
      </c>
      <c r="I3" s="52"/>
      <c r="J3" s="41" t="str">
        <f>IF(I3="","",IFERROR(SUMPRODUCT((TableBOM[Product ID]=A3)*(TableBOM[Material Category]="SLUG")*TableBOM[Per 1000 Units]*(1+TableBOM[Scrap %]))*I3/1000,0))</f>
        <v/>
      </c>
      <c r="K3" s="41" t="str">
        <f>IF(I3="","",IFERROR(SUMPRODUCT((TableBOM[Product ID]=A3)*(TableBOM[Material Category]="BASE COAT")*TableBOM[Per 1000 Units]*(1+TableBOM[Scrap %]))*I3/1000,0))</f>
        <v/>
      </c>
      <c r="L3" s="41" t="str">
        <f>IF(I3="","",IFERROR(SUMPRODUCT((TableBOM[Product ID]=A3)*(TableBOM[Material Category]="LACQUER")*TableBOM[Per 1000 Units]*(1+TableBOM[Scrap %]))*I3/1000,0))</f>
        <v/>
      </c>
      <c r="M3" s="41" t="str">
        <f>IF(I3="","",IFERROR(SUMPRODUCT((TableBOM[Product ID]=A3)*(TableBOM[Material Category]="LATEX")*TableBOM[Per 1000 Units]*(1+TableBOM[Scrap %]))*I3/1000,0))</f>
        <v/>
      </c>
      <c r="N3" s="41" t="str">
        <f>IF(I3="","",IFERROR(SUMPRODUCT((TableBOM[Product ID]=A3)*(TableBOM[Material Category]="ZINC")*TableBOM[Per 1000 Units]*(1+TableBOM[Scrap %]))*I3/1000,0))</f>
        <v/>
      </c>
      <c r="O3" s="41" t="str">
        <f>IF(I3="","",IFERROR(SUMPRODUCT((TableBOM[Product ID]=A3)*(TableBOM[Material Category]="CAP")*TableBOM[Per 1000 Units]*(1+TableBOM[Scrap %]))*I3/1000,0))</f>
        <v/>
      </c>
      <c r="P3" s="41" t="str">
        <f>IF(I3="","",IFERROR(SUMPRODUCT((TableBOM[Product ID]=A3)*(TableBOM[Material Category]="CARTON")*TableBOM[Per 1000 Units]*(1+TableBOM[Scrap %]))*I3/1000,0))</f>
        <v/>
      </c>
      <c r="Q3" s="41"/>
      <c r="R3" s="41"/>
      <c r="S3" s="41"/>
    </row>
    <row r="4" spans="1:19" ht="15" hidden="1" customHeight="1" x14ac:dyDescent="0.25">
      <c r="A4" s="39">
        <v>6561</v>
      </c>
      <c r="B4" s="39">
        <v>190</v>
      </c>
      <c r="C4" s="39" t="s">
        <v>191</v>
      </c>
      <c r="D4" s="40" t="s">
        <v>192</v>
      </c>
      <c r="E4" s="39">
        <v>16</v>
      </c>
      <c r="F4" s="39">
        <v>100</v>
      </c>
      <c r="G4" s="39" t="s">
        <v>377</v>
      </c>
      <c r="H4" s="39">
        <v>588</v>
      </c>
      <c r="I4" s="52"/>
      <c r="J4" s="41" t="str">
        <f>IF(I4="","",IFERROR(SUMPRODUCT((TableBOM[Product ID]=A4)*(TableBOM[Material Category]="SLUG")*TableBOM[Per 1000 Units]*(1+TableBOM[Scrap %]))*I4/1000,0))</f>
        <v/>
      </c>
      <c r="K4" s="41" t="str">
        <f>IF(I4="","",IFERROR(SUMPRODUCT((TableBOM[Product ID]=A4)*(TableBOM[Material Category]="BASE COAT")*TableBOM[Per 1000 Units]*(1+TableBOM[Scrap %]))*I4/1000,0))</f>
        <v/>
      </c>
      <c r="L4" s="41" t="str">
        <f>IF(I4="","",IFERROR(SUMPRODUCT((TableBOM[Product ID]=A4)*(TableBOM[Material Category]="LACQUER")*TableBOM[Per 1000 Units]*(1+TableBOM[Scrap %]))*I4/1000,0))</f>
        <v/>
      </c>
      <c r="M4" s="41" t="str">
        <f>IF(I4="","",IFERROR(SUMPRODUCT((TableBOM[Product ID]=A4)*(TableBOM[Material Category]="LATEX")*TableBOM[Per 1000 Units]*(1+TableBOM[Scrap %]))*I4/1000,0))</f>
        <v/>
      </c>
      <c r="N4" s="41" t="str">
        <f>IF(I4="","",IFERROR(SUMPRODUCT((TableBOM[Product ID]=A4)*(TableBOM[Material Category]="ZINC")*TableBOM[Per 1000 Units]*(1+TableBOM[Scrap %]))*I4/1000,0))</f>
        <v/>
      </c>
      <c r="O4" s="41" t="str">
        <f>IF(I4="","",IFERROR(SUMPRODUCT((TableBOM[Product ID]=A4)*(TableBOM[Material Category]="CAP")*TableBOM[Per 1000 Units]*(1+TableBOM[Scrap %]))*I4/1000,0))</f>
        <v/>
      </c>
      <c r="P4" s="41" t="str">
        <f>IF(I4="","",IFERROR(SUMPRODUCT((TableBOM[Product ID]=A4)*(TableBOM[Material Category]="CARTON")*TableBOM[Per 1000 Units]*(1+TableBOM[Scrap %]))*I4/1000,0))</f>
        <v/>
      </c>
      <c r="Q4" s="41"/>
      <c r="R4" s="41"/>
      <c r="S4" s="41"/>
    </row>
    <row r="5" spans="1:19" ht="15" hidden="1" customHeight="1" x14ac:dyDescent="0.25">
      <c r="A5" s="39">
        <v>1085</v>
      </c>
      <c r="B5" s="39">
        <v>187</v>
      </c>
      <c r="C5" s="39" t="s">
        <v>191</v>
      </c>
      <c r="D5" s="40" t="s">
        <v>195</v>
      </c>
      <c r="E5" s="39">
        <v>19</v>
      </c>
      <c r="F5" s="39">
        <v>106</v>
      </c>
      <c r="G5" s="39" t="s">
        <v>377</v>
      </c>
      <c r="H5" s="39">
        <v>588</v>
      </c>
      <c r="I5" s="52"/>
      <c r="J5" s="41" t="str">
        <f>IF(I5="","",IFERROR(SUMPRODUCT((TableBOM[Product ID]=A5)*(TableBOM[Material Category]="SLUG")*TableBOM[Per 1000 Units]*(1+TableBOM[Scrap %]))*I5/1000,0))</f>
        <v/>
      </c>
      <c r="K5" s="41" t="str">
        <f>IF(I5="","",IFERROR(SUMPRODUCT((TableBOM[Product ID]=A5)*(TableBOM[Material Category]="BASE COAT")*TableBOM[Per 1000 Units]*(1+TableBOM[Scrap %]))*I5/1000,0))</f>
        <v/>
      </c>
      <c r="L5" s="41" t="str">
        <f>IF(I5="","",IFERROR(SUMPRODUCT((TableBOM[Product ID]=A5)*(TableBOM[Material Category]="LACQUER")*TableBOM[Per 1000 Units]*(1+TableBOM[Scrap %]))*I5/1000,0))</f>
        <v/>
      </c>
      <c r="M5" s="41" t="str">
        <f>IF(I5="","",IFERROR(SUMPRODUCT((TableBOM[Product ID]=A5)*(TableBOM[Material Category]="LATEX")*TableBOM[Per 1000 Units]*(1+TableBOM[Scrap %]))*I5/1000,0))</f>
        <v/>
      </c>
      <c r="N5" s="41" t="str">
        <f>IF(I5="","",IFERROR(SUMPRODUCT((TableBOM[Product ID]=A5)*(TableBOM[Material Category]="ZINC")*TableBOM[Per 1000 Units]*(1+TableBOM[Scrap %]))*I5/1000,0))</f>
        <v/>
      </c>
      <c r="O5" s="41" t="str">
        <f>IF(I5="","",IFERROR(SUMPRODUCT((TableBOM[Product ID]=A5)*(TableBOM[Material Category]="CAP")*TableBOM[Per 1000 Units]*(1+TableBOM[Scrap %]))*I5/1000,0))</f>
        <v/>
      </c>
      <c r="P5" s="41" t="str">
        <f>IF(I5="","",IFERROR(SUMPRODUCT((TableBOM[Product ID]=A5)*(TableBOM[Material Category]="CARTON")*TableBOM[Per 1000 Units]*(1+TableBOM[Scrap %]))*I5/1000,0))</f>
        <v/>
      </c>
      <c r="Q5" s="41"/>
      <c r="R5" s="41"/>
      <c r="S5" s="41"/>
    </row>
    <row r="6" spans="1:19" ht="15" hidden="1" customHeight="1" x14ac:dyDescent="0.25">
      <c r="A6" s="39">
        <v>6559</v>
      </c>
      <c r="B6" s="39">
        <v>188</v>
      </c>
      <c r="C6" s="39" t="s">
        <v>191</v>
      </c>
      <c r="D6" s="40" t="s">
        <v>286</v>
      </c>
      <c r="E6" s="39">
        <v>19</v>
      </c>
      <c r="F6" s="39">
        <v>106</v>
      </c>
      <c r="G6" s="39" t="s">
        <v>377</v>
      </c>
      <c r="H6" s="39">
        <v>588</v>
      </c>
      <c r="I6" s="52"/>
      <c r="J6" s="41" t="str">
        <f>IF(I6="","",IFERROR(SUMPRODUCT((TableBOM[Product ID]=A6)*(TableBOM[Material Category]="SLUG")*TableBOM[Per 1000 Units]*(1+TableBOM[Scrap %]))*I6/1000,0))</f>
        <v/>
      </c>
      <c r="K6" s="41" t="str">
        <f>IF(I6="","",IFERROR(SUMPRODUCT((TableBOM[Product ID]=A6)*(TableBOM[Material Category]="BASE COAT")*TableBOM[Per 1000 Units]*(1+TableBOM[Scrap %]))*I6/1000,0))</f>
        <v/>
      </c>
      <c r="L6" s="41" t="str">
        <f>IF(I6="","",IFERROR(SUMPRODUCT((TableBOM[Product ID]=A6)*(TableBOM[Material Category]="LACQUER")*TableBOM[Per 1000 Units]*(1+TableBOM[Scrap %]))*I6/1000,0))</f>
        <v/>
      </c>
      <c r="M6" s="41" t="str">
        <f>IF(I6="","",IFERROR(SUMPRODUCT((TableBOM[Product ID]=A6)*(TableBOM[Material Category]="LATEX")*TableBOM[Per 1000 Units]*(1+TableBOM[Scrap %]))*I6/1000,0))</f>
        <v/>
      </c>
      <c r="N6" s="41" t="str">
        <f>IF(I6="","",IFERROR(SUMPRODUCT((TableBOM[Product ID]=A6)*(TableBOM[Material Category]="ZINC")*TableBOM[Per 1000 Units]*(1+TableBOM[Scrap %]))*I6/1000,0))</f>
        <v/>
      </c>
      <c r="O6" s="41" t="str">
        <f>IF(I6="","",IFERROR(SUMPRODUCT((TableBOM[Product ID]=A6)*(TableBOM[Material Category]="CAP")*TableBOM[Per 1000 Units]*(1+TableBOM[Scrap %]))*I6/1000,0))</f>
        <v/>
      </c>
      <c r="P6" s="41" t="str">
        <f>IF(I6="","",IFERROR(SUMPRODUCT((TableBOM[Product ID]=A6)*(TableBOM[Material Category]="CARTON")*TableBOM[Per 1000 Units]*(1+TableBOM[Scrap %]))*I6/1000,0))</f>
        <v/>
      </c>
      <c r="Q6" s="41"/>
      <c r="R6" s="41"/>
      <c r="S6" s="41"/>
    </row>
    <row r="7" spans="1:19" ht="15" hidden="1" customHeight="1" x14ac:dyDescent="0.25">
      <c r="A7" s="39">
        <v>6560</v>
      </c>
      <c r="B7" s="39">
        <v>189</v>
      </c>
      <c r="C7" s="39" t="s">
        <v>191</v>
      </c>
      <c r="D7" s="40" t="s">
        <v>196</v>
      </c>
      <c r="E7" s="39">
        <v>19</v>
      </c>
      <c r="F7" s="39">
        <v>106</v>
      </c>
      <c r="G7" s="39" t="s">
        <v>377</v>
      </c>
      <c r="H7" s="39">
        <v>588</v>
      </c>
      <c r="I7" s="52"/>
      <c r="J7" s="41" t="str">
        <f>IF(I7="","",IFERROR(SUMPRODUCT((TableBOM[Product ID]=A7)*(TableBOM[Material Category]="SLUG")*TableBOM[Per 1000 Units]*(1+TableBOM[Scrap %]))*I7/1000,0))</f>
        <v/>
      </c>
      <c r="K7" s="41" t="str">
        <f>IF(I7="","",IFERROR(SUMPRODUCT((TableBOM[Product ID]=A7)*(TableBOM[Material Category]="BASE COAT")*TableBOM[Per 1000 Units]*(1+TableBOM[Scrap %]))*I7/1000,0))</f>
        <v/>
      </c>
      <c r="L7" s="41" t="str">
        <f>IF(I7="","",IFERROR(SUMPRODUCT((TableBOM[Product ID]=A7)*(TableBOM[Material Category]="LACQUER")*TableBOM[Per 1000 Units]*(1+TableBOM[Scrap %]))*I7/1000,0))</f>
        <v/>
      </c>
      <c r="M7" s="41" t="str">
        <f>IF(I7="","",IFERROR(SUMPRODUCT((TableBOM[Product ID]=A7)*(TableBOM[Material Category]="LATEX")*TableBOM[Per 1000 Units]*(1+TableBOM[Scrap %]))*I7/1000,0))</f>
        <v/>
      </c>
      <c r="N7" s="41" t="str">
        <f>IF(I7="","",IFERROR(SUMPRODUCT((TableBOM[Product ID]=A7)*(TableBOM[Material Category]="ZINC")*TableBOM[Per 1000 Units]*(1+TableBOM[Scrap %]))*I7/1000,0))</f>
        <v/>
      </c>
      <c r="O7" s="41" t="str">
        <f>IF(I7="","",IFERROR(SUMPRODUCT((TableBOM[Product ID]=A7)*(TableBOM[Material Category]="CAP")*TableBOM[Per 1000 Units]*(1+TableBOM[Scrap %]))*I7/1000,0))</f>
        <v/>
      </c>
      <c r="P7" s="41" t="str">
        <f>IF(I7="","",IFERROR(SUMPRODUCT((TableBOM[Product ID]=A7)*(TableBOM[Material Category]="CARTON")*TableBOM[Per 1000 Units]*(1+TableBOM[Scrap %]))*I7/1000,0))</f>
        <v/>
      </c>
      <c r="Q7" s="41"/>
      <c r="R7" s="41"/>
      <c r="S7" s="41"/>
    </row>
    <row r="8" spans="1:19" ht="15" hidden="1" customHeight="1" x14ac:dyDescent="0.25">
      <c r="A8" s="39">
        <v>6623</v>
      </c>
      <c r="B8" s="39">
        <v>193</v>
      </c>
      <c r="C8" s="39" t="s">
        <v>13</v>
      </c>
      <c r="D8" s="40" t="s">
        <v>194</v>
      </c>
      <c r="E8" s="39">
        <v>19</v>
      </c>
      <c r="F8" s="39">
        <v>120</v>
      </c>
      <c r="G8" s="39" t="s">
        <v>377</v>
      </c>
      <c r="H8" s="39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hidden="1" customHeight="1" x14ac:dyDescent="0.25">
      <c r="A9" s="39">
        <v>6624</v>
      </c>
      <c r="B9" s="39">
        <v>192</v>
      </c>
      <c r="C9" s="39" t="s">
        <v>13</v>
      </c>
      <c r="D9" s="40" t="s">
        <v>193</v>
      </c>
      <c r="E9" s="39">
        <v>19</v>
      </c>
      <c r="F9" s="39">
        <v>120</v>
      </c>
      <c r="G9" s="39" t="s">
        <v>377</v>
      </c>
      <c r="H9" s="39">
        <v>510</v>
      </c>
      <c r="I9" s="52"/>
      <c r="J9" s="41" t="str">
        <f>IF(I9="","",IFERROR(SUMPRODUCT((TableBOM[Product ID]=A9)*(TableBOM[Material Category]="SLUG")*TableBOM[Per 1000 Units]*(1+TableBOM[Scrap %]))*I9/1000,0))</f>
        <v/>
      </c>
      <c r="K9" s="41" t="str">
        <f>IF(I9="","",IFERROR(SUMPRODUCT((TableBOM[Product ID]=A9)*(TableBOM[Material Category]="BASE COAT")*TableBOM[Per 1000 Units]*(1+TableBOM[Scrap %]))*I9/1000,0))</f>
        <v/>
      </c>
      <c r="L9" s="41" t="str">
        <f>IF(I9="","",IFERROR(SUMPRODUCT((TableBOM[Product ID]=A9)*(TableBOM[Material Category]="LACQUER")*TableBOM[Per 1000 Units]*(1+TableBOM[Scrap %]))*I9/1000,0))</f>
        <v/>
      </c>
      <c r="M9" s="41" t="str">
        <f>IF(I9="","",IFERROR(SUMPRODUCT((TableBOM[Product ID]=A9)*(TableBOM[Material Category]="LATEX")*TableBOM[Per 1000 Units]*(1+TableBOM[Scrap %]))*I9/1000,0))</f>
        <v/>
      </c>
      <c r="N9" s="41" t="str">
        <f>IF(I9="","",IFERROR(SUMPRODUCT((TableBOM[Product ID]=A9)*(TableBOM[Material Category]="ZINC")*TableBOM[Per 1000 Units]*(1+TableBOM[Scrap %]))*I9/1000,0))</f>
        <v/>
      </c>
      <c r="O9" s="41" t="str">
        <f>IF(I9="","",IFERROR(SUMPRODUCT((TableBOM[Product ID]=A9)*(TableBOM[Material Category]="CAP")*TableBOM[Per 1000 Units]*(1+TableBOM[Scrap %]))*I9/1000,0))</f>
        <v/>
      </c>
      <c r="P9" s="41" t="str">
        <f>IF(I9="","",IFERROR(SUMPRODUCT((TableBOM[Product ID]=A9)*(TableBOM[Material Category]="CARTON")*TableBOM[Per 1000 Units]*(1+TableBOM[Scrap %]))*I9/1000,0))</f>
        <v/>
      </c>
      <c r="Q9" s="41"/>
      <c r="R9" s="41"/>
      <c r="S9" s="41"/>
    </row>
    <row r="10" spans="1:19" ht="15" hidden="1" customHeight="1" x14ac:dyDescent="0.25">
      <c r="A10" s="39">
        <v>6077</v>
      </c>
      <c r="B10" s="39">
        <v>138</v>
      </c>
      <c r="C10" s="39" t="s">
        <v>11</v>
      </c>
      <c r="D10" s="40" t="s">
        <v>12</v>
      </c>
      <c r="E10" s="39">
        <v>20.5</v>
      </c>
      <c r="F10" s="39">
        <v>120</v>
      </c>
      <c r="G10" s="39" t="s">
        <v>378</v>
      </c>
      <c r="H10" s="39">
        <v>200</v>
      </c>
      <c r="I10" s="52"/>
      <c r="J10" s="41" t="str">
        <f>IF(I10="","",IFERROR(SUMPRODUCT((TableBOM[Product ID]=A10)*(TableBOM[Material Category]="SLUG")*TableBOM[Per 1000 Units]*(1+TableBOM[Scrap %]))*I10/1000,0))</f>
        <v/>
      </c>
      <c r="K10" s="41" t="str">
        <f>IF(I10="","",IFERROR(SUMPRODUCT((TableBOM[Product ID]=A10)*(TableBOM[Material Category]="BASE COAT")*TableBOM[Per 1000 Units]*(1+TableBOM[Scrap %]))*I10/1000,0))</f>
        <v/>
      </c>
      <c r="L10" s="41" t="str">
        <f>IF(I10="","",IFERROR(SUMPRODUCT((TableBOM[Product ID]=A10)*(TableBOM[Material Category]="LACQUER")*TableBOM[Per 1000 Units]*(1+TableBOM[Scrap %]))*I10/1000,0))</f>
        <v/>
      </c>
      <c r="M10" s="41" t="str">
        <f>IF(I10="","",IFERROR(SUMPRODUCT((TableBOM[Product ID]=A10)*(TableBOM[Material Category]="LATEX")*TableBOM[Per 1000 Units]*(1+TableBOM[Scrap %]))*I10/1000,0))</f>
        <v/>
      </c>
      <c r="N10" s="41" t="str">
        <f>IF(I10="","",IFERROR(SUMPRODUCT((TableBOM[Product ID]=A10)*(TableBOM[Material Category]="ZINC")*TableBOM[Per 1000 Units]*(1+TableBOM[Scrap %]))*I10/1000,0))</f>
        <v/>
      </c>
      <c r="O10" s="41" t="str">
        <f>IF(I10="","",IFERROR(SUMPRODUCT((TableBOM[Product ID]=A10)*(TableBOM[Material Category]="CAP")*TableBOM[Per 1000 Units]*(1+TableBOM[Scrap %]))*I10/1000,0))</f>
        <v/>
      </c>
      <c r="P10" s="41" t="str">
        <f>IF(I10="","",IFERROR(SUMPRODUCT((TableBOM[Product ID]=A10)*(TableBOM[Material Category]="CARTON")*TableBOM[Per 1000 Units]*(1+TableBOM[Scrap %]))*I10/1000,0))</f>
        <v/>
      </c>
      <c r="Q10" s="41"/>
      <c r="R10" s="41"/>
      <c r="S10" s="41"/>
    </row>
    <row r="11" spans="1:19" ht="15" hidden="1" customHeight="1" x14ac:dyDescent="0.25">
      <c r="A11" s="39">
        <v>5698</v>
      </c>
      <c r="B11" s="39">
        <v>22</v>
      </c>
      <c r="C11" s="39" t="s">
        <v>13</v>
      </c>
      <c r="D11" s="40" t="s">
        <v>199</v>
      </c>
      <c r="E11" s="39">
        <v>20.5</v>
      </c>
      <c r="F11" s="39">
        <v>120</v>
      </c>
      <c r="G11" s="39" t="s">
        <v>377</v>
      </c>
      <c r="H11" s="39">
        <v>336</v>
      </c>
      <c r="I11" s="52"/>
      <c r="J11" s="41" t="str">
        <f>IF(I11="","",IFERROR(SUMPRODUCT((TableBOM[Product ID]=A11)*(TableBOM[Material Category]="SLUG")*TableBOM[Per 1000 Units]*(1+TableBOM[Scrap %]))*I11/1000,0))</f>
        <v/>
      </c>
      <c r="K11" s="41" t="str">
        <f>IF(I11="","",IFERROR(SUMPRODUCT((TableBOM[Product ID]=A11)*(TableBOM[Material Category]="BASE COAT")*TableBOM[Per 1000 Units]*(1+TableBOM[Scrap %]))*I11/1000,0))</f>
        <v/>
      </c>
      <c r="L11" s="41" t="str">
        <f>IF(I11="","",IFERROR(SUMPRODUCT((TableBOM[Product ID]=A11)*(TableBOM[Material Category]="LACQUER")*TableBOM[Per 1000 Units]*(1+TableBOM[Scrap %]))*I11/1000,0))</f>
        <v/>
      </c>
      <c r="M11" s="41" t="str">
        <f>IF(I11="","",IFERROR(SUMPRODUCT((TableBOM[Product ID]=A11)*(TableBOM[Material Category]="LATEX")*TableBOM[Per 1000 Units]*(1+TableBOM[Scrap %]))*I11/1000,0))</f>
        <v/>
      </c>
      <c r="N11" s="41" t="str">
        <f>IF(I11="","",IFERROR(SUMPRODUCT((TableBOM[Product ID]=A11)*(TableBOM[Material Category]="ZINC")*TableBOM[Per 1000 Units]*(1+TableBOM[Scrap %]))*I11/1000,0))</f>
        <v/>
      </c>
      <c r="O11" s="41" t="str">
        <f>IF(I11="","",IFERROR(SUMPRODUCT((TableBOM[Product ID]=A11)*(TableBOM[Material Category]="CAP")*TableBOM[Per 1000 Units]*(1+TableBOM[Scrap %]))*I11/1000,0))</f>
        <v/>
      </c>
      <c r="P11" s="41" t="str">
        <f>IF(I11="","",IFERROR(SUMPRODUCT((TableBOM[Product ID]=A11)*(TableBOM[Material Category]="CARTON")*TableBOM[Per 1000 Units]*(1+TableBOM[Scrap %]))*I11/1000,0))</f>
        <v/>
      </c>
      <c r="Q11" s="41"/>
      <c r="R11" s="41"/>
      <c r="S11" s="41"/>
    </row>
    <row r="12" spans="1:19" ht="15" hidden="1" customHeight="1" x14ac:dyDescent="0.25">
      <c r="A12" s="39">
        <v>5699</v>
      </c>
      <c r="B12" s="39">
        <v>21</v>
      </c>
      <c r="C12" s="39" t="s">
        <v>13</v>
      </c>
      <c r="D12" s="40" t="s">
        <v>197</v>
      </c>
      <c r="E12" s="39">
        <v>20.5</v>
      </c>
      <c r="F12" s="39">
        <v>120</v>
      </c>
      <c r="G12" s="39" t="s">
        <v>377</v>
      </c>
      <c r="H12" s="39">
        <v>336</v>
      </c>
      <c r="I12" s="52"/>
      <c r="J12" s="41" t="str">
        <f>IF(I12="","",IFERROR(SUMPRODUCT((TableBOM[Product ID]=A12)*(TableBOM[Material Category]="SLUG")*TableBOM[Per 1000 Units]*(1+TableBOM[Scrap %]))*I12/1000,0))</f>
        <v/>
      </c>
      <c r="K12" s="41" t="str">
        <f>IF(I12="","",IFERROR(SUMPRODUCT((TableBOM[Product ID]=A12)*(TableBOM[Material Category]="BASE COAT")*TableBOM[Per 1000 Units]*(1+TableBOM[Scrap %]))*I12/1000,0))</f>
        <v/>
      </c>
      <c r="L12" s="41" t="str">
        <f>IF(I12="","",IFERROR(SUMPRODUCT((TableBOM[Product ID]=A12)*(TableBOM[Material Category]="LACQUER")*TableBOM[Per 1000 Units]*(1+TableBOM[Scrap %]))*I12/1000,0))</f>
        <v/>
      </c>
      <c r="M12" s="41" t="str">
        <f>IF(I12="","",IFERROR(SUMPRODUCT((TableBOM[Product ID]=A12)*(TableBOM[Material Category]="LATEX")*TableBOM[Per 1000 Units]*(1+TableBOM[Scrap %]))*I12/1000,0))</f>
        <v/>
      </c>
      <c r="N12" s="41" t="str">
        <f>IF(I12="","",IFERROR(SUMPRODUCT((TableBOM[Product ID]=A12)*(TableBOM[Material Category]="ZINC")*TableBOM[Per 1000 Units]*(1+TableBOM[Scrap %]))*I12/1000,0))</f>
        <v/>
      </c>
      <c r="O12" s="41" t="str">
        <f>IF(I12="","",IFERROR(SUMPRODUCT((TableBOM[Product ID]=A12)*(TableBOM[Material Category]="CAP")*TableBOM[Per 1000 Units]*(1+TableBOM[Scrap %]))*I12/1000,0))</f>
        <v/>
      </c>
      <c r="P12" s="41" t="str">
        <f>IF(I12="","",IFERROR(SUMPRODUCT((TableBOM[Product ID]=A12)*(TableBOM[Material Category]="CARTON")*TableBOM[Per 1000 Units]*(1+TableBOM[Scrap %]))*I12/1000,0))</f>
        <v/>
      </c>
      <c r="Q12" s="41"/>
      <c r="R12" s="41"/>
      <c r="S12" s="41"/>
    </row>
    <row r="13" spans="1:19" ht="15" hidden="1" customHeight="1" x14ac:dyDescent="0.25">
      <c r="A13" s="39">
        <v>5731</v>
      </c>
      <c r="B13" s="39">
        <v>32</v>
      </c>
      <c r="C13" s="39" t="s">
        <v>13</v>
      </c>
      <c r="D13" s="40" t="s">
        <v>198</v>
      </c>
      <c r="E13" s="39">
        <v>20.5</v>
      </c>
      <c r="F13" s="39">
        <v>120</v>
      </c>
      <c r="G13" s="39" t="s">
        <v>377</v>
      </c>
      <c r="H13" s="39">
        <v>510</v>
      </c>
      <c r="I13" s="52"/>
      <c r="J13" s="41" t="str">
        <f>IF(I13="","",IFERROR(SUMPRODUCT((TableBOM[Product ID]=A13)*(TableBOM[Material Category]="SLUG")*TableBOM[Per 1000 Units]*(1+TableBOM[Scrap %]))*I13/1000,0))</f>
        <v/>
      </c>
      <c r="K13" s="41" t="str">
        <f>IF(I13="","",IFERROR(SUMPRODUCT((TableBOM[Product ID]=A13)*(TableBOM[Material Category]="BASE COAT")*TableBOM[Per 1000 Units]*(1+TableBOM[Scrap %]))*I13/1000,0))</f>
        <v/>
      </c>
      <c r="L13" s="41" t="str">
        <f>IF(I13="","",IFERROR(SUMPRODUCT((TableBOM[Product ID]=A13)*(TableBOM[Material Category]="LACQUER")*TableBOM[Per 1000 Units]*(1+TableBOM[Scrap %]))*I13/1000,0))</f>
        <v/>
      </c>
      <c r="M13" s="41" t="str">
        <f>IF(I13="","",IFERROR(SUMPRODUCT((TableBOM[Product ID]=A13)*(TableBOM[Material Category]="LATEX")*TableBOM[Per 1000 Units]*(1+TableBOM[Scrap %]))*I13/1000,0))</f>
        <v/>
      </c>
      <c r="N13" s="41" t="str">
        <f>IF(I13="","",IFERROR(SUMPRODUCT((TableBOM[Product ID]=A13)*(TableBOM[Material Category]="ZINC")*TableBOM[Per 1000 Units]*(1+TableBOM[Scrap %]))*I13/1000,0))</f>
        <v/>
      </c>
      <c r="O13" s="41" t="str">
        <f>IF(I13="","",IFERROR(SUMPRODUCT((TableBOM[Product ID]=A13)*(TableBOM[Material Category]="CAP")*TableBOM[Per 1000 Units]*(1+TableBOM[Scrap %]))*I13/1000,0))</f>
        <v/>
      </c>
      <c r="P13" s="41" t="str">
        <f>IF(I13="","",IFERROR(SUMPRODUCT((TableBOM[Product ID]=A13)*(TableBOM[Material Category]="CARTON")*TableBOM[Per 1000 Units]*(1+TableBOM[Scrap %]))*I13/1000,0))</f>
        <v/>
      </c>
      <c r="Q13" s="41"/>
      <c r="R13" s="41"/>
      <c r="S13" s="41"/>
    </row>
    <row r="14" spans="1:19" ht="15" hidden="1" customHeight="1" x14ac:dyDescent="0.25">
      <c r="A14" s="39">
        <v>5732</v>
      </c>
      <c r="B14" s="39">
        <v>33</v>
      </c>
      <c r="C14" s="39" t="s">
        <v>13</v>
      </c>
      <c r="D14" s="40" t="s">
        <v>200</v>
      </c>
      <c r="E14" s="39">
        <v>20.5</v>
      </c>
      <c r="F14" s="39">
        <v>120</v>
      </c>
      <c r="G14" s="39" t="s">
        <v>377</v>
      </c>
      <c r="H14" s="39">
        <v>510</v>
      </c>
      <c r="I14" s="52"/>
      <c r="J14" s="41" t="str">
        <f>IF(I14="","",IFERROR(SUMPRODUCT((TableBOM[Product ID]=A14)*(TableBOM[Material Category]="SLUG")*TableBOM[Per 1000 Units]*(1+TableBOM[Scrap %]))*I14/1000,0))</f>
        <v/>
      </c>
      <c r="K14" s="41" t="str">
        <f>IF(I14="","",IFERROR(SUMPRODUCT((TableBOM[Product ID]=A14)*(TableBOM[Material Category]="BASE COAT")*TableBOM[Per 1000 Units]*(1+TableBOM[Scrap %]))*I14/1000,0))</f>
        <v/>
      </c>
      <c r="L14" s="41" t="str">
        <f>IF(I14="","",IFERROR(SUMPRODUCT((TableBOM[Product ID]=A14)*(TableBOM[Material Category]="LACQUER")*TableBOM[Per 1000 Units]*(1+TableBOM[Scrap %]))*I14/1000,0))</f>
        <v/>
      </c>
      <c r="M14" s="41" t="str">
        <f>IF(I14="","",IFERROR(SUMPRODUCT((TableBOM[Product ID]=A14)*(TableBOM[Material Category]="LATEX")*TableBOM[Per 1000 Units]*(1+TableBOM[Scrap %]))*I14/1000,0))</f>
        <v/>
      </c>
      <c r="N14" s="41" t="str">
        <f>IF(I14="","",IFERROR(SUMPRODUCT((TableBOM[Product ID]=A14)*(TableBOM[Material Category]="ZINC")*TableBOM[Per 1000 Units]*(1+TableBOM[Scrap %]))*I14/1000,0))</f>
        <v/>
      </c>
      <c r="O14" s="41" t="str">
        <f>IF(I14="","",IFERROR(SUMPRODUCT((TableBOM[Product ID]=A14)*(TableBOM[Material Category]="CAP")*TableBOM[Per 1000 Units]*(1+TableBOM[Scrap %]))*I14/1000,0))</f>
        <v/>
      </c>
      <c r="P14" s="41" t="str">
        <f>IF(I14="","",IFERROR(SUMPRODUCT((TableBOM[Product ID]=A14)*(TableBOM[Material Category]="CARTON")*TableBOM[Per 1000 Units]*(1+TableBOM[Scrap %]))*I14/1000,0))</f>
        <v/>
      </c>
      <c r="Q14" s="41"/>
      <c r="R14" s="41"/>
      <c r="S14" s="41"/>
    </row>
    <row r="15" spans="1:19" ht="15" hidden="1" customHeight="1" x14ac:dyDescent="0.25">
      <c r="A15" s="39">
        <v>6556</v>
      </c>
      <c r="B15" s="39">
        <v>186</v>
      </c>
      <c r="C15" s="39" t="s">
        <v>13</v>
      </c>
      <c r="D15" s="40" t="s">
        <v>201</v>
      </c>
      <c r="E15" s="39">
        <v>20.5</v>
      </c>
      <c r="F15" s="39">
        <v>120</v>
      </c>
      <c r="G15" s="39" t="s">
        <v>377</v>
      </c>
      <c r="H15" s="39">
        <v>510</v>
      </c>
      <c r="I15" s="52"/>
      <c r="J15" s="41" t="str">
        <f>IF(I15="","",IFERROR(SUMPRODUCT((TableBOM[Product ID]=A15)*(TableBOM[Material Category]="SLUG")*TableBOM[Per 1000 Units]*(1+TableBOM[Scrap %]))*I15/1000,0))</f>
        <v/>
      </c>
      <c r="K15" s="41" t="str">
        <f>IF(I15="","",IFERROR(SUMPRODUCT((TableBOM[Product ID]=A15)*(TableBOM[Material Category]="BASE COAT")*TableBOM[Per 1000 Units]*(1+TableBOM[Scrap %]))*I15/1000,0))</f>
        <v/>
      </c>
      <c r="L15" s="41" t="str">
        <f>IF(I15="","",IFERROR(SUMPRODUCT((TableBOM[Product ID]=A15)*(TableBOM[Material Category]="LACQUER")*TableBOM[Per 1000 Units]*(1+TableBOM[Scrap %]))*I15/1000,0))</f>
        <v/>
      </c>
      <c r="M15" s="41" t="str">
        <f>IF(I15="","",IFERROR(SUMPRODUCT((TableBOM[Product ID]=A15)*(TableBOM[Material Category]="LATEX")*TableBOM[Per 1000 Units]*(1+TableBOM[Scrap %]))*I15/1000,0))</f>
        <v/>
      </c>
      <c r="N15" s="41" t="str">
        <f>IF(I15="","",IFERROR(SUMPRODUCT((TableBOM[Product ID]=A15)*(TableBOM[Material Category]="ZINC")*TableBOM[Per 1000 Units]*(1+TableBOM[Scrap %]))*I15/1000,0))</f>
        <v/>
      </c>
      <c r="O15" s="41" t="str">
        <f>IF(I15="","",IFERROR(SUMPRODUCT((TableBOM[Product ID]=A15)*(TableBOM[Material Category]="CAP")*TableBOM[Per 1000 Units]*(1+TableBOM[Scrap %]))*I15/1000,0))</f>
        <v/>
      </c>
      <c r="P15" s="41" t="str">
        <f>IF(I15="","",IFERROR(SUMPRODUCT((TableBOM[Product ID]=A15)*(TableBOM[Material Category]="CARTON")*TableBOM[Per 1000 Units]*(1+TableBOM[Scrap %]))*I15/1000,0))</f>
        <v/>
      </c>
      <c r="Q15" s="41"/>
      <c r="R15" s="41"/>
      <c r="S15" s="41"/>
    </row>
    <row r="16" spans="1:19" ht="15" hidden="1" customHeight="1" x14ac:dyDescent="0.25">
      <c r="A16" s="39">
        <v>6557</v>
      </c>
      <c r="B16" s="39">
        <v>185</v>
      </c>
      <c r="C16" s="39" t="s">
        <v>13</v>
      </c>
      <c r="D16" s="40" t="s">
        <v>202</v>
      </c>
      <c r="E16" s="39">
        <v>20.5</v>
      </c>
      <c r="F16" s="39">
        <v>120</v>
      </c>
      <c r="G16" s="39" t="s">
        <v>377</v>
      </c>
      <c r="H16" s="39">
        <v>510</v>
      </c>
      <c r="I16" s="52"/>
      <c r="J16" s="41" t="str">
        <f>IF(I16="","",IFERROR(SUMPRODUCT((TableBOM[Product ID]=A16)*(TableBOM[Material Category]="SLUG")*TableBOM[Per 1000 Units]*(1+TableBOM[Scrap %]))*I16/1000,0))</f>
        <v/>
      </c>
      <c r="K16" s="41" t="str">
        <f>IF(I16="","",IFERROR(SUMPRODUCT((TableBOM[Product ID]=A16)*(TableBOM[Material Category]="BASE COAT")*TableBOM[Per 1000 Units]*(1+TableBOM[Scrap %]))*I16/1000,0))</f>
        <v/>
      </c>
      <c r="L16" s="41" t="str">
        <f>IF(I16="","",IFERROR(SUMPRODUCT((TableBOM[Product ID]=A16)*(TableBOM[Material Category]="LACQUER")*TableBOM[Per 1000 Units]*(1+TableBOM[Scrap %]))*I16/1000,0))</f>
        <v/>
      </c>
      <c r="M16" s="41" t="str">
        <f>IF(I16="","",IFERROR(SUMPRODUCT((TableBOM[Product ID]=A16)*(TableBOM[Material Category]="LATEX")*TableBOM[Per 1000 Units]*(1+TableBOM[Scrap %]))*I16/1000,0))</f>
        <v/>
      </c>
      <c r="N16" s="41" t="str">
        <f>IF(I16="","",IFERROR(SUMPRODUCT((TableBOM[Product ID]=A16)*(TableBOM[Material Category]="ZINC")*TableBOM[Per 1000 Units]*(1+TableBOM[Scrap %]))*I16/1000,0))</f>
        <v/>
      </c>
      <c r="O16" s="41" t="str">
        <f>IF(I16="","",IFERROR(SUMPRODUCT((TableBOM[Product ID]=A16)*(TableBOM[Material Category]="CAP")*TableBOM[Per 1000 Units]*(1+TableBOM[Scrap %]))*I16/1000,0))</f>
        <v/>
      </c>
      <c r="P16" s="41" t="str">
        <f>IF(I16="","",IFERROR(SUMPRODUCT((TableBOM[Product ID]=A16)*(TableBOM[Material Category]="CARTON")*TableBOM[Per 1000 Units]*(1+TableBOM[Scrap %]))*I16/1000,0))</f>
        <v/>
      </c>
      <c r="Q16" s="41"/>
      <c r="R16" s="41"/>
      <c r="S16" s="41"/>
    </row>
    <row r="17" spans="1:19" ht="15" hidden="1" customHeight="1" x14ac:dyDescent="0.25">
      <c r="A17" s="39">
        <v>6228</v>
      </c>
      <c r="B17" s="39">
        <v>150</v>
      </c>
      <c r="C17" s="39" t="s">
        <v>11</v>
      </c>
      <c r="D17" s="40" t="s">
        <v>203</v>
      </c>
      <c r="E17" s="39">
        <v>25</v>
      </c>
      <c r="F17" s="39">
        <v>130</v>
      </c>
      <c r="G17" s="39" t="s">
        <v>378</v>
      </c>
      <c r="H17" s="39">
        <v>336</v>
      </c>
      <c r="I17" s="52"/>
      <c r="J17" s="41" t="str">
        <f>IF(I17="","",IFERROR(SUMPRODUCT((TableBOM[Product ID]=A17)*(TableBOM[Material Category]="SLUG")*TableBOM[Per 1000 Units]*(1+TableBOM[Scrap %]))*I17/1000,0))</f>
        <v/>
      </c>
      <c r="K17" s="41" t="str">
        <f>IF(I17="","",IFERROR(SUMPRODUCT((TableBOM[Product ID]=A17)*(TableBOM[Material Category]="BASE COAT")*TableBOM[Per 1000 Units]*(1+TableBOM[Scrap %]))*I17/1000,0))</f>
        <v/>
      </c>
      <c r="L17" s="41" t="str">
        <f>IF(I17="","",IFERROR(SUMPRODUCT((TableBOM[Product ID]=A17)*(TableBOM[Material Category]="LACQUER")*TableBOM[Per 1000 Units]*(1+TableBOM[Scrap %]))*I17/1000,0))</f>
        <v/>
      </c>
      <c r="M17" s="41" t="str">
        <f>IF(I17="","",IFERROR(SUMPRODUCT((TableBOM[Product ID]=A17)*(TableBOM[Material Category]="LATEX")*TableBOM[Per 1000 Units]*(1+TableBOM[Scrap %]))*I17/1000,0))</f>
        <v/>
      </c>
      <c r="N17" s="41" t="str">
        <f>IF(I17="","",IFERROR(SUMPRODUCT((TableBOM[Product ID]=A17)*(TableBOM[Material Category]="ZINC")*TableBOM[Per 1000 Units]*(1+TableBOM[Scrap %]))*I17/1000,0))</f>
        <v/>
      </c>
      <c r="O17" s="41" t="str">
        <f>IF(I17="","",IFERROR(SUMPRODUCT((TableBOM[Product ID]=A17)*(TableBOM[Material Category]="CAP")*TableBOM[Per 1000 Units]*(1+TableBOM[Scrap %]))*I17/1000,0))</f>
        <v/>
      </c>
      <c r="P17" s="41" t="str">
        <f>IF(I17="","",IFERROR(SUMPRODUCT((TableBOM[Product ID]=A17)*(TableBOM[Material Category]="CARTON")*TableBOM[Per 1000 Units]*(1+TableBOM[Scrap %]))*I17/1000,0))</f>
        <v/>
      </c>
      <c r="Q17" s="41"/>
      <c r="R17" s="41"/>
      <c r="S17" s="41"/>
    </row>
    <row r="18" spans="1:19" ht="15" customHeight="1" x14ac:dyDescent="0.25">
      <c r="A18" s="39">
        <v>3447</v>
      </c>
      <c r="B18" s="39">
        <v>34</v>
      </c>
      <c r="C18" s="39" t="s">
        <v>13</v>
      </c>
      <c r="D18" s="40" t="s">
        <v>205</v>
      </c>
      <c r="E18" s="39">
        <v>25</v>
      </c>
      <c r="F18" s="39">
        <v>150</v>
      </c>
      <c r="G18" s="39" t="s">
        <v>377</v>
      </c>
      <c r="H18" s="39">
        <v>336</v>
      </c>
      <c r="I18" s="52"/>
      <c r="J18" s="41" t="str">
        <f>IF(I18="","",IFERROR(SUMPRODUCT((TableBOM[Product ID]=A18)*(TableBOM[Material Category]="SLUG")*TableBOM[Per 1000 Units]*(1+TableBOM[Scrap %]))*I18/1000,0))</f>
        <v/>
      </c>
      <c r="K18" s="41" t="str">
        <f>IF(I18="","",IFERROR(SUMPRODUCT((TableBOM[Product ID]=A18)*(TableBOM[Material Category]="BASE COAT")*TableBOM[Per 1000 Units]*(1+TableBOM[Scrap %]))*I18/1000,0))</f>
        <v/>
      </c>
      <c r="L18" s="41" t="str">
        <f>IF(I18="","",IFERROR(SUMPRODUCT((TableBOM[Product ID]=A18)*(TableBOM[Material Category]="LACQUER")*TableBOM[Per 1000 Units]*(1+TableBOM[Scrap %]))*I18/1000,0))</f>
        <v/>
      </c>
      <c r="M18" s="41" t="str">
        <f>IF(I18="","",IFERROR(SUMPRODUCT((TableBOM[Product ID]=A18)*(TableBOM[Material Category]="LATEX")*TableBOM[Per 1000 Units]*(1+TableBOM[Scrap %]))*I18/1000,0))</f>
        <v/>
      </c>
      <c r="N18" s="41" t="str">
        <f>IF(I18="","",IFERROR(SUMPRODUCT((TableBOM[Product ID]=A18)*(TableBOM[Material Category]="ZINC")*TableBOM[Per 1000 Units]*(1+TableBOM[Scrap %]))*I18/1000,0))</f>
        <v/>
      </c>
      <c r="O18" s="41" t="str">
        <f>IF(I18="","",IFERROR(SUMPRODUCT((TableBOM[Product ID]=A18)*(TableBOM[Material Category]="CAP")*TableBOM[Per 1000 Units]*(1+TableBOM[Scrap %]))*I18/1000,0))</f>
        <v/>
      </c>
      <c r="P18" s="41" t="str">
        <f>IF(I18="","",IFERROR(SUMPRODUCT((TableBOM[Product ID]=A18)*(TableBOM[Material Category]="CARTON")*TableBOM[Per 1000 Units]*(1+TableBOM[Scrap %]))*I18/1000,0))</f>
        <v/>
      </c>
      <c r="Q18" s="41"/>
      <c r="R18" s="41"/>
      <c r="S18" s="41"/>
    </row>
    <row r="19" spans="1:19" ht="15" customHeight="1" x14ac:dyDescent="0.25">
      <c r="A19" s="39">
        <v>3726</v>
      </c>
      <c r="B19" s="39">
        <v>9</v>
      </c>
      <c r="C19" s="39" t="s">
        <v>13</v>
      </c>
      <c r="D19" s="40" t="s">
        <v>206</v>
      </c>
      <c r="E19" s="39">
        <v>25</v>
      </c>
      <c r="F19" s="39">
        <v>150</v>
      </c>
      <c r="G19" s="39" t="s">
        <v>377</v>
      </c>
      <c r="H19" s="39">
        <v>336</v>
      </c>
      <c r="I19" s="52"/>
      <c r="J19" s="41" t="str">
        <f>IF(I19="","",IFERROR(SUMPRODUCT((TableBOM[Product ID]=A19)*(TableBOM[Material Category]="SLUG")*TableBOM[Per 1000 Units]*(1+TableBOM[Scrap %]))*I19/1000,0))</f>
        <v/>
      </c>
      <c r="K19" s="41" t="str">
        <f>IF(I19="","",IFERROR(SUMPRODUCT((TableBOM[Product ID]=A19)*(TableBOM[Material Category]="BASE COAT")*TableBOM[Per 1000 Units]*(1+TableBOM[Scrap %]))*I19/1000,0))</f>
        <v/>
      </c>
      <c r="L19" s="41" t="str">
        <f>IF(I19="","",IFERROR(SUMPRODUCT((TableBOM[Product ID]=A19)*(TableBOM[Material Category]="LACQUER")*TableBOM[Per 1000 Units]*(1+TableBOM[Scrap %]))*I19/1000,0))</f>
        <v/>
      </c>
      <c r="M19" s="41" t="str">
        <f>IF(I19="","",IFERROR(SUMPRODUCT((TableBOM[Product ID]=A19)*(TableBOM[Material Category]="LATEX")*TableBOM[Per 1000 Units]*(1+TableBOM[Scrap %]))*I19/1000,0))</f>
        <v/>
      </c>
      <c r="N19" s="41" t="str">
        <f>IF(I19="","",IFERROR(SUMPRODUCT((TableBOM[Product ID]=A19)*(TableBOM[Material Category]="ZINC")*TableBOM[Per 1000 Units]*(1+TableBOM[Scrap %]))*I19/1000,0))</f>
        <v/>
      </c>
      <c r="O19" s="41" t="str">
        <f>IF(I19="","",IFERROR(SUMPRODUCT((TableBOM[Product ID]=A19)*(TableBOM[Material Category]="CAP")*TableBOM[Per 1000 Units]*(1+TableBOM[Scrap %]))*I19/1000,0))</f>
        <v/>
      </c>
      <c r="P19" s="41" t="str">
        <f>IF(I19="","",IFERROR(SUMPRODUCT((TableBOM[Product ID]=A19)*(TableBOM[Material Category]="CARTON")*TableBOM[Per 1000 Units]*(1+TableBOM[Scrap %]))*I19/1000,0))</f>
        <v/>
      </c>
      <c r="Q19" s="41"/>
      <c r="R19" s="41"/>
      <c r="S19" s="41"/>
    </row>
    <row r="20" spans="1:19" ht="15" customHeight="1" x14ac:dyDescent="0.25">
      <c r="A20" s="39">
        <v>6470</v>
      </c>
      <c r="B20" s="39">
        <v>177</v>
      </c>
      <c r="C20" s="39" t="s">
        <v>13</v>
      </c>
      <c r="D20" s="40" t="s">
        <v>14</v>
      </c>
      <c r="E20" s="39">
        <v>25</v>
      </c>
      <c r="F20" s="39">
        <v>150</v>
      </c>
      <c r="G20" s="39" t="s">
        <v>377</v>
      </c>
      <c r="H20" s="39">
        <v>336</v>
      </c>
      <c r="I20" s="52"/>
      <c r="J20" s="41" t="str">
        <f>IF(I20="","",IFERROR(SUMPRODUCT((TableBOM[Product ID]=A20)*(TableBOM[Material Category]="SLUG")*TableBOM[Per 1000 Units]*(1+TableBOM[Scrap %]))*I20/1000,0))</f>
        <v/>
      </c>
      <c r="K20" s="41" t="str">
        <f>IF(I20="","",IFERROR(SUMPRODUCT((TableBOM[Product ID]=A20)*(TableBOM[Material Category]="BASE COAT")*TableBOM[Per 1000 Units]*(1+TableBOM[Scrap %]))*I20/1000,0))</f>
        <v/>
      </c>
      <c r="L20" s="41" t="str">
        <f>IF(I20="","",IFERROR(SUMPRODUCT((TableBOM[Product ID]=A20)*(TableBOM[Material Category]="LACQUER")*TableBOM[Per 1000 Units]*(1+TableBOM[Scrap %]))*I20/1000,0))</f>
        <v/>
      </c>
      <c r="M20" s="41" t="str">
        <f>IF(I20="","",IFERROR(SUMPRODUCT((TableBOM[Product ID]=A20)*(TableBOM[Material Category]="LATEX")*TableBOM[Per 1000 Units]*(1+TableBOM[Scrap %]))*I20/1000,0))</f>
        <v/>
      </c>
      <c r="N20" s="41" t="str">
        <f>IF(I20="","",IFERROR(SUMPRODUCT((TableBOM[Product ID]=A20)*(TableBOM[Material Category]="ZINC")*TableBOM[Per 1000 Units]*(1+TableBOM[Scrap %]))*I20/1000,0))</f>
        <v/>
      </c>
      <c r="O20" s="41" t="str">
        <f>IF(I20="","",IFERROR(SUMPRODUCT((TableBOM[Product ID]=A20)*(TableBOM[Material Category]="CAP")*TableBOM[Per 1000 Units]*(1+TableBOM[Scrap %]))*I20/1000,0))</f>
        <v/>
      </c>
      <c r="P20" s="41" t="str">
        <f>IF(I20="","",IFERROR(SUMPRODUCT((TableBOM[Product ID]=A20)*(TableBOM[Material Category]="CARTON")*TableBOM[Per 1000 Units]*(1+TableBOM[Scrap %]))*I20/1000,0))</f>
        <v/>
      </c>
      <c r="Q20" s="41"/>
      <c r="R20" s="41"/>
      <c r="S20" s="41"/>
    </row>
    <row r="21" spans="1:19" ht="15" customHeight="1" x14ac:dyDescent="0.25">
      <c r="A21" s="39">
        <v>6506</v>
      </c>
      <c r="B21" s="39">
        <v>179</v>
      </c>
      <c r="C21" s="39" t="s">
        <v>13</v>
      </c>
      <c r="D21" s="40" t="s">
        <v>208</v>
      </c>
      <c r="E21" s="39">
        <v>25</v>
      </c>
      <c r="F21" s="39">
        <v>150</v>
      </c>
      <c r="G21" s="39" t="s">
        <v>377</v>
      </c>
      <c r="H21" s="39">
        <v>336</v>
      </c>
      <c r="I21" s="52"/>
      <c r="J21" s="41" t="str">
        <f>IF(I21="","",IFERROR(SUMPRODUCT((TableBOM[Product ID]=A21)*(TableBOM[Material Category]="SLUG")*TableBOM[Per 1000 Units]*(1+TableBOM[Scrap %]))*I21/1000,0))</f>
        <v/>
      </c>
      <c r="K21" s="41" t="str">
        <f>IF(I21="","",IFERROR(SUMPRODUCT((TableBOM[Product ID]=A21)*(TableBOM[Material Category]="BASE COAT")*TableBOM[Per 1000 Units]*(1+TableBOM[Scrap %]))*I21/1000,0))</f>
        <v/>
      </c>
      <c r="L21" s="41" t="str">
        <f>IF(I21="","",IFERROR(SUMPRODUCT((TableBOM[Product ID]=A21)*(TableBOM[Material Category]="LACQUER")*TableBOM[Per 1000 Units]*(1+TableBOM[Scrap %]))*I21/1000,0))</f>
        <v/>
      </c>
      <c r="M21" s="41" t="str">
        <f>IF(I21="","",IFERROR(SUMPRODUCT((TableBOM[Product ID]=A21)*(TableBOM[Material Category]="LATEX")*TableBOM[Per 1000 Units]*(1+TableBOM[Scrap %]))*I21/1000,0))</f>
        <v/>
      </c>
      <c r="N21" s="41" t="str">
        <f>IF(I21="","",IFERROR(SUMPRODUCT((TableBOM[Product ID]=A21)*(TableBOM[Material Category]="ZINC")*TableBOM[Per 1000 Units]*(1+TableBOM[Scrap %]))*I21/1000,0))</f>
        <v/>
      </c>
      <c r="O21" s="41" t="str">
        <f>IF(I21="","",IFERROR(SUMPRODUCT((TableBOM[Product ID]=A21)*(TableBOM[Material Category]="CAP")*TableBOM[Per 1000 Units]*(1+TableBOM[Scrap %]))*I21/1000,0))</f>
        <v/>
      </c>
      <c r="P21" s="41" t="str">
        <f>IF(I21="","",IFERROR(SUMPRODUCT((TableBOM[Product ID]=A21)*(TableBOM[Material Category]="CARTON")*TableBOM[Per 1000 Units]*(1+TableBOM[Scrap %]))*I21/1000,0))</f>
        <v/>
      </c>
      <c r="Q21" s="41"/>
      <c r="R21" s="41"/>
      <c r="S21" s="41"/>
    </row>
    <row r="22" spans="1:19" ht="15" customHeight="1" x14ac:dyDescent="0.25">
      <c r="A22" s="39">
        <v>6532</v>
      </c>
      <c r="B22" s="39">
        <v>181</v>
      </c>
      <c r="C22" s="39" t="s">
        <v>13</v>
      </c>
      <c r="D22" s="40" t="s">
        <v>207</v>
      </c>
      <c r="E22" s="39">
        <v>25</v>
      </c>
      <c r="F22" s="39">
        <v>150</v>
      </c>
      <c r="G22" s="39" t="s">
        <v>377</v>
      </c>
      <c r="H22" s="39">
        <v>336</v>
      </c>
      <c r="I22" s="52">
        <v>17472</v>
      </c>
      <c r="J22" s="41">
        <f>IF(I22="","",IFERROR(SUMPRODUCT((TableBOM[Product ID]=A22)*(TableBOM[Material Category]="SLUG")*TableBOM[Per 1000 Units]*(1+TableBOM[Scrap %]))*I22/1000,0))</f>
        <v>113.7200064</v>
      </c>
      <c r="K22" s="41">
        <f>IF(I22="","",IFERROR(SUMPRODUCT((TableBOM[Product ID]=A22)*(TableBOM[Material Category]="BASE COAT")*TableBOM[Per 1000 Units]*(1+TableBOM[Scrap %]))*I22/1000,0))</f>
        <v>11.762150400000001</v>
      </c>
      <c r="L22" s="41">
        <f>IF(I22="","",IFERROR(SUMPRODUCT((TableBOM[Product ID]=A22)*(TableBOM[Material Category]="LACQUER")*TableBOM[Per 1000 Units]*(1+TableBOM[Scrap %]))*I22/1000,0))</f>
        <v>5.6120063999999994</v>
      </c>
      <c r="M22" s="41">
        <f>IF(I22="","",IFERROR(SUMPRODUCT((TableBOM[Product ID]=A22)*(TableBOM[Material Category]="LATEX")*TableBOM[Per 1000 Units]*(1+TableBOM[Scrap %]))*I22/1000,0))</f>
        <v>0</v>
      </c>
      <c r="N22" s="41">
        <f>IF(I22="","",IFERROR(SUMPRODUCT((TableBOM[Product ID]=A22)*(TableBOM[Material Category]="ZINC")*TableBOM[Per 1000 Units]*(1+TableBOM[Scrap %]))*I22/1000,0))</f>
        <v>0</v>
      </c>
      <c r="O22" s="41">
        <f>IF(I22="","",IFERROR(SUMPRODUCT((TableBOM[Product ID]=A22)*(TableBOM[Material Category]="CAP")*TableBOM[Per 1000 Units]*(1+TableBOM[Scrap %]))*I22/1000,0))</f>
        <v>17821.439999999999</v>
      </c>
      <c r="P22" s="41">
        <f>IF(I22="","",IFERROR(SUMPRODUCT((TableBOM[Product ID]=A22)*(TableBOM[Material Category]="CARTON")*TableBOM[Per 1000 Units]*(1+TableBOM[Scrap %]))*I22/1000,0))</f>
        <v>57.196339200000004</v>
      </c>
      <c r="Q22" s="41"/>
      <c r="R22" s="41"/>
      <c r="S22" s="41"/>
    </row>
    <row r="23" spans="1:19" ht="15" hidden="1" customHeight="1" x14ac:dyDescent="0.25">
      <c r="A23" s="39">
        <v>6338</v>
      </c>
      <c r="B23" s="39">
        <v>167</v>
      </c>
      <c r="C23" s="39" t="s">
        <v>210</v>
      </c>
      <c r="D23" s="40" t="s">
        <v>211</v>
      </c>
      <c r="E23" s="39">
        <v>25</v>
      </c>
      <c r="F23" s="39">
        <v>155</v>
      </c>
      <c r="G23" s="39" t="s">
        <v>377</v>
      </c>
      <c r="H23" s="39">
        <v>336</v>
      </c>
      <c r="I23" s="52"/>
      <c r="J23" s="41" t="str">
        <f>IF(I23="","",IFERROR(SUMPRODUCT((TableBOM[Product ID]=A23)*(TableBOM[Material Category]="SLUG")*TableBOM[Per 1000 Units]*(1+TableBOM[Scrap %]))*I23/1000,0))</f>
        <v/>
      </c>
      <c r="K23" s="41" t="str">
        <f>IF(I23="","",IFERROR(SUMPRODUCT((TableBOM[Product ID]=A23)*(TableBOM[Material Category]="BASE COAT")*TableBOM[Per 1000 Units]*(1+TableBOM[Scrap %]))*I23/1000,0))</f>
        <v/>
      </c>
      <c r="L23" s="41" t="str">
        <f>IF(I23="","",IFERROR(SUMPRODUCT((TableBOM[Product ID]=A23)*(TableBOM[Material Category]="LACQUER")*TableBOM[Per 1000 Units]*(1+TableBOM[Scrap %]))*I23/1000,0))</f>
        <v/>
      </c>
      <c r="M23" s="41" t="str">
        <f>IF(I23="","",IFERROR(SUMPRODUCT((TableBOM[Product ID]=A23)*(TableBOM[Material Category]="LATEX")*TableBOM[Per 1000 Units]*(1+TableBOM[Scrap %]))*I23/1000,0))</f>
        <v/>
      </c>
      <c r="N23" s="41" t="str">
        <f>IF(I23="","",IFERROR(SUMPRODUCT((TableBOM[Product ID]=A23)*(TableBOM[Material Category]="ZINC")*TableBOM[Per 1000 Units]*(1+TableBOM[Scrap %]))*I23/1000,0))</f>
        <v/>
      </c>
      <c r="O23" s="41" t="str">
        <f>IF(I23="","",IFERROR(SUMPRODUCT((TableBOM[Product ID]=A23)*(TableBOM[Material Category]="CAP")*TableBOM[Per 1000 Units]*(1+TableBOM[Scrap %]))*I23/1000,0))</f>
        <v/>
      </c>
      <c r="P23" s="41" t="str">
        <f>IF(I23="","",IFERROR(SUMPRODUCT((TableBOM[Product ID]=A23)*(TableBOM[Material Category]="CARTON")*TableBOM[Per 1000 Units]*(1+TableBOM[Scrap %]))*I23/1000,0))</f>
        <v/>
      </c>
      <c r="Q23" s="41"/>
      <c r="R23" s="41"/>
      <c r="S23" s="41"/>
    </row>
    <row r="24" spans="1:19" ht="15" hidden="1" customHeight="1" x14ac:dyDescent="0.25">
      <c r="A24" s="39">
        <v>6337</v>
      </c>
      <c r="B24" s="39">
        <v>166</v>
      </c>
      <c r="C24" s="39" t="s">
        <v>219</v>
      </c>
      <c r="D24" s="40" t="s">
        <v>221</v>
      </c>
      <c r="E24" s="39">
        <v>30</v>
      </c>
      <c r="F24" s="39">
        <v>130</v>
      </c>
      <c r="G24" s="39" t="s">
        <v>378</v>
      </c>
      <c r="H24" s="39">
        <v>150</v>
      </c>
      <c r="I24" s="52"/>
      <c r="J24" s="41" t="str">
        <f>IF(I24="","",IFERROR(SUMPRODUCT((TableBOM[Product ID]=A24)*(TableBOM[Material Category]="SLUG")*TableBOM[Per 1000 Units]*(1+TableBOM[Scrap %]))*I24/1000,0))</f>
        <v/>
      </c>
      <c r="K24" s="41" t="str">
        <f>IF(I24="","",IFERROR(SUMPRODUCT((TableBOM[Product ID]=A24)*(TableBOM[Material Category]="BASE COAT")*TableBOM[Per 1000 Units]*(1+TableBOM[Scrap %]))*I24/1000,0))</f>
        <v/>
      </c>
      <c r="L24" s="41" t="str">
        <f>IF(I24="","",IFERROR(SUMPRODUCT((TableBOM[Product ID]=A24)*(TableBOM[Material Category]="LACQUER")*TableBOM[Per 1000 Units]*(1+TableBOM[Scrap %]))*I24/1000,0))</f>
        <v/>
      </c>
      <c r="M24" s="41" t="str">
        <f>IF(I24="","",IFERROR(SUMPRODUCT((TableBOM[Product ID]=A24)*(TableBOM[Material Category]="LATEX")*TableBOM[Per 1000 Units]*(1+TableBOM[Scrap %]))*I24/1000,0))</f>
        <v/>
      </c>
      <c r="N24" s="41" t="str">
        <f>IF(I24="","",IFERROR(SUMPRODUCT((TableBOM[Product ID]=A24)*(TableBOM[Material Category]="ZINC")*TableBOM[Per 1000 Units]*(1+TableBOM[Scrap %]))*I24/1000,0))</f>
        <v/>
      </c>
      <c r="O24" s="41" t="str">
        <f>IF(I24="","",IFERROR(SUMPRODUCT((TableBOM[Product ID]=A24)*(TableBOM[Material Category]="CAP")*TableBOM[Per 1000 Units]*(1+TableBOM[Scrap %]))*I24/1000,0))</f>
        <v/>
      </c>
      <c r="P24" s="41" t="str">
        <f>IF(I24="","",IFERROR(SUMPRODUCT((TableBOM[Product ID]=A24)*(TableBOM[Material Category]="CARTON")*TableBOM[Per 1000 Units]*(1+TableBOM[Scrap %]))*I24/1000,0))</f>
        <v/>
      </c>
      <c r="Q24" s="41"/>
      <c r="R24" s="41"/>
      <c r="S24" s="41"/>
    </row>
    <row r="25" spans="1:19" ht="15" hidden="1" customHeight="1" x14ac:dyDescent="0.25">
      <c r="A25" s="39">
        <v>6416</v>
      </c>
      <c r="B25" s="39">
        <v>171</v>
      </c>
      <c r="C25" s="39" t="s">
        <v>219</v>
      </c>
      <c r="D25" s="40" t="s">
        <v>220</v>
      </c>
      <c r="E25" s="39">
        <v>30</v>
      </c>
      <c r="F25" s="39">
        <v>130</v>
      </c>
      <c r="G25" s="39" t="s">
        <v>378</v>
      </c>
      <c r="H25" s="39">
        <v>150</v>
      </c>
      <c r="I25" s="52"/>
      <c r="J25" s="41" t="str">
        <f>IF(I25="","",IFERROR(SUMPRODUCT((TableBOM[Product ID]=A25)*(TableBOM[Material Category]="SLUG")*TableBOM[Per 1000 Units]*(1+TableBOM[Scrap %]))*I25/1000,0))</f>
        <v/>
      </c>
      <c r="K25" s="41" t="str">
        <f>IF(I25="","",IFERROR(SUMPRODUCT((TableBOM[Product ID]=A25)*(TableBOM[Material Category]="BASE COAT")*TableBOM[Per 1000 Units]*(1+TableBOM[Scrap %]))*I25/1000,0))</f>
        <v/>
      </c>
      <c r="L25" s="41" t="str">
        <f>IF(I25="","",IFERROR(SUMPRODUCT((TableBOM[Product ID]=A25)*(TableBOM[Material Category]="LACQUER")*TableBOM[Per 1000 Units]*(1+TableBOM[Scrap %]))*I25/1000,0))</f>
        <v/>
      </c>
      <c r="M25" s="41" t="str">
        <f>IF(I25="","",IFERROR(SUMPRODUCT((TableBOM[Product ID]=A25)*(TableBOM[Material Category]="LATEX")*TableBOM[Per 1000 Units]*(1+TableBOM[Scrap %]))*I25/1000,0))</f>
        <v/>
      </c>
      <c r="N25" s="41" t="str">
        <f>IF(I25="","",IFERROR(SUMPRODUCT((TableBOM[Product ID]=A25)*(TableBOM[Material Category]="ZINC")*TableBOM[Per 1000 Units]*(1+TableBOM[Scrap %]))*I25/1000,0))</f>
        <v/>
      </c>
      <c r="O25" s="41" t="str">
        <f>IF(I25="","",IFERROR(SUMPRODUCT((TableBOM[Product ID]=A25)*(TableBOM[Material Category]="CAP")*TableBOM[Per 1000 Units]*(1+TableBOM[Scrap %]))*I25/1000,0))</f>
        <v/>
      </c>
      <c r="P25" s="41" t="str">
        <f>IF(I25="","",IFERROR(SUMPRODUCT((TableBOM[Product ID]=A25)*(TableBOM[Material Category]="CARTON")*TableBOM[Per 1000 Units]*(1+TableBOM[Scrap %]))*I25/1000,0))</f>
        <v/>
      </c>
      <c r="Q25" s="41"/>
      <c r="R25" s="41"/>
      <c r="S25" s="41"/>
    </row>
    <row r="26" spans="1:19" ht="15" hidden="1" customHeight="1" x14ac:dyDescent="0.25">
      <c r="A26" s="39">
        <v>6206</v>
      </c>
      <c r="B26" s="39">
        <v>149</v>
      </c>
      <c r="C26" s="39" t="s">
        <v>19</v>
      </c>
      <c r="D26" s="40" t="s">
        <v>20</v>
      </c>
      <c r="E26" s="39">
        <v>30</v>
      </c>
      <c r="F26" s="39">
        <v>130</v>
      </c>
      <c r="G26" s="39" t="s">
        <v>378</v>
      </c>
      <c r="H26" s="39">
        <v>245</v>
      </c>
      <c r="I26" s="52"/>
      <c r="J26" s="41" t="str">
        <f>IF(I26="","",IFERROR(SUMPRODUCT((TableBOM[Product ID]=A26)*(TableBOM[Material Category]="SLUG")*TableBOM[Per 1000 Units]*(1+TableBOM[Scrap %]))*I26/1000,0))</f>
        <v/>
      </c>
      <c r="K26" s="41" t="str">
        <f>IF(I26="","",IFERROR(SUMPRODUCT((TableBOM[Product ID]=A26)*(TableBOM[Material Category]="BASE COAT")*TableBOM[Per 1000 Units]*(1+TableBOM[Scrap %]))*I26/1000,0))</f>
        <v/>
      </c>
      <c r="L26" s="41" t="str">
        <f>IF(I26="","",IFERROR(SUMPRODUCT((TableBOM[Product ID]=A26)*(TableBOM[Material Category]="LACQUER")*TableBOM[Per 1000 Units]*(1+TableBOM[Scrap %]))*I26/1000,0))</f>
        <v/>
      </c>
      <c r="M26" s="41" t="str">
        <f>IF(I26="","",IFERROR(SUMPRODUCT((TableBOM[Product ID]=A26)*(TableBOM[Material Category]="LATEX")*TableBOM[Per 1000 Units]*(1+TableBOM[Scrap %]))*I26/1000,0))</f>
        <v/>
      </c>
      <c r="N26" s="41" t="str">
        <f>IF(I26="","",IFERROR(SUMPRODUCT((TableBOM[Product ID]=A26)*(TableBOM[Material Category]="ZINC")*TableBOM[Per 1000 Units]*(1+TableBOM[Scrap %]))*I26/1000,0))</f>
        <v/>
      </c>
      <c r="O26" s="41" t="str">
        <f>IF(I26="","",IFERROR(SUMPRODUCT((TableBOM[Product ID]=A26)*(TableBOM[Material Category]="CAP")*TableBOM[Per 1000 Units]*(1+TableBOM[Scrap %]))*I26/1000,0))</f>
        <v/>
      </c>
      <c r="P26" s="41" t="str">
        <f>IF(I26="","",IFERROR(SUMPRODUCT((TableBOM[Product ID]=A26)*(TableBOM[Material Category]="CARTON")*TableBOM[Per 1000 Units]*(1+TableBOM[Scrap %]))*I26/1000,0))</f>
        <v/>
      </c>
      <c r="Q26" s="41"/>
      <c r="R26" s="41"/>
      <c r="S26" s="41"/>
    </row>
    <row r="27" spans="1:19" ht="15" hidden="1" customHeight="1" x14ac:dyDescent="0.25">
      <c r="A27" s="39">
        <v>5814</v>
      </c>
      <c r="B27" s="39">
        <v>95</v>
      </c>
      <c r="C27" s="39" t="s">
        <v>11</v>
      </c>
      <c r="D27" s="40" t="s">
        <v>16</v>
      </c>
      <c r="E27" s="39">
        <v>30</v>
      </c>
      <c r="F27" s="39">
        <v>130</v>
      </c>
      <c r="G27" s="39" t="s">
        <v>378</v>
      </c>
      <c r="H27" s="39">
        <v>150</v>
      </c>
      <c r="I27" s="52"/>
      <c r="J27" s="41" t="str">
        <f>IF(I27="","",IFERROR(SUMPRODUCT((TableBOM[Product ID]=A27)*(TableBOM[Material Category]="SLUG")*TableBOM[Per 1000 Units]*(1+TableBOM[Scrap %]))*I27/1000,0))</f>
        <v/>
      </c>
      <c r="K27" s="41" t="str">
        <f>IF(I27="","",IFERROR(SUMPRODUCT((TableBOM[Product ID]=A27)*(TableBOM[Material Category]="BASE COAT")*TableBOM[Per 1000 Units]*(1+TableBOM[Scrap %]))*I27/1000,0))</f>
        <v/>
      </c>
      <c r="L27" s="41" t="str">
        <f>IF(I27="","",IFERROR(SUMPRODUCT((TableBOM[Product ID]=A27)*(TableBOM[Material Category]="LACQUER")*TableBOM[Per 1000 Units]*(1+TableBOM[Scrap %]))*I27/1000,0))</f>
        <v/>
      </c>
      <c r="M27" s="41" t="str">
        <f>IF(I27="","",IFERROR(SUMPRODUCT((TableBOM[Product ID]=A27)*(TableBOM[Material Category]="LATEX")*TableBOM[Per 1000 Units]*(1+TableBOM[Scrap %]))*I27/1000,0))</f>
        <v/>
      </c>
      <c r="N27" s="41" t="str">
        <f>IF(I27="","",IFERROR(SUMPRODUCT((TableBOM[Product ID]=A27)*(TableBOM[Material Category]="ZINC")*TableBOM[Per 1000 Units]*(1+TableBOM[Scrap %]))*I27/1000,0))</f>
        <v/>
      </c>
      <c r="O27" s="41" t="str">
        <f>IF(I27="","",IFERROR(SUMPRODUCT((TableBOM[Product ID]=A27)*(TableBOM[Material Category]="CAP")*TableBOM[Per 1000 Units]*(1+TableBOM[Scrap %]))*I27/1000,0))</f>
        <v/>
      </c>
      <c r="P27" s="41" t="str">
        <f>IF(I27="","",IFERROR(SUMPRODUCT((TableBOM[Product ID]=A27)*(TableBOM[Material Category]="CARTON")*TableBOM[Per 1000 Units]*(1+TableBOM[Scrap %]))*I27/1000,0))</f>
        <v/>
      </c>
      <c r="Q27" s="41"/>
      <c r="R27" s="41"/>
      <c r="S27" s="41"/>
    </row>
    <row r="28" spans="1:19" ht="15" hidden="1" customHeight="1" x14ac:dyDescent="0.25">
      <c r="A28" s="39">
        <v>9002</v>
      </c>
      <c r="B28" s="39">
        <v>901</v>
      </c>
      <c r="C28" s="39" t="s">
        <v>11</v>
      </c>
      <c r="D28" s="40" t="s">
        <v>222</v>
      </c>
      <c r="E28" s="39">
        <v>30</v>
      </c>
      <c r="F28" s="39">
        <v>130</v>
      </c>
      <c r="G28" s="39" t="s">
        <v>377</v>
      </c>
      <c r="H28" s="39">
        <v>245</v>
      </c>
      <c r="I28" s="52"/>
      <c r="J28" s="41" t="str">
        <f>IF(I28="","",IFERROR(SUMPRODUCT((TableBOM[Product ID]=A28)*(TableBOM[Material Category]="SLUG")*TableBOM[Per 1000 Units]*(1+TableBOM[Scrap %]))*I28/1000,0))</f>
        <v/>
      </c>
      <c r="K28" s="41" t="str">
        <f>IF(I28="","",IFERROR(SUMPRODUCT((TableBOM[Product ID]=A28)*(TableBOM[Material Category]="BASE COAT")*TableBOM[Per 1000 Units]*(1+TableBOM[Scrap %]))*I28/1000,0))</f>
        <v/>
      </c>
      <c r="L28" s="41" t="str">
        <f>IF(I28="","",IFERROR(SUMPRODUCT((TableBOM[Product ID]=A28)*(TableBOM[Material Category]="LACQUER")*TableBOM[Per 1000 Units]*(1+TableBOM[Scrap %]))*I28/1000,0))</f>
        <v/>
      </c>
      <c r="M28" s="41" t="str">
        <f>IF(I28="","",IFERROR(SUMPRODUCT((TableBOM[Product ID]=A28)*(TableBOM[Material Category]="LATEX")*TableBOM[Per 1000 Units]*(1+TableBOM[Scrap %]))*I28/1000,0))</f>
        <v/>
      </c>
      <c r="N28" s="41" t="str">
        <f>IF(I28="","",IFERROR(SUMPRODUCT((TableBOM[Product ID]=A28)*(TableBOM[Material Category]="ZINC")*TableBOM[Per 1000 Units]*(1+TableBOM[Scrap %]))*I28/1000,0))</f>
        <v/>
      </c>
      <c r="O28" s="41" t="str">
        <f>IF(I28="","",IFERROR(SUMPRODUCT((TableBOM[Product ID]=A28)*(TableBOM[Material Category]="CAP")*TableBOM[Per 1000 Units]*(1+TableBOM[Scrap %]))*I28/1000,0))</f>
        <v/>
      </c>
      <c r="P28" s="41" t="str">
        <f>IF(I28="","",IFERROR(SUMPRODUCT((TableBOM[Product ID]=A28)*(TableBOM[Material Category]="CARTON")*TableBOM[Per 1000 Units]*(1+TableBOM[Scrap %]))*I28/1000,0))</f>
        <v/>
      </c>
      <c r="Q28" s="41"/>
      <c r="R28" s="41"/>
      <c r="S28" s="41"/>
    </row>
    <row r="29" spans="1:19" ht="15" hidden="1" customHeight="1" x14ac:dyDescent="0.25">
      <c r="A29" s="39">
        <v>4050</v>
      </c>
      <c r="B29" s="39">
        <v>19</v>
      </c>
      <c r="C29" s="39" t="s">
        <v>216</v>
      </c>
      <c r="D29" s="40" t="s">
        <v>217</v>
      </c>
      <c r="E29" s="39">
        <v>30</v>
      </c>
      <c r="F29" s="39">
        <v>130</v>
      </c>
      <c r="G29" s="39" t="s">
        <v>378</v>
      </c>
      <c r="H29" s="39">
        <v>150</v>
      </c>
      <c r="I29" s="52"/>
      <c r="J29" s="41" t="str">
        <f>IF(I29="","",IFERROR(SUMPRODUCT((TableBOM[Product ID]=A29)*(TableBOM[Material Category]="SLUG")*TableBOM[Per 1000 Units]*(1+TableBOM[Scrap %]))*I29/1000,0))</f>
        <v/>
      </c>
      <c r="K29" s="41" t="str">
        <f>IF(I29="","",IFERROR(SUMPRODUCT((TableBOM[Product ID]=A29)*(TableBOM[Material Category]="BASE COAT")*TableBOM[Per 1000 Units]*(1+TableBOM[Scrap %]))*I29/1000,0))</f>
        <v/>
      </c>
      <c r="L29" s="41" t="str">
        <f>IF(I29="","",IFERROR(SUMPRODUCT((TableBOM[Product ID]=A29)*(TableBOM[Material Category]="LACQUER")*TableBOM[Per 1000 Units]*(1+TableBOM[Scrap %]))*I29/1000,0))</f>
        <v/>
      </c>
      <c r="M29" s="41" t="str">
        <f>IF(I29="","",IFERROR(SUMPRODUCT((TableBOM[Product ID]=A29)*(TableBOM[Material Category]="LATEX")*TableBOM[Per 1000 Units]*(1+TableBOM[Scrap %]))*I29/1000,0))</f>
        <v/>
      </c>
      <c r="N29" s="41" t="str">
        <f>IF(I29="","",IFERROR(SUMPRODUCT((TableBOM[Product ID]=A29)*(TableBOM[Material Category]="ZINC")*TableBOM[Per 1000 Units]*(1+TableBOM[Scrap %]))*I29/1000,0))</f>
        <v/>
      </c>
      <c r="O29" s="41" t="str">
        <f>IF(I29="","",IFERROR(SUMPRODUCT((TableBOM[Product ID]=A29)*(TableBOM[Material Category]="CAP")*TableBOM[Per 1000 Units]*(1+TableBOM[Scrap %]))*I29/1000,0))</f>
        <v/>
      </c>
      <c r="P29" s="41" t="str">
        <f>IF(I29="","",IFERROR(SUMPRODUCT((TableBOM[Product ID]=A29)*(TableBOM[Material Category]="CARTON")*TableBOM[Per 1000 Units]*(1+TableBOM[Scrap %]))*I29/1000,0))</f>
        <v/>
      </c>
      <c r="Q29" s="41"/>
      <c r="R29" s="41"/>
      <c r="S29" s="41"/>
    </row>
    <row r="30" spans="1:19" ht="15" hidden="1" customHeight="1" x14ac:dyDescent="0.25">
      <c r="A30" s="39">
        <v>6312</v>
      </c>
      <c r="B30" s="39">
        <v>157</v>
      </c>
      <c r="C30" s="39" t="s">
        <v>216</v>
      </c>
      <c r="D30" s="40" t="s">
        <v>218</v>
      </c>
      <c r="E30" s="39">
        <v>30</v>
      </c>
      <c r="F30" s="39">
        <v>130</v>
      </c>
      <c r="G30" s="39" t="s">
        <v>377</v>
      </c>
      <c r="H30" s="39">
        <v>150</v>
      </c>
      <c r="I30" s="52"/>
      <c r="J30" s="41" t="str">
        <f>IF(I30="","",IFERROR(SUMPRODUCT((TableBOM[Product ID]=A30)*(TableBOM[Material Category]="SLUG")*TableBOM[Per 1000 Units]*(1+TableBOM[Scrap %]))*I30/1000,0))</f>
        <v/>
      </c>
      <c r="K30" s="41" t="str">
        <f>IF(I30="","",IFERROR(SUMPRODUCT((TableBOM[Product ID]=A30)*(TableBOM[Material Category]="BASE COAT")*TableBOM[Per 1000 Units]*(1+TableBOM[Scrap %]))*I30/1000,0))</f>
        <v/>
      </c>
      <c r="L30" s="41" t="str">
        <f>IF(I30="","",IFERROR(SUMPRODUCT((TableBOM[Product ID]=A30)*(TableBOM[Material Category]="LACQUER")*TableBOM[Per 1000 Units]*(1+TableBOM[Scrap %]))*I30/1000,0))</f>
        <v/>
      </c>
      <c r="M30" s="41" t="str">
        <f>IF(I30="","",IFERROR(SUMPRODUCT((TableBOM[Product ID]=A30)*(TableBOM[Material Category]="LATEX")*TableBOM[Per 1000 Units]*(1+TableBOM[Scrap %]))*I30/1000,0))</f>
        <v/>
      </c>
      <c r="N30" s="41" t="str">
        <f>IF(I30="","",IFERROR(SUMPRODUCT((TableBOM[Product ID]=A30)*(TableBOM[Material Category]="ZINC")*TableBOM[Per 1000 Units]*(1+TableBOM[Scrap %]))*I30/1000,0))</f>
        <v/>
      </c>
      <c r="O30" s="41" t="str">
        <f>IF(I30="","",IFERROR(SUMPRODUCT((TableBOM[Product ID]=A30)*(TableBOM[Material Category]="CAP")*TableBOM[Per 1000 Units]*(1+TableBOM[Scrap %]))*I30/1000,0))</f>
        <v/>
      </c>
      <c r="P30" s="41" t="str">
        <f>IF(I30="","",IFERROR(SUMPRODUCT((TableBOM[Product ID]=A30)*(TableBOM[Material Category]="CARTON")*TableBOM[Per 1000 Units]*(1+TableBOM[Scrap %]))*I30/1000,0))</f>
        <v/>
      </c>
      <c r="Q30" s="41"/>
      <c r="R30" s="41"/>
      <c r="S30" s="41"/>
    </row>
    <row r="31" spans="1:19" ht="15" hidden="1" customHeight="1" x14ac:dyDescent="0.25">
      <c r="A31" s="39">
        <v>6595</v>
      </c>
      <c r="B31" s="39">
        <v>191</v>
      </c>
      <c r="C31" s="39" t="s">
        <v>214</v>
      </c>
      <c r="D31" s="40" t="s">
        <v>215</v>
      </c>
      <c r="E31" s="39">
        <v>30</v>
      </c>
      <c r="F31" s="39">
        <v>130</v>
      </c>
      <c r="G31" s="39" t="s">
        <v>378</v>
      </c>
      <c r="H31" s="39">
        <v>245</v>
      </c>
      <c r="I31" s="52"/>
      <c r="J31" s="41" t="str">
        <f>IF(I31="","",IFERROR(SUMPRODUCT((TableBOM[Product ID]=A31)*(TableBOM[Material Category]="SLUG")*TableBOM[Per 1000 Units]*(1+TableBOM[Scrap %]))*I31/1000,0))</f>
        <v/>
      </c>
      <c r="K31" s="41" t="str">
        <f>IF(I31="","",IFERROR(SUMPRODUCT((TableBOM[Product ID]=A31)*(TableBOM[Material Category]="BASE COAT")*TableBOM[Per 1000 Units]*(1+TableBOM[Scrap %]))*I31/1000,0))</f>
        <v/>
      </c>
      <c r="L31" s="41" t="str">
        <f>IF(I31="","",IFERROR(SUMPRODUCT((TableBOM[Product ID]=A31)*(TableBOM[Material Category]="LACQUER")*TableBOM[Per 1000 Units]*(1+TableBOM[Scrap %]))*I31/1000,0))</f>
        <v/>
      </c>
      <c r="M31" s="41" t="str">
        <f>IF(I31="","",IFERROR(SUMPRODUCT((TableBOM[Product ID]=A31)*(TableBOM[Material Category]="LATEX")*TableBOM[Per 1000 Units]*(1+TableBOM[Scrap %]))*I31/1000,0))</f>
        <v/>
      </c>
      <c r="N31" s="41" t="str">
        <f>IF(I31="","",IFERROR(SUMPRODUCT((TableBOM[Product ID]=A31)*(TableBOM[Material Category]="ZINC")*TableBOM[Per 1000 Units]*(1+TableBOM[Scrap %]))*I31/1000,0))</f>
        <v/>
      </c>
      <c r="O31" s="41" t="str">
        <f>IF(I31="","",IFERROR(SUMPRODUCT((TableBOM[Product ID]=A31)*(TableBOM[Material Category]="CAP")*TableBOM[Per 1000 Units]*(1+TableBOM[Scrap %]))*I31/1000,0))</f>
        <v/>
      </c>
      <c r="P31" s="41" t="str">
        <f>IF(I31="","",IFERROR(SUMPRODUCT((TableBOM[Product ID]=A31)*(TableBOM[Material Category]="CARTON")*TableBOM[Per 1000 Units]*(1+TableBOM[Scrap %]))*I31/1000,0))</f>
        <v/>
      </c>
      <c r="Q31" s="41"/>
      <c r="R31" s="41"/>
      <c r="S31" s="41"/>
    </row>
    <row r="32" spans="1:19" ht="15" hidden="1" customHeight="1" x14ac:dyDescent="0.25">
      <c r="A32" s="39">
        <v>5782</v>
      </c>
      <c r="B32" s="39">
        <v>70</v>
      </c>
      <c r="C32" s="39" t="s">
        <v>226</v>
      </c>
      <c r="D32" s="40" t="s">
        <v>227</v>
      </c>
      <c r="E32" s="39">
        <v>32</v>
      </c>
      <c r="F32" s="39">
        <v>155</v>
      </c>
      <c r="G32" s="39" t="s">
        <v>378</v>
      </c>
      <c r="H32" s="39">
        <v>230</v>
      </c>
      <c r="I32" s="52"/>
      <c r="J32" s="41" t="str">
        <f>IF(I32="","",IFERROR(SUMPRODUCT((TableBOM[Product ID]=A32)*(TableBOM[Material Category]="SLUG")*TableBOM[Per 1000 Units]*(1+TableBOM[Scrap %]))*I32/1000,0))</f>
        <v/>
      </c>
      <c r="K32" s="41" t="str">
        <f>IF(I32="","",IFERROR(SUMPRODUCT((TableBOM[Product ID]=A32)*(TableBOM[Material Category]="BASE COAT")*TableBOM[Per 1000 Units]*(1+TableBOM[Scrap %]))*I32/1000,0))</f>
        <v/>
      </c>
      <c r="L32" s="41" t="str">
        <f>IF(I32="","",IFERROR(SUMPRODUCT((TableBOM[Product ID]=A32)*(TableBOM[Material Category]="LACQUER")*TableBOM[Per 1000 Units]*(1+TableBOM[Scrap %]))*I32/1000,0))</f>
        <v/>
      </c>
      <c r="M32" s="41" t="str">
        <f>IF(I32="","",IFERROR(SUMPRODUCT((TableBOM[Product ID]=A32)*(TableBOM[Material Category]="LATEX")*TableBOM[Per 1000 Units]*(1+TableBOM[Scrap %]))*I32/1000,0))</f>
        <v/>
      </c>
      <c r="N32" s="41" t="str">
        <f>IF(I32="","",IFERROR(SUMPRODUCT((TableBOM[Product ID]=A32)*(TableBOM[Material Category]="ZINC")*TableBOM[Per 1000 Units]*(1+TableBOM[Scrap %]))*I32/1000,0))</f>
        <v/>
      </c>
      <c r="O32" s="41" t="str">
        <f>IF(I32="","",IFERROR(SUMPRODUCT((TableBOM[Product ID]=A32)*(TableBOM[Material Category]="CAP")*TableBOM[Per 1000 Units]*(1+TableBOM[Scrap %]))*I32/1000,0))</f>
        <v/>
      </c>
      <c r="P32" s="41" t="str">
        <f>IF(I32="","",IFERROR(SUMPRODUCT((TableBOM[Product ID]=A32)*(TableBOM[Material Category]="CARTON")*TableBOM[Per 1000 Units]*(1+TableBOM[Scrap %]))*I32/1000,0))</f>
        <v/>
      </c>
      <c r="Q32" s="41"/>
      <c r="R32" s="41"/>
      <c r="S32" s="41"/>
    </row>
    <row r="33" spans="1:19" ht="15" hidden="1" customHeight="1" x14ac:dyDescent="0.25">
      <c r="A33" s="39">
        <v>6515</v>
      </c>
      <c r="B33" s="39">
        <v>180</v>
      </c>
      <c r="C33" s="39" t="s">
        <v>21</v>
      </c>
      <c r="D33" s="40" t="s">
        <v>22</v>
      </c>
      <c r="E33" s="39">
        <v>32</v>
      </c>
      <c r="F33" s="39">
        <v>180</v>
      </c>
      <c r="G33" s="39" t="s">
        <v>378</v>
      </c>
      <c r="H33" s="39">
        <v>336</v>
      </c>
      <c r="I33" s="52"/>
      <c r="J33" s="41" t="str">
        <f>IF(I33="","",IFERROR(SUMPRODUCT((TableBOM[Product ID]=A33)*(TableBOM[Material Category]="SLUG")*TableBOM[Per 1000 Units]*(1+TableBOM[Scrap %]))*I33/1000,0))</f>
        <v/>
      </c>
      <c r="K33" s="41" t="str">
        <f>IF(I33="","",IFERROR(SUMPRODUCT((TableBOM[Product ID]=A33)*(TableBOM[Material Category]="BASE COAT")*TableBOM[Per 1000 Units]*(1+TableBOM[Scrap %]))*I33/1000,0))</f>
        <v/>
      </c>
      <c r="L33" s="41" t="str">
        <f>IF(I33="","",IFERROR(SUMPRODUCT((TableBOM[Product ID]=A33)*(TableBOM[Material Category]="LACQUER")*TableBOM[Per 1000 Units]*(1+TableBOM[Scrap %]))*I33/1000,0))</f>
        <v/>
      </c>
      <c r="M33" s="41" t="str">
        <f>IF(I33="","",IFERROR(SUMPRODUCT((TableBOM[Product ID]=A33)*(TableBOM[Material Category]="LATEX")*TableBOM[Per 1000 Units]*(1+TableBOM[Scrap %]))*I33/1000,0))</f>
        <v/>
      </c>
      <c r="N33" s="41" t="str">
        <f>IF(I33="","",IFERROR(SUMPRODUCT((TableBOM[Product ID]=A33)*(TableBOM[Material Category]="ZINC")*TableBOM[Per 1000 Units]*(1+TableBOM[Scrap %]))*I33/1000,0))</f>
        <v/>
      </c>
      <c r="O33" s="41" t="str">
        <f>IF(I33="","",IFERROR(SUMPRODUCT((TableBOM[Product ID]=A33)*(TableBOM[Material Category]="CAP")*TableBOM[Per 1000 Units]*(1+TableBOM[Scrap %]))*I33/1000,0))</f>
        <v/>
      </c>
      <c r="P33" s="41" t="str">
        <f>IF(I33="","",IFERROR(SUMPRODUCT((TableBOM[Product ID]=A33)*(TableBOM[Material Category]="CARTON")*TableBOM[Per 1000 Units]*(1+TableBOM[Scrap %]))*I33/1000,0))</f>
        <v/>
      </c>
      <c r="Q33" s="41"/>
      <c r="R33" s="41"/>
      <c r="S33" s="41"/>
    </row>
    <row r="34" spans="1:19" ht="15" hidden="1" customHeight="1" x14ac:dyDescent="0.25">
      <c r="A34" s="39">
        <v>6020</v>
      </c>
      <c r="B34" s="39">
        <v>130</v>
      </c>
      <c r="C34" s="39" t="s">
        <v>182</v>
      </c>
      <c r="D34" s="40" t="s">
        <v>228</v>
      </c>
      <c r="E34" s="39">
        <v>35</v>
      </c>
      <c r="F34" s="39">
        <v>165</v>
      </c>
      <c r="G34" s="39" t="s">
        <v>378</v>
      </c>
      <c r="H34" s="39">
        <v>180</v>
      </c>
      <c r="I34" s="52"/>
      <c r="J34" s="41" t="str">
        <f>IF(I34="","",IFERROR(SUMPRODUCT((TableBOM[Product ID]=A34)*(TableBOM[Material Category]="SLUG")*TableBOM[Per 1000 Units]*(1+TableBOM[Scrap %]))*I34/1000,0))</f>
        <v/>
      </c>
      <c r="K34" s="41" t="str">
        <f>IF(I34="","",IFERROR(SUMPRODUCT((TableBOM[Product ID]=A34)*(TableBOM[Material Category]="BASE COAT")*TableBOM[Per 1000 Units]*(1+TableBOM[Scrap %]))*I34/1000,0))</f>
        <v/>
      </c>
      <c r="L34" s="41" t="str">
        <f>IF(I34="","",IFERROR(SUMPRODUCT((TableBOM[Product ID]=A34)*(TableBOM[Material Category]="LACQUER")*TableBOM[Per 1000 Units]*(1+TableBOM[Scrap %]))*I34/1000,0))</f>
        <v/>
      </c>
      <c r="M34" s="41" t="str">
        <f>IF(I34="","",IFERROR(SUMPRODUCT((TableBOM[Product ID]=A34)*(TableBOM[Material Category]="LATEX")*TableBOM[Per 1000 Units]*(1+TableBOM[Scrap %]))*I34/1000,0))</f>
        <v/>
      </c>
      <c r="N34" s="41" t="str">
        <f>IF(I34="","",IFERROR(SUMPRODUCT((TableBOM[Product ID]=A34)*(TableBOM[Material Category]="ZINC")*TableBOM[Per 1000 Units]*(1+TableBOM[Scrap %]))*I34/1000,0))</f>
        <v/>
      </c>
      <c r="O34" s="41" t="str">
        <f>IF(I34="","",IFERROR(SUMPRODUCT((TableBOM[Product ID]=A34)*(TableBOM[Material Category]="CAP")*TableBOM[Per 1000 Units]*(1+TableBOM[Scrap %]))*I34/1000,0))</f>
        <v/>
      </c>
      <c r="P34" s="41" t="str">
        <f>IF(I34="","",IFERROR(SUMPRODUCT((TableBOM[Product ID]=A34)*(TableBOM[Material Category]="CARTON")*TableBOM[Per 1000 Units]*(1+TableBOM[Scrap %]))*I34/1000,0))</f>
        <v/>
      </c>
      <c r="Q34" s="41"/>
      <c r="R34" s="41"/>
      <c r="S34" s="41"/>
    </row>
    <row r="35" spans="1:19" ht="15" hidden="1" customHeight="1" x14ac:dyDescent="0.25">
      <c r="A35" s="39">
        <v>6021</v>
      </c>
      <c r="B35" s="39">
        <v>131</v>
      </c>
      <c r="C35" s="39" t="s">
        <v>182</v>
      </c>
      <c r="D35" s="40" t="s">
        <v>229</v>
      </c>
      <c r="E35" s="39">
        <v>35</v>
      </c>
      <c r="F35" s="39">
        <v>165</v>
      </c>
      <c r="G35" s="39" t="s">
        <v>378</v>
      </c>
      <c r="H35" s="39">
        <v>180</v>
      </c>
      <c r="I35" s="52"/>
      <c r="J35" s="41" t="str">
        <f>IF(I35="","",IFERROR(SUMPRODUCT((TableBOM[Product ID]=A35)*(TableBOM[Material Category]="SLUG")*TableBOM[Per 1000 Units]*(1+TableBOM[Scrap %]))*I35/1000,0))</f>
        <v/>
      </c>
      <c r="K35" s="41" t="str">
        <f>IF(I35="","",IFERROR(SUMPRODUCT((TableBOM[Product ID]=A35)*(TableBOM[Material Category]="BASE COAT")*TableBOM[Per 1000 Units]*(1+TableBOM[Scrap %]))*I35/1000,0))</f>
        <v/>
      </c>
      <c r="L35" s="41" t="str">
        <f>IF(I35="","",IFERROR(SUMPRODUCT((TableBOM[Product ID]=A35)*(TableBOM[Material Category]="LACQUER")*TableBOM[Per 1000 Units]*(1+TableBOM[Scrap %]))*I35/1000,0))</f>
        <v/>
      </c>
      <c r="M35" s="41" t="str">
        <f>IF(I35="","",IFERROR(SUMPRODUCT((TableBOM[Product ID]=A35)*(TableBOM[Material Category]="LATEX")*TableBOM[Per 1000 Units]*(1+TableBOM[Scrap %]))*I35/1000,0))</f>
        <v/>
      </c>
      <c r="N35" s="41" t="str">
        <f>IF(I35="","",IFERROR(SUMPRODUCT((TableBOM[Product ID]=A35)*(TableBOM[Material Category]="ZINC")*TableBOM[Per 1000 Units]*(1+TableBOM[Scrap %]))*I35/1000,0))</f>
        <v/>
      </c>
      <c r="O35" s="41" t="str">
        <f>IF(I35="","",IFERROR(SUMPRODUCT((TableBOM[Product ID]=A35)*(TableBOM[Material Category]="CAP")*TableBOM[Per 1000 Units]*(1+TableBOM[Scrap %]))*I35/1000,0))</f>
        <v/>
      </c>
      <c r="P35" s="41" t="str">
        <f>IF(I35="","",IFERROR(SUMPRODUCT((TableBOM[Product ID]=A35)*(TableBOM[Material Category]="CARTON")*TableBOM[Per 1000 Units]*(1+TableBOM[Scrap %]))*I35/1000,0))</f>
        <v/>
      </c>
      <c r="Q35" s="41"/>
      <c r="R35" s="41"/>
      <c r="S35" s="41"/>
    </row>
    <row r="36" spans="1:19" ht="15" hidden="1" customHeight="1" x14ac:dyDescent="0.25">
      <c r="A36" s="39">
        <v>6530</v>
      </c>
      <c r="B36" s="39">
        <v>182</v>
      </c>
      <c r="C36" s="39" t="s">
        <v>182</v>
      </c>
      <c r="D36" s="40" t="s">
        <v>183</v>
      </c>
      <c r="E36" s="39">
        <v>35</v>
      </c>
      <c r="F36" s="39">
        <v>170</v>
      </c>
      <c r="G36" s="39" t="s">
        <v>378</v>
      </c>
      <c r="H36" s="39">
        <v>336</v>
      </c>
      <c r="I36" s="52"/>
      <c r="J36" s="41" t="str">
        <f>IF(I36="","",IFERROR(SUMPRODUCT((TableBOM[Product ID]=A36)*(TableBOM[Material Category]="SLUG")*TableBOM[Per 1000 Units]*(1+TableBOM[Scrap %]))*I36/1000,0))</f>
        <v/>
      </c>
      <c r="K36" s="41" t="str">
        <f>IF(I36="","",IFERROR(SUMPRODUCT((TableBOM[Product ID]=A36)*(TableBOM[Material Category]="BASE COAT")*TableBOM[Per 1000 Units]*(1+TableBOM[Scrap %]))*I36/1000,0))</f>
        <v/>
      </c>
      <c r="L36" s="41" t="str">
        <f>IF(I36="","",IFERROR(SUMPRODUCT((TableBOM[Product ID]=A36)*(TableBOM[Material Category]="LACQUER")*TableBOM[Per 1000 Units]*(1+TableBOM[Scrap %]))*I36/1000,0))</f>
        <v/>
      </c>
      <c r="M36" s="41" t="str">
        <f>IF(I36="","",IFERROR(SUMPRODUCT((TableBOM[Product ID]=A36)*(TableBOM[Material Category]="LATEX")*TableBOM[Per 1000 Units]*(1+TableBOM[Scrap %]))*I36/1000,0))</f>
        <v/>
      </c>
      <c r="N36" s="41" t="str">
        <f>IF(I36="","",IFERROR(SUMPRODUCT((TableBOM[Product ID]=A36)*(TableBOM[Material Category]="ZINC")*TableBOM[Per 1000 Units]*(1+TableBOM[Scrap %]))*I36/1000,0))</f>
        <v/>
      </c>
      <c r="O36" s="41" t="str">
        <f>IF(I36="","",IFERROR(SUMPRODUCT((TableBOM[Product ID]=A36)*(TableBOM[Material Category]="CAP")*TableBOM[Per 1000 Units]*(1+TableBOM[Scrap %]))*I36/1000,0))</f>
        <v/>
      </c>
      <c r="P36" s="41" t="str">
        <f>IF(I36="","",IFERROR(SUMPRODUCT((TableBOM[Product ID]=A36)*(TableBOM[Material Category]="CARTON")*TableBOM[Per 1000 Units]*(1+TableBOM[Scrap %]))*I36/1000,0))</f>
        <v/>
      </c>
      <c r="Q36" s="41"/>
      <c r="R36" s="41"/>
      <c r="S36" s="41"/>
    </row>
    <row r="37" spans="1:19" ht="15" hidden="1" customHeight="1" x14ac:dyDescent="0.25">
      <c r="A37" s="39">
        <v>6531</v>
      </c>
      <c r="B37" s="39">
        <v>183</v>
      </c>
      <c r="C37" s="39" t="s">
        <v>182</v>
      </c>
      <c r="D37" s="40" t="s">
        <v>184</v>
      </c>
      <c r="E37" s="39">
        <v>35</v>
      </c>
      <c r="F37" s="39">
        <v>170</v>
      </c>
      <c r="G37" s="39" t="s">
        <v>378</v>
      </c>
      <c r="H37" s="39">
        <v>180</v>
      </c>
      <c r="I37" s="52">
        <v>22000</v>
      </c>
      <c r="J37" s="41">
        <f>IF(I37="","",IFERROR(SUMPRODUCT((TableBOM[Product ID]=A37)*(TableBOM[Material Category]="SLUG")*TableBOM[Per 1000 Units]*(1+TableBOM[Scrap %]))*I37/1000,0))</f>
        <v>310.24400000000009</v>
      </c>
      <c r="K37" s="41">
        <f>IF(I37="","",IFERROR(SUMPRODUCT((TableBOM[Product ID]=A37)*(TableBOM[Material Category]="BASE COAT")*TableBOM[Per 1000 Units]*(1+TableBOM[Scrap %]))*I37/1000,0))</f>
        <v>18.876000000000005</v>
      </c>
      <c r="L37" s="41">
        <f>IF(I37="","",IFERROR(SUMPRODUCT((TableBOM[Product ID]=A37)*(TableBOM[Material Category]="LACQUER")*TableBOM[Per 1000 Units]*(1+TableBOM[Scrap %]))*I37/1000,0))</f>
        <v>3.8720000000000003</v>
      </c>
      <c r="M37" s="41">
        <f>IF(I37="","",IFERROR(SUMPRODUCT((TableBOM[Product ID]=A37)*(TableBOM[Material Category]="LATEX")*TableBOM[Per 1000 Units]*(1+TableBOM[Scrap %]))*I37/1000,0))</f>
        <v>0</v>
      </c>
      <c r="N37" s="41">
        <f>IF(I37="","",IFERROR(SUMPRODUCT((TableBOM[Product ID]=A37)*(TableBOM[Material Category]="ZINC")*TableBOM[Per 1000 Units]*(1+TableBOM[Scrap %]))*I37/1000,0))</f>
        <v>0</v>
      </c>
      <c r="O37" s="41">
        <f>IF(I37="","",IFERROR(SUMPRODUCT((TableBOM[Product ID]=A37)*(TableBOM[Material Category]="CAP")*TableBOM[Per 1000 Units]*(1+TableBOM[Scrap %]))*I37/1000,0))</f>
        <v>22440</v>
      </c>
      <c r="P37" s="41">
        <f>IF(I37="","",IFERROR(SUMPRODUCT((TableBOM[Product ID]=A37)*(TableBOM[Material Category]="CARTON")*TableBOM[Per 1000 Units]*(1+TableBOM[Scrap %]))*I37/1000,0))</f>
        <v>146.65199999999999</v>
      </c>
      <c r="Q37" s="41"/>
      <c r="R37" s="41"/>
      <c r="S37" s="41"/>
    </row>
    <row r="38" spans="1:19" ht="15" hidden="1" customHeight="1" x14ac:dyDescent="0.25">
      <c r="A38" s="39">
        <v>8005</v>
      </c>
      <c r="B38" s="39">
        <v>805</v>
      </c>
      <c r="C38" s="39" t="s">
        <v>13</v>
      </c>
      <c r="D38" s="40" t="s">
        <v>186</v>
      </c>
      <c r="E38" s="39" t="s">
        <v>187</v>
      </c>
      <c r="F38" s="39">
        <v>0</v>
      </c>
      <c r="G38" s="39" t="s">
        <v>377</v>
      </c>
      <c r="H38" s="39">
        <v>0</v>
      </c>
      <c r="I38" s="52"/>
      <c r="J38" s="41" t="str">
        <f>IF(I38="","",IFERROR(SUMPRODUCT((TableBOM[Product ID]=A38)*(TableBOM[Material Category]="SLUG")*TableBOM[Per 1000 Units]*(1+TableBOM[Scrap %]))*I38/1000,0))</f>
        <v/>
      </c>
      <c r="K38" s="41" t="str">
        <f>IF(I38="","",IFERROR(SUMPRODUCT((TableBOM[Product ID]=A38)*(TableBOM[Material Category]="BASE COAT")*TableBOM[Per 1000 Units]*(1+TableBOM[Scrap %]))*I38/1000,0))</f>
        <v/>
      </c>
      <c r="L38" s="41" t="str">
        <f>IF(I38="","",IFERROR(SUMPRODUCT((TableBOM[Product ID]=A38)*(TableBOM[Material Category]="LACQUER")*TableBOM[Per 1000 Units]*(1+TableBOM[Scrap %]))*I38/1000,0))</f>
        <v/>
      </c>
      <c r="M38" s="41" t="str">
        <f>IF(I38="","",IFERROR(SUMPRODUCT((TableBOM[Product ID]=A38)*(TableBOM[Material Category]="LATEX")*TableBOM[Per 1000 Units]*(1+TableBOM[Scrap %]))*I38/1000,0))</f>
        <v/>
      </c>
      <c r="N38" s="41" t="str">
        <f>IF(I38="","",IFERROR(SUMPRODUCT((TableBOM[Product ID]=A38)*(TableBOM[Material Category]="ZINC")*TableBOM[Per 1000 Units]*(1+TableBOM[Scrap %]))*I38/1000,0))</f>
        <v/>
      </c>
      <c r="O38" s="41" t="str">
        <f>IF(I38="","",IFERROR(SUMPRODUCT((TableBOM[Product ID]=A38)*(TableBOM[Material Category]="CAP")*TableBOM[Per 1000 Units]*(1+TableBOM[Scrap %]))*I38/1000,0))</f>
        <v/>
      </c>
      <c r="P38" s="41" t="str">
        <f>IF(I38="","",IFERROR(SUMPRODUCT((TableBOM[Product ID]=A38)*(TableBOM[Material Category]="CARTON")*TableBOM[Per 1000 Units]*(1+TableBOM[Scrap %]))*I38/1000,0))</f>
        <v/>
      </c>
      <c r="Q38" s="41"/>
      <c r="R38" s="41"/>
      <c r="S38" s="41"/>
    </row>
    <row r="39" spans="1:19" ht="15" hidden="1" customHeight="1" x14ac:dyDescent="0.25">
      <c r="A39" s="39">
        <v>8011</v>
      </c>
      <c r="B39" s="39">
        <v>811</v>
      </c>
      <c r="C39" s="39" t="s">
        <v>13</v>
      </c>
      <c r="D39" s="40" t="s">
        <v>230</v>
      </c>
      <c r="E39" s="39" t="s">
        <v>187</v>
      </c>
      <c r="F39" s="39">
        <v>0</v>
      </c>
      <c r="G39" s="39" t="s">
        <v>377</v>
      </c>
      <c r="H39" s="39">
        <v>0</v>
      </c>
      <c r="I39" s="52"/>
      <c r="J39" s="41" t="str">
        <f>IF(I39="","",IFERROR(SUMPRODUCT((TableBOM[Product ID]=A39)*(TableBOM[Material Category]="SLUG")*TableBOM[Per 1000 Units]*(1+TableBOM[Scrap %]))*I39/1000,0))</f>
        <v/>
      </c>
      <c r="K39" s="41" t="str">
        <f>IF(I39="","",IFERROR(SUMPRODUCT((TableBOM[Product ID]=A39)*(TableBOM[Material Category]="BASE COAT")*TableBOM[Per 1000 Units]*(1+TableBOM[Scrap %]))*I39/1000,0))</f>
        <v/>
      </c>
      <c r="L39" s="41" t="str">
        <f>IF(I39="","",IFERROR(SUMPRODUCT((TableBOM[Product ID]=A39)*(TableBOM[Material Category]="LACQUER")*TableBOM[Per 1000 Units]*(1+TableBOM[Scrap %]))*I39/1000,0))</f>
        <v/>
      </c>
      <c r="M39" s="41" t="str">
        <f>IF(I39="","",IFERROR(SUMPRODUCT((TableBOM[Product ID]=A39)*(TableBOM[Material Category]="LATEX")*TableBOM[Per 1000 Units]*(1+TableBOM[Scrap %]))*I39/1000,0))</f>
        <v/>
      </c>
      <c r="N39" s="41" t="str">
        <f>IF(I39="","",IFERROR(SUMPRODUCT((TableBOM[Product ID]=A39)*(TableBOM[Material Category]="ZINC")*TableBOM[Per 1000 Units]*(1+TableBOM[Scrap %]))*I39/1000,0))</f>
        <v/>
      </c>
      <c r="O39" s="41" t="str">
        <f>IF(I39="","",IFERROR(SUMPRODUCT((TableBOM[Product ID]=A39)*(TableBOM[Material Category]="CAP")*TableBOM[Per 1000 Units]*(1+TableBOM[Scrap %]))*I39/1000,0))</f>
        <v/>
      </c>
      <c r="P39" s="41" t="str">
        <f>IF(I39="","",IFERROR(SUMPRODUCT((TableBOM[Product ID]=A39)*(TableBOM[Material Category]="CARTON")*TableBOM[Per 1000 Units]*(1+TableBOM[Scrap %]))*I39/1000,0))</f>
        <v/>
      </c>
      <c r="Q39" s="41"/>
      <c r="R39" s="41"/>
      <c r="S39" s="41"/>
    </row>
    <row r="40" spans="1:19" ht="15" hidden="1" customHeight="1" x14ac:dyDescent="0.25">
      <c r="A40" s="39">
        <v>8012</v>
      </c>
      <c r="B40" s="39">
        <v>812</v>
      </c>
      <c r="C40" s="39" t="s">
        <v>13</v>
      </c>
      <c r="D40" s="40" t="s">
        <v>231</v>
      </c>
      <c r="E40" s="39" t="s">
        <v>187</v>
      </c>
      <c r="F40" s="39">
        <v>0</v>
      </c>
      <c r="G40" s="39" t="s">
        <v>377</v>
      </c>
      <c r="H40" s="39">
        <v>0</v>
      </c>
      <c r="I40" s="52"/>
      <c r="J40" s="41" t="str">
        <f>IF(I40="","",IFERROR(SUMPRODUCT((TableBOM[Product ID]=A40)*(TableBOM[Material Category]="SLUG")*TableBOM[Per 1000 Units]*(1+TableBOM[Scrap %]))*I40/1000,0))</f>
        <v/>
      </c>
      <c r="K40" s="41" t="str">
        <f>IF(I40="","",IFERROR(SUMPRODUCT((TableBOM[Product ID]=A40)*(TableBOM[Material Category]="BASE COAT")*TableBOM[Per 1000 Units]*(1+TableBOM[Scrap %]))*I40/1000,0))</f>
        <v/>
      </c>
      <c r="L40" s="41" t="str">
        <f>IF(I40="","",IFERROR(SUMPRODUCT((TableBOM[Product ID]=A40)*(TableBOM[Material Category]="LACQUER")*TableBOM[Per 1000 Units]*(1+TableBOM[Scrap %]))*I40/1000,0))</f>
        <v/>
      </c>
      <c r="M40" s="41" t="str">
        <f>IF(I40="","",IFERROR(SUMPRODUCT((TableBOM[Product ID]=A40)*(TableBOM[Material Category]="LATEX")*TableBOM[Per 1000 Units]*(1+TableBOM[Scrap %]))*I40/1000,0))</f>
        <v/>
      </c>
      <c r="N40" s="41" t="str">
        <f>IF(I40="","",IFERROR(SUMPRODUCT((TableBOM[Product ID]=A40)*(TableBOM[Material Category]="ZINC")*TableBOM[Per 1000 Units]*(1+TableBOM[Scrap %]))*I40/1000,0))</f>
        <v/>
      </c>
      <c r="O40" s="41" t="str">
        <f>IF(I40="","",IFERROR(SUMPRODUCT((TableBOM[Product ID]=A40)*(TableBOM[Material Category]="CAP")*TableBOM[Per 1000 Units]*(1+TableBOM[Scrap %]))*I40/1000,0))</f>
        <v/>
      </c>
      <c r="P40" s="41" t="str">
        <f>IF(I40="","",IFERROR(SUMPRODUCT((TableBOM[Product ID]=A40)*(TableBOM[Material Category]="CARTON")*TableBOM[Per 1000 Units]*(1+TableBOM[Scrap %]))*I40/1000,0))</f>
        <v/>
      </c>
      <c r="Q40" s="41"/>
      <c r="R40" s="41"/>
      <c r="S40" s="41"/>
    </row>
    <row r="41" spans="1:19" ht="15" hidden="1" customHeight="1" x14ac:dyDescent="0.25">
      <c r="A41" s="39">
        <v>8010</v>
      </c>
      <c r="B41" s="39">
        <v>810</v>
      </c>
      <c r="C41" s="39" t="s">
        <v>11</v>
      </c>
      <c r="D41" t="s">
        <v>140</v>
      </c>
      <c r="E41" s="39" t="s">
        <v>138</v>
      </c>
      <c r="F41" s="39">
        <v>0</v>
      </c>
      <c r="G41" s="39" t="s">
        <v>377</v>
      </c>
      <c r="H41" s="39">
        <v>0</v>
      </c>
      <c r="I41" s="52"/>
      <c r="J41" s="41" t="str">
        <f>IF(I41="","",IFERROR(SUMPRODUCT((TableBOM[Product ID]=A41)*(TableBOM[Material Category]="SLUG")*TableBOM[Per 1000 Units]*(1+TableBOM[Scrap %]))*I41/1000,0))</f>
        <v/>
      </c>
      <c r="K41" s="41" t="str">
        <f>IF(I41="","",IFERROR(SUMPRODUCT((TableBOM[Product ID]=A41)*(TableBOM[Material Category]="BASE COAT")*TableBOM[Per 1000 Units]*(1+TableBOM[Scrap %]))*I41/1000,0))</f>
        <v/>
      </c>
      <c r="L41" s="41" t="str">
        <f>IF(I41="","",IFERROR(SUMPRODUCT((TableBOM[Product ID]=A41)*(TableBOM[Material Category]="LACQUER")*TableBOM[Per 1000 Units]*(1+TableBOM[Scrap %]))*I41/1000,0))</f>
        <v/>
      </c>
      <c r="M41" s="41" t="str">
        <f>IF(I41="","",IFERROR(SUMPRODUCT((TableBOM[Product ID]=A41)*(TableBOM[Material Category]="LATEX")*TableBOM[Per 1000 Units]*(1+TableBOM[Scrap %]))*I41/1000,0))</f>
        <v/>
      </c>
      <c r="N41" s="41" t="str">
        <f>IF(I41="","",IFERROR(SUMPRODUCT((TableBOM[Product ID]=A41)*(TableBOM[Material Category]="ZINC")*TableBOM[Per 1000 Units]*(1+TableBOM[Scrap %]))*I41/1000,0))</f>
        <v/>
      </c>
      <c r="O41" s="41" t="str">
        <f>IF(I41="","",IFERROR(SUMPRODUCT((TableBOM[Product ID]=A41)*(TableBOM[Material Category]="CAP")*TableBOM[Per 1000 Units]*(1+TableBOM[Scrap %]))*I41/1000,0))</f>
        <v/>
      </c>
      <c r="P41" s="41" t="str">
        <f>IF(I41="","",IFERROR(SUMPRODUCT((TableBOM[Product ID]=A41)*(TableBOM[Material Category]="CARTON")*TableBOM[Per 1000 Units]*(1+TableBOM[Scrap %]))*I41/1000,0))</f>
        <v/>
      </c>
      <c r="Q41" s="41"/>
      <c r="R41" s="41"/>
      <c r="S41" s="41"/>
    </row>
    <row r="42" spans="1:19" hidden="1" x14ac:dyDescent="0.25">
      <c r="A42" s="39">
        <v>8015</v>
      </c>
      <c r="B42" s="39"/>
      <c r="C42" s="39" t="s">
        <v>11</v>
      </c>
      <c r="D42" s="40" t="s">
        <v>139</v>
      </c>
      <c r="E42" s="39" t="s">
        <v>138</v>
      </c>
      <c r="F42" s="39"/>
      <c r="G42" s="39"/>
      <c r="H42" s="39"/>
      <c r="I42" s="52"/>
      <c r="J42" s="41" t="str">
        <f>IF(I42="","",IFERROR(SUMPRODUCT((TableBOM[Product ID]=A42)*(TableBOM[Material Category]="SLUG")*TableBOM[Per 1000 Units]*(1+TableBOM[Scrap %]))*I42/1000,0))</f>
        <v/>
      </c>
      <c r="K42" s="41" t="str">
        <f>IF(I42="","",IFERROR(SUMPRODUCT((TableBOM[Product ID]=A42)*(TableBOM[Material Category]="BASE COAT")*TableBOM[Per 1000 Units]*(1+TableBOM[Scrap %]))*I42/1000,0))</f>
        <v/>
      </c>
      <c r="L42" s="41" t="str">
        <f>IF(I42="","",IFERROR(SUMPRODUCT((TableBOM[Product ID]=A42)*(TableBOM[Material Category]="LACQUER")*TableBOM[Per 1000 Units]*(1+TableBOM[Scrap %]))*I42/1000,0))</f>
        <v/>
      </c>
      <c r="M42" s="41" t="str">
        <f>IF(I42="","",IFERROR(SUMPRODUCT((TableBOM[Product ID]=A42)*(TableBOM[Material Category]="LATEX")*TableBOM[Per 1000 Units]*(1+TableBOM[Scrap %]))*I42/1000,0))</f>
        <v/>
      </c>
      <c r="N42" s="41" t="str">
        <f>IF(I42="","",IFERROR(SUMPRODUCT((TableBOM[Product ID]=A42)*(TableBOM[Material Category]="ZINC")*TableBOM[Per 1000 Units]*(1+TableBOM[Scrap %]))*I42/1000,0))</f>
        <v/>
      </c>
      <c r="O42" s="41" t="str">
        <f>IF(I42="","",IFERROR(SUMPRODUCT((TableBOM[Product ID]=A42)*(TableBOM[Material Category]="CAP")*TableBOM[Per 1000 Units]*(1+TableBOM[Scrap %]))*I42/1000,0))</f>
        <v/>
      </c>
      <c r="P42" s="41" t="str">
        <f>IF(I42="","",IFERROR(SUMPRODUCT((TableBOM[Product ID]=A42)*(TableBOM[Material Category]="CARTON")*TableBOM[Per 1000 Units]*(1+TableBOM[Scrap %]))*I42/1000,0))</f>
        <v/>
      </c>
      <c r="Q42" s="41"/>
      <c r="R42" s="41"/>
      <c r="S42" s="41"/>
    </row>
    <row r="43" spans="1:19" ht="15" hidden="1" customHeight="1" x14ac:dyDescent="0.25">
      <c r="A43" s="39">
        <v>8001</v>
      </c>
      <c r="B43" s="39">
        <v>800</v>
      </c>
      <c r="C43" s="39" t="s">
        <v>135</v>
      </c>
      <c r="D43" s="40" t="s">
        <v>188</v>
      </c>
      <c r="E43" s="39" t="s">
        <v>143</v>
      </c>
      <c r="F43" s="39">
        <v>0</v>
      </c>
      <c r="G43" s="39" t="s">
        <v>377</v>
      </c>
      <c r="H43" s="39">
        <v>0</v>
      </c>
      <c r="I43" s="52">
        <v>45000</v>
      </c>
      <c r="J43" s="41">
        <f>IF(I43="","",IFERROR(SUMPRODUCT((TableBOM[Product ID]=A43)*(TableBOM[Material Category]="SLUG")*TableBOM[Per 1000 Units]*(1+TableBOM[Scrap %]))*I43/1000,0))</f>
        <v>0</v>
      </c>
      <c r="K43" s="41">
        <f>IF(I43="","",IFERROR(SUMPRODUCT((TableBOM[Product ID]=A43)*(TableBOM[Material Category]="BASE COAT")*TableBOM[Per 1000 Units]*(1+TableBOM[Scrap %]))*I43/1000,0))</f>
        <v>0</v>
      </c>
      <c r="L43" s="41">
        <f>IF(I43="","",IFERROR(SUMPRODUCT((TableBOM[Product ID]=A43)*(TableBOM[Material Category]="LACQUER")*TableBOM[Per 1000 Units]*(1+TableBOM[Scrap %]))*I43/1000,0))</f>
        <v>0</v>
      </c>
      <c r="M43" s="41">
        <f>IF(I43="","",IFERROR(SUMPRODUCT((TableBOM[Product ID]=A43)*(TableBOM[Material Category]="LATEX")*TableBOM[Per 1000 Units]*(1+TableBOM[Scrap %]))*I43/1000,0))</f>
        <v>0</v>
      </c>
      <c r="N43" s="41">
        <f>IF(I43="","",IFERROR(SUMPRODUCT((TableBOM[Product ID]=A43)*(TableBOM[Material Category]="ZINC")*TableBOM[Per 1000 Units]*(1+TableBOM[Scrap %]))*I43/1000,0))</f>
        <v>0</v>
      </c>
      <c r="O43" s="41">
        <f>IF(I43="","",IFERROR(SUMPRODUCT((TableBOM[Product ID]=A43)*(TableBOM[Material Category]="CAP")*TableBOM[Per 1000 Units]*(1+TableBOM[Scrap %]))*I43/1000,0))</f>
        <v>0</v>
      </c>
      <c r="P43" s="41">
        <f>IF(I43="","",IFERROR(SUMPRODUCT((TableBOM[Product ID]=A43)*(TableBOM[Material Category]="CARTON")*TableBOM[Per 1000 Units]*(1+TableBOM[Scrap %]))*I43/1000,0))</f>
        <v>0</v>
      </c>
      <c r="Q43" s="41"/>
      <c r="R43" s="41"/>
      <c r="S43" s="41"/>
    </row>
    <row r="44" spans="1:19" ht="15" hidden="1" customHeight="1" x14ac:dyDescent="0.25">
      <c r="A44" s="39">
        <v>8006</v>
      </c>
      <c r="B44" s="39">
        <v>806</v>
      </c>
      <c r="C44" s="39" t="s">
        <v>13</v>
      </c>
      <c r="D44" s="40" t="s">
        <v>147</v>
      </c>
      <c r="E44" s="39" t="s">
        <v>146</v>
      </c>
      <c r="F44" s="39">
        <v>0</v>
      </c>
      <c r="G44" s="39" t="s">
        <v>377</v>
      </c>
      <c r="H44" s="39">
        <v>0</v>
      </c>
      <c r="I44" s="52"/>
      <c r="J44" s="41" t="str">
        <f>IF(I44="","",IFERROR(SUMPRODUCT((TableBOM[Product ID]=A44)*(TableBOM[Material Category]="SLUG")*TableBOM[Per 1000 Units]*(1+TableBOM[Scrap %]))*I44/1000,0))</f>
        <v/>
      </c>
      <c r="K44" s="41" t="str">
        <f>IF(I44="","",IFERROR(SUMPRODUCT((TableBOM[Product ID]=A44)*(TableBOM[Material Category]="BASE COAT")*TableBOM[Per 1000 Units]*(1+TableBOM[Scrap %]))*I44/1000,0))</f>
        <v/>
      </c>
      <c r="L44" s="41" t="str">
        <f>IF(I44="","",IFERROR(SUMPRODUCT((TableBOM[Product ID]=A44)*(TableBOM[Material Category]="LACQUER")*TableBOM[Per 1000 Units]*(1+TableBOM[Scrap %]))*I44/1000,0))</f>
        <v/>
      </c>
      <c r="M44" s="41" t="str">
        <f>IF(I44="","",IFERROR(SUMPRODUCT((TableBOM[Product ID]=A44)*(TableBOM[Material Category]="LATEX")*TableBOM[Per 1000 Units]*(1+TableBOM[Scrap %]))*I44/1000,0))</f>
        <v/>
      </c>
      <c r="N44" s="41" t="str">
        <f>IF(I44="","",IFERROR(SUMPRODUCT((TableBOM[Product ID]=A44)*(TableBOM[Material Category]="ZINC")*TableBOM[Per 1000 Units]*(1+TableBOM[Scrap %]))*I44/1000,0))</f>
        <v/>
      </c>
      <c r="O44" s="41" t="str">
        <f>IF(I44="","",IFERROR(SUMPRODUCT((TableBOM[Product ID]=A44)*(TableBOM[Material Category]="CAP")*TableBOM[Per 1000 Units]*(1+TableBOM[Scrap %]))*I44/1000,0))</f>
        <v/>
      </c>
      <c r="P44" s="41" t="str">
        <f>IF(I44="","",IFERROR(SUMPRODUCT((TableBOM[Product ID]=A44)*(TableBOM[Material Category]="CARTON")*TableBOM[Per 1000 Units]*(1+TableBOM[Scrap %]))*I44/1000,0))</f>
        <v/>
      </c>
      <c r="Q44" s="41"/>
      <c r="R44" s="41"/>
      <c r="S44" s="41"/>
    </row>
    <row r="45" spans="1:19" ht="15" hidden="1" customHeight="1" x14ac:dyDescent="0.25">
      <c r="A45" s="39">
        <v>8007</v>
      </c>
      <c r="B45" s="39">
        <v>807</v>
      </c>
      <c r="C45" s="39" t="s">
        <v>13</v>
      </c>
      <c r="D45" s="40" t="s">
        <v>233</v>
      </c>
      <c r="E45" s="39" t="s">
        <v>146</v>
      </c>
      <c r="F45" s="39">
        <v>0</v>
      </c>
      <c r="G45" s="39" t="s">
        <v>377</v>
      </c>
      <c r="H45" s="39">
        <v>0</v>
      </c>
      <c r="I45" s="52"/>
      <c r="J45" s="41" t="str">
        <f>IF(I45="","",IFERROR(SUMPRODUCT((TableBOM[Product ID]=A45)*(TableBOM[Material Category]="SLUG")*TableBOM[Per 1000 Units]*(1+TableBOM[Scrap %]))*I45/1000,0))</f>
        <v/>
      </c>
      <c r="K45" s="41" t="str">
        <f>IF(I45="","",IFERROR(SUMPRODUCT((TableBOM[Product ID]=A45)*(TableBOM[Material Category]="BASE COAT")*TableBOM[Per 1000 Units]*(1+TableBOM[Scrap %]))*I45/1000,0))</f>
        <v/>
      </c>
      <c r="L45" s="41" t="str">
        <f>IF(I45="","",IFERROR(SUMPRODUCT((TableBOM[Product ID]=A45)*(TableBOM[Material Category]="LACQUER")*TableBOM[Per 1000 Units]*(1+TableBOM[Scrap %]))*I45/1000,0))</f>
        <v/>
      </c>
      <c r="M45" s="41" t="str">
        <f>IF(I45="","",IFERROR(SUMPRODUCT((TableBOM[Product ID]=A45)*(TableBOM[Material Category]="LATEX")*TableBOM[Per 1000 Units]*(1+TableBOM[Scrap %]))*I45/1000,0))</f>
        <v/>
      </c>
      <c r="N45" s="41" t="str">
        <f>IF(I45="","",IFERROR(SUMPRODUCT((TableBOM[Product ID]=A45)*(TableBOM[Material Category]="ZINC")*TableBOM[Per 1000 Units]*(1+TableBOM[Scrap %]))*I45/1000,0))</f>
        <v/>
      </c>
      <c r="O45" s="41" t="str">
        <f>IF(I45="","",IFERROR(SUMPRODUCT((TableBOM[Product ID]=A45)*(TableBOM[Material Category]="CAP")*TableBOM[Per 1000 Units]*(1+TableBOM[Scrap %]))*I45/1000,0))</f>
        <v/>
      </c>
      <c r="P45" s="41" t="str">
        <f>IF(I45="","",IFERROR(SUMPRODUCT((TableBOM[Product ID]=A45)*(TableBOM[Material Category]="CARTON")*TableBOM[Per 1000 Units]*(1+TableBOM[Scrap %]))*I45/1000,0))</f>
        <v/>
      </c>
      <c r="Q45" s="41"/>
      <c r="R45" s="41"/>
      <c r="S45" s="41"/>
    </row>
    <row r="46" spans="1:19" ht="15" hidden="1" customHeight="1" x14ac:dyDescent="0.25">
      <c r="A46" s="39">
        <v>8008</v>
      </c>
      <c r="B46" s="39">
        <v>808</v>
      </c>
      <c r="C46" s="39" t="s">
        <v>13</v>
      </c>
      <c r="D46" s="40" t="s">
        <v>236</v>
      </c>
      <c r="E46" s="39" t="s">
        <v>146</v>
      </c>
      <c r="F46" s="39">
        <v>0</v>
      </c>
      <c r="G46" s="39" t="s">
        <v>377</v>
      </c>
      <c r="H46" s="39">
        <v>0</v>
      </c>
      <c r="I46" s="52"/>
      <c r="J46" s="41" t="str">
        <f>IF(I46="","",IFERROR(SUMPRODUCT((TableBOM[Product ID]=A46)*(TableBOM[Material Category]="SLUG")*TableBOM[Per 1000 Units]*(1+TableBOM[Scrap %]))*I46/1000,0))</f>
        <v/>
      </c>
      <c r="K46" s="41" t="str">
        <f>IF(I46="","",IFERROR(SUMPRODUCT((TableBOM[Product ID]=A46)*(TableBOM[Material Category]="BASE COAT")*TableBOM[Per 1000 Units]*(1+TableBOM[Scrap %]))*I46/1000,0))</f>
        <v/>
      </c>
      <c r="L46" s="41" t="str">
        <f>IF(I46="","",IFERROR(SUMPRODUCT((TableBOM[Product ID]=A46)*(TableBOM[Material Category]="LACQUER")*TableBOM[Per 1000 Units]*(1+TableBOM[Scrap %]))*I46/1000,0))</f>
        <v/>
      </c>
      <c r="M46" s="41" t="str">
        <f>IF(I46="","",IFERROR(SUMPRODUCT((TableBOM[Product ID]=A46)*(TableBOM[Material Category]="LATEX")*TableBOM[Per 1000 Units]*(1+TableBOM[Scrap %]))*I46/1000,0))</f>
        <v/>
      </c>
      <c r="N46" s="41" t="str">
        <f>IF(I46="","",IFERROR(SUMPRODUCT((TableBOM[Product ID]=A46)*(TableBOM[Material Category]="ZINC")*TableBOM[Per 1000 Units]*(1+TableBOM[Scrap %]))*I46/1000,0))</f>
        <v/>
      </c>
      <c r="O46" s="41" t="str">
        <f>IF(I46="","",IFERROR(SUMPRODUCT((TableBOM[Product ID]=A46)*(TableBOM[Material Category]="CAP")*TableBOM[Per 1000 Units]*(1+TableBOM[Scrap %]))*I46/1000,0))</f>
        <v/>
      </c>
      <c r="P46" s="41" t="str">
        <f>IF(I46="","",IFERROR(SUMPRODUCT((TableBOM[Product ID]=A46)*(TableBOM[Material Category]="CARTON")*TableBOM[Per 1000 Units]*(1+TableBOM[Scrap %]))*I46/1000,0))</f>
        <v/>
      </c>
      <c r="Q46" s="41"/>
      <c r="R46" s="41"/>
      <c r="S46" s="41"/>
    </row>
    <row r="47" spans="1:19" ht="15" hidden="1" customHeight="1" x14ac:dyDescent="0.25">
      <c r="A47" s="39">
        <v>8014</v>
      </c>
      <c r="B47" s="39">
        <v>814</v>
      </c>
      <c r="C47" s="39" t="s">
        <v>13</v>
      </c>
      <c r="D47" s="40" t="s">
        <v>234</v>
      </c>
      <c r="E47" s="39" t="s">
        <v>146</v>
      </c>
      <c r="F47" s="39">
        <v>0</v>
      </c>
      <c r="G47" s="39" t="s">
        <v>377</v>
      </c>
      <c r="H47" s="39">
        <v>0</v>
      </c>
      <c r="I47" s="52"/>
      <c r="J47" s="41" t="str">
        <f>IF(I47="","",IFERROR(SUMPRODUCT((TableBOM[Product ID]=A47)*(TableBOM[Material Category]="SLUG")*TableBOM[Per 1000 Units]*(1+TableBOM[Scrap %]))*I47/1000,0))</f>
        <v/>
      </c>
      <c r="K47" s="41" t="str">
        <f>IF(I47="","",IFERROR(SUMPRODUCT((TableBOM[Product ID]=A47)*(TableBOM[Material Category]="BASE COAT")*TableBOM[Per 1000 Units]*(1+TableBOM[Scrap %]))*I47/1000,0))</f>
        <v/>
      </c>
      <c r="L47" s="41" t="str">
        <f>IF(I47="","",IFERROR(SUMPRODUCT((TableBOM[Product ID]=A47)*(TableBOM[Material Category]="LACQUER")*TableBOM[Per 1000 Units]*(1+TableBOM[Scrap %]))*I47/1000,0))</f>
        <v/>
      </c>
      <c r="M47" s="41" t="str">
        <f>IF(I47="","",IFERROR(SUMPRODUCT((TableBOM[Product ID]=A47)*(TableBOM[Material Category]="LATEX")*TableBOM[Per 1000 Units]*(1+TableBOM[Scrap %]))*I47/1000,0))</f>
        <v/>
      </c>
      <c r="N47" s="41" t="str">
        <f>IF(I47="","",IFERROR(SUMPRODUCT((TableBOM[Product ID]=A47)*(TableBOM[Material Category]="ZINC")*TableBOM[Per 1000 Units]*(1+TableBOM[Scrap %]))*I47/1000,0))</f>
        <v/>
      </c>
      <c r="O47" s="41" t="str">
        <f>IF(I47="","",IFERROR(SUMPRODUCT((TableBOM[Product ID]=A47)*(TableBOM[Material Category]="CAP")*TableBOM[Per 1000 Units]*(1+TableBOM[Scrap %]))*I47/1000,0))</f>
        <v/>
      </c>
      <c r="P47" s="41" t="str">
        <f>IF(I47="","",IFERROR(SUMPRODUCT((TableBOM[Product ID]=A47)*(TableBOM[Material Category]="CARTON")*TableBOM[Per 1000 Units]*(1+TableBOM[Scrap %]))*I47/1000,0))</f>
        <v/>
      </c>
      <c r="Q47" s="41"/>
      <c r="R47" s="41"/>
      <c r="S47" s="41"/>
    </row>
    <row r="48" spans="1:19" ht="15" hidden="1" customHeight="1" x14ac:dyDescent="0.25">
      <c r="A48" s="134">
        <v>8016</v>
      </c>
      <c r="B48" s="134">
        <v>816</v>
      </c>
      <c r="C48" s="134" t="s">
        <v>13</v>
      </c>
      <c r="D48" s="135" t="s">
        <v>235</v>
      </c>
      <c r="E48" s="134" t="s">
        <v>146</v>
      </c>
      <c r="F48" s="134">
        <v>0</v>
      </c>
      <c r="G48" s="134" t="s">
        <v>377</v>
      </c>
      <c r="H48" s="134">
        <v>0</v>
      </c>
      <c r="I48" s="137"/>
      <c r="J48" s="136" t="str">
        <f>IF(I48="","",IFERROR(SUMPRODUCT((TableBOM[Product ID]=A48)*(TableBOM[Material Category]="SLUG")*TableBOM[Per 1000 Units]*(1+TableBOM[Scrap %]))*I48/1000,0))</f>
        <v/>
      </c>
      <c r="K48" s="136" t="str">
        <f>IF(I48="","",IFERROR(SUMPRODUCT((TableBOM[Product ID]=A48)*(TableBOM[Material Category]="BASE COAT")*TableBOM[Per 1000 Units]*(1+TableBOM[Scrap %]))*I48/1000,0))</f>
        <v/>
      </c>
      <c r="L48" s="136" t="str">
        <f>IF(I48="","",IFERROR(SUMPRODUCT((TableBOM[Product ID]=A48)*(TableBOM[Material Category]="LACQUER")*TableBOM[Per 1000 Units]*(1+TableBOM[Scrap %]))*I48/1000,0))</f>
        <v/>
      </c>
      <c r="M48" s="136" t="str">
        <f>IF(I48="","",IFERROR(SUMPRODUCT((TableBOM[Product ID]=A48)*(TableBOM[Material Category]="LATEX")*TableBOM[Per 1000 Units]*(1+TableBOM[Scrap %]))*I48/1000,0))</f>
        <v/>
      </c>
      <c r="N48" s="136" t="str">
        <f>IF(I48="","",IFERROR(SUMPRODUCT((TableBOM[Product ID]=A48)*(TableBOM[Material Category]="ZINC")*TableBOM[Per 1000 Units]*(1+TableBOM[Scrap %]))*I48/1000,0))</f>
        <v/>
      </c>
      <c r="O48" s="136" t="str">
        <f>IF(I48="","",IFERROR(SUMPRODUCT((TableBOM[Product ID]=A48)*(TableBOM[Material Category]="CAP")*TableBOM[Per 1000 Units]*(1+TableBOM[Scrap %]))*I48/1000,0))</f>
        <v/>
      </c>
      <c r="P48" s="136" t="str">
        <f>IF(I48="","",IFERROR(SUMPRODUCT((TableBOM[Product ID]=A48)*(TableBOM[Material Category]="CARTON")*TableBOM[Per 1000 Units]*(1+TableBOM[Scrap %]))*I48/1000,0))</f>
        <v/>
      </c>
      <c r="Q48" s="136"/>
      <c r="R48" s="136"/>
      <c r="S48" s="136"/>
    </row>
    <row r="49" spans="1:19" ht="15" hidden="1" customHeight="1" x14ac:dyDescent="0.25">
      <c r="A49" s="39">
        <v>8009</v>
      </c>
      <c r="B49" s="39">
        <v>809</v>
      </c>
      <c r="C49" s="39" t="s">
        <v>11</v>
      </c>
      <c r="D49" s="40" t="s">
        <v>237</v>
      </c>
      <c r="E49" s="39" t="s">
        <v>238</v>
      </c>
      <c r="F49" s="39">
        <v>0</v>
      </c>
      <c r="G49" s="39" t="s">
        <v>377</v>
      </c>
      <c r="H49" s="39">
        <v>0</v>
      </c>
      <c r="I49" s="52"/>
      <c r="J49" s="41" t="str">
        <f>IF(I49="","",IFERROR(SUMPRODUCT((TableBOM[Product ID]=A49)*(TableBOM[Material Category]="SLUG")*TableBOM[Per 1000 Units]*(1+TableBOM[Scrap %]))*I49/1000,0))</f>
        <v/>
      </c>
      <c r="K49" s="41" t="str">
        <f>IF(I49="","",IFERROR(SUMPRODUCT((TableBOM[Product ID]=A49)*(TableBOM[Material Category]="BASE COAT")*TableBOM[Per 1000 Units]*(1+TableBOM[Scrap %]))*I49/1000,0))</f>
        <v/>
      </c>
      <c r="L49" s="41" t="str">
        <f>IF(I49="","",IFERROR(SUMPRODUCT((TableBOM[Product ID]=A49)*(TableBOM[Material Category]="LACQUER")*TableBOM[Per 1000 Units]*(1+TableBOM[Scrap %]))*I49/1000,0))</f>
        <v/>
      </c>
      <c r="M49" s="41" t="str">
        <f>IF(I49="","",IFERROR(SUMPRODUCT((TableBOM[Product ID]=A49)*(TableBOM[Material Category]="LATEX")*TableBOM[Per 1000 Units]*(1+TableBOM[Scrap %]))*I49/1000,0))</f>
        <v/>
      </c>
      <c r="N49" s="41" t="str">
        <f>IF(I49="","",IFERROR(SUMPRODUCT((TableBOM[Product ID]=A49)*(TableBOM[Material Category]="ZINC")*TableBOM[Per 1000 Units]*(1+TableBOM[Scrap %]))*I49/1000,0))</f>
        <v/>
      </c>
      <c r="O49" s="41" t="str">
        <f>IF(I49="","",IFERROR(SUMPRODUCT((TableBOM[Product ID]=A49)*(TableBOM[Material Category]="CAP")*TableBOM[Per 1000 Units]*(1+TableBOM[Scrap %]))*I49/1000,0))</f>
        <v/>
      </c>
      <c r="P49" s="41" t="str">
        <f>IF(I49="","",IFERROR(SUMPRODUCT((TableBOM[Product ID]=A49)*(TableBOM[Material Category]="CARTON")*TableBOM[Per 1000 Units]*(1+TableBOM[Scrap %]))*I49/1000,0))</f>
        <v/>
      </c>
      <c r="Q49" s="41"/>
      <c r="R49" s="41"/>
      <c r="S49" s="41"/>
    </row>
    <row r="50" spans="1:19" ht="15" hidden="1" customHeight="1" x14ac:dyDescent="0.25">
      <c r="A50" s="39">
        <v>8013</v>
      </c>
      <c r="B50" s="39">
        <v>813</v>
      </c>
      <c r="C50" s="39" t="s">
        <v>11</v>
      </c>
      <c r="D50" s="40" t="s">
        <v>239</v>
      </c>
      <c r="E50" s="39" t="s">
        <v>240</v>
      </c>
      <c r="F50" s="39">
        <v>0</v>
      </c>
      <c r="G50" s="39" t="s">
        <v>377</v>
      </c>
      <c r="H50" s="39">
        <v>0</v>
      </c>
      <c r="I50" s="52"/>
      <c r="J50" s="41" t="str">
        <f>IF(I50="","",IFERROR(SUMPRODUCT((TableBOM[Product ID]=A50)*(TableBOM[Material Category]="SLUG")*TableBOM[Per 1000 Units]*(1+TableBOM[Scrap %]))*I50/1000,0))</f>
        <v/>
      </c>
      <c r="K50" s="41" t="str">
        <f>IF(I50="","",IFERROR(SUMPRODUCT((TableBOM[Product ID]=A50)*(TableBOM[Material Category]="BASE COAT")*TableBOM[Per 1000 Units]*(1+TableBOM[Scrap %]))*I50/1000,0))</f>
        <v/>
      </c>
      <c r="L50" s="41" t="str">
        <f>IF(I50="","",IFERROR(SUMPRODUCT((TableBOM[Product ID]=A50)*(TableBOM[Material Category]="LACQUER")*TableBOM[Per 1000 Units]*(1+TableBOM[Scrap %]))*I50/1000,0))</f>
        <v/>
      </c>
      <c r="M50" s="41" t="str">
        <f>IF(I50="","",IFERROR(SUMPRODUCT((TableBOM[Product ID]=A50)*(TableBOM[Material Category]="LATEX")*TableBOM[Per 1000 Units]*(1+TableBOM[Scrap %]))*I50/1000,0))</f>
        <v/>
      </c>
      <c r="N50" s="41" t="str">
        <f>IF(I50="","",IFERROR(SUMPRODUCT((TableBOM[Product ID]=A50)*(TableBOM[Material Category]="ZINC")*TableBOM[Per 1000 Units]*(1+TableBOM[Scrap %]))*I50/1000,0))</f>
        <v/>
      </c>
      <c r="O50" s="41" t="str">
        <f>IF(I50="","",IFERROR(SUMPRODUCT((TableBOM[Product ID]=A50)*(TableBOM[Material Category]="CAP")*TableBOM[Per 1000 Units]*(1+TableBOM[Scrap %]))*I50/1000,0))</f>
        <v/>
      </c>
      <c r="P50" s="41" t="str">
        <f>IF(I50="","",IFERROR(SUMPRODUCT((TableBOM[Product ID]=A50)*(TableBOM[Material Category]="CARTON")*TableBOM[Per 1000 Units]*(1+TableBOM[Scrap %]))*I50/1000,0))</f>
        <v/>
      </c>
      <c r="Q50" s="41"/>
      <c r="R50" s="41"/>
      <c r="S50" s="41"/>
    </row>
    <row r="51" spans="1:19" ht="15" hidden="1" customHeight="1" x14ac:dyDescent="0.25">
      <c r="A51" s="39">
        <v>2909</v>
      </c>
      <c r="B51" s="39">
        <v>56</v>
      </c>
      <c r="C51" s="39" t="s">
        <v>216</v>
      </c>
      <c r="D51" s="40" t="s">
        <v>223</v>
      </c>
      <c r="E51" s="39">
        <v>30</v>
      </c>
      <c r="F51" s="39">
        <v>130</v>
      </c>
      <c r="G51" s="39" t="s">
        <v>377</v>
      </c>
      <c r="H51" s="39">
        <v>150</v>
      </c>
      <c r="I51" s="52"/>
      <c r="J51" s="41" t="str">
        <f>IF(I51="","",IFERROR(SUMPRODUCT((TableBOM[Product ID]=A51)*(TableBOM[Material Category]="SLUG")*TableBOM[Per 1000 Units]*(1+TableBOM[Scrap %]))*I51/1000,0))</f>
        <v/>
      </c>
      <c r="K51" s="41" t="str">
        <f>IF(I51="","",IFERROR(SUMPRODUCT((TableBOM[Product ID]=A51)*(TableBOM[Material Category]="BASE COAT")*TableBOM[Per 1000 Units]*(1+TableBOM[Scrap %]))*I51/1000,0))</f>
        <v/>
      </c>
      <c r="L51" s="41" t="str">
        <f>IF(I51="","",IFERROR(SUMPRODUCT((TableBOM[Product ID]=A51)*(TableBOM[Material Category]="LACQUER")*TableBOM[Per 1000 Units]*(1+TableBOM[Scrap %]))*I51/1000,0))</f>
        <v/>
      </c>
      <c r="M51" s="41" t="str">
        <f>IF(I51="","",IFERROR(SUMPRODUCT((TableBOM[Product ID]=A51)*(TableBOM[Material Category]="LATEX")*TableBOM[Per 1000 Units]*(1+TableBOM[Scrap %]))*I51/1000,0))</f>
        <v/>
      </c>
      <c r="N51" s="41" t="str">
        <f>IF(I51="","",IFERROR(SUMPRODUCT((TableBOM[Product ID]=A51)*(TableBOM[Material Category]="ZINC")*TableBOM[Per 1000 Units]*(1+TableBOM[Scrap %]))*I51/1000,0))</f>
        <v/>
      </c>
      <c r="O51" s="41" t="str">
        <f>IF(I51="","",IFERROR(SUMPRODUCT((TableBOM[Product ID]=A51)*(TableBOM[Material Category]="CAP")*TableBOM[Per 1000 Units]*(1+TableBOM[Scrap %]))*I51/1000,0))</f>
        <v/>
      </c>
      <c r="P51" s="41" t="str">
        <f>IF(I51="","",IFERROR(SUMPRODUCT((TableBOM[Product ID]=A51)*(TableBOM[Material Category]="CARTON")*TableBOM[Per 1000 Units]*(1+TableBOM[Scrap %]))*I51/1000,0))</f>
        <v/>
      </c>
      <c r="Q51" s="41"/>
      <c r="R51" s="41"/>
      <c r="S51" s="41"/>
    </row>
    <row r="52" spans="1:19" ht="15" hidden="1" customHeight="1" x14ac:dyDescent="0.25">
      <c r="A52" s="39">
        <v>4227</v>
      </c>
      <c r="B52" s="39">
        <v>20</v>
      </c>
      <c r="C52" s="39" t="s">
        <v>212</v>
      </c>
      <c r="D52" s="40" t="s">
        <v>213</v>
      </c>
      <c r="E52" s="39">
        <v>25</v>
      </c>
      <c r="F52" s="39">
        <v>150</v>
      </c>
      <c r="G52" s="39" t="s">
        <v>378</v>
      </c>
      <c r="H52" s="39">
        <v>336</v>
      </c>
      <c r="I52" s="52"/>
      <c r="J52" s="41" t="str">
        <f>IF(I52="","",IFERROR(SUMPRODUCT((TableBOM[Product ID]=A52)*(TableBOM[Material Category]="SLUG")*TableBOM[Per 1000 Units]*(1+TableBOM[Scrap %]))*I52/1000,0))</f>
        <v/>
      </c>
      <c r="K52" s="41" t="str">
        <f>IF(I52="","",IFERROR(SUMPRODUCT((TableBOM[Product ID]=A52)*(TableBOM[Material Category]="BASE COAT")*TableBOM[Per 1000 Units]*(1+TableBOM[Scrap %]))*I52/1000,0))</f>
        <v/>
      </c>
      <c r="L52" s="41" t="str">
        <f>IF(I52="","",IFERROR(SUMPRODUCT((TableBOM[Product ID]=A52)*(TableBOM[Material Category]="LACQUER")*TableBOM[Per 1000 Units]*(1+TableBOM[Scrap %]))*I52/1000,0))</f>
        <v/>
      </c>
      <c r="M52" s="41" t="str">
        <f>IF(I52="","",IFERROR(SUMPRODUCT((TableBOM[Product ID]=A52)*(TableBOM[Material Category]="LATEX")*TableBOM[Per 1000 Units]*(1+TableBOM[Scrap %]))*I52/1000,0))</f>
        <v/>
      </c>
      <c r="N52" s="41" t="str">
        <f>IF(I52="","",IFERROR(SUMPRODUCT((TableBOM[Product ID]=A52)*(TableBOM[Material Category]="ZINC")*TableBOM[Per 1000 Units]*(1+TableBOM[Scrap %]))*I52/1000,0))</f>
        <v/>
      </c>
      <c r="O52" s="41" t="str">
        <f>IF(I52="","",IFERROR(SUMPRODUCT((TableBOM[Product ID]=A52)*(TableBOM[Material Category]="CAP")*TableBOM[Per 1000 Units]*(1+TableBOM[Scrap %]))*I52/1000,0))</f>
        <v/>
      </c>
      <c r="P52" s="41" t="str">
        <f>IF(I52="","",IFERROR(SUMPRODUCT((TableBOM[Product ID]=A52)*(TableBOM[Material Category]="CARTON")*TableBOM[Per 1000 Units]*(1+TableBOM[Scrap %]))*I52/1000,0))</f>
        <v/>
      </c>
      <c r="Q52" s="41"/>
      <c r="R52" s="41"/>
      <c r="S52" s="41"/>
    </row>
    <row r="53" spans="1:19" ht="15" customHeight="1" x14ac:dyDescent="0.25">
      <c r="A53" s="39">
        <v>5389</v>
      </c>
      <c r="B53" s="39">
        <v>35</v>
      </c>
      <c r="C53" s="39" t="s">
        <v>13</v>
      </c>
      <c r="D53" s="40" t="s">
        <v>204</v>
      </c>
      <c r="E53" s="39">
        <v>25</v>
      </c>
      <c r="F53" s="39">
        <v>150</v>
      </c>
      <c r="G53" s="39" t="s">
        <v>377</v>
      </c>
      <c r="H53" s="39">
        <v>336</v>
      </c>
      <c r="I53" s="52"/>
      <c r="J53" s="41" t="str">
        <f>IF(I53="","",IFERROR(SUMPRODUCT((TableBOM[Product ID]=A53)*(TableBOM[Material Category]="SLUG")*TableBOM[Per 1000 Units]*(1+TableBOM[Scrap %]))*I53/1000,0))</f>
        <v/>
      </c>
      <c r="K53" s="41" t="str">
        <f>IF(I53="","",IFERROR(SUMPRODUCT((TableBOM[Product ID]=A53)*(TableBOM[Material Category]="BASE COAT")*TableBOM[Per 1000 Units]*(1+TableBOM[Scrap %]))*I53/1000,0))</f>
        <v/>
      </c>
      <c r="L53" s="41" t="str">
        <f>IF(I53="","",IFERROR(SUMPRODUCT((TableBOM[Product ID]=A53)*(TableBOM[Material Category]="LACQUER")*TableBOM[Per 1000 Units]*(1+TableBOM[Scrap %]))*I53/1000,0))</f>
        <v/>
      </c>
      <c r="M53" s="41" t="str">
        <f>IF(I53="","",IFERROR(SUMPRODUCT((TableBOM[Product ID]=A53)*(TableBOM[Material Category]="LATEX")*TableBOM[Per 1000 Units]*(1+TableBOM[Scrap %]))*I53/1000,0))</f>
        <v/>
      </c>
      <c r="N53" s="41" t="str">
        <f>IF(I53="","",IFERROR(SUMPRODUCT((TableBOM[Product ID]=A53)*(TableBOM[Material Category]="ZINC")*TableBOM[Per 1000 Units]*(1+TableBOM[Scrap %]))*I53/1000,0))</f>
        <v/>
      </c>
      <c r="O53" s="41" t="str">
        <f>IF(I53="","",IFERROR(SUMPRODUCT((TableBOM[Product ID]=A53)*(TableBOM[Material Category]="CAP")*TableBOM[Per 1000 Units]*(1+TableBOM[Scrap %]))*I53/1000,0))</f>
        <v/>
      </c>
      <c r="P53" s="41" t="str">
        <f>IF(I53="","",IFERROR(SUMPRODUCT((TableBOM[Product ID]=A53)*(TableBOM[Material Category]="CARTON")*TableBOM[Per 1000 Units]*(1+TableBOM[Scrap %]))*I53/1000,0))</f>
        <v/>
      </c>
      <c r="Q53" s="41"/>
      <c r="R53" s="41"/>
      <c r="S53" s="41"/>
    </row>
    <row r="54" spans="1:19" hidden="1" x14ac:dyDescent="0.25">
      <c r="A54" s="39">
        <v>6151</v>
      </c>
      <c r="B54" s="39">
        <v>146</v>
      </c>
      <c r="C54" s="39" t="s">
        <v>224</v>
      </c>
      <c r="D54" s="40" t="s">
        <v>225</v>
      </c>
      <c r="E54" s="39">
        <v>30</v>
      </c>
      <c r="F54" s="39">
        <v>130</v>
      </c>
      <c r="G54" s="39" t="s">
        <v>378</v>
      </c>
      <c r="H54" s="39">
        <v>238</v>
      </c>
      <c r="I54" s="52"/>
      <c r="J54" s="41" t="str">
        <f>IF(I54="","",IFERROR(SUMPRODUCT((TableBOM[Product ID]=A54)*(TableBOM[Material Category]="SLUG")*TableBOM[Per 1000 Units]*(1+TableBOM[Scrap %]))*I54/1000,0))</f>
        <v/>
      </c>
      <c r="K54" s="41" t="str">
        <f>IF(I54="","",IFERROR(SUMPRODUCT((TableBOM[Product ID]=A54)*(TableBOM[Material Category]="BASE COAT")*TableBOM[Per 1000 Units]*(1+TableBOM[Scrap %]))*I54/1000,0))</f>
        <v/>
      </c>
      <c r="L54" s="41" t="str">
        <f>IF(I54="","",IFERROR(SUMPRODUCT((TableBOM[Product ID]=A54)*(TableBOM[Material Category]="LACQUER")*TableBOM[Per 1000 Units]*(1+TableBOM[Scrap %]))*I54/1000,0))</f>
        <v/>
      </c>
      <c r="M54" s="41" t="str">
        <f>IF(I54="","",IFERROR(SUMPRODUCT((TableBOM[Product ID]=A54)*(TableBOM[Material Category]="LATEX")*TableBOM[Per 1000 Units]*(1+TableBOM[Scrap %]))*I54/1000,0))</f>
        <v/>
      </c>
      <c r="N54" s="41" t="str">
        <f>IF(I54="","",IFERROR(SUMPRODUCT((TableBOM[Product ID]=A54)*(TableBOM[Material Category]="ZINC")*TableBOM[Per 1000 Units]*(1+TableBOM[Scrap %]))*I54/1000,0))</f>
        <v/>
      </c>
      <c r="O54" s="41" t="str">
        <f>IF(I54="","",IFERROR(SUMPRODUCT((TableBOM[Product ID]=A54)*(TableBOM[Material Category]="CAP")*TableBOM[Per 1000 Units]*(1+TableBOM[Scrap %]))*I54/1000,0))</f>
        <v/>
      </c>
      <c r="P54" s="41" t="str">
        <f>IF(I54="","",IFERROR(SUMPRODUCT((TableBOM[Product ID]=A54)*(TableBOM[Material Category]="CARTON")*TableBOM[Per 1000 Units]*(1+TableBOM[Scrap %]))*I54/1000,0))</f>
        <v/>
      </c>
      <c r="Q54" s="41"/>
      <c r="R54" s="41"/>
      <c r="S54" s="41"/>
    </row>
    <row r="55" spans="1:19" hidden="1" x14ac:dyDescent="0.25">
      <c r="A55" s="134">
        <v>8017</v>
      </c>
      <c r="B55" s="134">
        <v>817</v>
      </c>
      <c r="C55" s="134" t="s">
        <v>232</v>
      </c>
      <c r="D55" s="135" t="s">
        <v>144</v>
      </c>
      <c r="E55" s="134" t="s">
        <v>143</v>
      </c>
      <c r="F55" s="134"/>
      <c r="G55" s="134" t="s">
        <v>377</v>
      </c>
      <c r="H55" s="134"/>
      <c r="I55" s="137"/>
      <c r="J55" s="136" t="str">
        <f>IF(I55="","",IFERROR(SUMPRODUCT((TableBOM[Product ID]=A55)*(TableBOM[Material Category]="SLUG")*TableBOM[Per 1000 Units]*(1+TableBOM[Scrap %]))*I55/1000,0))</f>
        <v/>
      </c>
      <c r="K55" s="136" t="str">
        <f>IF(I55="","",IFERROR(SUMPRODUCT((TableBOM[Product ID]=A55)*(TableBOM[Material Category]="BASE COAT")*TableBOM[Per 1000 Units]*(1+TableBOM[Scrap %]))*I55/1000,0))</f>
        <v/>
      </c>
      <c r="L55" s="136" t="str">
        <f>IF(I55="","",IFERROR(SUMPRODUCT((TableBOM[Product ID]=A55)*(TableBOM[Material Category]="LACQUER")*TableBOM[Per 1000 Units]*(1+TableBOM[Scrap %]))*I55/1000,0))</f>
        <v/>
      </c>
      <c r="M55" s="136" t="str">
        <f>IF(I55="","",IFERROR(SUMPRODUCT((TableBOM[Product ID]=A55)*(TableBOM[Material Category]="LATEX")*TableBOM[Per 1000 Units]*(1+TableBOM[Scrap %]))*I55/1000,0))</f>
        <v/>
      </c>
      <c r="N55" s="136" t="str">
        <f>IF(I55="","",IFERROR(SUMPRODUCT((TableBOM[Product ID]=A55)*(TableBOM[Material Category]="ZINC")*TableBOM[Per 1000 Units]*(1+TableBOM[Scrap %]))*I55/1000,0))</f>
        <v/>
      </c>
      <c r="O55" s="136" t="str">
        <f>IF(I55="","",IFERROR(SUMPRODUCT((TableBOM[Product ID]=A55)*(TableBOM[Material Category]="CAP")*TableBOM[Per 1000 Units]*(1+TableBOM[Scrap %]))*I55/1000,0))</f>
        <v/>
      </c>
      <c r="P55" s="136" t="str">
        <f>IF(I55="","",IFERROR(SUMPRODUCT((TableBOM[Product ID]=A55)*(TableBOM[Material Category]="CARTON")*TableBOM[Per 1000 Units]*(1+TableBOM[Scrap %]))*I55/1000,0))</f>
        <v/>
      </c>
      <c r="Q55" s="41"/>
      <c r="R55" s="41"/>
      <c r="S55" s="41"/>
    </row>
    <row r="56" spans="1:19" x14ac:dyDescent="0.25">
      <c r="A56" s="178">
        <v>8018</v>
      </c>
      <c r="B56" s="178">
        <v>818</v>
      </c>
      <c r="C56" s="178" t="s">
        <v>135</v>
      </c>
      <c r="D56" s="179" t="s">
        <v>136</v>
      </c>
      <c r="E56" s="178" t="s">
        <v>134</v>
      </c>
      <c r="F56" s="178">
        <v>0</v>
      </c>
      <c r="G56" s="178" t="s">
        <v>377</v>
      </c>
      <c r="H56" s="178">
        <v>0</v>
      </c>
      <c r="I56" s="52"/>
      <c r="J56" s="41" t="str">
        <f>IF(I56="","",IFERROR(SUMPRODUCT((TableBOM[Product ID]=A56)*(TableBOM[Material Category]="SLUG")*TableBOM[Per 1000 Units]*(1+TableBOM[Scrap %]))*I56/1000,0))</f>
        <v/>
      </c>
      <c r="K56" s="41" t="str">
        <f>IF(I56="","",IFERROR(SUMPRODUCT((TableBOM[Product ID]=A56)*(TableBOM[Material Category]="BASE COAT")*TableBOM[Per 1000 Units]*(1+TableBOM[Scrap %]))*I56/1000,0))</f>
        <v/>
      </c>
      <c r="L56" s="41" t="str">
        <f>IF(I56="","",IFERROR(SUMPRODUCT((TableBOM[Product ID]=A56)*(TableBOM[Material Category]="LACQUER")*TableBOM[Per 1000 Units]*(1+TableBOM[Scrap %]))*I56/1000,0))</f>
        <v/>
      </c>
      <c r="M56" s="41" t="str">
        <f>IF(I56="","",IFERROR(SUMPRODUCT((TableBOM[Product ID]=A56)*(TableBOM[Material Category]="LATEX")*TableBOM[Per 1000 Units]*(1+TableBOM[Scrap %]))*I56/1000,0))</f>
        <v/>
      </c>
      <c r="N56" s="41" t="str">
        <f>IF(I56="","",IFERROR(SUMPRODUCT((TableBOM[Product ID]=A56)*(TableBOM[Material Category]="ZINC")*TableBOM[Per 1000 Units]*(1+TableBOM[Scrap %]))*I56/1000,0))</f>
        <v/>
      </c>
      <c r="O56" s="41" t="str">
        <f>IF(I56="","",IFERROR(SUMPRODUCT((TableBOM[Product ID]=A56)*(TableBOM[Material Category]="CAP")*TableBOM[Per 1000 Units]*(1+TableBOM[Scrap %]))*I56/1000,0))</f>
        <v/>
      </c>
      <c r="P56" s="41" t="str">
        <f>IF(I56="","",IFERROR(SUMPRODUCT((TableBOM[Product ID]=A56)*(TableBOM[Material Category]="CARTON")*TableBOM[Per 1000 Units]*(1+TableBOM[Scrap %]))*I56/1000,0))</f>
        <v/>
      </c>
      <c r="Q56" s="41"/>
      <c r="R56" s="41"/>
      <c r="S56" s="41"/>
    </row>
    <row r="57" spans="1:19" x14ac:dyDescent="0.25">
      <c r="A57" s="252">
        <v>8019</v>
      </c>
      <c r="B57" s="252">
        <v>819</v>
      </c>
      <c r="C57" s="252" t="s">
        <v>135</v>
      </c>
      <c r="D57" s="253" t="s">
        <v>140</v>
      </c>
      <c r="E57" s="252" t="s">
        <v>138</v>
      </c>
      <c r="F57" s="252">
        <v>0</v>
      </c>
      <c r="G57" s="252" t="s">
        <v>377</v>
      </c>
      <c r="H57" s="252">
        <v>0</v>
      </c>
    </row>
  </sheetData>
  <autoFilter ref="A2:S55" xr:uid="{00000000-0009-0000-0000-000005000000}">
    <filterColumn colId="2">
      <filters>
        <filter val="Samsol International Private Limited"/>
      </filters>
    </filterColumn>
    <filterColumn colId="4">
      <filters>
        <filter val="25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359" t="s">
        <v>379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</row>
    <row r="2" spans="1:11" x14ac:dyDescent="0.25">
      <c r="A2" s="61" t="s">
        <v>380</v>
      </c>
      <c r="B2" s="62"/>
      <c r="C2" s="63"/>
      <c r="D2" s="63"/>
      <c r="E2" s="63"/>
      <c r="F2" s="63"/>
      <c r="G2" s="63"/>
      <c r="H2" s="63"/>
      <c r="I2" s="63"/>
      <c r="J2" s="63"/>
      <c r="K2" s="63"/>
    </row>
    <row r="3" spans="1:11" ht="6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21.95" customHeight="1" x14ac:dyDescent="0.25">
      <c r="A4" s="359" t="s">
        <v>381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</row>
    <row r="5" spans="1:11" ht="18" customHeight="1" x14ac:dyDescent="0.25">
      <c r="A5" s="65" t="s">
        <v>382</v>
      </c>
      <c r="B5" s="65" t="s">
        <v>383</v>
      </c>
      <c r="C5" s="66" t="s">
        <v>3</v>
      </c>
      <c r="D5" s="66" t="s">
        <v>384</v>
      </c>
      <c r="E5" s="66" t="s">
        <v>2</v>
      </c>
      <c r="F5" s="66" t="s">
        <v>385</v>
      </c>
      <c r="G5" s="66" t="s">
        <v>386</v>
      </c>
      <c r="H5" s="66" t="s">
        <v>387</v>
      </c>
      <c r="I5" s="66" t="s">
        <v>32</v>
      </c>
      <c r="J5" s="66"/>
      <c r="K5" s="66"/>
    </row>
    <row r="6" spans="1:11" ht="108" customHeight="1" x14ac:dyDescent="0.25">
      <c r="A6" s="62">
        <v>9002</v>
      </c>
      <c r="B6" s="62">
        <v>901</v>
      </c>
      <c r="C6" s="63" t="s">
        <v>11</v>
      </c>
      <c r="D6" s="63" t="s">
        <v>222</v>
      </c>
      <c r="E6" s="63">
        <v>30</v>
      </c>
      <c r="F6" s="63" t="s">
        <v>388</v>
      </c>
      <c r="G6" s="63" t="s">
        <v>389</v>
      </c>
      <c r="H6" s="67" t="s">
        <v>390</v>
      </c>
      <c r="I6" s="68" t="s">
        <v>391</v>
      </c>
      <c r="J6" s="63"/>
      <c r="K6" s="63"/>
    </row>
    <row r="7" spans="1:11" ht="132" customHeight="1" x14ac:dyDescent="0.25">
      <c r="A7" s="69">
        <v>6624</v>
      </c>
      <c r="B7" s="69" t="s">
        <v>392</v>
      </c>
      <c r="C7" s="70" t="s">
        <v>393</v>
      </c>
      <c r="D7" s="70" t="s">
        <v>394</v>
      </c>
      <c r="E7" s="70">
        <v>19</v>
      </c>
      <c r="F7" s="70" t="s">
        <v>395</v>
      </c>
      <c r="G7" s="70" t="s">
        <v>396</v>
      </c>
      <c r="H7" s="71" t="s">
        <v>390</v>
      </c>
      <c r="I7" s="72" t="s">
        <v>391</v>
      </c>
      <c r="J7" s="70"/>
      <c r="K7" s="70"/>
    </row>
    <row r="8" spans="1:11" ht="132" customHeight="1" x14ac:dyDescent="0.25">
      <c r="A8" s="62">
        <v>9004</v>
      </c>
      <c r="B8" s="62">
        <v>904</v>
      </c>
      <c r="C8" s="63" t="s">
        <v>189</v>
      </c>
      <c r="D8" s="63" t="s">
        <v>190</v>
      </c>
      <c r="E8" s="63">
        <v>12.5</v>
      </c>
      <c r="F8" s="63" t="s">
        <v>397</v>
      </c>
      <c r="G8" s="63" t="s">
        <v>398</v>
      </c>
      <c r="H8" s="67" t="s">
        <v>390</v>
      </c>
      <c r="I8" s="68" t="s">
        <v>391</v>
      </c>
      <c r="J8" s="63"/>
      <c r="K8" s="63"/>
    </row>
    <row r="9" spans="1:11" ht="108" customHeight="1" x14ac:dyDescent="0.25">
      <c r="A9" s="69">
        <v>9006</v>
      </c>
      <c r="B9" s="69">
        <v>906</v>
      </c>
      <c r="C9" s="70" t="s">
        <v>393</v>
      </c>
      <c r="D9" s="70" t="s">
        <v>209</v>
      </c>
      <c r="E9" s="70">
        <v>25</v>
      </c>
      <c r="F9" s="70" t="s">
        <v>399</v>
      </c>
      <c r="G9" s="70" t="s">
        <v>400</v>
      </c>
      <c r="H9" s="71" t="s">
        <v>390</v>
      </c>
      <c r="I9" s="72" t="s">
        <v>391</v>
      </c>
      <c r="J9" s="70"/>
      <c r="K9" s="70"/>
    </row>
    <row r="10" spans="1:11" ht="6" customHeight="1" x14ac:dyDescent="0.25">
      <c r="A10" s="73"/>
      <c r="B10" s="73"/>
      <c r="C10" s="64"/>
      <c r="D10" s="73"/>
      <c r="E10" s="73"/>
      <c r="F10" s="73"/>
      <c r="G10" s="74"/>
      <c r="H10" s="73"/>
      <c r="I10" s="73"/>
      <c r="J10" s="64"/>
      <c r="K10" s="73"/>
    </row>
    <row r="11" spans="1:11" ht="6" customHeight="1" x14ac:dyDescent="0.25">
      <c r="A11" s="75"/>
      <c r="B11" s="64"/>
      <c r="C11" s="64"/>
      <c r="D11" s="64"/>
      <c r="E11" s="64"/>
      <c r="F11" s="64"/>
      <c r="G11" s="64"/>
      <c r="H11" s="64"/>
      <c r="I11" s="64"/>
      <c r="J11" s="64"/>
      <c r="K11" s="73"/>
    </row>
    <row r="12" spans="1:11" ht="21.95" customHeight="1" x14ac:dyDescent="0.25">
      <c r="A12" s="359" t="s">
        <v>401</v>
      </c>
      <c r="B12" s="360"/>
      <c r="C12" s="360"/>
      <c r="D12" s="360"/>
      <c r="E12" s="360"/>
      <c r="F12" s="360"/>
      <c r="G12" s="360"/>
      <c r="H12" s="360"/>
      <c r="I12" s="360"/>
      <c r="J12" s="360"/>
      <c r="K12" s="360"/>
    </row>
    <row r="13" spans="1:11" ht="18" customHeight="1" x14ac:dyDescent="0.25">
      <c r="A13" s="65" t="s">
        <v>382</v>
      </c>
      <c r="B13" s="65" t="s">
        <v>384</v>
      </c>
      <c r="C13" s="66"/>
      <c r="D13" s="66" t="s">
        <v>402</v>
      </c>
      <c r="E13" s="66" t="s">
        <v>25</v>
      </c>
      <c r="F13" s="66" t="s">
        <v>403</v>
      </c>
      <c r="G13" s="66" t="s">
        <v>404</v>
      </c>
      <c r="H13" s="66" t="s">
        <v>387</v>
      </c>
      <c r="I13" s="66" t="s">
        <v>405</v>
      </c>
      <c r="J13" s="66"/>
      <c r="K13" s="66"/>
    </row>
    <row r="14" spans="1:11" ht="60" customHeight="1" x14ac:dyDescent="0.25">
      <c r="A14" s="62">
        <v>6020</v>
      </c>
      <c r="B14" s="62" t="s">
        <v>228</v>
      </c>
      <c r="C14" s="63"/>
      <c r="D14" s="63" t="s">
        <v>50</v>
      </c>
      <c r="E14" s="63" t="s">
        <v>406</v>
      </c>
      <c r="F14" s="63" t="s">
        <v>407</v>
      </c>
      <c r="G14" s="63" t="s">
        <v>408</v>
      </c>
      <c r="H14" s="67" t="s">
        <v>409</v>
      </c>
      <c r="I14" s="63" t="s">
        <v>410</v>
      </c>
      <c r="J14" s="63"/>
      <c r="K14" s="63"/>
    </row>
    <row r="15" spans="1:11" ht="24" customHeight="1" x14ac:dyDescent="0.25">
      <c r="A15" s="69">
        <v>6021</v>
      </c>
      <c r="B15" s="69" t="s">
        <v>229</v>
      </c>
      <c r="C15" s="70"/>
      <c r="D15" s="70" t="s">
        <v>50</v>
      </c>
      <c r="E15" s="70" t="s">
        <v>406</v>
      </c>
      <c r="F15" s="70" t="s">
        <v>407</v>
      </c>
      <c r="G15" s="70" t="s">
        <v>408</v>
      </c>
      <c r="H15" s="71" t="s">
        <v>409</v>
      </c>
      <c r="I15" s="70" t="s">
        <v>411</v>
      </c>
      <c r="J15" s="70"/>
      <c r="K15" s="70"/>
    </row>
    <row r="16" spans="1:11" ht="24" customHeight="1" x14ac:dyDescent="0.25">
      <c r="A16" s="62">
        <v>6020</v>
      </c>
      <c r="B16" s="62" t="s">
        <v>228</v>
      </c>
      <c r="C16" s="63"/>
      <c r="D16" s="63" t="s">
        <v>57</v>
      </c>
      <c r="E16" s="63" t="s">
        <v>412</v>
      </c>
      <c r="F16" s="63" t="s">
        <v>413</v>
      </c>
      <c r="G16" s="63" t="s">
        <v>414</v>
      </c>
      <c r="H16" s="67" t="s">
        <v>390</v>
      </c>
      <c r="I16" s="63" t="s">
        <v>415</v>
      </c>
      <c r="J16" s="63"/>
      <c r="K16" s="63"/>
    </row>
    <row r="17" spans="1:11" ht="24" customHeight="1" x14ac:dyDescent="0.25">
      <c r="A17" s="69">
        <v>6021</v>
      </c>
      <c r="B17" s="69" t="s">
        <v>229</v>
      </c>
      <c r="C17" s="70"/>
      <c r="D17" s="70" t="s">
        <v>57</v>
      </c>
      <c r="E17" s="70" t="s">
        <v>412</v>
      </c>
      <c r="F17" s="70" t="s">
        <v>413</v>
      </c>
      <c r="G17" s="70" t="s">
        <v>414</v>
      </c>
      <c r="H17" s="71" t="s">
        <v>390</v>
      </c>
      <c r="I17" s="70" t="s">
        <v>411</v>
      </c>
      <c r="J17" s="70"/>
      <c r="K17" s="70"/>
    </row>
    <row r="18" spans="1:11" ht="24" customHeight="1" x14ac:dyDescent="0.25">
      <c r="A18" s="62">
        <v>5731</v>
      </c>
      <c r="B18" s="62" t="s">
        <v>416</v>
      </c>
      <c r="C18" s="63"/>
      <c r="D18" s="63" t="s">
        <v>108</v>
      </c>
      <c r="E18" s="63" t="s">
        <v>417</v>
      </c>
      <c r="F18" s="63" t="s">
        <v>418</v>
      </c>
      <c r="G18" s="63" t="s">
        <v>419</v>
      </c>
      <c r="H18" s="67" t="s">
        <v>390</v>
      </c>
      <c r="I18" s="63" t="s">
        <v>420</v>
      </c>
      <c r="J18" s="63"/>
      <c r="K18" s="63"/>
    </row>
    <row r="19" spans="1:11" ht="24" customHeight="1" x14ac:dyDescent="0.25">
      <c r="A19" s="69">
        <v>5732</v>
      </c>
      <c r="B19" s="69" t="s">
        <v>421</v>
      </c>
      <c r="C19" s="70"/>
      <c r="D19" s="70" t="s">
        <v>108</v>
      </c>
      <c r="E19" s="70" t="s">
        <v>417</v>
      </c>
      <c r="F19" s="70" t="s">
        <v>418</v>
      </c>
      <c r="G19" s="70" t="s">
        <v>419</v>
      </c>
      <c r="H19" s="71" t="s">
        <v>390</v>
      </c>
      <c r="I19" s="70" t="s">
        <v>420</v>
      </c>
      <c r="J19" s="70"/>
      <c r="K19" s="70"/>
    </row>
    <row r="20" spans="1:11" ht="48" customHeight="1" x14ac:dyDescent="0.25">
      <c r="A20" s="62">
        <v>6338</v>
      </c>
      <c r="B20" s="62" t="s">
        <v>211</v>
      </c>
      <c r="C20" s="63"/>
      <c r="D20" s="63" t="s">
        <v>57</v>
      </c>
      <c r="E20" s="63" t="s">
        <v>422</v>
      </c>
      <c r="F20" s="63" t="s">
        <v>423</v>
      </c>
      <c r="G20" s="63" t="s">
        <v>424</v>
      </c>
      <c r="H20" s="67" t="s">
        <v>390</v>
      </c>
      <c r="I20" s="63" t="s">
        <v>425</v>
      </c>
      <c r="J20" s="63"/>
      <c r="K20" s="63"/>
    </row>
    <row r="21" spans="1:11" ht="24" customHeight="1" x14ac:dyDescent="0.25">
      <c r="A21" s="69">
        <v>6531</v>
      </c>
      <c r="B21" s="69" t="s">
        <v>184</v>
      </c>
      <c r="C21" s="70"/>
      <c r="D21" s="70" t="s">
        <v>50</v>
      </c>
      <c r="E21" s="70" t="s">
        <v>406</v>
      </c>
      <c r="F21" s="70" t="s">
        <v>426</v>
      </c>
      <c r="G21" s="70" t="s">
        <v>427</v>
      </c>
      <c r="H21" s="76" t="s">
        <v>428</v>
      </c>
      <c r="I21" s="70" t="s">
        <v>429</v>
      </c>
      <c r="J21" s="70"/>
      <c r="K21" s="70"/>
    </row>
    <row r="22" spans="1:11" ht="6" customHeight="1" x14ac:dyDescent="0.25">
      <c r="A22" s="75"/>
      <c r="B22" s="64"/>
      <c r="C22" s="64"/>
      <c r="D22" s="64"/>
      <c r="E22" s="64"/>
      <c r="F22" s="64"/>
      <c r="G22" s="64"/>
      <c r="H22" s="64"/>
      <c r="I22" s="64"/>
      <c r="J22" s="64"/>
      <c r="K22" s="74"/>
    </row>
    <row r="23" spans="1:11" ht="21.95" customHeight="1" x14ac:dyDescent="0.25">
      <c r="A23" s="359" t="s">
        <v>430</v>
      </c>
      <c r="B23" s="360"/>
      <c r="C23" s="360"/>
      <c r="D23" s="360"/>
      <c r="E23" s="360"/>
      <c r="F23" s="360"/>
      <c r="G23" s="360"/>
      <c r="H23" s="360"/>
      <c r="I23" s="360"/>
      <c r="J23" s="360"/>
      <c r="K23" s="360"/>
    </row>
    <row r="24" spans="1:11" ht="18" customHeight="1" x14ac:dyDescent="0.25">
      <c r="A24" s="65" t="s">
        <v>382</v>
      </c>
      <c r="B24" s="65" t="s">
        <v>384</v>
      </c>
      <c r="C24" s="66"/>
      <c r="D24" s="66" t="s">
        <v>431</v>
      </c>
      <c r="E24" s="66" t="s">
        <v>25</v>
      </c>
      <c r="F24" s="66" t="s">
        <v>432</v>
      </c>
      <c r="G24" s="66" t="s">
        <v>433</v>
      </c>
      <c r="H24" s="66" t="s">
        <v>387</v>
      </c>
      <c r="I24" s="66"/>
      <c r="J24" s="66"/>
      <c r="K24" s="66"/>
    </row>
    <row r="25" spans="1:11" ht="96" customHeight="1" x14ac:dyDescent="0.25">
      <c r="A25" s="62" t="s">
        <v>434</v>
      </c>
      <c r="B25" s="62" t="s">
        <v>435</v>
      </c>
      <c r="C25" s="63"/>
      <c r="D25" s="63" t="s">
        <v>436</v>
      </c>
      <c r="E25" s="63">
        <v>177</v>
      </c>
      <c r="F25" s="63" t="s">
        <v>437</v>
      </c>
      <c r="G25" s="63" t="s">
        <v>438</v>
      </c>
      <c r="H25" s="67" t="s">
        <v>409</v>
      </c>
      <c r="I25" s="63"/>
      <c r="J25" s="63"/>
      <c r="K25" s="63"/>
    </row>
    <row r="26" spans="1:11" ht="18" customHeight="1" x14ac:dyDescent="0.25">
      <c r="A26" s="65">
        <v>6312</v>
      </c>
      <c r="B26" s="65" t="s">
        <v>218</v>
      </c>
      <c r="C26" s="66"/>
      <c r="D26" s="66" t="s">
        <v>71</v>
      </c>
      <c r="E26" s="66">
        <v>578</v>
      </c>
      <c r="F26" s="66" t="s">
        <v>439</v>
      </c>
      <c r="G26" s="66" t="s">
        <v>440</v>
      </c>
      <c r="H26" s="66" t="s">
        <v>390</v>
      </c>
      <c r="I26" s="66"/>
      <c r="J26" s="66"/>
      <c r="K26" s="66"/>
    </row>
    <row r="27" spans="1:11" ht="72" customHeight="1" x14ac:dyDescent="0.25">
      <c r="A27" s="62">
        <v>6338</v>
      </c>
      <c r="B27" s="62" t="s">
        <v>211</v>
      </c>
      <c r="C27" s="63"/>
      <c r="D27" s="63" t="s">
        <v>71</v>
      </c>
      <c r="E27" s="63" t="s">
        <v>441</v>
      </c>
      <c r="F27" s="63" t="s">
        <v>442</v>
      </c>
      <c r="G27" s="63" t="s">
        <v>443</v>
      </c>
      <c r="H27" s="67" t="s">
        <v>390</v>
      </c>
      <c r="I27" s="63"/>
      <c r="J27" s="63"/>
      <c r="K27" s="63"/>
    </row>
    <row r="28" spans="1:11" ht="108" customHeight="1" x14ac:dyDescent="0.25">
      <c r="A28" s="69">
        <v>5814</v>
      </c>
      <c r="B28" s="69" t="s">
        <v>16</v>
      </c>
      <c r="C28" s="70"/>
      <c r="D28" s="70" t="s">
        <v>95</v>
      </c>
      <c r="E28" s="70" t="s">
        <v>441</v>
      </c>
      <c r="F28" s="70" t="s">
        <v>442</v>
      </c>
      <c r="G28" s="70" t="s">
        <v>444</v>
      </c>
      <c r="H28" s="71" t="s">
        <v>390</v>
      </c>
      <c r="I28" s="70"/>
      <c r="J28" s="70"/>
      <c r="K28" s="70"/>
    </row>
    <row r="29" spans="1:11" ht="18" customHeight="1" x14ac:dyDescent="0.25">
      <c r="A29" s="65">
        <v>6312</v>
      </c>
      <c r="B29" s="65" t="s">
        <v>218</v>
      </c>
      <c r="C29" s="66"/>
      <c r="D29" s="66" t="s">
        <v>69</v>
      </c>
      <c r="E29" s="66">
        <v>186</v>
      </c>
      <c r="F29" s="66" t="s">
        <v>445</v>
      </c>
      <c r="G29" s="66" t="s">
        <v>446</v>
      </c>
      <c r="H29" s="66" t="s">
        <v>428</v>
      </c>
      <c r="I29" s="66"/>
      <c r="J29" s="66"/>
      <c r="K29" s="66"/>
    </row>
    <row r="30" spans="1:11" ht="18" customHeight="1" x14ac:dyDescent="0.25">
      <c r="A30" s="65">
        <v>6077</v>
      </c>
      <c r="B30" s="65" t="s">
        <v>447</v>
      </c>
      <c r="C30" s="66"/>
      <c r="D30" s="66" t="s">
        <v>69</v>
      </c>
      <c r="E30" s="66">
        <v>186</v>
      </c>
      <c r="F30" s="66" t="s">
        <v>445</v>
      </c>
      <c r="G30" s="66" t="s">
        <v>448</v>
      </c>
      <c r="H30" s="66" t="s">
        <v>428</v>
      </c>
      <c r="I30" s="66"/>
      <c r="J30" s="66"/>
      <c r="K30" s="66"/>
    </row>
    <row r="31" spans="1:11" ht="72" customHeight="1" x14ac:dyDescent="0.25">
      <c r="A31" s="62">
        <v>6530</v>
      </c>
      <c r="B31" s="62" t="s">
        <v>183</v>
      </c>
      <c r="C31" s="63"/>
      <c r="D31" s="63" t="s">
        <v>69</v>
      </c>
      <c r="E31" s="63">
        <v>186</v>
      </c>
      <c r="F31" s="63" t="s">
        <v>445</v>
      </c>
      <c r="G31" s="63" t="s">
        <v>449</v>
      </c>
      <c r="H31" s="77" t="s">
        <v>428</v>
      </c>
      <c r="I31" s="63"/>
      <c r="J31" s="63"/>
      <c r="K31" s="63"/>
    </row>
    <row r="32" spans="1:11" ht="18" customHeight="1" x14ac:dyDescent="0.25">
      <c r="A32" s="65">
        <v>6531</v>
      </c>
      <c r="B32" s="65" t="s">
        <v>184</v>
      </c>
      <c r="C32" s="66"/>
      <c r="D32" s="66" t="s">
        <v>69</v>
      </c>
      <c r="E32" s="66">
        <v>186</v>
      </c>
      <c r="F32" s="66" t="s">
        <v>445</v>
      </c>
      <c r="G32" s="66" t="s">
        <v>450</v>
      </c>
      <c r="H32" s="66" t="s">
        <v>428</v>
      </c>
      <c r="I32" s="66"/>
      <c r="J32" s="66"/>
      <c r="K32" s="66"/>
    </row>
    <row r="33" spans="1:11" ht="6" customHeight="1" x14ac:dyDescent="0.25">
      <c r="A33" s="75"/>
      <c r="B33" s="64"/>
      <c r="C33" s="64"/>
      <c r="D33" s="64"/>
      <c r="E33" s="64"/>
      <c r="F33" s="64"/>
      <c r="G33" s="64"/>
      <c r="H33" s="64"/>
      <c r="I33" s="64"/>
      <c r="J33" s="64"/>
      <c r="K33" s="73"/>
    </row>
    <row r="34" spans="1:11" ht="21.95" customHeight="1" x14ac:dyDescent="0.25">
      <c r="A34" s="359" t="s">
        <v>451</v>
      </c>
      <c r="B34" s="360"/>
      <c r="C34" s="360"/>
      <c r="D34" s="360"/>
      <c r="E34" s="360"/>
      <c r="F34" s="360"/>
      <c r="G34" s="360"/>
      <c r="H34" s="360"/>
      <c r="I34" s="360"/>
      <c r="J34" s="360"/>
      <c r="K34" s="360"/>
    </row>
    <row r="35" spans="1:11" ht="18" customHeight="1" x14ac:dyDescent="0.25">
      <c r="A35" s="65" t="s">
        <v>382</v>
      </c>
      <c r="B35" s="65" t="s">
        <v>383</v>
      </c>
      <c r="C35" s="66" t="s">
        <v>384</v>
      </c>
      <c r="D35" s="66" t="s">
        <v>402</v>
      </c>
      <c r="E35" s="66" t="s">
        <v>452</v>
      </c>
      <c r="F35" s="66" t="s">
        <v>453</v>
      </c>
      <c r="G35" s="66" t="s">
        <v>454</v>
      </c>
      <c r="H35" s="66" t="s">
        <v>455</v>
      </c>
      <c r="I35" s="66" t="s">
        <v>432</v>
      </c>
      <c r="J35" s="66"/>
      <c r="K35" s="66"/>
    </row>
    <row r="36" spans="1:11" x14ac:dyDescent="0.25">
      <c r="A36" s="62">
        <v>6337</v>
      </c>
      <c r="B36" s="62">
        <v>166</v>
      </c>
      <c r="C36" s="63" t="s">
        <v>456</v>
      </c>
      <c r="D36" s="63" t="s">
        <v>57</v>
      </c>
      <c r="E36" s="63">
        <v>170</v>
      </c>
      <c r="F36" s="63" t="s">
        <v>58</v>
      </c>
      <c r="G36" s="63">
        <v>3595</v>
      </c>
      <c r="H36" s="63" t="s">
        <v>277</v>
      </c>
      <c r="I36" s="63" t="s">
        <v>457</v>
      </c>
      <c r="J36" s="63"/>
      <c r="K36" s="63"/>
    </row>
    <row r="37" spans="1:11" x14ac:dyDescent="0.25">
      <c r="A37" s="69">
        <v>6337</v>
      </c>
      <c r="B37" s="69">
        <v>166</v>
      </c>
      <c r="C37" s="70" t="s">
        <v>456</v>
      </c>
      <c r="D37" s="70" t="s">
        <v>50</v>
      </c>
      <c r="E37" s="70">
        <v>1065</v>
      </c>
      <c r="F37" s="70" t="s">
        <v>55</v>
      </c>
      <c r="G37" s="70">
        <v>4155</v>
      </c>
      <c r="H37" s="70" t="s">
        <v>56</v>
      </c>
      <c r="I37" s="70" t="s">
        <v>426</v>
      </c>
      <c r="J37" s="70"/>
      <c r="K37" s="70"/>
    </row>
    <row r="38" spans="1:11" x14ac:dyDescent="0.25">
      <c r="A38" s="62">
        <v>6338</v>
      </c>
      <c r="B38" s="62">
        <v>167</v>
      </c>
      <c r="C38" s="63" t="s">
        <v>211</v>
      </c>
      <c r="D38" s="63" t="s">
        <v>57</v>
      </c>
      <c r="E38" s="63">
        <v>170</v>
      </c>
      <c r="F38" s="63" t="s">
        <v>58</v>
      </c>
      <c r="G38" s="63">
        <v>3595</v>
      </c>
      <c r="H38" s="63" t="s">
        <v>277</v>
      </c>
      <c r="I38" s="63" t="s">
        <v>458</v>
      </c>
      <c r="J38" s="63"/>
      <c r="K38" s="63"/>
    </row>
    <row r="39" spans="1:11" x14ac:dyDescent="0.25">
      <c r="A39" s="69">
        <v>6338</v>
      </c>
      <c r="B39" s="69">
        <v>167</v>
      </c>
      <c r="C39" s="70" t="s">
        <v>211</v>
      </c>
      <c r="D39" s="70" t="s">
        <v>50</v>
      </c>
      <c r="E39" s="70">
        <v>184</v>
      </c>
      <c r="F39" s="70" t="s">
        <v>51</v>
      </c>
      <c r="G39" s="70">
        <v>185</v>
      </c>
      <c r="H39" s="70" t="s">
        <v>52</v>
      </c>
      <c r="I39" s="70" t="s">
        <v>459</v>
      </c>
      <c r="J39" s="70"/>
      <c r="K39" s="70"/>
    </row>
    <row r="40" spans="1:11" x14ac:dyDescent="0.25">
      <c r="A40" s="62">
        <v>6312</v>
      </c>
      <c r="B40" s="62">
        <v>157</v>
      </c>
      <c r="C40" s="63" t="s">
        <v>460</v>
      </c>
      <c r="D40" s="63" t="s">
        <v>57</v>
      </c>
      <c r="E40" s="63">
        <v>170</v>
      </c>
      <c r="F40" s="63" t="s">
        <v>58</v>
      </c>
      <c r="G40" s="63">
        <v>3595</v>
      </c>
      <c r="H40" s="63" t="s">
        <v>277</v>
      </c>
      <c r="I40" s="63" t="s">
        <v>457</v>
      </c>
      <c r="J40" s="63"/>
      <c r="K40" s="63"/>
    </row>
    <row r="41" spans="1:11" x14ac:dyDescent="0.25">
      <c r="A41" s="69">
        <v>6312</v>
      </c>
      <c r="B41" s="69">
        <v>157</v>
      </c>
      <c r="C41" s="70" t="s">
        <v>460</v>
      </c>
      <c r="D41" s="70" t="s">
        <v>50</v>
      </c>
      <c r="E41" s="70">
        <v>1065</v>
      </c>
      <c r="F41" s="70" t="s">
        <v>55</v>
      </c>
      <c r="G41" s="70">
        <v>4155</v>
      </c>
      <c r="H41" s="70" t="s">
        <v>56</v>
      </c>
      <c r="I41" s="70" t="s">
        <v>426</v>
      </c>
      <c r="J41" s="70"/>
      <c r="K41" s="70"/>
    </row>
    <row r="42" spans="1:11" x14ac:dyDescent="0.25">
      <c r="A42" s="62">
        <v>6228</v>
      </c>
      <c r="B42" s="62">
        <v>150</v>
      </c>
      <c r="C42" s="63" t="s">
        <v>461</v>
      </c>
      <c r="D42" s="63" t="s">
        <v>57</v>
      </c>
      <c r="E42" s="63">
        <v>170</v>
      </c>
      <c r="F42" s="63" t="s">
        <v>58</v>
      </c>
      <c r="G42" s="63">
        <v>3595</v>
      </c>
      <c r="H42" s="63" t="s">
        <v>277</v>
      </c>
      <c r="I42" s="63" t="s">
        <v>462</v>
      </c>
      <c r="J42" s="63"/>
      <c r="K42" s="63"/>
    </row>
    <row r="43" spans="1:11" x14ac:dyDescent="0.25">
      <c r="A43" s="69">
        <v>5782</v>
      </c>
      <c r="B43" s="69">
        <v>70</v>
      </c>
      <c r="C43" s="70" t="s">
        <v>227</v>
      </c>
      <c r="D43" s="70" t="s">
        <v>57</v>
      </c>
      <c r="E43" s="70">
        <v>170</v>
      </c>
      <c r="F43" s="70" t="s">
        <v>58</v>
      </c>
      <c r="G43" s="70">
        <v>3595</v>
      </c>
      <c r="H43" s="70" t="s">
        <v>277</v>
      </c>
      <c r="I43" s="70" t="s">
        <v>413</v>
      </c>
      <c r="J43" s="70"/>
      <c r="K43" s="70"/>
    </row>
    <row r="44" spans="1:11" x14ac:dyDescent="0.25">
      <c r="A44" s="62">
        <v>5782</v>
      </c>
      <c r="B44" s="62">
        <v>70</v>
      </c>
      <c r="C44" s="63" t="s">
        <v>227</v>
      </c>
      <c r="D44" s="63" t="s">
        <v>50</v>
      </c>
      <c r="E44" s="63">
        <v>184</v>
      </c>
      <c r="F44" s="63" t="s">
        <v>51</v>
      </c>
      <c r="G44" s="63">
        <v>185</v>
      </c>
      <c r="H44" s="63" t="s">
        <v>52</v>
      </c>
      <c r="I44" s="63" t="s">
        <v>463</v>
      </c>
      <c r="J44" s="63"/>
      <c r="K44" s="63"/>
    </row>
    <row r="45" spans="1:11" x14ac:dyDescent="0.25">
      <c r="A45" s="69">
        <v>3447</v>
      </c>
      <c r="B45" s="69">
        <v>34</v>
      </c>
      <c r="C45" s="70" t="s">
        <v>205</v>
      </c>
      <c r="D45" s="70" t="s">
        <v>57</v>
      </c>
      <c r="E45" s="70">
        <v>4156</v>
      </c>
      <c r="F45" s="70" t="s">
        <v>63</v>
      </c>
      <c r="G45" s="70">
        <v>3595</v>
      </c>
      <c r="H45" s="70" t="s">
        <v>277</v>
      </c>
      <c r="I45" s="70" t="s">
        <v>464</v>
      </c>
      <c r="J45" s="70"/>
      <c r="K45" s="70"/>
    </row>
    <row r="46" spans="1:11" x14ac:dyDescent="0.25">
      <c r="A46" s="62">
        <v>3447</v>
      </c>
      <c r="B46" s="62">
        <v>34</v>
      </c>
      <c r="C46" s="63" t="s">
        <v>205</v>
      </c>
      <c r="D46" s="63" t="s">
        <v>71</v>
      </c>
      <c r="E46" s="63">
        <v>3866</v>
      </c>
      <c r="F46" s="63" t="s">
        <v>465</v>
      </c>
      <c r="G46" s="63">
        <v>68</v>
      </c>
      <c r="H46" s="63" t="s">
        <v>466</v>
      </c>
      <c r="I46" s="63" t="s">
        <v>439</v>
      </c>
      <c r="J46" s="63"/>
      <c r="K46" s="63"/>
    </row>
    <row r="47" spans="1:11" x14ac:dyDescent="0.25">
      <c r="A47" s="69">
        <v>3447</v>
      </c>
      <c r="B47" s="69">
        <v>34</v>
      </c>
      <c r="C47" s="70" t="s">
        <v>205</v>
      </c>
      <c r="D47" s="70" t="s">
        <v>50</v>
      </c>
      <c r="E47" s="70">
        <v>184</v>
      </c>
      <c r="F47" s="70" t="s">
        <v>51</v>
      </c>
      <c r="G47" s="70">
        <v>185</v>
      </c>
      <c r="H47" s="70" t="s">
        <v>52</v>
      </c>
      <c r="I47" s="70" t="s">
        <v>459</v>
      </c>
      <c r="J47" s="70"/>
      <c r="K47" s="70"/>
    </row>
    <row r="48" spans="1:11" x14ac:dyDescent="0.25">
      <c r="A48" s="62">
        <v>5732</v>
      </c>
      <c r="B48" s="62">
        <v>33</v>
      </c>
      <c r="C48" s="63" t="s">
        <v>421</v>
      </c>
      <c r="D48" s="63" t="s">
        <v>57</v>
      </c>
      <c r="E48" s="63">
        <v>4156</v>
      </c>
      <c r="F48" s="63" t="s">
        <v>63</v>
      </c>
      <c r="G48" s="63">
        <v>3595</v>
      </c>
      <c r="H48" s="63" t="s">
        <v>277</v>
      </c>
      <c r="I48" s="63" t="s">
        <v>467</v>
      </c>
      <c r="J48" s="63"/>
      <c r="K48" s="63"/>
    </row>
    <row r="49" spans="1:11" x14ac:dyDescent="0.25">
      <c r="A49" s="69">
        <v>5732</v>
      </c>
      <c r="B49" s="69">
        <v>33</v>
      </c>
      <c r="C49" s="70" t="s">
        <v>421</v>
      </c>
      <c r="D49" s="70" t="s">
        <v>71</v>
      </c>
      <c r="E49" s="70">
        <v>4044</v>
      </c>
      <c r="F49" s="70" t="s">
        <v>468</v>
      </c>
      <c r="G49" s="70">
        <v>6971</v>
      </c>
      <c r="H49" s="70" t="s">
        <v>469</v>
      </c>
      <c r="I49" s="70" t="s">
        <v>439</v>
      </c>
      <c r="J49" s="70"/>
      <c r="K49" s="70"/>
    </row>
    <row r="50" spans="1:11" x14ac:dyDescent="0.25">
      <c r="A50" s="62">
        <v>5732</v>
      </c>
      <c r="B50" s="62">
        <v>33</v>
      </c>
      <c r="C50" s="63" t="s">
        <v>421</v>
      </c>
      <c r="D50" s="63" t="s">
        <v>50</v>
      </c>
      <c r="E50" s="63">
        <v>184</v>
      </c>
      <c r="F50" s="63" t="s">
        <v>51</v>
      </c>
      <c r="G50" s="63">
        <v>185</v>
      </c>
      <c r="H50" s="63" t="s">
        <v>52</v>
      </c>
      <c r="I50" s="63" t="s">
        <v>470</v>
      </c>
      <c r="J50" s="63"/>
      <c r="K50" s="63"/>
    </row>
    <row r="51" spans="1:11" x14ac:dyDescent="0.25">
      <c r="A51" s="69">
        <v>5731</v>
      </c>
      <c r="B51" s="69">
        <v>32</v>
      </c>
      <c r="C51" s="70" t="s">
        <v>416</v>
      </c>
      <c r="D51" s="70" t="s">
        <v>57</v>
      </c>
      <c r="E51" s="70">
        <v>4156</v>
      </c>
      <c r="F51" s="70" t="s">
        <v>63</v>
      </c>
      <c r="G51" s="70">
        <v>3595</v>
      </c>
      <c r="H51" s="70" t="s">
        <v>277</v>
      </c>
      <c r="I51" s="70" t="s">
        <v>467</v>
      </c>
      <c r="J51" s="70"/>
      <c r="K51" s="70"/>
    </row>
    <row r="52" spans="1:11" x14ac:dyDescent="0.25">
      <c r="A52" s="62">
        <v>5731</v>
      </c>
      <c r="B52" s="62">
        <v>32</v>
      </c>
      <c r="C52" s="63" t="s">
        <v>416</v>
      </c>
      <c r="D52" s="63" t="s">
        <v>71</v>
      </c>
      <c r="E52" s="63">
        <v>4044</v>
      </c>
      <c r="F52" s="63" t="s">
        <v>468</v>
      </c>
      <c r="G52" s="63">
        <v>6971</v>
      </c>
      <c r="H52" s="63" t="s">
        <v>469</v>
      </c>
      <c r="I52" s="63" t="s">
        <v>439</v>
      </c>
      <c r="J52" s="63"/>
      <c r="K52" s="63"/>
    </row>
    <row r="53" spans="1:11" x14ac:dyDescent="0.25">
      <c r="A53" s="69">
        <v>5731</v>
      </c>
      <c r="B53" s="69">
        <v>32</v>
      </c>
      <c r="C53" s="70" t="s">
        <v>416</v>
      </c>
      <c r="D53" s="70" t="s">
        <v>50</v>
      </c>
      <c r="E53" s="70">
        <v>184</v>
      </c>
      <c r="F53" s="70" t="s">
        <v>51</v>
      </c>
      <c r="G53" s="70">
        <v>185</v>
      </c>
      <c r="H53" s="70" t="s">
        <v>52</v>
      </c>
      <c r="I53" s="70" t="s">
        <v>470</v>
      </c>
      <c r="J53" s="70"/>
      <c r="K53" s="70"/>
    </row>
    <row r="54" spans="1:11" x14ac:dyDescent="0.25">
      <c r="A54" s="62">
        <v>6532</v>
      </c>
      <c r="B54" s="62">
        <v>181</v>
      </c>
      <c r="C54" s="63" t="s">
        <v>207</v>
      </c>
      <c r="D54" s="63" t="s">
        <v>57</v>
      </c>
      <c r="E54" s="63">
        <v>170</v>
      </c>
      <c r="F54" s="63" t="s">
        <v>58</v>
      </c>
      <c r="G54" s="63">
        <v>3595</v>
      </c>
      <c r="H54" s="63" t="s">
        <v>277</v>
      </c>
      <c r="I54" s="63" t="s">
        <v>462</v>
      </c>
      <c r="J54" s="63"/>
      <c r="K54" s="63"/>
    </row>
    <row r="55" spans="1:11" x14ac:dyDescent="0.25">
      <c r="A55" s="69">
        <v>6532</v>
      </c>
      <c r="B55" s="69">
        <v>181</v>
      </c>
      <c r="C55" s="70" t="s">
        <v>207</v>
      </c>
      <c r="D55" s="70" t="s">
        <v>50</v>
      </c>
      <c r="E55" s="70">
        <v>184</v>
      </c>
      <c r="F55" s="70" t="s">
        <v>51</v>
      </c>
      <c r="G55" s="70">
        <v>185</v>
      </c>
      <c r="H55" s="70" t="s">
        <v>52</v>
      </c>
      <c r="I55" s="70" t="s">
        <v>471</v>
      </c>
      <c r="J55" s="70"/>
      <c r="K55" s="70"/>
    </row>
    <row r="56" spans="1:11" x14ac:dyDescent="0.25">
      <c r="A56" s="62">
        <v>3726</v>
      </c>
      <c r="B56" s="62">
        <v>9</v>
      </c>
      <c r="C56" s="63" t="s">
        <v>206</v>
      </c>
      <c r="D56" s="63" t="s">
        <v>57</v>
      </c>
      <c r="E56" s="63">
        <v>170</v>
      </c>
      <c r="F56" s="63" t="s">
        <v>58</v>
      </c>
      <c r="G56" s="63">
        <v>3595</v>
      </c>
      <c r="H56" s="63" t="s">
        <v>277</v>
      </c>
      <c r="I56" s="63" t="s">
        <v>462</v>
      </c>
      <c r="J56" s="63"/>
      <c r="K56" s="63"/>
    </row>
    <row r="57" spans="1:11" x14ac:dyDescent="0.25">
      <c r="A57" s="69">
        <v>3726</v>
      </c>
      <c r="B57" s="69">
        <v>9</v>
      </c>
      <c r="C57" s="70" t="s">
        <v>206</v>
      </c>
      <c r="D57" s="70" t="s">
        <v>50</v>
      </c>
      <c r="E57" s="70">
        <v>184</v>
      </c>
      <c r="F57" s="70" t="s">
        <v>51</v>
      </c>
      <c r="G57" s="70">
        <v>185</v>
      </c>
      <c r="H57" s="70" t="s">
        <v>52</v>
      </c>
      <c r="I57" s="70" t="s">
        <v>471</v>
      </c>
      <c r="J57" s="70"/>
      <c r="K57" s="70"/>
    </row>
    <row r="58" spans="1:11" x14ac:dyDescent="0.25">
      <c r="A58" s="62">
        <v>6077</v>
      </c>
      <c r="B58" s="62">
        <v>138</v>
      </c>
      <c r="C58" s="63" t="s">
        <v>447</v>
      </c>
      <c r="D58" s="63" t="s">
        <v>57</v>
      </c>
      <c r="E58" s="63">
        <v>170</v>
      </c>
      <c r="F58" s="63" t="s">
        <v>58</v>
      </c>
      <c r="G58" s="63">
        <v>3595</v>
      </c>
      <c r="H58" s="63" t="s">
        <v>277</v>
      </c>
      <c r="I58" s="63" t="s">
        <v>472</v>
      </c>
      <c r="J58" s="63"/>
      <c r="K58" s="63"/>
    </row>
    <row r="59" spans="1:11" x14ac:dyDescent="0.25">
      <c r="A59" s="69">
        <v>5814</v>
      </c>
      <c r="B59" s="69">
        <v>95</v>
      </c>
      <c r="C59" s="70" t="s">
        <v>16</v>
      </c>
      <c r="D59" s="70" t="s">
        <v>57</v>
      </c>
      <c r="E59" s="70">
        <v>170</v>
      </c>
      <c r="F59" s="70" t="s">
        <v>58</v>
      </c>
      <c r="G59" s="70">
        <v>3595</v>
      </c>
      <c r="H59" s="70" t="s">
        <v>277</v>
      </c>
      <c r="I59" s="70" t="s">
        <v>473</v>
      </c>
      <c r="J59" s="70"/>
      <c r="K59" s="70"/>
    </row>
    <row r="60" spans="1:11" x14ac:dyDescent="0.25">
      <c r="A60" s="62">
        <v>5814</v>
      </c>
      <c r="B60" s="62">
        <v>95</v>
      </c>
      <c r="C60" s="63" t="s">
        <v>16</v>
      </c>
      <c r="D60" s="63" t="s">
        <v>50</v>
      </c>
      <c r="E60" s="63">
        <v>1065</v>
      </c>
      <c r="F60" s="63" t="s">
        <v>55</v>
      </c>
      <c r="G60" s="63">
        <v>4155</v>
      </c>
      <c r="H60" s="63" t="s">
        <v>56</v>
      </c>
      <c r="I60" s="63" t="s">
        <v>474</v>
      </c>
      <c r="J60" s="63"/>
      <c r="K60" s="63"/>
    </row>
    <row r="61" spans="1:11" x14ac:dyDescent="0.25">
      <c r="A61" s="69">
        <v>9002</v>
      </c>
      <c r="B61" s="69">
        <v>901</v>
      </c>
      <c r="C61" s="70" t="s">
        <v>222</v>
      </c>
      <c r="D61" s="70" t="s">
        <v>57</v>
      </c>
      <c r="E61" s="70">
        <v>170</v>
      </c>
      <c r="F61" s="70" t="s">
        <v>58</v>
      </c>
      <c r="G61" s="70">
        <v>3595</v>
      </c>
      <c r="H61" s="70" t="s">
        <v>277</v>
      </c>
      <c r="I61" s="70" t="s">
        <v>457</v>
      </c>
      <c r="J61" s="70"/>
      <c r="K61" s="70"/>
    </row>
    <row r="62" spans="1:11" x14ac:dyDescent="0.25">
      <c r="A62" s="62">
        <v>9002</v>
      </c>
      <c r="B62" s="62">
        <v>901</v>
      </c>
      <c r="C62" s="63" t="s">
        <v>222</v>
      </c>
      <c r="D62" s="63" t="s">
        <v>50</v>
      </c>
      <c r="E62" s="63">
        <v>1065</v>
      </c>
      <c r="F62" s="63" t="s">
        <v>55</v>
      </c>
      <c r="G62" s="63">
        <v>4155</v>
      </c>
      <c r="H62" s="63" t="s">
        <v>56</v>
      </c>
      <c r="I62" s="63" t="s">
        <v>426</v>
      </c>
      <c r="J62" s="63"/>
      <c r="K62" s="63"/>
    </row>
    <row r="63" spans="1:11" x14ac:dyDescent="0.25">
      <c r="A63" s="69">
        <v>9002</v>
      </c>
      <c r="B63" s="69">
        <v>901</v>
      </c>
      <c r="C63" s="70" t="s">
        <v>222</v>
      </c>
      <c r="D63" s="70" t="s">
        <v>95</v>
      </c>
      <c r="E63" s="70">
        <v>3988</v>
      </c>
      <c r="F63" s="70" t="s">
        <v>306</v>
      </c>
      <c r="G63" s="70">
        <v>3598</v>
      </c>
      <c r="H63" s="70" t="s">
        <v>101</v>
      </c>
      <c r="I63" s="70" t="s">
        <v>475</v>
      </c>
      <c r="J63" s="70"/>
      <c r="K63" s="70"/>
    </row>
    <row r="64" spans="1:11" ht="6" customHeight="1" x14ac:dyDescent="0.25">
      <c r="A64" s="78"/>
      <c r="B64" s="64"/>
      <c r="C64" s="64"/>
      <c r="D64" s="64"/>
      <c r="E64" s="64"/>
      <c r="F64" s="64"/>
      <c r="G64" s="64"/>
      <c r="H64" s="64"/>
      <c r="I64" s="64"/>
      <c r="J64" s="79"/>
      <c r="K64" s="79"/>
    </row>
    <row r="65" spans="1:11" ht="21.95" customHeight="1" x14ac:dyDescent="0.25">
      <c r="A65" s="359" t="s">
        <v>476</v>
      </c>
      <c r="B65" s="360"/>
      <c r="C65" s="360"/>
      <c r="D65" s="360"/>
      <c r="E65" s="360"/>
      <c r="F65" s="360"/>
      <c r="G65" s="360"/>
      <c r="H65" s="360"/>
      <c r="I65" s="360"/>
      <c r="J65" s="360"/>
      <c r="K65" s="360"/>
    </row>
    <row r="66" spans="1:11" ht="18" customHeight="1" x14ac:dyDescent="0.25">
      <c r="A66" s="65" t="s">
        <v>26</v>
      </c>
      <c r="B66" s="65" t="s">
        <v>477</v>
      </c>
      <c r="C66" s="66" t="s">
        <v>478</v>
      </c>
      <c r="D66" s="66" t="s">
        <v>479</v>
      </c>
      <c r="E66" s="66" t="s">
        <v>480</v>
      </c>
      <c r="F66" s="66" t="s">
        <v>32</v>
      </c>
      <c r="G66" s="66" t="s">
        <v>387</v>
      </c>
      <c r="H66" s="66"/>
      <c r="I66" s="66"/>
      <c r="J66" s="66"/>
      <c r="K66" s="66"/>
    </row>
    <row r="67" spans="1:11" ht="18" customHeight="1" x14ac:dyDescent="0.25">
      <c r="A67" s="65" t="s">
        <v>481</v>
      </c>
      <c r="B67" s="65" t="s">
        <v>482</v>
      </c>
      <c r="C67" s="66" t="s">
        <v>483</v>
      </c>
      <c r="D67" s="66" t="s">
        <v>484</v>
      </c>
      <c r="E67" s="66" t="s">
        <v>485</v>
      </c>
      <c r="F67" s="66" t="s">
        <v>391</v>
      </c>
      <c r="G67" s="66" t="s">
        <v>390</v>
      </c>
      <c r="H67" s="66"/>
      <c r="I67" s="66"/>
      <c r="J67" s="66"/>
      <c r="K67" s="66"/>
    </row>
    <row r="68" spans="1:11" ht="120" customHeight="1" x14ac:dyDescent="0.25">
      <c r="A68" s="62" t="s">
        <v>486</v>
      </c>
      <c r="B68" s="62" t="s">
        <v>487</v>
      </c>
      <c r="C68" s="63" t="s">
        <v>488</v>
      </c>
      <c r="D68" s="63" t="s">
        <v>489</v>
      </c>
      <c r="E68" s="63" t="s">
        <v>490</v>
      </c>
      <c r="F68" s="63" t="s">
        <v>491</v>
      </c>
      <c r="G68" s="63" t="s">
        <v>492</v>
      </c>
      <c r="H68" s="63"/>
      <c r="I68" s="63"/>
      <c r="J68" s="63"/>
      <c r="K68" s="63"/>
    </row>
    <row r="69" spans="1:11" ht="72" customHeight="1" x14ac:dyDescent="0.25">
      <c r="A69" s="69" t="s">
        <v>493</v>
      </c>
      <c r="B69" s="69" t="s">
        <v>494</v>
      </c>
      <c r="C69" s="70" t="s">
        <v>495</v>
      </c>
      <c r="D69" s="70" t="s">
        <v>496</v>
      </c>
      <c r="E69" s="70" t="s">
        <v>497</v>
      </c>
      <c r="F69" s="70" t="s">
        <v>498</v>
      </c>
      <c r="G69" s="76" t="s">
        <v>428</v>
      </c>
      <c r="H69" s="70"/>
      <c r="I69" s="70"/>
      <c r="J69" s="70"/>
      <c r="K69" s="70"/>
    </row>
    <row r="70" spans="1:11" ht="72" customHeight="1" x14ac:dyDescent="0.25">
      <c r="A70" s="62" t="s">
        <v>499</v>
      </c>
      <c r="B70" s="62" t="s">
        <v>500</v>
      </c>
      <c r="C70" s="63" t="s">
        <v>501</v>
      </c>
      <c r="D70" s="63" t="s">
        <v>392</v>
      </c>
      <c r="E70" s="63" t="s">
        <v>502</v>
      </c>
      <c r="F70" s="63" t="s">
        <v>498</v>
      </c>
      <c r="G70" s="77" t="s">
        <v>428</v>
      </c>
      <c r="H70" s="63"/>
      <c r="I70" s="63"/>
      <c r="J70" s="63"/>
      <c r="K70" s="63"/>
    </row>
    <row r="71" spans="1:11" ht="132" customHeight="1" x14ac:dyDescent="0.25">
      <c r="A71" s="69" t="s">
        <v>503</v>
      </c>
      <c r="B71" s="69" t="s">
        <v>504</v>
      </c>
      <c r="C71" s="70" t="s">
        <v>505</v>
      </c>
      <c r="D71" s="70" t="s">
        <v>506</v>
      </c>
      <c r="E71" s="70" t="s">
        <v>507</v>
      </c>
      <c r="F71" s="70" t="s">
        <v>508</v>
      </c>
      <c r="G71" s="76" t="s">
        <v>428</v>
      </c>
      <c r="H71" s="70"/>
      <c r="I71" s="70"/>
      <c r="J71" s="70"/>
      <c r="K71" s="70"/>
    </row>
    <row r="72" spans="1:11" ht="108" customHeight="1" x14ac:dyDescent="0.25">
      <c r="A72" s="62" t="s">
        <v>509</v>
      </c>
      <c r="B72" s="62" t="s">
        <v>510</v>
      </c>
      <c r="C72" s="63" t="s">
        <v>511</v>
      </c>
      <c r="D72" s="63" t="s">
        <v>392</v>
      </c>
      <c r="E72" s="63" t="s">
        <v>512</v>
      </c>
      <c r="F72" s="68" t="s">
        <v>391</v>
      </c>
      <c r="G72" s="67" t="s">
        <v>409</v>
      </c>
      <c r="H72" s="63"/>
      <c r="I72" s="63"/>
      <c r="J72" s="63"/>
      <c r="K72" s="63"/>
    </row>
    <row r="73" spans="1:11" ht="132" customHeight="1" x14ac:dyDescent="0.25">
      <c r="A73" s="69" t="s">
        <v>513</v>
      </c>
      <c r="B73" s="69" t="s">
        <v>514</v>
      </c>
      <c r="C73" s="70" t="s">
        <v>515</v>
      </c>
      <c r="D73" s="70" t="s">
        <v>392</v>
      </c>
      <c r="E73" s="70" t="s">
        <v>516</v>
      </c>
      <c r="F73" s="70" t="s">
        <v>508</v>
      </c>
      <c r="G73" s="76" t="s">
        <v>428</v>
      </c>
      <c r="H73" s="70"/>
      <c r="I73" s="70"/>
      <c r="J73" s="70"/>
      <c r="K73" s="70"/>
    </row>
    <row r="74" spans="1:11" ht="6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21.95" customHeight="1" x14ac:dyDescent="0.25">
      <c r="A75" s="359" t="s">
        <v>517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</row>
    <row r="76" spans="1:11" ht="18" customHeight="1" x14ac:dyDescent="0.25">
      <c r="A76" s="65" t="s">
        <v>25</v>
      </c>
      <c r="B76" s="65" t="s">
        <v>518</v>
      </c>
      <c r="C76" s="66"/>
      <c r="D76" s="66" t="s">
        <v>519</v>
      </c>
      <c r="E76" s="66" t="s">
        <v>520</v>
      </c>
      <c r="F76" s="66"/>
      <c r="G76" s="66"/>
      <c r="H76" s="66" t="s">
        <v>387</v>
      </c>
      <c r="I76" s="66"/>
      <c r="J76" s="66"/>
      <c r="K76" s="66"/>
    </row>
    <row r="77" spans="1:11" ht="132" customHeight="1" x14ac:dyDescent="0.25">
      <c r="A77" s="62">
        <v>4155</v>
      </c>
      <c r="B77" s="62" t="s">
        <v>333</v>
      </c>
      <c r="C77" s="63" t="s">
        <v>521</v>
      </c>
      <c r="D77" s="63" t="s">
        <v>56</v>
      </c>
      <c r="E77" s="63" t="s">
        <v>522</v>
      </c>
      <c r="F77" s="63"/>
      <c r="G77" s="63"/>
      <c r="H77" s="67" t="s">
        <v>390</v>
      </c>
      <c r="I77" s="63"/>
      <c r="J77" s="63"/>
      <c r="K77" s="63"/>
    </row>
    <row r="78" spans="1:11" ht="96" customHeight="1" x14ac:dyDescent="0.25">
      <c r="A78" s="69">
        <v>1065</v>
      </c>
      <c r="B78" s="69" t="s">
        <v>332</v>
      </c>
      <c r="C78" s="70" t="s">
        <v>521</v>
      </c>
      <c r="D78" s="70" t="s">
        <v>55</v>
      </c>
      <c r="E78" s="70" t="s">
        <v>523</v>
      </c>
      <c r="F78" s="70"/>
      <c r="G78" s="70"/>
      <c r="H78" s="76" t="s">
        <v>428</v>
      </c>
      <c r="I78" s="70"/>
      <c r="J78" s="70"/>
      <c r="K78" s="70"/>
    </row>
    <row r="79" spans="1:11" ht="96" customHeight="1" x14ac:dyDescent="0.25">
      <c r="A79" s="62">
        <v>184</v>
      </c>
      <c r="B79" s="62" t="s">
        <v>329</v>
      </c>
      <c r="C79" s="63" t="s">
        <v>521</v>
      </c>
      <c r="D79" s="63" t="s">
        <v>51</v>
      </c>
      <c r="E79" s="63" t="s">
        <v>524</v>
      </c>
      <c r="F79" s="63"/>
      <c r="G79" s="63"/>
      <c r="H79" s="77" t="s">
        <v>428</v>
      </c>
      <c r="I79" s="63"/>
      <c r="J79" s="63"/>
      <c r="K79" s="63"/>
    </row>
    <row r="80" spans="1:11" ht="6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21.95" customHeight="1" x14ac:dyDescent="0.25">
      <c r="A81" s="359" t="s">
        <v>525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</row>
    <row r="82" spans="1:11" ht="18" customHeight="1" x14ac:dyDescent="0.25">
      <c r="A82" s="65" t="s">
        <v>382</v>
      </c>
      <c r="B82" s="65" t="s">
        <v>383</v>
      </c>
      <c r="C82" s="66" t="s">
        <v>384</v>
      </c>
      <c r="D82" s="66" t="s">
        <v>526</v>
      </c>
      <c r="E82" s="66" t="s">
        <v>527</v>
      </c>
      <c r="F82" s="66" t="s">
        <v>386</v>
      </c>
      <c r="G82" s="66"/>
      <c r="H82" s="66" t="s">
        <v>387</v>
      </c>
      <c r="I82" s="66"/>
      <c r="J82" s="66"/>
      <c r="K82" s="66"/>
    </row>
    <row r="83" spans="1:11" ht="24" customHeight="1" x14ac:dyDescent="0.25">
      <c r="A83" s="62">
        <v>6337</v>
      </c>
      <c r="B83" s="62">
        <v>166</v>
      </c>
      <c r="C83" s="63" t="s">
        <v>221</v>
      </c>
      <c r="D83" s="63" t="s">
        <v>528</v>
      </c>
      <c r="E83" s="63" t="s">
        <v>529</v>
      </c>
      <c r="F83" s="63" t="s">
        <v>530</v>
      </c>
      <c r="G83" s="63"/>
      <c r="H83" s="67" t="s">
        <v>390</v>
      </c>
      <c r="I83" s="63"/>
      <c r="J83" s="63"/>
      <c r="K83" s="63"/>
    </row>
    <row r="84" spans="1:11" ht="24" customHeight="1" x14ac:dyDescent="0.25">
      <c r="A84" s="69">
        <v>6416</v>
      </c>
      <c r="B84" s="69">
        <v>171</v>
      </c>
      <c r="C84" s="70" t="s">
        <v>220</v>
      </c>
      <c r="D84" s="70" t="s">
        <v>528</v>
      </c>
      <c r="E84" s="70" t="s">
        <v>529</v>
      </c>
      <c r="F84" s="70" t="s">
        <v>530</v>
      </c>
      <c r="G84" s="70"/>
      <c r="H84" s="71" t="s">
        <v>390</v>
      </c>
      <c r="I84" s="70"/>
      <c r="J84" s="70"/>
      <c r="K84" s="70"/>
    </row>
    <row r="85" spans="1:11" ht="24" customHeight="1" x14ac:dyDescent="0.25">
      <c r="A85" s="62">
        <v>6206</v>
      </c>
      <c r="B85" s="62">
        <v>120</v>
      </c>
      <c r="C85" s="63" t="s">
        <v>20</v>
      </c>
      <c r="D85" s="63" t="s">
        <v>528</v>
      </c>
      <c r="E85" s="63" t="s">
        <v>529</v>
      </c>
      <c r="F85" s="63" t="s">
        <v>530</v>
      </c>
      <c r="G85" s="63"/>
      <c r="H85" s="67" t="s">
        <v>390</v>
      </c>
      <c r="I85" s="63"/>
      <c r="J85" s="63"/>
      <c r="K85" s="63"/>
    </row>
    <row r="86" spans="1:11" ht="24" customHeight="1" x14ac:dyDescent="0.25">
      <c r="A86" s="69">
        <v>5814</v>
      </c>
      <c r="B86" s="69">
        <v>95</v>
      </c>
      <c r="C86" s="70" t="s">
        <v>16</v>
      </c>
      <c r="D86" s="70" t="s">
        <v>528</v>
      </c>
      <c r="E86" s="70" t="s">
        <v>529</v>
      </c>
      <c r="F86" s="70" t="s">
        <v>530</v>
      </c>
      <c r="G86" s="70"/>
      <c r="H86" s="71" t="s">
        <v>390</v>
      </c>
      <c r="I86" s="70"/>
      <c r="J86" s="70"/>
      <c r="K86" s="70"/>
    </row>
    <row r="87" spans="1:11" ht="24" customHeight="1" x14ac:dyDescent="0.25">
      <c r="A87" s="62">
        <v>9002</v>
      </c>
      <c r="B87" s="62">
        <v>901</v>
      </c>
      <c r="C87" s="63" t="s">
        <v>222</v>
      </c>
      <c r="D87" s="63" t="s">
        <v>528</v>
      </c>
      <c r="E87" s="63" t="s">
        <v>529</v>
      </c>
      <c r="F87" s="63" t="s">
        <v>530</v>
      </c>
      <c r="G87" s="63"/>
      <c r="H87" s="67" t="s">
        <v>390</v>
      </c>
      <c r="I87" s="63"/>
      <c r="J87" s="63"/>
      <c r="K87" s="63"/>
    </row>
    <row r="88" spans="1:11" ht="24" customHeight="1" x14ac:dyDescent="0.25">
      <c r="A88" s="69">
        <v>4050</v>
      </c>
      <c r="B88" s="69">
        <v>142</v>
      </c>
      <c r="C88" s="70" t="s">
        <v>217</v>
      </c>
      <c r="D88" s="70" t="s">
        <v>528</v>
      </c>
      <c r="E88" s="70" t="s">
        <v>529</v>
      </c>
      <c r="F88" s="70" t="s">
        <v>530</v>
      </c>
      <c r="G88" s="70"/>
      <c r="H88" s="71" t="s">
        <v>390</v>
      </c>
      <c r="I88" s="70"/>
      <c r="J88" s="70"/>
      <c r="K88" s="70"/>
    </row>
    <row r="89" spans="1:11" ht="24" customHeight="1" x14ac:dyDescent="0.25">
      <c r="A89" s="62">
        <v>6312</v>
      </c>
      <c r="B89" s="62">
        <v>157</v>
      </c>
      <c r="C89" s="63" t="s">
        <v>218</v>
      </c>
      <c r="D89" s="63" t="s">
        <v>528</v>
      </c>
      <c r="E89" s="63" t="s">
        <v>529</v>
      </c>
      <c r="F89" s="63" t="s">
        <v>530</v>
      </c>
      <c r="G89" s="63"/>
      <c r="H89" s="67" t="s">
        <v>390</v>
      </c>
      <c r="I89" s="63"/>
      <c r="J89" s="63"/>
      <c r="K89" s="63"/>
    </row>
    <row r="90" spans="1:11" ht="24" customHeight="1" x14ac:dyDescent="0.25">
      <c r="A90" s="69">
        <v>6595</v>
      </c>
      <c r="B90" s="69">
        <v>192</v>
      </c>
      <c r="C90" s="70" t="s">
        <v>215</v>
      </c>
      <c r="D90" s="70" t="s">
        <v>528</v>
      </c>
      <c r="E90" s="70" t="s">
        <v>529</v>
      </c>
      <c r="F90" s="70" t="s">
        <v>530</v>
      </c>
      <c r="G90" s="70"/>
      <c r="H90" s="71" t="s">
        <v>390</v>
      </c>
      <c r="I90" s="70"/>
      <c r="J90" s="70"/>
      <c r="K90" s="70"/>
    </row>
    <row r="91" spans="1:11" ht="6" customHeight="1" x14ac:dyDescent="0.25">
      <c r="A91" s="73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21.95" customHeight="1" x14ac:dyDescent="0.25">
      <c r="A92" s="359" t="s">
        <v>531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</row>
    <row r="93" spans="1:11" x14ac:dyDescent="0.25">
      <c r="A93" s="62" t="s">
        <v>532</v>
      </c>
      <c r="B93" s="62"/>
      <c r="C93" s="63"/>
      <c r="D93" s="63"/>
      <c r="E93" s="63"/>
      <c r="F93" s="63"/>
      <c r="G93" s="63"/>
      <c r="H93" s="63"/>
      <c r="I93" s="63"/>
      <c r="J93" s="63"/>
      <c r="K93" s="63"/>
    </row>
    <row r="94" spans="1:11" ht="18" customHeight="1" x14ac:dyDescent="0.25">
      <c r="A94" s="65" t="s">
        <v>533</v>
      </c>
      <c r="B94" s="65"/>
      <c r="C94" s="66" t="s">
        <v>477</v>
      </c>
      <c r="D94" s="66"/>
      <c r="E94" s="66"/>
      <c r="F94" s="66"/>
      <c r="G94" s="66"/>
      <c r="H94" s="66"/>
      <c r="I94" s="66"/>
      <c r="J94" s="66"/>
      <c r="K94" s="66"/>
    </row>
    <row r="95" spans="1:11" ht="24" customHeight="1" x14ac:dyDescent="0.25">
      <c r="A95" s="62" t="s">
        <v>534</v>
      </c>
      <c r="B95" s="62"/>
      <c r="C95" s="63" t="s">
        <v>535</v>
      </c>
      <c r="D95" s="63"/>
      <c r="E95" s="63"/>
      <c r="F95" s="63"/>
      <c r="G95" s="63"/>
      <c r="H95" s="63"/>
      <c r="I95" s="63"/>
      <c r="J95" s="63"/>
      <c r="K95" s="63"/>
    </row>
    <row r="96" spans="1:11" ht="24" customHeight="1" x14ac:dyDescent="0.25">
      <c r="A96" s="69" t="s">
        <v>536</v>
      </c>
      <c r="B96" s="69"/>
      <c r="C96" s="70" t="s">
        <v>537</v>
      </c>
      <c r="D96" s="70"/>
      <c r="E96" s="70"/>
      <c r="F96" s="70"/>
      <c r="G96" s="70"/>
      <c r="H96" s="70"/>
      <c r="I96" s="70"/>
      <c r="J96" s="70"/>
      <c r="K96" s="70"/>
    </row>
    <row r="97" spans="1:11" x14ac:dyDescent="0.25">
      <c r="A97" s="62" t="s">
        <v>538</v>
      </c>
      <c r="B97" s="62"/>
      <c r="C97" s="63" t="s">
        <v>539</v>
      </c>
      <c r="D97" s="63"/>
      <c r="E97" s="63"/>
      <c r="F97" s="63"/>
      <c r="G97" s="63"/>
      <c r="H97" s="63"/>
      <c r="I97" s="63"/>
      <c r="J97" s="63"/>
      <c r="K97" s="63"/>
    </row>
    <row r="98" spans="1:11" ht="24" customHeight="1" x14ac:dyDescent="0.25">
      <c r="A98" s="69" t="s">
        <v>540</v>
      </c>
      <c r="B98" s="69"/>
      <c r="C98" s="70" t="s">
        <v>541</v>
      </c>
      <c r="D98" s="70"/>
      <c r="E98" s="70"/>
      <c r="F98" s="70"/>
      <c r="G98" s="70"/>
      <c r="H98" s="70"/>
      <c r="I98" s="70"/>
      <c r="J98" s="70"/>
      <c r="K98" s="70"/>
    </row>
    <row r="99" spans="1:11" ht="24" customHeight="1" x14ac:dyDescent="0.25">
      <c r="A99" s="62" t="s">
        <v>542</v>
      </c>
      <c r="B99" s="62"/>
      <c r="C99" s="63" t="s">
        <v>543</v>
      </c>
      <c r="D99" s="63"/>
      <c r="E99" s="63"/>
      <c r="F99" s="63"/>
      <c r="G99" s="63"/>
      <c r="H99" s="63"/>
      <c r="I99" s="63"/>
      <c r="J99" s="63"/>
      <c r="K99" s="63"/>
    </row>
    <row r="100" spans="1:11" ht="36" customHeight="1" x14ac:dyDescent="0.25">
      <c r="A100" s="69" t="s">
        <v>544</v>
      </c>
      <c r="B100" s="69"/>
      <c r="C100" s="70" t="s">
        <v>545</v>
      </c>
      <c r="D100" s="70"/>
      <c r="E100" s="70"/>
      <c r="F100" s="70"/>
      <c r="G100" s="70"/>
      <c r="H100" s="70"/>
      <c r="I100" s="70"/>
      <c r="J100" s="70"/>
      <c r="K100" s="70"/>
    </row>
    <row r="101" spans="1:11" ht="6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8" customHeight="1" x14ac:dyDescent="0.25">
      <c r="A102" s="65" t="s">
        <v>546</v>
      </c>
      <c r="B102" s="65" t="s">
        <v>547</v>
      </c>
      <c r="C102" s="66" t="s">
        <v>548</v>
      </c>
      <c r="D102" s="66"/>
      <c r="E102" s="66"/>
      <c r="F102" s="66"/>
      <c r="G102" s="66"/>
      <c r="H102" s="66" t="s">
        <v>387</v>
      </c>
      <c r="I102" s="66"/>
      <c r="J102" s="66"/>
      <c r="K102" s="66"/>
    </row>
    <row r="103" spans="1:11" ht="36" customHeight="1" x14ac:dyDescent="0.25">
      <c r="A103" s="62" t="s">
        <v>486</v>
      </c>
      <c r="B103" s="62" t="s">
        <v>549</v>
      </c>
      <c r="C103" s="63" t="s">
        <v>550</v>
      </c>
      <c r="D103" s="63"/>
      <c r="E103" s="63"/>
      <c r="F103" s="63"/>
      <c r="G103" s="63"/>
      <c r="H103" s="67" t="s">
        <v>390</v>
      </c>
      <c r="I103" s="63"/>
      <c r="J103" s="63"/>
      <c r="K103" s="63"/>
    </row>
    <row r="104" spans="1:11" ht="24" customHeight="1" x14ac:dyDescent="0.25">
      <c r="A104" s="69" t="s">
        <v>551</v>
      </c>
      <c r="B104" s="69" t="s">
        <v>552</v>
      </c>
      <c r="C104" s="70" t="s">
        <v>553</v>
      </c>
      <c r="D104" s="70"/>
      <c r="E104" s="70"/>
      <c r="F104" s="70"/>
      <c r="G104" s="70"/>
      <c r="H104" s="76" t="s">
        <v>428</v>
      </c>
      <c r="I104" s="70"/>
      <c r="J104" s="70"/>
      <c r="K104" s="70"/>
    </row>
    <row r="105" spans="1:11" ht="24" customHeight="1" x14ac:dyDescent="0.25">
      <c r="A105" s="62" t="s">
        <v>554</v>
      </c>
      <c r="B105" s="62" t="s">
        <v>555</v>
      </c>
      <c r="C105" s="63" t="s">
        <v>556</v>
      </c>
      <c r="D105" s="63"/>
      <c r="E105" s="63"/>
      <c r="F105" s="63"/>
      <c r="G105" s="63"/>
      <c r="H105" s="77" t="s">
        <v>428</v>
      </c>
      <c r="I105" s="63"/>
      <c r="J105" s="63"/>
      <c r="K105" s="63"/>
    </row>
    <row r="106" spans="1:11" ht="24" customHeight="1" x14ac:dyDescent="0.25">
      <c r="A106" s="69" t="s">
        <v>557</v>
      </c>
      <c r="B106" s="69" t="s">
        <v>558</v>
      </c>
      <c r="C106" s="70" t="s">
        <v>559</v>
      </c>
      <c r="D106" s="70"/>
      <c r="E106" s="70"/>
      <c r="F106" s="70"/>
      <c r="G106" s="70"/>
      <c r="H106" s="70" t="s">
        <v>492</v>
      </c>
      <c r="I106" s="70"/>
      <c r="J106" s="70"/>
      <c r="K106" s="70"/>
    </row>
    <row r="107" spans="1:11" ht="6" customHeight="1" x14ac:dyDescent="0.25">
      <c r="A107" s="73"/>
      <c r="B107" s="64"/>
      <c r="C107" s="73"/>
      <c r="D107" s="64"/>
      <c r="E107" s="73"/>
      <c r="F107" s="64"/>
      <c r="G107" s="73"/>
      <c r="H107" s="64"/>
      <c r="I107" s="73"/>
      <c r="J107" s="73"/>
      <c r="K107" s="64"/>
    </row>
    <row r="108" spans="1:11" ht="18" customHeight="1" x14ac:dyDescent="0.25">
      <c r="A108" s="65" t="s">
        <v>560</v>
      </c>
      <c r="B108" s="65" t="s">
        <v>25</v>
      </c>
      <c r="C108" s="66" t="s">
        <v>561</v>
      </c>
      <c r="D108" s="66"/>
      <c r="E108" s="66" t="s">
        <v>562</v>
      </c>
      <c r="F108" s="66"/>
      <c r="G108" s="66" t="s">
        <v>563</v>
      </c>
      <c r="H108" s="66" t="s">
        <v>564</v>
      </c>
      <c r="I108" s="66" t="s">
        <v>565</v>
      </c>
      <c r="J108" s="66"/>
      <c r="K108" s="66"/>
    </row>
    <row r="109" spans="1:11" x14ac:dyDescent="0.25">
      <c r="A109" s="62">
        <v>1</v>
      </c>
      <c r="B109" s="62">
        <v>3734</v>
      </c>
      <c r="C109" s="63" t="s">
        <v>346</v>
      </c>
      <c r="D109" s="63"/>
      <c r="E109" s="63">
        <v>55</v>
      </c>
      <c r="F109" s="63"/>
      <c r="G109" s="63">
        <v>4.58</v>
      </c>
      <c r="H109" s="63">
        <v>6.38</v>
      </c>
      <c r="I109" s="63" t="s">
        <v>566</v>
      </c>
      <c r="J109" s="63"/>
      <c r="K109" s="63"/>
    </row>
    <row r="110" spans="1:11" x14ac:dyDescent="0.25">
      <c r="A110" s="69">
        <v>2</v>
      </c>
      <c r="B110" s="69">
        <v>6038</v>
      </c>
      <c r="C110" s="70" t="s">
        <v>355</v>
      </c>
      <c r="D110" s="70"/>
      <c r="E110" s="70">
        <v>25</v>
      </c>
      <c r="F110" s="70"/>
      <c r="G110" s="70">
        <v>2.08</v>
      </c>
      <c r="H110" s="70">
        <v>2.9</v>
      </c>
      <c r="I110" s="70" t="s">
        <v>567</v>
      </c>
      <c r="J110" s="70"/>
      <c r="K110" s="70"/>
    </row>
    <row r="111" spans="1:11" x14ac:dyDescent="0.25">
      <c r="A111" s="62">
        <v>3</v>
      </c>
      <c r="B111" s="62">
        <v>3858</v>
      </c>
      <c r="C111" s="63" t="s">
        <v>350</v>
      </c>
      <c r="D111" s="63"/>
      <c r="E111" s="80">
        <v>24.1</v>
      </c>
      <c r="F111" s="63"/>
      <c r="G111" s="80">
        <v>2.0099999999999998</v>
      </c>
      <c r="H111" s="63">
        <v>2.8</v>
      </c>
      <c r="I111" s="63" t="s">
        <v>568</v>
      </c>
      <c r="J111" s="63"/>
      <c r="K111" s="63"/>
    </row>
    <row r="112" spans="1:11" x14ac:dyDescent="0.25">
      <c r="A112" s="69">
        <v>4</v>
      </c>
      <c r="B112" s="69">
        <v>3754</v>
      </c>
      <c r="C112" s="70" t="s">
        <v>297</v>
      </c>
      <c r="D112" s="70"/>
      <c r="E112" s="81">
        <v>23</v>
      </c>
      <c r="F112" s="70"/>
      <c r="G112" s="81">
        <v>1.92</v>
      </c>
      <c r="H112" s="70">
        <v>2.67</v>
      </c>
      <c r="I112" s="70" t="s">
        <v>569</v>
      </c>
      <c r="J112" s="70"/>
      <c r="K112" s="70"/>
    </row>
    <row r="113" spans="1:11" x14ac:dyDescent="0.25">
      <c r="A113" s="62">
        <v>5</v>
      </c>
      <c r="B113" s="62">
        <v>3755</v>
      </c>
      <c r="C113" s="63" t="s">
        <v>348</v>
      </c>
      <c r="D113" s="63"/>
      <c r="E113" s="80">
        <v>21</v>
      </c>
      <c r="F113" s="63"/>
      <c r="G113" s="80">
        <v>1.75</v>
      </c>
      <c r="H113" s="63">
        <v>2.44</v>
      </c>
      <c r="I113" s="63" t="s">
        <v>570</v>
      </c>
      <c r="J113" s="63"/>
      <c r="K113" s="63"/>
    </row>
    <row r="114" spans="1:11" x14ac:dyDescent="0.25">
      <c r="A114" s="69">
        <v>6</v>
      </c>
      <c r="B114" s="69">
        <v>1928</v>
      </c>
      <c r="C114" s="70" t="s">
        <v>571</v>
      </c>
      <c r="D114" s="70"/>
      <c r="E114" s="81">
        <v>20</v>
      </c>
      <c r="F114" s="70"/>
      <c r="G114" s="81">
        <v>1.67</v>
      </c>
      <c r="H114" s="70">
        <v>2.3199999999999998</v>
      </c>
      <c r="I114" s="70" t="s">
        <v>572</v>
      </c>
      <c r="J114" s="70"/>
      <c r="K114" s="70"/>
    </row>
    <row r="115" spans="1:11" x14ac:dyDescent="0.25">
      <c r="A115" s="62">
        <v>7</v>
      </c>
      <c r="B115" s="62">
        <v>7094</v>
      </c>
      <c r="C115" s="63" t="s">
        <v>573</v>
      </c>
      <c r="D115" s="63"/>
      <c r="E115" s="80">
        <v>20</v>
      </c>
      <c r="F115" s="63"/>
      <c r="G115" s="80">
        <v>1.67</v>
      </c>
      <c r="H115" s="63">
        <v>2.3199999999999998</v>
      </c>
      <c r="I115" s="63" t="s">
        <v>572</v>
      </c>
      <c r="J115" s="63"/>
      <c r="K115" s="63"/>
    </row>
    <row r="116" spans="1:11" x14ac:dyDescent="0.25">
      <c r="A116" s="69">
        <v>8</v>
      </c>
      <c r="B116" s="69">
        <v>3736</v>
      </c>
      <c r="C116" s="70" t="s">
        <v>347</v>
      </c>
      <c r="D116" s="70"/>
      <c r="E116" s="81">
        <v>13.8</v>
      </c>
      <c r="F116" s="70"/>
      <c r="G116" s="81">
        <v>1.1499999999999999</v>
      </c>
      <c r="H116" s="70">
        <v>1.6</v>
      </c>
      <c r="I116" s="70" t="s">
        <v>574</v>
      </c>
      <c r="J116" s="70"/>
      <c r="K116" s="70"/>
    </row>
    <row r="117" spans="1:11" x14ac:dyDescent="0.25">
      <c r="A117" s="62">
        <v>9</v>
      </c>
      <c r="B117" s="62">
        <v>3955</v>
      </c>
      <c r="C117" s="63" t="s">
        <v>298</v>
      </c>
      <c r="D117" s="63"/>
      <c r="E117" s="80">
        <v>11</v>
      </c>
      <c r="F117" s="63"/>
      <c r="G117" s="80">
        <v>0.92</v>
      </c>
      <c r="H117" s="63">
        <v>1.28</v>
      </c>
      <c r="I117" s="63" t="s">
        <v>575</v>
      </c>
      <c r="J117" s="63"/>
      <c r="K117" s="63"/>
    </row>
    <row r="118" spans="1:11" x14ac:dyDescent="0.25">
      <c r="A118" s="69">
        <v>10</v>
      </c>
      <c r="B118" s="69">
        <v>7398</v>
      </c>
      <c r="C118" s="70" t="s">
        <v>360</v>
      </c>
      <c r="D118" s="70"/>
      <c r="E118" s="81">
        <v>9</v>
      </c>
      <c r="F118" s="70"/>
      <c r="G118" s="81">
        <v>0.75</v>
      </c>
      <c r="H118" s="70">
        <v>1.04</v>
      </c>
      <c r="I118" s="70" t="s">
        <v>576</v>
      </c>
      <c r="J118" s="70"/>
      <c r="K118" s="70"/>
    </row>
    <row r="119" spans="1:11" x14ac:dyDescent="0.25">
      <c r="A119" s="62" t="s">
        <v>577</v>
      </c>
      <c r="B119" s="62"/>
      <c r="C119" s="63"/>
      <c r="D119" s="63"/>
      <c r="E119" s="80"/>
      <c r="F119" s="63"/>
      <c r="G119" s="80"/>
      <c r="H119" s="63"/>
      <c r="I119" s="63"/>
      <c r="J119" s="63"/>
      <c r="K119" s="63"/>
    </row>
    <row r="120" spans="1:11" ht="6" customHeight="1" x14ac:dyDescent="0.25">
      <c r="A120" s="73"/>
      <c r="B120" s="73"/>
      <c r="C120" s="73"/>
      <c r="D120" s="64"/>
      <c r="E120" s="82"/>
      <c r="F120" s="64"/>
      <c r="G120" s="82"/>
      <c r="H120" s="64"/>
      <c r="I120" s="73"/>
      <c r="J120" s="73"/>
      <c r="K120" s="64"/>
    </row>
    <row r="121" spans="1:11" ht="6" customHeight="1" x14ac:dyDescent="0.25">
      <c r="A121" s="73"/>
      <c r="B121" s="73"/>
      <c r="C121" s="73"/>
      <c r="D121" s="64"/>
      <c r="E121" s="82"/>
      <c r="F121" s="64"/>
      <c r="G121" s="82"/>
      <c r="H121" s="64"/>
      <c r="I121" s="73"/>
      <c r="J121" s="73"/>
      <c r="K121" s="64"/>
    </row>
    <row r="122" spans="1:11" ht="6" customHeight="1" x14ac:dyDescent="0.25">
      <c r="A122" s="73"/>
      <c r="B122" s="73"/>
      <c r="C122" s="73"/>
      <c r="D122" s="64"/>
      <c r="E122" s="82"/>
      <c r="F122" s="64"/>
      <c r="G122" s="82"/>
      <c r="H122" s="64"/>
      <c r="I122" s="73"/>
      <c r="J122" s="73"/>
      <c r="K122" s="64"/>
    </row>
    <row r="123" spans="1:11" ht="6" customHeight="1" x14ac:dyDescent="0.25">
      <c r="A123" s="73"/>
      <c r="B123" s="73"/>
      <c r="C123" s="73"/>
      <c r="D123" s="64"/>
      <c r="E123" s="82"/>
      <c r="F123" s="64"/>
      <c r="G123" s="82"/>
      <c r="H123" s="64"/>
      <c r="I123" s="73"/>
      <c r="J123" s="73"/>
      <c r="K123" s="64"/>
    </row>
    <row r="124" spans="1:11" ht="6" customHeight="1" x14ac:dyDescent="0.25">
      <c r="A124" s="73"/>
      <c r="B124" s="73"/>
      <c r="C124" s="73"/>
      <c r="D124" s="64"/>
      <c r="E124" s="82"/>
      <c r="F124" s="64"/>
      <c r="G124" s="82"/>
      <c r="H124" s="64"/>
      <c r="I124" s="73"/>
      <c r="J124" s="73"/>
      <c r="K124" s="64"/>
    </row>
    <row r="125" spans="1:11" ht="6" customHeight="1" x14ac:dyDescent="0.25">
      <c r="A125" s="83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6" customHeight="1" x14ac:dyDescent="0.25">
      <c r="A126" s="83"/>
      <c r="B126" s="64"/>
      <c r="C126" s="73"/>
      <c r="D126" s="64"/>
      <c r="E126" s="64"/>
      <c r="F126" s="64"/>
      <c r="G126" s="64"/>
      <c r="H126" s="64"/>
      <c r="I126" s="64"/>
      <c r="J126" s="64"/>
      <c r="K126" s="64"/>
    </row>
    <row r="127" spans="1:11" ht="6" customHeight="1" x14ac:dyDescent="0.25">
      <c r="A127" s="83"/>
      <c r="B127" s="64"/>
      <c r="C127" s="73"/>
      <c r="D127" s="64"/>
      <c r="E127" s="64"/>
      <c r="F127" s="64"/>
      <c r="G127" s="64"/>
      <c r="H127" s="64"/>
      <c r="I127" s="64"/>
      <c r="J127" s="64"/>
      <c r="K127" s="64"/>
    </row>
    <row r="128" spans="1:11" ht="6" customHeight="1" x14ac:dyDescent="0.25">
      <c r="A128" s="83"/>
      <c r="B128" s="64"/>
      <c r="C128" s="73"/>
      <c r="D128" s="64"/>
      <c r="E128" s="64"/>
      <c r="F128" s="64"/>
      <c r="G128" s="64"/>
      <c r="H128" s="64"/>
      <c r="I128" s="64"/>
      <c r="J128" s="64"/>
      <c r="K128" s="64"/>
    </row>
    <row r="129" spans="1:11" ht="6" customHeight="1" x14ac:dyDescent="0.25">
      <c r="A129" s="83"/>
      <c r="B129" s="64"/>
      <c r="C129" s="73"/>
      <c r="D129" s="64"/>
      <c r="E129" s="64"/>
      <c r="F129" s="64"/>
      <c r="G129" s="64"/>
      <c r="H129" s="64"/>
      <c r="I129" s="64"/>
      <c r="J129" s="64"/>
      <c r="K129" s="64"/>
    </row>
    <row r="130" spans="1:11" ht="6" customHeight="1" x14ac:dyDescent="0.25">
      <c r="A130" s="83"/>
      <c r="B130" s="64"/>
      <c r="C130" s="73"/>
      <c r="D130" s="64"/>
      <c r="E130" s="64"/>
      <c r="F130" s="64"/>
      <c r="G130" s="64"/>
      <c r="H130" s="64"/>
      <c r="I130" s="64"/>
      <c r="J130" s="64"/>
      <c r="K130" s="64"/>
    </row>
    <row r="131" spans="1:11" ht="6" customHeight="1" x14ac:dyDescent="0.25">
      <c r="A131" s="83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6" customHeight="1" x14ac:dyDescent="0.25">
      <c r="A132" s="84"/>
      <c r="B132" s="84"/>
      <c r="C132" s="84"/>
      <c r="D132" s="64"/>
      <c r="E132" s="64"/>
      <c r="F132" s="64"/>
      <c r="G132" s="64"/>
      <c r="H132" s="64"/>
      <c r="I132" s="84"/>
      <c r="J132" s="64"/>
      <c r="K132" s="64"/>
    </row>
    <row r="133" spans="1:11" ht="6" customHeight="1" x14ac:dyDescent="0.25">
      <c r="A133" s="83"/>
      <c r="B133" s="84"/>
      <c r="C133" s="73"/>
      <c r="D133" s="64"/>
      <c r="E133" s="64"/>
      <c r="F133" s="64"/>
      <c r="G133" s="64"/>
      <c r="H133" s="64"/>
      <c r="I133" s="84"/>
      <c r="J133" s="64"/>
      <c r="K133" s="64"/>
    </row>
    <row r="134" spans="1:11" ht="6" customHeight="1" x14ac:dyDescent="0.25">
      <c r="A134" s="83"/>
      <c r="B134" s="84"/>
      <c r="C134" s="73"/>
      <c r="D134" s="64"/>
      <c r="E134" s="64"/>
      <c r="F134" s="64"/>
      <c r="G134" s="64"/>
      <c r="H134" s="64"/>
      <c r="I134" s="84"/>
      <c r="J134" s="64"/>
      <c r="K134" s="64"/>
    </row>
    <row r="135" spans="1:11" ht="6" customHeight="1" x14ac:dyDescent="0.25">
      <c r="A135" s="83"/>
      <c r="B135" s="84"/>
      <c r="C135" s="73"/>
      <c r="D135" s="64"/>
      <c r="E135" s="64"/>
      <c r="F135" s="64"/>
      <c r="G135" s="64"/>
      <c r="H135" s="64"/>
      <c r="I135" s="84"/>
      <c r="J135" s="64"/>
      <c r="K135" s="64"/>
    </row>
    <row r="136" spans="1:11" ht="6" customHeight="1" x14ac:dyDescent="0.25">
      <c r="A136" s="83"/>
      <c r="B136" s="84"/>
      <c r="C136" s="73"/>
      <c r="D136" s="64"/>
      <c r="E136" s="64"/>
      <c r="F136" s="64"/>
      <c r="G136" s="64"/>
      <c r="H136" s="64"/>
      <c r="I136" s="84"/>
      <c r="J136" s="64"/>
      <c r="K136" s="64"/>
    </row>
    <row r="137" spans="1:11" ht="6" customHeight="1" x14ac:dyDescent="0.25">
      <c r="A137" s="83"/>
      <c r="B137" s="84"/>
      <c r="C137" s="73"/>
      <c r="D137" s="64"/>
      <c r="E137" s="64"/>
      <c r="F137" s="64"/>
      <c r="G137" s="64"/>
      <c r="H137" s="64"/>
      <c r="I137" s="84"/>
      <c r="J137" s="64"/>
      <c r="K137" s="64"/>
    </row>
    <row r="138" spans="1:11" ht="6" customHeight="1" x14ac:dyDescent="0.25">
      <c r="A138" s="83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6" customHeight="1" x14ac:dyDescent="0.25">
      <c r="A139" s="84"/>
      <c r="B139" s="84"/>
      <c r="C139" s="84"/>
      <c r="D139" s="64"/>
      <c r="E139" s="84"/>
      <c r="F139" s="64"/>
      <c r="G139" s="84"/>
      <c r="H139" s="64"/>
      <c r="I139" s="84"/>
      <c r="J139" s="64"/>
      <c r="K139" s="84"/>
    </row>
    <row r="140" spans="1:11" ht="6" customHeight="1" x14ac:dyDescent="0.25">
      <c r="A140" s="84"/>
      <c r="B140" s="84"/>
      <c r="C140" s="84"/>
      <c r="D140" s="64"/>
      <c r="E140" s="85"/>
      <c r="F140" s="64"/>
      <c r="G140" s="86"/>
      <c r="H140" s="64"/>
      <c r="I140" s="86"/>
      <c r="J140" s="64"/>
      <c r="K140" s="84"/>
    </row>
    <row r="141" spans="1:11" ht="6" customHeight="1" x14ac:dyDescent="0.25">
      <c r="A141" s="84"/>
      <c r="B141" s="84"/>
      <c r="C141" s="84"/>
      <c r="D141" s="64"/>
      <c r="E141" s="85"/>
      <c r="F141" s="64"/>
      <c r="G141" s="86"/>
      <c r="H141" s="64"/>
      <c r="I141" s="86"/>
      <c r="J141" s="64"/>
      <c r="K141" s="84"/>
    </row>
    <row r="142" spans="1:11" ht="6" customHeight="1" x14ac:dyDescent="0.25">
      <c r="A142" s="84"/>
      <c r="B142" s="84"/>
      <c r="C142" s="84"/>
      <c r="D142" s="64"/>
      <c r="E142" s="85"/>
      <c r="F142" s="64"/>
      <c r="G142" s="86"/>
      <c r="H142" s="64"/>
      <c r="I142" s="86"/>
      <c r="J142" s="64"/>
      <c r="K142" s="84"/>
    </row>
    <row r="143" spans="1:11" ht="6" customHeight="1" x14ac:dyDescent="0.25">
      <c r="A143" s="84"/>
      <c r="B143" s="84"/>
      <c r="C143" s="84"/>
      <c r="D143" s="64"/>
      <c r="E143" s="85"/>
      <c r="F143" s="64"/>
      <c r="G143" s="86"/>
      <c r="H143" s="64"/>
      <c r="I143" s="86"/>
      <c r="J143" s="64"/>
      <c r="K143" s="84"/>
    </row>
    <row r="144" spans="1:11" ht="6" customHeight="1" x14ac:dyDescent="0.25">
      <c r="A144" s="84"/>
      <c r="B144" s="84"/>
      <c r="C144" s="84"/>
      <c r="D144" s="64"/>
      <c r="E144" s="85"/>
      <c r="F144" s="64"/>
      <c r="G144" s="86"/>
      <c r="H144" s="64"/>
      <c r="I144" s="86"/>
      <c r="J144" s="64"/>
      <c r="K144" s="84"/>
    </row>
    <row r="145" spans="1:11" ht="6" customHeight="1" x14ac:dyDescent="0.25">
      <c r="A145" s="84"/>
      <c r="B145" s="84"/>
      <c r="C145" s="84"/>
      <c r="D145" s="64"/>
      <c r="E145" s="85"/>
      <c r="F145" s="64"/>
      <c r="G145" s="86"/>
      <c r="H145" s="64"/>
      <c r="I145" s="86"/>
      <c r="J145" s="64"/>
      <c r="K145" s="84"/>
    </row>
    <row r="146" spans="1:11" ht="6" customHeight="1" x14ac:dyDescent="0.25">
      <c r="A146" s="84"/>
      <c r="B146" s="84"/>
      <c r="C146" s="84"/>
      <c r="D146" s="64"/>
      <c r="E146" s="85"/>
      <c r="F146" s="64"/>
      <c r="G146" s="86"/>
      <c r="H146" s="64"/>
      <c r="I146" s="86"/>
      <c r="J146" s="64"/>
      <c r="K146" s="84"/>
    </row>
    <row r="147" spans="1:11" ht="6" customHeight="1" x14ac:dyDescent="0.25">
      <c r="A147" s="84"/>
      <c r="B147" s="84"/>
      <c r="C147" s="84"/>
      <c r="D147" s="64"/>
      <c r="E147" s="85"/>
      <c r="F147" s="64"/>
      <c r="G147" s="86"/>
      <c r="H147" s="64"/>
      <c r="I147" s="86"/>
      <c r="J147" s="64"/>
      <c r="K147" s="84"/>
    </row>
    <row r="148" spans="1:11" ht="6" customHeight="1" x14ac:dyDescent="0.25">
      <c r="A148" s="84"/>
      <c r="B148" s="84"/>
      <c r="C148" s="84"/>
      <c r="D148" s="64"/>
      <c r="E148" s="85"/>
      <c r="F148" s="64"/>
      <c r="G148" s="86"/>
      <c r="H148" s="64"/>
      <c r="I148" s="86"/>
      <c r="J148" s="64"/>
      <c r="K148" s="84"/>
    </row>
    <row r="149" spans="1:11" ht="6" customHeight="1" x14ac:dyDescent="0.25">
      <c r="A149" s="84"/>
      <c r="B149" s="84"/>
      <c r="C149" s="84"/>
      <c r="D149" s="64"/>
      <c r="E149" s="85"/>
      <c r="F149" s="64"/>
      <c r="G149" s="86"/>
      <c r="H149" s="64"/>
      <c r="I149" s="86"/>
      <c r="J149" s="64"/>
      <c r="K149" s="84"/>
    </row>
    <row r="150" spans="1:11" ht="6" customHeight="1" x14ac:dyDescent="0.25">
      <c r="A150" s="73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6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6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6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6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6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6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6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6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6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1:K1"/>
    <mergeCell ref="A23:K23"/>
    <mergeCell ref="A34:K34"/>
    <mergeCell ref="A12:K12"/>
    <mergeCell ref="A4:K4"/>
    <mergeCell ref="A92:K92"/>
    <mergeCell ref="A65:K65"/>
    <mergeCell ref="A81:K81"/>
    <mergeCell ref="A75:K7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9"/>
  <sheetViews>
    <sheetView showGridLines="0" topLeftCell="C1" zoomScaleNormal="100" workbookViewId="0">
      <pane ySplit="3" topLeftCell="A4" activePane="bottomLeft" state="frozen"/>
      <selection pane="bottomLeft" activeCell="F18" sqref="F18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12" ht="30" customHeight="1" x14ac:dyDescent="0.25">
      <c r="A1" s="362" t="s">
        <v>578</v>
      </c>
      <c r="B1" s="360"/>
      <c r="C1" s="360"/>
      <c r="D1" s="360"/>
      <c r="E1" s="360"/>
      <c r="F1" s="360"/>
      <c r="G1" s="360"/>
      <c r="H1" s="360"/>
    </row>
    <row r="2" spans="1:12" ht="15.75" customHeight="1" x14ac:dyDescent="0.25">
      <c r="A2" s="361" t="s">
        <v>579</v>
      </c>
      <c r="B2" s="360"/>
      <c r="C2" s="360"/>
      <c r="D2" s="360"/>
      <c r="E2" s="360"/>
      <c r="F2" s="360"/>
      <c r="G2" s="360"/>
      <c r="H2" s="360"/>
    </row>
    <row r="3" spans="1:12" ht="19.5" customHeight="1" x14ac:dyDescent="0.25">
      <c r="A3" s="60" t="s">
        <v>580</v>
      </c>
      <c r="B3" s="60" t="s">
        <v>382</v>
      </c>
      <c r="C3" s="60" t="s">
        <v>3</v>
      </c>
      <c r="D3" s="60" t="s">
        <v>581</v>
      </c>
      <c r="E3" s="60" t="s">
        <v>582</v>
      </c>
      <c r="F3" s="60" t="s">
        <v>583</v>
      </c>
      <c r="G3" s="60" t="s">
        <v>32</v>
      </c>
      <c r="H3" s="60" t="s">
        <v>584</v>
      </c>
      <c r="I3" s="60" t="s">
        <v>585</v>
      </c>
    </row>
    <row r="4" spans="1:12" ht="15" customHeight="1" x14ac:dyDescent="0.25">
      <c r="A4" s="283">
        <v>1</v>
      </c>
      <c r="B4" s="283">
        <v>8001</v>
      </c>
      <c r="C4" s="284" t="s">
        <v>135</v>
      </c>
      <c r="D4" s="284" t="s">
        <v>188</v>
      </c>
      <c r="E4" s="283" t="s">
        <v>586</v>
      </c>
      <c r="F4" s="285">
        <v>17940</v>
      </c>
      <c r="G4" s="283" t="s">
        <v>587</v>
      </c>
      <c r="H4" s="286" t="s">
        <v>588</v>
      </c>
      <c r="I4" s="287"/>
      <c r="J4" s="287"/>
      <c r="K4" s="287"/>
      <c r="L4" s="287"/>
    </row>
    <row r="5" spans="1:12" ht="15" customHeight="1" x14ac:dyDescent="0.25">
      <c r="A5" s="283">
        <v>2</v>
      </c>
      <c r="B5" s="283">
        <v>6206</v>
      </c>
      <c r="C5" s="284" t="s">
        <v>19</v>
      </c>
      <c r="D5" s="284" t="s">
        <v>20</v>
      </c>
      <c r="E5" s="283" t="s">
        <v>589</v>
      </c>
      <c r="F5" s="285">
        <v>22848</v>
      </c>
      <c r="G5" s="283" t="s">
        <v>587</v>
      </c>
      <c r="H5" s="286" t="s">
        <v>588</v>
      </c>
      <c r="I5" s="287"/>
      <c r="J5" s="287"/>
      <c r="K5" s="287"/>
      <c r="L5" s="287"/>
    </row>
    <row r="6" spans="1:12" ht="15" customHeight="1" x14ac:dyDescent="0.25">
      <c r="A6" s="283">
        <v>3</v>
      </c>
      <c r="B6" s="283">
        <v>6515</v>
      </c>
      <c r="C6" s="284" t="s">
        <v>21</v>
      </c>
      <c r="D6" s="284" t="s">
        <v>22</v>
      </c>
      <c r="E6" s="283" t="s">
        <v>590</v>
      </c>
      <c r="F6" s="285">
        <v>35000</v>
      </c>
      <c r="G6" s="283" t="s">
        <v>587</v>
      </c>
      <c r="H6" s="286" t="s">
        <v>588</v>
      </c>
      <c r="I6" s="287"/>
      <c r="J6" s="287"/>
      <c r="K6" s="287"/>
      <c r="L6" s="287"/>
    </row>
    <row r="7" spans="1:12" ht="15" customHeight="1" x14ac:dyDescent="0.25">
      <c r="A7" s="283">
        <v>4</v>
      </c>
      <c r="B7" s="283">
        <v>4050</v>
      </c>
      <c r="C7" s="284" t="s">
        <v>216</v>
      </c>
      <c r="D7" s="284" t="s">
        <v>217</v>
      </c>
      <c r="E7" s="283" t="s">
        <v>589</v>
      </c>
      <c r="F7" s="285">
        <v>9450</v>
      </c>
      <c r="G7" s="283" t="s">
        <v>587</v>
      </c>
      <c r="H7" s="286" t="s">
        <v>588</v>
      </c>
      <c r="I7" s="287"/>
      <c r="J7" s="287"/>
      <c r="K7" s="287"/>
      <c r="L7" s="287"/>
    </row>
    <row r="8" spans="1:12" ht="15" customHeight="1" x14ac:dyDescent="0.25">
      <c r="A8" s="283">
        <v>5</v>
      </c>
      <c r="B8" s="283">
        <v>6337</v>
      </c>
      <c r="C8" s="284" t="s">
        <v>219</v>
      </c>
      <c r="D8" s="284" t="s">
        <v>221</v>
      </c>
      <c r="E8" s="283" t="s">
        <v>589</v>
      </c>
      <c r="F8" s="285">
        <v>15680</v>
      </c>
      <c r="G8" s="283" t="s">
        <v>587</v>
      </c>
      <c r="H8" s="286" t="s">
        <v>588</v>
      </c>
      <c r="I8" s="287"/>
      <c r="J8" s="287"/>
      <c r="K8" s="287"/>
      <c r="L8" s="287"/>
    </row>
    <row r="9" spans="1:12" ht="15" customHeight="1" x14ac:dyDescent="0.25">
      <c r="A9" s="283">
        <v>6</v>
      </c>
      <c r="B9" s="283">
        <v>6416</v>
      </c>
      <c r="C9" s="284" t="s">
        <v>219</v>
      </c>
      <c r="D9" s="284" t="s">
        <v>220</v>
      </c>
      <c r="E9" s="283" t="s">
        <v>589</v>
      </c>
      <c r="F9" s="285">
        <v>15435</v>
      </c>
      <c r="G9" s="283" t="s">
        <v>587</v>
      </c>
      <c r="H9" s="286" t="s">
        <v>588</v>
      </c>
      <c r="I9" s="287"/>
      <c r="J9" s="287"/>
      <c r="K9" s="287"/>
      <c r="L9" s="287"/>
    </row>
    <row r="10" spans="1:12" ht="15" customHeight="1" x14ac:dyDescent="0.25">
      <c r="A10" s="283">
        <v>7</v>
      </c>
      <c r="B10" s="283">
        <v>3726</v>
      </c>
      <c r="C10" s="284" t="s">
        <v>13</v>
      </c>
      <c r="D10" s="284" t="s">
        <v>206</v>
      </c>
      <c r="E10" s="283" t="s">
        <v>591</v>
      </c>
      <c r="F10" s="285">
        <v>46000</v>
      </c>
      <c r="G10" s="283" t="s">
        <v>587</v>
      </c>
      <c r="H10" s="286" t="s">
        <v>592</v>
      </c>
      <c r="I10" s="287"/>
      <c r="J10" s="287"/>
      <c r="K10" s="287"/>
      <c r="L10" s="287"/>
    </row>
    <row r="11" spans="1:12" ht="15" customHeight="1" x14ac:dyDescent="0.25">
      <c r="A11" s="283">
        <v>8</v>
      </c>
      <c r="B11" s="283">
        <v>3447</v>
      </c>
      <c r="C11" s="284" t="s">
        <v>13</v>
      </c>
      <c r="D11" s="284" t="s">
        <v>205</v>
      </c>
      <c r="E11" s="283" t="s">
        <v>591</v>
      </c>
      <c r="F11" s="285">
        <v>16000</v>
      </c>
      <c r="G11" s="283" t="s">
        <v>587</v>
      </c>
      <c r="H11" s="286" t="s">
        <v>593</v>
      </c>
      <c r="I11" s="287"/>
      <c r="J11" s="287"/>
      <c r="K11" s="287"/>
      <c r="L11" s="287"/>
    </row>
    <row r="12" spans="1:12" ht="15" customHeight="1" x14ac:dyDescent="0.25">
      <c r="A12" s="283">
        <v>9</v>
      </c>
      <c r="B12" s="283">
        <v>8001</v>
      </c>
      <c r="C12" s="284" t="s">
        <v>135</v>
      </c>
      <c r="D12" s="284" t="s">
        <v>188</v>
      </c>
      <c r="E12" s="283" t="s">
        <v>586</v>
      </c>
      <c r="F12" s="285">
        <v>20240</v>
      </c>
      <c r="G12" s="283" t="s">
        <v>587</v>
      </c>
      <c r="H12" s="286" t="s">
        <v>594</v>
      </c>
      <c r="I12" s="287"/>
      <c r="J12" s="287"/>
      <c r="K12" s="287"/>
      <c r="L12" s="287"/>
    </row>
    <row r="13" spans="1:12" ht="15" customHeight="1" x14ac:dyDescent="0.25">
      <c r="A13" s="283">
        <v>10</v>
      </c>
      <c r="B13" s="283">
        <v>8001</v>
      </c>
      <c r="C13" s="284" t="s">
        <v>135</v>
      </c>
      <c r="D13" s="284" t="s">
        <v>188</v>
      </c>
      <c r="E13" s="283" t="s">
        <v>586</v>
      </c>
      <c r="F13" s="285">
        <v>24955</v>
      </c>
      <c r="G13" s="283" t="s">
        <v>587</v>
      </c>
      <c r="H13" s="286" t="s">
        <v>595</v>
      </c>
      <c r="I13" s="287"/>
      <c r="J13" s="287"/>
      <c r="K13" s="287"/>
      <c r="L13" s="287"/>
    </row>
    <row r="14" spans="1:12" ht="15" customHeight="1" x14ac:dyDescent="0.25">
      <c r="A14" s="283">
        <v>11</v>
      </c>
      <c r="B14" s="283">
        <v>6206</v>
      </c>
      <c r="C14" s="284" t="s">
        <v>19</v>
      </c>
      <c r="D14" s="284" t="s">
        <v>20</v>
      </c>
      <c r="E14" s="283" t="s">
        <v>589</v>
      </c>
      <c r="F14" s="285">
        <v>39720</v>
      </c>
      <c r="G14" s="283" t="s">
        <v>587</v>
      </c>
      <c r="H14" s="286" t="s">
        <v>595</v>
      </c>
      <c r="I14" s="287"/>
      <c r="J14" s="287"/>
      <c r="K14" s="287"/>
      <c r="L14" s="287"/>
    </row>
    <row r="15" spans="1:12" ht="15" customHeight="1" x14ac:dyDescent="0.25">
      <c r="A15" s="283">
        <v>12</v>
      </c>
      <c r="B15" s="283">
        <v>6515</v>
      </c>
      <c r="C15" s="284" t="s">
        <v>21</v>
      </c>
      <c r="D15" s="284" t="s">
        <v>22</v>
      </c>
      <c r="E15" s="283" t="s">
        <v>589</v>
      </c>
      <c r="F15" s="285">
        <v>5324</v>
      </c>
      <c r="G15" s="283" t="s">
        <v>587</v>
      </c>
      <c r="H15" s="286" t="s">
        <v>595</v>
      </c>
      <c r="I15" s="287"/>
      <c r="J15" s="287"/>
      <c r="K15" s="287"/>
      <c r="L15" s="287"/>
    </row>
    <row r="16" spans="1:12" ht="15" customHeight="1" x14ac:dyDescent="0.25">
      <c r="A16" s="283">
        <v>13</v>
      </c>
      <c r="B16" s="283">
        <v>5699</v>
      </c>
      <c r="C16" s="284" t="s">
        <v>13</v>
      </c>
      <c r="D16" s="284" t="s">
        <v>197</v>
      </c>
      <c r="E16" s="283" t="s">
        <v>596</v>
      </c>
      <c r="F16" s="285">
        <v>14790</v>
      </c>
      <c r="G16" s="283" t="s">
        <v>587</v>
      </c>
      <c r="H16" s="286" t="s">
        <v>597</v>
      </c>
      <c r="I16" s="287"/>
      <c r="J16" s="287"/>
      <c r="K16" s="287"/>
      <c r="L16" s="287"/>
    </row>
    <row r="17" spans="1:12" ht="15" customHeight="1" x14ac:dyDescent="0.25">
      <c r="A17" s="283">
        <v>14</v>
      </c>
      <c r="B17" s="283">
        <v>5731</v>
      </c>
      <c r="C17" s="284" t="s">
        <v>13</v>
      </c>
      <c r="D17" s="284" t="s">
        <v>198</v>
      </c>
      <c r="E17" s="283" t="s">
        <v>596</v>
      </c>
      <c r="F17" s="285">
        <v>13770</v>
      </c>
      <c r="G17" s="283" t="s">
        <v>587</v>
      </c>
      <c r="H17" s="286" t="s">
        <v>597</v>
      </c>
      <c r="I17" s="287"/>
      <c r="J17" s="287"/>
      <c r="K17" s="287"/>
      <c r="L17" s="287"/>
    </row>
    <row r="18" spans="1:12" ht="15" customHeight="1" x14ac:dyDescent="0.25">
      <c r="A18" s="288">
        <v>15</v>
      </c>
      <c r="B18" s="288">
        <v>6624</v>
      </c>
      <c r="C18" s="289" t="s">
        <v>13</v>
      </c>
      <c r="D18" s="289" t="s">
        <v>193</v>
      </c>
      <c r="E18" s="288" t="s">
        <v>598</v>
      </c>
      <c r="F18" s="290">
        <v>15876</v>
      </c>
      <c r="G18" s="288" t="s">
        <v>599</v>
      </c>
      <c r="H18" s="291" t="s">
        <v>597</v>
      </c>
      <c r="I18" s="287"/>
      <c r="J18" s="287"/>
      <c r="K18" s="287"/>
      <c r="L18" s="287"/>
    </row>
    <row r="19" spans="1:12" ht="15" customHeight="1" x14ac:dyDescent="0.25">
      <c r="A19" s="288">
        <v>16</v>
      </c>
      <c r="B19" s="288">
        <v>5731</v>
      </c>
      <c r="C19" s="289" t="s">
        <v>13</v>
      </c>
      <c r="D19" s="289" t="s">
        <v>198</v>
      </c>
      <c r="E19" s="288" t="s">
        <v>596</v>
      </c>
      <c r="F19" s="290">
        <v>33660</v>
      </c>
      <c r="G19" s="288" t="s">
        <v>599</v>
      </c>
      <c r="H19" s="291" t="s">
        <v>597</v>
      </c>
      <c r="I19" s="287"/>
      <c r="J19" s="287"/>
      <c r="K19" s="287"/>
      <c r="L19" s="287"/>
    </row>
    <row r="20" spans="1:12" ht="15" customHeight="1" x14ac:dyDescent="0.25">
      <c r="A20" s="292"/>
      <c r="B20" s="292"/>
      <c r="C20" s="293"/>
      <c r="D20" s="293"/>
      <c r="E20" s="292"/>
      <c r="F20" s="294"/>
      <c r="G20" s="292"/>
      <c r="H20" s="295"/>
      <c r="I20" s="287"/>
      <c r="J20" s="287"/>
      <c r="K20" s="287"/>
      <c r="L20" s="287"/>
    </row>
    <row r="21" spans="1:12" ht="15" customHeight="1" x14ac:dyDescent="0.25">
      <c r="A21" s="292"/>
      <c r="B21" s="292"/>
      <c r="C21" s="293"/>
      <c r="D21" s="293"/>
      <c r="E21" s="292"/>
      <c r="F21" s="294"/>
      <c r="G21" s="292"/>
      <c r="H21" s="295"/>
      <c r="I21" s="287"/>
      <c r="J21" s="287"/>
      <c r="K21" s="287"/>
      <c r="L21" s="287"/>
    </row>
    <row r="22" spans="1:12" ht="15" customHeight="1" x14ac:dyDescent="0.25">
      <c r="A22" s="292"/>
      <c r="B22" s="292"/>
      <c r="C22" s="293"/>
      <c r="D22" s="293"/>
      <c r="E22" s="292"/>
      <c r="F22" s="294"/>
      <c r="G22" s="292"/>
      <c r="H22" s="295"/>
      <c r="I22" s="287"/>
      <c r="J22" s="287"/>
      <c r="K22" s="287"/>
      <c r="L22" s="287"/>
    </row>
    <row r="23" spans="1:12" ht="15" customHeight="1" x14ac:dyDescent="0.25"/>
    <row r="24" spans="1:12" ht="15" customHeight="1" x14ac:dyDescent="0.25"/>
    <row r="25" spans="1:12" ht="15" customHeight="1" x14ac:dyDescent="0.25"/>
    <row r="26" spans="1:12" ht="15" customHeight="1" x14ac:dyDescent="0.25"/>
    <row r="27" spans="1:12" ht="15" customHeight="1" x14ac:dyDescent="0.25"/>
    <row r="28" spans="1:12" ht="15" customHeight="1" x14ac:dyDescent="0.25"/>
    <row r="29" spans="1:12" ht="15" customHeight="1" x14ac:dyDescent="0.25"/>
    <row r="30" spans="1:12" ht="15" customHeight="1" x14ac:dyDescent="0.25"/>
    <row r="31" spans="1:12" ht="15" customHeight="1" x14ac:dyDescent="0.25"/>
    <row r="32" spans="1:1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13" customWidth="1"/>
    <col min="2" max="2" width="20" customWidth="1"/>
    <col min="3" max="3" width="30" customWidth="1"/>
    <col min="4" max="4" width="26" customWidth="1"/>
    <col min="5" max="5" width="75" customWidth="1"/>
    <col min="6" max="7" width="18" customWidth="1"/>
  </cols>
  <sheetData>
    <row r="1" spans="1:7" ht="36" customHeight="1" x14ac:dyDescent="0.25">
      <c r="A1" s="363" t="s">
        <v>600</v>
      </c>
      <c r="B1" s="364"/>
      <c r="C1" s="364"/>
      <c r="D1" s="364"/>
      <c r="E1" s="364"/>
      <c r="F1" s="364"/>
      <c r="G1" s="365"/>
    </row>
    <row r="2" spans="1:7" ht="27.95" customHeight="1" x14ac:dyDescent="0.25">
      <c r="A2" s="194" t="s">
        <v>601</v>
      </c>
      <c r="B2" s="194" t="s">
        <v>26</v>
      </c>
      <c r="C2" s="195" t="s">
        <v>602</v>
      </c>
      <c r="D2" s="195" t="s">
        <v>603</v>
      </c>
      <c r="E2" s="195" t="s">
        <v>604</v>
      </c>
      <c r="F2" s="194" t="s">
        <v>32</v>
      </c>
      <c r="G2" s="194" t="s">
        <v>605</v>
      </c>
    </row>
    <row r="3" spans="1:7" ht="260.10000000000002" customHeight="1" x14ac:dyDescent="0.25">
      <c r="A3" s="196" t="s">
        <v>606</v>
      </c>
      <c r="B3" s="197" t="s">
        <v>607</v>
      </c>
      <c r="C3" s="198" t="s">
        <v>608</v>
      </c>
      <c r="D3" s="199" t="s">
        <v>609</v>
      </c>
      <c r="E3" s="200" t="s">
        <v>610</v>
      </c>
      <c r="F3" s="201" t="s">
        <v>611</v>
      </c>
      <c r="G3" s="202" t="s">
        <v>612</v>
      </c>
    </row>
    <row r="4" spans="1:7" ht="230.1" customHeight="1" x14ac:dyDescent="0.25">
      <c r="A4" s="203" t="s">
        <v>613</v>
      </c>
      <c r="B4" s="204" t="s">
        <v>607</v>
      </c>
      <c r="C4" s="205" t="s">
        <v>614</v>
      </c>
      <c r="D4" s="206" t="s">
        <v>615</v>
      </c>
      <c r="E4" s="207" t="s">
        <v>616</v>
      </c>
      <c r="F4" s="208" t="s">
        <v>611</v>
      </c>
      <c r="G4" s="209" t="s">
        <v>617</v>
      </c>
    </row>
    <row r="5" spans="1:7" ht="230.1" customHeight="1" x14ac:dyDescent="0.25">
      <c r="A5" s="196" t="s">
        <v>618</v>
      </c>
      <c r="B5" s="197" t="s">
        <v>607</v>
      </c>
      <c r="C5" s="198" t="s">
        <v>619</v>
      </c>
      <c r="D5" s="199" t="s">
        <v>620</v>
      </c>
      <c r="E5" s="200" t="s">
        <v>621</v>
      </c>
      <c r="F5" s="201" t="s">
        <v>611</v>
      </c>
      <c r="G5" s="202" t="s">
        <v>622</v>
      </c>
    </row>
    <row r="6" spans="1:7" ht="260.10000000000002" customHeight="1" x14ac:dyDescent="0.25">
      <c r="A6" s="203" t="s">
        <v>623</v>
      </c>
      <c r="B6" s="204" t="s">
        <v>624</v>
      </c>
      <c r="C6" s="205" t="s">
        <v>625</v>
      </c>
      <c r="D6" s="206" t="s">
        <v>626</v>
      </c>
      <c r="E6" s="207" t="s">
        <v>627</v>
      </c>
      <c r="F6" s="208" t="s">
        <v>611</v>
      </c>
      <c r="G6" s="209" t="s">
        <v>628</v>
      </c>
    </row>
    <row r="7" spans="1:7" ht="260.10000000000002" customHeight="1" x14ac:dyDescent="0.25">
      <c r="A7" s="196" t="s">
        <v>629</v>
      </c>
      <c r="B7" s="197" t="s">
        <v>630</v>
      </c>
      <c r="C7" s="198" t="s">
        <v>631</v>
      </c>
      <c r="D7" s="199" t="s">
        <v>632</v>
      </c>
      <c r="E7" s="200" t="s">
        <v>633</v>
      </c>
      <c r="F7" s="201" t="s">
        <v>611</v>
      </c>
      <c r="G7" s="202" t="s">
        <v>634</v>
      </c>
    </row>
    <row r="8" spans="1:7" ht="240" customHeight="1" x14ac:dyDescent="0.25"/>
    <row r="9" spans="1:7" ht="270" customHeight="1" x14ac:dyDescent="0.25"/>
    <row r="10" spans="1:7" ht="270" customHeight="1" x14ac:dyDescent="0.25"/>
    <row r="11" spans="1:7" ht="240" customHeight="1" x14ac:dyDescent="0.25"/>
    <row r="12" spans="1:7" ht="240" customHeight="1" x14ac:dyDescent="0.25"/>
    <row r="13" spans="1:7" ht="240" customHeight="1" x14ac:dyDescent="0.25"/>
    <row r="14" spans="1:7" ht="375" customHeight="1" x14ac:dyDescent="0.25"/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4" width="14" customWidth="1"/>
    <col min="5" max="6" width="13" customWidth="1"/>
    <col min="7" max="7" width="14" customWidth="1"/>
    <col min="8" max="8" width="20" customWidth="1"/>
    <col min="9" max="9" width="14" customWidth="1"/>
    <col min="10" max="10" width="35" customWidth="1"/>
  </cols>
  <sheetData>
    <row r="1" spans="1:10" ht="24.95" customHeight="1" x14ac:dyDescent="0.25">
      <c r="A1" s="210" t="s">
        <v>242</v>
      </c>
      <c r="B1" s="210" t="s">
        <v>635</v>
      </c>
      <c r="C1" s="210" t="s">
        <v>636</v>
      </c>
      <c r="D1" s="210" t="s">
        <v>637</v>
      </c>
      <c r="E1" s="210" t="s">
        <v>638</v>
      </c>
      <c r="F1" s="210" t="s">
        <v>639</v>
      </c>
      <c r="G1" s="210" t="s">
        <v>32</v>
      </c>
      <c r="H1" s="210" t="s">
        <v>640</v>
      </c>
      <c r="I1" s="210" t="s">
        <v>641</v>
      </c>
      <c r="J1" s="210" t="s">
        <v>384</v>
      </c>
    </row>
    <row r="2" spans="1:10" x14ac:dyDescent="0.25">
      <c r="A2" s="211" t="s">
        <v>642</v>
      </c>
      <c r="B2" s="211" t="s">
        <v>643</v>
      </c>
      <c r="C2" s="211" t="s">
        <v>263</v>
      </c>
      <c r="D2" s="212">
        <v>27386</v>
      </c>
      <c r="E2" s="212">
        <v>27216</v>
      </c>
      <c r="F2" s="212">
        <v>170</v>
      </c>
      <c r="G2" s="211" t="s">
        <v>644</v>
      </c>
      <c r="H2" s="213" t="s">
        <v>645</v>
      </c>
      <c r="I2" s="214">
        <v>0</v>
      </c>
      <c r="J2" s="213" t="s">
        <v>206</v>
      </c>
    </row>
    <row r="3" spans="1:10" x14ac:dyDescent="0.25">
      <c r="A3" s="211" t="s">
        <v>642</v>
      </c>
      <c r="B3" s="211" t="s">
        <v>643</v>
      </c>
      <c r="C3" s="211" t="s">
        <v>646</v>
      </c>
      <c r="D3" s="212">
        <v>9345</v>
      </c>
      <c r="E3" s="212">
        <v>9060</v>
      </c>
      <c r="F3" s="212">
        <v>285</v>
      </c>
      <c r="G3" s="211" t="s">
        <v>644</v>
      </c>
      <c r="H3" s="213" t="s">
        <v>645</v>
      </c>
      <c r="I3" s="214">
        <v>0</v>
      </c>
      <c r="J3" s="213" t="s">
        <v>647</v>
      </c>
    </row>
    <row r="4" spans="1:10" x14ac:dyDescent="0.25">
      <c r="A4" s="211" t="s">
        <v>648</v>
      </c>
      <c r="B4" s="211" t="s">
        <v>643</v>
      </c>
      <c r="C4" s="211" t="s">
        <v>263</v>
      </c>
      <c r="D4" s="212">
        <v>16970</v>
      </c>
      <c r="E4" s="212">
        <v>16800</v>
      </c>
      <c r="F4" s="212">
        <v>170</v>
      </c>
      <c r="G4" s="211" t="s">
        <v>644</v>
      </c>
      <c r="H4" s="213" t="s">
        <v>645</v>
      </c>
      <c r="I4" s="214">
        <v>0</v>
      </c>
      <c r="J4" s="213" t="s">
        <v>649</v>
      </c>
    </row>
    <row r="5" spans="1:10" x14ac:dyDescent="0.25">
      <c r="A5" s="211" t="s">
        <v>648</v>
      </c>
      <c r="B5" s="211" t="s">
        <v>643</v>
      </c>
      <c r="C5" s="211" t="s">
        <v>646</v>
      </c>
      <c r="D5" s="212">
        <v>23300</v>
      </c>
      <c r="E5" s="212">
        <v>23030</v>
      </c>
      <c r="F5" s="212">
        <v>270</v>
      </c>
      <c r="G5" s="211" t="s">
        <v>644</v>
      </c>
      <c r="H5" s="213" t="s">
        <v>645</v>
      </c>
      <c r="I5" s="214">
        <v>0</v>
      </c>
      <c r="J5" s="213" t="s">
        <v>221</v>
      </c>
    </row>
    <row r="6" spans="1:10" x14ac:dyDescent="0.25">
      <c r="A6" s="211" t="s">
        <v>650</v>
      </c>
      <c r="B6" s="211" t="s">
        <v>643</v>
      </c>
      <c r="C6" s="211" t="s">
        <v>263</v>
      </c>
      <c r="D6" s="212">
        <v>8886</v>
      </c>
      <c r="E6" s="212">
        <v>8736</v>
      </c>
      <c r="F6" s="212">
        <v>150</v>
      </c>
      <c r="G6" s="211" t="s">
        <v>644</v>
      </c>
      <c r="H6" s="213" t="s">
        <v>645</v>
      </c>
      <c r="I6" s="214">
        <v>0</v>
      </c>
      <c r="J6" s="213" t="s">
        <v>206</v>
      </c>
    </row>
    <row r="7" spans="1:10" x14ac:dyDescent="0.25">
      <c r="A7" s="211" t="s">
        <v>650</v>
      </c>
      <c r="B7" s="211" t="s">
        <v>643</v>
      </c>
      <c r="C7" s="211" t="s">
        <v>646</v>
      </c>
      <c r="D7" s="212">
        <v>18505</v>
      </c>
      <c r="E7" s="212">
        <v>18130</v>
      </c>
      <c r="F7" s="212">
        <v>375</v>
      </c>
      <c r="G7" s="211" t="s">
        <v>644</v>
      </c>
      <c r="H7" s="213" t="s">
        <v>645</v>
      </c>
      <c r="I7" s="214">
        <v>0</v>
      </c>
      <c r="J7" s="213" t="s">
        <v>220</v>
      </c>
    </row>
    <row r="8" spans="1:10" x14ac:dyDescent="0.25">
      <c r="A8" s="211" t="s">
        <v>651</v>
      </c>
      <c r="B8" s="211" t="s">
        <v>643</v>
      </c>
      <c r="C8" s="211" t="s">
        <v>646</v>
      </c>
      <c r="D8" s="212">
        <v>10450</v>
      </c>
      <c r="E8" s="212">
        <v>10110</v>
      </c>
      <c r="F8" s="212">
        <v>340</v>
      </c>
      <c r="G8" s="211" t="s">
        <v>644</v>
      </c>
      <c r="H8" s="213" t="s">
        <v>645</v>
      </c>
      <c r="I8" s="214">
        <v>0</v>
      </c>
      <c r="J8" s="213" t="s">
        <v>652</v>
      </c>
    </row>
    <row r="9" spans="1:10" x14ac:dyDescent="0.25">
      <c r="A9" s="211" t="s">
        <v>653</v>
      </c>
      <c r="B9" s="211" t="s">
        <v>643</v>
      </c>
      <c r="C9" s="211" t="s">
        <v>263</v>
      </c>
      <c r="D9" s="212">
        <v>22471</v>
      </c>
      <c r="E9" s="212">
        <v>22116</v>
      </c>
      <c r="F9" s="212">
        <v>355</v>
      </c>
      <c r="G9" s="211" t="s">
        <v>644</v>
      </c>
      <c r="H9" s="213" t="s">
        <v>645</v>
      </c>
      <c r="I9" s="214">
        <v>0</v>
      </c>
      <c r="J9" s="213" t="s">
        <v>218</v>
      </c>
    </row>
    <row r="10" spans="1:10" x14ac:dyDescent="0.25">
      <c r="A10" s="211" t="s">
        <v>654</v>
      </c>
      <c r="B10" s="211" t="s">
        <v>643</v>
      </c>
      <c r="C10" s="211" t="s">
        <v>646</v>
      </c>
      <c r="D10" s="212">
        <v>1230</v>
      </c>
      <c r="E10" s="212">
        <v>1140</v>
      </c>
      <c r="F10" s="212">
        <v>90</v>
      </c>
      <c r="G10" s="211" t="s">
        <v>644</v>
      </c>
      <c r="H10" s="213" t="s">
        <v>645</v>
      </c>
      <c r="I10" s="214">
        <v>0</v>
      </c>
      <c r="J10" s="213" t="s">
        <v>218</v>
      </c>
    </row>
    <row r="11" spans="1:10" x14ac:dyDescent="0.25">
      <c r="A11" s="211" t="s">
        <v>655</v>
      </c>
      <c r="B11" s="211" t="s">
        <v>643</v>
      </c>
      <c r="C11" s="211" t="s">
        <v>263</v>
      </c>
      <c r="D11" s="212">
        <v>23293</v>
      </c>
      <c r="E11" s="212">
        <v>23028</v>
      </c>
      <c r="F11" s="212">
        <v>265</v>
      </c>
      <c r="G11" s="211" t="s">
        <v>644</v>
      </c>
      <c r="H11" s="213" t="s">
        <v>645</v>
      </c>
      <c r="I11" s="214">
        <v>0</v>
      </c>
      <c r="J11" s="213" t="s">
        <v>218</v>
      </c>
    </row>
    <row r="12" spans="1:10" x14ac:dyDescent="0.25">
      <c r="A12" s="211" t="s">
        <v>656</v>
      </c>
      <c r="B12" s="211" t="s">
        <v>643</v>
      </c>
      <c r="C12" s="211" t="s">
        <v>646</v>
      </c>
      <c r="D12" s="212">
        <v>15754</v>
      </c>
      <c r="E12" s="212">
        <v>15504</v>
      </c>
      <c r="F12" s="212">
        <v>250</v>
      </c>
      <c r="G12" s="211" t="s">
        <v>644</v>
      </c>
      <c r="H12" s="213" t="s">
        <v>645</v>
      </c>
      <c r="I12" s="214">
        <v>0</v>
      </c>
      <c r="J12" s="213" t="s">
        <v>218</v>
      </c>
    </row>
    <row r="13" spans="1:10" x14ac:dyDescent="0.25">
      <c r="A13" s="211" t="s">
        <v>657</v>
      </c>
      <c r="B13" s="211" t="s">
        <v>643</v>
      </c>
      <c r="C13" s="211" t="s">
        <v>646</v>
      </c>
      <c r="D13" s="212">
        <v>26407</v>
      </c>
      <c r="E13" s="212">
        <v>26052</v>
      </c>
      <c r="F13" s="212">
        <v>355</v>
      </c>
      <c r="G13" s="211" t="s">
        <v>644</v>
      </c>
      <c r="H13" s="213" t="s">
        <v>645</v>
      </c>
      <c r="I13" s="214">
        <v>0</v>
      </c>
      <c r="J13" s="213" t="s">
        <v>218</v>
      </c>
    </row>
    <row r="14" spans="1:10" x14ac:dyDescent="0.25">
      <c r="A14" s="211" t="s">
        <v>658</v>
      </c>
      <c r="B14" s="211" t="s">
        <v>643</v>
      </c>
      <c r="C14" s="211" t="s">
        <v>646</v>
      </c>
      <c r="D14" s="212">
        <v>3280</v>
      </c>
      <c r="E14" s="212">
        <v>3185</v>
      </c>
      <c r="F14" s="212">
        <v>95</v>
      </c>
      <c r="G14" s="211" t="s">
        <v>644</v>
      </c>
      <c r="H14" s="213" t="s">
        <v>645</v>
      </c>
      <c r="I14" s="214">
        <v>0</v>
      </c>
      <c r="J14" s="213" t="s">
        <v>218</v>
      </c>
    </row>
    <row r="15" spans="1:10" x14ac:dyDescent="0.25">
      <c r="A15" s="211" t="s">
        <v>659</v>
      </c>
      <c r="B15" s="211" t="s">
        <v>643</v>
      </c>
      <c r="C15" s="211" t="s">
        <v>263</v>
      </c>
      <c r="D15" s="212">
        <v>22615</v>
      </c>
      <c r="E15" s="212">
        <v>22050</v>
      </c>
      <c r="F15" s="212">
        <v>565</v>
      </c>
      <c r="G15" s="211" t="s">
        <v>644</v>
      </c>
      <c r="H15" s="213" t="s">
        <v>645</v>
      </c>
      <c r="I15" s="214">
        <v>0</v>
      </c>
      <c r="J15" s="213" t="s">
        <v>20</v>
      </c>
    </row>
    <row r="16" spans="1:10" x14ac:dyDescent="0.25">
      <c r="A16" s="211" t="s">
        <v>660</v>
      </c>
      <c r="B16" s="211" t="s">
        <v>643</v>
      </c>
      <c r="C16" s="211" t="s">
        <v>263</v>
      </c>
      <c r="D16" s="212">
        <v>24760</v>
      </c>
      <c r="E16" s="212">
        <v>24010</v>
      </c>
      <c r="F16" s="212">
        <v>750</v>
      </c>
      <c r="G16" s="211" t="s">
        <v>644</v>
      </c>
      <c r="H16" s="213" t="s">
        <v>645</v>
      </c>
      <c r="I16" s="214">
        <v>0</v>
      </c>
      <c r="J16" s="213" t="s">
        <v>20</v>
      </c>
    </row>
    <row r="17" spans="1:10" x14ac:dyDescent="0.25">
      <c r="A17" s="211" t="s">
        <v>661</v>
      </c>
      <c r="B17" s="211" t="s">
        <v>643</v>
      </c>
      <c r="C17" s="211" t="s">
        <v>263</v>
      </c>
      <c r="D17" s="212">
        <v>5320</v>
      </c>
      <c r="E17" s="212">
        <v>5145</v>
      </c>
      <c r="F17" s="212">
        <v>175</v>
      </c>
      <c r="G17" s="211" t="s">
        <v>644</v>
      </c>
      <c r="H17" s="213" t="s">
        <v>645</v>
      </c>
      <c r="I17" s="214">
        <v>0</v>
      </c>
      <c r="J17" s="213" t="s">
        <v>20</v>
      </c>
    </row>
    <row r="18" spans="1:10" x14ac:dyDescent="0.25">
      <c r="A18" s="211" t="s">
        <v>662</v>
      </c>
      <c r="B18" s="211" t="s">
        <v>643</v>
      </c>
      <c r="C18" s="211" t="s">
        <v>663</v>
      </c>
      <c r="D18" s="212">
        <v>22120</v>
      </c>
      <c r="E18" s="212">
        <v>21930</v>
      </c>
      <c r="F18" s="212">
        <v>190</v>
      </c>
      <c r="G18" s="211" t="s">
        <v>644</v>
      </c>
      <c r="H18" s="213" t="s">
        <v>645</v>
      </c>
      <c r="I18" s="214">
        <v>0</v>
      </c>
      <c r="J18" s="213" t="s">
        <v>198</v>
      </c>
    </row>
    <row r="19" spans="1:10" x14ac:dyDescent="0.25">
      <c r="A19" s="211" t="s">
        <v>662</v>
      </c>
      <c r="B19" s="211" t="s">
        <v>643</v>
      </c>
      <c r="C19" s="211" t="s">
        <v>263</v>
      </c>
      <c r="D19" s="212">
        <v>5190</v>
      </c>
      <c r="E19" s="212">
        <v>5040</v>
      </c>
      <c r="F19" s="212">
        <v>150</v>
      </c>
      <c r="G19" s="211" t="s">
        <v>644</v>
      </c>
      <c r="H19" s="213" t="s">
        <v>645</v>
      </c>
      <c r="I19" s="214">
        <v>0</v>
      </c>
      <c r="J19" s="213" t="s">
        <v>203</v>
      </c>
    </row>
    <row r="20" spans="1:10" x14ac:dyDescent="0.25">
      <c r="A20" s="211" t="s">
        <v>664</v>
      </c>
      <c r="B20" s="211" t="s">
        <v>643</v>
      </c>
      <c r="C20" s="211" t="s">
        <v>663</v>
      </c>
      <c r="D20" s="212">
        <v>24125</v>
      </c>
      <c r="E20" s="212">
        <v>23970</v>
      </c>
      <c r="F20" s="212">
        <v>155</v>
      </c>
      <c r="G20" s="211" t="s">
        <v>644</v>
      </c>
      <c r="H20" s="213" t="s">
        <v>645</v>
      </c>
      <c r="I20" s="214">
        <v>0</v>
      </c>
      <c r="J20" s="213" t="s">
        <v>198</v>
      </c>
    </row>
    <row r="21" spans="1:10" x14ac:dyDescent="0.25">
      <c r="A21" s="211" t="s">
        <v>665</v>
      </c>
      <c r="B21" s="211" t="s">
        <v>643</v>
      </c>
      <c r="C21" s="211" t="s">
        <v>663</v>
      </c>
      <c r="D21" s="212">
        <v>15500</v>
      </c>
      <c r="E21" s="212">
        <v>15300</v>
      </c>
      <c r="F21" s="212">
        <v>200</v>
      </c>
      <c r="G21" s="211" t="s">
        <v>644</v>
      </c>
      <c r="H21" s="213" t="s">
        <v>645</v>
      </c>
      <c r="I21" s="214">
        <v>0</v>
      </c>
      <c r="J21" s="213" t="s">
        <v>198</v>
      </c>
    </row>
    <row r="22" spans="1:10" x14ac:dyDescent="0.25">
      <c r="A22" s="211" t="s">
        <v>665</v>
      </c>
      <c r="B22" s="211" t="s">
        <v>643</v>
      </c>
      <c r="C22" s="211" t="s">
        <v>263</v>
      </c>
      <c r="D22" s="212">
        <v>15746</v>
      </c>
      <c r="E22" s="212">
        <v>15456</v>
      </c>
      <c r="F22" s="212">
        <v>290</v>
      </c>
      <c r="G22" s="211" t="s">
        <v>644</v>
      </c>
      <c r="H22" s="213" t="s">
        <v>645</v>
      </c>
      <c r="I22" s="214">
        <v>0</v>
      </c>
      <c r="J22" s="213" t="s">
        <v>203</v>
      </c>
    </row>
    <row r="23" spans="1:10" x14ac:dyDescent="0.25">
      <c r="A23" s="211" t="s">
        <v>666</v>
      </c>
      <c r="B23" s="211" t="s">
        <v>643</v>
      </c>
      <c r="C23" s="211" t="s">
        <v>263</v>
      </c>
      <c r="D23" s="212">
        <v>4488</v>
      </c>
      <c r="E23" s="212">
        <v>4368</v>
      </c>
      <c r="F23" s="212">
        <v>120</v>
      </c>
      <c r="G23" s="211" t="s">
        <v>644</v>
      </c>
      <c r="H23" s="213" t="s">
        <v>645</v>
      </c>
      <c r="I23" s="214">
        <v>0</v>
      </c>
      <c r="J23" s="213" t="s">
        <v>203</v>
      </c>
    </row>
    <row r="24" spans="1:10" x14ac:dyDescent="0.25">
      <c r="A24" s="211" t="s">
        <v>667</v>
      </c>
      <c r="B24" s="211" t="s">
        <v>643</v>
      </c>
      <c r="C24" s="211" t="s">
        <v>263</v>
      </c>
      <c r="D24" s="212">
        <v>7420</v>
      </c>
      <c r="E24" s="212">
        <v>7280</v>
      </c>
      <c r="F24" s="212">
        <v>140</v>
      </c>
      <c r="G24" s="211" t="s">
        <v>644</v>
      </c>
      <c r="H24" s="213" t="s">
        <v>165</v>
      </c>
      <c r="I24" s="214">
        <v>130</v>
      </c>
      <c r="J24" s="213" t="s">
        <v>22</v>
      </c>
    </row>
    <row r="25" spans="1:10" x14ac:dyDescent="0.25">
      <c r="A25" s="211" t="s">
        <v>668</v>
      </c>
      <c r="B25" s="211" t="s">
        <v>643</v>
      </c>
      <c r="C25" s="211" t="s">
        <v>663</v>
      </c>
      <c r="D25" s="212">
        <v>4749</v>
      </c>
      <c r="E25" s="212">
        <v>4704</v>
      </c>
      <c r="F25" s="212">
        <v>45</v>
      </c>
      <c r="G25" s="211" t="s">
        <v>644</v>
      </c>
      <c r="H25" s="213" t="s">
        <v>181</v>
      </c>
      <c r="I25" s="214">
        <v>60</v>
      </c>
      <c r="J25" s="213" t="s">
        <v>208</v>
      </c>
    </row>
    <row r="26" spans="1:10" x14ac:dyDescent="0.25">
      <c r="A26" s="211" t="s">
        <v>668</v>
      </c>
      <c r="B26" s="211" t="s">
        <v>643</v>
      </c>
      <c r="C26" s="211" t="s">
        <v>263</v>
      </c>
      <c r="D26" s="212">
        <v>18975</v>
      </c>
      <c r="E26" s="212">
        <v>18720</v>
      </c>
      <c r="F26" s="212">
        <v>255</v>
      </c>
      <c r="G26" s="211" t="s">
        <v>644</v>
      </c>
      <c r="H26" s="213" t="s">
        <v>645</v>
      </c>
      <c r="I26" s="214">
        <v>0</v>
      </c>
      <c r="J26" s="213" t="s">
        <v>22</v>
      </c>
    </row>
    <row r="27" spans="1:10" x14ac:dyDescent="0.25">
      <c r="A27" s="211" t="s">
        <v>669</v>
      </c>
      <c r="B27" s="211" t="s">
        <v>643</v>
      </c>
      <c r="C27" s="211" t="s">
        <v>263</v>
      </c>
      <c r="D27" s="212">
        <v>8991</v>
      </c>
      <c r="E27" s="212">
        <v>8736</v>
      </c>
      <c r="F27" s="212">
        <v>255</v>
      </c>
      <c r="G27" s="211" t="s">
        <v>644</v>
      </c>
      <c r="H27" s="213" t="s">
        <v>645</v>
      </c>
      <c r="I27" s="214">
        <v>0</v>
      </c>
      <c r="J27" s="213" t="s">
        <v>22</v>
      </c>
    </row>
    <row r="28" spans="1:10" x14ac:dyDescent="0.25">
      <c r="A28" s="211" t="s">
        <v>670</v>
      </c>
      <c r="B28" s="211" t="s">
        <v>671</v>
      </c>
      <c r="C28" s="211" t="s">
        <v>663</v>
      </c>
      <c r="D28" s="212">
        <v>14405</v>
      </c>
      <c r="E28" s="212">
        <v>13770</v>
      </c>
      <c r="F28" s="212">
        <v>635</v>
      </c>
      <c r="G28" s="211" t="s">
        <v>644</v>
      </c>
      <c r="H28" s="213" t="s">
        <v>167</v>
      </c>
      <c r="I28" s="214">
        <v>60</v>
      </c>
      <c r="J28" s="213" t="s">
        <v>200</v>
      </c>
    </row>
    <row r="29" spans="1:10" x14ac:dyDescent="0.25">
      <c r="A29" s="211" t="s">
        <v>672</v>
      </c>
      <c r="B29" s="211" t="s">
        <v>671</v>
      </c>
      <c r="C29" s="211" t="s">
        <v>663</v>
      </c>
      <c r="D29" s="212">
        <v>7022</v>
      </c>
      <c r="E29" s="212">
        <v>6822</v>
      </c>
      <c r="F29" s="212">
        <v>200</v>
      </c>
      <c r="G29" s="211" t="s">
        <v>644</v>
      </c>
      <c r="H29" s="213" t="s">
        <v>181</v>
      </c>
      <c r="I29" s="214">
        <v>360</v>
      </c>
      <c r="J29" s="213" t="s">
        <v>673</v>
      </c>
    </row>
    <row r="30" spans="1:10" x14ac:dyDescent="0.25">
      <c r="A30" s="211" t="s">
        <v>672</v>
      </c>
      <c r="B30" s="211" t="s">
        <v>671</v>
      </c>
      <c r="C30" s="211" t="s">
        <v>263</v>
      </c>
      <c r="D30" s="212">
        <v>13629</v>
      </c>
      <c r="E30" s="212">
        <v>13104</v>
      </c>
      <c r="F30" s="212">
        <v>525</v>
      </c>
      <c r="G30" s="211" t="s">
        <v>644</v>
      </c>
      <c r="H30" s="213" t="s">
        <v>165</v>
      </c>
      <c r="I30" s="214">
        <v>120</v>
      </c>
      <c r="J30" s="213" t="s">
        <v>22</v>
      </c>
    </row>
    <row r="31" spans="1:10" x14ac:dyDescent="0.25">
      <c r="A31" s="211" t="s">
        <v>674</v>
      </c>
      <c r="B31" s="211" t="s">
        <v>671</v>
      </c>
      <c r="C31" s="211" t="s">
        <v>663</v>
      </c>
      <c r="D31" s="212">
        <v>26522</v>
      </c>
      <c r="E31" s="212">
        <v>25872</v>
      </c>
      <c r="F31" s="212">
        <v>650</v>
      </c>
      <c r="G31" s="211" t="s">
        <v>644</v>
      </c>
      <c r="H31" s="213" t="s">
        <v>645</v>
      </c>
      <c r="I31" s="214">
        <v>0</v>
      </c>
      <c r="J31" s="213" t="s">
        <v>195</v>
      </c>
    </row>
    <row r="32" spans="1:10" x14ac:dyDescent="0.25">
      <c r="A32" s="211" t="s">
        <v>674</v>
      </c>
      <c r="B32" s="211" t="s">
        <v>671</v>
      </c>
      <c r="C32" s="211" t="s">
        <v>263</v>
      </c>
      <c r="D32" s="212">
        <v>17902</v>
      </c>
      <c r="E32" s="212">
        <v>17472</v>
      </c>
      <c r="F32" s="212">
        <v>430</v>
      </c>
      <c r="G32" s="211" t="s">
        <v>644</v>
      </c>
      <c r="H32" s="213" t="s">
        <v>645</v>
      </c>
      <c r="I32" s="214">
        <v>0</v>
      </c>
      <c r="J32" s="213" t="s">
        <v>22</v>
      </c>
    </row>
    <row r="33" spans="1:10" x14ac:dyDescent="0.25">
      <c r="A33" s="211" t="s">
        <v>675</v>
      </c>
      <c r="B33" s="211" t="s">
        <v>671</v>
      </c>
      <c r="C33" s="211" t="s">
        <v>663</v>
      </c>
      <c r="D33" s="212">
        <v>20164</v>
      </c>
      <c r="E33" s="212">
        <v>19404</v>
      </c>
      <c r="F33" s="212">
        <v>760</v>
      </c>
      <c r="G33" s="211" t="s">
        <v>644</v>
      </c>
      <c r="H33" s="213" t="s">
        <v>645</v>
      </c>
      <c r="I33" s="214">
        <v>0</v>
      </c>
      <c r="J33" s="213" t="s">
        <v>195</v>
      </c>
    </row>
    <row r="34" spans="1:10" x14ac:dyDescent="0.25">
      <c r="A34" s="211" t="s">
        <v>675</v>
      </c>
      <c r="B34" s="211" t="s">
        <v>671</v>
      </c>
      <c r="C34" s="211" t="s">
        <v>263</v>
      </c>
      <c r="D34" s="212">
        <v>3328</v>
      </c>
      <c r="E34" s="212">
        <v>3120</v>
      </c>
      <c r="F34" s="212">
        <v>208</v>
      </c>
      <c r="G34" s="211" t="s">
        <v>644</v>
      </c>
      <c r="H34" s="213" t="s">
        <v>645</v>
      </c>
      <c r="I34" s="214">
        <v>0</v>
      </c>
      <c r="J34" s="213" t="s">
        <v>22</v>
      </c>
    </row>
    <row r="35" spans="1:10" x14ac:dyDescent="0.25">
      <c r="A35" s="211" t="s">
        <v>676</v>
      </c>
      <c r="B35" s="211" t="s">
        <v>671</v>
      </c>
      <c r="C35" s="211" t="s">
        <v>663</v>
      </c>
      <c r="D35" s="212">
        <v>2095</v>
      </c>
      <c r="E35" s="212">
        <v>2040</v>
      </c>
      <c r="F35" s="212">
        <v>55</v>
      </c>
      <c r="G35" s="211" t="s">
        <v>644</v>
      </c>
      <c r="H35" s="213" t="s">
        <v>677</v>
      </c>
      <c r="I35" s="214">
        <v>390</v>
      </c>
      <c r="J35" s="213" t="s">
        <v>200</v>
      </c>
    </row>
    <row r="36" spans="1:10" x14ac:dyDescent="0.25">
      <c r="A36" s="211" t="s">
        <v>678</v>
      </c>
      <c r="B36" s="211" t="s">
        <v>671</v>
      </c>
      <c r="C36" s="211" t="s">
        <v>663</v>
      </c>
      <c r="D36" s="212">
        <v>30415</v>
      </c>
      <c r="E36" s="212">
        <v>30090</v>
      </c>
      <c r="F36" s="212">
        <v>325</v>
      </c>
      <c r="G36" s="211" t="s">
        <v>644</v>
      </c>
      <c r="H36" s="213" t="s">
        <v>645</v>
      </c>
      <c r="I36" s="214">
        <v>0</v>
      </c>
      <c r="J36" s="213" t="s">
        <v>200</v>
      </c>
    </row>
    <row r="37" spans="1:10" x14ac:dyDescent="0.25">
      <c r="A37" s="211" t="s">
        <v>678</v>
      </c>
      <c r="B37" s="211" t="s">
        <v>671</v>
      </c>
      <c r="C37" s="211" t="s">
        <v>263</v>
      </c>
      <c r="D37" s="212">
        <v>0</v>
      </c>
      <c r="E37" s="212">
        <v>0</v>
      </c>
      <c r="F37" s="212">
        <v>0</v>
      </c>
      <c r="G37" s="211" t="s">
        <v>679</v>
      </c>
      <c r="H37" s="213" t="s">
        <v>181</v>
      </c>
      <c r="I37" s="214">
        <v>210</v>
      </c>
      <c r="J37" s="213" t="s">
        <v>680</v>
      </c>
    </row>
    <row r="38" spans="1:10" x14ac:dyDescent="0.25">
      <c r="A38" s="211" t="s">
        <v>681</v>
      </c>
      <c r="B38" s="211" t="s">
        <v>671</v>
      </c>
      <c r="C38" s="211" t="s">
        <v>663</v>
      </c>
      <c r="D38" s="212">
        <v>24270</v>
      </c>
      <c r="E38" s="212">
        <v>23970</v>
      </c>
      <c r="F38" s="212">
        <v>300</v>
      </c>
      <c r="G38" s="211" t="s">
        <v>644</v>
      </c>
      <c r="H38" s="213" t="s">
        <v>645</v>
      </c>
      <c r="I38" s="214">
        <v>0</v>
      </c>
      <c r="J38" s="213" t="s">
        <v>200</v>
      </c>
    </row>
    <row r="39" spans="1:10" x14ac:dyDescent="0.25">
      <c r="A39" s="211" t="s">
        <v>681</v>
      </c>
      <c r="B39" s="211" t="s">
        <v>671</v>
      </c>
      <c r="C39" s="211" t="s">
        <v>263</v>
      </c>
      <c r="D39" s="212">
        <v>20892</v>
      </c>
      <c r="E39" s="212">
        <v>19992</v>
      </c>
      <c r="F39" s="212">
        <v>900</v>
      </c>
      <c r="G39" s="211" t="s">
        <v>644</v>
      </c>
      <c r="H39" s="213" t="s">
        <v>167</v>
      </c>
      <c r="I39" s="214">
        <v>90</v>
      </c>
      <c r="J39" s="213" t="s">
        <v>196</v>
      </c>
    </row>
    <row r="40" spans="1:10" x14ac:dyDescent="0.25">
      <c r="A40" s="211" t="s">
        <v>682</v>
      </c>
      <c r="B40" s="211" t="s">
        <v>671</v>
      </c>
      <c r="C40" s="211" t="s">
        <v>663</v>
      </c>
      <c r="D40" s="212">
        <v>22390</v>
      </c>
      <c r="E40" s="212">
        <v>21930</v>
      </c>
      <c r="F40" s="212">
        <v>460</v>
      </c>
      <c r="G40" s="211" t="s">
        <v>644</v>
      </c>
      <c r="H40" s="213" t="s">
        <v>645</v>
      </c>
      <c r="I40" s="214">
        <v>0</v>
      </c>
      <c r="J40" s="213" t="s">
        <v>200</v>
      </c>
    </row>
    <row r="41" spans="1:10" x14ac:dyDescent="0.25">
      <c r="A41" s="211" t="s">
        <v>682</v>
      </c>
      <c r="B41" s="211" t="s">
        <v>671</v>
      </c>
      <c r="C41" s="211" t="s">
        <v>263</v>
      </c>
      <c r="D41" s="212">
        <v>24355</v>
      </c>
      <c r="E41" s="212">
        <v>24010</v>
      </c>
      <c r="F41" s="212">
        <v>345</v>
      </c>
      <c r="G41" s="211" t="s">
        <v>644</v>
      </c>
      <c r="H41" s="213" t="s">
        <v>645</v>
      </c>
      <c r="I41" s="214">
        <v>0</v>
      </c>
      <c r="J41" s="213" t="s">
        <v>16</v>
      </c>
    </row>
    <row r="42" spans="1:10" x14ac:dyDescent="0.25">
      <c r="A42" s="211" t="s">
        <v>683</v>
      </c>
      <c r="B42" s="211" t="s">
        <v>671</v>
      </c>
      <c r="C42" s="211" t="s">
        <v>663</v>
      </c>
      <c r="D42" s="212">
        <v>15593</v>
      </c>
      <c r="E42" s="212">
        <v>15288</v>
      </c>
      <c r="F42" s="212">
        <v>305</v>
      </c>
      <c r="G42" s="211" t="s">
        <v>644</v>
      </c>
      <c r="H42" s="213" t="s">
        <v>181</v>
      </c>
      <c r="I42" s="214">
        <v>90</v>
      </c>
      <c r="J42" s="213" t="s">
        <v>286</v>
      </c>
    </row>
    <row r="43" spans="1:10" x14ac:dyDescent="0.25">
      <c r="A43" s="211" t="s">
        <v>683</v>
      </c>
      <c r="B43" s="211" t="s">
        <v>671</v>
      </c>
      <c r="C43" s="211" t="s">
        <v>263</v>
      </c>
      <c r="D43" s="212">
        <v>25397</v>
      </c>
      <c r="E43" s="212">
        <v>25137</v>
      </c>
      <c r="F43" s="212">
        <v>260</v>
      </c>
      <c r="G43" s="211" t="s">
        <v>644</v>
      </c>
      <c r="H43" s="213" t="s">
        <v>645</v>
      </c>
      <c r="I43" s="214">
        <v>0</v>
      </c>
      <c r="J43" s="213" t="s">
        <v>217</v>
      </c>
    </row>
    <row r="44" spans="1:10" x14ac:dyDescent="0.25">
      <c r="A44" s="211" t="s">
        <v>684</v>
      </c>
      <c r="B44" s="211" t="s">
        <v>671</v>
      </c>
      <c r="C44" s="211" t="s">
        <v>663</v>
      </c>
      <c r="D44" s="212">
        <v>25340</v>
      </c>
      <c r="E44" s="212">
        <v>24990</v>
      </c>
      <c r="F44" s="212">
        <v>350</v>
      </c>
      <c r="G44" s="211" t="s">
        <v>644</v>
      </c>
      <c r="H44" s="213" t="s">
        <v>645</v>
      </c>
      <c r="I44" s="214">
        <v>0</v>
      </c>
      <c r="J44" s="213" t="s">
        <v>200</v>
      </c>
    </row>
    <row r="45" spans="1:10" x14ac:dyDescent="0.25">
      <c r="A45" s="211" t="s">
        <v>684</v>
      </c>
      <c r="B45" s="211" t="s">
        <v>671</v>
      </c>
      <c r="C45" s="211" t="s">
        <v>263</v>
      </c>
      <c r="D45" s="212">
        <v>25490</v>
      </c>
      <c r="E45" s="212">
        <v>25200</v>
      </c>
      <c r="F45" s="212">
        <v>290</v>
      </c>
      <c r="G45" s="211" t="s">
        <v>644</v>
      </c>
      <c r="H45" s="213" t="s">
        <v>645</v>
      </c>
      <c r="I45" s="214">
        <v>0</v>
      </c>
      <c r="J45" s="213" t="s">
        <v>14</v>
      </c>
    </row>
    <row r="46" spans="1:10" x14ac:dyDescent="0.25">
      <c r="A46" s="211" t="s">
        <v>685</v>
      </c>
      <c r="B46" s="211" t="s">
        <v>671</v>
      </c>
      <c r="C46" s="211" t="s">
        <v>663</v>
      </c>
      <c r="D46" s="212">
        <v>24310</v>
      </c>
      <c r="E46" s="212">
        <v>23970</v>
      </c>
      <c r="F46" s="212">
        <v>340</v>
      </c>
      <c r="G46" s="211" t="s">
        <v>644</v>
      </c>
      <c r="H46" s="213" t="s">
        <v>645</v>
      </c>
      <c r="I46" s="214">
        <v>0</v>
      </c>
      <c r="J46" s="213" t="s">
        <v>200</v>
      </c>
    </row>
    <row r="47" spans="1:10" x14ac:dyDescent="0.25">
      <c r="A47" s="211" t="s">
        <v>685</v>
      </c>
      <c r="B47" s="211" t="s">
        <v>671</v>
      </c>
      <c r="C47" s="211" t="s">
        <v>263</v>
      </c>
      <c r="D47" s="212">
        <v>23118</v>
      </c>
      <c r="E47" s="212">
        <v>22848</v>
      </c>
      <c r="F47" s="212">
        <v>270</v>
      </c>
      <c r="G47" s="211" t="s">
        <v>644</v>
      </c>
      <c r="H47" s="213" t="s">
        <v>645</v>
      </c>
      <c r="I47" s="214">
        <v>0</v>
      </c>
      <c r="J47" s="213" t="s">
        <v>14</v>
      </c>
    </row>
    <row r="48" spans="1:10" x14ac:dyDescent="0.25">
      <c r="A48" s="211" t="s">
        <v>686</v>
      </c>
      <c r="B48" s="211" t="s">
        <v>671</v>
      </c>
      <c r="C48" s="211" t="s">
        <v>663</v>
      </c>
      <c r="D48" s="212">
        <v>24350</v>
      </c>
      <c r="E48" s="212">
        <v>23970</v>
      </c>
      <c r="F48" s="212">
        <v>380</v>
      </c>
      <c r="G48" s="211" t="s">
        <v>644</v>
      </c>
      <c r="H48" s="213" t="s">
        <v>645</v>
      </c>
      <c r="I48" s="214">
        <v>0</v>
      </c>
      <c r="J48" s="213" t="s">
        <v>200</v>
      </c>
    </row>
    <row r="49" spans="1:10" x14ac:dyDescent="0.25">
      <c r="A49" s="211" t="s">
        <v>686</v>
      </c>
      <c r="B49" s="211" t="s">
        <v>671</v>
      </c>
      <c r="C49" s="211" t="s">
        <v>263</v>
      </c>
      <c r="D49" s="212">
        <v>16755</v>
      </c>
      <c r="E49" s="212">
        <v>16415</v>
      </c>
      <c r="F49" s="212">
        <v>340</v>
      </c>
      <c r="G49" s="211" t="s">
        <v>644</v>
      </c>
      <c r="H49" s="213" t="s">
        <v>167</v>
      </c>
      <c r="I49" s="214">
        <v>120</v>
      </c>
      <c r="J49" s="213" t="s">
        <v>20</v>
      </c>
    </row>
    <row r="50" spans="1:10" x14ac:dyDescent="0.25">
      <c r="A50" s="211" t="s">
        <v>687</v>
      </c>
      <c r="B50" s="211" t="s">
        <v>671</v>
      </c>
      <c r="C50" s="211" t="s">
        <v>663</v>
      </c>
      <c r="D50" s="212">
        <v>23690</v>
      </c>
      <c r="E50" s="212">
        <v>22950</v>
      </c>
      <c r="F50" s="212">
        <v>740</v>
      </c>
      <c r="G50" s="211" t="s">
        <v>644</v>
      </c>
      <c r="H50" s="213" t="s">
        <v>645</v>
      </c>
      <c r="I50" s="214">
        <v>0</v>
      </c>
      <c r="J50" s="213" t="s">
        <v>199</v>
      </c>
    </row>
    <row r="51" spans="1:10" x14ac:dyDescent="0.25">
      <c r="A51" s="211" t="s">
        <v>687</v>
      </c>
      <c r="B51" s="211" t="s">
        <v>671</v>
      </c>
      <c r="C51" s="211" t="s">
        <v>263</v>
      </c>
      <c r="D51" s="212">
        <v>26780</v>
      </c>
      <c r="E51" s="212">
        <v>25970</v>
      </c>
      <c r="F51" s="212">
        <v>810</v>
      </c>
      <c r="G51" s="211" t="s">
        <v>644</v>
      </c>
      <c r="H51" s="213" t="s">
        <v>645</v>
      </c>
      <c r="I51" s="214">
        <v>0</v>
      </c>
      <c r="J51" s="213" t="s">
        <v>20</v>
      </c>
    </row>
    <row r="52" spans="1:10" x14ac:dyDescent="0.25">
      <c r="A52" s="211" t="s">
        <v>688</v>
      </c>
      <c r="B52" s="211" t="s">
        <v>671</v>
      </c>
      <c r="C52" s="211" t="s">
        <v>663</v>
      </c>
      <c r="D52" s="212">
        <v>24215</v>
      </c>
      <c r="E52" s="212">
        <v>23970</v>
      </c>
      <c r="F52" s="212">
        <v>245</v>
      </c>
      <c r="G52" s="211" t="s">
        <v>644</v>
      </c>
      <c r="H52" s="213" t="s">
        <v>645</v>
      </c>
      <c r="I52" s="214">
        <v>0</v>
      </c>
      <c r="J52" s="213" t="s">
        <v>199</v>
      </c>
    </row>
    <row r="53" spans="1:10" x14ac:dyDescent="0.25">
      <c r="A53" s="211" t="s">
        <v>688</v>
      </c>
      <c r="B53" s="211" t="s">
        <v>671</v>
      </c>
      <c r="C53" s="211" t="s">
        <v>263</v>
      </c>
      <c r="D53" s="212">
        <v>17145</v>
      </c>
      <c r="E53" s="212">
        <v>16905</v>
      </c>
      <c r="F53" s="212">
        <v>240</v>
      </c>
      <c r="G53" s="211" t="s">
        <v>644</v>
      </c>
      <c r="H53" s="213" t="s">
        <v>165</v>
      </c>
      <c r="I53" s="214">
        <v>60</v>
      </c>
      <c r="J53" s="213" t="s">
        <v>20</v>
      </c>
    </row>
    <row r="54" spans="1:10" x14ac:dyDescent="0.25">
      <c r="A54" s="211" t="s">
        <v>689</v>
      </c>
      <c r="B54" s="211" t="s">
        <v>671</v>
      </c>
      <c r="C54" s="211" t="s">
        <v>690</v>
      </c>
      <c r="D54" s="212">
        <v>2472</v>
      </c>
      <c r="E54" s="212">
        <v>2352</v>
      </c>
      <c r="F54" s="212">
        <v>120</v>
      </c>
      <c r="G54" s="211" t="s">
        <v>644</v>
      </c>
      <c r="H54" s="213" t="s">
        <v>167</v>
      </c>
      <c r="I54" s="214">
        <v>300</v>
      </c>
      <c r="J54" s="213" t="s">
        <v>206</v>
      </c>
    </row>
    <row r="55" spans="1:10" x14ac:dyDescent="0.25">
      <c r="A55" s="211" t="s">
        <v>689</v>
      </c>
      <c r="B55" s="211" t="s">
        <v>671</v>
      </c>
      <c r="C55" s="211" t="s">
        <v>663</v>
      </c>
      <c r="D55" s="212">
        <v>21260</v>
      </c>
      <c r="E55" s="212">
        <v>20910</v>
      </c>
      <c r="F55" s="212">
        <v>350</v>
      </c>
      <c r="G55" s="211" t="s">
        <v>644</v>
      </c>
      <c r="H55" s="213" t="s">
        <v>645</v>
      </c>
      <c r="I55" s="214">
        <v>0</v>
      </c>
      <c r="J55" s="213" t="s">
        <v>199</v>
      </c>
    </row>
    <row r="56" spans="1:10" x14ac:dyDescent="0.25">
      <c r="A56" s="211" t="s">
        <v>691</v>
      </c>
      <c r="B56" s="211" t="s">
        <v>671</v>
      </c>
      <c r="C56" s="211" t="s">
        <v>663</v>
      </c>
      <c r="D56" s="212">
        <v>22310</v>
      </c>
      <c r="E56" s="212">
        <v>21930</v>
      </c>
      <c r="F56" s="212">
        <v>380</v>
      </c>
      <c r="G56" s="211" t="s">
        <v>644</v>
      </c>
      <c r="H56" s="213" t="s">
        <v>645</v>
      </c>
      <c r="I56" s="214">
        <v>0</v>
      </c>
      <c r="J56" s="213" t="s">
        <v>199</v>
      </c>
    </row>
    <row r="57" spans="1:10" x14ac:dyDescent="0.25">
      <c r="A57" s="211" t="s">
        <v>692</v>
      </c>
      <c r="B57" s="211" t="s">
        <v>671</v>
      </c>
      <c r="C57" s="211" t="s">
        <v>663</v>
      </c>
      <c r="D57" s="212">
        <v>23450</v>
      </c>
      <c r="E57" s="212">
        <v>22950</v>
      </c>
      <c r="F57" s="212">
        <v>500</v>
      </c>
      <c r="G57" s="211" t="s">
        <v>644</v>
      </c>
      <c r="H57" s="213" t="s">
        <v>645</v>
      </c>
      <c r="I57" s="214">
        <v>0</v>
      </c>
      <c r="J57" s="213" t="s">
        <v>199</v>
      </c>
    </row>
    <row r="58" spans="1:10" x14ac:dyDescent="0.25">
      <c r="A58" s="211" t="s">
        <v>692</v>
      </c>
      <c r="B58" s="211" t="s">
        <v>671</v>
      </c>
      <c r="C58" s="211" t="s">
        <v>263</v>
      </c>
      <c r="D58" s="212">
        <v>10620</v>
      </c>
      <c r="E58" s="212">
        <v>10400</v>
      </c>
      <c r="F58" s="212">
        <v>220</v>
      </c>
      <c r="G58" s="211" t="s">
        <v>644</v>
      </c>
      <c r="H58" s="213" t="s">
        <v>181</v>
      </c>
      <c r="I58" s="214">
        <v>180</v>
      </c>
      <c r="J58" s="213" t="s">
        <v>227</v>
      </c>
    </row>
    <row r="59" spans="1:10" x14ac:dyDescent="0.25">
      <c r="A59" s="211" t="s">
        <v>693</v>
      </c>
      <c r="B59" s="211" t="s">
        <v>671</v>
      </c>
      <c r="C59" s="211" t="s">
        <v>663</v>
      </c>
      <c r="D59" s="212">
        <v>22210</v>
      </c>
      <c r="E59" s="212">
        <v>21930</v>
      </c>
      <c r="F59" s="212">
        <v>280</v>
      </c>
      <c r="G59" s="211" t="s">
        <v>644</v>
      </c>
      <c r="H59" s="213" t="s">
        <v>645</v>
      </c>
      <c r="I59" s="214">
        <v>0</v>
      </c>
      <c r="J59" s="213" t="s">
        <v>199</v>
      </c>
    </row>
    <row r="60" spans="1:10" x14ac:dyDescent="0.25">
      <c r="A60" s="211" t="s">
        <v>693</v>
      </c>
      <c r="B60" s="211" t="s">
        <v>671</v>
      </c>
      <c r="C60" s="211" t="s">
        <v>263</v>
      </c>
      <c r="D60" s="212">
        <v>20476</v>
      </c>
      <c r="E60" s="212">
        <v>20176</v>
      </c>
      <c r="F60" s="212">
        <v>300</v>
      </c>
      <c r="G60" s="211" t="s">
        <v>644</v>
      </c>
      <c r="H60" s="213" t="s">
        <v>167</v>
      </c>
      <c r="I60" s="214">
        <v>60</v>
      </c>
      <c r="J60" s="213" t="s">
        <v>227</v>
      </c>
    </row>
    <row r="61" spans="1:10" x14ac:dyDescent="0.25">
      <c r="A61" s="211" t="s">
        <v>694</v>
      </c>
      <c r="B61" s="211" t="s">
        <v>671</v>
      </c>
      <c r="C61" s="211" t="s">
        <v>663</v>
      </c>
      <c r="D61" s="212">
        <v>22190</v>
      </c>
      <c r="E61" s="212">
        <v>21930</v>
      </c>
      <c r="F61" s="212">
        <v>260</v>
      </c>
      <c r="G61" s="211" t="s">
        <v>644</v>
      </c>
      <c r="H61" s="213" t="s">
        <v>645</v>
      </c>
      <c r="I61" s="214">
        <v>0</v>
      </c>
      <c r="J61" s="213" t="s">
        <v>199</v>
      </c>
    </row>
    <row r="62" spans="1:10" x14ac:dyDescent="0.25">
      <c r="A62" s="211" t="s">
        <v>694</v>
      </c>
      <c r="B62" s="211" t="s">
        <v>671</v>
      </c>
      <c r="C62" s="211" t="s">
        <v>263</v>
      </c>
      <c r="D62" s="212">
        <v>19406</v>
      </c>
      <c r="E62" s="212">
        <v>19136</v>
      </c>
      <c r="F62" s="212">
        <v>270</v>
      </c>
      <c r="G62" s="211" t="s">
        <v>644</v>
      </c>
      <c r="H62" s="213" t="s">
        <v>181</v>
      </c>
      <c r="I62" s="214">
        <v>60</v>
      </c>
      <c r="J62" s="213" t="s">
        <v>227</v>
      </c>
    </row>
    <row r="63" spans="1:10" x14ac:dyDescent="0.25">
      <c r="A63" s="211" t="s">
        <v>695</v>
      </c>
      <c r="B63" s="211" t="s">
        <v>671</v>
      </c>
      <c r="C63" s="211" t="s">
        <v>663</v>
      </c>
      <c r="D63" s="212">
        <v>11610</v>
      </c>
      <c r="E63" s="212">
        <v>11220</v>
      </c>
      <c r="F63" s="212">
        <v>390</v>
      </c>
      <c r="G63" s="211" t="s">
        <v>644</v>
      </c>
      <c r="H63" s="213" t="s">
        <v>181</v>
      </c>
      <c r="I63" s="214">
        <v>120</v>
      </c>
      <c r="J63" s="213" t="s">
        <v>199</v>
      </c>
    </row>
    <row r="64" spans="1:10" x14ac:dyDescent="0.25">
      <c r="A64" s="211" t="s">
        <v>695</v>
      </c>
      <c r="B64" s="211" t="s">
        <v>671</v>
      </c>
      <c r="C64" s="211" t="s">
        <v>263</v>
      </c>
      <c r="D64" s="212">
        <v>17010</v>
      </c>
      <c r="E64" s="212">
        <v>16640</v>
      </c>
      <c r="F64" s="212">
        <v>370</v>
      </c>
      <c r="G64" s="211" t="s">
        <v>644</v>
      </c>
      <c r="H64" s="213" t="s">
        <v>185</v>
      </c>
      <c r="I64" s="214">
        <v>60</v>
      </c>
      <c r="J64" s="213" t="s">
        <v>227</v>
      </c>
    </row>
    <row r="65" spans="1:10" x14ac:dyDescent="0.25">
      <c r="A65" s="211" t="s">
        <v>696</v>
      </c>
      <c r="B65" s="211" t="s">
        <v>671</v>
      </c>
      <c r="C65" s="211" t="s">
        <v>663</v>
      </c>
      <c r="D65" s="212">
        <v>7256</v>
      </c>
      <c r="E65" s="212">
        <v>7056</v>
      </c>
      <c r="F65" s="212">
        <v>200</v>
      </c>
      <c r="G65" s="211" t="s">
        <v>644</v>
      </c>
      <c r="H65" s="213" t="s">
        <v>165</v>
      </c>
      <c r="I65" s="214">
        <v>240</v>
      </c>
      <c r="J65" s="213" t="s">
        <v>206</v>
      </c>
    </row>
    <row r="66" spans="1:10" x14ac:dyDescent="0.25">
      <c r="A66" s="211" t="s">
        <v>696</v>
      </c>
      <c r="B66" s="211" t="s">
        <v>671</v>
      </c>
      <c r="C66" s="211" t="s">
        <v>263</v>
      </c>
      <c r="D66" s="212">
        <v>12516</v>
      </c>
      <c r="E66" s="212">
        <v>12236</v>
      </c>
      <c r="F66" s="212">
        <v>280</v>
      </c>
      <c r="G66" s="211" t="s">
        <v>644</v>
      </c>
      <c r="H66" s="213" t="s">
        <v>167</v>
      </c>
      <c r="I66" s="214">
        <v>180</v>
      </c>
      <c r="J66" s="213" t="s">
        <v>697</v>
      </c>
    </row>
    <row r="67" spans="1:10" x14ac:dyDescent="0.25">
      <c r="A67" s="211" t="s">
        <v>698</v>
      </c>
      <c r="B67" s="211" t="s">
        <v>671</v>
      </c>
      <c r="C67" s="211" t="s">
        <v>663</v>
      </c>
      <c r="D67" s="212">
        <v>11510</v>
      </c>
      <c r="E67" s="212">
        <v>11220</v>
      </c>
      <c r="F67" s="212">
        <v>290</v>
      </c>
      <c r="G67" s="211" t="s">
        <v>644</v>
      </c>
      <c r="H67" s="213" t="s">
        <v>165</v>
      </c>
      <c r="I67" s="214">
        <v>180</v>
      </c>
      <c r="J67" s="213" t="s">
        <v>199</v>
      </c>
    </row>
    <row r="68" spans="1:10" x14ac:dyDescent="0.25">
      <c r="A68" s="211" t="s">
        <v>698</v>
      </c>
      <c r="B68" s="211" t="s">
        <v>671</v>
      </c>
      <c r="C68" s="211" t="s">
        <v>263</v>
      </c>
      <c r="D68" s="212">
        <v>22310</v>
      </c>
      <c r="E68" s="212">
        <v>22050</v>
      </c>
      <c r="F68" s="212">
        <v>260</v>
      </c>
      <c r="G68" s="211" t="s">
        <v>644</v>
      </c>
      <c r="H68" s="213" t="s">
        <v>645</v>
      </c>
      <c r="I68" s="214">
        <v>0</v>
      </c>
      <c r="J68" s="213" t="s">
        <v>20</v>
      </c>
    </row>
    <row r="69" spans="1:10" x14ac:dyDescent="0.25">
      <c r="A69" s="211" t="s">
        <v>699</v>
      </c>
      <c r="B69" s="211" t="s">
        <v>700</v>
      </c>
      <c r="C69" s="211" t="s">
        <v>663</v>
      </c>
      <c r="D69" s="212">
        <v>22250</v>
      </c>
      <c r="E69" s="212">
        <v>21930</v>
      </c>
      <c r="F69" s="212">
        <v>320</v>
      </c>
      <c r="G69" s="211" t="s">
        <v>644</v>
      </c>
      <c r="H69" s="213" t="s">
        <v>645</v>
      </c>
      <c r="I69" s="214">
        <v>0</v>
      </c>
      <c r="J69" s="213" t="s">
        <v>701</v>
      </c>
    </row>
    <row r="70" spans="1:10" x14ac:dyDescent="0.25">
      <c r="A70" s="211" t="s">
        <v>699</v>
      </c>
      <c r="B70" s="211" t="s">
        <v>700</v>
      </c>
      <c r="C70" s="211" t="s">
        <v>263</v>
      </c>
      <c r="D70" s="212">
        <v>13715</v>
      </c>
      <c r="E70" s="212">
        <v>13475</v>
      </c>
      <c r="F70" s="212">
        <v>240</v>
      </c>
      <c r="G70" s="211" t="s">
        <v>644</v>
      </c>
      <c r="H70" s="213" t="s">
        <v>181</v>
      </c>
      <c r="I70" s="214">
        <v>120</v>
      </c>
      <c r="J70" s="213" t="s">
        <v>20</v>
      </c>
    </row>
    <row r="71" spans="1:10" x14ac:dyDescent="0.25">
      <c r="A71" s="211" t="s">
        <v>702</v>
      </c>
      <c r="B71" s="211" t="s">
        <v>700</v>
      </c>
      <c r="C71" s="211" t="s">
        <v>663</v>
      </c>
      <c r="D71" s="212">
        <v>19640</v>
      </c>
      <c r="E71" s="212">
        <v>19380</v>
      </c>
      <c r="F71" s="212">
        <v>260</v>
      </c>
      <c r="G71" s="211" t="s">
        <v>644</v>
      </c>
      <c r="H71" s="213" t="s">
        <v>645</v>
      </c>
      <c r="I71" s="214">
        <v>0</v>
      </c>
      <c r="J71" s="213" t="s">
        <v>197</v>
      </c>
    </row>
    <row r="72" spans="1:10" x14ac:dyDescent="0.25">
      <c r="A72" s="211" t="s">
        <v>702</v>
      </c>
      <c r="B72" s="211" t="s">
        <v>700</v>
      </c>
      <c r="C72" s="211" t="s">
        <v>263</v>
      </c>
      <c r="D72" s="212">
        <v>22410</v>
      </c>
      <c r="E72" s="212">
        <v>22050</v>
      </c>
      <c r="F72" s="212">
        <v>360</v>
      </c>
      <c r="G72" s="211" t="s">
        <v>644</v>
      </c>
      <c r="H72" s="213" t="s">
        <v>645</v>
      </c>
      <c r="I72" s="214">
        <v>0</v>
      </c>
      <c r="J72" s="213" t="s">
        <v>20</v>
      </c>
    </row>
    <row r="73" spans="1:10" x14ac:dyDescent="0.25">
      <c r="A73" s="211" t="s">
        <v>703</v>
      </c>
      <c r="B73" s="211" t="s">
        <v>700</v>
      </c>
      <c r="C73" s="211" t="s">
        <v>704</v>
      </c>
      <c r="D73" s="212">
        <v>7838</v>
      </c>
      <c r="E73" s="212">
        <v>7488</v>
      </c>
      <c r="F73" s="212">
        <v>350</v>
      </c>
      <c r="G73" s="211" t="s">
        <v>644</v>
      </c>
      <c r="H73" s="213" t="s">
        <v>167</v>
      </c>
      <c r="I73" s="214">
        <v>180</v>
      </c>
      <c r="J73" s="213" t="s">
        <v>227</v>
      </c>
    </row>
    <row r="74" spans="1:10" x14ac:dyDescent="0.25">
      <c r="A74" s="211" t="s">
        <v>703</v>
      </c>
      <c r="B74" s="211" t="s">
        <v>700</v>
      </c>
      <c r="C74" s="211" t="s">
        <v>263</v>
      </c>
      <c r="D74" s="212">
        <v>22290</v>
      </c>
      <c r="E74" s="212">
        <v>22050</v>
      </c>
      <c r="F74" s="212">
        <v>240</v>
      </c>
      <c r="G74" s="211" t="s">
        <v>644</v>
      </c>
      <c r="H74" s="213" t="s">
        <v>185</v>
      </c>
      <c r="I74" s="214">
        <v>20</v>
      </c>
      <c r="J74" s="213" t="s">
        <v>20</v>
      </c>
    </row>
    <row r="75" spans="1:10" x14ac:dyDescent="0.25">
      <c r="A75" s="211" t="s">
        <v>705</v>
      </c>
      <c r="B75" s="211" t="s">
        <v>700</v>
      </c>
      <c r="C75" s="211" t="s">
        <v>704</v>
      </c>
      <c r="D75" s="212">
        <v>10858</v>
      </c>
      <c r="E75" s="212">
        <v>10608</v>
      </c>
      <c r="F75" s="212">
        <v>250</v>
      </c>
      <c r="G75" s="211" t="s">
        <v>644</v>
      </c>
      <c r="H75" s="213" t="s">
        <v>167</v>
      </c>
      <c r="I75" s="214">
        <v>180</v>
      </c>
      <c r="J75" s="213" t="s">
        <v>227</v>
      </c>
    </row>
    <row r="76" spans="1:10" x14ac:dyDescent="0.25">
      <c r="A76" s="211" t="s">
        <v>705</v>
      </c>
      <c r="B76" s="211" t="s">
        <v>700</v>
      </c>
      <c r="C76" s="211" t="s">
        <v>263</v>
      </c>
      <c r="D76" s="212">
        <v>23360</v>
      </c>
      <c r="E76" s="212">
        <v>23030</v>
      </c>
      <c r="F76" s="212">
        <v>330</v>
      </c>
      <c r="G76" s="211" t="s">
        <v>644</v>
      </c>
      <c r="H76" s="213" t="s">
        <v>645</v>
      </c>
      <c r="I76" s="214">
        <v>0</v>
      </c>
      <c r="J76" s="213" t="s">
        <v>20</v>
      </c>
    </row>
    <row r="77" spans="1:10" x14ac:dyDescent="0.25">
      <c r="A77" s="211" t="s">
        <v>706</v>
      </c>
      <c r="B77" s="211" t="s">
        <v>700</v>
      </c>
      <c r="C77" s="211" t="s">
        <v>704</v>
      </c>
      <c r="D77" s="212">
        <v>4410</v>
      </c>
      <c r="E77" s="212">
        <v>4160</v>
      </c>
      <c r="F77" s="212">
        <v>250</v>
      </c>
      <c r="G77" s="211" t="s">
        <v>644</v>
      </c>
      <c r="H77" s="213" t="s">
        <v>165</v>
      </c>
      <c r="I77" s="214">
        <v>265</v>
      </c>
      <c r="J77" s="213" t="s">
        <v>227</v>
      </c>
    </row>
    <row r="78" spans="1:10" x14ac:dyDescent="0.25">
      <c r="A78" s="211" t="s">
        <v>706</v>
      </c>
      <c r="B78" s="211" t="s">
        <v>700</v>
      </c>
      <c r="C78" s="211" t="s">
        <v>263</v>
      </c>
      <c r="D78" s="212">
        <v>19370</v>
      </c>
      <c r="E78" s="212">
        <v>19110</v>
      </c>
      <c r="F78" s="212">
        <v>260</v>
      </c>
      <c r="G78" s="211" t="s">
        <v>644</v>
      </c>
      <c r="H78" s="213" t="s">
        <v>165</v>
      </c>
      <c r="I78" s="214">
        <v>30</v>
      </c>
      <c r="J78" s="213" t="s">
        <v>20</v>
      </c>
    </row>
    <row r="79" spans="1:10" x14ac:dyDescent="0.25">
      <c r="A79" s="211" t="s">
        <v>707</v>
      </c>
      <c r="B79" s="211" t="s">
        <v>700</v>
      </c>
      <c r="C79" s="211" t="s">
        <v>263</v>
      </c>
      <c r="D79" s="212">
        <v>20360</v>
      </c>
      <c r="E79" s="212">
        <v>20090</v>
      </c>
      <c r="F79" s="212">
        <v>270</v>
      </c>
      <c r="G79" s="211" t="s">
        <v>644</v>
      </c>
      <c r="H79" s="213" t="s">
        <v>165</v>
      </c>
      <c r="I79" s="214">
        <v>30</v>
      </c>
      <c r="J79" s="213" t="s">
        <v>20</v>
      </c>
    </row>
    <row r="80" spans="1:10" x14ac:dyDescent="0.25">
      <c r="A80" s="211" t="s">
        <v>708</v>
      </c>
      <c r="B80" s="211" t="s">
        <v>700</v>
      </c>
      <c r="C80" s="211" t="s">
        <v>704</v>
      </c>
      <c r="D80" s="212">
        <v>18156</v>
      </c>
      <c r="E80" s="212">
        <v>17556</v>
      </c>
      <c r="F80" s="212">
        <v>600</v>
      </c>
      <c r="G80" s="211" t="s">
        <v>644</v>
      </c>
      <c r="H80" s="213" t="s">
        <v>167</v>
      </c>
      <c r="I80" s="214">
        <v>120</v>
      </c>
      <c r="J80" s="213" t="s">
        <v>217</v>
      </c>
    </row>
    <row r="81" spans="1:10" x14ac:dyDescent="0.25">
      <c r="A81" s="211" t="s">
        <v>708</v>
      </c>
      <c r="B81" s="211" t="s">
        <v>700</v>
      </c>
      <c r="C81" s="211" t="s">
        <v>263</v>
      </c>
      <c r="D81" s="212">
        <v>22300</v>
      </c>
      <c r="E81" s="212">
        <v>22050</v>
      </c>
      <c r="F81" s="212">
        <v>250</v>
      </c>
      <c r="G81" s="211" t="s">
        <v>644</v>
      </c>
      <c r="H81" s="213" t="s">
        <v>645</v>
      </c>
      <c r="I81" s="214">
        <v>0</v>
      </c>
      <c r="J81" s="213" t="s">
        <v>20</v>
      </c>
    </row>
    <row r="82" spans="1:10" x14ac:dyDescent="0.25">
      <c r="A82" s="211" t="s">
        <v>709</v>
      </c>
      <c r="B82" s="211" t="s">
        <v>700</v>
      </c>
      <c r="C82" s="211" t="s">
        <v>704</v>
      </c>
      <c r="D82" s="212">
        <v>6311</v>
      </c>
      <c r="E82" s="212">
        <v>6156</v>
      </c>
      <c r="F82" s="212">
        <v>155</v>
      </c>
      <c r="G82" s="211" t="s">
        <v>644</v>
      </c>
      <c r="H82" s="213" t="s">
        <v>181</v>
      </c>
      <c r="I82" s="214">
        <v>120</v>
      </c>
      <c r="J82" s="213" t="s">
        <v>217</v>
      </c>
    </row>
    <row r="83" spans="1:10" x14ac:dyDescent="0.25">
      <c r="A83" s="211" t="s">
        <v>709</v>
      </c>
      <c r="B83" s="211" t="s">
        <v>700</v>
      </c>
      <c r="C83" s="211" t="s">
        <v>263</v>
      </c>
      <c r="D83" s="212">
        <v>20350</v>
      </c>
      <c r="E83" s="212">
        <v>20090</v>
      </c>
      <c r="F83" s="212">
        <v>260</v>
      </c>
      <c r="G83" s="211" t="s">
        <v>644</v>
      </c>
      <c r="H83" s="213" t="s">
        <v>645</v>
      </c>
      <c r="I83" s="214">
        <v>0</v>
      </c>
      <c r="J83" s="213" t="s">
        <v>16</v>
      </c>
    </row>
    <row r="84" spans="1:10" x14ac:dyDescent="0.25">
      <c r="A84" s="211" t="s">
        <v>710</v>
      </c>
      <c r="B84" s="211" t="s">
        <v>700</v>
      </c>
      <c r="C84" s="211" t="s">
        <v>663</v>
      </c>
      <c r="D84" s="212">
        <v>10150</v>
      </c>
      <c r="E84" s="212">
        <v>9900</v>
      </c>
      <c r="F84" s="212">
        <v>250</v>
      </c>
      <c r="G84" s="211" t="s">
        <v>644</v>
      </c>
      <c r="H84" s="213" t="s">
        <v>167</v>
      </c>
      <c r="I84" s="214">
        <v>150</v>
      </c>
      <c r="J84" s="213" t="s">
        <v>228</v>
      </c>
    </row>
    <row r="85" spans="1:10" x14ac:dyDescent="0.25">
      <c r="A85" s="211" t="s">
        <v>710</v>
      </c>
      <c r="B85" s="211" t="s">
        <v>700</v>
      </c>
      <c r="C85" s="211" t="s">
        <v>263</v>
      </c>
      <c r="D85" s="212">
        <v>2590</v>
      </c>
      <c r="E85" s="212">
        <v>2450</v>
      </c>
      <c r="F85" s="212">
        <v>140</v>
      </c>
      <c r="G85" s="211" t="s">
        <v>644</v>
      </c>
      <c r="H85" s="213" t="s">
        <v>165</v>
      </c>
      <c r="I85" s="214">
        <v>360</v>
      </c>
      <c r="J85" s="213" t="s">
        <v>16</v>
      </c>
    </row>
    <row r="86" spans="1:10" x14ac:dyDescent="0.25">
      <c r="A86" s="211" t="s">
        <v>711</v>
      </c>
      <c r="B86" s="211" t="s">
        <v>700</v>
      </c>
      <c r="C86" s="211" t="s">
        <v>663</v>
      </c>
      <c r="D86" s="212">
        <v>10205</v>
      </c>
      <c r="E86" s="212">
        <v>9900</v>
      </c>
      <c r="F86" s="212">
        <v>305</v>
      </c>
      <c r="G86" s="211" t="s">
        <v>644</v>
      </c>
      <c r="H86" s="213" t="s">
        <v>165</v>
      </c>
      <c r="I86" s="214">
        <v>150</v>
      </c>
      <c r="J86" s="213" t="s">
        <v>228</v>
      </c>
    </row>
    <row r="87" spans="1:10" x14ac:dyDescent="0.25">
      <c r="A87" s="211" t="s">
        <v>711</v>
      </c>
      <c r="B87" s="211" t="s">
        <v>700</v>
      </c>
      <c r="C87" s="211" t="s">
        <v>263</v>
      </c>
      <c r="D87" s="212">
        <v>21370</v>
      </c>
      <c r="E87" s="212">
        <v>21070</v>
      </c>
      <c r="F87" s="212">
        <v>300</v>
      </c>
      <c r="G87" s="211" t="s">
        <v>644</v>
      </c>
      <c r="H87" s="213" t="s">
        <v>645</v>
      </c>
      <c r="I87" s="214">
        <v>0</v>
      </c>
      <c r="J87" s="213" t="s">
        <v>20</v>
      </c>
    </row>
    <row r="88" spans="1:10" x14ac:dyDescent="0.25">
      <c r="A88" s="211" t="s">
        <v>712</v>
      </c>
      <c r="B88" s="211" t="s">
        <v>700</v>
      </c>
      <c r="C88" s="211" t="s">
        <v>263</v>
      </c>
      <c r="D88" s="212">
        <v>34862</v>
      </c>
      <c r="E88" s="212">
        <v>34202</v>
      </c>
      <c r="F88" s="212">
        <v>660</v>
      </c>
      <c r="G88" s="211" t="s">
        <v>644</v>
      </c>
      <c r="H88" s="213" t="s">
        <v>645</v>
      </c>
      <c r="I88" s="214">
        <v>0</v>
      </c>
      <c r="J88" s="213" t="s">
        <v>713</v>
      </c>
    </row>
    <row r="89" spans="1:10" x14ac:dyDescent="0.25">
      <c r="A89" s="211" t="s">
        <v>714</v>
      </c>
      <c r="B89" s="211" t="s">
        <v>700</v>
      </c>
      <c r="C89" s="211" t="s">
        <v>663</v>
      </c>
      <c r="D89" s="212">
        <v>22446</v>
      </c>
      <c r="E89" s="212">
        <v>22176</v>
      </c>
      <c r="F89" s="212">
        <v>270</v>
      </c>
      <c r="G89" s="211" t="s">
        <v>644</v>
      </c>
      <c r="H89" s="213" t="s">
        <v>645</v>
      </c>
      <c r="I89" s="214">
        <v>0</v>
      </c>
      <c r="J89" s="213" t="s">
        <v>649</v>
      </c>
    </row>
    <row r="90" spans="1:10" x14ac:dyDescent="0.25">
      <c r="A90" s="211" t="s">
        <v>714</v>
      </c>
      <c r="B90" s="211" t="s">
        <v>700</v>
      </c>
      <c r="C90" s="211" t="s">
        <v>263</v>
      </c>
      <c r="D90" s="212">
        <v>9755</v>
      </c>
      <c r="E90" s="212">
        <v>9555</v>
      </c>
      <c r="F90" s="212">
        <v>200</v>
      </c>
      <c r="G90" s="211" t="s">
        <v>644</v>
      </c>
      <c r="H90" s="213" t="s">
        <v>165</v>
      </c>
      <c r="I90" s="214">
        <v>200</v>
      </c>
      <c r="J90" s="213" t="s">
        <v>20</v>
      </c>
    </row>
    <row r="91" spans="1:10" x14ac:dyDescent="0.25">
      <c r="A91" s="211" t="s">
        <v>715</v>
      </c>
      <c r="B91" s="211" t="s">
        <v>700</v>
      </c>
      <c r="C91" s="211" t="s">
        <v>663</v>
      </c>
      <c r="D91" s="212">
        <v>14342</v>
      </c>
      <c r="E91" s="212">
        <v>14112</v>
      </c>
      <c r="F91" s="212">
        <v>230</v>
      </c>
      <c r="G91" s="211" t="s">
        <v>644</v>
      </c>
      <c r="H91" s="213" t="s">
        <v>165</v>
      </c>
      <c r="I91" s="214">
        <v>120</v>
      </c>
      <c r="J91" s="213" t="s">
        <v>206</v>
      </c>
    </row>
    <row r="92" spans="1:10" x14ac:dyDescent="0.25">
      <c r="A92" s="211" t="s">
        <v>716</v>
      </c>
      <c r="B92" s="211" t="s">
        <v>700</v>
      </c>
      <c r="C92" s="211" t="s">
        <v>663</v>
      </c>
      <c r="D92" s="212">
        <v>23128</v>
      </c>
      <c r="E92" s="212">
        <v>22848</v>
      </c>
      <c r="F92" s="212">
        <v>280</v>
      </c>
      <c r="G92" s="211" t="s">
        <v>644</v>
      </c>
      <c r="H92" s="213" t="s">
        <v>645</v>
      </c>
      <c r="I92" s="214">
        <v>0</v>
      </c>
      <c r="J92" s="213" t="s">
        <v>206</v>
      </c>
    </row>
    <row r="93" spans="1:10" x14ac:dyDescent="0.25">
      <c r="A93" s="211" t="s">
        <v>716</v>
      </c>
      <c r="B93" s="211" t="s">
        <v>700</v>
      </c>
      <c r="C93" s="211" t="s">
        <v>263</v>
      </c>
      <c r="D93" s="212">
        <v>9520</v>
      </c>
      <c r="E93" s="212">
        <v>9360</v>
      </c>
      <c r="F93" s="212">
        <v>160</v>
      </c>
      <c r="G93" s="211" t="s">
        <v>644</v>
      </c>
      <c r="H93" s="213" t="s">
        <v>181</v>
      </c>
      <c r="I93" s="214">
        <v>180</v>
      </c>
      <c r="J93" s="213" t="s">
        <v>229</v>
      </c>
    </row>
    <row r="94" spans="1:10" x14ac:dyDescent="0.25">
      <c r="A94" s="211" t="s">
        <v>717</v>
      </c>
      <c r="B94" s="211" t="s">
        <v>700</v>
      </c>
      <c r="C94" s="211" t="s">
        <v>663</v>
      </c>
      <c r="D94" s="212">
        <v>14758</v>
      </c>
      <c r="E94" s="212">
        <v>14448</v>
      </c>
      <c r="F94" s="212">
        <v>310</v>
      </c>
      <c r="G94" s="211" t="s">
        <v>644</v>
      </c>
      <c r="H94" s="213" t="s">
        <v>181</v>
      </c>
      <c r="I94" s="214">
        <v>300</v>
      </c>
      <c r="J94" s="213" t="s">
        <v>649</v>
      </c>
    </row>
    <row r="95" spans="1:10" x14ac:dyDescent="0.25">
      <c r="A95" s="211" t="s">
        <v>717</v>
      </c>
      <c r="B95" s="211" t="s">
        <v>700</v>
      </c>
      <c r="C95" s="211" t="s">
        <v>263</v>
      </c>
      <c r="D95" s="212">
        <v>13170</v>
      </c>
      <c r="E95" s="212">
        <v>12960</v>
      </c>
      <c r="F95" s="212">
        <v>210</v>
      </c>
      <c r="G95" s="211" t="s">
        <v>644</v>
      </c>
      <c r="H95" s="213" t="s">
        <v>181</v>
      </c>
      <c r="I95" s="214">
        <v>150</v>
      </c>
      <c r="J95" s="213" t="s">
        <v>229</v>
      </c>
    </row>
    <row r="96" spans="1:10" x14ac:dyDescent="0.25">
      <c r="A96" s="211" t="s">
        <v>718</v>
      </c>
      <c r="B96" s="211" t="s">
        <v>700</v>
      </c>
      <c r="C96" s="211" t="s">
        <v>663</v>
      </c>
      <c r="D96" s="212">
        <v>21548</v>
      </c>
      <c r="E96" s="212">
        <v>21168</v>
      </c>
      <c r="F96" s="212">
        <v>380</v>
      </c>
      <c r="G96" s="211" t="s">
        <v>644</v>
      </c>
      <c r="H96" s="213" t="s">
        <v>645</v>
      </c>
      <c r="I96" s="214">
        <v>0</v>
      </c>
      <c r="J96" s="213" t="s">
        <v>205</v>
      </c>
    </row>
    <row r="97" spans="1:10" x14ac:dyDescent="0.25">
      <c r="A97" s="211" t="s">
        <v>718</v>
      </c>
      <c r="B97" s="211" t="s">
        <v>700</v>
      </c>
      <c r="C97" s="211" t="s">
        <v>263</v>
      </c>
      <c r="D97" s="212">
        <v>8310</v>
      </c>
      <c r="E97" s="212">
        <v>8100</v>
      </c>
      <c r="F97" s="212">
        <v>210</v>
      </c>
      <c r="G97" s="211" t="s">
        <v>644</v>
      </c>
      <c r="H97" s="213" t="s">
        <v>181</v>
      </c>
      <c r="I97" s="214">
        <v>240</v>
      </c>
      <c r="J97" s="213" t="s">
        <v>229</v>
      </c>
    </row>
    <row r="98" spans="1:10" x14ac:dyDescent="0.25">
      <c r="A98" s="211" t="s">
        <v>719</v>
      </c>
      <c r="B98" s="211" t="s">
        <v>700</v>
      </c>
      <c r="C98" s="211" t="s">
        <v>663</v>
      </c>
      <c r="D98" s="212">
        <v>23058</v>
      </c>
      <c r="E98" s="212">
        <v>22848</v>
      </c>
      <c r="F98" s="212">
        <v>210</v>
      </c>
      <c r="G98" s="211" t="s">
        <v>644</v>
      </c>
      <c r="H98" s="213" t="s">
        <v>645</v>
      </c>
      <c r="I98" s="214">
        <v>0</v>
      </c>
      <c r="J98" s="213" t="s">
        <v>205</v>
      </c>
    </row>
    <row r="99" spans="1:10" x14ac:dyDescent="0.25">
      <c r="A99" s="211" t="s">
        <v>720</v>
      </c>
      <c r="B99" s="211" t="s">
        <v>700</v>
      </c>
      <c r="C99" s="211" t="s">
        <v>663</v>
      </c>
      <c r="D99" s="212">
        <v>7436</v>
      </c>
      <c r="E99" s="212">
        <v>7056</v>
      </c>
      <c r="F99" s="212">
        <v>380</v>
      </c>
      <c r="G99" s="211" t="s">
        <v>644</v>
      </c>
      <c r="H99" s="213" t="s">
        <v>165</v>
      </c>
      <c r="I99" s="214">
        <v>90</v>
      </c>
      <c r="J99" s="213" t="s">
        <v>205</v>
      </c>
    </row>
    <row r="100" spans="1:10" x14ac:dyDescent="0.25">
      <c r="A100" s="211" t="s">
        <v>720</v>
      </c>
      <c r="B100" s="211" t="s">
        <v>700</v>
      </c>
      <c r="C100" s="211" t="s">
        <v>263</v>
      </c>
      <c r="D100" s="212">
        <v>8190</v>
      </c>
      <c r="E100" s="212">
        <v>7740</v>
      </c>
      <c r="F100" s="212">
        <v>450</v>
      </c>
      <c r="G100" s="211" t="s">
        <v>644</v>
      </c>
      <c r="H100" s="213" t="s">
        <v>165</v>
      </c>
      <c r="I100" s="214">
        <v>90</v>
      </c>
      <c r="J100" s="213" t="s">
        <v>228</v>
      </c>
    </row>
    <row r="101" spans="1:10" x14ac:dyDescent="0.25">
      <c r="A101" s="211" t="s">
        <v>721</v>
      </c>
      <c r="B101" s="211" t="s">
        <v>700</v>
      </c>
      <c r="C101" s="211" t="s">
        <v>263</v>
      </c>
      <c r="D101" s="212">
        <v>18250</v>
      </c>
      <c r="E101" s="212">
        <v>18000</v>
      </c>
      <c r="F101" s="212">
        <v>250</v>
      </c>
      <c r="G101" s="211" t="s">
        <v>644</v>
      </c>
      <c r="H101" s="213" t="s">
        <v>645</v>
      </c>
      <c r="I101" s="214">
        <v>0</v>
      </c>
      <c r="J101" s="213" t="s">
        <v>228</v>
      </c>
    </row>
    <row r="102" spans="1:10" x14ac:dyDescent="0.25">
      <c r="A102" s="211" t="s">
        <v>722</v>
      </c>
      <c r="B102" s="211" t="s">
        <v>700</v>
      </c>
      <c r="C102" s="211" t="s">
        <v>263</v>
      </c>
      <c r="D102" s="212">
        <v>11210</v>
      </c>
      <c r="E102" s="212">
        <v>10980</v>
      </c>
      <c r="F102" s="212">
        <v>230</v>
      </c>
      <c r="G102" s="211" t="s">
        <v>644</v>
      </c>
      <c r="H102" s="213" t="s">
        <v>165</v>
      </c>
      <c r="I102" s="214">
        <v>240</v>
      </c>
      <c r="J102" s="213" t="s">
        <v>228</v>
      </c>
    </row>
    <row r="103" spans="1:10" x14ac:dyDescent="0.25">
      <c r="A103" s="211" t="s">
        <v>723</v>
      </c>
      <c r="B103" s="211" t="s">
        <v>700</v>
      </c>
      <c r="C103" s="211" t="s">
        <v>663</v>
      </c>
      <c r="D103" s="212">
        <v>16854</v>
      </c>
      <c r="E103" s="212">
        <v>16664</v>
      </c>
      <c r="F103" s="212">
        <v>190</v>
      </c>
      <c r="G103" s="211" t="s">
        <v>644</v>
      </c>
      <c r="H103" s="213" t="s">
        <v>645</v>
      </c>
      <c r="I103" s="214">
        <v>0</v>
      </c>
      <c r="J103" s="213" t="s">
        <v>205</v>
      </c>
    </row>
    <row r="104" spans="1:10" x14ac:dyDescent="0.25">
      <c r="A104" s="211" t="s">
        <v>724</v>
      </c>
      <c r="B104" s="211" t="s">
        <v>700</v>
      </c>
      <c r="C104" s="211" t="s">
        <v>663</v>
      </c>
      <c r="D104" s="212">
        <v>17611</v>
      </c>
      <c r="E104" s="212">
        <v>17136</v>
      </c>
      <c r="F104" s="212">
        <v>475</v>
      </c>
      <c r="G104" s="211" t="s">
        <v>644</v>
      </c>
      <c r="H104" s="213" t="s">
        <v>167</v>
      </c>
      <c r="I104" s="214">
        <v>120</v>
      </c>
      <c r="J104" s="213" t="s">
        <v>205</v>
      </c>
    </row>
    <row r="105" spans="1:10" x14ac:dyDescent="0.25">
      <c r="A105" s="211" t="s">
        <v>725</v>
      </c>
      <c r="B105" s="211" t="s">
        <v>700</v>
      </c>
      <c r="C105" s="211" t="s">
        <v>663</v>
      </c>
      <c r="D105" s="212">
        <v>26122</v>
      </c>
      <c r="E105" s="212">
        <v>25872</v>
      </c>
      <c r="F105" s="212">
        <v>250</v>
      </c>
      <c r="G105" s="211" t="s">
        <v>644</v>
      </c>
      <c r="H105" s="213" t="s">
        <v>645</v>
      </c>
      <c r="I105" s="214">
        <v>0</v>
      </c>
      <c r="J105" s="213" t="s">
        <v>205</v>
      </c>
    </row>
    <row r="106" spans="1:10" x14ac:dyDescent="0.25">
      <c r="A106" s="211" t="s">
        <v>726</v>
      </c>
      <c r="B106" s="211" t="s">
        <v>727</v>
      </c>
      <c r="C106" s="211" t="s">
        <v>663</v>
      </c>
      <c r="D106" s="212">
        <v>22456</v>
      </c>
      <c r="E106" s="212">
        <v>22176</v>
      </c>
      <c r="F106" s="212">
        <v>280</v>
      </c>
      <c r="G106" s="211" t="s">
        <v>644</v>
      </c>
      <c r="H106" s="213" t="s">
        <v>645</v>
      </c>
      <c r="I106" s="214">
        <v>0</v>
      </c>
      <c r="J106" s="213" t="s">
        <v>205</v>
      </c>
    </row>
    <row r="107" spans="1:10" x14ac:dyDescent="0.25">
      <c r="A107" s="211" t="s">
        <v>728</v>
      </c>
      <c r="B107" s="211" t="s">
        <v>727</v>
      </c>
      <c r="C107" s="211" t="s">
        <v>663</v>
      </c>
      <c r="D107" s="212">
        <v>19116</v>
      </c>
      <c r="E107" s="212">
        <v>18816</v>
      </c>
      <c r="F107" s="212">
        <v>300</v>
      </c>
      <c r="G107" s="211" t="s">
        <v>169</v>
      </c>
      <c r="H107" s="213" t="s">
        <v>169</v>
      </c>
      <c r="I107" s="214">
        <v>120</v>
      </c>
      <c r="J107" s="213" t="s">
        <v>649</v>
      </c>
    </row>
    <row r="108" spans="1:10" x14ac:dyDescent="0.25">
      <c r="A108" s="211" t="s">
        <v>728</v>
      </c>
      <c r="B108" s="211" t="s">
        <v>727</v>
      </c>
      <c r="C108" s="211" t="s">
        <v>263</v>
      </c>
      <c r="D108" s="212">
        <v>16515</v>
      </c>
      <c r="E108" s="212">
        <v>16200</v>
      </c>
      <c r="F108" s="212">
        <v>315</v>
      </c>
      <c r="G108" s="211" t="s">
        <v>169</v>
      </c>
      <c r="H108" s="213" t="s">
        <v>169</v>
      </c>
      <c r="I108" s="214">
        <v>60</v>
      </c>
      <c r="J108" s="213" t="s">
        <v>228</v>
      </c>
    </row>
    <row r="109" spans="1:10" x14ac:dyDescent="0.25">
      <c r="A109" s="211" t="s">
        <v>729</v>
      </c>
      <c r="B109" s="211" t="s">
        <v>727</v>
      </c>
      <c r="C109" s="211" t="s">
        <v>663</v>
      </c>
      <c r="D109" s="212">
        <v>22676</v>
      </c>
      <c r="E109" s="212">
        <v>22176</v>
      </c>
      <c r="F109" s="212">
        <v>500</v>
      </c>
      <c r="G109" s="211" t="s">
        <v>169</v>
      </c>
      <c r="H109" s="213" t="s">
        <v>169</v>
      </c>
      <c r="I109" s="214">
        <v>60</v>
      </c>
      <c r="J109" s="213" t="s">
        <v>649</v>
      </c>
    </row>
    <row r="110" spans="1:10" x14ac:dyDescent="0.25">
      <c r="A110" s="211" t="s">
        <v>729</v>
      </c>
      <c r="B110" s="211" t="s">
        <v>727</v>
      </c>
      <c r="C110" s="211" t="s">
        <v>263</v>
      </c>
      <c r="D110" s="212">
        <v>12660</v>
      </c>
      <c r="E110" s="212">
        <v>12160</v>
      </c>
      <c r="F110" s="212">
        <v>500</v>
      </c>
      <c r="G110" s="211" t="s">
        <v>169</v>
      </c>
      <c r="H110" s="213" t="s">
        <v>169</v>
      </c>
      <c r="I110" s="214">
        <v>60</v>
      </c>
      <c r="J110" s="213" t="s">
        <v>730</v>
      </c>
    </row>
    <row r="111" spans="1:10" x14ac:dyDescent="0.25">
      <c r="A111" s="211" t="s">
        <v>731</v>
      </c>
      <c r="B111" s="211" t="s">
        <v>727</v>
      </c>
      <c r="C111" s="211" t="s">
        <v>663</v>
      </c>
      <c r="D111" s="212">
        <v>20846</v>
      </c>
      <c r="E111" s="212">
        <v>20496</v>
      </c>
      <c r="F111" s="212">
        <v>350</v>
      </c>
      <c r="G111" s="211" t="s">
        <v>169</v>
      </c>
      <c r="H111" s="213" t="s">
        <v>169</v>
      </c>
      <c r="I111" s="214">
        <v>20</v>
      </c>
      <c r="J111" s="213" t="s">
        <v>206</v>
      </c>
    </row>
    <row r="112" spans="1:10" x14ac:dyDescent="0.25">
      <c r="A112" s="211" t="s">
        <v>731</v>
      </c>
      <c r="B112" s="211" t="s">
        <v>727</v>
      </c>
      <c r="C112" s="211" t="s">
        <v>263</v>
      </c>
      <c r="D112" s="212">
        <v>25385</v>
      </c>
      <c r="E112" s="212">
        <v>24990</v>
      </c>
      <c r="F112" s="212">
        <v>395</v>
      </c>
      <c r="G112" s="211" t="s">
        <v>169</v>
      </c>
      <c r="H112" s="213" t="s">
        <v>169</v>
      </c>
      <c r="I112" s="214">
        <v>20</v>
      </c>
      <c r="J112" s="213" t="s">
        <v>20</v>
      </c>
    </row>
    <row r="113" spans="1:10" x14ac:dyDescent="0.25">
      <c r="A113" s="211" t="s">
        <v>732</v>
      </c>
      <c r="B113" s="211" t="s">
        <v>727</v>
      </c>
      <c r="C113" s="211" t="s">
        <v>663</v>
      </c>
      <c r="D113" s="212">
        <v>23293</v>
      </c>
      <c r="E113" s="212">
        <v>22848</v>
      </c>
      <c r="F113" s="212">
        <v>445</v>
      </c>
      <c r="G113" s="211" t="s">
        <v>644</v>
      </c>
      <c r="H113" s="213" t="s">
        <v>645</v>
      </c>
      <c r="I113" s="214">
        <v>0</v>
      </c>
      <c r="J113" s="213" t="s">
        <v>207</v>
      </c>
    </row>
    <row r="114" spans="1:10" x14ac:dyDescent="0.25">
      <c r="A114" s="211" t="s">
        <v>732</v>
      </c>
      <c r="B114" s="211" t="s">
        <v>727</v>
      </c>
      <c r="C114" s="211" t="s">
        <v>263</v>
      </c>
      <c r="D114" s="212">
        <v>26620</v>
      </c>
      <c r="E114" s="212">
        <v>25970</v>
      </c>
      <c r="F114" s="212">
        <v>650</v>
      </c>
      <c r="G114" s="211" t="s">
        <v>644</v>
      </c>
      <c r="H114" s="213" t="s">
        <v>645</v>
      </c>
      <c r="I114" s="214">
        <v>0</v>
      </c>
      <c r="J114" s="213" t="s">
        <v>20</v>
      </c>
    </row>
    <row r="115" spans="1:10" x14ac:dyDescent="0.25">
      <c r="A115" s="211" t="s">
        <v>733</v>
      </c>
      <c r="B115" s="211" t="s">
        <v>727</v>
      </c>
      <c r="C115" s="211" t="s">
        <v>663</v>
      </c>
      <c r="D115" s="212">
        <v>2462</v>
      </c>
      <c r="E115" s="212">
        <v>2352</v>
      </c>
      <c r="F115" s="212">
        <v>110</v>
      </c>
      <c r="G115" s="211" t="s">
        <v>169</v>
      </c>
      <c r="H115" s="213" t="s">
        <v>169</v>
      </c>
      <c r="I115" s="214">
        <v>345</v>
      </c>
      <c r="J115" s="213" t="s">
        <v>286</v>
      </c>
    </row>
    <row r="116" spans="1:10" x14ac:dyDescent="0.25">
      <c r="A116" s="211" t="s">
        <v>733</v>
      </c>
      <c r="B116" s="211" t="s">
        <v>727</v>
      </c>
      <c r="C116" s="211" t="s">
        <v>263</v>
      </c>
      <c r="D116" s="212">
        <v>4955</v>
      </c>
      <c r="E116" s="212">
        <v>4655</v>
      </c>
      <c r="F116" s="212">
        <v>300</v>
      </c>
      <c r="G116" s="211" t="s">
        <v>169</v>
      </c>
      <c r="H116" s="213" t="s">
        <v>169</v>
      </c>
      <c r="I116" s="214">
        <v>345</v>
      </c>
      <c r="J116" s="213" t="s">
        <v>20</v>
      </c>
    </row>
    <row r="117" spans="1:10" x14ac:dyDescent="0.25">
      <c r="A117" s="211" t="s">
        <v>734</v>
      </c>
      <c r="B117" s="211" t="s">
        <v>727</v>
      </c>
      <c r="C117" s="211" t="s">
        <v>663</v>
      </c>
      <c r="D117" s="212">
        <v>26312</v>
      </c>
      <c r="E117" s="212">
        <v>25872</v>
      </c>
      <c r="F117" s="212">
        <v>440</v>
      </c>
      <c r="G117" s="211" t="s">
        <v>644</v>
      </c>
      <c r="H117" s="213" t="s">
        <v>645</v>
      </c>
      <c r="I117" s="214">
        <v>0</v>
      </c>
      <c r="J117" s="213" t="s">
        <v>286</v>
      </c>
    </row>
    <row r="118" spans="1:10" x14ac:dyDescent="0.25">
      <c r="A118" s="211" t="s">
        <v>734</v>
      </c>
      <c r="B118" s="211" t="s">
        <v>727</v>
      </c>
      <c r="C118" s="211" t="s">
        <v>263</v>
      </c>
      <c r="D118" s="212">
        <v>27395</v>
      </c>
      <c r="E118" s="212">
        <v>26950</v>
      </c>
      <c r="F118" s="212">
        <v>445</v>
      </c>
      <c r="G118" s="211" t="s">
        <v>644</v>
      </c>
      <c r="H118" s="213" t="s">
        <v>645</v>
      </c>
      <c r="I118" s="214">
        <v>0</v>
      </c>
      <c r="J118" s="213" t="s">
        <v>20</v>
      </c>
    </row>
    <row r="119" spans="1:10" x14ac:dyDescent="0.25">
      <c r="A119" s="211" t="s">
        <v>735</v>
      </c>
      <c r="B119" s="211" t="s">
        <v>727</v>
      </c>
      <c r="C119" s="211" t="s">
        <v>663</v>
      </c>
      <c r="D119" s="212">
        <v>15881</v>
      </c>
      <c r="E119" s="212">
        <v>15216</v>
      </c>
      <c r="F119" s="212">
        <v>665</v>
      </c>
      <c r="G119" s="211" t="s">
        <v>644</v>
      </c>
      <c r="H119" s="213" t="s">
        <v>167</v>
      </c>
      <c r="I119" s="214">
        <v>200</v>
      </c>
      <c r="J119" s="213" t="s">
        <v>736</v>
      </c>
    </row>
    <row r="120" spans="1:10" x14ac:dyDescent="0.25">
      <c r="A120" s="211" t="s">
        <v>735</v>
      </c>
      <c r="B120" s="211" t="s">
        <v>727</v>
      </c>
      <c r="C120" s="211" t="s">
        <v>263</v>
      </c>
      <c r="D120" s="212">
        <v>23370</v>
      </c>
      <c r="E120" s="212">
        <v>23030</v>
      </c>
      <c r="F120" s="212">
        <v>340</v>
      </c>
      <c r="G120" s="211" t="s">
        <v>644</v>
      </c>
      <c r="H120" s="213" t="s">
        <v>645</v>
      </c>
      <c r="I120" s="214">
        <v>0</v>
      </c>
      <c r="J120" s="213" t="s">
        <v>20</v>
      </c>
    </row>
    <row r="121" spans="1:10" x14ac:dyDescent="0.25">
      <c r="A121" s="211" t="s">
        <v>737</v>
      </c>
      <c r="B121" s="211" t="s">
        <v>727</v>
      </c>
      <c r="C121" s="211" t="s">
        <v>663</v>
      </c>
      <c r="D121" s="212">
        <v>27380</v>
      </c>
      <c r="E121" s="212">
        <v>27030</v>
      </c>
      <c r="F121" s="212">
        <v>350</v>
      </c>
      <c r="G121" s="211" t="s">
        <v>644</v>
      </c>
      <c r="H121" s="213" t="s">
        <v>645</v>
      </c>
      <c r="I121" s="214">
        <v>0</v>
      </c>
      <c r="J121" s="213" t="s">
        <v>197</v>
      </c>
    </row>
    <row r="122" spans="1:10" x14ac:dyDescent="0.25">
      <c r="A122" s="211" t="s">
        <v>737</v>
      </c>
      <c r="B122" s="211" t="s">
        <v>727</v>
      </c>
      <c r="C122" s="211" t="s">
        <v>263</v>
      </c>
      <c r="D122" s="212">
        <v>26335</v>
      </c>
      <c r="E122" s="212">
        <v>25970</v>
      </c>
      <c r="F122" s="212">
        <v>365</v>
      </c>
      <c r="G122" s="211" t="s">
        <v>644</v>
      </c>
      <c r="H122" s="213" t="s">
        <v>645</v>
      </c>
      <c r="I122" s="214">
        <v>0</v>
      </c>
      <c r="J122" s="213" t="s">
        <v>20</v>
      </c>
    </row>
    <row r="123" spans="1:10" x14ac:dyDescent="0.25">
      <c r="A123" s="211" t="s">
        <v>738</v>
      </c>
      <c r="B123" s="211" t="s">
        <v>727</v>
      </c>
      <c r="C123" s="211" t="s">
        <v>663</v>
      </c>
      <c r="D123" s="212">
        <v>26465</v>
      </c>
      <c r="E123" s="212">
        <v>26010</v>
      </c>
      <c r="F123" s="212">
        <v>455</v>
      </c>
      <c r="G123" s="211" t="s">
        <v>644</v>
      </c>
      <c r="H123" s="213" t="s">
        <v>645</v>
      </c>
      <c r="I123" s="214">
        <v>0</v>
      </c>
      <c r="J123" s="213" t="s">
        <v>197</v>
      </c>
    </row>
    <row r="124" spans="1:10" x14ac:dyDescent="0.25">
      <c r="A124" s="211" t="s">
        <v>738</v>
      </c>
      <c r="B124" s="211" t="s">
        <v>727</v>
      </c>
      <c r="C124" s="211" t="s">
        <v>263</v>
      </c>
      <c r="D124" s="212">
        <v>25475</v>
      </c>
      <c r="E124" s="212">
        <v>24990</v>
      </c>
      <c r="F124" s="212">
        <v>485</v>
      </c>
      <c r="G124" s="211" t="s">
        <v>644</v>
      </c>
      <c r="H124" s="213" t="s">
        <v>645</v>
      </c>
      <c r="I124" s="214">
        <v>0</v>
      </c>
      <c r="J124" s="213" t="s">
        <v>20</v>
      </c>
    </row>
    <row r="125" spans="1:10" x14ac:dyDescent="0.25">
      <c r="A125" s="211" t="s">
        <v>739</v>
      </c>
      <c r="B125" s="211" t="s">
        <v>727</v>
      </c>
      <c r="C125" s="211" t="s">
        <v>663</v>
      </c>
      <c r="D125" s="212">
        <v>25620</v>
      </c>
      <c r="E125" s="212">
        <v>24990</v>
      </c>
      <c r="F125" s="212">
        <v>630</v>
      </c>
      <c r="G125" s="211" t="s">
        <v>644</v>
      </c>
      <c r="H125" s="213" t="s">
        <v>645</v>
      </c>
      <c r="I125" s="214">
        <v>0</v>
      </c>
      <c r="J125" s="213" t="s">
        <v>197</v>
      </c>
    </row>
    <row r="126" spans="1:10" x14ac:dyDescent="0.25">
      <c r="A126" s="211" t="s">
        <v>739</v>
      </c>
      <c r="B126" s="211" t="s">
        <v>727</v>
      </c>
      <c r="C126" s="211" t="s">
        <v>263</v>
      </c>
      <c r="D126" s="212">
        <v>22480</v>
      </c>
      <c r="E126" s="212">
        <v>22050</v>
      </c>
      <c r="F126" s="212">
        <v>430</v>
      </c>
      <c r="G126" s="211" t="s">
        <v>644</v>
      </c>
      <c r="H126" s="213" t="s">
        <v>645</v>
      </c>
      <c r="I126" s="214">
        <v>0</v>
      </c>
      <c r="J126" s="213" t="s">
        <v>20</v>
      </c>
    </row>
    <row r="127" spans="1:10" x14ac:dyDescent="0.25">
      <c r="A127" s="211" t="s">
        <v>740</v>
      </c>
      <c r="B127" s="211" t="s">
        <v>727</v>
      </c>
      <c r="C127" s="211" t="s">
        <v>663</v>
      </c>
      <c r="D127" s="212">
        <v>16870</v>
      </c>
      <c r="E127" s="212">
        <v>16320</v>
      </c>
      <c r="F127" s="212">
        <v>550</v>
      </c>
      <c r="G127" s="211" t="s">
        <v>644</v>
      </c>
      <c r="H127" s="213" t="s">
        <v>167</v>
      </c>
      <c r="I127" s="214">
        <v>240</v>
      </c>
      <c r="J127" s="213" t="s">
        <v>197</v>
      </c>
    </row>
    <row r="128" spans="1:10" x14ac:dyDescent="0.25">
      <c r="A128" s="211" t="s">
        <v>740</v>
      </c>
      <c r="B128" s="211" t="s">
        <v>727</v>
      </c>
      <c r="C128" s="211" t="s">
        <v>263</v>
      </c>
      <c r="D128" s="212">
        <v>9890</v>
      </c>
      <c r="E128" s="212">
        <v>9555</v>
      </c>
      <c r="F128" s="212">
        <v>335</v>
      </c>
      <c r="G128" s="211" t="s">
        <v>644</v>
      </c>
      <c r="H128" s="213" t="s">
        <v>167</v>
      </c>
      <c r="I128" s="214">
        <v>270</v>
      </c>
      <c r="J128" s="213" t="s">
        <v>20</v>
      </c>
    </row>
    <row r="129" spans="1:10" x14ac:dyDescent="0.25">
      <c r="A129" s="211" t="s">
        <v>741</v>
      </c>
      <c r="B129" s="211" t="s">
        <v>727</v>
      </c>
      <c r="C129" s="211" t="s">
        <v>663</v>
      </c>
      <c r="D129" s="212">
        <v>21162</v>
      </c>
      <c r="E129" s="212">
        <v>20832</v>
      </c>
      <c r="F129" s="212">
        <v>330</v>
      </c>
      <c r="G129" s="211" t="s">
        <v>169</v>
      </c>
      <c r="H129" s="213" t="s">
        <v>169</v>
      </c>
      <c r="I129" s="214">
        <v>30</v>
      </c>
      <c r="J129" s="213" t="s">
        <v>204</v>
      </c>
    </row>
    <row r="130" spans="1:10" x14ac:dyDescent="0.25">
      <c r="A130" s="211" t="s">
        <v>741</v>
      </c>
      <c r="B130" s="211" t="s">
        <v>727</v>
      </c>
      <c r="C130" s="211" t="s">
        <v>263</v>
      </c>
      <c r="D130" s="212">
        <v>7956</v>
      </c>
      <c r="E130" s="212">
        <v>7696</v>
      </c>
      <c r="F130" s="212">
        <v>260</v>
      </c>
      <c r="G130" s="211" t="s">
        <v>169</v>
      </c>
      <c r="H130" s="213" t="s">
        <v>169</v>
      </c>
      <c r="I130" s="214">
        <v>30</v>
      </c>
      <c r="J130" s="213" t="s">
        <v>22</v>
      </c>
    </row>
    <row r="131" spans="1:10" x14ac:dyDescent="0.25">
      <c r="A131" s="211" t="s">
        <v>742</v>
      </c>
      <c r="B131" s="211" t="s">
        <v>727</v>
      </c>
      <c r="C131" s="211" t="s">
        <v>663</v>
      </c>
      <c r="D131" s="212">
        <v>18880</v>
      </c>
      <c r="E131" s="212">
        <v>18480</v>
      </c>
      <c r="F131" s="212">
        <v>400</v>
      </c>
      <c r="G131" s="211" t="s">
        <v>644</v>
      </c>
      <c r="H131" s="213" t="s">
        <v>743</v>
      </c>
      <c r="I131" s="214">
        <v>180</v>
      </c>
      <c r="J131" s="213" t="s">
        <v>206</v>
      </c>
    </row>
    <row r="132" spans="1:10" x14ac:dyDescent="0.25">
      <c r="A132" s="211" t="s">
        <v>742</v>
      </c>
      <c r="B132" s="211" t="s">
        <v>727</v>
      </c>
      <c r="C132" s="211" t="s">
        <v>263</v>
      </c>
      <c r="D132" s="212">
        <v>13389</v>
      </c>
      <c r="E132" s="212">
        <v>13104</v>
      </c>
      <c r="F132" s="212">
        <v>285</v>
      </c>
      <c r="G132" s="211" t="s">
        <v>644</v>
      </c>
      <c r="H132" s="213" t="s">
        <v>645</v>
      </c>
      <c r="I132" s="214">
        <v>0</v>
      </c>
      <c r="J132" s="213" t="s">
        <v>22</v>
      </c>
    </row>
    <row r="133" spans="1:10" x14ac:dyDescent="0.25">
      <c r="A133" s="211" t="s">
        <v>744</v>
      </c>
      <c r="B133" s="211" t="s">
        <v>727</v>
      </c>
      <c r="C133" s="211" t="s">
        <v>663</v>
      </c>
      <c r="D133" s="212">
        <v>14734</v>
      </c>
      <c r="E133" s="212">
        <v>14034</v>
      </c>
      <c r="F133" s="212">
        <v>700</v>
      </c>
      <c r="G133" s="211" t="s">
        <v>169</v>
      </c>
      <c r="H133" s="213" t="s">
        <v>169</v>
      </c>
      <c r="I133" s="214">
        <v>360</v>
      </c>
      <c r="J133" s="213" t="s">
        <v>649</v>
      </c>
    </row>
    <row r="134" spans="1:10" x14ac:dyDescent="0.25">
      <c r="A134" s="211" t="s">
        <v>744</v>
      </c>
      <c r="B134" s="211" t="s">
        <v>727</v>
      </c>
      <c r="C134" s="211" t="s">
        <v>263</v>
      </c>
      <c r="D134" s="212">
        <v>16432</v>
      </c>
      <c r="E134" s="212">
        <v>15832</v>
      </c>
      <c r="F134" s="212">
        <v>600</v>
      </c>
      <c r="G134" s="211" t="s">
        <v>169</v>
      </c>
      <c r="H134" s="213" t="s">
        <v>169</v>
      </c>
      <c r="I134" s="214">
        <v>180</v>
      </c>
      <c r="J134" s="213" t="s">
        <v>22</v>
      </c>
    </row>
    <row r="135" spans="1:10" x14ac:dyDescent="0.25">
      <c r="A135" s="211" t="s">
        <v>745</v>
      </c>
      <c r="B135" s="211" t="s">
        <v>727</v>
      </c>
      <c r="C135" s="211" t="s">
        <v>663</v>
      </c>
      <c r="D135" s="212">
        <v>8294</v>
      </c>
      <c r="E135" s="212">
        <v>8064</v>
      </c>
      <c r="F135" s="212">
        <v>230</v>
      </c>
      <c r="G135" s="211" t="s">
        <v>644</v>
      </c>
      <c r="H135" s="213" t="s">
        <v>645</v>
      </c>
      <c r="I135" s="214">
        <v>0</v>
      </c>
      <c r="J135" s="213" t="s">
        <v>205</v>
      </c>
    </row>
    <row r="136" spans="1:10" x14ac:dyDescent="0.25">
      <c r="A136" s="211" t="s">
        <v>745</v>
      </c>
      <c r="B136" s="211" t="s">
        <v>727</v>
      </c>
      <c r="C136" s="211" t="s">
        <v>263</v>
      </c>
      <c r="D136" s="212">
        <v>20706</v>
      </c>
      <c r="E136" s="212">
        <v>20176</v>
      </c>
      <c r="F136" s="212">
        <v>530</v>
      </c>
      <c r="G136" s="211" t="s">
        <v>644</v>
      </c>
      <c r="H136" s="213" t="s">
        <v>645</v>
      </c>
      <c r="I136" s="214">
        <v>0</v>
      </c>
      <c r="J136" s="213" t="s">
        <v>22</v>
      </c>
    </row>
    <row r="137" spans="1:10" x14ac:dyDescent="0.25">
      <c r="A137" s="211" t="s">
        <v>746</v>
      </c>
      <c r="B137" s="211" t="s">
        <v>727</v>
      </c>
      <c r="C137" s="211" t="s">
        <v>663</v>
      </c>
      <c r="D137" s="212">
        <v>19075</v>
      </c>
      <c r="E137" s="212">
        <v>18480</v>
      </c>
      <c r="F137" s="212">
        <v>595</v>
      </c>
      <c r="G137" s="211" t="s">
        <v>644</v>
      </c>
      <c r="H137" s="213" t="s">
        <v>743</v>
      </c>
      <c r="I137" s="214">
        <v>90</v>
      </c>
      <c r="J137" s="213" t="s">
        <v>14</v>
      </c>
    </row>
    <row r="138" spans="1:10" x14ac:dyDescent="0.25">
      <c r="A138" s="211" t="s">
        <v>746</v>
      </c>
      <c r="B138" s="211" t="s">
        <v>727</v>
      </c>
      <c r="C138" s="211" t="s">
        <v>263</v>
      </c>
      <c r="D138" s="212">
        <v>15431</v>
      </c>
      <c r="E138" s="212">
        <v>14976</v>
      </c>
      <c r="F138" s="212">
        <v>455</v>
      </c>
      <c r="G138" s="211" t="s">
        <v>644</v>
      </c>
      <c r="H138" s="213" t="s">
        <v>645</v>
      </c>
      <c r="I138" s="214">
        <v>0</v>
      </c>
      <c r="J138" s="213" t="s">
        <v>22</v>
      </c>
    </row>
    <row r="139" spans="1:10" x14ac:dyDescent="0.25">
      <c r="A139" s="211" t="s">
        <v>747</v>
      </c>
      <c r="B139" s="211" t="s">
        <v>727</v>
      </c>
      <c r="C139" s="211" t="s">
        <v>663</v>
      </c>
      <c r="D139" s="212">
        <v>22240</v>
      </c>
      <c r="E139" s="212">
        <v>21840</v>
      </c>
      <c r="F139" s="212">
        <v>400</v>
      </c>
      <c r="G139" s="211" t="s">
        <v>644</v>
      </c>
      <c r="H139" s="213" t="s">
        <v>645</v>
      </c>
      <c r="I139" s="214">
        <v>0</v>
      </c>
      <c r="J139" s="213" t="s">
        <v>14</v>
      </c>
    </row>
    <row r="140" spans="1:10" x14ac:dyDescent="0.25">
      <c r="A140" s="211" t="s">
        <v>747</v>
      </c>
      <c r="B140" s="211" t="s">
        <v>727</v>
      </c>
      <c r="C140" s="211" t="s">
        <v>263</v>
      </c>
      <c r="D140" s="212">
        <v>19719</v>
      </c>
      <c r="E140" s="212">
        <v>19344</v>
      </c>
      <c r="F140" s="212">
        <v>375</v>
      </c>
      <c r="G140" s="211" t="s">
        <v>644</v>
      </c>
      <c r="H140" s="213" t="s">
        <v>645</v>
      </c>
      <c r="I140" s="214">
        <v>0</v>
      </c>
      <c r="J140" s="213" t="s">
        <v>227</v>
      </c>
    </row>
    <row r="141" spans="1:10" x14ac:dyDescent="0.25">
      <c r="A141" s="211" t="s">
        <v>748</v>
      </c>
      <c r="B141" s="211" t="s">
        <v>727</v>
      </c>
      <c r="C141" s="211" t="s">
        <v>663</v>
      </c>
      <c r="D141" s="212">
        <v>22240</v>
      </c>
      <c r="E141" s="212">
        <v>21840</v>
      </c>
      <c r="F141" s="212">
        <v>400</v>
      </c>
      <c r="G141" s="211" t="s">
        <v>644</v>
      </c>
      <c r="H141" s="213" t="s">
        <v>645</v>
      </c>
      <c r="I141" s="214">
        <v>0</v>
      </c>
      <c r="J141" s="213" t="s">
        <v>14</v>
      </c>
    </row>
    <row r="142" spans="1:10" x14ac:dyDescent="0.25">
      <c r="A142" s="211" t="s">
        <v>748</v>
      </c>
      <c r="B142" s="211" t="s">
        <v>727</v>
      </c>
      <c r="C142" s="211" t="s">
        <v>263</v>
      </c>
      <c r="D142" s="212">
        <v>23508</v>
      </c>
      <c r="E142" s="212">
        <v>23088</v>
      </c>
      <c r="F142" s="212">
        <v>420</v>
      </c>
      <c r="G142" s="211" t="s">
        <v>644</v>
      </c>
      <c r="H142" s="213" t="s">
        <v>645</v>
      </c>
      <c r="I142" s="214">
        <v>0</v>
      </c>
      <c r="J142" s="213" t="s">
        <v>227</v>
      </c>
    </row>
    <row r="143" spans="1:10" x14ac:dyDescent="0.25">
      <c r="A143" s="211" t="s">
        <v>749</v>
      </c>
      <c r="B143" s="211" t="s">
        <v>727</v>
      </c>
      <c r="C143" s="211" t="s">
        <v>663</v>
      </c>
      <c r="D143" s="212">
        <v>16087</v>
      </c>
      <c r="E143" s="212">
        <v>15792</v>
      </c>
      <c r="F143" s="212">
        <v>295</v>
      </c>
      <c r="G143" s="211" t="s">
        <v>644</v>
      </c>
      <c r="H143" s="213" t="s">
        <v>167</v>
      </c>
      <c r="I143" s="214">
        <v>120</v>
      </c>
      <c r="J143" s="213" t="s">
        <v>208</v>
      </c>
    </row>
    <row r="144" spans="1:10" x14ac:dyDescent="0.25">
      <c r="A144" s="211" t="s">
        <v>749</v>
      </c>
      <c r="B144" s="211" t="s">
        <v>727</v>
      </c>
      <c r="C144" s="211" t="s">
        <v>263</v>
      </c>
      <c r="D144" s="212">
        <v>16599</v>
      </c>
      <c r="E144" s="212">
        <v>16224</v>
      </c>
      <c r="F144" s="212">
        <v>375</v>
      </c>
      <c r="G144" s="211" t="s">
        <v>644</v>
      </c>
      <c r="H144" s="213" t="s">
        <v>185</v>
      </c>
      <c r="I144" s="214">
        <v>120</v>
      </c>
      <c r="J144" s="213" t="s">
        <v>227</v>
      </c>
    </row>
    <row r="145" spans="1:10" x14ac:dyDescent="0.25">
      <c r="A145" s="211" t="s">
        <v>750</v>
      </c>
      <c r="B145" s="211" t="s">
        <v>727</v>
      </c>
      <c r="C145" s="211" t="s">
        <v>663</v>
      </c>
      <c r="D145" s="212">
        <v>12712</v>
      </c>
      <c r="E145" s="212">
        <v>12432</v>
      </c>
      <c r="F145" s="212">
        <v>280</v>
      </c>
      <c r="G145" s="211" t="s">
        <v>644</v>
      </c>
      <c r="H145" s="213" t="s">
        <v>743</v>
      </c>
      <c r="I145" s="214">
        <v>180</v>
      </c>
      <c r="J145" s="213" t="s">
        <v>205</v>
      </c>
    </row>
    <row r="146" spans="1:10" x14ac:dyDescent="0.25">
      <c r="A146" s="211" t="s">
        <v>750</v>
      </c>
      <c r="B146" s="211" t="s">
        <v>727</v>
      </c>
      <c r="C146" s="211" t="s">
        <v>263</v>
      </c>
      <c r="D146" s="212">
        <v>16619</v>
      </c>
      <c r="E146" s="212">
        <v>16224</v>
      </c>
      <c r="F146" s="212">
        <v>395</v>
      </c>
      <c r="G146" s="211" t="s">
        <v>644</v>
      </c>
      <c r="H146" s="213" t="s">
        <v>167</v>
      </c>
      <c r="I146" s="214">
        <v>180</v>
      </c>
      <c r="J146" s="213" t="s">
        <v>227</v>
      </c>
    </row>
    <row r="147" spans="1:10" x14ac:dyDescent="0.25">
      <c r="A147" s="211" t="s">
        <v>751</v>
      </c>
      <c r="B147" s="211" t="s">
        <v>727</v>
      </c>
      <c r="C147" s="211" t="s">
        <v>263</v>
      </c>
      <c r="D147" s="212">
        <v>8610</v>
      </c>
      <c r="E147" s="212">
        <v>8330</v>
      </c>
      <c r="F147" s="212">
        <v>280</v>
      </c>
      <c r="G147" s="211" t="s">
        <v>644</v>
      </c>
      <c r="H147" s="213" t="s">
        <v>743</v>
      </c>
      <c r="I147" s="214">
        <v>300</v>
      </c>
      <c r="J147" s="213" t="s">
        <v>215</v>
      </c>
    </row>
    <row r="148" spans="1:10" x14ac:dyDescent="0.25">
      <c r="A148" s="211" t="s">
        <v>752</v>
      </c>
      <c r="B148" s="211" t="s">
        <v>727</v>
      </c>
      <c r="C148" s="211" t="s">
        <v>663</v>
      </c>
      <c r="D148" s="212">
        <v>20222</v>
      </c>
      <c r="E148" s="212">
        <v>19992</v>
      </c>
      <c r="F148" s="212">
        <v>230</v>
      </c>
      <c r="G148" s="211" t="s">
        <v>644</v>
      </c>
      <c r="H148" s="213" t="s">
        <v>645</v>
      </c>
      <c r="I148" s="214">
        <v>0</v>
      </c>
      <c r="J148" s="213" t="s">
        <v>194</v>
      </c>
    </row>
    <row r="149" spans="1:10" x14ac:dyDescent="0.25">
      <c r="A149" s="211" t="s">
        <v>752</v>
      </c>
      <c r="B149" s="211" t="s">
        <v>727</v>
      </c>
      <c r="C149" s="211" t="s">
        <v>263</v>
      </c>
      <c r="D149" s="212">
        <v>18864</v>
      </c>
      <c r="E149" s="212">
        <v>18564</v>
      </c>
      <c r="F149" s="212">
        <v>300</v>
      </c>
      <c r="G149" s="211" t="s">
        <v>644</v>
      </c>
      <c r="H149" s="213" t="s">
        <v>167</v>
      </c>
      <c r="I149" s="214">
        <v>120</v>
      </c>
      <c r="J149" s="213" t="s">
        <v>753</v>
      </c>
    </row>
    <row r="150" spans="1:10" x14ac:dyDescent="0.25">
      <c r="A150" s="211" t="s">
        <v>754</v>
      </c>
      <c r="B150" s="211" t="s">
        <v>727</v>
      </c>
      <c r="C150" s="211" t="s">
        <v>663</v>
      </c>
      <c r="D150" s="212">
        <v>17452</v>
      </c>
      <c r="E150" s="212">
        <v>17052</v>
      </c>
      <c r="F150" s="212">
        <v>400</v>
      </c>
      <c r="G150" s="211" t="s">
        <v>644</v>
      </c>
      <c r="H150" s="213" t="s">
        <v>743</v>
      </c>
      <c r="I150" s="214">
        <v>120</v>
      </c>
      <c r="J150" s="213" t="s">
        <v>755</v>
      </c>
    </row>
    <row r="151" spans="1:10" x14ac:dyDescent="0.25">
      <c r="A151" s="211" t="s">
        <v>754</v>
      </c>
      <c r="B151" s="211" t="s">
        <v>727</v>
      </c>
      <c r="C151" s="211" t="s">
        <v>263</v>
      </c>
      <c r="D151" s="212">
        <v>25340</v>
      </c>
      <c r="E151" s="212">
        <v>24990</v>
      </c>
      <c r="F151" s="212">
        <v>350</v>
      </c>
      <c r="G151" s="211" t="s">
        <v>644</v>
      </c>
      <c r="H151" s="213" t="s">
        <v>645</v>
      </c>
      <c r="I151" s="214">
        <v>0</v>
      </c>
      <c r="J151" s="213" t="s">
        <v>20</v>
      </c>
    </row>
    <row r="152" spans="1:10" x14ac:dyDescent="0.25">
      <c r="A152" s="211" t="s">
        <v>756</v>
      </c>
      <c r="B152" s="211" t="s">
        <v>727</v>
      </c>
      <c r="C152" s="211" t="s">
        <v>663</v>
      </c>
      <c r="D152" s="212">
        <v>15920</v>
      </c>
      <c r="E152" s="212">
        <v>15120</v>
      </c>
      <c r="F152" s="212">
        <v>800</v>
      </c>
      <c r="G152" s="211" t="s">
        <v>644</v>
      </c>
      <c r="H152" s="213" t="s">
        <v>185</v>
      </c>
      <c r="I152" s="214">
        <v>180</v>
      </c>
      <c r="J152" s="213" t="s">
        <v>205</v>
      </c>
    </row>
    <row r="153" spans="1:10" x14ac:dyDescent="0.25">
      <c r="A153" s="211" t="s">
        <v>756</v>
      </c>
      <c r="B153" s="211" t="s">
        <v>727</v>
      </c>
      <c r="C153" s="211" t="s">
        <v>263</v>
      </c>
      <c r="D153" s="212">
        <v>26437</v>
      </c>
      <c r="E153" s="212">
        <v>25942</v>
      </c>
      <c r="F153" s="212">
        <v>495</v>
      </c>
      <c r="G153" s="211" t="s">
        <v>644</v>
      </c>
      <c r="H153" s="213" t="s">
        <v>645</v>
      </c>
      <c r="I153" s="214">
        <v>0</v>
      </c>
      <c r="J153" s="213" t="s">
        <v>20</v>
      </c>
    </row>
    <row r="154" spans="1:10" x14ac:dyDescent="0.25">
      <c r="A154" s="211" t="s">
        <v>757</v>
      </c>
      <c r="B154" s="211" t="s">
        <v>727</v>
      </c>
      <c r="C154" s="211" t="s">
        <v>663</v>
      </c>
      <c r="D154" s="212">
        <v>27626</v>
      </c>
      <c r="E154" s="212">
        <v>27216</v>
      </c>
      <c r="F154" s="212">
        <v>410</v>
      </c>
      <c r="G154" s="211" t="s">
        <v>644</v>
      </c>
      <c r="H154" s="213" t="s">
        <v>645</v>
      </c>
      <c r="I154" s="214">
        <v>0</v>
      </c>
      <c r="J154" s="213" t="s">
        <v>206</v>
      </c>
    </row>
    <row r="155" spans="1:10" x14ac:dyDescent="0.25">
      <c r="A155" s="211" t="s">
        <v>757</v>
      </c>
      <c r="B155" s="211" t="s">
        <v>727</v>
      </c>
      <c r="C155" s="211" t="s">
        <v>263</v>
      </c>
      <c r="D155" s="212">
        <v>24423</v>
      </c>
      <c r="E155" s="212">
        <v>24038</v>
      </c>
      <c r="F155" s="212">
        <v>385</v>
      </c>
      <c r="G155" s="211" t="s">
        <v>644</v>
      </c>
      <c r="H155" s="213" t="s">
        <v>645</v>
      </c>
      <c r="I155" s="214">
        <v>0</v>
      </c>
      <c r="J155" s="213" t="s">
        <v>20</v>
      </c>
    </row>
    <row r="156" spans="1:10" x14ac:dyDescent="0.25">
      <c r="A156" s="211" t="s">
        <v>758</v>
      </c>
      <c r="B156" s="211" t="s">
        <v>759</v>
      </c>
      <c r="C156" s="211" t="s">
        <v>663</v>
      </c>
      <c r="D156" s="212">
        <v>20560</v>
      </c>
      <c r="E156" s="212">
        <v>20160</v>
      </c>
      <c r="F156" s="212">
        <v>400</v>
      </c>
      <c r="G156" s="211" t="s">
        <v>169</v>
      </c>
      <c r="H156" s="213" t="s">
        <v>169</v>
      </c>
      <c r="I156" s="214">
        <v>30</v>
      </c>
      <c r="J156" s="213" t="s">
        <v>205</v>
      </c>
    </row>
    <row r="157" spans="1:10" x14ac:dyDescent="0.25">
      <c r="A157" s="211" t="s">
        <v>758</v>
      </c>
      <c r="B157" s="211" t="s">
        <v>759</v>
      </c>
      <c r="C157" s="211" t="s">
        <v>263</v>
      </c>
      <c r="D157" s="212">
        <v>25385</v>
      </c>
      <c r="E157" s="212">
        <v>24990</v>
      </c>
      <c r="F157" s="212">
        <v>395</v>
      </c>
      <c r="G157" s="211" t="s">
        <v>169</v>
      </c>
      <c r="H157" s="213" t="s">
        <v>169</v>
      </c>
      <c r="I157" s="214">
        <v>30</v>
      </c>
      <c r="J157" s="213" t="s">
        <v>20</v>
      </c>
    </row>
    <row r="158" spans="1:10" x14ac:dyDescent="0.25">
      <c r="A158" s="211" t="s">
        <v>760</v>
      </c>
      <c r="B158" s="211" t="s">
        <v>759</v>
      </c>
      <c r="C158" s="211" t="s">
        <v>663</v>
      </c>
      <c r="D158" s="212">
        <v>7241</v>
      </c>
      <c r="E158" s="212">
        <v>7056</v>
      </c>
      <c r="F158" s="212">
        <v>185</v>
      </c>
      <c r="G158" s="211" t="s">
        <v>644</v>
      </c>
      <c r="H158" s="213" t="s">
        <v>743</v>
      </c>
      <c r="I158" s="214">
        <v>300</v>
      </c>
      <c r="J158" s="213" t="s">
        <v>206</v>
      </c>
    </row>
    <row r="159" spans="1:10" x14ac:dyDescent="0.25">
      <c r="A159" s="211" t="s">
        <v>760</v>
      </c>
      <c r="B159" s="211" t="s">
        <v>759</v>
      </c>
      <c r="C159" s="211" t="s">
        <v>263</v>
      </c>
      <c r="D159" s="212">
        <v>25390</v>
      </c>
      <c r="E159" s="212">
        <v>24990</v>
      </c>
      <c r="F159" s="212">
        <v>400</v>
      </c>
      <c r="G159" s="211" t="s">
        <v>644</v>
      </c>
      <c r="H159" s="213" t="s">
        <v>645</v>
      </c>
      <c r="I159" s="214">
        <v>0</v>
      </c>
      <c r="J159" s="213" t="s">
        <v>20</v>
      </c>
    </row>
    <row r="160" spans="1:10" x14ac:dyDescent="0.25">
      <c r="A160" s="211" t="s">
        <v>761</v>
      </c>
      <c r="B160" s="211" t="s">
        <v>759</v>
      </c>
      <c r="C160" s="211" t="s">
        <v>263</v>
      </c>
      <c r="D160" s="212">
        <v>23208</v>
      </c>
      <c r="E160" s="212">
        <v>22848</v>
      </c>
      <c r="F160" s="212">
        <v>360</v>
      </c>
      <c r="G160" s="211" t="s">
        <v>644</v>
      </c>
      <c r="H160" s="213" t="s">
        <v>645</v>
      </c>
      <c r="I160" s="214">
        <v>0</v>
      </c>
      <c r="J160" s="213" t="s">
        <v>20</v>
      </c>
    </row>
    <row r="161" spans="1:10" x14ac:dyDescent="0.25">
      <c r="A161" s="211" t="s">
        <v>762</v>
      </c>
      <c r="B161" s="211" t="s">
        <v>759</v>
      </c>
      <c r="C161" s="211" t="s">
        <v>263</v>
      </c>
      <c r="D161" s="212">
        <v>9880</v>
      </c>
      <c r="E161" s="212">
        <v>9540</v>
      </c>
      <c r="F161" s="212">
        <v>340</v>
      </c>
      <c r="G161" s="211" t="s">
        <v>644</v>
      </c>
      <c r="H161" s="213" t="s">
        <v>185</v>
      </c>
      <c r="I161" s="214">
        <v>240</v>
      </c>
      <c r="J161" s="213" t="s">
        <v>183</v>
      </c>
    </row>
    <row r="162" spans="1:10" x14ac:dyDescent="0.25">
      <c r="A162" s="211" t="s">
        <v>763</v>
      </c>
      <c r="B162" s="211" t="s">
        <v>759</v>
      </c>
      <c r="C162" s="211" t="s">
        <v>663</v>
      </c>
      <c r="D162" s="212">
        <v>12100</v>
      </c>
      <c r="E162" s="212">
        <v>11760</v>
      </c>
      <c r="F162" s="212">
        <v>340</v>
      </c>
      <c r="G162" s="211" t="s">
        <v>169</v>
      </c>
      <c r="H162" s="213" t="s">
        <v>169</v>
      </c>
      <c r="I162" s="214">
        <v>40</v>
      </c>
      <c r="J162" s="213" t="s">
        <v>206</v>
      </c>
    </row>
    <row r="163" spans="1:10" x14ac:dyDescent="0.25">
      <c r="A163" s="211" t="s">
        <v>763</v>
      </c>
      <c r="B163" s="211" t="s">
        <v>759</v>
      </c>
      <c r="C163" s="211" t="s">
        <v>263</v>
      </c>
      <c r="D163" s="212">
        <v>14675</v>
      </c>
      <c r="E163" s="212">
        <v>14280</v>
      </c>
      <c r="F163" s="212">
        <v>395</v>
      </c>
      <c r="G163" s="211" t="s">
        <v>169</v>
      </c>
      <c r="H163" s="213" t="s">
        <v>169</v>
      </c>
      <c r="I163" s="214">
        <v>40</v>
      </c>
      <c r="J163" s="213" t="s">
        <v>20</v>
      </c>
    </row>
    <row r="164" spans="1:10" x14ac:dyDescent="0.25">
      <c r="A164" s="211" t="s">
        <v>764</v>
      </c>
      <c r="B164" s="211" t="s">
        <v>759</v>
      </c>
      <c r="C164" s="211" t="s">
        <v>663</v>
      </c>
      <c r="D164" s="212">
        <v>9390</v>
      </c>
      <c r="E164" s="212">
        <v>9120</v>
      </c>
      <c r="F164" s="212">
        <v>270</v>
      </c>
      <c r="G164" s="211" t="s">
        <v>644</v>
      </c>
      <c r="H164" s="213" t="s">
        <v>743</v>
      </c>
      <c r="I164" s="214">
        <v>240</v>
      </c>
      <c r="J164" s="213" t="s">
        <v>765</v>
      </c>
    </row>
    <row r="165" spans="1:10" x14ac:dyDescent="0.25">
      <c r="A165" s="211" t="s">
        <v>764</v>
      </c>
      <c r="B165" s="211" t="s">
        <v>759</v>
      </c>
      <c r="C165" s="211" t="s">
        <v>263</v>
      </c>
      <c r="D165" s="212">
        <v>2505</v>
      </c>
      <c r="E165" s="212">
        <v>2380</v>
      </c>
      <c r="F165" s="212">
        <v>125</v>
      </c>
      <c r="G165" s="211" t="s">
        <v>644</v>
      </c>
      <c r="H165" s="213" t="s">
        <v>743</v>
      </c>
      <c r="I165" s="214">
        <v>420</v>
      </c>
      <c r="J165" s="213" t="s">
        <v>16</v>
      </c>
    </row>
    <row r="166" spans="1:10" x14ac:dyDescent="0.25">
      <c r="A166" s="211" t="s">
        <v>766</v>
      </c>
      <c r="B166" s="211" t="s">
        <v>759</v>
      </c>
      <c r="C166" s="211" t="s">
        <v>663</v>
      </c>
      <c r="D166" s="212">
        <v>15165</v>
      </c>
      <c r="E166" s="212">
        <v>14790</v>
      </c>
      <c r="F166" s="212">
        <v>375</v>
      </c>
      <c r="G166" s="211" t="s">
        <v>644</v>
      </c>
      <c r="H166" s="213" t="s">
        <v>167</v>
      </c>
      <c r="I166" s="214">
        <v>150</v>
      </c>
      <c r="J166" s="213" t="s">
        <v>765</v>
      </c>
    </row>
    <row r="167" spans="1:10" x14ac:dyDescent="0.25">
      <c r="A167" s="211" t="s">
        <v>766</v>
      </c>
      <c r="B167" s="211" t="s">
        <v>759</v>
      </c>
      <c r="C167" s="211" t="s">
        <v>263</v>
      </c>
      <c r="D167" s="212">
        <v>18340</v>
      </c>
      <c r="E167" s="212">
        <v>17850</v>
      </c>
      <c r="F167" s="212">
        <v>490</v>
      </c>
      <c r="G167" s="211" t="s">
        <v>644</v>
      </c>
      <c r="H167" s="213" t="s">
        <v>743</v>
      </c>
      <c r="I167" s="214">
        <v>120</v>
      </c>
      <c r="J167" s="213" t="s">
        <v>16</v>
      </c>
    </row>
    <row r="168" spans="1:10" x14ac:dyDescent="0.25">
      <c r="A168" s="211" t="s">
        <v>767</v>
      </c>
      <c r="B168" s="211" t="s">
        <v>759</v>
      </c>
      <c r="C168" s="211" t="s">
        <v>263</v>
      </c>
      <c r="D168" s="212">
        <v>11160</v>
      </c>
      <c r="E168" s="212">
        <v>10820</v>
      </c>
      <c r="F168" s="212">
        <v>340</v>
      </c>
      <c r="G168" s="211" t="s">
        <v>644</v>
      </c>
      <c r="H168" s="213" t="s">
        <v>167</v>
      </c>
      <c r="I168" s="214">
        <v>320</v>
      </c>
      <c r="J168" s="213" t="s">
        <v>768</v>
      </c>
    </row>
    <row r="169" spans="1:10" x14ac:dyDescent="0.25">
      <c r="A169" s="211" t="s">
        <v>769</v>
      </c>
      <c r="B169" s="211" t="s">
        <v>759</v>
      </c>
      <c r="C169" s="211" t="s">
        <v>663</v>
      </c>
      <c r="D169" s="212">
        <v>13640</v>
      </c>
      <c r="E169" s="212">
        <v>13440</v>
      </c>
      <c r="F169" s="212">
        <v>200</v>
      </c>
      <c r="G169" s="211" t="s">
        <v>644</v>
      </c>
      <c r="H169" s="213" t="s">
        <v>185</v>
      </c>
      <c r="I169" s="214">
        <v>180</v>
      </c>
      <c r="J169" s="213" t="s">
        <v>203</v>
      </c>
    </row>
    <row r="170" spans="1:10" x14ac:dyDescent="0.25">
      <c r="A170" s="211" t="s">
        <v>769</v>
      </c>
      <c r="B170" s="211" t="s">
        <v>759</v>
      </c>
      <c r="C170" s="211" t="s">
        <v>263</v>
      </c>
      <c r="D170" s="212">
        <v>5716</v>
      </c>
      <c r="E170" s="212">
        <v>5616</v>
      </c>
      <c r="F170" s="212">
        <v>100</v>
      </c>
      <c r="G170" s="211" t="s">
        <v>644</v>
      </c>
      <c r="H170" s="213" t="s">
        <v>167</v>
      </c>
      <c r="I170" s="214">
        <v>60</v>
      </c>
      <c r="J170" s="213" t="s">
        <v>22</v>
      </c>
    </row>
    <row r="171" spans="1:10" x14ac:dyDescent="0.25">
      <c r="A171" s="211" t="s">
        <v>770</v>
      </c>
      <c r="B171" s="211" t="s">
        <v>759</v>
      </c>
      <c r="C171" s="211" t="s">
        <v>663</v>
      </c>
      <c r="D171" s="212">
        <v>8660</v>
      </c>
      <c r="E171" s="212">
        <v>8400</v>
      </c>
      <c r="F171" s="212">
        <v>260</v>
      </c>
      <c r="G171" s="211" t="s">
        <v>644</v>
      </c>
      <c r="H171" s="213" t="s">
        <v>167</v>
      </c>
      <c r="I171" s="214">
        <v>220</v>
      </c>
      <c r="J171" s="213" t="s">
        <v>203</v>
      </c>
    </row>
    <row r="172" spans="1:10" x14ac:dyDescent="0.25">
      <c r="A172" s="211" t="s">
        <v>770</v>
      </c>
      <c r="B172" s="211" t="s">
        <v>759</v>
      </c>
      <c r="C172" s="211" t="s">
        <v>263</v>
      </c>
      <c r="D172" s="212">
        <v>13520</v>
      </c>
      <c r="E172" s="212">
        <v>13140</v>
      </c>
      <c r="F172" s="212">
        <v>380</v>
      </c>
      <c r="G172" s="211" t="s">
        <v>644</v>
      </c>
      <c r="H172" s="213" t="s">
        <v>167</v>
      </c>
      <c r="I172" s="214">
        <v>360</v>
      </c>
      <c r="J172" s="213" t="s">
        <v>771</v>
      </c>
    </row>
    <row r="173" spans="1:10" x14ac:dyDescent="0.25">
      <c r="A173" s="211" t="s">
        <v>772</v>
      </c>
      <c r="B173" s="211" t="s">
        <v>759</v>
      </c>
      <c r="C173" s="211" t="s">
        <v>263</v>
      </c>
      <c r="D173" s="212">
        <v>8900</v>
      </c>
      <c r="E173" s="212">
        <v>8640</v>
      </c>
      <c r="F173" s="212">
        <v>260</v>
      </c>
      <c r="G173" s="211" t="s">
        <v>644</v>
      </c>
      <c r="H173" s="213" t="s">
        <v>165</v>
      </c>
      <c r="I173" s="214">
        <v>240</v>
      </c>
      <c r="J173" s="213" t="s">
        <v>183</v>
      </c>
    </row>
    <row r="174" spans="1:10" x14ac:dyDescent="0.25">
      <c r="A174" s="211" t="s">
        <v>773</v>
      </c>
      <c r="B174" s="211" t="s">
        <v>759</v>
      </c>
      <c r="C174" s="211" t="s">
        <v>263</v>
      </c>
      <c r="D174" s="212">
        <v>3730</v>
      </c>
      <c r="E174" s="212">
        <v>3570</v>
      </c>
      <c r="F174" s="212">
        <v>160</v>
      </c>
      <c r="G174" s="211" t="s">
        <v>644</v>
      </c>
      <c r="H174" s="213" t="s">
        <v>774</v>
      </c>
      <c r="I174" s="214">
        <v>300</v>
      </c>
      <c r="J174" s="213" t="s">
        <v>20</v>
      </c>
    </row>
    <row r="175" spans="1:10" x14ac:dyDescent="0.25">
      <c r="A175" s="211" t="s">
        <v>775</v>
      </c>
      <c r="B175" s="211" t="s">
        <v>759</v>
      </c>
      <c r="C175" s="211" t="s">
        <v>663</v>
      </c>
      <c r="D175" s="212">
        <v>11995</v>
      </c>
      <c r="E175" s="212">
        <v>11760</v>
      </c>
      <c r="F175" s="212">
        <v>235</v>
      </c>
      <c r="G175" s="211" t="s">
        <v>644</v>
      </c>
      <c r="H175" s="213" t="s">
        <v>743</v>
      </c>
      <c r="I175" s="214">
        <v>240</v>
      </c>
      <c r="J175" s="213" t="s">
        <v>14</v>
      </c>
    </row>
    <row r="176" spans="1:10" x14ac:dyDescent="0.25">
      <c r="A176" s="211" t="s">
        <v>775</v>
      </c>
      <c r="B176" s="211" t="s">
        <v>759</v>
      </c>
      <c r="C176" s="211" t="s">
        <v>263</v>
      </c>
      <c r="D176" s="212">
        <v>14793</v>
      </c>
      <c r="E176" s="212">
        <v>14518</v>
      </c>
      <c r="F176" s="212">
        <v>275</v>
      </c>
      <c r="G176" s="211" t="s">
        <v>644</v>
      </c>
      <c r="H176" s="213" t="s">
        <v>743</v>
      </c>
      <c r="I176" s="214">
        <v>360</v>
      </c>
      <c r="J176" s="213" t="s">
        <v>20</v>
      </c>
    </row>
    <row r="177" spans="1:10" x14ac:dyDescent="0.25">
      <c r="A177" s="211" t="s">
        <v>776</v>
      </c>
      <c r="B177" s="211" t="s">
        <v>759</v>
      </c>
      <c r="C177" s="211" t="s">
        <v>663</v>
      </c>
      <c r="D177" s="212">
        <v>9924</v>
      </c>
      <c r="E177" s="212">
        <v>9744</v>
      </c>
      <c r="F177" s="212">
        <v>180</v>
      </c>
      <c r="G177" s="211" t="s">
        <v>644</v>
      </c>
      <c r="H177" s="213" t="s">
        <v>167</v>
      </c>
      <c r="I177" s="214">
        <v>240</v>
      </c>
      <c r="J177" s="213" t="s">
        <v>14</v>
      </c>
    </row>
    <row r="178" spans="1:10" x14ac:dyDescent="0.25">
      <c r="A178" s="211" t="s">
        <v>776</v>
      </c>
      <c r="B178" s="211" t="s">
        <v>759</v>
      </c>
      <c r="C178" s="211" t="s">
        <v>263</v>
      </c>
      <c r="D178" s="212">
        <v>18824</v>
      </c>
      <c r="E178" s="212">
        <v>18564</v>
      </c>
      <c r="F178" s="212">
        <v>260</v>
      </c>
      <c r="G178" s="211" t="s">
        <v>644</v>
      </c>
      <c r="H178" s="213" t="s">
        <v>645</v>
      </c>
      <c r="I178" s="214">
        <v>0</v>
      </c>
      <c r="J178" s="213" t="s">
        <v>20</v>
      </c>
    </row>
    <row r="179" spans="1:10" x14ac:dyDescent="0.25">
      <c r="A179" s="211" t="s">
        <v>777</v>
      </c>
      <c r="B179" s="211" t="s">
        <v>759</v>
      </c>
      <c r="C179" s="211" t="s">
        <v>663</v>
      </c>
      <c r="D179" s="212">
        <v>10256</v>
      </c>
      <c r="E179" s="212">
        <v>9996</v>
      </c>
      <c r="F179" s="212">
        <v>260</v>
      </c>
      <c r="G179" s="211" t="s">
        <v>644</v>
      </c>
      <c r="H179" s="213" t="s">
        <v>743</v>
      </c>
      <c r="I179" s="214">
        <v>240</v>
      </c>
      <c r="J179" s="213" t="s">
        <v>193</v>
      </c>
    </row>
    <row r="180" spans="1:10" x14ac:dyDescent="0.25">
      <c r="A180" s="211" t="s">
        <v>777</v>
      </c>
      <c r="B180" s="211" t="s">
        <v>759</v>
      </c>
      <c r="C180" s="211" t="s">
        <v>263</v>
      </c>
      <c r="D180" s="212">
        <v>25330</v>
      </c>
      <c r="E180" s="212">
        <v>24990</v>
      </c>
      <c r="F180" s="212">
        <v>340</v>
      </c>
      <c r="G180" s="211" t="s">
        <v>644</v>
      </c>
      <c r="H180" s="213" t="s">
        <v>645</v>
      </c>
      <c r="I180" s="214">
        <v>0</v>
      </c>
      <c r="J180" s="213" t="s">
        <v>20</v>
      </c>
    </row>
    <row r="181" spans="1:10" x14ac:dyDescent="0.25">
      <c r="A181" s="211" t="s">
        <v>778</v>
      </c>
      <c r="B181" s="211" t="s">
        <v>759</v>
      </c>
      <c r="C181" s="211" t="s">
        <v>663</v>
      </c>
      <c r="D181" s="212">
        <v>7380</v>
      </c>
      <c r="E181" s="212">
        <v>7140</v>
      </c>
      <c r="F181" s="212">
        <v>240</v>
      </c>
      <c r="G181" s="211" t="s">
        <v>644</v>
      </c>
      <c r="H181" s="213" t="s">
        <v>167</v>
      </c>
      <c r="I181" s="214">
        <v>560</v>
      </c>
      <c r="J181" s="213" t="s">
        <v>779</v>
      </c>
    </row>
    <row r="182" spans="1:10" x14ac:dyDescent="0.25">
      <c r="A182" s="211" t="s">
        <v>778</v>
      </c>
      <c r="B182" s="211" t="s">
        <v>759</v>
      </c>
      <c r="C182" s="211" t="s">
        <v>263</v>
      </c>
      <c r="D182" s="212">
        <v>7936</v>
      </c>
      <c r="E182" s="212">
        <v>7716</v>
      </c>
      <c r="F182" s="212">
        <v>220</v>
      </c>
      <c r="G182" s="211" t="s">
        <v>644</v>
      </c>
      <c r="H182" s="213" t="s">
        <v>743</v>
      </c>
      <c r="I182" s="214">
        <v>300</v>
      </c>
      <c r="J182" s="213" t="s">
        <v>20</v>
      </c>
    </row>
    <row r="183" spans="1:10" x14ac:dyDescent="0.25">
      <c r="A183" s="211" t="s">
        <v>780</v>
      </c>
      <c r="B183" s="211" t="s">
        <v>759</v>
      </c>
      <c r="C183" s="211" t="s">
        <v>663</v>
      </c>
      <c r="D183" s="212">
        <v>14061</v>
      </c>
      <c r="E183" s="212">
        <v>13776</v>
      </c>
      <c r="F183" s="212">
        <v>285</v>
      </c>
      <c r="G183" s="211" t="s">
        <v>644</v>
      </c>
      <c r="H183" s="213" t="s">
        <v>743</v>
      </c>
      <c r="I183" s="214">
        <v>150</v>
      </c>
      <c r="J183" s="213" t="s">
        <v>205</v>
      </c>
    </row>
    <row r="184" spans="1:10" x14ac:dyDescent="0.25">
      <c r="A184" s="211" t="s">
        <v>780</v>
      </c>
      <c r="B184" s="211" t="s">
        <v>759</v>
      </c>
      <c r="C184" s="211" t="s">
        <v>263</v>
      </c>
      <c r="D184" s="212">
        <v>25290</v>
      </c>
      <c r="E184" s="212">
        <v>24990</v>
      </c>
      <c r="F184" s="212">
        <v>300</v>
      </c>
      <c r="G184" s="211" t="s">
        <v>644</v>
      </c>
      <c r="H184" s="213" t="s">
        <v>645</v>
      </c>
      <c r="I184" s="214">
        <v>0</v>
      </c>
      <c r="J184" s="213" t="s">
        <v>20</v>
      </c>
    </row>
    <row r="185" spans="1:10" x14ac:dyDescent="0.25">
      <c r="A185" s="211" t="s">
        <v>781</v>
      </c>
      <c r="B185" s="211" t="s">
        <v>759</v>
      </c>
      <c r="C185" s="211" t="s">
        <v>663</v>
      </c>
      <c r="D185" s="212">
        <v>6544</v>
      </c>
      <c r="E185" s="212">
        <v>6384</v>
      </c>
      <c r="F185" s="212">
        <v>160</v>
      </c>
      <c r="G185" s="211" t="s">
        <v>169</v>
      </c>
      <c r="H185" s="213" t="s">
        <v>169</v>
      </c>
      <c r="I185" s="214">
        <v>240</v>
      </c>
      <c r="J185" s="213" t="s">
        <v>779</v>
      </c>
    </row>
    <row r="186" spans="1:10" x14ac:dyDescent="0.25">
      <c r="A186" s="211" t="s">
        <v>781</v>
      </c>
      <c r="B186" s="211" t="s">
        <v>759</v>
      </c>
      <c r="C186" s="211" t="s">
        <v>263</v>
      </c>
      <c r="D186" s="212">
        <v>15918</v>
      </c>
      <c r="E186" s="212">
        <v>15708</v>
      </c>
      <c r="F186" s="212">
        <v>210</v>
      </c>
      <c r="G186" s="211" t="s">
        <v>169</v>
      </c>
      <c r="H186" s="213" t="s">
        <v>169</v>
      </c>
      <c r="I186" s="214">
        <v>120</v>
      </c>
      <c r="J186" s="213" t="s">
        <v>20</v>
      </c>
    </row>
    <row r="187" spans="1:10" x14ac:dyDescent="0.25">
      <c r="A187" s="211" t="s">
        <v>782</v>
      </c>
      <c r="B187" s="211" t="s">
        <v>783</v>
      </c>
      <c r="C187" s="211" t="s">
        <v>663</v>
      </c>
      <c r="D187" s="212">
        <v>9899</v>
      </c>
      <c r="E187" s="212">
        <v>9744</v>
      </c>
      <c r="F187" s="212">
        <v>155</v>
      </c>
      <c r="G187" s="211" t="s">
        <v>644</v>
      </c>
      <c r="H187" s="213" t="s">
        <v>743</v>
      </c>
      <c r="I187" s="214">
        <v>180</v>
      </c>
      <c r="J187" s="213" t="s">
        <v>204</v>
      </c>
    </row>
    <row r="188" spans="1:10" x14ac:dyDescent="0.25">
      <c r="A188" s="211" t="s">
        <v>782</v>
      </c>
      <c r="B188" s="211" t="s">
        <v>783</v>
      </c>
      <c r="C188" s="211" t="s">
        <v>263</v>
      </c>
      <c r="D188" s="212">
        <v>2678</v>
      </c>
      <c r="E188" s="212">
        <v>2618</v>
      </c>
      <c r="F188" s="212">
        <v>60</v>
      </c>
      <c r="G188" s="211" t="s">
        <v>644</v>
      </c>
      <c r="H188" s="213" t="s">
        <v>165</v>
      </c>
      <c r="I188" s="214">
        <v>420</v>
      </c>
      <c r="J188" s="213" t="s">
        <v>20</v>
      </c>
    </row>
    <row r="189" spans="1:10" x14ac:dyDescent="0.25">
      <c r="A189" s="211" t="s">
        <v>784</v>
      </c>
      <c r="B189" s="211" t="s">
        <v>783</v>
      </c>
      <c r="C189" s="211" t="s">
        <v>663</v>
      </c>
      <c r="D189" s="212">
        <v>12587</v>
      </c>
      <c r="E189" s="212">
        <v>12432</v>
      </c>
      <c r="F189" s="212">
        <v>155</v>
      </c>
      <c r="G189" s="211" t="s">
        <v>169</v>
      </c>
      <c r="H189" s="213" t="s">
        <v>169</v>
      </c>
      <c r="I189" s="214">
        <v>60</v>
      </c>
      <c r="J189" s="213" t="s">
        <v>204</v>
      </c>
    </row>
    <row r="190" spans="1:10" x14ac:dyDescent="0.25">
      <c r="A190" s="211" t="s">
        <v>785</v>
      </c>
      <c r="B190" s="211" t="s">
        <v>783</v>
      </c>
      <c r="C190" s="211" t="s">
        <v>663</v>
      </c>
      <c r="D190" s="212">
        <v>15816</v>
      </c>
      <c r="E190" s="212">
        <v>15456</v>
      </c>
      <c r="F190" s="212">
        <v>360</v>
      </c>
      <c r="G190" s="211" t="s">
        <v>644</v>
      </c>
      <c r="H190" s="213" t="s">
        <v>743</v>
      </c>
      <c r="I190" s="214">
        <v>120</v>
      </c>
      <c r="J190" s="213" t="s">
        <v>14</v>
      </c>
    </row>
    <row r="191" spans="1:10" x14ac:dyDescent="0.25">
      <c r="A191" s="211" t="s">
        <v>786</v>
      </c>
      <c r="B191" s="211" t="s">
        <v>783</v>
      </c>
      <c r="C191" s="211" t="s">
        <v>663</v>
      </c>
      <c r="D191" s="212">
        <v>22556</v>
      </c>
      <c r="E191" s="212">
        <v>22176</v>
      </c>
      <c r="F191" s="212">
        <v>380</v>
      </c>
      <c r="G191" s="211" t="s">
        <v>644</v>
      </c>
      <c r="H191" s="213" t="s">
        <v>645</v>
      </c>
      <c r="I191" s="214">
        <v>0</v>
      </c>
      <c r="J191" s="213" t="s">
        <v>14</v>
      </c>
    </row>
    <row r="192" spans="1:10" x14ac:dyDescent="0.25">
      <c r="A192" s="211" t="s">
        <v>787</v>
      </c>
      <c r="B192" s="211" t="s">
        <v>783</v>
      </c>
      <c r="C192" s="211" t="s">
        <v>663</v>
      </c>
      <c r="D192" s="212">
        <v>22571</v>
      </c>
      <c r="E192" s="212">
        <v>22176</v>
      </c>
      <c r="F192" s="212">
        <v>395</v>
      </c>
      <c r="G192" s="211" t="s">
        <v>644</v>
      </c>
      <c r="H192" s="213" t="s">
        <v>645</v>
      </c>
      <c r="I192" s="214">
        <v>0</v>
      </c>
      <c r="J192" s="213" t="s">
        <v>14</v>
      </c>
    </row>
    <row r="193" spans="1:10" x14ac:dyDescent="0.25">
      <c r="A193" s="211" t="s">
        <v>788</v>
      </c>
      <c r="B193" s="211" t="s">
        <v>783</v>
      </c>
      <c r="C193" s="211" t="s">
        <v>663</v>
      </c>
      <c r="D193" s="212">
        <v>17887</v>
      </c>
      <c r="E193" s="212">
        <v>17472</v>
      </c>
      <c r="F193" s="212">
        <v>415</v>
      </c>
      <c r="G193" s="211" t="s">
        <v>169</v>
      </c>
      <c r="H193" s="213" t="s">
        <v>169</v>
      </c>
      <c r="I193" s="214">
        <v>160</v>
      </c>
      <c r="J193" s="213" t="s">
        <v>789</v>
      </c>
    </row>
    <row r="194" spans="1:10" x14ac:dyDescent="0.25">
      <c r="A194" s="211" t="s">
        <v>790</v>
      </c>
      <c r="B194" s="211" t="s">
        <v>783</v>
      </c>
      <c r="C194" s="211" t="s">
        <v>663</v>
      </c>
      <c r="D194" s="212">
        <v>15134</v>
      </c>
      <c r="E194" s="212">
        <v>14784</v>
      </c>
      <c r="F194" s="212">
        <v>350</v>
      </c>
      <c r="G194" s="211" t="s">
        <v>169</v>
      </c>
      <c r="H194" s="213" t="s">
        <v>169</v>
      </c>
      <c r="I194" s="214">
        <v>180</v>
      </c>
      <c r="J194" s="213" t="s">
        <v>207</v>
      </c>
    </row>
    <row r="195" spans="1:10" x14ac:dyDescent="0.25">
      <c r="A195" s="211" t="s">
        <v>791</v>
      </c>
      <c r="B195" s="211" t="s">
        <v>783</v>
      </c>
      <c r="C195" s="211" t="s">
        <v>663</v>
      </c>
      <c r="D195" s="212">
        <v>15896</v>
      </c>
      <c r="E195" s="212">
        <v>15456</v>
      </c>
      <c r="F195" s="212">
        <v>440</v>
      </c>
      <c r="G195" s="211" t="s">
        <v>644</v>
      </c>
      <c r="H195" s="213" t="s">
        <v>774</v>
      </c>
      <c r="I195" s="214">
        <v>360</v>
      </c>
      <c r="J195" s="213" t="s">
        <v>792</v>
      </c>
    </row>
    <row r="196" spans="1:10" x14ac:dyDescent="0.25">
      <c r="A196" s="211" t="s">
        <v>793</v>
      </c>
      <c r="B196" s="211" t="s">
        <v>783</v>
      </c>
      <c r="C196" s="211" t="s">
        <v>663</v>
      </c>
      <c r="D196" s="212">
        <v>19702</v>
      </c>
      <c r="E196" s="212">
        <v>19152</v>
      </c>
      <c r="F196" s="212">
        <v>550</v>
      </c>
      <c r="G196" s="211" t="s">
        <v>169</v>
      </c>
      <c r="H196" s="213" t="s">
        <v>169</v>
      </c>
      <c r="I196" s="214">
        <v>30</v>
      </c>
      <c r="J196" s="213" t="s">
        <v>206</v>
      </c>
    </row>
    <row r="197" spans="1:10" x14ac:dyDescent="0.25">
      <c r="A197" s="211" t="s">
        <v>794</v>
      </c>
      <c r="B197" s="211" t="s">
        <v>783</v>
      </c>
      <c r="C197" s="211" t="s">
        <v>663</v>
      </c>
      <c r="D197" s="212">
        <v>9773</v>
      </c>
      <c r="E197" s="212">
        <v>9408</v>
      </c>
      <c r="F197" s="212">
        <v>365</v>
      </c>
      <c r="G197" s="211" t="s">
        <v>169</v>
      </c>
      <c r="H197" s="213" t="s">
        <v>169</v>
      </c>
      <c r="I197" s="214">
        <v>30</v>
      </c>
      <c r="J197" s="213" t="s">
        <v>206</v>
      </c>
    </row>
    <row r="198" spans="1:10" x14ac:dyDescent="0.25">
      <c r="A198" s="211" t="s">
        <v>794</v>
      </c>
      <c r="B198" s="211" t="s">
        <v>783</v>
      </c>
      <c r="C198" s="211" t="s">
        <v>263</v>
      </c>
      <c r="D198" s="212">
        <v>11874</v>
      </c>
      <c r="E198" s="212">
        <v>11424</v>
      </c>
      <c r="F198" s="212">
        <v>450</v>
      </c>
      <c r="G198" s="211" t="s">
        <v>644</v>
      </c>
      <c r="H198" s="213" t="s">
        <v>645</v>
      </c>
      <c r="I198" s="214">
        <v>0</v>
      </c>
      <c r="J198" s="213" t="s">
        <v>20</v>
      </c>
    </row>
    <row r="199" spans="1:10" x14ac:dyDescent="0.25">
      <c r="A199" s="211" t="s">
        <v>795</v>
      </c>
      <c r="B199" s="211" t="s">
        <v>783</v>
      </c>
      <c r="C199" s="211" t="s">
        <v>263</v>
      </c>
      <c r="D199" s="212">
        <v>25470</v>
      </c>
      <c r="E199" s="212">
        <v>24990</v>
      </c>
      <c r="F199" s="212">
        <v>480</v>
      </c>
      <c r="G199" s="211" t="s">
        <v>644</v>
      </c>
      <c r="H199" s="213" t="s">
        <v>645</v>
      </c>
      <c r="I199" s="214">
        <v>0</v>
      </c>
      <c r="J199" s="213" t="s">
        <v>20</v>
      </c>
    </row>
    <row r="200" spans="1:10" x14ac:dyDescent="0.25">
      <c r="A200" s="211" t="s">
        <v>796</v>
      </c>
      <c r="B200" s="211" t="s">
        <v>783</v>
      </c>
      <c r="C200" s="211" t="s">
        <v>263</v>
      </c>
      <c r="D200" s="212">
        <v>25440</v>
      </c>
      <c r="E200" s="212">
        <v>24990</v>
      </c>
      <c r="F200" s="212">
        <v>450</v>
      </c>
      <c r="G200" s="211" t="s">
        <v>644</v>
      </c>
      <c r="H200" s="213" t="s">
        <v>645</v>
      </c>
      <c r="I200" s="214">
        <v>0</v>
      </c>
      <c r="J200" s="213" t="s">
        <v>20</v>
      </c>
    </row>
    <row r="201" spans="1:10" x14ac:dyDescent="0.25">
      <c r="A201" s="211" t="s">
        <v>797</v>
      </c>
      <c r="B201" s="211" t="s">
        <v>783</v>
      </c>
      <c r="C201" s="211" t="s">
        <v>663</v>
      </c>
      <c r="D201" s="212">
        <v>11538</v>
      </c>
      <c r="E201" s="212">
        <v>11088</v>
      </c>
      <c r="F201" s="212">
        <v>450</v>
      </c>
      <c r="G201" s="211" t="s">
        <v>644</v>
      </c>
      <c r="H201" s="213" t="s">
        <v>167</v>
      </c>
      <c r="I201" s="214">
        <v>100</v>
      </c>
      <c r="J201" s="213" t="s">
        <v>206</v>
      </c>
    </row>
    <row r="202" spans="1:10" x14ac:dyDescent="0.25">
      <c r="A202" s="211" t="s">
        <v>797</v>
      </c>
      <c r="B202" s="211" t="s">
        <v>783</v>
      </c>
      <c r="C202" s="211" t="s">
        <v>263</v>
      </c>
      <c r="D202" s="212">
        <v>6408</v>
      </c>
      <c r="E202" s="212">
        <v>6188</v>
      </c>
      <c r="F202" s="212">
        <v>220</v>
      </c>
      <c r="G202" s="211" t="s">
        <v>644</v>
      </c>
      <c r="H202" s="213" t="s">
        <v>645</v>
      </c>
      <c r="I202" s="214">
        <v>0</v>
      </c>
      <c r="J202" s="213" t="s">
        <v>20</v>
      </c>
    </row>
    <row r="203" spans="1:10" x14ac:dyDescent="0.25">
      <c r="A203" s="211" t="s">
        <v>798</v>
      </c>
      <c r="B203" s="211" t="s">
        <v>783</v>
      </c>
      <c r="C203" s="211" t="s">
        <v>663</v>
      </c>
      <c r="D203" s="212">
        <v>18930</v>
      </c>
      <c r="E203" s="212">
        <v>18480</v>
      </c>
      <c r="F203" s="212">
        <v>450</v>
      </c>
      <c r="G203" s="211" t="s">
        <v>644</v>
      </c>
      <c r="H203" s="213" t="s">
        <v>743</v>
      </c>
      <c r="I203" s="214">
        <v>60</v>
      </c>
      <c r="J203" s="213" t="s">
        <v>206</v>
      </c>
    </row>
    <row r="204" spans="1:10" x14ac:dyDescent="0.25">
      <c r="A204" s="211" t="s">
        <v>799</v>
      </c>
      <c r="B204" s="211" t="s">
        <v>783</v>
      </c>
      <c r="C204" s="211" t="s">
        <v>663</v>
      </c>
      <c r="D204" s="212">
        <v>4518</v>
      </c>
      <c r="E204" s="212">
        <v>4368</v>
      </c>
      <c r="F204" s="212">
        <v>150</v>
      </c>
      <c r="G204" s="211" t="s">
        <v>644</v>
      </c>
      <c r="H204" s="213" t="s">
        <v>774</v>
      </c>
      <c r="I204" s="214">
        <v>360</v>
      </c>
      <c r="J204" s="213" t="s">
        <v>206</v>
      </c>
    </row>
    <row r="205" spans="1:10" x14ac:dyDescent="0.25">
      <c r="A205" s="211" t="s">
        <v>800</v>
      </c>
      <c r="B205" s="211" t="s">
        <v>783</v>
      </c>
      <c r="C205" s="211" t="s">
        <v>663</v>
      </c>
      <c r="D205" s="212">
        <v>3134</v>
      </c>
      <c r="E205" s="212">
        <v>3024</v>
      </c>
      <c r="F205" s="212">
        <v>110</v>
      </c>
      <c r="G205" s="211" t="s">
        <v>644</v>
      </c>
      <c r="H205" s="213" t="s">
        <v>645</v>
      </c>
      <c r="I205" s="214">
        <v>0</v>
      </c>
      <c r="J205" s="213" t="s">
        <v>206</v>
      </c>
    </row>
    <row r="206" spans="1:10" x14ac:dyDescent="0.25">
      <c r="A206" s="211" t="s">
        <v>800</v>
      </c>
      <c r="B206" s="211" t="s">
        <v>783</v>
      </c>
      <c r="C206" s="211" t="s">
        <v>263</v>
      </c>
      <c r="D206" s="212">
        <v>13778</v>
      </c>
      <c r="E206" s="212">
        <v>13328</v>
      </c>
      <c r="F206" s="212">
        <v>450</v>
      </c>
      <c r="G206" s="211" t="s">
        <v>644</v>
      </c>
      <c r="H206" s="213" t="s">
        <v>774</v>
      </c>
      <c r="I206" s="214">
        <v>120</v>
      </c>
      <c r="J206" s="213" t="s">
        <v>20</v>
      </c>
    </row>
    <row r="207" spans="1:10" x14ac:dyDescent="0.25">
      <c r="A207" s="211" t="s">
        <v>801</v>
      </c>
      <c r="B207" s="211" t="s">
        <v>783</v>
      </c>
      <c r="C207" s="211" t="s">
        <v>263</v>
      </c>
      <c r="D207" s="212">
        <v>22604</v>
      </c>
      <c r="E207" s="212">
        <v>22134</v>
      </c>
      <c r="F207" s="212">
        <v>470</v>
      </c>
      <c r="G207" s="211" t="s">
        <v>169</v>
      </c>
      <c r="H207" s="213" t="s">
        <v>169</v>
      </c>
      <c r="I207" s="214">
        <v>30</v>
      </c>
      <c r="J207" s="213" t="s">
        <v>20</v>
      </c>
    </row>
    <row r="208" spans="1:10" x14ac:dyDescent="0.25">
      <c r="A208" s="211" t="s">
        <v>802</v>
      </c>
      <c r="B208" s="211" t="s">
        <v>783</v>
      </c>
      <c r="C208" s="211" t="s">
        <v>263</v>
      </c>
      <c r="D208" s="212">
        <v>22529</v>
      </c>
      <c r="E208" s="212">
        <v>22134</v>
      </c>
      <c r="F208" s="212">
        <v>395</v>
      </c>
      <c r="G208" s="211" t="s">
        <v>644</v>
      </c>
      <c r="H208" s="213" t="s">
        <v>645</v>
      </c>
      <c r="I208" s="214">
        <v>0</v>
      </c>
      <c r="J208" s="213" t="s">
        <v>20</v>
      </c>
    </row>
    <row r="209" spans="1:10" x14ac:dyDescent="0.25">
      <c r="A209" s="211" t="s">
        <v>803</v>
      </c>
      <c r="B209" s="211" t="s">
        <v>804</v>
      </c>
      <c r="C209" s="211" t="s">
        <v>663</v>
      </c>
      <c r="D209" s="212">
        <v>6200</v>
      </c>
      <c r="E209" s="212">
        <v>5950</v>
      </c>
      <c r="F209" s="212">
        <v>250</v>
      </c>
      <c r="G209" s="211" t="s">
        <v>644</v>
      </c>
      <c r="H209" s="213" t="s">
        <v>677</v>
      </c>
      <c r="I209" s="214">
        <v>180</v>
      </c>
      <c r="J209" s="213" t="s">
        <v>20</v>
      </c>
    </row>
    <row r="210" spans="1:10" x14ac:dyDescent="0.25">
      <c r="A210" s="211" t="s">
        <v>805</v>
      </c>
      <c r="B210" s="211" t="s">
        <v>804</v>
      </c>
      <c r="C210" s="211" t="s">
        <v>663</v>
      </c>
      <c r="D210" s="212">
        <v>19490</v>
      </c>
      <c r="E210" s="212">
        <v>19040</v>
      </c>
      <c r="F210" s="212">
        <v>450</v>
      </c>
      <c r="G210" s="211" t="s">
        <v>644</v>
      </c>
      <c r="H210" s="213" t="s">
        <v>677</v>
      </c>
      <c r="I210" s="214">
        <v>60</v>
      </c>
      <c r="J210" s="213" t="s">
        <v>20</v>
      </c>
    </row>
    <row r="211" spans="1:10" x14ac:dyDescent="0.25">
      <c r="A211" s="211" t="s">
        <v>806</v>
      </c>
      <c r="B211" s="211" t="s">
        <v>804</v>
      </c>
      <c r="C211" s="211" t="s">
        <v>663</v>
      </c>
      <c r="D211" s="212">
        <v>26392</v>
      </c>
      <c r="E211" s="212">
        <v>25942</v>
      </c>
      <c r="F211" s="212">
        <v>450</v>
      </c>
      <c r="G211" s="211" t="s">
        <v>644</v>
      </c>
      <c r="H211" s="213" t="s">
        <v>645</v>
      </c>
      <c r="I211" s="214">
        <v>0</v>
      </c>
      <c r="J211" s="213" t="s">
        <v>20</v>
      </c>
    </row>
    <row r="212" spans="1:10" x14ac:dyDescent="0.25">
      <c r="A212" s="211" t="s">
        <v>807</v>
      </c>
      <c r="B212" s="211" t="s">
        <v>804</v>
      </c>
      <c r="C212" s="211" t="s">
        <v>663</v>
      </c>
      <c r="D212" s="212">
        <v>10796</v>
      </c>
      <c r="E212" s="212">
        <v>10416</v>
      </c>
      <c r="F212" s="212">
        <v>380</v>
      </c>
      <c r="G212" s="211" t="s">
        <v>644</v>
      </c>
      <c r="H212" s="213" t="s">
        <v>181</v>
      </c>
      <c r="I212" s="214">
        <v>240</v>
      </c>
      <c r="J212" s="213" t="s">
        <v>205</v>
      </c>
    </row>
    <row r="213" spans="1:10" x14ac:dyDescent="0.25">
      <c r="A213" s="211" t="s">
        <v>808</v>
      </c>
      <c r="B213" s="211" t="s">
        <v>804</v>
      </c>
      <c r="C213" s="211" t="s">
        <v>663</v>
      </c>
      <c r="D213" s="212">
        <v>22544</v>
      </c>
      <c r="E213" s="212">
        <v>22134</v>
      </c>
      <c r="F213" s="212">
        <v>410</v>
      </c>
      <c r="G213" s="211" t="s">
        <v>644</v>
      </c>
      <c r="H213" s="213" t="s">
        <v>645</v>
      </c>
      <c r="I213" s="214">
        <v>0</v>
      </c>
      <c r="J213" s="213" t="s">
        <v>20</v>
      </c>
    </row>
    <row r="214" spans="1:10" x14ac:dyDescent="0.25">
      <c r="A214" s="211" t="s">
        <v>809</v>
      </c>
      <c r="B214" s="211" t="s">
        <v>804</v>
      </c>
      <c r="C214" s="211" t="s">
        <v>663</v>
      </c>
      <c r="D214" s="212">
        <v>0</v>
      </c>
      <c r="E214" s="212">
        <v>0</v>
      </c>
      <c r="F214" s="212">
        <v>0</v>
      </c>
      <c r="G214" s="211" t="s">
        <v>679</v>
      </c>
      <c r="H214" s="213" t="s">
        <v>810</v>
      </c>
      <c r="I214" s="214">
        <v>1</v>
      </c>
      <c r="J214" s="213" t="s">
        <v>680</v>
      </c>
    </row>
    <row r="215" spans="1:10" x14ac:dyDescent="0.25">
      <c r="A215" s="211" t="s">
        <v>811</v>
      </c>
      <c r="B215" s="211" t="s">
        <v>804</v>
      </c>
      <c r="C215" s="211" t="s">
        <v>663</v>
      </c>
      <c r="D215" s="212">
        <v>24588</v>
      </c>
      <c r="E215" s="212">
        <v>24038</v>
      </c>
      <c r="F215" s="212">
        <v>550</v>
      </c>
      <c r="G215" s="211" t="s">
        <v>644</v>
      </c>
      <c r="H215" s="213" t="s">
        <v>645</v>
      </c>
      <c r="I215" s="214">
        <v>0</v>
      </c>
      <c r="J215" s="213" t="s">
        <v>20</v>
      </c>
    </row>
    <row r="216" spans="1:10" x14ac:dyDescent="0.25">
      <c r="A216" s="211" t="s">
        <v>812</v>
      </c>
      <c r="B216" s="211" t="s">
        <v>804</v>
      </c>
      <c r="C216" s="211" t="s">
        <v>663</v>
      </c>
      <c r="D216" s="212">
        <v>3480</v>
      </c>
      <c r="E216" s="212">
        <v>3360</v>
      </c>
      <c r="F216" s="212">
        <v>120</v>
      </c>
      <c r="G216" s="211" t="s">
        <v>644</v>
      </c>
      <c r="H216" s="213" t="s">
        <v>181</v>
      </c>
      <c r="I216" s="214">
        <v>180</v>
      </c>
      <c r="J216" s="213" t="s">
        <v>205</v>
      </c>
    </row>
    <row r="217" spans="1:10" x14ac:dyDescent="0.25">
      <c r="A217" s="211" t="s">
        <v>812</v>
      </c>
      <c r="B217" s="211" t="s">
        <v>804</v>
      </c>
      <c r="C217" s="211" t="s">
        <v>263</v>
      </c>
      <c r="D217" s="212">
        <v>10827</v>
      </c>
      <c r="E217" s="212">
        <v>10472</v>
      </c>
      <c r="F217" s="212">
        <v>355</v>
      </c>
      <c r="G217" s="211" t="s">
        <v>644</v>
      </c>
      <c r="H217" s="213" t="s">
        <v>645</v>
      </c>
      <c r="I217" s="214">
        <v>0</v>
      </c>
      <c r="J217" s="213" t="s">
        <v>20</v>
      </c>
    </row>
    <row r="218" spans="1:10" x14ac:dyDescent="0.25">
      <c r="A218" s="211" t="s">
        <v>813</v>
      </c>
      <c r="B218" s="211" t="s">
        <v>804</v>
      </c>
      <c r="C218" s="211" t="s">
        <v>663</v>
      </c>
      <c r="D218" s="212">
        <v>13740</v>
      </c>
      <c r="E218" s="212">
        <v>13440</v>
      </c>
      <c r="F218" s="212">
        <v>300</v>
      </c>
      <c r="G218" s="211" t="s">
        <v>644</v>
      </c>
      <c r="H218" s="213" t="s">
        <v>645</v>
      </c>
      <c r="I218" s="214">
        <v>0</v>
      </c>
      <c r="J218" s="213" t="s">
        <v>205</v>
      </c>
    </row>
    <row r="219" spans="1:10" x14ac:dyDescent="0.25">
      <c r="A219" s="211" t="s">
        <v>814</v>
      </c>
      <c r="B219" s="211" t="s">
        <v>804</v>
      </c>
      <c r="C219" s="211" t="s">
        <v>663</v>
      </c>
      <c r="D219" s="212">
        <v>17882</v>
      </c>
      <c r="E219" s="212">
        <v>17472</v>
      </c>
      <c r="F219" s="212">
        <v>410</v>
      </c>
      <c r="G219" s="211" t="s">
        <v>644</v>
      </c>
      <c r="H219" s="213" t="s">
        <v>181</v>
      </c>
      <c r="I219" s="214">
        <v>120</v>
      </c>
      <c r="J219" s="213" t="s">
        <v>205</v>
      </c>
    </row>
    <row r="220" spans="1:10" x14ac:dyDescent="0.25">
      <c r="A220" s="211" t="s">
        <v>815</v>
      </c>
      <c r="B220" s="211" t="s">
        <v>804</v>
      </c>
      <c r="C220" s="211" t="s">
        <v>663</v>
      </c>
      <c r="D220" s="212">
        <v>21146</v>
      </c>
      <c r="E220" s="212">
        <v>20496</v>
      </c>
      <c r="F220" s="212">
        <v>650</v>
      </c>
      <c r="G220" s="211" t="s">
        <v>644</v>
      </c>
      <c r="H220" s="213" t="s">
        <v>677</v>
      </c>
      <c r="I220" s="214">
        <v>60</v>
      </c>
      <c r="J220" s="213" t="s">
        <v>205</v>
      </c>
    </row>
    <row r="221" spans="1:10" x14ac:dyDescent="0.25">
      <c r="A221" s="211" t="s">
        <v>816</v>
      </c>
      <c r="B221" s="211" t="s">
        <v>804</v>
      </c>
      <c r="C221" s="211" t="s">
        <v>663</v>
      </c>
      <c r="D221" s="212">
        <v>10129</v>
      </c>
      <c r="E221" s="212">
        <v>9744</v>
      </c>
      <c r="F221" s="212">
        <v>385</v>
      </c>
      <c r="G221" s="211" t="s">
        <v>644</v>
      </c>
      <c r="H221" s="213" t="s">
        <v>165</v>
      </c>
      <c r="I221" s="214">
        <v>60</v>
      </c>
      <c r="J221" s="213" t="s">
        <v>205</v>
      </c>
    </row>
    <row r="222" spans="1:10" x14ac:dyDescent="0.25">
      <c r="A222" s="211" t="s">
        <v>816</v>
      </c>
      <c r="B222" s="211" t="s">
        <v>804</v>
      </c>
      <c r="C222" s="211" t="s">
        <v>263</v>
      </c>
      <c r="D222" s="212">
        <v>5932</v>
      </c>
      <c r="E222" s="212">
        <v>5712</v>
      </c>
      <c r="F222" s="212">
        <v>220</v>
      </c>
      <c r="G222" s="211" t="s">
        <v>644</v>
      </c>
      <c r="H222" s="213" t="s">
        <v>165</v>
      </c>
      <c r="I222" s="214">
        <v>120</v>
      </c>
      <c r="J222" s="213" t="s">
        <v>20</v>
      </c>
    </row>
    <row r="223" spans="1:10" x14ac:dyDescent="0.25">
      <c r="A223" s="211" t="s">
        <v>817</v>
      </c>
      <c r="B223" s="211" t="s">
        <v>804</v>
      </c>
      <c r="C223" s="211" t="s">
        <v>663</v>
      </c>
      <c r="D223" s="212">
        <v>0</v>
      </c>
      <c r="E223" s="212">
        <v>0</v>
      </c>
      <c r="F223" s="212">
        <v>0</v>
      </c>
      <c r="G223" s="211" t="s">
        <v>679</v>
      </c>
      <c r="H223" s="213" t="s">
        <v>165</v>
      </c>
      <c r="I223" s="214">
        <v>480</v>
      </c>
      <c r="J223" s="213" t="s">
        <v>680</v>
      </c>
    </row>
    <row r="224" spans="1:10" x14ac:dyDescent="0.25">
      <c r="A224" s="211" t="s">
        <v>818</v>
      </c>
      <c r="B224" s="211" t="s">
        <v>804</v>
      </c>
      <c r="C224" s="211" t="s">
        <v>663</v>
      </c>
      <c r="D224" s="212">
        <v>0</v>
      </c>
      <c r="E224" s="212">
        <v>0</v>
      </c>
      <c r="F224" s="212">
        <v>0</v>
      </c>
      <c r="G224" s="211" t="s">
        <v>679</v>
      </c>
      <c r="H224" s="213" t="s">
        <v>165</v>
      </c>
      <c r="I224" s="214">
        <v>480</v>
      </c>
      <c r="J224" s="213" t="s">
        <v>680</v>
      </c>
    </row>
    <row r="225" spans="1:10" x14ac:dyDescent="0.25">
      <c r="A225" s="211" t="s">
        <v>819</v>
      </c>
      <c r="B225" s="211" t="s">
        <v>804</v>
      </c>
      <c r="C225" s="211" t="s">
        <v>663</v>
      </c>
      <c r="D225" s="212">
        <v>0</v>
      </c>
      <c r="E225" s="212">
        <v>0</v>
      </c>
      <c r="F225" s="212">
        <v>0</v>
      </c>
      <c r="G225" s="211" t="s">
        <v>679</v>
      </c>
      <c r="H225" s="213" t="s">
        <v>165</v>
      </c>
      <c r="I225" s="214">
        <v>480</v>
      </c>
      <c r="J225" s="213" t="s">
        <v>680</v>
      </c>
    </row>
    <row r="226" spans="1:10" x14ac:dyDescent="0.25">
      <c r="A226" s="211" t="s">
        <v>820</v>
      </c>
      <c r="B226" s="211" t="s">
        <v>804</v>
      </c>
      <c r="C226" s="211" t="s">
        <v>663</v>
      </c>
      <c r="D226" s="212">
        <v>0</v>
      </c>
      <c r="E226" s="212">
        <v>0</v>
      </c>
      <c r="F226" s="212">
        <v>0</v>
      </c>
      <c r="G226" s="211" t="s">
        <v>679</v>
      </c>
      <c r="H226" s="213" t="s">
        <v>810</v>
      </c>
      <c r="I226" s="214">
        <v>1</v>
      </c>
      <c r="J226" s="213" t="s">
        <v>680</v>
      </c>
    </row>
    <row r="227" spans="1:10" x14ac:dyDescent="0.25">
      <c r="A227" s="211" t="s">
        <v>821</v>
      </c>
      <c r="B227" s="211" t="s">
        <v>804</v>
      </c>
      <c r="C227" s="211" t="s">
        <v>263</v>
      </c>
      <c r="D227" s="212">
        <v>17348</v>
      </c>
      <c r="E227" s="212">
        <v>16898</v>
      </c>
      <c r="F227" s="212">
        <v>450</v>
      </c>
      <c r="G227" s="211" t="s">
        <v>644</v>
      </c>
      <c r="H227" s="213" t="s">
        <v>165</v>
      </c>
      <c r="I227" s="214">
        <v>120</v>
      </c>
      <c r="J227" s="213" t="s">
        <v>20</v>
      </c>
    </row>
    <row r="228" spans="1:10" x14ac:dyDescent="0.25">
      <c r="A228" s="211" t="s">
        <v>822</v>
      </c>
      <c r="B228" s="211" t="s">
        <v>804</v>
      </c>
      <c r="C228" s="211" t="s">
        <v>663</v>
      </c>
      <c r="D228" s="212">
        <v>4954</v>
      </c>
      <c r="E228" s="212">
        <v>4704</v>
      </c>
      <c r="F228" s="212">
        <v>250</v>
      </c>
      <c r="G228" s="211" t="s">
        <v>644</v>
      </c>
      <c r="H228" s="213" t="s">
        <v>165</v>
      </c>
      <c r="I228" s="214">
        <v>120</v>
      </c>
      <c r="J228" s="213" t="s">
        <v>20</v>
      </c>
    </row>
    <row r="229" spans="1:10" x14ac:dyDescent="0.25">
      <c r="A229" s="211" t="s">
        <v>822</v>
      </c>
      <c r="B229" s="211" t="s">
        <v>804</v>
      </c>
      <c r="C229" s="211" t="s">
        <v>263</v>
      </c>
      <c r="D229" s="212">
        <v>10594</v>
      </c>
      <c r="E229" s="212">
        <v>10234</v>
      </c>
      <c r="F229" s="212">
        <v>360</v>
      </c>
      <c r="G229" s="211" t="s">
        <v>644</v>
      </c>
      <c r="H229" s="213" t="s">
        <v>645</v>
      </c>
      <c r="I229" s="214">
        <v>0</v>
      </c>
      <c r="J229" s="213" t="s">
        <v>204</v>
      </c>
    </row>
    <row r="230" spans="1:10" x14ac:dyDescent="0.25">
      <c r="A230" s="211" t="s">
        <v>823</v>
      </c>
      <c r="B230" s="211" t="s">
        <v>804</v>
      </c>
      <c r="C230" s="211" t="s">
        <v>663</v>
      </c>
      <c r="D230" s="212">
        <v>16534</v>
      </c>
      <c r="E230" s="212">
        <v>16184</v>
      </c>
      <c r="F230" s="212">
        <v>350</v>
      </c>
      <c r="G230" s="211" t="s">
        <v>644</v>
      </c>
      <c r="H230" s="213" t="s">
        <v>677</v>
      </c>
      <c r="I230" s="214">
        <v>180</v>
      </c>
      <c r="J230" s="213" t="s">
        <v>20</v>
      </c>
    </row>
    <row r="231" spans="1:10" x14ac:dyDescent="0.25">
      <c r="A231" s="211" t="s">
        <v>824</v>
      </c>
      <c r="B231" s="211" t="s">
        <v>804</v>
      </c>
      <c r="C231" s="211" t="s">
        <v>663</v>
      </c>
      <c r="D231" s="212">
        <v>0</v>
      </c>
      <c r="E231" s="212">
        <v>0</v>
      </c>
      <c r="F231" s="212">
        <v>0</v>
      </c>
      <c r="G231" s="211" t="s">
        <v>679</v>
      </c>
      <c r="H231" s="213" t="s">
        <v>774</v>
      </c>
      <c r="I231" s="214">
        <v>480</v>
      </c>
      <c r="J231" s="213" t="s">
        <v>680</v>
      </c>
    </row>
    <row r="232" spans="1:10" x14ac:dyDescent="0.25">
      <c r="A232" s="211" t="s">
        <v>825</v>
      </c>
      <c r="B232" s="211" t="s">
        <v>804</v>
      </c>
      <c r="C232" s="211" t="s">
        <v>663</v>
      </c>
      <c r="D232" s="212">
        <v>25440</v>
      </c>
      <c r="E232" s="212">
        <v>24990</v>
      </c>
      <c r="F232" s="212">
        <v>450</v>
      </c>
      <c r="G232" s="211" t="s">
        <v>644</v>
      </c>
      <c r="H232" s="213" t="s">
        <v>645</v>
      </c>
      <c r="I232" s="214">
        <v>0</v>
      </c>
      <c r="J232" s="213" t="s">
        <v>20</v>
      </c>
    </row>
    <row r="233" spans="1:10" x14ac:dyDescent="0.25">
      <c r="A233" s="211" t="s">
        <v>826</v>
      </c>
      <c r="B233" s="211" t="s">
        <v>804</v>
      </c>
      <c r="C233" s="211" t="s">
        <v>663</v>
      </c>
      <c r="D233" s="212">
        <v>22626</v>
      </c>
      <c r="E233" s="212">
        <v>22176</v>
      </c>
      <c r="F233" s="212">
        <v>450</v>
      </c>
      <c r="G233" s="211" t="s">
        <v>644</v>
      </c>
      <c r="H233" s="213" t="s">
        <v>167</v>
      </c>
      <c r="I233" s="214">
        <v>45</v>
      </c>
      <c r="J233" s="213" t="s">
        <v>204</v>
      </c>
    </row>
    <row r="234" spans="1:10" x14ac:dyDescent="0.25">
      <c r="A234" s="211" t="s">
        <v>827</v>
      </c>
      <c r="B234" s="211" t="s">
        <v>804</v>
      </c>
      <c r="C234" s="211" t="s">
        <v>663</v>
      </c>
      <c r="D234" s="212">
        <v>7306</v>
      </c>
      <c r="E234" s="212">
        <v>7056</v>
      </c>
      <c r="F234" s="212">
        <v>250</v>
      </c>
      <c r="G234" s="211" t="s">
        <v>644</v>
      </c>
      <c r="H234" s="213" t="s">
        <v>645</v>
      </c>
      <c r="I234" s="214">
        <v>0</v>
      </c>
      <c r="J234" s="213" t="s">
        <v>204</v>
      </c>
    </row>
    <row r="235" spans="1:10" x14ac:dyDescent="0.25">
      <c r="A235" s="211" t="s">
        <v>827</v>
      </c>
      <c r="B235" s="211" t="s">
        <v>804</v>
      </c>
      <c r="C235" s="211" t="s">
        <v>263</v>
      </c>
      <c r="D235" s="212">
        <v>13678</v>
      </c>
      <c r="E235" s="212">
        <v>13328</v>
      </c>
      <c r="F235" s="212">
        <v>350</v>
      </c>
      <c r="G235" s="211" t="s">
        <v>169</v>
      </c>
      <c r="H235" s="213" t="s">
        <v>169</v>
      </c>
      <c r="I235" s="214">
        <v>60</v>
      </c>
      <c r="J235" s="213" t="s">
        <v>20</v>
      </c>
    </row>
    <row r="236" spans="1:10" x14ac:dyDescent="0.25">
      <c r="A236" s="211" t="s">
        <v>828</v>
      </c>
      <c r="B236" s="211" t="s">
        <v>804</v>
      </c>
      <c r="C236" s="211" t="s">
        <v>263</v>
      </c>
      <c r="D236" s="212">
        <v>24388</v>
      </c>
      <c r="E236" s="212">
        <v>24038</v>
      </c>
      <c r="F236" s="212">
        <v>350</v>
      </c>
      <c r="G236" s="211" t="s">
        <v>644</v>
      </c>
      <c r="H236" s="213" t="s">
        <v>645</v>
      </c>
      <c r="I236" s="214">
        <v>0</v>
      </c>
      <c r="J236" s="213" t="s">
        <v>16</v>
      </c>
    </row>
    <row r="237" spans="1:10" x14ac:dyDescent="0.25">
      <c r="A237" s="211" t="s">
        <v>829</v>
      </c>
      <c r="B237" s="211" t="s">
        <v>804</v>
      </c>
      <c r="C237" s="211" t="s">
        <v>263</v>
      </c>
      <c r="D237" s="212">
        <v>24606</v>
      </c>
      <c r="E237" s="212">
        <v>24276</v>
      </c>
      <c r="F237" s="212">
        <v>330</v>
      </c>
      <c r="G237" s="211" t="s">
        <v>644</v>
      </c>
      <c r="H237" s="213" t="s">
        <v>645</v>
      </c>
      <c r="I237" s="214">
        <v>0</v>
      </c>
      <c r="J237" s="213" t="s">
        <v>16</v>
      </c>
    </row>
    <row r="238" spans="1:10" x14ac:dyDescent="0.25">
      <c r="A238" s="211" t="s">
        <v>830</v>
      </c>
      <c r="B238" s="211" t="s">
        <v>804</v>
      </c>
      <c r="C238" s="211" t="s">
        <v>663</v>
      </c>
      <c r="D238" s="212">
        <v>2808</v>
      </c>
      <c r="E238" s="212">
        <v>2688</v>
      </c>
      <c r="F238" s="212">
        <v>120</v>
      </c>
      <c r="G238" s="211" t="s">
        <v>644</v>
      </c>
      <c r="H238" s="213" t="s">
        <v>645</v>
      </c>
      <c r="I238" s="214">
        <v>0</v>
      </c>
      <c r="J238" s="213" t="s">
        <v>204</v>
      </c>
    </row>
    <row r="239" spans="1:10" x14ac:dyDescent="0.25">
      <c r="A239" s="211" t="s">
        <v>830</v>
      </c>
      <c r="B239" s="211" t="s">
        <v>804</v>
      </c>
      <c r="C239" s="211" t="s">
        <v>263</v>
      </c>
      <c r="D239" s="212">
        <v>20863</v>
      </c>
      <c r="E239" s="212">
        <v>20468</v>
      </c>
      <c r="F239" s="212">
        <v>395</v>
      </c>
      <c r="G239" s="211" t="s">
        <v>644</v>
      </c>
      <c r="H239" s="213" t="s">
        <v>645</v>
      </c>
      <c r="I239" s="214">
        <v>0</v>
      </c>
      <c r="J239" s="213" t="s">
        <v>20</v>
      </c>
    </row>
    <row r="240" spans="1:10" x14ac:dyDescent="0.25">
      <c r="A240" s="211" t="s">
        <v>831</v>
      </c>
      <c r="B240" s="211" t="s">
        <v>804</v>
      </c>
      <c r="C240" s="211" t="s">
        <v>663</v>
      </c>
      <c r="D240" s="212">
        <v>3846</v>
      </c>
      <c r="E240" s="212">
        <v>3696</v>
      </c>
      <c r="F240" s="212">
        <v>150</v>
      </c>
      <c r="G240" s="211" t="s">
        <v>644</v>
      </c>
      <c r="H240" s="213" t="s">
        <v>645</v>
      </c>
      <c r="I240" s="214">
        <v>0</v>
      </c>
      <c r="J240" s="213" t="s">
        <v>204</v>
      </c>
    </row>
    <row r="241" spans="1:10" x14ac:dyDescent="0.25">
      <c r="A241" s="211" t="s">
        <v>831</v>
      </c>
      <c r="B241" s="211" t="s">
        <v>804</v>
      </c>
      <c r="C241" s="211" t="s">
        <v>263</v>
      </c>
      <c r="D241" s="212">
        <v>22757</v>
      </c>
      <c r="E241" s="212">
        <v>22372</v>
      </c>
      <c r="F241" s="212">
        <v>385</v>
      </c>
      <c r="G241" s="211" t="s">
        <v>644</v>
      </c>
      <c r="H241" s="213" t="s">
        <v>645</v>
      </c>
      <c r="I241" s="214">
        <v>0</v>
      </c>
      <c r="J241" s="213" t="s">
        <v>20</v>
      </c>
    </row>
    <row r="242" spans="1:10" x14ac:dyDescent="0.25">
      <c r="A242" s="211" t="s">
        <v>832</v>
      </c>
      <c r="B242" s="211" t="s">
        <v>833</v>
      </c>
      <c r="C242" s="211" t="s">
        <v>263</v>
      </c>
      <c r="D242" s="212">
        <v>24498</v>
      </c>
      <c r="E242" s="212">
        <v>24038</v>
      </c>
      <c r="F242" s="212">
        <v>460</v>
      </c>
      <c r="G242" s="211" t="s">
        <v>644</v>
      </c>
      <c r="H242" s="213" t="s">
        <v>645</v>
      </c>
      <c r="I242" s="214">
        <v>0</v>
      </c>
      <c r="J242" s="213" t="s">
        <v>20</v>
      </c>
    </row>
    <row r="243" spans="1:10" x14ac:dyDescent="0.25">
      <c r="A243" s="211" t="s">
        <v>834</v>
      </c>
      <c r="B243" s="211" t="s">
        <v>833</v>
      </c>
      <c r="C243" s="211" t="s">
        <v>663</v>
      </c>
      <c r="D243" s="212">
        <v>5872</v>
      </c>
      <c r="E243" s="212">
        <v>5712</v>
      </c>
      <c r="F243" s="212">
        <v>160</v>
      </c>
      <c r="G243" s="211" t="s">
        <v>644</v>
      </c>
      <c r="H243" s="213" t="s">
        <v>165</v>
      </c>
      <c r="I243" s="214">
        <v>210</v>
      </c>
      <c r="J243" s="213" t="s">
        <v>204</v>
      </c>
    </row>
    <row r="244" spans="1:10" x14ac:dyDescent="0.25">
      <c r="A244" s="211" t="s">
        <v>834</v>
      </c>
      <c r="B244" s="211" t="s">
        <v>833</v>
      </c>
      <c r="C244" s="211" t="s">
        <v>263</v>
      </c>
      <c r="D244" s="212">
        <v>3943</v>
      </c>
      <c r="E244" s="212">
        <v>3808</v>
      </c>
      <c r="F244" s="212">
        <v>135</v>
      </c>
      <c r="G244" s="211" t="s">
        <v>644</v>
      </c>
      <c r="H244" s="213" t="s">
        <v>645</v>
      </c>
      <c r="I244" s="214">
        <v>0</v>
      </c>
      <c r="J244" s="213" t="s">
        <v>20</v>
      </c>
    </row>
    <row r="245" spans="1:10" x14ac:dyDescent="0.25">
      <c r="A245" s="211" t="s">
        <v>835</v>
      </c>
      <c r="B245" s="211" t="s">
        <v>833</v>
      </c>
      <c r="C245" s="211" t="s">
        <v>663</v>
      </c>
      <c r="D245" s="212">
        <v>13053</v>
      </c>
      <c r="E245" s="212">
        <v>12768</v>
      </c>
      <c r="F245" s="212">
        <v>285</v>
      </c>
      <c r="G245" s="211" t="s">
        <v>644</v>
      </c>
      <c r="H245" s="213" t="s">
        <v>165</v>
      </c>
      <c r="I245" s="214">
        <v>120</v>
      </c>
      <c r="J245" s="213" t="s">
        <v>204</v>
      </c>
    </row>
    <row r="246" spans="1:10" x14ac:dyDescent="0.25">
      <c r="A246" s="211" t="s">
        <v>835</v>
      </c>
      <c r="B246" s="211" t="s">
        <v>833</v>
      </c>
      <c r="C246" s="211" t="s">
        <v>263</v>
      </c>
      <c r="D246" s="212">
        <v>2956</v>
      </c>
      <c r="E246" s="212">
        <v>2856</v>
      </c>
      <c r="F246" s="212">
        <v>100</v>
      </c>
      <c r="G246" s="211" t="s">
        <v>644</v>
      </c>
      <c r="H246" s="213" t="s">
        <v>645</v>
      </c>
      <c r="I246" s="214">
        <v>0</v>
      </c>
      <c r="J246" s="213" t="s">
        <v>20</v>
      </c>
    </row>
    <row r="247" spans="1:10" x14ac:dyDescent="0.25">
      <c r="A247" s="211" t="s">
        <v>836</v>
      </c>
      <c r="B247" s="211" t="s">
        <v>833</v>
      </c>
      <c r="C247" s="211" t="s">
        <v>663</v>
      </c>
      <c r="D247" s="212">
        <v>20234</v>
      </c>
      <c r="E247" s="212">
        <v>19824</v>
      </c>
      <c r="F247" s="212">
        <v>410</v>
      </c>
      <c r="G247" s="211" t="s">
        <v>644</v>
      </c>
      <c r="H247" s="213" t="s">
        <v>645</v>
      </c>
      <c r="I247" s="214">
        <v>0</v>
      </c>
      <c r="J247" s="213" t="s">
        <v>204</v>
      </c>
    </row>
    <row r="248" spans="1:10" x14ac:dyDescent="0.25">
      <c r="A248" s="211" t="s">
        <v>837</v>
      </c>
      <c r="B248" s="211" t="s">
        <v>833</v>
      </c>
      <c r="C248" s="211" t="s">
        <v>263</v>
      </c>
      <c r="D248" s="212">
        <v>24503</v>
      </c>
      <c r="E248" s="212">
        <v>24038</v>
      </c>
      <c r="F248" s="212">
        <v>465</v>
      </c>
      <c r="G248" s="211" t="s">
        <v>644</v>
      </c>
      <c r="H248" s="213" t="s">
        <v>645</v>
      </c>
      <c r="I248" s="214">
        <v>0</v>
      </c>
      <c r="J248" s="213" t="s">
        <v>20</v>
      </c>
    </row>
    <row r="249" spans="1:10" x14ac:dyDescent="0.25">
      <c r="A249" s="211" t="s">
        <v>838</v>
      </c>
      <c r="B249" s="211" t="s">
        <v>833</v>
      </c>
      <c r="C249" s="211" t="s">
        <v>263</v>
      </c>
      <c r="D249" s="212">
        <v>19911</v>
      </c>
      <c r="E249" s="212">
        <v>19516</v>
      </c>
      <c r="F249" s="212">
        <v>395</v>
      </c>
      <c r="G249" s="211" t="s">
        <v>644</v>
      </c>
      <c r="H249" s="213" t="s">
        <v>165</v>
      </c>
      <c r="I249" s="214">
        <v>60</v>
      </c>
      <c r="J249" s="213" t="s">
        <v>20</v>
      </c>
    </row>
    <row r="250" spans="1:10" x14ac:dyDescent="0.25">
      <c r="A250" s="211" t="s">
        <v>839</v>
      </c>
      <c r="B250" s="211" t="s">
        <v>833</v>
      </c>
      <c r="C250" s="211" t="s">
        <v>663</v>
      </c>
      <c r="D250" s="212">
        <v>5200</v>
      </c>
      <c r="E250" s="212">
        <v>5040</v>
      </c>
      <c r="F250" s="212">
        <v>160</v>
      </c>
      <c r="G250" s="211" t="s">
        <v>644</v>
      </c>
      <c r="H250" s="213" t="s">
        <v>645</v>
      </c>
      <c r="I250" s="214">
        <v>0</v>
      </c>
      <c r="J250" s="213" t="s">
        <v>204</v>
      </c>
    </row>
    <row r="251" spans="1:10" x14ac:dyDescent="0.25">
      <c r="A251" s="211" t="s">
        <v>839</v>
      </c>
      <c r="B251" s="211" t="s">
        <v>833</v>
      </c>
      <c r="C251" s="211" t="s">
        <v>263</v>
      </c>
      <c r="D251" s="212">
        <v>18438</v>
      </c>
      <c r="E251" s="212">
        <v>18088</v>
      </c>
      <c r="F251" s="212">
        <v>350</v>
      </c>
      <c r="G251" s="211" t="s">
        <v>644</v>
      </c>
      <c r="H251" s="213" t="s">
        <v>645</v>
      </c>
      <c r="I251" s="214">
        <v>0</v>
      </c>
      <c r="J251" s="213" t="s">
        <v>20</v>
      </c>
    </row>
    <row r="252" spans="1:10" x14ac:dyDescent="0.25">
      <c r="A252" s="211" t="s">
        <v>840</v>
      </c>
      <c r="B252" s="211" t="s">
        <v>833</v>
      </c>
      <c r="C252" s="211" t="s">
        <v>663</v>
      </c>
      <c r="D252" s="212">
        <v>17110</v>
      </c>
      <c r="E252" s="212">
        <v>16800</v>
      </c>
      <c r="F252" s="212">
        <v>310</v>
      </c>
      <c r="G252" s="211" t="s">
        <v>644</v>
      </c>
      <c r="H252" s="213" t="s">
        <v>165</v>
      </c>
      <c r="I252" s="214">
        <v>120</v>
      </c>
      <c r="J252" s="213" t="s">
        <v>204</v>
      </c>
    </row>
    <row r="253" spans="1:10" x14ac:dyDescent="0.25">
      <c r="A253" s="211" t="s">
        <v>841</v>
      </c>
      <c r="B253" s="211" t="s">
        <v>833</v>
      </c>
      <c r="C253" s="211" t="s">
        <v>263</v>
      </c>
      <c r="D253" s="212">
        <v>22594</v>
      </c>
      <c r="E253" s="212">
        <v>22134</v>
      </c>
      <c r="F253" s="212">
        <v>460</v>
      </c>
      <c r="G253" s="211" t="s">
        <v>644</v>
      </c>
      <c r="H253" s="213" t="s">
        <v>645</v>
      </c>
      <c r="I253" s="214">
        <v>0</v>
      </c>
      <c r="J253" s="213" t="s">
        <v>20</v>
      </c>
    </row>
    <row r="254" spans="1:10" x14ac:dyDescent="0.25">
      <c r="A254" s="211" t="s">
        <v>842</v>
      </c>
      <c r="B254" s="211" t="s">
        <v>833</v>
      </c>
      <c r="C254" s="211" t="s">
        <v>263</v>
      </c>
      <c r="D254" s="212">
        <v>25460</v>
      </c>
      <c r="E254" s="212">
        <v>24990</v>
      </c>
      <c r="F254" s="212">
        <v>470</v>
      </c>
      <c r="G254" s="211" t="s">
        <v>644</v>
      </c>
      <c r="H254" s="213" t="s">
        <v>645</v>
      </c>
      <c r="I254" s="214">
        <v>0</v>
      </c>
      <c r="J254" s="213" t="s">
        <v>20</v>
      </c>
    </row>
    <row r="255" spans="1:10" x14ac:dyDescent="0.25">
      <c r="A255" s="211" t="s">
        <v>843</v>
      </c>
      <c r="B255" s="211" t="s">
        <v>833</v>
      </c>
      <c r="C255" s="211" t="s">
        <v>263</v>
      </c>
      <c r="D255" s="212">
        <v>13162</v>
      </c>
      <c r="E255" s="212">
        <v>12852</v>
      </c>
      <c r="F255" s="212">
        <v>310</v>
      </c>
      <c r="G255" s="211" t="s">
        <v>644</v>
      </c>
      <c r="H255" s="213" t="s">
        <v>165</v>
      </c>
      <c r="I255" s="214">
        <v>200</v>
      </c>
      <c r="J255" s="213" t="s">
        <v>20</v>
      </c>
    </row>
    <row r="256" spans="1:10" x14ac:dyDescent="0.25">
      <c r="A256" s="211" t="s">
        <v>844</v>
      </c>
      <c r="B256" s="211" t="s">
        <v>833</v>
      </c>
      <c r="C256" s="211" t="s">
        <v>263</v>
      </c>
      <c r="D256" s="212">
        <v>0</v>
      </c>
      <c r="E256" s="212">
        <v>0</v>
      </c>
      <c r="F256" s="212">
        <v>0</v>
      </c>
      <c r="G256" s="211" t="s">
        <v>679</v>
      </c>
      <c r="H256" s="213" t="s">
        <v>165</v>
      </c>
      <c r="I256" s="214">
        <v>480</v>
      </c>
      <c r="J256" s="213" t="s">
        <v>680</v>
      </c>
    </row>
    <row r="257" spans="1:10" x14ac:dyDescent="0.25">
      <c r="A257" s="211" t="s">
        <v>845</v>
      </c>
      <c r="B257" s="211" t="s">
        <v>833</v>
      </c>
      <c r="C257" s="211" t="s">
        <v>263</v>
      </c>
      <c r="D257" s="212">
        <v>6902</v>
      </c>
      <c r="E257" s="212">
        <v>6722</v>
      </c>
      <c r="F257" s="212">
        <v>180</v>
      </c>
      <c r="G257" s="211" t="s">
        <v>169</v>
      </c>
      <c r="H257" s="213" t="s">
        <v>169</v>
      </c>
      <c r="I257" s="214">
        <v>60</v>
      </c>
      <c r="J257" s="213" t="s">
        <v>20</v>
      </c>
    </row>
    <row r="258" spans="1:10" x14ac:dyDescent="0.25">
      <c r="A258" s="211" t="s">
        <v>846</v>
      </c>
      <c r="B258" s="211" t="s">
        <v>833</v>
      </c>
      <c r="C258" s="211" t="s">
        <v>263</v>
      </c>
      <c r="D258" s="212">
        <v>25370</v>
      </c>
      <c r="E258" s="212">
        <v>24990</v>
      </c>
      <c r="F258" s="212">
        <v>380</v>
      </c>
      <c r="G258" s="211" t="s">
        <v>644</v>
      </c>
      <c r="H258" s="213" t="s">
        <v>645</v>
      </c>
      <c r="I258" s="214">
        <v>0</v>
      </c>
      <c r="J258" s="213" t="s">
        <v>20</v>
      </c>
    </row>
    <row r="259" spans="1:10" x14ac:dyDescent="0.25">
      <c r="A259" s="211" t="s">
        <v>847</v>
      </c>
      <c r="B259" s="211" t="s">
        <v>833</v>
      </c>
      <c r="C259" s="211" t="s">
        <v>263</v>
      </c>
      <c r="D259" s="212">
        <v>22584</v>
      </c>
      <c r="E259" s="212">
        <v>22134</v>
      </c>
      <c r="F259" s="212">
        <v>450</v>
      </c>
      <c r="G259" s="211" t="s">
        <v>644</v>
      </c>
      <c r="H259" s="213" t="s">
        <v>645</v>
      </c>
      <c r="I259" s="214">
        <v>0</v>
      </c>
      <c r="J259" s="213" t="s">
        <v>20</v>
      </c>
    </row>
    <row r="260" spans="1:10" x14ac:dyDescent="0.25">
      <c r="A260" s="211" t="s">
        <v>848</v>
      </c>
      <c r="B260" s="211" t="s">
        <v>833</v>
      </c>
      <c r="C260" s="211" t="s">
        <v>263</v>
      </c>
      <c r="D260" s="212">
        <v>17416</v>
      </c>
      <c r="E260" s="212">
        <v>17136</v>
      </c>
      <c r="F260" s="212">
        <v>280</v>
      </c>
      <c r="G260" s="211" t="s">
        <v>644</v>
      </c>
      <c r="H260" s="213" t="s">
        <v>165</v>
      </c>
      <c r="I260" s="214">
        <v>90</v>
      </c>
      <c r="J260" s="213" t="s">
        <v>20</v>
      </c>
    </row>
    <row r="261" spans="1:10" x14ac:dyDescent="0.25">
      <c r="A261" s="211" t="s">
        <v>849</v>
      </c>
      <c r="B261" s="211" t="s">
        <v>833</v>
      </c>
      <c r="C261" s="211" t="s">
        <v>663</v>
      </c>
      <c r="D261" s="212">
        <v>19308</v>
      </c>
      <c r="E261" s="212">
        <v>17808</v>
      </c>
      <c r="F261" s="212">
        <v>1500</v>
      </c>
      <c r="G261" s="211" t="s">
        <v>644</v>
      </c>
      <c r="H261" s="213" t="s">
        <v>165</v>
      </c>
      <c r="I261" s="214">
        <v>120</v>
      </c>
      <c r="J261" s="213" t="s">
        <v>205</v>
      </c>
    </row>
    <row r="262" spans="1:10" x14ac:dyDescent="0.25">
      <c r="A262" s="211" t="s">
        <v>850</v>
      </c>
      <c r="B262" s="211" t="s">
        <v>833</v>
      </c>
      <c r="C262" s="211" t="s">
        <v>263</v>
      </c>
      <c r="D262" s="212">
        <v>10990</v>
      </c>
      <c r="E262" s="212">
        <v>10710</v>
      </c>
      <c r="F262" s="212">
        <v>280</v>
      </c>
      <c r="G262" s="211" t="s">
        <v>644</v>
      </c>
      <c r="H262" s="213" t="s">
        <v>165</v>
      </c>
      <c r="I262" s="214">
        <v>240</v>
      </c>
      <c r="J262" s="213" t="s">
        <v>20</v>
      </c>
    </row>
    <row r="263" spans="1:10" x14ac:dyDescent="0.25">
      <c r="A263" s="211" t="s">
        <v>851</v>
      </c>
      <c r="B263" s="211" t="s">
        <v>833</v>
      </c>
      <c r="C263" s="211" t="s">
        <v>263</v>
      </c>
      <c r="D263" s="212">
        <v>0</v>
      </c>
      <c r="E263" s="212">
        <v>0</v>
      </c>
      <c r="F263" s="212">
        <v>0</v>
      </c>
      <c r="G263" s="211" t="s">
        <v>679</v>
      </c>
      <c r="H263" s="213" t="s">
        <v>165</v>
      </c>
      <c r="I263" s="214">
        <v>480</v>
      </c>
      <c r="J263" s="213" t="s">
        <v>680</v>
      </c>
    </row>
    <row r="264" spans="1:10" x14ac:dyDescent="0.25">
      <c r="A264" s="211" t="s">
        <v>852</v>
      </c>
      <c r="B264" s="211" t="s">
        <v>833</v>
      </c>
      <c r="C264" s="211" t="s">
        <v>263</v>
      </c>
      <c r="D264" s="212">
        <v>20387</v>
      </c>
      <c r="E264" s="212">
        <v>19992</v>
      </c>
      <c r="F264" s="212">
        <v>395</v>
      </c>
      <c r="G264" s="211" t="s">
        <v>644</v>
      </c>
      <c r="H264" s="213" t="s">
        <v>645</v>
      </c>
      <c r="I264" s="214">
        <v>0</v>
      </c>
      <c r="J264" s="213" t="s">
        <v>20</v>
      </c>
    </row>
    <row r="265" spans="1:10" x14ac:dyDescent="0.25">
      <c r="A265" s="211" t="s">
        <v>853</v>
      </c>
      <c r="B265" s="211" t="s">
        <v>833</v>
      </c>
      <c r="C265" s="211" t="s">
        <v>663</v>
      </c>
      <c r="D265" s="212">
        <v>13891</v>
      </c>
      <c r="E265" s="212">
        <v>13566</v>
      </c>
      <c r="F265" s="212">
        <v>325</v>
      </c>
      <c r="G265" s="211" t="s">
        <v>644</v>
      </c>
      <c r="H265" s="213" t="s">
        <v>165</v>
      </c>
      <c r="I265" s="214">
        <v>180</v>
      </c>
      <c r="J265" s="213" t="s">
        <v>854</v>
      </c>
    </row>
    <row r="266" spans="1:10" x14ac:dyDescent="0.25">
      <c r="A266" s="211" t="s">
        <v>855</v>
      </c>
      <c r="B266" s="211" t="s">
        <v>856</v>
      </c>
      <c r="C266" s="211" t="s">
        <v>263</v>
      </c>
      <c r="D266" s="212">
        <v>17867</v>
      </c>
      <c r="E266" s="212">
        <v>17612</v>
      </c>
      <c r="F266" s="212">
        <v>255</v>
      </c>
      <c r="G266" s="211" t="s">
        <v>644</v>
      </c>
      <c r="H266" s="213" t="s">
        <v>645</v>
      </c>
      <c r="I266" s="214">
        <v>0</v>
      </c>
      <c r="J266" s="213" t="s">
        <v>16</v>
      </c>
    </row>
    <row r="267" spans="1:10" x14ac:dyDescent="0.25">
      <c r="A267" s="211" t="s">
        <v>857</v>
      </c>
      <c r="B267" s="211" t="s">
        <v>856</v>
      </c>
      <c r="C267" s="211" t="s">
        <v>263</v>
      </c>
      <c r="D267" s="212">
        <v>0</v>
      </c>
      <c r="E267" s="212">
        <v>0</v>
      </c>
      <c r="F267" s="212">
        <v>0</v>
      </c>
      <c r="G267" s="211" t="s">
        <v>679</v>
      </c>
      <c r="H267" s="213" t="s">
        <v>810</v>
      </c>
      <c r="I267" s="214">
        <v>1</v>
      </c>
      <c r="J267" s="213" t="s">
        <v>680</v>
      </c>
    </row>
    <row r="268" spans="1:10" x14ac:dyDescent="0.25">
      <c r="A268" s="211" t="s">
        <v>858</v>
      </c>
      <c r="B268" s="211" t="s">
        <v>856</v>
      </c>
      <c r="C268" s="211" t="s">
        <v>263</v>
      </c>
      <c r="D268" s="212">
        <v>16211</v>
      </c>
      <c r="E268" s="212">
        <v>15946</v>
      </c>
      <c r="F268" s="212">
        <v>265</v>
      </c>
      <c r="G268" s="211" t="s">
        <v>644</v>
      </c>
      <c r="H268" s="213" t="s">
        <v>165</v>
      </c>
      <c r="I268" s="214">
        <v>120</v>
      </c>
      <c r="J268" s="213" t="s">
        <v>20</v>
      </c>
    </row>
    <row r="269" spans="1:10" x14ac:dyDescent="0.25">
      <c r="A269" s="211" t="s">
        <v>859</v>
      </c>
      <c r="B269" s="211" t="s">
        <v>856</v>
      </c>
      <c r="C269" s="211" t="s">
        <v>263</v>
      </c>
      <c r="D269" s="212">
        <v>24488</v>
      </c>
      <c r="E269" s="212">
        <v>24038</v>
      </c>
      <c r="F269" s="212">
        <v>450</v>
      </c>
      <c r="G269" s="211" t="s">
        <v>644</v>
      </c>
      <c r="H269" s="213" t="s">
        <v>645</v>
      </c>
      <c r="I269" s="214">
        <v>0</v>
      </c>
      <c r="J269" s="213" t="s">
        <v>20</v>
      </c>
    </row>
    <row r="270" spans="1:10" x14ac:dyDescent="0.25">
      <c r="A270" s="211" t="s">
        <v>860</v>
      </c>
      <c r="B270" s="211" t="s">
        <v>856</v>
      </c>
      <c r="C270" s="211" t="s">
        <v>263</v>
      </c>
      <c r="D270" s="212">
        <v>10254</v>
      </c>
      <c r="E270" s="212">
        <v>9744</v>
      </c>
      <c r="F270" s="212">
        <v>510</v>
      </c>
      <c r="G270" s="211" t="s">
        <v>644</v>
      </c>
      <c r="H270" s="213" t="s">
        <v>645</v>
      </c>
      <c r="I270" s="214">
        <v>0</v>
      </c>
      <c r="J270" s="213" t="s">
        <v>14</v>
      </c>
    </row>
    <row r="271" spans="1:10" x14ac:dyDescent="0.25">
      <c r="A271" s="211" t="s">
        <v>861</v>
      </c>
      <c r="B271" s="211" t="s">
        <v>856</v>
      </c>
      <c r="C271" s="211" t="s">
        <v>263</v>
      </c>
      <c r="D271" s="212">
        <v>15820</v>
      </c>
      <c r="E271" s="212">
        <v>15120</v>
      </c>
      <c r="F271" s="212">
        <v>700</v>
      </c>
      <c r="G271" s="211" t="s">
        <v>644</v>
      </c>
      <c r="H271" s="213" t="s">
        <v>165</v>
      </c>
      <c r="I271" s="214">
        <v>120</v>
      </c>
      <c r="J271" s="213" t="s">
        <v>14</v>
      </c>
    </row>
    <row r="272" spans="1:10" x14ac:dyDescent="0.25">
      <c r="A272" s="211" t="s">
        <v>862</v>
      </c>
      <c r="B272" s="211" t="s">
        <v>856</v>
      </c>
      <c r="C272" s="211" t="s">
        <v>263</v>
      </c>
      <c r="D272" s="212">
        <v>13860</v>
      </c>
      <c r="E272" s="212">
        <v>13440</v>
      </c>
      <c r="F272" s="212">
        <v>420</v>
      </c>
      <c r="G272" s="211" t="s">
        <v>644</v>
      </c>
      <c r="H272" s="213" t="s">
        <v>165</v>
      </c>
      <c r="I272" s="214">
        <v>200</v>
      </c>
      <c r="J272" s="213" t="s">
        <v>14</v>
      </c>
    </row>
    <row r="273" spans="1:10" x14ac:dyDescent="0.25">
      <c r="A273" s="211" t="s">
        <v>863</v>
      </c>
      <c r="B273" s="211" t="s">
        <v>856</v>
      </c>
      <c r="C273" s="211" t="s">
        <v>263</v>
      </c>
      <c r="D273" s="212">
        <v>5942</v>
      </c>
      <c r="E273" s="212">
        <v>5712</v>
      </c>
      <c r="F273" s="212">
        <v>230</v>
      </c>
      <c r="G273" s="211" t="s">
        <v>169</v>
      </c>
      <c r="H273" s="213" t="s">
        <v>169</v>
      </c>
      <c r="I273" s="214">
        <v>90</v>
      </c>
      <c r="J273" s="213" t="s">
        <v>864</v>
      </c>
    </row>
    <row r="274" spans="1:10" x14ac:dyDescent="0.25">
      <c r="A274" s="211" t="s">
        <v>865</v>
      </c>
      <c r="B274" s="211" t="s">
        <v>856</v>
      </c>
      <c r="C274" s="211" t="s">
        <v>663</v>
      </c>
      <c r="D274" s="212">
        <v>20038</v>
      </c>
      <c r="E274" s="212">
        <v>19488</v>
      </c>
      <c r="F274" s="212">
        <v>550</v>
      </c>
      <c r="G274" s="211" t="s">
        <v>169</v>
      </c>
      <c r="H274" s="213" t="s">
        <v>169</v>
      </c>
      <c r="I274" s="214">
        <v>60</v>
      </c>
      <c r="J274" s="213" t="s">
        <v>203</v>
      </c>
    </row>
    <row r="275" spans="1:10" x14ac:dyDescent="0.25">
      <c r="A275" s="211" t="s">
        <v>866</v>
      </c>
      <c r="B275" s="211" t="s">
        <v>856</v>
      </c>
      <c r="C275" s="211" t="s">
        <v>663</v>
      </c>
      <c r="D275" s="212">
        <v>25540</v>
      </c>
      <c r="E275" s="212">
        <v>24990</v>
      </c>
      <c r="F275" s="212">
        <v>550</v>
      </c>
      <c r="G275" s="211" t="s">
        <v>644</v>
      </c>
      <c r="H275" s="213" t="s">
        <v>645</v>
      </c>
      <c r="I275" s="214">
        <v>0</v>
      </c>
      <c r="J275" s="213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>
      <selection activeCell="J18" sqref="J18"/>
    </sheetView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2" customWidth="1"/>
    <col min="5" max="5" width="15" customWidth="1"/>
    <col min="6" max="6" width="18" customWidth="1"/>
    <col min="7" max="7" width="32" customWidth="1"/>
  </cols>
  <sheetData>
    <row r="1" spans="1:7" ht="32.1" customHeight="1" x14ac:dyDescent="0.25">
      <c r="A1" s="370" t="s">
        <v>867</v>
      </c>
      <c r="B1" s="360"/>
      <c r="C1" s="360"/>
      <c r="D1" s="360"/>
      <c r="E1" s="360"/>
      <c r="F1" s="360"/>
      <c r="G1" s="360"/>
    </row>
    <row r="2" spans="1:7" ht="24" customHeight="1" x14ac:dyDescent="0.25">
      <c r="A2" s="215"/>
      <c r="B2" s="216" t="s">
        <v>868</v>
      </c>
      <c r="C2" s="217">
        <v>22000</v>
      </c>
      <c r="D2" s="371" t="s">
        <v>869</v>
      </c>
      <c r="E2" s="360"/>
      <c r="F2" s="360"/>
      <c r="G2" s="360"/>
    </row>
    <row r="4" spans="1:7" x14ac:dyDescent="0.25">
      <c r="A4" s="366" t="s">
        <v>870</v>
      </c>
      <c r="B4" s="360"/>
      <c r="C4" s="360"/>
      <c r="D4" s="360"/>
      <c r="E4" s="360"/>
      <c r="F4" s="360"/>
      <c r="G4" s="360"/>
    </row>
    <row r="5" spans="1:7" ht="35.1" customHeight="1" x14ac:dyDescent="0.25">
      <c r="A5" s="218" t="s">
        <v>635</v>
      </c>
      <c r="B5" s="218" t="s">
        <v>871</v>
      </c>
      <c r="C5" s="218" t="s">
        <v>872</v>
      </c>
      <c r="D5" s="218" t="s">
        <v>873</v>
      </c>
      <c r="E5" s="218" t="s">
        <v>874</v>
      </c>
      <c r="F5" s="218" t="s">
        <v>875</v>
      </c>
      <c r="G5" s="218" t="s">
        <v>876</v>
      </c>
    </row>
    <row r="6" spans="1:7" ht="21" customHeight="1" x14ac:dyDescent="0.25">
      <c r="A6" s="219" t="s">
        <v>643</v>
      </c>
      <c r="B6" s="220">
        <f>COUNTIFS(OTIF_Data!$B$2:$B$275, A6, OTIF_Data!$G$2:$G$275, "&lt;&gt;Changeover")</f>
        <v>26</v>
      </c>
      <c r="C6" s="220">
        <f>COUNTIFS(OTIF_Data!$B$2:$B$275, A6, OTIF_Data!$G$2:$G$275, "&lt;&gt;Changeover", OTIF_Data!$D$2:$D$275, "&gt;="&amp;$C$2)</f>
        <v>9</v>
      </c>
      <c r="D6" s="221">
        <f t="shared" ref="D6:D15" si="0">IF(B6&gt;0, C6/B6, 0)</f>
        <v>0.34615384615384615</v>
      </c>
      <c r="E6" s="222">
        <f>SUMIF(OTIF_Data!$B$2:$B$275, A6, OTIF_Data!$D$2:$D$275)</f>
        <v>387276</v>
      </c>
      <c r="F6" s="222">
        <f>IF(COUNTIF(OTIF_Data!$B$2:$B$275, A6)&gt;0, E6/COUNTIF(OTIF_Data!$B$2:$B$275, A6), 0)</f>
        <v>14895.23076923077</v>
      </c>
      <c r="G6" s="223">
        <f t="shared" ref="G6:G15" si="1">IF($C$2&gt;0, F6/$C$2, 0)</f>
        <v>0.67705594405594405</v>
      </c>
    </row>
    <row r="7" spans="1:7" ht="21" customHeight="1" x14ac:dyDescent="0.25">
      <c r="A7" s="219" t="s">
        <v>671</v>
      </c>
      <c r="B7" s="220">
        <f>COUNTIFS(OTIF_Data!$B$2:$B$275, A7, OTIF_Data!$G$2:$G$275, "&lt;&gt;Changeover")</f>
        <v>41</v>
      </c>
      <c r="C7" s="220">
        <f>COUNTIFS(OTIF_Data!$B$2:$B$275, A7, OTIF_Data!$G$2:$G$275, "&lt;&gt;Changeover", OTIF_Data!$D$2:$D$275, "&gt;="&amp;$C$2)</f>
        <v>19</v>
      </c>
      <c r="D7" s="221">
        <f t="shared" si="0"/>
        <v>0.46341463414634149</v>
      </c>
      <c r="E7" s="222">
        <f>SUMIF(OTIF_Data!$B$2:$B$275, A7, OTIF_Data!$D$2:$D$275)</f>
        <v>746178</v>
      </c>
      <c r="F7" s="222">
        <f>IF(COUNTIF(OTIF_Data!$B$2:$B$275, A7)&gt;0, E7/COUNTIF(OTIF_Data!$B$2:$B$275, A7), 0)</f>
        <v>18199.463414634145</v>
      </c>
      <c r="G7" s="223">
        <f t="shared" si="1"/>
        <v>0.82724833702882472</v>
      </c>
    </row>
    <row r="8" spans="1:7" ht="21" customHeight="1" x14ac:dyDescent="0.25">
      <c r="A8" s="219" t="s">
        <v>700</v>
      </c>
      <c r="B8" s="220">
        <f>COUNTIFS(OTIF_Data!$B$2:$B$275, A8, OTIF_Data!$G$2:$G$275, "&lt;&gt;Changeover")</f>
        <v>37</v>
      </c>
      <c r="C8" s="220">
        <f>COUNTIFS(OTIF_Data!$B$2:$B$275, A8, OTIF_Data!$G$2:$G$275, "&lt;&gt;Changeover", OTIF_Data!$D$2:$D$275, "&gt;="&amp;$C$2)</f>
        <v>10</v>
      </c>
      <c r="D8" s="221">
        <f t="shared" si="0"/>
        <v>0.27027027027027029</v>
      </c>
      <c r="E8" s="222">
        <f>SUMIF(OTIF_Data!$B$2:$B$275, A8, OTIF_Data!$D$2:$D$275)</f>
        <v>598503</v>
      </c>
      <c r="F8" s="222">
        <f>IF(COUNTIF(OTIF_Data!$B$2:$B$275, A8)&gt;0, E8/COUNTIF(OTIF_Data!$B$2:$B$275, A8), 0)</f>
        <v>16175.756756756757</v>
      </c>
      <c r="G8" s="223">
        <f t="shared" si="1"/>
        <v>0.7352616707616707</v>
      </c>
    </row>
    <row r="9" spans="1:7" ht="21" customHeight="1" x14ac:dyDescent="0.25">
      <c r="A9" s="219" t="s">
        <v>727</v>
      </c>
      <c r="B9" s="220">
        <f>COUNTIFS(OTIF_Data!$B$2:$B$275, A9, OTIF_Data!$G$2:$G$275, "&lt;&gt;Changeover")</f>
        <v>38</v>
      </c>
      <c r="C9" s="220">
        <f>COUNTIFS(OTIF_Data!$B$2:$B$275, A9, OTIF_Data!$G$2:$G$275, "&lt;&gt;Changeover", OTIF_Data!$D$2:$D$275, "&gt;="&amp;$C$2)</f>
        <v>19</v>
      </c>
      <c r="D9" s="221">
        <f t="shared" si="0"/>
        <v>0.5</v>
      </c>
      <c r="E9" s="222">
        <f>SUMIF(OTIF_Data!$B$2:$B$275, A9, OTIF_Data!$D$2:$D$275)</f>
        <v>961134</v>
      </c>
      <c r="F9" s="222">
        <f>IF(COUNTIF(OTIF_Data!$B$2:$B$275, A9)&gt;0, E9/COUNTIF(OTIF_Data!$B$2:$B$275, A9), 0)</f>
        <v>19222.68</v>
      </c>
      <c r="G9" s="223">
        <f t="shared" si="1"/>
        <v>0.87375818181818188</v>
      </c>
    </row>
    <row r="10" spans="1:7" ht="21" customHeight="1" x14ac:dyDescent="0.25">
      <c r="A10" s="219" t="s">
        <v>759</v>
      </c>
      <c r="B10" s="220">
        <f>COUNTIFS(OTIF_Data!$B$2:$B$275, A10, OTIF_Data!$G$2:$G$275, "&lt;&gt;Changeover")</f>
        <v>25</v>
      </c>
      <c r="C10" s="220">
        <f>COUNTIFS(OTIF_Data!$B$2:$B$275, A10, OTIF_Data!$G$2:$G$275, "&lt;&gt;Changeover", OTIF_Data!$D$2:$D$275, "&gt;="&amp;$C$2)</f>
        <v>4</v>
      </c>
      <c r="D10" s="221">
        <f t="shared" si="0"/>
        <v>0.16</v>
      </c>
      <c r="E10" s="222">
        <f>SUMIF(OTIF_Data!$B$2:$B$275, A10, OTIF_Data!$D$2:$D$275)</f>
        <v>417416</v>
      </c>
      <c r="F10" s="222">
        <f>IF(COUNTIF(OTIF_Data!$B$2:$B$275, A10)&gt;0, E10/COUNTIF(OTIF_Data!$B$2:$B$275, A10), 0)</f>
        <v>13465.032258064517</v>
      </c>
      <c r="G10" s="223">
        <f t="shared" si="1"/>
        <v>0.61204692082111445</v>
      </c>
    </row>
    <row r="11" spans="1:7" ht="21" customHeight="1" x14ac:dyDescent="0.25">
      <c r="A11" s="219" t="s">
        <v>783</v>
      </c>
      <c r="B11" s="220">
        <f>COUNTIFS(OTIF_Data!$B$2:$B$275, A11, OTIF_Data!$G$2:$G$275, "&lt;&gt;Changeover")</f>
        <v>16</v>
      </c>
      <c r="C11" s="220">
        <f>COUNTIFS(OTIF_Data!$B$2:$B$275, A11, OTIF_Data!$G$2:$G$275, "&lt;&gt;Changeover", OTIF_Data!$D$2:$D$275, "&gt;="&amp;$C$2)</f>
        <v>5</v>
      </c>
      <c r="D11" s="221">
        <f t="shared" si="0"/>
        <v>0.3125</v>
      </c>
      <c r="E11" s="222">
        <f>SUMIF(OTIF_Data!$B$2:$B$275, A11, OTIF_Data!$D$2:$D$275)</f>
        <v>330722</v>
      </c>
      <c r="F11" s="222">
        <f>IF(COUNTIF(OTIF_Data!$B$2:$B$275, A11)&gt;0, E11/COUNTIF(OTIF_Data!$B$2:$B$275, A11), 0)</f>
        <v>15032.818181818182</v>
      </c>
      <c r="G11" s="223">
        <f t="shared" si="1"/>
        <v>0.68330991735537194</v>
      </c>
    </row>
    <row r="12" spans="1:7" ht="21" customHeight="1" x14ac:dyDescent="0.25">
      <c r="A12" s="219" t="s">
        <v>804</v>
      </c>
      <c r="B12" s="220">
        <f>COUNTIFS(OTIF_Data!$B$2:$B$275, A12, OTIF_Data!$G$2:$G$275, "&lt;&gt;Changeover")</f>
        <v>32</v>
      </c>
      <c r="C12" s="220">
        <f>COUNTIFS(OTIF_Data!$B$2:$B$275, A12, OTIF_Data!$G$2:$G$275, "&lt;&gt;Changeover", OTIF_Data!$D$2:$D$275, "&gt;="&amp;$C$2)</f>
        <v>8</v>
      </c>
      <c r="D12" s="221">
        <f t="shared" si="0"/>
        <v>0.25</v>
      </c>
      <c r="E12" s="222">
        <f>SUMIF(OTIF_Data!$B$2:$B$275, A12, OTIF_Data!$D$2:$D$275)</f>
        <v>410894</v>
      </c>
      <c r="F12" s="222">
        <f>IF(COUNTIF(OTIF_Data!$B$2:$B$275, A12)&gt;0, E12/COUNTIF(OTIF_Data!$B$2:$B$275, A12), 0)</f>
        <v>12451.333333333334</v>
      </c>
      <c r="G12" s="223">
        <f t="shared" si="1"/>
        <v>0.56596969696969701</v>
      </c>
    </row>
    <row r="13" spans="1:7" ht="21" customHeight="1" x14ac:dyDescent="0.25">
      <c r="A13" s="219" t="s">
        <v>833</v>
      </c>
      <c r="B13" s="220">
        <f>COUNTIFS(OTIF_Data!$B$2:$B$275, A13, OTIF_Data!$G$2:$G$275, "&lt;&gt;Changeover")</f>
        <v>23</v>
      </c>
      <c r="C13" s="220">
        <f>COUNTIFS(OTIF_Data!$B$2:$B$275, A13, OTIF_Data!$G$2:$G$275, "&lt;&gt;Changeover", OTIF_Data!$D$2:$D$275, "&gt;="&amp;$C$2)</f>
        <v>6</v>
      </c>
      <c r="D13" s="221">
        <f t="shared" si="0"/>
        <v>0.2608695652173913</v>
      </c>
      <c r="E13" s="222">
        <f>SUMIF(OTIF_Data!$B$2:$B$275, A13, OTIF_Data!$D$2:$D$275)</f>
        <v>353782</v>
      </c>
      <c r="F13" s="222">
        <f>IF(COUNTIF(OTIF_Data!$B$2:$B$275, A13)&gt;0, E13/COUNTIF(OTIF_Data!$B$2:$B$275, A13), 0)</f>
        <v>14740.916666666666</v>
      </c>
      <c r="G13" s="223">
        <f t="shared" si="1"/>
        <v>0.67004166666666665</v>
      </c>
    </row>
    <row r="14" spans="1:7" ht="21" customHeight="1" x14ac:dyDescent="0.25">
      <c r="A14" s="219" t="s">
        <v>856</v>
      </c>
      <c r="B14" s="220">
        <f>COUNTIFS(OTIF_Data!$B$2:$B$275, A14, OTIF_Data!$G$2:$G$275, "&lt;&gt;Changeover")</f>
        <v>8</v>
      </c>
      <c r="C14" s="220">
        <f>COUNTIFS(OTIF_Data!$B$2:$B$275, A14, OTIF_Data!$G$2:$G$275, "&lt;&gt;Changeover", OTIF_Data!$D$2:$D$275, "&gt;="&amp;$C$2)</f>
        <v>2</v>
      </c>
      <c r="D14" s="221">
        <f t="shared" si="0"/>
        <v>0.25</v>
      </c>
      <c r="E14" s="222">
        <f>SUMIF(OTIF_Data!$B$2:$B$275, A14, OTIF_Data!$D$2:$D$275)</f>
        <v>150020</v>
      </c>
      <c r="F14" s="222">
        <f>IF(COUNTIF(OTIF_Data!$B$2:$B$275, A14)&gt;0, E14/COUNTIF(OTIF_Data!$B$2:$B$275, A14), 0)</f>
        <v>15002</v>
      </c>
      <c r="G14" s="223">
        <f t="shared" si="1"/>
        <v>0.68190909090909091</v>
      </c>
    </row>
    <row r="15" spans="1:7" ht="24" customHeight="1" x14ac:dyDescent="0.25">
      <c r="A15" s="224" t="s">
        <v>877</v>
      </c>
      <c r="B15" s="225">
        <f>SUM(B6:B14)</f>
        <v>246</v>
      </c>
      <c r="C15" s="225">
        <f>SUM(C6:C14)</f>
        <v>82</v>
      </c>
      <c r="D15" s="226">
        <f t="shared" si="0"/>
        <v>0.33333333333333331</v>
      </c>
      <c r="E15" s="227">
        <f>SUM(E6:E14)</f>
        <v>4355925</v>
      </c>
      <c r="F15" s="227">
        <f>IF(COUNT(OTIF_Data!$D$2:$D$275)&gt;0, E15/COUNT(OTIF_Data!$D$2:$D$275), 0)</f>
        <v>15897.536496350365</v>
      </c>
      <c r="G15" s="226">
        <f t="shared" si="1"/>
        <v>0.72261529528865298</v>
      </c>
    </row>
    <row r="17" spans="1:7" x14ac:dyDescent="0.25">
      <c r="A17" s="366" t="s">
        <v>878</v>
      </c>
      <c r="B17" s="360"/>
      <c r="C17" s="360"/>
      <c r="D17" s="360"/>
      <c r="E17" s="360"/>
      <c r="F17" s="360"/>
      <c r="G17" s="360"/>
    </row>
    <row r="18" spans="1:7" ht="24.95" customHeight="1" x14ac:dyDescent="0.25">
      <c r="A18" s="218" t="s">
        <v>242</v>
      </c>
      <c r="B18" s="218" t="s">
        <v>636</v>
      </c>
      <c r="C18" s="218" t="s">
        <v>637</v>
      </c>
      <c r="D18" s="218" t="s">
        <v>879</v>
      </c>
      <c r="E18" s="218" t="s">
        <v>880</v>
      </c>
      <c r="F18" s="218" t="s">
        <v>881</v>
      </c>
      <c r="G18" s="218" t="s">
        <v>384</v>
      </c>
    </row>
    <row r="19" spans="1:7" ht="20.100000000000001" customHeight="1" x14ac:dyDescent="0.25">
      <c r="A19" s="228" t="s">
        <v>855</v>
      </c>
      <c r="B19" s="220" t="s">
        <v>263</v>
      </c>
      <c r="C19" s="222">
        <v>17867</v>
      </c>
      <c r="D19" s="229" t="str">
        <f t="shared" ref="D19:D28" si="2">IF(F19="Changeover", "EXCL", IF(C19&gt;=$C$2, "YES", "NO"))</f>
        <v>NO</v>
      </c>
      <c r="E19" s="223">
        <f t="shared" ref="E19:E28" si="3">IF($C$2&gt;0, C19/$C$2, 0)</f>
        <v>0.81213636363636366</v>
      </c>
      <c r="F19" s="228" t="s">
        <v>645</v>
      </c>
      <c r="G19" s="228" t="s">
        <v>16</v>
      </c>
    </row>
    <row r="20" spans="1:7" ht="20.100000000000001" customHeight="1" x14ac:dyDescent="0.25">
      <c r="A20" s="228" t="s">
        <v>857</v>
      </c>
      <c r="B20" s="220" t="s">
        <v>263</v>
      </c>
      <c r="C20" s="222">
        <v>0</v>
      </c>
      <c r="D20" s="229" t="str">
        <f t="shared" si="2"/>
        <v>NO</v>
      </c>
      <c r="E20" s="223">
        <f t="shared" si="3"/>
        <v>0</v>
      </c>
      <c r="F20" s="228" t="s">
        <v>810</v>
      </c>
      <c r="G20" s="228" t="s">
        <v>680</v>
      </c>
    </row>
    <row r="21" spans="1:7" ht="20.100000000000001" customHeight="1" x14ac:dyDescent="0.25">
      <c r="A21" s="228" t="s">
        <v>858</v>
      </c>
      <c r="B21" s="220" t="s">
        <v>263</v>
      </c>
      <c r="C21" s="222">
        <v>16211</v>
      </c>
      <c r="D21" s="229" t="str">
        <f t="shared" si="2"/>
        <v>NO</v>
      </c>
      <c r="E21" s="223">
        <f t="shared" si="3"/>
        <v>0.73686363636363639</v>
      </c>
      <c r="F21" s="228" t="s">
        <v>165</v>
      </c>
      <c r="G21" s="228" t="s">
        <v>20</v>
      </c>
    </row>
    <row r="22" spans="1:7" ht="20.100000000000001" customHeight="1" x14ac:dyDescent="0.25">
      <c r="A22" s="228" t="s">
        <v>859</v>
      </c>
      <c r="B22" s="220" t="s">
        <v>263</v>
      </c>
      <c r="C22" s="222">
        <v>24488</v>
      </c>
      <c r="D22" s="229" t="str">
        <f t="shared" si="2"/>
        <v>YES</v>
      </c>
      <c r="E22" s="223">
        <f t="shared" si="3"/>
        <v>1.1130909090909091</v>
      </c>
      <c r="F22" s="228" t="s">
        <v>645</v>
      </c>
      <c r="G22" s="228" t="s">
        <v>20</v>
      </c>
    </row>
    <row r="23" spans="1:7" ht="20.100000000000001" customHeight="1" x14ac:dyDescent="0.25">
      <c r="A23" s="228" t="s">
        <v>860</v>
      </c>
      <c r="B23" s="220" t="s">
        <v>263</v>
      </c>
      <c r="C23" s="222">
        <v>10254</v>
      </c>
      <c r="D23" s="229" t="str">
        <f t="shared" si="2"/>
        <v>NO</v>
      </c>
      <c r="E23" s="223">
        <f t="shared" si="3"/>
        <v>0.46609090909090911</v>
      </c>
      <c r="F23" s="228" t="s">
        <v>645</v>
      </c>
      <c r="G23" s="228" t="s">
        <v>14</v>
      </c>
    </row>
    <row r="24" spans="1:7" ht="20.100000000000001" customHeight="1" x14ac:dyDescent="0.25">
      <c r="A24" s="228" t="s">
        <v>861</v>
      </c>
      <c r="B24" s="220" t="s">
        <v>263</v>
      </c>
      <c r="C24" s="222">
        <v>15820</v>
      </c>
      <c r="D24" s="229" t="str">
        <f t="shared" si="2"/>
        <v>NO</v>
      </c>
      <c r="E24" s="223">
        <f t="shared" si="3"/>
        <v>0.71909090909090911</v>
      </c>
      <c r="F24" s="228" t="s">
        <v>165</v>
      </c>
      <c r="G24" s="228" t="s">
        <v>14</v>
      </c>
    </row>
    <row r="25" spans="1:7" ht="20.100000000000001" customHeight="1" x14ac:dyDescent="0.25">
      <c r="A25" s="228" t="s">
        <v>862</v>
      </c>
      <c r="B25" s="220" t="s">
        <v>263</v>
      </c>
      <c r="C25" s="222">
        <v>13860</v>
      </c>
      <c r="D25" s="229" t="str">
        <f t="shared" si="2"/>
        <v>NO</v>
      </c>
      <c r="E25" s="223">
        <f t="shared" si="3"/>
        <v>0.63</v>
      </c>
      <c r="F25" s="228" t="s">
        <v>165</v>
      </c>
      <c r="G25" s="228" t="s">
        <v>14</v>
      </c>
    </row>
    <row r="26" spans="1:7" ht="20.100000000000001" customHeight="1" x14ac:dyDescent="0.25">
      <c r="A26" s="228" t="s">
        <v>863</v>
      </c>
      <c r="B26" s="220" t="s">
        <v>263</v>
      </c>
      <c r="C26" s="222">
        <v>5942</v>
      </c>
      <c r="D26" s="229" t="str">
        <f t="shared" si="2"/>
        <v>EXCL</v>
      </c>
      <c r="E26" s="235">
        <f t="shared" si="3"/>
        <v>0.2700909090909091</v>
      </c>
      <c r="F26" s="230" t="s">
        <v>169</v>
      </c>
      <c r="G26" s="230" t="s">
        <v>864</v>
      </c>
    </row>
    <row r="27" spans="1:7" ht="20.100000000000001" customHeight="1" x14ac:dyDescent="0.25">
      <c r="A27" s="228" t="s">
        <v>865</v>
      </c>
      <c r="B27" s="220" t="s">
        <v>663</v>
      </c>
      <c r="C27" s="222">
        <v>20038</v>
      </c>
      <c r="D27" s="229" t="str">
        <f t="shared" si="2"/>
        <v>EXCL</v>
      </c>
      <c r="E27" s="235">
        <f t="shared" si="3"/>
        <v>0.91081818181818186</v>
      </c>
      <c r="F27" s="230" t="s">
        <v>169</v>
      </c>
      <c r="G27" s="230" t="s">
        <v>203</v>
      </c>
    </row>
    <row r="28" spans="1:7" ht="20.100000000000001" customHeight="1" x14ac:dyDescent="0.25">
      <c r="A28" s="228" t="s">
        <v>866</v>
      </c>
      <c r="B28" s="220" t="s">
        <v>663</v>
      </c>
      <c r="C28" s="222">
        <v>25540</v>
      </c>
      <c r="D28" s="229" t="str">
        <f t="shared" si="2"/>
        <v>YES</v>
      </c>
      <c r="E28" s="223">
        <f t="shared" si="3"/>
        <v>1.1609090909090909</v>
      </c>
      <c r="F28" s="228" t="s">
        <v>645</v>
      </c>
      <c r="G28" s="228" t="s">
        <v>20</v>
      </c>
    </row>
    <row r="29" spans="1:7" ht="24" customHeight="1" x14ac:dyDescent="0.25">
      <c r="A29" s="231" t="s">
        <v>882</v>
      </c>
      <c r="B29" s="232"/>
      <c r="C29" s="233">
        <f>SUM(C19:C28)</f>
        <v>150020</v>
      </c>
      <c r="D29" s="236">
        <f>IF(COUNTIF(D19:D28, "&lt;&gt;EXCL")&gt;0, COUNTIF(D19:D28, "YES")/COUNTIF(D19:D28, "&lt;&gt;EXCL"), 0)</f>
        <v>0.25</v>
      </c>
      <c r="E29" s="236">
        <f>IF($C$2&gt;0, AVERAGE(C19:C28)/$C$2, 0)</f>
        <v>0.68190909090909091</v>
      </c>
      <c r="F29" s="237">
        <f>AVERAGE(C19:C28)</f>
        <v>15002</v>
      </c>
      <c r="G29" s="238" t="s">
        <v>883</v>
      </c>
    </row>
    <row r="32" spans="1:7" x14ac:dyDescent="0.25">
      <c r="A32" s="366" t="s">
        <v>884</v>
      </c>
      <c r="B32" s="360"/>
      <c r="C32" s="360"/>
      <c r="D32" s="360"/>
      <c r="E32" s="360"/>
      <c r="F32" s="360"/>
      <c r="G32" s="360"/>
    </row>
    <row r="33" spans="1:7" x14ac:dyDescent="0.25">
      <c r="A33" s="234" t="s">
        <v>885</v>
      </c>
      <c r="B33" s="367" t="s">
        <v>886</v>
      </c>
      <c r="C33" s="368"/>
      <c r="D33" s="368"/>
      <c r="E33" s="368"/>
      <c r="F33" s="368"/>
      <c r="G33" s="369"/>
    </row>
    <row r="34" spans="1:7" x14ac:dyDescent="0.25">
      <c r="A34" s="234" t="s">
        <v>887</v>
      </c>
      <c r="B34" s="367" t="s">
        <v>888</v>
      </c>
      <c r="C34" s="368"/>
      <c r="D34" s="368"/>
      <c r="E34" s="368"/>
      <c r="F34" s="368"/>
      <c r="G34" s="369"/>
    </row>
    <row r="36" spans="1:7" x14ac:dyDescent="0.25">
      <c r="A36" s="234" t="s">
        <v>889</v>
      </c>
      <c r="B36" s="367" t="s">
        <v>890</v>
      </c>
      <c r="C36" s="368"/>
      <c r="D36" s="368"/>
      <c r="E36" s="368"/>
      <c r="F36" s="368"/>
      <c r="G36" s="369"/>
    </row>
    <row r="37" spans="1:7" x14ac:dyDescent="0.25">
      <c r="A37" s="234" t="s">
        <v>891</v>
      </c>
      <c r="B37" s="367" t="s">
        <v>892</v>
      </c>
      <c r="C37" s="368"/>
      <c r="D37" s="368"/>
      <c r="E37" s="368"/>
      <c r="F37" s="368"/>
      <c r="G37" s="369"/>
    </row>
    <row r="39" spans="1:7" x14ac:dyDescent="0.25">
      <c r="A39" s="234" t="s">
        <v>893</v>
      </c>
      <c r="B39" s="367" t="s">
        <v>894</v>
      </c>
      <c r="C39" s="368"/>
      <c r="D39" s="368"/>
      <c r="E39" s="368"/>
      <c r="F39" s="368"/>
      <c r="G39" s="369"/>
    </row>
    <row r="40" spans="1:7" x14ac:dyDescent="0.25">
      <c r="A40" s="234" t="s">
        <v>895</v>
      </c>
      <c r="B40" s="367" t="s">
        <v>896</v>
      </c>
      <c r="C40" s="368"/>
      <c r="D40" s="368"/>
      <c r="E40" s="368"/>
      <c r="F40" s="368"/>
      <c r="G40" s="369"/>
    </row>
    <row r="42" spans="1:7" ht="21.95" customHeight="1" x14ac:dyDescent="0.25">
      <c r="A42" s="372" t="s">
        <v>897</v>
      </c>
      <c r="B42" s="360"/>
      <c r="C42" s="360"/>
      <c r="D42" s="360"/>
      <c r="E42" s="360"/>
      <c r="F42" s="360"/>
      <c r="G42" s="360"/>
    </row>
    <row r="43" spans="1:7" x14ac:dyDescent="0.25">
      <c r="A43" s="234" t="s">
        <v>898</v>
      </c>
      <c r="B43" s="367" t="s">
        <v>899</v>
      </c>
      <c r="C43" s="368"/>
      <c r="D43" s="368"/>
      <c r="E43" s="368"/>
      <c r="F43" s="368"/>
      <c r="G43" s="369"/>
    </row>
    <row r="44" spans="1:7" x14ac:dyDescent="0.25">
      <c r="A44" s="234" t="s">
        <v>900</v>
      </c>
      <c r="B44" s="367" t="s">
        <v>901</v>
      </c>
      <c r="C44" s="368"/>
      <c r="D44" s="368"/>
      <c r="E44" s="368"/>
      <c r="F44" s="368"/>
      <c r="G44" s="369"/>
    </row>
    <row r="45" spans="1:7" ht="24.75" customHeight="1" x14ac:dyDescent="0.25">
      <c r="A45" s="234" t="s">
        <v>902</v>
      </c>
      <c r="B45" s="367" t="s">
        <v>903</v>
      </c>
      <c r="C45" s="368"/>
      <c r="D45" s="368"/>
      <c r="E45" s="368"/>
      <c r="F45" s="368"/>
      <c r="G45" s="369"/>
    </row>
    <row r="46" spans="1:7" x14ac:dyDescent="0.25">
      <c r="A46" s="234" t="s">
        <v>904</v>
      </c>
      <c r="B46" s="367" t="s">
        <v>905</v>
      </c>
      <c r="C46" s="368"/>
      <c r="D46" s="368"/>
      <c r="E46" s="368"/>
      <c r="F46" s="368"/>
      <c r="G46" s="369"/>
    </row>
  </sheetData>
  <mergeCells count="16">
    <mergeCell ref="A32:G32"/>
    <mergeCell ref="B34:G34"/>
    <mergeCell ref="A1:G1"/>
    <mergeCell ref="B46:G46"/>
    <mergeCell ref="A17:G17"/>
    <mergeCell ref="B36:G36"/>
    <mergeCell ref="B37:G37"/>
    <mergeCell ref="B33:G33"/>
    <mergeCell ref="B45:G45"/>
    <mergeCell ref="A4:G4"/>
    <mergeCell ref="B40:G40"/>
    <mergeCell ref="B43:G43"/>
    <mergeCell ref="D2:G2"/>
    <mergeCell ref="B44:G44"/>
    <mergeCell ref="B39:G39"/>
    <mergeCell ref="A42:G42"/>
  </mergeCells>
  <conditionalFormatting sqref="D6:D14">
    <cfRule type="cellIs" dxfId="3" priority="1" operator="greaterThanOrEqual">
      <formula>0.5</formula>
    </cfRule>
  </conditionalFormatting>
  <conditionalFormatting sqref="D19:D28">
    <cfRule type="cellIs" dxfId="2" priority="2" operator="equal">
      <formula>"YES"</formula>
    </cfRule>
    <cfRule type="cellIs" dxfId="1" priority="3" operator="equal">
      <formula>"NO"</formula>
    </cfRule>
    <cfRule type="cellIs" dxfId="0" priority="4" operator="equal">
      <formula>"EXCL"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Tubex_Dashboard</vt:lpstr>
      <vt:lpstr>MRP</vt:lpstr>
      <vt:lpstr>Production_Log</vt:lpstr>
      <vt:lpstr>BOM</vt:lpstr>
      <vt:lpstr>Inventory</vt:lpstr>
      <vt:lpstr>Product_Catalog</vt:lpstr>
      <vt:lpstr>BOM Issues</vt:lpstr>
      <vt:lpstr>FG Stock</vt:lpstr>
      <vt:lpstr>Future_Plans</vt:lpstr>
      <vt:lpstr>OTIF_Data</vt:lpstr>
      <vt:lpstr>Production_OTIF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2026-10-21T06:47:00Z</dcterms:modified>
  <cp:category>Operations</cp:category>
  <dc:language>en-US</dc:language>
</cp:coreProperties>
</file>