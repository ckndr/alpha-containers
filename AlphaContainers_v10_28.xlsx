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5" activeTab="8" autoFilterDateGrouping="1"/>
  </bookViews>
  <sheets>
    <sheet xmlns:r="http://schemas.openxmlformats.org/officeDocument/2006/relationships" name="Tubex_Dashboard" sheetId="1" state="visible" r:id="rId1"/>
    <sheet xmlns:r="http://schemas.openxmlformats.org/officeDocument/2006/relationships" name="MRP" sheetId="2" state="visible" r:id="rId2"/>
    <sheet xmlns:r="http://schemas.openxmlformats.org/officeDocument/2006/relationships" name="BOM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Product_Catalog" sheetId="5" state="visible" r:id="rId5"/>
    <sheet xmlns:r="http://schemas.openxmlformats.org/officeDocument/2006/relationships" name="Production_Log" sheetId="6" state="visible" r:id="rId6"/>
    <sheet xmlns:r="http://schemas.openxmlformats.org/officeDocument/2006/relationships" name="BOM Issues" sheetId="7" state="visible" r:id="rId7"/>
    <sheet xmlns:r="http://schemas.openxmlformats.org/officeDocument/2006/relationships" name="FG Stock" sheetId="8" state="visible" r:id="rId8"/>
    <sheet xmlns:r="http://schemas.openxmlformats.org/officeDocument/2006/relationships" name="Notes &amp; Guide" sheetId="9" state="visible" r:id="rId9"/>
  </sheets>
  <definedNames>
    <definedName name="_xlnm._FilterDatabase" localSheetId="1" hidden="1">'MRP'!$A$15:$J$98</definedName>
    <definedName name="_xlnm._FilterDatabase" localSheetId="5" hidden="1">'Production_Log'!$A$2:$S$80</definedName>
    <definedName name="_xlnm._FilterDatabase" localSheetId="6" hidden="1">'BOM Issues'!$A$52:$J$64</definedName>
  </definedNames>
  <calcPr calcId="191029" fullCalcOnLoad="1" iterateDelta="0.0001" forceFullCalc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"/>
    <numFmt numFmtId="166" formatCode="m/d/yyyy"/>
    <numFmt numFmtId="167" formatCode="0.000"/>
    <numFmt numFmtId="168" formatCode="#,##0.0"/>
    <numFmt numFmtId="169" formatCode="dd\-mmm\-yyyy"/>
    <numFmt numFmtId="170" formatCode="0.#"/>
    <numFmt numFmtId="171" formatCode="DD-MMM-YYYY"/>
    <numFmt numFmtId="172" formatCode="_(* #,##0.00_);_(* \(#,##0.00\);_(* \-??_);_(@_)"/>
  </numFmts>
  <fonts count="48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Segoe UI"/>
      <charset val="1"/>
      <family val="2"/>
      <color rgb="FF000000"/>
      <sz val="9"/>
    </font>
    <font>
      <name val="Segoe UI"/>
      <charset val="1"/>
      <family val="2"/>
      <b val="1"/>
      <color rgb="FFFFFFFF"/>
      <sz val="18"/>
    </font>
    <font>
      <name val="Segoe UI"/>
      <charset val="1"/>
      <family val="2"/>
      <b val="1"/>
      <color rgb="FFBDD7EE"/>
      <sz val="12"/>
    </font>
    <font>
      <name val="Segoe UI"/>
      <charset val="1"/>
      <family val="2"/>
      <b val="1"/>
      <color rgb="FFFFFFFF"/>
      <sz val="12"/>
    </font>
    <font>
      <name val="Segoe UI"/>
      <charset val="1"/>
      <family val="2"/>
      <color rgb="FFFFFFFF"/>
      <sz val="18"/>
    </font>
    <font>
      <name val="Segoe UI"/>
      <charset val="1"/>
      <family val="2"/>
      <b val="1"/>
      <color theme="0"/>
      <sz val="11"/>
    </font>
    <font>
      <name val="Segoe UI"/>
      <charset val="1"/>
      <family val="2"/>
      <b val="1"/>
      <color rgb="FFFFFFFF"/>
      <sz val="9"/>
    </font>
    <font>
      <name val="Segoe UI"/>
      <charset val="1"/>
      <family val="2"/>
      <b val="1"/>
      <color rgb="FFB4E0E0"/>
      <sz val="12"/>
    </font>
    <font>
      <name val="Segoe UI"/>
      <charset val="1"/>
      <family val="2"/>
      <sz val="9"/>
    </font>
    <font>
      <name val="Segoe UI"/>
      <charset val="1"/>
      <family val="2"/>
      <b val="1"/>
      <color theme="0"/>
      <sz val="15"/>
    </font>
    <font>
      <name val="Arial"/>
      <charset val="1"/>
      <family val="2"/>
      <sz val="10"/>
    </font>
    <font>
      <name val="Segoe UI"/>
      <charset val="1"/>
      <family val="2"/>
      <b val="1"/>
      <sz val="9"/>
    </font>
    <font>
      <name val="Calibri"/>
      <charset val="1"/>
      <family val="2"/>
      <sz val="11"/>
    </font>
    <font>
      <name val="Segoe UI"/>
      <charset val="1"/>
      <family val="2"/>
      <b val="1"/>
      <color rgb="FFFFFFFF"/>
      <sz val="13"/>
    </font>
    <font>
      <name val="Segoe UI"/>
      <charset val="1"/>
      <family val="2"/>
      <color rgb="FF1A1A2E"/>
      <sz val="9"/>
    </font>
    <font>
      <name val="Segoe UI"/>
      <charset val="1"/>
      <family val="2"/>
      <b val="1"/>
      <color rgb="FF1A1A2E"/>
      <sz val="9"/>
    </font>
    <font>
      <name val="Segoe U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sz val="10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sz val="10"/>
    </font>
    <font>
      <name val="Calibri"/>
      <charset val="1"/>
      <family val="2"/>
      <i val="1"/>
      <sz val="9"/>
    </font>
    <font>
      <name val="Calibri"/>
      <charset val="1"/>
      <family val="2"/>
      <color rgb="FF888888"/>
      <sz val="10"/>
    </font>
    <font>
      <name val="Segoe UI"/>
      <charset val="1"/>
      <family val="2"/>
      <b val="1"/>
      <color rgb="FFFFFFFF"/>
      <sz val="14"/>
    </font>
    <font>
      <name val="Segoe UI"/>
      <charset val="1"/>
      <family val="2"/>
      <b val="1"/>
      <color rgb="FFFFFFFF"/>
      <sz val="10"/>
    </font>
    <font>
      <name val="Calibri"/>
      <charset val="1"/>
      <family val="2"/>
      <color theme="1"/>
      <sz val="10"/>
    </font>
    <font>
      <name val="Segoe UI"/>
      <charset val="1"/>
      <family val="2"/>
      <color rgb="FF00B050"/>
      <sz val="9"/>
    </font>
    <font>
      <name val="Segoe UI"/>
      <charset val="1"/>
      <family val="2"/>
      <color rgb="FFFF0000"/>
      <sz val="9"/>
    </font>
    <font>
      <name val="Calibri"/>
      <charset val="1"/>
      <family val="2"/>
      <color rgb="FFFF0000"/>
      <sz val="11"/>
    </font>
    <font>
      <name val="Segoe UI"/>
      <charset val="1"/>
      <family val="2"/>
      <b val="1"/>
      <color rgb="FFFFFFFF"/>
      <sz val="8"/>
    </font>
    <font>
      <name val="Segoe UI"/>
      <charset val="1"/>
      <family val="2"/>
      <b val="1"/>
      <color rgb="FF0000AA"/>
      <sz val="9"/>
    </font>
    <font>
      <name val="Segoe UI"/>
      <charset val="1"/>
      <family val="2"/>
      <i val="1"/>
      <color rgb="FF555577"/>
      <sz val="8"/>
    </font>
    <font>
      <name val="Segoe UI"/>
      <color rgb="FF1A1A2E"/>
      <sz val="9"/>
    </font>
    <font>
      <name val="Segoe UI"/>
      <b val="1"/>
      <color rgb="FF1A1A2E"/>
      <sz val="9"/>
    </font>
    <font>
      <name val="Calibri"/>
      <charset val="1"/>
      <family val="2"/>
      <color theme="1"/>
      <sz val="11"/>
    </font>
    <font>
      <name val="Arial"/>
      <sz val="10"/>
    </font>
    <font>
      <name val="Arial"/>
      <b val="1"/>
      <sz val="10"/>
    </font>
    <font>
      <name val="Segoe UI"/>
      <b val="1"/>
      <color rgb="FF1F3864"/>
      <sz val="9"/>
    </font>
    <font>
      <name val="Segoe UI"/>
      <b val="1"/>
      <color rgb="FFFFFFFF"/>
      <sz val="13"/>
    </font>
    <font>
      <name val="Segoe UI"/>
      <i val="1"/>
      <color rgb="FF8899AA"/>
      <sz val="9"/>
    </font>
    <font>
      <name val="Segoe UI"/>
      <b val="1"/>
      <color rgb="FFFFFFFF"/>
      <sz val="10"/>
    </font>
    <font>
      <name val="Segoe UI"/>
      <i val="1"/>
      <color rgb="FF555555"/>
      <sz val="9"/>
    </font>
    <font>
      <name val="Segoe UI"/>
      <b val="1"/>
      <color rgb="FFC0392B"/>
      <sz val="9"/>
    </font>
    <font>
      <name val="Segoe UI"/>
      <color rgb="FFE67E22"/>
      <sz val="9"/>
    </font>
    <font>
      <name val="Segoe UI"/>
      <color rgb="FF27AE60"/>
      <sz val="9"/>
    </font>
    <font>
      <name val="Segoe UI"/>
      <b val="1"/>
      <color rgb="FF2E86C1"/>
      <sz val="9"/>
    </font>
  </fonts>
  <fills count="26">
    <fill>
      <patternFill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theme="4" tint="0.7997985778374584"/>
        <bgColor rgb="FFE8EDF5"/>
      </patternFill>
    </fill>
    <fill>
      <patternFill patternType="solid">
        <fgColor rgb="FFF7F9FC"/>
        <bgColor rgb="FFF5F5F5"/>
      </patternFill>
    </fill>
    <fill>
      <patternFill patternType="solid">
        <fgColor rgb="FFEDF2FB"/>
        <bgColor rgb="FFF0F3F8"/>
      </patternFill>
    </fill>
    <fill>
      <patternFill patternType="solid">
        <fgColor rgb="FFF5F5F5"/>
        <bgColor rgb="FFF2F4F8"/>
      </patternFill>
    </fill>
    <fill>
      <patternFill patternType="solid">
        <fgColor rgb="FF2E4057"/>
        <bgColor rgb="FF1F3864"/>
      </patternFill>
    </fill>
    <fill>
      <patternFill patternType="solid">
        <fgColor rgb="FFEBF5FB"/>
        <bgColor rgb="FFEDF2FB"/>
      </patternFill>
    </fill>
    <fill>
      <patternFill patternType="solid">
        <fgColor rgb="FFF2F3F4"/>
        <bgColor rgb="FFF2F2F2"/>
      </patternFill>
    </fill>
    <fill>
      <patternFill patternType="solid">
        <fgColor rgb="FF1A1A2E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1F3864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BF0"/>
      </patternFill>
    </fill>
    <fill>
      <patternFill patternType="solid">
        <fgColor rgb="FFECF5EC"/>
      </patternFill>
    </fill>
    <fill>
      <patternFill patternType="solid">
        <fgColor rgb="FFF7F9FC"/>
      </patternFill>
    </fill>
  </fills>
  <borders count="2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2E4D8F"/>
      </top>
      <bottom style="thin">
        <color auto="1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auto="1"/>
      </right>
      <top style="thin">
        <color auto="1"/>
      </top>
      <bottom/>
      <diagonal/>
    </border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9">
    <xf numFmtId="0" fontId="36" fillId="0" borderId="23"/>
    <xf numFmtId="172" fontId="36" fillId="0" borderId="23"/>
    <xf numFmtId="0" fontId="36" fillId="0" borderId="23"/>
    <xf numFmtId="0" fontId="36" fillId="0" borderId="23" applyAlignment="1">
      <alignment horizontal="left"/>
    </xf>
    <xf numFmtId="0" fontId="36" fillId="0" borderId="23"/>
    <xf numFmtId="0" fontId="36" fillId="0" borderId="23"/>
    <xf numFmtId="0" fontId="1" fillId="0" borderId="23"/>
    <xf numFmtId="0" fontId="1" fillId="0" borderId="23" applyAlignment="1">
      <alignment horizontal="left"/>
    </xf>
    <xf numFmtId="0" fontId="36" fillId="0" borderId="23"/>
  </cellStyleXfs>
  <cellXfs count="32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9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3" fontId="3" fillId="3" borderId="0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/>
    </xf>
    <xf numFmtId="0" fontId="9" fillId="5" borderId="0" applyAlignment="1" pivotButton="0" quotePrefix="0" xfId="0">
      <alignment vertical="center"/>
    </xf>
    <xf numFmtId="0" fontId="9" fillId="5" borderId="0" applyAlignment="1" pivotButton="0" quotePrefix="0" xfId="0">
      <alignment horizontal="center" vertical="center"/>
    </xf>
    <xf numFmtId="164" fontId="6" fillId="5" borderId="0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165" fontId="10" fillId="6" borderId="2" applyAlignment="1" pivotButton="0" quotePrefix="0" xfId="0">
      <alignment horizontal="center" vertical="center"/>
    </xf>
    <xf numFmtId="164" fontId="10" fillId="6" borderId="2" applyAlignment="1" pivotButton="0" quotePrefix="0" xfId="0">
      <alignment horizontal="center" vertical="center"/>
    </xf>
    <xf numFmtId="3" fontId="3" fillId="5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3" fontId="3" fillId="5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/>
    </xf>
    <xf numFmtId="165" fontId="10" fillId="6" borderId="0" applyAlignment="1" pivotButton="0" quotePrefix="0" xfId="0">
      <alignment horizontal="center" vertical="center"/>
    </xf>
    <xf numFmtId="164" fontId="10" fillId="6" borderId="0" applyAlignment="1" pivotButton="0" quotePrefix="0" xfId="0">
      <alignment horizontal="center" vertical="center"/>
    </xf>
    <xf numFmtId="165" fontId="0" fillId="0" borderId="0" pivotButton="0" quotePrefix="0" xfId="0"/>
    <xf numFmtId="0" fontId="8" fillId="4" borderId="4" applyAlignment="1" pivotButton="0" quotePrefix="0" xfId="0">
      <alignment horizontal="center" vertical="center" wrapText="1"/>
    </xf>
    <xf numFmtId="9" fontId="8" fillId="4" borderId="4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left" vertical="center"/>
    </xf>
    <xf numFmtId="165" fontId="10" fillId="0" borderId="6" applyAlignment="1" pivotButton="0" quotePrefix="0" xfId="0">
      <alignment horizontal="center" vertical="center"/>
    </xf>
    <xf numFmtId="164" fontId="10" fillId="0" borderId="6" applyAlignment="1" pivotButton="0" quotePrefix="0" xfId="0">
      <alignment horizontal="center" vertical="center"/>
    </xf>
    <xf numFmtId="3" fontId="8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2" fontId="0" fillId="0" borderId="0" pivotButton="0" quotePrefix="0" xfId="0"/>
    <xf numFmtId="1" fontId="1" fillId="0" borderId="0" applyAlignment="1" pivotButton="0" quotePrefix="0" xfId="0">
      <alignment horizontal="left"/>
    </xf>
    <xf numFmtId="0" fontId="1" fillId="0" borderId="0" pivotButton="0" quotePrefix="0" xfId="0"/>
    <xf numFmtId="0" fontId="15" fillId="3" borderId="7" applyAlignment="1" pivotButton="0" quotePrefix="0" xfId="0">
      <alignment vertical="center"/>
    </xf>
    <xf numFmtId="0" fontId="15" fillId="3" borderId="8" applyAlignment="1" pivotButton="0" quotePrefix="0" xfId="0">
      <alignment vertical="center"/>
    </xf>
    <xf numFmtId="2" fontId="15" fillId="3" borderId="8" applyAlignment="1" pivotButton="0" quotePrefix="0" xfId="0">
      <alignment vertical="center"/>
    </xf>
    <xf numFmtId="1" fontId="15" fillId="3" borderId="8" applyAlignment="1" pivotButton="0" quotePrefix="0" xfId="0">
      <alignment horizontal="right" vertical="center"/>
    </xf>
    <xf numFmtId="166" fontId="15" fillId="3" borderId="9" applyAlignment="1" pivotButton="0" quotePrefix="0" xfId="0">
      <alignment horizontal="left" vertical="center"/>
    </xf>
    <xf numFmtId="0" fontId="10" fillId="0" borderId="0" pivotButton="0" quotePrefix="0" xfId="0"/>
    <xf numFmtId="0" fontId="8" fillId="4" borderId="3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left" vertical="center" wrapText="1"/>
    </xf>
    <xf numFmtId="2" fontId="8" fillId="4" borderId="3" applyAlignment="1" pivotButton="0" quotePrefix="0" xfId="0">
      <alignment horizontal="center" vertical="center" wrapText="1"/>
    </xf>
    <xf numFmtId="1" fontId="8" fillId="4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left" vertical="center" wrapText="1"/>
    </xf>
    <xf numFmtId="1" fontId="16" fillId="0" borderId="3" applyAlignment="1" pivotButton="0" quotePrefix="0" xfId="0">
      <alignment horizontal="center" vertical="center" wrapText="1"/>
    </xf>
    <xf numFmtId="1" fontId="17" fillId="0" borderId="3" applyAlignment="1" pivotButton="0" quotePrefix="0" xfId="0">
      <alignment horizontal="center" vertical="center" wrapText="1"/>
    </xf>
    <xf numFmtId="3" fontId="17" fillId="0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/>
    </xf>
    <xf numFmtId="1" fontId="17" fillId="7" borderId="3" applyAlignment="1" pivotButton="0" quotePrefix="0" xfId="0">
      <alignment horizontal="center" vertical="center"/>
    </xf>
    <xf numFmtId="0" fontId="18" fillId="3" borderId="10" applyAlignment="1" pivotButton="0" quotePrefix="0" xfId="0">
      <alignment vertical="center"/>
    </xf>
    <xf numFmtId="0" fontId="18" fillId="3" borderId="11" applyAlignment="1" pivotButton="0" quotePrefix="0" xfId="0">
      <alignment vertical="center"/>
    </xf>
    <xf numFmtId="2" fontId="18" fillId="3" borderId="11" applyAlignment="1" pivotButton="0" quotePrefix="0" xfId="0">
      <alignment vertical="center"/>
    </xf>
    <xf numFmtId="1" fontId="18" fillId="3" borderId="11" applyAlignment="1" pivotButton="0" quotePrefix="0" xfId="0">
      <alignment vertical="center"/>
    </xf>
    <xf numFmtId="3" fontId="16" fillId="7" borderId="3" applyAlignment="1" pivotButton="0" quotePrefix="0" xfId="0">
      <alignment horizontal="center" vertical="center"/>
    </xf>
    <xf numFmtId="0" fontId="16" fillId="7" borderId="3" applyAlignment="1" pivotButton="0" quotePrefix="0" xfId="0">
      <alignment horizontal="left" vertical="center" wrapText="1"/>
    </xf>
    <xf numFmtId="0" fontId="16" fillId="7" borderId="3" applyAlignment="1" pivotButton="0" quotePrefix="0" xfId="0">
      <alignment horizontal="center" vertical="center" wrapText="1"/>
    </xf>
    <xf numFmtId="0" fontId="13" fillId="7" borderId="3" applyAlignment="1" pivotButton="0" quotePrefix="0" xfId="0">
      <alignment horizontal="center" vertical="center"/>
    </xf>
    <xf numFmtId="3" fontId="17" fillId="7" borderId="3" applyAlignment="1" pivotButton="0" quotePrefix="0" xfId="0">
      <alignment horizontal="center" vertical="center"/>
    </xf>
    <xf numFmtId="1" fontId="16" fillId="7" borderId="3" applyAlignment="1" pivotButton="0" quotePrefix="0" xfId="0">
      <alignment horizontal="center" vertical="center"/>
    </xf>
    <xf numFmtId="2" fontId="16" fillId="7" borderId="3" applyAlignment="1" pivotButton="0" quotePrefix="0" xfId="0">
      <alignment horizontal="center" vertical="center"/>
    </xf>
    <xf numFmtId="0" fontId="16" fillId="8" borderId="12" applyAlignment="1" pivotButton="0" quotePrefix="0" xfId="0">
      <alignment horizontal="center" vertical="center"/>
    </xf>
    <xf numFmtId="3" fontId="16" fillId="8" borderId="12" applyAlignment="1" pivotButton="0" quotePrefix="0" xfId="0">
      <alignment horizontal="center" vertical="center"/>
    </xf>
    <xf numFmtId="3" fontId="17" fillId="8" borderId="12" applyAlignment="1" pivotButton="0" quotePrefix="0" xfId="0">
      <alignment horizontal="center" vertical="center"/>
    </xf>
    <xf numFmtId="0" fontId="16" fillId="8" borderId="12" applyAlignment="1" pivotButton="0" quotePrefix="0" xfId="0">
      <alignment horizontal="left" vertical="center" wrapText="1"/>
    </xf>
    <xf numFmtId="0" fontId="16" fillId="8" borderId="12" applyAlignment="1" pivotButton="0" quotePrefix="0" xfId="0">
      <alignment horizontal="center" vertical="center" wrapText="1"/>
    </xf>
    <xf numFmtId="0" fontId="13" fillId="8" borderId="12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3" fontId="16" fillId="8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left" vertical="center" wrapText="1"/>
    </xf>
    <xf numFmtId="0" fontId="16" fillId="8" borderId="3" applyAlignment="1" pivotButton="0" quotePrefix="0" xfId="0">
      <alignment horizontal="center" vertical="center" wrapText="1"/>
    </xf>
    <xf numFmtId="0" fontId="13" fillId="8" borderId="3" applyAlignment="1" pivotButton="0" quotePrefix="0" xfId="0">
      <alignment horizontal="center" vertical="center"/>
    </xf>
    <xf numFmtId="0" fontId="16" fillId="7" borderId="12" applyAlignment="1" pivotButton="0" quotePrefix="0" xfId="0">
      <alignment horizontal="center" vertical="center"/>
    </xf>
    <xf numFmtId="3" fontId="16" fillId="7" borderId="12" applyAlignment="1" pivotButton="0" quotePrefix="0" xfId="0">
      <alignment horizontal="center" vertical="center"/>
    </xf>
    <xf numFmtId="0" fontId="16" fillId="7" borderId="12" applyAlignment="1" pivotButton="0" quotePrefix="0" xfId="0">
      <alignment horizontal="left" vertical="center" wrapText="1"/>
    </xf>
    <xf numFmtId="0" fontId="16" fillId="7" borderId="12" applyAlignment="1" pivotButton="0" quotePrefix="0" xfId="0">
      <alignment horizontal="center" vertical="center" wrapText="1"/>
    </xf>
    <xf numFmtId="0" fontId="13" fillId="7" borderId="12" applyAlignment="1" pivotButton="0" quotePrefix="0" xfId="0">
      <alignment horizontal="center" vertical="center"/>
    </xf>
    <xf numFmtId="3" fontId="17" fillId="8" borderId="3" applyAlignment="1" pivotButton="0" quotePrefix="0" xfId="0">
      <alignment horizontal="center" vertical="center"/>
    </xf>
    <xf numFmtId="2" fontId="16" fillId="8" borderId="3" applyAlignment="1" pivotButton="0" quotePrefix="0" xfId="0">
      <alignment horizontal="center" vertical="center"/>
    </xf>
    <xf numFmtId="3" fontId="17" fillId="7" borderId="12" applyAlignment="1" pivotButton="0" quotePrefix="0" xfId="0">
      <alignment horizontal="center" vertical="center"/>
    </xf>
    <xf numFmtId="0" fontId="16" fillId="9" borderId="12" applyAlignment="1" pivotButton="0" quotePrefix="0" xfId="0">
      <alignment horizontal="center" vertical="center"/>
    </xf>
    <xf numFmtId="3" fontId="16" fillId="9" borderId="12" applyAlignment="1" pivotButton="0" quotePrefix="0" xfId="0">
      <alignment horizontal="center" vertical="center"/>
    </xf>
    <xf numFmtId="0" fontId="16" fillId="9" borderId="12" applyAlignment="1" pivotButton="0" quotePrefix="0" xfId="0">
      <alignment horizontal="left" vertical="center" wrapText="1"/>
    </xf>
    <xf numFmtId="0" fontId="16" fillId="9" borderId="12" applyAlignment="1" pivotButton="0" quotePrefix="0" xfId="0">
      <alignment horizontal="center" vertical="center" wrapText="1"/>
    </xf>
    <xf numFmtId="0" fontId="13" fillId="9" borderId="12" applyAlignment="1" pivotButton="0" quotePrefix="0" xfId="0">
      <alignment horizontal="center" vertical="center"/>
    </xf>
    <xf numFmtId="1" fontId="15" fillId="3" borderId="8" applyAlignment="1" pivotButton="0" quotePrefix="0" xfId="0">
      <alignment vertical="center"/>
    </xf>
    <xf numFmtId="0" fontId="15" fillId="3" borderId="9" applyAlignment="1" pivotButton="0" quotePrefix="0" xfId="0">
      <alignment vertical="center"/>
    </xf>
    <xf numFmtId="0" fontId="0" fillId="0" borderId="8" pivotButton="0" quotePrefix="0" xfId="0"/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center"/>
    </xf>
    <xf numFmtId="1" fontId="16" fillId="0" borderId="3" applyAlignment="1" pivotButton="0" quotePrefix="0" xfId="0">
      <alignment horizontal="center" vertical="center"/>
    </xf>
    <xf numFmtId="1" fontId="17" fillId="0" borderId="3" applyAlignment="1" pivotButton="0" quotePrefix="0" xfId="0">
      <alignment horizontal="center" vertical="center"/>
    </xf>
    <xf numFmtId="3" fontId="17" fillId="0" borderId="3" applyAlignment="1" pivotButton="0" quotePrefix="0" xfId="0">
      <alignment horizontal="center" vertical="center"/>
    </xf>
    <xf numFmtId="1" fontId="13" fillId="7" borderId="3" applyAlignment="1" pivotButton="0" quotePrefix="0" xfId="0">
      <alignment horizontal="center" vertical="center"/>
    </xf>
    <xf numFmtId="0" fontId="15" fillId="3" borderId="3" applyAlignment="1" pivotButton="0" quotePrefix="0" xfId="0">
      <alignment horizontal="left" vertical="center"/>
    </xf>
    <xf numFmtId="0" fontId="15" fillId="3" borderId="3" applyAlignment="1" pivotButton="0" quotePrefix="0" xfId="0">
      <alignment horizontal="center" vertical="center"/>
    </xf>
    <xf numFmtId="1" fontId="15" fillId="3" borderId="3" applyAlignment="1" pivotButton="0" quotePrefix="0" xfId="0">
      <alignment horizontal="center" vertical="center"/>
    </xf>
    <xf numFmtId="1" fontId="15" fillId="3" borderId="0" applyAlignment="1" pivotButton="0" quotePrefix="0" xfId="0">
      <alignment horizontal="center" vertical="center"/>
    </xf>
    <xf numFmtId="3" fontId="15" fillId="3" borderId="3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/>
    </xf>
    <xf numFmtId="1" fontId="8" fillId="4" borderId="3" applyAlignment="1" pivotButton="0" quotePrefix="0" xfId="0">
      <alignment horizontal="center" vertical="center"/>
    </xf>
    <xf numFmtId="3" fontId="8" fillId="4" borderId="3" applyAlignment="1" pivotButton="0" quotePrefix="0" xfId="0">
      <alignment horizontal="center" vertical="center"/>
    </xf>
    <xf numFmtId="0" fontId="16" fillId="7" borderId="3" applyAlignment="1" pivotButton="0" quotePrefix="0" xfId="0">
      <alignment horizontal="left" vertical="center"/>
    </xf>
    <xf numFmtId="1" fontId="16" fillId="7" borderId="3" applyAlignment="1" pivotButton="0" quotePrefix="0" xfId="0">
      <alignment horizontal="left" vertical="center"/>
    </xf>
    <xf numFmtId="3" fontId="16" fillId="7" borderId="3" applyAlignment="1" pivotButton="0" quotePrefix="0" xfId="0">
      <alignment horizontal="left" vertical="center"/>
    </xf>
    <xf numFmtId="3" fontId="17" fillId="7" borderId="3" applyAlignment="1" pivotButton="0" quotePrefix="0" xfId="0">
      <alignment horizontal="left" vertical="center"/>
    </xf>
    <xf numFmtId="0" fontId="17" fillId="7" borderId="3" applyAlignment="1" pivotButton="0" quotePrefix="0" xfId="0">
      <alignment horizontal="left" vertical="center"/>
    </xf>
    <xf numFmtId="2" fontId="17" fillId="7" borderId="3" applyAlignment="1" pivotButton="0" quotePrefix="0" xfId="0">
      <alignment horizontal="center" vertical="center"/>
    </xf>
    <xf numFmtId="0" fontId="20" fillId="0" borderId="0" pivotButton="0" quotePrefix="0" xfId="0"/>
    <xf numFmtId="0" fontId="21" fillId="10" borderId="13" applyAlignment="1" pivotButton="0" quotePrefix="0" xfId="0">
      <alignment horizontal="center" vertical="center" wrapText="1"/>
    </xf>
    <xf numFmtId="2" fontId="21" fillId="10" borderId="13" applyAlignment="1" pivotButton="0" quotePrefix="0" xfId="0">
      <alignment horizontal="center" vertical="center" wrapText="1"/>
    </xf>
    <xf numFmtId="1" fontId="21" fillId="10" borderId="13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/>
    </xf>
    <xf numFmtId="0" fontId="20" fillId="11" borderId="13" applyAlignment="1" pivotButton="0" quotePrefix="0" xfId="0">
      <alignment horizontal="left" vertical="center"/>
    </xf>
    <xf numFmtId="2" fontId="22" fillId="11" borderId="13" applyAlignment="1" pivotButton="0" quotePrefix="0" xfId="0">
      <alignment horizontal="center" vertical="center"/>
    </xf>
    <xf numFmtId="165" fontId="20" fillId="11" borderId="13" applyAlignment="1" pivotButton="0" quotePrefix="0" xfId="0">
      <alignment horizontal="center" vertical="center"/>
    </xf>
    <xf numFmtId="1" fontId="22" fillId="11" borderId="13" applyAlignment="1" pivotButton="0" quotePrefix="0" xfId="0">
      <alignment horizontal="center" vertical="center"/>
    </xf>
    <xf numFmtId="2" fontId="20" fillId="11" borderId="13" applyAlignment="1" pivotButton="0" quotePrefix="0" xfId="0">
      <alignment horizontal="center" vertical="center"/>
    </xf>
    <xf numFmtId="2" fontId="23" fillId="11" borderId="13" applyAlignment="1" pivotButton="0" quotePrefix="0" xfId="0">
      <alignment horizontal="center" vertical="center"/>
    </xf>
    <xf numFmtId="0" fontId="24" fillId="12" borderId="13" applyAlignment="1" pivotButton="0" quotePrefix="0" xfId="0">
      <alignment horizontal="center" vertical="center"/>
    </xf>
    <xf numFmtId="0" fontId="24" fillId="12" borderId="13" applyAlignment="1" pivotButton="0" quotePrefix="0" xfId="0">
      <alignment horizontal="left" vertical="center"/>
    </xf>
    <xf numFmtId="2" fontId="24" fillId="12" borderId="13" applyAlignment="1" pivotButton="0" quotePrefix="0" xfId="0">
      <alignment horizontal="center" vertical="center"/>
    </xf>
    <xf numFmtId="165" fontId="24" fillId="12" borderId="13" applyAlignment="1" pivotButton="0" quotePrefix="0" xfId="0">
      <alignment horizontal="center" vertical="center"/>
    </xf>
    <xf numFmtId="1" fontId="24" fillId="12" borderId="13" applyAlignment="1" pivotButton="0" quotePrefix="0" xfId="0">
      <alignment horizontal="center" vertical="center"/>
    </xf>
    <xf numFmtId="167" fontId="14" fillId="0" borderId="0" pivotButton="0" quotePrefix="0" xfId="0"/>
    <xf numFmtId="9" fontId="12" fillId="0" borderId="0" pivotButton="0" quotePrefix="0" xfId="0"/>
    <xf numFmtId="0" fontId="0" fillId="0" borderId="3" applyAlignment="1" pivotButton="0" quotePrefix="0" xfId="0">
      <alignment horizontal="left" wrapText="1"/>
    </xf>
    <xf numFmtId="0" fontId="0" fillId="2" borderId="3" applyAlignment="1" pivotButton="0" quotePrefix="0" xfId="0">
      <alignment horizontal="left" wrapText="1"/>
    </xf>
    <xf numFmtId="0" fontId="26" fillId="4" borderId="3" applyAlignment="1" pivotButton="0" quotePrefix="0" xfId="0">
      <alignment horizontal="center" vertical="center" wrapText="1"/>
    </xf>
    <xf numFmtId="0" fontId="26" fillId="4" borderId="3" applyAlignment="1" pivotButton="0" quotePrefix="0" xfId="0">
      <alignment horizontal="left" vertical="center" wrapText="1"/>
    </xf>
    <xf numFmtId="0" fontId="26" fillId="4" borderId="7" applyAlignment="1" pivotButton="0" quotePrefix="0" xfId="0">
      <alignment horizontal="center" vertical="center" wrapText="1"/>
    </xf>
    <xf numFmtId="0" fontId="26" fillId="13" borderId="3" applyAlignment="1" pivotButton="0" quotePrefix="0" xfId="0">
      <alignment horizontal="left" wrapText="1"/>
    </xf>
    <xf numFmtId="0" fontId="27" fillId="2" borderId="0" pivotButton="0" quotePrefix="0" xfId="0"/>
    <xf numFmtId="0" fontId="27" fillId="0" borderId="0" pivotButton="0" quotePrefix="0" xfId="0"/>
    <xf numFmtId="0" fontId="2" fillId="14" borderId="3" applyAlignment="1" pivotButton="0" quotePrefix="0" xfId="0">
      <alignment horizontal="center" vertical="center"/>
    </xf>
    <xf numFmtId="0" fontId="2" fillId="14" borderId="3" applyAlignment="1" pivotButton="0" quotePrefix="0" xfId="0">
      <alignment horizontal="left" vertical="center"/>
    </xf>
    <xf numFmtId="0" fontId="10" fillId="14" borderId="3" applyAlignment="1" pivotButton="0" quotePrefix="0" xfId="0">
      <alignment horizontal="center" vertical="center"/>
    </xf>
    <xf numFmtId="167" fontId="10" fillId="14" borderId="3" applyAlignment="1" pivotButton="0" quotePrefix="0" xfId="0">
      <alignment horizontal="center" vertical="center"/>
    </xf>
    <xf numFmtId="168" fontId="2" fillId="14" borderId="3" applyAlignment="1" pivotButton="0" quotePrefix="0" xfId="0">
      <alignment horizontal="center" vertical="center"/>
    </xf>
    <xf numFmtId="0" fontId="28" fillId="0" borderId="0" pivotButton="0" quotePrefix="0" xfId="0"/>
    <xf numFmtId="168" fontId="29" fillId="14" borderId="3" applyAlignment="1" pivotButton="0" quotePrefix="0" xfId="0">
      <alignment horizontal="center" vertical="center"/>
    </xf>
    <xf numFmtId="1" fontId="0" fillId="0" borderId="0" pivotButton="0" quotePrefix="0" xfId="0"/>
    <xf numFmtId="1" fontId="1" fillId="0" borderId="0" pivotButton="0" quotePrefix="0" xfId="0"/>
    <xf numFmtId="0" fontId="15" fillId="3" borderId="11" applyAlignment="1" pivotButton="0" quotePrefix="0" xfId="0">
      <alignment horizontal="right"/>
    </xf>
    <xf numFmtId="166" fontId="15" fillId="3" borderId="11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30" fillId="0" borderId="0" pivotButton="0" quotePrefix="0" xfId="0"/>
    <xf numFmtId="0" fontId="15" fillId="3" borderId="0" applyAlignment="1" pivotButton="0" quotePrefix="0" xfId="0">
      <alignment horizontal="left"/>
    </xf>
    <xf numFmtId="0" fontId="15" fillId="3" borderId="0" applyAlignment="1" pivotButton="0" quotePrefix="0" xfId="0">
      <alignment horizontal="center"/>
    </xf>
    <xf numFmtId="0" fontId="16" fillId="7" borderId="14" applyAlignment="1" pivotButton="0" quotePrefix="0" xfId="0">
      <alignment horizontal="center" vertical="center"/>
    </xf>
    <xf numFmtId="0" fontId="16" fillId="14" borderId="14" applyAlignment="1" pivotButton="0" quotePrefix="0" xfId="0">
      <alignment horizontal="center" vertical="center"/>
    </xf>
    <xf numFmtId="0" fontId="15" fillId="3" borderId="3" applyAlignment="1" pivotButton="0" quotePrefix="0" xfId="0">
      <alignment vertical="center"/>
    </xf>
    <xf numFmtId="0" fontId="31" fillId="4" borderId="3" applyAlignment="1" pivotButton="0" quotePrefix="0" xfId="0">
      <alignment horizontal="center" vertical="center" wrapText="1"/>
    </xf>
    <xf numFmtId="0" fontId="32" fillId="14" borderId="3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0" fontId="0" fillId="0" borderId="3" pivotButton="0" quotePrefix="0" xfId="0"/>
    <xf numFmtId="0" fontId="15" fillId="3" borderId="0" pivotButton="0" quotePrefix="0" xfId="0"/>
    <xf numFmtId="169" fontId="26" fillId="4" borderId="15" applyAlignment="1" pivotButton="0" quotePrefix="0" xfId="0">
      <alignment horizontal="center" wrapText="1"/>
    </xf>
    <xf numFmtId="0" fontId="26" fillId="4" borderId="16" applyAlignment="1" pivotButton="0" quotePrefix="0" xfId="0">
      <alignment horizontal="center" wrapText="1"/>
    </xf>
    <xf numFmtId="0" fontId="26" fillId="4" borderId="16" applyAlignment="1" pivotButton="0" quotePrefix="0" xfId="0">
      <alignment horizontal="left" wrapText="1"/>
    </xf>
    <xf numFmtId="0" fontId="26" fillId="4" borderId="10" applyAlignment="1" pivotButton="0" quotePrefix="0" xfId="0">
      <alignment horizontal="center" wrapText="1"/>
    </xf>
    <xf numFmtId="3" fontId="26" fillId="4" borderId="16" applyAlignment="1" pivotButton="0" quotePrefix="0" xfId="0">
      <alignment horizontal="center" wrapText="1"/>
    </xf>
    <xf numFmtId="164" fontId="26" fillId="4" borderId="16" applyAlignment="1" pivotButton="0" quotePrefix="0" xfId="0">
      <alignment horizontal="center" wrapText="1"/>
    </xf>
    <xf numFmtId="16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8" fillId="4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9" fontId="36" fillId="0" borderId="18" pivotButton="0" quotePrefix="0" xfId="0"/>
    <xf numFmtId="0" fontId="36" fillId="0" borderId="18" pivotButton="0" quotePrefix="0" xfId="0"/>
    <xf numFmtId="3" fontId="36" fillId="0" borderId="18" pivotButton="0" quotePrefix="0" xfId="0"/>
    <xf numFmtId="164" fontId="36" fillId="0" borderId="18" pivotButton="0" quotePrefix="0" xfId="0"/>
    <xf numFmtId="0" fontId="34" fillId="16" borderId="20" applyAlignment="1" pivotButton="0" quotePrefix="0" xfId="0">
      <alignment horizontal="center" vertical="center"/>
    </xf>
    <xf numFmtId="0" fontId="34" fillId="16" borderId="20" applyAlignment="1" pivotButton="0" quotePrefix="0" xfId="0">
      <alignment horizontal="left" vertical="center"/>
    </xf>
    <xf numFmtId="3" fontId="35" fillId="16" borderId="20" applyAlignment="1" pivotButton="0" quotePrefix="0" xfId="0">
      <alignment horizontal="center" vertical="center"/>
    </xf>
    <xf numFmtId="0" fontId="34" fillId="16" borderId="20" applyAlignment="1" pivotButton="0" quotePrefix="0" xfId="0">
      <alignment horizontal="left" vertical="center" wrapText="1"/>
    </xf>
    <xf numFmtId="0" fontId="34" fillId="17" borderId="20" applyAlignment="1" pivotButton="0" quotePrefix="0" xfId="0">
      <alignment horizontal="center" vertical="center"/>
    </xf>
    <xf numFmtId="0" fontId="34" fillId="17" borderId="20" applyAlignment="1" pivotButton="0" quotePrefix="0" xfId="0">
      <alignment horizontal="left" vertical="center"/>
    </xf>
    <xf numFmtId="3" fontId="35" fillId="17" borderId="20" applyAlignment="1" pivotButton="0" quotePrefix="0" xfId="0">
      <alignment horizontal="center" vertical="center"/>
    </xf>
    <xf numFmtId="0" fontId="34" fillId="17" borderId="20" applyAlignment="1" pivotButton="0" quotePrefix="0" xfId="0">
      <alignment horizontal="left" vertical="center" wrapText="1"/>
    </xf>
    <xf numFmtId="0" fontId="34" fillId="0" borderId="19" applyAlignment="1" pivotButton="0" quotePrefix="0" xfId="0">
      <alignment horizontal="center" vertical="center"/>
    </xf>
    <xf numFmtId="0" fontId="34" fillId="0" borderId="19" applyAlignment="1" pivotButton="0" quotePrefix="0" xfId="0">
      <alignment horizontal="left" vertical="center"/>
    </xf>
    <xf numFmtId="3" fontId="34" fillId="0" borderId="19" applyAlignment="1" pivotButton="0" quotePrefix="0" xfId="0">
      <alignment horizontal="center" vertical="center"/>
    </xf>
    <xf numFmtId="0" fontId="34" fillId="0" borderId="19" applyAlignment="1" pivotButton="0" quotePrefix="0" xfId="0">
      <alignment horizontal="left" vertical="center" wrapText="1"/>
    </xf>
    <xf numFmtId="0" fontId="34" fillId="0" borderId="19" pivotButton="0" quotePrefix="0" xfId="0"/>
    <xf numFmtId="0" fontId="37" fillId="0" borderId="22" applyAlignment="1" pivotButton="0" quotePrefix="0" xfId="0">
      <alignment horizontal="center" vertical="center"/>
    </xf>
    <xf numFmtId="0" fontId="37" fillId="0" borderId="22" applyAlignment="1" pivotButton="0" quotePrefix="0" xfId="0">
      <alignment horizontal="left" vertical="center"/>
    </xf>
    <xf numFmtId="3" fontId="37" fillId="0" borderId="22" applyAlignment="1" pivotButton="0" quotePrefix="0" xfId="0">
      <alignment horizontal="left" vertical="center"/>
    </xf>
    <xf numFmtId="170" fontId="37" fillId="0" borderId="22" applyAlignment="1" pivotButton="0" quotePrefix="0" xfId="0">
      <alignment horizontal="center" vertical="center"/>
    </xf>
    <xf numFmtId="3" fontId="37" fillId="0" borderId="22" applyAlignment="1" pivotButton="0" quotePrefix="0" xfId="0">
      <alignment horizontal="center" vertical="center"/>
    </xf>
    <xf numFmtId="3" fontId="38" fillId="0" borderId="22" applyAlignment="1" pivotButton="0" quotePrefix="0" xfId="0">
      <alignment horizontal="center" vertical="center"/>
    </xf>
    <xf numFmtId="9" fontId="37" fillId="0" borderId="22" applyAlignment="1" pivotButton="0" quotePrefix="0" xfId="0">
      <alignment horizontal="center" vertical="center"/>
    </xf>
    <xf numFmtId="0" fontId="8" fillId="3" borderId="21" applyAlignment="1" pivotButton="0" quotePrefix="0" xfId="0">
      <alignment horizontal="left" vertical="center"/>
    </xf>
    <xf numFmtId="165" fontId="8" fillId="3" borderId="21" applyAlignment="1" pivotButton="0" quotePrefix="0" xfId="0">
      <alignment horizontal="center" vertical="center"/>
    </xf>
    <xf numFmtId="0" fontId="8" fillId="3" borderId="21" applyAlignment="1" pivotButton="0" quotePrefix="0" xfId="0">
      <alignment horizontal="right" vertical="center"/>
    </xf>
    <xf numFmtId="3" fontId="8" fillId="3" borderId="21" applyAlignment="1" pivotButton="0" quotePrefix="0" xfId="0">
      <alignment horizontal="center" vertical="center"/>
    </xf>
    <xf numFmtId="0" fontId="37" fillId="0" borderId="22" pivotButton="0" quotePrefix="0" xfId="0"/>
    <xf numFmtId="0" fontId="34" fillId="16" borderId="20" applyAlignment="1" pivotButton="0" quotePrefix="0" xfId="0">
      <alignment horizontal="center" vertical="center" wrapText="1"/>
    </xf>
    <xf numFmtId="0" fontId="34" fillId="17" borderId="20" applyAlignment="1" pivotButton="0" quotePrefix="0" xfId="0">
      <alignment horizontal="center" vertical="center" wrapText="1"/>
    </xf>
    <xf numFmtId="0" fontId="34" fillId="0" borderId="19" applyAlignment="1" pivotButton="0" quotePrefix="0" xfId="0">
      <alignment horizontal="center" vertical="center" wrapText="1"/>
    </xf>
    <xf numFmtId="0" fontId="34" fillId="0" borderId="19" applyAlignment="1" pivotButton="0" quotePrefix="0" xfId="0">
      <alignment horizontal="center"/>
    </xf>
    <xf numFmtId="0" fontId="46" fillId="21" borderId="24" applyAlignment="1" pivotButton="0" quotePrefix="0" xfId="0">
      <alignment horizontal="center" vertical="center"/>
    </xf>
    <xf numFmtId="0" fontId="34" fillId="21" borderId="24" applyAlignment="1" pivotButton="0" quotePrefix="0" xfId="0">
      <alignment horizontal="center" vertical="center"/>
    </xf>
    <xf numFmtId="0" fontId="34" fillId="21" borderId="24" applyAlignment="1" pivotButton="0" quotePrefix="0" xfId="0">
      <alignment horizontal="left" vertical="top" wrapText="1"/>
    </xf>
    <xf numFmtId="0" fontId="16" fillId="0" borderId="23" pivotButton="0" quotePrefix="0" xfId="0"/>
    <xf numFmtId="0" fontId="39" fillId="20" borderId="24" applyAlignment="1" pivotButton="0" quotePrefix="0" xfId="0">
      <alignment horizontal="center" vertical="center"/>
    </xf>
    <xf numFmtId="0" fontId="39" fillId="20" borderId="24" applyAlignment="1" pivotButton="0" quotePrefix="0" xfId="0">
      <alignment horizontal="left" vertical="top" wrapText="1"/>
    </xf>
    <xf numFmtId="0" fontId="44" fillId="21" borderId="24" applyAlignment="1" pivotButton="0" quotePrefix="0" xfId="0">
      <alignment horizontal="left" vertical="top" wrapText="1"/>
    </xf>
    <xf numFmtId="0" fontId="47" fillId="21" borderId="24" applyAlignment="1" pivotButton="0" quotePrefix="0" xfId="0">
      <alignment horizontal="left" vertical="top" wrapText="1"/>
    </xf>
    <xf numFmtId="0" fontId="34" fillId="22" borderId="24" applyAlignment="1" pivotButton="0" quotePrefix="0" xfId="0">
      <alignment horizontal="center" vertical="center"/>
    </xf>
    <xf numFmtId="0" fontId="34" fillId="22" borderId="24" applyAlignment="1" pivotButton="0" quotePrefix="0" xfId="0">
      <alignment horizontal="left" vertical="top" wrapText="1"/>
    </xf>
    <xf numFmtId="0" fontId="44" fillId="22" borderId="24" applyAlignment="1" pivotButton="0" quotePrefix="0" xfId="0">
      <alignment horizontal="left" vertical="top" wrapText="1"/>
    </xf>
    <xf numFmtId="0" fontId="47" fillId="22" borderId="24" applyAlignment="1" pivotButton="0" quotePrefix="0" xfId="0">
      <alignment horizontal="left" vertical="top" wrapText="1"/>
    </xf>
    <xf numFmtId="0" fontId="16" fillId="0" borderId="23" applyAlignment="1" pivotButton="0" quotePrefix="0" xfId="0">
      <alignment horizontal="left" vertical="center" wrapText="1"/>
    </xf>
    <xf numFmtId="0" fontId="16" fillId="0" borderId="23" applyAlignment="1" pivotButton="0" quotePrefix="0" xfId="0">
      <alignment horizontal="center" vertical="center" wrapText="1"/>
    </xf>
    <xf numFmtId="0" fontId="16" fillId="0" borderId="23" applyAlignment="1" pivotButton="0" quotePrefix="0" xfId="0">
      <alignment horizontal="left" vertical="center" indent="1"/>
    </xf>
    <xf numFmtId="0" fontId="45" fillId="22" borderId="24" applyAlignment="1" pivotButton="0" quotePrefix="0" xfId="0">
      <alignment horizontal="left" vertical="top" wrapText="1"/>
    </xf>
    <xf numFmtId="0" fontId="45" fillId="21" borderId="24" applyAlignment="1" pivotButton="0" quotePrefix="0" xfId="0">
      <alignment horizontal="left" vertical="top" wrapText="1"/>
    </xf>
    <xf numFmtId="0" fontId="16" fillId="0" borderId="23" applyAlignment="1" pivotButton="0" quotePrefix="0" xfId="0">
      <alignment horizontal="center"/>
    </xf>
    <xf numFmtId="0" fontId="16" fillId="0" borderId="23" applyAlignment="1" pivotButton="0" quotePrefix="0" xfId="0">
      <alignment horizontal="left"/>
    </xf>
    <xf numFmtId="2" fontId="34" fillId="21" borderId="24" applyAlignment="1" pivotButton="0" quotePrefix="0" xfId="0">
      <alignment horizontal="left" vertical="top" wrapText="1"/>
    </xf>
    <xf numFmtId="2" fontId="34" fillId="22" borderId="24" applyAlignment="1" pivotButton="0" quotePrefix="0" xfId="0">
      <alignment horizontal="left" vertical="top" wrapText="1"/>
    </xf>
    <xf numFmtId="2" fontId="16" fillId="0" borderId="23" applyAlignment="1" pivotButton="0" quotePrefix="0" xfId="0">
      <alignment horizontal="left" vertical="center" wrapText="1"/>
    </xf>
    <xf numFmtId="0" fontId="16" fillId="0" borderId="23" applyAlignment="1" pivotButton="0" quotePrefix="0" xfId="0">
      <alignment horizontal="left" vertical="center"/>
    </xf>
    <xf numFmtId="0" fontId="16" fillId="0" borderId="23" applyAlignment="1" pivotButton="0" quotePrefix="0" xfId="0">
      <alignment horizontal="center" vertical="center"/>
    </xf>
    <xf numFmtId="165" fontId="16" fillId="0" borderId="23" applyAlignment="1" pivotButton="0" quotePrefix="0" xfId="0">
      <alignment horizontal="center" vertical="center"/>
    </xf>
    <xf numFmtId="2" fontId="16" fillId="0" borderId="23" applyAlignment="1" pivotButton="0" quotePrefix="0" xfId="0">
      <alignment horizontal="center" vertical="center"/>
    </xf>
    <xf numFmtId="0" fontId="34" fillId="0" borderId="23" applyAlignment="1" pivotButton="0" quotePrefix="0" xfId="0">
      <alignment horizontal="left" vertical="center"/>
    </xf>
    <xf numFmtId="0" fontId="34" fillId="0" borderId="23" pivotButton="0" quotePrefix="0" xfId="0"/>
    <xf numFmtId="0" fontId="35" fillId="21" borderId="24" applyAlignment="1" pivotButton="0" quotePrefix="0" xfId="0">
      <alignment horizontal="center" vertical="center"/>
    </xf>
    <xf numFmtId="0" fontId="35" fillId="22" borderId="24" applyAlignment="1" pivotButton="0" quotePrefix="0" xfId="0">
      <alignment horizontal="center" vertical="center"/>
    </xf>
    <xf numFmtId="0" fontId="34" fillId="0" borderId="23" applyAlignment="1" pivotButton="0" quotePrefix="0" xfId="0">
      <alignment horizontal="center" vertical="center" wrapText="1"/>
    </xf>
    <xf numFmtId="0" fontId="34" fillId="0" borderId="23" applyAlignment="1" pivotButton="0" quotePrefix="0" xfId="0">
      <alignment vertical="top" wrapText="1"/>
    </xf>
    <xf numFmtId="0" fontId="34" fillId="0" borderId="23" applyAlignment="1" pivotButton="0" quotePrefix="0" xfId="0">
      <alignment horizontal="left" vertical="center" wrapText="1"/>
    </xf>
    <xf numFmtId="0" fontId="35" fillId="23" borderId="24" applyAlignment="1" pivotButton="0" quotePrefix="0" xfId="0">
      <alignment horizontal="center" vertical="center"/>
    </xf>
    <xf numFmtId="0" fontId="34" fillId="23" borderId="24" applyAlignment="1" pivotButton="0" quotePrefix="0" xfId="0">
      <alignment horizontal="left" vertical="top" wrapText="1"/>
    </xf>
    <xf numFmtId="0" fontId="44" fillId="23" borderId="24" applyAlignment="1" pivotButton="0" quotePrefix="0" xfId="0">
      <alignment horizontal="left" vertical="top" wrapText="1"/>
    </xf>
    <xf numFmtId="0" fontId="34" fillId="24" borderId="24" applyAlignment="1" pivotButton="0" quotePrefix="0" xfId="0">
      <alignment horizontal="center" vertical="center"/>
    </xf>
    <xf numFmtId="0" fontId="34" fillId="24" borderId="24" applyAlignment="1" pivotButton="0" quotePrefix="0" xfId="0">
      <alignment horizontal="left" vertical="top" wrapText="1"/>
    </xf>
    <xf numFmtId="0" fontId="33" fillId="15" borderId="22" applyAlignment="1" pivotButton="0" quotePrefix="0" xfId="0">
      <alignment horizontal="left" vertical="center" indent="1"/>
    </xf>
    <xf numFmtId="0" fontId="0" fillId="0" borderId="0" pivotButton="0" quotePrefix="0" xfId="0"/>
    <xf numFmtId="0" fontId="15" fillId="3" borderId="22" applyAlignment="1" pivotButton="0" quotePrefix="0" xfId="0">
      <alignment horizontal="left" vertical="center" indent="1"/>
    </xf>
    <xf numFmtId="0" fontId="4" fillId="3" borderId="22" pivotButton="0" quotePrefix="0" xfId="0"/>
    <xf numFmtId="0" fontId="0" fillId="0" borderId="0" applyAlignment="1" pivotButton="0" quotePrefix="0" xfId="0">
      <alignment horizontal="center"/>
    </xf>
    <xf numFmtId="9" fontId="0" fillId="0" borderId="0" pivotButton="0" quotePrefix="0" xfId="0"/>
    <xf numFmtId="3" fontId="3" fillId="3" borderId="22" applyAlignment="1" pivotButton="0" quotePrefix="0" xfId="0">
      <alignment horizontal="center" vertical="center"/>
    </xf>
    <xf numFmtId="0" fontId="9" fillId="5" borderId="22" applyAlignment="1" pivotButton="0" quotePrefix="0" xfId="0">
      <alignment vertical="center"/>
    </xf>
    <xf numFmtId="169" fontId="5" fillId="3" borderId="22" applyAlignment="1" pivotButton="0" quotePrefix="0" xfId="0">
      <alignment horizontal="center"/>
    </xf>
    <xf numFmtId="0" fontId="4" fillId="3" borderId="22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3" borderId="22" applyAlignment="1" pivotButton="0" quotePrefix="0" xfId="0">
      <alignment horizontal="center" vertical="center"/>
    </xf>
    <xf numFmtId="3" fontId="3" fillId="5" borderId="22" applyAlignment="1" pivotButton="0" quotePrefix="0" xfId="0">
      <alignment horizontal="center" vertical="center"/>
    </xf>
    <xf numFmtId="0" fontId="19" fillId="3" borderId="2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2" fontId="0" fillId="0" borderId="0" pivotButton="0" quotePrefix="0" xfId="0"/>
    <xf numFmtId="1" fontId="1" fillId="0" borderId="0" applyAlignment="1" pivotButton="0" quotePrefix="0" xfId="0">
      <alignment horizontal="left"/>
    </xf>
    <xf numFmtId="0" fontId="1" fillId="0" borderId="0" pivotButton="0" quotePrefix="0" xfId="0"/>
    <xf numFmtId="0" fontId="25" fillId="3" borderId="22" applyAlignment="1" pivotButton="0" quotePrefix="0" xfId="0">
      <alignment horizontal="center"/>
    </xf>
    <xf numFmtId="167" fontId="14" fillId="0" borderId="0" pivotButton="0" quotePrefix="0" xfId="0"/>
    <xf numFmtId="9" fontId="12" fillId="0" borderId="0" pivotButton="0" quotePrefix="0" xfId="0"/>
    <xf numFmtId="0" fontId="15" fillId="3" borderId="11" applyAlignment="1" pivotButton="0" quotePrefix="0" xfId="0">
      <alignment horizontal="center"/>
    </xf>
    <xf numFmtId="0" fontId="0" fillId="0" borderId="11" pivotButton="0" quotePrefix="0" xfId="0"/>
    <xf numFmtId="0" fontId="42" fillId="19" borderId="23" applyAlignment="1" pivotButton="0" quotePrefix="0" xfId="0">
      <alignment horizontal="left" vertical="center"/>
    </xf>
    <xf numFmtId="0" fontId="0" fillId="0" borderId="22" pivotButton="0" quotePrefix="0" xfId="0"/>
    <xf numFmtId="0" fontId="43" fillId="0" borderId="23" applyAlignment="1" pivotButton="0" quotePrefix="0" xfId="0">
      <alignment horizontal="left" vertical="top" wrapText="1"/>
    </xf>
    <xf numFmtId="0" fontId="41" fillId="18" borderId="23" applyAlignment="1" pivotButton="0" quotePrefix="0" xfId="0">
      <alignment horizontal="left" vertical="center"/>
    </xf>
    <xf numFmtId="0" fontId="40" fillId="18" borderId="23" applyAlignment="1" pivotButton="0" quotePrefix="0" xfId="0">
      <alignment horizontal="left" vertical="center"/>
    </xf>
    <xf numFmtId="0" fontId="3" fillId="3" borderId="23" applyAlignment="1" pivotButton="0" quotePrefix="0" xfId="0">
      <alignment horizontal="center" vertical="center"/>
    </xf>
    <xf numFmtId="0" fontId="4" fillId="3" borderId="23" pivotButton="0" quotePrefix="0" xfId="0"/>
    <xf numFmtId="169" fontId="5" fillId="3" borderId="23" applyAlignment="1" pivotButton="0" quotePrefix="0" xfId="0">
      <alignment horizontal="center"/>
    </xf>
    <xf numFmtId="0" fontId="4" fillId="3" borderId="23" applyAlignment="1" pivotButton="0" quotePrefix="0" xfId="0">
      <alignment vertical="center"/>
    </xf>
    <xf numFmtId="3" fontId="3" fillId="3" borderId="23" applyAlignment="1" pivotButton="0" quotePrefix="0" xfId="0">
      <alignment horizontal="center" vertical="center"/>
    </xf>
    <xf numFmtId="0" fontId="9" fillId="5" borderId="23" applyAlignment="1" pivotButton="0" quotePrefix="0" xfId="0">
      <alignment vertical="center"/>
    </xf>
    <xf numFmtId="3" fontId="3" fillId="5" borderId="23" applyAlignment="1" pivotButton="0" quotePrefix="0" xfId="0">
      <alignment horizontal="center" vertical="center"/>
    </xf>
    <xf numFmtId="0" fontId="19" fillId="3" borderId="23" applyAlignment="1" pivotButton="0" quotePrefix="0" xfId="0">
      <alignment horizontal="left" vertical="center"/>
    </xf>
    <xf numFmtId="0" fontId="25" fillId="3" borderId="23" applyAlignment="1" pivotButton="0" quotePrefix="0" xfId="0">
      <alignment horizontal="center"/>
    </xf>
    <xf numFmtId="0" fontId="15" fillId="3" borderId="23" applyAlignment="1" pivotButton="0" quotePrefix="0" xfId="0">
      <alignment horizontal="left" vertical="center" indent="1"/>
    </xf>
    <xf numFmtId="0" fontId="33" fillId="15" borderId="23" applyAlignment="1" pivotButton="0" quotePrefix="0" xfId="0">
      <alignment horizontal="left" vertical="center" indent="1"/>
    </xf>
    <xf numFmtId="0" fontId="13" fillId="25" borderId="12" applyAlignment="1" pivotButton="0" quotePrefix="0" xfId="0">
      <alignment horizontal="center" vertical="center"/>
    </xf>
    <xf numFmtId="171" fontId="36" fillId="0" borderId="23" pivotButton="0" quotePrefix="0" xfId="0"/>
    <xf numFmtId="0" fontId="36" fillId="0" borderId="23" pivotButton="0" quotePrefix="0" xfId="0"/>
    <xf numFmtId="3" fontId="36" fillId="0" borderId="23" pivotButton="0" quotePrefix="0" xfId="0"/>
    <xf numFmtId="164" fontId="36" fillId="0" borderId="23" pivotButton="0" quotePrefix="0" xfId="0"/>
    <xf numFmtId="171" fontId="36" fillId="0" borderId="23" pivotButton="0" quotePrefix="0" xfId="0"/>
    <xf numFmtId="0" fontId="34" fillId="16" borderId="27" applyAlignment="1" pivotButton="0" quotePrefix="0" xfId="0">
      <alignment horizontal="center" vertical="center"/>
    </xf>
    <xf numFmtId="0" fontId="34" fillId="16" borderId="27" applyAlignment="1" pivotButton="0" quotePrefix="0" xfId="0">
      <alignment horizontal="left" vertical="center"/>
    </xf>
    <xf numFmtId="3" fontId="35" fillId="16" borderId="27" applyAlignment="1" pivotButton="0" quotePrefix="0" xfId="0">
      <alignment horizontal="center" vertical="center"/>
    </xf>
    <xf numFmtId="0" fontId="34" fillId="16" borderId="27" applyAlignment="1" pivotButton="0" quotePrefix="0" xfId="0">
      <alignment horizontal="left" vertical="center" wrapText="1"/>
    </xf>
    <xf numFmtId="0" fontId="34" fillId="17" borderId="27" applyAlignment="1" pivotButton="0" quotePrefix="0" xfId="0">
      <alignment horizontal="center" vertical="center"/>
    </xf>
    <xf numFmtId="0" fontId="34" fillId="17" borderId="27" applyAlignment="1" pivotButton="0" quotePrefix="0" xfId="0">
      <alignment horizontal="left" vertical="center"/>
    </xf>
    <xf numFmtId="3" fontId="35" fillId="17" borderId="27" applyAlignment="1" pivotButton="0" quotePrefix="0" xfId="0">
      <alignment horizontal="center" vertical="center"/>
    </xf>
    <xf numFmtId="0" fontId="34" fillId="17" borderId="27" applyAlignment="1" pivotButton="0" quotePrefix="0" xfId="0">
      <alignment horizontal="left" vertical="center" wrapText="1"/>
    </xf>
    <xf numFmtId="0" fontId="34" fillId="0" borderId="26" applyAlignment="1" pivotButton="0" quotePrefix="0" xfId="0">
      <alignment horizontal="center" vertical="center"/>
    </xf>
    <xf numFmtId="0" fontId="34" fillId="0" borderId="26" applyAlignment="1" pivotButton="0" quotePrefix="0" xfId="0">
      <alignment horizontal="left" vertical="center"/>
    </xf>
    <xf numFmtId="3" fontId="34" fillId="0" borderId="26" applyAlignment="1" pivotButton="0" quotePrefix="0" xfId="0">
      <alignment horizontal="center" vertical="center"/>
    </xf>
    <xf numFmtId="0" fontId="34" fillId="0" borderId="26" applyAlignment="1" pivotButton="0" quotePrefix="0" xfId="0">
      <alignment horizontal="left" vertical="center" wrapText="1"/>
    </xf>
    <xf numFmtId="0" fontId="34" fillId="0" borderId="26" pivotButton="0" quotePrefix="0" xfId="0"/>
    <xf numFmtId="0" fontId="37" fillId="0" borderId="26" applyAlignment="1" pivotButton="0" quotePrefix="0" xfId="0">
      <alignment horizontal="center" vertical="center"/>
    </xf>
    <xf numFmtId="0" fontId="37" fillId="0" borderId="26" applyAlignment="1" pivotButton="0" quotePrefix="0" xfId="0">
      <alignment horizontal="left" vertical="center"/>
    </xf>
    <xf numFmtId="3" fontId="37" fillId="0" borderId="26" applyAlignment="1" pivotButton="0" quotePrefix="0" xfId="0">
      <alignment horizontal="left" vertical="center"/>
    </xf>
    <xf numFmtId="170" fontId="37" fillId="0" borderId="26" applyAlignment="1" pivotButton="0" quotePrefix="0" xfId="0">
      <alignment horizontal="center" vertical="center"/>
    </xf>
    <xf numFmtId="3" fontId="37" fillId="0" borderId="26" applyAlignment="1" pivotButton="0" quotePrefix="0" xfId="0">
      <alignment horizontal="center" vertical="center"/>
    </xf>
    <xf numFmtId="3" fontId="38" fillId="0" borderId="26" applyAlignment="1" pivotButton="0" quotePrefix="0" xfId="0">
      <alignment horizontal="center" vertical="center"/>
    </xf>
    <xf numFmtId="9" fontId="37" fillId="0" borderId="26" applyAlignment="1" pivotButton="0" quotePrefix="0" xfId="0">
      <alignment horizontal="center" vertical="center"/>
    </xf>
    <xf numFmtId="0" fontId="8" fillId="3" borderId="23" applyAlignment="1" pivotButton="0" quotePrefix="0" xfId="0">
      <alignment horizontal="left" vertical="center"/>
    </xf>
    <xf numFmtId="165" fontId="8" fillId="3" borderId="23" applyAlignment="1" pivotButton="0" quotePrefix="0" xfId="0">
      <alignment horizontal="center" vertical="center"/>
    </xf>
    <xf numFmtId="0" fontId="8" fillId="3" borderId="23" applyAlignment="1" pivotButton="0" quotePrefix="0" xfId="0">
      <alignment horizontal="right" vertical="center"/>
    </xf>
    <xf numFmtId="3" fontId="8" fillId="3" borderId="23" applyAlignment="1" pivotButton="0" quotePrefix="0" xfId="0">
      <alignment horizontal="center" vertical="center"/>
    </xf>
    <xf numFmtId="0" fontId="37" fillId="0" borderId="26" pivotButton="0" quotePrefix="0" xfId="0"/>
  </cellXfs>
  <cellStyles count="9">
    <cellStyle name="Normal" xfId="0" builtinId="0"/>
    <cellStyle name="Comma 2" xfId="1"/>
    <cellStyle name="Normal 2" xfId="2"/>
    <cellStyle name="Pivot Table Category" xfId="3"/>
    <cellStyle name="Pivot Table Corner" xfId="4"/>
    <cellStyle name="Pivot Table Field" xfId="5"/>
    <cellStyle name="Pivot Table Result" xfId="6"/>
    <cellStyle name="Pivot Table Title" xfId="7"/>
    <cellStyle name="Pivot Table Value" xfId="8"/>
  </cellStyles>
  <dxfs count="15"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color rgb="FFFF0000"/>
      </font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color rgb="FF9C6500"/>
        <sz val="9"/>
      </font>
      <fill>
        <patternFill>
          <bgColor rgb="FFFFEB9C"/>
        </patternFill>
      </fill>
    </dxf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color rgb="FF9C6500"/>
        <sz val="9"/>
      </font>
      <fill>
        <patternFill>
          <bgColor rgb="FFFFEB9C"/>
        </patternFill>
      </fill>
    </dxf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color rgb="FF9C6500"/>
        <sz val="9"/>
      </font>
      <fill>
        <patternFill>
          <bgColor rgb="FFFFEB9C"/>
        </patternFill>
      </fill>
    </dxf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J29" authorId="0" shapeId="0">
      <text>
        <t>NOTE (manual): 30k Pressed, 9k Printed, 22k WIP</t>
      </text>
    </comment>
    <comment ref="J69" authorId="0" shapeId="0">
      <text>
        <t>NOTE (manual): 30k Pressed, 9k Printed, 22k WIP</t>
      </text>
    </comment>
    <comment ref="J78" authorId="0" shapeId="0">
      <text>
        <t>NOTE (manual): OK (Reuse Old Cartons)</t>
      </text>
    </comment>
  </commentList>
</comments>
</file>

<file path=xl/tables/table1.xml><?xml version="1.0" encoding="utf-8"?>
<table xmlns="http://schemas.openxmlformats.org/spreadsheetml/2006/main" id="1" name="TableBOM" displayName="TableBOM" ref="A2:M337" headerRowCount="1" totalsRowShown="0">
  <tableColumns count="13">
    <tableColumn id="1" name="Product ID"/>
    <tableColumn id="2" name="BOM ID"/>
    <tableColumn id="3" name="Customer"/>
    <tableColumn id="4" name="Product Name"/>
    <tableColumn id="5" name="Dia"/>
    <tableColumn id="6" name="Material Category"/>
    <tableColumn id="7" name="Item ID"/>
    <tableColumn id="8" name="Item Name"/>
    <tableColumn id="9" name="UOM"/>
    <tableColumn id="10" name="Per 1000 Units"/>
    <tableColumn id="11" name="Material Group"/>
    <tableColumn id="12" name="Scrap %"/>
    <tableColumn id="13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Inventory" displayName="TableInventory" ref="A2:J113" headerRowCount="1" totalsRowShown="0">
  <autoFilter ref="A2:J113"/>
  <tableColumns count="10">
    <tableColumn id="1" name="Item ID"/>
    <tableColumn id="2" name="Category"/>
    <tableColumn id="3" name="Item Name (ERP)"/>
    <tableColumn id="4" name="UOM"/>
    <tableColumn id="5" name="Opening"/>
    <tableColumn id="6" name="Received from Vendor"/>
    <tableColumn id="7" name="Issued to Production"/>
    <tableColumn id="8" name="Store Balance"/>
    <tableColumn id="9" name="Work In Process"/>
    <tableColumn id="10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9"/>
  <sheetViews>
    <sheetView showGridLines="0" topLeftCell="A47" zoomScaleNormal="100" workbookViewId="0">
      <selection activeCell="C32" sqref="C32"/>
    </sheetView>
  </sheetViews>
  <sheetFormatPr baseColWidth="8" defaultColWidth="8.7109375" defaultRowHeight="15"/>
  <cols>
    <col width="1.5703125" customWidth="1" style="249" min="1" max="1"/>
    <col width="10.42578125" customWidth="1" style="249" min="2" max="2"/>
    <col width="32.7109375" customWidth="1" style="249" min="3" max="3"/>
    <col width="37" customWidth="1" style="249" min="4" max="4"/>
    <col width="8.85546875" customWidth="1" style="252" min="5" max="5"/>
    <col width="9.140625" customWidth="1" style="249" min="6" max="6"/>
    <col width="12.85546875" customWidth="1" style="253" min="7" max="7"/>
    <col width="15" customWidth="1" style="249" min="8" max="9"/>
    <col width="15.28515625" customWidth="1" style="249" min="10" max="10"/>
    <col width="11.140625" customWidth="1" style="249" min="11" max="11"/>
    <col width="0.85546875" customWidth="1" style="249" min="12" max="12"/>
    <col width="14.7109375" customWidth="1" style="249" min="13" max="13"/>
    <col width="13.28515625" customWidth="1" style="249" min="14" max="14"/>
    <col width="9.5703125" customWidth="1" style="249" min="15" max="15"/>
  </cols>
  <sheetData>
    <row r="1" ht="6" customHeight="1" s="249">
      <c r="A1" s="3" t="n"/>
      <c r="B1" s="3" t="n"/>
      <c r="C1" s="3" t="n"/>
      <c r="D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</row>
    <row r="2" ht="42" customHeight="1" s="249">
      <c r="A2" s="3" t="n"/>
      <c r="B2" s="278" t="inlineStr">
        <is>
          <t>TUBEX  — May 2026 Month to Date Report</t>
        </is>
      </c>
      <c r="P2" s="3" t="n"/>
      <c r="Q2" s="3" t="n"/>
      <c r="R2" s="3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 ht="21.75" customHeight="1" s="249">
      <c r="A3" s="3" t="n"/>
      <c r="B3" s="279" t="inlineStr">
        <is>
          <t>Report Date (Yesterday's Production):</t>
        </is>
      </c>
      <c r="H3" s="280">
        <f>TODAY()-1</f>
        <v/>
      </c>
      <c r="P3" s="3" t="n"/>
      <c r="Q3" s="3" t="n"/>
      <c r="R3" s="3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</row>
    <row r="4" ht="3" customHeight="1" s="249">
      <c r="A4" s="3" t="n"/>
      <c r="B4" s="3" t="n"/>
      <c r="C4" s="3" t="n"/>
      <c r="D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</row>
    <row r="5" ht="27" customHeight="1" s="249">
      <c r="A5" s="3" t="n"/>
      <c r="B5" s="281" t="inlineStr">
        <is>
          <t>TUBE — YESTERDAY</t>
        </is>
      </c>
      <c r="D5" s="5" t="inlineStr">
        <is>
          <t>TUBE — MTD</t>
        </is>
      </c>
      <c r="E5" s="5" t="n"/>
      <c r="F5" s="6" t="n"/>
      <c r="G5" s="281" t="inlineStr">
        <is>
          <t>TUBE — REJECT %</t>
        </is>
      </c>
      <c r="I5" s="7" t="n"/>
      <c r="J5" s="281" t="inlineStr">
        <is>
          <t>Dispatch — MTD</t>
        </is>
      </c>
      <c r="L5" s="3" t="n"/>
      <c r="M5" s="8" t="inlineStr">
        <is>
          <t>Press &amp; Printing Downtime — MTD</t>
        </is>
      </c>
      <c r="N5" s="8" t="n"/>
      <c r="O5" s="8" t="n"/>
      <c r="P5" s="3" t="n"/>
      <c r="Q5" s="3" t="n"/>
      <c r="R5" s="3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</row>
    <row r="6" ht="27" customHeight="1" s="249">
      <c r="A6" s="3" t="n"/>
      <c r="B6" s="282">
        <f>SUMPRODUCT((Production_Log!$A$3:$A$8963=MAX(Production_Log!$A$3:$A$8963))*(LEFT(Production_Log!$B$3:$B$8963,5)="Print")*(ISERROR(SEARCH("(Varnish)",Production_Log!$D$3:$D$8963)))*Production_Log!$H$3:$H$8963)</f>
        <v/>
      </c>
      <c r="D6" s="9">
        <f>SUMIF($B$11:$B$59,"TUBE",$H$11:$H$59)</f>
        <v/>
      </c>
      <c r="E6" s="282" t="n"/>
      <c r="G6" s="10">
        <f t="array" ref="G6">IFERROR(SUMPRODUCT((Production_Log!$F$3:$F$8963&lt;&gt;0)*(LEFT(Production_Log!$B$3:$B$8963,5)="Print")*(ISERROR(SEARCH("(Varnish)",Production_Log!$D$3:$D$8963)))*Production_Log!$I$3:$I$8963)/SUMPRODUCT((Production_Log!$F$3:$F$8963&lt;&gt;0)*(LEFT(Production_Log!$B$3:$B$8963,5)="Print")*(ISERROR(SEARCH("(Varnish)",Production_Log!$D$3:$D$8963)))*(Production_Log!$H$3:$H$8963+Production_Log!$I$3:$I$8963)),"-")</f>
        <v/>
      </c>
      <c r="H6" s="10" t="n"/>
      <c r="I6" s="7" t="n"/>
      <c r="J6" s="11">
        <f>SUMIF($B$11:$B$59,"TUBE",$K$11:$K$59)</f>
        <v/>
      </c>
      <c r="K6" s="10" t="n"/>
      <c r="L6" s="3" t="n"/>
      <c r="M6" s="12" t="inlineStr">
        <is>
          <t>Category</t>
        </is>
      </c>
      <c r="N6" s="12" t="inlineStr">
        <is>
          <t>Hours (MTD)</t>
        </is>
      </c>
      <c r="O6" s="12" t="inlineStr">
        <is>
          <t>% Share</t>
        </is>
      </c>
      <c r="P6" s="3" t="n"/>
      <c r="Q6" s="3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</row>
    <row r="7" ht="27" customHeight="1" s="249">
      <c r="A7" s="3" t="n"/>
      <c r="B7" s="283" t="inlineStr">
        <is>
          <t>PET — YESTERDAY</t>
        </is>
      </c>
      <c r="D7" s="14" t="inlineStr">
        <is>
          <t>PET — MTD</t>
        </is>
      </c>
      <c r="E7" s="14" t="n"/>
      <c r="F7" s="13" t="n"/>
      <c r="G7" s="283" t="inlineStr">
        <is>
          <t>PET — REJECT %</t>
        </is>
      </c>
      <c r="I7" s="15" t="n"/>
      <c r="J7" s="13" t="inlineStr">
        <is>
          <t>Dispatch — MTD</t>
        </is>
      </c>
      <c r="K7" s="13" t="n"/>
      <c r="L7" s="3" t="n"/>
      <c r="M7" s="16">
        <f>IFERROR(INDEX($S$9:$S$22,MATCH(LARGE($U$9:$U$22,1),$U$9:$U$22,0)),"")</f>
        <v/>
      </c>
      <c r="N7" s="17">
        <f>(IFERROR(INDEX($T$9:$T$22,MATCH(LARGE($U$9:$U$22,1),$U$9:$U$22,0)),""))/60</f>
        <v/>
      </c>
      <c r="O7" s="18">
        <f>IFERROR(N7/$N$15,"")</f>
        <v/>
      </c>
      <c r="P7" s="3" t="n"/>
      <c r="Q7" s="3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</row>
    <row r="8" ht="27" customHeight="1" s="249">
      <c r="A8" s="3" t="n"/>
      <c r="B8" s="284">
        <f>SUMPRODUCT((Production_Log!$A$3:$A$8963=MAX(Production_Log!$A$3:$A$8963))*(Production_Log!$B$3:$B$8963="PF Machine")*Production_Log!$H$3:$H$8963)</f>
        <v/>
      </c>
      <c r="D8" s="19">
        <f>SUMIF($B$11:$B$59,"PET",$H$11:$H$59)</f>
        <v/>
      </c>
      <c r="E8" s="284" t="n"/>
      <c r="G8" s="20">
        <f t="array" ref="G8">IFERROR(SUMPRODUCT((Production_Log!$B$3:$B$8963="PF Machine")*Production_Log!$I$3:$I$8963)/SUMPRODUCT((Production_Log!$B$3:$B$8963="PF Machine")*(Production_Log!$H$3:$H$8963+Production_Log!$I$3:$I$8963)),0)</f>
        <v/>
      </c>
      <c r="H8" s="20" t="n"/>
      <c r="I8" s="15" t="n"/>
      <c r="J8" s="21">
        <f>SUMIF($B$11:$B$59,"PET",$K$11:$K$59)</f>
        <v/>
      </c>
      <c r="K8" s="20" t="n"/>
      <c r="L8" s="3" t="n"/>
      <c r="M8" s="22">
        <f>IFERROR(INDEX($S$9:$S$22,MATCH(LARGE($U$9:$U$22,2),$U$9:$U$22,0)),"")</f>
        <v/>
      </c>
      <c r="N8" s="23">
        <f>IFERROR(INDEX($T$9:$T$22,MATCH(LARGE($U$9:$U$22,2),$U$9:$U$22,0)),"")/60</f>
        <v/>
      </c>
      <c r="O8" s="24">
        <f>IFERROR(N8/$N$15,"")</f>
        <v/>
      </c>
      <c r="P8" s="3" t="n"/>
      <c r="Q8" s="3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</row>
    <row r="9" ht="20.25" customHeight="1" s="249">
      <c r="A9" s="3" t="n"/>
      <c r="B9" s="258" t="inlineStr">
        <is>
          <t>Summary of Production &amp; Dispatch - MTD</t>
        </is>
      </c>
      <c r="C9" s="259" t="n"/>
      <c r="D9" s="259" t="n"/>
      <c r="E9" s="259" t="n"/>
      <c r="F9" s="259" t="n"/>
      <c r="G9" s="259" t="n"/>
      <c r="H9" s="259" t="n"/>
      <c r="I9" s="259" t="n"/>
      <c r="J9" s="259" t="n"/>
      <c r="K9" s="260" t="n"/>
      <c r="M9" s="25">
        <f>IFERROR(INDEX($S$9:$S$22,MATCH(LARGE($U$9:$U$22,3),$U$9:$U$22,0)),"")</f>
        <v/>
      </c>
      <c r="N9" s="26">
        <f>IFERROR(INDEX($T$9:$T$22,MATCH(LARGE($U$9:$U$22,3),$U$9:$U$22,0)),"")/60</f>
        <v/>
      </c>
      <c r="O9" s="27">
        <f>IFERROR(N9/$N$15,"")</f>
        <v/>
      </c>
      <c r="P9" s="3" t="n"/>
      <c r="Q9" s="3" t="n"/>
      <c r="R9" s="4" t="n"/>
      <c r="S9" t="inlineStr">
        <is>
          <t>Mechanical</t>
        </is>
      </c>
      <c r="T9" s="28">
        <f>SUMPRODUCT((MONTH(Production_Log!$A$3:$A$8963)=MONTH(TODAY()))*(YEAR(Production_Log!$A$3:$A$8963)=YEAR(TODAY()))*Production_Log!$K$3:$K$8963)</f>
        <v/>
      </c>
      <c r="U9">
        <f>T9+0.00001</f>
        <v/>
      </c>
      <c r="V9" s="4" t="n"/>
      <c r="W9" s="4" t="n"/>
      <c r="X9" s="4" t="n"/>
      <c r="Y9" s="4" t="n"/>
      <c r="Z9" s="4" t="n"/>
      <c r="AA9" s="4" t="n"/>
      <c r="AB9" s="4" t="n"/>
      <c r="AC9" s="4" t="n"/>
    </row>
    <row r="10" ht="24" customHeight="1" s="249">
      <c r="A10" s="3" t="n"/>
      <c r="B10" s="29" t="inlineStr">
        <is>
          <t>Type</t>
        </is>
      </c>
      <c r="C10" s="29" t="inlineStr">
        <is>
          <t>Customer</t>
        </is>
      </c>
      <c r="D10" s="29" t="inlineStr">
        <is>
          <t>Product Name</t>
        </is>
      </c>
      <c r="E10" s="29" t="inlineStr">
        <is>
          <t>Dia</t>
        </is>
      </c>
      <c r="F10" s="29" t="inlineStr">
        <is>
          <t>Prod ID</t>
        </is>
      </c>
      <c r="G10" s="29" t="inlineStr">
        <is>
          <t>Orders</t>
        </is>
      </c>
      <c r="H10" s="29" t="inlineStr">
        <is>
          <t>MTD Produced</t>
        </is>
      </c>
      <c r="I10" s="29" t="inlineStr">
        <is>
          <t>Remaining</t>
        </is>
      </c>
      <c r="J10" s="30" t="inlineStr">
        <is>
          <t>MTD Compliance</t>
        </is>
      </c>
      <c r="K10" s="31" t="inlineStr">
        <is>
          <t>Dispatch</t>
        </is>
      </c>
      <c r="M10" s="22">
        <f>IFERROR(INDEX($S$9:$S$22,MATCH(LARGE($U$9:$U$22,4),$U$9:$U$22,0)),"")</f>
        <v/>
      </c>
      <c r="N10" s="23">
        <f>IFERROR(INDEX($T$9:$T$22,MATCH(LARGE($U$9:$U$22,4),$U$9:$U$22,0)),"")/60</f>
        <v/>
      </c>
      <c r="O10" s="24">
        <f>IFERROR(N10/$N$15,"")</f>
        <v/>
      </c>
      <c r="P10" s="3" t="n"/>
      <c r="Q10" s="3" t="n"/>
      <c r="R10" s="4" t="n"/>
      <c r="S10" t="inlineStr">
        <is>
          <t>Electrical</t>
        </is>
      </c>
      <c r="T10" s="28">
        <f>SUMPRODUCT((MONTH(Production_Log!$A$3:$A$8963)=MONTH(TODAY()))*(YEAR(Production_Log!$A$3:$A$8963)=YEAR(TODAY()))*Production_Log!$L$3:$L$8963)</f>
        <v/>
      </c>
      <c r="U10">
        <f>T10+0.00002</f>
        <v/>
      </c>
      <c r="V10" s="4" t="n"/>
      <c r="W10" s="4" t="n"/>
      <c r="X10" s="4" t="n"/>
      <c r="Y10" s="4" t="n"/>
      <c r="Z10" s="4" t="n"/>
      <c r="AA10" s="4" t="n"/>
      <c r="AB10" s="4" t="n"/>
      <c r="AC10" s="4" t="n"/>
    </row>
    <row r="11" ht="16.5" customHeight="1" s="249">
      <c r="A11" s="3" t="n"/>
      <c r="B11" s="308" t="inlineStr">
        <is>
          <t>TUBE</t>
        </is>
      </c>
      <c r="C11" s="309" t="inlineStr">
        <is>
          <t>Brookes Pharma Private Limited</t>
        </is>
      </c>
      <c r="D11" s="310" t="inlineStr">
        <is>
          <t>ECZEMUS OINTMENT 0.03% 10G</t>
        </is>
      </c>
      <c r="E11" s="311" t="n">
        <v>16</v>
      </c>
      <c r="F11" s="312" t="n">
        <v>6561</v>
      </c>
      <c r="G11" s="312" t="n">
        <v>25000</v>
      </c>
      <c r="H11" s="313">
        <f>SUMPRODUCT((Production_Log!$F$3:$F$8963=F11)*(LEFT(Production_Log!$B$3:$B$8963,5)="Print")*(ISERROR(SEARCH("(Varnish)",Production_Log!$D$3:$D$8963)))*Production_Log!$H$3:$H$8963)</f>
        <v/>
      </c>
      <c r="I11" s="312">
        <f>G11-H11</f>
        <v/>
      </c>
      <c r="J11" s="314">
        <f>IF(G11=0,"-",H11/G11)</f>
        <v/>
      </c>
      <c r="K11" s="313" t="n"/>
      <c r="L11" s="3" t="n"/>
      <c r="M11" s="25">
        <f>IFERROR(INDEX($S$9:$S$22,MATCH(LARGE($U$9:$U$22,5),$U$9:$U$22,0)),"")</f>
        <v/>
      </c>
      <c r="N11" s="26">
        <f>IFERROR(INDEX($T$9:$T$22,MATCH(LARGE($U$9:$U$22,5),$U$9:$U$22,0)),"")/60</f>
        <v/>
      </c>
      <c r="O11" s="27">
        <f>IFERROR(N11/$N$15,"")</f>
        <v/>
      </c>
      <c r="P11" s="3" t="n"/>
      <c r="Q11" s="3" t="n"/>
      <c r="R11" s="3" t="n"/>
      <c r="S11" t="inlineStr">
        <is>
          <t>Workers Shortage</t>
        </is>
      </c>
      <c r="T11" s="28">
        <f>SUMPRODUCT((MONTH(Production_Log!$A$3:$A$8963)=MONTH(TODAY()))*(YEAR(Production_Log!$A$3:$A$8963)=YEAR(TODAY()))*Production_Log!$R$3:$R$8963)</f>
        <v/>
      </c>
      <c r="U11">
        <f>T11+0.00003</f>
        <v/>
      </c>
      <c r="V11" s="4" t="n"/>
      <c r="W11" s="4" t="n"/>
      <c r="X11" s="4" t="n"/>
      <c r="Y11" s="4" t="n"/>
      <c r="Z11" s="4" t="n"/>
      <c r="AA11" s="4" t="n"/>
      <c r="AB11" s="4" t="n"/>
      <c r="AC11" s="4" t="n"/>
    </row>
    <row r="12" ht="16.5" customHeight="1" s="249">
      <c r="A12" s="3" t="n"/>
      <c r="B12" s="308" t="inlineStr">
        <is>
          <t>TUBE</t>
        </is>
      </c>
      <c r="C12" s="309" t="inlineStr">
        <is>
          <t>Samsol International Private Limited</t>
        </is>
      </c>
      <c r="D12" s="310" t="inlineStr">
        <is>
          <t>S-43 DIA 19MM</t>
        </is>
      </c>
      <c r="E12" s="311" t="n">
        <v>19</v>
      </c>
      <c r="F12" s="312" t="n">
        <v>6623</v>
      </c>
      <c r="G12" s="312" t="n">
        <v>0</v>
      </c>
      <c r="H12" s="313">
        <f>SUMPRODUCT((Production_Log!$F$3:$F$8963=F12)*(LEFT(Production_Log!$B$3:$B$8963,5)="Print")*(ISERROR(SEARCH("(Varnish)",Production_Log!$D$3:$D$8963)))*Production_Log!$H$3:$H$8963)</f>
        <v/>
      </c>
      <c r="I12" s="312">
        <f>G12-H12</f>
        <v/>
      </c>
      <c r="J12" s="314">
        <f>IF(G12=0,"-",H12/G12)</f>
        <v/>
      </c>
      <c r="K12" s="313" t="n">
        <v>24696</v>
      </c>
      <c r="M12" s="32">
        <f>IFERROR(INDEX($S$9:$S$22,MATCH(LARGE($U$9:$U$22,8),$U$9:$U$22,0)),"")</f>
        <v/>
      </c>
      <c r="N12" s="33">
        <f>IFERROR(INDEX($T$9:$T$22,MATCH(LARGE($U$9:$U$22,8),$U$9:$U$22,0)),"")/60</f>
        <v/>
      </c>
      <c r="O12" s="34">
        <f>IFERROR(N12/$N$15,"")</f>
        <v/>
      </c>
      <c r="P12" s="3" t="n"/>
      <c r="Q12" s="3" t="n"/>
      <c r="R12" s="4" t="n"/>
      <c r="T12" s="28" t="n"/>
      <c r="V12" s="4" t="n"/>
      <c r="W12" s="4" t="n"/>
      <c r="X12" s="4" t="n"/>
      <c r="Y12" s="4" t="n"/>
      <c r="Z12" s="4" t="n"/>
      <c r="AA12" s="4" t="n"/>
      <c r="AB12" s="4" t="n"/>
      <c r="AC12" s="4" t="n"/>
    </row>
    <row r="13" ht="16.5" customHeight="1" s="249">
      <c r="A13" s="3" t="n"/>
      <c r="B13" s="308" t="inlineStr">
        <is>
          <t>TUBE</t>
        </is>
      </c>
      <c r="C13" s="309" t="inlineStr">
        <is>
          <t>Samsol International Private Limited</t>
        </is>
      </c>
      <c r="D13" s="310" t="inlineStr">
        <is>
          <t>S-45 DIA 19MM</t>
        </is>
      </c>
      <c r="E13" s="311" t="n">
        <v>19</v>
      </c>
      <c r="F13" s="312" t="n">
        <v>6624</v>
      </c>
      <c r="G13" s="312" t="n">
        <v>10888</v>
      </c>
      <c r="H13" s="313">
        <f>SUMPRODUCT((Production_Log!$F$3:$F$8963=F13)*(LEFT(Production_Log!$B$3:$B$8963,5)="Print")*(ISERROR(SEARCH("(Varnish)",Production_Log!$D$3:$D$8963)))*Production_Log!$H$3:$H$8963)</f>
        <v/>
      </c>
      <c r="I13" s="312">
        <f>G13-H13</f>
        <v/>
      </c>
      <c r="J13" s="314">
        <f>IF(G13=0,"-",H13/G13)</f>
        <v/>
      </c>
      <c r="K13" s="313" t="n">
        <v>8232</v>
      </c>
      <c r="M13" s="25">
        <f>IFERROR(INDEX($S$9:$S$22,MATCH(LARGE($U$9:$U$22,6),$U$9:$U$22,0)),"")</f>
        <v/>
      </c>
      <c r="N13" s="26">
        <f>IFERROR(INDEX($T$9:$T$22,MATCH(LARGE($U$9:$U$22,6),$U$9:$U$22,0)),"")/60</f>
        <v/>
      </c>
      <c r="O13" s="27">
        <f>IFERROR(N13/$N$15,"")</f>
        <v/>
      </c>
      <c r="P13" s="3" t="n"/>
      <c r="Q13" s="3" t="n"/>
      <c r="R13" s="4" t="n"/>
      <c r="S13" t="inlineStr">
        <is>
          <t>Power Shutdown</t>
        </is>
      </c>
      <c r="T13" s="28">
        <f>SUMPRODUCT((MONTH(Production_Log!$A$3:$A$8963)=MONTH(TODAY()))*(YEAR(Production_Log!$A$3:$A$8963)=YEAR(TODAY()))*Production_Log!$P$3:$P$8963)</f>
        <v/>
      </c>
      <c r="U13">
        <f>T13+0.00004</f>
        <v/>
      </c>
      <c r="V13" s="4" t="n"/>
      <c r="W13" s="4" t="n"/>
      <c r="X13" s="4" t="n"/>
      <c r="Y13" s="4" t="n"/>
      <c r="Z13" s="4" t="n"/>
      <c r="AA13" s="4" t="n"/>
      <c r="AB13" s="4" t="n"/>
      <c r="AC13" s="4" t="n"/>
    </row>
    <row r="14" ht="16.5" customHeight="1" s="249">
      <c r="A14" s="3" t="n"/>
      <c r="B14" s="308" t="inlineStr">
        <is>
          <t>TUBE</t>
        </is>
      </c>
      <c r="C14" s="309" t="inlineStr">
        <is>
          <t>Brookes Pharma Private Limited</t>
        </is>
      </c>
      <c r="D14" s="310" t="inlineStr">
        <is>
          <t>PHLOGIN GEL 20G</t>
        </is>
      </c>
      <c r="E14" s="311" t="n">
        <v>19</v>
      </c>
      <c r="F14" s="312" t="n">
        <v>6559</v>
      </c>
      <c r="G14" s="312" t="n">
        <v>0</v>
      </c>
      <c r="H14" s="313">
        <f>SUMPRODUCT((Production_Log!$F$3:$F$8963=F14)*(LEFT(Production_Log!$B$3:$B$8963,5)="Print")*(ISERROR(SEARCH("(Varnish)",Production_Log!$D$3:$D$8963)))*Production_Log!$H$3:$H$8963)</f>
        <v/>
      </c>
      <c r="I14" s="312">
        <f>G14-H14</f>
        <v/>
      </c>
      <c r="J14" s="314">
        <f>IF(G14=0,"-",H14/G14)</f>
        <v/>
      </c>
      <c r="K14" s="313" t="n">
        <v>35280</v>
      </c>
      <c r="L14" s="3" t="n"/>
      <c r="M14" s="32">
        <f>IFERROR(INDEX($S$9:$S$22,MATCH(LARGE($U$9:$U$22,7),$U$9:$U$22,0)),"")</f>
        <v/>
      </c>
      <c r="N14" s="33">
        <f>IFERROR(INDEX($T$9:$T$22,MATCH(LARGE($U$9:$U$22,7),$U$9:$U$22,0)),"")/60</f>
        <v/>
      </c>
      <c r="O14" s="34">
        <f>IFERROR(N14/$N$15,"")</f>
        <v/>
      </c>
      <c r="P14" s="3" t="n"/>
      <c r="Q14" s="3" t="n"/>
      <c r="R14" s="3" t="n"/>
      <c r="T14" s="28" t="n"/>
      <c r="V14" s="4" t="n"/>
      <c r="W14" s="4" t="n"/>
      <c r="X14" s="4" t="n"/>
      <c r="Y14" s="4" t="n"/>
      <c r="Z14" s="4" t="n"/>
      <c r="AA14" s="4" t="n"/>
      <c r="AB14" s="4" t="n"/>
      <c r="AC14" s="4" t="n"/>
    </row>
    <row r="15" ht="16.5" customHeight="1" s="249">
      <c r="A15" s="3" t="n"/>
      <c r="B15" s="308" t="inlineStr">
        <is>
          <t>TUBE</t>
        </is>
      </c>
      <c r="C15" s="309" t="inlineStr">
        <is>
          <t>Samsol International Private Limited</t>
        </is>
      </c>
      <c r="D15" s="310" t="inlineStr">
        <is>
          <t>S-43 DIA 20.5</t>
        </is>
      </c>
      <c r="E15" s="311" t="n">
        <v>20.5</v>
      </c>
      <c r="F15" s="312" t="n">
        <v>5699</v>
      </c>
      <c r="G15" s="312" t="n">
        <v>0</v>
      </c>
      <c r="H15" s="313">
        <f>SUMPRODUCT((Production_Log!$F$3:$F$8963=F15)*(LEFT(Production_Log!$B$3:$B$8963,5)="Print")*(ISERROR(SEARCH("(Varnish)",Production_Log!$D$3:$D$8963)))*Production_Log!$H$3:$H$8963)</f>
        <v/>
      </c>
      <c r="I15" s="312">
        <f>G15-H15</f>
        <v/>
      </c>
      <c r="J15" s="314">
        <f>IF(G15=0,"-",H15/G15)</f>
        <v/>
      </c>
      <c r="K15" s="313" t="n">
        <v>49470</v>
      </c>
      <c r="L15" s="3" t="n"/>
      <c r="M15" s="35" t="inlineStr">
        <is>
          <t>TOTAL</t>
        </is>
      </c>
      <c r="N15" s="35">
        <f>SUM($T$9:$T$22)/60</f>
        <v/>
      </c>
      <c r="O15" s="35" t="inlineStr">
        <is>
          <t>100%</t>
        </is>
      </c>
      <c r="P15" s="3" t="n"/>
      <c r="Q15" s="3" t="n"/>
      <c r="R15" s="3" t="n"/>
      <c r="T15" s="28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 ht="16.5" customHeight="1" s="249">
      <c r="A16" s="3" t="n"/>
      <c r="B16" s="308" t="inlineStr">
        <is>
          <t>TUBE</t>
        </is>
      </c>
      <c r="C16" s="309" t="inlineStr">
        <is>
          <t>Mablay Beauty PVT LTD.</t>
        </is>
      </c>
      <c r="D16" s="310" t="inlineStr">
        <is>
          <t>VINCE HIS ONLY BEARD &amp; MUSTACHE COLOR CREAM</t>
        </is>
      </c>
      <c r="E16" s="311" t="n">
        <v>20.5</v>
      </c>
      <c r="F16" s="312" t="n">
        <v>6077</v>
      </c>
      <c r="G16" s="312" t="n">
        <v>23970</v>
      </c>
      <c r="H16" s="313">
        <f>SUMPRODUCT((Production_Log!$F$3:$F$8963=F16)*(LEFT(Production_Log!$B$3:$B$8963,5)="Print")*(ISERROR(SEARCH("(Varnish)",Production_Log!$D$3:$D$8963)))*Production_Log!$H$3:$H$8963)</f>
        <v/>
      </c>
      <c r="I16" s="312">
        <f>G16-H16</f>
        <v/>
      </c>
      <c r="J16" s="314">
        <f>IF(G16=0,"-",H16/G16)</f>
        <v/>
      </c>
      <c r="K16" s="313" t="n">
        <v>23185</v>
      </c>
      <c r="L16" s="3" t="n"/>
      <c r="P16" s="3" t="n"/>
      <c r="Q16" s="3" t="n"/>
      <c r="R16" s="3" t="n"/>
      <c r="S16" t="inlineStr">
        <is>
          <t>Material Shortage</t>
        </is>
      </c>
      <c r="T16" s="28">
        <f>SUMPRODUCT((MONTH(Production_Log!$A$3:$A$8963)=MONTH(TODAY()))*(YEAR(Production_Log!$A$3:$A$8963)=YEAR(TODAY()))*Production_Log!$M$3:$M$8963)</f>
        <v/>
      </c>
      <c r="U16">
        <f>T16+0.00005</f>
        <v/>
      </c>
      <c r="V16" s="4" t="n"/>
      <c r="W16" s="4" t="n"/>
      <c r="X16" s="4" t="n"/>
      <c r="Y16" s="4" t="n"/>
      <c r="Z16" s="4" t="n"/>
      <c r="AA16" s="4" t="n"/>
      <c r="AB16" s="4" t="n"/>
      <c r="AC16" s="4" t="n"/>
    </row>
    <row r="17" ht="16.5" customHeight="1" s="249">
      <c r="A17" s="3" t="n"/>
      <c r="B17" s="308" t="inlineStr">
        <is>
          <t>TUBE</t>
        </is>
      </c>
      <c r="C17" s="309" t="inlineStr">
        <is>
          <t>Samsol International Private Limited</t>
        </is>
      </c>
      <c r="D17" s="310" t="inlineStr">
        <is>
          <t>S 43 25MM</t>
        </is>
      </c>
      <c r="E17" s="311" t="n">
        <v>25</v>
      </c>
      <c r="F17" s="312" t="n">
        <v>3447</v>
      </c>
      <c r="G17" s="312" t="n">
        <v>38976</v>
      </c>
      <c r="H17" s="313">
        <f>SUMPRODUCT((Production_Log!$F$3:$F$8963=F17)*(LEFT(Production_Log!$B$3:$B$8963,5)="Print")*(ISERROR(SEARCH("(Varnish)",Production_Log!$D$3:$D$8963)))*Production_Log!$H$3:$H$8963)</f>
        <v/>
      </c>
      <c r="I17" s="312">
        <f>G17-H17</f>
        <v/>
      </c>
      <c r="J17" s="314">
        <f>IF(G17=0,"-",H17/G17)</f>
        <v/>
      </c>
      <c r="K17" s="313" t="n">
        <v>50064</v>
      </c>
      <c r="L17" s="3" t="n"/>
      <c r="P17" s="3" t="n"/>
      <c r="Q17" s="3" t="n"/>
      <c r="R17" s="3" t="n"/>
      <c r="S17" t="inlineStr">
        <is>
          <t>Changeover</t>
        </is>
      </c>
      <c r="T17" s="28">
        <f>SUMPRODUCT((MONTH(Production_Log!$A$3:$A$8963)=MONTH(TODAY()))*(YEAR(Production_Log!$A$3:$A$8963)=YEAR(TODAY()))*Production_Log!$N$3:$N$8963)</f>
        <v/>
      </c>
      <c r="U17">
        <f>T17+0.00007</f>
        <v/>
      </c>
      <c r="V17" s="4" t="n"/>
      <c r="W17" s="4" t="n"/>
      <c r="X17" s="4" t="n"/>
      <c r="Y17" s="4" t="n"/>
      <c r="Z17" s="4" t="n"/>
      <c r="AA17" s="4" t="n"/>
      <c r="AB17" s="4" t="n"/>
      <c r="AC17" s="4" t="n"/>
    </row>
    <row r="18" ht="16.5" customHeight="1" s="249">
      <c r="A18" s="3" t="n"/>
      <c r="B18" s="308" t="inlineStr">
        <is>
          <t>TUBE</t>
        </is>
      </c>
      <c r="C18" s="309" t="inlineStr">
        <is>
          <t>Mablay Beauty PVT LTD.</t>
        </is>
      </c>
      <c r="D18" s="310" t="inlineStr">
        <is>
          <t>HIS ONLY HAIR COLOR CREAM 40GM</t>
        </is>
      </c>
      <c r="E18" s="311" t="n">
        <v>25</v>
      </c>
      <c r="F18" s="312" t="n">
        <v>6228</v>
      </c>
      <c r="G18" s="312" t="n">
        <v>21840</v>
      </c>
      <c r="H18" s="313">
        <f>SUMPRODUCT((Production_Log!$F$3:$F$8963=F18)*(LEFT(Production_Log!$B$3:$B$8963,5)="Print")*(ISERROR(SEARCH("(Varnish)",Production_Log!$D$3:$D$8963)))*Production_Log!$H$3:$H$8963)</f>
        <v/>
      </c>
      <c r="I18" s="312">
        <f>G18-H18</f>
        <v/>
      </c>
      <c r="J18" s="314">
        <f>IF(G18=0,"-",H18/G18)</f>
        <v/>
      </c>
      <c r="K18" s="313" t="n">
        <v>9744</v>
      </c>
      <c r="M18" s="3" t="n"/>
      <c r="N18" s="3" t="n"/>
      <c r="O18" s="3" t="n"/>
      <c r="P18" s="3" t="n"/>
      <c r="Q18" s="3" t="n"/>
      <c r="R18" s="4" t="n"/>
      <c r="S18" t="inlineStr">
        <is>
          <t>Operations</t>
        </is>
      </c>
      <c r="T18" s="28">
        <f>SUMPRODUCT((MONTH(Production_Log!$A$3:$A$8963)=MONTH(TODAY()))*(YEAR(Production_Log!$A$3:$A$8963)=YEAR(TODAY()))*Production_Log!$O$3:$O$8963)</f>
        <v/>
      </c>
      <c r="U18">
        <f>T18+0.00008</f>
        <v/>
      </c>
      <c r="V18" s="4" t="n"/>
      <c r="W18" s="4" t="n"/>
      <c r="X18" s="4" t="n"/>
      <c r="Y18" s="4" t="n"/>
      <c r="Z18" s="4" t="n"/>
      <c r="AA18" s="4" t="n"/>
      <c r="AB18" s="4" t="n"/>
      <c r="AC18" s="4" t="n"/>
    </row>
    <row r="19" ht="16.5" customHeight="1" s="249">
      <c r="A19" s="3" t="n"/>
      <c r="B19" s="308" t="inlineStr">
        <is>
          <t>TUBE</t>
        </is>
      </c>
      <c r="C19" s="309" t="inlineStr">
        <is>
          <t>Samsol International Private Limited</t>
        </is>
      </c>
      <c r="D19" s="310" t="inlineStr">
        <is>
          <t>TUBES COMMON RED</t>
        </is>
      </c>
      <c r="E19" s="311" t="n">
        <v>25</v>
      </c>
      <c r="F19" s="312" t="n">
        <v>6470</v>
      </c>
      <c r="G19" s="312" t="n">
        <v>0</v>
      </c>
      <c r="H19" s="313">
        <f>SUMPRODUCT((Production_Log!$F$3:$F$8963=F19)*(LEFT(Production_Log!$B$3:$B$8963,5)="Print")*(ISERROR(SEARCH("(Varnish)",Production_Log!$D$3:$D$8963)))*Production_Log!$H$3:$H$8963)</f>
        <v/>
      </c>
      <c r="I19" s="312">
        <f>G19-H19</f>
        <v/>
      </c>
      <c r="J19" s="314">
        <f>IF(G19=0,"-",H19/G19)</f>
        <v/>
      </c>
      <c r="K19" s="313" t="n"/>
      <c r="M19" s="3" t="n"/>
      <c r="N19" s="3" t="n"/>
      <c r="O19" s="3" t="n"/>
      <c r="P19" s="3" t="n"/>
      <c r="Q19" s="3" t="n"/>
      <c r="R19" s="4" t="n"/>
      <c r="T19" s="28" t="n"/>
      <c r="V19" s="4" t="n"/>
      <c r="W19" s="4" t="n"/>
      <c r="X19" s="4" t="n"/>
      <c r="Y19" s="4" t="n"/>
      <c r="Z19" s="4" t="n"/>
      <c r="AA19" s="4" t="n"/>
      <c r="AB19" s="4" t="n"/>
      <c r="AC19" s="4" t="n"/>
    </row>
    <row r="20" ht="16.5" customHeight="1" s="249">
      <c r="A20" s="3" t="n"/>
      <c r="B20" s="308" t="inlineStr">
        <is>
          <t>TUBE</t>
        </is>
      </c>
      <c r="C20" s="309" t="inlineStr">
        <is>
          <t>Samsol International Private Limited</t>
        </is>
      </c>
      <c r="D20" s="310" t="inlineStr">
        <is>
          <t>TUBES</t>
        </is>
      </c>
      <c r="E20" s="311" t="n">
        <v>25</v>
      </c>
      <c r="F20" s="312" t="n">
        <v>3726</v>
      </c>
      <c r="G20" s="312" t="n">
        <v>0</v>
      </c>
      <c r="H20" s="313">
        <f>SUMPRODUCT((Production_Log!$F$3:$F$8963=F20)*(LEFT(Production_Log!$B$3:$B$8963,5)="Print")*(ISERROR(SEARCH("(Varnish)",Production_Log!$D$3:$D$8963)))*Production_Log!$H$3:$H$8963)</f>
        <v/>
      </c>
      <c r="I20" s="312">
        <f>G20-H20</f>
        <v/>
      </c>
      <c r="J20" s="314">
        <f>IF(G20=0,"-",H20/G20)</f>
        <v/>
      </c>
      <c r="K20" s="313" t="n">
        <v>78288</v>
      </c>
      <c r="M20" s="3" t="n"/>
      <c r="N20" s="3" t="n"/>
      <c r="O20" s="3" t="n"/>
      <c r="P20" s="3" t="n"/>
      <c r="Q20" s="3" t="n"/>
      <c r="R20" s="4" t="n"/>
      <c r="T20" s="28" t="n"/>
      <c r="V20" s="4" t="n"/>
      <c r="W20" s="4" t="n"/>
      <c r="X20" s="4" t="n"/>
      <c r="Y20" s="4" t="n"/>
      <c r="Z20" s="4" t="n"/>
      <c r="AA20" s="4" t="n"/>
      <c r="AB20" s="4" t="n"/>
      <c r="AC20" s="4" t="n"/>
    </row>
    <row r="21" ht="16.5" customHeight="1" s="249">
      <c r="A21" s="3" t="n"/>
      <c r="B21" s="308" t="inlineStr">
        <is>
          <t>TUBE</t>
        </is>
      </c>
      <c r="C21" s="309" t="inlineStr">
        <is>
          <t>Mablay Beauty PVT LTD.</t>
        </is>
      </c>
      <c r="D21" s="310" t="inlineStr">
        <is>
          <t>VINCE NURTURAL</t>
        </is>
      </c>
      <c r="E21" s="311" t="n">
        <v>30</v>
      </c>
      <c r="F21" s="312" t="n">
        <v>5814</v>
      </c>
      <c r="G21" s="312" t="n">
        <v>23562</v>
      </c>
      <c r="H21" s="313">
        <f>SUMPRODUCT((Production_Log!$F$3:$F$8963=F21)*(LEFT(Production_Log!$B$3:$B$8963,5)="Print")*(ISERROR(SEARCH("(Varnish)",Production_Log!$D$3:$D$8963)))*Production_Log!$H$3:$H$8963)</f>
        <v/>
      </c>
      <c r="I21" s="312">
        <f>G21-H21</f>
        <v/>
      </c>
      <c r="J21" s="314">
        <f>IF(G21=0,"-",H21/G21)</f>
        <v/>
      </c>
      <c r="K21" s="313" t="n"/>
      <c r="M21" s="3" t="n"/>
      <c r="N21" s="3" t="n"/>
      <c r="O21" s="3" t="n"/>
      <c r="P21" s="3" t="n"/>
      <c r="Q21" s="3" t="n"/>
      <c r="R21" s="4" t="n"/>
      <c r="T21" s="28" t="n"/>
      <c r="V21" s="4" t="n"/>
      <c r="W21" s="4" t="n"/>
      <c r="X21" s="4" t="n"/>
      <c r="Y21" s="4" t="n"/>
      <c r="Z21" s="4" t="n"/>
      <c r="AA21" s="4" t="n"/>
      <c r="AB21" s="4" t="n"/>
      <c r="AC21" s="4" t="n"/>
    </row>
    <row r="22" ht="16.5" customHeight="1" s="249">
      <c r="A22" s="3" t="n"/>
      <c r="B22" s="308" t="inlineStr">
        <is>
          <t>TUBE</t>
        </is>
      </c>
      <c r="C22" s="309" t="inlineStr">
        <is>
          <t>Golden Pearl Cosmetics (PVT) LTD</t>
        </is>
      </c>
      <c r="D22" s="310" t="inlineStr">
        <is>
          <t>HELLO HAIR COLOR</t>
        </is>
      </c>
      <c r="E22" s="311" t="n">
        <v>30</v>
      </c>
      <c r="F22" s="312" t="n">
        <v>6206</v>
      </c>
      <c r="G22" s="312" t="n">
        <v>87108</v>
      </c>
      <c r="H22" s="313">
        <f>SUMPRODUCT((Production_Log!$F$3:$F$8963=F22)*(LEFT(Production_Log!$B$3:$B$8963,5)="Print")*(ISERROR(SEARCH("(Varnish)",Production_Log!$D$3:$D$8963)))*Production_Log!$H$3:$H$8963)</f>
        <v/>
      </c>
      <c r="I22" s="312">
        <f>G22-H22</f>
        <v/>
      </c>
      <c r="J22" s="314">
        <f>IF(G22=0,"-",H22/G22)</f>
        <v/>
      </c>
      <c r="K22" s="313" t="n">
        <v>152320</v>
      </c>
      <c r="L22" s="3" t="n"/>
      <c r="M22" s="3" t="n"/>
      <c r="N22" s="3" t="n"/>
      <c r="O22" s="3" t="n"/>
      <c r="P22" s="3" t="n"/>
      <c r="Q22" s="3" t="n"/>
      <c r="R22" s="3" t="n"/>
      <c r="T22" s="28" t="n"/>
      <c r="V22" s="4" t="n"/>
      <c r="W22" s="4" t="n"/>
      <c r="X22" s="4" t="n"/>
      <c r="Y22" s="4" t="n"/>
      <c r="Z22" s="4" t="n"/>
      <c r="AA22" s="4" t="n"/>
      <c r="AB22" s="4" t="n"/>
      <c r="AC22" s="4" t="n"/>
    </row>
    <row r="23" ht="16.5" customHeight="1" s="249">
      <c r="A23" s="3" t="n"/>
      <c r="B23" s="308" t="inlineStr">
        <is>
          <t>TUBE</t>
        </is>
      </c>
      <c r="C23" s="309" t="inlineStr">
        <is>
          <t>Seatle (Private) Limited</t>
        </is>
      </c>
      <c r="D23" s="310" t="inlineStr">
        <is>
          <t>DOWFEN GEL 50G</t>
        </is>
      </c>
      <c r="E23" s="311" t="n">
        <v>30</v>
      </c>
      <c r="F23" s="312" t="n">
        <v>6595</v>
      </c>
      <c r="G23" s="312" t="n">
        <v>0</v>
      </c>
      <c r="H23" s="313">
        <f>SUMPRODUCT((Production_Log!$F$3:$F$8963=F23)*(LEFT(Production_Log!$B$3:$B$8963,5)="Print")*(ISERROR(SEARCH("(Varnish)",Production_Log!$D$3:$D$8963)))*Production_Log!$H$3:$H$8963)</f>
        <v/>
      </c>
      <c r="I23" s="312">
        <f>G23-H23</f>
        <v/>
      </c>
      <c r="J23" s="314">
        <f>IF(G23=0,"-",H23/G23)</f>
        <v/>
      </c>
      <c r="K23" s="313" t="n">
        <v>24990</v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4" t="n"/>
      <c r="Y23" s="4" t="n"/>
      <c r="Z23" s="4" t="n"/>
      <c r="AA23" s="4" t="n"/>
      <c r="AB23" s="4" t="n"/>
      <c r="AC23" s="4" t="n"/>
    </row>
    <row r="24" ht="16.5" customHeight="1" s="249">
      <c r="A24" s="3" t="n"/>
      <c r="B24" s="308" t="inlineStr">
        <is>
          <t>TUBE</t>
        </is>
      </c>
      <c r="C24" s="309" t="inlineStr">
        <is>
          <t>Al-Rehman Group</t>
        </is>
      </c>
      <c r="D24" s="310" t="inlineStr">
        <is>
          <t>SIGNATURE HAIR COLOR CREAM 60ML</t>
        </is>
      </c>
      <c r="E24" s="311" t="n">
        <v>30</v>
      </c>
      <c r="F24" s="312" t="n">
        <v>6416</v>
      </c>
      <c r="G24" s="312" t="n">
        <v>0</v>
      </c>
      <c r="H24" s="313">
        <f>SUMPRODUCT((Production_Log!$F$3:$F$8963=F24)*(LEFT(Production_Log!$B$3:$B$8963,5)="Print")*(ISERROR(SEARCH("(Varnish)",Production_Log!$D$3:$D$8963)))*Production_Log!$H$3:$H$8963)</f>
        <v/>
      </c>
      <c r="I24" s="312">
        <f>G24-H24</f>
        <v/>
      </c>
      <c r="J24" s="314">
        <f>IF(G24=0,"-",H24/G24)</f>
        <v/>
      </c>
      <c r="K24" s="313" t="n">
        <v>10045</v>
      </c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4" t="n"/>
      <c r="Y24" s="4" t="n"/>
      <c r="Z24" s="4" t="n"/>
      <c r="AA24" s="4" t="n"/>
      <c r="AB24" s="4" t="n"/>
      <c r="AC24" s="4" t="n"/>
    </row>
    <row r="25" ht="16.5" customHeight="1" s="249">
      <c r="A25" s="3" t="n"/>
      <c r="B25" s="308" t="inlineStr">
        <is>
          <t>TUBE</t>
        </is>
      </c>
      <c r="C25" s="309" t="inlineStr">
        <is>
          <t>Hola Hair</t>
        </is>
      </c>
      <c r="D25" s="310" t="inlineStr">
        <is>
          <t>H.H 100GM</t>
        </is>
      </c>
      <c r="E25" s="311" t="n">
        <v>32</v>
      </c>
      <c r="F25" s="312" t="n">
        <v>6515</v>
      </c>
      <c r="G25" s="312" t="n">
        <v>13104</v>
      </c>
      <c r="H25" s="313">
        <f>SUMPRODUCT((Production_Log!$F$3:$F$8963=F25)*(LEFT(Production_Log!$B$3:$B$8963,5)="Print")*(ISERROR(SEARCH("(Varnish)",Production_Log!$D$3:$D$8963)))*Production_Log!$H$3:$H$8963)</f>
        <v/>
      </c>
      <c r="I25" s="312">
        <f>G25-H25</f>
        <v/>
      </c>
      <c r="J25" s="314">
        <f>IF(G25=0,"-",H25/G25)</f>
        <v/>
      </c>
      <c r="K25" s="31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4" t="n"/>
      <c r="Y25" s="4" t="n"/>
      <c r="Z25" s="4" t="n"/>
      <c r="AA25" s="4" t="n"/>
      <c r="AB25" s="4" t="n"/>
      <c r="AC25" s="4" t="n"/>
    </row>
    <row r="26" ht="16.5" customHeight="1" s="249">
      <c r="A26" s="3" t="n"/>
      <c r="B26" s="308" t="inlineStr">
        <is>
          <t>TUBE</t>
        </is>
      </c>
      <c r="C26" s="309" t="inlineStr">
        <is>
          <t>Adore</t>
        </is>
      </c>
      <c r="D26" s="310" t="inlineStr">
        <is>
          <t>V- HC BROWN</t>
        </is>
      </c>
      <c r="E26" s="311" t="n">
        <v>35</v>
      </c>
      <c r="F26" s="312" t="n">
        <v>6530</v>
      </c>
      <c r="G26" s="312" t="n">
        <v>34000</v>
      </c>
      <c r="H26" s="313">
        <f>SUMPRODUCT((Production_Log!$F$3:$F$8963=F26)*(LEFT(Production_Log!$B$3:$B$8963,5)="Print")*(ISERROR(SEARCH("(Varnish)",Production_Log!$D$3:$D$8963)))*Production_Log!$H$3:$H$8963)</f>
        <v/>
      </c>
      <c r="I26" s="312">
        <f>G26-H26</f>
        <v/>
      </c>
      <c r="J26" s="314">
        <f>IF(G26=0,"-",H26/G26)</f>
        <v/>
      </c>
      <c r="K26" s="313" t="n">
        <v>5040</v>
      </c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4" t="n"/>
      <c r="Y26" s="4" t="n"/>
      <c r="Z26" s="4" t="n"/>
      <c r="AA26" s="4" t="n"/>
      <c r="AB26" s="4" t="n"/>
      <c r="AC26" s="4" t="n"/>
    </row>
    <row r="27" ht="16.5" customHeight="1" s="249">
      <c r="A27" s="3" t="n"/>
      <c r="B27" s="308" t="inlineStr">
        <is>
          <t>TUBE</t>
        </is>
      </c>
      <c r="C27" s="309" t="inlineStr">
        <is>
          <t>Adore</t>
        </is>
      </c>
      <c r="D27" s="310" t="inlineStr">
        <is>
          <t>V-HC BLACK</t>
        </is>
      </c>
      <c r="E27" s="311" t="n">
        <v>35</v>
      </c>
      <c r="F27" s="312" t="n">
        <v>6531</v>
      </c>
      <c r="G27" s="312" t="n">
        <v>10620</v>
      </c>
      <c r="H27" s="313">
        <f>SUMPRODUCT((Production_Log!$F$3:$F$8963=F27)*(LEFT(Production_Log!$B$3:$B$8963,5)="Print")*(ISERROR(SEARCH("(Varnish)",Production_Log!$D$3:$D$8963)))*Production_Log!$H$3:$H$8963)</f>
        <v/>
      </c>
      <c r="I27" s="312">
        <f>G27-H27</f>
        <v/>
      </c>
      <c r="J27" s="314">
        <f>IF(G27=0,"-",H27/G27)</f>
        <v/>
      </c>
      <c r="K27" s="313" t="n"/>
      <c r="M27" s="3" t="n"/>
      <c r="N27" s="3" t="n"/>
      <c r="O27" s="3" t="n"/>
      <c r="P27" s="3" t="n"/>
      <c r="Q27" s="3" t="n"/>
      <c r="R27" s="4" t="n"/>
      <c r="T27" s="28" t="n"/>
      <c r="V27" s="4" t="n"/>
      <c r="W27" s="4" t="n"/>
      <c r="X27" s="4" t="n"/>
      <c r="Y27" s="4" t="n"/>
      <c r="Z27" s="4" t="n"/>
      <c r="AA27" s="4" t="n"/>
      <c r="AB27" s="4" t="n"/>
      <c r="AC27" s="4" t="n"/>
    </row>
    <row r="28" ht="16.5" customHeight="1" s="249">
      <c r="A28" s="3" t="n"/>
      <c r="B28" s="315" t="n"/>
      <c r="C28" s="316" t="n"/>
      <c r="D28" s="317" t="inlineStr">
        <is>
          <t>TOTAL</t>
        </is>
      </c>
      <c r="E28" s="315" t="n"/>
      <c r="F28" s="316" t="n"/>
      <c r="G28" s="318">
        <f>SUM(G11:G27)</f>
        <v/>
      </c>
      <c r="H28" s="318">
        <f>SUM(H11:H27)</f>
        <v/>
      </c>
      <c r="I28" s="318">
        <f>SUMIF(I11:I27,"&gt;"&amp;0)</f>
        <v/>
      </c>
      <c r="J28" s="318" t="n"/>
      <c r="K28" s="318">
        <f>SUM(K11:K27)</f>
        <v/>
      </c>
      <c r="M28" s="3" t="n"/>
      <c r="N28" s="3" t="n"/>
      <c r="O28" s="3" t="n"/>
      <c r="P28" s="3" t="n"/>
      <c r="Q28" s="3" t="n"/>
      <c r="R28" s="4" t="n"/>
      <c r="T28" s="28" t="n"/>
      <c r="V28" s="4" t="n"/>
      <c r="W28" s="4" t="n"/>
      <c r="X28" s="4" t="n"/>
      <c r="Y28" s="4" t="n"/>
      <c r="Z28" s="4" t="n"/>
      <c r="AA28" s="4" t="n"/>
      <c r="AB28" s="4" t="n"/>
      <c r="AC28" s="4" t="n"/>
    </row>
    <row r="29" ht="16.5" customHeight="1" s="249">
      <c r="A29" s="3" t="n"/>
      <c r="B29" s="308" t="inlineStr">
        <is>
          <t>PET</t>
        </is>
      </c>
      <c r="C29" s="309" t="inlineStr">
        <is>
          <t>Samsol International Private Limited</t>
        </is>
      </c>
      <c r="D29" s="310" t="inlineStr">
        <is>
          <t>PET BOTTLE SMALL (120ML) YELLOW</t>
        </is>
      </c>
      <c r="E29" s="311" t="inlineStr">
        <is>
          <t>120 ml</t>
        </is>
      </c>
      <c r="F29" s="312" t="n">
        <v>8005</v>
      </c>
      <c r="G29" s="312" t="n">
        <v>58960</v>
      </c>
      <c r="H29" s="313">
        <f>SUMPRODUCT((Production_Log!$F$3:$F$8963=F29)*Production_Log!$H$3:$H$8963)</f>
        <v/>
      </c>
      <c r="I29" s="312">
        <f>G29-H29</f>
        <v/>
      </c>
      <c r="J29" s="314">
        <f>IF(G29=0,"-",H29/G29)</f>
        <v/>
      </c>
      <c r="K29" s="313" t="n">
        <v>51720</v>
      </c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4" t="n"/>
      <c r="Y29" s="4" t="n"/>
      <c r="Z29" s="4" t="n"/>
      <c r="AA29" s="4" t="n"/>
      <c r="AB29" s="4" t="n"/>
      <c r="AC29" s="4" t="n"/>
    </row>
    <row r="30" ht="16.5" customHeight="1" s="249">
      <c r="A30" s="3" t="n"/>
      <c r="B30" s="308" t="inlineStr">
        <is>
          <t>PET</t>
        </is>
      </c>
      <c r="C30" s="309" t="inlineStr">
        <is>
          <t>Alpha Labs PVT LTD</t>
        </is>
      </c>
      <c r="D30" s="310" t="inlineStr">
        <is>
          <t>PET BOTTLE SMALL (130ML) TRANSPARENT</t>
        </is>
      </c>
      <c r="E30" s="311" t="inlineStr">
        <is>
          <t>130 ml</t>
        </is>
      </c>
      <c r="F30" s="312" t="n">
        <v>8010</v>
      </c>
      <c r="G30" s="312" t="n">
        <v>5000</v>
      </c>
      <c r="H30" s="313">
        <f>SUMPRODUCT((Production_Log!$F$3:$F$8963=F30)*Production_Log!$H$3:$H$8963)</f>
        <v/>
      </c>
      <c r="I30" s="312">
        <f>G30-H30</f>
        <v/>
      </c>
      <c r="J30" s="314">
        <f>IF(G30=0,"-",H30/G30)</f>
        <v/>
      </c>
      <c r="K30" s="313" t="n">
        <v>5520</v>
      </c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4" t="n"/>
      <c r="Y30" s="4" t="n"/>
      <c r="Z30" s="4" t="n"/>
      <c r="AA30" s="4" t="n"/>
      <c r="AB30" s="4" t="n"/>
      <c r="AC30" s="4" t="n"/>
    </row>
    <row r="31" ht="16.5" customHeight="1" s="249">
      <c r="A31" s="3" t="n"/>
      <c r="B31" s="308" t="inlineStr">
        <is>
          <t>PET</t>
        </is>
      </c>
      <c r="C31" s="309" t="inlineStr">
        <is>
          <t>Alpha Labs PVT LTD</t>
        </is>
      </c>
      <c r="D31" s="310" t="inlineStr">
        <is>
          <t>TRANSPARENT BOTTLE 150ML</t>
        </is>
      </c>
      <c r="E31" s="311" t="inlineStr">
        <is>
          <t>150 ml</t>
        </is>
      </c>
      <c r="F31" s="312" t="n">
        <v>8001</v>
      </c>
      <c r="G31" s="312" t="n">
        <v>166960</v>
      </c>
      <c r="H31" s="313">
        <f>SUMPRODUCT((Production_Log!$F$3:$F$8963=F31)*Production_Log!$H$3:$H$8963)</f>
        <v/>
      </c>
      <c r="I31" s="312">
        <f>G31-H31</f>
        <v/>
      </c>
      <c r="J31" s="314">
        <f>IF(G31=0,"-",H31/G31)</f>
        <v/>
      </c>
      <c r="K31" s="313" t="n">
        <v>50600</v>
      </c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4" t="n"/>
      <c r="Y31" s="4" t="n"/>
      <c r="Z31" s="4" t="n"/>
      <c r="AA31" s="4" t="n"/>
      <c r="AB31" s="4" t="n"/>
      <c r="AC31" s="4" t="n"/>
    </row>
    <row r="32" ht="16.5" customHeight="1" s="249">
      <c r="A32" s="3" t="n"/>
      <c r="B32" s="308" t="inlineStr">
        <is>
          <t>PET</t>
        </is>
      </c>
      <c r="C32" s="309" t="inlineStr">
        <is>
          <t>Samsol International Private Limited</t>
        </is>
      </c>
      <c r="D32" s="310" t="inlineStr">
        <is>
          <t>PET BOTTLE LARGE 200ML WHITE</t>
        </is>
      </c>
      <c r="E32" s="311" t="inlineStr">
        <is>
          <t>200 ml</t>
        </is>
      </c>
      <c r="F32" s="312" t="n">
        <v>8007</v>
      </c>
      <c r="G32" s="312" t="n">
        <v>10000</v>
      </c>
      <c r="H32" s="313">
        <f>SUMPRODUCT((Production_Log!$F$3:$F$8963=F32)*Production_Log!$H$3:$H$8963)</f>
        <v/>
      </c>
      <c r="I32" s="312">
        <f>G32-H32</f>
        <v/>
      </c>
      <c r="J32" s="314">
        <f>IF(G32=0,"-",H32/G32)</f>
        <v/>
      </c>
      <c r="K32" s="313" t="n"/>
      <c r="L32" s="3" t="n"/>
      <c r="M32" s="3" t="n"/>
      <c r="N32" s="3" t="n"/>
      <c r="O32" s="3" t="n"/>
      <c r="P32" s="3" t="n"/>
      <c r="Q32" s="3" t="n"/>
      <c r="R32" s="3" t="n"/>
      <c r="T32" s="28" t="n"/>
      <c r="V32" s="4" t="n"/>
      <c r="W32" s="4" t="n"/>
      <c r="X32" s="4" t="n"/>
      <c r="Y32" s="4" t="n"/>
      <c r="Z32" s="4" t="n"/>
      <c r="AA32" s="4" t="n"/>
      <c r="AB32" s="4" t="n"/>
      <c r="AC32" s="4" t="n"/>
    </row>
    <row r="33" ht="16.5" customHeight="1" s="249">
      <c r="A33" s="3" t="n"/>
      <c r="B33" s="308" t="inlineStr">
        <is>
          <t>PET</t>
        </is>
      </c>
      <c r="C33" s="309" t="inlineStr">
        <is>
          <t>Samsol International Private Limited</t>
        </is>
      </c>
      <c r="D33" s="310" t="inlineStr">
        <is>
          <t>BT-200 ML YELLOW</t>
        </is>
      </c>
      <c r="E33" s="311" t="inlineStr">
        <is>
          <t>200 ml</t>
        </is>
      </c>
      <c r="F33" s="312" t="n">
        <v>8006</v>
      </c>
      <c r="G33" s="312" t="n">
        <v>42400</v>
      </c>
      <c r="H33" s="313">
        <f>SUMPRODUCT((Production_Log!$F$3:$F$8963=F33)*Production_Log!$H$3:$H$8963)</f>
        <v/>
      </c>
      <c r="I33" s="312">
        <f>G33-H33</f>
        <v/>
      </c>
      <c r="J33" s="314">
        <f>IF(G33=0,"-",H33/G33)</f>
        <v/>
      </c>
      <c r="K33" s="313" t="n"/>
      <c r="L33" s="3" t="n"/>
      <c r="M33" s="3" t="n"/>
      <c r="N33" s="3" t="n"/>
      <c r="O33" s="3" t="n"/>
      <c r="P33" s="3" t="n"/>
      <c r="Q33" s="3" t="n"/>
      <c r="R33" s="3" t="n"/>
      <c r="T33" s="28" t="n"/>
      <c r="V33" s="4" t="n"/>
      <c r="W33" s="4" t="n"/>
      <c r="X33" s="4" t="n"/>
      <c r="Y33" s="4" t="n"/>
      <c r="Z33" s="4" t="n"/>
      <c r="AA33" s="4" t="n"/>
      <c r="AB33" s="4" t="n"/>
      <c r="AC33" s="4" t="n"/>
    </row>
    <row r="34" ht="16.5" customHeight="1" s="249">
      <c r="A34" s="3" t="n"/>
      <c r="B34" s="308" t="inlineStr">
        <is>
          <t>PET</t>
        </is>
      </c>
      <c r="C34" s="309" t="inlineStr">
        <is>
          <t>Samsol International Private Limited</t>
        </is>
      </c>
      <c r="D34" s="310" t="inlineStr">
        <is>
          <t>BT-200ML MUSTARD OIL (TRANSPARENT)</t>
        </is>
      </c>
      <c r="E34" s="311" t="inlineStr">
        <is>
          <t>200 ml</t>
        </is>
      </c>
      <c r="F34" s="312" t="n">
        <v>8014</v>
      </c>
      <c r="G34" s="312" t="n">
        <v>10000</v>
      </c>
      <c r="H34" s="313">
        <f>SUMPRODUCT((Production_Log!$F$3:$F$8963=F34)*Production_Log!$H$3:$H$8963)</f>
        <v/>
      </c>
      <c r="I34" s="312">
        <f>G34-H34</f>
        <v/>
      </c>
      <c r="J34" s="314">
        <f>IF(G34=0,"-",H34/G34)</f>
        <v/>
      </c>
      <c r="K34" s="313" t="n"/>
      <c r="M34" s="3" t="n"/>
      <c r="N34" s="3" t="n"/>
      <c r="O34" s="3" t="n"/>
      <c r="P34" s="3" t="n"/>
      <c r="Q34" s="3" t="n"/>
      <c r="R34" s="4" t="n"/>
      <c r="T34" s="28" t="n"/>
      <c r="V34" s="4" t="n"/>
      <c r="W34" s="4" t="n"/>
      <c r="X34" s="4" t="n"/>
      <c r="Y34" s="4" t="n"/>
      <c r="Z34" s="4" t="n"/>
      <c r="AA34" s="4" t="n"/>
      <c r="AB34" s="4" t="n"/>
      <c r="AC34" s="4" t="n"/>
    </row>
    <row r="35" ht="16.5" customHeight="1" s="249">
      <c r="A35" s="3" t="n"/>
      <c r="B35" s="315" t="n"/>
      <c r="C35" s="316" t="n"/>
      <c r="D35" s="317" t="inlineStr">
        <is>
          <t>TOTAL</t>
        </is>
      </c>
      <c r="E35" s="315" t="n"/>
      <c r="F35" s="316" t="n"/>
      <c r="G35" s="318">
        <f>SUM(G29:G34)</f>
        <v/>
      </c>
      <c r="H35" s="318">
        <f>SUM(H29:H34)</f>
        <v/>
      </c>
      <c r="I35" s="318">
        <f>SUMIF(I29:I34,"&gt;"&amp;0)</f>
        <v/>
      </c>
      <c r="J35" s="318" t="n"/>
      <c r="K35" s="318">
        <f>SUM(K29:K34)</f>
        <v/>
      </c>
      <c r="L35" s="3" t="n"/>
      <c r="P35" s="3" t="n"/>
      <c r="Q35" s="3" t="n"/>
      <c r="R35" s="3" t="n"/>
      <c r="S35" t="inlineStr">
        <is>
          <t>Gas Shutdown</t>
        </is>
      </c>
      <c r="T35" s="28">
        <f>SUMPRODUCT((MONTH(Production_Log!$A$3:$A$8963)=MONTH(TODAY()))*(YEAR(Production_Log!$A$3:$A$8963)=YEAR(TODAY()))*Production_Log!$Q$3:$Q$8963)</f>
        <v/>
      </c>
      <c r="U35">
        <f>T35+0.00006</f>
        <v/>
      </c>
      <c r="V35" s="4" t="n"/>
      <c r="W35" s="4" t="n"/>
      <c r="X35" s="4" t="n"/>
      <c r="Y35" s="4" t="n"/>
      <c r="Z35" s="4" t="n"/>
      <c r="AA35" s="4" t="n"/>
      <c r="AB35" s="4" t="n"/>
      <c r="AC35" s="4" t="n"/>
    </row>
    <row r="36" ht="16.5" customHeight="1" s="249">
      <c r="A36" s="3" t="n"/>
      <c r="B36" s="308" t="inlineStr">
        <is>
          <t>TUBE</t>
        </is>
      </c>
      <c r="C36" s="309" t="inlineStr">
        <is>
          <t>Bahadur</t>
        </is>
      </c>
      <c r="D36" s="310" t="inlineStr">
        <is>
          <t>BAHADUR TUBE 12.5MM</t>
        </is>
      </c>
      <c r="E36" s="311" t="n">
        <v>12.5</v>
      </c>
      <c r="F36" s="312" t="n">
        <v>9004</v>
      </c>
      <c r="G36" s="312" t="n">
        <v>0</v>
      </c>
      <c r="H36" s="313">
        <f>SUMPRODUCT((Production_Log!$F$3:$F$8963=F36)*(LEFT(Production_Log!$B$3:$B$8963,5)="Print")*(ISERROR(SEARCH("(Varnish)",Production_Log!$D$3:$D$8963)))*Production_Log!$H$3:$H$8963)</f>
        <v/>
      </c>
      <c r="I36" s="312">
        <f>G36-H36</f>
        <v/>
      </c>
      <c r="J36" s="314">
        <f>IF(G36=0,"-",H36/G36)</f>
        <v/>
      </c>
      <c r="K36" s="31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4" t="n"/>
      <c r="Y36" s="4" t="n"/>
      <c r="Z36" s="4" t="n"/>
      <c r="AA36" s="4" t="n"/>
      <c r="AB36" s="4" t="n"/>
      <c r="AC36" s="4" t="n"/>
    </row>
    <row r="37" ht="16.5" customHeight="1" s="249">
      <c r="A37" s="3" t="n"/>
      <c r="B37" s="308" t="inlineStr">
        <is>
          <t>TUBE</t>
        </is>
      </c>
      <c r="C37" s="309" t="inlineStr">
        <is>
          <t>Brookes Pharma Private Limited</t>
        </is>
      </c>
      <c r="D37" s="310" t="inlineStr">
        <is>
          <t>PYODINE GEL 20GM</t>
        </is>
      </c>
      <c r="E37" s="311" t="n">
        <v>19</v>
      </c>
      <c r="F37" s="312" t="n">
        <v>1085</v>
      </c>
      <c r="G37" s="312" t="n">
        <v>0</v>
      </c>
      <c r="H37" s="313">
        <f>SUMPRODUCT((Production_Log!$F$3:$F$8963=F37)*(LEFT(Production_Log!$B$3:$B$8963,5)="Print")*(ISERROR(SEARCH("(Varnish)",Production_Log!$D$3:$D$8963)))*Production_Log!$H$3:$H$8963)</f>
        <v/>
      </c>
      <c r="I37" s="312">
        <f>G37-H37</f>
        <v/>
      </c>
      <c r="J37" s="314">
        <f>IF(G37=0,"-",H37/G37)</f>
        <v/>
      </c>
      <c r="K37" s="31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4" t="n"/>
      <c r="Y37" s="4" t="n"/>
      <c r="Z37" s="4" t="n"/>
      <c r="AA37" s="4" t="n"/>
      <c r="AB37" s="4" t="n"/>
      <c r="AC37" s="4" t="n"/>
    </row>
    <row r="38" ht="16.5" customHeight="1" s="249">
      <c r="A38" s="3" t="n"/>
      <c r="B38" s="308" t="inlineStr">
        <is>
          <t>TUBE</t>
        </is>
      </c>
      <c r="C38" s="309" t="inlineStr">
        <is>
          <t>Brookes Pharma Private Limited</t>
        </is>
      </c>
      <c r="D38" s="310" t="inlineStr">
        <is>
          <t>CONTRATUBEX GEL 20G</t>
        </is>
      </c>
      <c r="E38" s="311" t="n">
        <v>19</v>
      </c>
      <c r="F38" s="312" t="n">
        <v>6560</v>
      </c>
      <c r="G38" s="312" t="n">
        <v>0</v>
      </c>
      <c r="H38" s="313">
        <f>SUMPRODUCT((Production_Log!$F$3:$F$8963=F38)*(LEFT(Production_Log!$B$3:$B$8963,5)="Print")*(ISERROR(SEARCH("(Varnish)",Production_Log!$D$3:$D$8963)))*Production_Log!$H$3:$H$8963)</f>
        <v/>
      </c>
      <c r="I38" s="312">
        <f>G38-H38</f>
        <v/>
      </c>
      <c r="J38" s="314">
        <f>IF(G38=0,"-",H38/G38)</f>
        <v/>
      </c>
      <c r="K38" s="31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4" t="n"/>
      <c r="Y38" s="4" t="n"/>
      <c r="Z38" s="4" t="n"/>
      <c r="AA38" s="4" t="n"/>
      <c r="AB38" s="4" t="n"/>
      <c r="AC38" s="4" t="n"/>
    </row>
    <row r="39" ht="16.5" customHeight="1" s="249">
      <c r="A39" s="3" t="n"/>
      <c r="B39" s="308" t="inlineStr">
        <is>
          <t>TUBE</t>
        </is>
      </c>
      <c r="C39" s="309" t="inlineStr">
        <is>
          <t>Samsol International Private Limited</t>
        </is>
      </c>
      <c r="D39" s="310" t="inlineStr">
        <is>
          <t>S-45 DIA 20.5</t>
        </is>
      </c>
      <c r="E39" s="311" t="n">
        <v>20.5</v>
      </c>
      <c r="F39" s="312" t="n">
        <v>5698</v>
      </c>
      <c r="G39" s="312" t="n">
        <v>0</v>
      </c>
      <c r="H39" s="313">
        <f>SUMPRODUCT((Production_Log!$F$3:$F$8963=F39)*(LEFT(Production_Log!$B$3:$B$8963,5)="Print")*(ISERROR(SEARCH("(Varnish)",Production_Log!$D$3:$D$8963)))*Production_Log!$H$3:$H$8963)</f>
        <v/>
      </c>
      <c r="I39" s="312">
        <f>G39-H39</f>
        <v/>
      </c>
      <c r="J39" s="314">
        <f>IF(G39=0,"-",H39/G39)</f>
        <v/>
      </c>
      <c r="K39" s="31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4" t="n"/>
      <c r="Y39" s="4" t="n"/>
      <c r="Z39" s="4" t="n"/>
      <c r="AA39" s="4" t="n"/>
      <c r="AB39" s="4" t="n"/>
      <c r="AC39" s="4" t="n"/>
    </row>
    <row r="40" ht="16.5" customHeight="1" s="249">
      <c r="A40" s="3" t="n"/>
      <c r="B40" s="308" t="inlineStr">
        <is>
          <t>TUBE</t>
        </is>
      </c>
      <c r="C40" s="309" t="inlineStr">
        <is>
          <t>Samsol International Private Limited</t>
        </is>
      </c>
      <c r="D40" s="310" t="inlineStr">
        <is>
          <t>SAMSOL HAIR COLOR 45 DIA 20.5 MM</t>
        </is>
      </c>
      <c r="E40" s="311" t="n">
        <v>20.5</v>
      </c>
      <c r="F40" s="312" t="n">
        <v>5731</v>
      </c>
      <c r="G40" s="312" t="n">
        <v>0</v>
      </c>
      <c r="H40" s="313">
        <f>SUMPRODUCT((Production_Log!$F$3:$F$8963=F40)*(LEFT(Production_Log!$B$3:$B$8963,5)="Print")*(ISERROR(SEARCH("(Varnish)",Production_Log!$D$3:$D$8963)))*Production_Log!$H$3:$H$8963)</f>
        <v/>
      </c>
      <c r="I40" s="312">
        <f>G40-H40</f>
        <v/>
      </c>
      <c r="J40" s="314">
        <f>IF(G40=0,"-",H40/G40)</f>
        <v/>
      </c>
      <c r="K40" s="31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4" t="n"/>
      <c r="Y40" s="4" t="n"/>
      <c r="Z40" s="4" t="n"/>
      <c r="AA40" s="4" t="n"/>
      <c r="AB40" s="4" t="n"/>
      <c r="AC40" s="4" t="n"/>
    </row>
    <row r="41" ht="16.5" customHeight="1" s="249">
      <c r="A41" s="3" t="n"/>
      <c r="B41" s="308" t="inlineStr">
        <is>
          <t>TUBE</t>
        </is>
      </c>
      <c r="C41" s="309" t="inlineStr">
        <is>
          <t>Samsol International Private Limited</t>
        </is>
      </c>
      <c r="D41" s="310" t="inlineStr">
        <is>
          <t>SAMSOL HAIR COLOR 43 DIA 20.5 MM</t>
        </is>
      </c>
      <c r="E41" s="311" t="n">
        <v>20.5</v>
      </c>
      <c r="F41" s="312" t="n">
        <v>5732</v>
      </c>
      <c r="G41" s="312" t="n">
        <v>0</v>
      </c>
      <c r="H41" s="313">
        <f>SUMPRODUCT((Production_Log!$F$3:$F$8963=F41)*(LEFT(Production_Log!$B$3:$B$8963,5)="Print")*(ISERROR(SEARCH("(Varnish)",Production_Log!$D$3:$D$8963)))*Production_Log!$H$3:$H$8963)</f>
        <v/>
      </c>
      <c r="I41" s="312">
        <f>G41-H41</f>
        <v/>
      </c>
      <c r="J41" s="314">
        <f>IF(G41=0,"-",H41/G41)</f>
        <v/>
      </c>
      <c r="K41" s="31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4" t="n"/>
      <c r="Y41" s="4" t="n"/>
      <c r="Z41" s="4" t="n"/>
      <c r="AA41" s="4" t="n"/>
      <c r="AB41" s="4" t="n"/>
      <c r="AC41" s="4" t="n"/>
    </row>
    <row r="42" ht="16.5" customHeight="1" s="249">
      <c r="A42" s="3" t="n"/>
      <c r="B42" s="308" t="inlineStr">
        <is>
          <t>TUBE</t>
        </is>
      </c>
      <c r="C42" s="309" t="inlineStr">
        <is>
          <t>Samsol International Private Limited</t>
        </is>
      </c>
      <c r="D42" s="310" t="inlineStr">
        <is>
          <t>SAMSOL HAIR COLOR 39 SMALL PURPLE</t>
        </is>
      </c>
      <c r="E42" s="311" t="n">
        <v>20.5</v>
      </c>
      <c r="F42" s="312" t="n">
        <v>6556</v>
      </c>
      <c r="G42" s="312" t="n">
        <v>0</v>
      </c>
      <c r="H42" s="313">
        <f>SUMPRODUCT((Production_Log!$F$3:$F$8963=F42)*(LEFT(Production_Log!$B$3:$B$8963,5)="Print")*(ISERROR(SEARCH("(Varnish)",Production_Log!$D$3:$D$8963)))*Production_Log!$H$3:$H$8963)</f>
        <v/>
      </c>
      <c r="I42" s="312">
        <f>G42-H42</f>
        <v/>
      </c>
      <c r="J42" s="314">
        <f>IF(G42=0,"-",H42/G42)</f>
        <v/>
      </c>
      <c r="K42" s="31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4" t="n"/>
      <c r="Y42" s="4" t="n"/>
      <c r="Z42" s="4" t="n"/>
      <c r="AA42" s="4" t="n"/>
      <c r="AB42" s="4" t="n"/>
      <c r="AC42" s="4" t="n"/>
    </row>
    <row r="43" ht="16.5" customHeight="1" s="249">
      <c r="A43" s="3" t="n"/>
      <c r="B43" s="308" t="inlineStr">
        <is>
          <t>TUBE</t>
        </is>
      </c>
      <c r="C43" s="309" t="inlineStr">
        <is>
          <t>Samsol International Private Limited</t>
        </is>
      </c>
      <c r="D43" s="310" t="inlineStr">
        <is>
          <t>SAMSOL HAIR COLOR 41 SMALL PURPLE</t>
        </is>
      </c>
      <c r="E43" s="311" t="n">
        <v>20.5</v>
      </c>
      <c r="F43" s="312" t="n">
        <v>6557</v>
      </c>
      <c r="G43" s="312" t="n">
        <v>0</v>
      </c>
      <c r="H43" s="313">
        <f>SUMPRODUCT((Production_Log!$F$3:$F$8963=F43)*(LEFT(Production_Log!$B$3:$B$8963,5)="Print")*(ISERROR(SEARCH("(Varnish)",Production_Log!$D$3:$D$8963)))*Production_Log!$H$3:$H$8963)</f>
        <v/>
      </c>
      <c r="I43" s="312">
        <f>G43-H43</f>
        <v/>
      </c>
      <c r="J43" s="314">
        <f>IF(G43=0,"-",H43/G43)</f>
        <v/>
      </c>
      <c r="K43" s="31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4" t="n"/>
      <c r="Y43" s="4" t="n"/>
      <c r="Z43" s="4" t="n"/>
      <c r="AA43" s="4" t="n"/>
      <c r="AB43" s="4" t="n"/>
      <c r="AC43" s="4" t="n"/>
    </row>
    <row r="44" ht="16.5" customHeight="1" s="249">
      <c r="A44" s="3" t="n"/>
      <c r="B44" s="308" t="inlineStr">
        <is>
          <t>TUBE</t>
        </is>
      </c>
      <c r="C44" s="309" t="inlineStr">
        <is>
          <t>DTM</t>
        </is>
      </c>
      <c r="D44" s="310" t="inlineStr">
        <is>
          <t>DTM DIA 25MM</t>
        </is>
      </c>
      <c r="E44" s="311" t="n">
        <v>25</v>
      </c>
      <c r="F44" s="312" t="n">
        <v>6338</v>
      </c>
      <c r="G44" s="312" t="n">
        <v>0</v>
      </c>
      <c r="H44" s="313">
        <f>SUMPRODUCT((Production_Log!$F$3:$F$8963=F44)*(LEFT(Production_Log!$B$3:$B$8963,5)="Print")*(ISERROR(SEARCH("(Varnish)",Production_Log!$D$3:$D$8963)))*Production_Log!$H$3:$H$8963)</f>
        <v/>
      </c>
      <c r="I44" s="312">
        <f>G44-H44</f>
        <v/>
      </c>
      <c r="J44" s="314">
        <f>IF(G44=0,"-",H44/G44)</f>
        <v/>
      </c>
      <c r="K44" s="31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4" t="n"/>
      <c r="Y44" s="4" t="n"/>
      <c r="Z44" s="4" t="n"/>
      <c r="AA44" s="4" t="n"/>
      <c r="AB44" s="4" t="n"/>
      <c r="AC44" s="4" t="n"/>
    </row>
    <row r="45" ht="16.5" customHeight="1" s="249">
      <c r="A45" s="3" t="n"/>
      <c r="B45" s="308" t="inlineStr">
        <is>
          <t>TUBE</t>
        </is>
      </c>
      <c r="C45" s="309" t="inlineStr">
        <is>
          <t>Samsol International Private Limited</t>
        </is>
      </c>
      <c r="D45" s="310" t="inlineStr">
        <is>
          <t>SAMSOL RED 25MM</t>
        </is>
      </c>
      <c r="E45" s="311" t="n">
        <v>25</v>
      </c>
      <c r="F45" s="312" t="n">
        <v>9006</v>
      </c>
      <c r="G45" s="312" t="n">
        <v>0</v>
      </c>
      <c r="H45" s="313">
        <f>SUMPRODUCT((Production_Log!$F$3:$F$8963=F45)*(LEFT(Production_Log!$B$3:$B$8963,5)="Print")*(ISERROR(SEARCH("(Varnish)",Production_Log!$D$3:$D$8963)))*Production_Log!$H$3:$H$8963)</f>
        <v/>
      </c>
      <c r="I45" s="312">
        <f>G45-H45</f>
        <v/>
      </c>
      <c r="J45" s="314">
        <f>IF(G45=0,"-",H45/G45)</f>
        <v/>
      </c>
      <c r="K45" s="31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4" t="n"/>
      <c r="Y45" s="4" t="n"/>
      <c r="Z45" s="4" t="n"/>
      <c r="AA45" s="4" t="n"/>
      <c r="AB45" s="4" t="n"/>
      <c r="AC45" s="4" t="n"/>
    </row>
    <row r="46" ht="16.5" customHeight="1" s="249">
      <c r="A46" s="3" t="n"/>
      <c r="B46" s="308" t="inlineStr">
        <is>
          <t>TUBE</t>
        </is>
      </c>
      <c r="C46" s="309" t="inlineStr">
        <is>
          <t>Samsol International Private Limited</t>
        </is>
      </c>
      <c r="D46" s="310" t="inlineStr">
        <is>
          <t>TUBES MEN BLUE</t>
        </is>
      </c>
      <c r="E46" s="311" t="n">
        <v>25</v>
      </c>
      <c r="F46" s="312" t="n">
        <v>6506</v>
      </c>
      <c r="G46" s="312" t="n">
        <v>0</v>
      </c>
      <c r="H46" s="313">
        <f>SUMPRODUCT((Production_Log!$F$3:$F$8963=F46)*(LEFT(Production_Log!$B$3:$B$8963,5)="Print")*(ISERROR(SEARCH("(Varnish)",Production_Log!$D$3:$D$8963)))*Production_Log!$H$3:$H$8963)</f>
        <v/>
      </c>
      <c r="I46" s="312">
        <f>G46-H46</f>
        <v/>
      </c>
      <c r="J46" s="314">
        <f>IF(G46=0,"-",H46/G46)</f>
        <v/>
      </c>
      <c r="K46" s="31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4" t="n"/>
      <c r="Y46" s="4" t="n"/>
      <c r="Z46" s="4" t="n"/>
      <c r="AA46" s="4" t="n"/>
      <c r="AB46" s="4" t="n"/>
      <c r="AC46" s="4" t="n"/>
    </row>
    <row r="47" ht="16.5" customHeight="1" s="249">
      <c r="A47" s="3" t="n"/>
      <c r="B47" s="308" t="inlineStr">
        <is>
          <t>TUBE</t>
        </is>
      </c>
      <c r="C47" s="309" t="inlineStr">
        <is>
          <t>Samsol International Private Limited</t>
        </is>
      </c>
      <c r="D47" s="310" t="inlineStr">
        <is>
          <t>TUBE COMMON PURPLE</t>
        </is>
      </c>
      <c r="E47" s="311" t="n">
        <v>25</v>
      </c>
      <c r="F47" s="312" t="n">
        <v>6532</v>
      </c>
      <c r="G47" s="312" t="n">
        <v>0</v>
      </c>
      <c r="H47" s="313">
        <f>SUMPRODUCT((Production_Log!$F$3:$F$8963=F47)*(LEFT(Production_Log!$B$3:$B$8963,5)="Print")*(ISERROR(SEARCH("(Varnish)",Production_Log!$D$3:$D$8963)))*Production_Log!$H$3:$H$8963)</f>
        <v/>
      </c>
      <c r="I47" s="312">
        <f>G47-H47</f>
        <v/>
      </c>
      <c r="J47" s="314">
        <f>IF(G47=0,"-",H47/G47)</f>
        <v/>
      </c>
      <c r="K47" s="31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4" t="n"/>
      <c r="Y47" s="4" t="n"/>
      <c r="Z47" s="4" t="n"/>
      <c r="AA47" s="4" t="n"/>
      <c r="AB47" s="4" t="n"/>
      <c r="AC47" s="4" t="n"/>
    </row>
    <row r="48" ht="16.5" customHeight="1" s="249">
      <c r="A48" s="3" t="n"/>
      <c r="B48" s="308" t="inlineStr">
        <is>
          <t>TUBE</t>
        </is>
      </c>
      <c r="C48" s="309" t="inlineStr">
        <is>
          <t>Al-Rehman Group</t>
        </is>
      </c>
      <c r="D48" s="310" t="inlineStr">
        <is>
          <t>ACTIVE PRO HAIR COLOR CREAM 60ML</t>
        </is>
      </c>
      <c r="E48" s="311" t="n">
        <v>30</v>
      </c>
      <c r="F48" s="312" t="n">
        <v>6337</v>
      </c>
      <c r="G48" s="312" t="n">
        <v>0</v>
      </c>
      <c r="H48" s="313">
        <f>SUMPRODUCT((Production_Log!$F$3:$F$8963=F48)*(LEFT(Production_Log!$B$3:$B$8963,5)="Print")*(ISERROR(SEARCH("(Varnish)",Production_Log!$D$3:$D$8963)))*Production_Log!$H$3:$H$8963)</f>
        <v/>
      </c>
      <c r="I48" s="312">
        <f>G48-H48</f>
        <v/>
      </c>
      <c r="J48" s="314">
        <f>IF(G48=0,"-",H48/G48)</f>
        <v/>
      </c>
      <c r="K48" s="31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4" t="n"/>
      <c r="Y48" s="4" t="n"/>
      <c r="Z48" s="4" t="n"/>
      <c r="AA48" s="4" t="n"/>
      <c r="AB48" s="4" t="n"/>
      <c r="AC48" s="4" t="n"/>
    </row>
    <row r="49" ht="16.5" customHeight="1" s="249">
      <c r="A49" s="3" t="n"/>
      <c r="B49" s="308" t="inlineStr">
        <is>
          <t>TUBE</t>
        </is>
      </c>
      <c r="C49" s="309" t="inlineStr">
        <is>
          <t>Mablay Beauty PVT LTD.</t>
        </is>
      </c>
      <c r="D49" s="310" t="inlineStr">
        <is>
          <t>VINCE NURTURAL (Varnish)</t>
        </is>
      </c>
      <c r="E49" s="311" t="n">
        <v>30</v>
      </c>
      <c r="F49" s="312" t="n">
        <v>9002</v>
      </c>
      <c r="G49" s="312" t="n">
        <v>0</v>
      </c>
      <c r="H49" s="313">
        <f>SUMPRODUCT((Production_Log!$F$3:$F$8963=F49)*(LEFT(Production_Log!$B$3:$B$8963,5)="Print")*(ISERROR(SEARCH("(Varnish)",Production_Log!$D$3:$D$8963)))*Production_Log!$H$3:$H$8963)</f>
        <v/>
      </c>
      <c r="I49" s="312">
        <f>G49-H49</f>
        <v/>
      </c>
      <c r="J49" s="314">
        <f>IF(G49=0,"-",H49/G49)</f>
        <v/>
      </c>
      <c r="K49" s="31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4" t="n"/>
      <c r="Y49" s="4" t="n"/>
      <c r="Z49" s="4" t="n"/>
      <c r="AA49" s="4" t="n"/>
      <c r="AB49" s="4" t="n"/>
      <c r="AC49" s="4" t="n"/>
    </row>
    <row r="50" ht="16.5" customHeight="1" s="249">
      <c r="A50" s="3" t="n"/>
      <c r="B50" s="308" t="inlineStr">
        <is>
          <t>TUBE</t>
        </is>
      </c>
      <c r="C50" s="309" t="inlineStr">
        <is>
          <t>Professional Beauty Solution (PVT) LTD.Pakistan</t>
        </is>
      </c>
      <c r="D50" s="310" t="inlineStr">
        <is>
          <t>EAZICOLOR PREMIUM HAIR COLOUR 60ML</t>
        </is>
      </c>
      <c r="E50" s="311" t="n">
        <v>30</v>
      </c>
      <c r="F50" s="312" t="n">
        <v>4050</v>
      </c>
      <c r="G50" s="312" t="n">
        <v>0</v>
      </c>
      <c r="H50" s="313">
        <f>SUMPRODUCT((Production_Log!$F$3:$F$8963=F50)*(LEFT(Production_Log!$B$3:$B$8963,5)="Print")*(ISERROR(SEARCH("(Varnish)",Production_Log!$D$3:$D$8963)))*Production_Log!$H$3:$H$8963)</f>
        <v/>
      </c>
      <c r="I50" s="312">
        <f>G50-H50</f>
        <v/>
      </c>
      <c r="J50" s="314">
        <f>IF(G50=0,"-",H50/G50)</f>
        <v/>
      </c>
      <c r="K50" s="31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4" t="n"/>
      <c r="Y50" s="4" t="n"/>
      <c r="Z50" s="4" t="n"/>
      <c r="AA50" s="4" t="n"/>
      <c r="AB50" s="4" t="n"/>
      <c r="AC50" s="4" t="n"/>
    </row>
    <row r="51" ht="16.5" customHeight="1" s="249">
      <c r="A51" s="3" t="n"/>
      <c r="B51" s="308" t="inlineStr">
        <is>
          <t>TUBE</t>
        </is>
      </c>
      <c r="C51" s="309" t="inlineStr">
        <is>
          <t>Professional Beauty Solution (PVT) LTD.Pakistan</t>
        </is>
      </c>
      <c r="D51" s="310" t="inlineStr">
        <is>
          <t>HIBA S HAIR COLOR 60ML</t>
        </is>
      </c>
      <c r="E51" s="311" t="n">
        <v>30</v>
      </c>
      <c r="F51" s="312" t="n">
        <v>6312</v>
      </c>
      <c r="G51" s="312" t="n">
        <v>0</v>
      </c>
      <c r="H51" s="313">
        <f>SUMPRODUCT((Production_Log!$F$3:$F$8963=F51)*(LEFT(Production_Log!$B$3:$B$8963,5)="Print")*(ISERROR(SEARCH("(Varnish)",Production_Log!$D$3:$D$8963)))*Production_Log!$H$3:$H$8963)</f>
        <v/>
      </c>
      <c r="I51" s="312">
        <f>G51-H51</f>
        <v/>
      </c>
      <c r="J51" s="314">
        <f>IF(G51=0,"-",H51/G51)</f>
        <v/>
      </c>
      <c r="K51" s="31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4" t="n"/>
      <c r="Y51" s="4" t="n"/>
      <c r="Z51" s="4" t="n"/>
      <c r="AA51" s="4" t="n"/>
      <c r="AB51" s="4" t="n"/>
      <c r="AC51" s="4" t="n"/>
    </row>
    <row r="52" ht="16.5" customHeight="1" s="249">
      <c r="A52" s="3" t="n"/>
      <c r="B52" s="308" t="inlineStr">
        <is>
          <t>TUBE</t>
        </is>
      </c>
      <c r="C52" s="309" t="inlineStr">
        <is>
          <t>Mega Grey</t>
        </is>
      </c>
      <c r="D52" s="310" t="inlineStr">
        <is>
          <t>M.G</t>
        </is>
      </c>
      <c r="E52" s="311" t="n">
        <v>32</v>
      </c>
      <c r="F52" s="312" t="n">
        <v>5782</v>
      </c>
      <c r="G52" s="312" t="n">
        <v>0</v>
      </c>
      <c r="H52" s="313">
        <f>SUMPRODUCT((Production_Log!$F$3:$F$8963=F52)*(LEFT(Production_Log!$B$3:$B$8963,5)="Print")*(ISERROR(SEARCH("(Varnish)",Production_Log!$D$3:$D$8963)))*Production_Log!$H$3:$H$8963)</f>
        <v/>
      </c>
      <c r="I52" s="312">
        <f>G52-H52</f>
        <v/>
      </c>
      <c r="J52" s="314">
        <f>IF(G52=0,"-",H52/G52)</f>
        <v/>
      </c>
      <c r="K52" s="31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4" t="n"/>
      <c r="Y52" s="4" t="n"/>
      <c r="Z52" s="4" t="n"/>
      <c r="AA52" s="4" t="n"/>
      <c r="AB52" s="4" t="n"/>
      <c r="AC52" s="4" t="n"/>
    </row>
    <row r="53" ht="16.5" customHeight="1" s="249">
      <c r="A53" s="3" t="n"/>
      <c r="B53" s="308" t="inlineStr">
        <is>
          <t>TUBE</t>
        </is>
      </c>
      <c r="C53" s="309" t="inlineStr">
        <is>
          <t>Adore</t>
        </is>
      </c>
      <c r="D53" s="310" t="inlineStr">
        <is>
          <t>ANVIL 43</t>
        </is>
      </c>
      <c r="E53" s="311" t="n">
        <v>35</v>
      </c>
      <c r="F53" s="312" t="n">
        <v>6020</v>
      </c>
      <c r="G53" s="312" t="n">
        <v>0</v>
      </c>
      <c r="H53" s="313">
        <f>SUMPRODUCT((Production_Log!$F$3:$F$8963=F53)*(LEFT(Production_Log!$B$3:$B$8963,5)="Print")*(ISERROR(SEARCH("(Varnish)",Production_Log!$D$3:$D$8963)))*Production_Log!$H$3:$H$8963)</f>
        <v/>
      </c>
      <c r="I53" s="312">
        <f>G53-H53</f>
        <v/>
      </c>
      <c r="J53" s="314">
        <f>IF(G53=0,"-",H53/G53)</f>
        <v/>
      </c>
      <c r="K53" s="31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4" t="n"/>
      <c r="Y53" s="4" t="n"/>
      <c r="Z53" s="4" t="n"/>
      <c r="AA53" s="4" t="n"/>
      <c r="AB53" s="4" t="n"/>
      <c r="AC53" s="4" t="n"/>
    </row>
    <row r="54" ht="16.5" customHeight="1" s="249">
      <c r="A54" s="3" t="n"/>
      <c r="B54" s="308" t="inlineStr">
        <is>
          <t>TUBE</t>
        </is>
      </c>
      <c r="C54" s="309" t="inlineStr">
        <is>
          <t>Adore</t>
        </is>
      </c>
      <c r="D54" s="310" t="inlineStr">
        <is>
          <t>ANVIL 45</t>
        </is>
      </c>
      <c r="E54" s="311" t="n">
        <v>35</v>
      </c>
      <c r="F54" s="312" t="n">
        <v>6021</v>
      </c>
      <c r="G54" s="312" t="n">
        <v>0</v>
      </c>
      <c r="H54" s="313">
        <f>SUMPRODUCT((Production_Log!$F$3:$F$8963=F54)*(LEFT(Production_Log!$B$3:$B$8963,5)="Print")*(ISERROR(SEARCH("(Varnish)",Production_Log!$D$3:$D$8963)))*Production_Log!$H$3:$H$8963)</f>
        <v/>
      </c>
      <c r="I54" s="312">
        <f>G54-H54</f>
        <v/>
      </c>
      <c r="J54" s="314">
        <f>IF(G54=0,"-",H54/G54)</f>
        <v/>
      </c>
      <c r="K54" s="31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4" t="n"/>
      <c r="Y54" s="4" t="n"/>
      <c r="Z54" s="4" t="n"/>
      <c r="AA54" s="4" t="n"/>
      <c r="AB54" s="4" t="n"/>
      <c r="AC54" s="4" t="n"/>
    </row>
    <row r="55" ht="16.5" customHeight="1" s="249">
      <c r="A55" s="3" t="n"/>
      <c r="B55" s="308" t="inlineStr">
        <is>
          <t>PET</t>
        </is>
      </c>
      <c r="C55" s="309" t="inlineStr">
        <is>
          <t>Samsol International Private Limited</t>
        </is>
      </c>
      <c r="D55" s="310" t="inlineStr">
        <is>
          <t>BLACK SMALL BOTTLE 120ML</t>
        </is>
      </c>
      <c r="E55" s="311" t="inlineStr">
        <is>
          <t>120 ml</t>
        </is>
      </c>
      <c r="F55" s="312" t="n">
        <v>8011</v>
      </c>
      <c r="G55" s="312" t="n">
        <v>0</v>
      </c>
      <c r="H55" s="313">
        <f>SUMPRODUCT((Production_Log!$F$3:$F$8963=F55)*Production_Log!$H$3:$H$8963)</f>
        <v/>
      </c>
      <c r="I55" s="312">
        <f>G55-H55</f>
        <v/>
      </c>
      <c r="J55" s="314">
        <f>IF(G55=0,"-",H55/G55)</f>
        <v/>
      </c>
      <c r="K55" s="31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4" t="n"/>
      <c r="Y55" s="4" t="n"/>
      <c r="Z55" s="4" t="n"/>
      <c r="AA55" s="4" t="n"/>
      <c r="AB55" s="4" t="n"/>
      <c r="AC55" s="4" t="n"/>
    </row>
    <row r="56" ht="16.5" customHeight="1" s="249">
      <c r="A56" s="3" t="n"/>
      <c r="B56" s="308" t="inlineStr">
        <is>
          <t>PET</t>
        </is>
      </c>
      <c r="C56" s="309" t="inlineStr">
        <is>
          <t>Samsol International Private Limited</t>
        </is>
      </c>
      <c r="D56" s="310" t="inlineStr">
        <is>
          <t>WHITE SMALL BOTTLE 120ML</t>
        </is>
      </c>
      <c r="E56" s="311" t="inlineStr">
        <is>
          <t>120 ml</t>
        </is>
      </c>
      <c r="F56" s="312" t="n">
        <v>8012</v>
      </c>
      <c r="G56" s="312" t="n">
        <v>0</v>
      </c>
      <c r="H56" s="313">
        <f>SUMPRODUCT((Production_Log!$F$3:$F$8963=F56)*Production_Log!$H$3:$H$8963)</f>
        <v/>
      </c>
      <c r="I56" s="312">
        <f>G56-H56</f>
        <v/>
      </c>
      <c r="J56" s="314">
        <f>IF(G56=0,"-",H56/G56)</f>
        <v/>
      </c>
      <c r="K56" s="31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4" t="n"/>
      <c r="Y56" s="4" t="n"/>
      <c r="Z56" s="4" t="n"/>
      <c r="AA56" s="4" t="n"/>
      <c r="AB56" s="4" t="n"/>
      <c r="AC56" s="4" t="n"/>
    </row>
    <row r="57" ht="16.5" customHeight="1" s="249">
      <c r="A57" s="3" t="n"/>
      <c r="B57" s="308" t="inlineStr">
        <is>
          <t>PET</t>
        </is>
      </c>
      <c r="C57" s="309" t="inlineStr">
        <is>
          <t>Samsol International Private Limited</t>
        </is>
      </c>
      <c r="D57" s="310" t="inlineStr">
        <is>
          <t>BLACK BOTTLE 200ML</t>
        </is>
      </c>
      <c r="E57" s="311" t="inlineStr">
        <is>
          <t>200 ml</t>
        </is>
      </c>
      <c r="F57" s="312" t="n">
        <v>8008</v>
      </c>
      <c r="G57" s="312" t="n">
        <v>0</v>
      </c>
      <c r="H57" s="313">
        <f>SUMPRODUCT((Production_Log!$F$3:$F$8963=F57)*Production_Log!$H$3:$H$8963)</f>
        <v/>
      </c>
      <c r="I57" s="312">
        <f>G57-H57</f>
        <v/>
      </c>
      <c r="J57" s="314">
        <f>IF(G57=0,"-",H57/G57)</f>
        <v/>
      </c>
      <c r="K57" s="31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4" t="n"/>
      <c r="Y57" s="4" t="n"/>
      <c r="Z57" s="4" t="n"/>
      <c r="AA57" s="4" t="n"/>
      <c r="AB57" s="4" t="n"/>
      <c r="AC57" s="4" t="n"/>
    </row>
    <row r="58" ht="16.5" customHeight="1" s="249">
      <c r="A58" s="3" t="n"/>
      <c r="B58" s="308" t="inlineStr">
        <is>
          <t>PET</t>
        </is>
      </c>
      <c r="C58" s="309" t="inlineStr">
        <is>
          <t>Mablay Beauty PVT LTD.</t>
        </is>
      </c>
      <c r="D58" s="310" t="inlineStr">
        <is>
          <t>TRANSPARENT BOTTLE 300ML</t>
        </is>
      </c>
      <c r="E58" s="311" t="inlineStr">
        <is>
          <t>300 ml</t>
        </is>
      </c>
      <c r="F58" s="312" t="n">
        <v>8009</v>
      </c>
      <c r="G58" s="312" t="n">
        <v>0</v>
      </c>
      <c r="H58" s="313">
        <f>SUMPRODUCT((Production_Log!$F$3:$F$8963=F58)*Production_Log!$H$3:$H$8963)</f>
        <v/>
      </c>
      <c r="I58" s="312">
        <f>G58-H58</f>
        <v/>
      </c>
      <c r="J58" s="314">
        <f>IF(G58=0,"-",H58/G58)</f>
        <v/>
      </c>
      <c r="K58" s="31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4" t="n"/>
      <c r="Y58" s="4" t="n"/>
      <c r="Z58" s="4" t="n"/>
      <c r="AA58" s="4" t="n"/>
      <c r="AB58" s="4" t="n"/>
      <c r="AC58" s="4" t="n"/>
    </row>
    <row r="59" ht="16.5" customHeight="1" s="249">
      <c r="A59" s="3" t="n"/>
      <c r="B59" s="308" t="inlineStr">
        <is>
          <t>PET</t>
        </is>
      </c>
      <c r="C59" s="309" t="inlineStr">
        <is>
          <t>Mablay Beauty PVT LTD.</t>
        </is>
      </c>
      <c r="D59" s="310" t="inlineStr">
        <is>
          <t>TRANSPARENT JAR 500ML</t>
        </is>
      </c>
      <c r="E59" s="311" t="inlineStr">
        <is>
          <t>500 ml</t>
        </is>
      </c>
      <c r="F59" s="312" t="n">
        <v>8013</v>
      </c>
      <c r="G59" s="312" t="n">
        <v>0</v>
      </c>
      <c r="H59" s="313">
        <f>SUMPRODUCT((Production_Log!$F$3:$F$8963=F59)*Production_Log!$H$3:$H$8963)</f>
        <v/>
      </c>
      <c r="I59" s="312">
        <f>G59-H59</f>
        <v/>
      </c>
      <c r="J59" s="314">
        <f>IF(G59=0,"-",H59/G59)</f>
        <v/>
      </c>
      <c r="K59" s="31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4" t="n"/>
      <c r="Y59" s="4" t="n"/>
      <c r="Z59" s="4" t="n"/>
      <c r="AA59" s="4" t="n"/>
      <c r="AB59" s="4" t="n"/>
      <c r="AC59" s="4" t="n"/>
    </row>
    <row r="60" ht="16.5" customHeight="1" s="249">
      <c r="A60" s="3" t="n"/>
      <c r="B60" s="319" t="n"/>
      <c r="C60" s="319" t="n"/>
      <c r="D60" s="319" t="n"/>
      <c r="E60" s="319" t="n"/>
      <c r="F60" s="319" t="n"/>
      <c r="G60" s="319" t="n"/>
      <c r="H60" s="319" t="n"/>
      <c r="I60" s="319" t="n"/>
      <c r="J60" s="319" t="n"/>
      <c r="K60" s="319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4" t="n"/>
      <c r="Y60" s="4" t="n"/>
      <c r="Z60" s="4" t="n"/>
      <c r="AA60" s="4" t="n"/>
      <c r="AB60" s="4" t="n"/>
      <c r="AC60" s="4" t="n"/>
    </row>
    <row r="61" ht="15" customHeight="1" s="249">
      <c r="A61" s="3" t="n"/>
      <c r="B61" s="319" t="n"/>
      <c r="C61" s="319" t="n"/>
      <c r="D61" s="319" t="n"/>
      <c r="E61" s="319" t="n"/>
      <c r="F61" s="319" t="n"/>
      <c r="G61" s="319" t="n"/>
      <c r="H61" s="319" t="n"/>
      <c r="I61" s="319" t="n"/>
      <c r="J61" s="319" t="n"/>
      <c r="K61" s="319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4" t="n"/>
      <c r="Y61" s="4" t="n"/>
      <c r="Z61" s="4" t="n"/>
      <c r="AA61" s="4" t="n"/>
      <c r="AB61" s="4" t="n"/>
      <c r="AC61" s="4" t="n"/>
    </row>
    <row r="62">
      <c r="B62" s="319" t="n"/>
      <c r="C62" s="319" t="n"/>
      <c r="D62" s="319" t="n"/>
      <c r="E62" s="319" t="n"/>
      <c r="F62" s="319" t="n"/>
      <c r="G62" s="319" t="n"/>
      <c r="H62" s="319" t="n"/>
      <c r="I62" s="319" t="n"/>
      <c r="J62" s="319" t="n"/>
      <c r="K62" s="319" t="n"/>
    </row>
    <row r="63">
      <c r="B63" s="319" t="n"/>
      <c r="C63" s="319" t="n"/>
      <c r="D63" s="319" t="n"/>
      <c r="E63" s="319" t="n"/>
      <c r="F63" s="319" t="n"/>
      <c r="G63" s="319" t="n"/>
      <c r="H63" s="319" t="n"/>
      <c r="I63" s="319" t="n"/>
      <c r="J63" s="319" t="n"/>
      <c r="K63" s="319" t="n"/>
    </row>
    <row r="64">
      <c r="B64" s="319" t="n"/>
      <c r="C64" s="319" t="n"/>
      <c r="D64" s="319" t="n"/>
      <c r="E64" s="319" t="n"/>
      <c r="F64" s="319" t="n"/>
      <c r="G64" s="319" t="n"/>
      <c r="H64" s="319" t="n"/>
      <c r="I64" s="319" t="n"/>
      <c r="J64" s="319" t="n"/>
      <c r="K64" s="319" t="n"/>
    </row>
    <row r="65">
      <c r="B65" s="319" t="n"/>
      <c r="C65" s="319" t="n"/>
      <c r="D65" s="319" t="n"/>
      <c r="E65" s="319" t="n"/>
      <c r="F65" s="319" t="n"/>
      <c r="G65" s="319" t="n"/>
      <c r="H65" s="319" t="n"/>
      <c r="I65" s="319" t="n"/>
      <c r="J65" s="319" t="n"/>
      <c r="K65" s="319" t="n"/>
    </row>
    <row r="66">
      <c r="B66" s="319" t="n"/>
      <c r="C66" s="319" t="n"/>
      <c r="D66" s="319" t="n"/>
      <c r="E66" s="319" t="n"/>
      <c r="F66" s="319" t="n"/>
      <c r="G66" s="319" t="n"/>
      <c r="H66" s="319" t="n"/>
      <c r="I66" s="319" t="n"/>
      <c r="J66" s="319" t="n"/>
      <c r="K66" s="319" t="n"/>
    </row>
    <row r="67">
      <c r="B67" s="319" t="n"/>
      <c r="C67" s="319" t="n"/>
      <c r="D67" s="319" t="n"/>
      <c r="E67" s="319" t="n"/>
      <c r="F67" s="319" t="n"/>
      <c r="G67" s="319" t="n"/>
      <c r="H67" s="319" t="n"/>
      <c r="I67" s="319" t="n"/>
      <c r="J67" s="319" t="n"/>
      <c r="K67" s="319" t="n"/>
    </row>
    <row r="68" ht="15" customHeight="1" s="249">
      <c r="B68" s="319" t="n"/>
      <c r="C68" s="319" t="n"/>
      <c r="D68" s="319" t="n"/>
      <c r="E68" s="319" t="n"/>
      <c r="F68" s="319" t="n"/>
      <c r="G68" s="319" t="n"/>
      <c r="H68" s="319" t="n"/>
      <c r="I68" s="319" t="n"/>
      <c r="J68" s="319" t="n"/>
      <c r="K68" s="319" t="n"/>
    </row>
    <row r="69" ht="15" customHeight="1" s="249">
      <c r="B69" s="319" t="n"/>
      <c r="C69" s="319" t="n"/>
      <c r="D69" s="319" t="n"/>
      <c r="E69" s="319" t="n"/>
      <c r="F69" s="319" t="n"/>
      <c r="G69" s="319" t="n"/>
      <c r="H69" s="319" t="n"/>
      <c r="I69" s="319" t="n"/>
      <c r="J69" s="319" t="n"/>
      <c r="K69" s="319" t="n"/>
      <c r="L69" s="3" t="n"/>
    </row>
    <row r="70" ht="15" customHeight="1" s="249">
      <c r="B70" s="319" t="n"/>
      <c r="C70" s="319" t="n"/>
      <c r="D70" s="319" t="n"/>
      <c r="E70" s="319" t="n"/>
      <c r="F70" s="319" t="n"/>
      <c r="G70" s="319" t="n"/>
      <c r="H70" s="319" t="n"/>
      <c r="I70" s="319" t="n"/>
      <c r="J70" s="319" t="n"/>
      <c r="K70" s="319" t="n"/>
      <c r="L70" s="3" t="n"/>
    </row>
    <row r="71" ht="15" customHeight="1" s="249">
      <c r="L71" s="3" t="n"/>
    </row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13">
    <mergeCell ref="B3:G3"/>
    <mergeCell ref="B6:C6"/>
    <mergeCell ref="E6:F6"/>
    <mergeCell ref="B7:C7"/>
    <mergeCell ref="G7:H7"/>
    <mergeCell ref="H3:O3"/>
    <mergeCell ref="J5:K5"/>
    <mergeCell ref="B9:K9"/>
    <mergeCell ref="B5:C5"/>
    <mergeCell ref="B2:O2"/>
    <mergeCell ref="G5:H5"/>
    <mergeCell ref="B8:C8"/>
    <mergeCell ref="E8:F8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V164"/>
  <sheetViews>
    <sheetView zoomScaleNormal="100" workbookViewId="0">
      <selection activeCell="J15" sqref="J15"/>
    </sheetView>
  </sheetViews>
  <sheetFormatPr baseColWidth="8" defaultColWidth="8.7109375" defaultRowHeight="15"/>
  <cols>
    <col width="9" customWidth="1" style="249" min="1" max="1"/>
    <col width="30.5703125" customWidth="1" style="249" min="2" max="2"/>
    <col width="31.7109375" customWidth="1" style="264" min="3" max="3"/>
    <col width="9.85546875" customWidth="1" style="249" min="4" max="4"/>
    <col width="14.5703125" customWidth="1" style="265" min="5" max="5"/>
    <col width="12" customWidth="1" style="265" min="6" max="6"/>
    <col width="11.7109375" customWidth="1" style="266" min="7" max="7"/>
    <col width="26.140625" customWidth="1" style="265" min="8" max="8"/>
    <col hidden="1" width="18.5703125" customWidth="1" style="267" min="9" max="9"/>
    <col width="28.140625" customWidth="1" style="264" min="10" max="10"/>
    <col width="14" customWidth="1" style="249" min="11" max="11"/>
    <col width="12" customWidth="1" style="249" min="12" max="12"/>
    <col width="24" customWidth="1" style="249" min="13" max="14"/>
    <col width="12" customWidth="1" style="249" min="15" max="15"/>
    <col width="24" customWidth="1" style="249" min="16" max="16"/>
  </cols>
  <sheetData>
    <row r="1" ht="30" customHeight="1" s="249">
      <c r="A1" s="40" t="inlineStr">
        <is>
          <t>May 2026 Tube Required Orders</t>
        </is>
      </c>
      <c r="B1" s="41" t="n"/>
      <c r="C1" s="41" t="n"/>
      <c r="D1" s="41" t="n"/>
      <c r="E1" s="42" t="n"/>
      <c r="F1" s="42" t="n"/>
      <c r="G1" s="43" t="inlineStr">
        <is>
          <t>Date:</t>
        </is>
      </c>
      <c r="H1" s="44">
        <f>TODAY()</f>
        <v/>
      </c>
      <c r="J1" s="44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" t="n"/>
    </row>
    <row r="2" ht="24" customHeight="1" s="249">
      <c r="A2" s="46" t="inlineStr">
        <is>
          <t>Dia</t>
        </is>
      </c>
      <c r="B2" s="46" t="inlineStr">
        <is>
          <t>Customer</t>
        </is>
      </c>
      <c r="C2" s="47" t="inlineStr">
        <is>
          <t>Product Name</t>
        </is>
      </c>
      <c r="D2" s="47" t="inlineStr">
        <is>
          <t>Product ID</t>
        </is>
      </c>
      <c r="E2" s="48" t="inlineStr">
        <is>
          <t>Job Order #</t>
        </is>
      </c>
      <c r="F2" s="48" t="inlineStr">
        <is>
          <t>Required Qty</t>
        </is>
      </c>
      <c r="G2" s="49" t="inlineStr">
        <is>
          <t>Produced</t>
        </is>
      </c>
      <c r="H2" s="46" t="inlineStr">
        <is>
          <t>Remaining Balance</t>
        </is>
      </c>
      <c r="J2" s="46" t="inlineStr">
        <is>
          <t>Remarks</t>
        </is>
      </c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" t="n"/>
    </row>
    <row r="3" ht="21.75" customHeight="1" s="249">
      <c r="A3" s="50" t="n">
        <v>16</v>
      </c>
      <c r="B3" s="50" t="inlineStr">
        <is>
          <t>Brookes Pharma Private Limited</t>
        </is>
      </c>
      <c r="C3" s="51" t="inlineStr">
        <is>
          <t>ECZEMUS OINTMENT 0.03% 10G</t>
        </is>
      </c>
      <c r="D3" s="50" t="n">
        <v>6561</v>
      </c>
      <c r="E3" s="52" t="n">
        <v>6849</v>
      </c>
      <c r="F3" s="52" t="n">
        <v>25000</v>
      </c>
      <c r="G3" s="53">
        <f>SUMPRODUCT((Production_Log!$F$3:$F$8963=D3)*(LEFT(Production_Log!$B$3:$B$8963,5)="Print")*(ISERROR(SEARCH("(Varnish)",Production_Log!$D$3:$D$8963)))*(MONTH(Production_Log!$A$3:$A$8963)=MONTH(TODAY()))*(YEAR(Production_Log!$A$3:$A$8963)=YEAR(TODAY()))*Production_Log!$H$3:$H$8963)</f>
        <v/>
      </c>
      <c r="H3" s="54">
        <f>F3-G3</f>
        <v/>
      </c>
      <c r="J3" s="54" t="inlineStr">
        <is>
          <t>CAPS Not Approved</t>
        </is>
      </c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</row>
    <row r="4" ht="21.75" customHeight="1" s="249">
      <c r="A4" s="50" t="n">
        <v>19</v>
      </c>
      <c r="B4" s="50" t="inlineStr">
        <is>
          <t>Samsol International Private Limited</t>
        </is>
      </c>
      <c r="C4" s="51" t="inlineStr">
        <is>
          <t>S-45 DIA 19MM</t>
        </is>
      </c>
      <c r="D4" s="50" t="n">
        <v>6624</v>
      </c>
      <c r="E4" s="52" t="inlineStr">
        <is>
          <t>6880 &amp; 6881</t>
        </is>
      </c>
      <c r="F4" s="52" t="n">
        <v>10888</v>
      </c>
      <c r="G4" s="53">
        <f>SUMPRODUCT((Production_Log!$F$3:$F$8963=D4)*(LEFT(Production_Log!$B$3:$B$8963,5)="Print")*(ISERROR(SEARCH("(Varnish)",Production_Log!$D$3:$D$8963)))*(MONTH(Production_Log!$A$3:$A$8963)=MONTH(TODAY()))*(YEAR(Production_Log!$A$3:$A$8963)=YEAR(TODAY()))*Production_Log!$H$3:$H$8963)</f>
        <v/>
      </c>
      <c r="H4" s="54">
        <f>F4-G4</f>
        <v/>
      </c>
      <c r="J4" s="54" t="inlineStr">
        <is>
          <t>SLUG in Transit</t>
        </is>
      </c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</row>
    <row r="5" ht="21.75" customHeight="1" s="249">
      <c r="A5" s="50" t="n">
        <v>20.5</v>
      </c>
      <c r="B5" s="50" t="inlineStr">
        <is>
          <t>Mablay Beauty PVT LTD.</t>
        </is>
      </c>
      <c r="C5" s="51" t="inlineStr">
        <is>
          <t>VINCE HIS ONLY BEARD &amp; MUSTACHE COLOR CREAM</t>
        </is>
      </c>
      <c r="D5" s="50" t="n">
        <v>6077</v>
      </c>
      <c r="E5" s="52" t="n">
        <v>6886</v>
      </c>
      <c r="F5" s="52" t="n">
        <v>23970</v>
      </c>
      <c r="G5" s="53">
        <f>SUMPRODUCT((Production_Log!$F$3:$F$8963=D5)*(LEFT(Production_Log!$B$3:$B$8963,5)="Print")*(ISERROR(SEARCH("(Varnish)",Production_Log!$D$3:$D$8963)))*(MONTH(Production_Log!$A$3:$A$8963)=MONTH(TODAY()))*(YEAR(Production_Log!$A$3:$A$8963)=YEAR(TODAY()))*Production_Log!$H$3:$H$8963)</f>
        <v/>
      </c>
      <c r="H5" s="54">
        <f>F5-G5</f>
        <v/>
      </c>
      <c r="J5" s="54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</row>
    <row r="6" ht="21.75" customHeight="1" s="249">
      <c r="A6" s="50" t="n">
        <v>25</v>
      </c>
      <c r="B6" s="50" t="inlineStr">
        <is>
          <t>Mablay Beauty PVT LTD.</t>
        </is>
      </c>
      <c r="C6" s="51" t="inlineStr">
        <is>
          <t>HIS ONLY HAIR COLOR CREAM 40GM</t>
        </is>
      </c>
      <c r="D6" s="50" t="n">
        <v>6228</v>
      </c>
      <c r="E6" s="52" t="n">
        <v>6885</v>
      </c>
      <c r="F6" s="52" t="n">
        <v>21840</v>
      </c>
      <c r="G6" s="53">
        <f>SUMPRODUCT((Production_Log!$F$3:$F$8963=D6)*(LEFT(Production_Log!$B$3:$B$8963,5)="Print")*(ISERROR(SEARCH("(Varnish)",Production_Log!$D$3:$D$8963)))*(MONTH(Production_Log!$A$3:$A$8963)=MONTH(TODAY()))*(YEAR(Production_Log!$A$3:$A$8963)=YEAR(TODAY()))*Production_Log!$H$3:$H$8963)</f>
        <v/>
      </c>
      <c r="H6" s="54">
        <f>F6-G6</f>
        <v/>
      </c>
      <c r="J6" s="54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</row>
    <row r="7" ht="21.75" customHeight="1" s="249">
      <c r="A7" s="50" t="n">
        <v>25</v>
      </c>
      <c r="B7" s="50" t="inlineStr">
        <is>
          <t>Samsol International Private Limited</t>
        </is>
      </c>
      <c r="C7" s="51" t="inlineStr">
        <is>
          <t>S 43 25MM</t>
        </is>
      </c>
      <c r="D7" s="50" t="n">
        <v>3447</v>
      </c>
      <c r="E7" s="52" t="n">
        <v>6876</v>
      </c>
      <c r="F7" s="52" t="n">
        <v>38976</v>
      </c>
      <c r="G7" s="53">
        <f>SUMPRODUCT((Production_Log!$F$3:$F$8963=D7)*(LEFT(Production_Log!$B$3:$B$8963,5)="Print")*(ISERROR(SEARCH("(Varnish)",Production_Log!$D$3:$D$8963)))*(MONTH(Production_Log!$A$3:$A$8963)=MONTH(TODAY()))*(YEAR(Production_Log!$A$3:$A$8963)=YEAR(TODAY()))*Production_Log!$H$3:$H$8963)</f>
        <v/>
      </c>
      <c r="H7" s="54">
        <f>F7-G7</f>
        <v/>
      </c>
      <c r="J7" s="54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</row>
    <row r="8" ht="21.75" customHeight="1" s="249">
      <c r="A8" s="50" t="n">
        <v>30</v>
      </c>
      <c r="B8" s="50" t="inlineStr">
        <is>
          <t>Mablay Beauty PVT LTD.</t>
        </is>
      </c>
      <c r="C8" s="51" t="inlineStr">
        <is>
          <t>VINCE NURTURAL</t>
        </is>
      </c>
      <c r="D8" s="50" t="n">
        <v>5814</v>
      </c>
      <c r="E8" s="52" t="n">
        <v>6887</v>
      </c>
      <c r="F8" s="52" t="n">
        <v>23562</v>
      </c>
      <c r="G8" s="53">
        <f>SUMPRODUCT((Production_Log!$F$3:$F$8963=D8)*(LEFT(Production_Log!$B$3:$B$8963,5)="Print")*(ISERROR(SEARCH("(Varnish)",Production_Log!$D$3:$D$8963)))*(MONTH(Production_Log!$A$3:$A$8963)=MONTH(TODAY()))*(YEAR(Production_Log!$A$3:$A$8963)=YEAR(TODAY()))*Production_Log!$H$3:$H$8963)</f>
        <v/>
      </c>
      <c r="H8" s="54">
        <f>F8-G8</f>
        <v/>
      </c>
      <c r="J8" s="54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</row>
    <row r="9" ht="21.75" customHeight="1" s="249">
      <c r="A9" s="50" t="n">
        <v>30</v>
      </c>
      <c r="B9" s="50" t="inlineStr">
        <is>
          <t>Golden Pearl Cosmetics (PVT) LTD</t>
        </is>
      </c>
      <c r="C9" s="51" t="inlineStr">
        <is>
          <t>HELLO HAIR COLOR</t>
        </is>
      </c>
      <c r="D9" s="50" t="n">
        <v>6206</v>
      </c>
      <c r="E9" s="52" t="n">
        <v>6862</v>
      </c>
      <c r="F9" s="52" t="n">
        <v>87108</v>
      </c>
      <c r="G9" s="53">
        <f>SUMPRODUCT((Production_Log!$F$3:$F$8963=D9)*(LEFT(Production_Log!$B$3:$B$8963,5)="Print")*(ISERROR(SEARCH("(Varnish)",Production_Log!$D$3:$D$8963)))*(MONTH(Production_Log!$A$3:$A$8963)=MONTH(TODAY()))*(YEAR(Production_Log!$A$3:$A$8963)=YEAR(TODAY()))*Production_Log!$H$3:$H$8963)</f>
        <v/>
      </c>
      <c r="H9" s="54">
        <f>F9-G9</f>
        <v/>
      </c>
      <c r="J9" s="54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</row>
    <row r="10" ht="21.75" customHeight="1" s="249">
      <c r="A10" s="50" t="n">
        <v>32</v>
      </c>
      <c r="B10" s="50" t="inlineStr">
        <is>
          <t>Hola Hair</t>
        </is>
      </c>
      <c r="C10" s="51" t="inlineStr">
        <is>
          <t>H.H 100GM</t>
        </is>
      </c>
      <c r="D10" s="50" t="n">
        <v>6515</v>
      </c>
      <c r="E10" s="52" t="n">
        <v>6839</v>
      </c>
      <c r="F10" s="52" t="n">
        <v>13104</v>
      </c>
      <c r="G10" s="53">
        <f>SUMPRODUCT((Production_Log!$F$3:$F$8963=D10)*(LEFT(Production_Log!$B$3:$B$8963,5)="Print")*(ISERROR(SEARCH("(Varnish)",Production_Log!$D$3:$D$8963)))*(MONTH(Production_Log!$A$3:$A$8963)=MONTH(TODAY()))*(YEAR(Production_Log!$A$3:$A$8963)=YEAR(TODAY()))*Production_Log!$H$3:$H$8963)</f>
        <v/>
      </c>
      <c r="H10" s="54">
        <f>F10-G10</f>
        <v/>
      </c>
      <c r="J10" s="54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</row>
    <row r="11" ht="21.75" customHeight="1" s="249">
      <c r="A11" s="50" t="n">
        <v>35</v>
      </c>
      <c r="B11" s="50" t="inlineStr">
        <is>
          <t>Adore</t>
        </is>
      </c>
      <c r="C11" s="51" t="inlineStr">
        <is>
          <t>V- HC BROWN</t>
        </is>
      </c>
      <c r="D11" s="50" t="n">
        <v>6530</v>
      </c>
      <c r="E11" s="52" t="n">
        <v>6884</v>
      </c>
      <c r="F11" s="52" t="n">
        <v>34000</v>
      </c>
      <c r="G11" s="53">
        <f>SUMPRODUCT((Production_Log!$F$3:$F$8963=D11)*(LEFT(Production_Log!$B$3:$B$8963,5)="Print")*(ISERROR(SEARCH("(Varnish)",Production_Log!$D$3:$D$8963)))*(MONTH(Production_Log!$A$3:$A$8963)=MONTH(TODAY()))*(YEAR(Production_Log!$A$3:$A$8963)=YEAR(TODAY()))*Production_Log!$H$3:$H$8963)</f>
        <v/>
      </c>
      <c r="H11" s="54">
        <f>F11-G11</f>
        <v/>
      </c>
      <c r="J11" s="54" t="inlineStr">
        <is>
          <t>Hold Due to Payment Issue</t>
        </is>
      </c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</row>
    <row r="12" ht="21.75" customHeight="1" s="249">
      <c r="A12" s="50" t="n">
        <v>35</v>
      </c>
      <c r="B12" s="50" t="inlineStr">
        <is>
          <t>Adore</t>
        </is>
      </c>
      <c r="C12" s="51" t="inlineStr">
        <is>
          <t>V-HC BLACK</t>
        </is>
      </c>
      <c r="D12" s="50" t="n">
        <v>6531</v>
      </c>
      <c r="E12" s="52" t="n">
        <v>6883</v>
      </c>
      <c r="F12" s="52" t="n">
        <v>10620</v>
      </c>
      <c r="G12" s="53">
        <f>SUMPRODUCT((Production_Log!$F$3:$F$8963=D12)*(LEFT(Production_Log!$B$3:$B$8963,5)="Print")*(ISERROR(SEARCH("(Varnish)",Production_Log!$D$3:$D$8963)))*(MONTH(Production_Log!$A$3:$A$8963)=MONTH(TODAY()))*(YEAR(Production_Log!$A$3:$A$8963)=YEAR(TODAY()))*Production_Log!$H$3:$H$8963)</f>
        <v/>
      </c>
      <c r="H12" s="54">
        <f>F12-G12</f>
        <v/>
      </c>
      <c r="J12" s="54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</row>
    <row r="13" ht="15" customHeight="1" s="249">
      <c r="A13" s="55" t="n"/>
      <c r="B13" s="55" t="n"/>
      <c r="C13" s="55" t="n"/>
      <c r="D13" s="55" t="n"/>
      <c r="E13" s="56" t="inlineStr">
        <is>
          <t>TOTAL:</t>
        </is>
      </c>
      <c r="F13" s="56">
        <f>SUM(F3:F12)</f>
        <v/>
      </c>
      <c r="G13" s="56">
        <f>SUM(G3:G12)</f>
        <v/>
      </c>
      <c r="H13" s="56">
        <f>SUMIF(H3:H12, "&gt;0")</f>
        <v/>
      </c>
      <c r="J13" s="56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" t="n"/>
    </row>
    <row r="14" ht="27" customHeight="1" s="249">
      <c r="A14" s="57" t="inlineStr">
        <is>
          <t>MAY TUBES MATERIAL REQUIREMENT PLAN</t>
        </is>
      </c>
      <c r="B14" s="58" t="n"/>
      <c r="C14" s="58" t="n"/>
      <c r="D14" s="58" t="n"/>
      <c r="E14" s="59" t="n"/>
      <c r="F14" s="59" t="n"/>
      <c r="G14" s="60" t="n"/>
      <c r="H14" s="59" t="n"/>
      <c r="I14" s="58" t="n"/>
      <c r="J14" s="58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" t="n"/>
    </row>
    <row r="15" ht="36" customHeight="1" s="249">
      <c r="A15" s="46" t="inlineStr">
        <is>
          <t>Item ID</t>
        </is>
      </c>
      <c r="B15" s="46" t="inlineStr">
        <is>
          <t>Category</t>
        </is>
      </c>
      <c r="C15" s="46" t="inlineStr">
        <is>
          <t>Item Name</t>
        </is>
      </c>
      <c r="D15" s="46" t="inlineStr">
        <is>
          <t>UOM</t>
        </is>
      </c>
      <c r="E15" s="48" t="inlineStr">
        <is>
          <t>Required Qty</t>
        </is>
      </c>
      <c r="F15" s="48" t="inlineStr">
        <is>
          <t>Current Stock (Store + WIP)</t>
        </is>
      </c>
      <c r="G15" s="49" t="inlineStr">
        <is>
          <t>Surplus / (Deficit)</t>
        </is>
      </c>
      <c r="H15" s="47" t="inlineStr">
        <is>
          <t>Product Name(s)</t>
        </is>
      </c>
      <c r="I15" s="47" t="inlineStr">
        <is>
          <t>Job Order #(s)</t>
        </is>
      </c>
      <c r="J15" s="46" t="inlineStr">
        <is>
          <t>Status</t>
        </is>
      </c>
      <c r="K15" s="46" t="inlineStr">
        <is>
          <t>FG Caps On Hold (pcs)</t>
        </is>
      </c>
      <c r="L15" s="46" t="inlineStr">
        <is>
          <t>ORDER QTY</t>
        </is>
      </c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" t="n"/>
    </row>
    <row r="16" hidden="1" ht="15" customHeight="1" s="249">
      <c r="A16" s="55" t="n">
        <v>33</v>
      </c>
      <c r="B16" s="55" t="inlineStr">
        <is>
          <t>SLUG</t>
        </is>
      </c>
      <c r="C16" s="55" t="inlineStr">
        <is>
          <t>12.5X4.5X4.8</t>
        </is>
      </c>
      <c r="D16" s="55" t="inlineStr">
        <is>
          <t>kg</t>
        </is>
      </c>
      <c r="E16" s="61">
        <f>SUMPRODUCT((TableBOM[Item ID]=A16)*TableBOM[Per 1000 Units]*(1+TableBOM[Scrap %])*SUMIF($D$3:$D$12,TableBOM[Product ID],$H$3:$H$12)/1000)</f>
        <v/>
      </c>
      <c r="F16" s="61">
        <f>IFERROR(INDEX(TableInventory[Store Balance],MATCH(A16,TableInventory[Item ID],0)),0)+IFERROR(INDEX(TableInventory[Work In Process],MATCH(A16,TableInventory[Item ID],0)),0)</f>
        <v/>
      </c>
      <c r="G16" s="61">
        <f>F16-E16</f>
        <v/>
      </c>
      <c r="H16" s="62">
        <f>IF(LEN(IF((COUNTIFS(TableBOM[Product ID],$D$3,TableBOM[Item ID],$A16)&gt;0)*($H$3&gt;0),$C$3&amp;", ","")&amp;IF((COUNTIFS(TableBOM[Product ID],$D$4,TableBOM[Item ID],$A16)&gt;0)*($H$4&gt;0),$C$4&amp;", ","")&amp;IF((COUNTIFS(TableBOM[Product ID],$D$5,TableBOM[Item ID],$A16)&gt;0)*($H$5&gt;0),$C$5&amp;", ","")&amp;IF((COUNTIFS(TableBOM[Product ID],$D$6,TableBOM[Item ID],$A16)&gt;0)*($H$6&gt;0),$C$6&amp;", ","")&amp;IF((COUNTIFS(TableBOM[Product ID],$D$7,TableBOM[Item ID],$A16)&gt;0)*($H$7&gt;0),$C$7&amp;", ","")&amp;IF((COUNTIFS(TableBOM[Product ID],$D$8,TableBOM[Item ID],$A16)&gt;0)*($H$8&gt;0),$C$8&amp;", ","")&amp;IF((COUNTIFS(TableBOM[Product ID],$D$9,TableBOM[Item ID],$A16)&gt;0)*($H$9&gt;0),$C$9&amp;", ","")&amp;IF((COUNTIFS(TableBOM[Product ID],$D$10,TableBOM[Item ID],$A16)&gt;0)*($H$10&gt;0),$C$10&amp;", ","")&amp;IF((COUNTIFS(TableBOM[Product ID],$D$11,TableBOM[Item ID],$A16)&gt;0)*($H$11&gt;0),$C$11&amp;", ","")&amp;IF((COUNTIFS(TableBOM[Product ID],$D$12,TableBOM[Item ID],$A16)&gt;0)*($H$12&gt;0),$C$12&amp;", ",""))&gt;1,LEFT(IF((COUNTIFS(TableBOM[Product ID],$D$3,TableBOM[Item ID],$A16)&gt;0)*($H$3&gt;0),$C$3&amp;", ","")&amp;IF((COUNTIFS(TableBOM[Product ID],$D$4,TableBOM[Item ID],$A16)&gt;0)*($H$4&gt;0),$C$4&amp;", ","")&amp;IF((COUNTIFS(TableBOM[Product ID],$D$5,TableBOM[Item ID],$A16)&gt;0)*($H$5&gt;0),$C$5&amp;", ","")&amp;IF((COUNTIFS(TableBOM[Product ID],$D$6,TableBOM[Item ID],$A16)&gt;0)*($H$6&gt;0),$C$6&amp;", ","")&amp;IF((COUNTIFS(TableBOM[Product ID],$D$7,TableBOM[Item ID],$A16)&gt;0)*($H$7&gt;0),$C$7&amp;", ","")&amp;IF((COUNTIFS(TableBOM[Product ID],$D$8,TableBOM[Item ID],$A16)&gt;0)*($H$8&gt;0),$C$8&amp;", ","")&amp;IF((COUNTIFS(TableBOM[Product ID],$D$9,TableBOM[Item ID],$A16)&gt;0)*($H$9&gt;0),$C$9&amp;", ","")&amp;IF((COUNTIFS(TableBOM[Product ID],$D$10,TableBOM[Item ID],$A16)&gt;0)*($H$10&gt;0),$C$10&amp;", ","")&amp;IF((COUNTIFS(TableBOM[Product ID],$D$11,TableBOM[Item ID],$A16)&gt;0)*($H$11&gt;0),$C$11&amp;", ","")&amp;IF((COUNTIFS(TableBOM[Product ID],$D$12,TableBOM[Item ID],$A16)&gt;0)*($H$12&gt;0),$C$12&amp;", ",""),LEN(IF((COUNTIFS(TableBOM[Product ID],$D$3,TableBOM[Item ID],$A16)&gt;0)*($H$3&gt;0),$C$3&amp;", ","")&amp;IF((COUNTIFS(TableBOM[Product ID],$D$4,TableBOM[Item ID],$A16)&gt;0)*($H$4&gt;0),$C$4&amp;", ","")&amp;IF((COUNTIFS(TableBOM[Product ID],$D$5,TableBOM[Item ID],$A16)&gt;0)*($H$5&gt;0),$C$5&amp;", ","")&amp;IF((COUNTIFS(TableBOM[Product ID],$D$6,TableBOM[Item ID],$A16)&gt;0)*($H$6&gt;0),$C$6&amp;", ","")&amp;IF((COUNTIFS(TableBOM[Product ID],$D$7,TableBOM[Item ID],$A16)&gt;0)*($H$7&gt;0),$C$7&amp;", ","")&amp;IF((COUNTIFS(TableBOM[Product ID],$D$8,TableBOM[Item ID],$A16)&gt;0)*($H$8&gt;0),$C$8&amp;", ","")&amp;IF((COUNTIFS(TableBOM[Product ID],$D$9,TableBOM[Item ID],$A16)&gt;0)*($H$9&gt;0),$C$9&amp;", ","")&amp;IF((COUNTIFS(TableBOM[Product ID],$D$10,TableBOM[Item ID],$A16)&gt;0)*($H$10&gt;0),$C$10&amp;", ","")&amp;IF((COUNTIFS(TableBOM[Product ID],$D$11,TableBOM[Item ID],$A16)&gt;0)*($H$11&gt;0),$C$11&amp;", ","")&amp;IF((COUNTIFS(TableBOM[Product ID],$D$12,TableBOM[Item ID],$A16)&gt;0)*($H$12&gt;0),$C$12&amp;", ",""))-2),"")</f>
        <v/>
      </c>
      <c r="I16" s="63">
        <f>IF(LEN(IF((COUNTIFS(TableBOM[Product ID],$D$3,TableBOM[Item ID],$A16)&gt;0)*($H$3&gt;0),$E$3&amp;", ","")&amp;IF((COUNTIFS(TableBOM[Product ID],$D$4,TableBOM[Item ID],$A16)&gt;0)*($H$4&gt;0),$E$4&amp;", ","")&amp;IF((COUNTIFS(TableBOM[Product ID],$D$5,TableBOM[Item ID],$A16)&gt;0)*($H$5&gt;0),$E$5&amp;", ","")&amp;IF((COUNTIFS(TableBOM[Product ID],$D$6,TableBOM[Item ID],$A16)&gt;0)*($H$6&gt;0),$E$6&amp;", ","")&amp;IF((COUNTIFS(TableBOM[Product ID],$D$7,TableBOM[Item ID],$A16)&gt;0)*($H$7&gt;0),$E$7&amp;", ","")&amp;IF((COUNTIFS(TableBOM[Product ID],$D$8,TableBOM[Item ID],$A16)&gt;0)*($H$8&gt;0),$E$8&amp;", ","")&amp;IF((COUNTIFS(TableBOM[Product ID],$D$9,TableBOM[Item ID],$A16)&gt;0)*($H$9&gt;0),$E$9&amp;", ","")&amp;IF((COUNTIFS(TableBOM[Product ID],$D$10,TableBOM[Item ID],$A16)&gt;0)*($H$10&gt;0),$E$10&amp;", ","")&amp;IF((COUNTIFS(TableBOM[Product ID],$D$11,TableBOM[Item ID],$A16)&gt;0)*($H$11&gt;0),$E$11&amp;", ","")&amp;IF((COUNTIFS(TableBOM[Product ID],$D$12,TableBOM[Item ID],$A16)&gt;0)*($H$12&gt;0),$E$12&amp;", ",""))&gt;1,LEFT(IF((COUNTIFS(TableBOM[Product ID],$D$3,TableBOM[Item ID],$A16)&gt;0)*($H$3&gt;0),$E$3&amp;", ","")&amp;IF((COUNTIFS(TableBOM[Product ID],$D$4,TableBOM[Item ID],$A16)&gt;0)*($H$4&gt;0),$E$4&amp;", ","")&amp;IF((COUNTIFS(TableBOM[Product ID],$D$5,TableBOM[Item ID],$A16)&gt;0)*($H$5&gt;0),$E$5&amp;", ","")&amp;IF((COUNTIFS(TableBOM[Product ID],$D$6,TableBOM[Item ID],$A16)&gt;0)*($H$6&gt;0),$E$6&amp;", ","")&amp;IF((COUNTIFS(TableBOM[Product ID],$D$7,TableBOM[Item ID],$A16)&gt;0)*($H$7&gt;0),$E$7&amp;", ","")&amp;IF((COUNTIFS(TableBOM[Product ID],$D$8,TableBOM[Item ID],$A16)&gt;0)*($H$8&gt;0),$E$8&amp;", ","")&amp;IF((COUNTIFS(TableBOM[Product ID],$D$9,TableBOM[Item ID],$A16)&gt;0)*($H$9&gt;0),$E$9&amp;", ","")&amp;IF((COUNTIFS(TableBOM[Product ID],$D$10,TableBOM[Item ID],$A16)&gt;0)*($H$10&gt;0),$E$10&amp;", ","")&amp;IF((COUNTIFS(TableBOM[Product ID],$D$11,TableBOM[Item ID],$A16)&gt;0)*($H$11&gt;0),$E$11&amp;", ","")&amp;IF((COUNTIFS(TableBOM[Product ID],$D$12,TableBOM[Item ID],$A16)&gt;0)*($H$12&gt;0),$E$12&amp;", ",""),LEN(IF((COUNTIFS(TableBOM[Product ID],$D$3,TableBOM[Item ID],$A16)&gt;0)*($H$3&gt;0),$E$3&amp;", ","")&amp;IF((COUNTIFS(TableBOM[Product ID],$D$4,TableBOM[Item ID],$A16)&gt;0)*($H$4&gt;0),$E$4&amp;", ","")&amp;IF((COUNTIFS(TableBOM[Product ID],$D$5,TableBOM[Item ID],$A16)&gt;0)*($H$5&gt;0),$E$5&amp;", ","")&amp;IF((COUNTIFS(TableBOM[Product ID],$D$6,TableBOM[Item ID],$A16)&gt;0)*($H$6&gt;0),$E$6&amp;", ","")&amp;IF((COUNTIFS(TableBOM[Product ID],$D$7,TableBOM[Item ID],$A16)&gt;0)*($H$7&gt;0),$E$7&amp;", ","")&amp;IF((COUNTIFS(TableBOM[Product ID],$D$8,TableBOM[Item ID],$A16)&gt;0)*($H$8&gt;0),$E$8&amp;", ","")&amp;IF((COUNTIFS(TableBOM[Product ID],$D$9,TableBOM[Item ID],$A16)&gt;0)*($H$9&gt;0),$E$9&amp;", ","")&amp;IF((COUNTIFS(TableBOM[Product ID],$D$10,TableBOM[Item ID],$A16)&gt;0)*($H$10&gt;0),$E$10&amp;", ","")&amp;IF((COUNTIFS(TableBOM[Product ID],$D$11,TableBOM[Item ID],$A16)&gt;0)*($H$11&gt;0),$E$11&amp;", ","")&amp;IF((COUNTIFS(TableBOM[Product ID],$D$12,TableBOM[Item ID],$A16)&gt;0)*($H$12&gt;0),$E$12&amp;", ",""))-2),"")</f>
        <v/>
      </c>
      <c r="J16" s="64">
        <f>IF(E16=0,"Not needed",IF(G16&lt;0,"SHORTAGE",IF(G16&lt;F16*0.1,"LOW","OK")))</f>
        <v/>
      </c>
      <c r="K16" s="64">
        <f>IF(B16&lt;&gt;"CAP","",SUMPRODUCT((ISNUMBER(SEARCH("Cap Not Available",'FG Stock'!$H$4:$H$100)))*('FG Stock'!$I$4:$I$100=A16)*'FG Stock'!$F$4:$F$100))</f>
        <v/>
      </c>
      <c r="L16" s="64">
        <f>IF(E16=0,"",MAX(0,E16+IFERROR(K16*1,0)-F16))</f>
        <v/>
      </c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" t="n"/>
    </row>
    <row r="17" hidden="1" ht="15" customHeight="1" s="249">
      <c r="A17" s="55" t="n">
        <v>31</v>
      </c>
      <c r="B17" s="55" t="inlineStr">
        <is>
          <t>SLUG</t>
        </is>
      </c>
      <c r="C17" s="55" t="inlineStr">
        <is>
          <t>13.5X4.2</t>
        </is>
      </c>
      <c r="D17" s="55" t="inlineStr">
        <is>
          <t>kg</t>
        </is>
      </c>
      <c r="E17" s="61">
        <f>SUMPRODUCT((TableBOM[Item ID]=A17)*TableBOM[Per 1000 Units]*(1+TableBOM[Scrap %])*SUMIF($D$3:$D$12,TableBOM[Product ID],$H$3:$H$12)/1000)</f>
        <v/>
      </c>
      <c r="F17" s="61">
        <f>IFERROR(INDEX(TableInventory[Store Balance],MATCH(A17,TableInventory[Item ID],0)),0)+IFERROR(INDEX(TableInventory[Work In Process],MATCH(A17,TableInventory[Item ID],0)),0)</f>
        <v/>
      </c>
      <c r="G17" s="61">
        <f>F17-E17</f>
        <v/>
      </c>
      <c r="H17" s="62">
        <f>IF(LEN(IF((COUNTIFS(TableBOM[Product ID],$D$3,TableBOM[Item ID],$A17)&gt;0)*($H$3&gt;0),$C$3&amp;", ","")&amp;IF((COUNTIFS(TableBOM[Product ID],$D$4,TableBOM[Item ID],$A17)&gt;0)*($H$4&gt;0),$C$4&amp;", ","")&amp;IF((COUNTIFS(TableBOM[Product ID],$D$5,TableBOM[Item ID],$A17)&gt;0)*($H$5&gt;0),$C$5&amp;", ","")&amp;IF((COUNTIFS(TableBOM[Product ID],$D$6,TableBOM[Item ID],$A17)&gt;0)*($H$6&gt;0),$C$6&amp;", ","")&amp;IF((COUNTIFS(TableBOM[Product ID],$D$7,TableBOM[Item ID],$A17)&gt;0)*($H$7&gt;0),$C$7&amp;", ","")&amp;IF((COUNTIFS(TableBOM[Product ID],$D$8,TableBOM[Item ID],$A17)&gt;0)*($H$8&gt;0),$C$8&amp;", ","")&amp;IF((COUNTIFS(TableBOM[Product ID],$D$9,TableBOM[Item ID],$A17)&gt;0)*($H$9&gt;0),$C$9&amp;", ","")&amp;IF((COUNTIFS(TableBOM[Product ID],$D$10,TableBOM[Item ID],$A17)&gt;0)*($H$10&gt;0),$C$10&amp;", ","")&amp;IF((COUNTIFS(TableBOM[Product ID],$D$11,TableBOM[Item ID],$A17)&gt;0)*($H$11&gt;0),$C$11&amp;", ","")&amp;IF((COUNTIFS(TableBOM[Product ID],$D$12,TableBOM[Item ID],$A17)&gt;0)*($H$12&gt;0),$C$12&amp;", ",""))&gt;1,LEFT(IF((COUNTIFS(TableBOM[Product ID],$D$3,TableBOM[Item ID],$A17)&gt;0)*($H$3&gt;0),$C$3&amp;", ","")&amp;IF((COUNTIFS(TableBOM[Product ID],$D$4,TableBOM[Item ID],$A17)&gt;0)*($H$4&gt;0),$C$4&amp;", ","")&amp;IF((COUNTIFS(TableBOM[Product ID],$D$5,TableBOM[Item ID],$A17)&gt;0)*($H$5&gt;0),$C$5&amp;", ","")&amp;IF((COUNTIFS(TableBOM[Product ID],$D$6,TableBOM[Item ID],$A17)&gt;0)*($H$6&gt;0),$C$6&amp;", ","")&amp;IF((COUNTIFS(TableBOM[Product ID],$D$7,TableBOM[Item ID],$A17)&gt;0)*($H$7&gt;0),$C$7&amp;", ","")&amp;IF((COUNTIFS(TableBOM[Product ID],$D$8,TableBOM[Item ID],$A17)&gt;0)*($H$8&gt;0),$C$8&amp;", ","")&amp;IF((COUNTIFS(TableBOM[Product ID],$D$9,TableBOM[Item ID],$A17)&gt;0)*($H$9&gt;0),$C$9&amp;", ","")&amp;IF((COUNTIFS(TableBOM[Product ID],$D$10,TableBOM[Item ID],$A17)&gt;0)*($H$10&gt;0),$C$10&amp;", ","")&amp;IF((COUNTIFS(TableBOM[Product ID],$D$11,TableBOM[Item ID],$A17)&gt;0)*($H$11&gt;0),$C$11&amp;", ","")&amp;IF((COUNTIFS(TableBOM[Product ID],$D$12,TableBOM[Item ID],$A17)&gt;0)*($H$12&gt;0),$C$12&amp;", ",""),LEN(IF((COUNTIFS(TableBOM[Product ID],$D$3,TableBOM[Item ID],$A17)&gt;0)*($H$3&gt;0),$C$3&amp;", ","")&amp;IF((COUNTIFS(TableBOM[Product ID],$D$4,TableBOM[Item ID],$A17)&gt;0)*($H$4&gt;0),$C$4&amp;", ","")&amp;IF((COUNTIFS(TableBOM[Product ID],$D$5,TableBOM[Item ID],$A17)&gt;0)*($H$5&gt;0),$C$5&amp;", ","")&amp;IF((COUNTIFS(TableBOM[Product ID],$D$6,TableBOM[Item ID],$A17)&gt;0)*($H$6&gt;0),$C$6&amp;", ","")&amp;IF((COUNTIFS(TableBOM[Product ID],$D$7,TableBOM[Item ID],$A17)&gt;0)*($H$7&gt;0),$C$7&amp;", ","")&amp;IF((COUNTIFS(TableBOM[Product ID],$D$8,TableBOM[Item ID],$A17)&gt;0)*($H$8&gt;0),$C$8&amp;", ","")&amp;IF((COUNTIFS(TableBOM[Product ID],$D$9,TableBOM[Item ID],$A17)&gt;0)*($H$9&gt;0),$C$9&amp;", ","")&amp;IF((COUNTIFS(TableBOM[Product ID],$D$10,TableBOM[Item ID],$A17)&gt;0)*($H$10&gt;0),$C$10&amp;", ","")&amp;IF((COUNTIFS(TableBOM[Product ID],$D$11,TableBOM[Item ID],$A17)&gt;0)*($H$11&gt;0),$C$11&amp;", ","")&amp;IF((COUNTIFS(TableBOM[Product ID],$D$12,TableBOM[Item ID],$A17)&gt;0)*($H$12&gt;0),$C$12&amp;", ",""))-2),"")</f>
        <v/>
      </c>
      <c r="I17" s="63">
        <f>IF(LEN(IF((COUNTIFS(TableBOM[Product ID],$D$3,TableBOM[Item ID],$A17)&gt;0)*($H$3&gt;0),$E$3&amp;", ","")&amp;IF((COUNTIFS(TableBOM[Product ID],$D$4,TableBOM[Item ID],$A17)&gt;0)*($H$4&gt;0),$E$4&amp;", ","")&amp;IF((COUNTIFS(TableBOM[Product ID],$D$5,TableBOM[Item ID],$A17)&gt;0)*($H$5&gt;0),$E$5&amp;", ","")&amp;IF((COUNTIFS(TableBOM[Product ID],$D$6,TableBOM[Item ID],$A17)&gt;0)*($H$6&gt;0),$E$6&amp;", ","")&amp;IF((COUNTIFS(TableBOM[Product ID],$D$7,TableBOM[Item ID],$A17)&gt;0)*($H$7&gt;0),$E$7&amp;", ","")&amp;IF((COUNTIFS(TableBOM[Product ID],$D$8,TableBOM[Item ID],$A17)&gt;0)*($H$8&gt;0),$E$8&amp;", ","")&amp;IF((COUNTIFS(TableBOM[Product ID],$D$9,TableBOM[Item ID],$A17)&gt;0)*($H$9&gt;0),$E$9&amp;", ","")&amp;IF((COUNTIFS(TableBOM[Product ID],$D$10,TableBOM[Item ID],$A17)&gt;0)*($H$10&gt;0),$E$10&amp;", ","")&amp;IF((COUNTIFS(TableBOM[Product ID],$D$11,TableBOM[Item ID],$A17)&gt;0)*($H$11&gt;0),$E$11&amp;", ","")&amp;IF((COUNTIFS(TableBOM[Product ID],$D$12,TableBOM[Item ID],$A17)&gt;0)*($H$12&gt;0),$E$12&amp;", ",""))&gt;1,LEFT(IF((COUNTIFS(TableBOM[Product ID],$D$3,TableBOM[Item ID],$A17)&gt;0)*($H$3&gt;0),$E$3&amp;", ","")&amp;IF((COUNTIFS(TableBOM[Product ID],$D$4,TableBOM[Item ID],$A17)&gt;0)*($H$4&gt;0),$E$4&amp;", ","")&amp;IF((COUNTIFS(TableBOM[Product ID],$D$5,TableBOM[Item ID],$A17)&gt;0)*($H$5&gt;0),$E$5&amp;", ","")&amp;IF((COUNTIFS(TableBOM[Product ID],$D$6,TableBOM[Item ID],$A17)&gt;0)*($H$6&gt;0),$E$6&amp;", ","")&amp;IF((COUNTIFS(TableBOM[Product ID],$D$7,TableBOM[Item ID],$A17)&gt;0)*($H$7&gt;0),$E$7&amp;", ","")&amp;IF((COUNTIFS(TableBOM[Product ID],$D$8,TableBOM[Item ID],$A17)&gt;0)*($H$8&gt;0),$E$8&amp;", ","")&amp;IF((COUNTIFS(TableBOM[Product ID],$D$9,TableBOM[Item ID],$A17)&gt;0)*($H$9&gt;0),$E$9&amp;", ","")&amp;IF((COUNTIFS(TableBOM[Product ID],$D$10,TableBOM[Item ID],$A17)&gt;0)*($H$10&gt;0),$E$10&amp;", ","")&amp;IF((COUNTIFS(TableBOM[Product ID],$D$11,TableBOM[Item ID],$A17)&gt;0)*($H$11&gt;0),$E$11&amp;", ","")&amp;IF((COUNTIFS(TableBOM[Product ID],$D$12,TableBOM[Item ID],$A17)&gt;0)*($H$12&gt;0),$E$12&amp;", ",""),LEN(IF((COUNTIFS(TableBOM[Product ID],$D$3,TableBOM[Item ID],$A17)&gt;0)*($H$3&gt;0),$E$3&amp;", ","")&amp;IF((COUNTIFS(TableBOM[Product ID],$D$4,TableBOM[Item ID],$A17)&gt;0)*($H$4&gt;0),$E$4&amp;", ","")&amp;IF((COUNTIFS(TableBOM[Product ID],$D$5,TableBOM[Item ID],$A17)&gt;0)*($H$5&gt;0),$E$5&amp;", ","")&amp;IF((COUNTIFS(TableBOM[Product ID],$D$6,TableBOM[Item ID],$A17)&gt;0)*($H$6&gt;0),$E$6&amp;", ","")&amp;IF((COUNTIFS(TableBOM[Product ID],$D$7,TableBOM[Item ID],$A17)&gt;0)*($H$7&gt;0),$E$7&amp;", ","")&amp;IF((COUNTIFS(TableBOM[Product ID],$D$8,TableBOM[Item ID],$A17)&gt;0)*($H$8&gt;0),$E$8&amp;", ","")&amp;IF((COUNTIFS(TableBOM[Product ID],$D$9,TableBOM[Item ID],$A17)&gt;0)*($H$9&gt;0),$E$9&amp;", ","")&amp;IF((COUNTIFS(TableBOM[Product ID],$D$10,TableBOM[Item ID],$A17)&gt;0)*($H$10&gt;0),$E$10&amp;", ","")&amp;IF((COUNTIFS(TableBOM[Product ID],$D$11,TableBOM[Item ID],$A17)&gt;0)*($H$11&gt;0),$E$11&amp;", ","")&amp;IF((COUNTIFS(TableBOM[Product ID],$D$12,TableBOM[Item ID],$A17)&gt;0)*($H$12&gt;0),$E$12&amp;", ",""))-2),"")</f>
        <v/>
      </c>
      <c r="J17" s="64">
        <f>IF(E17=0,"Not needed",IF(G17&lt;0,"SHORTAGE",IF(G17&lt;F17*0.1,"LOW","OK")))</f>
        <v/>
      </c>
      <c r="K17" s="64">
        <f>IF(B17&lt;&gt;"CAP","",SUMPRODUCT((ISNUMBER(SEARCH("Cap Not Available",'FG Stock'!$H$4:$H$100)))*('FG Stock'!$I$4:$I$100=A17)*'FG Stock'!$F$4:$F$100))</f>
        <v/>
      </c>
      <c r="L17" s="64">
        <f>IF(E17=0,"",MAX(0,E17+IFERROR(K17*1,0)-F17))</f>
        <v/>
      </c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" t="n"/>
    </row>
    <row r="18" ht="16.5" customHeight="1" s="249">
      <c r="A18" s="55" t="n">
        <v>2799</v>
      </c>
      <c r="B18" s="55" t="inlineStr">
        <is>
          <t>SLUG</t>
        </is>
      </c>
      <c r="C18" s="55" t="inlineStr">
        <is>
          <t>16x4.5</t>
        </is>
      </c>
      <c r="D18" s="55" t="inlineStr">
        <is>
          <t>kg</t>
        </is>
      </c>
      <c r="E18" s="61">
        <f>SUMPRODUCT((TableBOM[Item ID]=A18)*TableBOM[Per 1000 Units]*(1+TableBOM[Scrap %])*SUMIF($D$3:$D$12,TableBOM[Product ID],$H$3:$H$12)/1000)</f>
        <v/>
      </c>
      <c r="F18" s="61">
        <f>IFERROR(INDEX(TableInventory[Store Balance],MATCH(A18,TableInventory[Item ID],0)),0)+IFERROR(INDEX(TableInventory[Work In Process],MATCH(A18,TableInventory[Item ID],0)),0)</f>
        <v/>
      </c>
      <c r="G18" s="65">
        <f>F18-E18</f>
        <v/>
      </c>
      <c r="H18" s="62">
        <f>IF(LEN(IF((COUNTIFS(TableBOM[Product ID],$D$3,TableBOM[Item ID],$A18)&gt;0)*($H$3&gt;0),$C$3&amp;", ","")&amp;IF((COUNTIFS(TableBOM[Product ID],$D$4,TableBOM[Item ID],$A18)&gt;0)*($H$4&gt;0),$C$4&amp;", ","")&amp;IF((COUNTIFS(TableBOM[Product ID],$D$5,TableBOM[Item ID],$A18)&gt;0)*($H$5&gt;0),$C$5&amp;", ","")&amp;IF((COUNTIFS(TableBOM[Product ID],$D$6,TableBOM[Item ID],$A18)&gt;0)*($H$6&gt;0),$C$6&amp;", ","")&amp;IF((COUNTIFS(TableBOM[Product ID],$D$7,TableBOM[Item ID],$A18)&gt;0)*($H$7&gt;0),$C$7&amp;", ","")&amp;IF((COUNTIFS(TableBOM[Product ID],$D$8,TableBOM[Item ID],$A18)&gt;0)*($H$8&gt;0),$C$8&amp;", ","")&amp;IF((COUNTIFS(TableBOM[Product ID],$D$9,TableBOM[Item ID],$A18)&gt;0)*($H$9&gt;0),$C$9&amp;", ","")&amp;IF((COUNTIFS(TableBOM[Product ID],$D$10,TableBOM[Item ID],$A18)&gt;0)*($H$10&gt;0),$C$10&amp;", ","")&amp;IF((COUNTIFS(TableBOM[Product ID],$D$11,TableBOM[Item ID],$A18)&gt;0)*($H$11&gt;0),$C$11&amp;", ","")&amp;IF((COUNTIFS(TableBOM[Product ID],$D$12,TableBOM[Item ID],$A18)&gt;0)*($H$12&gt;0),$C$12&amp;", ",""))&gt;1,LEFT(IF((COUNTIFS(TableBOM[Product ID],$D$3,TableBOM[Item ID],$A18)&gt;0)*($H$3&gt;0),$C$3&amp;", ","")&amp;IF((COUNTIFS(TableBOM[Product ID],$D$4,TableBOM[Item ID],$A18)&gt;0)*($H$4&gt;0),$C$4&amp;", ","")&amp;IF((COUNTIFS(TableBOM[Product ID],$D$5,TableBOM[Item ID],$A18)&gt;0)*($H$5&gt;0),$C$5&amp;", ","")&amp;IF((COUNTIFS(TableBOM[Product ID],$D$6,TableBOM[Item ID],$A18)&gt;0)*($H$6&gt;0),$C$6&amp;", ","")&amp;IF((COUNTIFS(TableBOM[Product ID],$D$7,TableBOM[Item ID],$A18)&gt;0)*($H$7&gt;0),$C$7&amp;", ","")&amp;IF((COUNTIFS(TableBOM[Product ID],$D$8,TableBOM[Item ID],$A18)&gt;0)*($H$8&gt;0),$C$8&amp;", ","")&amp;IF((COUNTIFS(TableBOM[Product ID],$D$9,TableBOM[Item ID],$A18)&gt;0)*($H$9&gt;0),$C$9&amp;", ","")&amp;IF((COUNTIFS(TableBOM[Product ID],$D$10,TableBOM[Item ID],$A18)&gt;0)*($H$10&gt;0),$C$10&amp;", ","")&amp;IF((COUNTIFS(TableBOM[Product ID],$D$11,TableBOM[Item ID],$A18)&gt;0)*($H$11&gt;0),$C$11&amp;", ","")&amp;IF((COUNTIFS(TableBOM[Product ID],$D$12,TableBOM[Item ID],$A18)&gt;0)*($H$12&gt;0),$C$12&amp;", ",""),LEN(IF((COUNTIFS(TableBOM[Product ID],$D$3,TableBOM[Item ID],$A18)&gt;0)*($H$3&gt;0),$C$3&amp;", ","")&amp;IF((COUNTIFS(TableBOM[Product ID],$D$4,TableBOM[Item ID],$A18)&gt;0)*($H$4&gt;0),$C$4&amp;", ","")&amp;IF((COUNTIFS(TableBOM[Product ID],$D$5,TableBOM[Item ID],$A18)&gt;0)*($H$5&gt;0),$C$5&amp;", ","")&amp;IF((COUNTIFS(TableBOM[Product ID],$D$6,TableBOM[Item ID],$A18)&gt;0)*($H$6&gt;0),$C$6&amp;", ","")&amp;IF((COUNTIFS(TableBOM[Product ID],$D$7,TableBOM[Item ID],$A18)&gt;0)*($H$7&gt;0),$C$7&amp;", ","")&amp;IF((COUNTIFS(TableBOM[Product ID],$D$8,TableBOM[Item ID],$A18)&gt;0)*($H$8&gt;0),$C$8&amp;", ","")&amp;IF((COUNTIFS(TableBOM[Product ID],$D$9,TableBOM[Item ID],$A18)&gt;0)*($H$9&gt;0),$C$9&amp;", ","")&amp;IF((COUNTIFS(TableBOM[Product ID],$D$10,TableBOM[Item ID],$A18)&gt;0)*($H$10&gt;0),$C$10&amp;", ","")&amp;IF((COUNTIFS(TableBOM[Product ID],$D$11,TableBOM[Item ID],$A18)&gt;0)*($H$11&gt;0),$C$11&amp;", ","")&amp;IF((COUNTIFS(TableBOM[Product ID],$D$12,TableBOM[Item ID],$A18)&gt;0)*($H$12&gt;0),$C$12&amp;", ",""))-2),"")</f>
        <v/>
      </c>
      <c r="I18" s="63">
        <f>IF(LEN(IF((COUNTIFS(TableBOM[Product ID],$D$3,TableBOM[Item ID],$A18)&gt;0)*($H$3&gt;0),$E$3&amp;", ","")&amp;IF((COUNTIFS(TableBOM[Product ID],$D$4,TableBOM[Item ID],$A18)&gt;0)*($H$4&gt;0),$E$4&amp;", ","")&amp;IF((COUNTIFS(TableBOM[Product ID],$D$5,TableBOM[Item ID],$A18)&gt;0)*($H$5&gt;0),$E$5&amp;", ","")&amp;IF((COUNTIFS(TableBOM[Product ID],$D$6,TableBOM[Item ID],$A18)&gt;0)*($H$6&gt;0),$E$6&amp;", ","")&amp;IF((COUNTIFS(TableBOM[Product ID],$D$7,TableBOM[Item ID],$A18)&gt;0)*($H$7&gt;0),$E$7&amp;", ","")&amp;IF((COUNTIFS(TableBOM[Product ID],$D$8,TableBOM[Item ID],$A18)&gt;0)*($H$8&gt;0),$E$8&amp;", ","")&amp;IF((COUNTIFS(TableBOM[Product ID],$D$9,TableBOM[Item ID],$A18)&gt;0)*($H$9&gt;0),$E$9&amp;", ","")&amp;IF((COUNTIFS(TableBOM[Product ID],$D$10,TableBOM[Item ID],$A18)&gt;0)*($H$10&gt;0),$E$10&amp;", ","")&amp;IF((COUNTIFS(TableBOM[Product ID],$D$11,TableBOM[Item ID],$A18)&gt;0)*($H$11&gt;0),$E$11&amp;", ","")&amp;IF((COUNTIFS(TableBOM[Product ID],$D$12,TableBOM[Item ID],$A18)&gt;0)*($H$12&gt;0),$E$12&amp;", ",""))&gt;1,LEFT(IF((COUNTIFS(TableBOM[Product ID],$D$3,TableBOM[Item ID],$A18)&gt;0)*($H$3&gt;0),$E$3&amp;", ","")&amp;IF((COUNTIFS(TableBOM[Product ID],$D$4,TableBOM[Item ID],$A18)&gt;0)*($H$4&gt;0),$E$4&amp;", ","")&amp;IF((COUNTIFS(TableBOM[Product ID],$D$5,TableBOM[Item ID],$A18)&gt;0)*($H$5&gt;0),$E$5&amp;", ","")&amp;IF((COUNTIFS(TableBOM[Product ID],$D$6,TableBOM[Item ID],$A18)&gt;0)*($H$6&gt;0),$E$6&amp;", ","")&amp;IF((COUNTIFS(TableBOM[Product ID],$D$7,TableBOM[Item ID],$A18)&gt;0)*($H$7&gt;0),$E$7&amp;", ","")&amp;IF((COUNTIFS(TableBOM[Product ID],$D$8,TableBOM[Item ID],$A18)&gt;0)*($H$8&gt;0),$E$8&amp;", ","")&amp;IF((COUNTIFS(TableBOM[Product ID],$D$9,TableBOM[Item ID],$A18)&gt;0)*($H$9&gt;0),$E$9&amp;", ","")&amp;IF((COUNTIFS(TableBOM[Product ID],$D$10,TableBOM[Item ID],$A18)&gt;0)*($H$10&gt;0),$E$10&amp;", ","")&amp;IF((COUNTIFS(TableBOM[Product ID],$D$11,TableBOM[Item ID],$A18)&gt;0)*($H$11&gt;0),$E$11&amp;", ","")&amp;IF((COUNTIFS(TableBOM[Product ID],$D$12,TableBOM[Item ID],$A18)&gt;0)*($H$12&gt;0),$E$12&amp;", ",""),LEN(IF((COUNTIFS(TableBOM[Product ID],$D$3,TableBOM[Item ID],$A18)&gt;0)*($H$3&gt;0),$E$3&amp;", ","")&amp;IF((COUNTIFS(TableBOM[Product ID],$D$4,TableBOM[Item ID],$A18)&gt;0)*($H$4&gt;0),$E$4&amp;", ","")&amp;IF((COUNTIFS(TableBOM[Product ID],$D$5,TableBOM[Item ID],$A18)&gt;0)*($H$5&gt;0),$E$5&amp;", ","")&amp;IF((COUNTIFS(TableBOM[Product ID],$D$6,TableBOM[Item ID],$A18)&gt;0)*($H$6&gt;0),$E$6&amp;", ","")&amp;IF((COUNTIFS(TableBOM[Product ID],$D$7,TableBOM[Item ID],$A18)&gt;0)*($H$7&gt;0),$E$7&amp;", ","")&amp;IF((COUNTIFS(TableBOM[Product ID],$D$8,TableBOM[Item ID],$A18)&gt;0)*($H$8&gt;0),$E$8&amp;", ","")&amp;IF((COUNTIFS(TableBOM[Product ID],$D$9,TableBOM[Item ID],$A18)&gt;0)*($H$9&gt;0),$E$9&amp;", ","")&amp;IF((COUNTIFS(TableBOM[Product ID],$D$10,TableBOM[Item ID],$A18)&gt;0)*($H$10&gt;0),$E$10&amp;", ","")&amp;IF((COUNTIFS(TableBOM[Product ID],$D$11,TableBOM[Item ID],$A18)&gt;0)*($H$11&gt;0),$E$11&amp;", ","")&amp;IF((COUNTIFS(TableBOM[Product ID],$D$12,TableBOM[Item ID],$A18)&gt;0)*($H$12&gt;0),$E$12&amp;", ",""))-2),"")</f>
        <v/>
      </c>
      <c r="J18" s="64">
        <f>IF(E18=0,"Not needed",IF(G18&lt;0,"SHORTAGE",IF(G18&lt;F18*0.1,"LOW","OK")))</f>
        <v/>
      </c>
      <c r="K18" s="64">
        <f>IF(B18&lt;&gt;"CAP","",SUMPRODUCT((ISNUMBER(SEARCH("Cap Not Available",'FG Stock'!$H$4:$H$100)))*('FG Stock'!$I$4:$I$100=A18)*'FG Stock'!$F$4:$F$100))</f>
        <v/>
      </c>
      <c r="L18" s="64">
        <f>IF(E18=0,"",MAX(0,E18+IFERROR(K18*1,0)-F18))</f>
        <v/>
      </c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" t="n"/>
    </row>
    <row r="19" hidden="1" ht="24" customHeight="1" s="249">
      <c r="A19" s="55" t="n">
        <v>25</v>
      </c>
      <c r="B19" s="55" t="inlineStr">
        <is>
          <t>SLUG</t>
        </is>
      </c>
      <c r="C19" s="55" t="inlineStr">
        <is>
          <t>16X4.8 S/M</t>
        </is>
      </c>
      <c r="D19" s="55" t="inlineStr">
        <is>
          <t>kg</t>
        </is>
      </c>
      <c r="E19" s="66">
        <f>SUMPRODUCT((TableBOM[Item ID]=A19)*TableBOM[Per 1000 Units]*(1+TableBOM[Scrap %])*SUMIF($D$3:$D$12,TableBOM[Product ID],$H$3:$H$12)/1000)</f>
        <v/>
      </c>
      <c r="F19" s="66">
        <f>IFERROR(INDEX(TableInventory[Store Balance],MATCH(A19,TableInventory[Item ID],0)),0)+IFERROR(INDEX(TableInventory[Work In Process],MATCH(A19,TableInventory[Item ID],0)),0)</f>
        <v/>
      </c>
      <c r="G19" s="67">
        <f>F19-E19</f>
        <v/>
      </c>
      <c r="H19" s="62">
        <f>IF(LEN(IF((COUNTIFS(TableBOM[Product ID],$D$3,TableBOM[Item ID],$A19)&gt;0)*($H$3&gt;0),$C$3&amp;", ","")&amp;IF((COUNTIFS(TableBOM[Product ID],$D$4,TableBOM[Item ID],$A19)&gt;0)*($H$4&gt;0),$C$4&amp;", ","")&amp;IF((COUNTIFS(TableBOM[Product ID],$D$5,TableBOM[Item ID],$A19)&gt;0)*($H$5&gt;0),$C$5&amp;", ","")&amp;IF((COUNTIFS(TableBOM[Product ID],$D$6,TableBOM[Item ID],$A19)&gt;0)*($H$6&gt;0),$C$6&amp;", ","")&amp;IF((COUNTIFS(TableBOM[Product ID],$D$7,TableBOM[Item ID],$A19)&gt;0)*($H$7&gt;0),$C$7&amp;", ","")&amp;IF((COUNTIFS(TableBOM[Product ID],$D$8,TableBOM[Item ID],$A19)&gt;0)*($H$8&gt;0),$C$8&amp;", ","")&amp;IF((COUNTIFS(TableBOM[Product ID],$D$9,TableBOM[Item ID],$A19)&gt;0)*($H$9&gt;0),$C$9&amp;", ","")&amp;IF((COUNTIFS(TableBOM[Product ID],$D$10,TableBOM[Item ID],$A19)&gt;0)*($H$10&gt;0),$C$10&amp;", ","")&amp;IF((COUNTIFS(TableBOM[Product ID],$D$11,TableBOM[Item ID],$A19)&gt;0)*($H$11&gt;0),$C$11&amp;", ","")&amp;IF((COUNTIFS(TableBOM[Product ID],$D$12,TableBOM[Item ID],$A19)&gt;0)*($H$12&gt;0),$C$12&amp;", ",""))&gt;1,LEFT(IF((COUNTIFS(TableBOM[Product ID],$D$3,TableBOM[Item ID],$A19)&gt;0)*($H$3&gt;0),$C$3&amp;", ","")&amp;IF((COUNTIFS(TableBOM[Product ID],$D$4,TableBOM[Item ID],$A19)&gt;0)*($H$4&gt;0),$C$4&amp;", ","")&amp;IF((COUNTIFS(TableBOM[Product ID],$D$5,TableBOM[Item ID],$A19)&gt;0)*($H$5&gt;0),$C$5&amp;", ","")&amp;IF((COUNTIFS(TableBOM[Product ID],$D$6,TableBOM[Item ID],$A19)&gt;0)*($H$6&gt;0),$C$6&amp;", ","")&amp;IF((COUNTIFS(TableBOM[Product ID],$D$7,TableBOM[Item ID],$A19)&gt;0)*($H$7&gt;0),$C$7&amp;", ","")&amp;IF((COUNTIFS(TableBOM[Product ID],$D$8,TableBOM[Item ID],$A19)&gt;0)*($H$8&gt;0),$C$8&amp;", ","")&amp;IF((COUNTIFS(TableBOM[Product ID],$D$9,TableBOM[Item ID],$A19)&gt;0)*($H$9&gt;0),$C$9&amp;", ","")&amp;IF((COUNTIFS(TableBOM[Product ID],$D$10,TableBOM[Item ID],$A19)&gt;0)*($H$10&gt;0),$C$10&amp;", ","")&amp;IF((COUNTIFS(TableBOM[Product ID],$D$11,TableBOM[Item ID],$A19)&gt;0)*($H$11&gt;0),$C$11&amp;", ","")&amp;IF((COUNTIFS(TableBOM[Product ID],$D$12,TableBOM[Item ID],$A19)&gt;0)*($H$12&gt;0),$C$12&amp;", ",""),LEN(IF((COUNTIFS(TableBOM[Product ID],$D$3,TableBOM[Item ID],$A19)&gt;0)*($H$3&gt;0),$C$3&amp;", ","")&amp;IF((COUNTIFS(TableBOM[Product ID],$D$4,TableBOM[Item ID],$A19)&gt;0)*($H$4&gt;0),$C$4&amp;", ","")&amp;IF((COUNTIFS(TableBOM[Product ID],$D$5,TableBOM[Item ID],$A19)&gt;0)*($H$5&gt;0),$C$5&amp;", ","")&amp;IF((COUNTIFS(TableBOM[Product ID],$D$6,TableBOM[Item ID],$A19)&gt;0)*($H$6&gt;0),$C$6&amp;", ","")&amp;IF((COUNTIFS(TableBOM[Product ID],$D$7,TableBOM[Item ID],$A19)&gt;0)*($H$7&gt;0),$C$7&amp;", ","")&amp;IF((COUNTIFS(TableBOM[Product ID],$D$8,TableBOM[Item ID],$A19)&gt;0)*($H$8&gt;0),$C$8&amp;", ","")&amp;IF((COUNTIFS(TableBOM[Product ID],$D$9,TableBOM[Item ID],$A19)&gt;0)*($H$9&gt;0),$C$9&amp;", ","")&amp;IF((COUNTIFS(TableBOM[Product ID],$D$10,TableBOM[Item ID],$A19)&gt;0)*($H$10&gt;0),$C$10&amp;", ","")&amp;IF((COUNTIFS(TableBOM[Product ID],$D$11,TableBOM[Item ID],$A19)&gt;0)*($H$11&gt;0),$C$11&amp;", ","")&amp;IF((COUNTIFS(TableBOM[Product ID],$D$12,TableBOM[Item ID],$A19)&gt;0)*($H$12&gt;0),$C$12&amp;", ",""))-2),"")</f>
        <v/>
      </c>
      <c r="I19" s="63">
        <f>IF(LEN(IF((COUNTIFS(TableBOM[Product ID],$D$3,TableBOM[Item ID],$A19)&gt;0)*($H$3&gt;0),$E$3&amp;", ","")&amp;IF((COUNTIFS(TableBOM[Product ID],$D$4,TableBOM[Item ID],$A19)&gt;0)*($H$4&gt;0),$E$4&amp;", ","")&amp;IF((COUNTIFS(TableBOM[Product ID],$D$5,TableBOM[Item ID],$A19)&gt;0)*($H$5&gt;0),$E$5&amp;", ","")&amp;IF((COUNTIFS(TableBOM[Product ID],$D$6,TableBOM[Item ID],$A19)&gt;0)*($H$6&gt;0),$E$6&amp;", ","")&amp;IF((COUNTIFS(TableBOM[Product ID],$D$7,TableBOM[Item ID],$A19)&gt;0)*($H$7&gt;0),$E$7&amp;", ","")&amp;IF((COUNTIFS(TableBOM[Product ID],$D$8,TableBOM[Item ID],$A19)&gt;0)*($H$8&gt;0),$E$8&amp;", ","")&amp;IF((COUNTIFS(TableBOM[Product ID],$D$9,TableBOM[Item ID],$A19)&gt;0)*($H$9&gt;0),$E$9&amp;", ","")&amp;IF((COUNTIFS(TableBOM[Product ID],$D$10,TableBOM[Item ID],$A19)&gt;0)*($H$10&gt;0),$E$10&amp;", ","")&amp;IF((COUNTIFS(TableBOM[Product ID],$D$11,TableBOM[Item ID],$A19)&gt;0)*($H$11&gt;0),$E$11&amp;", ","")&amp;IF((COUNTIFS(TableBOM[Product ID],$D$12,TableBOM[Item ID],$A19)&gt;0)*($H$12&gt;0),$E$12&amp;", ",""))&gt;1,LEFT(IF((COUNTIFS(TableBOM[Product ID],$D$3,TableBOM[Item ID],$A19)&gt;0)*($H$3&gt;0),$E$3&amp;", ","")&amp;IF((COUNTIFS(TableBOM[Product ID],$D$4,TableBOM[Item ID],$A19)&gt;0)*($H$4&gt;0),$E$4&amp;", ","")&amp;IF((COUNTIFS(TableBOM[Product ID],$D$5,TableBOM[Item ID],$A19)&gt;0)*($H$5&gt;0),$E$5&amp;", ","")&amp;IF((COUNTIFS(TableBOM[Product ID],$D$6,TableBOM[Item ID],$A19)&gt;0)*($H$6&gt;0),$E$6&amp;", ","")&amp;IF((COUNTIFS(TableBOM[Product ID],$D$7,TableBOM[Item ID],$A19)&gt;0)*($H$7&gt;0),$E$7&amp;", ","")&amp;IF((COUNTIFS(TableBOM[Product ID],$D$8,TableBOM[Item ID],$A19)&gt;0)*($H$8&gt;0),$E$8&amp;", ","")&amp;IF((COUNTIFS(TableBOM[Product ID],$D$9,TableBOM[Item ID],$A19)&gt;0)*($H$9&gt;0),$E$9&amp;", ","")&amp;IF((COUNTIFS(TableBOM[Product ID],$D$10,TableBOM[Item ID],$A19)&gt;0)*($H$10&gt;0),$E$10&amp;", ","")&amp;IF((COUNTIFS(TableBOM[Product ID],$D$11,TableBOM[Item ID],$A19)&gt;0)*($H$11&gt;0),$E$11&amp;", ","")&amp;IF((COUNTIFS(TableBOM[Product ID],$D$12,TableBOM[Item ID],$A19)&gt;0)*($H$12&gt;0),$E$12&amp;", ",""),LEN(IF((COUNTIFS(TableBOM[Product ID],$D$3,TableBOM[Item ID],$A19)&gt;0)*($H$3&gt;0),$E$3&amp;", ","")&amp;IF((COUNTIFS(TableBOM[Product ID],$D$4,TableBOM[Item ID],$A19)&gt;0)*($H$4&gt;0),$E$4&amp;", ","")&amp;IF((COUNTIFS(TableBOM[Product ID],$D$5,TableBOM[Item ID],$A19)&gt;0)*($H$5&gt;0),$E$5&amp;", ","")&amp;IF((COUNTIFS(TableBOM[Product ID],$D$6,TableBOM[Item ID],$A19)&gt;0)*($H$6&gt;0),$E$6&amp;", ","")&amp;IF((COUNTIFS(TableBOM[Product ID],$D$7,TableBOM[Item ID],$A19)&gt;0)*($H$7&gt;0),$E$7&amp;", ","")&amp;IF((COUNTIFS(TableBOM[Product ID],$D$8,TableBOM[Item ID],$A19)&gt;0)*($H$8&gt;0),$E$8&amp;", ","")&amp;IF((COUNTIFS(TableBOM[Product ID],$D$9,TableBOM[Item ID],$A19)&gt;0)*($H$9&gt;0),$E$9&amp;", ","")&amp;IF((COUNTIFS(TableBOM[Product ID],$D$10,TableBOM[Item ID],$A19)&gt;0)*($H$10&gt;0),$E$10&amp;", ","")&amp;IF((COUNTIFS(TableBOM[Product ID],$D$11,TableBOM[Item ID],$A19)&gt;0)*($H$11&gt;0),$E$11&amp;", ","")&amp;IF((COUNTIFS(TableBOM[Product ID],$D$12,TableBOM[Item ID],$A19)&gt;0)*($H$12&gt;0),$E$12&amp;", ",""))-2),"")</f>
        <v/>
      </c>
      <c r="J19" s="64">
        <f>IF(E19=0,"Not needed",IF(G19&lt;0,"SHORTAGE",IF(G19&lt;F19*0.1,"LOW","OK")))</f>
        <v/>
      </c>
      <c r="K19" s="64">
        <f>IF(B19&lt;&gt;"CAP","",SUMPRODUCT((ISNUMBER(SEARCH("Cap Not Available",'FG Stock'!$H$4:$H$100)))*('FG Stock'!$I$4:$I$100=A19)*'FG Stock'!$F$4:$F$100))</f>
        <v/>
      </c>
      <c r="L19" s="64">
        <f>IF(E19=0,"",MAX(0,E19+IFERROR(K19*1,0)-F19))</f>
        <v/>
      </c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" t="n"/>
    </row>
    <row r="20" hidden="1" ht="24" customHeight="1" s="249">
      <c r="A20" s="55" t="n">
        <v>22</v>
      </c>
      <c r="B20" s="55" t="inlineStr">
        <is>
          <t>SLUG</t>
        </is>
      </c>
      <c r="C20" s="55" t="inlineStr">
        <is>
          <t>19X4.2</t>
        </is>
      </c>
      <c r="D20" s="55" t="inlineStr">
        <is>
          <t>kg</t>
        </is>
      </c>
      <c r="E20" s="66">
        <f>SUMPRODUCT((TableBOM[Item ID]=A20)*TableBOM[Per 1000 Units]*(1+TableBOM[Scrap %])*SUMIF($D$3:$D$12,TableBOM[Product ID],$H$3:$H$12)/1000)</f>
        <v/>
      </c>
      <c r="F20" s="66">
        <f>IFERROR(INDEX(TableInventory[Store Balance],MATCH(A20,TableInventory[Item ID],0)),0)+IFERROR(INDEX(TableInventory[Work In Process],MATCH(A20,TableInventory[Item ID],0)),0)</f>
        <v/>
      </c>
      <c r="G20" s="67">
        <f>F20-E20</f>
        <v/>
      </c>
      <c r="H20" s="62">
        <f>IF(LEN(IF((COUNTIFS(TableBOM[Product ID],$D$3,TableBOM[Item ID],$A20)&gt;0)*($H$3&gt;0),$C$3&amp;", ","")&amp;IF((COUNTIFS(TableBOM[Product ID],$D$4,TableBOM[Item ID],$A20)&gt;0)*($H$4&gt;0),$C$4&amp;", ","")&amp;IF((COUNTIFS(TableBOM[Product ID],$D$5,TableBOM[Item ID],$A20)&gt;0)*($H$5&gt;0),$C$5&amp;", ","")&amp;IF((COUNTIFS(TableBOM[Product ID],$D$6,TableBOM[Item ID],$A20)&gt;0)*($H$6&gt;0),$C$6&amp;", ","")&amp;IF((COUNTIFS(TableBOM[Product ID],$D$7,TableBOM[Item ID],$A20)&gt;0)*($H$7&gt;0),$C$7&amp;", ","")&amp;IF((COUNTIFS(TableBOM[Product ID],$D$8,TableBOM[Item ID],$A20)&gt;0)*($H$8&gt;0),$C$8&amp;", ","")&amp;IF((COUNTIFS(TableBOM[Product ID],$D$9,TableBOM[Item ID],$A20)&gt;0)*($H$9&gt;0),$C$9&amp;", ","")&amp;IF((COUNTIFS(TableBOM[Product ID],$D$10,TableBOM[Item ID],$A20)&gt;0)*($H$10&gt;0),$C$10&amp;", ","")&amp;IF((COUNTIFS(TableBOM[Product ID],$D$11,TableBOM[Item ID],$A20)&gt;0)*($H$11&gt;0),$C$11&amp;", ","")&amp;IF((COUNTIFS(TableBOM[Product ID],$D$12,TableBOM[Item ID],$A20)&gt;0)*($H$12&gt;0),$C$12&amp;", ",""))&gt;1,LEFT(IF((COUNTIFS(TableBOM[Product ID],$D$3,TableBOM[Item ID],$A20)&gt;0)*($H$3&gt;0),$C$3&amp;", ","")&amp;IF((COUNTIFS(TableBOM[Product ID],$D$4,TableBOM[Item ID],$A20)&gt;0)*($H$4&gt;0),$C$4&amp;", ","")&amp;IF((COUNTIFS(TableBOM[Product ID],$D$5,TableBOM[Item ID],$A20)&gt;0)*($H$5&gt;0),$C$5&amp;", ","")&amp;IF((COUNTIFS(TableBOM[Product ID],$D$6,TableBOM[Item ID],$A20)&gt;0)*($H$6&gt;0),$C$6&amp;", ","")&amp;IF((COUNTIFS(TableBOM[Product ID],$D$7,TableBOM[Item ID],$A20)&gt;0)*($H$7&gt;0),$C$7&amp;", ","")&amp;IF((COUNTIFS(TableBOM[Product ID],$D$8,TableBOM[Item ID],$A20)&gt;0)*($H$8&gt;0),$C$8&amp;", ","")&amp;IF((COUNTIFS(TableBOM[Product ID],$D$9,TableBOM[Item ID],$A20)&gt;0)*($H$9&gt;0),$C$9&amp;", ","")&amp;IF((COUNTIFS(TableBOM[Product ID],$D$10,TableBOM[Item ID],$A20)&gt;0)*($H$10&gt;0),$C$10&amp;", ","")&amp;IF((COUNTIFS(TableBOM[Product ID],$D$11,TableBOM[Item ID],$A20)&gt;0)*($H$11&gt;0),$C$11&amp;", ","")&amp;IF((COUNTIFS(TableBOM[Product ID],$D$12,TableBOM[Item ID],$A20)&gt;0)*($H$12&gt;0),$C$12&amp;", ",""),LEN(IF((COUNTIFS(TableBOM[Product ID],$D$3,TableBOM[Item ID],$A20)&gt;0)*($H$3&gt;0),$C$3&amp;", ","")&amp;IF((COUNTIFS(TableBOM[Product ID],$D$4,TableBOM[Item ID],$A20)&gt;0)*($H$4&gt;0),$C$4&amp;", ","")&amp;IF((COUNTIFS(TableBOM[Product ID],$D$5,TableBOM[Item ID],$A20)&gt;0)*($H$5&gt;0),$C$5&amp;", ","")&amp;IF((COUNTIFS(TableBOM[Product ID],$D$6,TableBOM[Item ID],$A20)&gt;0)*($H$6&gt;0),$C$6&amp;", ","")&amp;IF((COUNTIFS(TableBOM[Product ID],$D$7,TableBOM[Item ID],$A20)&gt;0)*($H$7&gt;0),$C$7&amp;", ","")&amp;IF((COUNTIFS(TableBOM[Product ID],$D$8,TableBOM[Item ID],$A20)&gt;0)*($H$8&gt;0),$C$8&amp;", ","")&amp;IF((COUNTIFS(TableBOM[Product ID],$D$9,TableBOM[Item ID],$A20)&gt;0)*($H$9&gt;0),$C$9&amp;", ","")&amp;IF((COUNTIFS(TableBOM[Product ID],$D$10,TableBOM[Item ID],$A20)&gt;0)*($H$10&gt;0),$C$10&amp;", ","")&amp;IF((COUNTIFS(TableBOM[Product ID],$D$11,TableBOM[Item ID],$A20)&gt;0)*($H$11&gt;0),$C$11&amp;", ","")&amp;IF((COUNTIFS(TableBOM[Product ID],$D$12,TableBOM[Item ID],$A20)&gt;0)*($H$12&gt;0),$C$12&amp;", ",""))-2),"")</f>
        <v/>
      </c>
      <c r="I20" s="63">
        <f>IF(LEN(IF((COUNTIFS(TableBOM[Product ID],$D$3,TableBOM[Item ID],$A20)&gt;0)*($H$3&gt;0),$E$3&amp;", ","")&amp;IF((COUNTIFS(TableBOM[Product ID],$D$4,TableBOM[Item ID],$A20)&gt;0)*($H$4&gt;0),$E$4&amp;", ","")&amp;IF((COUNTIFS(TableBOM[Product ID],$D$5,TableBOM[Item ID],$A20)&gt;0)*($H$5&gt;0),$E$5&amp;", ","")&amp;IF((COUNTIFS(TableBOM[Product ID],$D$6,TableBOM[Item ID],$A20)&gt;0)*($H$6&gt;0),$E$6&amp;", ","")&amp;IF((COUNTIFS(TableBOM[Product ID],$D$7,TableBOM[Item ID],$A20)&gt;0)*($H$7&gt;0),$E$7&amp;", ","")&amp;IF((COUNTIFS(TableBOM[Product ID],$D$8,TableBOM[Item ID],$A20)&gt;0)*($H$8&gt;0),$E$8&amp;", ","")&amp;IF((COUNTIFS(TableBOM[Product ID],$D$9,TableBOM[Item ID],$A20)&gt;0)*($H$9&gt;0),$E$9&amp;", ","")&amp;IF((COUNTIFS(TableBOM[Product ID],$D$10,TableBOM[Item ID],$A20)&gt;0)*($H$10&gt;0),$E$10&amp;", ","")&amp;IF((COUNTIFS(TableBOM[Product ID],$D$11,TableBOM[Item ID],$A20)&gt;0)*($H$11&gt;0),$E$11&amp;", ","")&amp;IF((COUNTIFS(TableBOM[Product ID],$D$12,TableBOM[Item ID],$A20)&gt;0)*($H$12&gt;0),$E$12&amp;", ",""))&gt;1,LEFT(IF((COUNTIFS(TableBOM[Product ID],$D$3,TableBOM[Item ID],$A20)&gt;0)*($H$3&gt;0),$E$3&amp;", ","")&amp;IF((COUNTIFS(TableBOM[Product ID],$D$4,TableBOM[Item ID],$A20)&gt;0)*($H$4&gt;0),$E$4&amp;", ","")&amp;IF((COUNTIFS(TableBOM[Product ID],$D$5,TableBOM[Item ID],$A20)&gt;0)*($H$5&gt;0),$E$5&amp;", ","")&amp;IF((COUNTIFS(TableBOM[Product ID],$D$6,TableBOM[Item ID],$A20)&gt;0)*($H$6&gt;0),$E$6&amp;", ","")&amp;IF((COUNTIFS(TableBOM[Product ID],$D$7,TableBOM[Item ID],$A20)&gt;0)*($H$7&gt;0),$E$7&amp;", ","")&amp;IF((COUNTIFS(TableBOM[Product ID],$D$8,TableBOM[Item ID],$A20)&gt;0)*($H$8&gt;0),$E$8&amp;", ","")&amp;IF((COUNTIFS(TableBOM[Product ID],$D$9,TableBOM[Item ID],$A20)&gt;0)*($H$9&gt;0),$E$9&amp;", ","")&amp;IF((COUNTIFS(TableBOM[Product ID],$D$10,TableBOM[Item ID],$A20)&gt;0)*($H$10&gt;0),$E$10&amp;", ","")&amp;IF((COUNTIFS(TableBOM[Product ID],$D$11,TableBOM[Item ID],$A20)&gt;0)*($H$11&gt;0),$E$11&amp;", ","")&amp;IF((COUNTIFS(TableBOM[Product ID],$D$12,TableBOM[Item ID],$A20)&gt;0)*($H$12&gt;0),$E$12&amp;", ",""),LEN(IF((COUNTIFS(TableBOM[Product ID],$D$3,TableBOM[Item ID],$A20)&gt;0)*($H$3&gt;0),$E$3&amp;", ","")&amp;IF((COUNTIFS(TableBOM[Product ID],$D$4,TableBOM[Item ID],$A20)&gt;0)*($H$4&gt;0),$E$4&amp;", ","")&amp;IF((COUNTIFS(TableBOM[Product ID],$D$5,TableBOM[Item ID],$A20)&gt;0)*($H$5&gt;0),$E$5&amp;", ","")&amp;IF((COUNTIFS(TableBOM[Product ID],$D$6,TableBOM[Item ID],$A20)&gt;0)*($H$6&gt;0),$E$6&amp;", ","")&amp;IF((COUNTIFS(TableBOM[Product ID],$D$7,TableBOM[Item ID],$A20)&gt;0)*($H$7&gt;0),$E$7&amp;", ","")&amp;IF((COUNTIFS(TableBOM[Product ID],$D$8,TableBOM[Item ID],$A20)&gt;0)*($H$8&gt;0),$E$8&amp;", ","")&amp;IF((COUNTIFS(TableBOM[Product ID],$D$9,TableBOM[Item ID],$A20)&gt;0)*($H$9&gt;0),$E$9&amp;", ","")&amp;IF((COUNTIFS(TableBOM[Product ID],$D$10,TableBOM[Item ID],$A20)&gt;0)*($H$10&gt;0),$E$10&amp;", ","")&amp;IF((COUNTIFS(TableBOM[Product ID],$D$11,TableBOM[Item ID],$A20)&gt;0)*($H$11&gt;0),$E$11&amp;", ","")&amp;IF((COUNTIFS(TableBOM[Product ID],$D$12,TableBOM[Item ID],$A20)&gt;0)*($H$12&gt;0),$E$12&amp;", ",""))-2),"")</f>
        <v/>
      </c>
      <c r="J20" s="64">
        <f>IF(E20=0,"Not needed",IF(G20&lt;0,"SHORTAGE",IF(G20&lt;F20*0.1,"LOW","OK")))</f>
        <v/>
      </c>
      <c r="K20" s="64">
        <f>IF(B20&lt;&gt;"CAP","",SUMPRODUCT((ISNUMBER(SEARCH("Cap Not Available",'FG Stock'!$H$4:$H$100)))*('FG Stock'!$I$4:$I$100=A20)*'FG Stock'!$F$4:$F$100))</f>
        <v/>
      </c>
      <c r="L20" s="64">
        <f>IF(E20=0,"",MAX(0,E20+IFERROR(K20*1,0)-F20))</f>
        <v/>
      </c>
    </row>
    <row r="21" ht="19.5" customHeight="1" s="249">
      <c r="A21" s="55" t="n">
        <v>19</v>
      </c>
      <c r="B21" s="55" t="inlineStr">
        <is>
          <t>SLUG</t>
        </is>
      </c>
      <c r="C21" s="55" t="inlineStr">
        <is>
          <t>19X4.5 S/M</t>
        </is>
      </c>
      <c r="D21" s="55" t="inlineStr">
        <is>
          <t>kg</t>
        </is>
      </c>
      <c r="E21" s="61">
        <f>SUMPRODUCT((TableBOM[Item ID]=A21)*TableBOM[Per 1000 Units]*(1+TableBOM[Scrap %])*SUMIF($D$3:$D$12,TableBOM[Product ID],$H$3:$H$12)/1000)</f>
        <v/>
      </c>
      <c r="F21" s="61">
        <f>IFERROR(INDEX(TableInventory[Store Balance],MATCH(A21,TableInventory[Item ID],0)),0)+IFERROR(INDEX(TableInventory[Work In Process],MATCH(A21,TableInventory[Item ID],0)),0)</f>
        <v/>
      </c>
      <c r="G21" s="65">
        <f>F21-E21</f>
        <v/>
      </c>
      <c r="H21" s="62">
        <f>IF(LEN(IF((COUNTIFS(TableBOM[Product ID],$D$3,TableBOM[Item ID],$A21)&gt;0)*($H$3&gt;0),$C$3&amp;", ","")&amp;IF((COUNTIFS(TableBOM[Product ID],$D$4,TableBOM[Item ID],$A21)&gt;0)*($H$4&gt;0),$C$4&amp;", ","")&amp;IF((COUNTIFS(TableBOM[Product ID],$D$5,TableBOM[Item ID],$A21)&gt;0)*($H$5&gt;0),$C$5&amp;", ","")&amp;IF((COUNTIFS(TableBOM[Product ID],$D$6,TableBOM[Item ID],$A21)&gt;0)*($H$6&gt;0),$C$6&amp;", ","")&amp;IF((COUNTIFS(TableBOM[Product ID],$D$7,TableBOM[Item ID],$A21)&gt;0)*($H$7&gt;0),$C$7&amp;", ","")&amp;IF((COUNTIFS(TableBOM[Product ID],$D$8,TableBOM[Item ID],$A21)&gt;0)*($H$8&gt;0),$C$8&amp;", ","")&amp;IF((COUNTIFS(TableBOM[Product ID],$D$9,TableBOM[Item ID],$A21)&gt;0)*($H$9&gt;0),$C$9&amp;", ","")&amp;IF((COUNTIFS(TableBOM[Product ID],$D$10,TableBOM[Item ID],$A21)&gt;0)*($H$10&gt;0),$C$10&amp;", ","")&amp;IF((COUNTIFS(TableBOM[Product ID],$D$11,TableBOM[Item ID],$A21)&gt;0)*($H$11&gt;0),$C$11&amp;", ","")&amp;IF((COUNTIFS(TableBOM[Product ID],$D$12,TableBOM[Item ID],$A21)&gt;0)*($H$12&gt;0),$C$12&amp;", ",""))&gt;1,LEFT(IF((COUNTIFS(TableBOM[Product ID],$D$3,TableBOM[Item ID],$A21)&gt;0)*($H$3&gt;0),$C$3&amp;", ","")&amp;IF((COUNTIFS(TableBOM[Product ID],$D$4,TableBOM[Item ID],$A21)&gt;0)*($H$4&gt;0),$C$4&amp;", ","")&amp;IF((COUNTIFS(TableBOM[Product ID],$D$5,TableBOM[Item ID],$A21)&gt;0)*($H$5&gt;0),$C$5&amp;", ","")&amp;IF((COUNTIFS(TableBOM[Product ID],$D$6,TableBOM[Item ID],$A21)&gt;0)*($H$6&gt;0),$C$6&amp;", ","")&amp;IF((COUNTIFS(TableBOM[Product ID],$D$7,TableBOM[Item ID],$A21)&gt;0)*($H$7&gt;0),$C$7&amp;", ","")&amp;IF((COUNTIFS(TableBOM[Product ID],$D$8,TableBOM[Item ID],$A21)&gt;0)*($H$8&gt;0),$C$8&amp;", ","")&amp;IF((COUNTIFS(TableBOM[Product ID],$D$9,TableBOM[Item ID],$A21)&gt;0)*($H$9&gt;0),$C$9&amp;", ","")&amp;IF((COUNTIFS(TableBOM[Product ID],$D$10,TableBOM[Item ID],$A21)&gt;0)*($H$10&gt;0),$C$10&amp;", ","")&amp;IF((COUNTIFS(TableBOM[Product ID],$D$11,TableBOM[Item ID],$A21)&gt;0)*($H$11&gt;0),$C$11&amp;", ","")&amp;IF((COUNTIFS(TableBOM[Product ID],$D$12,TableBOM[Item ID],$A21)&gt;0)*($H$12&gt;0),$C$12&amp;", ",""),LEN(IF((COUNTIFS(TableBOM[Product ID],$D$3,TableBOM[Item ID],$A21)&gt;0)*($H$3&gt;0),$C$3&amp;", ","")&amp;IF((COUNTIFS(TableBOM[Product ID],$D$4,TableBOM[Item ID],$A21)&gt;0)*($H$4&gt;0),$C$4&amp;", ","")&amp;IF((COUNTIFS(TableBOM[Product ID],$D$5,TableBOM[Item ID],$A21)&gt;0)*($H$5&gt;0),$C$5&amp;", ","")&amp;IF((COUNTIFS(TableBOM[Product ID],$D$6,TableBOM[Item ID],$A21)&gt;0)*($H$6&gt;0),$C$6&amp;", ","")&amp;IF((COUNTIFS(TableBOM[Product ID],$D$7,TableBOM[Item ID],$A21)&gt;0)*($H$7&gt;0),$C$7&amp;", ","")&amp;IF((COUNTIFS(TableBOM[Product ID],$D$8,TableBOM[Item ID],$A21)&gt;0)*($H$8&gt;0),$C$8&amp;", ","")&amp;IF((COUNTIFS(TableBOM[Product ID],$D$9,TableBOM[Item ID],$A21)&gt;0)*($H$9&gt;0),$C$9&amp;", ","")&amp;IF((COUNTIFS(TableBOM[Product ID],$D$10,TableBOM[Item ID],$A21)&gt;0)*($H$10&gt;0),$C$10&amp;", ","")&amp;IF((COUNTIFS(TableBOM[Product ID],$D$11,TableBOM[Item ID],$A21)&gt;0)*($H$11&gt;0),$C$11&amp;", ","")&amp;IF((COUNTIFS(TableBOM[Product ID],$D$12,TableBOM[Item ID],$A21)&gt;0)*($H$12&gt;0),$C$12&amp;", ",""))-2),"")</f>
        <v/>
      </c>
      <c r="I21" s="63">
        <f>IF(LEN(IF((COUNTIFS(TableBOM[Product ID],$D$3,TableBOM[Item ID],$A21)&gt;0)*($H$3&gt;0),$E$3&amp;", ","")&amp;IF((COUNTIFS(TableBOM[Product ID],$D$4,TableBOM[Item ID],$A21)&gt;0)*($H$4&gt;0),$E$4&amp;", ","")&amp;IF((COUNTIFS(TableBOM[Product ID],$D$5,TableBOM[Item ID],$A21)&gt;0)*($H$5&gt;0),$E$5&amp;", ","")&amp;IF((COUNTIFS(TableBOM[Product ID],$D$6,TableBOM[Item ID],$A21)&gt;0)*($H$6&gt;0),$E$6&amp;", ","")&amp;IF((COUNTIFS(TableBOM[Product ID],$D$7,TableBOM[Item ID],$A21)&gt;0)*($H$7&gt;0),$E$7&amp;", ","")&amp;IF((COUNTIFS(TableBOM[Product ID],$D$8,TableBOM[Item ID],$A21)&gt;0)*($H$8&gt;0),$E$8&amp;", ","")&amp;IF((COUNTIFS(TableBOM[Product ID],$D$9,TableBOM[Item ID],$A21)&gt;0)*($H$9&gt;0),$E$9&amp;", ","")&amp;IF((COUNTIFS(TableBOM[Product ID],$D$10,TableBOM[Item ID],$A21)&gt;0)*($H$10&gt;0),$E$10&amp;", ","")&amp;IF((COUNTIFS(TableBOM[Product ID],$D$11,TableBOM[Item ID],$A21)&gt;0)*($H$11&gt;0),$E$11&amp;", ","")&amp;IF((COUNTIFS(TableBOM[Product ID],$D$12,TableBOM[Item ID],$A21)&gt;0)*($H$12&gt;0),$E$12&amp;", ",""))&gt;1,LEFT(IF((COUNTIFS(TableBOM[Product ID],$D$3,TableBOM[Item ID],$A21)&gt;0)*($H$3&gt;0),$E$3&amp;", ","")&amp;IF((COUNTIFS(TableBOM[Product ID],$D$4,TableBOM[Item ID],$A21)&gt;0)*($H$4&gt;0),$E$4&amp;", ","")&amp;IF((COUNTIFS(TableBOM[Product ID],$D$5,TableBOM[Item ID],$A21)&gt;0)*($H$5&gt;0),$E$5&amp;", ","")&amp;IF((COUNTIFS(TableBOM[Product ID],$D$6,TableBOM[Item ID],$A21)&gt;0)*($H$6&gt;0),$E$6&amp;", ","")&amp;IF((COUNTIFS(TableBOM[Product ID],$D$7,TableBOM[Item ID],$A21)&gt;0)*($H$7&gt;0),$E$7&amp;", ","")&amp;IF((COUNTIFS(TableBOM[Product ID],$D$8,TableBOM[Item ID],$A21)&gt;0)*($H$8&gt;0),$E$8&amp;", ","")&amp;IF((COUNTIFS(TableBOM[Product ID],$D$9,TableBOM[Item ID],$A21)&gt;0)*($H$9&gt;0),$E$9&amp;", ","")&amp;IF((COUNTIFS(TableBOM[Product ID],$D$10,TableBOM[Item ID],$A21)&gt;0)*($H$10&gt;0),$E$10&amp;", ","")&amp;IF((COUNTIFS(TableBOM[Product ID],$D$11,TableBOM[Item ID],$A21)&gt;0)*($H$11&gt;0),$E$11&amp;", ","")&amp;IF((COUNTIFS(TableBOM[Product ID],$D$12,TableBOM[Item ID],$A21)&gt;0)*($H$12&gt;0),$E$12&amp;", ",""),LEN(IF((COUNTIFS(TableBOM[Product ID],$D$3,TableBOM[Item ID],$A21)&gt;0)*($H$3&gt;0),$E$3&amp;", ","")&amp;IF((COUNTIFS(TableBOM[Product ID],$D$4,TableBOM[Item ID],$A21)&gt;0)*($H$4&gt;0),$E$4&amp;", ","")&amp;IF((COUNTIFS(TableBOM[Product ID],$D$5,TableBOM[Item ID],$A21)&gt;0)*($H$5&gt;0),$E$5&amp;", ","")&amp;IF((COUNTIFS(TableBOM[Product ID],$D$6,TableBOM[Item ID],$A21)&gt;0)*($H$6&gt;0),$E$6&amp;", ","")&amp;IF((COUNTIFS(TableBOM[Product ID],$D$7,TableBOM[Item ID],$A21)&gt;0)*($H$7&gt;0),$E$7&amp;", ","")&amp;IF((COUNTIFS(TableBOM[Product ID],$D$8,TableBOM[Item ID],$A21)&gt;0)*($H$8&gt;0),$E$8&amp;", ","")&amp;IF((COUNTIFS(TableBOM[Product ID],$D$9,TableBOM[Item ID],$A21)&gt;0)*($H$9&gt;0),$E$9&amp;", ","")&amp;IF((COUNTIFS(TableBOM[Product ID],$D$10,TableBOM[Item ID],$A21)&gt;0)*($H$10&gt;0),$E$10&amp;", ","")&amp;IF((COUNTIFS(TableBOM[Product ID],$D$11,TableBOM[Item ID],$A21)&gt;0)*($H$11&gt;0),$E$11&amp;", ","")&amp;IF((COUNTIFS(TableBOM[Product ID],$D$12,TableBOM[Item ID],$A21)&gt;0)*($H$12&gt;0),$E$12&amp;", ",""))-2),"")</f>
        <v/>
      </c>
      <c r="J21" s="64" t="inlineStr">
        <is>
          <t>SLUG in Transit</t>
        </is>
      </c>
      <c r="K21" s="64">
        <f>IF(B21&lt;&gt;"CAP","",SUMPRODUCT((ISNUMBER(SEARCH("Cap Not Available",'FG Stock'!$H$4:$H$100)))*('FG Stock'!$I$4:$I$100=A21)*'FG Stock'!$F$4:$F$100))</f>
        <v/>
      </c>
      <c r="L21" s="64">
        <f>IF(E21=0,"",MAX(0,E21+IFERROR(K21*1,0)-F21))</f>
        <v/>
      </c>
    </row>
    <row r="22" hidden="1" ht="24" customHeight="1" s="249">
      <c r="A22" s="55" t="n">
        <v>4179</v>
      </c>
      <c r="B22" s="55" t="inlineStr">
        <is>
          <t>SLUG</t>
        </is>
      </c>
      <c r="C22" s="55" t="inlineStr">
        <is>
          <t>20.5x4.5</t>
        </is>
      </c>
      <c r="D22" s="55" t="inlineStr">
        <is>
          <t>kg</t>
        </is>
      </c>
      <c r="E22" s="61">
        <f>SUMPRODUCT((TableBOM[Item ID]=A22)*TableBOM[Per 1000 Units]*(1+TableBOM[Scrap %])*SUMIF($D$3:$D$12,TableBOM[Product ID],$H$3:$H$12)/1000)</f>
        <v/>
      </c>
      <c r="F22" s="61">
        <f>IFERROR(INDEX(TableInventory[Store Balance],MATCH(A22,TableInventory[Item ID],0)),0)+IFERROR(INDEX(TableInventory[Work In Process],MATCH(A22,TableInventory[Item ID],0)),0)</f>
        <v/>
      </c>
      <c r="G22" s="65">
        <f>F22-E22</f>
        <v/>
      </c>
      <c r="H22" s="62">
        <f>IF(LEN(IF((COUNTIFS(TableBOM[Product ID],$D$3,TableBOM[Item ID],$A22)&gt;0)*($H$3&gt;0),$C$3&amp;", ","")&amp;IF((COUNTIFS(TableBOM[Product ID],$D$4,TableBOM[Item ID],$A22)&gt;0)*($H$4&gt;0),$C$4&amp;", ","")&amp;IF((COUNTIFS(TableBOM[Product ID],$D$5,TableBOM[Item ID],$A22)&gt;0)*($H$5&gt;0),$C$5&amp;", ","")&amp;IF((COUNTIFS(TableBOM[Product ID],$D$6,TableBOM[Item ID],$A22)&gt;0)*($H$6&gt;0),$C$6&amp;", ","")&amp;IF((COUNTIFS(TableBOM[Product ID],$D$7,TableBOM[Item ID],$A22)&gt;0)*($H$7&gt;0),$C$7&amp;", ","")&amp;IF((COUNTIFS(TableBOM[Product ID],$D$8,TableBOM[Item ID],$A22)&gt;0)*($H$8&gt;0),$C$8&amp;", ","")&amp;IF((COUNTIFS(TableBOM[Product ID],$D$9,TableBOM[Item ID],$A22)&gt;0)*($H$9&gt;0),$C$9&amp;", ","")&amp;IF((COUNTIFS(TableBOM[Product ID],$D$10,TableBOM[Item ID],$A22)&gt;0)*($H$10&gt;0),$C$10&amp;", ","")&amp;IF((COUNTIFS(TableBOM[Product ID],$D$11,TableBOM[Item ID],$A22)&gt;0)*($H$11&gt;0),$C$11&amp;", ","")&amp;IF((COUNTIFS(TableBOM[Product ID],$D$12,TableBOM[Item ID],$A22)&gt;0)*($H$12&gt;0),$C$12&amp;", ",""))&gt;1,LEFT(IF((COUNTIFS(TableBOM[Product ID],$D$3,TableBOM[Item ID],$A22)&gt;0)*($H$3&gt;0),$C$3&amp;", ","")&amp;IF((COUNTIFS(TableBOM[Product ID],$D$4,TableBOM[Item ID],$A22)&gt;0)*($H$4&gt;0),$C$4&amp;", ","")&amp;IF((COUNTIFS(TableBOM[Product ID],$D$5,TableBOM[Item ID],$A22)&gt;0)*($H$5&gt;0),$C$5&amp;", ","")&amp;IF((COUNTIFS(TableBOM[Product ID],$D$6,TableBOM[Item ID],$A22)&gt;0)*($H$6&gt;0),$C$6&amp;", ","")&amp;IF((COUNTIFS(TableBOM[Product ID],$D$7,TableBOM[Item ID],$A22)&gt;0)*($H$7&gt;0),$C$7&amp;", ","")&amp;IF((COUNTIFS(TableBOM[Product ID],$D$8,TableBOM[Item ID],$A22)&gt;0)*($H$8&gt;0),$C$8&amp;", ","")&amp;IF((COUNTIFS(TableBOM[Product ID],$D$9,TableBOM[Item ID],$A22)&gt;0)*($H$9&gt;0),$C$9&amp;", ","")&amp;IF((COUNTIFS(TableBOM[Product ID],$D$10,TableBOM[Item ID],$A22)&gt;0)*($H$10&gt;0),$C$10&amp;", ","")&amp;IF((COUNTIFS(TableBOM[Product ID],$D$11,TableBOM[Item ID],$A22)&gt;0)*($H$11&gt;0),$C$11&amp;", ","")&amp;IF((COUNTIFS(TableBOM[Product ID],$D$12,TableBOM[Item ID],$A22)&gt;0)*($H$12&gt;0),$C$12&amp;", ",""),LEN(IF((COUNTIFS(TableBOM[Product ID],$D$3,TableBOM[Item ID],$A22)&gt;0)*($H$3&gt;0),$C$3&amp;", ","")&amp;IF((COUNTIFS(TableBOM[Product ID],$D$4,TableBOM[Item ID],$A22)&gt;0)*($H$4&gt;0),$C$4&amp;", ","")&amp;IF((COUNTIFS(TableBOM[Product ID],$D$5,TableBOM[Item ID],$A22)&gt;0)*($H$5&gt;0),$C$5&amp;", ","")&amp;IF((COUNTIFS(TableBOM[Product ID],$D$6,TableBOM[Item ID],$A22)&gt;0)*($H$6&gt;0),$C$6&amp;", ","")&amp;IF((COUNTIFS(TableBOM[Product ID],$D$7,TableBOM[Item ID],$A22)&gt;0)*($H$7&gt;0),$C$7&amp;", ","")&amp;IF((COUNTIFS(TableBOM[Product ID],$D$8,TableBOM[Item ID],$A22)&gt;0)*($H$8&gt;0),$C$8&amp;", ","")&amp;IF((COUNTIFS(TableBOM[Product ID],$D$9,TableBOM[Item ID],$A22)&gt;0)*($H$9&gt;0),$C$9&amp;", ","")&amp;IF((COUNTIFS(TableBOM[Product ID],$D$10,TableBOM[Item ID],$A22)&gt;0)*($H$10&gt;0),$C$10&amp;", ","")&amp;IF((COUNTIFS(TableBOM[Product ID],$D$11,TableBOM[Item ID],$A22)&gt;0)*($H$11&gt;0),$C$11&amp;", ","")&amp;IF((COUNTIFS(TableBOM[Product ID],$D$12,TableBOM[Item ID],$A22)&gt;0)*($H$12&gt;0),$C$12&amp;", ",""))-2),"")</f>
        <v/>
      </c>
      <c r="I22" s="63">
        <f>IF(LEN(IF((COUNTIFS(TableBOM[Product ID],$D$3,TableBOM[Item ID],$A22)&gt;0)*($H$3&gt;0),$E$3&amp;", ","")&amp;IF((COUNTIFS(TableBOM[Product ID],$D$4,TableBOM[Item ID],$A22)&gt;0)*($H$4&gt;0),$E$4&amp;", ","")&amp;IF((COUNTIFS(TableBOM[Product ID],$D$5,TableBOM[Item ID],$A22)&gt;0)*($H$5&gt;0),$E$5&amp;", ","")&amp;IF((COUNTIFS(TableBOM[Product ID],$D$6,TableBOM[Item ID],$A22)&gt;0)*($H$6&gt;0),$E$6&amp;", ","")&amp;IF((COUNTIFS(TableBOM[Product ID],$D$7,TableBOM[Item ID],$A22)&gt;0)*($H$7&gt;0),$E$7&amp;", ","")&amp;IF((COUNTIFS(TableBOM[Product ID],$D$8,TableBOM[Item ID],$A22)&gt;0)*($H$8&gt;0),$E$8&amp;", ","")&amp;IF((COUNTIFS(TableBOM[Product ID],$D$9,TableBOM[Item ID],$A22)&gt;0)*($H$9&gt;0),$E$9&amp;", ","")&amp;IF((COUNTIFS(TableBOM[Product ID],$D$10,TableBOM[Item ID],$A22)&gt;0)*($H$10&gt;0),$E$10&amp;", ","")&amp;IF((COUNTIFS(TableBOM[Product ID],$D$11,TableBOM[Item ID],$A22)&gt;0)*($H$11&gt;0),$E$11&amp;", ","")&amp;IF((COUNTIFS(TableBOM[Product ID],$D$12,TableBOM[Item ID],$A22)&gt;0)*($H$12&gt;0),$E$12&amp;", ",""))&gt;1,LEFT(IF((COUNTIFS(TableBOM[Product ID],$D$3,TableBOM[Item ID],$A22)&gt;0)*($H$3&gt;0),$E$3&amp;", ","")&amp;IF((COUNTIFS(TableBOM[Product ID],$D$4,TableBOM[Item ID],$A22)&gt;0)*($H$4&gt;0),$E$4&amp;", ","")&amp;IF((COUNTIFS(TableBOM[Product ID],$D$5,TableBOM[Item ID],$A22)&gt;0)*($H$5&gt;0),$E$5&amp;", ","")&amp;IF((COUNTIFS(TableBOM[Product ID],$D$6,TableBOM[Item ID],$A22)&gt;0)*($H$6&gt;0),$E$6&amp;", ","")&amp;IF((COUNTIFS(TableBOM[Product ID],$D$7,TableBOM[Item ID],$A22)&gt;0)*($H$7&gt;0),$E$7&amp;", ","")&amp;IF((COUNTIFS(TableBOM[Product ID],$D$8,TableBOM[Item ID],$A22)&gt;0)*($H$8&gt;0),$E$8&amp;", ","")&amp;IF((COUNTIFS(TableBOM[Product ID],$D$9,TableBOM[Item ID],$A22)&gt;0)*($H$9&gt;0),$E$9&amp;", ","")&amp;IF((COUNTIFS(TableBOM[Product ID],$D$10,TableBOM[Item ID],$A22)&gt;0)*($H$10&gt;0),$E$10&amp;", ","")&amp;IF((COUNTIFS(TableBOM[Product ID],$D$11,TableBOM[Item ID],$A22)&gt;0)*($H$11&gt;0),$E$11&amp;", ","")&amp;IF((COUNTIFS(TableBOM[Product ID],$D$12,TableBOM[Item ID],$A22)&gt;0)*($H$12&gt;0),$E$12&amp;", ",""),LEN(IF((COUNTIFS(TableBOM[Product ID],$D$3,TableBOM[Item ID],$A22)&gt;0)*($H$3&gt;0),$E$3&amp;", ","")&amp;IF((COUNTIFS(TableBOM[Product ID],$D$4,TableBOM[Item ID],$A22)&gt;0)*($H$4&gt;0),$E$4&amp;", ","")&amp;IF((COUNTIFS(TableBOM[Product ID],$D$5,TableBOM[Item ID],$A22)&gt;0)*($H$5&gt;0),$E$5&amp;", ","")&amp;IF((COUNTIFS(TableBOM[Product ID],$D$6,TableBOM[Item ID],$A22)&gt;0)*($H$6&gt;0),$E$6&amp;", ","")&amp;IF((COUNTIFS(TableBOM[Product ID],$D$7,TableBOM[Item ID],$A22)&gt;0)*($H$7&gt;0),$E$7&amp;", ","")&amp;IF((COUNTIFS(TableBOM[Product ID],$D$8,TableBOM[Item ID],$A22)&gt;0)*($H$8&gt;0),$E$8&amp;", ","")&amp;IF((COUNTIFS(TableBOM[Product ID],$D$9,TableBOM[Item ID],$A22)&gt;0)*($H$9&gt;0),$E$9&amp;", ","")&amp;IF((COUNTIFS(TableBOM[Product ID],$D$10,TableBOM[Item ID],$A22)&gt;0)*($H$10&gt;0),$E$10&amp;", ","")&amp;IF((COUNTIFS(TableBOM[Product ID],$D$11,TableBOM[Item ID],$A22)&gt;0)*($H$11&gt;0),$E$11&amp;", ","")&amp;IF((COUNTIFS(TableBOM[Product ID],$D$12,TableBOM[Item ID],$A22)&gt;0)*($H$12&gt;0),$E$12&amp;", ",""))-2),"")</f>
        <v/>
      </c>
      <c r="J22" s="64">
        <f>IF(E22=0,"Not needed",IF(G22&lt;0,"SHORTAGE",IF(G22&lt;F22*0.1,"LOW","OK")))</f>
        <v/>
      </c>
      <c r="K22" s="64">
        <f>IF(B22&lt;&gt;"CAP","",SUMPRODUCT((ISNUMBER(SEARCH("Cap Not Available",'FG Stock'!$H$4:$H$100)))*('FG Stock'!$I$4:$I$100=A22)*'FG Stock'!$F$4:$F$100))</f>
        <v/>
      </c>
      <c r="L22" s="64">
        <f>IF(E22=0,"",MAX(0,E22+IFERROR(K22*1,0)-F22))</f>
        <v/>
      </c>
    </row>
    <row r="23" hidden="1" ht="24" customHeight="1" s="249">
      <c r="A23" s="55" t="n">
        <v>6</v>
      </c>
      <c r="B23" s="55" t="inlineStr">
        <is>
          <t>SLUG</t>
        </is>
      </c>
      <c r="C23" s="55" t="inlineStr">
        <is>
          <t>25X4.5 S/M</t>
        </is>
      </c>
      <c r="D23" s="55" t="inlineStr">
        <is>
          <t>kg</t>
        </is>
      </c>
      <c r="E23" s="61">
        <f>SUMPRODUCT((TableBOM[Item ID]=A23)*TableBOM[Per 1000 Units]*(1+TableBOM[Scrap %])*SUMIF($D$3:$D$12,TableBOM[Product ID],$H$3:$H$12)/1000)</f>
        <v/>
      </c>
      <c r="F23" s="61">
        <f>IFERROR(INDEX(TableInventory[Store Balance],MATCH(A23,TableInventory[Item ID],0)),0)+IFERROR(INDEX(TableInventory[Work In Process],MATCH(A23,TableInventory[Item ID],0)),0)</f>
        <v/>
      </c>
      <c r="G23" s="65">
        <f>F23-E23</f>
        <v/>
      </c>
      <c r="H23" s="62">
        <f>IF(LEN(IF((COUNTIFS(TableBOM[Product ID],$D$3,TableBOM[Item ID],$A23)&gt;0)*($H$3&gt;0),$C$3&amp;", ","")&amp;IF((COUNTIFS(TableBOM[Product ID],$D$4,TableBOM[Item ID],$A23)&gt;0)*($H$4&gt;0),$C$4&amp;", ","")&amp;IF((COUNTIFS(TableBOM[Product ID],$D$5,TableBOM[Item ID],$A23)&gt;0)*($H$5&gt;0),$C$5&amp;", ","")&amp;IF((COUNTIFS(TableBOM[Product ID],$D$6,TableBOM[Item ID],$A23)&gt;0)*($H$6&gt;0),$C$6&amp;", ","")&amp;IF((COUNTIFS(TableBOM[Product ID],$D$7,TableBOM[Item ID],$A23)&gt;0)*($H$7&gt;0),$C$7&amp;", ","")&amp;IF((COUNTIFS(TableBOM[Product ID],$D$8,TableBOM[Item ID],$A23)&gt;0)*($H$8&gt;0),$C$8&amp;", ","")&amp;IF((COUNTIFS(TableBOM[Product ID],$D$9,TableBOM[Item ID],$A23)&gt;0)*($H$9&gt;0),$C$9&amp;", ","")&amp;IF((COUNTIFS(TableBOM[Product ID],$D$10,TableBOM[Item ID],$A23)&gt;0)*($H$10&gt;0),$C$10&amp;", ","")&amp;IF((COUNTIFS(TableBOM[Product ID],$D$11,TableBOM[Item ID],$A23)&gt;0)*($H$11&gt;0),$C$11&amp;", ","")&amp;IF((COUNTIFS(TableBOM[Product ID],$D$12,TableBOM[Item ID],$A23)&gt;0)*($H$12&gt;0),$C$12&amp;", ",""))&gt;1,LEFT(IF((COUNTIFS(TableBOM[Product ID],$D$3,TableBOM[Item ID],$A23)&gt;0)*($H$3&gt;0),$C$3&amp;", ","")&amp;IF((COUNTIFS(TableBOM[Product ID],$D$4,TableBOM[Item ID],$A23)&gt;0)*($H$4&gt;0),$C$4&amp;", ","")&amp;IF((COUNTIFS(TableBOM[Product ID],$D$5,TableBOM[Item ID],$A23)&gt;0)*($H$5&gt;0),$C$5&amp;", ","")&amp;IF((COUNTIFS(TableBOM[Product ID],$D$6,TableBOM[Item ID],$A23)&gt;0)*($H$6&gt;0),$C$6&amp;", ","")&amp;IF((COUNTIFS(TableBOM[Product ID],$D$7,TableBOM[Item ID],$A23)&gt;0)*($H$7&gt;0),$C$7&amp;", ","")&amp;IF((COUNTIFS(TableBOM[Product ID],$D$8,TableBOM[Item ID],$A23)&gt;0)*($H$8&gt;0),$C$8&amp;", ","")&amp;IF((COUNTIFS(TableBOM[Product ID],$D$9,TableBOM[Item ID],$A23)&gt;0)*($H$9&gt;0),$C$9&amp;", ","")&amp;IF((COUNTIFS(TableBOM[Product ID],$D$10,TableBOM[Item ID],$A23)&gt;0)*($H$10&gt;0),$C$10&amp;", ","")&amp;IF((COUNTIFS(TableBOM[Product ID],$D$11,TableBOM[Item ID],$A23)&gt;0)*($H$11&gt;0),$C$11&amp;", ","")&amp;IF((COUNTIFS(TableBOM[Product ID],$D$12,TableBOM[Item ID],$A23)&gt;0)*($H$12&gt;0),$C$12&amp;", ",""),LEN(IF((COUNTIFS(TableBOM[Product ID],$D$3,TableBOM[Item ID],$A23)&gt;0)*($H$3&gt;0),$C$3&amp;", ","")&amp;IF((COUNTIFS(TableBOM[Product ID],$D$4,TableBOM[Item ID],$A23)&gt;0)*($H$4&gt;0),$C$4&amp;", ","")&amp;IF((COUNTIFS(TableBOM[Product ID],$D$5,TableBOM[Item ID],$A23)&gt;0)*($H$5&gt;0),$C$5&amp;", ","")&amp;IF((COUNTIFS(TableBOM[Product ID],$D$6,TableBOM[Item ID],$A23)&gt;0)*($H$6&gt;0),$C$6&amp;", ","")&amp;IF((COUNTIFS(TableBOM[Product ID],$D$7,TableBOM[Item ID],$A23)&gt;0)*($H$7&gt;0),$C$7&amp;", ","")&amp;IF((COUNTIFS(TableBOM[Product ID],$D$8,TableBOM[Item ID],$A23)&gt;0)*($H$8&gt;0),$C$8&amp;", ","")&amp;IF((COUNTIFS(TableBOM[Product ID],$D$9,TableBOM[Item ID],$A23)&gt;0)*($H$9&gt;0),$C$9&amp;", ","")&amp;IF((COUNTIFS(TableBOM[Product ID],$D$10,TableBOM[Item ID],$A23)&gt;0)*($H$10&gt;0),$C$10&amp;", ","")&amp;IF((COUNTIFS(TableBOM[Product ID],$D$11,TableBOM[Item ID],$A23)&gt;0)*($H$11&gt;0),$C$11&amp;", ","")&amp;IF((COUNTIFS(TableBOM[Product ID],$D$12,TableBOM[Item ID],$A23)&gt;0)*($H$12&gt;0),$C$12&amp;", ",""))-2),"")</f>
        <v/>
      </c>
      <c r="I23" s="63">
        <f>IF(LEN(IF((COUNTIFS(TableBOM[Product ID],$D$3,TableBOM[Item ID],$A23)&gt;0)*($H$3&gt;0),$E$3&amp;", ","")&amp;IF((COUNTIFS(TableBOM[Product ID],$D$4,TableBOM[Item ID],$A23)&gt;0)*($H$4&gt;0),$E$4&amp;", ","")&amp;IF((COUNTIFS(TableBOM[Product ID],$D$5,TableBOM[Item ID],$A23)&gt;0)*($H$5&gt;0),$E$5&amp;", ","")&amp;IF((COUNTIFS(TableBOM[Product ID],$D$6,TableBOM[Item ID],$A23)&gt;0)*($H$6&gt;0),$E$6&amp;", ","")&amp;IF((COUNTIFS(TableBOM[Product ID],$D$7,TableBOM[Item ID],$A23)&gt;0)*($H$7&gt;0),$E$7&amp;", ","")&amp;IF((COUNTIFS(TableBOM[Product ID],$D$8,TableBOM[Item ID],$A23)&gt;0)*($H$8&gt;0),$E$8&amp;", ","")&amp;IF((COUNTIFS(TableBOM[Product ID],$D$9,TableBOM[Item ID],$A23)&gt;0)*($H$9&gt;0),$E$9&amp;", ","")&amp;IF((COUNTIFS(TableBOM[Product ID],$D$10,TableBOM[Item ID],$A23)&gt;0)*($H$10&gt;0),$E$10&amp;", ","")&amp;IF((COUNTIFS(TableBOM[Product ID],$D$11,TableBOM[Item ID],$A23)&gt;0)*($H$11&gt;0),$E$11&amp;", ","")&amp;IF((COUNTIFS(TableBOM[Product ID],$D$12,TableBOM[Item ID],$A23)&gt;0)*($H$12&gt;0),$E$12&amp;", ",""))&gt;1,LEFT(IF((COUNTIFS(TableBOM[Product ID],$D$3,TableBOM[Item ID],$A23)&gt;0)*($H$3&gt;0),$E$3&amp;", ","")&amp;IF((COUNTIFS(TableBOM[Product ID],$D$4,TableBOM[Item ID],$A23)&gt;0)*($H$4&gt;0),$E$4&amp;", ","")&amp;IF((COUNTIFS(TableBOM[Product ID],$D$5,TableBOM[Item ID],$A23)&gt;0)*($H$5&gt;0),$E$5&amp;", ","")&amp;IF((COUNTIFS(TableBOM[Product ID],$D$6,TableBOM[Item ID],$A23)&gt;0)*($H$6&gt;0),$E$6&amp;", ","")&amp;IF((COUNTIFS(TableBOM[Product ID],$D$7,TableBOM[Item ID],$A23)&gt;0)*($H$7&gt;0),$E$7&amp;", ","")&amp;IF((COUNTIFS(TableBOM[Product ID],$D$8,TableBOM[Item ID],$A23)&gt;0)*($H$8&gt;0),$E$8&amp;", ","")&amp;IF((COUNTIFS(TableBOM[Product ID],$D$9,TableBOM[Item ID],$A23)&gt;0)*($H$9&gt;0),$E$9&amp;", ","")&amp;IF((COUNTIFS(TableBOM[Product ID],$D$10,TableBOM[Item ID],$A23)&gt;0)*($H$10&gt;0),$E$10&amp;", ","")&amp;IF((COUNTIFS(TableBOM[Product ID],$D$11,TableBOM[Item ID],$A23)&gt;0)*($H$11&gt;0),$E$11&amp;", ","")&amp;IF((COUNTIFS(TableBOM[Product ID],$D$12,TableBOM[Item ID],$A23)&gt;0)*($H$12&gt;0),$E$12&amp;", ",""),LEN(IF((COUNTIFS(TableBOM[Product ID],$D$3,TableBOM[Item ID],$A23)&gt;0)*($H$3&gt;0),$E$3&amp;", ","")&amp;IF((COUNTIFS(TableBOM[Product ID],$D$4,TableBOM[Item ID],$A23)&gt;0)*($H$4&gt;0),$E$4&amp;", ","")&amp;IF((COUNTIFS(TableBOM[Product ID],$D$5,TableBOM[Item ID],$A23)&gt;0)*($H$5&gt;0),$E$5&amp;", ","")&amp;IF((COUNTIFS(TableBOM[Product ID],$D$6,TableBOM[Item ID],$A23)&gt;0)*($H$6&gt;0),$E$6&amp;", ","")&amp;IF((COUNTIFS(TableBOM[Product ID],$D$7,TableBOM[Item ID],$A23)&gt;0)*($H$7&gt;0),$E$7&amp;", ","")&amp;IF((COUNTIFS(TableBOM[Product ID],$D$8,TableBOM[Item ID],$A23)&gt;0)*($H$8&gt;0),$E$8&amp;", ","")&amp;IF((COUNTIFS(TableBOM[Product ID],$D$9,TableBOM[Item ID],$A23)&gt;0)*($H$9&gt;0),$E$9&amp;", ","")&amp;IF((COUNTIFS(TableBOM[Product ID],$D$10,TableBOM[Item ID],$A23)&gt;0)*($H$10&gt;0),$E$10&amp;", ","")&amp;IF((COUNTIFS(TableBOM[Product ID],$D$11,TableBOM[Item ID],$A23)&gt;0)*($H$11&gt;0),$E$11&amp;", ","")&amp;IF((COUNTIFS(TableBOM[Product ID],$D$12,TableBOM[Item ID],$A23)&gt;0)*($H$12&gt;0),$E$12&amp;", ",""))-2),"")</f>
        <v/>
      </c>
      <c r="J23" s="64">
        <f>IF(E23=0,"Not needed",IF(G23&lt;0,"SHORTAGE",IF(G23&lt;F23*0.1,"LOW","OK")))</f>
        <v/>
      </c>
      <c r="K23" s="64">
        <f>IF(B23&lt;&gt;"CAP","",SUMPRODUCT((ISNUMBER(SEARCH("Cap Not Available",'FG Stock'!$H$4:$H$100)))*('FG Stock'!$I$4:$I$100=A23)*'FG Stock'!$F$4:$F$100))</f>
        <v/>
      </c>
      <c r="L23" s="64">
        <f>IF(E23=0,"",MAX(0,E23+IFERROR(K23*1,0)-F23))</f>
        <v/>
      </c>
    </row>
    <row r="24" hidden="1" ht="15" customHeight="1" s="249">
      <c r="A24" s="55" t="n">
        <v>10</v>
      </c>
      <c r="B24" s="55" t="inlineStr">
        <is>
          <t>SLUG</t>
        </is>
      </c>
      <c r="C24" s="55" t="inlineStr">
        <is>
          <t>25X4.8 S/M</t>
        </is>
      </c>
      <c r="D24" s="55" t="inlineStr">
        <is>
          <t>kg</t>
        </is>
      </c>
      <c r="E24" s="61">
        <f>SUMPRODUCT((TableBOM[Item ID]=A24)*TableBOM[Per 1000 Units]*(1+TableBOM[Scrap %])*SUMIF($D$3:$D$12,TableBOM[Product ID],$H$3:$H$12)/1000)</f>
        <v/>
      </c>
      <c r="F24" s="61">
        <f>IFERROR(INDEX(TableInventory[Store Balance],MATCH(A24,TableInventory[Item ID],0)),0)+IFERROR(INDEX(TableInventory[Work In Process],MATCH(A24,TableInventory[Item ID],0)),0)</f>
        <v/>
      </c>
      <c r="G24" s="61">
        <f>F24-E24</f>
        <v/>
      </c>
      <c r="H24" s="62">
        <f>IF(LEN(IF((COUNTIFS(TableBOM[Product ID],$D$3,TableBOM[Item ID],$A24)&gt;0)*($H$3&gt;0),$C$3&amp;", ","")&amp;IF((COUNTIFS(TableBOM[Product ID],$D$4,TableBOM[Item ID],$A24)&gt;0)*($H$4&gt;0),$C$4&amp;", ","")&amp;IF((COUNTIFS(TableBOM[Product ID],$D$5,TableBOM[Item ID],$A24)&gt;0)*($H$5&gt;0),$C$5&amp;", ","")&amp;IF((COUNTIFS(TableBOM[Product ID],$D$6,TableBOM[Item ID],$A24)&gt;0)*($H$6&gt;0),$C$6&amp;", ","")&amp;IF((COUNTIFS(TableBOM[Product ID],$D$7,TableBOM[Item ID],$A24)&gt;0)*($H$7&gt;0),$C$7&amp;", ","")&amp;IF((COUNTIFS(TableBOM[Product ID],$D$8,TableBOM[Item ID],$A24)&gt;0)*($H$8&gt;0),$C$8&amp;", ","")&amp;IF((COUNTIFS(TableBOM[Product ID],$D$9,TableBOM[Item ID],$A24)&gt;0)*($H$9&gt;0),$C$9&amp;", ","")&amp;IF((COUNTIFS(TableBOM[Product ID],$D$10,TableBOM[Item ID],$A24)&gt;0)*($H$10&gt;0),$C$10&amp;", ","")&amp;IF((COUNTIFS(TableBOM[Product ID],$D$11,TableBOM[Item ID],$A24)&gt;0)*($H$11&gt;0),$C$11&amp;", ","")&amp;IF((COUNTIFS(TableBOM[Product ID],$D$12,TableBOM[Item ID],$A24)&gt;0)*($H$12&gt;0),$C$12&amp;", ",""))&gt;1,LEFT(IF((COUNTIFS(TableBOM[Product ID],$D$3,TableBOM[Item ID],$A24)&gt;0)*($H$3&gt;0),$C$3&amp;", ","")&amp;IF((COUNTIFS(TableBOM[Product ID],$D$4,TableBOM[Item ID],$A24)&gt;0)*($H$4&gt;0),$C$4&amp;", ","")&amp;IF((COUNTIFS(TableBOM[Product ID],$D$5,TableBOM[Item ID],$A24)&gt;0)*($H$5&gt;0),$C$5&amp;", ","")&amp;IF((COUNTIFS(TableBOM[Product ID],$D$6,TableBOM[Item ID],$A24)&gt;0)*($H$6&gt;0),$C$6&amp;", ","")&amp;IF((COUNTIFS(TableBOM[Product ID],$D$7,TableBOM[Item ID],$A24)&gt;0)*($H$7&gt;0),$C$7&amp;", ","")&amp;IF((COUNTIFS(TableBOM[Product ID],$D$8,TableBOM[Item ID],$A24)&gt;0)*($H$8&gt;0),$C$8&amp;", ","")&amp;IF((COUNTIFS(TableBOM[Product ID],$D$9,TableBOM[Item ID],$A24)&gt;0)*($H$9&gt;0),$C$9&amp;", ","")&amp;IF((COUNTIFS(TableBOM[Product ID],$D$10,TableBOM[Item ID],$A24)&gt;0)*($H$10&gt;0),$C$10&amp;", ","")&amp;IF((COUNTIFS(TableBOM[Product ID],$D$11,TableBOM[Item ID],$A24)&gt;0)*($H$11&gt;0),$C$11&amp;", ","")&amp;IF((COUNTIFS(TableBOM[Product ID],$D$12,TableBOM[Item ID],$A24)&gt;0)*($H$12&gt;0),$C$12&amp;", ",""),LEN(IF((COUNTIFS(TableBOM[Product ID],$D$3,TableBOM[Item ID],$A24)&gt;0)*($H$3&gt;0),$C$3&amp;", ","")&amp;IF((COUNTIFS(TableBOM[Product ID],$D$4,TableBOM[Item ID],$A24)&gt;0)*($H$4&gt;0),$C$4&amp;", ","")&amp;IF((COUNTIFS(TableBOM[Product ID],$D$5,TableBOM[Item ID],$A24)&gt;0)*($H$5&gt;0),$C$5&amp;", ","")&amp;IF((COUNTIFS(TableBOM[Product ID],$D$6,TableBOM[Item ID],$A24)&gt;0)*($H$6&gt;0),$C$6&amp;", ","")&amp;IF((COUNTIFS(TableBOM[Product ID],$D$7,TableBOM[Item ID],$A24)&gt;0)*($H$7&gt;0),$C$7&amp;", ","")&amp;IF((COUNTIFS(TableBOM[Product ID],$D$8,TableBOM[Item ID],$A24)&gt;0)*($H$8&gt;0),$C$8&amp;", ","")&amp;IF((COUNTIFS(TableBOM[Product ID],$D$9,TableBOM[Item ID],$A24)&gt;0)*($H$9&gt;0),$C$9&amp;", ","")&amp;IF((COUNTIFS(TableBOM[Product ID],$D$10,TableBOM[Item ID],$A24)&gt;0)*($H$10&gt;0),$C$10&amp;", ","")&amp;IF((COUNTIFS(TableBOM[Product ID],$D$11,TableBOM[Item ID],$A24)&gt;0)*($H$11&gt;0),$C$11&amp;", ","")&amp;IF((COUNTIFS(TableBOM[Product ID],$D$12,TableBOM[Item ID],$A24)&gt;0)*($H$12&gt;0),$C$12&amp;", ",""))-2),"")</f>
        <v/>
      </c>
      <c r="I24" s="63">
        <f>IF(LEN(IF((COUNTIFS(TableBOM[Product ID],$D$3,TableBOM[Item ID],$A24)&gt;0)*($H$3&gt;0),$E$3&amp;", ","")&amp;IF((COUNTIFS(TableBOM[Product ID],$D$4,TableBOM[Item ID],$A24)&gt;0)*($H$4&gt;0),$E$4&amp;", ","")&amp;IF((COUNTIFS(TableBOM[Product ID],$D$5,TableBOM[Item ID],$A24)&gt;0)*($H$5&gt;0),$E$5&amp;", ","")&amp;IF((COUNTIFS(TableBOM[Product ID],$D$6,TableBOM[Item ID],$A24)&gt;0)*($H$6&gt;0),$E$6&amp;", ","")&amp;IF((COUNTIFS(TableBOM[Product ID],$D$7,TableBOM[Item ID],$A24)&gt;0)*($H$7&gt;0),$E$7&amp;", ","")&amp;IF((COUNTIFS(TableBOM[Product ID],$D$8,TableBOM[Item ID],$A24)&gt;0)*($H$8&gt;0),$E$8&amp;", ","")&amp;IF((COUNTIFS(TableBOM[Product ID],$D$9,TableBOM[Item ID],$A24)&gt;0)*($H$9&gt;0),$E$9&amp;", ","")&amp;IF((COUNTIFS(TableBOM[Product ID],$D$10,TableBOM[Item ID],$A24)&gt;0)*($H$10&gt;0),$E$10&amp;", ","")&amp;IF((COUNTIFS(TableBOM[Product ID],$D$11,TableBOM[Item ID],$A24)&gt;0)*($H$11&gt;0),$E$11&amp;", ","")&amp;IF((COUNTIFS(TableBOM[Product ID],$D$12,TableBOM[Item ID],$A24)&gt;0)*($H$12&gt;0),$E$12&amp;", ",""))&gt;1,LEFT(IF((COUNTIFS(TableBOM[Product ID],$D$3,TableBOM[Item ID],$A24)&gt;0)*($H$3&gt;0),$E$3&amp;", ","")&amp;IF((COUNTIFS(TableBOM[Product ID],$D$4,TableBOM[Item ID],$A24)&gt;0)*($H$4&gt;0),$E$4&amp;", ","")&amp;IF((COUNTIFS(TableBOM[Product ID],$D$5,TableBOM[Item ID],$A24)&gt;0)*($H$5&gt;0),$E$5&amp;", ","")&amp;IF((COUNTIFS(TableBOM[Product ID],$D$6,TableBOM[Item ID],$A24)&gt;0)*($H$6&gt;0),$E$6&amp;", ","")&amp;IF((COUNTIFS(TableBOM[Product ID],$D$7,TableBOM[Item ID],$A24)&gt;0)*($H$7&gt;0),$E$7&amp;", ","")&amp;IF((COUNTIFS(TableBOM[Product ID],$D$8,TableBOM[Item ID],$A24)&gt;0)*($H$8&gt;0),$E$8&amp;", ","")&amp;IF((COUNTIFS(TableBOM[Product ID],$D$9,TableBOM[Item ID],$A24)&gt;0)*($H$9&gt;0),$E$9&amp;", ","")&amp;IF((COUNTIFS(TableBOM[Product ID],$D$10,TableBOM[Item ID],$A24)&gt;0)*($H$10&gt;0),$E$10&amp;", ","")&amp;IF((COUNTIFS(TableBOM[Product ID],$D$11,TableBOM[Item ID],$A24)&gt;0)*($H$11&gt;0),$E$11&amp;", ","")&amp;IF((COUNTIFS(TableBOM[Product ID],$D$12,TableBOM[Item ID],$A24)&gt;0)*($H$12&gt;0),$E$12&amp;", ",""),LEN(IF((COUNTIFS(TableBOM[Product ID],$D$3,TableBOM[Item ID],$A24)&gt;0)*($H$3&gt;0),$E$3&amp;", ","")&amp;IF((COUNTIFS(TableBOM[Product ID],$D$4,TableBOM[Item ID],$A24)&gt;0)*($H$4&gt;0),$E$4&amp;", ","")&amp;IF((COUNTIFS(TableBOM[Product ID],$D$5,TableBOM[Item ID],$A24)&gt;0)*($H$5&gt;0),$E$5&amp;", ","")&amp;IF((COUNTIFS(TableBOM[Product ID],$D$6,TableBOM[Item ID],$A24)&gt;0)*($H$6&gt;0),$E$6&amp;", ","")&amp;IF((COUNTIFS(TableBOM[Product ID],$D$7,TableBOM[Item ID],$A24)&gt;0)*($H$7&gt;0),$E$7&amp;", ","")&amp;IF((COUNTIFS(TableBOM[Product ID],$D$8,TableBOM[Item ID],$A24)&gt;0)*($H$8&gt;0),$E$8&amp;", ","")&amp;IF((COUNTIFS(TableBOM[Product ID],$D$9,TableBOM[Item ID],$A24)&gt;0)*($H$9&gt;0),$E$9&amp;", ","")&amp;IF((COUNTIFS(TableBOM[Product ID],$D$10,TableBOM[Item ID],$A24)&gt;0)*($H$10&gt;0),$E$10&amp;", ","")&amp;IF((COUNTIFS(TableBOM[Product ID],$D$11,TableBOM[Item ID],$A24)&gt;0)*($H$11&gt;0),$E$11&amp;", ","")&amp;IF((COUNTIFS(TableBOM[Product ID],$D$12,TableBOM[Item ID],$A24)&gt;0)*($H$12&gt;0),$E$12&amp;", ",""))-2),"")</f>
        <v/>
      </c>
      <c r="J24" s="64">
        <f>IF(E24=0,"Not needed",IF(G24&lt;0,"SHORTAGE",IF(G24&lt;F24*0.1,"LOW","OK")))</f>
        <v/>
      </c>
      <c r="K24" s="64">
        <f>IF(B24&lt;&gt;"CAP","",SUMPRODUCT((ISNUMBER(SEARCH("Cap Not Available",'FG Stock'!$H$4:$H$100)))*('FG Stock'!$I$4:$I$100=A24)*'FG Stock'!$F$4:$F$100))</f>
        <v/>
      </c>
      <c r="L24" s="64">
        <f>IF(E24=0,"",MAX(0,E24+IFERROR(K24*1,0)-F24))</f>
        <v/>
      </c>
    </row>
    <row r="25" hidden="1" ht="15" customHeight="1" s="249">
      <c r="A25" s="55" t="n">
        <v>2</v>
      </c>
      <c r="B25" s="55" t="inlineStr">
        <is>
          <t>SLUG</t>
        </is>
      </c>
      <c r="C25" s="55" t="inlineStr">
        <is>
          <t>30X4.3</t>
        </is>
      </c>
      <c r="D25" s="55" t="inlineStr">
        <is>
          <t>kg</t>
        </is>
      </c>
      <c r="E25" s="61">
        <f>SUMPRODUCT((TableBOM[Item ID]=A25)*TableBOM[Per 1000 Units]*(1+TableBOM[Scrap %])*SUMIF($D$3:$D$12,TableBOM[Product ID],$H$3:$H$12)/1000)</f>
        <v/>
      </c>
      <c r="F25" s="61">
        <f>IFERROR(INDEX(TableInventory[Store Balance],MATCH(A25,TableInventory[Item ID],0)),0)+IFERROR(INDEX(TableInventory[Work In Process],MATCH(A25,TableInventory[Item ID],0)),0)</f>
        <v/>
      </c>
      <c r="G25" s="61">
        <f>F25-E25</f>
        <v/>
      </c>
      <c r="H25" s="62">
        <f>IF(LEN(IF((COUNTIFS(TableBOM[Product ID],$D$3,TableBOM[Item ID],$A25)&gt;0)*($H$3&gt;0),$C$3&amp;", ","")&amp;IF((COUNTIFS(TableBOM[Product ID],$D$4,TableBOM[Item ID],$A25)&gt;0)*($H$4&gt;0),$C$4&amp;", ","")&amp;IF((COUNTIFS(TableBOM[Product ID],$D$5,TableBOM[Item ID],$A25)&gt;0)*($H$5&gt;0),$C$5&amp;", ","")&amp;IF((COUNTIFS(TableBOM[Product ID],$D$6,TableBOM[Item ID],$A25)&gt;0)*($H$6&gt;0),$C$6&amp;", ","")&amp;IF((COUNTIFS(TableBOM[Product ID],$D$7,TableBOM[Item ID],$A25)&gt;0)*($H$7&gt;0),$C$7&amp;", ","")&amp;IF((COUNTIFS(TableBOM[Product ID],$D$8,TableBOM[Item ID],$A25)&gt;0)*($H$8&gt;0),$C$8&amp;", ","")&amp;IF((COUNTIFS(TableBOM[Product ID],$D$9,TableBOM[Item ID],$A25)&gt;0)*($H$9&gt;0),$C$9&amp;", ","")&amp;IF((COUNTIFS(TableBOM[Product ID],$D$10,TableBOM[Item ID],$A25)&gt;0)*($H$10&gt;0),$C$10&amp;", ","")&amp;IF((COUNTIFS(TableBOM[Product ID],$D$11,TableBOM[Item ID],$A25)&gt;0)*($H$11&gt;0),$C$11&amp;", ","")&amp;IF((COUNTIFS(TableBOM[Product ID],$D$12,TableBOM[Item ID],$A25)&gt;0)*($H$12&gt;0),$C$12&amp;", ",""))&gt;1,LEFT(IF((COUNTIFS(TableBOM[Product ID],$D$3,TableBOM[Item ID],$A25)&gt;0)*($H$3&gt;0),$C$3&amp;", ","")&amp;IF((COUNTIFS(TableBOM[Product ID],$D$4,TableBOM[Item ID],$A25)&gt;0)*($H$4&gt;0),$C$4&amp;", ","")&amp;IF((COUNTIFS(TableBOM[Product ID],$D$5,TableBOM[Item ID],$A25)&gt;0)*($H$5&gt;0),$C$5&amp;", ","")&amp;IF((COUNTIFS(TableBOM[Product ID],$D$6,TableBOM[Item ID],$A25)&gt;0)*($H$6&gt;0),$C$6&amp;", ","")&amp;IF((COUNTIFS(TableBOM[Product ID],$D$7,TableBOM[Item ID],$A25)&gt;0)*($H$7&gt;0),$C$7&amp;", ","")&amp;IF((COUNTIFS(TableBOM[Product ID],$D$8,TableBOM[Item ID],$A25)&gt;0)*($H$8&gt;0),$C$8&amp;", ","")&amp;IF((COUNTIFS(TableBOM[Product ID],$D$9,TableBOM[Item ID],$A25)&gt;0)*($H$9&gt;0),$C$9&amp;", ","")&amp;IF((COUNTIFS(TableBOM[Product ID],$D$10,TableBOM[Item ID],$A25)&gt;0)*($H$10&gt;0),$C$10&amp;", ","")&amp;IF((COUNTIFS(TableBOM[Product ID],$D$11,TableBOM[Item ID],$A25)&gt;0)*($H$11&gt;0),$C$11&amp;", ","")&amp;IF((COUNTIFS(TableBOM[Product ID],$D$12,TableBOM[Item ID],$A25)&gt;0)*($H$12&gt;0),$C$12&amp;", ",""),LEN(IF((COUNTIFS(TableBOM[Product ID],$D$3,TableBOM[Item ID],$A25)&gt;0)*($H$3&gt;0),$C$3&amp;", ","")&amp;IF((COUNTIFS(TableBOM[Product ID],$D$4,TableBOM[Item ID],$A25)&gt;0)*($H$4&gt;0),$C$4&amp;", ","")&amp;IF((COUNTIFS(TableBOM[Product ID],$D$5,TableBOM[Item ID],$A25)&gt;0)*($H$5&gt;0),$C$5&amp;", ","")&amp;IF((COUNTIFS(TableBOM[Product ID],$D$6,TableBOM[Item ID],$A25)&gt;0)*($H$6&gt;0),$C$6&amp;", ","")&amp;IF((COUNTIFS(TableBOM[Product ID],$D$7,TableBOM[Item ID],$A25)&gt;0)*($H$7&gt;0),$C$7&amp;", ","")&amp;IF((COUNTIFS(TableBOM[Product ID],$D$8,TableBOM[Item ID],$A25)&gt;0)*($H$8&gt;0),$C$8&amp;", ","")&amp;IF((COUNTIFS(TableBOM[Product ID],$D$9,TableBOM[Item ID],$A25)&gt;0)*($H$9&gt;0),$C$9&amp;", ","")&amp;IF((COUNTIFS(TableBOM[Product ID],$D$10,TableBOM[Item ID],$A25)&gt;0)*($H$10&gt;0),$C$10&amp;", ","")&amp;IF((COUNTIFS(TableBOM[Product ID],$D$11,TableBOM[Item ID],$A25)&gt;0)*($H$11&gt;0),$C$11&amp;", ","")&amp;IF((COUNTIFS(TableBOM[Product ID],$D$12,TableBOM[Item ID],$A25)&gt;0)*($H$12&gt;0),$C$12&amp;", ",""))-2),"")</f>
        <v/>
      </c>
      <c r="I25" s="63">
        <f>IF(LEN(IF((COUNTIFS(TableBOM[Product ID],$D$3,TableBOM[Item ID],$A25)&gt;0)*($H$3&gt;0),$E$3&amp;", ","")&amp;IF((COUNTIFS(TableBOM[Product ID],$D$4,TableBOM[Item ID],$A25)&gt;0)*($H$4&gt;0),$E$4&amp;", ","")&amp;IF((COUNTIFS(TableBOM[Product ID],$D$5,TableBOM[Item ID],$A25)&gt;0)*($H$5&gt;0),$E$5&amp;", ","")&amp;IF((COUNTIFS(TableBOM[Product ID],$D$6,TableBOM[Item ID],$A25)&gt;0)*($H$6&gt;0),$E$6&amp;", ","")&amp;IF((COUNTIFS(TableBOM[Product ID],$D$7,TableBOM[Item ID],$A25)&gt;0)*($H$7&gt;0),$E$7&amp;", ","")&amp;IF((COUNTIFS(TableBOM[Product ID],$D$8,TableBOM[Item ID],$A25)&gt;0)*($H$8&gt;0),$E$8&amp;", ","")&amp;IF((COUNTIFS(TableBOM[Product ID],$D$9,TableBOM[Item ID],$A25)&gt;0)*($H$9&gt;0),$E$9&amp;", ","")&amp;IF((COUNTIFS(TableBOM[Product ID],$D$10,TableBOM[Item ID],$A25)&gt;0)*($H$10&gt;0),$E$10&amp;", ","")&amp;IF((COUNTIFS(TableBOM[Product ID],$D$11,TableBOM[Item ID],$A25)&gt;0)*($H$11&gt;0),$E$11&amp;", ","")&amp;IF((COUNTIFS(TableBOM[Product ID],$D$12,TableBOM[Item ID],$A25)&gt;0)*($H$12&gt;0),$E$12&amp;", ",""))&gt;1,LEFT(IF((COUNTIFS(TableBOM[Product ID],$D$3,TableBOM[Item ID],$A25)&gt;0)*($H$3&gt;0),$E$3&amp;", ","")&amp;IF((COUNTIFS(TableBOM[Product ID],$D$4,TableBOM[Item ID],$A25)&gt;0)*($H$4&gt;0),$E$4&amp;", ","")&amp;IF((COUNTIFS(TableBOM[Product ID],$D$5,TableBOM[Item ID],$A25)&gt;0)*($H$5&gt;0),$E$5&amp;", ","")&amp;IF((COUNTIFS(TableBOM[Product ID],$D$6,TableBOM[Item ID],$A25)&gt;0)*($H$6&gt;0),$E$6&amp;", ","")&amp;IF((COUNTIFS(TableBOM[Product ID],$D$7,TableBOM[Item ID],$A25)&gt;0)*($H$7&gt;0),$E$7&amp;", ","")&amp;IF((COUNTIFS(TableBOM[Product ID],$D$8,TableBOM[Item ID],$A25)&gt;0)*($H$8&gt;0),$E$8&amp;", ","")&amp;IF((COUNTIFS(TableBOM[Product ID],$D$9,TableBOM[Item ID],$A25)&gt;0)*($H$9&gt;0),$E$9&amp;", ","")&amp;IF((COUNTIFS(TableBOM[Product ID],$D$10,TableBOM[Item ID],$A25)&gt;0)*($H$10&gt;0),$E$10&amp;", ","")&amp;IF((COUNTIFS(TableBOM[Product ID],$D$11,TableBOM[Item ID],$A25)&gt;0)*($H$11&gt;0),$E$11&amp;", ","")&amp;IF((COUNTIFS(TableBOM[Product ID],$D$12,TableBOM[Item ID],$A25)&gt;0)*($H$12&gt;0),$E$12&amp;", ",""),LEN(IF((COUNTIFS(TableBOM[Product ID],$D$3,TableBOM[Item ID],$A25)&gt;0)*($H$3&gt;0),$E$3&amp;", ","")&amp;IF((COUNTIFS(TableBOM[Product ID],$D$4,TableBOM[Item ID],$A25)&gt;0)*($H$4&gt;0),$E$4&amp;", ","")&amp;IF((COUNTIFS(TableBOM[Product ID],$D$5,TableBOM[Item ID],$A25)&gt;0)*($H$5&gt;0),$E$5&amp;", ","")&amp;IF((COUNTIFS(TableBOM[Product ID],$D$6,TableBOM[Item ID],$A25)&gt;0)*($H$6&gt;0),$E$6&amp;", ","")&amp;IF((COUNTIFS(TableBOM[Product ID],$D$7,TableBOM[Item ID],$A25)&gt;0)*($H$7&gt;0),$E$7&amp;", ","")&amp;IF((COUNTIFS(TableBOM[Product ID],$D$8,TableBOM[Item ID],$A25)&gt;0)*($H$8&gt;0),$E$8&amp;", ","")&amp;IF((COUNTIFS(TableBOM[Product ID],$D$9,TableBOM[Item ID],$A25)&gt;0)*($H$9&gt;0),$E$9&amp;", ","")&amp;IF((COUNTIFS(TableBOM[Product ID],$D$10,TableBOM[Item ID],$A25)&gt;0)*($H$10&gt;0),$E$10&amp;", ","")&amp;IF((COUNTIFS(TableBOM[Product ID],$D$11,TableBOM[Item ID],$A25)&gt;0)*($H$11&gt;0),$E$11&amp;", ","")&amp;IF((COUNTIFS(TableBOM[Product ID],$D$12,TableBOM[Item ID],$A25)&gt;0)*($H$12&gt;0),$E$12&amp;", ",""))-2),"")</f>
        <v/>
      </c>
      <c r="J25" s="64">
        <f>IF(E25=0,"Not needed",IF(G25&lt;0,"SHORTAGE",IF(G25&lt;F25*0.1,"LOW","OK")))</f>
        <v/>
      </c>
      <c r="K25" s="64">
        <f>IF(B25&lt;&gt;"CAP","",SUMPRODUCT((ISNUMBER(SEARCH("Cap Not Available",'FG Stock'!$H$4:$H$100)))*('FG Stock'!$I$4:$I$100=A25)*'FG Stock'!$F$4:$F$100))</f>
        <v/>
      </c>
      <c r="L25" s="64">
        <f>IF(E25=0,"",MAX(0,E25+IFERROR(K25*1,0)-F25))</f>
        <v/>
      </c>
    </row>
    <row r="26" hidden="1" ht="24" customHeight="1" s="249">
      <c r="A26" s="55" t="n">
        <v>406</v>
      </c>
      <c r="B26" s="55" t="inlineStr">
        <is>
          <t>SLUG</t>
        </is>
      </c>
      <c r="C26" s="55" t="inlineStr">
        <is>
          <t>30X4.5 S/M</t>
        </is>
      </c>
      <c r="D26" s="55" t="inlineStr">
        <is>
          <t>kg</t>
        </is>
      </c>
      <c r="E26" s="66">
        <f>SUMPRODUCT((TableBOM[Item ID]=A26)*TableBOM[Per 1000 Units]*(1+TableBOM[Scrap %])*SUMIF($D$3:$D$12,TableBOM[Product ID],$H$3:$H$12)/1000)</f>
        <v/>
      </c>
      <c r="F26" s="66">
        <f>IFERROR(INDEX(TableInventory[Store Balance],MATCH(A26,TableInventory[Item ID],0)),0)+IFERROR(INDEX(TableInventory[Work In Process],MATCH(A26,TableInventory[Item ID],0)),0)</f>
        <v/>
      </c>
      <c r="G26" s="56">
        <f>F26-E26</f>
        <v/>
      </c>
      <c r="H26" s="62">
        <f>IF(LEN(IF((COUNTIFS(TableBOM[Product ID],$D$3,TableBOM[Item ID],$A26)&gt;0)*($H$3&gt;0),$C$3&amp;", ","")&amp;IF((COUNTIFS(TableBOM[Product ID],$D$4,TableBOM[Item ID],$A26)&gt;0)*($H$4&gt;0),$C$4&amp;", ","")&amp;IF((COUNTIFS(TableBOM[Product ID],$D$5,TableBOM[Item ID],$A26)&gt;0)*($H$5&gt;0),$C$5&amp;", ","")&amp;IF((COUNTIFS(TableBOM[Product ID],$D$6,TableBOM[Item ID],$A26)&gt;0)*($H$6&gt;0),$C$6&amp;", ","")&amp;IF((COUNTIFS(TableBOM[Product ID],$D$7,TableBOM[Item ID],$A26)&gt;0)*($H$7&gt;0),$C$7&amp;", ","")&amp;IF((COUNTIFS(TableBOM[Product ID],$D$8,TableBOM[Item ID],$A26)&gt;0)*($H$8&gt;0),$C$8&amp;", ","")&amp;IF((COUNTIFS(TableBOM[Product ID],$D$9,TableBOM[Item ID],$A26)&gt;0)*($H$9&gt;0),$C$9&amp;", ","")&amp;IF((COUNTIFS(TableBOM[Product ID],$D$10,TableBOM[Item ID],$A26)&gt;0)*($H$10&gt;0),$C$10&amp;", ","")&amp;IF((COUNTIFS(TableBOM[Product ID],$D$11,TableBOM[Item ID],$A26)&gt;0)*($H$11&gt;0),$C$11&amp;", ","")&amp;IF((COUNTIFS(TableBOM[Product ID],$D$12,TableBOM[Item ID],$A26)&gt;0)*($H$12&gt;0),$C$12&amp;", ",""))&gt;1,LEFT(IF((COUNTIFS(TableBOM[Product ID],$D$3,TableBOM[Item ID],$A26)&gt;0)*($H$3&gt;0),$C$3&amp;", ","")&amp;IF((COUNTIFS(TableBOM[Product ID],$D$4,TableBOM[Item ID],$A26)&gt;0)*($H$4&gt;0),$C$4&amp;", ","")&amp;IF((COUNTIFS(TableBOM[Product ID],$D$5,TableBOM[Item ID],$A26)&gt;0)*($H$5&gt;0),$C$5&amp;", ","")&amp;IF((COUNTIFS(TableBOM[Product ID],$D$6,TableBOM[Item ID],$A26)&gt;0)*($H$6&gt;0),$C$6&amp;", ","")&amp;IF((COUNTIFS(TableBOM[Product ID],$D$7,TableBOM[Item ID],$A26)&gt;0)*($H$7&gt;0),$C$7&amp;", ","")&amp;IF((COUNTIFS(TableBOM[Product ID],$D$8,TableBOM[Item ID],$A26)&gt;0)*($H$8&gt;0),$C$8&amp;", ","")&amp;IF((COUNTIFS(TableBOM[Product ID],$D$9,TableBOM[Item ID],$A26)&gt;0)*($H$9&gt;0),$C$9&amp;", ","")&amp;IF((COUNTIFS(TableBOM[Product ID],$D$10,TableBOM[Item ID],$A26)&gt;0)*($H$10&gt;0),$C$10&amp;", ","")&amp;IF((COUNTIFS(TableBOM[Product ID],$D$11,TableBOM[Item ID],$A26)&gt;0)*($H$11&gt;0),$C$11&amp;", ","")&amp;IF((COUNTIFS(TableBOM[Product ID],$D$12,TableBOM[Item ID],$A26)&gt;0)*($H$12&gt;0),$C$12&amp;", ",""),LEN(IF((COUNTIFS(TableBOM[Product ID],$D$3,TableBOM[Item ID],$A26)&gt;0)*($H$3&gt;0),$C$3&amp;", ","")&amp;IF((COUNTIFS(TableBOM[Product ID],$D$4,TableBOM[Item ID],$A26)&gt;0)*($H$4&gt;0),$C$4&amp;", ","")&amp;IF((COUNTIFS(TableBOM[Product ID],$D$5,TableBOM[Item ID],$A26)&gt;0)*($H$5&gt;0),$C$5&amp;", ","")&amp;IF((COUNTIFS(TableBOM[Product ID],$D$6,TableBOM[Item ID],$A26)&gt;0)*($H$6&gt;0),$C$6&amp;", ","")&amp;IF((COUNTIFS(TableBOM[Product ID],$D$7,TableBOM[Item ID],$A26)&gt;0)*($H$7&gt;0),$C$7&amp;", ","")&amp;IF((COUNTIFS(TableBOM[Product ID],$D$8,TableBOM[Item ID],$A26)&gt;0)*($H$8&gt;0),$C$8&amp;", ","")&amp;IF((COUNTIFS(TableBOM[Product ID],$D$9,TableBOM[Item ID],$A26)&gt;0)*($H$9&gt;0),$C$9&amp;", ","")&amp;IF((COUNTIFS(TableBOM[Product ID],$D$10,TableBOM[Item ID],$A26)&gt;0)*($H$10&gt;0),$C$10&amp;", ","")&amp;IF((COUNTIFS(TableBOM[Product ID],$D$11,TableBOM[Item ID],$A26)&gt;0)*($H$11&gt;0),$C$11&amp;", ","")&amp;IF((COUNTIFS(TableBOM[Product ID],$D$12,TableBOM[Item ID],$A26)&gt;0)*($H$12&gt;0),$C$12&amp;", ",""))-2),"")</f>
        <v/>
      </c>
      <c r="I26" s="63">
        <f>IF(LEN(IF((COUNTIFS(TableBOM[Product ID],$D$3,TableBOM[Item ID],$A26)&gt;0)*($H$3&gt;0),$E$3&amp;", ","")&amp;IF((COUNTIFS(TableBOM[Product ID],$D$4,TableBOM[Item ID],$A26)&gt;0)*($H$4&gt;0),$E$4&amp;", ","")&amp;IF((COUNTIFS(TableBOM[Product ID],$D$5,TableBOM[Item ID],$A26)&gt;0)*($H$5&gt;0),$E$5&amp;", ","")&amp;IF((COUNTIFS(TableBOM[Product ID],$D$6,TableBOM[Item ID],$A26)&gt;0)*($H$6&gt;0),$E$6&amp;", ","")&amp;IF((COUNTIFS(TableBOM[Product ID],$D$7,TableBOM[Item ID],$A26)&gt;0)*($H$7&gt;0),$E$7&amp;", ","")&amp;IF((COUNTIFS(TableBOM[Product ID],$D$8,TableBOM[Item ID],$A26)&gt;0)*($H$8&gt;0),$E$8&amp;", ","")&amp;IF((COUNTIFS(TableBOM[Product ID],$D$9,TableBOM[Item ID],$A26)&gt;0)*($H$9&gt;0),$E$9&amp;", ","")&amp;IF((COUNTIFS(TableBOM[Product ID],$D$10,TableBOM[Item ID],$A26)&gt;0)*($H$10&gt;0),$E$10&amp;", ","")&amp;IF((COUNTIFS(TableBOM[Product ID],$D$11,TableBOM[Item ID],$A26)&gt;0)*($H$11&gt;0),$E$11&amp;", ","")&amp;IF((COUNTIFS(TableBOM[Product ID],$D$12,TableBOM[Item ID],$A26)&gt;0)*($H$12&gt;0),$E$12&amp;", ",""))&gt;1,LEFT(IF((COUNTIFS(TableBOM[Product ID],$D$3,TableBOM[Item ID],$A26)&gt;0)*($H$3&gt;0),$E$3&amp;", ","")&amp;IF((COUNTIFS(TableBOM[Product ID],$D$4,TableBOM[Item ID],$A26)&gt;0)*($H$4&gt;0),$E$4&amp;", ","")&amp;IF((COUNTIFS(TableBOM[Product ID],$D$5,TableBOM[Item ID],$A26)&gt;0)*($H$5&gt;0),$E$5&amp;", ","")&amp;IF((COUNTIFS(TableBOM[Product ID],$D$6,TableBOM[Item ID],$A26)&gt;0)*($H$6&gt;0),$E$6&amp;", ","")&amp;IF((COUNTIFS(TableBOM[Product ID],$D$7,TableBOM[Item ID],$A26)&gt;0)*($H$7&gt;0),$E$7&amp;", ","")&amp;IF((COUNTIFS(TableBOM[Product ID],$D$8,TableBOM[Item ID],$A26)&gt;0)*($H$8&gt;0),$E$8&amp;", ","")&amp;IF((COUNTIFS(TableBOM[Product ID],$D$9,TableBOM[Item ID],$A26)&gt;0)*($H$9&gt;0),$E$9&amp;", ","")&amp;IF((COUNTIFS(TableBOM[Product ID],$D$10,TableBOM[Item ID],$A26)&gt;0)*($H$10&gt;0),$E$10&amp;", ","")&amp;IF((COUNTIFS(TableBOM[Product ID],$D$11,TableBOM[Item ID],$A26)&gt;0)*($H$11&gt;0),$E$11&amp;", ","")&amp;IF((COUNTIFS(TableBOM[Product ID],$D$12,TableBOM[Item ID],$A26)&gt;0)*($H$12&gt;0),$E$12&amp;", ",""),LEN(IF((COUNTIFS(TableBOM[Product ID],$D$3,TableBOM[Item ID],$A26)&gt;0)*($H$3&gt;0),$E$3&amp;", ","")&amp;IF((COUNTIFS(TableBOM[Product ID],$D$4,TableBOM[Item ID],$A26)&gt;0)*($H$4&gt;0),$E$4&amp;", ","")&amp;IF((COUNTIFS(TableBOM[Product ID],$D$5,TableBOM[Item ID],$A26)&gt;0)*($H$5&gt;0),$E$5&amp;", ","")&amp;IF((COUNTIFS(TableBOM[Product ID],$D$6,TableBOM[Item ID],$A26)&gt;0)*($H$6&gt;0),$E$6&amp;", ","")&amp;IF((COUNTIFS(TableBOM[Product ID],$D$7,TableBOM[Item ID],$A26)&gt;0)*($H$7&gt;0),$E$7&amp;", ","")&amp;IF((COUNTIFS(TableBOM[Product ID],$D$8,TableBOM[Item ID],$A26)&gt;0)*($H$8&gt;0),$E$8&amp;", ","")&amp;IF((COUNTIFS(TableBOM[Product ID],$D$9,TableBOM[Item ID],$A26)&gt;0)*($H$9&gt;0),$E$9&amp;", ","")&amp;IF((COUNTIFS(TableBOM[Product ID],$D$10,TableBOM[Item ID],$A26)&gt;0)*($H$10&gt;0),$E$10&amp;", ","")&amp;IF((COUNTIFS(TableBOM[Product ID],$D$11,TableBOM[Item ID],$A26)&gt;0)*($H$11&gt;0),$E$11&amp;", ","")&amp;IF((COUNTIFS(TableBOM[Product ID],$D$12,TableBOM[Item ID],$A26)&gt;0)*($H$12&gt;0),$E$12&amp;", ",""))-2),"")</f>
        <v/>
      </c>
      <c r="J26" s="64">
        <f>IF(E26=0,"Not needed",IF(G26&lt;0,"SHORTAGE",IF(G26&lt;F26*0.1,"LOW","OK")))</f>
        <v/>
      </c>
      <c r="K26" s="64">
        <f>IF(B26&lt;&gt;"CAP","",SUMPRODUCT((ISNUMBER(SEARCH("Cap Not Available",'FG Stock'!$H$4:$H$100)))*('FG Stock'!$I$4:$I$100=A26)*'FG Stock'!$F$4:$F$100))</f>
        <v/>
      </c>
      <c r="L26" s="64">
        <f>IF(E26=0,"",MAX(0,E26+IFERROR(K26*1,0)-F26))</f>
        <v/>
      </c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" t="n"/>
    </row>
    <row r="27" hidden="1" ht="15" customHeight="1" s="249">
      <c r="A27" s="55" t="n">
        <v>6961</v>
      </c>
      <c r="B27" s="55" t="inlineStr">
        <is>
          <t>SLUG</t>
        </is>
      </c>
      <c r="C27" s="55" t="inlineStr">
        <is>
          <t>32X5.2</t>
        </is>
      </c>
      <c r="D27" s="55" t="inlineStr">
        <is>
          <t>kg</t>
        </is>
      </c>
      <c r="E27" s="66">
        <f>SUMPRODUCT((TableBOM[Item ID]=A27)*TableBOM[Per 1000 Units]*(1+TableBOM[Scrap %])*SUMIF($D$3:$D$12,TableBOM[Product ID],$H$3:$H$12)/1000)</f>
        <v/>
      </c>
      <c r="F27" s="66">
        <f>IFERROR(INDEX(TableInventory[Store Balance],MATCH(A27,TableInventory[Item ID],0)),0)+IFERROR(INDEX(TableInventory[Work In Process],MATCH(A27,TableInventory[Item ID],0)),0)</f>
        <v/>
      </c>
      <c r="G27" s="67">
        <f>F27-E27</f>
        <v/>
      </c>
      <c r="H27" s="62">
        <f>IF(LEN(IF((COUNTIFS(TableBOM[Product ID],$D$3,TableBOM[Item ID],$A27)&gt;0)*($H$3&gt;0),$C$3&amp;", ","")&amp;IF((COUNTIFS(TableBOM[Product ID],$D$4,TableBOM[Item ID],$A27)&gt;0)*($H$4&gt;0),$C$4&amp;", ","")&amp;IF((COUNTIFS(TableBOM[Product ID],$D$5,TableBOM[Item ID],$A27)&gt;0)*($H$5&gt;0),$C$5&amp;", ","")&amp;IF((COUNTIFS(TableBOM[Product ID],$D$6,TableBOM[Item ID],$A27)&gt;0)*($H$6&gt;0),$C$6&amp;", ","")&amp;IF((COUNTIFS(TableBOM[Product ID],$D$7,TableBOM[Item ID],$A27)&gt;0)*($H$7&gt;0),$C$7&amp;", ","")&amp;IF((COUNTIFS(TableBOM[Product ID],$D$8,TableBOM[Item ID],$A27)&gt;0)*($H$8&gt;0),$C$8&amp;", ","")&amp;IF((COUNTIFS(TableBOM[Product ID],$D$9,TableBOM[Item ID],$A27)&gt;0)*($H$9&gt;0),$C$9&amp;", ","")&amp;IF((COUNTIFS(TableBOM[Product ID],$D$10,TableBOM[Item ID],$A27)&gt;0)*($H$10&gt;0),$C$10&amp;", ","")&amp;IF((COUNTIFS(TableBOM[Product ID],$D$11,TableBOM[Item ID],$A27)&gt;0)*($H$11&gt;0),$C$11&amp;", ","")&amp;IF((COUNTIFS(TableBOM[Product ID],$D$12,TableBOM[Item ID],$A27)&gt;0)*($H$12&gt;0),$C$12&amp;", ",""))&gt;1,LEFT(IF((COUNTIFS(TableBOM[Product ID],$D$3,TableBOM[Item ID],$A27)&gt;0)*($H$3&gt;0),$C$3&amp;", ","")&amp;IF((COUNTIFS(TableBOM[Product ID],$D$4,TableBOM[Item ID],$A27)&gt;0)*($H$4&gt;0),$C$4&amp;", ","")&amp;IF((COUNTIFS(TableBOM[Product ID],$D$5,TableBOM[Item ID],$A27)&gt;0)*($H$5&gt;0),$C$5&amp;", ","")&amp;IF((COUNTIFS(TableBOM[Product ID],$D$6,TableBOM[Item ID],$A27)&gt;0)*($H$6&gt;0),$C$6&amp;", ","")&amp;IF((COUNTIFS(TableBOM[Product ID],$D$7,TableBOM[Item ID],$A27)&gt;0)*($H$7&gt;0),$C$7&amp;", ","")&amp;IF((COUNTIFS(TableBOM[Product ID],$D$8,TableBOM[Item ID],$A27)&gt;0)*($H$8&gt;0),$C$8&amp;", ","")&amp;IF((COUNTIFS(TableBOM[Product ID],$D$9,TableBOM[Item ID],$A27)&gt;0)*($H$9&gt;0),$C$9&amp;", ","")&amp;IF((COUNTIFS(TableBOM[Product ID],$D$10,TableBOM[Item ID],$A27)&gt;0)*($H$10&gt;0),$C$10&amp;", ","")&amp;IF((COUNTIFS(TableBOM[Product ID],$D$11,TableBOM[Item ID],$A27)&gt;0)*($H$11&gt;0),$C$11&amp;", ","")&amp;IF((COUNTIFS(TableBOM[Product ID],$D$12,TableBOM[Item ID],$A27)&gt;0)*($H$12&gt;0),$C$12&amp;", ",""),LEN(IF((COUNTIFS(TableBOM[Product ID],$D$3,TableBOM[Item ID],$A27)&gt;0)*($H$3&gt;0),$C$3&amp;", ","")&amp;IF((COUNTIFS(TableBOM[Product ID],$D$4,TableBOM[Item ID],$A27)&gt;0)*($H$4&gt;0),$C$4&amp;", ","")&amp;IF((COUNTIFS(TableBOM[Product ID],$D$5,TableBOM[Item ID],$A27)&gt;0)*($H$5&gt;0),$C$5&amp;", ","")&amp;IF((COUNTIFS(TableBOM[Product ID],$D$6,TableBOM[Item ID],$A27)&gt;0)*($H$6&gt;0),$C$6&amp;", ","")&amp;IF((COUNTIFS(TableBOM[Product ID],$D$7,TableBOM[Item ID],$A27)&gt;0)*($H$7&gt;0),$C$7&amp;", ","")&amp;IF((COUNTIFS(TableBOM[Product ID],$D$8,TableBOM[Item ID],$A27)&gt;0)*($H$8&gt;0),$C$8&amp;", ","")&amp;IF((COUNTIFS(TableBOM[Product ID],$D$9,TableBOM[Item ID],$A27)&gt;0)*($H$9&gt;0),$C$9&amp;", ","")&amp;IF((COUNTIFS(TableBOM[Product ID],$D$10,TableBOM[Item ID],$A27)&gt;0)*($H$10&gt;0),$C$10&amp;", ","")&amp;IF((COUNTIFS(TableBOM[Product ID],$D$11,TableBOM[Item ID],$A27)&gt;0)*($H$11&gt;0),$C$11&amp;", ","")&amp;IF((COUNTIFS(TableBOM[Product ID],$D$12,TableBOM[Item ID],$A27)&gt;0)*($H$12&gt;0),$C$12&amp;", ",""))-2),"")</f>
        <v/>
      </c>
      <c r="I27" s="63">
        <f>IF(LEN(IF((COUNTIFS(TableBOM[Product ID],$D$3,TableBOM[Item ID],$A27)&gt;0)*($H$3&gt;0),$E$3&amp;", ","")&amp;IF((COUNTIFS(TableBOM[Product ID],$D$4,TableBOM[Item ID],$A27)&gt;0)*($H$4&gt;0),$E$4&amp;", ","")&amp;IF((COUNTIFS(TableBOM[Product ID],$D$5,TableBOM[Item ID],$A27)&gt;0)*($H$5&gt;0),$E$5&amp;", ","")&amp;IF((COUNTIFS(TableBOM[Product ID],$D$6,TableBOM[Item ID],$A27)&gt;0)*($H$6&gt;0),$E$6&amp;", ","")&amp;IF((COUNTIFS(TableBOM[Product ID],$D$7,TableBOM[Item ID],$A27)&gt;0)*($H$7&gt;0),$E$7&amp;", ","")&amp;IF((COUNTIFS(TableBOM[Product ID],$D$8,TableBOM[Item ID],$A27)&gt;0)*($H$8&gt;0),$E$8&amp;", ","")&amp;IF((COUNTIFS(TableBOM[Product ID],$D$9,TableBOM[Item ID],$A27)&gt;0)*($H$9&gt;0),$E$9&amp;", ","")&amp;IF((COUNTIFS(TableBOM[Product ID],$D$10,TableBOM[Item ID],$A27)&gt;0)*($H$10&gt;0),$E$10&amp;", ","")&amp;IF((COUNTIFS(TableBOM[Product ID],$D$11,TableBOM[Item ID],$A27)&gt;0)*($H$11&gt;0),$E$11&amp;", ","")&amp;IF((COUNTIFS(TableBOM[Product ID],$D$12,TableBOM[Item ID],$A27)&gt;0)*($H$12&gt;0),$E$12&amp;", ",""))&gt;1,LEFT(IF((COUNTIFS(TableBOM[Product ID],$D$3,TableBOM[Item ID],$A27)&gt;0)*($H$3&gt;0),$E$3&amp;", ","")&amp;IF((COUNTIFS(TableBOM[Product ID],$D$4,TableBOM[Item ID],$A27)&gt;0)*($H$4&gt;0),$E$4&amp;", ","")&amp;IF((COUNTIFS(TableBOM[Product ID],$D$5,TableBOM[Item ID],$A27)&gt;0)*($H$5&gt;0),$E$5&amp;", ","")&amp;IF((COUNTIFS(TableBOM[Product ID],$D$6,TableBOM[Item ID],$A27)&gt;0)*($H$6&gt;0),$E$6&amp;", ","")&amp;IF((COUNTIFS(TableBOM[Product ID],$D$7,TableBOM[Item ID],$A27)&gt;0)*($H$7&gt;0),$E$7&amp;", ","")&amp;IF((COUNTIFS(TableBOM[Product ID],$D$8,TableBOM[Item ID],$A27)&gt;0)*($H$8&gt;0),$E$8&amp;", ","")&amp;IF((COUNTIFS(TableBOM[Product ID],$D$9,TableBOM[Item ID],$A27)&gt;0)*($H$9&gt;0),$E$9&amp;", ","")&amp;IF((COUNTIFS(TableBOM[Product ID],$D$10,TableBOM[Item ID],$A27)&gt;0)*($H$10&gt;0),$E$10&amp;", ","")&amp;IF((COUNTIFS(TableBOM[Product ID],$D$11,TableBOM[Item ID],$A27)&gt;0)*($H$11&gt;0),$E$11&amp;", ","")&amp;IF((COUNTIFS(TableBOM[Product ID],$D$12,TableBOM[Item ID],$A27)&gt;0)*($H$12&gt;0),$E$12&amp;", ",""),LEN(IF((COUNTIFS(TableBOM[Product ID],$D$3,TableBOM[Item ID],$A27)&gt;0)*($H$3&gt;0),$E$3&amp;", ","")&amp;IF((COUNTIFS(TableBOM[Product ID],$D$4,TableBOM[Item ID],$A27)&gt;0)*($H$4&gt;0),$E$4&amp;", ","")&amp;IF((COUNTIFS(TableBOM[Product ID],$D$5,TableBOM[Item ID],$A27)&gt;0)*($H$5&gt;0),$E$5&amp;", ","")&amp;IF((COUNTIFS(TableBOM[Product ID],$D$6,TableBOM[Item ID],$A27)&gt;0)*($H$6&gt;0),$E$6&amp;", ","")&amp;IF((COUNTIFS(TableBOM[Product ID],$D$7,TableBOM[Item ID],$A27)&gt;0)*($H$7&gt;0),$E$7&amp;", ","")&amp;IF((COUNTIFS(TableBOM[Product ID],$D$8,TableBOM[Item ID],$A27)&gt;0)*($H$8&gt;0),$E$8&amp;", ","")&amp;IF((COUNTIFS(TableBOM[Product ID],$D$9,TableBOM[Item ID],$A27)&gt;0)*($H$9&gt;0),$E$9&amp;", ","")&amp;IF((COUNTIFS(TableBOM[Product ID],$D$10,TableBOM[Item ID],$A27)&gt;0)*($H$10&gt;0),$E$10&amp;", ","")&amp;IF((COUNTIFS(TableBOM[Product ID],$D$11,TableBOM[Item ID],$A27)&gt;0)*($H$11&gt;0),$E$11&amp;", ","")&amp;IF((COUNTIFS(TableBOM[Product ID],$D$12,TableBOM[Item ID],$A27)&gt;0)*($H$12&gt;0),$E$12&amp;", ",""))-2),"")</f>
        <v/>
      </c>
      <c r="J27" s="64">
        <f>IF(E27=0,"Not needed",IF(G27&lt;0,"SHORTAGE",IF(G27&lt;F27*0.1,"LOW","OK")))</f>
        <v/>
      </c>
      <c r="K27" s="64">
        <f>IF(B27&lt;&gt;"CAP","",SUMPRODUCT((ISNUMBER(SEARCH("Cap Not Available",'FG Stock'!$H$4:$H$100)))*('FG Stock'!$I$4:$I$100=A27)*'FG Stock'!$F$4:$F$100))</f>
        <v/>
      </c>
      <c r="L27" s="64">
        <f>IF(E27=0,"",MAX(0,E27+IFERROR(K27*1,0)-F27))</f>
        <v/>
      </c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" t="n"/>
    </row>
    <row r="28" hidden="1" ht="15" customHeight="1" s="249">
      <c r="A28" s="55" t="n">
        <v>3935</v>
      </c>
      <c r="B28" s="55" t="inlineStr">
        <is>
          <t>SLUG</t>
        </is>
      </c>
      <c r="C28" s="55" t="inlineStr">
        <is>
          <t>32x5.0</t>
        </is>
      </c>
      <c r="D28" s="55" t="inlineStr">
        <is>
          <t>kg</t>
        </is>
      </c>
      <c r="E28" s="61">
        <f>SUMPRODUCT((TableBOM[Item ID]=A28)*TableBOM[Per 1000 Units]*(1+TableBOM[Scrap %])*SUMIF($D$3:$D$12,TableBOM[Product ID],$H$3:$H$12)/1000)</f>
        <v/>
      </c>
      <c r="F28" s="61">
        <f>IFERROR(INDEX(TableInventory[Store Balance],MATCH(A28,TableInventory[Item ID],0)),0)+IFERROR(INDEX(TableInventory[Work In Process],MATCH(A28,TableInventory[Item ID],0)),0)</f>
        <v/>
      </c>
      <c r="G28" s="65">
        <f>F28-E28</f>
        <v/>
      </c>
      <c r="H28" s="62">
        <f>IF(LEN(IF((COUNTIFS(TableBOM[Product ID],$D$3,TableBOM[Item ID],$A28)&gt;0)*($H$3&gt;0),$C$3&amp;", ","")&amp;IF((COUNTIFS(TableBOM[Product ID],$D$4,TableBOM[Item ID],$A28)&gt;0)*($H$4&gt;0),$C$4&amp;", ","")&amp;IF((COUNTIFS(TableBOM[Product ID],$D$5,TableBOM[Item ID],$A28)&gt;0)*($H$5&gt;0),$C$5&amp;", ","")&amp;IF((COUNTIFS(TableBOM[Product ID],$D$6,TableBOM[Item ID],$A28)&gt;0)*($H$6&gt;0),$C$6&amp;", ","")&amp;IF((COUNTIFS(TableBOM[Product ID],$D$7,TableBOM[Item ID],$A28)&gt;0)*($H$7&gt;0),$C$7&amp;", ","")&amp;IF((COUNTIFS(TableBOM[Product ID],$D$8,TableBOM[Item ID],$A28)&gt;0)*($H$8&gt;0),$C$8&amp;", ","")&amp;IF((COUNTIFS(TableBOM[Product ID],$D$9,TableBOM[Item ID],$A28)&gt;0)*($H$9&gt;0),$C$9&amp;", ","")&amp;IF((COUNTIFS(TableBOM[Product ID],$D$10,TableBOM[Item ID],$A28)&gt;0)*($H$10&gt;0),$C$10&amp;", ","")&amp;IF((COUNTIFS(TableBOM[Product ID],$D$11,TableBOM[Item ID],$A28)&gt;0)*($H$11&gt;0),$C$11&amp;", ","")&amp;IF((COUNTIFS(TableBOM[Product ID],$D$12,TableBOM[Item ID],$A28)&gt;0)*($H$12&gt;0),$C$12&amp;", ",""))&gt;1,LEFT(IF((COUNTIFS(TableBOM[Product ID],$D$3,TableBOM[Item ID],$A28)&gt;0)*($H$3&gt;0),$C$3&amp;", ","")&amp;IF((COUNTIFS(TableBOM[Product ID],$D$4,TableBOM[Item ID],$A28)&gt;0)*($H$4&gt;0),$C$4&amp;", ","")&amp;IF((COUNTIFS(TableBOM[Product ID],$D$5,TableBOM[Item ID],$A28)&gt;0)*($H$5&gt;0),$C$5&amp;", ","")&amp;IF((COUNTIFS(TableBOM[Product ID],$D$6,TableBOM[Item ID],$A28)&gt;0)*($H$6&gt;0),$C$6&amp;", ","")&amp;IF((COUNTIFS(TableBOM[Product ID],$D$7,TableBOM[Item ID],$A28)&gt;0)*($H$7&gt;0),$C$7&amp;", ","")&amp;IF((COUNTIFS(TableBOM[Product ID],$D$8,TableBOM[Item ID],$A28)&gt;0)*($H$8&gt;0),$C$8&amp;", ","")&amp;IF((COUNTIFS(TableBOM[Product ID],$D$9,TableBOM[Item ID],$A28)&gt;0)*($H$9&gt;0),$C$9&amp;", ","")&amp;IF((COUNTIFS(TableBOM[Product ID],$D$10,TableBOM[Item ID],$A28)&gt;0)*($H$10&gt;0),$C$10&amp;", ","")&amp;IF((COUNTIFS(TableBOM[Product ID],$D$11,TableBOM[Item ID],$A28)&gt;0)*($H$11&gt;0),$C$11&amp;", ","")&amp;IF((COUNTIFS(TableBOM[Product ID],$D$12,TableBOM[Item ID],$A28)&gt;0)*($H$12&gt;0),$C$12&amp;", ",""),LEN(IF((COUNTIFS(TableBOM[Product ID],$D$3,TableBOM[Item ID],$A28)&gt;0)*($H$3&gt;0),$C$3&amp;", ","")&amp;IF((COUNTIFS(TableBOM[Product ID],$D$4,TableBOM[Item ID],$A28)&gt;0)*($H$4&gt;0),$C$4&amp;", ","")&amp;IF((COUNTIFS(TableBOM[Product ID],$D$5,TableBOM[Item ID],$A28)&gt;0)*($H$5&gt;0),$C$5&amp;", ","")&amp;IF((COUNTIFS(TableBOM[Product ID],$D$6,TableBOM[Item ID],$A28)&gt;0)*($H$6&gt;0),$C$6&amp;", ","")&amp;IF((COUNTIFS(TableBOM[Product ID],$D$7,TableBOM[Item ID],$A28)&gt;0)*($H$7&gt;0),$C$7&amp;", ","")&amp;IF((COUNTIFS(TableBOM[Product ID],$D$8,TableBOM[Item ID],$A28)&gt;0)*($H$8&gt;0),$C$8&amp;", ","")&amp;IF((COUNTIFS(TableBOM[Product ID],$D$9,TableBOM[Item ID],$A28)&gt;0)*($H$9&gt;0),$C$9&amp;", ","")&amp;IF((COUNTIFS(TableBOM[Product ID],$D$10,TableBOM[Item ID],$A28)&gt;0)*($H$10&gt;0),$C$10&amp;", ","")&amp;IF((COUNTIFS(TableBOM[Product ID],$D$11,TableBOM[Item ID],$A28)&gt;0)*($H$11&gt;0),$C$11&amp;", ","")&amp;IF((COUNTIFS(TableBOM[Product ID],$D$12,TableBOM[Item ID],$A28)&gt;0)*($H$12&gt;0),$C$12&amp;", ",""))-2),"")</f>
        <v/>
      </c>
      <c r="I28" s="63">
        <f>IF(LEN(IF((COUNTIFS(TableBOM[Product ID],$D$3,TableBOM[Item ID],$A28)&gt;0)*($H$3&gt;0),$E$3&amp;", ","")&amp;IF((COUNTIFS(TableBOM[Product ID],$D$4,TableBOM[Item ID],$A28)&gt;0)*($H$4&gt;0),$E$4&amp;", ","")&amp;IF((COUNTIFS(TableBOM[Product ID],$D$5,TableBOM[Item ID],$A28)&gt;0)*($H$5&gt;0),$E$5&amp;", ","")&amp;IF((COUNTIFS(TableBOM[Product ID],$D$6,TableBOM[Item ID],$A28)&gt;0)*($H$6&gt;0),$E$6&amp;", ","")&amp;IF((COUNTIFS(TableBOM[Product ID],$D$7,TableBOM[Item ID],$A28)&gt;0)*($H$7&gt;0),$E$7&amp;", ","")&amp;IF((COUNTIFS(TableBOM[Product ID],$D$8,TableBOM[Item ID],$A28)&gt;0)*($H$8&gt;0),$E$8&amp;", ","")&amp;IF((COUNTIFS(TableBOM[Product ID],$D$9,TableBOM[Item ID],$A28)&gt;0)*($H$9&gt;0),$E$9&amp;", ","")&amp;IF((COUNTIFS(TableBOM[Product ID],$D$10,TableBOM[Item ID],$A28)&gt;0)*($H$10&gt;0),$E$10&amp;", ","")&amp;IF((COUNTIFS(TableBOM[Product ID],$D$11,TableBOM[Item ID],$A28)&gt;0)*($H$11&gt;0),$E$11&amp;", ","")&amp;IF((COUNTIFS(TableBOM[Product ID],$D$12,TableBOM[Item ID],$A28)&gt;0)*($H$12&gt;0),$E$12&amp;", ",""))&gt;1,LEFT(IF((COUNTIFS(TableBOM[Product ID],$D$3,TableBOM[Item ID],$A28)&gt;0)*($H$3&gt;0),$E$3&amp;", ","")&amp;IF((COUNTIFS(TableBOM[Product ID],$D$4,TableBOM[Item ID],$A28)&gt;0)*($H$4&gt;0),$E$4&amp;", ","")&amp;IF((COUNTIFS(TableBOM[Product ID],$D$5,TableBOM[Item ID],$A28)&gt;0)*($H$5&gt;0),$E$5&amp;", ","")&amp;IF((COUNTIFS(TableBOM[Product ID],$D$6,TableBOM[Item ID],$A28)&gt;0)*($H$6&gt;0),$E$6&amp;", ","")&amp;IF((COUNTIFS(TableBOM[Product ID],$D$7,TableBOM[Item ID],$A28)&gt;0)*($H$7&gt;0),$E$7&amp;", ","")&amp;IF((COUNTIFS(TableBOM[Product ID],$D$8,TableBOM[Item ID],$A28)&gt;0)*($H$8&gt;0),$E$8&amp;", ","")&amp;IF((COUNTIFS(TableBOM[Product ID],$D$9,TableBOM[Item ID],$A28)&gt;0)*($H$9&gt;0),$E$9&amp;", ","")&amp;IF((COUNTIFS(TableBOM[Product ID],$D$10,TableBOM[Item ID],$A28)&gt;0)*($H$10&gt;0),$E$10&amp;", ","")&amp;IF((COUNTIFS(TableBOM[Product ID],$D$11,TableBOM[Item ID],$A28)&gt;0)*($H$11&gt;0),$E$11&amp;", ","")&amp;IF((COUNTIFS(TableBOM[Product ID],$D$12,TableBOM[Item ID],$A28)&gt;0)*($H$12&gt;0),$E$12&amp;", ",""),LEN(IF((COUNTIFS(TableBOM[Product ID],$D$3,TableBOM[Item ID],$A28)&gt;0)*($H$3&gt;0),$E$3&amp;", ","")&amp;IF((COUNTIFS(TableBOM[Product ID],$D$4,TableBOM[Item ID],$A28)&gt;0)*($H$4&gt;0),$E$4&amp;", ","")&amp;IF((COUNTIFS(TableBOM[Product ID],$D$5,TableBOM[Item ID],$A28)&gt;0)*($H$5&gt;0),$E$5&amp;", ","")&amp;IF((COUNTIFS(TableBOM[Product ID],$D$6,TableBOM[Item ID],$A28)&gt;0)*($H$6&gt;0),$E$6&amp;", ","")&amp;IF((COUNTIFS(TableBOM[Product ID],$D$7,TableBOM[Item ID],$A28)&gt;0)*($H$7&gt;0),$E$7&amp;", ","")&amp;IF((COUNTIFS(TableBOM[Product ID],$D$8,TableBOM[Item ID],$A28)&gt;0)*($H$8&gt;0),$E$8&amp;", ","")&amp;IF((COUNTIFS(TableBOM[Product ID],$D$9,TableBOM[Item ID],$A28)&gt;0)*($H$9&gt;0),$E$9&amp;", ","")&amp;IF((COUNTIFS(TableBOM[Product ID],$D$10,TableBOM[Item ID],$A28)&gt;0)*($H$10&gt;0),$E$10&amp;", ","")&amp;IF((COUNTIFS(TableBOM[Product ID],$D$11,TableBOM[Item ID],$A28)&gt;0)*($H$11&gt;0),$E$11&amp;", ","")&amp;IF((COUNTIFS(TableBOM[Product ID],$D$12,TableBOM[Item ID],$A28)&gt;0)*($H$12&gt;0),$E$12&amp;", ",""))-2),"")</f>
        <v/>
      </c>
      <c r="J28" s="64">
        <f>IF(E28=0,"Not needed",IF(G28&lt;0,"SHORTAGE",IF(G28&lt;F28*0.1,"LOW","OK")))</f>
        <v/>
      </c>
      <c r="K28" s="64">
        <f>IF(B28&lt;&gt;"CAP","",SUMPRODUCT((ISNUMBER(SEARCH("Cap Not Available",'FG Stock'!$H$4:$H$100)))*('FG Stock'!$I$4:$I$100=A28)*'FG Stock'!$F$4:$F$100))</f>
        <v/>
      </c>
      <c r="L28" s="64">
        <f>IF(E28=0,"",MAX(0,E28+IFERROR(K28*1,0)-F28))</f>
        <v/>
      </c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" t="n"/>
    </row>
    <row r="29" ht="15" customHeight="1" s="249">
      <c r="A29" s="55" t="n">
        <v>3503</v>
      </c>
      <c r="B29" s="55" t="inlineStr">
        <is>
          <t>SLUG</t>
        </is>
      </c>
      <c r="C29" s="55" t="inlineStr">
        <is>
          <t>35X5.0</t>
        </is>
      </c>
      <c r="D29" s="55" t="inlineStr">
        <is>
          <t>kg</t>
        </is>
      </c>
      <c r="E29" s="61">
        <f>SUMPRODUCT((TableBOM[Item ID]=A29)*TableBOM[Per 1000 Units]*(1+TableBOM[Scrap %])*SUMIF($D$3:$D$12,TableBOM[Product ID],$H$3:$H$12)/1000)</f>
        <v/>
      </c>
      <c r="F29" s="61">
        <f>IFERROR(INDEX(TableInventory[Store Balance],MATCH(A29,TableInventory[Item ID],0)),0)+IFERROR(INDEX(TableInventory[Work In Process],MATCH(A29,TableInventory[Item ID],0)),0)</f>
        <v/>
      </c>
      <c r="G29" s="65">
        <f>F29-E29</f>
        <v/>
      </c>
      <c r="H29" s="62">
        <f>IF(LEN(IF((COUNTIFS(TableBOM[Product ID],$D$3,TableBOM[Item ID],$A29)&gt;0)*($H$3&gt;0),$C$3&amp;", ","")&amp;IF((COUNTIFS(TableBOM[Product ID],$D$4,TableBOM[Item ID],$A29)&gt;0)*($H$4&gt;0),$C$4&amp;", ","")&amp;IF((COUNTIFS(TableBOM[Product ID],$D$5,TableBOM[Item ID],$A29)&gt;0)*($H$5&gt;0),$C$5&amp;", ","")&amp;IF((COUNTIFS(TableBOM[Product ID],$D$6,TableBOM[Item ID],$A29)&gt;0)*($H$6&gt;0),$C$6&amp;", ","")&amp;IF((COUNTIFS(TableBOM[Product ID],$D$7,TableBOM[Item ID],$A29)&gt;0)*($H$7&gt;0),$C$7&amp;", ","")&amp;IF((COUNTIFS(TableBOM[Product ID],$D$8,TableBOM[Item ID],$A29)&gt;0)*($H$8&gt;0),$C$8&amp;", ","")&amp;IF((COUNTIFS(TableBOM[Product ID],$D$9,TableBOM[Item ID],$A29)&gt;0)*($H$9&gt;0),$C$9&amp;", ","")&amp;IF((COUNTIFS(TableBOM[Product ID],$D$10,TableBOM[Item ID],$A29)&gt;0)*($H$10&gt;0),$C$10&amp;", ","")&amp;IF((COUNTIFS(TableBOM[Product ID],$D$11,TableBOM[Item ID],$A29)&gt;0)*($H$11&gt;0),$C$11&amp;", ","")&amp;IF((COUNTIFS(TableBOM[Product ID],$D$12,TableBOM[Item ID],$A29)&gt;0)*($H$12&gt;0),$C$12&amp;", ",""))&gt;1,LEFT(IF((COUNTIFS(TableBOM[Product ID],$D$3,TableBOM[Item ID],$A29)&gt;0)*($H$3&gt;0),$C$3&amp;", ","")&amp;IF((COUNTIFS(TableBOM[Product ID],$D$4,TableBOM[Item ID],$A29)&gt;0)*($H$4&gt;0),$C$4&amp;", ","")&amp;IF((COUNTIFS(TableBOM[Product ID],$D$5,TableBOM[Item ID],$A29)&gt;0)*($H$5&gt;0),$C$5&amp;", ","")&amp;IF((COUNTIFS(TableBOM[Product ID],$D$6,TableBOM[Item ID],$A29)&gt;0)*($H$6&gt;0),$C$6&amp;", ","")&amp;IF((COUNTIFS(TableBOM[Product ID],$D$7,TableBOM[Item ID],$A29)&gt;0)*($H$7&gt;0),$C$7&amp;", ","")&amp;IF((COUNTIFS(TableBOM[Product ID],$D$8,TableBOM[Item ID],$A29)&gt;0)*($H$8&gt;0),$C$8&amp;", ","")&amp;IF((COUNTIFS(TableBOM[Product ID],$D$9,TableBOM[Item ID],$A29)&gt;0)*($H$9&gt;0),$C$9&amp;", ","")&amp;IF((COUNTIFS(TableBOM[Product ID],$D$10,TableBOM[Item ID],$A29)&gt;0)*($H$10&gt;0),$C$10&amp;", ","")&amp;IF((COUNTIFS(TableBOM[Product ID],$D$11,TableBOM[Item ID],$A29)&gt;0)*($H$11&gt;0),$C$11&amp;", ","")&amp;IF((COUNTIFS(TableBOM[Product ID],$D$12,TableBOM[Item ID],$A29)&gt;0)*($H$12&gt;0),$C$12&amp;", ",""),LEN(IF((COUNTIFS(TableBOM[Product ID],$D$3,TableBOM[Item ID],$A29)&gt;0)*($H$3&gt;0),$C$3&amp;", ","")&amp;IF((COUNTIFS(TableBOM[Product ID],$D$4,TableBOM[Item ID],$A29)&gt;0)*($H$4&gt;0),$C$4&amp;", ","")&amp;IF((COUNTIFS(TableBOM[Product ID],$D$5,TableBOM[Item ID],$A29)&gt;0)*($H$5&gt;0),$C$5&amp;", ","")&amp;IF((COUNTIFS(TableBOM[Product ID],$D$6,TableBOM[Item ID],$A29)&gt;0)*($H$6&gt;0),$C$6&amp;", ","")&amp;IF((COUNTIFS(TableBOM[Product ID],$D$7,TableBOM[Item ID],$A29)&gt;0)*($H$7&gt;0),$C$7&amp;", ","")&amp;IF((COUNTIFS(TableBOM[Product ID],$D$8,TableBOM[Item ID],$A29)&gt;0)*($H$8&gt;0),$C$8&amp;", ","")&amp;IF((COUNTIFS(TableBOM[Product ID],$D$9,TableBOM[Item ID],$A29)&gt;0)*($H$9&gt;0),$C$9&amp;", ","")&amp;IF((COUNTIFS(TableBOM[Product ID],$D$10,TableBOM[Item ID],$A29)&gt;0)*($H$10&gt;0),$C$10&amp;", ","")&amp;IF((COUNTIFS(TableBOM[Product ID],$D$11,TableBOM[Item ID],$A29)&gt;0)*($H$11&gt;0),$C$11&amp;", ","")&amp;IF((COUNTIFS(TableBOM[Product ID],$D$12,TableBOM[Item ID],$A29)&gt;0)*($H$12&gt;0),$C$12&amp;", ",""))-2),"")</f>
        <v/>
      </c>
      <c r="I29" s="63">
        <f>IF(LEN(IF((COUNTIFS(TableBOM[Product ID],$D$3,TableBOM[Item ID],$A29)&gt;0)*($H$3&gt;0),$E$3&amp;", ","")&amp;IF((COUNTIFS(TableBOM[Product ID],$D$4,TableBOM[Item ID],$A29)&gt;0)*($H$4&gt;0),$E$4&amp;", ","")&amp;IF((COUNTIFS(TableBOM[Product ID],$D$5,TableBOM[Item ID],$A29)&gt;0)*($H$5&gt;0),$E$5&amp;", ","")&amp;IF((COUNTIFS(TableBOM[Product ID],$D$6,TableBOM[Item ID],$A29)&gt;0)*($H$6&gt;0),$E$6&amp;", ","")&amp;IF((COUNTIFS(TableBOM[Product ID],$D$7,TableBOM[Item ID],$A29)&gt;0)*($H$7&gt;0),$E$7&amp;", ","")&amp;IF((COUNTIFS(TableBOM[Product ID],$D$8,TableBOM[Item ID],$A29)&gt;0)*($H$8&gt;0),$E$8&amp;", ","")&amp;IF((COUNTIFS(TableBOM[Product ID],$D$9,TableBOM[Item ID],$A29)&gt;0)*($H$9&gt;0),$E$9&amp;", ","")&amp;IF((COUNTIFS(TableBOM[Product ID],$D$10,TableBOM[Item ID],$A29)&gt;0)*($H$10&gt;0),$E$10&amp;", ","")&amp;IF((COUNTIFS(TableBOM[Product ID],$D$11,TableBOM[Item ID],$A29)&gt;0)*($H$11&gt;0),$E$11&amp;", ","")&amp;IF((COUNTIFS(TableBOM[Product ID],$D$12,TableBOM[Item ID],$A29)&gt;0)*($H$12&gt;0),$E$12&amp;", ",""))&gt;1,LEFT(IF((COUNTIFS(TableBOM[Product ID],$D$3,TableBOM[Item ID],$A29)&gt;0)*($H$3&gt;0),$E$3&amp;", ","")&amp;IF((COUNTIFS(TableBOM[Product ID],$D$4,TableBOM[Item ID],$A29)&gt;0)*($H$4&gt;0),$E$4&amp;", ","")&amp;IF((COUNTIFS(TableBOM[Product ID],$D$5,TableBOM[Item ID],$A29)&gt;0)*($H$5&gt;0),$E$5&amp;", ","")&amp;IF((COUNTIFS(TableBOM[Product ID],$D$6,TableBOM[Item ID],$A29)&gt;0)*($H$6&gt;0),$E$6&amp;", ","")&amp;IF((COUNTIFS(TableBOM[Product ID],$D$7,TableBOM[Item ID],$A29)&gt;0)*($H$7&gt;0),$E$7&amp;", ","")&amp;IF((COUNTIFS(TableBOM[Product ID],$D$8,TableBOM[Item ID],$A29)&gt;0)*($H$8&gt;0),$E$8&amp;", ","")&amp;IF((COUNTIFS(TableBOM[Product ID],$D$9,TableBOM[Item ID],$A29)&gt;0)*($H$9&gt;0),$E$9&amp;", ","")&amp;IF((COUNTIFS(TableBOM[Product ID],$D$10,TableBOM[Item ID],$A29)&gt;0)*($H$10&gt;0),$E$10&amp;", ","")&amp;IF((COUNTIFS(TableBOM[Product ID],$D$11,TableBOM[Item ID],$A29)&gt;0)*($H$11&gt;0),$E$11&amp;", ","")&amp;IF((COUNTIFS(TableBOM[Product ID],$D$12,TableBOM[Item ID],$A29)&gt;0)*($H$12&gt;0),$E$12&amp;", ",""),LEN(IF((COUNTIFS(TableBOM[Product ID],$D$3,TableBOM[Item ID],$A29)&gt;0)*($H$3&gt;0),$E$3&amp;", ","")&amp;IF((COUNTIFS(TableBOM[Product ID],$D$4,TableBOM[Item ID],$A29)&gt;0)*($H$4&gt;0),$E$4&amp;", ","")&amp;IF((COUNTIFS(TableBOM[Product ID],$D$5,TableBOM[Item ID],$A29)&gt;0)*($H$5&gt;0),$E$5&amp;", ","")&amp;IF((COUNTIFS(TableBOM[Product ID],$D$6,TableBOM[Item ID],$A29)&gt;0)*($H$6&gt;0),$E$6&amp;", ","")&amp;IF((COUNTIFS(TableBOM[Product ID],$D$7,TableBOM[Item ID],$A29)&gt;0)*($H$7&gt;0),$E$7&amp;", ","")&amp;IF((COUNTIFS(TableBOM[Product ID],$D$8,TableBOM[Item ID],$A29)&gt;0)*($H$8&gt;0),$E$8&amp;", ","")&amp;IF((COUNTIFS(TableBOM[Product ID],$D$9,TableBOM[Item ID],$A29)&gt;0)*($H$9&gt;0),$E$9&amp;", ","")&amp;IF((COUNTIFS(TableBOM[Product ID],$D$10,TableBOM[Item ID],$A29)&gt;0)*($H$10&gt;0),$E$10&amp;", ","")&amp;IF((COUNTIFS(TableBOM[Product ID],$D$11,TableBOM[Item ID],$A29)&gt;0)*($H$11&gt;0),$E$11&amp;", ","")&amp;IF((COUNTIFS(TableBOM[Product ID],$D$12,TableBOM[Item ID],$A29)&gt;0)*($H$12&gt;0),$E$12&amp;", ",""))-2),"")</f>
        <v/>
      </c>
      <c r="J29" s="64" t="inlineStr">
        <is>
          <t>Hold Due to Payment Issue</t>
        </is>
      </c>
      <c r="K29" s="64">
        <f>IF(B29&lt;&gt;"CAP","",SUMPRODUCT((ISNUMBER(SEARCH("Cap Not Available",'FG Stock'!$H$4:$H$100)))*('FG Stock'!$I$4:$I$100=A29)*'FG Stock'!$F$4:$F$100))</f>
        <v/>
      </c>
      <c r="L29" s="64">
        <f>IF(E29=0,"",MAX(0,E29+IFERROR(K29*1,0)-F29))</f>
        <v/>
      </c>
    </row>
    <row r="30" hidden="1" ht="15" customHeight="1" s="249">
      <c r="A30" s="55" t="n">
        <v>184</v>
      </c>
      <c r="B30" s="55" t="inlineStr">
        <is>
          <t>LACQUER</t>
        </is>
      </c>
      <c r="C30" s="55" t="inlineStr">
        <is>
          <t>LACQUER IMP 49989</t>
        </is>
      </c>
      <c r="D30" s="55" t="inlineStr">
        <is>
          <t>kg</t>
        </is>
      </c>
      <c r="E30" s="61">
        <f>SUMPRODUCT((TableBOM[Item ID]=A30)*TableBOM[Per 1000 Units]*(1+TableBOM[Scrap %])*SUMIF($D$3:$D$12,TableBOM[Product ID],$H$3:$H$12)/1000)</f>
        <v/>
      </c>
      <c r="F30" s="61">
        <f>IFERROR(INDEX(TableInventory[Store Balance],MATCH(A30,TableInventory[Item ID],0)),0)+IFERROR(INDEX(TableInventory[Work In Process],MATCH(A30,TableInventory[Item ID],0)),0)</f>
        <v/>
      </c>
      <c r="G30" s="61">
        <f>F30-E30</f>
        <v/>
      </c>
      <c r="H30" s="62">
        <f>IF(LEN(IF((COUNTIFS(TableBOM[Product ID],$D$3,TableBOM[Item ID],$A30)&gt;0)*($H$3&gt;0),$C$3&amp;", ","")&amp;IF((COUNTIFS(TableBOM[Product ID],$D$4,TableBOM[Item ID],$A30)&gt;0)*($H$4&gt;0),$C$4&amp;", ","")&amp;IF((COUNTIFS(TableBOM[Product ID],$D$5,TableBOM[Item ID],$A30)&gt;0)*($H$5&gt;0),$C$5&amp;", ","")&amp;IF((COUNTIFS(TableBOM[Product ID],$D$6,TableBOM[Item ID],$A30)&gt;0)*($H$6&gt;0),$C$6&amp;", ","")&amp;IF((COUNTIFS(TableBOM[Product ID],$D$7,TableBOM[Item ID],$A30)&gt;0)*($H$7&gt;0),$C$7&amp;", ","")&amp;IF((COUNTIFS(TableBOM[Product ID],$D$8,TableBOM[Item ID],$A30)&gt;0)*($H$8&gt;0),$C$8&amp;", ","")&amp;IF((COUNTIFS(TableBOM[Product ID],$D$9,TableBOM[Item ID],$A30)&gt;0)*($H$9&gt;0),$C$9&amp;", ","")&amp;IF((COUNTIFS(TableBOM[Product ID],$D$10,TableBOM[Item ID],$A30)&gt;0)*($H$10&gt;0),$C$10&amp;", ","")&amp;IF((COUNTIFS(TableBOM[Product ID],$D$11,TableBOM[Item ID],$A30)&gt;0)*($H$11&gt;0),$C$11&amp;", ","")&amp;IF((COUNTIFS(TableBOM[Product ID],$D$12,TableBOM[Item ID],$A30)&gt;0)*($H$12&gt;0),$C$12&amp;", ",""))&gt;1,LEFT(IF((COUNTIFS(TableBOM[Product ID],$D$3,TableBOM[Item ID],$A30)&gt;0)*($H$3&gt;0),$C$3&amp;", ","")&amp;IF((COUNTIFS(TableBOM[Product ID],$D$4,TableBOM[Item ID],$A30)&gt;0)*($H$4&gt;0),$C$4&amp;", ","")&amp;IF((COUNTIFS(TableBOM[Product ID],$D$5,TableBOM[Item ID],$A30)&gt;0)*($H$5&gt;0),$C$5&amp;", ","")&amp;IF((COUNTIFS(TableBOM[Product ID],$D$6,TableBOM[Item ID],$A30)&gt;0)*($H$6&gt;0),$C$6&amp;", ","")&amp;IF((COUNTIFS(TableBOM[Product ID],$D$7,TableBOM[Item ID],$A30)&gt;0)*($H$7&gt;0),$C$7&amp;", ","")&amp;IF((COUNTIFS(TableBOM[Product ID],$D$8,TableBOM[Item ID],$A30)&gt;0)*($H$8&gt;0),$C$8&amp;", ","")&amp;IF((COUNTIFS(TableBOM[Product ID],$D$9,TableBOM[Item ID],$A30)&gt;0)*($H$9&gt;0),$C$9&amp;", ","")&amp;IF((COUNTIFS(TableBOM[Product ID],$D$10,TableBOM[Item ID],$A30)&gt;0)*($H$10&gt;0),$C$10&amp;", ","")&amp;IF((COUNTIFS(TableBOM[Product ID],$D$11,TableBOM[Item ID],$A30)&gt;0)*($H$11&gt;0),$C$11&amp;", ","")&amp;IF((COUNTIFS(TableBOM[Product ID],$D$12,TableBOM[Item ID],$A30)&gt;0)*($H$12&gt;0),$C$12&amp;", ",""),LEN(IF((COUNTIFS(TableBOM[Product ID],$D$3,TableBOM[Item ID],$A30)&gt;0)*($H$3&gt;0),$C$3&amp;", ","")&amp;IF((COUNTIFS(TableBOM[Product ID],$D$4,TableBOM[Item ID],$A30)&gt;0)*($H$4&gt;0),$C$4&amp;", ","")&amp;IF((COUNTIFS(TableBOM[Product ID],$D$5,TableBOM[Item ID],$A30)&gt;0)*($H$5&gt;0),$C$5&amp;", ","")&amp;IF((COUNTIFS(TableBOM[Product ID],$D$6,TableBOM[Item ID],$A30)&gt;0)*($H$6&gt;0),$C$6&amp;", ","")&amp;IF((COUNTIFS(TableBOM[Product ID],$D$7,TableBOM[Item ID],$A30)&gt;0)*($H$7&gt;0),$C$7&amp;", ","")&amp;IF((COUNTIFS(TableBOM[Product ID],$D$8,TableBOM[Item ID],$A30)&gt;0)*($H$8&gt;0),$C$8&amp;", ","")&amp;IF((COUNTIFS(TableBOM[Product ID],$D$9,TableBOM[Item ID],$A30)&gt;0)*($H$9&gt;0),$C$9&amp;", ","")&amp;IF((COUNTIFS(TableBOM[Product ID],$D$10,TableBOM[Item ID],$A30)&gt;0)*($H$10&gt;0),$C$10&amp;", ","")&amp;IF((COUNTIFS(TableBOM[Product ID],$D$11,TableBOM[Item ID],$A30)&gt;0)*($H$11&gt;0),$C$11&amp;", ","")&amp;IF((COUNTIFS(TableBOM[Product ID],$D$12,TableBOM[Item ID],$A30)&gt;0)*($H$12&gt;0),$C$12&amp;", ",""))-2),"")</f>
        <v/>
      </c>
      <c r="I30" s="63">
        <f>IF(LEN(IF((COUNTIFS(TableBOM[Product ID],$D$3,TableBOM[Item ID],$A30)&gt;0)*($H$3&gt;0),$E$3&amp;", ","")&amp;IF((COUNTIFS(TableBOM[Product ID],$D$4,TableBOM[Item ID],$A30)&gt;0)*($H$4&gt;0),$E$4&amp;", ","")&amp;IF((COUNTIFS(TableBOM[Product ID],$D$5,TableBOM[Item ID],$A30)&gt;0)*($H$5&gt;0),$E$5&amp;", ","")&amp;IF((COUNTIFS(TableBOM[Product ID],$D$6,TableBOM[Item ID],$A30)&gt;0)*($H$6&gt;0),$E$6&amp;", ","")&amp;IF((COUNTIFS(TableBOM[Product ID],$D$7,TableBOM[Item ID],$A30)&gt;0)*($H$7&gt;0),$E$7&amp;", ","")&amp;IF((COUNTIFS(TableBOM[Product ID],$D$8,TableBOM[Item ID],$A30)&gt;0)*($H$8&gt;0),$E$8&amp;", ","")&amp;IF((COUNTIFS(TableBOM[Product ID],$D$9,TableBOM[Item ID],$A30)&gt;0)*($H$9&gt;0),$E$9&amp;", ","")&amp;IF((COUNTIFS(TableBOM[Product ID],$D$10,TableBOM[Item ID],$A30)&gt;0)*($H$10&gt;0),$E$10&amp;", ","")&amp;IF((COUNTIFS(TableBOM[Product ID],$D$11,TableBOM[Item ID],$A30)&gt;0)*($H$11&gt;0),$E$11&amp;", ","")&amp;IF((COUNTIFS(TableBOM[Product ID],$D$12,TableBOM[Item ID],$A30)&gt;0)*($H$12&gt;0),$E$12&amp;", ",""))&gt;1,LEFT(IF((COUNTIFS(TableBOM[Product ID],$D$3,TableBOM[Item ID],$A30)&gt;0)*($H$3&gt;0),$E$3&amp;", ","")&amp;IF((COUNTIFS(TableBOM[Product ID],$D$4,TableBOM[Item ID],$A30)&gt;0)*($H$4&gt;0),$E$4&amp;", ","")&amp;IF((COUNTIFS(TableBOM[Product ID],$D$5,TableBOM[Item ID],$A30)&gt;0)*($H$5&gt;0),$E$5&amp;", ","")&amp;IF((COUNTIFS(TableBOM[Product ID],$D$6,TableBOM[Item ID],$A30)&gt;0)*($H$6&gt;0),$E$6&amp;", ","")&amp;IF((COUNTIFS(TableBOM[Product ID],$D$7,TableBOM[Item ID],$A30)&gt;0)*($H$7&gt;0),$E$7&amp;", ","")&amp;IF((COUNTIFS(TableBOM[Product ID],$D$8,TableBOM[Item ID],$A30)&gt;0)*($H$8&gt;0),$E$8&amp;", ","")&amp;IF((COUNTIFS(TableBOM[Product ID],$D$9,TableBOM[Item ID],$A30)&gt;0)*($H$9&gt;0),$E$9&amp;", ","")&amp;IF((COUNTIFS(TableBOM[Product ID],$D$10,TableBOM[Item ID],$A30)&gt;0)*($H$10&gt;0),$E$10&amp;", ","")&amp;IF((COUNTIFS(TableBOM[Product ID],$D$11,TableBOM[Item ID],$A30)&gt;0)*($H$11&gt;0),$E$11&amp;", ","")&amp;IF((COUNTIFS(TableBOM[Product ID],$D$12,TableBOM[Item ID],$A30)&gt;0)*($H$12&gt;0),$E$12&amp;", ",""),LEN(IF((COUNTIFS(TableBOM[Product ID],$D$3,TableBOM[Item ID],$A30)&gt;0)*($H$3&gt;0),$E$3&amp;", ","")&amp;IF((COUNTIFS(TableBOM[Product ID],$D$4,TableBOM[Item ID],$A30)&gt;0)*($H$4&gt;0),$E$4&amp;", ","")&amp;IF((COUNTIFS(TableBOM[Product ID],$D$5,TableBOM[Item ID],$A30)&gt;0)*($H$5&gt;0),$E$5&amp;", ","")&amp;IF((COUNTIFS(TableBOM[Product ID],$D$6,TableBOM[Item ID],$A30)&gt;0)*($H$6&gt;0),$E$6&amp;", ","")&amp;IF((COUNTIFS(TableBOM[Product ID],$D$7,TableBOM[Item ID],$A30)&gt;0)*($H$7&gt;0),$E$7&amp;", ","")&amp;IF((COUNTIFS(TableBOM[Product ID],$D$8,TableBOM[Item ID],$A30)&gt;0)*($H$8&gt;0),$E$8&amp;", ","")&amp;IF((COUNTIFS(TableBOM[Product ID],$D$9,TableBOM[Item ID],$A30)&gt;0)*($H$9&gt;0),$E$9&amp;", ","")&amp;IF((COUNTIFS(TableBOM[Product ID],$D$10,TableBOM[Item ID],$A30)&gt;0)*($H$10&gt;0),$E$10&amp;", ","")&amp;IF((COUNTIFS(TableBOM[Product ID],$D$11,TableBOM[Item ID],$A30)&gt;0)*($H$11&gt;0),$E$11&amp;", ","")&amp;IF((COUNTIFS(TableBOM[Product ID],$D$12,TableBOM[Item ID],$A30)&gt;0)*($H$12&gt;0),$E$12&amp;", ",""))-2),"")</f>
        <v/>
      </c>
      <c r="J30" s="64">
        <f>IF(E30=0,"Not needed",IF(G30&lt;0,"SHORTAGE",IF(G30&lt;F30*0.1,"LOW","OK")))</f>
        <v/>
      </c>
      <c r="K30" s="64">
        <f>IF(B30&lt;&gt;"CAP","",SUMPRODUCT((ISNUMBER(SEARCH("Cap Not Available",'FG Stock'!$H$4:$H$100)))*('FG Stock'!$I$4:$I$100=A30)*'FG Stock'!$F$4:$F$100))</f>
        <v/>
      </c>
      <c r="L30" s="64">
        <f>IF(E30=0,"",MAX(0,E30+IFERROR(K30*1,0)-F30))</f>
        <v/>
      </c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" t="n"/>
    </row>
    <row r="31" ht="48" customHeight="1" s="249">
      <c r="A31" s="55" t="n">
        <v>185</v>
      </c>
      <c r="B31" s="55" t="inlineStr">
        <is>
          <t>LACQUER</t>
        </is>
      </c>
      <c r="C31" s="55" t="inlineStr">
        <is>
          <t>EPOXY LACQUER (1500)</t>
        </is>
      </c>
      <c r="D31" s="55" t="inlineStr">
        <is>
          <t>L</t>
        </is>
      </c>
      <c r="E31" s="61">
        <f>SUMPRODUCT((TableBOM[Item ID]=A31)*TableBOM[Per 1000 Units]*(1+TableBOM[Scrap %])*SUMIF($D$3:$D$12,TableBOM[Product ID],$H$3:$H$12)/1000)</f>
        <v/>
      </c>
      <c r="F31" s="61">
        <f>IFERROR(INDEX(TableInventory[Store Balance],MATCH(A31,TableInventory[Item ID],0)),0)+IFERROR(INDEX(TableInventory[Work In Process],MATCH(A31,TableInventory[Item ID],0)),0)</f>
        <v/>
      </c>
      <c r="G31" s="65">
        <f>F31-E31</f>
        <v/>
      </c>
      <c r="H31" s="62">
        <f>IF(LEN(IF((COUNTIFS(TableBOM[Product ID],$D$3,TableBOM[Item ID],$A31)&gt;0)*($H$3&gt;0),$C$3&amp;", ","")&amp;IF((COUNTIFS(TableBOM[Product ID],$D$4,TableBOM[Item ID],$A31)&gt;0)*($H$4&gt;0),$C$4&amp;", ","")&amp;IF((COUNTIFS(TableBOM[Product ID],$D$5,TableBOM[Item ID],$A31)&gt;0)*($H$5&gt;0),$C$5&amp;", ","")&amp;IF((COUNTIFS(TableBOM[Product ID],$D$6,TableBOM[Item ID],$A31)&gt;0)*($H$6&gt;0),$C$6&amp;", ","")&amp;IF((COUNTIFS(TableBOM[Product ID],$D$7,TableBOM[Item ID],$A31)&gt;0)*($H$7&gt;0),$C$7&amp;", ","")&amp;IF((COUNTIFS(TableBOM[Product ID],$D$8,TableBOM[Item ID],$A31)&gt;0)*($H$8&gt;0),$C$8&amp;", ","")&amp;IF((COUNTIFS(TableBOM[Product ID],$D$9,TableBOM[Item ID],$A31)&gt;0)*($H$9&gt;0),$C$9&amp;", ","")&amp;IF((COUNTIFS(TableBOM[Product ID],$D$10,TableBOM[Item ID],$A31)&gt;0)*($H$10&gt;0),$C$10&amp;", ","")&amp;IF((COUNTIFS(TableBOM[Product ID],$D$11,TableBOM[Item ID],$A31)&gt;0)*($H$11&gt;0),$C$11&amp;", ","")&amp;IF((COUNTIFS(TableBOM[Product ID],$D$12,TableBOM[Item ID],$A31)&gt;0)*($H$12&gt;0),$C$12&amp;", ",""))&gt;1,LEFT(IF((COUNTIFS(TableBOM[Product ID],$D$3,TableBOM[Item ID],$A31)&gt;0)*($H$3&gt;0),$C$3&amp;", ","")&amp;IF((COUNTIFS(TableBOM[Product ID],$D$4,TableBOM[Item ID],$A31)&gt;0)*($H$4&gt;0),$C$4&amp;", ","")&amp;IF((COUNTIFS(TableBOM[Product ID],$D$5,TableBOM[Item ID],$A31)&gt;0)*($H$5&gt;0),$C$5&amp;", ","")&amp;IF((COUNTIFS(TableBOM[Product ID],$D$6,TableBOM[Item ID],$A31)&gt;0)*($H$6&gt;0),$C$6&amp;", ","")&amp;IF((COUNTIFS(TableBOM[Product ID],$D$7,TableBOM[Item ID],$A31)&gt;0)*($H$7&gt;0),$C$7&amp;", ","")&amp;IF((COUNTIFS(TableBOM[Product ID],$D$8,TableBOM[Item ID],$A31)&gt;0)*($H$8&gt;0),$C$8&amp;", ","")&amp;IF((COUNTIFS(TableBOM[Product ID],$D$9,TableBOM[Item ID],$A31)&gt;0)*($H$9&gt;0),$C$9&amp;", ","")&amp;IF((COUNTIFS(TableBOM[Product ID],$D$10,TableBOM[Item ID],$A31)&gt;0)*($H$10&gt;0),$C$10&amp;", ","")&amp;IF((COUNTIFS(TableBOM[Product ID],$D$11,TableBOM[Item ID],$A31)&gt;0)*($H$11&gt;0),$C$11&amp;", ","")&amp;IF((COUNTIFS(TableBOM[Product ID],$D$12,TableBOM[Item ID],$A31)&gt;0)*($H$12&gt;0),$C$12&amp;", ",""),LEN(IF((COUNTIFS(TableBOM[Product ID],$D$3,TableBOM[Item ID],$A31)&gt;0)*($H$3&gt;0),$C$3&amp;", ","")&amp;IF((COUNTIFS(TableBOM[Product ID],$D$4,TableBOM[Item ID],$A31)&gt;0)*($H$4&gt;0),$C$4&amp;", ","")&amp;IF((COUNTIFS(TableBOM[Product ID],$D$5,TableBOM[Item ID],$A31)&gt;0)*($H$5&gt;0),$C$5&amp;", ","")&amp;IF((COUNTIFS(TableBOM[Product ID],$D$6,TableBOM[Item ID],$A31)&gt;0)*($H$6&gt;0),$C$6&amp;", ","")&amp;IF((COUNTIFS(TableBOM[Product ID],$D$7,TableBOM[Item ID],$A31)&gt;0)*($H$7&gt;0),$C$7&amp;", ","")&amp;IF((COUNTIFS(TableBOM[Product ID],$D$8,TableBOM[Item ID],$A31)&gt;0)*($H$8&gt;0),$C$8&amp;", ","")&amp;IF((COUNTIFS(TableBOM[Product ID],$D$9,TableBOM[Item ID],$A31)&gt;0)*($H$9&gt;0),$C$9&amp;", ","")&amp;IF((COUNTIFS(TableBOM[Product ID],$D$10,TableBOM[Item ID],$A31)&gt;0)*($H$10&gt;0),$C$10&amp;", ","")&amp;IF((COUNTIFS(TableBOM[Product ID],$D$11,TableBOM[Item ID],$A31)&gt;0)*($H$11&gt;0),$C$11&amp;", ","")&amp;IF((COUNTIFS(TableBOM[Product ID],$D$12,TableBOM[Item ID],$A31)&gt;0)*($H$12&gt;0),$C$12&amp;", ",""))-2),"")</f>
        <v/>
      </c>
      <c r="I31" s="63">
        <f>IF(LEN(IF((COUNTIFS(TableBOM[Product ID],$D$3,TableBOM[Item ID],$A31)&gt;0)*($H$3&gt;0),$E$3&amp;", ","")&amp;IF((COUNTIFS(TableBOM[Product ID],$D$4,TableBOM[Item ID],$A31)&gt;0)*($H$4&gt;0),$E$4&amp;", ","")&amp;IF((COUNTIFS(TableBOM[Product ID],$D$5,TableBOM[Item ID],$A31)&gt;0)*($H$5&gt;0),$E$5&amp;", ","")&amp;IF((COUNTIFS(TableBOM[Product ID],$D$6,TableBOM[Item ID],$A31)&gt;0)*($H$6&gt;0),$E$6&amp;", ","")&amp;IF((COUNTIFS(TableBOM[Product ID],$D$7,TableBOM[Item ID],$A31)&gt;0)*($H$7&gt;0),$E$7&amp;", ","")&amp;IF((COUNTIFS(TableBOM[Product ID],$D$8,TableBOM[Item ID],$A31)&gt;0)*($H$8&gt;0),$E$8&amp;", ","")&amp;IF((COUNTIFS(TableBOM[Product ID],$D$9,TableBOM[Item ID],$A31)&gt;0)*($H$9&gt;0),$E$9&amp;", ","")&amp;IF((COUNTIFS(TableBOM[Product ID],$D$10,TableBOM[Item ID],$A31)&gt;0)*($H$10&gt;0),$E$10&amp;", ","")&amp;IF((COUNTIFS(TableBOM[Product ID],$D$11,TableBOM[Item ID],$A31)&gt;0)*($H$11&gt;0),$E$11&amp;", ","")&amp;IF((COUNTIFS(TableBOM[Product ID],$D$12,TableBOM[Item ID],$A31)&gt;0)*($H$12&gt;0),$E$12&amp;", ",""))&gt;1,LEFT(IF((COUNTIFS(TableBOM[Product ID],$D$3,TableBOM[Item ID],$A31)&gt;0)*($H$3&gt;0),$E$3&amp;", ","")&amp;IF((COUNTIFS(TableBOM[Product ID],$D$4,TableBOM[Item ID],$A31)&gt;0)*($H$4&gt;0),$E$4&amp;", ","")&amp;IF((COUNTIFS(TableBOM[Product ID],$D$5,TableBOM[Item ID],$A31)&gt;0)*($H$5&gt;0),$E$5&amp;", ","")&amp;IF((COUNTIFS(TableBOM[Product ID],$D$6,TableBOM[Item ID],$A31)&gt;0)*($H$6&gt;0),$E$6&amp;", ","")&amp;IF((COUNTIFS(TableBOM[Product ID],$D$7,TableBOM[Item ID],$A31)&gt;0)*($H$7&gt;0),$E$7&amp;", ","")&amp;IF((COUNTIFS(TableBOM[Product ID],$D$8,TableBOM[Item ID],$A31)&gt;0)*($H$8&gt;0),$E$8&amp;", ","")&amp;IF((COUNTIFS(TableBOM[Product ID],$D$9,TableBOM[Item ID],$A31)&gt;0)*($H$9&gt;0),$E$9&amp;", ","")&amp;IF((COUNTIFS(TableBOM[Product ID],$D$10,TableBOM[Item ID],$A31)&gt;0)*($H$10&gt;0),$E$10&amp;", ","")&amp;IF((COUNTIFS(TableBOM[Product ID],$D$11,TableBOM[Item ID],$A31)&gt;0)*($H$11&gt;0),$E$11&amp;", ","")&amp;IF((COUNTIFS(TableBOM[Product ID],$D$12,TableBOM[Item ID],$A31)&gt;0)*($H$12&gt;0),$E$12&amp;", ",""),LEN(IF((COUNTIFS(TableBOM[Product ID],$D$3,TableBOM[Item ID],$A31)&gt;0)*($H$3&gt;0),$E$3&amp;", ","")&amp;IF((COUNTIFS(TableBOM[Product ID],$D$4,TableBOM[Item ID],$A31)&gt;0)*($H$4&gt;0),$E$4&amp;", ","")&amp;IF((COUNTIFS(TableBOM[Product ID],$D$5,TableBOM[Item ID],$A31)&gt;0)*($H$5&gt;0),$E$5&amp;", ","")&amp;IF((COUNTIFS(TableBOM[Product ID],$D$6,TableBOM[Item ID],$A31)&gt;0)*($H$6&gt;0),$E$6&amp;", ","")&amp;IF((COUNTIFS(TableBOM[Product ID],$D$7,TableBOM[Item ID],$A31)&gt;0)*($H$7&gt;0),$E$7&amp;", ","")&amp;IF((COUNTIFS(TableBOM[Product ID],$D$8,TableBOM[Item ID],$A31)&gt;0)*($H$8&gt;0),$E$8&amp;", ","")&amp;IF((COUNTIFS(TableBOM[Product ID],$D$9,TableBOM[Item ID],$A31)&gt;0)*($H$9&gt;0),$E$9&amp;", ","")&amp;IF((COUNTIFS(TableBOM[Product ID],$D$10,TableBOM[Item ID],$A31)&gt;0)*($H$10&gt;0),$E$10&amp;", ","")&amp;IF((COUNTIFS(TableBOM[Product ID],$D$11,TableBOM[Item ID],$A31)&gt;0)*($H$11&gt;0),$E$11&amp;", ","")&amp;IF((COUNTIFS(TableBOM[Product ID],$D$12,TableBOM[Item ID],$A31)&gt;0)*($H$12&gt;0),$E$12&amp;", ",""))-2),"")</f>
        <v/>
      </c>
      <c r="J31" s="64">
        <f>IF(E31=0,"Not needed",IF(G31&lt;0,"SHORTAGE",IF(G31&lt;F31*0.1,"LOW","OK")))</f>
        <v/>
      </c>
      <c r="K31" s="64">
        <f>IF(B31&lt;&gt;"CAP","",SUMPRODUCT((ISNUMBER(SEARCH("Cap Not Available",'FG Stock'!$H$4:$H$100)))*('FG Stock'!$I$4:$I$100=A31)*'FG Stock'!$F$4:$F$100))</f>
        <v/>
      </c>
      <c r="L31" s="64">
        <f>IF(E31=0,"",MAX(0,E31+IFERROR(K31*1,0)-F31))</f>
        <v/>
      </c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" t="n"/>
    </row>
    <row r="32" hidden="1" ht="15" customHeight="1" s="249">
      <c r="A32" s="55" t="n">
        <v>188</v>
      </c>
      <c r="B32" s="55" t="inlineStr">
        <is>
          <t>LACQUER</t>
        </is>
      </c>
      <c r="C32" s="55" t="inlineStr">
        <is>
          <t>LACQUER RHENANIA (ACTEGA COLL 299)</t>
        </is>
      </c>
      <c r="D32" s="55" t="inlineStr">
        <is>
          <t>kg</t>
        </is>
      </c>
      <c r="E32" s="61">
        <f>SUMPRODUCT((TableBOM[Item ID]=A32)*TableBOM[Per 1000 Units]*(1+TableBOM[Scrap %])*SUMIF($D$3:$D$12,TableBOM[Product ID],$H$3:$H$12)/1000)</f>
        <v/>
      </c>
      <c r="F32" s="61">
        <f>IFERROR(INDEX(TableInventory[Store Balance],MATCH(A32,TableInventory[Item ID],0)),0)+IFERROR(INDEX(TableInventory[Work In Process],MATCH(A32,TableInventory[Item ID],0)),0)</f>
        <v/>
      </c>
      <c r="G32" s="61">
        <f>F32-E32</f>
        <v/>
      </c>
      <c r="H32" s="62">
        <f>IF(LEN(IF((COUNTIFS(TableBOM[Product ID],$D$3,TableBOM[Item ID],$A32)&gt;0)*($H$3&gt;0),$C$3&amp;", ","")&amp;IF((COUNTIFS(TableBOM[Product ID],$D$4,TableBOM[Item ID],$A32)&gt;0)*($H$4&gt;0),$C$4&amp;", ","")&amp;IF((COUNTIFS(TableBOM[Product ID],$D$5,TableBOM[Item ID],$A32)&gt;0)*($H$5&gt;0),$C$5&amp;", ","")&amp;IF((COUNTIFS(TableBOM[Product ID],$D$6,TableBOM[Item ID],$A32)&gt;0)*($H$6&gt;0),$C$6&amp;", ","")&amp;IF((COUNTIFS(TableBOM[Product ID],$D$7,TableBOM[Item ID],$A32)&gt;0)*($H$7&gt;0),$C$7&amp;", ","")&amp;IF((COUNTIFS(TableBOM[Product ID],$D$8,TableBOM[Item ID],$A32)&gt;0)*($H$8&gt;0),$C$8&amp;", ","")&amp;IF((COUNTIFS(TableBOM[Product ID],$D$9,TableBOM[Item ID],$A32)&gt;0)*($H$9&gt;0),$C$9&amp;", ","")&amp;IF((COUNTIFS(TableBOM[Product ID],$D$10,TableBOM[Item ID],$A32)&gt;0)*($H$10&gt;0),$C$10&amp;", ","")&amp;IF((COUNTIFS(TableBOM[Product ID],$D$11,TableBOM[Item ID],$A32)&gt;0)*($H$11&gt;0),$C$11&amp;", ","")&amp;IF((COUNTIFS(TableBOM[Product ID],$D$12,TableBOM[Item ID],$A32)&gt;0)*($H$12&gt;0),$C$12&amp;", ",""))&gt;1,LEFT(IF((COUNTIFS(TableBOM[Product ID],$D$3,TableBOM[Item ID],$A32)&gt;0)*($H$3&gt;0),$C$3&amp;", ","")&amp;IF((COUNTIFS(TableBOM[Product ID],$D$4,TableBOM[Item ID],$A32)&gt;0)*($H$4&gt;0),$C$4&amp;", ","")&amp;IF((COUNTIFS(TableBOM[Product ID],$D$5,TableBOM[Item ID],$A32)&gt;0)*($H$5&gt;0),$C$5&amp;", ","")&amp;IF((COUNTIFS(TableBOM[Product ID],$D$6,TableBOM[Item ID],$A32)&gt;0)*($H$6&gt;0),$C$6&amp;", ","")&amp;IF((COUNTIFS(TableBOM[Product ID],$D$7,TableBOM[Item ID],$A32)&gt;0)*($H$7&gt;0),$C$7&amp;", ","")&amp;IF((COUNTIFS(TableBOM[Product ID],$D$8,TableBOM[Item ID],$A32)&gt;0)*($H$8&gt;0),$C$8&amp;", ","")&amp;IF((COUNTIFS(TableBOM[Product ID],$D$9,TableBOM[Item ID],$A32)&gt;0)*($H$9&gt;0),$C$9&amp;", ","")&amp;IF((COUNTIFS(TableBOM[Product ID],$D$10,TableBOM[Item ID],$A32)&gt;0)*($H$10&gt;0),$C$10&amp;", ","")&amp;IF((COUNTIFS(TableBOM[Product ID],$D$11,TableBOM[Item ID],$A32)&gt;0)*($H$11&gt;0),$C$11&amp;", ","")&amp;IF((COUNTIFS(TableBOM[Product ID],$D$12,TableBOM[Item ID],$A32)&gt;0)*($H$12&gt;0),$C$12&amp;", ",""),LEN(IF((COUNTIFS(TableBOM[Product ID],$D$3,TableBOM[Item ID],$A32)&gt;0)*($H$3&gt;0),$C$3&amp;", ","")&amp;IF((COUNTIFS(TableBOM[Product ID],$D$4,TableBOM[Item ID],$A32)&gt;0)*($H$4&gt;0),$C$4&amp;", ","")&amp;IF((COUNTIFS(TableBOM[Product ID],$D$5,TableBOM[Item ID],$A32)&gt;0)*($H$5&gt;0),$C$5&amp;", ","")&amp;IF((COUNTIFS(TableBOM[Product ID],$D$6,TableBOM[Item ID],$A32)&gt;0)*($H$6&gt;0),$C$6&amp;", ","")&amp;IF((COUNTIFS(TableBOM[Product ID],$D$7,TableBOM[Item ID],$A32)&gt;0)*($H$7&gt;0),$C$7&amp;", ","")&amp;IF((COUNTIFS(TableBOM[Product ID],$D$8,TableBOM[Item ID],$A32)&gt;0)*($H$8&gt;0),$C$8&amp;", ","")&amp;IF((COUNTIFS(TableBOM[Product ID],$D$9,TableBOM[Item ID],$A32)&gt;0)*($H$9&gt;0),$C$9&amp;", ","")&amp;IF((COUNTIFS(TableBOM[Product ID],$D$10,TableBOM[Item ID],$A32)&gt;0)*($H$10&gt;0),$C$10&amp;", ","")&amp;IF((COUNTIFS(TableBOM[Product ID],$D$11,TableBOM[Item ID],$A32)&gt;0)*($H$11&gt;0),$C$11&amp;", ","")&amp;IF((COUNTIFS(TableBOM[Product ID],$D$12,TableBOM[Item ID],$A32)&gt;0)*($H$12&gt;0),$C$12&amp;", ",""))-2),"")</f>
        <v/>
      </c>
      <c r="I32" s="63">
        <f>IF(LEN(IF((COUNTIFS(TableBOM[Product ID],$D$3,TableBOM[Item ID],$A32)&gt;0)*($H$3&gt;0),$E$3&amp;", ","")&amp;IF((COUNTIFS(TableBOM[Product ID],$D$4,TableBOM[Item ID],$A32)&gt;0)*($H$4&gt;0),$E$4&amp;", ","")&amp;IF((COUNTIFS(TableBOM[Product ID],$D$5,TableBOM[Item ID],$A32)&gt;0)*($H$5&gt;0),$E$5&amp;", ","")&amp;IF((COUNTIFS(TableBOM[Product ID],$D$6,TableBOM[Item ID],$A32)&gt;0)*($H$6&gt;0),$E$6&amp;", ","")&amp;IF((COUNTIFS(TableBOM[Product ID],$D$7,TableBOM[Item ID],$A32)&gt;0)*($H$7&gt;0),$E$7&amp;", ","")&amp;IF((COUNTIFS(TableBOM[Product ID],$D$8,TableBOM[Item ID],$A32)&gt;0)*($H$8&gt;0),$E$8&amp;", ","")&amp;IF((COUNTIFS(TableBOM[Product ID],$D$9,TableBOM[Item ID],$A32)&gt;0)*($H$9&gt;0),$E$9&amp;", ","")&amp;IF((COUNTIFS(TableBOM[Product ID],$D$10,TableBOM[Item ID],$A32)&gt;0)*($H$10&gt;0),$E$10&amp;", ","")&amp;IF((COUNTIFS(TableBOM[Product ID],$D$11,TableBOM[Item ID],$A32)&gt;0)*($H$11&gt;0),$E$11&amp;", ","")&amp;IF((COUNTIFS(TableBOM[Product ID],$D$12,TableBOM[Item ID],$A32)&gt;0)*($H$12&gt;0),$E$12&amp;", ",""))&gt;1,LEFT(IF((COUNTIFS(TableBOM[Product ID],$D$3,TableBOM[Item ID],$A32)&gt;0)*($H$3&gt;0),$E$3&amp;", ","")&amp;IF((COUNTIFS(TableBOM[Product ID],$D$4,TableBOM[Item ID],$A32)&gt;0)*($H$4&gt;0),$E$4&amp;", ","")&amp;IF((COUNTIFS(TableBOM[Product ID],$D$5,TableBOM[Item ID],$A32)&gt;0)*($H$5&gt;0),$E$5&amp;", ","")&amp;IF((COUNTIFS(TableBOM[Product ID],$D$6,TableBOM[Item ID],$A32)&gt;0)*($H$6&gt;0),$E$6&amp;", ","")&amp;IF((COUNTIFS(TableBOM[Product ID],$D$7,TableBOM[Item ID],$A32)&gt;0)*($H$7&gt;0),$E$7&amp;", ","")&amp;IF((COUNTIFS(TableBOM[Product ID],$D$8,TableBOM[Item ID],$A32)&gt;0)*($H$8&gt;0),$E$8&amp;", ","")&amp;IF((COUNTIFS(TableBOM[Product ID],$D$9,TableBOM[Item ID],$A32)&gt;0)*($H$9&gt;0),$E$9&amp;", ","")&amp;IF((COUNTIFS(TableBOM[Product ID],$D$10,TableBOM[Item ID],$A32)&gt;0)*($H$10&gt;0),$E$10&amp;", ","")&amp;IF((COUNTIFS(TableBOM[Product ID],$D$11,TableBOM[Item ID],$A32)&gt;0)*($H$11&gt;0),$E$11&amp;", ","")&amp;IF((COUNTIFS(TableBOM[Product ID],$D$12,TableBOM[Item ID],$A32)&gt;0)*($H$12&gt;0),$E$12&amp;", ",""),LEN(IF((COUNTIFS(TableBOM[Product ID],$D$3,TableBOM[Item ID],$A32)&gt;0)*($H$3&gt;0),$E$3&amp;", ","")&amp;IF((COUNTIFS(TableBOM[Product ID],$D$4,TableBOM[Item ID],$A32)&gt;0)*($H$4&gt;0),$E$4&amp;", ","")&amp;IF((COUNTIFS(TableBOM[Product ID],$D$5,TableBOM[Item ID],$A32)&gt;0)*($H$5&gt;0),$E$5&amp;", ","")&amp;IF((COUNTIFS(TableBOM[Product ID],$D$6,TableBOM[Item ID],$A32)&gt;0)*($H$6&gt;0),$E$6&amp;", ","")&amp;IF((COUNTIFS(TableBOM[Product ID],$D$7,TableBOM[Item ID],$A32)&gt;0)*($H$7&gt;0),$E$7&amp;", ","")&amp;IF((COUNTIFS(TableBOM[Product ID],$D$8,TableBOM[Item ID],$A32)&gt;0)*($H$8&gt;0),$E$8&amp;", ","")&amp;IF((COUNTIFS(TableBOM[Product ID],$D$9,TableBOM[Item ID],$A32)&gt;0)*($H$9&gt;0),$E$9&amp;", ","")&amp;IF((COUNTIFS(TableBOM[Product ID],$D$10,TableBOM[Item ID],$A32)&gt;0)*($H$10&gt;0),$E$10&amp;", ","")&amp;IF((COUNTIFS(TableBOM[Product ID],$D$11,TableBOM[Item ID],$A32)&gt;0)*($H$11&gt;0),$E$11&amp;", ","")&amp;IF((COUNTIFS(TableBOM[Product ID],$D$12,TableBOM[Item ID],$A32)&gt;0)*($H$12&gt;0),$E$12&amp;", ",""))-2),"")</f>
        <v/>
      </c>
      <c r="J32" s="64">
        <f>IF(E32=0,"Not needed",IF(G32&lt;0,"SHORTAGE",IF(G32&lt;F32*0.1,"LOW","OK")))</f>
        <v/>
      </c>
      <c r="K32" s="64">
        <f>IF(B32&lt;&gt;"CAP","",SUMPRODUCT((ISNUMBER(SEARCH("Cap Not Available",'FG Stock'!$H$4:$H$100)))*('FG Stock'!$I$4:$I$100=A32)*'FG Stock'!$F$4:$F$100))</f>
        <v/>
      </c>
      <c r="L32" s="64">
        <f>IF(E32=0,"",MAX(0,E32+IFERROR(K32*1,0)-F32))</f>
        <v/>
      </c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" t="n"/>
    </row>
    <row r="33" hidden="1" ht="15" customHeight="1" s="249">
      <c r="A33" s="55" t="n">
        <v>1065</v>
      </c>
      <c r="B33" s="55" t="inlineStr">
        <is>
          <t>LACQUER</t>
        </is>
      </c>
      <c r="C33" s="55" t="inlineStr">
        <is>
          <t>PIGMENTED LACQUER 57300</t>
        </is>
      </c>
      <c r="D33" s="55" t="inlineStr">
        <is>
          <t>kg</t>
        </is>
      </c>
      <c r="E33" s="61">
        <f>SUMPRODUCT((TableBOM[Item ID]=A33)*TableBOM[Per 1000 Units]*(1+TableBOM[Scrap %])*SUMIF($D$3:$D$12,TableBOM[Product ID],$H$3:$H$12)/1000)</f>
        <v/>
      </c>
      <c r="F33" s="61">
        <f>IFERROR(INDEX(TableInventory[Store Balance],MATCH(A33,TableInventory[Item ID],0)),0)+IFERROR(INDEX(TableInventory[Work In Process],MATCH(A33,TableInventory[Item ID],0)),0)</f>
        <v/>
      </c>
      <c r="G33" s="61">
        <f>F33-E33</f>
        <v/>
      </c>
      <c r="H33" s="62">
        <f>IF(LEN(IF((COUNTIFS(TableBOM[Product ID],$D$3,TableBOM[Item ID],$A33)&gt;0)*($H$3&gt;0),$C$3&amp;", ","")&amp;IF((COUNTIFS(TableBOM[Product ID],$D$4,TableBOM[Item ID],$A33)&gt;0)*($H$4&gt;0),$C$4&amp;", ","")&amp;IF((COUNTIFS(TableBOM[Product ID],$D$5,TableBOM[Item ID],$A33)&gt;0)*($H$5&gt;0),$C$5&amp;", ","")&amp;IF((COUNTIFS(TableBOM[Product ID],$D$6,TableBOM[Item ID],$A33)&gt;0)*($H$6&gt;0),$C$6&amp;", ","")&amp;IF((COUNTIFS(TableBOM[Product ID],$D$7,TableBOM[Item ID],$A33)&gt;0)*($H$7&gt;0),$C$7&amp;", ","")&amp;IF((COUNTIFS(TableBOM[Product ID],$D$8,TableBOM[Item ID],$A33)&gt;0)*($H$8&gt;0),$C$8&amp;", ","")&amp;IF((COUNTIFS(TableBOM[Product ID],$D$9,TableBOM[Item ID],$A33)&gt;0)*($H$9&gt;0),$C$9&amp;", ","")&amp;IF((COUNTIFS(TableBOM[Product ID],$D$10,TableBOM[Item ID],$A33)&gt;0)*($H$10&gt;0),$C$10&amp;", ","")&amp;IF((COUNTIFS(TableBOM[Product ID],$D$11,TableBOM[Item ID],$A33)&gt;0)*($H$11&gt;0),$C$11&amp;", ","")&amp;IF((COUNTIFS(TableBOM[Product ID],$D$12,TableBOM[Item ID],$A33)&gt;0)*($H$12&gt;0),$C$12&amp;", ",""))&gt;1,LEFT(IF((COUNTIFS(TableBOM[Product ID],$D$3,TableBOM[Item ID],$A33)&gt;0)*($H$3&gt;0),$C$3&amp;", ","")&amp;IF((COUNTIFS(TableBOM[Product ID],$D$4,TableBOM[Item ID],$A33)&gt;0)*($H$4&gt;0),$C$4&amp;", ","")&amp;IF((COUNTIFS(TableBOM[Product ID],$D$5,TableBOM[Item ID],$A33)&gt;0)*($H$5&gt;0),$C$5&amp;", ","")&amp;IF((COUNTIFS(TableBOM[Product ID],$D$6,TableBOM[Item ID],$A33)&gt;0)*($H$6&gt;0),$C$6&amp;", ","")&amp;IF((COUNTIFS(TableBOM[Product ID],$D$7,TableBOM[Item ID],$A33)&gt;0)*($H$7&gt;0),$C$7&amp;", ","")&amp;IF((COUNTIFS(TableBOM[Product ID],$D$8,TableBOM[Item ID],$A33)&gt;0)*($H$8&gt;0),$C$8&amp;", ","")&amp;IF((COUNTIFS(TableBOM[Product ID],$D$9,TableBOM[Item ID],$A33)&gt;0)*($H$9&gt;0),$C$9&amp;", ","")&amp;IF((COUNTIFS(TableBOM[Product ID],$D$10,TableBOM[Item ID],$A33)&gt;0)*($H$10&gt;0),$C$10&amp;", ","")&amp;IF((COUNTIFS(TableBOM[Product ID],$D$11,TableBOM[Item ID],$A33)&gt;0)*($H$11&gt;0),$C$11&amp;", ","")&amp;IF((COUNTIFS(TableBOM[Product ID],$D$12,TableBOM[Item ID],$A33)&gt;0)*($H$12&gt;0),$C$12&amp;", ",""),LEN(IF((COUNTIFS(TableBOM[Product ID],$D$3,TableBOM[Item ID],$A33)&gt;0)*($H$3&gt;0),$C$3&amp;", ","")&amp;IF((COUNTIFS(TableBOM[Product ID],$D$4,TableBOM[Item ID],$A33)&gt;0)*($H$4&gt;0),$C$4&amp;", ","")&amp;IF((COUNTIFS(TableBOM[Product ID],$D$5,TableBOM[Item ID],$A33)&gt;0)*($H$5&gt;0),$C$5&amp;", ","")&amp;IF((COUNTIFS(TableBOM[Product ID],$D$6,TableBOM[Item ID],$A33)&gt;0)*($H$6&gt;0),$C$6&amp;", ","")&amp;IF((COUNTIFS(TableBOM[Product ID],$D$7,TableBOM[Item ID],$A33)&gt;0)*($H$7&gt;0),$C$7&amp;", ","")&amp;IF((COUNTIFS(TableBOM[Product ID],$D$8,TableBOM[Item ID],$A33)&gt;0)*($H$8&gt;0),$C$8&amp;", ","")&amp;IF((COUNTIFS(TableBOM[Product ID],$D$9,TableBOM[Item ID],$A33)&gt;0)*($H$9&gt;0),$C$9&amp;", ","")&amp;IF((COUNTIFS(TableBOM[Product ID],$D$10,TableBOM[Item ID],$A33)&gt;0)*($H$10&gt;0),$C$10&amp;", ","")&amp;IF((COUNTIFS(TableBOM[Product ID],$D$11,TableBOM[Item ID],$A33)&gt;0)*($H$11&gt;0),$C$11&amp;", ","")&amp;IF((COUNTIFS(TableBOM[Product ID],$D$12,TableBOM[Item ID],$A33)&gt;0)*($H$12&gt;0),$C$12&amp;", ",""))-2),"")</f>
        <v/>
      </c>
      <c r="I33" s="63">
        <f>IF(LEN(IF((COUNTIFS(TableBOM[Product ID],$D$3,TableBOM[Item ID],$A33)&gt;0)*($H$3&gt;0),$E$3&amp;", ","")&amp;IF((COUNTIFS(TableBOM[Product ID],$D$4,TableBOM[Item ID],$A33)&gt;0)*($H$4&gt;0),$E$4&amp;", ","")&amp;IF((COUNTIFS(TableBOM[Product ID],$D$5,TableBOM[Item ID],$A33)&gt;0)*($H$5&gt;0),$E$5&amp;", ","")&amp;IF((COUNTIFS(TableBOM[Product ID],$D$6,TableBOM[Item ID],$A33)&gt;0)*($H$6&gt;0),$E$6&amp;", ","")&amp;IF((COUNTIFS(TableBOM[Product ID],$D$7,TableBOM[Item ID],$A33)&gt;0)*($H$7&gt;0),$E$7&amp;", ","")&amp;IF((COUNTIFS(TableBOM[Product ID],$D$8,TableBOM[Item ID],$A33)&gt;0)*($H$8&gt;0),$E$8&amp;", ","")&amp;IF((COUNTIFS(TableBOM[Product ID],$D$9,TableBOM[Item ID],$A33)&gt;0)*($H$9&gt;0),$E$9&amp;", ","")&amp;IF((COUNTIFS(TableBOM[Product ID],$D$10,TableBOM[Item ID],$A33)&gt;0)*($H$10&gt;0),$E$10&amp;", ","")&amp;IF((COUNTIFS(TableBOM[Product ID],$D$11,TableBOM[Item ID],$A33)&gt;0)*($H$11&gt;0),$E$11&amp;", ","")&amp;IF((COUNTIFS(TableBOM[Product ID],$D$12,TableBOM[Item ID],$A33)&gt;0)*($H$12&gt;0),$E$12&amp;", ",""))&gt;1,LEFT(IF((COUNTIFS(TableBOM[Product ID],$D$3,TableBOM[Item ID],$A33)&gt;0)*($H$3&gt;0),$E$3&amp;", ","")&amp;IF((COUNTIFS(TableBOM[Product ID],$D$4,TableBOM[Item ID],$A33)&gt;0)*($H$4&gt;0),$E$4&amp;", ","")&amp;IF((COUNTIFS(TableBOM[Product ID],$D$5,TableBOM[Item ID],$A33)&gt;0)*($H$5&gt;0),$E$5&amp;", ","")&amp;IF((COUNTIFS(TableBOM[Product ID],$D$6,TableBOM[Item ID],$A33)&gt;0)*($H$6&gt;0),$E$6&amp;", ","")&amp;IF((COUNTIFS(TableBOM[Product ID],$D$7,TableBOM[Item ID],$A33)&gt;0)*($H$7&gt;0),$E$7&amp;", ","")&amp;IF((COUNTIFS(TableBOM[Product ID],$D$8,TableBOM[Item ID],$A33)&gt;0)*($H$8&gt;0),$E$8&amp;", ","")&amp;IF((COUNTIFS(TableBOM[Product ID],$D$9,TableBOM[Item ID],$A33)&gt;0)*($H$9&gt;0),$E$9&amp;", ","")&amp;IF((COUNTIFS(TableBOM[Product ID],$D$10,TableBOM[Item ID],$A33)&gt;0)*($H$10&gt;0),$E$10&amp;", ","")&amp;IF((COUNTIFS(TableBOM[Product ID],$D$11,TableBOM[Item ID],$A33)&gt;0)*($H$11&gt;0),$E$11&amp;", ","")&amp;IF((COUNTIFS(TableBOM[Product ID],$D$12,TableBOM[Item ID],$A33)&gt;0)*($H$12&gt;0),$E$12&amp;", ",""),LEN(IF((COUNTIFS(TableBOM[Product ID],$D$3,TableBOM[Item ID],$A33)&gt;0)*($H$3&gt;0),$E$3&amp;", ","")&amp;IF((COUNTIFS(TableBOM[Product ID],$D$4,TableBOM[Item ID],$A33)&gt;0)*($H$4&gt;0),$E$4&amp;", ","")&amp;IF((COUNTIFS(TableBOM[Product ID],$D$5,TableBOM[Item ID],$A33)&gt;0)*($H$5&gt;0),$E$5&amp;", ","")&amp;IF((COUNTIFS(TableBOM[Product ID],$D$6,TableBOM[Item ID],$A33)&gt;0)*($H$6&gt;0),$E$6&amp;", ","")&amp;IF((COUNTIFS(TableBOM[Product ID],$D$7,TableBOM[Item ID],$A33)&gt;0)*($H$7&gt;0),$E$7&amp;", ","")&amp;IF((COUNTIFS(TableBOM[Product ID],$D$8,TableBOM[Item ID],$A33)&gt;0)*($H$8&gt;0),$E$8&amp;", ","")&amp;IF((COUNTIFS(TableBOM[Product ID],$D$9,TableBOM[Item ID],$A33)&gt;0)*($H$9&gt;0),$E$9&amp;", ","")&amp;IF((COUNTIFS(TableBOM[Product ID],$D$10,TableBOM[Item ID],$A33)&gt;0)*($H$10&gt;0),$E$10&amp;", ","")&amp;IF((COUNTIFS(TableBOM[Product ID],$D$11,TableBOM[Item ID],$A33)&gt;0)*($H$11&gt;0),$E$11&amp;", ","")&amp;IF((COUNTIFS(TableBOM[Product ID],$D$12,TableBOM[Item ID],$A33)&gt;0)*($H$12&gt;0),$E$12&amp;", ",""))-2),"")</f>
        <v/>
      </c>
      <c r="J33" s="64">
        <f>IF(E33=0,"Not needed",IF(G33&lt;0,"SHORTAGE",IF(G33&lt;F33*0.1,"LOW","OK")))</f>
        <v/>
      </c>
      <c r="K33" s="64">
        <f>IF(B33&lt;&gt;"CAP","",SUMPRODUCT((ISNUMBER(SEARCH("Cap Not Available",'FG Stock'!$H$4:$H$100)))*('FG Stock'!$I$4:$I$100=A33)*'FG Stock'!$F$4:$F$100))</f>
        <v/>
      </c>
      <c r="L33" s="64">
        <f>IF(E33=0,"",MAX(0,E33+IFERROR(K33*1,0)-F33))</f>
        <v/>
      </c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" t="n"/>
    </row>
    <row r="34" ht="24" customHeight="1" s="249">
      <c r="A34" s="55" t="n">
        <v>4155</v>
      </c>
      <c r="B34" s="55" t="inlineStr">
        <is>
          <t>LACQUER</t>
        </is>
      </c>
      <c r="C34" s="55" t="inlineStr">
        <is>
          <t>E/P LACQUER 4000 A/R</t>
        </is>
      </c>
      <c r="D34" s="55" t="inlineStr">
        <is>
          <t>kg</t>
        </is>
      </c>
      <c r="E34" s="61">
        <f>SUMPRODUCT((TableBOM[Item ID]=A34)*TableBOM[Per 1000 Units]*(1+TableBOM[Scrap %])*SUMIF($D$3:$D$12,TableBOM[Product ID],$H$3:$H$12)/1000)</f>
        <v/>
      </c>
      <c r="F34" s="61">
        <f>IFERROR(INDEX(TableInventory[Store Balance],MATCH(A34,TableInventory[Item ID],0)),0)+IFERROR(INDEX(TableInventory[Work In Process],MATCH(A34,TableInventory[Item ID],0)),0)</f>
        <v/>
      </c>
      <c r="G34" s="65">
        <f>F34-E34</f>
        <v/>
      </c>
      <c r="H34" s="62">
        <f>IF(LEN(IF((COUNTIFS(TableBOM[Product ID],$D$3,TableBOM[Item ID],$A34)&gt;0)*($H$3&gt;0),$C$3&amp;", ","")&amp;IF((COUNTIFS(TableBOM[Product ID],$D$4,TableBOM[Item ID],$A34)&gt;0)*($H$4&gt;0),$C$4&amp;", ","")&amp;IF((COUNTIFS(TableBOM[Product ID],$D$5,TableBOM[Item ID],$A34)&gt;0)*($H$5&gt;0),$C$5&amp;", ","")&amp;IF((COUNTIFS(TableBOM[Product ID],$D$6,TableBOM[Item ID],$A34)&gt;0)*($H$6&gt;0),$C$6&amp;", ","")&amp;IF((COUNTIFS(TableBOM[Product ID],$D$7,TableBOM[Item ID],$A34)&gt;0)*($H$7&gt;0),$C$7&amp;", ","")&amp;IF((COUNTIFS(TableBOM[Product ID],$D$8,TableBOM[Item ID],$A34)&gt;0)*($H$8&gt;0),$C$8&amp;", ","")&amp;IF((COUNTIFS(TableBOM[Product ID],$D$9,TableBOM[Item ID],$A34)&gt;0)*($H$9&gt;0),$C$9&amp;", ","")&amp;IF((COUNTIFS(TableBOM[Product ID],$D$10,TableBOM[Item ID],$A34)&gt;0)*($H$10&gt;0),$C$10&amp;", ","")&amp;IF((COUNTIFS(TableBOM[Product ID],$D$11,TableBOM[Item ID],$A34)&gt;0)*($H$11&gt;0),$C$11&amp;", ","")&amp;IF((COUNTIFS(TableBOM[Product ID],$D$12,TableBOM[Item ID],$A34)&gt;0)*($H$12&gt;0),$C$12&amp;", ",""))&gt;1,LEFT(IF((COUNTIFS(TableBOM[Product ID],$D$3,TableBOM[Item ID],$A34)&gt;0)*($H$3&gt;0),$C$3&amp;", ","")&amp;IF((COUNTIFS(TableBOM[Product ID],$D$4,TableBOM[Item ID],$A34)&gt;0)*($H$4&gt;0),$C$4&amp;", ","")&amp;IF((COUNTIFS(TableBOM[Product ID],$D$5,TableBOM[Item ID],$A34)&gt;0)*($H$5&gt;0),$C$5&amp;", ","")&amp;IF((COUNTIFS(TableBOM[Product ID],$D$6,TableBOM[Item ID],$A34)&gt;0)*($H$6&gt;0),$C$6&amp;", ","")&amp;IF((COUNTIFS(TableBOM[Product ID],$D$7,TableBOM[Item ID],$A34)&gt;0)*($H$7&gt;0),$C$7&amp;", ","")&amp;IF((COUNTIFS(TableBOM[Product ID],$D$8,TableBOM[Item ID],$A34)&gt;0)*($H$8&gt;0),$C$8&amp;", ","")&amp;IF((COUNTIFS(TableBOM[Product ID],$D$9,TableBOM[Item ID],$A34)&gt;0)*($H$9&gt;0),$C$9&amp;", ","")&amp;IF((COUNTIFS(TableBOM[Product ID],$D$10,TableBOM[Item ID],$A34)&gt;0)*($H$10&gt;0),$C$10&amp;", ","")&amp;IF((COUNTIFS(TableBOM[Product ID],$D$11,TableBOM[Item ID],$A34)&gt;0)*($H$11&gt;0),$C$11&amp;", ","")&amp;IF((COUNTIFS(TableBOM[Product ID],$D$12,TableBOM[Item ID],$A34)&gt;0)*($H$12&gt;0),$C$12&amp;", ",""),LEN(IF((COUNTIFS(TableBOM[Product ID],$D$3,TableBOM[Item ID],$A34)&gt;0)*($H$3&gt;0),$C$3&amp;", ","")&amp;IF((COUNTIFS(TableBOM[Product ID],$D$4,TableBOM[Item ID],$A34)&gt;0)*($H$4&gt;0),$C$4&amp;", ","")&amp;IF((COUNTIFS(TableBOM[Product ID],$D$5,TableBOM[Item ID],$A34)&gt;0)*($H$5&gt;0),$C$5&amp;", ","")&amp;IF((COUNTIFS(TableBOM[Product ID],$D$6,TableBOM[Item ID],$A34)&gt;0)*($H$6&gt;0),$C$6&amp;", ","")&amp;IF((COUNTIFS(TableBOM[Product ID],$D$7,TableBOM[Item ID],$A34)&gt;0)*($H$7&gt;0),$C$7&amp;", ","")&amp;IF((COUNTIFS(TableBOM[Product ID],$D$8,TableBOM[Item ID],$A34)&gt;0)*($H$8&gt;0),$C$8&amp;", ","")&amp;IF((COUNTIFS(TableBOM[Product ID],$D$9,TableBOM[Item ID],$A34)&gt;0)*($H$9&gt;0),$C$9&amp;", ","")&amp;IF((COUNTIFS(TableBOM[Product ID],$D$10,TableBOM[Item ID],$A34)&gt;0)*($H$10&gt;0),$C$10&amp;", ","")&amp;IF((COUNTIFS(TableBOM[Product ID],$D$11,TableBOM[Item ID],$A34)&gt;0)*($H$11&gt;0),$C$11&amp;", ","")&amp;IF((COUNTIFS(TableBOM[Product ID],$D$12,TableBOM[Item ID],$A34)&gt;0)*($H$12&gt;0),$C$12&amp;", ",""))-2),"")</f>
        <v/>
      </c>
      <c r="I34" s="63">
        <f>IF(LEN(IF((COUNTIFS(TableBOM[Product ID],$D$3,TableBOM[Item ID],$A34)&gt;0)*($H$3&gt;0),$E$3&amp;", ","")&amp;IF((COUNTIFS(TableBOM[Product ID],$D$4,TableBOM[Item ID],$A34)&gt;0)*($H$4&gt;0),$E$4&amp;", ","")&amp;IF((COUNTIFS(TableBOM[Product ID],$D$5,TableBOM[Item ID],$A34)&gt;0)*($H$5&gt;0),$E$5&amp;", ","")&amp;IF((COUNTIFS(TableBOM[Product ID],$D$6,TableBOM[Item ID],$A34)&gt;0)*($H$6&gt;0),$E$6&amp;", ","")&amp;IF((COUNTIFS(TableBOM[Product ID],$D$7,TableBOM[Item ID],$A34)&gt;0)*($H$7&gt;0),$E$7&amp;", ","")&amp;IF((COUNTIFS(TableBOM[Product ID],$D$8,TableBOM[Item ID],$A34)&gt;0)*($H$8&gt;0),$E$8&amp;", ","")&amp;IF((COUNTIFS(TableBOM[Product ID],$D$9,TableBOM[Item ID],$A34)&gt;0)*($H$9&gt;0),$E$9&amp;", ","")&amp;IF((COUNTIFS(TableBOM[Product ID],$D$10,TableBOM[Item ID],$A34)&gt;0)*($H$10&gt;0),$E$10&amp;", ","")&amp;IF((COUNTIFS(TableBOM[Product ID],$D$11,TableBOM[Item ID],$A34)&gt;0)*($H$11&gt;0),$E$11&amp;", ","")&amp;IF((COUNTIFS(TableBOM[Product ID],$D$12,TableBOM[Item ID],$A34)&gt;0)*($H$12&gt;0),$E$12&amp;", ",""))&gt;1,LEFT(IF((COUNTIFS(TableBOM[Product ID],$D$3,TableBOM[Item ID],$A34)&gt;0)*($H$3&gt;0),$E$3&amp;", ","")&amp;IF((COUNTIFS(TableBOM[Product ID],$D$4,TableBOM[Item ID],$A34)&gt;0)*($H$4&gt;0),$E$4&amp;", ","")&amp;IF((COUNTIFS(TableBOM[Product ID],$D$5,TableBOM[Item ID],$A34)&gt;0)*($H$5&gt;0),$E$5&amp;", ","")&amp;IF((COUNTIFS(TableBOM[Product ID],$D$6,TableBOM[Item ID],$A34)&gt;0)*($H$6&gt;0),$E$6&amp;", ","")&amp;IF((COUNTIFS(TableBOM[Product ID],$D$7,TableBOM[Item ID],$A34)&gt;0)*($H$7&gt;0),$E$7&amp;", ","")&amp;IF((COUNTIFS(TableBOM[Product ID],$D$8,TableBOM[Item ID],$A34)&gt;0)*($H$8&gt;0),$E$8&amp;", ","")&amp;IF((COUNTIFS(TableBOM[Product ID],$D$9,TableBOM[Item ID],$A34)&gt;0)*($H$9&gt;0),$E$9&amp;", ","")&amp;IF((COUNTIFS(TableBOM[Product ID],$D$10,TableBOM[Item ID],$A34)&gt;0)*($H$10&gt;0),$E$10&amp;", ","")&amp;IF((COUNTIFS(TableBOM[Product ID],$D$11,TableBOM[Item ID],$A34)&gt;0)*($H$11&gt;0),$E$11&amp;", ","")&amp;IF((COUNTIFS(TableBOM[Product ID],$D$12,TableBOM[Item ID],$A34)&gt;0)*($H$12&gt;0),$E$12&amp;", ",""),LEN(IF((COUNTIFS(TableBOM[Product ID],$D$3,TableBOM[Item ID],$A34)&gt;0)*($H$3&gt;0),$E$3&amp;", ","")&amp;IF((COUNTIFS(TableBOM[Product ID],$D$4,TableBOM[Item ID],$A34)&gt;0)*($H$4&gt;0),$E$4&amp;", ","")&amp;IF((COUNTIFS(TableBOM[Product ID],$D$5,TableBOM[Item ID],$A34)&gt;0)*($H$5&gt;0),$E$5&amp;", ","")&amp;IF((COUNTIFS(TableBOM[Product ID],$D$6,TableBOM[Item ID],$A34)&gt;0)*($H$6&gt;0),$E$6&amp;", ","")&amp;IF((COUNTIFS(TableBOM[Product ID],$D$7,TableBOM[Item ID],$A34)&gt;0)*($H$7&gt;0),$E$7&amp;", ","")&amp;IF((COUNTIFS(TableBOM[Product ID],$D$8,TableBOM[Item ID],$A34)&gt;0)*($H$8&gt;0),$E$8&amp;", ","")&amp;IF((COUNTIFS(TableBOM[Product ID],$D$9,TableBOM[Item ID],$A34)&gt;0)*($H$9&gt;0),$E$9&amp;", ","")&amp;IF((COUNTIFS(TableBOM[Product ID],$D$10,TableBOM[Item ID],$A34)&gt;0)*($H$10&gt;0),$E$10&amp;", ","")&amp;IF((COUNTIFS(TableBOM[Product ID],$D$11,TableBOM[Item ID],$A34)&gt;0)*($H$11&gt;0),$E$11&amp;", ","")&amp;IF((COUNTIFS(TableBOM[Product ID],$D$12,TableBOM[Item ID],$A34)&gt;0)*($H$12&gt;0),$E$12&amp;", ",""))-2),"")</f>
        <v/>
      </c>
      <c r="J34" s="64">
        <f>IF(E34=0,"Not needed",IF(G34&lt;0,"SHORTAGE",IF(G34&lt;F34*0.1,"LOW","OK")))</f>
        <v/>
      </c>
      <c r="K34" s="64">
        <f>IF(B34&lt;&gt;"CAP","",SUMPRODUCT((ISNUMBER(SEARCH("Cap Not Available",'FG Stock'!$H$4:$H$100)))*('FG Stock'!$I$4:$I$100=A34)*'FG Stock'!$F$4:$F$100))</f>
        <v/>
      </c>
      <c r="L34" s="64">
        <f>IF(E34=0,"",MAX(0,E34+IFERROR(K34*1,0)-F34))</f>
        <v/>
      </c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" t="n"/>
    </row>
    <row r="35" hidden="1" ht="15" customHeight="1" s="249">
      <c r="A35" s="55" t="n">
        <v>170</v>
      </c>
      <c r="B35" s="55" t="inlineStr">
        <is>
          <t>BASE COAT</t>
        </is>
      </c>
      <c r="C35" s="55" t="inlineStr">
        <is>
          <t>WHITE 5711200001</t>
        </is>
      </c>
      <c r="D35" s="55" t="inlineStr">
        <is>
          <t>kg</t>
        </is>
      </c>
      <c r="E35" s="61">
        <f>SUMPRODUCT((TableBOM[Item ID]=A35)*TableBOM[Per 1000 Units]*(1+TableBOM[Scrap %])*SUMIF($D$3:$D$12,TableBOM[Product ID],$H$3:$H$12)/1000)</f>
        <v/>
      </c>
      <c r="F35" s="61">
        <f>IFERROR(INDEX(TableInventory[Store Balance],MATCH(A35,TableInventory[Item ID],0)),0)+IFERROR(INDEX(TableInventory[Work In Process],MATCH(A35,TableInventory[Item ID],0)),0)</f>
        <v/>
      </c>
      <c r="G35" s="61">
        <f>F35-E35</f>
        <v/>
      </c>
      <c r="H35" s="62">
        <f>IF(LEN(IF((COUNTIFS(TableBOM[Product ID],$D$3,TableBOM[Item ID],$A35)&gt;0)*($H$3&gt;0),$C$3&amp;", ","")&amp;IF((COUNTIFS(TableBOM[Product ID],$D$4,TableBOM[Item ID],$A35)&gt;0)*($H$4&gt;0),$C$4&amp;", ","")&amp;IF((COUNTIFS(TableBOM[Product ID],$D$5,TableBOM[Item ID],$A35)&gt;0)*($H$5&gt;0),$C$5&amp;", ","")&amp;IF((COUNTIFS(TableBOM[Product ID],$D$6,TableBOM[Item ID],$A35)&gt;0)*($H$6&gt;0),$C$6&amp;", ","")&amp;IF((COUNTIFS(TableBOM[Product ID],$D$7,TableBOM[Item ID],$A35)&gt;0)*($H$7&gt;0),$C$7&amp;", ","")&amp;IF((COUNTIFS(TableBOM[Product ID],$D$8,TableBOM[Item ID],$A35)&gt;0)*($H$8&gt;0),$C$8&amp;", ","")&amp;IF((COUNTIFS(TableBOM[Product ID],$D$9,TableBOM[Item ID],$A35)&gt;0)*($H$9&gt;0),$C$9&amp;", ","")&amp;IF((COUNTIFS(TableBOM[Product ID],$D$10,TableBOM[Item ID],$A35)&gt;0)*($H$10&gt;0),$C$10&amp;", ","")&amp;IF((COUNTIFS(TableBOM[Product ID],$D$11,TableBOM[Item ID],$A35)&gt;0)*($H$11&gt;0),$C$11&amp;", ","")&amp;IF((COUNTIFS(TableBOM[Product ID],$D$12,TableBOM[Item ID],$A35)&gt;0)*($H$12&gt;0),$C$12&amp;", ",""))&gt;1,LEFT(IF((COUNTIFS(TableBOM[Product ID],$D$3,TableBOM[Item ID],$A35)&gt;0)*($H$3&gt;0),$C$3&amp;", ","")&amp;IF((COUNTIFS(TableBOM[Product ID],$D$4,TableBOM[Item ID],$A35)&gt;0)*($H$4&gt;0),$C$4&amp;", ","")&amp;IF((COUNTIFS(TableBOM[Product ID],$D$5,TableBOM[Item ID],$A35)&gt;0)*($H$5&gt;0),$C$5&amp;", ","")&amp;IF((COUNTIFS(TableBOM[Product ID],$D$6,TableBOM[Item ID],$A35)&gt;0)*($H$6&gt;0),$C$6&amp;", ","")&amp;IF((COUNTIFS(TableBOM[Product ID],$D$7,TableBOM[Item ID],$A35)&gt;0)*($H$7&gt;0),$C$7&amp;", ","")&amp;IF((COUNTIFS(TableBOM[Product ID],$D$8,TableBOM[Item ID],$A35)&gt;0)*($H$8&gt;0),$C$8&amp;", ","")&amp;IF((COUNTIFS(TableBOM[Product ID],$D$9,TableBOM[Item ID],$A35)&gt;0)*($H$9&gt;0),$C$9&amp;", ","")&amp;IF((COUNTIFS(TableBOM[Product ID],$D$10,TableBOM[Item ID],$A35)&gt;0)*($H$10&gt;0),$C$10&amp;", ","")&amp;IF((COUNTIFS(TableBOM[Product ID],$D$11,TableBOM[Item ID],$A35)&gt;0)*($H$11&gt;0),$C$11&amp;", ","")&amp;IF((COUNTIFS(TableBOM[Product ID],$D$12,TableBOM[Item ID],$A35)&gt;0)*($H$12&gt;0),$C$12&amp;", ",""),LEN(IF((COUNTIFS(TableBOM[Product ID],$D$3,TableBOM[Item ID],$A35)&gt;0)*($H$3&gt;0),$C$3&amp;", ","")&amp;IF((COUNTIFS(TableBOM[Product ID],$D$4,TableBOM[Item ID],$A35)&gt;0)*($H$4&gt;0),$C$4&amp;", ","")&amp;IF((COUNTIFS(TableBOM[Product ID],$D$5,TableBOM[Item ID],$A35)&gt;0)*($H$5&gt;0),$C$5&amp;", ","")&amp;IF((COUNTIFS(TableBOM[Product ID],$D$6,TableBOM[Item ID],$A35)&gt;0)*($H$6&gt;0),$C$6&amp;", ","")&amp;IF((COUNTIFS(TableBOM[Product ID],$D$7,TableBOM[Item ID],$A35)&gt;0)*($H$7&gt;0),$C$7&amp;", ","")&amp;IF((COUNTIFS(TableBOM[Product ID],$D$8,TableBOM[Item ID],$A35)&gt;0)*($H$8&gt;0),$C$8&amp;", ","")&amp;IF((COUNTIFS(TableBOM[Product ID],$D$9,TableBOM[Item ID],$A35)&gt;0)*($H$9&gt;0),$C$9&amp;", ","")&amp;IF((COUNTIFS(TableBOM[Product ID],$D$10,TableBOM[Item ID],$A35)&gt;0)*($H$10&gt;0),$C$10&amp;", ","")&amp;IF((COUNTIFS(TableBOM[Product ID],$D$11,TableBOM[Item ID],$A35)&gt;0)*($H$11&gt;0),$C$11&amp;", ","")&amp;IF((COUNTIFS(TableBOM[Product ID],$D$12,TableBOM[Item ID],$A35)&gt;0)*($H$12&gt;0),$C$12&amp;", ",""))-2),"")</f>
        <v/>
      </c>
      <c r="I35" s="63">
        <f>IF(LEN(IF((COUNTIFS(TableBOM[Product ID],$D$3,TableBOM[Item ID],$A35)&gt;0)*($H$3&gt;0),$E$3&amp;", ","")&amp;IF((COUNTIFS(TableBOM[Product ID],$D$4,TableBOM[Item ID],$A35)&gt;0)*($H$4&gt;0),$E$4&amp;", ","")&amp;IF((COUNTIFS(TableBOM[Product ID],$D$5,TableBOM[Item ID],$A35)&gt;0)*($H$5&gt;0),$E$5&amp;", ","")&amp;IF((COUNTIFS(TableBOM[Product ID],$D$6,TableBOM[Item ID],$A35)&gt;0)*($H$6&gt;0),$E$6&amp;", ","")&amp;IF((COUNTIFS(TableBOM[Product ID],$D$7,TableBOM[Item ID],$A35)&gt;0)*($H$7&gt;0),$E$7&amp;", ","")&amp;IF((COUNTIFS(TableBOM[Product ID],$D$8,TableBOM[Item ID],$A35)&gt;0)*($H$8&gt;0),$E$8&amp;", ","")&amp;IF((COUNTIFS(TableBOM[Product ID],$D$9,TableBOM[Item ID],$A35)&gt;0)*($H$9&gt;0),$E$9&amp;", ","")&amp;IF((COUNTIFS(TableBOM[Product ID],$D$10,TableBOM[Item ID],$A35)&gt;0)*($H$10&gt;0),$E$10&amp;", ","")&amp;IF((COUNTIFS(TableBOM[Product ID],$D$11,TableBOM[Item ID],$A35)&gt;0)*($H$11&gt;0),$E$11&amp;", ","")&amp;IF((COUNTIFS(TableBOM[Product ID],$D$12,TableBOM[Item ID],$A35)&gt;0)*($H$12&gt;0),$E$12&amp;", ",""))&gt;1,LEFT(IF((COUNTIFS(TableBOM[Product ID],$D$3,TableBOM[Item ID],$A35)&gt;0)*($H$3&gt;0),$E$3&amp;", ","")&amp;IF((COUNTIFS(TableBOM[Product ID],$D$4,TableBOM[Item ID],$A35)&gt;0)*($H$4&gt;0),$E$4&amp;", ","")&amp;IF((COUNTIFS(TableBOM[Product ID],$D$5,TableBOM[Item ID],$A35)&gt;0)*($H$5&gt;0),$E$5&amp;", ","")&amp;IF((COUNTIFS(TableBOM[Product ID],$D$6,TableBOM[Item ID],$A35)&gt;0)*($H$6&gt;0),$E$6&amp;", ","")&amp;IF((COUNTIFS(TableBOM[Product ID],$D$7,TableBOM[Item ID],$A35)&gt;0)*($H$7&gt;0),$E$7&amp;", ","")&amp;IF((COUNTIFS(TableBOM[Product ID],$D$8,TableBOM[Item ID],$A35)&gt;0)*($H$8&gt;0),$E$8&amp;", ","")&amp;IF((COUNTIFS(TableBOM[Product ID],$D$9,TableBOM[Item ID],$A35)&gt;0)*($H$9&gt;0),$E$9&amp;", ","")&amp;IF((COUNTIFS(TableBOM[Product ID],$D$10,TableBOM[Item ID],$A35)&gt;0)*($H$10&gt;0),$E$10&amp;", ","")&amp;IF((COUNTIFS(TableBOM[Product ID],$D$11,TableBOM[Item ID],$A35)&gt;0)*($H$11&gt;0),$E$11&amp;", ","")&amp;IF((COUNTIFS(TableBOM[Product ID],$D$12,TableBOM[Item ID],$A35)&gt;0)*($H$12&gt;0),$E$12&amp;", ",""),LEN(IF((COUNTIFS(TableBOM[Product ID],$D$3,TableBOM[Item ID],$A35)&gt;0)*($H$3&gt;0),$E$3&amp;", ","")&amp;IF((COUNTIFS(TableBOM[Product ID],$D$4,TableBOM[Item ID],$A35)&gt;0)*($H$4&gt;0),$E$4&amp;", ","")&amp;IF((COUNTIFS(TableBOM[Product ID],$D$5,TableBOM[Item ID],$A35)&gt;0)*($H$5&gt;0),$E$5&amp;", ","")&amp;IF((COUNTIFS(TableBOM[Product ID],$D$6,TableBOM[Item ID],$A35)&gt;0)*($H$6&gt;0),$E$6&amp;", ","")&amp;IF((COUNTIFS(TableBOM[Product ID],$D$7,TableBOM[Item ID],$A35)&gt;0)*($H$7&gt;0),$E$7&amp;", ","")&amp;IF((COUNTIFS(TableBOM[Product ID],$D$8,TableBOM[Item ID],$A35)&gt;0)*($H$8&gt;0),$E$8&amp;", ","")&amp;IF((COUNTIFS(TableBOM[Product ID],$D$9,TableBOM[Item ID],$A35)&gt;0)*($H$9&gt;0),$E$9&amp;", ","")&amp;IF((COUNTIFS(TableBOM[Product ID],$D$10,TableBOM[Item ID],$A35)&gt;0)*($H$10&gt;0),$E$10&amp;", ","")&amp;IF((COUNTIFS(TableBOM[Product ID],$D$11,TableBOM[Item ID],$A35)&gt;0)*($H$11&gt;0),$E$11&amp;", ","")&amp;IF((COUNTIFS(TableBOM[Product ID],$D$12,TableBOM[Item ID],$A35)&gt;0)*($H$12&gt;0),$E$12&amp;", ",""))-2),"")</f>
        <v/>
      </c>
      <c r="J35" s="64">
        <f>IF(E35=0,"Not needed",IF(G35&lt;0,"SHORTAGE",IF(G35&lt;F35*0.1,"LOW","OK")))</f>
        <v/>
      </c>
      <c r="K35" s="64">
        <f>IF(B35&lt;&gt;"CAP","",SUMPRODUCT((ISNUMBER(SEARCH("Cap Not Available",'FG Stock'!$H$4:$H$100)))*('FG Stock'!$I$4:$I$100=A35)*'FG Stock'!$F$4:$F$100))</f>
        <v/>
      </c>
      <c r="L35" s="64">
        <f>IF(E35=0,"",MAX(0,E35+IFERROR(K35*1,0)-F35))</f>
        <v/>
      </c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" t="n"/>
    </row>
    <row r="36" hidden="1" ht="15" customHeight="1" s="249">
      <c r="A36" s="55" t="n">
        <v>175</v>
      </c>
      <c r="B36" s="55" t="inlineStr">
        <is>
          <t>BASE COAT</t>
        </is>
      </c>
      <c r="C36" s="55" t="inlineStr">
        <is>
          <t>GOLD 5725100018</t>
        </is>
      </c>
      <c r="D36" s="55" t="inlineStr">
        <is>
          <t>kg</t>
        </is>
      </c>
      <c r="E36" s="61">
        <f>SUMPRODUCT((TableBOM[Item ID]=A36)*TableBOM[Per 1000 Units]*(1+TableBOM[Scrap %])*SUMIF($D$3:$D$12,TableBOM[Product ID],$H$3:$H$12)/1000)</f>
        <v/>
      </c>
      <c r="F36" s="61">
        <f>IFERROR(INDEX(TableInventory[Store Balance],MATCH(A36,TableInventory[Item ID],0)),0)+IFERROR(INDEX(TableInventory[Work In Process],MATCH(A36,TableInventory[Item ID],0)),0)</f>
        <v/>
      </c>
      <c r="G36" s="61">
        <f>F36-E36</f>
        <v/>
      </c>
      <c r="H36" s="62">
        <f>IF(LEN(IF((COUNTIFS(TableBOM[Product ID],$D$3,TableBOM[Item ID],$A36)&gt;0)*($H$3&gt;0),$C$3&amp;", ","")&amp;IF((COUNTIFS(TableBOM[Product ID],$D$4,TableBOM[Item ID],$A36)&gt;0)*($H$4&gt;0),$C$4&amp;", ","")&amp;IF((COUNTIFS(TableBOM[Product ID],$D$5,TableBOM[Item ID],$A36)&gt;0)*($H$5&gt;0),$C$5&amp;", ","")&amp;IF((COUNTIFS(TableBOM[Product ID],$D$6,TableBOM[Item ID],$A36)&gt;0)*($H$6&gt;0),$C$6&amp;", ","")&amp;IF((COUNTIFS(TableBOM[Product ID],$D$7,TableBOM[Item ID],$A36)&gt;0)*($H$7&gt;0),$C$7&amp;", ","")&amp;IF((COUNTIFS(TableBOM[Product ID],$D$8,TableBOM[Item ID],$A36)&gt;0)*($H$8&gt;0),$C$8&amp;", ","")&amp;IF((COUNTIFS(TableBOM[Product ID],$D$9,TableBOM[Item ID],$A36)&gt;0)*($H$9&gt;0),$C$9&amp;", ","")&amp;IF((COUNTIFS(TableBOM[Product ID],$D$10,TableBOM[Item ID],$A36)&gt;0)*($H$10&gt;0),$C$10&amp;", ","")&amp;IF((COUNTIFS(TableBOM[Product ID],$D$11,TableBOM[Item ID],$A36)&gt;0)*($H$11&gt;0),$C$11&amp;", ","")&amp;IF((COUNTIFS(TableBOM[Product ID],$D$12,TableBOM[Item ID],$A36)&gt;0)*($H$12&gt;0),$C$12&amp;", ",""))&gt;1,LEFT(IF((COUNTIFS(TableBOM[Product ID],$D$3,TableBOM[Item ID],$A36)&gt;0)*($H$3&gt;0),$C$3&amp;", ","")&amp;IF((COUNTIFS(TableBOM[Product ID],$D$4,TableBOM[Item ID],$A36)&gt;0)*($H$4&gt;0),$C$4&amp;", ","")&amp;IF((COUNTIFS(TableBOM[Product ID],$D$5,TableBOM[Item ID],$A36)&gt;0)*($H$5&gt;0),$C$5&amp;", ","")&amp;IF((COUNTIFS(TableBOM[Product ID],$D$6,TableBOM[Item ID],$A36)&gt;0)*($H$6&gt;0),$C$6&amp;", ","")&amp;IF((COUNTIFS(TableBOM[Product ID],$D$7,TableBOM[Item ID],$A36)&gt;0)*($H$7&gt;0),$C$7&amp;", ","")&amp;IF((COUNTIFS(TableBOM[Product ID],$D$8,TableBOM[Item ID],$A36)&gt;0)*($H$8&gt;0),$C$8&amp;", ","")&amp;IF((COUNTIFS(TableBOM[Product ID],$D$9,TableBOM[Item ID],$A36)&gt;0)*($H$9&gt;0),$C$9&amp;", ","")&amp;IF((COUNTIFS(TableBOM[Product ID],$D$10,TableBOM[Item ID],$A36)&gt;0)*($H$10&gt;0),$C$10&amp;", ","")&amp;IF((COUNTIFS(TableBOM[Product ID],$D$11,TableBOM[Item ID],$A36)&gt;0)*($H$11&gt;0),$C$11&amp;", ","")&amp;IF((COUNTIFS(TableBOM[Product ID],$D$12,TableBOM[Item ID],$A36)&gt;0)*($H$12&gt;0),$C$12&amp;", ",""),LEN(IF((COUNTIFS(TableBOM[Product ID],$D$3,TableBOM[Item ID],$A36)&gt;0)*($H$3&gt;0),$C$3&amp;", ","")&amp;IF((COUNTIFS(TableBOM[Product ID],$D$4,TableBOM[Item ID],$A36)&gt;0)*($H$4&gt;0),$C$4&amp;", ","")&amp;IF((COUNTIFS(TableBOM[Product ID],$D$5,TableBOM[Item ID],$A36)&gt;0)*($H$5&gt;0),$C$5&amp;", ","")&amp;IF((COUNTIFS(TableBOM[Product ID],$D$6,TableBOM[Item ID],$A36)&gt;0)*($H$6&gt;0),$C$6&amp;", ","")&amp;IF((COUNTIFS(TableBOM[Product ID],$D$7,TableBOM[Item ID],$A36)&gt;0)*($H$7&gt;0),$C$7&amp;", ","")&amp;IF((COUNTIFS(TableBOM[Product ID],$D$8,TableBOM[Item ID],$A36)&gt;0)*($H$8&gt;0),$C$8&amp;", ","")&amp;IF((COUNTIFS(TableBOM[Product ID],$D$9,TableBOM[Item ID],$A36)&gt;0)*($H$9&gt;0),$C$9&amp;", ","")&amp;IF((COUNTIFS(TableBOM[Product ID],$D$10,TableBOM[Item ID],$A36)&gt;0)*($H$10&gt;0),$C$10&amp;", ","")&amp;IF((COUNTIFS(TableBOM[Product ID],$D$11,TableBOM[Item ID],$A36)&gt;0)*($H$11&gt;0),$C$11&amp;", ","")&amp;IF((COUNTIFS(TableBOM[Product ID],$D$12,TableBOM[Item ID],$A36)&gt;0)*($H$12&gt;0),$C$12&amp;", ",""))-2),"")</f>
        <v/>
      </c>
      <c r="I36" s="63">
        <f>IF(LEN(IF((COUNTIFS(TableBOM[Product ID],$D$3,TableBOM[Item ID],$A36)&gt;0)*($H$3&gt;0),$E$3&amp;", ","")&amp;IF((COUNTIFS(TableBOM[Product ID],$D$4,TableBOM[Item ID],$A36)&gt;0)*($H$4&gt;0),$E$4&amp;", ","")&amp;IF((COUNTIFS(TableBOM[Product ID],$D$5,TableBOM[Item ID],$A36)&gt;0)*($H$5&gt;0),$E$5&amp;", ","")&amp;IF((COUNTIFS(TableBOM[Product ID],$D$6,TableBOM[Item ID],$A36)&gt;0)*($H$6&gt;0),$E$6&amp;", ","")&amp;IF((COUNTIFS(TableBOM[Product ID],$D$7,TableBOM[Item ID],$A36)&gt;0)*($H$7&gt;0),$E$7&amp;", ","")&amp;IF((COUNTIFS(TableBOM[Product ID],$D$8,TableBOM[Item ID],$A36)&gt;0)*($H$8&gt;0),$E$8&amp;", ","")&amp;IF((COUNTIFS(TableBOM[Product ID],$D$9,TableBOM[Item ID],$A36)&gt;0)*($H$9&gt;0),$E$9&amp;", ","")&amp;IF((COUNTIFS(TableBOM[Product ID],$D$10,TableBOM[Item ID],$A36)&gt;0)*($H$10&gt;0),$E$10&amp;", ","")&amp;IF((COUNTIFS(TableBOM[Product ID],$D$11,TableBOM[Item ID],$A36)&gt;0)*($H$11&gt;0),$E$11&amp;", ","")&amp;IF((COUNTIFS(TableBOM[Product ID],$D$12,TableBOM[Item ID],$A36)&gt;0)*($H$12&gt;0),$E$12&amp;", ",""))&gt;1,LEFT(IF((COUNTIFS(TableBOM[Product ID],$D$3,TableBOM[Item ID],$A36)&gt;0)*($H$3&gt;0),$E$3&amp;", ","")&amp;IF((COUNTIFS(TableBOM[Product ID],$D$4,TableBOM[Item ID],$A36)&gt;0)*($H$4&gt;0),$E$4&amp;", ","")&amp;IF((COUNTIFS(TableBOM[Product ID],$D$5,TableBOM[Item ID],$A36)&gt;0)*($H$5&gt;0),$E$5&amp;", ","")&amp;IF((COUNTIFS(TableBOM[Product ID],$D$6,TableBOM[Item ID],$A36)&gt;0)*($H$6&gt;0),$E$6&amp;", ","")&amp;IF((COUNTIFS(TableBOM[Product ID],$D$7,TableBOM[Item ID],$A36)&gt;0)*($H$7&gt;0),$E$7&amp;", ","")&amp;IF((COUNTIFS(TableBOM[Product ID],$D$8,TableBOM[Item ID],$A36)&gt;0)*($H$8&gt;0),$E$8&amp;", ","")&amp;IF((COUNTIFS(TableBOM[Product ID],$D$9,TableBOM[Item ID],$A36)&gt;0)*($H$9&gt;0),$E$9&amp;", ","")&amp;IF((COUNTIFS(TableBOM[Product ID],$D$10,TableBOM[Item ID],$A36)&gt;0)*($H$10&gt;0),$E$10&amp;", ","")&amp;IF((COUNTIFS(TableBOM[Product ID],$D$11,TableBOM[Item ID],$A36)&gt;0)*($H$11&gt;0),$E$11&amp;", ","")&amp;IF((COUNTIFS(TableBOM[Product ID],$D$12,TableBOM[Item ID],$A36)&gt;0)*($H$12&gt;0),$E$12&amp;", ",""),LEN(IF((COUNTIFS(TableBOM[Product ID],$D$3,TableBOM[Item ID],$A36)&gt;0)*($H$3&gt;0),$E$3&amp;", ","")&amp;IF((COUNTIFS(TableBOM[Product ID],$D$4,TableBOM[Item ID],$A36)&gt;0)*($H$4&gt;0),$E$4&amp;", ","")&amp;IF((COUNTIFS(TableBOM[Product ID],$D$5,TableBOM[Item ID],$A36)&gt;0)*($H$5&gt;0),$E$5&amp;", ","")&amp;IF((COUNTIFS(TableBOM[Product ID],$D$6,TableBOM[Item ID],$A36)&gt;0)*($H$6&gt;0),$E$6&amp;", ","")&amp;IF((COUNTIFS(TableBOM[Product ID],$D$7,TableBOM[Item ID],$A36)&gt;0)*($H$7&gt;0),$E$7&amp;", ","")&amp;IF((COUNTIFS(TableBOM[Product ID],$D$8,TableBOM[Item ID],$A36)&gt;0)*($H$8&gt;0),$E$8&amp;", ","")&amp;IF((COUNTIFS(TableBOM[Product ID],$D$9,TableBOM[Item ID],$A36)&gt;0)*($H$9&gt;0),$E$9&amp;", ","")&amp;IF((COUNTIFS(TableBOM[Product ID],$D$10,TableBOM[Item ID],$A36)&gt;0)*($H$10&gt;0),$E$10&amp;", ","")&amp;IF((COUNTIFS(TableBOM[Product ID],$D$11,TableBOM[Item ID],$A36)&gt;0)*($H$11&gt;0),$E$11&amp;", ","")&amp;IF((COUNTIFS(TableBOM[Product ID],$D$12,TableBOM[Item ID],$A36)&gt;0)*($H$12&gt;0),$E$12&amp;", ",""))-2),"")</f>
        <v/>
      </c>
      <c r="J36" s="64">
        <f>IF(E36=0,"Not needed",IF(G36&lt;0,"SHORTAGE",IF(G36&lt;F36*0.1,"LOW","OK")))</f>
        <v/>
      </c>
      <c r="K36" s="64">
        <f>IF(B36&lt;&gt;"CAP","",SUMPRODUCT((ISNUMBER(SEARCH("Cap Not Available",'FG Stock'!$H$4:$H$100)))*('FG Stock'!$I$4:$I$100=A36)*'FG Stock'!$F$4:$F$100))</f>
        <v/>
      </c>
      <c r="L36" s="64">
        <f>IF(E36=0,"",MAX(0,E36+IFERROR(K36*1,0)-F36))</f>
        <v/>
      </c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" t="n"/>
    </row>
    <row r="37" hidden="1" ht="15" customHeight="1" s="249">
      <c r="A37" s="55" t="n">
        <v>192</v>
      </c>
      <c r="B37" s="55" t="inlineStr">
        <is>
          <t>BASE COAT</t>
        </is>
      </c>
      <c r="C37" s="55" t="inlineStr">
        <is>
          <t>TRANSPARENT 234-786</t>
        </is>
      </c>
      <c r="D37" s="55" t="inlineStr">
        <is>
          <t>kg</t>
        </is>
      </c>
      <c r="E37" s="61">
        <f>SUMPRODUCT((TableBOM[Item ID]=A37)*TableBOM[Per 1000 Units]*(1+TableBOM[Scrap %])*SUMIF($D$3:$D$12,TableBOM[Product ID],$H$3:$H$12)/1000)</f>
        <v/>
      </c>
      <c r="F37" s="61">
        <f>IFERROR(INDEX(TableInventory[Store Balance],MATCH(A37,TableInventory[Item ID],0)),0)+IFERROR(INDEX(TableInventory[Work In Process],MATCH(A37,TableInventory[Item ID],0)),0)</f>
        <v/>
      </c>
      <c r="G37" s="61">
        <f>F37-E37</f>
        <v/>
      </c>
      <c r="H37" s="62">
        <f>IF(LEN(IF((COUNTIFS(TableBOM[Product ID],$D$3,TableBOM[Item ID],$A37)&gt;0)*($H$3&gt;0),$C$3&amp;", ","")&amp;IF((COUNTIFS(TableBOM[Product ID],$D$4,TableBOM[Item ID],$A37)&gt;0)*($H$4&gt;0),$C$4&amp;", ","")&amp;IF((COUNTIFS(TableBOM[Product ID],$D$5,TableBOM[Item ID],$A37)&gt;0)*($H$5&gt;0),$C$5&amp;", ","")&amp;IF((COUNTIFS(TableBOM[Product ID],$D$6,TableBOM[Item ID],$A37)&gt;0)*($H$6&gt;0),$C$6&amp;", ","")&amp;IF((COUNTIFS(TableBOM[Product ID],$D$7,TableBOM[Item ID],$A37)&gt;0)*($H$7&gt;0),$C$7&amp;", ","")&amp;IF((COUNTIFS(TableBOM[Product ID],$D$8,TableBOM[Item ID],$A37)&gt;0)*($H$8&gt;0),$C$8&amp;", ","")&amp;IF((COUNTIFS(TableBOM[Product ID],$D$9,TableBOM[Item ID],$A37)&gt;0)*($H$9&gt;0),$C$9&amp;", ","")&amp;IF((COUNTIFS(TableBOM[Product ID],$D$10,TableBOM[Item ID],$A37)&gt;0)*($H$10&gt;0),$C$10&amp;", ","")&amp;IF((COUNTIFS(TableBOM[Product ID],$D$11,TableBOM[Item ID],$A37)&gt;0)*($H$11&gt;0),$C$11&amp;", ","")&amp;IF((COUNTIFS(TableBOM[Product ID],$D$12,TableBOM[Item ID],$A37)&gt;0)*($H$12&gt;0),$C$12&amp;", ",""))&gt;1,LEFT(IF((COUNTIFS(TableBOM[Product ID],$D$3,TableBOM[Item ID],$A37)&gt;0)*($H$3&gt;0),$C$3&amp;", ","")&amp;IF((COUNTIFS(TableBOM[Product ID],$D$4,TableBOM[Item ID],$A37)&gt;0)*($H$4&gt;0),$C$4&amp;", ","")&amp;IF((COUNTIFS(TableBOM[Product ID],$D$5,TableBOM[Item ID],$A37)&gt;0)*($H$5&gt;0),$C$5&amp;", ","")&amp;IF((COUNTIFS(TableBOM[Product ID],$D$6,TableBOM[Item ID],$A37)&gt;0)*($H$6&gt;0),$C$6&amp;", ","")&amp;IF((COUNTIFS(TableBOM[Product ID],$D$7,TableBOM[Item ID],$A37)&gt;0)*($H$7&gt;0),$C$7&amp;", ","")&amp;IF((COUNTIFS(TableBOM[Product ID],$D$8,TableBOM[Item ID],$A37)&gt;0)*($H$8&gt;0),$C$8&amp;", ","")&amp;IF((COUNTIFS(TableBOM[Product ID],$D$9,TableBOM[Item ID],$A37)&gt;0)*($H$9&gt;0),$C$9&amp;", ","")&amp;IF((COUNTIFS(TableBOM[Product ID],$D$10,TableBOM[Item ID],$A37)&gt;0)*($H$10&gt;0),$C$10&amp;", ","")&amp;IF((COUNTIFS(TableBOM[Product ID],$D$11,TableBOM[Item ID],$A37)&gt;0)*($H$11&gt;0),$C$11&amp;", ","")&amp;IF((COUNTIFS(TableBOM[Product ID],$D$12,TableBOM[Item ID],$A37)&gt;0)*($H$12&gt;0),$C$12&amp;", ",""),LEN(IF((COUNTIFS(TableBOM[Product ID],$D$3,TableBOM[Item ID],$A37)&gt;0)*($H$3&gt;0),$C$3&amp;", ","")&amp;IF((COUNTIFS(TableBOM[Product ID],$D$4,TableBOM[Item ID],$A37)&gt;0)*($H$4&gt;0),$C$4&amp;", ","")&amp;IF((COUNTIFS(TableBOM[Product ID],$D$5,TableBOM[Item ID],$A37)&gt;0)*($H$5&gt;0),$C$5&amp;", ","")&amp;IF((COUNTIFS(TableBOM[Product ID],$D$6,TableBOM[Item ID],$A37)&gt;0)*($H$6&gt;0),$C$6&amp;", ","")&amp;IF((COUNTIFS(TableBOM[Product ID],$D$7,TableBOM[Item ID],$A37)&gt;0)*($H$7&gt;0),$C$7&amp;", ","")&amp;IF((COUNTIFS(TableBOM[Product ID],$D$8,TableBOM[Item ID],$A37)&gt;0)*($H$8&gt;0),$C$8&amp;", ","")&amp;IF((COUNTIFS(TableBOM[Product ID],$D$9,TableBOM[Item ID],$A37)&gt;0)*($H$9&gt;0),$C$9&amp;", ","")&amp;IF((COUNTIFS(TableBOM[Product ID],$D$10,TableBOM[Item ID],$A37)&gt;0)*($H$10&gt;0),$C$10&amp;", ","")&amp;IF((COUNTIFS(TableBOM[Product ID],$D$11,TableBOM[Item ID],$A37)&gt;0)*($H$11&gt;0),$C$11&amp;", ","")&amp;IF((COUNTIFS(TableBOM[Product ID],$D$12,TableBOM[Item ID],$A37)&gt;0)*($H$12&gt;0),$C$12&amp;", ",""))-2),"")</f>
        <v/>
      </c>
      <c r="I37" s="63">
        <f>IF(LEN(IF((COUNTIFS(TableBOM[Product ID],$D$3,TableBOM[Item ID],$A37)&gt;0)*($H$3&gt;0),$E$3&amp;", ","")&amp;IF((COUNTIFS(TableBOM[Product ID],$D$4,TableBOM[Item ID],$A37)&gt;0)*($H$4&gt;0),$E$4&amp;", ","")&amp;IF((COUNTIFS(TableBOM[Product ID],$D$5,TableBOM[Item ID],$A37)&gt;0)*($H$5&gt;0),$E$5&amp;", ","")&amp;IF((COUNTIFS(TableBOM[Product ID],$D$6,TableBOM[Item ID],$A37)&gt;0)*($H$6&gt;0),$E$6&amp;", ","")&amp;IF((COUNTIFS(TableBOM[Product ID],$D$7,TableBOM[Item ID],$A37)&gt;0)*($H$7&gt;0),$E$7&amp;", ","")&amp;IF((COUNTIFS(TableBOM[Product ID],$D$8,TableBOM[Item ID],$A37)&gt;0)*($H$8&gt;0),$E$8&amp;", ","")&amp;IF((COUNTIFS(TableBOM[Product ID],$D$9,TableBOM[Item ID],$A37)&gt;0)*($H$9&gt;0),$E$9&amp;", ","")&amp;IF((COUNTIFS(TableBOM[Product ID],$D$10,TableBOM[Item ID],$A37)&gt;0)*($H$10&gt;0),$E$10&amp;", ","")&amp;IF((COUNTIFS(TableBOM[Product ID],$D$11,TableBOM[Item ID],$A37)&gt;0)*($H$11&gt;0),$E$11&amp;", ","")&amp;IF((COUNTIFS(TableBOM[Product ID],$D$12,TableBOM[Item ID],$A37)&gt;0)*($H$12&gt;0),$E$12&amp;", ",""))&gt;1,LEFT(IF((COUNTIFS(TableBOM[Product ID],$D$3,TableBOM[Item ID],$A37)&gt;0)*($H$3&gt;0),$E$3&amp;", ","")&amp;IF((COUNTIFS(TableBOM[Product ID],$D$4,TableBOM[Item ID],$A37)&gt;0)*($H$4&gt;0),$E$4&amp;", ","")&amp;IF((COUNTIFS(TableBOM[Product ID],$D$5,TableBOM[Item ID],$A37)&gt;0)*($H$5&gt;0),$E$5&amp;", ","")&amp;IF((COUNTIFS(TableBOM[Product ID],$D$6,TableBOM[Item ID],$A37)&gt;0)*($H$6&gt;0),$E$6&amp;", ","")&amp;IF((COUNTIFS(TableBOM[Product ID],$D$7,TableBOM[Item ID],$A37)&gt;0)*($H$7&gt;0),$E$7&amp;", ","")&amp;IF((COUNTIFS(TableBOM[Product ID],$D$8,TableBOM[Item ID],$A37)&gt;0)*($H$8&gt;0),$E$8&amp;", ","")&amp;IF((COUNTIFS(TableBOM[Product ID],$D$9,TableBOM[Item ID],$A37)&gt;0)*($H$9&gt;0),$E$9&amp;", ","")&amp;IF((COUNTIFS(TableBOM[Product ID],$D$10,TableBOM[Item ID],$A37)&gt;0)*($H$10&gt;0),$E$10&amp;", ","")&amp;IF((COUNTIFS(TableBOM[Product ID],$D$11,TableBOM[Item ID],$A37)&gt;0)*($H$11&gt;0),$E$11&amp;", ","")&amp;IF((COUNTIFS(TableBOM[Product ID],$D$12,TableBOM[Item ID],$A37)&gt;0)*($H$12&gt;0),$E$12&amp;", ",""),LEN(IF((COUNTIFS(TableBOM[Product ID],$D$3,TableBOM[Item ID],$A37)&gt;0)*($H$3&gt;0),$E$3&amp;", ","")&amp;IF((COUNTIFS(TableBOM[Product ID],$D$4,TableBOM[Item ID],$A37)&gt;0)*($H$4&gt;0),$E$4&amp;", ","")&amp;IF((COUNTIFS(TableBOM[Product ID],$D$5,TableBOM[Item ID],$A37)&gt;0)*($H$5&gt;0),$E$5&amp;", ","")&amp;IF((COUNTIFS(TableBOM[Product ID],$D$6,TableBOM[Item ID],$A37)&gt;0)*($H$6&gt;0),$E$6&amp;", ","")&amp;IF((COUNTIFS(TableBOM[Product ID],$D$7,TableBOM[Item ID],$A37)&gt;0)*($H$7&gt;0),$E$7&amp;", ","")&amp;IF((COUNTIFS(TableBOM[Product ID],$D$8,TableBOM[Item ID],$A37)&gt;0)*($H$8&gt;0),$E$8&amp;", ","")&amp;IF((COUNTIFS(TableBOM[Product ID],$D$9,TableBOM[Item ID],$A37)&gt;0)*($H$9&gt;0),$E$9&amp;", ","")&amp;IF((COUNTIFS(TableBOM[Product ID],$D$10,TableBOM[Item ID],$A37)&gt;0)*($H$10&gt;0),$E$10&amp;", ","")&amp;IF((COUNTIFS(TableBOM[Product ID],$D$11,TableBOM[Item ID],$A37)&gt;0)*($H$11&gt;0),$E$11&amp;", ","")&amp;IF((COUNTIFS(TableBOM[Product ID],$D$12,TableBOM[Item ID],$A37)&gt;0)*($H$12&gt;0),$E$12&amp;", ",""))-2),"")</f>
        <v/>
      </c>
      <c r="J37" s="64">
        <f>IF(E37=0,"Not needed",IF(G37&lt;0,"SHORTAGE",IF(G37&lt;F37*0.1,"LOW","OK")))</f>
        <v/>
      </c>
      <c r="K37" s="64">
        <f>IF(B37&lt;&gt;"CAP","",SUMPRODUCT((ISNUMBER(SEARCH("Cap Not Available",'FG Stock'!$H$4:$H$100)))*('FG Stock'!$I$4:$I$100=A37)*'FG Stock'!$F$4:$F$100))</f>
        <v/>
      </c>
      <c r="L37" s="64">
        <f>IF(E37=0,"",MAX(0,E37+IFERROR(K37*1,0)-F37))</f>
        <v/>
      </c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" t="n"/>
    </row>
    <row r="38" ht="48" customHeight="1" s="249">
      <c r="A38" s="55" t="n">
        <v>3595</v>
      </c>
      <c r="B38" s="55" t="inlineStr">
        <is>
          <t>BASE COAT</t>
        </is>
      </c>
      <c r="C38" s="55" t="inlineStr">
        <is>
          <t>POLYSTER BASE COAT WHITE 23410</t>
        </is>
      </c>
      <c r="D38" s="55" t="inlineStr">
        <is>
          <t>kg</t>
        </is>
      </c>
      <c r="E38" s="61">
        <f>SUMPRODUCT((TableBOM[Item ID]=A38)*TableBOM[Per 1000 Units]*(1+TableBOM[Scrap %])*SUMIF($D$3:$D$12,TableBOM[Product ID],$H$3:$H$12)/1000)</f>
        <v/>
      </c>
      <c r="F38" s="61">
        <f>IFERROR(INDEX(TableInventory[Store Balance],MATCH(A38,TableInventory[Item ID],0)),0)+IFERROR(INDEX(TableInventory[Work In Process],MATCH(A38,TableInventory[Item ID],0)),0)</f>
        <v/>
      </c>
      <c r="G38" s="65">
        <f>F38-E38</f>
        <v/>
      </c>
      <c r="H38" s="62">
        <f>IF(LEN(IF((COUNTIFS(TableBOM[Product ID],$D$3,TableBOM[Item ID],$A38)&gt;0)*($H$3&gt;0),$C$3&amp;", ","")&amp;IF((COUNTIFS(TableBOM[Product ID],$D$4,TableBOM[Item ID],$A38)&gt;0)*($H$4&gt;0),$C$4&amp;", ","")&amp;IF((COUNTIFS(TableBOM[Product ID],$D$5,TableBOM[Item ID],$A38)&gt;0)*($H$5&gt;0),$C$5&amp;", ","")&amp;IF((COUNTIFS(TableBOM[Product ID],$D$6,TableBOM[Item ID],$A38)&gt;0)*($H$6&gt;0),$C$6&amp;", ","")&amp;IF((COUNTIFS(TableBOM[Product ID],$D$7,TableBOM[Item ID],$A38)&gt;0)*($H$7&gt;0),$C$7&amp;", ","")&amp;IF((COUNTIFS(TableBOM[Product ID],$D$8,TableBOM[Item ID],$A38)&gt;0)*($H$8&gt;0),$C$8&amp;", ","")&amp;IF((COUNTIFS(TableBOM[Product ID],$D$9,TableBOM[Item ID],$A38)&gt;0)*($H$9&gt;0),$C$9&amp;", ","")&amp;IF((COUNTIFS(TableBOM[Product ID],$D$10,TableBOM[Item ID],$A38)&gt;0)*($H$10&gt;0),$C$10&amp;", ","")&amp;IF((COUNTIFS(TableBOM[Product ID],$D$11,TableBOM[Item ID],$A38)&gt;0)*($H$11&gt;0),$C$11&amp;", ","")&amp;IF((COUNTIFS(TableBOM[Product ID],$D$12,TableBOM[Item ID],$A38)&gt;0)*($H$12&gt;0),$C$12&amp;", ",""))&gt;1,LEFT(IF((COUNTIFS(TableBOM[Product ID],$D$3,TableBOM[Item ID],$A38)&gt;0)*($H$3&gt;0),$C$3&amp;", ","")&amp;IF((COUNTIFS(TableBOM[Product ID],$D$4,TableBOM[Item ID],$A38)&gt;0)*($H$4&gt;0),$C$4&amp;", ","")&amp;IF((COUNTIFS(TableBOM[Product ID],$D$5,TableBOM[Item ID],$A38)&gt;0)*($H$5&gt;0),$C$5&amp;", ","")&amp;IF((COUNTIFS(TableBOM[Product ID],$D$6,TableBOM[Item ID],$A38)&gt;0)*($H$6&gt;0),$C$6&amp;", ","")&amp;IF((COUNTIFS(TableBOM[Product ID],$D$7,TableBOM[Item ID],$A38)&gt;0)*($H$7&gt;0),$C$7&amp;", ","")&amp;IF((COUNTIFS(TableBOM[Product ID],$D$8,TableBOM[Item ID],$A38)&gt;0)*($H$8&gt;0),$C$8&amp;", ","")&amp;IF((COUNTIFS(TableBOM[Product ID],$D$9,TableBOM[Item ID],$A38)&gt;0)*($H$9&gt;0),$C$9&amp;", ","")&amp;IF((COUNTIFS(TableBOM[Product ID],$D$10,TableBOM[Item ID],$A38)&gt;0)*($H$10&gt;0),$C$10&amp;", ","")&amp;IF((COUNTIFS(TableBOM[Product ID],$D$11,TableBOM[Item ID],$A38)&gt;0)*($H$11&gt;0),$C$11&amp;", ","")&amp;IF((COUNTIFS(TableBOM[Product ID],$D$12,TableBOM[Item ID],$A38)&gt;0)*($H$12&gt;0),$C$12&amp;", ",""),LEN(IF((COUNTIFS(TableBOM[Product ID],$D$3,TableBOM[Item ID],$A38)&gt;0)*($H$3&gt;0),$C$3&amp;", ","")&amp;IF((COUNTIFS(TableBOM[Product ID],$D$4,TableBOM[Item ID],$A38)&gt;0)*($H$4&gt;0),$C$4&amp;", ","")&amp;IF((COUNTIFS(TableBOM[Product ID],$D$5,TableBOM[Item ID],$A38)&gt;0)*($H$5&gt;0),$C$5&amp;", ","")&amp;IF((COUNTIFS(TableBOM[Product ID],$D$6,TableBOM[Item ID],$A38)&gt;0)*($H$6&gt;0),$C$6&amp;", ","")&amp;IF((COUNTIFS(TableBOM[Product ID],$D$7,TableBOM[Item ID],$A38)&gt;0)*($H$7&gt;0),$C$7&amp;", ","")&amp;IF((COUNTIFS(TableBOM[Product ID],$D$8,TableBOM[Item ID],$A38)&gt;0)*($H$8&gt;0),$C$8&amp;", ","")&amp;IF((COUNTIFS(TableBOM[Product ID],$D$9,TableBOM[Item ID],$A38)&gt;0)*($H$9&gt;0),$C$9&amp;", ","")&amp;IF((COUNTIFS(TableBOM[Product ID],$D$10,TableBOM[Item ID],$A38)&gt;0)*($H$10&gt;0),$C$10&amp;", ","")&amp;IF((COUNTIFS(TableBOM[Product ID],$D$11,TableBOM[Item ID],$A38)&gt;0)*($H$11&gt;0),$C$11&amp;", ","")&amp;IF((COUNTIFS(TableBOM[Product ID],$D$12,TableBOM[Item ID],$A38)&gt;0)*($H$12&gt;0),$C$12&amp;", ",""))-2),"")</f>
        <v/>
      </c>
      <c r="I38" s="63">
        <f>IF(LEN(IF((COUNTIFS(TableBOM[Product ID],$D$3,TableBOM[Item ID],$A38)&gt;0)*($H$3&gt;0),$E$3&amp;", ","")&amp;IF((COUNTIFS(TableBOM[Product ID],$D$4,TableBOM[Item ID],$A38)&gt;0)*($H$4&gt;0),$E$4&amp;", ","")&amp;IF((COUNTIFS(TableBOM[Product ID],$D$5,TableBOM[Item ID],$A38)&gt;0)*($H$5&gt;0),$E$5&amp;", ","")&amp;IF((COUNTIFS(TableBOM[Product ID],$D$6,TableBOM[Item ID],$A38)&gt;0)*($H$6&gt;0),$E$6&amp;", ","")&amp;IF((COUNTIFS(TableBOM[Product ID],$D$7,TableBOM[Item ID],$A38)&gt;0)*($H$7&gt;0),$E$7&amp;", ","")&amp;IF((COUNTIFS(TableBOM[Product ID],$D$8,TableBOM[Item ID],$A38)&gt;0)*($H$8&gt;0),$E$8&amp;", ","")&amp;IF((COUNTIFS(TableBOM[Product ID],$D$9,TableBOM[Item ID],$A38)&gt;0)*($H$9&gt;0),$E$9&amp;", ","")&amp;IF((COUNTIFS(TableBOM[Product ID],$D$10,TableBOM[Item ID],$A38)&gt;0)*($H$10&gt;0),$E$10&amp;", ","")&amp;IF((COUNTIFS(TableBOM[Product ID],$D$11,TableBOM[Item ID],$A38)&gt;0)*($H$11&gt;0),$E$11&amp;", ","")&amp;IF((COUNTIFS(TableBOM[Product ID],$D$12,TableBOM[Item ID],$A38)&gt;0)*($H$12&gt;0),$E$12&amp;", ",""))&gt;1,LEFT(IF((COUNTIFS(TableBOM[Product ID],$D$3,TableBOM[Item ID],$A38)&gt;0)*($H$3&gt;0),$E$3&amp;", ","")&amp;IF((COUNTIFS(TableBOM[Product ID],$D$4,TableBOM[Item ID],$A38)&gt;0)*($H$4&gt;0),$E$4&amp;", ","")&amp;IF((COUNTIFS(TableBOM[Product ID],$D$5,TableBOM[Item ID],$A38)&gt;0)*($H$5&gt;0),$E$5&amp;", ","")&amp;IF((COUNTIFS(TableBOM[Product ID],$D$6,TableBOM[Item ID],$A38)&gt;0)*($H$6&gt;0),$E$6&amp;", ","")&amp;IF((COUNTIFS(TableBOM[Product ID],$D$7,TableBOM[Item ID],$A38)&gt;0)*($H$7&gt;0),$E$7&amp;", ","")&amp;IF((COUNTIFS(TableBOM[Product ID],$D$8,TableBOM[Item ID],$A38)&gt;0)*($H$8&gt;0),$E$8&amp;", ","")&amp;IF((COUNTIFS(TableBOM[Product ID],$D$9,TableBOM[Item ID],$A38)&gt;0)*($H$9&gt;0),$E$9&amp;", ","")&amp;IF((COUNTIFS(TableBOM[Product ID],$D$10,TableBOM[Item ID],$A38)&gt;0)*($H$10&gt;0),$E$10&amp;", ","")&amp;IF((COUNTIFS(TableBOM[Product ID],$D$11,TableBOM[Item ID],$A38)&gt;0)*($H$11&gt;0),$E$11&amp;", ","")&amp;IF((COUNTIFS(TableBOM[Product ID],$D$12,TableBOM[Item ID],$A38)&gt;0)*($H$12&gt;0),$E$12&amp;", ",""),LEN(IF((COUNTIFS(TableBOM[Product ID],$D$3,TableBOM[Item ID],$A38)&gt;0)*($H$3&gt;0),$E$3&amp;", ","")&amp;IF((COUNTIFS(TableBOM[Product ID],$D$4,TableBOM[Item ID],$A38)&gt;0)*($H$4&gt;0),$E$4&amp;", ","")&amp;IF((COUNTIFS(TableBOM[Product ID],$D$5,TableBOM[Item ID],$A38)&gt;0)*($H$5&gt;0),$E$5&amp;", ","")&amp;IF((COUNTIFS(TableBOM[Product ID],$D$6,TableBOM[Item ID],$A38)&gt;0)*($H$6&gt;0),$E$6&amp;", ","")&amp;IF((COUNTIFS(TableBOM[Product ID],$D$7,TableBOM[Item ID],$A38)&gt;0)*($H$7&gt;0),$E$7&amp;", ","")&amp;IF((COUNTIFS(TableBOM[Product ID],$D$8,TableBOM[Item ID],$A38)&gt;0)*($H$8&gt;0),$E$8&amp;", ","")&amp;IF((COUNTIFS(TableBOM[Product ID],$D$9,TableBOM[Item ID],$A38)&gt;0)*($H$9&gt;0),$E$9&amp;", ","")&amp;IF((COUNTIFS(TableBOM[Product ID],$D$10,TableBOM[Item ID],$A38)&gt;0)*($H$10&gt;0),$E$10&amp;", ","")&amp;IF((COUNTIFS(TableBOM[Product ID],$D$11,TableBOM[Item ID],$A38)&gt;0)*($H$11&gt;0),$E$11&amp;", ","")&amp;IF((COUNTIFS(TableBOM[Product ID],$D$12,TableBOM[Item ID],$A38)&gt;0)*($H$12&gt;0),$E$12&amp;", ",""))-2),"")</f>
        <v/>
      </c>
      <c r="J38" s="64">
        <f>IF(E38=0,"Not needed",IF(G38&lt;0,"SHORTAGE",IF(G38&lt;F38*0.1,"LOW","OK")))</f>
        <v/>
      </c>
      <c r="K38" s="64">
        <f>IF(B38&lt;&gt;"CAP","",SUMPRODUCT((ISNUMBER(SEARCH("Cap Not Available",'FG Stock'!$H$4:$H$100)))*('FG Stock'!$I$4:$I$100=A38)*'FG Stock'!$F$4:$F$100))</f>
        <v/>
      </c>
      <c r="L38" s="64">
        <f>IF(E38=0,"",MAX(0,E38+IFERROR(K38*1,0)-F38))</f>
        <v/>
      </c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" t="n"/>
    </row>
    <row r="39" hidden="1" ht="15" customHeight="1" s="249">
      <c r="A39" s="55" t="n">
        <v>3869</v>
      </c>
      <c r="B39" s="55" t="inlineStr">
        <is>
          <t>BASE COAT</t>
        </is>
      </c>
      <c r="C39" s="55" t="inlineStr">
        <is>
          <t>POLYESTER BASE COAT BEIGE 234-999</t>
        </is>
      </c>
      <c r="D39" s="55" t="inlineStr">
        <is>
          <t>kg</t>
        </is>
      </c>
      <c r="E39" s="61">
        <f>SUMPRODUCT((TableBOM[Item ID]=A39)*TableBOM[Per 1000 Units]*(1+TableBOM[Scrap %])*SUMIF($D$3:$D$12,TableBOM[Product ID],$H$3:$H$12)/1000)</f>
        <v/>
      </c>
      <c r="F39" s="61">
        <f>IFERROR(INDEX(TableInventory[Store Balance],MATCH(A39,TableInventory[Item ID],0)),0)+IFERROR(INDEX(TableInventory[Work In Process],MATCH(A39,TableInventory[Item ID],0)),0)</f>
        <v/>
      </c>
      <c r="G39" s="61">
        <f>F39-E39</f>
        <v/>
      </c>
      <c r="H39" s="62">
        <f>IF(LEN(IF((COUNTIFS(TableBOM[Product ID],$D$3,TableBOM[Item ID],$A39)&gt;0)*($H$3&gt;0),$C$3&amp;", ","")&amp;IF((COUNTIFS(TableBOM[Product ID],$D$4,TableBOM[Item ID],$A39)&gt;0)*($H$4&gt;0),$C$4&amp;", ","")&amp;IF((COUNTIFS(TableBOM[Product ID],$D$5,TableBOM[Item ID],$A39)&gt;0)*($H$5&gt;0),$C$5&amp;", ","")&amp;IF((COUNTIFS(TableBOM[Product ID],$D$6,TableBOM[Item ID],$A39)&gt;0)*($H$6&gt;0),$C$6&amp;", ","")&amp;IF((COUNTIFS(TableBOM[Product ID],$D$7,TableBOM[Item ID],$A39)&gt;0)*($H$7&gt;0),$C$7&amp;", ","")&amp;IF((COUNTIFS(TableBOM[Product ID],$D$8,TableBOM[Item ID],$A39)&gt;0)*($H$8&gt;0),$C$8&amp;", ","")&amp;IF((COUNTIFS(TableBOM[Product ID],$D$9,TableBOM[Item ID],$A39)&gt;0)*($H$9&gt;0),$C$9&amp;", ","")&amp;IF((COUNTIFS(TableBOM[Product ID],$D$10,TableBOM[Item ID],$A39)&gt;0)*($H$10&gt;0),$C$10&amp;", ","")&amp;IF((COUNTIFS(TableBOM[Product ID],$D$11,TableBOM[Item ID],$A39)&gt;0)*($H$11&gt;0),$C$11&amp;", ","")&amp;IF((COUNTIFS(TableBOM[Product ID],$D$12,TableBOM[Item ID],$A39)&gt;0)*($H$12&gt;0),$C$12&amp;", ",""))&gt;1,LEFT(IF((COUNTIFS(TableBOM[Product ID],$D$3,TableBOM[Item ID],$A39)&gt;0)*($H$3&gt;0),$C$3&amp;", ","")&amp;IF((COUNTIFS(TableBOM[Product ID],$D$4,TableBOM[Item ID],$A39)&gt;0)*($H$4&gt;0),$C$4&amp;", ","")&amp;IF((COUNTIFS(TableBOM[Product ID],$D$5,TableBOM[Item ID],$A39)&gt;0)*($H$5&gt;0),$C$5&amp;", ","")&amp;IF((COUNTIFS(TableBOM[Product ID],$D$6,TableBOM[Item ID],$A39)&gt;0)*($H$6&gt;0),$C$6&amp;", ","")&amp;IF((COUNTIFS(TableBOM[Product ID],$D$7,TableBOM[Item ID],$A39)&gt;0)*($H$7&gt;0),$C$7&amp;", ","")&amp;IF((COUNTIFS(TableBOM[Product ID],$D$8,TableBOM[Item ID],$A39)&gt;0)*($H$8&gt;0),$C$8&amp;", ","")&amp;IF((COUNTIFS(TableBOM[Product ID],$D$9,TableBOM[Item ID],$A39)&gt;0)*($H$9&gt;0),$C$9&amp;", ","")&amp;IF((COUNTIFS(TableBOM[Product ID],$D$10,TableBOM[Item ID],$A39)&gt;0)*($H$10&gt;0),$C$10&amp;", ","")&amp;IF((COUNTIFS(TableBOM[Product ID],$D$11,TableBOM[Item ID],$A39)&gt;0)*($H$11&gt;0),$C$11&amp;", ","")&amp;IF((COUNTIFS(TableBOM[Product ID],$D$12,TableBOM[Item ID],$A39)&gt;0)*($H$12&gt;0),$C$12&amp;", ",""),LEN(IF((COUNTIFS(TableBOM[Product ID],$D$3,TableBOM[Item ID],$A39)&gt;0)*($H$3&gt;0),$C$3&amp;", ","")&amp;IF((COUNTIFS(TableBOM[Product ID],$D$4,TableBOM[Item ID],$A39)&gt;0)*($H$4&gt;0),$C$4&amp;", ","")&amp;IF((COUNTIFS(TableBOM[Product ID],$D$5,TableBOM[Item ID],$A39)&gt;0)*($H$5&gt;0),$C$5&amp;", ","")&amp;IF((COUNTIFS(TableBOM[Product ID],$D$6,TableBOM[Item ID],$A39)&gt;0)*($H$6&gt;0),$C$6&amp;", ","")&amp;IF((COUNTIFS(TableBOM[Product ID],$D$7,TableBOM[Item ID],$A39)&gt;0)*($H$7&gt;0),$C$7&amp;", ","")&amp;IF((COUNTIFS(TableBOM[Product ID],$D$8,TableBOM[Item ID],$A39)&gt;0)*($H$8&gt;0),$C$8&amp;", ","")&amp;IF((COUNTIFS(TableBOM[Product ID],$D$9,TableBOM[Item ID],$A39)&gt;0)*($H$9&gt;0),$C$9&amp;", ","")&amp;IF((COUNTIFS(TableBOM[Product ID],$D$10,TableBOM[Item ID],$A39)&gt;0)*($H$10&gt;0),$C$10&amp;", ","")&amp;IF((COUNTIFS(TableBOM[Product ID],$D$11,TableBOM[Item ID],$A39)&gt;0)*($H$11&gt;0),$C$11&amp;", ","")&amp;IF((COUNTIFS(TableBOM[Product ID],$D$12,TableBOM[Item ID],$A39)&gt;0)*($H$12&gt;0),$C$12&amp;", ",""))-2),"")</f>
        <v/>
      </c>
      <c r="I39" s="63">
        <f>IF(LEN(IF((COUNTIFS(TableBOM[Product ID],$D$3,TableBOM[Item ID],$A39)&gt;0)*($H$3&gt;0),$E$3&amp;", ","")&amp;IF((COUNTIFS(TableBOM[Product ID],$D$4,TableBOM[Item ID],$A39)&gt;0)*($H$4&gt;0),$E$4&amp;", ","")&amp;IF((COUNTIFS(TableBOM[Product ID],$D$5,TableBOM[Item ID],$A39)&gt;0)*($H$5&gt;0),$E$5&amp;", ","")&amp;IF((COUNTIFS(TableBOM[Product ID],$D$6,TableBOM[Item ID],$A39)&gt;0)*($H$6&gt;0),$E$6&amp;", ","")&amp;IF((COUNTIFS(TableBOM[Product ID],$D$7,TableBOM[Item ID],$A39)&gt;0)*($H$7&gt;0),$E$7&amp;", ","")&amp;IF((COUNTIFS(TableBOM[Product ID],$D$8,TableBOM[Item ID],$A39)&gt;0)*($H$8&gt;0),$E$8&amp;", ","")&amp;IF((COUNTIFS(TableBOM[Product ID],$D$9,TableBOM[Item ID],$A39)&gt;0)*($H$9&gt;0),$E$9&amp;", ","")&amp;IF((COUNTIFS(TableBOM[Product ID],$D$10,TableBOM[Item ID],$A39)&gt;0)*($H$10&gt;0),$E$10&amp;", ","")&amp;IF((COUNTIFS(TableBOM[Product ID],$D$11,TableBOM[Item ID],$A39)&gt;0)*($H$11&gt;0),$E$11&amp;", ","")&amp;IF((COUNTIFS(TableBOM[Product ID],$D$12,TableBOM[Item ID],$A39)&gt;0)*($H$12&gt;0),$E$12&amp;", ",""))&gt;1,LEFT(IF((COUNTIFS(TableBOM[Product ID],$D$3,TableBOM[Item ID],$A39)&gt;0)*($H$3&gt;0),$E$3&amp;", ","")&amp;IF((COUNTIFS(TableBOM[Product ID],$D$4,TableBOM[Item ID],$A39)&gt;0)*($H$4&gt;0),$E$4&amp;", ","")&amp;IF((COUNTIFS(TableBOM[Product ID],$D$5,TableBOM[Item ID],$A39)&gt;0)*($H$5&gt;0),$E$5&amp;", ","")&amp;IF((COUNTIFS(TableBOM[Product ID],$D$6,TableBOM[Item ID],$A39)&gt;0)*($H$6&gt;0),$E$6&amp;", ","")&amp;IF((COUNTIFS(TableBOM[Product ID],$D$7,TableBOM[Item ID],$A39)&gt;0)*($H$7&gt;0),$E$7&amp;", ","")&amp;IF((COUNTIFS(TableBOM[Product ID],$D$8,TableBOM[Item ID],$A39)&gt;0)*($H$8&gt;0),$E$8&amp;", ","")&amp;IF((COUNTIFS(TableBOM[Product ID],$D$9,TableBOM[Item ID],$A39)&gt;0)*($H$9&gt;0),$E$9&amp;", ","")&amp;IF((COUNTIFS(TableBOM[Product ID],$D$10,TableBOM[Item ID],$A39)&gt;0)*($H$10&gt;0),$E$10&amp;", ","")&amp;IF((COUNTIFS(TableBOM[Product ID],$D$11,TableBOM[Item ID],$A39)&gt;0)*($H$11&gt;0),$E$11&amp;", ","")&amp;IF((COUNTIFS(TableBOM[Product ID],$D$12,TableBOM[Item ID],$A39)&gt;0)*($H$12&gt;0),$E$12&amp;", ",""),LEN(IF((COUNTIFS(TableBOM[Product ID],$D$3,TableBOM[Item ID],$A39)&gt;0)*($H$3&gt;0),$E$3&amp;", ","")&amp;IF((COUNTIFS(TableBOM[Product ID],$D$4,TableBOM[Item ID],$A39)&gt;0)*($H$4&gt;0),$E$4&amp;", ","")&amp;IF((COUNTIFS(TableBOM[Product ID],$D$5,TableBOM[Item ID],$A39)&gt;0)*($H$5&gt;0),$E$5&amp;", ","")&amp;IF((COUNTIFS(TableBOM[Product ID],$D$6,TableBOM[Item ID],$A39)&gt;0)*($H$6&gt;0),$E$6&amp;", ","")&amp;IF((COUNTIFS(TableBOM[Product ID],$D$7,TableBOM[Item ID],$A39)&gt;0)*($H$7&gt;0),$E$7&amp;", ","")&amp;IF((COUNTIFS(TableBOM[Product ID],$D$8,TableBOM[Item ID],$A39)&gt;0)*($H$8&gt;0),$E$8&amp;", ","")&amp;IF((COUNTIFS(TableBOM[Product ID],$D$9,TableBOM[Item ID],$A39)&gt;0)*($H$9&gt;0),$E$9&amp;", ","")&amp;IF((COUNTIFS(TableBOM[Product ID],$D$10,TableBOM[Item ID],$A39)&gt;0)*($H$10&gt;0),$E$10&amp;", ","")&amp;IF((COUNTIFS(TableBOM[Product ID],$D$11,TableBOM[Item ID],$A39)&gt;0)*($H$11&gt;0),$E$11&amp;", ","")&amp;IF((COUNTIFS(TableBOM[Product ID],$D$12,TableBOM[Item ID],$A39)&gt;0)*($H$12&gt;0),$E$12&amp;", ",""))-2),"")</f>
        <v/>
      </c>
      <c r="J39" s="64">
        <f>IF(E39=0,"Not needed",IF(G39&lt;0,"SHORTAGE",IF(G39&lt;F39*0.1,"LOW","OK")))</f>
        <v/>
      </c>
      <c r="K39" s="64">
        <f>IF(B39&lt;&gt;"CAP","",SUMPRODUCT((ISNUMBER(SEARCH("Cap Not Available",'FG Stock'!$H$4:$H$100)))*('FG Stock'!$I$4:$I$100=A39)*'FG Stock'!$F$4:$F$100))</f>
        <v/>
      </c>
      <c r="L39" s="64">
        <f>IF(E39=0,"",MAX(0,E39+IFERROR(K39*1,0)-F39))</f>
        <v/>
      </c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" t="n"/>
    </row>
    <row r="40" hidden="1" ht="15" customHeight="1" s="249">
      <c r="A40" s="55" t="n">
        <v>4156</v>
      </c>
      <c r="B40" s="55" t="inlineStr">
        <is>
          <t>BASE COAT</t>
        </is>
      </c>
      <c r="C40" s="55" t="inlineStr">
        <is>
          <t>BEIGE 5711200007</t>
        </is>
      </c>
      <c r="D40" s="55" t="inlineStr">
        <is>
          <t>kg</t>
        </is>
      </c>
      <c r="E40" s="61">
        <f>SUMPRODUCT((TableBOM[Item ID]=A40)*TableBOM[Per 1000 Units]*(1+TableBOM[Scrap %])*SUMIF($D$3:$D$12,TableBOM[Product ID],$H$3:$H$12)/1000)</f>
        <v/>
      </c>
      <c r="F40" s="61">
        <f>IFERROR(INDEX(TableInventory[Store Balance],MATCH(A40,TableInventory[Item ID],0)),0)+IFERROR(INDEX(TableInventory[Work In Process],MATCH(A40,TableInventory[Item ID],0)),0)</f>
        <v/>
      </c>
      <c r="G40" s="61">
        <f>F40-E40</f>
        <v/>
      </c>
      <c r="H40" s="62">
        <f>IF(LEN(IF((COUNTIFS(TableBOM[Product ID],$D$3,TableBOM[Item ID],$A40)&gt;0)*($H$3&gt;0),$C$3&amp;", ","")&amp;IF((COUNTIFS(TableBOM[Product ID],$D$4,TableBOM[Item ID],$A40)&gt;0)*($H$4&gt;0),$C$4&amp;", ","")&amp;IF((COUNTIFS(TableBOM[Product ID],$D$5,TableBOM[Item ID],$A40)&gt;0)*($H$5&gt;0),$C$5&amp;", ","")&amp;IF((COUNTIFS(TableBOM[Product ID],$D$6,TableBOM[Item ID],$A40)&gt;0)*($H$6&gt;0),$C$6&amp;", ","")&amp;IF((COUNTIFS(TableBOM[Product ID],$D$7,TableBOM[Item ID],$A40)&gt;0)*($H$7&gt;0),$C$7&amp;", ","")&amp;IF((COUNTIFS(TableBOM[Product ID],$D$8,TableBOM[Item ID],$A40)&gt;0)*($H$8&gt;0),$C$8&amp;", ","")&amp;IF((COUNTIFS(TableBOM[Product ID],$D$9,TableBOM[Item ID],$A40)&gt;0)*($H$9&gt;0),$C$9&amp;", ","")&amp;IF((COUNTIFS(TableBOM[Product ID],$D$10,TableBOM[Item ID],$A40)&gt;0)*($H$10&gt;0),$C$10&amp;", ","")&amp;IF((COUNTIFS(TableBOM[Product ID],$D$11,TableBOM[Item ID],$A40)&gt;0)*($H$11&gt;0),$C$11&amp;", ","")&amp;IF((COUNTIFS(TableBOM[Product ID],$D$12,TableBOM[Item ID],$A40)&gt;0)*($H$12&gt;0),$C$12&amp;", ",""))&gt;1,LEFT(IF((COUNTIFS(TableBOM[Product ID],$D$3,TableBOM[Item ID],$A40)&gt;0)*($H$3&gt;0),$C$3&amp;", ","")&amp;IF((COUNTIFS(TableBOM[Product ID],$D$4,TableBOM[Item ID],$A40)&gt;0)*($H$4&gt;0),$C$4&amp;", ","")&amp;IF((COUNTIFS(TableBOM[Product ID],$D$5,TableBOM[Item ID],$A40)&gt;0)*($H$5&gt;0),$C$5&amp;", ","")&amp;IF((COUNTIFS(TableBOM[Product ID],$D$6,TableBOM[Item ID],$A40)&gt;0)*($H$6&gt;0),$C$6&amp;", ","")&amp;IF((COUNTIFS(TableBOM[Product ID],$D$7,TableBOM[Item ID],$A40)&gt;0)*($H$7&gt;0),$C$7&amp;", ","")&amp;IF((COUNTIFS(TableBOM[Product ID],$D$8,TableBOM[Item ID],$A40)&gt;0)*($H$8&gt;0),$C$8&amp;", ","")&amp;IF((COUNTIFS(TableBOM[Product ID],$D$9,TableBOM[Item ID],$A40)&gt;0)*($H$9&gt;0),$C$9&amp;", ","")&amp;IF((COUNTIFS(TableBOM[Product ID],$D$10,TableBOM[Item ID],$A40)&gt;0)*($H$10&gt;0),$C$10&amp;", ","")&amp;IF((COUNTIFS(TableBOM[Product ID],$D$11,TableBOM[Item ID],$A40)&gt;0)*($H$11&gt;0),$C$11&amp;", ","")&amp;IF((COUNTIFS(TableBOM[Product ID],$D$12,TableBOM[Item ID],$A40)&gt;0)*($H$12&gt;0),$C$12&amp;", ",""),LEN(IF((COUNTIFS(TableBOM[Product ID],$D$3,TableBOM[Item ID],$A40)&gt;0)*($H$3&gt;0),$C$3&amp;", ","")&amp;IF((COUNTIFS(TableBOM[Product ID],$D$4,TableBOM[Item ID],$A40)&gt;0)*($H$4&gt;0),$C$4&amp;", ","")&amp;IF((COUNTIFS(TableBOM[Product ID],$D$5,TableBOM[Item ID],$A40)&gt;0)*($H$5&gt;0),$C$5&amp;", ","")&amp;IF((COUNTIFS(TableBOM[Product ID],$D$6,TableBOM[Item ID],$A40)&gt;0)*($H$6&gt;0),$C$6&amp;", ","")&amp;IF((COUNTIFS(TableBOM[Product ID],$D$7,TableBOM[Item ID],$A40)&gt;0)*($H$7&gt;0),$C$7&amp;", ","")&amp;IF((COUNTIFS(TableBOM[Product ID],$D$8,TableBOM[Item ID],$A40)&gt;0)*($H$8&gt;0),$C$8&amp;", ","")&amp;IF((COUNTIFS(TableBOM[Product ID],$D$9,TableBOM[Item ID],$A40)&gt;0)*($H$9&gt;0),$C$9&amp;", ","")&amp;IF((COUNTIFS(TableBOM[Product ID],$D$10,TableBOM[Item ID],$A40)&gt;0)*($H$10&gt;0),$C$10&amp;", ","")&amp;IF((COUNTIFS(TableBOM[Product ID],$D$11,TableBOM[Item ID],$A40)&gt;0)*($H$11&gt;0),$C$11&amp;", ","")&amp;IF((COUNTIFS(TableBOM[Product ID],$D$12,TableBOM[Item ID],$A40)&gt;0)*($H$12&gt;0),$C$12&amp;", ",""))-2),"")</f>
        <v/>
      </c>
      <c r="I40" s="63">
        <f>IF(LEN(IF((COUNTIFS(TableBOM[Product ID],$D$3,TableBOM[Item ID],$A40)&gt;0)*($H$3&gt;0),$E$3&amp;", ","")&amp;IF((COUNTIFS(TableBOM[Product ID],$D$4,TableBOM[Item ID],$A40)&gt;0)*($H$4&gt;0),$E$4&amp;", ","")&amp;IF((COUNTIFS(TableBOM[Product ID],$D$5,TableBOM[Item ID],$A40)&gt;0)*($H$5&gt;0),$E$5&amp;", ","")&amp;IF((COUNTIFS(TableBOM[Product ID],$D$6,TableBOM[Item ID],$A40)&gt;0)*($H$6&gt;0),$E$6&amp;", ","")&amp;IF((COUNTIFS(TableBOM[Product ID],$D$7,TableBOM[Item ID],$A40)&gt;0)*($H$7&gt;0),$E$7&amp;", ","")&amp;IF((COUNTIFS(TableBOM[Product ID],$D$8,TableBOM[Item ID],$A40)&gt;0)*($H$8&gt;0),$E$8&amp;", ","")&amp;IF((COUNTIFS(TableBOM[Product ID],$D$9,TableBOM[Item ID],$A40)&gt;0)*($H$9&gt;0),$E$9&amp;", ","")&amp;IF((COUNTIFS(TableBOM[Product ID],$D$10,TableBOM[Item ID],$A40)&gt;0)*($H$10&gt;0),$E$10&amp;", ","")&amp;IF((COUNTIFS(TableBOM[Product ID],$D$11,TableBOM[Item ID],$A40)&gt;0)*($H$11&gt;0),$E$11&amp;", ","")&amp;IF((COUNTIFS(TableBOM[Product ID],$D$12,TableBOM[Item ID],$A40)&gt;0)*($H$12&gt;0),$E$12&amp;", ",""))&gt;1,LEFT(IF((COUNTIFS(TableBOM[Product ID],$D$3,TableBOM[Item ID],$A40)&gt;0)*($H$3&gt;0),$E$3&amp;", ","")&amp;IF((COUNTIFS(TableBOM[Product ID],$D$4,TableBOM[Item ID],$A40)&gt;0)*($H$4&gt;0),$E$4&amp;", ","")&amp;IF((COUNTIFS(TableBOM[Product ID],$D$5,TableBOM[Item ID],$A40)&gt;0)*($H$5&gt;0),$E$5&amp;", ","")&amp;IF((COUNTIFS(TableBOM[Product ID],$D$6,TableBOM[Item ID],$A40)&gt;0)*($H$6&gt;0),$E$6&amp;", ","")&amp;IF((COUNTIFS(TableBOM[Product ID],$D$7,TableBOM[Item ID],$A40)&gt;0)*($H$7&gt;0),$E$7&amp;", ","")&amp;IF((COUNTIFS(TableBOM[Product ID],$D$8,TableBOM[Item ID],$A40)&gt;0)*($H$8&gt;0),$E$8&amp;", ","")&amp;IF((COUNTIFS(TableBOM[Product ID],$D$9,TableBOM[Item ID],$A40)&gt;0)*($H$9&gt;0),$E$9&amp;", ","")&amp;IF((COUNTIFS(TableBOM[Product ID],$D$10,TableBOM[Item ID],$A40)&gt;0)*($H$10&gt;0),$E$10&amp;", ","")&amp;IF((COUNTIFS(TableBOM[Product ID],$D$11,TableBOM[Item ID],$A40)&gt;0)*($H$11&gt;0),$E$11&amp;", ","")&amp;IF((COUNTIFS(TableBOM[Product ID],$D$12,TableBOM[Item ID],$A40)&gt;0)*($H$12&gt;0),$E$12&amp;", ",""),LEN(IF((COUNTIFS(TableBOM[Product ID],$D$3,TableBOM[Item ID],$A40)&gt;0)*($H$3&gt;0),$E$3&amp;", ","")&amp;IF((COUNTIFS(TableBOM[Product ID],$D$4,TableBOM[Item ID],$A40)&gt;0)*($H$4&gt;0),$E$4&amp;", ","")&amp;IF((COUNTIFS(TableBOM[Product ID],$D$5,TableBOM[Item ID],$A40)&gt;0)*($H$5&gt;0),$E$5&amp;", ","")&amp;IF((COUNTIFS(TableBOM[Product ID],$D$6,TableBOM[Item ID],$A40)&gt;0)*($H$6&gt;0),$E$6&amp;", ","")&amp;IF((COUNTIFS(TableBOM[Product ID],$D$7,TableBOM[Item ID],$A40)&gt;0)*($H$7&gt;0),$E$7&amp;", ","")&amp;IF((COUNTIFS(TableBOM[Product ID],$D$8,TableBOM[Item ID],$A40)&gt;0)*($H$8&gt;0),$E$8&amp;", ","")&amp;IF((COUNTIFS(TableBOM[Product ID],$D$9,TableBOM[Item ID],$A40)&gt;0)*($H$9&gt;0),$E$9&amp;", ","")&amp;IF((COUNTIFS(TableBOM[Product ID],$D$10,TableBOM[Item ID],$A40)&gt;0)*($H$10&gt;0),$E$10&amp;", ","")&amp;IF((COUNTIFS(TableBOM[Product ID],$D$11,TableBOM[Item ID],$A40)&gt;0)*($H$11&gt;0),$E$11&amp;", ","")&amp;IF((COUNTIFS(TableBOM[Product ID],$D$12,TableBOM[Item ID],$A40)&gt;0)*($H$12&gt;0),$E$12&amp;", ",""))-2),"")</f>
        <v/>
      </c>
      <c r="J40" s="64">
        <f>IF(E40=0,"Not needed",IF(G40&lt;0,"SHORTAGE",IF(G40&lt;F40*0.1,"LOW","OK")))</f>
        <v/>
      </c>
      <c r="K40" s="64">
        <f>IF(B40&lt;&gt;"CAP","",SUMPRODUCT((ISNUMBER(SEARCH("Cap Not Available",'FG Stock'!$H$4:$H$100)))*('FG Stock'!$I$4:$I$100=A40)*'FG Stock'!$F$4:$F$100))</f>
        <v/>
      </c>
      <c r="L40" s="64">
        <f>IF(E40=0,"",MAX(0,E40+IFERROR(K40*1,0)-F40))</f>
        <v/>
      </c>
    </row>
    <row r="41" hidden="1" ht="15" customHeight="1" s="249">
      <c r="A41" s="55" t="n">
        <v>4157</v>
      </c>
      <c r="B41" s="55" t="inlineStr">
        <is>
          <t>BASE COAT</t>
        </is>
      </c>
      <c r="C41" s="55" t="inlineStr">
        <is>
          <t>SILVER METALLIC 5725100011</t>
        </is>
      </c>
      <c r="D41" s="55" t="inlineStr">
        <is>
          <t>kg</t>
        </is>
      </c>
      <c r="E41" s="61">
        <f>SUMPRODUCT((TableBOM[Item ID]=A41)*TableBOM[Per 1000 Units]*(1+TableBOM[Scrap %])*SUMIF($D$3:$D$12,TableBOM[Product ID],$H$3:$H$12)/1000)</f>
        <v/>
      </c>
      <c r="F41" s="61">
        <f>IFERROR(INDEX(TableInventory[Store Balance],MATCH(A41,TableInventory[Item ID],0)),0)+IFERROR(INDEX(TableInventory[Work In Process],MATCH(A41,TableInventory[Item ID],0)),0)</f>
        <v/>
      </c>
      <c r="G41" s="61">
        <f>F41-E41</f>
        <v/>
      </c>
      <c r="H41" s="62">
        <f>IF(LEN(IF((COUNTIFS(TableBOM[Product ID],$D$3,TableBOM[Item ID],$A41)&gt;0)*($H$3&gt;0),$C$3&amp;", ","")&amp;IF((COUNTIFS(TableBOM[Product ID],$D$4,TableBOM[Item ID],$A41)&gt;0)*($H$4&gt;0),$C$4&amp;", ","")&amp;IF((COUNTIFS(TableBOM[Product ID],$D$5,TableBOM[Item ID],$A41)&gt;0)*($H$5&gt;0),$C$5&amp;", ","")&amp;IF((COUNTIFS(TableBOM[Product ID],$D$6,TableBOM[Item ID],$A41)&gt;0)*($H$6&gt;0),$C$6&amp;", ","")&amp;IF((COUNTIFS(TableBOM[Product ID],$D$7,TableBOM[Item ID],$A41)&gt;0)*($H$7&gt;0),$C$7&amp;", ","")&amp;IF((COUNTIFS(TableBOM[Product ID],$D$8,TableBOM[Item ID],$A41)&gt;0)*($H$8&gt;0),$C$8&amp;", ","")&amp;IF((COUNTIFS(TableBOM[Product ID],$D$9,TableBOM[Item ID],$A41)&gt;0)*($H$9&gt;0),$C$9&amp;", ","")&amp;IF((COUNTIFS(TableBOM[Product ID],$D$10,TableBOM[Item ID],$A41)&gt;0)*($H$10&gt;0),$C$10&amp;", ","")&amp;IF((COUNTIFS(TableBOM[Product ID],$D$11,TableBOM[Item ID],$A41)&gt;0)*($H$11&gt;0),$C$11&amp;", ","")&amp;IF((COUNTIFS(TableBOM[Product ID],$D$12,TableBOM[Item ID],$A41)&gt;0)*($H$12&gt;0),$C$12&amp;", ",""))&gt;1,LEFT(IF((COUNTIFS(TableBOM[Product ID],$D$3,TableBOM[Item ID],$A41)&gt;0)*($H$3&gt;0),$C$3&amp;", ","")&amp;IF((COUNTIFS(TableBOM[Product ID],$D$4,TableBOM[Item ID],$A41)&gt;0)*($H$4&gt;0),$C$4&amp;", ","")&amp;IF((COUNTIFS(TableBOM[Product ID],$D$5,TableBOM[Item ID],$A41)&gt;0)*($H$5&gt;0),$C$5&amp;", ","")&amp;IF((COUNTIFS(TableBOM[Product ID],$D$6,TableBOM[Item ID],$A41)&gt;0)*($H$6&gt;0),$C$6&amp;", ","")&amp;IF((COUNTIFS(TableBOM[Product ID],$D$7,TableBOM[Item ID],$A41)&gt;0)*($H$7&gt;0),$C$7&amp;", ","")&amp;IF((COUNTIFS(TableBOM[Product ID],$D$8,TableBOM[Item ID],$A41)&gt;0)*($H$8&gt;0),$C$8&amp;", ","")&amp;IF((COUNTIFS(TableBOM[Product ID],$D$9,TableBOM[Item ID],$A41)&gt;0)*($H$9&gt;0),$C$9&amp;", ","")&amp;IF((COUNTIFS(TableBOM[Product ID],$D$10,TableBOM[Item ID],$A41)&gt;0)*($H$10&gt;0),$C$10&amp;", ","")&amp;IF((COUNTIFS(TableBOM[Product ID],$D$11,TableBOM[Item ID],$A41)&gt;0)*($H$11&gt;0),$C$11&amp;", ","")&amp;IF((COUNTIFS(TableBOM[Product ID],$D$12,TableBOM[Item ID],$A41)&gt;0)*($H$12&gt;0),$C$12&amp;", ",""),LEN(IF((COUNTIFS(TableBOM[Product ID],$D$3,TableBOM[Item ID],$A41)&gt;0)*($H$3&gt;0),$C$3&amp;", ","")&amp;IF((COUNTIFS(TableBOM[Product ID],$D$4,TableBOM[Item ID],$A41)&gt;0)*($H$4&gt;0),$C$4&amp;", ","")&amp;IF((COUNTIFS(TableBOM[Product ID],$D$5,TableBOM[Item ID],$A41)&gt;0)*($H$5&gt;0),$C$5&amp;", ","")&amp;IF((COUNTIFS(TableBOM[Product ID],$D$6,TableBOM[Item ID],$A41)&gt;0)*($H$6&gt;0),$C$6&amp;", ","")&amp;IF((COUNTIFS(TableBOM[Product ID],$D$7,TableBOM[Item ID],$A41)&gt;0)*($H$7&gt;0),$C$7&amp;", ","")&amp;IF((COUNTIFS(TableBOM[Product ID],$D$8,TableBOM[Item ID],$A41)&gt;0)*($H$8&gt;0),$C$8&amp;", ","")&amp;IF((COUNTIFS(TableBOM[Product ID],$D$9,TableBOM[Item ID],$A41)&gt;0)*($H$9&gt;0),$C$9&amp;", ","")&amp;IF((COUNTIFS(TableBOM[Product ID],$D$10,TableBOM[Item ID],$A41)&gt;0)*($H$10&gt;0),$C$10&amp;", ","")&amp;IF((COUNTIFS(TableBOM[Product ID],$D$11,TableBOM[Item ID],$A41)&gt;0)*($H$11&gt;0),$C$11&amp;", ","")&amp;IF((COUNTIFS(TableBOM[Product ID],$D$12,TableBOM[Item ID],$A41)&gt;0)*($H$12&gt;0),$C$12&amp;", ",""))-2),"")</f>
        <v/>
      </c>
      <c r="I41" s="63">
        <f>IF(LEN(IF((COUNTIFS(TableBOM[Product ID],$D$3,TableBOM[Item ID],$A41)&gt;0)*($H$3&gt;0),$E$3&amp;", ","")&amp;IF((COUNTIFS(TableBOM[Product ID],$D$4,TableBOM[Item ID],$A41)&gt;0)*($H$4&gt;0),$E$4&amp;", ","")&amp;IF((COUNTIFS(TableBOM[Product ID],$D$5,TableBOM[Item ID],$A41)&gt;0)*($H$5&gt;0),$E$5&amp;", ","")&amp;IF((COUNTIFS(TableBOM[Product ID],$D$6,TableBOM[Item ID],$A41)&gt;0)*($H$6&gt;0),$E$6&amp;", ","")&amp;IF((COUNTIFS(TableBOM[Product ID],$D$7,TableBOM[Item ID],$A41)&gt;0)*($H$7&gt;0),$E$7&amp;", ","")&amp;IF((COUNTIFS(TableBOM[Product ID],$D$8,TableBOM[Item ID],$A41)&gt;0)*($H$8&gt;0),$E$8&amp;", ","")&amp;IF((COUNTIFS(TableBOM[Product ID],$D$9,TableBOM[Item ID],$A41)&gt;0)*($H$9&gt;0),$E$9&amp;", ","")&amp;IF((COUNTIFS(TableBOM[Product ID],$D$10,TableBOM[Item ID],$A41)&gt;0)*($H$10&gt;0),$E$10&amp;", ","")&amp;IF((COUNTIFS(TableBOM[Product ID],$D$11,TableBOM[Item ID],$A41)&gt;0)*($H$11&gt;0),$E$11&amp;", ","")&amp;IF((COUNTIFS(TableBOM[Product ID],$D$12,TableBOM[Item ID],$A41)&gt;0)*($H$12&gt;0),$E$12&amp;", ",""))&gt;1,LEFT(IF((COUNTIFS(TableBOM[Product ID],$D$3,TableBOM[Item ID],$A41)&gt;0)*($H$3&gt;0),$E$3&amp;", ","")&amp;IF((COUNTIFS(TableBOM[Product ID],$D$4,TableBOM[Item ID],$A41)&gt;0)*($H$4&gt;0),$E$4&amp;", ","")&amp;IF((COUNTIFS(TableBOM[Product ID],$D$5,TableBOM[Item ID],$A41)&gt;0)*($H$5&gt;0),$E$5&amp;", ","")&amp;IF((COUNTIFS(TableBOM[Product ID],$D$6,TableBOM[Item ID],$A41)&gt;0)*($H$6&gt;0),$E$6&amp;", ","")&amp;IF((COUNTIFS(TableBOM[Product ID],$D$7,TableBOM[Item ID],$A41)&gt;0)*($H$7&gt;0),$E$7&amp;", ","")&amp;IF((COUNTIFS(TableBOM[Product ID],$D$8,TableBOM[Item ID],$A41)&gt;0)*($H$8&gt;0),$E$8&amp;", ","")&amp;IF((COUNTIFS(TableBOM[Product ID],$D$9,TableBOM[Item ID],$A41)&gt;0)*($H$9&gt;0),$E$9&amp;", ","")&amp;IF((COUNTIFS(TableBOM[Product ID],$D$10,TableBOM[Item ID],$A41)&gt;0)*($H$10&gt;0),$E$10&amp;", ","")&amp;IF((COUNTIFS(TableBOM[Product ID],$D$11,TableBOM[Item ID],$A41)&gt;0)*($H$11&gt;0),$E$11&amp;", ","")&amp;IF((COUNTIFS(TableBOM[Product ID],$D$12,TableBOM[Item ID],$A41)&gt;0)*($H$12&gt;0),$E$12&amp;", ",""),LEN(IF((COUNTIFS(TableBOM[Product ID],$D$3,TableBOM[Item ID],$A41)&gt;0)*($H$3&gt;0),$E$3&amp;", ","")&amp;IF((COUNTIFS(TableBOM[Product ID],$D$4,TableBOM[Item ID],$A41)&gt;0)*($H$4&gt;0),$E$4&amp;", ","")&amp;IF((COUNTIFS(TableBOM[Product ID],$D$5,TableBOM[Item ID],$A41)&gt;0)*($H$5&gt;0),$E$5&amp;", ","")&amp;IF((COUNTIFS(TableBOM[Product ID],$D$6,TableBOM[Item ID],$A41)&gt;0)*($H$6&gt;0),$E$6&amp;", ","")&amp;IF((COUNTIFS(TableBOM[Product ID],$D$7,TableBOM[Item ID],$A41)&gt;0)*($H$7&gt;0),$E$7&amp;", ","")&amp;IF((COUNTIFS(TableBOM[Product ID],$D$8,TableBOM[Item ID],$A41)&gt;0)*($H$8&gt;0),$E$8&amp;", ","")&amp;IF((COUNTIFS(TableBOM[Product ID],$D$9,TableBOM[Item ID],$A41)&gt;0)*($H$9&gt;0),$E$9&amp;", ","")&amp;IF((COUNTIFS(TableBOM[Product ID],$D$10,TableBOM[Item ID],$A41)&gt;0)*($H$10&gt;0),$E$10&amp;", ","")&amp;IF((COUNTIFS(TableBOM[Product ID],$D$11,TableBOM[Item ID],$A41)&gt;0)*($H$11&gt;0),$E$11&amp;", ","")&amp;IF((COUNTIFS(TableBOM[Product ID],$D$12,TableBOM[Item ID],$A41)&gt;0)*($H$12&gt;0),$E$12&amp;", ",""))-2),"")</f>
        <v/>
      </c>
      <c r="J41" s="64">
        <f>IF(E41=0,"Not needed",IF(G41&lt;0,"SHORTAGE",IF(G41&lt;F41*0.1,"LOW","OK")))</f>
        <v/>
      </c>
      <c r="K41" s="64">
        <f>IF(B41&lt;&gt;"CAP","",SUMPRODUCT((ISNUMBER(SEARCH("Cap Not Available",'FG Stock'!$H$4:$H$100)))*('FG Stock'!$I$4:$I$100=A41)*'FG Stock'!$F$4:$F$100))</f>
        <v/>
      </c>
      <c r="L41" s="64">
        <f>IF(E41=0,"",MAX(0,E41+IFERROR(K41*1,0)-F41))</f>
        <v/>
      </c>
    </row>
    <row r="42" hidden="1" ht="15" customHeight="1" s="249">
      <c r="A42" s="55" t="n">
        <v>5895</v>
      </c>
      <c r="B42" s="55" t="inlineStr">
        <is>
          <t>BASE COAT</t>
        </is>
      </c>
      <c r="C42" s="55" t="inlineStr">
        <is>
          <t>GOLD METALLIC ALM-550-234</t>
        </is>
      </c>
      <c r="D42" s="55" t="inlineStr">
        <is>
          <t>kg</t>
        </is>
      </c>
      <c r="E42" s="61">
        <f>SUMPRODUCT((TableBOM[Item ID]=A42)*TableBOM[Per 1000 Units]*(1+TableBOM[Scrap %])*SUMIF($D$3:$D$12,TableBOM[Product ID],$H$3:$H$12)/1000)</f>
        <v/>
      </c>
      <c r="F42" s="61">
        <f>IFERROR(INDEX(TableInventory[Store Balance],MATCH(A42,TableInventory[Item ID],0)),0)+IFERROR(INDEX(TableInventory[Work In Process],MATCH(A42,TableInventory[Item ID],0)),0)</f>
        <v/>
      </c>
      <c r="G42" s="61">
        <f>F42-E42</f>
        <v/>
      </c>
      <c r="H42" s="62">
        <f>IF(LEN(IF((COUNTIFS(TableBOM[Product ID],$D$3,TableBOM[Item ID],$A42)&gt;0)*($H$3&gt;0),$C$3&amp;", ","")&amp;IF((COUNTIFS(TableBOM[Product ID],$D$4,TableBOM[Item ID],$A42)&gt;0)*($H$4&gt;0),$C$4&amp;", ","")&amp;IF((COUNTIFS(TableBOM[Product ID],$D$5,TableBOM[Item ID],$A42)&gt;0)*($H$5&gt;0),$C$5&amp;", ","")&amp;IF((COUNTIFS(TableBOM[Product ID],$D$6,TableBOM[Item ID],$A42)&gt;0)*($H$6&gt;0),$C$6&amp;", ","")&amp;IF((COUNTIFS(TableBOM[Product ID],$D$7,TableBOM[Item ID],$A42)&gt;0)*($H$7&gt;0),$C$7&amp;", ","")&amp;IF((COUNTIFS(TableBOM[Product ID],$D$8,TableBOM[Item ID],$A42)&gt;0)*($H$8&gt;0),$C$8&amp;", ","")&amp;IF((COUNTIFS(TableBOM[Product ID],$D$9,TableBOM[Item ID],$A42)&gt;0)*($H$9&gt;0),$C$9&amp;", ","")&amp;IF((COUNTIFS(TableBOM[Product ID],$D$10,TableBOM[Item ID],$A42)&gt;0)*($H$10&gt;0),$C$10&amp;", ","")&amp;IF((COUNTIFS(TableBOM[Product ID],$D$11,TableBOM[Item ID],$A42)&gt;0)*($H$11&gt;0),$C$11&amp;", ","")&amp;IF((COUNTIFS(TableBOM[Product ID],$D$12,TableBOM[Item ID],$A42)&gt;0)*($H$12&gt;0),$C$12&amp;", ",""))&gt;1,LEFT(IF((COUNTIFS(TableBOM[Product ID],$D$3,TableBOM[Item ID],$A42)&gt;0)*($H$3&gt;0),$C$3&amp;", ","")&amp;IF((COUNTIFS(TableBOM[Product ID],$D$4,TableBOM[Item ID],$A42)&gt;0)*($H$4&gt;0),$C$4&amp;", ","")&amp;IF((COUNTIFS(TableBOM[Product ID],$D$5,TableBOM[Item ID],$A42)&gt;0)*($H$5&gt;0),$C$5&amp;", ","")&amp;IF((COUNTIFS(TableBOM[Product ID],$D$6,TableBOM[Item ID],$A42)&gt;0)*($H$6&gt;0),$C$6&amp;", ","")&amp;IF((COUNTIFS(TableBOM[Product ID],$D$7,TableBOM[Item ID],$A42)&gt;0)*($H$7&gt;0),$C$7&amp;", ","")&amp;IF((COUNTIFS(TableBOM[Product ID],$D$8,TableBOM[Item ID],$A42)&gt;0)*($H$8&gt;0),$C$8&amp;", ","")&amp;IF((COUNTIFS(TableBOM[Product ID],$D$9,TableBOM[Item ID],$A42)&gt;0)*($H$9&gt;0),$C$9&amp;", ","")&amp;IF((COUNTIFS(TableBOM[Product ID],$D$10,TableBOM[Item ID],$A42)&gt;0)*($H$10&gt;0),$C$10&amp;", ","")&amp;IF((COUNTIFS(TableBOM[Product ID],$D$11,TableBOM[Item ID],$A42)&gt;0)*($H$11&gt;0),$C$11&amp;", ","")&amp;IF((COUNTIFS(TableBOM[Product ID],$D$12,TableBOM[Item ID],$A42)&gt;0)*($H$12&gt;0),$C$12&amp;", ",""),LEN(IF((COUNTIFS(TableBOM[Product ID],$D$3,TableBOM[Item ID],$A42)&gt;0)*($H$3&gt;0),$C$3&amp;", ","")&amp;IF((COUNTIFS(TableBOM[Product ID],$D$4,TableBOM[Item ID],$A42)&gt;0)*($H$4&gt;0),$C$4&amp;", ","")&amp;IF((COUNTIFS(TableBOM[Product ID],$D$5,TableBOM[Item ID],$A42)&gt;0)*($H$5&gt;0),$C$5&amp;", ","")&amp;IF((COUNTIFS(TableBOM[Product ID],$D$6,TableBOM[Item ID],$A42)&gt;0)*($H$6&gt;0),$C$6&amp;", ","")&amp;IF((COUNTIFS(TableBOM[Product ID],$D$7,TableBOM[Item ID],$A42)&gt;0)*($H$7&gt;0),$C$7&amp;", ","")&amp;IF((COUNTIFS(TableBOM[Product ID],$D$8,TableBOM[Item ID],$A42)&gt;0)*($H$8&gt;0),$C$8&amp;", ","")&amp;IF((COUNTIFS(TableBOM[Product ID],$D$9,TableBOM[Item ID],$A42)&gt;0)*($H$9&gt;0),$C$9&amp;", ","")&amp;IF((COUNTIFS(TableBOM[Product ID],$D$10,TableBOM[Item ID],$A42)&gt;0)*($H$10&gt;0),$C$10&amp;", ","")&amp;IF((COUNTIFS(TableBOM[Product ID],$D$11,TableBOM[Item ID],$A42)&gt;0)*($H$11&gt;0),$C$11&amp;", ","")&amp;IF((COUNTIFS(TableBOM[Product ID],$D$12,TableBOM[Item ID],$A42)&gt;0)*($H$12&gt;0),$C$12&amp;", ",""))-2),"")</f>
        <v/>
      </c>
      <c r="I42" s="63">
        <f>IF(LEN(IF((COUNTIFS(TableBOM[Product ID],$D$3,TableBOM[Item ID],$A42)&gt;0)*($H$3&gt;0),$E$3&amp;", ","")&amp;IF((COUNTIFS(TableBOM[Product ID],$D$4,TableBOM[Item ID],$A42)&gt;0)*($H$4&gt;0),$E$4&amp;", ","")&amp;IF((COUNTIFS(TableBOM[Product ID],$D$5,TableBOM[Item ID],$A42)&gt;0)*($H$5&gt;0),$E$5&amp;", ","")&amp;IF((COUNTIFS(TableBOM[Product ID],$D$6,TableBOM[Item ID],$A42)&gt;0)*($H$6&gt;0),$E$6&amp;", ","")&amp;IF((COUNTIFS(TableBOM[Product ID],$D$7,TableBOM[Item ID],$A42)&gt;0)*($H$7&gt;0),$E$7&amp;", ","")&amp;IF((COUNTIFS(TableBOM[Product ID],$D$8,TableBOM[Item ID],$A42)&gt;0)*($H$8&gt;0),$E$8&amp;", ","")&amp;IF((COUNTIFS(TableBOM[Product ID],$D$9,TableBOM[Item ID],$A42)&gt;0)*($H$9&gt;0),$E$9&amp;", ","")&amp;IF((COUNTIFS(TableBOM[Product ID],$D$10,TableBOM[Item ID],$A42)&gt;0)*($H$10&gt;0),$E$10&amp;", ","")&amp;IF((COUNTIFS(TableBOM[Product ID],$D$11,TableBOM[Item ID],$A42)&gt;0)*($H$11&gt;0),$E$11&amp;", ","")&amp;IF((COUNTIFS(TableBOM[Product ID],$D$12,TableBOM[Item ID],$A42)&gt;0)*($H$12&gt;0),$E$12&amp;", ",""))&gt;1,LEFT(IF((COUNTIFS(TableBOM[Product ID],$D$3,TableBOM[Item ID],$A42)&gt;0)*($H$3&gt;0),$E$3&amp;", ","")&amp;IF((COUNTIFS(TableBOM[Product ID],$D$4,TableBOM[Item ID],$A42)&gt;0)*($H$4&gt;0),$E$4&amp;", ","")&amp;IF((COUNTIFS(TableBOM[Product ID],$D$5,TableBOM[Item ID],$A42)&gt;0)*($H$5&gt;0),$E$5&amp;", ","")&amp;IF((COUNTIFS(TableBOM[Product ID],$D$6,TableBOM[Item ID],$A42)&gt;0)*($H$6&gt;0),$E$6&amp;", ","")&amp;IF((COUNTIFS(TableBOM[Product ID],$D$7,TableBOM[Item ID],$A42)&gt;0)*($H$7&gt;0),$E$7&amp;", ","")&amp;IF((COUNTIFS(TableBOM[Product ID],$D$8,TableBOM[Item ID],$A42)&gt;0)*($H$8&gt;0),$E$8&amp;", ","")&amp;IF((COUNTIFS(TableBOM[Product ID],$D$9,TableBOM[Item ID],$A42)&gt;0)*($H$9&gt;0),$E$9&amp;", ","")&amp;IF((COUNTIFS(TableBOM[Product ID],$D$10,TableBOM[Item ID],$A42)&gt;0)*($H$10&gt;0),$E$10&amp;", ","")&amp;IF((COUNTIFS(TableBOM[Product ID],$D$11,TableBOM[Item ID],$A42)&gt;0)*($H$11&gt;0),$E$11&amp;", ","")&amp;IF((COUNTIFS(TableBOM[Product ID],$D$12,TableBOM[Item ID],$A42)&gt;0)*($H$12&gt;0),$E$12&amp;", ",""),LEN(IF((COUNTIFS(TableBOM[Product ID],$D$3,TableBOM[Item ID],$A42)&gt;0)*($H$3&gt;0),$E$3&amp;", ","")&amp;IF((COUNTIFS(TableBOM[Product ID],$D$4,TableBOM[Item ID],$A42)&gt;0)*($H$4&gt;0),$E$4&amp;", ","")&amp;IF((COUNTIFS(TableBOM[Product ID],$D$5,TableBOM[Item ID],$A42)&gt;0)*($H$5&gt;0),$E$5&amp;", ","")&amp;IF((COUNTIFS(TableBOM[Product ID],$D$6,TableBOM[Item ID],$A42)&gt;0)*($H$6&gt;0),$E$6&amp;", ","")&amp;IF((COUNTIFS(TableBOM[Product ID],$D$7,TableBOM[Item ID],$A42)&gt;0)*($H$7&gt;0),$E$7&amp;", ","")&amp;IF((COUNTIFS(TableBOM[Product ID],$D$8,TableBOM[Item ID],$A42)&gt;0)*($H$8&gt;0),$E$8&amp;", ","")&amp;IF((COUNTIFS(TableBOM[Product ID],$D$9,TableBOM[Item ID],$A42)&gt;0)*($H$9&gt;0),$E$9&amp;", ","")&amp;IF((COUNTIFS(TableBOM[Product ID],$D$10,TableBOM[Item ID],$A42)&gt;0)*($H$10&gt;0),$E$10&amp;", ","")&amp;IF((COUNTIFS(TableBOM[Product ID],$D$11,TableBOM[Item ID],$A42)&gt;0)*($H$11&gt;0),$E$11&amp;", ","")&amp;IF((COUNTIFS(TableBOM[Product ID],$D$12,TableBOM[Item ID],$A42)&gt;0)*($H$12&gt;0),$E$12&amp;", ",""))-2),"")</f>
        <v/>
      </c>
      <c r="J42" s="64">
        <f>IF(E42=0,"Not needed",IF(G42&lt;0,"SHORTAGE",IF(G42&lt;F42*0.1,"LOW","OK")))</f>
        <v/>
      </c>
      <c r="K42" s="64">
        <f>IF(B42&lt;&gt;"CAP","",SUMPRODUCT((ISNUMBER(SEARCH("Cap Not Available",'FG Stock'!$H$4:$H$100)))*('FG Stock'!$I$4:$I$100=A42)*'FG Stock'!$F$4:$F$100))</f>
        <v/>
      </c>
      <c r="L42" s="64">
        <f>IF(E42=0,"",MAX(0,E42+IFERROR(K42*1,0)-F42))</f>
        <v/>
      </c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" t="n"/>
    </row>
    <row r="43" hidden="1" ht="15" customHeight="1" s="249">
      <c r="A43" s="55" t="n">
        <v>5974</v>
      </c>
      <c r="B43" s="55" t="inlineStr">
        <is>
          <t>BASE COAT</t>
        </is>
      </c>
      <c r="C43" s="55" t="inlineStr">
        <is>
          <t>P11 TBX HT VARNISH (PC 176)</t>
        </is>
      </c>
      <c r="D43" s="55" t="inlineStr">
        <is>
          <t>L</t>
        </is>
      </c>
      <c r="E43" s="61">
        <f>SUMPRODUCT((TableBOM[Item ID]=A43)*TableBOM[Per 1000 Units]*(1+TableBOM[Scrap %])*SUMIF($D$3:$D$12,TableBOM[Product ID],$H$3:$H$12)/1000)</f>
        <v/>
      </c>
      <c r="F43" s="61">
        <f>IFERROR(INDEX(TableInventory[Store Balance],MATCH(A43,TableInventory[Item ID],0)),0)+IFERROR(INDEX(TableInventory[Work In Process],MATCH(A43,TableInventory[Item ID],0)),0)</f>
        <v/>
      </c>
      <c r="G43" s="61">
        <f>F43-E43</f>
        <v/>
      </c>
      <c r="H43" s="62">
        <f>IF(LEN(IF((COUNTIFS(TableBOM[Product ID],$D$3,TableBOM[Item ID],$A43)&gt;0)*($H$3&gt;0),$C$3&amp;", ","")&amp;IF((COUNTIFS(TableBOM[Product ID],$D$4,TableBOM[Item ID],$A43)&gt;0)*($H$4&gt;0),$C$4&amp;", ","")&amp;IF((COUNTIFS(TableBOM[Product ID],$D$5,TableBOM[Item ID],$A43)&gt;0)*($H$5&gt;0),$C$5&amp;", ","")&amp;IF((COUNTIFS(TableBOM[Product ID],$D$6,TableBOM[Item ID],$A43)&gt;0)*($H$6&gt;0),$C$6&amp;", ","")&amp;IF((COUNTIFS(TableBOM[Product ID],$D$7,TableBOM[Item ID],$A43)&gt;0)*($H$7&gt;0),$C$7&amp;", ","")&amp;IF((COUNTIFS(TableBOM[Product ID],$D$8,TableBOM[Item ID],$A43)&gt;0)*($H$8&gt;0),$C$8&amp;", ","")&amp;IF((COUNTIFS(TableBOM[Product ID],$D$9,TableBOM[Item ID],$A43)&gt;0)*($H$9&gt;0),$C$9&amp;", ","")&amp;IF((COUNTIFS(TableBOM[Product ID],$D$10,TableBOM[Item ID],$A43)&gt;0)*($H$10&gt;0),$C$10&amp;", ","")&amp;IF((COUNTIFS(TableBOM[Product ID],$D$11,TableBOM[Item ID],$A43)&gt;0)*($H$11&gt;0),$C$11&amp;", ","")&amp;IF((COUNTIFS(TableBOM[Product ID],$D$12,TableBOM[Item ID],$A43)&gt;0)*($H$12&gt;0),$C$12&amp;", ",""))&gt;1,LEFT(IF((COUNTIFS(TableBOM[Product ID],$D$3,TableBOM[Item ID],$A43)&gt;0)*($H$3&gt;0),$C$3&amp;", ","")&amp;IF((COUNTIFS(TableBOM[Product ID],$D$4,TableBOM[Item ID],$A43)&gt;0)*($H$4&gt;0),$C$4&amp;", ","")&amp;IF((COUNTIFS(TableBOM[Product ID],$D$5,TableBOM[Item ID],$A43)&gt;0)*($H$5&gt;0),$C$5&amp;", ","")&amp;IF((COUNTIFS(TableBOM[Product ID],$D$6,TableBOM[Item ID],$A43)&gt;0)*($H$6&gt;0),$C$6&amp;", ","")&amp;IF((COUNTIFS(TableBOM[Product ID],$D$7,TableBOM[Item ID],$A43)&gt;0)*($H$7&gt;0),$C$7&amp;", ","")&amp;IF((COUNTIFS(TableBOM[Product ID],$D$8,TableBOM[Item ID],$A43)&gt;0)*($H$8&gt;0),$C$8&amp;", ","")&amp;IF((COUNTIFS(TableBOM[Product ID],$D$9,TableBOM[Item ID],$A43)&gt;0)*($H$9&gt;0),$C$9&amp;", ","")&amp;IF((COUNTIFS(TableBOM[Product ID],$D$10,TableBOM[Item ID],$A43)&gt;0)*($H$10&gt;0),$C$10&amp;", ","")&amp;IF((COUNTIFS(TableBOM[Product ID],$D$11,TableBOM[Item ID],$A43)&gt;0)*($H$11&gt;0),$C$11&amp;", ","")&amp;IF((COUNTIFS(TableBOM[Product ID],$D$12,TableBOM[Item ID],$A43)&gt;0)*($H$12&gt;0),$C$12&amp;", ",""),LEN(IF((COUNTIFS(TableBOM[Product ID],$D$3,TableBOM[Item ID],$A43)&gt;0)*($H$3&gt;0),$C$3&amp;", ","")&amp;IF((COUNTIFS(TableBOM[Product ID],$D$4,TableBOM[Item ID],$A43)&gt;0)*($H$4&gt;0),$C$4&amp;", ","")&amp;IF((COUNTIFS(TableBOM[Product ID],$D$5,TableBOM[Item ID],$A43)&gt;0)*($H$5&gt;0),$C$5&amp;", ","")&amp;IF((COUNTIFS(TableBOM[Product ID],$D$6,TableBOM[Item ID],$A43)&gt;0)*($H$6&gt;0),$C$6&amp;", ","")&amp;IF((COUNTIFS(TableBOM[Product ID],$D$7,TableBOM[Item ID],$A43)&gt;0)*($H$7&gt;0),$C$7&amp;", ","")&amp;IF((COUNTIFS(TableBOM[Product ID],$D$8,TableBOM[Item ID],$A43)&gt;0)*($H$8&gt;0),$C$8&amp;", ","")&amp;IF((COUNTIFS(TableBOM[Product ID],$D$9,TableBOM[Item ID],$A43)&gt;0)*($H$9&gt;0),$C$9&amp;", ","")&amp;IF((COUNTIFS(TableBOM[Product ID],$D$10,TableBOM[Item ID],$A43)&gt;0)*($H$10&gt;0),$C$10&amp;", ","")&amp;IF((COUNTIFS(TableBOM[Product ID],$D$11,TableBOM[Item ID],$A43)&gt;0)*($H$11&gt;0),$C$11&amp;", ","")&amp;IF((COUNTIFS(TableBOM[Product ID],$D$12,TableBOM[Item ID],$A43)&gt;0)*($H$12&gt;0),$C$12&amp;", ",""))-2),"")</f>
        <v/>
      </c>
      <c r="I43" s="63">
        <f>IF(LEN(IF((COUNTIFS(TableBOM[Product ID],$D$3,TableBOM[Item ID],$A43)&gt;0)*($H$3&gt;0),$E$3&amp;", ","")&amp;IF((COUNTIFS(TableBOM[Product ID],$D$4,TableBOM[Item ID],$A43)&gt;0)*($H$4&gt;0),$E$4&amp;", ","")&amp;IF((COUNTIFS(TableBOM[Product ID],$D$5,TableBOM[Item ID],$A43)&gt;0)*($H$5&gt;0),$E$5&amp;", ","")&amp;IF((COUNTIFS(TableBOM[Product ID],$D$6,TableBOM[Item ID],$A43)&gt;0)*($H$6&gt;0),$E$6&amp;", ","")&amp;IF((COUNTIFS(TableBOM[Product ID],$D$7,TableBOM[Item ID],$A43)&gt;0)*($H$7&gt;0),$E$7&amp;", ","")&amp;IF((COUNTIFS(TableBOM[Product ID],$D$8,TableBOM[Item ID],$A43)&gt;0)*($H$8&gt;0),$E$8&amp;", ","")&amp;IF((COUNTIFS(TableBOM[Product ID],$D$9,TableBOM[Item ID],$A43)&gt;0)*($H$9&gt;0),$E$9&amp;", ","")&amp;IF((COUNTIFS(TableBOM[Product ID],$D$10,TableBOM[Item ID],$A43)&gt;0)*($H$10&gt;0),$E$10&amp;", ","")&amp;IF((COUNTIFS(TableBOM[Product ID],$D$11,TableBOM[Item ID],$A43)&gt;0)*($H$11&gt;0),$E$11&amp;", ","")&amp;IF((COUNTIFS(TableBOM[Product ID],$D$12,TableBOM[Item ID],$A43)&gt;0)*($H$12&gt;0),$E$12&amp;", ",""))&gt;1,LEFT(IF((COUNTIFS(TableBOM[Product ID],$D$3,TableBOM[Item ID],$A43)&gt;0)*($H$3&gt;0),$E$3&amp;", ","")&amp;IF((COUNTIFS(TableBOM[Product ID],$D$4,TableBOM[Item ID],$A43)&gt;0)*($H$4&gt;0),$E$4&amp;", ","")&amp;IF((COUNTIFS(TableBOM[Product ID],$D$5,TableBOM[Item ID],$A43)&gt;0)*($H$5&gt;0),$E$5&amp;", ","")&amp;IF((COUNTIFS(TableBOM[Product ID],$D$6,TableBOM[Item ID],$A43)&gt;0)*($H$6&gt;0),$E$6&amp;", ","")&amp;IF((COUNTIFS(TableBOM[Product ID],$D$7,TableBOM[Item ID],$A43)&gt;0)*($H$7&gt;0),$E$7&amp;", ","")&amp;IF((COUNTIFS(TableBOM[Product ID],$D$8,TableBOM[Item ID],$A43)&gt;0)*($H$8&gt;0),$E$8&amp;", ","")&amp;IF((COUNTIFS(TableBOM[Product ID],$D$9,TableBOM[Item ID],$A43)&gt;0)*($H$9&gt;0),$E$9&amp;", ","")&amp;IF((COUNTIFS(TableBOM[Product ID],$D$10,TableBOM[Item ID],$A43)&gt;0)*($H$10&gt;0),$E$10&amp;", ","")&amp;IF((COUNTIFS(TableBOM[Product ID],$D$11,TableBOM[Item ID],$A43)&gt;0)*($H$11&gt;0),$E$11&amp;", ","")&amp;IF((COUNTIFS(TableBOM[Product ID],$D$12,TableBOM[Item ID],$A43)&gt;0)*($H$12&gt;0),$E$12&amp;", ",""),LEN(IF((COUNTIFS(TableBOM[Product ID],$D$3,TableBOM[Item ID],$A43)&gt;0)*($H$3&gt;0),$E$3&amp;", ","")&amp;IF((COUNTIFS(TableBOM[Product ID],$D$4,TableBOM[Item ID],$A43)&gt;0)*($H$4&gt;0),$E$4&amp;", ","")&amp;IF((COUNTIFS(TableBOM[Product ID],$D$5,TableBOM[Item ID],$A43)&gt;0)*($H$5&gt;0),$E$5&amp;", ","")&amp;IF((COUNTIFS(TableBOM[Product ID],$D$6,TableBOM[Item ID],$A43)&gt;0)*($H$6&gt;0),$E$6&amp;", ","")&amp;IF((COUNTIFS(TableBOM[Product ID],$D$7,TableBOM[Item ID],$A43)&gt;0)*($H$7&gt;0),$E$7&amp;", ","")&amp;IF((COUNTIFS(TableBOM[Product ID],$D$8,TableBOM[Item ID],$A43)&gt;0)*($H$8&gt;0),$E$8&amp;", ","")&amp;IF((COUNTIFS(TableBOM[Product ID],$D$9,TableBOM[Item ID],$A43)&gt;0)*($H$9&gt;0),$E$9&amp;", ","")&amp;IF((COUNTIFS(TableBOM[Product ID],$D$10,TableBOM[Item ID],$A43)&gt;0)*($H$10&gt;0),$E$10&amp;", ","")&amp;IF((COUNTIFS(TableBOM[Product ID],$D$11,TableBOM[Item ID],$A43)&gt;0)*($H$11&gt;0),$E$11&amp;", ","")&amp;IF((COUNTIFS(TableBOM[Product ID],$D$12,TableBOM[Item ID],$A43)&gt;0)*($H$12&gt;0),$E$12&amp;", ",""))-2),"")</f>
        <v/>
      </c>
      <c r="J43" s="64">
        <f>IF(E43=0,"Not needed",IF(G43&lt;0,"SHORTAGE",IF(G43&lt;F43*0.1,"LOW","OK")))</f>
        <v/>
      </c>
      <c r="K43" s="64">
        <f>IF(B43&lt;&gt;"CAP","",SUMPRODUCT((ISNUMBER(SEARCH("Cap Not Available",'FG Stock'!$H$4:$H$100)))*('FG Stock'!$I$4:$I$100=A43)*'FG Stock'!$F$4:$F$100))</f>
        <v/>
      </c>
      <c r="L43" s="64">
        <f>IF(E43=0,"",MAX(0,E43+IFERROR(K43*1,0)-F43))</f>
        <v/>
      </c>
    </row>
    <row r="44" hidden="1" ht="15" customHeight="1" s="249">
      <c r="A44" s="55" t="n">
        <v>177</v>
      </c>
      <c r="B44" s="55" t="inlineStr">
        <is>
          <t>BASE COAT</t>
        </is>
      </c>
      <c r="C44" s="55" t="inlineStr">
        <is>
          <t>YELLOW IMP 5711200008</t>
        </is>
      </c>
      <c r="D44" s="55" t="inlineStr">
        <is>
          <t>kg</t>
        </is>
      </c>
      <c r="E44" s="61">
        <f>SUMPRODUCT((TableBOM[Item ID]=A44)*TableBOM[Per 1000 Units]*(1+TableBOM[Scrap %])*SUMIF($D$3:$D$12,TableBOM[Product ID],$H$3:$H$12)/1000)</f>
        <v/>
      </c>
      <c r="F44" s="61">
        <f>IFERROR(INDEX(TableInventory[Store Balance],MATCH(A44,TableInventory[Item ID],0)),0)+IFERROR(INDEX(TableInventory[Work In Process],MATCH(A44,TableInventory[Item ID],0)),0)</f>
        <v/>
      </c>
      <c r="G44" s="61">
        <f>F44-E44</f>
        <v/>
      </c>
      <c r="H44" s="62">
        <f>IF(LEN(IF((COUNTIFS(TableBOM[Product ID],$D$3,TableBOM[Item ID],$A44)&gt;0)*($H$3&gt;0),$C$3&amp;", ","")&amp;IF((COUNTIFS(TableBOM[Product ID],$D$4,TableBOM[Item ID],$A44)&gt;0)*($H$4&gt;0),$C$4&amp;", ","")&amp;IF((COUNTIFS(TableBOM[Product ID],$D$5,TableBOM[Item ID],$A44)&gt;0)*($H$5&gt;0),$C$5&amp;", ","")&amp;IF((COUNTIFS(TableBOM[Product ID],$D$6,TableBOM[Item ID],$A44)&gt;0)*($H$6&gt;0),$C$6&amp;", ","")&amp;IF((COUNTIFS(TableBOM[Product ID],$D$7,TableBOM[Item ID],$A44)&gt;0)*($H$7&gt;0),$C$7&amp;", ","")&amp;IF((COUNTIFS(TableBOM[Product ID],$D$8,TableBOM[Item ID],$A44)&gt;0)*($H$8&gt;0),$C$8&amp;", ","")&amp;IF((COUNTIFS(TableBOM[Product ID],$D$9,TableBOM[Item ID],$A44)&gt;0)*($H$9&gt;0),$C$9&amp;", ","")&amp;IF((COUNTIFS(TableBOM[Product ID],$D$10,TableBOM[Item ID],$A44)&gt;0)*($H$10&gt;0),$C$10&amp;", ","")&amp;IF((COUNTIFS(TableBOM[Product ID],$D$11,TableBOM[Item ID],$A44)&gt;0)*($H$11&gt;0),$C$11&amp;", ","")&amp;IF((COUNTIFS(TableBOM[Product ID],$D$12,TableBOM[Item ID],$A44)&gt;0)*($H$12&gt;0),$C$12&amp;", ",""))&gt;1,LEFT(IF((COUNTIFS(TableBOM[Product ID],$D$3,TableBOM[Item ID],$A44)&gt;0)*($H$3&gt;0),$C$3&amp;", ","")&amp;IF((COUNTIFS(TableBOM[Product ID],$D$4,TableBOM[Item ID],$A44)&gt;0)*($H$4&gt;0),$C$4&amp;", ","")&amp;IF((COUNTIFS(TableBOM[Product ID],$D$5,TableBOM[Item ID],$A44)&gt;0)*($H$5&gt;0),$C$5&amp;", ","")&amp;IF((COUNTIFS(TableBOM[Product ID],$D$6,TableBOM[Item ID],$A44)&gt;0)*($H$6&gt;0),$C$6&amp;", ","")&amp;IF((COUNTIFS(TableBOM[Product ID],$D$7,TableBOM[Item ID],$A44)&gt;0)*($H$7&gt;0),$C$7&amp;", ","")&amp;IF((COUNTIFS(TableBOM[Product ID],$D$8,TableBOM[Item ID],$A44)&gt;0)*($H$8&gt;0),$C$8&amp;", ","")&amp;IF((COUNTIFS(TableBOM[Product ID],$D$9,TableBOM[Item ID],$A44)&gt;0)*($H$9&gt;0),$C$9&amp;", ","")&amp;IF((COUNTIFS(TableBOM[Product ID],$D$10,TableBOM[Item ID],$A44)&gt;0)*($H$10&gt;0),$C$10&amp;", ","")&amp;IF((COUNTIFS(TableBOM[Product ID],$D$11,TableBOM[Item ID],$A44)&gt;0)*($H$11&gt;0),$C$11&amp;", ","")&amp;IF((COUNTIFS(TableBOM[Product ID],$D$12,TableBOM[Item ID],$A44)&gt;0)*($H$12&gt;0),$C$12&amp;", ",""),LEN(IF((COUNTIFS(TableBOM[Product ID],$D$3,TableBOM[Item ID],$A44)&gt;0)*($H$3&gt;0),$C$3&amp;", ","")&amp;IF((COUNTIFS(TableBOM[Product ID],$D$4,TableBOM[Item ID],$A44)&gt;0)*($H$4&gt;0),$C$4&amp;", ","")&amp;IF((COUNTIFS(TableBOM[Product ID],$D$5,TableBOM[Item ID],$A44)&gt;0)*($H$5&gt;0),$C$5&amp;", ","")&amp;IF((COUNTIFS(TableBOM[Product ID],$D$6,TableBOM[Item ID],$A44)&gt;0)*($H$6&gt;0),$C$6&amp;", ","")&amp;IF((COUNTIFS(TableBOM[Product ID],$D$7,TableBOM[Item ID],$A44)&gt;0)*($H$7&gt;0),$C$7&amp;", ","")&amp;IF((COUNTIFS(TableBOM[Product ID],$D$8,TableBOM[Item ID],$A44)&gt;0)*($H$8&gt;0),$C$8&amp;", ","")&amp;IF((COUNTIFS(TableBOM[Product ID],$D$9,TableBOM[Item ID],$A44)&gt;0)*($H$9&gt;0),$C$9&amp;", ","")&amp;IF((COUNTIFS(TableBOM[Product ID],$D$10,TableBOM[Item ID],$A44)&gt;0)*($H$10&gt;0),$C$10&amp;", ","")&amp;IF((COUNTIFS(TableBOM[Product ID],$D$11,TableBOM[Item ID],$A44)&gt;0)*($H$11&gt;0),$C$11&amp;", ","")&amp;IF((COUNTIFS(TableBOM[Product ID],$D$12,TableBOM[Item ID],$A44)&gt;0)*($H$12&gt;0),$C$12&amp;", ",""))-2),"")</f>
        <v/>
      </c>
      <c r="I44" s="63">
        <f>IF(LEN(IF((COUNTIFS(TableBOM[Product ID],$D$3,TableBOM[Item ID],$A44)&gt;0)*($H$3&gt;0),$E$3&amp;", ","")&amp;IF((COUNTIFS(TableBOM[Product ID],$D$4,TableBOM[Item ID],$A44)&gt;0)*($H$4&gt;0),$E$4&amp;", ","")&amp;IF((COUNTIFS(TableBOM[Product ID],$D$5,TableBOM[Item ID],$A44)&gt;0)*($H$5&gt;0),$E$5&amp;", ","")&amp;IF((COUNTIFS(TableBOM[Product ID],$D$6,TableBOM[Item ID],$A44)&gt;0)*($H$6&gt;0),$E$6&amp;", ","")&amp;IF((COUNTIFS(TableBOM[Product ID],$D$7,TableBOM[Item ID],$A44)&gt;0)*($H$7&gt;0),$E$7&amp;", ","")&amp;IF((COUNTIFS(TableBOM[Product ID],$D$8,TableBOM[Item ID],$A44)&gt;0)*($H$8&gt;0),$E$8&amp;", ","")&amp;IF((COUNTIFS(TableBOM[Product ID],$D$9,TableBOM[Item ID],$A44)&gt;0)*($H$9&gt;0),$E$9&amp;", ","")&amp;IF((COUNTIFS(TableBOM[Product ID],$D$10,TableBOM[Item ID],$A44)&gt;0)*($H$10&gt;0),$E$10&amp;", ","")&amp;IF((COUNTIFS(TableBOM[Product ID],$D$11,TableBOM[Item ID],$A44)&gt;0)*($H$11&gt;0),$E$11&amp;", ","")&amp;IF((COUNTIFS(TableBOM[Product ID],$D$12,TableBOM[Item ID],$A44)&gt;0)*($H$12&gt;0),$E$12&amp;", ",""))&gt;1,LEFT(IF((COUNTIFS(TableBOM[Product ID],$D$3,TableBOM[Item ID],$A44)&gt;0)*($H$3&gt;0),$E$3&amp;", ","")&amp;IF((COUNTIFS(TableBOM[Product ID],$D$4,TableBOM[Item ID],$A44)&gt;0)*($H$4&gt;0),$E$4&amp;", ","")&amp;IF((COUNTIFS(TableBOM[Product ID],$D$5,TableBOM[Item ID],$A44)&gt;0)*($H$5&gt;0),$E$5&amp;", ","")&amp;IF((COUNTIFS(TableBOM[Product ID],$D$6,TableBOM[Item ID],$A44)&gt;0)*($H$6&gt;0),$E$6&amp;", ","")&amp;IF((COUNTIFS(TableBOM[Product ID],$D$7,TableBOM[Item ID],$A44)&gt;0)*($H$7&gt;0),$E$7&amp;", ","")&amp;IF((COUNTIFS(TableBOM[Product ID],$D$8,TableBOM[Item ID],$A44)&gt;0)*($H$8&gt;0),$E$8&amp;", ","")&amp;IF((COUNTIFS(TableBOM[Product ID],$D$9,TableBOM[Item ID],$A44)&gt;0)*($H$9&gt;0),$E$9&amp;", ","")&amp;IF((COUNTIFS(TableBOM[Product ID],$D$10,TableBOM[Item ID],$A44)&gt;0)*($H$10&gt;0),$E$10&amp;", ","")&amp;IF((COUNTIFS(TableBOM[Product ID],$D$11,TableBOM[Item ID],$A44)&gt;0)*($H$11&gt;0),$E$11&amp;", ","")&amp;IF((COUNTIFS(TableBOM[Product ID],$D$12,TableBOM[Item ID],$A44)&gt;0)*($H$12&gt;0),$E$12&amp;", ",""),LEN(IF((COUNTIFS(TableBOM[Product ID],$D$3,TableBOM[Item ID],$A44)&gt;0)*($H$3&gt;0),$E$3&amp;", ","")&amp;IF((COUNTIFS(TableBOM[Product ID],$D$4,TableBOM[Item ID],$A44)&gt;0)*($H$4&gt;0),$E$4&amp;", ","")&amp;IF((COUNTIFS(TableBOM[Product ID],$D$5,TableBOM[Item ID],$A44)&gt;0)*($H$5&gt;0),$E$5&amp;", ","")&amp;IF((COUNTIFS(TableBOM[Product ID],$D$6,TableBOM[Item ID],$A44)&gt;0)*($H$6&gt;0),$E$6&amp;", ","")&amp;IF((COUNTIFS(TableBOM[Product ID],$D$7,TableBOM[Item ID],$A44)&gt;0)*($H$7&gt;0),$E$7&amp;", ","")&amp;IF((COUNTIFS(TableBOM[Product ID],$D$8,TableBOM[Item ID],$A44)&gt;0)*($H$8&gt;0),$E$8&amp;", ","")&amp;IF((COUNTIFS(TableBOM[Product ID],$D$9,TableBOM[Item ID],$A44)&gt;0)*($H$9&gt;0),$E$9&amp;", ","")&amp;IF((COUNTIFS(TableBOM[Product ID],$D$10,TableBOM[Item ID],$A44)&gt;0)*($H$10&gt;0),$E$10&amp;", ","")&amp;IF((COUNTIFS(TableBOM[Product ID],$D$11,TableBOM[Item ID],$A44)&gt;0)*($H$11&gt;0),$E$11&amp;", ","")&amp;IF((COUNTIFS(TableBOM[Product ID],$D$12,TableBOM[Item ID],$A44)&gt;0)*($H$12&gt;0),$E$12&amp;", ",""))-2),"")</f>
        <v/>
      </c>
      <c r="J44" s="64">
        <f>IF(E44=0,"Not needed",IF(G44&lt;0,"SHORTAGE",IF(G44&lt;F44*0.1,"LOW","OK")))</f>
        <v/>
      </c>
      <c r="K44" s="64">
        <f>IF(B44&lt;&gt;"CAP","",SUMPRODUCT((ISNUMBER(SEARCH("Cap Not Available",'FG Stock'!$H$4:$H$100)))*('FG Stock'!$I$4:$I$100=A44)*'FG Stock'!$F$4:$F$100))</f>
        <v/>
      </c>
      <c r="L44" s="64">
        <f>IF(E44=0,"",MAX(0,E44+IFERROR(K44*1,0)-F44))</f>
        <v/>
      </c>
    </row>
    <row r="45" hidden="1" ht="15" customHeight="1" s="249">
      <c r="A45" s="55" t="n">
        <v>6132</v>
      </c>
      <c r="B45" s="55" t="inlineStr">
        <is>
          <t>BASE COAT</t>
        </is>
      </c>
      <c r="C45" s="55" t="inlineStr">
        <is>
          <t>VR SCHEKOLIN 57251</t>
        </is>
      </c>
      <c r="D45" s="55" t="inlineStr">
        <is>
          <t>kg</t>
        </is>
      </c>
      <c r="E45" s="61">
        <f>SUMPRODUCT((TableBOM[Item ID]=A45)*TableBOM[Per 1000 Units]*(1+TableBOM[Scrap %])*SUMIF($D$3:$D$12,TableBOM[Product ID],$H$3:$H$12)/1000)</f>
        <v/>
      </c>
      <c r="F45" s="61">
        <f>IFERROR(INDEX(TableInventory[Store Balance],MATCH(A45,TableInventory[Item ID],0)),0)+IFERROR(INDEX(TableInventory[Work In Process],MATCH(A45,TableInventory[Item ID],0)),0)</f>
        <v/>
      </c>
      <c r="G45" s="61">
        <f>F45-E45</f>
        <v/>
      </c>
      <c r="H45" s="62">
        <f>IF(LEN(IF((COUNTIFS(TableBOM[Product ID],$D$3,TableBOM[Item ID],$A45)&gt;0)*($H$3&gt;0),$C$3&amp;", ","")&amp;IF((COUNTIFS(TableBOM[Product ID],$D$4,TableBOM[Item ID],$A45)&gt;0)*($H$4&gt;0),$C$4&amp;", ","")&amp;IF((COUNTIFS(TableBOM[Product ID],$D$5,TableBOM[Item ID],$A45)&gt;0)*($H$5&gt;0),$C$5&amp;", ","")&amp;IF((COUNTIFS(TableBOM[Product ID],$D$6,TableBOM[Item ID],$A45)&gt;0)*($H$6&gt;0),$C$6&amp;", ","")&amp;IF((COUNTIFS(TableBOM[Product ID],$D$7,TableBOM[Item ID],$A45)&gt;0)*($H$7&gt;0),$C$7&amp;", ","")&amp;IF((COUNTIFS(TableBOM[Product ID],$D$8,TableBOM[Item ID],$A45)&gt;0)*($H$8&gt;0),$C$8&amp;", ","")&amp;IF((COUNTIFS(TableBOM[Product ID],$D$9,TableBOM[Item ID],$A45)&gt;0)*($H$9&gt;0),$C$9&amp;", ","")&amp;IF((COUNTIFS(TableBOM[Product ID],$D$10,TableBOM[Item ID],$A45)&gt;0)*($H$10&gt;0),$C$10&amp;", ","")&amp;IF((COUNTIFS(TableBOM[Product ID],$D$11,TableBOM[Item ID],$A45)&gt;0)*($H$11&gt;0),$C$11&amp;", ","")&amp;IF((COUNTIFS(TableBOM[Product ID],$D$12,TableBOM[Item ID],$A45)&gt;0)*($H$12&gt;0),$C$12&amp;", ",""))&gt;1,LEFT(IF((COUNTIFS(TableBOM[Product ID],$D$3,TableBOM[Item ID],$A45)&gt;0)*($H$3&gt;0),$C$3&amp;", ","")&amp;IF((COUNTIFS(TableBOM[Product ID],$D$4,TableBOM[Item ID],$A45)&gt;0)*($H$4&gt;0),$C$4&amp;", ","")&amp;IF((COUNTIFS(TableBOM[Product ID],$D$5,TableBOM[Item ID],$A45)&gt;0)*($H$5&gt;0),$C$5&amp;", ","")&amp;IF((COUNTIFS(TableBOM[Product ID],$D$6,TableBOM[Item ID],$A45)&gt;0)*($H$6&gt;0),$C$6&amp;", ","")&amp;IF((COUNTIFS(TableBOM[Product ID],$D$7,TableBOM[Item ID],$A45)&gt;0)*($H$7&gt;0),$C$7&amp;", ","")&amp;IF((COUNTIFS(TableBOM[Product ID],$D$8,TableBOM[Item ID],$A45)&gt;0)*($H$8&gt;0),$C$8&amp;", ","")&amp;IF((COUNTIFS(TableBOM[Product ID],$D$9,TableBOM[Item ID],$A45)&gt;0)*($H$9&gt;0),$C$9&amp;", ","")&amp;IF((COUNTIFS(TableBOM[Product ID],$D$10,TableBOM[Item ID],$A45)&gt;0)*($H$10&gt;0),$C$10&amp;", ","")&amp;IF((COUNTIFS(TableBOM[Product ID],$D$11,TableBOM[Item ID],$A45)&gt;0)*($H$11&gt;0),$C$11&amp;", ","")&amp;IF((COUNTIFS(TableBOM[Product ID],$D$12,TableBOM[Item ID],$A45)&gt;0)*($H$12&gt;0),$C$12&amp;", ",""),LEN(IF((COUNTIFS(TableBOM[Product ID],$D$3,TableBOM[Item ID],$A45)&gt;0)*($H$3&gt;0),$C$3&amp;", ","")&amp;IF((COUNTIFS(TableBOM[Product ID],$D$4,TableBOM[Item ID],$A45)&gt;0)*($H$4&gt;0),$C$4&amp;", ","")&amp;IF((COUNTIFS(TableBOM[Product ID],$D$5,TableBOM[Item ID],$A45)&gt;0)*($H$5&gt;0),$C$5&amp;", ","")&amp;IF((COUNTIFS(TableBOM[Product ID],$D$6,TableBOM[Item ID],$A45)&gt;0)*($H$6&gt;0),$C$6&amp;", ","")&amp;IF((COUNTIFS(TableBOM[Product ID],$D$7,TableBOM[Item ID],$A45)&gt;0)*($H$7&gt;0),$C$7&amp;", ","")&amp;IF((COUNTIFS(TableBOM[Product ID],$D$8,TableBOM[Item ID],$A45)&gt;0)*($H$8&gt;0),$C$8&amp;", ","")&amp;IF((COUNTIFS(TableBOM[Product ID],$D$9,TableBOM[Item ID],$A45)&gt;0)*($H$9&gt;0),$C$9&amp;", ","")&amp;IF((COUNTIFS(TableBOM[Product ID],$D$10,TableBOM[Item ID],$A45)&gt;0)*($H$10&gt;0),$C$10&amp;", ","")&amp;IF((COUNTIFS(TableBOM[Product ID],$D$11,TableBOM[Item ID],$A45)&gt;0)*($H$11&gt;0),$C$11&amp;", ","")&amp;IF((COUNTIFS(TableBOM[Product ID],$D$12,TableBOM[Item ID],$A45)&gt;0)*($H$12&gt;0),$C$12&amp;", ",""))-2),"")</f>
        <v/>
      </c>
      <c r="I45" s="63">
        <f>IF(LEN(IF((COUNTIFS(TableBOM[Product ID],$D$3,TableBOM[Item ID],$A45)&gt;0)*($H$3&gt;0),$E$3&amp;", ","")&amp;IF((COUNTIFS(TableBOM[Product ID],$D$4,TableBOM[Item ID],$A45)&gt;0)*($H$4&gt;0),$E$4&amp;", ","")&amp;IF((COUNTIFS(TableBOM[Product ID],$D$5,TableBOM[Item ID],$A45)&gt;0)*($H$5&gt;0),$E$5&amp;", ","")&amp;IF((COUNTIFS(TableBOM[Product ID],$D$6,TableBOM[Item ID],$A45)&gt;0)*($H$6&gt;0),$E$6&amp;", ","")&amp;IF((COUNTIFS(TableBOM[Product ID],$D$7,TableBOM[Item ID],$A45)&gt;0)*($H$7&gt;0),$E$7&amp;", ","")&amp;IF((COUNTIFS(TableBOM[Product ID],$D$8,TableBOM[Item ID],$A45)&gt;0)*($H$8&gt;0),$E$8&amp;", ","")&amp;IF((COUNTIFS(TableBOM[Product ID],$D$9,TableBOM[Item ID],$A45)&gt;0)*($H$9&gt;0),$E$9&amp;", ","")&amp;IF((COUNTIFS(TableBOM[Product ID],$D$10,TableBOM[Item ID],$A45)&gt;0)*($H$10&gt;0),$E$10&amp;", ","")&amp;IF((COUNTIFS(TableBOM[Product ID],$D$11,TableBOM[Item ID],$A45)&gt;0)*($H$11&gt;0),$E$11&amp;", ","")&amp;IF((COUNTIFS(TableBOM[Product ID],$D$12,TableBOM[Item ID],$A45)&gt;0)*($H$12&gt;0),$E$12&amp;", ",""))&gt;1,LEFT(IF((COUNTIFS(TableBOM[Product ID],$D$3,TableBOM[Item ID],$A45)&gt;0)*($H$3&gt;0),$E$3&amp;", ","")&amp;IF((COUNTIFS(TableBOM[Product ID],$D$4,TableBOM[Item ID],$A45)&gt;0)*($H$4&gt;0),$E$4&amp;", ","")&amp;IF((COUNTIFS(TableBOM[Product ID],$D$5,TableBOM[Item ID],$A45)&gt;0)*($H$5&gt;0),$E$5&amp;", ","")&amp;IF((COUNTIFS(TableBOM[Product ID],$D$6,TableBOM[Item ID],$A45)&gt;0)*($H$6&gt;0),$E$6&amp;", ","")&amp;IF((COUNTIFS(TableBOM[Product ID],$D$7,TableBOM[Item ID],$A45)&gt;0)*($H$7&gt;0),$E$7&amp;", ","")&amp;IF((COUNTIFS(TableBOM[Product ID],$D$8,TableBOM[Item ID],$A45)&gt;0)*($H$8&gt;0),$E$8&amp;", ","")&amp;IF((COUNTIFS(TableBOM[Product ID],$D$9,TableBOM[Item ID],$A45)&gt;0)*($H$9&gt;0),$E$9&amp;", ","")&amp;IF((COUNTIFS(TableBOM[Product ID],$D$10,TableBOM[Item ID],$A45)&gt;0)*($H$10&gt;0),$E$10&amp;", ","")&amp;IF((COUNTIFS(TableBOM[Product ID],$D$11,TableBOM[Item ID],$A45)&gt;0)*($H$11&gt;0),$E$11&amp;", ","")&amp;IF((COUNTIFS(TableBOM[Product ID],$D$12,TableBOM[Item ID],$A45)&gt;0)*($H$12&gt;0),$E$12&amp;", ",""),LEN(IF((COUNTIFS(TableBOM[Product ID],$D$3,TableBOM[Item ID],$A45)&gt;0)*($H$3&gt;0),$E$3&amp;", ","")&amp;IF((COUNTIFS(TableBOM[Product ID],$D$4,TableBOM[Item ID],$A45)&gt;0)*($H$4&gt;0),$E$4&amp;", ","")&amp;IF((COUNTIFS(TableBOM[Product ID],$D$5,TableBOM[Item ID],$A45)&gt;0)*($H$5&gt;0),$E$5&amp;", ","")&amp;IF((COUNTIFS(TableBOM[Product ID],$D$6,TableBOM[Item ID],$A45)&gt;0)*($H$6&gt;0),$E$6&amp;", ","")&amp;IF((COUNTIFS(TableBOM[Product ID],$D$7,TableBOM[Item ID],$A45)&gt;0)*($H$7&gt;0),$E$7&amp;", ","")&amp;IF((COUNTIFS(TableBOM[Product ID],$D$8,TableBOM[Item ID],$A45)&gt;0)*($H$8&gt;0),$E$8&amp;", ","")&amp;IF((COUNTIFS(TableBOM[Product ID],$D$9,TableBOM[Item ID],$A45)&gt;0)*($H$9&gt;0),$E$9&amp;", ","")&amp;IF((COUNTIFS(TableBOM[Product ID],$D$10,TableBOM[Item ID],$A45)&gt;0)*($H$10&gt;0),$E$10&amp;", ","")&amp;IF((COUNTIFS(TableBOM[Product ID],$D$11,TableBOM[Item ID],$A45)&gt;0)*($H$11&gt;0),$E$11&amp;", ","")&amp;IF((COUNTIFS(TableBOM[Product ID],$D$12,TableBOM[Item ID],$A45)&gt;0)*($H$12&gt;0),$E$12&amp;", ",""))-2),"")</f>
        <v/>
      </c>
      <c r="J45" s="64">
        <f>IF(E45=0,"Not needed",IF(G45&lt;0,"SHORTAGE",IF(G45&lt;F45*0.1,"LOW","OK")))</f>
        <v/>
      </c>
      <c r="K45" s="64">
        <f>IF(B45&lt;&gt;"CAP","",SUMPRODUCT((ISNUMBER(SEARCH("Cap Not Available",'FG Stock'!$H$4:$H$100)))*('FG Stock'!$I$4:$I$100=A45)*'FG Stock'!$F$4:$F$100))</f>
        <v/>
      </c>
      <c r="L45" s="64">
        <f>IF(E45=0,"",MAX(0,E45+IFERROR(K45*1,0)-F45))</f>
        <v/>
      </c>
    </row>
    <row r="46" hidden="1" ht="24" customHeight="1" s="249">
      <c r="A46" s="55" t="n">
        <v>186</v>
      </c>
      <c r="B46" s="55" t="inlineStr">
        <is>
          <t>LATEX</t>
        </is>
      </c>
      <c r="C46" s="55" t="inlineStr">
        <is>
          <t>LATEX IMP 574010002</t>
        </is>
      </c>
      <c r="D46" s="55" t="inlineStr">
        <is>
          <t>kg</t>
        </is>
      </c>
      <c r="E46" s="61">
        <f>SUMPRODUCT((TableBOM[Item ID]=A46)*TableBOM[Per 1000 Units]*(1+TableBOM[Scrap %])*SUMIF($D$3:$D$12,TableBOM[Product ID],$H$3:$H$12)/1000)</f>
        <v/>
      </c>
      <c r="F46" s="61">
        <f>IFERROR(INDEX(TableInventory[Store Balance],MATCH(A46,TableInventory[Item ID],0)),0)+IFERROR(INDEX(TableInventory[Work In Process],MATCH(A46,TableInventory[Item ID],0)),0)</f>
        <v/>
      </c>
      <c r="G46" s="65">
        <f>F46-E46</f>
        <v/>
      </c>
      <c r="H46" s="62">
        <f>IF(LEN(IF((COUNTIFS(TableBOM[Product ID],$D$3,TableBOM[Item ID],$A46)&gt;0)*($H$3&gt;0),$C$3&amp;", ","")&amp;IF((COUNTIFS(TableBOM[Product ID],$D$4,TableBOM[Item ID],$A46)&gt;0)*($H$4&gt;0),$C$4&amp;", ","")&amp;IF((COUNTIFS(TableBOM[Product ID],$D$5,TableBOM[Item ID],$A46)&gt;0)*($H$5&gt;0),$C$5&amp;", ","")&amp;IF((COUNTIFS(TableBOM[Product ID],$D$6,TableBOM[Item ID],$A46)&gt;0)*($H$6&gt;0),$C$6&amp;", ","")&amp;IF((COUNTIFS(TableBOM[Product ID],$D$7,TableBOM[Item ID],$A46)&gt;0)*($H$7&gt;0),$C$7&amp;", ","")&amp;IF((COUNTIFS(TableBOM[Product ID],$D$8,TableBOM[Item ID],$A46)&gt;0)*($H$8&gt;0),$C$8&amp;", ","")&amp;IF((COUNTIFS(TableBOM[Product ID],$D$9,TableBOM[Item ID],$A46)&gt;0)*($H$9&gt;0),$C$9&amp;", ","")&amp;IF((COUNTIFS(TableBOM[Product ID],$D$10,TableBOM[Item ID],$A46)&gt;0)*($H$10&gt;0),$C$10&amp;", ","")&amp;IF((COUNTIFS(TableBOM[Product ID],$D$11,TableBOM[Item ID],$A46)&gt;0)*($H$11&gt;0),$C$11&amp;", ","")&amp;IF((COUNTIFS(TableBOM[Product ID],$D$12,TableBOM[Item ID],$A46)&gt;0)*($H$12&gt;0),$C$12&amp;", ",""))&gt;1,LEFT(IF((COUNTIFS(TableBOM[Product ID],$D$3,TableBOM[Item ID],$A46)&gt;0)*($H$3&gt;0),$C$3&amp;", ","")&amp;IF((COUNTIFS(TableBOM[Product ID],$D$4,TableBOM[Item ID],$A46)&gt;0)*($H$4&gt;0),$C$4&amp;", ","")&amp;IF((COUNTIFS(TableBOM[Product ID],$D$5,TableBOM[Item ID],$A46)&gt;0)*($H$5&gt;0),$C$5&amp;", ","")&amp;IF((COUNTIFS(TableBOM[Product ID],$D$6,TableBOM[Item ID],$A46)&gt;0)*($H$6&gt;0),$C$6&amp;", ","")&amp;IF((COUNTIFS(TableBOM[Product ID],$D$7,TableBOM[Item ID],$A46)&gt;0)*($H$7&gt;0),$C$7&amp;", ","")&amp;IF((COUNTIFS(TableBOM[Product ID],$D$8,TableBOM[Item ID],$A46)&gt;0)*($H$8&gt;0),$C$8&amp;", ","")&amp;IF((COUNTIFS(TableBOM[Product ID],$D$9,TableBOM[Item ID],$A46)&gt;0)*($H$9&gt;0),$C$9&amp;", ","")&amp;IF((COUNTIFS(TableBOM[Product ID],$D$10,TableBOM[Item ID],$A46)&gt;0)*($H$10&gt;0),$C$10&amp;", ","")&amp;IF((COUNTIFS(TableBOM[Product ID],$D$11,TableBOM[Item ID],$A46)&gt;0)*($H$11&gt;0),$C$11&amp;", ","")&amp;IF((COUNTIFS(TableBOM[Product ID],$D$12,TableBOM[Item ID],$A46)&gt;0)*($H$12&gt;0),$C$12&amp;", ",""),LEN(IF((COUNTIFS(TableBOM[Product ID],$D$3,TableBOM[Item ID],$A46)&gt;0)*($H$3&gt;0),$C$3&amp;", ","")&amp;IF((COUNTIFS(TableBOM[Product ID],$D$4,TableBOM[Item ID],$A46)&gt;0)*($H$4&gt;0),$C$4&amp;", ","")&amp;IF((COUNTIFS(TableBOM[Product ID],$D$5,TableBOM[Item ID],$A46)&gt;0)*($H$5&gt;0),$C$5&amp;", ","")&amp;IF((COUNTIFS(TableBOM[Product ID],$D$6,TableBOM[Item ID],$A46)&gt;0)*($H$6&gt;0),$C$6&amp;", ","")&amp;IF((COUNTIFS(TableBOM[Product ID],$D$7,TableBOM[Item ID],$A46)&gt;0)*($H$7&gt;0),$C$7&amp;", ","")&amp;IF((COUNTIFS(TableBOM[Product ID],$D$8,TableBOM[Item ID],$A46)&gt;0)*($H$8&gt;0),$C$8&amp;", ","")&amp;IF((COUNTIFS(TableBOM[Product ID],$D$9,TableBOM[Item ID],$A46)&gt;0)*($H$9&gt;0),$C$9&amp;", ","")&amp;IF((COUNTIFS(TableBOM[Product ID],$D$10,TableBOM[Item ID],$A46)&gt;0)*($H$10&gt;0),$C$10&amp;", ","")&amp;IF((COUNTIFS(TableBOM[Product ID],$D$11,TableBOM[Item ID],$A46)&gt;0)*($H$11&gt;0),$C$11&amp;", ","")&amp;IF((COUNTIFS(TableBOM[Product ID],$D$12,TableBOM[Item ID],$A46)&gt;0)*($H$12&gt;0),$C$12&amp;", ",""))-2),"")</f>
        <v/>
      </c>
      <c r="I46" s="63">
        <f>IF(LEN(IF((COUNTIFS(TableBOM[Product ID],$D$3,TableBOM[Item ID],$A46)&gt;0)*($H$3&gt;0),$E$3&amp;", ","")&amp;IF((COUNTIFS(TableBOM[Product ID],$D$4,TableBOM[Item ID],$A46)&gt;0)*($H$4&gt;0),$E$4&amp;", ","")&amp;IF((COUNTIFS(TableBOM[Product ID],$D$5,TableBOM[Item ID],$A46)&gt;0)*($H$5&gt;0),$E$5&amp;", ","")&amp;IF((COUNTIFS(TableBOM[Product ID],$D$6,TableBOM[Item ID],$A46)&gt;0)*($H$6&gt;0),$E$6&amp;", ","")&amp;IF((COUNTIFS(TableBOM[Product ID],$D$7,TableBOM[Item ID],$A46)&gt;0)*($H$7&gt;0),$E$7&amp;", ","")&amp;IF((COUNTIFS(TableBOM[Product ID],$D$8,TableBOM[Item ID],$A46)&gt;0)*($H$8&gt;0),$E$8&amp;", ","")&amp;IF((COUNTIFS(TableBOM[Product ID],$D$9,TableBOM[Item ID],$A46)&gt;0)*($H$9&gt;0),$E$9&amp;", ","")&amp;IF((COUNTIFS(TableBOM[Product ID],$D$10,TableBOM[Item ID],$A46)&gt;0)*($H$10&gt;0),$E$10&amp;", ","")&amp;IF((COUNTIFS(TableBOM[Product ID],$D$11,TableBOM[Item ID],$A46)&gt;0)*($H$11&gt;0),$E$11&amp;", ","")&amp;IF((COUNTIFS(TableBOM[Product ID],$D$12,TableBOM[Item ID],$A46)&gt;0)*($H$12&gt;0),$E$12&amp;", ",""))&gt;1,LEFT(IF((COUNTIFS(TableBOM[Product ID],$D$3,TableBOM[Item ID],$A46)&gt;0)*($H$3&gt;0),$E$3&amp;", ","")&amp;IF((COUNTIFS(TableBOM[Product ID],$D$4,TableBOM[Item ID],$A46)&gt;0)*($H$4&gt;0),$E$4&amp;", ","")&amp;IF((COUNTIFS(TableBOM[Product ID],$D$5,TableBOM[Item ID],$A46)&gt;0)*($H$5&gt;0),$E$5&amp;", ","")&amp;IF((COUNTIFS(TableBOM[Product ID],$D$6,TableBOM[Item ID],$A46)&gt;0)*($H$6&gt;0),$E$6&amp;", ","")&amp;IF((COUNTIFS(TableBOM[Product ID],$D$7,TableBOM[Item ID],$A46)&gt;0)*($H$7&gt;0),$E$7&amp;", ","")&amp;IF((COUNTIFS(TableBOM[Product ID],$D$8,TableBOM[Item ID],$A46)&gt;0)*($H$8&gt;0),$E$8&amp;", ","")&amp;IF((COUNTIFS(TableBOM[Product ID],$D$9,TableBOM[Item ID],$A46)&gt;0)*($H$9&gt;0),$E$9&amp;", ","")&amp;IF((COUNTIFS(TableBOM[Product ID],$D$10,TableBOM[Item ID],$A46)&gt;0)*($H$10&gt;0),$E$10&amp;", ","")&amp;IF((COUNTIFS(TableBOM[Product ID],$D$11,TableBOM[Item ID],$A46)&gt;0)*($H$11&gt;0),$E$11&amp;", ","")&amp;IF((COUNTIFS(TableBOM[Product ID],$D$12,TableBOM[Item ID],$A46)&gt;0)*($H$12&gt;0),$E$12&amp;", ",""),LEN(IF((COUNTIFS(TableBOM[Product ID],$D$3,TableBOM[Item ID],$A46)&gt;0)*($H$3&gt;0),$E$3&amp;", ","")&amp;IF((COUNTIFS(TableBOM[Product ID],$D$4,TableBOM[Item ID],$A46)&gt;0)*($H$4&gt;0),$E$4&amp;", ","")&amp;IF((COUNTIFS(TableBOM[Product ID],$D$5,TableBOM[Item ID],$A46)&gt;0)*($H$5&gt;0),$E$5&amp;", ","")&amp;IF((COUNTIFS(TableBOM[Product ID],$D$6,TableBOM[Item ID],$A46)&gt;0)*($H$6&gt;0),$E$6&amp;", ","")&amp;IF((COUNTIFS(TableBOM[Product ID],$D$7,TableBOM[Item ID],$A46)&gt;0)*($H$7&gt;0),$E$7&amp;", ","")&amp;IF((COUNTIFS(TableBOM[Product ID],$D$8,TableBOM[Item ID],$A46)&gt;0)*($H$8&gt;0),$E$8&amp;", ","")&amp;IF((COUNTIFS(TableBOM[Product ID],$D$9,TableBOM[Item ID],$A46)&gt;0)*($H$9&gt;0),$E$9&amp;", ","")&amp;IF((COUNTIFS(TableBOM[Product ID],$D$10,TableBOM[Item ID],$A46)&gt;0)*($H$10&gt;0),$E$10&amp;", ","")&amp;IF((COUNTIFS(TableBOM[Product ID],$D$11,TableBOM[Item ID],$A46)&gt;0)*($H$11&gt;0),$E$11&amp;", ","")&amp;IF((COUNTIFS(TableBOM[Product ID],$D$12,TableBOM[Item ID],$A46)&gt;0)*($H$12&gt;0),$E$12&amp;", ",""))-2),"")</f>
        <v/>
      </c>
      <c r="J46" s="64">
        <f>IF(E46=0,"Not needed",IF(G46&lt;0,"SHORTAGE",IF(G46&lt;F46*0.1,"LOW","OK")))</f>
        <v/>
      </c>
      <c r="K46" s="64">
        <f>IF(B46&lt;&gt;"CAP","",SUMPRODUCT((ISNUMBER(SEARCH("Cap Not Available",'FG Stock'!$H$4:$H$100)))*('FG Stock'!$I$4:$I$100=A46)*'FG Stock'!$F$4:$F$100))</f>
        <v/>
      </c>
      <c r="L46" s="64">
        <f>IF(E46=0,"",MAX(0,E46+IFERROR(K46*1,0)-F46))</f>
        <v/>
      </c>
    </row>
    <row r="47" hidden="1" ht="60" customHeight="1" s="249">
      <c r="A47" s="55" t="n">
        <v>194</v>
      </c>
      <c r="B47" s="55" t="inlineStr">
        <is>
          <t>ZINC POWDER</t>
        </is>
      </c>
      <c r="C47" s="55" t="inlineStr">
        <is>
          <t>ZINC STEARATE</t>
        </is>
      </c>
      <c r="D47" s="55" t="inlineStr">
        <is>
          <t>kg</t>
        </is>
      </c>
      <c r="E47" s="61">
        <f>SUMPRODUCT((TableBOM[Item ID]=A47)*TableBOM[Per 1000 Units]*(1+TableBOM[Scrap %])*SUMIF($D$3:$D$12,TableBOM[Product ID],$H$3:$H$12)/1000)</f>
        <v/>
      </c>
      <c r="F47" s="61">
        <f>IFERROR(INDEX(TableInventory[Store Balance],MATCH(A47,TableInventory[Item ID],0)),0)+IFERROR(INDEX(TableInventory[Work In Process],MATCH(A47,TableInventory[Item ID],0)),0)</f>
        <v/>
      </c>
      <c r="G47" s="65">
        <f>F47-E47</f>
        <v/>
      </c>
      <c r="H47" s="62">
        <f>IF(LEN(IF((COUNTIFS(TableBOM[Product ID],$D$3,TableBOM[Item ID],$A47)&gt;0)*($H$3&gt;0),$C$3&amp;", ","")&amp;IF((COUNTIFS(TableBOM[Product ID],$D$4,TableBOM[Item ID],$A47)&gt;0)*($H$4&gt;0),$C$4&amp;", ","")&amp;IF((COUNTIFS(TableBOM[Product ID],$D$5,TableBOM[Item ID],$A47)&gt;0)*($H$5&gt;0),$C$5&amp;", ","")&amp;IF((COUNTIFS(TableBOM[Product ID],$D$6,TableBOM[Item ID],$A47)&gt;0)*($H$6&gt;0),$C$6&amp;", ","")&amp;IF((COUNTIFS(TableBOM[Product ID],$D$7,TableBOM[Item ID],$A47)&gt;0)*($H$7&gt;0),$C$7&amp;", ","")&amp;IF((COUNTIFS(TableBOM[Product ID],$D$8,TableBOM[Item ID],$A47)&gt;0)*($H$8&gt;0),$C$8&amp;", ","")&amp;IF((COUNTIFS(TableBOM[Product ID],$D$9,TableBOM[Item ID],$A47)&gt;0)*($H$9&gt;0),$C$9&amp;", ","")&amp;IF((COUNTIFS(TableBOM[Product ID],$D$10,TableBOM[Item ID],$A47)&gt;0)*($H$10&gt;0),$C$10&amp;", ","")&amp;IF((COUNTIFS(TableBOM[Product ID],$D$11,TableBOM[Item ID],$A47)&gt;0)*($H$11&gt;0),$C$11&amp;", ","")&amp;IF((COUNTIFS(TableBOM[Product ID],$D$12,TableBOM[Item ID],$A47)&gt;0)*($H$12&gt;0),$C$12&amp;", ",""))&gt;1,LEFT(IF((COUNTIFS(TableBOM[Product ID],$D$3,TableBOM[Item ID],$A47)&gt;0)*($H$3&gt;0),$C$3&amp;", ","")&amp;IF((COUNTIFS(TableBOM[Product ID],$D$4,TableBOM[Item ID],$A47)&gt;0)*($H$4&gt;0),$C$4&amp;", ","")&amp;IF((COUNTIFS(TableBOM[Product ID],$D$5,TableBOM[Item ID],$A47)&gt;0)*($H$5&gt;0),$C$5&amp;", ","")&amp;IF((COUNTIFS(TableBOM[Product ID],$D$6,TableBOM[Item ID],$A47)&gt;0)*($H$6&gt;0),$C$6&amp;", ","")&amp;IF((COUNTIFS(TableBOM[Product ID],$D$7,TableBOM[Item ID],$A47)&gt;0)*($H$7&gt;0),$C$7&amp;", ","")&amp;IF((COUNTIFS(TableBOM[Product ID],$D$8,TableBOM[Item ID],$A47)&gt;0)*($H$8&gt;0),$C$8&amp;", ","")&amp;IF((COUNTIFS(TableBOM[Product ID],$D$9,TableBOM[Item ID],$A47)&gt;0)*($H$9&gt;0),$C$9&amp;", ","")&amp;IF((COUNTIFS(TableBOM[Product ID],$D$10,TableBOM[Item ID],$A47)&gt;0)*($H$10&gt;0),$C$10&amp;", ","")&amp;IF((COUNTIFS(TableBOM[Product ID],$D$11,TableBOM[Item ID],$A47)&gt;0)*($H$11&gt;0),$C$11&amp;", ","")&amp;IF((COUNTIFS(TableBOM[Product ID],$D$12,TableBOM[Item ID],$A47)&gt;0)*($H$12&gt;0),$C$12&amp;", ",""),LEN(IF((COUNTIFS(TableBOM[Product ID],$D$3,TableBOM[Item ID],$A47)&gt;0)*($H$3&gt;0),$C$3&amp;", ","")&amp;IF((COUNTIFS(TableBOM[Product ID],$D$4,TableBOM[Item ID],$A47)&gt;0)*($H$4&gt;0),$C$4&amp;", ","")&amp;IF((COUNTIFS(TableBOM[Product ID],$D$5,TableBOM[Item ID],$A47)&gt;0)*($H$5&gt;0),$C$5&amp;", ","")&amp;IF((COUNTIFS(TableBOM[Product ID],$D$6,TableBOM[Item ID],$A47)&gt;0)*($H$6&gt;0),$C$6&amp;", ","")&amp;IF((COUNTIFS(TableBOM[Product ID],$D$7,TableBOM[Item ID],$A47)&gt;0)*($H$7&gt;0),$C$7&amp;", ","")&amp;IF((COUNTIFS(TableBOM[Product ID],$D$8,TableBOM[Item ID],$A47)&gt;0)*($H$8&gt;0),$C$8&amp;", ","")&amp;IF((COUNTIFS(TableBOM[Product ID],$D$9,TableBOM[Item ID],$A47)&gt;0)*($H$9&gt;0),$C$9&amp;", ","")&amp;IF((COUNTIFS(TableBOM[Product ID],$D$10,TableBOM[Item ID],$A47)&gt;0)*($H$10&gt;0),$C$10&amp;", ","")&amp;IF((COUNTIFS(TableBOM[Product ID],$D$11,TableBOM[Item ID],$A47)&gt;0)*($H$11&gt;0),$C$11&amp;", ","")&amp;IF((COUNTIFS(TableBOM[Product ID],$D$12,TableBOM[Item ID],$A47)&gt;0)*($H$12&gt;0),$C$12&amp;", ",""))-2),"")</f>
        <v/>
      </c>
      <c r="I47" s="63">
        <f>IF(LEN(IF((COUNTIFS(TableBOM[Product ID],$D$3,TableBOM[Item ID],$A47)&gt;0)*($H$3&gt;0),$E$3&amp;", ","")&amp;IF((COUNTIFS(TableBOM[Product ID],$D$4,TableBOM[Item ID],$A47)&gt;0)*($H$4&gt;0),$E$4&amp;", ","")&amp;IF((COUNTIFS(TableBOM[Product ID],$D$5,TableBOM[Item ID],$A47)&gt;0)*($H$5&gt;0),$E$5&amp;", ","")&amp;IF((COUNTIFS(TableBOM[Product ID],$D$6,TableBOM[Item ID],$A47)&gt;0)*($H$6&gt;0),$E$6&amp;", ","")&amp;IF((COUNTIFS(TableBOM[Product ID],$D$7,TableBOM[Item ID],$A47)&gt;0)*($H$7&gt;0),$E$7&amp;", ","")&amp;IF((COUNTIFS(TableBOM[Product ID],$D$8,TableBOM[Item ID],$A47)&gt;0)*($H$8&gt;0),$E$8&amp;", ","")&amp;IF((COUNTIFS(TableBOM[Product ID],$D$9,TableBOM[Item ID],$A47)&gt;0)*($H$9&gt;0),$E$9&amp;", ","")&amp;IF((COUNTIFS(TableBOM[Product ID],$D$10,TableBOM[Item ID],$A47)&gt;0)*($H$10&gt;0),$E$10&amp;", ","")&amp;IF((COUNTIFS(TableBOM[Product ID],$D$11,TableBOM[Item ID],$A47)&gt;0)*($H$11&gt;0),$E$11&amp;", ","")&amp;IF((COUNTIFS(TableBOM[Product ID],$D$12,TableBOM[Item ID],$A47)&gt;0)*($H$12&gt;0),$E$12&amp;", ",""))&gt;1,LEFT(IF((COUNTIFS(TableBOM[Product ID],$D$3,TableBOM[Item ID],$A47)&gt;0)*($H$3&gt;0),$E$3&amp;", ","")&amp;IF((COUNTIFS(TableBOM[Product ID],$D$4,TableBOM[Item ID],$A47)&gt;0)*($H$4&gt;0),$E$4&amp;", ","")&amp;IF((COUNTIFS(TableBOM[Product ID],$D$5,TableBOM[Item ID],$A47)&gt;0)*($H$5&gt;0),$E$5&amp;", ","")&amp;IF((COUNTIFS(TableBOM[Product ID],$D$6,TableBOM[Item ID],$A47)&gt;0)*($H$6&gt;0),$E$6&amp;", ","")&amp;IF((COUNTIFS(TableBOM[Product ID],$D$7,TableBOM[Item ID],$A47)&gt;0)*($H$7&gt;0),$E$7&amp;", ","")&amp;IF((COUNTIFS(TableBOM[Product ID],$D$8,TableBOM[Item ID],$A47)&gt;0)*($H$8&gt;0),$E$8&amp;", ","")&amp;IF((COUNTIFS(TableBOM[Product ID],$D$9,TableBOM[Item ID],$A47)&gt;0)*($H$9&gt;0),$E$9&amp;", ","")&amp;IF((COUNTIFS(TableBOM[Product ID],$D$10,TableBOM[Item ID],$A47)&gt;0)*($H$10&gt;0),$E$10&amp;", ","")&amp;IF((COUNTIFS(TableBOM[Product ID],$D$11,TableBOM[Item ID],$A47)&gt;0)*($H$11&gt;0),$E$11&amp;", ","")&amp;IF((COUNTIFS(TableBOM[Product ID],$D$12,TableBOM[Item ID],$A47)&gt;0)*($H$12&gt;0),$E$12&amp;", ",""),LEN(IF((COUNTIFS(TableBOM[Product ID],$D$3,TableBOM[Item ID],$A47)&gt;0)*($H$3&gt;0),$E$3&amp;", ","")&amp;IF((COUNTIFS(TableBOM[Product ID],$D$4,TableBOM[Item ID],$A47)&gt;0)*($H$4&gt;0),$E$4&amp;", ","")&amp;IF((COUNTIFS(TableBOM[Product ID],$D$5,TableBOM[Item ID],$A47)&gt;0)*($H$5&gt;0),$E$5&amp;", ","")&amp;IF((COUNTIFS(TableBOM[Product ID],$D$6,TableBOM[Item ID],$A47)&gt;0)*($H$6&gt;0),$E$6&amp;", ","")&amp;IF((COUNTIFS(TableBOM[Product ID],$D$7,TableBOM[Item ID],$A47)&gt;0)*($H$7&gt;0),$E$7&amp;", ","")&amp;IF((COUNTIFS(TableBOM[Product ID],$D$8,TableBOM[Item ID],$A47)&gt;0)*($H$8&gt;0),$E$8&amp;", ","")&amp;IF((COUNTIFS(TableBOM[Product ID],$D$9,TableBOM[Item ID],$A47)&gt;0)*($H$9&gt;0),$E$9&amp;", ","")&amp;IF((COUNTIFS(TableBOM[Product ID],$D$10,TableBOM[Item ID],$A47)&gt;0)*($H$10&gt;0),$E$10&amp;", ","")&amp;IF((COUNTIFS(TableBOM[Product ID],$D$11,TableBOM[Item ID],$A47)&gt;0)*($H$11&gt;0),$E$11&amp;", ","")&amp;IF((COUNTIFS(TableBOM[Product ID],$D$12,TableBOM[Item ID],$A47)&gt;0)*($H$12&gt;0),$E$12&amp;", ",""))-2),"")</f>
        <v/>
      </c>
      <c r="J47" s="64">
        <f>IF(E47=0,"Not needed",IF(G47&lt;0,"SHORTAGE",IF(G47&lt;F47*0.1,"LOW","OK")))</f>
        <v/>
      </c>
      <c r="K47" s="64">
        <f>IF(B47&lt;&gt;"CAP","",SUMPRODUCT((ISNUMBER(SEARCH("Cap Not Available",'FG Stock'!$H$4:$H$100)))*('FG Stock'!$I$4:$I$100=A47)*'FG Stock'!$F$4:$F$100))</f>
        <v/>
      </c>
      <c r="L47" s="64">
        <f>IF(E47=0,"",MAX(0,E47+IFERROR(K47*1,0)-F47))</f>
        <v/>
      </c>
    </row>
    <row r="48" hidden="1" ht="15" customHeight="1" s="249">
      <c r="A48" s="55" t="n">
        <v>4165</v>
      </c>
      <c r="B48" s="55" t="inlineStr">
        <is>
          <t>ZINC POWDER</t>
        </is>
      </c>
      <c r="C48" s="55" t="inlineStr">
        <is>
          <t>ZINC ARCHIMATE</t>
        </is>
      </c>
      <c r="D48" s="55" t="inlineStr">
        <is>
          <t>kg</t>
        </is>
      </c>
      <c r="E48" s="61">
        <f>SUMPRODUCT((TableBOM[Item ID]=A48)*TableBOM[Per 1000 Units]*(1+TableBOM[Scrap %])*SUMIF($D$3:$D$12,TableBOM[Product ID],$H$3:$H$12)/1000)</f>
        <v/>
      </c>
      <c r="F48" s="61">
        <f>IFERROR(INDEX(TableInventory[Store Balance],MATCH(A48,TableInventory[Item ID],0)),0)+IFERROR(INDEX(TableInventory[Work In Process],MATCH(A48,TableInventory[Item ID],0)),0)</f>
        <v/>
      </c>
      <c r="G48" s="61">
        <f>F48-E48</f>
        <v/>
      </c>
      <c r="H48" s="62">
        <f>IF(LEN(IF((COUNTIFS(TableBOM[Product ID],$D$3,TableBOM[Item ID],$A48)&gt;0)*($H$3&gt;0),$C$3&amp;", ","")&amp;IF((COUNTIFS(TableBOM[Product ID],$D$4,TableBOM[Item ID],$A48)&gt;0)*($H$4&gt;0),$C$4&amp;", ","")&amp;IF((COUNTIFS(TableBOM[Product ID],$D$5,TableBOM[Item ID],$A48)&gt;0)*($H$5&gt;0),$C$5&amp;", ","")&amp;IF((COUNTIFS(TableBOM[Product ID],$D$6,TableBOM[Item ID],$A48)&gt;0)*($H$6&gt;0),$C$6&amp;", ","")&amp;IF((COUNTIFS(TableBOM[Product ID],$D$7,TableBOM[Item ID],$A48)&gt;0)*($H$7&gt;0),$C$7&amp;", ","")&amp;IF((COUNTIFS(TableBOM[Product ID],$D$8,TableBOM[Item ID],$A48)&gt;0)*($H$8&gt;0),$C$8&amp;", ","")&amp;IF((COUNTIFS(TableBOM[Product ID],$D$9,TableBOM[Item ID],$A48)&gt;0)*($H$9&gt;0),$C$9&amp;", ","")&amp;IF((COUNTIFS(TableBOM[Product ID],$D$10,TableBOM[Item ID],$A48)&gt;0)*($H$10&gt;0),$C$10&amp;", ","")&amp;IF((COUNTIFS(TableBOM[Product ID],$D$11,TableBOM[Item ID],$A48)&gt;0)*($H$11&gt;0),$C$11&amp;", ","")&amp;IF((COUNTIFS(TableBOM[Product ID],$D$12,TableBOM[Item ID],$A48)&gt;0)*($H$12&gt;0),$C$12&amp;", ",""))&gt;1,LEFT(IF((COUNTIFS(TableBOM[Product ID],$D$3,TableBOM[Item ID],$A48)&gt;0)*($H$3&gt;0),$C$3&amp;", ","")&amp;IF((COUNTIFS(TableBOM[Product ID],$D$4,TableBOM[Item ID],$A48)&gt;0)*($H$4&gt;0),$C$4&amp;", ","")&amp;IF((COUNTIFS(TableBOM[Product ID],$D$5,TableBOM[Item ID],$A48)&gt;0)*($H$5&gt;0),$C$5&amp;", ","")&amp;IF((COUNTIFS(TableBOM[Product ID],$D$6,TableBOM[Item ID],$A48)&gt;0)*($H$6&gt;0),$C$6&amp;", ","")&amp;IF((COUNTIFS(TableBOM[Product ID],$D$7,TableBOM[Item ID],$A48)&gt;0)*($H$7&gt;0),$C$7&amp;", ","")&amp;IF((COUNTIFS(TableBOM[Product ID],$D$8,TableBOM[Item ID],$A48)&gt;0)*($H$8&gt;0),$C$8&amp;", ","")&amp;IF((COUNTIFS(TableBOM[Product ID],$D$9,TableBOM[Item ID],$A48)&gt;0)*($H$9&gt;0),$C$9&amp;", ","")&amp;IF((COUNTIFS(TableBOM[Product ID],$D$10,TableBOM[Item ID],$A48)&gt;0)*($H$10&gt;0),$C$10&amp;", ","")&amp;IF((COUNTIFS(TableBOM[Product ID],$D$11,TableBOM[Item ID],$A48)&gt;0)*($H$11&gt;0),$C$11&amp;", ","")&amp;IF((COUNTIFS(TableBOM[Product ID],$D$12,TableBOM[Item ID],$A48)&gt;0)*($H$12&gt;0),$C$12&amp;", ",""),LEN(IF((COUNTIFS(TableBOM[Product ID],$D$3,TableBOM[Item ID],$A48)&gt;0)*($H$3&gt;0),$C$3&amp;", ","")&amp;IF((COUNTIFS(TableBOM[Product ID],$D$4,TableBOM[Item ID],$A48)&gt;0)*($H$4&gt;0),$C$4&amp;", ","")&amp;IF((COUNTIFS(TableBOM[Product ID],$D$5,TableBOM[Item ID],$A48)&gt;0)*($H$5&gt;0),$C$5&amp;", ","")&amp;IF((COUNTIFS(TableBOM[Product ID],$D$6,TableBOM[Item ID],$A48)&gt;0)*($H$6&gt;0),$C$6&amp;", ","")&amp;IF((COUNTIFS(TableBOM[Product ID],$D$7,TableBOM[Item ID],$A48)&gt;0)*($H$7&gt;0),$C$7&amp;", ","")&amp;IF((COUNTIFS(TableBOM[Product ID],$D$8,TableBOM[Item ID],$A48)&gt;0)*($H$8&gt;0),$C$8&amp;", ","")&amp;IF((COUNTIFS(TableBOM[Product ID],$D$9,TableBOM[Item ID],$A48)&gt;0)*($H$9&gt;0),$C$9&amp;", ","")&amp;IF((COUNTIFS(TableBOM[Product ID],$D$10,TableBOM[Item ID],$A48)&gt;0)*($H$10&gt;0),$C$10&amp;", ","")&amp;IF((COUNTIFS(TableBOM[Product ID],$D$11,TableBOM[Item ID],$A48)&gt;0)*($H$11&gt;0),$C$11&amp;", ","")&amp;IF((COUNTIFS(TableBOM[Product ID],$D$12,TableBOM[Item ID],$A48)&gt;0)*($H$12&gt;0),$C$12&amp;", ",""))-2),"")</f>
        <v/>
      </c>
      <c r="I48" s="63">
        <f>IF(LEN(IF((COUNTIFS(TableBOM[Product ID],$D$3,TableBOM[Item ID],$A48)&gt;0)*($H$3&gt;0),$E$3&amp;", ","")&amp;IF((COUNTIFS(TableBOM[Product ID],$D$4,TableBOM[Item ID],$A48)&gt;0)*($H$4&gt;0),$E$4&amp;", ","")&amp;IF((COUNTIFS(TableBOM[Product ID],$D$5,TableBOM[Item ID],$A48)&gt;0)*($H$5&gt;0),$E$5&amp;", ","")&amp;IF((COUNTIFS(TableBOM[Product ID],$D$6,TableBOM[Item ID],$A48)&gt;0)*($H$6&gt;0),$E$6&amp;", ","")&amp;IF((COUNTIFS(TableBOM[Product ID],$D$7,TableBOM[Item ID],$A48)&gt;0)*($H$7&gt;0),$E$7&amp;", ","")&amp;IF((COUNTIFS(TableBOM[Product ID],$D$8,TableBOM[Item ID],$A48)&gt;0)*($H$8&gt;0),$E$8&amp;", ","")&amp;IF((COUNTIFS(TableBOM[Product ID],$D$9,TableBOM[Item ID],$A48)&gt;0)*($H$9&gt;0),$E$9&amp;", ","")&amp;IF((COUNTIFS(TableBOM[Product ID],$D$10,TableBOM[Item ID],$A48)&gt;0)*($H$10&gt;0),$E$10&amp;", ","")&amp;IF((COUNTIFS(TableBOM[Product ID],$D$11,TableBOM[Item ID],$A48)&gt;0)*($H$11&gt;0),$E$11&amp;", ","")&amp;IF((COUNTIFS(TableBOM[Product ID],$D$12,TableBOM[Item ID],$A48)&gt;0)*($H$12&gt;0),$E$12&amp;", ",""))&gt;1,LEFT(IF((COUNTIFS(TableBOM[Product ID],$D$3,TableBOM[Item ID],$A48)&gt;0)*($H$3&gt;0),$E$3&amp;", ","")&amp;IF((COUNTIFS(TableBOM[Product ID],$D$4,TableBOM[Item ID],$A48)&gt;0)*($H$4&gt;0),$E$4&amp;", ","")&amp;IF((COUNTIFS(TableBOM[Product ID],$D$5,TableBOM[Item ID],$A48)&gt;0)*($H$5&gt;0),$E$5&amp;", ","")&amp;IF((COUNTIFS(TableBOM[Product ID],$D$6,TableBOM[Item ID],$A48)&gt;0)*($H$6&gt;0),$E$6&amp;", ","")&amp;IF((COUNTIFS(TableBOM[Product ID],$D$7,TableBOM[Item ID],$A48)&gt;0)*($H$7&gt;0),$E$7&amp;", ","")&amp;IF((COUNTIFS(TableBOM[Product ID],$D$8,TableBOM[Item ID],$A48)&gt;0)*($H$8&gt;0),$E$8&amp;", ","")&amp;IF((COUNTIFS(TableBOM[Product ID],$D$9,TableBOM[Item ID],$A48)&gt;0)*($H$9&gt;0),$E$9&amp;", ","")&amp;IF((COUNTIFS(TableBOM[Product ID],$D$10,TableBOM[Item ID],$A48)&gt;0)*($H$10&gt;0),$E$10&amp;", ","")&amp;IF((COUNTIFS(TableBOM[Product ID],$D$11,TableBOM[Item ID],$A48)&gt;0)*($H$11&gt;0),$E$11&amp;", ","")&amp;IF((COUNTIFS(TableBOM[Product ID],$D$12,TableBOM[Item ID],$A48)&gt;0)*($H$12&gt;0),$E$12&amp;", ",""),LEN(IF((COUNTIFS(TableBOM[Product ID],$D$3,TableBOM[Item ID],$A48)&gt;0)*($H$3&gt;0),$E$3&amp;", ","")&amp;IF((COUNTIFS(TableBOM[Product ID],$D$4,TableBOM[Item ID],$A48)&gt;0)*($H$4&gt;0),$E$4&amp;", ","")&amp;IF((COUNTIFS(TableBOM[Product ID],$D$5,TableBOM[Item ID],$A48)&gt;0)*($H$5&gt;0),$E$5&amp;", ","")&amp;IF((COUNTIFS(TableBOM[Product ID],$D$6,TableBOM[Item ID],$A48)&gt;0)*($H$6&gt;0),$E$6&amp;", ","")&amp;IF((COUNTIFS(TableBOM[Product ID],$D$7,TableBOM[Item ID],$A48)&gt;0)*($H$7&gt;0),$E$7&amp;", ","")&amp;IF((COUNTIFS(TableBOM[Product ID],$D$8,TableBOM[Item ID],$A48)&gt;0)*($H$8&gt;0),$E$8&amp;", ","")&amp;IF((COUNTIFS(TableBOM[Product ID],$D$9,TableBOM[Item ID],$A48)&gt;0)*($H$9&gt;0),$E$9&amp;", ","")&amp;IF((COUNTIFS(TableBOM[Product ID],$D$10,TableBOM[Item ID],$A48)&gt;0)*($H$10&gt;0),$E$10&amp;", ","")&amp;IF((COUNTIFS(TableBOM[Product ID],$D$11,TableBOM[Item ID],$A48)&gt;0)*($H$11&gt;0),$E$11&amp;", ","")&amp;IF((COUNTIFS(TableBOM[Product ID],$D$12,TableBOM[Item ID],$A48)&gt;0)*($H$12&gt;0),$E$12&amp;", ",""))-2),"")</f>
        <v/>
      </c>
      <c r="J48" s="64">
        <f>IF(E48=0,"Not needed",IF(G48&lt;0,"SHORTAGE",IF(G48&lt;F48*0.1,"LOW","OK")))</f>
        <v/>
      </c>
      <c r="K48" s="64">
        <f>IF(B48&lt;&gt;"CAP","",SUMPRODUCT((ISNUMBER(SEARCH("Cap Not Available",'FG Stock'!$H$4:$H$100)))*('FG Stock'!$I$4:$I$100=A48)*'FG Stock'!$F$4:$F$100))</f>
        <v/>
      </c>
      <c r="L48" s="64">
        <f>IF(E48=0,"",MAX(0,E48+IFERROR(K48*1,0)-F48))</f>
        <v/>
      </c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" t="n"/>
    </row>
    <row r="49" ht="24" customHeight="1" s="249">
      <c r="A49" s="68" t="n">
        <v>69</v>
      </c>
      <c r="B49" s="68" t="inlineStr">
        <is>
          <t>CAP</t>
        </is>
      </c>
      <c r="C49" s="68" t="inlineStr">
        <is>
          <t>M-7 S/M F/P (S) WHITE</t>
        </is>
      </c>
      <c r="D49" s="68" t="inlineStr">
        <is>
          <t>PCS</t>
        </is>
      </c>
      <c r="E49" s="69">
        <f>SUMPRODUCT((TableBOM[Item ID]=A49)*TableBOM[Per 1000 Units]*(1+TableBOM[Scrap %])*SUMIF($D$3:$D$12,TableBOM[Product ID],$H$3:$H$12)/1000)</f>
        <v/>
      </c>
      <c r="F49" s="69">
        <f>IFERROR(INDEX(TableInventory[Store Balance],MATCH(A49,TableInventory[Item ID],0)),0)+IFERROR(INDEX(TableInventory[Work In Process],MATCH(A49,TableInventory[Item ID],0)),0)</f>
        <v/>
      </c>
      <c r="G49" s="70">
        <f>F49-E49</f>
        <v/>
      </c>
      <c r="H49" s="71">
        <f>IF(LEN(IF((COUNTIFS(TableBOM[Product ID],$D$3,TableBOM[Item ID],$A49)&gt;0)*($H$3&gt;0),$C$3&amp;", ","")&amp;IF((COUNTIFS(TableBOM[Product ID],$D$4,TableBOM[Item ID],$A49)&gt;0)*($H$4&gt;0),$C$4&amp;", ","")&amp;IF((COUNTIFS(TableBOM[Product ID],$D$5,TableBOM[Item ID],$A49)&gt;0)*($H$5&gt;0),$C$5&amp;", ","")&amp;IF((COUNTIFS(TableBOM[Product ID],$D$6,TableBOM[Item ID],$A49)&gt;0)*($H$6&gt;0),$C$6&amp;", ","")&amp;IF((COUNTIFS(TableBOM[Product ID],$D$7,TableBOM[Item ID],$A49)&gt;0)*($H$7&gt;0),$C$7&amp;", ","")&amp;IF((COUNTIFS(TableBOM[Product ID],$D$8,TableBOM[Item ID],$A49)&gt;0)*($H$8&gt;0),$C$8&amp;", ","")&amp;IF((COUNTIFS(TableBOM[Product ID],$D$9,TableBOM[Item ID],$A49)&gt;0)*($H$9&gt;0),$C$9&amp;", ","")&amp;IF((COUNTIFS(TableBOM[Product ID],$D$10,TableBOM[Item ID],$A49)&gt;0)*($H$10&gt;0),$C$10&amp;", ","")&amp;IF((COUNTIFS(TableBOM[Product ID],$D$11,TableBOM[Item ID],$A49)&gt;0)*($H$11&gt;0),$C$11&amp;", ","")&amp;IF((COUNTIFS(TableBOM[Product ID],$D$12,TableBOM[Item ID],$A49)&gt;0)*($H$12&gt;0),$C$12&amp;", ",""))&gt;1,LEFT(IF((COUNTIFS(TableBOM[Product ID],$D$3,TableBOM[Item ID],$A49)&gt;0)*($H$3&gt;0),$C$3&amp;", ","")&amp;IF((COUNTIFS(TableBOM[Product ID],$D$4,TableBOM[Item ID],$A49)&gt;0)*($H$4&gt;0),$C$4&amp;", ","")&amp;IF((COUNTIFS(TableBOM[Product ID],$D$5,TableBOM[Item ID],$A49)&gt;0)*($H$5&gt;0),$C$5&amp;", ","")&amp;IF((COUNTIFS(TableBOM[Product ID],$D$6,TableBOM[Item ID],$A49)&gt;0)*($H$6&gt;0),$C$6&amp;", ","")&amp;IF((COUNTIFS(TableBOM[Product ID],$D$7,TableBOM[Item ID],$A49)&gt;0)*($H$7&gt;0),$C$7&amp;", ","")&amp;IF((COUNTIFS(TableBOM[Product ID],$D$8,TableBOM[Item ID],$A49)&gt;0)*($H$8&gt;0),$C$8&amp;", ","")&amp;IF((COUNTIFS(TableBOM[Product ID],$D$9,TableBOM[Item ID],$A49)&gt;0)*($H$9&gt;0),$C$9&amp;", ","")&amp;IF((COUNTIFS(TableBOM[Product ID],$D$10,TableBOM[Item ID],$A49)&gt;0)*($H$10&gt;0),$C$10&amp;", ","")&amp;IF((COUNTIFS(TableBOM[Product ID],$D$11,TableBOM[Item ID],$A49)&gt;0)*($H$11&gt;0),$C$11&amp;", ","")&amp;IF((COUNTIFS(TableBOM[Product ID],$D$12,TableBOM[Item ID],$A49)&gt;0)*($H$12&gt;0),$C$12&amp;", ",""),LEN(IF((COUNTIFS(TableBOM[Product ID],$D$3,TableBOM[Item ID],$A49)&gt;0)*($H$3&gt;0),$C$3&amp;", ","")&amp;IF((COUNTIFS(TableBOM[Product ID],$D$4,TableBOM[Item ID],$A49)&gt;0)*($H$4&gt;0),$C$4&amp;", ","")&amp;IF((COUNTIFS(TableBOM[Product ID],$D$5,TableBOM[Item ID],$A49)&gt;0)*($H$5&gt;0),$C$5&amp;", ","")&amp;IF((COUNTIFS(TableBOM[Product ID],$D$6,TableBOM[Item ID],$A49)&gt;0)*($H$6&gt;0),$C$6&amp;", ","")&amp;IF((COUNTIFS(TableBOM[Product ID],$D$7,TableBOM[Item ID],$A49)&gt;0)*($H$7&gt;0),$C$7&amp;", ","")&amp;IF((COUNTIFS(TableBOM[Product ID],$D$8,TableBOM[Item ID],$A49)&gt;0)*($H$8&gt;0),$C$8&amp;", ","")&amp;IF((COUNTIFS(TableBOM[Product ID],$D$9,TableBOM[Item ID],$A49)&gt;0)*($H$9&gt;0),$C$9&amp;", ","")&amp;IF((COUNTIFS(TableBOM[Product ID],$D$10,TableBOM[Item ID],$A49)&gt;0)*($H$10&gt;0),$C$10&amp;", ","")&amp;IF((COUNTIFS(TableBOM[Product ID],$D$11,TableBOM[Item ID],$A49)&gt;0)*($H$11&gt;0),$C$11&amp;", ","")&amp;IF((COUNTIFS(TableBOM[Product ID],$D$12,TableBOM[Item ID],$A49)&gt;0)*($H$12&gt;0),$C$12&amp;", ",""))-2),"")</f>
        <v/>
      </c>
      <c r="I49" s="72">
        <f>IF(LEN(IF((COUNTIFS(TableBOM[Product ID],$D$3,TableBOM[Item ID],$A49)&gt;0)*($H$3&gt;0),$E$3&amp;", ","")&amp;IF((COUNTIFS(TableBOM[Product ID],$D$4,TableBOM[Item ID],$A49)&gt;0)*($H$4&gt;0),$E$4&amp;", ","")&amp;IF((COUNTIFS(TableBOM[Product ID],$D$5,TableBOM[Item ID],$A49)&gt;0)*($H$5&gt;0),$E$5&amp;", ","")&amp;IF((COUNTIFS(TableBOM[Product ID],$D$6,TableBOM[Item ID],$A49)&gt;0)*($H$6&gt;0),$E$6&amp;", ","")&amp;IF((COUNTIFS(TableBOM[Product ID],$D$7,TableBOM[Item ID],$A49)&gt;0)*($H$7&gt;0),$E$7&amp;", ","")&amp;IF((COUNTIFS(TableBOM[Product ID],$D$8,TableBOM[Item ID],$A49)&gt;0)*($H$8&gt;0),$E$8&amp;", ","")&amp;IF((COUNTIFS(TableBOM[Product ID],$D$9,TableBOM[Item ID],$A49)&gt;0)*($H$9&gt;0),$E$9&amp;", ","")&amp;IF((COUNTIFS(TableBOM[Product ID],$D$10,TableBOM[Item ID],$A49)&gt;0)*($H$10&gt;0),$E$10&amp;", ","")&amp;IF((COUNTIFS(TableBOM[Product ID],$D$11,TableBOM[Item ID],$A49)&gt;0)*($H$11&gt;0),$E$11&amp;", ","")&amp;IF((COUNTIFS(TableBOM[Product ID],$D$12,TableBOM[Item ID],$A49)&gt;0)*($H$12&gt;0),$E$12&amp;", ",""))&gt;1,LEFT(IF((COUNTIFS(TableBOM[Product ID],$D$3,TableBOM[Item ID],$A49)&gt;0)*($H$3&gt;0),$E$3&amp;", ","")&amp;IF((COUNTIFS(TableBOM[Product ID],$D$4,TableBOM[Item ID],$A49)&gt;0)*($H$4&gt;0),$E$4&amp;", ","")&amp;IF((COUNTIFS(TableBOM[Product ID],$D$5,TableBOM[Item ID],$A49)&gt;0)*($H$5&gt;0),$E$5&amp;", ","")&amp;IF((COUNTIFS(TableBOM[Product ID],$D$6,TableBOM[Item ID],$A49)&gt;0)*($H$6&gt;0),$E$6&amp;", ","")&amp;IF((COUNTIFS(TableBOM[Product ID],$D$7,TableBOM[Item ID],$A49)&gt;0)*($H$7&gt;0),$E$7&amp;", ","")&amp;IF((COUNTIFS(TableBOM[Product ID],$D$8,TableBOM[Item ID],$A49)&gt;0)*($H$8&gt;0),$E$8&amp;", ","")&amp;IF((COUNTIFS(TableBOM[Product ID],$D$9,TableBOM[Item ID],$A49)&gt;0)*($H$9&gt;0),$E$9&amp;", ","")&amp;IF((COUNTIFS(TableBOM[Product ID],$D$10,TableBOM[Item ID],$A49)&gt;0)*($H$10&gt;0),$E$10&amp;", ","")&amp;IF((COUNTIFS(TableBOM[Product ID],$D$11,TableBOM[Item ID],$A49)&gt;0)*($H$11&gt;0),$E$11&amp;", ","")&amp;IF((COUNTIFS(TableBOM[Product ID],$D$12,TableBOM[Item ID],$A49)&gt;0)*($H$12&gt;0),$E$12&amp;", ",""),LEN(IF((COUNTIFS(TableBOM[Product ID],$D$3,TableBOM[Item ID],$A49)&gt;0)*($H$3&gt;0),$E$3&amp;", ","")&amp;IF((COUNTIFS(TableBOM[Product ID],$D$4,TableBOM[Item ID],$A49)&gt;0)*($H$4&gt;0),$E$4&amp;", ","")&amp;IF((COUNTIFS(TableBOM[Product ID],$D$5,TableBOM[Item ID],$A49)&gt;0)*($H$5&gt;0),$E$5&amp;", ","")&amp;IF((COUNTIFS(TableBOM[Product ID],$D$6,TableBOM[Item ID],$A49)&gt;0)*($H$6&gt;0),$E$6&amp;", ","")&amp;IF((COUNTIFS(TableBOM[Product ID],$D$7,TableBOM[Item ID],$A49)&gt;0)*($H$7&gt;0),$E$7&amp;", ","")&amp;IF((COUNTIFS(TableBOM[Product ID],$D$8,TableBOM[Item ID],$A49)&gt;0)*($H$8&gt;0),$E$8&amp;", ","")&amp;IF((COUNTIFS(TableBOM[Product ID],$D$9,TableBOM[Item ID],$A49)&gt;0)*($H$9&gt;0),$E$9&amp;", ","")&amp;IF((COUNTIFS(TableBOM[Product ID],$D$10,TableBOM[Item ID],$A49)&gt;0)*($H$10&gt;0),$E$10&amp;", ","")&amp;IF((COUNTIFS(TableBOM[Product ID],$D$11,TableBOM[Item ID],$A49)&gt;0)*($H$11&gt;0),$E$11&amp;", ","")&amp;IF((COUNTIFS(TableBOM[Product ID],$D$12,TableBOM[Item ID],$A49)&gt;0)*($H$12&gt;0),$E$12&amp;", ",""))-2),"")</f>
        <v/>
      </c>
      <c r="J49" s="289" t="inlineStr">
        <is>
          <t>CAPS Not Approved</t>
        </is>
      </c>
      <c r="K49" s="73">
        <f>IF(B49&lt;&gt;"CAP","",SUMPRODUCT((ISNUMBER(SEARCH("Cap Not Available",'FG Stock'!$H$4:$H$100)))*('FG Stock'!$I$4:$I$100=A49)*'FG Stock'!$F$4:$F$100))</f>
        <v/>
      </c>
      <c r="L49" s="73">
        <f>IF(E49=0,"",MAX(0,E49+IFERROR(K49*1,0)-F49))</f>
        <v/>
      </c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" t="n"/>
    </row>
    <row r="50" hidden="1" ht="15" customHeight="1" s="249">
      <c r="A50" s="74" t="n">
        <v>99</v>
      </c>
      <c r="B50" s="74" t="inlineStr">
        <is>
          <t>CAP</t>
        </is>
      </c>
      <c r="C50" s="74" t="inlineStr">
        <is>
          <t>M-7 OPHTHALMIC  PINK</t>
        </is>
      </c>
      <c r="D50" s="74" t="inlineStr">
        <is>
          <t>PCS</t>
        </is>
      </c>
      <c r="E50" s="75">
        <f>SUMPRODUCT((TableBOM[Item ID]=A50)*TableBOM[Per 1000 Units]*(1+TableBOM[Scrap %])*SUMIF($D$3:$D$12,TableBOM[Product ID],$H$3:$H$12)/1000)</f>
        <v/>
      </c>
      <c r="F50" s="75">
        <f>IFERROR(INDEX(TableInventory[Store Balance],MATCH(A50,TableInventory[Item ID],0)),0)+IFERROR(INDEX(TableInventory[Work In Process],MATCH(A50,TableInventory[Item ID],0)),0)</f>
        <v/>
      </c>
      <c r="G50" s="75">
        <f>F50-E50</f>
        <v/>
      </c>
      <c r="H50" s="76">
        <f>IF(LEN(IF((COUNTIFS(TableBOM[Product ID],$D$3,TableBOM[Item ID],$A50)&gt;0)*($H$3&gt;0),$C$3&amp;", ","")&amp;IF((COUNTIFS(TableBOM[Product ID],$D$4,TableBOM[Item ID],$A50)&gt;0)*($H$4&gt;0),$C$4&amp;", ","")&amp;IF((COUNTIFS(TableBOM[Product ID],$D$5,TableBOM[Item ID],$A50)&gt;0)*($H$5&gt;0),$C$5&amp;", ","")&amp;IF((COUNTIFS(TableBOM[Product ID],$D$6,TableBOM[Item ID],$A50)&gt;0)*($H$6&gt;0),$C$6&amp;", ","")&amp;IF((COUNTIFS(TableBOM[Product ID],$D$7,TableBOM[Item ID],$A50)&gt;0)*($H$7&gt;0),$C$7&amp;", ","")&amp;IF((COUNTIFS(TableBOM[Product ID],$D$8,TableBOM[Item ID],$A50)&gt;0)*($H$8&gt;0),$C$8&amp;", ","")&amp;IF((COUNTIFS(TableBOM[Product ID],$D$9,TableBOM[Item ID],$A50)&gt;0)*($H$9&gt;0),$C$9&amp;", ","")&amp;IF((COUNTIFS(TableBOM[Product ID],$D$10,TableBOM[Item ID],$A50)&gt;0)*($H$10&gt;0),$C$10&amp;", ","")&amp;IF((COUNTIFS(TableBOM[Product ID],$D$11,TableBOM[Item ID],$A50)&gt;0)*($H$11&gt;0),$C$11&amp;", ","")&amp;IF((COUNTIFS(TableBOM[Product ID],$D$12,TableBOM[Item ID],$A50)&gt;0)*($H$12&gt;0),$C$12&amp;", ",""))&gt;1,LEFT(IF((COUNTIFS(TableBOM[Product ID],$D$3,TableBOM[Item ID],$A50)&gt;0)*($H$3&gt;0),$C$3&amp;", ","")&amp;IF((COUNTIFS(TableBOM[Product ID],$D$4,TableBOM[Item ID],$A50)&gt;0)*($H$4&gt;0),$C$4&amp;", ","")&amp;IF((COUNTIFS(TableBOM[Product ID],$D$5,TableBOM[Item ID],$A50)&gt;0)*($H$5&gt;0),$C$5&amp;", ","")&amp;IF((COUNTIFS(TableBOM[Product ID],$D$6,TableBOM[Item ID],$A50)&gt;0)*($H$6&gt;0),$C$6&amp;", ","")&amp;IF((COUNTIFS(TableBOM[Product ID],$D$7,TableBOM[Item ID],$A50)&gt;0)*($H$7&gt;0),$C$7&amp;", ","")&amp;IF((COUNTIFS(TableBOM[Product ID],$D$8,TableBOM[Item ID],$A50)&gt;0)*($H$8&gt;0),$C$8&amp;", ","")&amp;IF((COUNTIFS(TableBOM[Product ID],$D$9,TableBOM[Item ID],$A50)&gt;0)*($H$9&gt;0),$C$9&amp;", ","")&amp;IF((COUNTIFS(TableBOM[Product ID],$D$10,TableBOM[Item ID],$A50)&gt;0)*($H$10&gt;0),$C$10&amp;", ","")&amp;IF((COUNTIFS(TableBOM[Product ID],$D$11,TableBOM[Item ID],$A50)&gt;0)*($H$11&gt;0),$C$11&amp;", ","")&amp;IF((COUNTIFS(TableBOM[Product ID],$D$12,TableBOM[Item ID],$A50)&gt;0)*($H$12&gt;0),$C$12&amp;", ",""),LEN(IF((COUNTIFS(TableBOM[Product ID],$D$3,TableBOM[Item ID],$A50)&gt;0)*($H$3&gt;0),$C$3&amp;", ","")&amp;IF((COUNTIFS(TableBOM[Product ID],$D$4,TableBOM[Item ID],$A50)&gt;0)*($H$4&gt;0),$C$4&amp;", ","")&amp;IF((COUNTIFS(TableBOM[Product ID],$D$5,TableBOM[Item ID],$A50)&gt;0)*($H$5&gt;0),$C$5&amp;", ","")&amp;IF((COUNTIFS(TableBOM[Product ID],$D$6,TableBOM[Item ID],$A50)&gt;0)*($H$6&gt;0),$C$6&amp;", ","")&amp;IF((COUNTIFS(TableBOM[Product ID],$D$7,TableBOM[Item ID],$A50)&gt;0)*($H$7&gt;0),$C$7&amp;", ","")&amp;IF((COUNTIFS(TableBOM[Product ID],$D$8,TableBOM[Item ID],$A50)&gt;0)*($H$8&gt;0),$C$8&amp;", ","")&amp;IF((COUNTIFS(TableBOM[Product ID],$D$9,TableBOM[Item ID],$A50)&gt;0)*($H$9&gt;0),$C$9&amp;", ","")&amp;IF((COUNTIFS(TableBOM[Product ID],$D$10,TableBOM[Item ID],$A50)&gt;0)*($H$10&gt;0),$C$10&amp;", ","")&amp;IF((COUNTIFS(TableBOM[Product ID],$D$11,TableBOM[Item ID],$A50)&gt;0)*($H$11&gt;0),$C$11&amp;", ","")&amp;IF((COUNTIFS(TableBOM[Product ID],$D$12,TableBOM[Item ID],$A50)&gt;0)*($H$12&gt;0),$C$12&amp;", ",""))-2),"")</f>
        <v/>
      </c>
      <c r="I50" s="77">
        <f>IF(LEN(IF((COUNTIFS(TableBOM[Product ID],$D$3,TableBOM[Item ID],$A50)&gt;0)*($H$3&gt;0),$E$3&amp;", ","")&amp;IF((COUNTIFS(TableBOM[Product ID],$D$4,TableBOM[Item ID],$A50)&gt;0)*($H$4&gt;0),$E$4&amp;", ","")&amp;IF((COUNTIFS(TableBOM[Product ID],$D$5,TableBOM[Item ID],$A50)&gt;0)*($H$5&gt;0),$E$5&amp;", ","")&amp;IF((COUNTIFS(TableBOM[Product ID],$D$6,TableBOM[Item ID],$A50)&gt;0)*($H$6&gt;0),$E$6&amp;", ","")&amp;IF((COUNTIFS(TableBOM[Product ID],$D$7,TableBOM[Item ID],$A50)&gt;0)*($H$7&gt;0),$E$7&amp;", ","")&amp;IF((COUNTIFS(TableBOM[Product ID],$D$8,TableBOM[Item ID],$A50)&gt;0)*($H$8&gt;0),$E$8&amp;", ","")&amp;IF((COUNTIFS(TableBOM[Product ID],$D$9,TableBOM[Item ID],$A50)&gt;0)*($H$9&gt;0),$E$9&amp;", ","")&amp;IF((COUNTIFS(TableBOM[Product ID],$D$10,TableBOM[Item ID],$A50)&gt;0)*($H$10&gt;0),$E$10&amp;", ","")&amp;IF((COUNTIFS(TableBOM[Product ID],$D$11,TableBOM[Item ID],$A50)&gt;0)*($H$11&gt;0),$E$11&amp;", ","")&amp;IF((COUNTIFS(TableBOM[Product ID],$D$12,TableBOM[Item ID],$A50)&gt;0)*($H$12&gt;0),$E$12&amp;", ",""))&gt;1,LEFT(IF((COUNTIFS(TableBOM[Product ID],$D$3,TableBOM[Item ID],$A50)&gt;0)*($H$3&gt;0),$E$3&amp;", ","")&amp;IF((COUNTIFS(TableBOM[Product ID],$D$4,TableBOM[Item ID],$A50)&gt;0)*($H$4&gt;0),$E$4&amp;", ","")&amp;IF((COUNTIFS(TableBOM[Product ID],$D$5,TableBOM[Item ID],$A50)&gt;0)*($H$5&gt;0),$E$5&amp;", ","")&amp;IF((COUNTIFS(TableBOM[Product ID],$D$6,TableBOM[Item ID],$A50)&gt;0)*($H$6&gt;0),$E$6&amp;", ","")&amp;IF((COUNTIFS(TableBOM[Product ID],$D$7,TableBOM[Item ID],$A50)&gt;0)*($H$7&gt;0),$E$7&amp;", ","")&amp;IF((COUNTIFS(TableBOM[Product ID],$D$8,TableBOM[Item ID],$A50)&gt;0)*($H$8&gt;0),$E$8&amp;", ","")&amp;IF((COUNTIFS(TableBOM[Product ID],$D$9,TableBOM[Item ID],$A50)&gt;0)*($H$9&gt;0),$E$9&amp;", ","")&amp;IF((COUNTIFS(TableBOM[Product ID],$D$10,TableBOM[Item ID],$A50)&gt;0)*($H$10&gt;0),$E$10&amp;", ","")&amp;IF((COUNTIFS(TableBOM[Product ID],$D$11,TableBOM[Item ID],$A50)&gt;0)*($H$11&gt;0),$E$11&amp;", ","")&amp;IF((COUNTIFS(TableBOM[Product ID],$D$12,TableBOM[Item ID],$A50)&gt;0)*($H$12&gt;0),$E$12&amp;", ",""),LEN(IF((COUNTIFS(TableBOM[Product ID],$D$3,TableBOM[Item ID],$A50)&gt;0)*($H$3&gt;0),$E$3&amp;", ","")&amp;IF((COUNTIFS(TableBOM[Product ID],$D$4,TableBOM[Item ID],$A50)&gt;0)*($H$4&gt;0),$E$4&amp;", ","")&amp;IF((COUNTIFS(TableBOM[Product ID],$D$5,TableBOM[Item ID],$A50)&gt;0)*($H$5&gt;0),$E$5&amp;", ","")&amp;IF((COUNTIFS(TableBOM[Product ID],$D$6,TableBOM[Item ID],$A50)&gt;0)*($H$6&gt;0),$E$6&amp;", ","")&amp;IF((COUNTIFS(TableBOM[Product ID],$D$7,TableBOM[Item ID],$A50)&gt;0)*($H$7&gt;0),$E$7&amp;", ","")&amp;IF((COUNTIFS(TableBOM[Product ID],$D$8,TableBOM[Item ID],$A50)&gt;0)*($H$8&gt;0),$E$8&amp;", ","")&amp;IF((COUNTIFS(TableBOM[Product ID],$D$9,TableBOM[Item ID],$A50)&gt;0)*($H$9&gt;0),$E$9&amp;", ","")&amp;IF((COUNTIFS(TableBOM[Product ID],$D$10,TableBOM[Item ID],$A50)&gt;0)*($H$10&gt;0),$E$10&amp;", ","")&amp;IF((COUNTIFS(TableBOM[Product ID],$D$11,TableBOM[Item ID],$A50)&gt;0)*($H$11&gt;0),$E$11&amp;", ","")&amp;IF((COUNTIFS(TableBOM[Product ID],$D$12,TableBOM[Item ID],$A50)&gt;0)*($H$12&gt;0),$E$12&amp;", ",""))-2),"")</f>
        <v/>
      </c>
      <c r="J50" s="78">
        <f>IF(E50=0,"Not needed",IF(G50&lt;0,"SHORTAGE",IF(G50&lt;F50*0.1,"LOW","OK")))</f>
        <v/>
      </c>
      <c r="K50" s="78">
        <f>IF(B50&lt;&gt;"CAP","",SUMPRODUCT((ISNUMBER(SEARCH("Cap Not Available",'FG Stock'!$H$4:$H$100)))*('FG Stock'!$I$4:$I$100=A50)*'FG Stock'!$F$4:$F$100))</f>
        <v/>
      </c>
      <c r="L50" s="78">
        <f>IF(E50=0,"",MAX(0,E50+IFERROR(K50*1,0)-F50))</f>
        <v/>
      </c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" t="n"/>
    </row>
    <row r="51" hidden="1" ht="15" customHeight="1" s="249">
      <c r="A51" s="79" t="n">
        <v>72</v>
      </c>
      <c r="B51" s="79" t="inlineStr">
        <is>
          <t>CAP</t>
        </is>
      </c>
      <c r="C51" s="79" t="inlineStr">
        <is>
          <t>M-9 S/M SPR BLACK DIA 16MM</t>
        </is>
      </c>
      <c r="D51" s="79" t="inlineStr">
        <is>
          <t>PCS</t>
        </is>
      </c>
      <c r="E51" s="80">
        <f>SUMPRODUCT((TableBOM[Item ID]=A51)*TableBOM[Per 1000 Units]*(1+TableBOM[Scrap %])*SUMIF($D$3:$D$12,TableBOM[Product ID],$H$3:$H$12)/1000)</f>
        <v/>
      </c>
      <c r="F51" s="80">
        <f>IFERROR(INDEX(TableInventory[Store Balance],MATCH(A51,TableInventory[Item ID],0)),0)+IFERROR(INDEX(TableInventory[Work In Process],MATCH(A51,TableInventory[Item ID],0)),0)</f>
        <v/>
      </c>
      <c r="G51" s="80">
        <f>F51-E51</f>
        <v/>
      </c>
      <c r="H51" s="81">
        <f>IF(LEN(IF((COUNTIFS(TableBOM[Product ID],$D$3,TableBOM[Item ID],$A51)&gt;0)*($H$3&gt;0),$C$3&amp;", ","")&amp;IF((COUNTIFS(TableBOM[Product ID],$D$4,TableBOM[Item ID],$A51)&gt;0)*($H$4&gt;0),$C$4&amp;", ","")&amp;IF((COUNTIFS(TableBOM[Product ID],$D$5,TableBOM[Item ID],$A51)&gt;0)*($H$5&gt;0),$C$5&amp;", ","")&amp;IF((COUNTIFS(TableBOM[Product ID],$D$6,TableBOM[Item ID],$A51)&gt;0)*($H$6&gt;0),$C$6&amp;", ","")&amp;IF((COUNTIFS(TableBOM[Product ID],$D$7,TableBOM[Item ID],$A51)&gt;0)*($H$7&gt;0),$C$7&amp;", ","")&amp;IF((COUNTIFS(TableBOM[Product ID],$D$8,TableBOM[Item ID],$A51)&gt;0)*($H$8&gt;0),$C$8&amp;", ","")&amp;IF((COUNTIFS(TableBOM[Product ID],$D$9,TableBOM[Item ID],$A51)&gt;0)*($H$9&gt;0),$C$9&amp;", ","")&amp;IF((COUNTIFS(TableBOM[Product ID],$D$10,TableBOM[Item ID],$A51)&gt;0)*($H$10&gt;0),$C$10&amp;", ","")&amp;IF((COUNTIFS(TableBOM[Product ID],$D$11,TableBOM[Item ID],$A51)&gt;0)*($H$11&gt;0),$C$11&amp;", ","")&amp;IF((COUNTIFS(TableBOM[Product ID],$D$12,TableBOM[Item ID],$A51)&gt;0)*($H$12&gt;0),$C$12&amp;", ",""))&gt;1,LEFT(IF((COUNTIFS(TableBOM[Product ID],$D$3,TableBOM[Item ID],$A51)&gt;0)*($H$3&gt;0),$C$3&amp;", ","")&amp;IF((COUNTIFS(TableBOM[Product ID],$D$4,TableBOM[Item ID],$A51)&gt;0)*($H$4&gt;0),$C$4&amp;", ","")&amp;IF((COUNTIFS(TableBOM[Product ID],$D$5,TableBOM[Item ID],$A51)&gt;0)*($H$5&gt;0),$C$5&amp;", ","")&amp;IF((COUNTIFS(TableBOM[Product ID],$D$6,TableBOM[Item ID],$A51)&gt;0)*($H$6&gt;0),$C$6&amp;", ","")&amp;IF((COUNTIFS(TableBOM[Product ID],$D$7,TableBOM[Item ID],$A51)&gt;0)*($H$7&gt;0),$C$7&amp;", ","")&amp;IF((COUNTIFS(TableBOM[Product ID],$D$8,TableBOM[Item ID],$A51)&gt;0)*($H$8&gt;0),$C$8&amp;", ","")&amp;IF((COUNTIFS(TableBOM[Product ID],$D$9,TableBOM[Item ID],$A51)&gt;0)*($H$9&gt;0),$C$9&amp;", ","")&amp;IF((COUNTIFS(TableBOM[Product ID],$D$10,TableBOM[Item ID],$A51)&gt;0)*($H$10&gt;0),$C$10&amp;", ","")&amp;IF((COUNTIFS(TableBOM[Product ID],$D$11,TableBOM[Item ID],$A51)&gt;0)*($H$11&gt;0),$C$11&amp;", ","")&amp;IF((COUNTIFS(TableBOM[Product ID],$D$12,TableBOM[Item ID],$A51)&gt;0)*($H$12&gt;0),$C$12&amp;", ",""),LEN(IF((COUNTIFS(TableBOM[Product ID],$D$3,TableBOM[Item ID],$A51)&gt;0)*($H$3&gt;0),$C$3&amp;", ","")&amp;IF((COUNTIFS(TableBOM[Product ID],$D$4,TableBOM[Item ID],$A51)&gt;0)*($H$4&gt;0),$C$4&amp;", ","")&amp;IF((COUNTIFS(TableBOM[Product ID],$D$5,TableBOM[Item ID],$A51)&gt;0)*($H$5&gt;0),$C$5&amp;", ","")&amp;IF((COUNTIFS(TableBOM[Product ID],$D$6,TableBOM[Item ID],$A51)&gt;0)*($H$6&gt;0),$C$6&amp;", ","")&amp;IF((COUNTIFS(TableBOM[Product ID],$D$7,TableBOM[Item ID],$A51)&gt;0)*($H$7&gt;0),$C$7&amp;", ","")&amp;IF((COUNTIFS(TableBOM[Product ID],$D$8,TableBOM[Item ID],$A51)&gt;0)*($H$8&gt;0),$C$8&amp;", ","")&amp;IF((COUNTIFS(TableBOM[Product ID],$D$9,TableBOM[Item ID],$A51)&gt;0)*($H$9&gt;0),$C$9&amp;", ","")&amp;IF((COUNTIFS(TableBOM[Product ID],$D$10,TableBOM[Item ID],$A51)&gt;0)*($H$10&gt;0),$C$10&amp;", ","")&amp;IF((COUNTIFS(TableBOM[Product ID],$D$11,TableBOM[Item ID],$A51)&gt;0)*($H$11&gt;0),$C$11&amp;", ","")&amp;IF((COUNTIFS(TableBOM[Product ID],$D$12,TableBOM[Item ID],$A51)&gt;0)*($H$12&gt;0),$C$12&amp;", ",""))-2),"")</f>
        <v/>
      </c>
      <c r="I51" s="82">
        <f>IF(LEN(IF((COUNTIFS(TableBOM[Product ID],$D$3,TableBOM[Item ID],$A51)&gt;0)*($H$3&gt;0),$E$3&amp;", ","")&amp;IF((COUNTIFS(TableBOM[Product ID],$D$4,TableBOM[Item ID],$A51)&gt;0)*($H$4&gt;0),$E$4&amp;", ","")&amp;IF((COUNTIFS(TableBOM[Product ID],$D$5,TableBOM[Item ID],$A51)&gt;0)*($H$5&gt;0),$E$5&amp;", ","")&amp;IF((COUNTIFS(TableBOM[Product ID],$D$6,TableBOM[Item ID],$A51)&gt;0)*($H$6&gt;0),$E$6&amp;", ","")&amp;IF((COUNTIFS(TableBOM[Product ID],$D$7,TableBOM[Item ID],$A51)&gt;0)*($H$7&gt;0),$E$7&amp;", ","")&amp;IF((COUNTIFS(TableBOM[Product ID],$D$8,TableBOM[Item ID],$A51)&gt;0)*($H$8&gt;0),$E$8&amp;", ","")&amp;IF((COUNTIFS(TableBOM[Product ID],$D$9,TableBOM[Item ID],$A51)&gt;0)*($H$9&gt;0),$E$9&amp;", ","")&amp;IF((COUNTIFS(TableBOM[Product ID],$D$10,TableBOM[Item ID],$A51)&gt;0)*($H$10&gt;0),$E$10&amp;", ","")&amp;IF((COUNTIFS(TableBOM[Product ID],$D$11,TableBOM[Item ID],$A51)&gt;0)*($H$11&gt;0),$E$11&amp;", ","")&amp;IF((COUNTIFS(TableBOM[Product ID],$D$12,TableBOM[Item ID],$A51)&gt;0)*($H$12&gt;0),$E$12&amp;", ",""))&gt;1,LEFT(IF((COUNTIFS(TableBOM[Product ID],$D$3,TableBOM[Item ID],$A51)&gt;0)*($H$3&gt;0),$E$3&amp;", ","")&amp;IF((COUNTIFS(TableBOM[Product ID],$D$4,TableBOM[Item ID],$A51)&gt;0)*($H$4&gt;0),$E$4&amp;", ","")&amp;IF((COUNTIFS(TableBOM[Product ID],$D$5,TableBOM[Item ID],$A51)&gt;0)*($H$5&gt;0),$E$5&amp;", ","")&amp;IF((COUNTIFS(TableBOM[Product ID],$D$6,TableBOM[Item ID],$A51)&gt;0)*($H$6&gt;0),$E$6&amp;", ","")&amp;IF((COUNTIFS(TableBOM[Product ID],$D$7,TableBOM[Item ID],$A51)&gt;0)*($H$7&gt;0),$E$7&amp;", ","")&amp;IF((COUNTIFS(TableBOM[Product ID],$D$8,TableBOM[Item ID],$A51)&gt;0)*($H$8&gt;0),$E$8&amp;", ","")&amp;IF((COUNTIFS(TableBOM[Product ID],$D$9,TableBOM[Item ID],$A51)&gt;0)*($H$9&gt;0),$E$9&amp;", ","")&amp;IF((COUNTIFS(TableBOM[Product ID],$D$10,TableBOM[Item ID],$A51)&gt;0)*($H$10&gt;0),$E$10&amp;", ","")&amp;IF((COUNTIFS(TableBOM[Product ID],$D$11,TableBOM[Item ID],$A51)&gt;0)*($H$11&gt;0),$E$11&amp;", ","")&amp;IF((COUNTIFS(TableBOM[Product ID],$D$12,TableBOM[Item ID],$A51)&gt;0)*($H$12&gt;0),$E$12&amp;", ",""),LEN(IF((COUNTIFS(TableBOM[Product ID],$D$3,TableBOM[Item ID],$A51)&gt;0)*($H$3&gt;0),$E$3&amp;", ","")&amp;IF((COUNTIFS(TableBOM[Product ID],$D$4,TableBOM[Item ID],$A51)&gt;0)*($H$4&gt;0),$E$4&amp;", ","")&amp;IF((COUNTIFS(TableBOM[Product ID],$D$5,TableBOM[Item ID],$A51)&gt;0)*($H$5&gt;0),$E$5&amp;", ","")&amp;IF((COUNTIFS(TableBOM[Product ID],$D$6,TableBOM[Item ID],$A51)&gt;0)*($H$6&gt;0),$E$6&amp;", ","")&amp;IF((COUNTIFS(TableBOM[Product ID],$D$7,TableBOM[Item ID],$A51)&gt;0)*($H$7&gt;0),$E$7&amp;", ","")&amp;IF((COUNTIFS(TableBOM[Product ID],$D$8,TableBOM[Item ID],$A51)&gt;0)*($H$8&gt;0),$E$8&amp;", ","")&amp;IF((COUNTIFS(TableBOM[Product ID],$D$9,TableBOM[Item ID],$A51)&gt;0)*($H$9&gt;0),$E$9&amp;", ","")&amp;IF((COUNTIFS(TableBOM[Product ID],$D$10,TableBOM[Item ID],$A51)&gt;0)*($H$10&gt;0),$E$10&amp;", ","")&amp;IF((COUNTIFS(TableBOM[Product ID],$D$11,TableBOM[Item ID],$A51)&gt;0)*($H$11&gt;0),$E$11&amp;", ","")&amp;IF((COUNTIFS(TableBOM[Product ID],$D$12,TableBOM[Item ID],$A51)&gt;0)*($H$12&gt;0),$E$12&amp;", ",""))-2),"")</f>
        <v/>
      </c>
      <c r="J51" s="83">
        <f>IF(E51=0,"Not needed",IF(G51&lt;0,"SHORTAGE",IF(G51&lt;F51*0.1,"LOW","OK")))</f>
        <v/>
      </c>
      <c r="K51" s="83">
        <f>IF(B51&lt;&gt;"CAP","",SUMPRODUCT((ISNUMBER(SEARCH("Cap Not Available",'FG Stock'!$H$4:$H$100)))*('FG Stock'!$I$4:$I$100=A51)*'FG Stock'!$F$4:$F$100))</f>
        <v/>
      </c>
      <c r="L51" s="83">
        <f>IF(E51=0,"",MAX(0,E51+IFERROR(K51*1,0)-F51))</f>
        <v/>
      </c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" t="n"/>
    </row>
    <row r="52" hidden="1" ht="15" customHeight="1" s="249">
      <c r="A52" s="55" t="n">
        <v>79</v>
      </c>
      <c r="B52" s="55" t="inlineStr">
        <is>
          <t>CAP</t>
        </is>
      </c>
      <c r="C52" s="55" t="inlineStr">
        <is>
          <t>M-9 S/M SPR WHITE LORINE</t>
        </is>
      </c>
      <c r="D52" s="55" t="inlineStr">
        <is>
          <t>PCS</t>
        </is>
      </c>
      <c r="E52" s="61">
        <f>SUMPRODUCT((TableBOM[Item ID]=A52)*TableBOM[Per 1000 Units]*(1+TableBOM[Scrap %])*SUMIF($D$3:$D$12,TableBOM[Product ID],$H$3:$H$12)/1000)</f>
        <v/>
      </c>
      <c r="F52" s="61">
        <f>IFERROR(INDEX(TableInventory[Store Balance],MATCH(A52,TableInventory[Item ID],0)),0)+IFERROR(INDEX(TableInventory[Work In Process],MATCH(A52,TableInventory[Item ID],0)),0)</f>
        <v/>
      </c>
      <c r="G52" s="61">
        <f>F52-E52</f>
        <v/>
      </c>
      <c r="H52" s="62">
        <f>IF(LEN(IF((COUNTIFS(TableBOM[Product ID],$D$3,TableBOM[Item ID],$A52)&gt;0)*($H$3&gt;0),$C$3&amp;", ","")&amp;IF((COUNTIFS(TableBOM[Product ID],$D$4,TableBOM[Item ID],$A52)&gt;0)*($H$4&gt;0),$C$4&amp;", ","")&amp;IF((COUNTIFS(TableBOM[Product ID],$D$5,TableBOM[Item ID],$A52)&gt;0)*($H$5&gt;0),$C$5&amp;", ","")&amp;IF((COUNTIFS(TableBOM[Product ID],$D$6,TableBOM[Item ID],$A52)&gt;0)*($H$6&gt;0),$C$6&amp;", ","")&amp;IF((COUNTIFS(TableBOM[Product ID],$D$7,TableBOM[Item ID],$A52)&gt;0)*($H$7&gt;0),$C$7&amp;", ","")&amp;IF((COUNTIFS(TableBOM[Product ID],$D$8,TableBOM[Item ID],$A52)&gt;0)*($H$8&gt;0),$C$8&amp;", ","")&amp;IF((COUNTIFS(TableBOM[Product ID],$D$9,TableBOM[Item ID],$A52)&gt;0)*($H$9&gt;0),$C$9&amp;", ","")&amp;IF((COUNTIFS(TableBOM[Product ID],$D$10,TableBOM[Item ID],$A52)&gt;0)*($H$10&gt;0),$C$10&amp;", ","")&amp;IF((COUNTIFS(TableBOM[Product ID],$D$11,TableBOM[Item ID],$A52)&gt;0)*($H$11&gt;0),$C$11&amp;", ","")&amp;IF((COUNTIFS(TableBOM[Product ID],$D$12,TableBOM[Item ID],$A52)&gt;0)*($H$12&gt;0),$C$12&amp;", ",""))&gt;1,LEFT(IF((COUNTIFS(TableBOM[Product ID],$D$3,TableBOM[Item ID],$A52)&gt;0)*($H$3&gt;0),$C$3&amp;", ","")&amp;IF((COUNTIFS(TableBOM[Product ID],$D$4,TableBOM[Item ID],$A52)&gt;0)*($H$4&gt;0),$C$4&amp;", ","")&amp;IF((COUNTIFS(TableBOM[Product ID],$D$5,TableBOM[Item ID],$A52)&gt;0)*($H$5&gt;0),$C$5&amp;", ","")&amp;IF((COUNTIFS(TableBOM[Product ID],$D$6,TableBOM[Item ID],$A52)&gt;0)*($H$6&gt;0),$C$6&amp;", ","")&amp;IF((COUNTIFS(TableBOM[Product ID],$D$7,TableBOM[Item ID],$A52)&gt;0)*($H$7&gt;0),$C$7&amp;", ","")&amp;IF((COUNTIFS(TableBOM[Product ID],$D$8,TableBOM[Item ID],$A52)&gt;0)*($H$8&gt;0),$C$8&amp;", ","")&amp;IF((COUNTIFS(TableBOM[Product ID],$D$9,TableBOM[Item ID],$A52)&gt;0)*($H$9&gt;0),$C$9&amp;", ","")&amp;IF((COUNTIFS(TableBOM[Product ID],$D$10,TableBOM[Item ID],$A52)&gt;0)*($H$10&gt;0),$C$10&amp;", ","")&amp;IF((COUNTIFS(TableBOM[Product ID],$D$11,TableBOM[Item ID],$A52)&gt;0)*($H$11&gt;0),$C$11&amp;", ","")&amp;IF((COUNTIFS(TableBOM[Product ID],$D$12,TableBOM[Item ID],$A52)&gt;0)*($H$12&gt;0),$C$12&amp;", ",""),LEN(IF((COUNTIFS(TableBOM[Product ID],$D$3,TableBOM[Item ID],$A52)&gt;0)*($H$3&gt;0),$C$3&amp;", ","")&amp;IF((COUNTIFS(TableBOM[Product ID],$D$4,TableBOM[Item ID],$A52)&gt;0)*($H$4&gt;0),$C$4&amp;", ","")&amp;IF((COUNTIFS(TableBOM[Product ID],$D$5,TableBOM[Item ID],$A52)&gt;0)*($H$5&gt;0),$C$5&amp;", ","")&amp;IF((COUNTIFS(TableBOM[Product ID],$D$6,TableBOM[Item ID],$A52)&gt;0)*($H$6&gt;0),$C$6&amp;", ","")&amp;IF((COUNTIFS(TableBOM[Product ID],$D$7,TableBOM[Item ID],$A52)&gt;0)*($H$7&gt;0),$C$7&amp;", ","")&amp;IF((COUNTIFS(TableBOM[Product ID],$D$8,TableBOM[Item ID],$A52)&gt;0)*($H$8&gt;0),$C$8&amp;", ","")&amp;IF((COUNTIFS(TableBOM[Product ID],$D$9,TableBOM[Item ID],$A52)&gt;0)*($H$9&gt;0),$C$9&amp;", ","")&amp;IF((COUNTIFS(TableBOM[Product ID],$D$10,TableBOM[Item ID],$A52)&gt;0)*($H$10&gt;0),$C$10&amp;", ","")&amp;IF((COUNTIFS(TableBOM[Product ID],$D$11,TableBOM[Item ID],$A52)&gt;0)*($H$11&gt;0),$C$11&amp;", ","")&amp;IF((COUNTIFS(TableBOM[Product ID],$D$12,TableBOM[Item ID],$A52)&gt;0)*($H$12&gt;0),$C$12&amp;", ",""))-2),"")</f>
        <v/>
      </c>
      <c r="I52" s="63">
        <f>IF(LEN(IF((COUNTIFS(TableBOM[Product ID],$D$3,TableBOM[Item ID],$A52)&gt;0)*($H$3&gt;0),$E$3&amp;", ","")&amp;IF((COUNTIFS(TableBOM[Product ID],$D$4,TableBOM[Item ID],$A52)&gt;0)*($H$4&gt;0),$E$4&amp;", ","")&amp;IF((COUNTIFS(TableBOM[Product ID],$D$5,TableBOM[Item ID],$A52)&gt;0)*($H$5&gt;0),$E$5&amp;", ","")&amp;IF((COUNTIFS(TableBOM[Product ID],$D$6,TableBOM[Item ID],$A52)&gt;0)*($H$6&gt;0),$E$6&amp;", ","")&amp;IF((COUNTIFS(TableBOM[Product ID],$D$7,TableBOM[Item ID],$A52)&gt;0)*($H$7&gt;0),$E$7&amp;", ","")&amp;IF((COUNTIFS(TableBOM[Product ID],$D$8,TableBOM[Item ID],$A52)&gt;0)*($H$8&gt;0),$E$8&amp;", ","")&amp;IF((COUNTIFS(TableBOM[Product ID],$D$9,TableBOM[Item ID],$A52)&gt;0)*($H$9&gt;0),$E$9&amp;", ","")&amp;IF((COUNTIFS(TableBOM[Product ID],$D$10,TableBOM[Item ID],$A52)&gt;0)*($H$10&gt;0),$E$10&amp;", ","")&amp;IF((COUNTIFS(TableBOM[Product ID],$D$11,TableBOM[Item ID],$A52)&gt;0)*($H$11&gt;0),$E$11&amp;", ","")&amp;IF((COUNTIFS(TableBOM[Product ID],$D$12,TableBOM[Item ID],$A52)&gt;0)*($H$12&gt;0),$E$12&amp;", ",""))&gt;1,LEFT(IF((COUNTIFS(TableBOM[Product ID],$D$3,TableBOM[Item ID],$A52)&gt;0)*($H$3&gt;0),$E$3&amp;", ","")&amp;IF((COUNTIFS(TableBOM[Product ID],$D$4,TableBOM[Item ID],$A52)&gt;0)*($H$4&gt;0),$E$4&amp;", ","")&amp;IF((COUNTIFS(TableBOM[Product ID],$D$5,TableBOM[Item ID],$A52)&gt;0)*($H$5&gt;0),$E$5&amp;", ","")&amp;IF((COUNTIFS(TableBOM[Product ID],$D$6,TableBOM[Item ID],$A52)&gt;0)*($H$6&gt;0),$E$6&amp;", ","")&amp;IF((COUNTIFS(TableBOM[Product ID],$D$7,TableBOM[Item ID],$A52)&gt;0)*($H$7&gt;0),$E$7&amp;", ","")&amp;IF((COUNTIFS(TableBOM[Product ID],$D$8,TableBOM[Item ID],$A52)&gt;0)*($H$8&gt;0),$E$8&amp;", ","")&amp;IF((COUNTIFS(TableBOM[Product ID],$D$9,TableBOM[Item ID],$A52)&gt;0)*($H$9&gt;0),$E$9&amp;", ","")&amp;IF((COUNTIFS(TableBOM[Product ID],$D$10,TableBOM[Item ID],$A52)&gt;0)*($H$10&gt;0),$E$10&amp;", ","")&amp;IF((COUNTIFS(TableBOM[Product ID],$D$11,TableBOM[Item ID],$A52)&gt;0)*($H$11&gt;0),$E$11&amp;", ","")&amp;IF((COUNTIFS(TableBOM[Product ID],$D$12,TableBOM[Item ID],$A52)&gt;0)*($H$12&gt;0),$E$12&amp;", ",""),LEN(IF((COUNTIFS(TableBOM[Product ID],$D$3,TableBOM[Item ID],$A52)&gt;0)*($H$3&gt;0),$E$3&amp;", ","")&amp;IF((COUNTIFS(TableBOM[Product ID],$D$4,TableBOM[Item ID],$A52)&gt;0)*($H$4&gt;0),$E$4&amp;", ","")&amp;IF((COUNTIFS(TableBOM[Product ID],$D$5,TableBOM[Item ID],$A52)&gt;0)*($H$5&gt;0),$E$5&amp;", ","")&amp;IF((COUNTIFS(TableBOM[Product ID],$D$6,TableBOM[Item ID],$A52)&gt;0)*($H$6&gt;0),$E$6&amp;", ","")&amp;IF((COUNTIFS(TableBOM[Product ID],$D$7,TableBOM[Item ID],$A52)&gt;0)*($H$7&gt;0),$E$7&amp;", ","")&amp;IF((COUNTIFS(TableBOM[Product ID],$D$8,TableBOM[Item ID],$A52)&gt;0)*($H$8&gt;0),$E$8&amp;", ","")&amp;IF((COUNTIFS(TableBOM[Product ID],$D$9,TableBOM[Item ID],$A52)&gt;0)*($H$9&gt;0),$E$9&amp;", ","")&amp;IF((COUNTIFS(TableBOM[Product ID],$D$10,TableBOM[Item ID],$A52)&gt;0)*($H$10&gt;0),$E$10&amp;", ","")&amp;IF((COUNTIFS(TableBOM[Product ID],$D$11,TableBOM[Item ID],$A52)&gt;0)*($H$11&gt;0),$E$11&amp;", ","")&amp;IF((COUNTIFS(TableBOM[Product ID],$D$12,TableBOM[Item ID],$A52)&gt;0)*($H$12&gt;0),$E$12&amp;", ",""))-2),"")</f>
        <v/>
      </c>
      <c r="J52" s="64">
        <f>IF(E52=0,"Not needed",IF(G52&lt;0,"SHORTAGE",IF(G52&lt;F52*0.1,"LOW","OK")))</f>
        <v/>
      </c>
      <c r="K52" s="64">
        <f>IF(B52&lt;&gt;"CAP","",SUMPRODUCT((ISNUMBER(SEARCH("Cap Not Available",'FG Stock'!$H$4:$H$100)))*('FG Stock'!$I$4:$I$100=A52)*'FG Stock'!$F$4:$F$100))</f>
        <v/>
      </c>
      <c r="L52" s="64">
        <f>IF(E52=0,"",MAX(0,E52+IFERROR(K52*1,0)-F52))</f>
        <v/>
      </c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" t="n"/>
    </row>
    <row r="53" ht="15" customHeight="1" s="249">
      <c r="A53" s="55" t="n">
        <v>80</v>
      </c>
      <c r="B53" s="55" t="inlineStr">
        <is>
          <t>CAP</t>
        </is>
      </c>
      <c r="C53" s="55" t="inlineStr">
        <is>
          <t>M-9 S/M SPR WHITE DIA 19</t>
        </is>
      </c>
      <c r="D53" s="55" t="inlineStr">
        <is>
          <t>PCS</t>
        </is>
      </c>
      <c r="E53" s="61">
        <f>SUMPRODUCT((TableBOM[Item ID]=A53)*TableBOM[Per 1000 Units]*(1+TableBOM[Scrap %])*SUMIF($D$3:$D$12,TableBOM[Product ID],$H$3:$H$12)/1000)</f>
        <v/>
      </c>
      <c r="F53" s="61">
        <f>IFERROR(INDEX(TableInventory[Store Balance],MATCH(A53,TableInventory[Item ID],0)),0)+IFERROR(INDEX(TableInventory[Work In Process],MATCH(A53,TableInventory[Item ID],0)),0)</f>
        <v/>
      </c>
      <c r="G53" s="65">
        <f>F53-E53</f>
        <v/>
      </c>
      <c r="H53" s="62">
        <f>IF(LEN(IF((COUNTIFS(TableBOM[Product ID],$D$3,TableBOM[Item ID],$A53)&gt;0)*($H$3&gt;0),$C$3&amp;", ","")&amp;IF((COUNTIFS(TableBOM[Product ID],$D$4,TableBOM[Item ID],$A53)&gt;0)*($H$4&gt;0),$C$4&amp;", ","")&amp;IF((COUNTIFS(TableBOM[Product ID],$D$5,TableBOM[Item ID],$A53)&gt;0)*($H$5&gt;0),$C$5&amp;", ","")&amp;IF((COUNTIFS(TableBOM[Product ID],$D$6,TableBOM[Item ID],$A53)&gt;0)*($H$6&gt;0),$C$6&amp;", ","")&amp;IF((COUNTIFS(TableBOM[Product ID],$D$7,TableBOM[Item ID],$A53)&gt;0)*($H$7&gt;0),$C$7&amp;", ","")&amp;IF((COUNTIFS(TableBOM[Product ID],$D$8,TableBOM[Item ID],$A53)&gt;0)*($H$8&gt;0),$C$8&amp;", ","")&amp;IF((COUNTIFS(TableBOM[Product ID],$D$9,TableBOM[Item ID],$A53)&gt;0)*($H$9&gt;0),$C$9&amp;", ","")&amp;IF((COUNTIFS(TableBOM[Product ID],$D$10,TableBOM[Item ID],$A53)&gt;0)*($H$10&gt;0),$C$10&amp;", ","")&amp;IF((COUNTIFS(TableBOM[Product ID],$D$11,TableBOM[Item ID],$A53)&gt;0)*($H$11&gt;0),$C$11&amp;", ","")&amp;IF((COUNTIFS(TableBOM[Product ID],$D$12,TableBOM[Item ID],$A53)&gt;0)*($H$12&gt;0),$C$12&amp;", ",""))&gt;1,LEFT(IF((COUNTIFS(TableBOM[Product ID],$D$3,TableBOM[Item ID],$A53)&gt;0)*($H$3&gt;0),$C$3&amp;", ","")&amp;IF((COUNTIFS(TableBOM[Product ID],$D$4,TableBOM[Item ID],$A53)&gt;0)*($H$4&gt;0),$C$4&amp;", ","")&amp;IF((COUNTIFS(TableBOM[Product ID],$D$5,TableBOM[Item ID],$A53)&gt;0)*($H$5&gt;0),$C$5&amp;", ","")&amp;IF((COUNTIFS(TableBOM[Product ID],$D$6,TableBOM[Item ID],$A53)&gt;0)*($H$6&gt;0),$C$6&amp;", ","")&amp;IF((COUNTIFS(TableBOM[Product ID],$D$7,TableBOM[Item ID],$A53)&gt;0)*($H$7&gt;0),$C$7&amp;", ","")&amp;IF((COUNTIFS(TableBOM[Product ID],$D$8,TableBOM[Item ID],$A53)&gt;0)*($H$8&gt;0),$C$8&amp;", ","")&amp;IF((COUNTIFS(TableBOM[Product ID],$D$9,TableBOM[Item ID],$A53)&gt;0)*($H$9&gt;0),$C$9&amp;", ","")&amp;IF((COUNTIFS(TableBOM[Product ID],$D$10,TableBOM[Item ID],$A53)&gt;0)*($H$10&gt;0),$C$10&amp;", ","")&amp;IF((COUNTIFS(TableBOM[Product ID],$D$11,TableBOM[Item ID],$A53)&gt;0)*($H$11&gt;0),$C$11&amp;", ","")&amp;IF((COUNTIFS(TableBOM[Product ID],$D$12,TableBOM[Item ID],$A53)&gt;0)*($H$12&gt;0),$C$12&amp;", ",""),LEN(IF((COUNTIFS(TableBOM[Product ID],$D$3,TableBOM[Item ID],$A53)&gt;0)*($H$3&gt;0),$C$3&amp;", ","")&amp;IF((COUNTIFS(TableBOM[Product ID],$D$4,TableBOM[Item ID],$A53)&gt;0)*($H$4&gt;0),$C$4&amp;", ","")&amp;IF((COUNTIFS(TableBOM[Product ID],$D$5,TableBOM[Item ID],$A53)&gt;0)*($H$5&gt;0),$C$5&amp;", ","")&amp;IF((COUNTIFS(TableBOM[Product ID],$D$6,TableBOM[Item ID],$A53)&gt;0)*($H$6&gt;0),$C$6&amp;", ","")&amp;IF((COUNTIFS(TableBOM[Product ID],$D$7,TableBOM[Item ID],$A53)&gt;0)*($H$7&gt;0),$C$7&amp;", ","")&amp;IF((COUNTIFS(TableBOM[Product ID],$D$8,TableBOM[Item ID],$A53)&gt;0)*($H$8&gt;0),$C$8&amp;", ","")&amp;IF((COUNTIFS(TableBOM[Product ID],$D$9,TableBOM[Item ID],$A53)&gt;0)*($H$9&gt;0),$C$9&amp;", ","")&amp;IF((COUNTIFS(TableBOM[Product ID],$D$10,TableBOM[Item ID],$A53)&gt;0)*($H$10&gt;0),$C$10&amp;", ","")&amp;IF((COUNTIFS(TableBOM[Product ID],$D$11,TableBOM[Item ID],$A53)&gt;0)*($H$11&gt;0),$C$11&amp;", ","")&amp;IF((COUNTIFS(TableBOM[Product ID],$D$12,TableBOM[Item ID],$A53)&gt;0)*($H$12&gt;0),$C$12&amp;", ",""))-2),"")</f>
        <v/>
      </c>
      <c r="I53" s="63">
        <f>IF(LEN(IF((COUNTIFS(TableBOM[Product ID],$D$3,TableBOM[Item ID],$A53)&gt;0)*($H$3&gt;0),$E$3&amp;", ","")&amp;IF((COUNTIFS(TableBOM[Product ID],$D$4,TableBOM[Item ID],$A53)&gt;0)*($H$4&gt;0),$E$4&amp;", ","")&amp;IF((COUNTIFS(TableBOM[Product ID],$D$5,TableBOM[Item ID],$A53)&gt;0)*($H$5&gt;0),$E$5&amp;", ","")&amp;IF((COUNTIFS(TableBOM[Product ID],$D$6,TableBOM[Item ID],$A53)&gt;0)*($H$6&gt;0),$E$6&amp;", ","")&amp;IF((COUNTIFS(TableBOM[Product ID],$D$7,TableBOM[Item ID],$A53)&gt;0)*($H$7&gt;0),$E$7&amp;", ","")&amp;IF((COUNTIFS(TableBOM[Product ID],$D$8,TableBOM[Item ID],$A53)&gt;0)*($H$8&gt;0),$E$8&amp;", ","")&amp;IF((COUNTIFS(TableBOM[Product ID],$D$9,TableBOM[Item ID],$A53)&gt;0)*($H$9&gt;0),$E$9&amp;", ","")&amp;IF((COUNTIFS(TableBOM[Product ID],$D$10,TableBOM[Item ID],$A53)&gt;0)*($H$10&gt;0),$E$10&amp;", ","")&amp;IF((COUNTIFS(TableBOM[Product ID],$D$11,TableBOM[Item ID],$A53)&gt;0)*($H$11&gt;0),$E$11&amp;", ","")&amp;IF((COUNTIFS(TableBOM[Product ID],$D$12,TableBOM[Item ID],$A53)&gt;0)*($H$12&gt;0),$E$12&amp;", ",""))&gt;1,LEFT(IF((COUNTIFS(TableBOM[Product ID],$D$3,TableBOM[Item ID],$A53)&gt;0)*($H$3&gt;0),$E$3&amp;", ","")&amp;IF((COUNTIFS(TableBOM[Product ID],$D$4,TableBOM[Item ID],$A53)&gt;0)*($H$4&gt;0),$E$4&amp;", ","")&amp;IF((COUNTIFS(TableBOM[Product ID],$D$5,TableBOM[Item ID],$A53)&gt;0)*($H$5&gt;0),$E$5&amp;", ","")&amp;IF((COUNTIFS(TableBOM[Product ID],$D$6,TableBOM[Item ID],$A53)&gt;0)*($H$6&gt;0),$E$6&amp;", ","")&amp;IF((COUNTIFS(TableBOM[Product ID],$D$7,TableBOM[Item ID],$A53)&gt;0)*($H$7&gt;0),$E$7&amp;", ","")&amp;IF((COUNTIFS(TableBOM[Product ID],$D$8,TableBOM[Item ID],$A53)&gt;0)*($H$8&gt;0),$E$8&amp;", ","")&amp;IF((COUNTIFS(TableBOM[Product ID],$D$9,TableBOM[Item ID],$A53)&gt;0)*($H$9&gt;0),$E$9&amp;", ","")&amp;IF((COUNTIFS(TableBOM[Product ID],$D$10,TableBOM[Item ID],$A53)&gt;0)*($H$10&gt;0),$E$10&amp;", ","")&amp;IF((COUNTIFS(TableBOM[Product ID],$D$11,TableBOM[Item ID],$A53)&gt;0)*($H$11&gt;0),$E$11&amp;", ","")&amp;IF((COUNTIFS(TableBOM[Product ID],$D$12,TableBOM[Item ID],$A53)&gt;0)*($H$12&gt;0),$E$12&amp;", ",""),LEN(IF((COUNTIFS(TableBOM[Product ID],$D$3,TableBOM[Item ID],$A53)&gt;0)*($H$3&gt;0),$E$3&amp;", ","")&amp;IF((COUNTIFS(TableBOM[Product ID],$D$4,TableBOM[Item ID],$A53)&gt;0)*($H$4&gt;0),$E$4&amp;", ","")&amp;IF((COUNTIFS(TableBOM[Product ID],$D$5,TableBOM[Item ID],$A53)&gt;0)*($H$5&gt;0),$E$5&amp;", ","")&amp;IF((COUNTIFS(TableBOM[Product ID],$D$6,TableBOM[Item ID],$A53)&gt;0)*($H$6&gt;0),$E$6&amp;", ","")&amp;IF((COUNTIFS(TableBOM[Product ID],$D$7,TableBOM[Item ID],$A53)&gt;0)*($H$7&gt;0),$E$7&amp;", ","")&amp;IF((COUNTIFS(TableBOM[Product ID],$D$8,TableBOM[Item ID],$A53)&gt;0)*($H$8&gt;0),$E$8&amp;", ","")&amp;IF((COUNTIFS(TableBOM[Product ID],$D$9,TableBOM[Item ID],$A53)&gt;0)*($H$9&gt;0),$E$9&amp;", ","")&amp;IF((COUNTIFS(TableBOM[Product ID],$D$10,TableBOM[Item ID],$A53)&gt;0)*($H$10&gt;0),$E$10&amp;", ","")&amp;IF((COUNTIFS(TableBOM[Product ID],$D$11,TableBOM[Item ID],$A53)&gt;0)*($H$11&gt;0),$E$11&amp;", ","")&amp;IF((COUNTIFS(TableBOM[Product ID],$D$12,TableBOM[Item ID],$A53)&gt;0)*($H$12&gt;0),$E$12&amp;", ",""))-2),"")</f>
        <v/>
      </c>
      <c r="J53" s="64">
        <f>IF(E53=0,"Not needed",IF(G53&lt;0,"SHORTAGE",IF(G53&lt;F53*0.1,"LOW","OK")))</f>
        <v/>
      </c>
      <c r="K53" s="64">
        <f>IF(B53&lt;&gt;"CAP","",SUMPRODUCT((ISNUMBER(SEARCH("Cap Not Available",'FG Stock'!$H$4:$H$100)))*('FG Stock'!$I$4:$I$100=A53)*'FG Stock'!$F$4:$F$100))</f>
        <v/>
      </c>
      <c r="L53" s="64">
        <f>IF(E53=0,"",MAX(0,E53+IFERROR(K53*1,0)-F53))</f>
        <v/>
      </c>
    </row>
    <row r="54" hidden="1" ht="24" customHeight="1" s="249">
      <c r="A54" s="55" t="n">
        <v>81</v>
      </c>
      <c r="B54" s="55" t="inlineStr">
        <is>
          <t>CAP</t>
        </is>
      </c>
      <c r="C54" s="55" t="inlineStr">
        <is>
          <t>M-9 S/M F/P WHITE (S)</t>
        </is>
      </c>
      <c r="D54" s="55" t="inlineStr">
        <is>
          <t>PCS</t>
        </is>
      </c>
      <c r="E54" s="61">
        <f>SUMPRODUCT((TableBOM[Item ID]=A54)*TableBOM[Per 1000 Units]*(1+TableBOM[Scrap %])*SUMIF($D$3:$D$12,TableBOM[Product ID],$H$3:$H$12)/1000)</f>
        <v/>
      </c>
      <c r="F54" s="61">
        <f>IFERROR(INDEX(TableInventory[Store Balance],MATCH(A54,TableInventory[Item ID],0)),0)+IFERROR(INDEX(TableInventory[Work In Process],MATCH(A54,TableInventory[Item ID],0)),0)</f>
        <v/>
      </c>
      <c r="G54" s="61">
        <f>F54-E54</f>
        <v/>
      </c>
      <c r="H54" s="62">
        <f>IF(LEN(IF((COUNTIFS(TableBOM[Product ID],$D$3,TableBOM[Item ID],$A54)&gt;0)*($H$3&gt;0),$C$3&amp;", ","")&amp;IF((COUNTIFS(TableBOM[Product ID],$D$4,TableBOM[Item ID],$A54)&gt;0)*($H$4&gt;0),$C$4&amp;", ","")&amp;IF((COUNTIFS(TableBOM[Product ID],$D$5,TableBOM[Item ID],$A54)&gt;0)*($H$5&gt;0),$C$5&amp;", ","")&amp;IF((COUNTIFS(TableBOM[Product ID],$D$6,TableBOM[Item ID],$A54)&gt;0)*($H$6&gt;0),$C$6&amp;", ","")&amp;IF((COUNTIFS(TableBOM[Product ID],$D$7,TableBOM[Item ID],$A54)&gt;0)*($H$7&gt;0),$C$7&amp;", ","")&amp;IF((COUNTIFS(TableBOM[Product ID],$D$8,TableBOM[Item ID],$A54)&gt;0)*($H$8&gt;0),$C$8&amp;", ","")&amp;IF((COUNTIFS(TableBOM[Product ID],$D$9,TableBOM[Item ID],$A54)&gt;0)*($H$9&gt;0),$C$9&amp;", ","")&amp;IF((COUNTIFS(TableBOM[Product ID],$D$10,TableBOM[Item ID],$A54)&gt;0)*($H$10&gt;0),$C$10&amp;", ","")&amp;IF((COUNTIFS(TableBOM[Product ID],$D$11,TableBOM[Item ID],$A54)&gt;0)*($H$11&gt;0),$C$11&amp;", ","")&amp;IF((COUNTIFS(TableBOM[Product ID],$D$12,TableBOM[Item ID],$A54)&gt;0)*($H$12&gt;0),$C$12&amp;", ",""))&gt;1,LEFT(IF((COUNTIFS(TableBOM[Product ID],$D$3,TableBOM[Item ID],$A54)&gt;0)*($H$3&gt;0),$C$3&amp;", ","")&amp;IF((COUNTIFS(TableBOM[Product ID],$D$4,TableBOM[Item ID],$A54)&gt;0)*($H$4&gt;0),$C$4&amp;", ","")&amp;IF((COUNTIFS(TableBOM[Product ID],$D$5,TableBOM[Item ID],$A54)&gt;0)*($H$5&gt;0),$C$5&amp;", ","")&amp;IF((COUNTIFS(TableBOM[Product ID],$D$6,TableBOM[Item ID],$A54)&gt;0)*($H$6&gt;0),$C$6&amp;", ","")&amp;IF((COUNTIFS(TableBOM[Product ID],$D$7,TableBOM[Item ID],$A54)&gt;0)*($H$7&gt;0),$C$7&amp;", ","")&amp;IF((COUNTIFS(TableBOM[Product ID],$D$8,TableBOM[Item ID],$A54)&gt;0)*($H$8&gt;0),$C$8&amp;", ","")&amp;IF((COUNTIFS(TableBOM[Product ID],$D$9,TableBOM[Item ID],$A54)&gt;0)*($H$9&gt;0),$C$9&amp;", ","")&amp;IF((COUNTIFS(TableBOM[Product ID],$D$10,TableBOM[Item ID],$A54)&gt;0)*($H$10&gt;0),$C$10&amp;", ","")&amp;IF((COUNTIFS(TableBOM[Product ID],$D$11,TableBOM[Item ID],$A54)&gt;0)*($H$11&gt;0),$C$11&amp;", ","")&amp;IF((COUNTIFS(TableBOM[Product ID],$D$12,TableBOM[Item ID],$A54)&gt;0)*($H$12&gt;0),$C$12&amp;", ",""),LEN(IF((COUNTIFS(TableBOM[Product ID],$D$3,TableBOM[Item ID],$A54)&gt;0)*($H$3&gt;0),$C$3&amp;", ","")&amp;IF((COUNTIFS(TableBOM[Product ID],$D$4,TableBOM[Item ID],$A54)&gt;0)*($H$4&gt;0),$C$4&amp;", ","")&amp;IF((COUNTIFS(TableBOM[Product ID],$D$5,TableBOM[Item ID],$A54)&gt;0)*($H$5&gt;0),$C$5&amp;", ","")&amp;IF((COUNTIFS(TableBOM[Product ID],$D$6,TableBOM[Item ID],$A54)&gt;0)*($H$6&gt;0),$C$6&amp;", ","")&amp;IF((COUNTIFS(TableBOM[Product ID],$D$7,TableBOM[Item ID],$A54)&gt;0)*($H$7&gt;0),$C$7&amp;", ","")&amp;IF((COUNTIFS(TableBOM[Product ID],$D$8,TableBOM[Item ID],$A54)&gt;0)*($H$8&gt;0),$C$8&amp;", ","")&amp;IF((COUNTIFS(TableBOM[Product ID],$D$9,TableBOM[Item ID],$A54)&gt;0)*($H$9&gt;0),$C$9&amp;", ","")&amp;IF((COUNTIFS(TableBOM[Product ID],$D$10,TableBOM[Item ID],$A54)&gt;0)*($H$10&gt;0),$C$10&amp;", ","")&amp;IF((COUNTIFS(TableBOM[Product ID],$D$11,TableBOM[Item ID],$A54)&gt;0)*($H$11&gt;0),$C$11&amp;", ","")&amp;IF((COUNTIFS(TableBOM[Product ID],$D$12,TableBOM[Item ID],$A54)&gt;0)*($H$12&gt;0),$C$12&amp;", ",""))-2),"")</f>
        <v/>
      </c>
      <c r="I54" s="63">
        <f>IF(LEN(IF((COUNTIFS(TableBOM[Product ID],$D$3,TableBOM[Item ID],$A54)&gt;0)*($H$3&gt;0),$E$3&amp;", ","")&amp;IF((COUNTIFS(TableBOM[Product ID],$D$4,TableBOM[Item ID],$A54)&gt;0)*($H$4&gt;0),$E$4&amp;", ","")&amp;IF((COUNTIFS(TableBOM[Product ID],$D$5,TableBOM[Item ID],$A54)&gt;0)*($H$5&gt;0),$E$5&amp;", ","")&amp;IF((COUNTIFS(TableBOM[Product ID],$D$6,TableBOM[Item ID],$A54)&gt;0)*($H$6&gt;0),$E$6&amp;", ","")&amp;IF((COUNTIFS(TableBOM[Product ID],$D$7,TableBOM[Item ID],$A54)&gt;0)*($H$7&gt;0),$E$7&amp;", ","")&amp;IF((COUNTIFS(TableBOM[Product ID],$D$8,TableBOM[Item ID],$A54)&gt;0)*($H$8&gt;0),$E$8&amp;", ","")&amp;IF((COUNTIFS(TableBOM[Product ID],$D$9,TableBOM[Item ID],$A54)&gt;0)*($H$9&gt;0),$E$9&amp;", ","")&amp;IF((COUNTIFS(TableBOM[Product ID],$D$10,TableBOM[Item ID],$A54)&gt;0)*($H$10&gt;0),$E$10&amp;", ","")&amp;IF((COUNTIFS(TableBOM[Product ID],$D$11,TableBOM[Item ID],$A54)&gt;0)*($H$11&gt;0),$E$11&amp;", ","")&amp;IF((COUNTIFS(TableBOM[Product ID],$D$12,TableBOM[Item ID],$A54)&gt;0)*($H$12&gt;0),$E$12&amp;", ",""))&gt;1,LEFT(IF((COUNTIFS(TableBOM[Product ID],$D$3,TableBOM[Item ID],$A54)&gt;0)*($H$3&gt;0),$E$3&amp;", ","")&amp;IF((COUNTIFS(TableBOM[Product ID],$D$4,TableBOM[Item ID],$A54)&gt;0)*($H$4&gt;0),$E$4&amp;", ","")&amp;IF((COUNTIFS(TableBOM[Product ID],$D$5,TableBOM[Item ID],$A54)&gt;0)*($H$5&gt;0),$E$5&amp;", ","")&amp;IF((COUNTIFS(TableBOM[Product ID],$D$6,TableBOM[Item ID],$A54)&gt;0)*($H$6&gt;0),$E$6&amp;", ","")&amp;IF((COUNTIFS(TableBOM[Product ID],$D$7,TableBOM[Item ID],$A54)&gt;0)*($H$7&gt;0),$E$7&amp;", ","")&amp;IF((COUNTIFS(TableBOM[Product ID],$D$8,TableBOM[Item ID],$A54)&gt;0)*($H$8&gt;0),$E$8&amp;", ","")&amp;IF((COUNTIFS(TableBOM[Product ID],$D$9,TableBOM[Item ID],$A54)&gt;0)*($H$9&gt;0),$E$9&amp;", ","")&amp;IF((COUNTIFS(TableBOM[Product ID],$D$10,TableBOM[Item ID],$A54)&gt;0)*($H$10&gt;0),$E$10&amp;", ","")&amp;IF((COUNTIFS(TableBOM[Product ID],$D$11,TableBOM[Item ID],$A54)&gt;0)*($H$11&gt;0),$E$11&amp;", ","")&amp;IF((COUNTIFS(TableBOM[Product ID],$D$12,TableBOM[Item ID],$A54)&gt;0)*($H$12&gt;0),$E$12&amp;", ",""),LEN(IF((COUNTIFS(TableBOM[Product ID],$D$3,TableBOM[Item ID],$A54)&gt;0)*($H$3&gt;0),$E$3&amp;", ","")&amp;IF((COUNTIFS(TableBOM[Product ID],$D$4,TableBOM[Item ID],$A54)&gt;0)*($H$4&gt;0),$E$4&amp;", ","")&amp;IF((COUNTIFS(TableBOM[Product ID],$D$5,TableBOM[Item ID],$A54)&gt;0)*($H$5&gt;0),$E$5&amp;", ","")&amp;IF((COUNTIFS(TableBOM[Product ID],$D$6,TableBOM[Item ID],$A54)&gt;0)*($H$6&gt;0),$E$6&amp;", ","")&amp;IF((COUNTIFS(TableBOM[Product ID],$D$7,TableBOM[Item ID],$A54)&gt;0)*($H$7&gt;0),$E$7&amp;", ","")&amp;IF((COUNTIFS(TableBOM[Product ID],$D$8,TableBOM[Item ID],$A54)&gt;0)*($H$8&gt;0),$E$8&amp;", ","")&amp;IF((COUNTIFS(TableBOM[Product ID],$D$9,TableBOM[Item ID],$A54)&gt;0)*($H$9&gt;0),$E$9&amp;", ","")&amp;IF((COUNTIFS(TableBOM[Product ID],$D$10,TableBOM[Item ID],$A54)&gt;0)*($H$10&gt;0),$E$10&amp;", ","")&amp;IF((COUNTIFS(TableBOM[Product ID],$D$11,TableBOM[Item ID],$A54)&gt;0)*($H$11&gt;0),$E$11&amp;", ","")&amp;IF((COUNTIFS(TableBOM[Product ID],$D$12,TableBOM[Item ID],$A54)&gt;0)*($H$12&gt;0),$E$12&amp;", ",""))-2),"")</f>
        <v/>
      </c>
      <c r="J54" s="64">
        <f>IF(E54=0,"Not needed",IF(G54&lt;0,"SHORTAGE",IF(G54&lt;F54*0.1,"LOW","OK")))</f>
        <v/>
      </c>
      <c r="K54" s="64">
        <f>IF(B54&lt;&gt;"CAP","",SUMPRODUCT((ISNUMBER(SEARCH("Cap Not Available",'FG Stock'!$H$4:$H$100)))*('FG Stock'!$I$4:$I$100=A54)*'FG Stock'!$F$4:$F$100))</f>
        <v/>
      </c>
      <c r="L54" s="64">
        <f>IF(E54=0,"",MAX(0,E54+IFERROR(K54*1,0)-F54))</f>
        <v/>
      </c>
    </row>
    <row r="55" hidden="1" ht="15" customHeight="1" s="249">
      <c r="A55" s="55" t="n">
        <v>1800</v>
      </c>
      <c r="B55" s="55" t="inlineStr">
        <is>
          <t>CAP</t>
        </is>
      </c>
      <c r="C55" s="55" t="inlineStr">
        <is>
          <t>M-9 S/M SPR BLACK DIA 19</t>
        </is>
      </c>
      <c r="D55" s="55" t="inlineStr">
        <is>
          <t>PCS</t>
        </is>
      </c>
      <c r="E55" s="61">
        <f>SUMPRODUCT((TableBOM[Item ID]=A55)*TableBOM[Per 1000 Units]*(1+TableBOM[Scrap %])*SUMIF($D$3:$D$12,TableBOM[Product ID],$H$3:$H$12)/1000)</f>
        <v/>
      </c>
      <c r="F55" s="61">
        <f>IFERROR(INDEX(TableInventory[Store Balance],MATCH(A55,TableInventory[Item ID],0)),0)+IFERROR(INDEX(TableInventory[Work In Process],MATCH(A55,TableInventory[Item ID],0)),0)</f>
        <v/>
      </c>
      <c r="G55" s="65">
        <f>F55-E55</f>
        <v/>
      </c>
      <c r="H55" s="62">
        <f>IF(LEN(IF((COUNTIFS(TableBOM[Product ID],$D$3,TableBOM[Item ID],$A55)&gt;0)*($H$3&gt;0),$C$3&amp;", ","")&amp;IF((COUNTIFS(TableBOM[Product ID],$D$4,TableBOM[Item ID],$A55)&gt;0)*($H$4&gt;0),$C$4&amp;", ","")&amp;IF((COUNTIFS(TableBOM[Product ID],$D$5,TableBOM[Item ID],$A55)&gt;0)*($H$5&gt;0),$C$5&amp;", ","")&amp;IF((COUNTIFS(TableBOM[Product ID],$D$6,TableBOM[Item ID],$A55)&gt;0)*($H$6&gt;0),$C$6&amp;", ","")&amp;IF((COUNTIFS(TableBOM[Product ID],$D$7,TableBOM[Item ID],$A55)&gt;0)*($H$7&gt;0),$C$7&amp;", ","")&amp;IF((COUNTIFS(TableBOM[Product ID],$D$8,TableBOM[Item ID],$A55)&gt;0)*($H$8&gt;0),$C$8&amp;", ","")&amp;IF((COUNTIFS(TableBOM[Product ID],$D$9,TableBOM[Item ID],$A55)&gt;0)*($H$9&gt;0),$C$9&amp;", ","")&amp;IF((COUNTIFS(TableBOM[Product ID],$D$10,TableBOM[Item ID],$A55)&gt;0)*($H$10&gt;0),$C$10&amp;", ","")&amp;IF((COUNTIFS(TableBOM[Product ID],$D$11,TableBOM[Item ID],$A55)&gt;0)*($H$11&gt;0),$C$11&amp;", ","")&amp;IF((COUNTIFS(TableBOM[Product ID],$D$12,TableBOM[Item ID],$A55)&gt;0)*($H$12&gt;0),$C$12&amp;", ",""))&gt;1,LEFT(IF((COUNTIFS(TableBOM[Product ID],$D$3,TableBOM[Item ID],$A55)&gt;0)*($H$3&gt;0),$C$3&amp;", ","")&amp;IF((COUNTIFS(TableBOM[Product ID],$D$4,TableBOM[Item ID],$A55)&gt;0)*($H$4&gt;0),$C$4&amp;", ","")&amp;IF((COUNTIFS(TableBOM[Product ID],$D$5,TableBOM[Item ID],$A55)&gt;0)*($H$5&gt;0),$C$5&amp;", ","")&amp;IF((COUNTIFS(TableBOM[Product ID],$D$6,TableBOM[Item ID],$A55)&gt;0)*($H$6&gt;0),$C$6&amp;", ","")&amp;IF((COUNTIFS(TableBOM[Product ID],$D$7,TableBOM[Item ID],$A55)&gt;0)*($H$7&gt;0),$C$7&amp;", ","")&amp;IF((COUNTIFS(TableBOM[Product ID],$D$8,TableBOM[Item ID],$A55)&gt;0)*($H$8&gt;0),$C$8&amp;", ","")&amp;IF((COUNTIFS(TableBOM[Product ID],$D$9,TableBOM[Item ID],$A55)&gt;0)*($H$9&gt;0),$C$9&amp;", ","")&amp;IF((COUNTIFS(TableBOM[Product ID],$D$10,TableBOM[Item ID],$A55)&gt;0)*($H$10&gt;0),$C$10&amp;", ","")&amp;IF((COUNTIFS(TableBOM[Product ID],$D$11,TableBOM[Item ID],$A55)&gt;0)*($H$11&gt;0),$C$11&amp;", ","")&amp;IF((COUNTIFS(TableBOM[Product ID],$D$12,TableBOM[Item ID],$A55)&gt;0)*($H$12&gt;0),$C$12&amp;", ",""),LEN(IF((COUNTIFS(TableBOM[Product ID],$D$3,TableBOM[Item ID],$A55)&gt;0)*($H$3&gt;0),$C$3&amp;", ","")&amp;IF((COUNTIFS(TableBOM[Product ID],$D$4,TableBOM[Item ID],$A55)&gt;0)*($H$4&gt;0),$C$4&amp;", ","")&amp;IF((COUNTIFS(TableBOM[Product ID],$D$5,TableBOM[Item ID],$A55)&gt;0)*($H$5&gt;0),$C$5&amp;", ","")&amp;IF((COUNTIFS(TableBOM[Product ID],$D$6,TableBOM[Item ID],$A55)&gt;0)*($H$6&gt;0),$C$6&amp;", ","")&amp;IF((COUNTIFS(TableBOM[Product ID],$D$7,TableBOM[Item ID],$A55)&gt;0)*($H$7&gt;0),$C$7&amp;", ","")&amp;IF((COUNTIFS(TableBOM[Product ID],$D$8,TableBOM[Item ID],$A55)&gt;0)*($H$8&gt;0),$C$8&amp;", ","")&amp;IF((COUNTIFS(TableBOM[Product ID],$D$9,TableBOM[Item ID],$A55)&gt;0)*($H$9&gt;0),$C$9&amp;", ","")&amp;IF((COUNTIFS(TableBOM[Product ID],$D$10,TableBOM[Item ID],$A55)&gt;0)*($H$10&gt;0),$C$10&amp;", ","")&amp;IF((COUNTIFS(TableBOM[Product ID],$D$11,TableBOM[Item ID],$A55)&gt;0)*($H$11&gt;0),$C$11&amp;", ","")&amp;IF((COUNTIFS(TableBOM[Product ID],$D$12,TableBOM[Item ID],$A55)&gt;0)*($H$12&gt;0),$C$12&amp;", ",""))-2),"")</f>
        <v/>
      </c>
      <c r="I55" s="63">
        <f>IF(LEN(IF((COUNTIFS(TableBOM[Product ID],$D$3,TableBOM[Item ID],$A55)&gt;0)*($H$3&gt;0),$E$3&amp;", ","")&amp;IF((COUNTIFS(TableBOM[Product ID],$D$4,TableBOM[Item ID],$A55)&gt;0)*($H$4&gt;0),$E$4&amp;", ","")&amp;IF((COUNTIFS(TableBOM[Product ID],$D$5,TableBOM[Item ID],$A55)&gt;0)*($H$5&gt;0),$E$5&amp;", ","")&amp;IF((COUNTIFS(TableBOM[Product ID],$D$6,TableBOM[Item ID],$A55)&gt;0)*($H$6&gt;0),$E$6&amp;", ","")&amp;IF((COUNTIFS(TableBOM[Product ID],$D$7,TableBOM[Item ID],$A55)&gt;0)*($H$7&gt;0),$E$7&amp;", ","")&amp;IF((COUNTIFS(TableBOM[Product ID],$D$8,TableBOM[Item ID],$A55)&gt;0)*($H$8&gt;0),$E$8&amp;", ","")&amp;IF((COUNTIFS(TableBOM[Product ID],$D$9,TableBOM[Item ID],$A55)&gt;0)*($H$9&gt;0),$E$9&amp;", ","")&amp;IF((COUNTIFS(TableBOM[Product ID],$D$10,TableBOM[Item ID],$A55)&gt;0)*($H$10&gt;0),$E$10&amp;", ","")&amp;IF((COUNTIFS(TableBOM[Product ID],$D$11,TableBOM[Item ID],$A55)&gt;0)*($H$11&gt;0),$E$11&amp;", ","")&amp;IF((COUNTIFS(TableBOM[Product ID],$D$12,TableBOM[Item ID],$A55)&gt;0)*($H$12&gt;0),$E$12&amp;", ",""))&gt;1,LEFT(IF((COUNTIFS(TableBOM[Product ID],$D$3,TableBOM[Item ID],$A55)&gt;0)*($H$3&gt;0),$E$3&amp;", ","")&amp;IF((COUNTIFS(TableBOM[Product ID],$D$4,TableBOM[Item ID],$A55)&gt;0)*($H$4&gt;0),$E$4&amp;", ","")&amp;IF((COUNTIFS(TableBOM[Product ID],$D$5,TableBOM[Item ID],$A55)&gt;0)*($H$5&gt;0),$E$5&amp;", ","")&amp;IF((COUNTIFS(TableBOM[Product ID],$D$6,TableBOM[Item ID],$A55)&gt;0)*($H$6&gt;0),$E$6&amp;", ","")&amp;IF((COUNTIFS(TableBOM[Product ID],$D$7,TableBOM[Item ID],$A55)&gt;0)*($H$7&gt;0),$E$7&amp;", ","")&amp;IF((COUNTIFS(TableBOM[Product ID],$D$8,TableBOM[Item ID],$A55)&gt;0)*($H$8&gt;0),$E$8&amp;", ","")&amp;IF((COUNTIFS(TableBOM[Product ID],$D$9,TableBOM[Item ID],$A55)&gt;0)*($H$9&gt;0),$E$9&amp;", ","")&amp;IF((COUNTIFS(TableBOM[Product ID],$D$10,TableBOM[Item ID],$A55)&gt;0)*($H$10&gt;0),$E$10&amp;", ","")&amp;IF((COUNTIFS(TableBOM[Product ID],$D$11,TableBOM[Item ID],$A55)&gt;0)*($H$11&gt;0),$E$11&amp;", ","")&amp;IF((COUNTIFS(TableBOM[Product ID],$D$12,TableBOM[Item ID],$A55)&gt;0)*($H$12&gt;0),$E$12&amp;", ",""),LEN(IF((COUNTIFS(TableBOM[Product ID],$D$3,TableBOM[Item ID],$A55)&gt;0)*($H$3&gt;0),$E$3&amp;", ","")&amp;IF((COUNTIFS(TableBOM[Product ID],$D$4,TableBOM[Item ID],$A55)&gt;0)*($H$4&gt;0),$E$4&amp;", ","")&amp;IF((COUNTIFS(TableBOM[Product ID],$D$5,TableBOM[Item ID],$A55)&gt;0)*($H$5&gt;0),$E$5&amp;", ","")&amp;IF((COUNTIFS(TableBOM[Product ID],$D$6,TableBOM[Item ID],$A55)&gt;0)*($H$6&gt;0),$E$6&amp;", ","")&amp;IF((COUNTIFS(TableBOM[Product ID],$D$7,TableBOM[Item ID],$A55)&gt;0)*($H$7&gt;0),$E$7&amp;", ","")&amp;IF((COUNTIFS(TableBOM[Product ID],$D$8,TableBOM[Item ID],$A55)&gt;0)*($H$8&gt;0),$E$8&amp;", ","")&amp;IF((COUNTIFS(TableBOM[Product ID],$D$9,TableBOM[Item ID],$A55)&gt;0)*($H$9&gt;0),$E$9&amp;", ","")&amp;IF((COUNTIFS(TableBOM[Product ID],$D$10,TableBOM[Item ID],$A55)&gt;0)*($H$10&gt;0),$E$10&amp;", ","")&amp;IF((COUNTIFS(TableBOM[Product ID],$D$11,TableBOM[Item ID],$A55)&gt;0)*($H$11&gt;0),$E$11&amp;", ","")&amp;IF((COUNTIFS(TableBOM[Product ID],$D$12,TableBOM[Item ID],$A55)&gt;0)*($H$12&gt;0),$E$12&amp;", ",""))-2),"")</f>
        <v/>
      </c>
      <c r="J55" s="64">
        <f>IF(E55=0,"Not needed",IF(G55&lt;0,"SHORTAGE",IF(G55&lt;F55*0.1,"LOW","OK")))</f>
        <v/>
      </c>
      <c r="K55" s="64">
        <f>IF(B55&lt;&gt;"CAP","",SUMPRODUCT((ISNUMBER(SEARCH("Cap Not Available",'FG Stock'!$H$4:$H$100)))*('FG Stock'!$I$4:$I$100=A55)*'FG Stock'!$F$4:$F$100))</f>
        <v/>
      </c>
      <c r="L55" s="64">
        <f>IF(E55=0,"",MAX(0,E55+IFERROR(K55*1,0)-F55))</f>
        <v/>
      </c>
    </row>
    <row r="56" hidden="1" ht="24" customHeight="1" s="249">
      <c r="A56" s="55" t="n">
        <v>3211</v>
      </c>
      <c r="B56" s="55" t="inlineStr">
        <is>
          <t>CAP</t>
        </is>
      </c>
      <c r="C56" s="55" t="inlineStr">
        <is>
          <t>M-9 S/M SPR WHITE DIA 22 AUTO</t>
        </is>
      </c>
      <c r="D56" s="55" t="inlineStr">
        <is>
          <t>PCS</t>
        </is>
      </c>
      <c r="E56" s="67">
        <f>SUMPRODUCT((TableBOM[Item ID]=A56)*TableBOM[Per 1000 Units]*(1+TableBOM[Scrap %])*SUMIF($D$3:$D$12,TableBOM[Product ID],$H$3:$H$12)/1000)</f>
        <v/>
      </c>
      <c r="F56" s="67">
        <f>IFERROR(INDEX(TableInventory[Store Balance],MATCH(A56,TableInventory[Item ID],0)),0)+IFERROR(INDEX(TableInventory[Work In Process],MATCH(A56,TableInventory[Item ID],0)),0)</f>
        <v/>
      </c>
      <c r="G56" s="67">
        <f>F56-E56</f>
        <v/>
      </c>
      <c r="H56" s="62">
        <f>IF(LEN(IF((COUNTIFS(TableBOM[Product ID],$D$3,TableBOM[Item ID],$A56)&gt;0)*($H$3&gt;0),$C$3&amp;", ","")&amp;IF((COUNTIFS(TableBOM[Product ID],$D$4,TableBOM[Item ID],$A56)&gt;0)*($H$4&gt;0),$C$4&amp;", ","")&amp;IF((COUNTIFS(TableBOM[Product ID],$D$5,TableBOM[Item ID],$A56)&gt;0)*($H$5&gt;0),$C$5&amp;", ","")&amp;IF((COUNTIFS(TableBOM[Product ID],$D$6,TableBOM[Item ID],$A56)&gt;0)*($H$6&gt;0),$C$6&amp;", ","")&amp;IF((COUNTIFS(TableBOM[Product ID],$D$7,TableBOM[Item ID],$A56)&gt;0)*($H$7&gt;0),$C$7&amp;", ","")&amp;IF((COUNTIFS(TableBOM[Product ID],$D$8,TableBOM[Item ID],$A56)&gt;0)*($H$8&gt;0),$C$8&amp;", ","")&amp;IF((COUNTIFS(TableBOM[Product ID],$D$9,TableBOM[Item ID],$A56)&gt;0)*($H$9&gt;0),$C$9&amp;", ","")&amp;IF((COUNTIFS(TableBOM[Product ID],$D$10,TableBOM[Item ID],$A56)&gt;0)*($H$10&gt;0),$C$10&amp;", ","")&amp;IF((COUNTIFS(TableBOM[Product ID],$D$11,TableBOM[Item ID],$A56)&gt;0)*($H$11&gt;0),$C$11&amp;", ","")&amp;IF((COUNTIFS(TableBOM[Product ID],$D$12,TableBOM[Item ID],$A56)&gt;0)*($H$12&gt;0),$C$12&amp;", ",""))&gt;1,LEFT(IF((COUNTIFS(TableBOM[Product ID],$D$3,TableBOM[Item ID],$A56)&gt;0)*($H$3&gt;0),$C$3&amp;", ","")&amp;IF((COUNTIFS(TableBOM[Product ID],$D$4,TableBOM[Item ID],$A56)&gt;0)*($H$4&gt;0),$C$4&amp;", ","")&amp;IF((COUNTIFS(TableBOM[Product ID],$D$5,TableBOM[Item ID],$A56)&gt;0)*($H$5&gt;0),$C$5&amp;", ","")&amp;IF((COUNTIFS(TableBOM[Product ID],$D$6,TableBOM[Item ID],$A56)&gt;0)*($H$6&gt;0),$C$6&amp;", ","")&amp;IF((COUNTIFS(TableBOM[Product ID],$D$7,TableBOM[Item ID],$A56)&gt;0)*($H$7&gt;0),$C$7&amp;", ","")&amp;IF((COUNTIFS(TableBOM[Product ID],$D$8,TableBOM[Item ID],$A56)&gt;0)*($H$8&gt;0),$C$8&amp;", ","")&amp;IF((COUNTIFS(TableBOM[Product ID],$D$9,TableBOM[Item ID],$A56)&gt;0)*($H$9&gt;0),$C$9&amp;", ","")&amp;IF((COUNTIFS(TableBOM[Product ID],$D$10,TableBOM[Item ID],$A56)&gt;0)*($H$10&gt;0),$C$10&amp;", ","")&amp;IF((COUNTIFS(TableBOM[Product ID],$D$11,TableBOM[Item ID],$A56)&gt;0)*($H$11&gt;0),$C$11&amp;", ","")&amp;IF((COUNTIFS(TableBOM[Product ID],$D$12,TableBOM[Item ID],$A56)&gt;0)*($H$12&gt;0),$C$12&amp;", ",""),LEN(IF((COUNTIFS(TableBOM[Product ID],$D$3,TableBOM[Item ID],$A56)&gt;0)*($H$3&gt;0),$C$3&amp;", ","")&amp;IF((COUNTIFS(TableBOM[Product ID],$D$4,TableBOM[Item ID],$A56)&gt;0)*($H$4&gt;0),$C$4&amp;", ","")&amp;IF((COUNTIFS(TableBOM[Product ID],$D$5,TableBOM[Item ID],$A56)&gt;0)*($H$5&gt;0),$C$5&amp;", ","")&amp;IF((COUNTIFS(TableBOM[Product ID],$D$6,TableBOM[Item ID],$A56)&gt;0)*($H$6&gt;0),$C$6&amp;", ","")&amp;IF((COUNTIFS(TableBOM[Product ID],$D$7,TableBOM[Item ID],$A56)&gt;0)*($H$7&gt;0),$C$7&amp;", ","")&amp;IF((COUNTIFS(TableBOM[Product ID],$D$8,TableBOM[Item ID],$A56)&gt;0)*($H$8&gt;0),$C$8&amp;", ","")&amp;IF((COUNTIFS(TableBOM[Product ID],$D$9,TableBOM[Item ID],$A56)&gt;0)*($H$9&gt;0),$C$9&amp;", ","")&amp;IF((COUNTIFS(TableBOM[Product ID],$D$10,TableBOM[Item ID],$A56)&gt;0)*($H$10&gt;0),$C$10&amp;", ","")&amp;IF((COUNTIFS(TableBOM[Product ID],$D$11,TableBOM[Item ID],$A56)&gt;0)*($H$11&gt;0),$C$11&amp;", ","")&amp;IF((COUNTIFS(TableBOM[Product ID],$D$12,TableBOM[Item ID],$A56)&gt;0)*($H$12&gt;0),$C$12&amp;", ",""))-2),"")</f>
        <v/>
      </c>
      <c r="I56" s="63">
        <f>IF(LEN(IF((COUNTIFS(TableBOM[Product ID],$D$3,TableBOM[Item ID],$A56)&gt;0)*($H$3&gt;0),$E$3&amp;", ","")&amp;IF((COUNTIFS(TableBOM[Product ID],$D$4,TableBOM[Item ID],$A56)&gt;0)*($H$4&gt;0),$E$4&amp;", ","")&amp;IF((COUNTIFS(TableBOM[Product ID],$D$5,TableBOM[Item ID],$A56)&gt;0)*($H$5&gt;0),$E$5&amp;", ","")&amp;IF((COUNTIFS(TableBOM[Product ID],$D$6,TableBOM[Item ID],$A56)&gt;0)*($H$6&gt;0),$E$6&amp;", ","")&amp;IF((COUNTIFS(TableBOM[Product ID],$D$7,TableBOM[Item ID],$A56)&gt;0)*($H$7&gt;0),$E$7&amp;", ","")&amp;IF((COUNTIFS(TableBOM[Product ID],$D$8,TableBOM[Item ID],$A56)&gt;0)*($H$8&gt;0),$E$8&amp;", ","")&amp;IF((COUNTIFS(TableBOM[Product ID],$D$9,TableBOM[Item ID],$A56)&gt;0)*($H$9&gt;0),$E$9&amp;", ","")&amp;IF((COUNTIFS(TableBOM[Product ID],$D$10,TableBOM[Item ID],$A56)&gt;0)*($H$10&gt;0),$E$10&amp;", ","")&amp;IF((COUNTIFS(TableBOM[Product ID],$D$11,TableBOM[Item ID],$A56)&gt;0)*($H$11&gt;0),$E$11&amp;", ","")&amp;IF((COUNTIFS(TableBOM[Product ID],$D$12,TableBOM[Item ID],$A56)&gt;0)*($H$12&gt;0),$E$12&amp;", ",""))&gt;1,LEFT(IF((COUNTIFS(TableBOM[Product ID],$D$3,TableBOM[Item ID],$A56)&gt;0)*($H$3&gt;0),$E$3&amp;", ","")&amp;IF((COUNTIFS(TableBOM[Product ID],$D$4,TableBOM[Item ID],$A56)&gt;0)*($H$4&gt;0),$E$4&amp;", ","")&amp;IF((COUNTIFS(TableBOM[Product ID],$D$5,TableBOM[Item ID],$A56)&gt;0)*($H$5&gt;0),$E$5&amp;", ","")&amp;IF((COUNTIFS(TableBOM[Product ID],$D$6,TableBOM[Item ID],$A56)&gt;0)*($H$6&gt;0),$E$6&amp;", ","")&amp;IF((COUNTIFS(TableBOM[Product ID],$D$7,TableBOM[Item ID],$A56)&gt;0)*($H$7&gt;0),$E$7&amp;", ","")&amp;IF((COUNTIFS(TableBOM[Product ID],$D$8,TableBOM[Item ID],$A56)&gt;0)*($H$8&gt;0),$E$8&amp;", ","")&amp;IF((COUNTIFS(TableBOM[Product ID],$D$9,TableBOM[Item ID],$A56)&gt;0)*($H$9&gt;0),$E$9&amp;", ","")&amp;IF((COUNTIFS(TableBOM[Product ID],$D$10,TableBOM[Item ID],$A56)&gt;0)*($H$10&gt;0),$E$10&amp;", ","")&amp;IF((COUNTIFS(TableBOM[Product ID],$D$11,TableBOM[Item ID],$A56)&gt;0)*($H$11&gt;0),$E$11&amp;", ","")&amp;IF((COUNTIFS(TableBOM[Product ID],$D$12,TableBOM[Item ID],$A56)&gt;0)*($H$12&gt;0),$E$12&amp;", ",""),LEN(IF((COUNTIFS(TableBOM[Product ID],$D$3,TableBOM[Item ID],$A56)&gt;0)*($H$3&gt;0),$E$3&amp;", ","")&amp;IF((COUNTIFS(TableBOM[Product ID],$D$4,TableBOM[Item ID],$A56)&gt;0)*($H$4&gt;0),$E$4&amp;", ","")&amp;IF((COUNTIFS(TableBOM[Product ID],$D$5,TableBOM[Item ID],$A56)&gt;0)*($H$5&gt;0),$E$5&amp;", ","")&amp;IF((COUNTIFS(TableBOM[Product ID],$D$6,TableBOM[Item ID],$A56)&gt;0)*($H$6&gt;0),$E$6&amp;", ","")&amp;IF((COUNTIFS(TableBOM[Product ID],$D$7,TableBOM[Item ID],$A56)&gt;0)*($H$7&gt;0),$E$7&amp;", ","")&amp;IF((COUNTIFS(TableBOM[Product ID],$D$8,TableBOM[Item ID],$A56)&gt;0)*($H$8&gt;0),$E$8&amp;", ","")&amp;IF((COUNTIFS(TableBOM[Product ID],$D$9,TableBOM[Item ID],$A56)&gt;0)*($H$9&gt;0),$E$9&amp;", ","")&amp;IF((COUNTIFS(TableBOM[Product ID],$D$10,TableBOM[Item ID],$A56)&gt;0)*($H$10&gt;0),$E$10&amp;", ","")&amp;IF((COUNTIFS(TableBOM[Product ID],$D$11,TableBOM[Item ID],$A56)&gt;0)*($H$11&gt;0),$E$11&amp;", ","")&amp;IF((COUNTIFS(TableBOM[Product ID],$D$12,TableBOM[Item ID],$A56)&gt;0)*($H$12&gt;0),$E$12&amp;", ",""))-2),"")</f>
        <v/>
      </c>
      <c r="J56" s="64">
        <f>IF(E56=0,"Not needed",IF(G56&lt;0,"SHORTAGE",IF(G56&lt;F56*0.1,"LOW","OK")))</f>
        <v/>
      </c>
      <c r="K56" s="64">
        <f>IF(B56&lt;&gt;"CAP","",SUMPRODUCT((ISNUMBER(SEARCH("Cap Not Available",'FG Stock'!$H$4:$H$100)))*('FG Stock'!$I$4:$I$100=A56)*'FG Stock'!$F$4:$F$100))</f>
        <v/>
      </c>
      <c r="L56" s="64">
        <f>IF(E56=0,"",MAX(0,E56+IFERROR(K56*1,0)-F56))</f>
        <v/>
      </c>
    </row>
    <row r="57" hidden="1" ht="15" customHeight="1" s="249">
      <c r="A57" s="55" t="n">
        <v>4015</v>
      </c>
      <c r="B57" s="55" t="inlineStr">
        <is>
          <t>CAP</t>
        </is>
      </c>
      <c r="C57" s="55" t="inlineStr">
        <is>
          <t>M-9 S/M F/P ORANGE (NORMAL)</t>
        </is>
      </c>
      <c r="D57" s="55" t="inlineStr">
        <is>
          <t>PCS</t>
        </is>
      </c>
      <c r="E57" s="61">
        <f>SUMPRODUCT((TableBOM[Item ID]=A57)*TableBOM[Per 1000 Units]*(1+TableBOM[Scrap %])*SUMIF($D$3:$D$12,TableBOM[Product ID],$H$3:$H$12)/1000)</f>
        <v/>
      </c>
      <c r="F57" s="61">
        <f>IFERROR(INDEX(TableInventory[Store Balance],MATCH(A57,TableInventory[Item ID],0)),0)+IFERROR(INDEX(TableInventory[Work In Process],MATCH(A57,TableInventory[Item ID],0)),0)</f>
        <v/>
      </c>
      <c r="G57" s="61">
        <f>F57-E57</f>
        <v/>
      </c>
      <c r="H57" s="62">
        <f>IF(LEN(IF((COUNTIFS(TableBOM[Product ID],$D$3,TableBOM[Item ID],$A57)&gt;0)*($H$3&gt;0),$C$3&amp;", ","")&amp;IF((COUNTIFS(TableBOM[Product ID],$D$4,TableBOM[Item ID],$A57)&gt;0)*($H$4&gt;0),$C$4&amp;", ","")&amp;IF((COUNTIFS(TableBOM[Product ID],$D$5,TableBOM[Item ID],$A57)&gt;0)*($H$5&gt;0),$C$5&amp;", ","")&amp;IF((COUNTIFS(TableBOM[Product ID],$D$6,TableBOM[Item ID],$A57)&gt;0)*($H$6&gt;0),$C$6&amp;", ","")&amp;IF((COUNTIFS(TableBOM[Product ID],$D$7,TableBOM[Item ID],$A57)&gt;0)*($H$7&gt;0),$C$7&amp;", ","")&amp;IF((COUNTIFS(TableBOM[Product ID],$D$8,TableBOM[Item ID],$A57)&gt;0)*($H$8&gt;0),$C$8&amp;", ","")&amp;IF((COUNTIFS(TableBOM[Product ID],$D$9,TableBOM[Item ID],$A57)&gt;0)*($H$9&gt;0),$C$9&amp;", ","")&amp;IF((COUNTIFS(TableBOM[Product ID],$D$10,TableBOM[Item ID],$A57)&gt;0)*($H$10&gt;0),$C$10&amp;", ","")&amp;IF((COUNTIFS(TableBOM[Product ID],$D$11,TableBOM[Item ID],$A57)&gt;0)*($H$11&gt;0),$C$11&amp;", ","")&amp;IF((COUNTIFS(TableBOM[Product ID],$D$12,TableBOM[Item ID],$A57)&gt;0)*($H$12&gt;0),$C$12&amp;", ",""))&gt;1,LEFT(IF((COUNTIFS(TableBOM[Product ID],$D$3,TableBOM[Item ID],$A57)&gt;0)*($H$3&gt;0),$C$3&amp;", ","")&amp;IF((COUNTIFS(TableBOM[Product ID],$D$4,TableBOM[Item ID],$A57)&gt;0)*($H$4&gt;0),$C$4&amp;", ","")&amp;IF((COUNTIFS(TableBOM[Product ID],$D$5,TableBOM[Item ID],$A57)&gt;0)*($H$5&gt;0),$C$5&amp;", ","")&amp;IF((COUNTIFS(TableBOM[Product ID],$D$6,TableBOM[Item ID],$A57)&gt;0)*($H$6&gt;0),$C$6&amp;", ","")&amp;IF((COUNTIFS(TableBOM[Product ID],$D$7,TableBOM[Item ID],$A57)&gt;0)*($H$7&gt;0),$C$7&amp;", ","")&amp;IF((COUNTIFS(TableBOM[Product ID],$D$8,TableBOM[Item ID],$A57)&gt;0)*($H$8&gt;0),$C$8&amp;", ","")&amp;IF((COUNTIFS(TableBOM[Product ID],$D$9,TableBOM[Item ID],$A57)&gt;0)*($H$9&gt;0),$C$9&amp;", ","")&amp;IF((COUNTIFS(TableBOM[Product ID],$D$10,TableBOM[Item ID],$A57)&gt;0)*($H$10&gt;0),$C$10&amp;", ","")&amp;IF((COUNTIFS(TableBOM[Product ID],$D$11,TableBOM[Item ID],$A57)&gt;0)*($H$11&gt;0),$C$11&amp;", ","")&amp;IF((COUNTIFS(TableBOM[Product ID],$D$12,TableBOM[Item ID],$A57)&gt;0)*($H$12&gt;0),$C$12&amp;", ",""),LEN(IF((COUNTIFS(TableBOM[Product ID],$D$3,TableBOM[Item ID],$A57)&gt;0)*($H$3&gt;0),$C$3&amp;", ","")&amp;IF((COUNTIFS(TableBOM[Product ID],$D$4,TableBOM[Item ID],$A57)&gt;0)*($H$4&gt;0),$C$4&amp;", ","")&amp;IF((COUNTIFS(TableBOM[Product ID],$D$5,TableBOM[Item ID],$A57)&gt;0)*($H$5&gt;0),$C$5&amp;", ","")&amp;IF((COUNTIFS(TableBOM[Product ID],$D$6,TableBOM[Item ID],$A57)&gt;0)*($H$6&gt;0),$C$6&amp;", ","")&amp;IF((COUNTIFS(TableBOM[Product ID],$D$7,TableBOM[Item ID],$A57)&gt;0)*($H$7&gt;0),$C$7&amp;", ","")&amp;IF((COUNTIFS(TableBOM[Product ID],$D$8,TableBOM[Item ID],$A57)&gt;0)*($H$8&gt;0),$C$8&amp;", ","")&amp;IF((COUNTIFS(TableBOM[Product ID],$D$9,TableBOM[Item ID],$A57)&gt;0)*($H$9&gt;0),$C$9&amp;", ","")&amp;IF((COUNTIFS(TableBOM[Product ID],$D$10,TableBOM[Item ID],$A57)&gt;0)*($H$10&gt;0),$C$10&amp;", ","")&amp;IF((COUNTIFS(TableBOM[Product ID],$D$11,TableBOM[Item ID],$A57)&gt;0)*($H$11&gt;0),$C$11&amp;", ","")&amp;IF((COUNTIFS(TableBOM[Product ID],$D$12,TableBOM[Item ID],$A57)&gt;0)*($H$12&gt;0),$C$12&amp;", ",""))-2),"")</f>
        <v/>
      </c>
      <c r="I57" s="63">
        <f>IF(LEN(IF((COUNTIFS(TableBOM[Product ID],$D$3,TableBOM[Item ID],$A57)&gt;0)*($H$3&gt;0),$E$3&amp;", ","")&amp;IF((COUNTIFS(TableBOM[Product ID],$D$4,TableBOM[Item ID],$A57)&gt;0)*($H$4&gt;0),$E$4&amp;", ","")&amp;IF((COUNTIFS(TableBOM[Product ID],$D$5,TableBOM[Item ID],$A57)&gt;0)*($H$5&gt;0),$E$5&amp;", ","")&amp;IF((COUNTIFS(TableBOM[Product ID],$D$6,TableBOM[Item ID],$A57)&gt;0)*($H$6&gt;0),$E$6&amp;", ","")&amp;IF((COUNTIFS(TableBOM[Product ID],$D$7,TableBOM[Item ID],$A57)&gt;0)*($H$7&gt;0),$E$7&amp;", ","")&amp;IF((COUNTIFS(TableBOM[Product ID],$D$8,TableBOM[Item ID],$A57)&gt;0)*($H$8&gt;0),$E$8&amp;", ","")&amp;IF((COUNTIFS(TableBOM[Product ID],$D$9,TableBOM[Item ID],$A57)&gt;0)*($H$9&gt;0),$E$9&amp;", ","")&amp;IF((COUNTIFS(TableBOM[Product ID],$D$10,TableBOM[Item ID],$A57)&gt;0)*($H$10&gt;0),$E$10&amp;", ","")&amp;IF((COUNTIFS(TableBOM[Product ID],$D$11,TableBOM[Item ID],$A57)&gt;0)*($H$11&gt;0),$E$11&amp;", ","")&amp;IF((COUNTIFS(TableBOM[Product ID],$D$12,TableBOM[Item ID],$A57)&gt;0)*($H$12&gt;0),$E$12&amp;", ",""))&gt;1,LEFT(IF((COUNTIFS(TableBOM[Product ID],$D$3,TableBOM[Item ID],$A57)&gt;0)*($H$3&gt;0),$E$3&amp;", ","")&amp;IF((COUNTIFS(TableBOM[Product ID],$D$4,TableBOM[Item ID],$A57)&gt;0)*($H$4&gt;0),$E$4&amp;", ","")&amp;IF((COUNTIFS(TableBOM[Product ID],$D$5,TableBOM[Item ID],$A57)&gt;0)*($H$5&gt;0),$E$5&amp;", ","")&amp;IF((COUNTIFS(TableBOM[Product ID],$D$6,TableBOM[Item ID],$A57)&gt;0)*($H$6&gt;0),$E$6&amp;", ","")&amp;IF((COUNTIFS(TableBOM[Product ID],$D$7,TableBOM[Item ID],$A57)&gt;0)*($H$7&gt;0),$E$7&amp;", ","")&amp;IF((COUNTIFS(TableBOM[Product ID],$D$8,TableBOM[Item ID],$A57)&gt;0)*($H$8&gt;0),$E$8&amp;", ","")&amp;IF((COUNTIFS(TableBOM[Product ID],$D$9,TableBOM[Item ID],$A57)&gt;0)*($H$9&gt;0),$E$9&amp;", ","")&amp;IF((COUNTIFS(TableBOM[Product ID],$D$10,TableBOM[Item ID],$A57)&gt;0)*($H$10&gt;0),$E$10&amp;", ","")&amp;IF((COUNTIFS(TableBOM[Product ID],$D$11,TableBOM[Item ID],$A57)&gt;0)*($H$11&gt;0),$E$11&amp;", ","")&amp;IF((COUNTIFS(TableBOM[Product ID],$D$12,TableBOM[Item ID],$A57)&gt;0)*($H$12&gt;0),$E$12&amp;", ",""),LEN(IF((COUNTIFS(TableBOM[Product ID],$D$3,TableBOM[Item ID],$A57)&gt;0)*($H$3&gt;0),$E$3&amp;", ","")&amp;IF((COUNTIFS(TableBOM[Product ID],$D$4,TableBOM[Item ID],$A57)&gt;0)*($H$4&gt;0),$E$4&amp;", ","")&amp;IF((COUNTIFS(TableBOM[Product ID],$D$5,TableBOM[Item ID],$A57)&gt;0)*($H$5&gt;0),$E$5&amp;", ","")&amp;IF((COUNTIFS(TableBOM[Product ID],$D$6,TableBOM[Item ID],$A57)&gt;0)*($H$6&gt;0),$E$6&amp;", ","")&amp;IF((COUNTIFS(TableBOM[Product ID],$D$7,TableBOM[Item ID],$A57)&gt;0)*($H$7&gt;0),$E$7&amp;", ","")&amp;IF((COUNTIFS(TableBOM[Product ID],$D$8,TableBOM[Item ID],$A57)&gt;0)*($H$8&gt;0),$E$8&amp;", ","")&amp;IF((COUNTIFS(TableBOM[Product ID],$D$9,TableBOM[Item ID],$A57)&gt;0)*($H$9&gt;0),$E$9&amp;", ","")&amp;IF((COUNTIFS(TableBOM[Product ID],$D$10,TableBOM[Item ID],$A57)&gt;0)*($H$10&gt;0),$E$10&amp;", ","")&amp;IF((COUNTIFS(TableBOM[Product ID],$D$11,TableBOM[Item ID],$A57)&gt;0)*($H$11&gt;0),$E$11&amp;", ","")&amp;IF((COUNTIFS(TableBOM[Product ID],$D$12,TableBOM[Item ID],$A57)&gt;0)*($H$12&gt;0),$E$12&amp;", ",""))-2),"")</f>
        <v/>
      </c>
      <c r="J57" s="64">
        <f>IF(E57=0,"Not needed",IF(G57&lt;0,"SHORTAGE",IF(G57&lt;F57*0.1,"LOW","OK")))</f>
        <v/>
      </c>
      <c r="K57" s="64">
        <f>IF(B57&lt;&gt;"CAP","",SUMPRODUCT((ISNUMBER(SEARCH("Cap Not Available",'FG Stock'!$H$4:$H$100)))*('FG Stock'!$I$4:$I$100=A57)*'FG Stock'!$F$4:$F$100))</f>
        <v/>
      </c>
      <c r="L57" s="64">
        <f>IF(E57=0,"",MAX(0,E57+IFERROR(K57*1,0)-F57))</f>
        <v/>
      </c>
    </row>
    <row r="58" hidden="1" ht="15" customHeight="1" s="249">
      <c r="A58" s="55" t="n">
        <v>4044</v>
      </c>
      <c r="B58" s="55" t="inlineStr">
        <is>
          <t>CAP</t>
        </is>
      </c>
      <c r="C58" s="55" t="inlineStr">
        <is>
          <t>M-9 S/M SPR BEIGE DIA 20.5</t>
        </is>
      </c>
      <c r="D58" s="55" t="inlineStr">
        <is>
          <t>PCS</t>
        </is>
      </c>
      <c r="E58" s="61">
        <f>SUMPRODUCT((TableBOM[Item ID]=A58)*TableBOM[Per 1000 Units]*(1+TableBOM[Scrap %])*SUMIF($D$3:$D$12,TableBOM[Product ID],$H$3:$H$12)/1000)</f>
        <v/>
      </c>
      <c r="F58" s="61">
        <f>IFERROR(INDEX(TableInventory[Store Balance],MATCH(A58,TableInventory[Item ID],0)),0)+IFERROR(INDEX(TableInventory[Work In Process],MATCH(A58,TableInventory[Item ID],0)),0)</f>
        <v/>
      </c>
      <c r="G58" s="61">
        <f>F58-E58</f>
        <v/>
      </c>
      <c r="H58" s="62">
        <f>IF(LEN(IF((COUNTIFS(TableBOM[Product ID],$D$3,TableBOM[Item ID],$A58)&gt;0)*($H$3&gt;0),$C$3&amp;", ","")&amp;IF((COUNTIFS(TableBOM[Product ID],$D$4,TableBOM[Item ID],$A58)&gt;0)*($H$4&gt;0),$C$4&amp;", ","")&amp;IF((COUNTIFS(TableBOM[Product ID],$D$5,TableBOM[Item ID],$A58)&gt;0)*($H$5&gt;0),$C$5&amp;", ","")&amp;IF((COUNTIFS(TableBOM[Product ID],$D$6,TableBOM[Item ID],$A58)&gt;0)*($H$6&gt;0),$C$6&amp;", ","")&amp;IF((COUNTIFS(TableBOM[Product ID],$D$7,TableBOM[Item ID],$A58)&gt;0)*($H$7&gt;0),$C$7&amp;", ","")&amp;IF((COUNTIFS(TableBOM[Product ID],$D$8,TableBOM[Item ID],$A58)&gt;0)*($H$8&gt;0),$C$8&amp;", ","")&amp;IF((COUNTIFS(TableBOM[Product ID],$D$9,TableBOM[Item ID],$A58)&gt;0)*($H$9&gt;0),$C$9&amp;", ","")&amp;IF((COUNTIFS(TableBOM[Product ID],$D$10,TableBOM[Item ID],$A58)&gt;0)*($H$10&gt;0),$C$10&amp;", ","")&amp;IF((COUNTIFS(TableBOM[Product ID],$D$11,TableBOM[Item ID],$A58)&gt;0)*($H$11&gt;0),$C$11&amp;", ","")&amp;IF((COUNTIFS(TableBOM[Product ID],$D$12,TableBOM[Item ID],$A58)&gt;0)*($H$12&gt;0),$C$12&amp;", ",""))&gt;1,LEFT(IF((COUNTIFS(TableBOM[Product ID],$D$3,TableBOM[Item ID],$A58)&gt;0)*($H$3&gt;0),$C$3&amp;", ","")&amp;IF((COUNTIFS(TableBOM[Product ID],$D$4,TableBOM[Item ID],$A58)&gt;0)*($H$4&gt;0),$C$4&amp;", ","")&amp;IF((COUNTIFS(TableBOM[Product ID],$D$5,TableBOM[Item ID],$A58)&gt;0)*($H$5&gt;0),$C$5&amp;", ","")&amp;IF((COUNTIFS(TableBOM[Product ID],$D$6,TableBOM[Item ID],$A58)&gt;0)*($H$6&gt;0),$C$6&amp;", ","")&amp;IF((COUNTIFS(TableBOM[Product ID],$D$7,TableBOM[Item ID],$A58)&gt;0)*($H$7&gt;0),$C$7&amp;", ","")&amp;IF((COUNTIFS(TableBOM[Product ID],$D$8,TableBOM[Item ID],$A58)&gt;0)*($H$8&gt;0),$C$8&amp;", ","")&amp;IF((COUNTIFS(TableBOM[Product ID],$D$9,TableBOM[Item ID],$A58)&gt;0)*($H$9&gt;0),$C$9&amp;", ","")&amp;IF((COUNTIFS(TableBOM[Product ID],$D$10,TableBOM[Item ID],$A58)&gt;0)*($H$10&gt;0),$C$10&amp;", ","")&amp;IF((COUNTIFS(TableBOM[Product ID],$D$11,TableBOM[Item ID],$A58)&gt;0)*($H$11&gt;0),$C$11&amp;", ","")&amp;IF((COUNTIFS(TableBOM[Product ID],$D$12,TableBOM[Item ID],$A58)&gt;0)*($H$12&gt;0),$C$12&amp;", ",""),LEN(IF((COUNTIFS(TableBOM[Product ID],$D$3,TableBOM[Item ID],$A58)&gt;0)*($H$3&gt;0),$C$3&amp;", ","")&amp;IF((COUNTIFS(TableBOM[Product ID],$D$4,TableBOM[Item ID],$A58)&gt;0)*($H$4&gt;0),$C$4&amp;", ","")&amp;IF((COUNTIFS(TableBOM[Product ID],$D$5,TableBOM[Item ID],$A58)&gt;0)*($H$5&gt;0),$C$5&amp;", ","")&amp;IF((COUNTIFS(TableBOM[Product ID],$D$6,TableBOM[Item ID],$A58)&gt;0)*($H$6&gt;0),$C$6&amp;", ","")&amp;IF((COUNTIFS(TableBOM[Product ID],$D$7,TableBOM[Item ID],$A58)&gt;0)*($H$7&gt;0),$C$7&amp;", ","")&amp;IF((COUNTIFS(TableBOM[Product ID],$D$8,TableBOM[Item ID],$A58)&gt;0)*($H$8&gt;0),$C$8&amp;", ","")&amp;IF((COUNTIFS(TableBOM[Product ID],$D$9,TableBOM[Item ID],$A58)&gt;0)*($H$9&gt;0),$C$9&amp;", ","")&amp;IF((COUNTIFS(TableBOM[Product ID],$D$10,TableBOM[Item ID],$A58)&gt;0)*($H$10&gt;0),$C$10&amp;", ","")&amp;IF((COUNTIFS(TableBOM[Product ID],$D$11,TableBOM[Item ID],$A58)&gt;0)*($H$11&gt;0),$C$11&amp;", ","")&amp;IF((COUNTIFS(TableBOM[Product ID],$D$12,TableBOM[Item ID],$A58)&gt;0)*($H$12&gt;0),$C$12&amp;", ",""))-2),"")</f>
        <v/>
      </c>
      <c r="I58" s="63">
        <f>IF(LEN(IF((COUNTIFS(TableBOM[Product ID],$D$3,TableBOM[Item ID],$A58)&gt;0)*($H$3&gt;0),$E$3&amp;", ","")&amp;IF((COUNTIFS(TableBOM[Product ID],$D$4,TableBOM[Item ID],$A58)&gt;0)*($H$4&gt;0),$E$4&amp;", ","")&amp;IF((COUNTIFS(TableBOM[Product ID],$D$5,TableBOM[Item ID],$A58)&gt;0)*($H$5&gt;0),$E$5&amp;", ","")&amp;IF((COUNTIFS(TableBOM[Product ID],$D$6,TableBOM[Item ID],$A58)&gt;0)*($H$6&gt;0),$E$6&amp;", ","")&amp;IF((COUNTIFS(TableBOM[Product ID],$D$7,TableBOM[Item ID],$A58)&gt;0)*($H$7&gt;0),$E$7&amp;", ","")&amp;IF((COUNTIFS(TableBOM[Product ID],$D$8,TableBOM[Item ID],$A58)&gt;0)*($H$8&gt;0),$E$8&amp;", ","")&amp;IF((COUNTIFS(TableBOM[Product ID],$D$9,TableBOM[Item ID],$A58)&gt;0)*($H$9&gt;0),$E$9&amp;", ","")&amp;IF((COUNTIFS(TableBOM[Product ID],$D$10,TableBOM[Item ID],$A58)&gt;0)*($H$10&gt;0),$E$10&amp;", ","")&amp;IF((COUNTIFS(TableBOM[Product ID],$D$11,TableBOM[Item ID],$A58)&gt;0)*($H$11&gt;0),$E$11&amp;", ","")&amp;IF((COUNTIFS(TableBOM[Product ID],$D$12,TableBOM[Item ID],$A58)&gt;0)*($H$12&gt;0),$E$12&amp;", ",""))&gt;1,LEFT(IF((COUNTIFS(TableBOM[Product ID],$D$3,TableBOM[Item ID],$A58)&gt;0)*($H$3&gt;0),$E$3&amp;", ","")&amp;IF((COUNTIFS(TableBOM[Product ID],$D$4,TableBOM[Item ID],$A58)&gt;0)*($H$4&gt;0),$E$4&amp;", ","")&amp;IF((COUNTIFS(TableBOM[Product ID],$D$5,TableBOM[Item ID],$A58)&gt;0)*($H$5&gt;0),$E$5&amp;", ","")&amp;IF((COUNTIFS(TableBOM[Product ID],$D$6,TableBOM[Item ID],$A58)&gt;0)*($H$6&gt;0),$E$6&amp;", ","")&amp;IF((COUNTIFS(TableBOM[Product ID],$D$7,TableBOM[Item ID],$A58)&gt;0)*($H$7&gt;0),$E$7&amp;", ","")&amp;IF((COUNTIFS(TableBOM[Product ID],$D$8,TableBOM[Item ID],$A58)&gt;0)*($H$8&gt;0),$E$8&amp;", ","")&amp;IF((COUNTIFS(TableBOM[Product ID],$D$9,TableBOM[Item ID],$A58)&gt;0)*($H$9&gt;0),$E$9&amp;", ","")&amp;IF((COUNTIFS(TableBOM[Product ID],$D$10,TableBOM[Item ID],$A58)&gt;0)*($H$10&gt;0),$E$10&amp;", ","")&amp;IF((COUNTIFS(TableBOM[Product ID],$D$11,TableBOM[Item ID],$A58)&gt;0)*($H$11&gt;0),$E$11&amp;", ","")&amp;IF((COUNTIFS(TableBOM[Product ID],$D$12,TableBOM[Item ID],$A58)&gt;0)*($H$12&gt;0),$E$12&amp;", ",""),LEN(IF((COUNTIFS(TableBOM[Product ID],$D$3,TableBOM[Item ID],$A58)&gt;0)*($H$3&gt;0),$E$3&amp;", ","")&amp;IF((COUNTIFS(TableBOM[Product ID],$D$4,TableBOM[Item ID],$A58)&gt;0)*($H$4&gt;0),$E$4&amp;", ","")&amp;IF((COUNTIFS(TableBOM[Product ID],$D$5,TableBOM[Item ID],$A58)&gt;0)*($H$5&gt;0),$E$5&amp;", ","")&amp;IF((COUNTIFS(TableBOM[Product ID],$D$6,TableBOM[Item ID],$A58)&gt;0)*($H$6&gt;0),$E$6&amp;", ","")&amp;IF((COUNTIFS(TableBOM[Product ID],$D$7,TableBOM[Item ID],$A58)&gt;0)*($H$7&gt;0),$E$7&amp;", ","")&amp;IF((COUNTIFS(TableBOM[Product ID],$D$8,TableBOM[Item ID],$A58)&gt;0)*($H$8&gt;0),$E$8&amp;", ","")&amp;IF((COUNTIFS(TableBOM[Product ID],$D$9,TableBOM[Item ID],$A58)&gt;0)*($H$9&gt;0),$E$9&amp;", ","")&amp;IF((COUNTIFS(TableBOM[Product ID],$D$10,TableBOM[Item ID],$A58)&gt;0)*($H$10&gt;0),$E$10&amp;", ","")&amp;IF((COUNTIFS(TableBOM[Product ID],$D$11,TableBOM[Item ID],$A58)&gt;0)*($H$11&gt;0),$E$11&amp;", ","")&amp;IF((COUNTIFS(TableBOM[Product ID],$D$12,TableBOM[Item ID],$A58)&gt;0)*($H$12&gt;0),$E$12&amp;", ",""))-2),"")</f>
        <v/>
      </c>
      <c r="J58" s="64">
        <f>IF(E58=0,"Not needed",IF(G58&lt;0,"SHORTAGE",IF(G58&lt;F58*0.1,"LOW","OK")))</f>
        <v/>
      </c>
      <c r="K58" s="64">
        <f>IF(B58&lt;&gt;"CAP","",SUMPRODUCT((ISNUMBER(SEARCH("Cap Not Available",'FG Stock'!$H$4:$H$100)))*('FG Stock'!$I$4:$I$100=A58)*'FG Stock'!$F$4:$F$100))</f>
        <v/>
      </c>
      <c r="L58" s="64">
        <f>IF(E58=0,"",MAX(0,E58+IFERROR(K58*1,0)-F58))</f>
        <v/>
      </c>
    </row>
    <row r="59" hidden="1" ht="15" customHeight="1" s="249">
      <c r="A59" s="55" t="n">
        <v>4088</v>
      </c>
      <c r="B59" s="55" t="inlineStr">
        <is>
          <t>CAP</t>
        </is>
      </c>
      <c r="C59" s="55" t="inlineStr">
        <is>
          <t>M-9 S/M SPR WHITE DIA 16MM</t>
        </is>
      </c>
      <c r="D59" s="55" t="inlineStr">
        <is>
          <t>PCS</t>
        </is>
      </c>
      <c r="E59" s="61">
        <f>SUMPRODUCT((TableBOM[Item ID]=A59)*TableBOM[Per 1000 Units]*(1+TableBOM[Scrap %])*SUMIF($D$3:$D$12,TableBOM[Product ID],$H$3:$H$12)/1000)</f>
        <v/>
      </c>
      <c r="F59" s="61">
        <f>IFERROR(INDEX(TableInventory[Store Balance],MATCH(A59,TableInventory[Item ID],0)),0)+IFERROR(INDEX(TableInventory[Work In Process],MATCH(A59,TableInventory[Item ID],0)),0)</f>
        <v/>
      </c>
      <c r="G59" s="61">
        <f>F59-E59</f>
        <v/>
      </c>
      <c r="H59" s="62">
        <f>IF(LEN(IF((COUNTIFS(TableBOM[Product ID],$D$3,TableBOM[Item ID],$A59)&gt;0)*($H$3&gt;0),$C$3&amp;", ","")&amp;IF((COUNTIFS(TableBOM[Product ID],$D$4,TableBOM[Item ID],$A59)&gt;0)*($H$4&gt;0),$C$4&amp;", ","")&amp;IF((COUNTIFS(TableBOM[Product ID],$D$5,TableBOM[Item ID],$A59)&gt;0)*($H$5&gt;0),$C$5&amp;", ","")&amp;IF((COUNTIFS(TableBOM[Product ID],$D$6,TableBOM[Item ID],$A59)&gt;0)*($H$6&gt;0),$C$6&amp;", ","")&amp;IF((COUNTIFS(TableBOM[Product ID],$D$7,TableBOM[Item ID],$A59)&gt;0)*($H$7&gt;0),$C$7&amp;", ","")&amp;IF((COUNTIFS(TableBOM[Product ID],$D$8,TableBOM[Item ID],$A59)&gt;0)*($H$8&gt;0),$C$8&amp;", ","")&amp;IF((COUNTIFS(TableBOM[Product ID],$D$9,TableBOM[Item ID],$A59)&gt;0)*($H$9&gt;0),$C$9&amp;", ","")&amp;IF((COUNTIFS(TableBOM[Product ID],$D$10,TableBOM[Item ID],$A59)&gt;0)*($H$10&gt;0),$C$10&amp;", ","")&amp;IF((COUNTIFS(TableBOM[Product ID],$D$11,TableBOM[Item ID],$A59)&gt;0)*($H$11&gt;0),$C$11&amp;", ","")&amp;IF((COUNTIFS(TableBOM[Product ID],$D$12,TableBOM[Item ID],$A59)&gt;0)*($H$12&gt;0),$C$12&amp;", ",""))&gt;1,LEFT(IF((COUNTIFS(TableBOM[Product ID],$D$3,TableBOM[Item ID],$A59)&gt;0)*($H$3&gt;0),$C$3&amp;", ","")&amp;IF((COUNTIFS(TableBOM[Product ID],$D$4,TableBOM[Item ID],$A59)&gt;0)*($H$4&gt;0),$C$4&amp;", ","")&amp;IF((COUNTIFS(TableBOM[Product ID],$D$5,TableBOM[Item ID],$A59)&gt;0)*($H$5&gt;0),$C$5&amp;", ","")&amp;IF((COUNTIFS(TableBOM[Product ID],$D$6,TableBOM[Item ID],$A59)&gt;0)*($H$6&gt;0),$C$6&amp;", ","")&amp;IF((COUNTIFS(TableBOM[Product ID],$D$7,TableBOM[Item ID],$A59)&gt;0)*($H$7&gt;0),$C$7&amp;", ","")&amp;IF((COUNTIFS(TableBOM[Product ID],$D$8,TableBOM[Item ID],$A59)&gt;0)*($H$8&gt;0),$C$8&amp;", ","")&amp;IF((COUNTIFS(TableBOM[Product ID],$D$9,TableBOM[Item ID],$A59)&gt;0)*($H$9&gt;0),$C$9&amp;", ","")&amp;IF((COUNTIFS(TableBOM[Product ID],$D$10,TableBOM[Item ID],$A59)&gt;0)*($H$10&gt;0),$C$10&amp;", ","")&amp;IF((COUNTIFS(TableBOM[Product ID],$D$11,TableBOM[Item ID],$A59)&gt;0)*($H$11&gt;0),$C$11&amp;", ","")&amp;IF((COUNTIFS(TableBOM[Product ID],$D$12,TableBOM[Item ID],$A59)&gt;0)*($H$12&gt;0),$C$12&amp;", ",""),LEN(IF((COUNTIFS(TableBOM[Product ID],$D$3,TableBOM[Item ID],$A59)&gt;0)*($H$3&gt;0),$C$3&amp;", ","")&amp;IF((COUNTIFS(TableBOM[Product ID],$D$4,TableBOM[Item ID],$A59)&gt;0)*($H$4&gt;0),$C$4&amp;", ","")&amp;IF((COUNTIFS(TableBOM[Product ID],$D$5,TableBOM[Item ID],$A59)&gt;0)*($H$5&gt;0),$C$5&amp;", ","")&amp;IF((COUNTIFS(TableBOM[Product ID],$D$6,TableBOM[Item ID],$A59)&gt;0)*($H$6&gt;0),$C$6&amp;", ","")&amp;IF((COUNTIFS(TableBOM[Product ID],$D$7,TableBOM[Item ID],$A59)&gt;0)*($H$7&gt;0),$C$7&amp;", ","")&amp;IF((COUNTIFS(TableBOM[Product ID],$D$8,TableBOM[Item ID],$A59)&gt;0)*($H$8&gt;0),$C$8&amp;", ","")&amp;IF((COUNTIFS(TableBOM[Product ID],$D$9,TableBOM[Item ID],$A59)&gt;0)*($H$9&gt;0),$C$9&amp;", ","")&amp;IF((COUNTIFS(TableBOM[Product ID],$D$10,TableBOM[Item ID],$A59)&gt;0)*($H$10&gt;0),$C$10&amp;", ","")&amp;IF((COUNTIFS(TableBOM[Product ID],$D$11,TableBOM[Item ID],$A59)&gt;0)*($H$11&gt;0),$C$11&amp;", ","")&amp;IF((COUNTIFS(TableBOM[Product ID],$D$12,TableBOM[Item ID],$A59)&gt;0)*($H$12&gt;0),$C$12&amp;", ",""))-2),"")</f>
        <v/>
      </c>
      <c r="I59" s="63">
        <f>IF(LEN(IF((COUNTIFS(TableBOM[Product ID],$D$3,TableBOM[Item ID],$A59)&gt;0)*($H$3&gt;0),$E$3&amp;", ","")&amp;IF((COUNTIFS(TableBOM[Product ID],$D$4,TableBOM[Item ID],$A59)&gt;0)*($H$4&gt;0),$E$4&amp;", ","")&amp;IF((COUNTIFS(TableBOM[Product ID],$D$5,TableBOM[Item ID],$A59)&gt;0)*($H$5&gt;0),$E$5&amp;", ","")&amp;IF((COUNTIFS(TableBOM[Product ID],$D$6,TableBOM[Item ID],$A59)&gt;0)*($H$6&gt;0),$E$6&amp;", ","")&amp;IF((COUNTIFS(TableBOM[Product ID],$D$7,TableBOM[Item ID],$A59)&gt;0)*($H$7&gt;0),$E$7&amp;", ","")&amp;IF((COUNTIFS(TableBOM[Product ID],$D$8,TableBOM[Item ID],$A59)&gt;0)*($H$8&gt;0),$E$8&amp;", ","")&amp;IF((COUNTIFS(TableBOM[Product ID],$D$9,TableBOM[Item ID],$A59)&gt;0)*($H$9&gt;0),$E$9&amp;", ","")&amp;IF((COUNTIFS(TableBOM[Product ID],$D$10,TableBOM[Item ID],$A59)&gt;0)*($H$10&gt;0),$E$10&amp;", ","")&amp;IF((COUNTIFS(TableBOM[Product ID],$D$11,TableBOM[Item ID],$A59)&gt;0)*($H$11&gt;0),$E$11&amp;", ","")&amp;IF((COUNTIFS(TableBOM[Product ID],$D$12,TableBOM[Item ID],$A59)&gt;0)*($H$12&gt;0),$E$12&amp;", ",""))&gt;1,LEFT(IF((COUNTIFS(TableBOM[Product ID],$D$3,TableBOM[Item ID],$A59)&gt;0)*($H$3&gt;0),$E$3&amp;", ","")&amp;IF((COUNTIFS(TableBOM[Product ID],$D$4,TableBOM[Item ID],$A59)&gt;0)*($H$4&gt;0),$E$4&amp;", ","")&amp;IF((COUNTIFS(TableBOM[Product ID],$D$5,TableBOM[Item ID],$A59)&gt;0)*($H$5&gt;0),$E$5&amp;", ","")&amp;IF((COUNTIFS(TableBOM[Product ID],$D$6,TableBOM[Item ID],$A59)&gt;0)*($H$6&gt;0),$E$6&amp;", ","")&amp;IF((COUNTIFS(TableBOM[Product ID],$D$7,TableBOM[Item ID],$A59)&gt;0)*($H$7&gt;0),$E$7&amp;", ","")&amp;IF((COUNTIFS(TableBOM[Product ID],$D$8,TableBOM[Item ID],$A59)&gt;0)*($H$8&gt;0),$E$8&amp;", ","")&amp;IF((COUNTIFS(TableBOM[Product ID],$D$9,TableBOM[Item ID],$A59)&gt;0)*($H$9&gt;0),$E$9&amp;", ","")&amp;IF((COUNTIFS(TableBOM[Product ID],$D$10,TableBOM[Item ID],$A59)&gt;0)*($H$10&gt;0),$E$10&amp;", ","")&amp;IF((COUNTIFS(TableBOM[Product ID],$D$11,TableBOM[Item ID],$A59)&gt;0)*($H$11&gt;0),$E$11&amp;", ","")&amp;IF((COUNTIFS(TableBOM[Product ID],$D$12,TableBOM[Item ID],$A59)&gt;0)*($H$12&gt;0),$E$12&amp;", ",""),LEN(IF((COUNTIFS(TableBOM[Product ID],$D$3,TableBOM[Item ID],$A59)&gt;0)*($H$3&gt;0),$E$3&amp;", ","")&amp;IF((COUNTIFS(TableBOM[Product ID],$D$4,TableBOM[Item ID],$A59)&gt;0)*($H$4&gt;0),$E$4&amp;", ","")&amp;IF((COUNTIFS(TableBOM[Product ID],$D$5,TableBOM[Item ID],$A59)&gt;0)*($H$5&gt;0),$E$5&amp;", ","")&amp;IF((COUNTIFS(TableBOM[Product ID],$D$6,TableBOM[Item ID],$A59)&gt;0)*($H$6&gt;0),$E$6&amp;", ","")&amp;IF((COUNTIFS(TableBOM[Product ID],$D$7,TableBOM[Item ID],$A59)&gt;0)*($H$7&gt;0),$E$7&amp;", ","")&amp;IF((COUNTIFS(TableBOM[Product ID],$D$8,TableBOM[Item ID],$A59)&gt;0)*($H$8&gt;0),$E$8&amp;", ","")&amp;IF((COUNTIFS(TableBOM[Product ID],$D$9,TableBOM[Item ID],$A59)&gt;0)*($H$9&gt;0),$E$9&amp;", ","")&amp;IF((COUNTIFS(TableBOM[Product ID],$D$10,TableBOM[Item ID],$A59)&gt;0)*($H$10&gt;0),$E$10&amp;", ","")&amp;IF((COUNTIFS(TableBOM[Product ID],$D$11,TableBOM[Item ID],$A59)&gt;0)*($H$11&gt;0),$E$11&amp;", ","")&amp;IF((COUNTIFS(TableBOM[Product ID],$D$12,TableBOM[Item ID],$A59)&gt;0)*($H$12&gt;0),$E$12&amp;", ",""))-2),"")</f>
        <v/>
      </c>
      <c r="J59" s="64">
        <f>IF(E59=0,"Not needed",IF(G59&lt;0,"SHORTAGE",IF(G59&lt;F59*0.1,"LOW","OK")))</f>
        <v/>
      </c>
      <c r="K59" s="64">
        <f>IF(B59&lt;&gt;"CAP","",SUMPRODUCT((ISNUMBER(SEARCH("Cap Not Available",'FG Stock'!$H$4:$H$100)))*('FG Stock'!$I$4:$I$100=A59)*'FG Stock'!$F$4:$F$100))</f>
        <v/>
      </c>
      <c r="L59" s="64">
        <f>IF(E59=0,"",MAX(0,E59+IFERROR(K59*1,0)-F59))</f>
        <v/>
      </c>
    </row>
    <row r="60" hidden="1" ht="15" customHeight="1" s="249">
      <c r="A60" s="55" t="n">
        <v>4143</v>
      </c>
      <c r="B60" s="55" t="inlineStr">
        <is>
          <t>CAP</t>
        </is>
      </c>
      <c r="C60" s="55" t="inlineStr">
        <is>
          <t>M-9 S/M F/P Normal White</t>
        </is>
      </c>
      <c r="D60" s="55" t="inlineStr">
        <is>
          <t>PCS</t>
        </is>
      </c>
      <c r="E60" s="61">
        <f>SUMPRODUCT((TableBOM[Item ID]=A60)*TableBOM[Per 1000 Units]*(1+TableBOM[Scrap %])*SUMIF($D$3:$D$12,TableBOM[Product ID],$H$3:$H$12)/1000)</f>
        <v/>
      </c>
      <c r="F60" s="61">
        <f>IFERROR(INDEX(TableInventory[Store Balance],MATCH(A60,TableInventory[Item ID],0)),0)+IFERROR(INDEX(TableInventory[Work In Process],MATCH(A60,TableInventory[Item ID],0)),0)</f>
        <v/>
      </c>
      <c r="G60" s="61">
        <f>F60-E60</f>
        <v/>
      </c>
      <c r="H60" s="62">
        <f>IF(LEN(IF((COUNTIFS(TableBOM[Product ID],$D$3,TableBOM[Item ID],$A60)&gt;0)*($H$3&gt;0),$C$3&amp;", ","")&amp;IF((COUNTIFS(TableBOM[Product ID],$D$4,TableBOM[Item ID],$A60)&gt;0)*($H$4&gt;0),$C$4&amp;", ","")&amp;IF((COUNTIFS(TableBOM[Product ID],$D$5,TableBOM[Item ID],$A60)&gt;0)*($H$5&gt;0),$C$5&amp;", ","")&amp;IF((COUNTIFS(TableBOM[Product ID],$D$6,TableBOM[Item ID],$A60)&gt;0)*($H$6&gt;0),$C$6&amp;", ","")&amp;IF((COUNTIFS(TableBOM[Product ID],$D$7,TableBOM[Item ID],$A60)&gt;0)*($H$7&gt;0),$C$7&amp;", ","")&amp;IF((COUNTIFS(TableBOM[Product ID],$D$8,TableBOM[Item ID],$A60)&gt;0)*($H$8&gt;0),$C$8&amp;", ","")&amp;IF((COUNTIFS(TableBOM[Product ID],$D$9,TableBOM[Item ID],$A60)&gt;0)*($H$9&gt;0),$C$9&amp;", ","")&amp;IF((COUNTIFS(TableBOM[Product ID],$D$10,TableBOM[Item ID],$A60)&gt;0)*($H$10&gt;0),$C$10&amp;", ","")&amp;IF((COUNTIFS(TableBOM[Product ID],$D$11,TableBOM[Item ID],$A60)&gt;0)*($H$11&gt;0),$C$11&amp;", ","")&amp;IF((COUNTIFS(TableBOM[Product ID],$D$12,TableBOM[Item ID],$A60)&gt;0)*($H$12&gt;0),$C$12&amp;", ",""))&gt;1,LEFT(IF((COUNTIFS(TableBOM[Product ID],$D$3,TableBOM[Item ID],$A60)&gt;0)*($H$3&gt;0),$C$3&amp;", ","")&amp;IF((COUNTIFS(TableBOM[Product ID],$D$4,TableBOM[Item ID],$A60)&gt;0)*($H$4&gt;0),$C$4&amp;", ","")&amp;IF((COUNTIFS(TableBOM[Product ID],$D$5,TableBOM[Item ID],$A60)&gt;0)*($H$5&gt;0),$C$5&amp;", ","")&amp;IF((COUNTIFS(TableBOM[Product ID],$D$6,TableBOM[Item ID],$A60)&gt;0)*($H$6&gt;0),$C$6&amp;", ","")&amp;IF((COUNTIFS(TableBOM[Product ID],$D$7,TableBOM[Item ID],$A60)&gt;0)*($H$7&gt;0),$C$7&amp;", ","")&amp;IF((COUNTIFS(TableBOM[Product ID],$D$8,TableBOM[Item ID],$A60)&gt;0)*($H$8&gt;0),$C$8&amp;", ","")&amp;IF((COUNTIFS(TableBOM[Product ID],$D$9,TableBOM[Item ID],$A60)&gt;0)*($H$9&gt;0),$C$9&amp;", ","")&amp;IF((COUNTIFS(TableBOM[Product ID],$D$10,TableBOM[Item ID],$A60)&gt;0)*($H$10&gt;0),$C$10&amp;", ","")&amp;IF((COUNTIFS(TableBOM[Product ID],$D$11,TableBOM[Item ID],$A60)&gt;0)*($H$11&gt;0),$C$11&amp;", ","")&amp;IF((COUNTIFS(TableBOM[Product ID],$D$12,TableBOM[Item ID],$A60)&gt;0)*($H$12&gt;0),$C$12&amp;", ",""),LEN(IF((COUNTIFS(TableBOM[Product ID],$D$3,TableBOM[Item ID],$A60)&gt;0)*($H$3&gt;0),$C$3&amp;", ","")&amp;IF((COUNTIFS(TableBOM[Product ID],$D$4,TableBOM[Item ID],$A60)&gt;0)*($H$4&gt;0),$C$4&amp;", ","")&amp;IF((COUNTIFS(TableBOM[Product ID],$D$5,TableBOM[Item ID],$A60)&gt;0)*($H$5&gt;0),$C$5&amp;", ","")&amp;IF((COUNTIFS(TableBOM[Product ID],$D$6,TableBOM[Item ID],$A60)&gt;0)*($H$6&gt;0),$C$6&amp;", ","")&amp;IF((COUNTIFS(TableBOM[Product ID],$D$7,TableBOM[Item ID],$A60)&gt;0)*($H$7&gt;0),$C$7&amp;", ","")&amp;IF((COUNTIFS(TableBOM[Product ID],$D$8,TableBOM[Item ID],$A60)&gt;0)*($H$8&gt;0),$C$8&amp;", ","")&amp;IF((COUNTIFS(TableBOM[Product ID],$D$9,TableBOM[Item ID],$A60)&gt;0)*($H$9&gt;0),$C$9&amp;", ","")&amp;IF((COUNTIFS(TableBOM[Product ID],$D$10,TableBOM[Item ID],$A60)&gt;0)*($H$10&gt;0),$C$10&amp;", ","")&amp;IF((COUNTIFS(TableBOM[Product ID],$D$11,TableBOM[Item ID],$A60)&gt;0)*($H$11&gt;0),$C$11&amp;", ","")&amp;IF((COUNTIFS(TableBOM[Product ID],$D$12,TableBOM[Item ID],$A60)&gt;0)*($H$12&gt;0),$C$12&amp;", ",""))-2),"")</f>
        <v/>
      </c>
      <c r="I60" s="63">
        <f>IF(LEN(IF((COUNTIFS(TableBOM[Product ID],$D$3,TableBOM[Item ID],$A60)&gt;0)*($H$3&gt;0),$E$3&amp;", ","")&amp;IF((COUNTIFS(TableBOM[Product ID],$D$4,TableBOM[Item ID],$A60)&gt;0)*($H$4&gt;0),$E$4&amp;", ","")&amp;IF((COUNTIFS(TableBOM[Product ID],$D$5,TableBOM[Item ID],$A60)&gt;0)*($H$5&gt;0),$E$5&amp;", ","")&amp;IF((COUNTIFS(TableBOM[Product ID],$D$6,TableBOM[Item ID],$A60)&gt;0)*($H$6&gt;0),$E$6&amp;", ","")&amp;IF((COUNTIFS(TableBOM[Product ID],$D$7,TableBOM[Item ID],$A60)&gt;0)*($H$7&gt;0),$E$7&amp;", ","")&amp;IF((COUNTIFS(TableBOM[Product ID],$D$8,TableBOM[Item ID],$A60)&gt;0)*($H$8&gt;0),$E$8&amp;", ","")&amp;IF((COUNTIFS(TableBOM[Product ID],$D$9,TableBOM[Item ID],$A60)&gt;0)*($H$9&gt;0),$E$9&amp;", ","")&amp;IF((COUNTIFS(TableBOM[Product ID],$D$10,TableBOM[Item ID],$A60)&gt;0)*($H$10&gt;0),$E$10&amp;", ","")&amp;IF((COUNTIFS(TableBOM[Product ID],$D$11,TableBOM[Item ID],$A60)&gt;0)*($H$11&gt;0),$E$11&amp;", ","")&amp;IF((COUNTIFS(TableBOM[Product ID],$D$12,TableBOM[Item ID],$A60)&gt;0)*($H$12&gt;0),$E$12&amp;", ",""))&gt;1,LEFT(IF((COUNTIFS(TableBOM[Product ID],$D$3,TableBOM[Item ID],$A60)&gt;0)*($H$3&gt;0),$E$3&amp;", ","")&amp;IF((COUNTIFS(TableBOM[Product ID],$D$4,TableBOM[Item ID],$A60)&gt;0)*($H$4&gt;0),$E$4&amp;", ","")&amp;IF((COUNTIFS(TableBOM[Product ID],$D$5,TableBOM[Item ID],$A60)&gt;0)*($H$5&gt;0),$E$5&amp;", ","")&amp;IF((COUNTIFS(TableBOM[Product ID],$D$6,TableBOM[Item ID],$A60)&gt;0)*($H$6&gt;0),$E$6&amp;", ","")&amp;IF((COUNTIFS(TableBOM[Product ID],$D$7,TableBOM[Item ID],$A60)&gt;0)*($H$7&gt;0),$E$7&amp;", ","")&amp;IF((COUNTIFS(TableBOM[Product ID],$D$8,TableBOM[Item ID],$A60)&gt;0)*($H$8&gt;0),$E$8&amp;", ","")&amp;IF((COUNTIFS(TableBOM[Product ID],$D$9,TableBOM[Item ID],$A60)&gt;0)*($H$9&gt;0),$E$9&amp;", ","")&amp;IF((COUNTIFS(TableBOM[Product ID],$D$10,TableBOM[Item ID],$A60)&gt;0)*($H$10&gt;0),$E$10&amp;", ","")&amp;IF((COUNTIFS(TableBOM[Product ID],$D$11,TableBOM[Item ID],$A60)&gt;0)*($H$11&gt;0),$E$11&amp;", ","")&amp;IF((COUNTIFS(TableBOM[Product ID],$D$12,TableBOM[Item ID],$A60)&gt;0)*($H$12&gt;0),$E$12&amp;", ",""),LEN(IF((COUNTIFS(TableBOM[Product ID],$D$3,TableBOM[Item ID],$A60)&gt;0)*($H$3&gt;0),$E$3&amp;", ","")&amp;IF((COUNTIFS(TableBOM[Product ID],$D$4,TableBOM[Item ID],$A60)&gt;0)*($H$4&gt;0),$E$4&amp;", ","")&amp;IF((COUNTIFS(TableBOM[Product ID],$D$5,TableBOM[Item ID],$A60)&gt;0)*($H$5&gt;0),$E$5&amp;", ","")&amp;IF((COUNTIFS(TableBOM[Product ID],$D$6,TableBOM[Item ID],$A60)&gt;0)*($H$6&gt;0),$E$6&amp;", ","")&amp;IF((COUNTIFS(TableBOM[Product ID],$D$7,TableBOM[Item ID],$A60)&gt;0)*($H$7&gt;0),$E$7&amp;", ","")&amp;IF((COUNTIFS(TableBOM[Product ID],$D$8,TableBOM[Item ID],$A60)&gt;0)*($H$8&gt;0),$E$8&amp;", ","")&amp;IF((COUNTIFS(TableBOM[Product ID],$D$9,TableBOM[Item ID],$A60)&gt;0)*($H$9&gt;0),$E$9&amp;", ","")&amp;IF((COUNTIFS(TableBOM[Product ID],$D$10,TableBOM[Item ID],$A60)&gt;0)*($H$10&gt;0),$E$10&amp;", ","")&amp;IF((COUNTIFS(TableBOM[Product ID],$D$11,TableBOM[Item ID],$A60)&gt;0)*($H$11&gt;0),$E$11&amp;", ","")&amp;IF((COUNTIFS(TableBOM[Product ID],$D$12,TableBOM[Item ID],$A60)&gt;0)*($H$12&gt;0),$E$12&amp;", ",""))-2),"")</f>
        <v/>
      </c>
      <c r="J60" s="64">
        <f>IF(E60=0,"Not needed",IF(G60&lt;0,"SHORTAGE",IF(G60&lt;F60*0.1,"LOW","OK")))</f>
        <v/>
      </c>
      <c r="K60" s="64">
        <f>IF(B60&lt;&gt;"CAP","",SUMPRODUCT((ISNUMBER(SEARCH("Cap Not Available",'FG Stock'!$H$4:$H$100)))*('FG Stock'!$I$4:$I$100=A60)*'FG Stock'!$F$4:$F$100))</f>
        <v/>
      </c>
      <c r="L60" s="64">
        <f>IF(E60=0,"",MAX(0,E60+IFERROR(K60*1,0)-F60))</f>
        <v/>
      </c>
    </row>
    <row r="61" hidden="1" ht="15" customHeight="1" s="249">
      <c r="A61" s="55" t="n">
        <v>6971</v>
      </c>
      <c r="B61" s="55" t="inlineStr">
        <is>
          <t>CAP</t>
        </is>
      </c>
      <c r="C61" s="55" t="inlineStr">
        <is>
          <t>M-9 S/M SPR WHITE DIA 20.5MM</t>
        </is>
      </c>
      <c r="D61" s="55" t="inlineStr">
        <is>
          <t>PCS</t>
        </is>
      </c>
      <c r="E61" s="61">
        <f>SUMPRODUCT((TableBOM[Item ID]=A61)*TableBOM[Per 1000 Units]*(1+TableBOM[Scrap %])*SUMIF($D$3:$D$12,TableBOM[Product ID],$H$3:$H$12)/1000)</f>
        <v/>
      </c>
      <c r="F61" s="61">
        <f>IFERROR(INDEX(TableInventory[Store Balance],MATCH(A61,TableInventory[Item ID],0)),0)+IFERROR(INDEX(TableInventory[Work In Process],MATCH(A61,TableInventory[Item ID],0)),0)</f>
        <v/>
      </c>
      <c r="G61" s="61">
        <f>F61-E61</f>
        <v/>
      </c>
      <c r="H61" s="62">
        <f>IF(LEN(IF((COUNTIFS(TableBOM[Product ID],$D$3,TableBOM[Item ID],$A61)&gt;0)*($H$3&gt;0),$C$3&amp;", ","")&amp;IF((COUNTIFS(TableBOM[Product ID],$D$4,TableBOM[Item ID],$A61)&gt;0)*($H$4&gt;0),$C$4&amp;", ","")&amp;IF((COUNTIFS(TableBOM[Product ID],$D$5,TableBOM[Item ID],$A61)&gt;0)*($H$5&gt;0),$C$5&amp;", ","")&amp;IF((COUNTIFS(TableBOM[Product ID],$D$6,TableBOM[Item ID],$A61)&gt;0)*($H$6&gt;0),$C$6&amp;", ","")&amp;IF((COUNTIFS(TableBOM[Product ID],$D$7,TableBOM[Item ID],$A61)&gt;0)*($H$7&gt;0),$C$7&amp;", ","")&amp;IF((COUNTIFS(TableBOM[Product ID],$D$8,TableBOM[Item ID],$A61)&gt;0)*($H$8&gt;0),$C$8&amp;", ","")&amp;IF((COUNTIFS(TableBOM[Product ID],$D$9,TableBOM[Item ID],$A61)&gt;0)*($H$9&gt;0),$C$9&amp;", ","")&amp;IF((COUNTIFS(TableBOM[Product ID],$D$10,TableBOM[Item ID],$A61)&gt;0)*($H$10&gt;0),$C$10&amp;", ","")&amp;IF((COUNTIFS(TableBOM[Product ID],$D$11,TableBOM[Item ID],$A61)&gt;0)*($H$11&gt;0),$C$11&amp;", ","")&amp;IF((COUNTIFS(TableBOM[Product ID],$D$12,TableBOM[Item ID],$A61)&gt;0)*($H$12&gt;0),$C$12&amp;", ",""))&gt;1,LEFT(IF((COUNTIFS(TableBOM[Product ID],$D$3,TableBOM[Item ID],$A61)&gt;0)*($H$3&gt;0),$C$3&amp;", ","")&amp;IF((COUNTIFS(TableBOM[Product ID],$D$4,TableBOM[Item ID],$A61)&gt;0)*($H$4&gt;0),$C$4&amp;", ","")&amp;IF((COUNTIFS(TableBOM[Product ID],$D$5,TableBOM[Item ID],$A61)&gt;0)*($H$5&gt;0),$C$5&amp;", ","")&amp;IF((COUNTIFS(TableBOM[Product ID],$D$6,TableBOM[Item ID],$A61)&gt;0)*($H$6&gt;0),$C$6&amp;", ","")&amp;IF((COUNTIFS(TableBOM[Product ID],$D$7,TableBOM[Item ID],$A61)&gt;0)*($H$7&gt;0),$C$7&amp;", ","")&amp;IF((COUNTIFS(TableBOM[Product ID],$D$8,TableBOM[Item ID],$A61)&gt;0)*($H$8&gt;0),$C$8&amp;", ","")&amp;IF((COUNTIFS(TableBOM[Product ID],$D$9,TableBOM[Item ID],$A61)&gt;0)*($H$9&gt;0),$C$9&amp;", ","")&amp;IF((COUNTIFS(TableBOM[Product ID],$D$10,TableBOM[Item ID],$A61)&gt;0)*($H$10&gt;0),$C$10&amp;", ","")&amp;IF((COUNTIFS(TableBOM[Product ID],$D$11,TableBOM[Item ID],$A61)&gt;0)*($H$11&gt;0),$C$11&amp;", ","")&amp;IF((COUNTIFS(TableBOM[Product ID],$D$12,TableBOM[Item ID],$A61)&gt;0)*($H$12&gt;0),$C$12&amp;", ",""),LEN(IF((COUNTIFS(TableBOM[Product ID],$D$3,TableBOM[Item ID],$A61)&gt;0)*($H$3&gt;0),$C$3&amp;", ","")&amp;IF((COUNTIFS(TableBOM[Product ID],$D$4,TableBOM[Item ID],$A61)&gt;0)*($H$4&gt;0),$C$4&amp;", ","")&amp;IF((COUNTIFS(TableBOM[Product ID],$D$5,TableBOM[Item ID],$A61)&gt;0)*($H$5&gt;0),$C$5&amp;", ","")&amp;IF((COUNTIFS(TableBOM[Product ID],$D$6,TableBOM[Item ID],$A61)&gt;0)*($H$6&gt;0),$C$6&amp;", ","")&amp;IF((COUNTIFS(TableBOM[Product ID],$D$7,TableBOM[Item ID],$A61)&gt;0)*($H$7&gt;0),$C$7&amp;", ","")&amp;IF((COUNTIFS(TableBOM[Product ID],$D$8,TableBOM[Item ID],$A61)&gt;0)*($H$8&gt;0),$C$8&amp;", ","")&amp;IF((COUNTIFS(TableBOM[Product ID],$D$9,TableBOM[Item ID],$A61)&gt;0)*($H$9&gt;0),$C$9&amp;", ","")&amp;IF((COUNTIFS(TableBOM[Product ID],$D$10,TableBOM[Item ID],$A61)&gt;0)*($H$10&gt;0),$C$10&amp;", ","")&amp;IF((COUNTIFS(TableBOM[Product ID],$D$11,TableBOM[Item ID],$A61)&gt;0)*($H$11&gt;0),$C$11&amp;", ","")&amp;IF((COUNTIFS(TableBOM[Product ID],$D$12,TableBOM[Item ID],$A61)&gt;0)*($H$12&gt;0),$C$12&amp;", ",""))-2),"")</f>
        <v/>
      </c>
      <c r="I61" s="63">
        <f>IF(LEN(IF((COUNTIFS(TableBOM[Product ID],$D$3,TableBOM[Item ID],$A61)&gt;0)*($H$3&gt;0),$E$3&amp;", ","")&amp;IF((COUNTIFS(TableBOM[Product ID],$D$4,TableBOM[Item ID],$A61)&gt;0)*($H$4&gt;0),$E$4&amp;", ","")&amp;IF((COUNTIFS(TableBOM[Product ID],$D$5,TableBOM[Item ID],$A61)&gt;0)*($H$5&gt;0),$E$5&amp;", ","")&amp;IF((COUNTIFS(TableBOM[Product ID],$D$6,TableBOM[Item ID],$A61)&gt;0)*($H$6&gt;0),$E$6&amp;", ","")&amp;IF((COUNTIFS(TableBOM[Product ID],$D$7,TableBOM[Item ID],$A61)&gt;0)*($H$7&gt;0),$E$7&amp;", ","")&amp;IF((COUNTIFS(TableBOM[Product ID],$D$8,TableBOM[Item ID],$A61)&gt;0)*($H$8&gt;0),$E$8&amp;", ","")&amp;IF((COUNTIFS(TableBOM[Product ID],$D$9,TableBOM[Item ID],$A61)&gt;0)*($H$9&gt;0),$E$9&amp;", ","")&amp;IF((COUNTIFS(TableBOM[Product ID],$D$10,TableBOM[Item ID],$A61)&gt;0)*($H$10&gt;0),$E$10&amp;", ","")&amp;IF((COUNTIFS(TableBOM[Product ID],$D$11,TableBOM[Item ID],$A61)&gt;0)*($H$11&gt;0),$E$11&amp;", ","")&amp;IF((COUNTIFS(TableBOM[Product ID],$D$12,TableBOM[Item ID],$A61)&gt;0)*($H$12&gt;0),$E$12&amp;", ",""))&gt;1,LEFT(IF((COUNTIFS(TableBOM[Product ID],$D$3,TableBOM[Item ID],$A61)&gt;0)*($H$3&gt;0),$E$3&amp;", ","")&amp;IF((COUNTIFS(TableBOM[Product ID],$D$4,TableBOM[Item ID],$A61)&gt;0)*($H$4&gt;0),$E$4&amp;", ","")&amp;IF((COUNTIFS(TableBOM[Product ID],$D$5,TableBOM[Item ID],$A61)&gt;0)*($H$5&gt;0),$E$5&amp;", ","")&amp;IF((COUNTIFS(TableBOM[Product ID],$D$6,TableBOM[Item ID],$A61)&gt;0)*($H$6&gt;0),$E$6&amp;", ","")&amp;IF((COUNTIFS(TableBOM[Product ID],$D$7,TableBOM[Item ID],$A61)&gt;0)*($H$7&gt;0),$E$7&amp;", ","")&amp;IF((COUNTIFS(TableBOM[Product ID],$D$8,TableBOM[Item ID],$A61)&gt;0)*($H$8&gt;0),$E$8&amp;", ","")&amp;IF((COUNTIFS(TableBOM[Product ID],$D$9,TableBOM[Item ID],$A61)&gt;0)*($H$9&gt;0),$E$9&amp;", ","")&amp;IF((COUNTIFS(TableBOM[Product ID],$D$10,TableBOM[Item ID],$A61)&gt;0)*($H$10&gt;0),$E$10&amp;", ","")&amp;IF((COUNTIFS(TableBOM[Product ID],$D$11,TableBOM[Item ID],$A61)&gt;0)*($H$11&gt;0),$E$11&amp;", ","")&amp;IF((COUNTIFS(TableBOM[Product ID],$D$12,TableBOM[Item ID],$A61)&gt;0)*($H$12&gt;0),$E$12&amp;", ",""),LEN(IF((COUNTIFS(TableBOM[Product ID],$D$3,TableBOM[Item ID],$A61)&gt;0)*($H$3&gt;0),$E$3&amp;", ","")&amp;IF((COUNTIFS(TableBOM[Product ID],$D$4,TableBOM[Item ID],$A61)&gt;0)*($H$4&gt;0),$E$4&amp;", ","")&amp;IF((COUNTIFS(TableBOM[Product ID],$D$5,TableBOM[Item ID],$A61)&gt;0)*($H$5&gt;0),$E$5&amp;", ","")&amp;IF((COUNTIFS(TableBOM[Product ID],$D$6,TableBOM[Item ID],$A61)&gt;0)*($H$6&gt;0),$E$6&amp;", ","")&amp;IF((COUNTIFS(TableBOM[Product ID],$D$7,TableBOM[Item ID],$A61)&gt;0)*($H$7&gt;0),$E$7&amp;", ","")&amp;IF((COUNTIFS(TableBOM[Product ID],$D$8,TableBOM[Item ID],$A61)&gt;0)*($H$8&gt;0),$E$8&amp;", ","")&amp;IF((COUNTIFS(TableBOM[Product ID],$D$9,TableBOM[Item ID],$A61)&gt;0)*($H$9&gt;0),$E$9&amp;", ","")&amp;IF((COUNTIFS(TableBOM[Product ID],$D$10,TableBOM[Item ID],$A61)&gt;0)*($H$10&gt;0),$E$10&amp;", ","")&amp;IF((COUNTIFS(TableBOM[Product ID],$D$11,TableBOM[Item ID],$A61)&gt;0)*($H$11&gt;0),$E$11&amp;", ","")&amp;IF((COUNTIFS(TableBOM[Product ID],$D$12,TableBOM[Item ID],$A61)&gt;0)*($H$12&gt;0),$E$12&amp;", ",""))-2),"")</f>
        <v/>
      </c>
      <c r="J61" s="64">
        <f>IF(E61=0,"Not needed",IF(G61&lt;0,"SHORTAGE",IF(G61&lt;F61*0.1,"LOW","OK")))</f>
        <v/>
      </c>
      <c r="K61" s="64">
        <f>IF(B61&lt;&gt;"CAP","",SUMPRODUCT((ISNUMBER(SEARCH("Cap Not Available",'FG Stock'!$H$4:$H$100)))*('FG Stock'!$I$4:$I$100=A61)*'FG Stock'!$F$4:$F$100))</f>
        <v/>
      </c>
      <c r="L61" s="64">
        <f>IF(E61=0,"",MAX(0,E61+IFERROR(K61*1,0)-F61))</f>
        <v/>
      </c>
    </row>
    <row r="62" hidden="1" ht="24" customHeight="1" s="249">
      <c r="A62" s="55" t="n">
        <v>7370</v>
      </c>
      <c r="B62" s="55" t="inlineStr">
        <is>
          <t>CAP</t>
        </is>
      </c>
      <c r="C62" s="55" t="inlineStr">
        <is>
          <t>M-9 S/M SPR BLACK DIA 20.5MM</t>
        </is>
      </c>
      <c r="D62" s="55" t="inlineStr">
        <is>
          <t>PCS</t>
        </is>
      </c>
      <c r="E62" s="61">
        <f>SUMPRODUCT((TableBOM[Item ID]=A62)*TableBOM[Per 1000 Units]*(1+TableBOM[Scrap %])*SUMIF($D$3:$D$12,TableBOM[Product ID],$H$3:$H$12)/1000)</f>
        <v/>
      </c>
      <c r="F62" s="61">
        <f>IFERROR(INDEX(TableInventory[Store Balance],MATCH(A62,TableInventory[Item ID],0)),0)+IFERROR(INDEX(TableInventory[Work In Process],MATCH(A62,TableInventory[Item ID],0)),0)</f>
        <v/>
      </c>
      <c r="G62" s="65">
        <f>F62-E62</f>
        <v/>
      </c>
      <c r="H62" s="62">
        <f>IF(LEN(IF((COUNTIFS(TableBOM[Product ID],$D$3,TableBOM[Item ID],$A62)&gt;0)*($H$3&gt;0),$C$3&amp;", ","")&amp;IF((COUNTIFS(TableBOM[Product ID],$D$4,TableBOM[Item ID],$A62)&gt;0)*($H$4&gt;0),$C$4&amp;", ","")&amp;IF((COUNTIFS(TableBOM[Product ID],$D$5,TableBOM[Item ID],$A62)&gt;0)*($H$5&gt;0),$C$5&amp;", ","")&amp;IF((COUNTIFS(TableBOM[Product ID],$D$6,TableBOM[Item ID],$A62)&gt;0)*($H$6&gt;0),$C$6&amp;", ","")&amp;IF((COUNTIFS(TableBOM[Product ID],$D$7,TableBOM[Item ID],$A62)&gt;0)*($H$7&gt;0),$C$7&amp;", ","")&amp;IF((COUNTIFS(TableBOM[Product ID],$D$8,TableBOM[Item ID],$A62)&gt;0)*($H$8&gt;0),$C$8&amp;", ","")&amp;IF((COUNTIFS(TableBOM[Product ID],$D$9,TableBOM[Item ID],$A62)&gt;0)*($H$9&gt;0),$C$9&amp;", ","")&amp;IF((COUNTIFS(TableBOM[Product ID],$D$10,TableBOM[Item ID],$A62)&gt;0)*($H$10&gt;0),$C$10&amp;", ","")&amp;IF((COUNTIFS(TableBOM[Product ID],$D$11,TableBOM[Item ID],$A62)&gt;0)*($H$11&gt;0),$C$11&amp;", ","")&amp;IF((COUNTIFS(TableBOM[Product ID],$D$12,TableBOM[Item ID],$A62)&gt;0)*($H$12&gt;0),$C$12&amp;", ",""))&gt;1,LEFT(IF((COUNTIFS(TableBOM[Product ID],$D$3,TableBOM[Item ID],$A62)&gt;0)*($H$3&gt;0),$C$3&amp;", ","")&amp;IF((COUNTIFS(TableBOM[Product ID],$D$4,TableBOM[Item ID],$A62)&gt;0)*($H$4&gt;0),$C$4&amp;", ","")&amp;IF((COUNTIFS(TableBOM[Product ID],$D$5,TableBOM[Item ID],$A62)&gt;0)*($H$5&gt;0),$C$5&amp;", ","")&amp;IF((COUNTIFS(TableBOM[Product ID],$D$6,TableBOM[Item ID],$A62)&gt;0)*($H$6&gt;0),$C$6&amp;", ","")&amp;IF((COUNTIFS(TableBOM[Product ID],$D$7,TableBOM[Item ID],$A62)&gt;0)*($H$7&gt;0),$C$7&amp;", ","")&amp;IF((COUNTIFS(TableBOM[Product ID],$D$8,TableBOM[Item ID],$A62)&gt;0)*($H$8&gt;0),$C$8&amp;", ","")&amp;IF((COUNTIFS(TableBOM[Product ID],$D$9,TableBOM[Item ID],$A62)&gt;0)*($H$9&gt;0),$C$9&amp;", ","")&amp;IF((COUNTIFS(TableBOM[Product ID],$D$10,TableBOM[Item ID],$A62)&gt;0)*($H$10&gt;0),$C$10&amp;", ","")&amp;IF((COUNTIFS(TableBOM[Product ID],$D$11,TableBOM[Item ID],$A62)&gt;0)*($H$11&gt;0),$C$11&amp;", ","")&amp;IF((COUNTIFS(TableBOM[Product ID],$D$12,TableBOM[Item ID],$A62)&gt;0)*($H$12&gt;0),$C$12&amp;", ",""),LEN(IF((COUNTIFS(TableBOM[Product ID],$D$3,TableBOM[Item ID],$A62)&gt;0)*($H$3&gt;0),$C$3&amp;", ","")&amp;IF((COUNTIFS(TableBOM[Product ID],$D$4,TableBOM[Item ID],$A62)&gt;0)*($H$4&gt;0),$C$4&amp;", ","")&amp;IF((COUNTIFS(TableBOM[Product ID],$D$5,TableBOM[Item ID],$A62)&gt;0)*($H$5&gt;0),$C$5&amp;", ","")&amp;IF((COUNTIFS(TableBOM[Product ID],$D$6,TableBOM[Item ID],$A62)&gt;0)*($H$6&gt;0),$C$6&amp;", ","")&amp;IF((COUNTIFS(TableBOM[Product ID],$D$7,TableBOM[Item ID],$A62)&gt;0)*($H$7&gt;0),$C$7&amp;", ","")&amp;IF((COUNTIFS(TableBOM[Product ID],$D$8,TableBOM[Item ID],$A62)&gt;0)*($H$8&gt;0),$C$8&amp;", ","")&amp;IF((COUNTIFS(TableBOM[Product ID],$D$9,TableBOM[Item ID],$A62)&gt;0)*($H$9&gt;0),$C$9&amp;", ","")&amp;IF((COUNTIFS(TableBOM[Product ID],$D$10,TableBOM[Item ID],$A62)&gt;0)*($H$10&gt;0),$C$10&amp;", ","")&amp;IF((COUNTIFS(TableBOM[Product ID],$D$11,TableBOM[Item ID],$A62)&gt;0)*($H$11&gt;0),$C$11&amp;", ","")&amp;IF((COUNTIFS(TableBOM[Product ID],$D$12,TableBOM[Item ID],$A62)&gt;0)*($H$12&gt;0),$C$12&amp;", ",""))-2),"")</f>
        <v/>
      </c>
      <c r="I62" s="63">
        <f>IF(LEN(IF((COUNTIFS(TableBOM[Product ID],$D$3,TableBOM[Item ID],$A62)&gt;0)*($H$3&gt;0),$E$3&amp;", ","")&amp;IF((COUNTIFS(TableBOM[Product ID],$D$4,TableBOM[Item ID],$A62)&gt;0)*($H$4&gt;0),$E$4&amp;", ","")&amp;IF((COUNTIFS(TableBOM[Product ID],$D$5,TableBOM[Item ID],$A62)&gt;0)*($H$5&gt;0),$E$5&amp;", ","")&amp;IF((COUNTIFS(TableBOM[Product ID],$D$6,TableBOM[Item ID],$A62)&gt;0)*($H$6&gt;0),$E$6&amp;", ","")&amp;IF((COUNTIFS(TableBOM[Product ID],$D$7,TableBOM[Item ID],$A62)&gt;0)*($H$7&gt;0),$E$7&amp;", ","")&amp;IF((COUNTIFS(TableBOM[Product ID],$D$8,TableBOM[Item ID],$A62)&gt;0)*($H$8&gt;0),$E$8&amp;", ","")&amp;IF((COUNTIFS(TableBOM[Product ID],$D$9,TableBOM[Item ID],$A62)&gt;0)*($H$9&gt;0),$E$9&amp;", ","")&amp;IF((COUNTIFS(TableBOM[Product ID],$D$10,TableBOM[Item ID],$A62)&gt;0)*($H$10&gt;0),$E$10&amp;", ","")&amp;IF((COUNTIFS(TableBOM[Product ID],$D$11,TableBOM[Item ID],$A62)&gt;0)*($H$11&gt;0),$E$11&amp;", ","")&amp;IF((COUNTIFS(TableBOM[Product ID],$D$12,TableBOM[Item ID],$A62)&gt;0)*($H$12&gt;0),$E$12&amp;", ",""))&gt;1,LEFT(IF((COUNTIFS(TableBOM[Product ID],$D$3,TableBOM[Item ID],$A62)&gt;0)*($H$3&gt;0),$E$3&amp;", ","")&amp;IF((COUNTIFS(TableBOM[Product ID],$D$4,TableBOM[Item ID],$A62)&gt;0)*($H$4&gt;0),$E$4&amp;", ","")&amp;IF((COUNTIFS(TableBOM[Product ID],$D$5,TableBOM[Item ID],$A62)&gt;0)*($H$5&gt;0),$E$5&amp;", ","")&amp;IF((COUNTIFS(TableBOM[Product ID],$D$6,TableBOM[Item ID],$A62)&gt;0)*($H$6&gt;0),$E$6&amp;", ","")&amp;IF((COUNTIFS(TableBOM[Product ID],$D$7,TableBOM[Item ID],$A62)&gt;0)*($H$7&gt;0),$E$7&amp;", ","")&amp;IF((COUNTIFS(TableBOM[Product ID],$D$8,TableBOM[Item ID],$A62)&gt;0)*($H$8&gt;0),$E$8&amp;", ","")&amp;IF((COUNTIFS(TableBOM[Product ID],$D$9,TableBOM[Item ID],$A62)&gt;0)*($H$9&gt;0),$E$9&amp;", ","")&amp;IF((COUNTIFS(TableBOM[Product ID],$D$10,TableBOM[Item ID],$A62)&gt;0)*($H$10&gt;0),$E$10&amp;", ","")&amp;IF((COUNTIFS(TableBOM[Product ID],$D$11,TableBOM[Item ID],$A62)&gt;0)*($H$11&gt;0),$E$11&amp;", ","")&amp;IF((COUNTIFS(TableBOM[Product ID],$D$12,TableBOM[Item ID],$A62)&gt;0)*($H$12&gt;0),$E$12&amp;", ",""),LEN(IF((COUNTIFS(TableBOM[Product ID],$D$3,TableBOM[Item ID],$A62)&gt;0)*($H$3&gt;0),$E$3&amp;", ","")&amp;IF((COUNTIFS(TableBOM[Product ID],$D$4,TableBOM[Item ID],$A62)&gt;0)*($H$4&gt;0),$E$4&amp;", ","")&amp;IF((COUNTIFS(TableBOM[Product ID],$D$5,TableBOM[Item ID],$A62)&gt;0)*($H$5&gt;0),$E$5&amp;", ","")&amp;IF((COUNTIFS(TableBOM[Product ID],$D$6,TableBOM[Item ID],$A62)&gt;0)*($H$6&gt;0),$E$6&amp;", ","")&amp;IF((COUNTIFS(TableBOM[Product ID],$D$7,TableBOM[Item ID],$A62)&gt;0)*($H$7&gt;0),$E$7&amp;", ","")&amp;IF((COUNTIFS(TableBOM[Product ID],$D$8,TableBOM[Item ID],$A62)&gt;0)*($H$8&gt;0),$E$8&amp;", ","")&amp;IF((COUNTIFS(TableBOM[Product ID],$D$9,TableBOM[Item ID],$A62)&gt;0)*($H$9&gt;0),$E$9&amp;", ","")&amp;IF((COUNTIFS(TableBOM[Product ID],$D$10,TableBOM[Item ID],$A62)&gt;0)*($H$10&gt;0),$E$10&amp;", ","")&amp;IF((COUNTIFS(TableBOM[Product ID],$D$11,TableBOM[Item ID],$A62)&gt;0)*($H$11&gt;0),$E$11&amp;", ","")&amp;IF((COUNTIFS(TableBOM[Product ID],$D$12,TableBOM[Item ID],$A62)&gt;0)*($H$12&gt;0),$E$12&amp;", ",""))-2),"")</f>
        <v/>
      </c>
      <c r="J62" s="64">
        <f>IF(E62=0,"Not needed",IF(G62&lt;0,"SHORTAGE",IF(G62&lt;F62*0.1,"LOW","OK")))</f>
        <v/>
      </c>
      <c r="K62" s="64">
        <f>IF(B62&lt;&gt;"CAP","",SUMPRODUCT((ISNUMBER(SEARCH("Cap Not Available",'FG Stock'!$H$4:$H$100)))*('FG Stock'!$I$4:$I$100=A62)*'FG Stock'!$F$4:$F$100))</f>
        <v/>
      </c>
      <c r="L62" s="64">
        <f>IF(E62=0,"",MAX(0,E62+IFERROR(K62*1,0)-F62))</f>
        <v/>
      </c>
    </row>
    <row r="63" hidden="1" ht="24" customHeight="1" s="249">
      <c r="A63" s="68" t="n">
        <v>68</v>
      </c>
      <c r="B63" s="68" t="inlineStr">
        <is>
          <t>CAP</t>
        </is>
      </c>
      <c r="C63" s="68" t="inlineStr">
        <is>
          <t>M-11 S/M SPR WHITE DIA 25MM</t>
        </is>
      </c>
      <c r="D63" s="68" t="inlineStr">
        <is>
          <t>PCS</t>
        </is>
      </c>
      <c r="E63" s="69">
        <f>SUMPRODUCT((TableBOM[Item ID]=A63)*TableBOM[Per 1000 Units]*(1+TableBOM[Scrap %])*SUMIF($D$3:$D$12,TableBOM[Product ID],$H$3:$H$12)/1000)</f>
        <v/>
      </c>
      <c r="F63" s="69">
        <f>IFERROR(INDEX(TableInventory[Store Balance],MATCH(A63,TableInventory[Item ID],0)),0)+IFERROR(INDEX(TableInventory[Work In Process],MATCH(A63,TableInventory[Item ID],0)),0)</f>
        <v/>
      </c>
      <c r="G63" s="70">
        <f>F63-E63</f>
        <v/>
      </c>
      <c r="H63" s="71">
        <f>IF(LEN(IF((COUNTIFS(TableBOM[Product ID],$D$3,TableBOM[Item ID],$A63)&gt;0)*($H$3&gt;0),$C$3&amp;", ","")&amp;IF((COUNTIFS(TableBOM[Product ID],$D$4,TableBOM[Item ID],$A63)&gt;0)*($H$4&gt;0),$C$4&amp;", ","")&amp;IF((COUNTIFS(TableBOM[Product ID],$D$5,TableBOM[Item ID],$A63)&gt;0)*($H$5&gt;0),$C$5&amp;", ","")&amp;IF((COUNTIFS(TableBOM[Product ID],$D$6,TableBOM[Item ID],$A63)&gt;0)*($H$6&gt;0),$C$6&amp;", ","")&amp;IF((COUNTIFS(TableBOM[Product ID],$D$7,TableBOM[Item ID],$A63)&gt;0)*($H$7&gt;0),$C$7&amp;", ","")&amp;IF((COUNTIFS(TableBOM[Product ID],$D$8,TableBOM[Item ID],$A63)&gt;0)*($H$8&gt;0),$C$8&amp;", ","")&amp;IF((COUNTIFS(TableBOM[Product ID],$D$9,TableBOM[Item ID],$A63)&gt;0)*($H$9&gt;0),$C$9&amp;", ","")&amp;IF((COUNTIFS(TableBOM[Product ID],$D$10,TableBOM[Item ID],$A63)&gt;0)*($H$10&gt;0),$C$10&amp;", ","")&amp;IF((COUNTIFS(TableBOM[Product ID],$D$11,TableBOM[Item ID],$A63)&gt;0)*($H$11&gt;0),$C$11&amp;", ","")&amp;IF((COUNTIFS(TableBOM[Product ID],$D$12,TableBOM[Item ID],$A63)&gt;0)*($H$12&gt;0),$C$12&amp;", ",""))&gt;1,LEFT(IF((COUNTIFS(TableBOM[Product ID],$D$3,TableBOM[Item ID],$A63)&gt;0)*($H$3&gt;0),$C$3&amp;", ","")&amp;IF((COUNTIFS(TableBOM[Product ID],$D$4,TableBOM[Item ID],$A63)&gt;0)*($H$4&gt;0),$C$4&amp;", ","")&amp;IF((COUNTIFS(TableBOM[Product ID],$D$5,TableBOM[Item ID],$A63)&gt;0)*($H$5&gt;0),$C$5&amp;", ","")&amp;IF((COUNTIFS(TableBOM[Product ID],$D$6,TableBOM[Item ID],$A63)&gt;0)*($H$6&gt;0),$C$6&amp;", ","")&amp;IF((COUNTIFS(TableBOM[Product ID],$D$7,TableBOM[Item ID],$A63)&gt;0)*($H$7&gt;0),$C$7&amp;", ","")&amp;IF((COUNTIFS(TableBOM[Product ID],$D$8,TableBOM[Item ID],$A63)&gt;0)*($H$8&gt;0),$C$8&amp;", ","")&amp;IF((COUNTIFS(TableBOM[Product ID],$D$9,TableBOM[Item ID],$A63)&gt;0)*($H$9&gt;0),$C$9&amp;", ","")&amp;IF((COUNTIFS(TableBOM[Product ID],$D$10,TableBOM[Item ID],$A63)&gt;0)*($H$10&gt;0),$C$10&amp;", ","")&amp;IF((COUNTIFS(TableBOM[Product ID],$D$11,TableBOM[Item ID],$A63)&gt;0)*($H$11&gt;0),$C$11&amp;", ","")&amp;IF((COUNTIFS(TableBOM[Product ID],$D$12,TableBOM[Item ID],$A63)&gt;0)*($H$12&gt;0),$C$12&amp;", ",""),LEN(IF((COUNTIFS(TableBOM[Product ID],$D$3,TableBOM[Item ID],$A63)&gt;0)*($H$3&gt;0),$C$3&amp;", ","")&amp;IF((COUNTIFS(TableBOM[Product ID],$D$4,TableBOM[Item ID],$A63)&gt;0)*($H$4&gt;0),$C$4&amp;", ","")&amp;IF((COUNTIFS(TableBOM[Product ID],$D$5,TableBOM[Item ID],$A63)&gt;0)*($H$5&gt;0),$C$5&amp;", ","")&amp;IF((COUNTIFS(TableBOM[Product ID],$D$6,TableBOM[Item ID],$A63)&gt;0)*($H$6&gt;0),$C$6&amp;", ","")&amp;IF((COUNTIFS(TableBOM[Product ID],$D$7,TableBOM[Item ID],$A63)&gt;0)*($H$7&gt;0),$C$7&amp;", ","")&amp;IF((COUNTIFS(TableBOM[Product ID],$D$8,TableBOM[Item ID],$A63)&gt;0)*($H$8&gt;0),$C$8&amp;", ","")&amp;IF((COUNTIFS(TableBOM[Product ID],$D$9,TableBOM[Item ID],$A63)&gt;0)*($H$9&gt;0),$C$9&amp;", ","")&amp;IF((COUNTIFS(TableBOM[Product ID],$D$10,TableBOM[Item ID],$A63)&gt;0)*($H$10&gt;0),$C$10&amp;", ","")&amp;IF((COUNTIFS(TableBOM[Product ID],$D$11,TableBOM[Item ID],$A63)&gt;0)*($H$11&gt;0),$C$11&amp;", ","")&amp;IF((COUNTIFS(TableBOM[Product ID],$D$12,TableBOM[Item ID],$A63)&gt;0)*($H$12&gt;0),$C$12&amp;", ",""))-2),"")</f>
        <v/>
      </c>
      <c r="I63" s="72">
        <f>IF(LEN(IF((COUNTIFS(TableBOM[Product ID],$D$3,TableBOM[Item ID],$A63)&gt;0)*($H$3&gt;0),$E$3&amp;", ","")&amp;IF((COUNTIFS(TableBOM[Product ID],$D$4,TableBOM[Item ID],$A63)&gt;0)*($H$4&gt;0),$E$4&amp;", ","")&amp;IF((COUNTIFS(TableBOM[Product ID],$D$5,TableBOM[Item ID],$A63)&gt;0)*($H$5&gt;0),$E$5&amp;", ","")&amp;IF((COUNTIFS(TableBOM[Product ID],$D$6,TableBOM[Item ID],$A63)&gt;0)*($H$6&gt;0),$E$6&amp;", ","")&amp;IF((COUNTIFS(TableBOM[Product ID],$D$7,TableBOM[Item ID],$A63)&gt;0)*($H$7&gt;0),$E$7&amp;", ","")&amp;IF((COUNTIFS(TableBOM[Product ID],$D$8,TableBOM[Item ID],$A63)&gt;0)*($H$8&gt;0),$E$8&amp;", ","")&amp;IF((COUNTIFS(TableBOM[Product ID],$D$9,TableBOM[Item ID],$A63)&gt;0)*($H$9&gt;0),$E$9&amp;", ","")&amp;IF((COUNTIFS(TableBOM[Product ID],$D$10,TableBOM[Item ID],$A63)&gt;0)*($H$10&gt;0),$E$10&amp;", ","")&amp;IF((COUNTIFS(TableBOM[Product ID],$D$11,TableBOM[Item ID],$A63)&gt;0)*($H$11&gt;0),$E$11&amp;", ","")&amp;IF((COUNTIFS(TableBOM[Product ID],$D$12,TableBOM[Item ID],$A63)&gt;0)*($H$12&gt;0),$E$12&amp;", ",""))&gt;1,LEFT(IF((COUNTIFS(TableBOM[Product ID],$D$3,TableBOM[Item ID],$A63)&gt;0)*($H$3&gt;0),$E$3&amp;", ","")&amp;IF((COUNTIFS(TableBOM[Product ID],$D$4,TableBOM[Item ID],$A63)&gt;0)*($H$4&gt;0),$E$4&amp;", ","")&amp;IF((COUNTIFS(TableBOM[Product ID],$D$5,TableBOM[Item ID],$A63)&gt;0)*($H$5&gt;0),$E$5&amp;", ","")&amp;IF((COUNTIFS(TableBOM[Product ID],$D$6,TableBOM[Item ID],$A63)&gt;0)*($H$6&gt;0),$E$6&amp;", ","")&amp;IF((COUNTIFS(TableBOM[Product ID],$D$7,TableBOM[Item ID],$A63)&gt;0)*($H$7&gt;0),$E$7&amp;", ","")&amp;IF((COUNTIFS(TableBOM[Product ID],$D$8,TableBOM[Item ID],$A63)&gt;0)*($H$8&gt;0),$E$8&amp;", ","")&amp;IF((COUNTIFS(TableBOM[Product ID],$D$9,TableBOM[Item ID],$A63)&gt;0)*($H$9&gt;0),$E$9&amp;", ","")&amp;IF((COUNTIFS(TableBOM[Product ID],$D$10,TableBOM[Item ID],$A63)&gt;0)*($H$10&gt;0),$E$10&amp;", ","")&amp;IF((COUNTIFS(TableBOM[Product ID],$D$11,TableBOM[Item ID],$A63)&gt;0)*($H$11&gt;0),$E$11&amp;", ","")&amp;IF((COUNTIFS(TableBOM[Product ID],$D$12,TableBOM[Item ID],$A63)&gt;0)*($H$12&gt;0),$E$12&amp;", ",""),LEN(IF((COUNTIFS(TableBOM[Product ID],$D$3,TableBOM[Item ID],$A63)&gt;0)*($H$3&gt;0),$E$3&amp;", ","")&amp;IF((COUNTIFS(TableBOM[Product ID],$D$4,TableBOM[Item ID],$A63)&gt;0)*($H$4&gt;0),$E$4&amp;", ","")&amp;IF((COUNTIFS(TableBOM[Product ID],$D$5,TableBOM[Item ID],$A63)&gt;0)*($H$5&gt;0),$E$5&amp;", ","")&amp;IF((COUNTIFS(TableBOM[Product ID],$D$6,TableBOM[Item ID],$A63)&gt;0)*($H$6&gt;0),$E$6&amp;", ","")&amp;IF((COUNTIFS(TableBOM[Product ID],$D$7,TableBOM[Item ID],$A63)&gt;0)*($H$7&gt;0),$E$7&amp;", ","")&amp;IF((COUNTIFS(TableBOM[Product ID],$D$8,TableBOM[Item ID],$A63)&gt;0)*($H$8&gt;0),$E$8&amp;", ","")&amp;IF((COUNTIFS(TableBOM[Product ID],$D$9,TableBOM[Item ID],$A63)&gt;0)*($H$9&gt;0),$E$9&amp;", ","")&amp;IF((COUNTIFS(TableBOM[Product ID],$D$10,TableBOM[Item ID],$A63)&gt;0)*($H$10&gt;0),$E$10&amp;", ","")&amp;IF((COUNTIFS(TableBOM[Product ID],$D$11,TableBOM[Item ID],$A63)&gt;0)*($H$11&gt;0),$E$11&amp;", ","")&amp;IF((COUNTIFS(TableBOM[Product ID],$D$12,TableBOM[Item ID],$A63)&gt;0)*($H$12&gt;0),$E$12&amp;", ",""))-2),"")</f>
        <v/>
      </c>
      <c r="J63" s="73">
        <f>IF(E63=0,"Not needed",IF(G63&lt;0,"SHORTAGE",IF(G63&lt;F63*0.1,"LOW","OK")))</f>
        <v/>
      </c>
      <c r="K63" s="73">
        <f>IF(B63&lt;&gt;"CAP","",SUMPRODUCT((ISNUMBER(SEARCH("Cap Not Available",'FG Stock'!$H$4:$H$100)))*('FG Stock'!$I$4:$I$100=A63)*'FG Stock'!$F$4:$F$100))</f>
        <v/>
      </c>
      <c r="L63" s="73">
        <f>IF(E63=0,"",MAX(0,E63+IFERROR(K63*1,0)-F63))</f>
        <v/>
      </c>
    </row>
    <row r="64" hidden="1" ht="15" customHeight="1" s="249">
      <c r="A64" s="74" t="n">
        <v>102</v>
      </c>
      <c r="B64" s="74" t="inlineStr">
        <is>
          <t>CAP</t>
        </is>
      </c>
      <c r="C64" s="74" t="inlineStr">
        <is>
          <t>M-11 S/M SPR ORANGE DIA 25</t>
        </is>
      </c>
      <c r="D64" s="74" t="inlineStr">
        <is>
          <t>PCS</t>
        </is>
      </c>
      <c r="E64" s="75">
        <f>SUMPRODUCT((TableBOM[Item ID]=A64)*TableBOM[Per 1000 Units]*(1+TableBOM[Scrap %])*SUMIF($D$3:$D$12,TableBOM[Product ID],$H$3:$H$12)/1000)</f>
        <v/>
      </c>
      <c r="F64" s="75">
        <f>IFERROR(INDEX(TableInventory[Store Balance],MATCH(A64,TableInventory[Item ID],0)),0)+IFERROR(INDEX(TableInventory[Work In Process],MATCH(A64,TableInventory[Item ID],0)),0)</f>
        <v/>
      </c>
      <c r="G64" s="75">
        <f>F64-E64</f>
        <v/>
      </c>
      <c r="H64" s="76">
        <f>IF(LEN(IF((COUNTIFS(TableBOM[Product ID],$D$3,TableBOM[Item ID],$A64)&gt;0)*($H$3&gt;0),$C$3&amp;", ","")&amp;IF((COUNTIFS(TableBOM[Product ID],$D$4,TableBOM[Item ID],$A64)&gt;0)*($H$4&gt;0),$C$4&amp;", ","")&amp;IF((COUNTIFS(TableBOM[Product ID],$D$5,TableBOM[Item ID],$A64)&gt;0)*($H$5&gt;0),$C$5&amp;", ","")&amp;IF((COUNTIFS(TableBOM[Product ID],$D$6,TableBOM[Item ID],$A64)&gt;0)*($H$6&gt;0),$C$6&amp;", ","")&amp;IF((COUNTIFS(TableBOM[Product ID],$D$7,TableBOM[Item ID],$A64)&gt;0)*($H$7&gt;0),$C$7&amp;", ","")&amp;IF((COUNTIFS(TableBOM[Product ID],$D$8,TableBOM[Item ID],$A64)&gt;0)*($H$8&gt;0),$C$8&amp;", ","")&amp;IF((COUNTIFS(TableBOM[Product ID],$D$9,TableBOM[Item ID],$A64)&gt;0)*($H$9&gt;0),$C$9&amp;", ","")&amp;IF((COUNTIFS(TableBOM[Product ID],$D$10,TableBOM[Item ID],$A64)&gt;0)*($H$10&gt;0),$C$10&amp;", ","")&amp;IF((COUNTIFS(TableBOM[Product ID],$D$11,TableBOM[Item ID],$A64)&gt;0)*($H$11&gt;0),$C$11&amp;", ","")&amp;IF((COUNTIFS(TableBOM[Product ID],$D$12,TableBOM[Item ID],$A64)&gt;0)*($H$12&gt;0),$C$12&amp;", ",""))&gt;1,LEFT(IF((COUNTIFS(TableBOM[Product ID],$D$3,TableBOM[Item ID],$A64)&gt;0)*($H$3&gt;0),$C$3&amp;", ","")&amp;IF((COUNTIFS(TableBOM[Product ID],$D$4,TableBOM[Item ID],$A64)&gt;0)*($H$4&gt;0),$C$4&amp;", ","")&amp;IF((COUNTIFS(TableBOM[Product ID],$D$5,TableBOM[Item ID],$A64)&gt;0)*($H$5&gt;0),$C$5&amp;", ","")&amp;IF((COUNTIFS(TableBOM[Product ID],$D$6,TableBOM[Item ID],$A64)&gt;0)*($H$6&gt;0),$C$6&amp;", ","")&amp;IF((COUNTIFS(TableBOM[Product ID],$D$7,TableBOM[Item ID],$A64)&gt;0)*($H$7&gt;0),$C$7&amp;", ","")&amp;IF((COUNTIFS(TableBOM[Product ID],$D$8,TableBOM[Item ID],$A64)&gt;0)*($H$8&gt;0),$C$8&amp;", ","")&amp;IF((COUNTIFS(TableBOM[Product ID],$D$9,TableBOM[Item ID],$A64)&gt;0)*($H$9&gt;0),$C$9&amp;", ","")&amp;IF((COUNTIFS(TableBOM[Product ID],$D$10,TableBOM[Item ID],$A64)&gt;0)*($H$10&gt;0),$C$10&amp;", ","")&amp;IF((COUNTIFS(TableBOM[Product ID],$D$11,TableBOM[Item ID],$A64)&gt;0)*($H$11&gt;0),$C$11&amp;", ","")&amp;IF((COUNTIFS(TableBOM[Product ID],$D$12,TableBOM[Item ID],$A64)&gt;0)*($H$12&gt;0),$C$12&amp;", ",""),LEN(IF((COUNTIFS(TableBOM[Product ID],$D$3,TableBOM[Item ID],$A64)&gt;0)*($H$3&gt;0),$C$3&amp;", ","")&amp;IF((COUNTIFS(TableBOM[Product ID],$D$4,TableBOM[Item ID],$A64)&gt;0)*($H$4&gt;0),$C$4&amp;", ","")&amp;IF((COUNTIFS(TableBOM[Product ID],$D$5,TableBOM[Item ID],$A64)&gt;0)*($H$5&gt;0),$C$5&amp;", ","")&amp;IF((COUNTIFS(TableBOM[Product ID],$D$6,TableBOM[Item ID],$A64)&gt;0)*($H$6&gt;0),$C$6&amp;", ","")&amp;IF((COUNTIFS(TableBOM[Product ID],$D$7,TableBOM[Item ID],$A64)&gt;0)*($H$7&gt;0),$C$7&amp;", ","")&amp;IF((COUNTIFS(TableBOM[Product ID],$D$8,TableBOM[Item ID],$A64)&gt;0)*($H$8&gt;0),$C$8&amp;", ","")&amp;IF((COUNTIFS(TableBOM[Product ID],$D$9,TableBOM[Item ID],$A64)&gt;0)*($H$9&gt;0),$C$9&amp;", ","")&amp;IF((COUNTIFS(TableBOM[Product ID],$D$10,TableBOM[Item ID],$A64)&gt;0)*($H$10&gt;0),$C$10&amp;", ","")&amp;IF((COUNTIFS(TableBOM[Product ID],$D$11,TableBOM[Item ID],$A64)&gt;0)*($H$11&gt;0),$C$11&amp;", ","")&amp;IF((COUNTIFS(TableBOM[Product ID],$D$12,TableBOM[Item ID],$A64)&gt;0)*($H$12&gt;0),$C$12&amp;", ",""))-2),"")</f>
        <v/>
      </c>
      <c r="I64" s="77">
        <f>IF(LEN(IF((COUNTIFS(TableBOM[Product ID],$D$3,TableBOM[Item ID],$A64)&gt;0)*($H$3&gt;0),$E$3&amp;", ","")&amp;IF((COUNTIFS(TableBOM[Product ID],$D$4,TableBOM[Item ID],$A64)&gt;0)*($H$4&gt;0),$E$4&amp;", ","")&amp;IF((COUNTIFS(TableBOM[Product ID],$D$5,TableBOM[Item ID],$A64)&gt;0)*($H$5&gt;0),$E$5&amp;", ","")&amp;IF((COUNTIFS(TableBOM[Product ID],$D$6,TableBOM[Item ID],$A64)&gt;0)*($H$6&gt;0),$E$6&amp;", ","")&amp;IF((COUNTIFS(TableBOM[Product ID],$D$7,TableBOM[Item ID],$A64)&gt;0)*($H$7&gt;0),$E$7&amp;", ","")&amp;IF((COUNTIFS(TableBOM[Product ID],$D$8,TableBOM[Item ID],$A64)&gt;0)*($H$8&gt;0),$E$8&amp;", ","")&amp;IF((COUNTIFS(TableBOM[Product ID],$D$9,TableBOM[Item ID],$A64)&gt;0)*($H$9&gt;0),$E$9&amp;", ","")&amp;IF((COUNTIFS(TableBOM[Product ID],$D$10,TableBOM[Item ID],$A64)&gt;0)*($H$10&gt;0),$E$10&amp;", ","")&amp;IF((COUNTIFS(TableBOM[Product ID],$D$11,TableBOM[Item ID],$A64)&gt;0)*($H$11&gt;0),$E$11&amp;", ","")&amp;IF((COUNTIFS(TableBOM[Product ID],$D$12,TableBOM[Item ID],$A64)&gt;0)*($H$12&gt;0),$E$12&amp;", ",""))&gt;1,LEFT(IF((COUNTIFS(TableBOM[Product ID],$D$3,TableBOM[Item ID],$A64)&gt;0)*($H$3&gt;0),$E$3&amp;", ","")&amp;IF((COUNTIFS(TableBOM[Product ID],$D$4,TableBOM[Item ID],$A64)&gt;0)*($H$4&gt;0),$E$4&amp;", ","")&amp;IF((COUNTIFS(TableBOM[Product ID],$D$5,TableBOM[Item ID],$A64)&gt;0)*($H$5&gt;0),$E$5&amp;", ","")&amp;IF((COUNTIFS(TableBOM[Product ID],$D$6,TableBOM[Item ID],$A64)&gt;0)*($H$6&gt;0),$E$6&amp;", ","")&amp;IF((COUNTIFS(TableBOM[Product ID],$D$7,TableBOM[Item ID],$A64)&gt;0)*($H$7&gt;0),$E$7&amp;", ","")&amp;IF((COUNTIFS(TableBOM[Product ID],$D$8,TableBOM[Item ID],$A64)&gt;0)*($H$8&gt;0),$E$8&amp;", ","")&amp;IF((COUNTIFS(TableBOM[Product ID],$D$9,TableBOM[Item ID],$A64)&gt;0)*($H$9&gt;0),$E$9&amp;", ","")&amp;IF((COUNTIFS(TableBOM[Product ID],$D$10,TableBOM[Item ID],$A64)&gt;0)*($H$10&gt;0),$E$10&amp;", ","")&amp;IF((COUNTIFS(TableBOM[Product ID],$D$11,TableBOM[Item ID],$A64)&gt;0)*($H$11&gt;0),$E$11&amp;", ","")&amp;IF((COUNTIFS(TableBOM[Product ID],$D$12,TableBOM[Item ID],$A64)&gt;0)*($H$12&gt;0),$E$12&amp;", ",""),LEN(IF((COUNTIFS(TableBOM[Product ID],$D$3,TableBOM[Item ID],$A64)&gt;0)*($H$3&gt;0),$E$3&amp;", ","")&amp;IF((COUNTIFS(TableBOM[Product ID],$D$4,TableBOM[Item ID],$A64)&gt;0)*($H$4&gt;0),$E$4&amp;", ","")&amp;IF((COUNTIFS(TableBOM[Product ID],$D$5,TableBOM[Item ID],$A64)&gt;0)*($H$5&gt;0),$E$5&amp;", ","")&amp;IF((COUNTIFS(TableBOM[Product ID],$D$6,TableBOM[Item ID],$A64)&gt;0)*($H$6&gt;0),$E$6&amp;", ","")&amp;IF((COUNTIFS(TableBOM[Product ID],$D$7,TableBOM[Item ID],$A64)&gt;0)*($H$7&gt;0),$E$7&amp;", ","")&amp;IF((COUNTIFS(TableBOM[Product ID],$D$8,TableBOM[Item ID],$A64)&gt;0)*($H$8&gt;0),$E$8&amp;", ","")&amp;IF((COUNTIFS(TableBOM[Product ID],$D$9,TableBOM[Item ID],$A64)&gt;0)*($H$9&gt;0),$E$9&amp;", ","")&amp;IF((COUNTIFS(TableBOM[Product ID],$D$10,TableBOM[Item ID],$A64)&gt;0)*($H$10&gt;0),$E$10&amp;", ","")&amp;IF((COUNTIFS(TableBOM[Product ID],$D$11,TableBOM[Item ID],$A64)&gt;0)*($H$11&gt;0),$E$11&amp;", ","")&amp;IF((COUNTIFS(TableBOM[Product ID],$D$12,TableBOM[Item ID],$A64)&gt;0)*($H$12&gt;0),$E$12&amp;", ",""))-2),"")</f>
        <v/>
      </c>
      <c r="J64" s="78">
        <f>IF(E64=0,"Not needed",IF(G64&lt;0,"SHORTAGE",IF(G64&lt;F64*0.1,"LOW","OK")))</f>
        <v/>
      </c>
      <c r="K64" s="78">
        <f>IF(B64&lt;&gt;"CAP","",SUMPRODUCT((ISNUMBER(SEARCH("Cap Not Available",'FG Stock'!$H$4:$H$100)))*('FG Stock'!$I$4:$I$100=A64)*'FG Stock'!$F$4:$F$100))</f>
        <v/>
      </c>
      <c r="L64" s="78">
        <f>IF(E64=0,"",MAX(0,E64+IFERROR(K64*1,0)-F64))</f>
        <v/>
      </c>
    </row>
    <row r="65" hidden="1" ht="24" customHeight="1" s="249">
      <c r="A65" s="74" t="n">
        <v>1073</v>
      </c>
      <c r="B65" s="74" t="inlineStr">
        <is>
          <t>CAP</t>
        </is>
      </c>
      <c r="C65" s="74" t="inlineStr">
        <is>
          <t>M-11 S/M F/P BLACK</t>
        </is>
      </c>
      <c r="D65" s="74" t="inlineStr">
        <is>
          <t>PCS</t>
        </is>
      </c>
      <c r="E65" s="75">
        <f>SUMPRODUCT((TableBOM[Item ID]=A65)*TableBOM[Per 1000 Units]*(1+TableBOM[Scrap %])*SUMIF($D$3:$D$12,TableBOM[Product ID],$H$3:$H$12)/1000)</f>
        <v/>
      </c>
      <c r="F65" s="75">
        <f>IFERROR(INDEX(TableInventory[Store Balance],MATCH(A65,TableInventory[Item ID],0)),0)+IFERROR(INDEX(TableInventory[Work In Process],MATCH(A65,TableInventory[Item ID],0)),0)</f>
        <v/>
      </c>
      <c r="G65" s="84">
        <f>F65-E65</f>
        <v/>
      </c>
      <c r="H65" s="76">
        <f>IF(LEN(IF((COUNTIFS(TableBOM[Product ID],$D$3,TableBOM[Item ID],$A65)&gt;0)*($H$3&gt;0),$C$3&amp;", ","")&amp;IF((COUNTIFS(TableBOM[Product ID],$D$4,TableBOM[Item ID],$A65)&gt;0)*($H$4&gt;0),$C$4&amp;", ","")&amp;IF((COUNTIFS(TableBOM[Product ID],$D$5,TableBOM[Item ID],$A65)&gt;0)*($H$5&gt;0),$C$5&amp;", ","")&amp;IF((COUNTIFS(TableBOM[Product ID],$D$6,TableBOM[Item ID],$A65)&gt;0)*($H$6&gt;0),$C$6&amp;", ","")&amp;IF((COUNTIFS(TableBOM[Product ID],$D$7,TableBOM[Item ID],$A65)&gt;0)*($H$7&gt;0),$C$7&amp;", ","")&amp;IF((COUNTIFS(TableBOM[Product ID],$D$8,TableBOM[Item ID],$A65)&gt;0)*($H$8&gt;0),$C$8&amp;", ","")&amp;IF((COUNTIFS(TableBOM[Product ID],$D$9,TableBOM[Item ID],$A65)&gt;0)*($H$9&gt;0),$C$9&amp;", ","")&amp;IF((COUNTIFS(TableBOM[Product ID],$D$10,TableBOM[Item ID],$A65)&gt;0)*($H$10&gt;0),$C$10&amp;", ","")&amp;IF((COUNTIFS(TableBOM[Product ID],$D$11,TableBOM[Item ID],$A65)&gt;0)*($H$11&gt;0),$C$11&amp;", ","")&amp;IF((COUNTIFS(TableBOM[Product ID],$D$12,TableBOM[Item ID],$A65)&gt;0)*($H$12&gt;0),$C$12&amp;", ",""))&gt;1,LEFT(IF((COUNTIFS(TableBOM[Product ID],$D$3,TableBOM[Item ID],$A65)&gt;0)*($H$3&gt;0),$C$3&amp;", ","")&amp;IF((COUNTIFS(TableBOM[Product ID],$D$4,TableBOM[Item ID],$A65)&gt;0)*($H$4&gt;0),$C$4&amp;", ","")&amp;IF((COUNTIFS(TableBOM[Product ID],$D$5,TableBOM[Item ID],$A65)&gt;0)*($H$5&gt;0),$C$5&amp;", ","")&amp;IF((COUNTIFS(TableBOM[Product ID],$D$6,TableBOM[Item ID],$A65)&gt;0)*($H$6&gt;0),$C$6&amp;", ","")&amp;IF((COUNTIFS(TableBOM[Product ID],$D$7,TableBOM[Item ID],$A65)&gt;0)*($H$7&gt;0),$C$7&amp;", ","")&amp;IF((COUNTIFS(TableBOM[Product ID],$D$8,TableBOM[Item ID],$A65)&gt;0)*($H$8&gt;0),$C$8&amp;", ","")&amp;IF((COUNTIFS(TableBOM[Product ID],$D$9,TableBOM[Item ID],$A65)&gt;0)*($H$9&gt;0),$C$9&amp;", ","")&amp;IF((COUNTIFS(TableBOM[Product ID],$D$10,TableBOM[Item ID],$A65)&gt;0)*($H$10&gt;0),$C$10&amp;", ","")&amp;IF((COUNTIFS(TableBOM[Product ID],$D$11,TableBOM[Item ID],$A65)&gt;0)*($H$11&gt;0),$C$11&amp;", ","")&amp;IF((COUNTIFS(TableBOM[Product ID],$D$12,TableBOM[Item ID],$A65)&gt;0)*($H$12&gt;0),$C$12&amp;", ",""),LEN(IF((COUNTIFS(TableBOM[Product ID],$D$3,TableBOM[Item ID],$A65)&gt;0)*($H$3&gt;0),$C$3&amp;", ","")&amp;IF((COUNTIFS(TableBOM[Product ID],$D$4,TableBOM[Item ID],$A65)&gt;0)*($H$4&gt;0),$C$4&amp;", ","")&amp;IF((COUNTIFS(TableBOM[Product ID],$D$5,TableBOM[Item ID],$A65)&gt;0)*($H$5&gt;0),$C$5&amp;", ","")&amp;IF((COUNTIFS(TableBOM[Product ID],$D$6,TableBOM[Item ID],$A65)&gt;0)*($H$6&gt;0),$C$6&amp;", ","")&amp;IF((COUNTIFS(TableBOM[Product ID],$D$7,TableBOM[Item ID],$A65)&gt;0)*($H$7&gt;0),$C$7&amp;", ","")&amp;IF((COUNTIFS(TableBOM[Product ID],$D$8,TableBOM[Item ID],$A65)&gt;0)*($H$8&gt;0),$C$8&amp;", ","")&amp;IF((COUNTIFS(TableBOM[Product ID],$D$9,TableBOM[Item ID],$A65)&gt;0)*($H$9&gt;0),$C$9&amp;", ","")&amp;IF((COUNTIFS(TableBOM[Product ID],$D$10,TableBOM[Item ID],$A65)&gt;0)*($H$10&gt;0),$C$10&amp;", ","")&amp;IF((COUNTIFS(TableBOM[Product ID],$D$11,TableBOM[Item ID],$A65)&gt;0)*($H$11&gt;0),$C$11&amp;", ","")&amp;IF((COUNTIFS(TableBOM[Product ID],$D$12,TableBOM[Item ID],$A65)&gt;0)*($H$12&gt;0),$C$12&amp;", ",""))-2),"")</f>
        <v/>
      </c>
      <c r="I65" s="77">
        <f>IF(LEN(IF((COUNTIFS(TableBOM[Product ID],$D$3,TableBOM[Item ID],$A65)&gt;0)*($H$3&gt;0),$E$3&amp;", ","")&amp;IF((COUNTIFS(TableBOM[Product ID],$D$4,TableBOM[Item ID],$A65)&gt;0)*($H$4&gt;0),$E$4&amp;", ","")&amp;IF((COUNTIFS(TableBOM[Product ID],$D$5,TableBOM[Item ID],$A65)&gt;0)*($H$5&gt;0),$E$5&amp;", ","")&amp;IF((COUNTIFS(TableBOM[Product ID],$D$6,TableBOM[Item ID],$A65)&gt;0)*($H$6&gt;0),$E$6&amp;", ","")&amp;IF((COUNTIFS(TableBOM[Product ID],$D$7,TableBOM[Item ID],$A65)&gt;0)*($H$7&gt;0),$E$7&amp;", ","")&amp;IF((COUNTIFS(TableBOM[Product ID],$D$8,TableBOM[Item ID],$A65)&gt;0)*($H$8&gt;0),$E$8&amp;", ","")&amp;IF((COUNTIFS(TableBOM[Product ID],$D$9,TableBOM[Item ID],$A65)&gt;0)*($H$9&gt;0),$E$9&amp;", ","")&amp;IF((COUNTIFS(TableBOM[Product ID],$D$10,TableBOM[Item ID],$A65)&gt;0)*($H$10&gt;0),$E$10&amp;", ","")&amp;IF((COUNTIFS(TableBOM[Product ID],$D$11,TableBOM[Item ID],$A65)&gt;0)*($H$11&gt;0),$E$11&amp;", ","")&amp;IF((COUNTIFS(TableBOM[Product ID],$D$12,TableBOM[Item ID],$A65)&gt;0)*($H$12&gt;0),$E$12&amp;", ",""))&gt;1,LEFT(IF((COUNTIFS(TableBOM[Product ID],$D$3,TableBOM[Item ID],$A65)&gt;0)*($H$3&gt;0),$E$3&amp;", ","")&amp;IF((COUNTIFS(TableBOM[Product ID],$D$4,TableBOM[Item ID],$A65)&gt;0)*($H$4&gt;0),$E$4&amp;", ","")&amp;IF((COUNTIFS(TableBOM[Product ID],$D$5,TableBOM[Item ID],$A65)&gt;0)*($H$5&gt;0),$E$5&amp;", ","")&amp;IF((COUNTIFS(TableBOM[Product ID],$D$6,TableBOM[Item ID],$A65)&gt;0)*($H$6&gt;0),$E$6&amp;", ","")&amp;IF((COUNTIFS(TableBOM[Product ID],$D$7,TableBOM[Item ID],$A65)&gt;0)*($H$7&gt;0),$E$7&amp;", ","")&amp;IF((COUNTIFS(TableBOM[Product ID],$D$8,TableBOM[Item ID],$A65)&gt;0)*($H$8&gt;0),$E$8&amp;", ","")&amp;IF((COUNTIFS(TableBOM[Product ID],$D$9,TableBOM[Item ID],$A65)&gt;0)*($H$9&gt;0),$E$9&amp;", ","")&amp;IF((COUNTIFS(TableBOM[Product ID],$D$10,TableBOM[Item ID],$A65)&gt;0)*($H$10&gt;0),$E$10&amp;", ","")&amp;IF((COUNTIFS(TableBOM[Product ID],$D$11,TableBOM[Item ID],$A65)&gt;0)*($H$11&gt;0),$E$11&amp;", ","")&amp;IF((COUNTIFS(TableBOM[Product ID],$D$12,TableBOM[Item ID],$A65)&gt;0)*($H$12&gt;0),$E$12&amp;", ",""),LEN(IF((COUNTIFS(TableBOM[Product ID],$D$3,TableBOM[Item ID],$A65)&gt;0)*($H$3&gt;0),$E$3&amp;", ","")&amp;IF((COUNTIFS(TableBOM[Product ID],$D$4,TableBOM[Item ID],$A65)&gt;0)*($H$4&gt;0),$E$4&amp;", ","")&amp;IF((COUNTIFS(TableBOM[Product ID],$D$5,TableBOM[Item ID],$A65)&gt;0)*($H$5&gt;0),$E$5&amp;", ","")&amp;IF((COUNTIFS(TableBOM[Product ID],$D$6,TableBOM[Item ID],$A65)&gt;0)*($H$6&gt;0),$E$6&amp;", ","")&amp;IF((COUNTIFS(TableBOM[Product ID],$D$7,TableBOM[Item ID],$A65)&gt;0)*($H$7&gt;0),$E$7&amp;", ","")&amp;IF((COUNTIFS(TableBOM[Product ID],$D$8,TableBOM[Item ID],$A65)&gt;0)*($H$8&gt;0),$E$8&amp;", ","")&amp;IF((COUNTIFS(TableBOM[Product ID],$D$9,TableBOM[Item ID],$A65)&gt;0)*($H$9&gt;0),$E$9&amp;", ","")&amp;IF((COUNTIFS(TableBOM[Product ID],$D$10,TableBOM[Item ID],$A65)&gt;0)*($H$10&gt;0),$E$10&amp;", ","")&amp;IF((COUNTIFS(TableBOM[Product ID],$D$11,TableBOM[Item ID],$A65)&gt;0)*($H$11&gt;0),$E$11&amp;", ","")&amp;IF((COUNTIFS(TableBOM[Product ID],$D$12,TableBOM[Item ID],$A65)&gt;0)*($H$12&gt;0),$E$12&amp;", ",""))-2),"")</f>
        <v/>
      </c>
      <c r="J65" s="78">
        <f>IF(E65=0,"Not needed",IF(G65&lt;0,"SHORTAGE",IF(G65&lt;F65*0.1,"LOW","OK")))</f>
        <v/>
      </c>
      <c r="K65" s="78">
        <f>IF(B65&lt;&gt;"CAP","",SUMPRODUCT((ISNUMBER(SEARCH("Cap Not Available",'FG Stock'!$H$4:$H$100)))*('FG Stock'!$I$4:$I$100=A65)*'FG Stock'!$F$4:$F$100))</f>
        <v/>
      </c>
      <c r="L65" s="78">
        <f>IF(E65=0,"",MAX(0,E65+IFERROR(K65*1,0)-F65))</f>
        <v/>
      </c>
    </row>
    <row r="66" hidden="1" ht="15" customHeight="1" s="249">
      <c r="A66" s="74" t="n">
        <v>1285</v>
      </c>
      <c r="B66" s="74" t="inlineStr">
        <is>
          <t>CAP</t>
        </is>
      </c>
      <c r="C66" s="74" t="inlineStr">
        <is>
          <t>M-11 S/M F/P WHITE (LARGE)</t>
        </is>
      </c>
      <c r="D66" s="74" t="inlineStr">
        <is>
          <t>PCS</t>
        </is>
      </c>
      <c r="E66" s="85">
        <f>SUMPRODUCT((TableBOM[Item ID]=A66)*TableBOM[Per 1000 Units]*(1+TableBOM[Scrap %])*SUMIF($D$3:$D$12,TableBOM[Product ID],$H$3:$H$12)/1000)</f>
        <v/>
      </c>
      <c r="F66" s="85">
        <f>IFERROR(INDEX(TableInventory[Store Balance],MATCH(A66,TableInventory[Item ID],0)),0)+IFERROR(INDEX(TableInventory[Work In Process],MATCH(A66,TableInventory[Item ID],0)),0)</f>
        <v/>
      </c>
      <c r="G66" s="85">
        <f>F66-E66</f>
        <v/>
      </c>
      <c r="H66" s="76">
        <f>IF(LEN(IF((COUNTIFS(TableBOM[Product ID],$D$3,TableBOM[Item ID],$A66)&gt;0)*($H$3&gt;0),$C$3&amp;", ","")&amp;IF((COUNTIFS(TableBOM[Product ID],$D$4,TableBOM[Item ID],$A66)&gt;0)*($H$4&gt;0),$C$4&amp;", ","")&amp;IF((COUNTIFS(TableBOM[Product ID],$D$5,TableBOM[Item ID],$A66)&gt;0)*($H$5&gt;0),$C$5&amp;", ","")&amp;IF((COUNTIFS(TableBOM[Product ID],$D$6,TableBOM[Item ID],$A66)&gt;0)*($H$6&gt;0),$C$6&amp;", ","")&amp;IF((COUNTIFS(TableBOM[Product ID],$D$7,TableBOM[Item ID],$A66)&gt;0)*($H$7&gt;0),$C$7&amp;", ","")&amp;IF((COUNTIFS(TableBOM[Product ID],$D$8,TableBOM[Item ID],$A66)&gt;0)*($H$8&gt;0),$C$8&amp;", ","")&amp;IF((COUNTIFS(TableBOM[Product ID],$D$9,TableBOM[Item ID],$A66)&gt;0)*($H$9&gt;0),$C$9&amp;", ","")&amp;IF((COUNTIFS(TableBOM[Product ID],$D$10,TableBOM[Item ID],$A66)&gt;0)*($H$10&gt;0),$C$10&amp;", ","")&amp;IF((COUNTIFS(TableBOM[Product ID],$D$11,TableBOM[Item ID],$A66)&gt;0)*($H$11&gt;0),$C$11&amp;", ","")&amp;IF((COUNTIFS(TableBOM[Product ID],$D$12,TableBOM[Item ID],$A66)&gt;0)*($H$12&gt;0),$C$12&amp;", ",""))&gt;1,LEFT(IF((COUNTIFS(TableBOM[Product ID],$D$3,TableBOM[Item ID],$A66)&gt;0)*($H$3&gt;0),$C$3&amp;", ","")&amp;IF((COUNTIFS(TableBOM[Product ID],$D$4,TableBOM[Item ID],$A66)&gt;0)*($H$4&gt;0),$C$4&amp;", ","")&amp;IF((COUNTIFS(TableBOM[Product ID],$D$5,TableBOM[Item ID],$A66)&gt;0)*($H$5&gt;0),$C$5&amp;", ","")&amp;IF((COUNTIFS(TableBOM[Product ID],$D$6,TableBOM[Item ID],$A66)&gt;0)*($H$6&gt;0),$C$6&amp;", ","")&amp;IF((COUNTIFS(TableBOM[Product ID],$D$7,TableBOM[Item ID],$A66)&gt;0)*($H$7&gt;0),$C$7&amp;", ","")&amp;IF((COUNTIFS(TableBOM[Product ID],$D$8,TableBOM[Item ID],$A66)&gt;0)*($H$8&gt;0),$C$8&amp;", ","")&amp;IF((COUNTIFS(TableBOM[Product ID],$D$9,TableBOM[Item ID],$A66)&gt;0)*($H$9&gt;0),$C$9&amp;", ","")&amp;IF((COUNTIFS(TableBOM[Product ID],$D$10,TableBOM[Item ID],$A66)&gt;0)*($H$10&gt;0),$C$10&amp;", ","")&amp;IF((COUNTIFS(TableBOM[Product ID],$D$11,TableBOM[Item ID],$A66)&gt;0)*($H$11&gt;0),$C$11&amp;", ","")&amp;IF((COUNTIFS(TableBOM[Product ID],$D$12,TableBOM[Item ID],$A66)&gt;0)*($H$12&gt;0),$C$12&amp;", ",""),LEN(IF((COUNTIFS(TableBOM[Product ID],$D$3,TableBOM[Item ID],$A66)&gt;0)*($H$3&gt;0),$C$3&amp;", ","")&amp;IF((COUNTIFS(TableBOM[Product ID],$D$4,TableBOM[Item ID],$A66)&gt;0)*($H$4&gt;0),$C$4&amp;", ","")&amp;IF((COUNTIFS(TableBOM[Product ID],$D$5,TableBOM[Item ID],$A66)&gt;0)*($H$5&gt;0),$C$5&amp;", ","")&amp;IF((COUNTIFS(TableBOM[Product ID],$D$6,TableBOM[Item ID],$A66)&gt;0)*($H$6&gt;0),$C$6&amp;", ","")&amp;IF((COUNTIFS(TableBOM[Product ID],$D$7,TableBOM[Item ID],$A66)&gt;0)*($H$7&gt;0),$C$7&amp;", ","")&amp;IF((COUNTIFS(TableBOM[Product ID],$D$8,TableBOM[Item ID],$A66)&gt;0)*($H$8&gt;0),$C$8&amp;", ","")&amp;IF((COUNTIFS(TableBOM[Product ID],$D$9,TableBOM[Item ID],$A66)&gt;0)*($H$9&gt;0),$C$9&amp;", ","")&amp;IF((COUNTIFS(TableBOM[Product ID],$D$10,TableBOM[Item ID],$A66)&gt;0)*($H$10&gt;0),$C$10&amp;", ","")&amp;IF((COUNTIFS(TableBOM[Product ID],$D$11,TableBOM[Item ID],$A66)&gt;0)*($H$11&gt;0),$C$11&amp;", ","")&amp;IF((COUNTIFS(TableBOM[Product ID],$D$12,TableBOM[Item ID],$A66)&gt;0)*($H$12&gt;0),$C$12&amp;", ",""))-2),"")</f>
        <v/>
      </c>
      <c r="I66" s="77">
        <f>IF(LEN(IF((COUNTIFS(TableBOM[Product ID],$D$3,TableBOM[Item ID],$A66)&gt;0)*($H$3&gt;0),$E$3&amp;", ","")&amp;IF((COUNTIFS(TableBOM[Product ID],$D$4,TableBOM[Item ID],$A66)&gt;0)*($H$4&gt;0),$E$4&amp;", ","")&amp;IF((COUNTIFS(TableBOM[Product ID],$D$5,TableBOM[Item ID],$A66)&gt;0)*($H$5&gt;0),$E$5&amp;", ","")&amp;IF((COUNTIFS(TableBOM[Product ID],$D$6,TableBOM[Item ID],$A66)&gt;0)*($H$6&gt;0),$E$6&amp;", ","")&amp;IF((COUNTIFS(TableBOM[Product ID],$D$7,TableBOM[Item ID],$A66)&gt;0)*($H$7&gt;0),$E$7&amp;", ","")&amp;IF((COUNTIFS(TableBOM[Product ID],$D$8,TableBOM[Item ID],$A66)&gt;0)*($H$8&gt;0),$E$8&amp;", ","")&amp;IF((COUNTIFS(TableBOM[Product ID],$D$9,TableBOM[Item ID],$A66)&gt;0)*($H$9&gt;0),$E$9&amp;", ","")&amp;IF((COUNTIFS(TableBOM[Product ID],$D$10,TableBOM[Item ID],$A66)&gt;0)*($H$10&gt;0),$E$10&amp;", ","")&amp;IF((COUNTIFS(TableBOM[Product ID],$D$11,TableBOM[Item ID],$A66)&gt;0)*($H$11&gt;0),$E$11&amp;", ","")&amp;IF((COUNTIFS(TableBOM[Product ID],$D$12,TableBOM[Item ID],$A66)&gt;0)*($H$12&gt;0),$E$12&amp;", ",""))&gt;1,LEFT(IF((COUNTIFS(TableBOM[Product ID],$D$3,TableBOM[Item ID],$A66)&gt;0)*($H$3&gt;0),$E$3&amp;", ","")&amp;IF((COUNTIFS(TableBOM[Product ID],$D$4,TableBOM[Item ID],$A66)&gt;0)*($H$4&gt;0),$E$4&amp;", ","")&amp;IF((COUNTIFS(TableBOM[Product ID],$D$5,TableBOM[Item ID],$A66)&gt;0)*($H$5&gt;0),$E$5&amp;", ","")&amp;IF((COUNTIFS(TableBOM[Product ID],$D$6,TableBOM[Item ID],$A66)&gt;0)*($H$6&gt;0),$E$6&amp;", ","")&amp;IF((COUNTIFS(TableBOM[Product ID],$D$7,TableBOM[Item ID],$A66)&gt;0)*($H$7&gt;0),$E$7&amp;", ","")&amp;IF((COUNTIFS(TableBOM[Product ID],$D$8,TableBOM[Item ID],$A66)&gt;0)*($H$8&gt;0),$E$8&amp;", ","")&amp;IF((COUNTIFS(TableBOM[Product ID],$D$9,TableBOM[Item ID],$A66)&gt;0)*($H$9&gt;0),$E$9&amp;", ","")&amp;IF((COUNTIFS(TableBOM[Product ID],$D$10,TableBOM[Item ID],$A66)&gt;0)*($H$10&gt;0),$E$10&amp;", ","")&amp;IF((COUNTIFS(TableBOM[Product ID],$D$11,TableBOM[Item ID],$A66)&gt;0)*($H$11&gt;0),$E$11&amp;", ","")&amp;IF((COUNTIFS(TableBOM[Product ID],$D$12,TableBOM[Item ID],$A66)&gt;0)*($H$12&gt;0),$E$12&amp;", ",""),LEN(IF((COUNTIFS(TableBOM[Product ID],$D$3,TableBOM[Item ID],$A66)&gt;0)*($H$3&gt;0),$E$3&amp;", ","")&amp;IF((COUNTIFS(TableBOM[Product ID],$D$4,TableBOM[Item ID],$A66)&gt;0)*($H$4&gt;0),$E$4&amp;", ","")&amp;IF((COUNTIFS(TableBOM[Product ID],$D$5,TableBOM[Item ID],$A66)&gt;0)*($H$5&gt;0),$E$5&amp;", ","")&amp;IF((COUNTIFS(TableBOM[Product ID],$D$6,TableBOM[Item ID],$A66)&gt;0)*($H$6&gt;0),$E$6&amp;", ","")&amp;IF((COUNTIFS(TableBOM[Product ID],$D$7,TableBOM[Item ID],$A66)&gt;0)*($H$7&gt;0),$E$7&amp;", ","")&amp;IF((COUNTIFS(TableBOM[Product ID],$D$8,TableBOM[Item ID],$A66)&gt;0)*($H$8&gt;0),$E$8&amp;", ","")&amp;IF((COUNTIFS(TableBOM[Product ID],$D$9,TableBOM[Item ID],$A66)&gt;0)*($H$9&gt;0),$E$9&amp;", ","")&amp;IF((COUNTIFS(TableBOM[Product ID],$D$10,TableBOM[Item ID],$A66)&gt;0)*($H$10&gt;0),$E$10&amp;", ","")&amp;IF((COUNTIFS(TableBOM[Product ID],$D$11,TableBOM[Item ID],$A66)&gt;0)*($H$11&gt;0),$E$11&amp;", ","")&amp;IF((COUNTIFS(TableBOM[Product ID],$D$12,TableBOM[Item ID],$A66)&gt;0)*($H$12&gt;0),$E$12&amp;", ",""))-2),"")</f>
        <v/>
      </c>
      <c r="J66" s="78">
        <f>IF(E66=0,"Not needed",IF(G66&lt;0,"SHORTAGE",IF(G66&lt;F66*0.1,"LOW","OK")))</f>
        <v/>
      </c>
      <c r="K66" s="78">
        <f>IF(B66&lt;&gt;"CAP","",SUMPRODUCT((ISNUMBER(SEARCH("Cap Not Available",'FG Stock'!$H$4:$H$100)))*('FG Stock'!$I$4:$I$100=A66)*'FG Stock'!$F$4:$F$100))</f>
        <v/>
      </c>
      <c r="L66" s="78">
        <f>IF(E66=0,"",MAX(0,E66+IFERROR(K66*1,0)-F66))</f>
        <v/>
      </c>
    </row>
    <row r="67" hidden="1" ht="15" customHeight="1" s="249">
      <c r="A67" s="74" t="n">
        <v>3522</v>
      </c>
      <c r="B67" s="74" t="inlineStr">
        <is>
          <t>CAP</t>
        </is>
      </c>
      <c r="C67" s="74" t="inlineStr">
        <is>
          <t>M-11 S/M SPR DARK BLUE DIA 25MM</t>
        </is>
      </c>
      <c r="D67" s="74" t="inlineStr">
        <is>
          <t>PCS</t>
        </is>
      </c>
      <c r="E67" s="75">
        <f>SUMPRODUCT((TableBOM[Item ID]=A67)*TableBOM[Per 1000 Units]*(1+TableBOM[Scrap %])*SUMIF($D$3:$D$12,TableBOM[Product ID],$H$3:$H$12)/1000)</f>
        <v/>
      </c>
      <c r="F67" s="75">
        <f>IFERROR(INDEX(TableInventory[Store Balance],MATCH(A67,TableInventory[Item ID],0)),0)+IFERROR(INDEX(TableInventory[Work In Process],MATCH(A67,TableInventory[Item ID],0)),0)</f>
        <v/>
      </c>
      <c r="G67" s="75">
        <f>F67-E67</f>
        <v/>
      </c>
      <c r="H67" s="76">
        <f>IF(LEN(IF((COUNTIFS(TableBOM[Product ID],$D$3,TableBOM[Item ID],$A67)&gt;0)*($H$3&gt;0),$C$3&amp;", ","")&amp;IF((COUNTIFS(TableBOM[Product ID],$D$4,TableBOM[Item ID],$A67)&gt;0)*($H$4&gt;0),$C$4&amp;", ","")&amp;IF((COUNTIFS(TableBOM[Product ID],$D$5,TableBOM[Item ID],$A67)&gt;0)*($H$5&gt;0),$C$5&amp;", ","")&amp;IF((COUNTIFS(TableBOM[Product ID],$D$6,TableBOM[Item ID],$A67)&gt;0)*($H$6&gt;0),$C$6&amp;", ","")&amp;IF((COUNTIFS(TableBOM[Product ID],$D$7,TableBOM[Item ID],$A67)&gt;0)*($H$7&gt;0),$C$7&amp;", ","")&amp;IF((COUNTIFS(TableBOM[Product ID],$D$8,TableBOM[Item ID],$A67)&gt;0)*($H$8&gt;0),$C$8&amp;", ","")&amp;IF((COUNTIFS(TableBOM[Product ID],$D$9,TableBOM[Item ID],$A67)&gt;0)*($H$9&gt;0),$C$9&amp;", ","")&amp;IF((COUNTIFS(TableBOM[Product ID],$D$10,TableBOM[Item ID],$A67)&gt;0)*($H$10&gt;0),$C$10&amp;", ","")&amp;IF((COUNTIFS(TableBOM[Product ID],$D$11,TableBOM[Item ID],$A67)&gt;0)*($H$11&gt;0),$C$11&amp;", ","")&amp;IF((COUNTIFS(TableBOM[Product ID],$D$12,TableBOM[Item ID],$A67)&gt;0)*($H$12&gt;0),$C$12&amp;", ",""))&gt;1,LEFT(IF((COUNTIFS(TableBOM[Product ID],$D$3,TableBOM[Item ID],$A67)&gt;0)*($H$3&gt;0),$C$3&amp;", ","")&amp;IF((COUNTIFS(TableBOM[Product ID],$D$4,TableBOM[Item ID],$A67)&gt;0)*($H$4&gt;0),$C$4&amp;", ","")&amp;IF((COUNTIFS(TableBOM[Product ID],$D$5,TableBOM[Item ID],$A67)&gt;0)*($H$5&gt;0),$C$5&amp;", ","")&amp;IF((COUNTIFS(TableBOM[Product ID],$D$6,TableBOM[Item ID],$A67)&gt;0)*($H$6&gt;0),$C$6&amp;", ","")&amp;IF((COUNTIFS(TableBOM[Product ID],$D$7,TableBOM[Item ID],$A67)&gt;0)*($H$7&gt;0),$C$7&amp;", ","")&amp;IF((COUNTIFS(TableBOM[Product ID],$D$8,TableBOM[Item ID],$A67)&gt;0)*($H$8&gt;0),$C$8&amp;", ","")&amp;IF((COUNTIFS(TableBOM[Product ID],$D$9,TableBOM[Item ID],$A67)&gt;0)*($H$9&gt;0),$C$9&amp;", ","")&amp;IF((COUNTIFS(TableBOM[Product ID],$D$10,TableBOM[Item ID],$A67)&gt;0)*($H$10&gt;0),$C$10&amp;", ","")&amp;IF((COUNTIFS(TableBOM[Product ID],$D$11,TableBOM[Item ID],$A67)&gt;0)*($H$11&gt;0),$C$11&amp;", ","")&amp;IF((COUNTIFS(TableBOM[Product ID],$D$12,TableBOM[Item ID],$A67)&gt;0)*($H$12&gt;0),$C$12&amp;", ",""),LEN(IF((COUNTIFS(TableBOM[Product ID],$D$3,TableBOM[Item ID],$A67)&gt;0)*($H$3&gt;0),$C$3&amp;", ","")&amp;IF((COUNTIFS(TableBOM[Product ID],$D$4,TableBOM[Item ID],$A67)&gt;0)*($H$4&gt;0),$C$4&amp;", ","")&amp;IF((COUNTIFS(TableBOM[Product ID],$D$5,TableBOM[Item ID],$A67)&gt;0)*($H$5&gt;0),$C$5&amp;", ","")&amp;IF((COUNTIFS(TableBOM[Product ID],$D$6,TableBOM[Item ID],$A67)&gt;0)*($H$6&gt;0),$C$6&amp;", ","")&amp;IF((COUNTIFS(TableBOM[Product ID],$D$7,TableBOM[Item ID],$A67)&gt;0)*($H$7&gt;0),$C$7&amp;", ","")&amp;IF((COUNTIFS(TableBOM[Product ID],$D$8,TableBOM[Item ID],$A67)&gt;0)*($H$8&gt;0),$C$8&amp;", ","")&amp;IF((COUNTIFS(TableBOM[Product ID],$D$9,TableBOM[Item ID],$A67)&gt;0)*($H$9&gt;0),$C$9&amp;", ","")&amp;IF((COUNTIFS(TableBOM[Product ID],$D$10,TableBOM[Item ID],$A67)&gt;0)*($H$10&gt;0),$C$10&amp;", ","")&amp;IF((COUNTIFS(TableBOM[Product ID],$D$11,TableBOM[Item ID],$A67)&gt;0)*($H$11&gt;0),$C$11&amp;", ","")&amp;IF((COUNTIFS(TableBOM[Product ID],$D$12,TableBOM[Item ID],$A67)&gt;0)*($H$12&gt;0),$C$12&amp;", ",""))-2),"")</f>
        <v/>
      </c>
      <c r="I67" s="77">
        <f>IF(LEN(IF((COUNTIFS(TableBOM[Product ID],$D$3,TableBOM[Item ID],$A67)&gt;0)*($H$3&gt;0),$E$3&amp;", ","")&amp;IF((COUNTIFS(TableBOM[Product ID],$D$4,TableBOM[Item ID],$A67)&gt;0)*($H$4&gt;0),$E$4&amp;", ","")&amp;IF((COUNTIFS(TableBOM[Product ID],$D$5,TableBOM[Item ID],$A67)&gt;0)*($H$5&gt;0),$E$5&amp;", ","")&amp;IF((COUNTIFS(TableBOM[Product ID],$D$6,TableBOM[Item ID],$A67)&gt;0)*($H$6&gt;0),$E$6&amp;", ","")&amp;IF((COUNTIFS(TableBOM[Product ID],$D$7,TableBOM[Item ID],$A67)&gt;0)*($H$7&gt;0),$E$7&amp;", ","")&amp;IF((COUNTIFS(TableBOM[Product ID],$D$8,TableBOM[Item ID],$A67)&gt;0)*($H$8&gt;0),$E$8&amp;", ","")&amp;IF((COUNTIFS(TableBOM[Product ID],$D$9,TableBOM[Item ID],$A67)&gt;0)*($H$9&gt;0),$E$9&amp;", ","")&amp;IF((COUNTIFS(TableBOM[Product ID],$D$10,TableBOM[Item ID],$A67)&gt;0)*($H$10&gt;0),$E$10&amp;", ","")&amp;IF((COUNTIFS(TableBOM[Product ID],$D$11,TableBOM[Item ID],$A67)&gt;0)*($H$11&gt;0),$E$11&amp;", ","")&amp;IF((COUNTIFS(TableBOM[Product ID],$D$12,TableBOM[Item ID],$A67)&gt;0)*($H$12&gt;0),$E$12&amp;", ",""))&gt;1,LEFT(IF((COUNTIFS(TableBOM[Product ID],$D$3,TableBOM[Item ID],$A67)&gt;0)*($H$3&gt;0),$E$3&amp;", ","")&amp;IF((COUNTIFS(TableBOM[Product ID],$D$4,TableBOM[Item ID],$A67)&gt;0)*($H$4&gt;0),$E$4&amp;", ","")&amp;IF((COUNTIFS(TableBOM[Product ID],$D$5,TableBOM[Item ID],$A67)&gt;0)*($H$5&gt;0),$E$5&amp;", ","")&amp;IF((COUNTIFS(TableBOM[Product ID],$D$6,TableBOM[Item ID],$A67)&gt;0)*($H$6&gt;0),$E$6&amp;", ","")&amp;IF((COUNTIFS(TableBOM[Product ID],$D$7,TableBOM[Item ID],$A67)&gt;0)*($H$7&gt;0),$E$7&amp;", ","")&amp;IF((COUNTIFS(TableBOM[Product ID],$D$8,TableBOM[Item ID],$A67)&gt;0)*($H$8&gt;0),$E$8&amp;", ","")&amp;IF((COUNTIFS(TableBOM[Product ID],$D$9,TableBOM[Item ID],$A67)&gt;0)*($H$9&gt;0),$E$9&amp;", ","")&amp;IF((COUNTIFS(TableBOM[Product ID],$D$10,TableBOM[Item ID],$A67)&gt;0)*($H$10&gt;0),$E$10&amp;", ","")&amp;IF((COUNTIFS(TableBOM[Product ID],$D$11,TableBOM[Item ID],$A67)&gt;0)*($H$11&gt;0),$E$11&amp;", ","")&amp;IF((COUNTIFS(TableBOM[Product ID],$D$12,TableBOM[Item ID],$A67)&gt;0)*($H$12&gt;0),$E$12&amp;", ",""),LEN(IF((COUNTIFS(TableBOM[Product ID],$D$3,TableBOM[Item ID],$A67)&gt;0)*($H$3&gt;0),$E$3&amp;", ","")&amp;IF((COUNTIFS(TableBOM[Product ID],$D$4,TableBOM[Item ID],$A67)&gt;0)*($H$4&gt;0),$E$4&amp;", ","")&amp;IF((COUNTIFS(TableBOM[Product ID],$D$5,TableBOM[Item ID],$A67)&gt;0)*($H$5&gt;0),$E$5&amp;", ","")&amp;IF((COUNTIFS(TableBOM[Product ID],$D$6,TableBOM[Item ID],$A67)&gt;0)*($H$6&gt;0),$E$6&amp;", ","")&amp;IF((COUNTIFS(TableBOM[Product ID],$D$7,TableBOM[Item ID],$A67)&gt;0)*($H$7&gt;0),$E$7&amp;", ","")&amp;IF((COUNTIFS(TableBOM[Product ID],$D$8,TableBOM[Item ID],$A67)&gt;0)*($H$8&gt;0),$E$8&amp;", ","")&amp;IF((COUNTIFS(TableBOM[Product ID],$D$9,TableBOM[Item ID],$A67)&gt;0)*($H$9&gt;0),$E$9&amp;", ","")&amp;IF((COUNTIFS(TableBOM[Product ID],$D$10,TableBOM[Item ID],$A67)&gt;0)*($H$10&gt;0),$E$10&amp;", ","")&amp;IF((COUNTIFS(TableBOM[Product ID],$D$11,TableBOM[Item ID],$A67)&gt;0)*($H$11&gt;0),$E$11&amp;", ","")&amp;IF((COUNTIFS(TableBOM[Product ID],$D$12,TableBOM[Item ID],$A67)&gt;0)*($H$12&gt;0),$E$12&amp;", ",""))-2),"")</f>
        <v/>
      </c>
      <c r="J67" s="78">
        <f>IF(E67=0,"Not needed",IF(G67&lt;0,"SHORTAGE",IF(G67&lt;F67*0.1,"LOW","OK")))</f>
        <v/>
      </c>
      <c r="K67" s="78">
        <f>IF(B67&lt;&gt;"CAP","",SUMPRODUCT((ISNUMBER(SEARCH("Cap Not Available",'FG Stock'!$H$4:$H$100)))*('FG Stock'!$I$4:$I$100=A67)*'FG Stock'!$F$4:$F$100))</f>
        <v/>
      </c>
      <c r="L67" s="78">
        <f>IF(E67=0,"",MAX(0,E67+IFERROR(K67*1,0)-F67))</f>
        <v/>
      </c>
    </row>
    <row r="68" hidden="1" ht="15" customHeight="1" s="249">
      <c r="A68" s="74" t="n">
        <v>3866</v>
      </c>
      <c r="B68" s="74" t="inlineStr">
        <is>
          <t>CAP</t>
        </is>
      </c>
      <c r="C68" s="74" t="inlineStr">
        <is>
          <t>M-11 S/M SPR BEIGE DIA 25</t>
        </is>
      </c>
      <c r="D68" s="74" t="inlineStr">
        <is>
          <t>PCS</t>
        </is>
      </c>
      <c r="E68" s="75">
        <f>SUMPRODUCT((TableBOM[Item ID]=A68)*TableBOM[Per 1000 Units]*(1+TableBOM[Scrap %])*SUMIF($D$3:$D$12,TableBOM[Product ID],$H$3:$H$12)/1000)</f>
        <v/>
      </c>
      <c r="F68" s="75">
        <f>IFERROR(INDEX(TableInventory[Store Balance],MATCH(A68,TableInventory[Item ID],0)),0)+IFERROR(INDEX(TableInventory[Work In Process],MATCH(A68,TableInventory[Item ID],0)),0)</f>
        <v/>
      </c>
      <c r="G68" s="75">
        <f>F68-E68</f>
        <v/>
      </c>
      <c r="H68" s="76">
        <f>IF(LEN(IF((COUNTIFS(TableBOM[Product ID],$D$3,TableBOM[Item ID],$A68)&gt;0)*($H$3&gt;0),$C$3&amp;", ","")&amp;IF((COUNTIFS(TableBOM[Product ID],$D$4,TableBOM[Item ID],$A68)&gt;0)*($H$4&gt;0),$C$4&amp;", ","")&amp;IF((COUNTIFS(TableBOM[Product ID],$D$5,TableBOM[Item ID],$A68)&gt;0)*($H$5&gt;0),$C$5&amp;", ","")&amp;IF((COUNTIFS(TableBOM[Product ID],$D$6,TableBOM[Item ID],$A68)&gt;0)*($H$6&gt;0),$C$6&amp;", ","")&amp;IF((COUNTIFS(TableBOM[Product ID],$D$7,TableBOM[Item ID],$A68)&gt;0)*($H$7&gt;0),$C$7&amp;", ","")&amp;IF((COUNTIFS(TableBOM[Product ID],$D$8,TableBOM[Item ID],$A68)&gt;0)*($H$8&gt;0),$C$8&amp;", ","")&amp;IF((COUNTIFS(TableBOM[Product ID],$D$9,TableBOM[Item ID],$A68)&gt;0)*($H$9&gt;0),$C$9&amp;", ","")&amp;IF((COUNTIFS(TableBOM[Product ID],$D$10,TableBOM[Item ID],$A68)&gt;0)*($H$10&gt;0),$C$10&amp;", ","")&amp;IF((COUNTIFS(TableBOM[Product ID],$D$11,TableBOM[Item ID],$A68)&gt;0)*($H$11&gt;0),$C$11&amp;", ","")&amp;IF((COUNTIFS(TableBOM[Product ID],$D$12,TableBOM[Item ID],$A68)&gt;0)*($H$12&gt;0),$C$12&amp;", ",""))&gt;1,LEFT(IF((COUNTIFS(TableBOM[Product ID],$D$3,TableBOM[Item ID],$A68)&gt;0)*($H$3&gt;0),$C$3&amp;", ","")&amp;IF((COUNTIFS(TableBOM[Product ID],$D$4,TableBOM[Item ID],$A68)&gt;0)*($H$4&gt;0),$C$4&amp;", ","")&amp;IF((COUNTIFS(TableBOM[Product ID],$D$5,TableBOM[Item ID],$A68)&gt;0)*($H$5&gt;0),$C$5&amp;", ","")&amp;IF((COUNTIFS(TableBOM[Product ID],$D$6,TableBOM[Item ID],$A68)&gt;0)*($H$6&gt;0),$C$6&amp;", ","")&amp;IF((COUNTIFS(TableBOM[Product ID],$D$7,TableBOM[Item ID],$A68)&gt;0)*($H$7&gt;0),$C$7&amp;", ","")&amp;IF((COUNTIFS(TableBOM[Product ID],$D$8,TableBOM[Item ID],$A68)&gt;0)*($H$8&gt;0),$C$8&amp;", ","")&amp;IF((COUNTIFS(TableBOM[Product ID],$D$9,TableBOM[Item ID],$A68)&gt;0)*($H$9&gt;0),$C$9&amp;", ","")&amp;IF((COUNTIFS(TableBOM[Product ID],$D$10,TableBOM[Item ID],$A68)&gt;0)*($H$10&gt;0),$C$10&amp;", ","")&amp;IF((COUNTIFS(TableBOM[Product ID],$D$11,TableBOM[Item ID],$A68)&gt;0)*($H$11&gt;0),$C$11&amp;", ","")&amp;IF((COUNTIFS(TableBOM[Product ID],$D$12,TableBOM[Item ID],$A68)&gt;0)*($H$12&gt;0),$C$12&amp;", ",""),LEN(IF((COUNTIFS(TableBOM[Product ID],$D$3,TableBOM[Item ID],$A68)&gt;0)*($H$3&gt;0),$C$3&amp;", ","")&amp;IF((COUNTIFS(TableBOM[Product ID],$D$4,TableBOM[Item ID],$A68)&gt;0)*($H$4&gt;0),$C$4&amp;", ","")&amp;IF((COUNTIFS(TableBOM[Product ID],$D$5,TableBOM[Item ID],$A68)&gt;0)*($H$5&gt;0),$C$5&amp;", ","")&amp;IF((COUNTIFS(TableBOM[Product ID],$D$6,TableBOM[Item ID],$A68)&gt;0)*($H$6&gt;0),$C$6&amp;", ","")&amp;IF((COUNTIFS(TableBOM[Product ID],$D$7,TableBOM[Item ID],$A68)&gt;0)*($H$7&gt;0),$C$7&amp;", ","")&amp;IF((COUNTIFS(TableBOM[Product ID],$D$8,TableBOM[Item ID],$A68)&gt;0)*($H$8&gt;0),$C$8&amp;", ","")&amp;IF((COUNTIFS(TableBOM[Product ID],$D$9,TableBOM[Item ID],$A68)&gt;0)*($H$9&gt;0),$C$9&amp;", ","")&amp;IF((COUNTIFS(TableBOM[Product ID],$D$10,TableBOM[Item ID],$A68)&gt;0)*($H$10&gt;0),$C$10&amp;", ","")&amp;IF((COUNTIFS(TableBOM[Product ID],$D$11,TableBOM[Item ID],$A68)&gt;0)*($H$11&gt;0),$C$11&amp;", ","")&amp;IF((COUNTIFS(TableBOM[Product ID],$D$12,TableBOM[Item ID],$A68)&gt;0)*($H$12&gt;0),$C$12&amp;", ",""))-2),"")</f>
        <v/>
      </c>
      <c r="I68" s="77">
        <f>IF(LEN(IF((COUNTIFS(TableBOM[Product ID],$D$3,TableBOM[Item ID],$A68)&gt;0)*($H$3&gt;0),$E$3&amp;", ","")&amp;IF((COUNTIFS(TableBOM[Product ID],$D$4,TableBOM[Item ID],$A68)&gt;0)*($H$4&gt;0),$E$4&amp;", ","")&amp;IF((COUNTIFS(TableBOM[Product ID],$D$5,TableBOM[Item ID],$A68)&gt;0)*($H$5&gt;0),$E$5&amp;", ","")&amp;IF((COUNTIFS(TableBOM[Product ID],$D$6,TableBOM[Item ID],$A68)&gt;0)*($H$6&gt;0),$E$6&amp;", ","")&amp;IF((COUNTIFS(TableBOM[Product ID],$D$7,TableBOM[Item ID],$A68)&gt;0)*($H$7&gt;0),$E$7&amp;", ","")&amp;IF((COUNTIFS(TableBOM[Product ID],$D$8,TableBOM[Item ID],$A68)&gt;0)*($H$8&gt;0),$E$8&amp;", ","")&amp;IF((COUNTIFS(TableBOM[Product ID],$D$9,TableBOM[Item ID],$A68)&gt;0)*($H$9&gt;0),$E$9&amp;", ","")&amp;IF((COUNTIFS(TableBOM[Product ID],$D$10,TableBOM[Item ID],$A68)&gt;0)*($H$10&gt;0),$E$10&amp;", ","")&amp;IF((COUNTIFS(TableBOM[Product ID],$D$11,TableBOM[Item ID],$A68)&gt;0)*($H$11&gt;0),$E$11&amp;", ","")&amp;IF((COUNTIFS(TableBOM[Product ID],$D$12,TableBOM[Item ID],$A68)&gt;0)*($H$12&gt;0),$E$12&amp;", ",""))&gt;1,LEFT(IF((COUNTIFS(TableBOM[Product ID],$D$3,TableBOM[Item ID],$A68)&gt;0)*($H$3&gt;0),$E$3&amp;", ","")&amp;IF((COUNTIFS(TableBOM[Product ID],$D$4,TableBOM[Item ID],$A68)&gt;0)*($H$4&gt;0),$E$4&amp;", ","")&amp;IF((COUNTIFS(TableBOM[Product ID],$D$5,TableBOM[Item ID],$A68)&gt;0)*($H$5&gt;0),$E$5&amp;", ","")&amp;IF((COUNTIFS(TableBOM[Product ID],$D$6,TableBOM[Item ID],$A68)&gt;0)*($H$6&gt;0),$E$6&amp;", ","")&amp;IF((COUNTIFS(TableBOM[Product ID],$D$7,TableBOM[Item ID],$A68)&gt;0)*($H$7&gt;0),$E$7&amp;", ","")&amp;IF((COUNTIFS(TableBOM[Product ID],$D$8,TableBOM[Item ID],$A68)&gt;0)*($H$8&gt;0),$E$8&amp;", ","")&amp;IF((COUNTIFS(TableBOM[Product ID],$D$9,TableBOM[Item ID],$A68)&gt;0)*($H$9&gt;0),$E$9&amp;", ","")&amp;IF((COUNTIFS(TableBOM[Product ID],$D$10,TableBOM[Item ID],$A68)&gt;0)*($H$10&gt;0),$E$10&amp;", ","")&amp;IF((COUNTIFS(TableBOM[Product ID],$D$11,TableBOM[Item ID],$A68)&gt;0)*($H$11&gt;0),$E$11&amp;", ","")&amp;IF((COUNTIFS(TableBOM[Product ID],$D$12,TableBOM[Item ID],$A68)&gt;0)*($H$12&gt;0),$E$12&amp;", ",""),LEN(IF((COUNTIFS(TableBOM[Product ID],$D$3,TableBOM[Item ID],$A68)&gt;0)*($H$3&gt;0),$E$3&amp;", ","")&amp;IF((COUNTIFS(TableBOM[Product ID],$D$4,TableBOM[Item ID],$A68)&gt;0)*($H$4&gt;0),$E$4&amp;", ","")&amp;IF((COUNTIFS(TableBOM[Product ID],$D$5,TableBOM[Item ID],$A68)&gt;0)*($H$5&gt;0),$E$5&amp;", ","")&amp;IF((COUNTIFS(TableBOM[Product ID],$D$6,TableBOM[Item ID],$A68)&gt;0)*($H$6&gt;0),$E$6&amp;", ","")&amp;IF((COUNTIFS(TableBOM[Product ID],$D$7,TableBOM[Item ID],$A68)&gt;0)*($H$7&gt;0),$E$7&amp;", ","")&amp;IF((COUNTIFS(TableBOM[Product ID],$D$8,TableBOM[Item ID],$A68)&gt;0)*($H$8&gt;0),$E$8&amp;", ","")&amp;IF((COUNTIFS(TableBOM[Product ID],$D$9,TableBOM[Item ID],$A68)&gt;0)*($H$9&gt;0),$E$9&amp;", ","")&amp;IF((COUNTIFS(TableBOM[Product ID],$D$10,TableBOM[Item ID],$A68)&gt;0)*($H$10&gt;0),$E$10&amp;", ","")&amp;IF((COUNTIFS(TableBOM[Product ID],$D$11,TableBOM[Item ID],$A68)&gt;0)*($H$11&gt;0),$E$11&amp;", ","")&amp;IF((COUNTIFS(TableBOM[Product ID],$D$12,TableBOM[Item ID],$A68)&gt;0)*($H$12&gt;0),$E$12&amp;", ",""))-2),"")</f>
        <v/>
      </c>
      <c r="J68" s="78">
        <f>IF(E68=0,"Not needed",IF(G68&lt;0,"SHORTAGE",IF(G68&lt;F68*0.1,"LOW","OK")))</f>
        <v/>
      </c>
      <c r="K68" s="78">
        <f>IF(B68&lt;&gt;"CAP","",SUMPRODUCT((ISNUMBER(SEARCH("Cap Not Available",'FG Stock'!$H$4:$H$100)))*('FG Stock'!$I$4:$I$100=A68)*'FG Stock'!$F$4:$F$100))</f>
        <v/>
      </c>
      <c r="L68" s="78">
        <f>IF(E68=0,"",MAX(0,E68+IFERROR(K68*1,0)-F68))</f>
        <v/>
      </c>
    </row>
    <row r="69" ht="24" customHeight="1" s="249">
      <c r="A69" s="79" t="n">
        <v>578</v>
      </c>
      <c r="B69" s="79" t="inlineStr">
        <is>
          <t>CAP</t>
        </is>
      </c>
      <c r="C69" s="79" t="inlineStr">
        <is>
          <t>M-12 S/M SPR WHITE DIA 30</t>
        </is>
      </c>
      <c r="D69" s="79" t="inlineStr">
        <is>
          <t>PCS</t>
        </is>
      </c>
      <c r="E69" s="80">
        <f>SUMPRODUCT((TableBOM[Item ID]=A69)*TableBOM[Per 1000 Units]*(1+TableBOM[Scrap %])*SUMIF($D$3:$D$12,TableBOM[Product ID],$H$3:$H$12)/1000)</f>
        <v/>
      </c>
      <c r="F69" s="80">
        <f>IFERROR(INDEX(TableInventory[Store Balance],MATCH(A69,TableInventory[Item ID],0)),0)+IFERROR(INDEX(TableInventory[Work In Process],MATCH(A69,TableInventory[Item ID],0)),0)</f>
        <v/>
      </c>
      <c r="G69" s="86">
        <f>F69-E69</f>
        <v/>
      </c>
      <c r="H69" s="81">
        <f>IF(LEN(IF((COUNTIFS(TableBOM[Product ID],$D$3,TableBOM[Item ID],$A69)&gt;0)*($H$3&gt;0),$C$3&amp;", ","")&amp;IF((COUNTIFS(TableBOM[Product ID],$D$4,TableBOM[Item ID],$A69)&gt;0)*($H$4&gt;0),$C$4&amp;", ","")&amp;IF((COUNTIFS(TableBOM[Product ID],$D$5,TableBOM[Item ID],$A69)&gt;0)*($H$5&gt;0),$C$5&amp;", ","")&amp;IF((COUNTIFS(TableBOM[Product ID],$D$6,TableBOM[Item ID],$A69)&gt;0)*($H$6&gt;0),$C$6&amp;", ","")&amp;IF((COUNTIFS(TableBOM[Product ID],$D$7,TableBOM[Item ID],$A69)&gt;0)*($H$7&gt;0),$C$7&amp;", ","")&amp;IF((COUNTIFS(TableBOM[Product ID],$D$8,TableBOM[Item ID],$A69)&gt;0)*($H$8&gt;0),$C$8&amp;", ","")&amp;IF((COUNTIFS(TableBOM[Product ID],$D$9,TableBOM[Item ID],$A69)&gt;0)*($H$9&gt;0),$C$9&amp;", ","")&amp;IF((COUNTIFS(TableBOM[Product ID],$D$10,TableBOM[Item ID],$A69)&gt;0)*($H$10&gt;0),$C$10&amp;", ","")&amp;IF((COUNTIFS(TableBOM[Product ID],$D$11,TableBOM[Item ID],$A69)&gt;0)*($H$11&gt;0),$C$11&amp;", ","")&amp;IF((COUNTIFS(TableBOM[Product ID],$D$12,TableBOM[Item ID],$A69)&gt;0)*($H$12&gt;0),$C$12&amp;", ",""))&gt;1,LEFT(IF((COUNTIFS(TableBOM[Product ID],$D$3,TableBOM[Item ID],$A69)&gt;0)*($H$3&gt;0),$C$3&amp;", ","")&amp;IF((COUNTIFS(TableBOM[Product ID],$D$4,TableBOM[Item ID],$A69)&gt;0)*($H$4&gt;0),$C$4&amp;", ","")&amp;IF((COUNTIFS(TableBOM[Product ID],$D$5,TableBOM[Item ID],$A69)&gt;0)*($H$5&gt;0),$C$5&amp;", ","")&amp;IF((COUNTIFS(TableBOM[Product ID],$D$6,TableBOM[Item ID],$A69)&gt;0)*($H$6&gt;0),$C$6&amp;", ","")&amp;IF((COUNTIFS(TableBOM[Product ID],$D$7,TableBOM[Item ID],$A69)&gt;0)*($H$7&gt;0),$C$7&amp;", ","")&amp;IF((COUNTIFS(TableBOM[Product ID],$D$8,TableBOM[Item ID],$A69)&gt;0)*($H$8&gt;0),$C$8&amp;", ","")&amp;IF((COUNTIFS(TableBOM[Product ID],$D$9,TableBOM[Item ID],$A69)&gt;0)*($H$9&gt;0),$C$9&amp;", ","")&amp;IF((COUNTIFS(TableBOM[Product ID],$D$10,TableBOM[Item ID],$A69)&gt;0)*($H$10&gt;0),$C$10&amp;", ","")&amp;IF((COUNTIFS(TableBOM[Product ID],$D$11,TableBOM[Item ID],$A69)&gt;0)*($H$11&gt;0),$C$11&amp;", ","")&amp;IF((COUNTIFS(TableBOM[Product ID],$D$12,TableBOM[Item ID],$A69)&gt;0)*($H$12&gt;0),$C$12&amp;", ",""),LEN(IF((COUNTIFS(TableBOM[Product ID],$D$3,TableBOM[Item ID],$A69)&gt;0)*($H$3&gt;0),$C$3&amp;", ","")&amp;IF((COUNTIFS(TableBOM[Product ID],$D$4,TableBOM[Item ID],$A69)&gt;0)*($H$4&gt;0),$C$4&amp;", ","")&amp;IF((COUNTIFS(TableBOM[Product ID],$D$5,TableBOM[Item ID],$A69)&gt;0)*($H$5&gt;0),$C$5&amp;", ","")&amp;IF((COUNTIFS(TableBOM[Product ID],$D$6,TableBOM[Item ID],$A69)&gt;0)*($H$6&gt;0),$C$6&amp;", ","")&amp;IF((COUNTIFS(TableBOM[Product ID],$D$7,TableBOM[Item ID],$A69)&gt;0)*($H$7&gt;0),$C$7&amp;", ","")&amp;IF((COUNTIFS(TableBOM[Product ID],$D$8,TableBOM[Item ID],$A69)&gt;0)*($H$8&gt;0),$C$8&amp;", ","")&amp;IF((COUNTIFS(TableBOM[Product ID],$D$9,TableBOM[Item ID],$A69)&gt;0)*($H$9&gt;0),$C$9&amp;", ","")&amp;IF((COUNTIFS(TableBOM[Product ID],$D$10,TableBOM[Item ID],$A69)&gt;0)*($H$10&gt;0),$C$10&amp;", ","")&amp;IF((COUNTIFS(TableBOM[Product ID],$D$11,TableBOM[Item ID],$A69)&gt;0)*($H$11&gt;0),$C$11&amp;", ","")&amp;IF((COUNTIFS(TableBOM[Product ID],$D$12,TableBOM[Item ID],$A69)&gt;0)*($H$12&gt;0),$C$12&amp;", ",""))-2),"")</f>
        <v/>
      </c>
      <c r="I69" s="82">
        <f>IF(LEN(IF((COUNTIFS(TableBOM[Product ID],$D$3,TableBOM[Item ID],$A69)&gt;0)*($H$3&gt;0),$E$3&amp;", ","")&amp;IF((COUNTIFS(TableBOM[Product ID],$D$4,TableBOM[Item ID],$A69)&gt;0)*($H$4&gt;0),$E$4&amp;", ","")&amp;IF((COUNTIFS(TableBOM[Product ID],$D$5,TableBOM[Item ID],$A69)&gt;0)*($H$5&gt;0),$E$5&amp;", ","")&amp;IF((COUNTIFS(TableBOM[Product ID],$D$6,TableBOM[Item ID],$A69)&gt;0)*($H$6&gt;0),$E$6&amp;", ","")&amp;IF((COUNTIFS(TableBOM[Product ID],$D$7,TableBOM[Item ID],$A69)&gt;0)*($H$7&gt;0),$E$7&amp;", ","")&amp;IF((COUNTIFS(TableBOM[Product ID],$D$8,TableBOM[Item ID],$A69)&gt;0)*($H$8&gt;0),$E$8&amp;", ","")&amp;IF((COUNTIFS(TableBOM[Product ID],$D$9,TableBOM[Item ID],$A69)&gt;0)*($H$9&gt;0),$E$9&amp;", ","")&amp;IF((COUNTIFS(TableBOM[Product ID],$D$10,TableBOM[Item ID],$A69)&gt;0)*($H$10&gt;0),$E$10&amp;", ","")&amp;IF((COUNTIFS(TableBOM[Product ID],$D$11,TableBOM[Item ID],$A69)&gt;0)*($H$11&gt;0),$E$11&amp;", ","")&amp;IF((COUNTIFS(TableBOM[Product ID],$D$12,TableBOM[Item ID],$A69)&gt;0)*($H$12&gt;0),$E$12&amp;", ",""))&gt;1,LEFT(IF((COUNTIFS(TableBOM[Product ID],$D$3,TableBOM[Item ID],$A69)&gt;0)*($H$3&gt;0),$E$3&amp;", ","")&amp;IF((COUNTIFS(TableBOM[Product ID],$D$4,TableBOM[Item ID],$A69)&gt;0)*($H$4&gt;0),$E$4&amp;", ","")&amp;IF((COUNTIFS(TableBOM[Product ID],$D$5,TableBOM[Item ID],$A69)&gt;0)*($H$5&gt;0),$E$5&amp;", ","")&amp;IF((COUNTIFS(TableBOM[Product ID],$D$6,TableBOM[Item ID],$A69)&gt;0)*($H$6&gt;0),$E$6&amp;", ","")&amp;IF((COUNTIFS(TableBOM[Product ID],$D$7,TableBOM[Item ID],$A69)&gt;0)*($H$7&gt;0),$E$7&amp;", ","")&amp;IF((COUNTIFS(TableBOM[Product ID],$D$8,TableBOM[Item ID],$A69)&gt;0)*($H$8&gt;0),$E$8&amp;", ","")&amp;IF((COUNTIFS(TableBOM[Product ID],$D$9,TableBOM[Item ID],$A69)&gt;0)*($H$9&gt;0),$E$9&amp;", ","")&amp;IF((COUNTIFS(TableBOM[Product ID],$D$10,TableBOM[Item ID],$A69)&gt;0)*($H$10&gt;0),$E$10&amp;", ","")&amp;IF((COUNTIFS(TableBOM[Product ID],$D$11,TableBOM[Item ID],$A69)&gt;0)*($H$11&gt;0),$E$11&amp;", ","")&amp;IF((COUNTIFS(TableBOM[Product ID],$D$12,TableBOM[Item ID],$A69)&gt;0)*($H$12&gt;0),$E$12&amp;", ",""),LEN(IF((COUNTIFS(TableBOM[Product ID],$D$3,TableBOM[Item ID],$A69)&gt;0)*($H$3&gt;0),$E$3&amp;", ","")&amp;IF((COUNTIFS(TableBOM[Product ID],$D$4,TableBOM[Item ID],$A69)&gt;0)*($H$4&gt;0),$E$4&amp;", ","")&amp;IF((COUNTIFS(TableBOM[Product ID],$D$5,TableBOM[Item ID],$A69)&gt;0)*($H$5&gt;0),$E$5&amp;", ","")&amp;IF((COUNTIFS(TableBOM[Product ID],$D$6,TableBOM[Item ID],$A69)&gt;0)*($H$6&gt;0),$E$6&amp;", ","")&amp;IF((COUNTIFS(TableBOM[Product ID],$D$7,TableBOM[Item ID],$A69)&gt;0)*($H$7&gt;0),$E$7&amp;", ","")&amp;IF((COUNTIFS(TableBOM[Product ID],$D$8,TableBOM[Item ID],$A69)&gt;0)*($H$8&gt;0),$E$8&amp;", ","")&amp;IF((COUNTIFS(TableBOM[Product ID],$D$9,TableBOM[Item ID],$A69)&gt;0)*($H$9&gt;0),$E$9&amp;", ","")&amp;IF((COUNTIFS(TableBOM[Product ID],$D$10,TableBOM[Item ID],$A69)&gt;0)*($H$10&gt;0),$E$10&amp;", ","")&amp;IF((COUNTIFS(TableBOM[Product ID],$D$11,TableBOM[Item ID],$A69)&gt;0)*($H$11&gt;0),$E$11&amp;", ","")&amp;IF((COUNTIFS(TableBOM[Product ID],$D$12,TableBOM[Item ID],$A69)&gt;0)*($H$12&gt;0),$E$12&amp;", ",""))-2),"")</f>
        <v/>
      </c>
      <c r="J69" s="64" t="inlineStr">
        <is>
          <t>Hold Due to Payment Issue</t>
        </is>
      </c>
      <c r="K69" s="83">
        <f>IF(B69&lt;&gt;"CAP","",SUMPRODUCT((ISNUMBER(SEARCH("Cap Not Available",'FG Stock'!$H$4:$H$100)))*('FG Stock'!$I$4:$I$100=A69)*'FG Stock'!$F$4:$F$100))</f>
        <v/>
      </c>
      <c r="L69" s="83">
        <f>IF(E69=0,"",MAX(0,E69+IFERROR(K69*1,0)-F69))</f>
        <v/>
      </c>
    </row>
    <row r="70" hidden="1" ht="15" customHeight="1" s="249">
      <c r="A70" s="87" t="n">
        <v>9902</v>
      </c>
      <c r="B70" s="87" t="inlineStr">
        <is>
          <t>CAP</t>
        </is>
      </c>
      <c r="C70" s="87" t="inlineStr">
        <is>
          <t>CAP 12.5MM (est)</t>
        </is>
      </c>
      <c r="D70" s="87" t="inlineStr">
        <is>
          <t>PCS</t>
        </is>
      </c>
      <c r="E70" s="88">
        <f>SUMPRODUCT((TableBOM[Item ID]=A70)*TableBOM[Per 1000 Units]*(1+TableBOM[Scrap %])*SUMIF($D$3:$D$12,TableBOM[Product ID],$H$3:$H$12)/1000)</f>
        <v/>
      </c>
      <c r="F70" s="88">
        <f>IFERROR(INDEX(TableInventory[Store Balance],MATCH(A70,TableInventory[Item ID],0)),0)+IFERROR(INDEX(TableInventory[Work In Process],MATCH(A70,TableInventory[Item ID],0)),0)</f>
        <v/>
      </c>
      <c r="G70" s="88">
        <f>F70-E70</f>
        <v/>
      </c>
      <c r="H70" s="89">
        <f>IF(LEN(IF((COUNTIFS(TableBOM[Product ID],$D$3,TableBOM[Item ID],$A70)&gt;0)*($H$3&gt;0),$C$3&amp;", ","")&amp;IF((COUNTIFS(TableBOM[Product ID],$D$4,TableBOM[Item ID],$A70)&gt;0)*($H$4&gt;0),$C$4&amp;", ","")&amp;IF((COUNTIFS(TableBOM[Product ID],$D$5,TableBOM[Item ID],$A70)&gt;0)*($H$5&gt;0),$C$5&amp;", ","")&amp;IF((COUNTIFS(TableBOM[Product ID],$D$6,TableBOM[Item ID],$A70)&gt;0)*($H$6&gt;0),$C$6&amp;", ","")&amp;IF((COUNTIFS(TableBOM[Product ID],$D$7,TableBOM[Item ID],$A70)&gt;0)*($H$7&gt;0),$C$7&amp;", ","")&amp;IF((COUNTIFS(TableBOM[Product ID],$D$8,TableBOM[Item ID],$A70)&gt;0)*($H$8&gt;0),$C$8&amp;", ","")&amp;IF((COUNTIFS(TableBOM[Product ID],$D$9,TableBOM[Item ID],$A70)&gt;0)*($H$9&gt;0),$C$9&amp;", ","")&amp;IF((COUNTIFS(TableBOM[Product ID],$D$10,TableBOM[Item ID],$A70)&gt;0)*($H$10&gt;0),$C$10&amp;", ","")&amp;IF((COUNTIFS(TableBOM[Product ID],$D$11,TableBOM[Item ID],$A70)&gt;0)*($H$11&gt;0),$C$11&amp;", ","")&amp;IF((COUNTIFS(TableBOM[Product ID],$D$12,TableBOM[Item ID],$A70)&gt;0)*($H$12&gt;0),$C$12&amp;", ",""))&gt;1,LEFT(IF((COUNTIFS(TableBOM[Product ID],$D$3,TableBOM[Item ID],$A70)&gt;0)*($H$3&gt;0),$C$3&amp;", ","")&amp;IF((COUNTIFS(TableBOM[Product ID],$D$4,TableBOM[Item ID],$A70)&gt;0)*($H$4&gt;0),$C$4&amp;", ","")&amp;IF((COUNTIFS(TableBOM[Product ID],$D$5,TableBOM[Item ID],$A70)&gt;0)*($H$5&gt;0),$C$5&amp;", ","")&amp;IF((COUNTIFS(TableBOM[Product ID],$D$6,TableBOM[Item ID],$A70)&gt;0)*($H$6&gt;0),$C$6&amp;", ","")&amp;IF((COUNTIFS(TableBOM[Product ID],$D$7,TableBOM[Item ID],$A70)&gt;0)*($H$7&gt;0),$C$7&amp;", ","")&amp;IF((COUNTIFS(TableBOM[Product ID],$D$8,TableBOM[Item ID],$A70)&gt;0)*($H$8&gt;0),$C$8&amp;", ","")&amp;IF((COUNTIFS(TableBOM[Product ID],$D$9,TableBOM[Item ID],$A70)&gt;0)*($H$9&gt;0),$C$9&amp;", ","")&amp;IF((COUNTIFS(TableBOM[Product ID],$D$10,TableBOM[Item ID],$A70)&gt;0)*($H$10&gt;0),$C$10&amp;", ","")&amp;IF((COUNTIFS(TableBOM[Product ID],$D$11,TableBOM[Item ID],$A70)&gt;0)*($H$11&gt;0),$C$11&amp;", ","")&amp;IF((COUNTIFS(TableBOM[Product ID],$D$12,TableBOM[Item ID],$A70)&gt;0)*($H$12&gt;0),$C$12&amp;", ",""),LEN(IF((COUNTIFS(TableBOM[Product ID],$D$3,TableBOM[Item ID],$A70)&gt;0)*($H$3&gt;0),$C$3&amp;", ","")&amp;IF((COUNTIFS(TableBOM[Product ID],$D$4,TableBOM[Item ID],$A70)&gt;0)*($H$4&gt;0),$C$4&amp;", ","")&amp;IF((COUNTIFS(TableBOM[Product ID],$D$5,TableBOM[Item ID],$A70)&gt;0)*($H$5&gt;0),$C$5&amp;", ","")&amp;IF((COUNTIFS(TableBOM[Product ID],$D$6,TableBOM[Item ID],$A70)&gt;0)*($H$6&gt;0),$C$6&amp;", ","")&amp;IF((COUNTIFS(TableBOM[Product ID],$D$7,TableBOM[Item ID],$A70)&gt;0)*($H$7&gt;0),$C$7&amp;", ","")&amp;IF((COUNTIFS(TableBOM[Product ID],$D$8,TableBOM[Item ID],$A70)&gt;0)*($H$8&gt;0),$C$8&amp;", ","")&amp;IF((COUNTIFS(TableBOM[Product ID],$D$9,TableBOM[Item ID],$A70)&gt;0)*($H$9&gt;0),$C$9&amp;", ","")&amp;IF((COUNTIFS(TableBOM[Product ID],$D$10,TableBOM[Item ID],$A70)&gt;0)*($H$10&gt;0),$C$10&amp;", ","")&amp;IF((COUNTIFS(TableBOM[Product ID],$D$11,TableBOM[Item ID],$A70)&gt;0)*($H$11&gt;0),$C$11&amp;", ","")&amp;IF((COUNTIFS(TableBOM[Product ID],$D$12,TableBOM[Item ID],$A70)&gt;0)*($H$12&gt;0),$C$12&amp;", ",""))-2),"")</f>
        <v/>
      </c>
      <c r="I70" s="90">
        <f>IF(LEN(IF((COUNTIFS(TableBOM[Product ID],$D$3,TableBOM[Item ID],$A70)&gt;0)*($H$3&gt;0),$E$3&amp;", ","")&amp;IF((COUNTIFS(TableBOM[Product ID],$D$4,TableBOM[Item ID],$A70)&gt;0)*($H$4&gt;0),$E$4&amp;", ","")&amp;IF((COUNTIFS(TableBOM[Product ID],$D$5,TableBOM[Item ID],$A70)&gt;0)*($H$5&gt;0),$E$5&amp;", ","")&amp;IF((COUNTIFS(TableBOM[Product ID],$D$6,TableBOM[Item ID],$A70)&gt;0)*($H$6&gt;0),$E$6&amp;", ","")&amp;IF((COUNTIFS(TableBOM[Product ID],$D$7,TableBOM[Item ID],$A70)&gt;0)*($H$7&gt;0),$E$7&amp;", ","")&amp;IF((COUNTIFS(TableBOM[Product ID],$D$8,TableBOM[Item ID],$A70)&gt;0)*($H$8&gt;0),$E$8&amp;", ","")&amp;IF((COUNTIFS(TableBOM[Product ID],$D$9,TableBOM[Item ID],$A70)&gt;0)*($H$9&gt;0),$E$9&amp;", ","")&amp;IF((COUNTIFS(TableBOM[Product ID],$D$10,TableBOM[Item ID],$A70)&gt;0)*($H$10&gt;0),$E$10&amp;", ","")&amp;IF((COUNTIFS(TableBOM[Product ID],$D$11,TableBOM[Item ID],$A70)&gt;0)*($H$11&gt;0),$E$11&amp;", ","")&amp;IF((COUNTIFS(TableBOM[Product ID],$D$12,TableBOM[Item ID],$A70)&gt;0)*($H$12&gt;0),$E$12&amp;", ",""))&gt;1,LEFT(IF((COUNTIFS(TableBOM[Product ID],$D$3,TableBOM[Item ID],$A70)&gt;0)*($H$3&gt;0),$E$3&amp;", ","")&amp;IF((COUNTIFS(TableBOM[Product ID],$D$4,TableBOM[Item ID],$A70)&gt;0)*($H$4&gt;0),$E$4&amp;", ","")&amp;IF((COUNTIFS(TableBOM[Product ID],$D$5,TableBOM[Item ID],$A70)&gt;0)*($H$5&gt;0),$E$5&amp;", ","")&amp;IF((COUNTIFS(TableBOM[Product ID],$D$6,TableBOM[Item ID],$A70)&gt;0)*($H$6&gt;0),$E$6&amp;", ","")&amp;IF((COUNTIFS(TableBOM[Product ID],$D$7,TableBOM[Item ID],$A70)&gt;0)*($H$7&gt;0),$E$7&amp;", ","")&amp;IF((COUNTIFS(TableBOM[Product ID],$D$8,TableBOM[Item ID],$A70)&gt;0)*($H$8&gt;0),$E$8&amp;", ","")&amp;IF((COUNTIFS(TableBOM[Product ID],$D$9,TableBOM[Item ID],$A70)&gt;0)*($H$9&gt;0),$E$9&amp;", ","")&amp;IF((COUNTIFS(TableBOM[Product ID],$D$10,TableBOM[Item ID],$A70)&gt;0)*($H$10&gt;0),$E$10&amp;", ","")&amp;IF((COUNTIFS(TableBOM[Product ID],$D$11,TableBOM[Item ID],$A70)&gt;0)*($H$11&gt;0),$E$11&amp;", ","")&amp;IF((COUNTIFS(TableBOM[Product ID],$D$12,TableBOM[Item ID],$A70)&gt;0)*($H$12&gt;0),$E$12&amp;", ",""),LEN(IF((COUNTIFS(TableBOM[Product ID],$D$3,TableBOM[Item ID],$A70)&gt;0)*($H$3&gt;0),$E$3&amp;", ","")&amp;IF((COUNTIFS(TableBOM[Product ID],$D$4,TableBOM[Item ID],$A70)&gt;0)*($H$4&gt;0),$E$4&amp;", ","")&amp;IF((COUNTIFS(TableBOM[Product ID],$D$5,TableBOM[Item ID],$A70)&gt;0)*($H$5&gt;0),$E$5&amp;", ","")&amp;IF((COUNTIFS(TableBOM[Product ID],$D$6,TableBOM[Item ID],$A70)&gt;0)*($H$6&gt;0),$E$6&amp;", ","")&amp;IF((COUNTIFS(TableBOM[Product ID],$D$7,TableBOM[Item ID],$A70)&gt;0)*($H$7&gt;0),$E$7&amp;", ","")&amp;IF((COUNTIFS(TableBOM[Product ID],$D$8,TableBOM[Item ID],$A70)&gt;0)*($H$8&gt;0),$E$8&amp;", ","")&amp;IF((COUNTIFS(TableBOM[Product ID],$D$9,TableBOM[Item ID],$A70)&gt;0)*($H$9&gt;0),$E$9&amp;", ","")&amp;IF((COUNTIFS(TableBOM[Product ID],$D$10,TableBOM[Item ID],$A70)&gt;0)*($H$10&gt;0),$E$10&amp;", ","")&amp;IF((COUNTIFS(TableBOM[Product ID],$D$11,TableBOM[Item ID],$A70)&gt;0)*($H$11&gt;0),$E$11&amp;", ","")&amp;IF((COUNTIFS(TableBOM[Product ID],$D$12,TableBOM[Item ID],$A70)&gt;0)*($H$12&gt;0),$E$12&amp;", ",""))-2),"")</f>
        <v/>
      </c>
      <c r="J70" s="91">
        <f>IF(E70=0,"Not needed",IF(G70&lt;0,"SHORTAGE",IF(G70&lt;F70*0.1,"LOW","OK")))</f>
        <v/>
      </c>
      <c r="K70" s="91">
        <f>IF(B70&lt;&gt;"CAP","",SUMPRODUCT((ISNUMBER(SEARCH("Cap Not Available",'FG Stock'!$H$4:$H$100)))*('FG Stock'!$I$4:$I$100=A70)*'FG Stock'!$F$4:$F$100))</f>
        <v/>
      </c>
      <c r="L70" s="91">
        <f>IF(E70=0,"",MAX(0,E70+IFERROR(K70*1,0)-F70))</f>
        <v/>
      </c>
    </row>
    <row r="71" hidden="1" ht="15" customHeight="1" s="249">
      <c r="A71" s="55" t="n">
        <v>9903</v>
      </c>
      <c r="B71" s="55" t="inlineStr">
        <is>
          <t>CARTON</t>
        </is>
      </c>
      <c r="C71" s="55" t="inlineStr">
        <is>
          <t>CARTON 12.5MM (est)</t>
        </is>
      </c>
      <c r="D71" s="55" t="inlineStr">
        <is>
          <t>PCS</t>
        </is>
      </c>
      <c r="E71" s="61">
        <f>SUMPRODUCT((TableBOM[Item ID]=A71)*TableBOM[Per 1000 Units]*(1+TableBOM[Scrap %])*SUMIF($D$3:$D$12,TableBOM[Product ID],$H$3:$H$12)/1000)</f>
        <v/>
      </c>
      <c r="F71" s="61">
        <f>IFERROR(INDEX(TableInventory[Store Balance],MATCH(A71,TableInventory[Item ID],0)),0)+IFERROR(INDEX(TableInventory[Work In Process],MATCH(A71,TableInventory[Item ID],0)),0)</f>
        <v/>
      </c>
      <c r="G71" s="61">
        <f>F71-E71</f>
        <v/>
      </c>
      <c r="H71" s="62">
        <f>IF(LEN(IF((COUNTIFS(TableBOM[Product ID],$D$3,TableBOM[Item ID],$A71)&gt;0)*($H$3&gt;0),$C$3&amp;", ","")&amp;IF((COUNTIFS(TableBOM[Product ID],$D$4,TableBOM[Item ID],$A71)&gt;0)*($H$4&gt;0),$C$4&amp;", ","")&amp;IF((COUNTIFS(TableBOM[Product ID],$D$5,TableBOM[Item ID],$A71)&gt;0)*($H$5&gt;0),$C$5&amp;", ","")&amp;IF((COUNTIFS(TableBOM[Product ID],$D$6,TableBOM[Item ID],$A71)&gt;0)*($H$6&gt;0),$C$6&amp;", ","")&amp;IF((COUNTIFS(TableBOM[Product ID],$D$7,TableBOM[Item ID],$A71)&gt;0)*($H$7&gt;0),$C$7&amp;", ","")&amp;IF((COUNTIFS(TableBOM[Product ID],$D$8,TableBOM[Item ID],$A71)&gt;0)*($H$8&gt;0),$C$8&amp;", ","")&amp;IF((COUNTIFS(TableBOM[Product ID],$D$9,TableBOM[Item ID],$A71)&gt;0)*($H$9&gt;0),$C$9&amp;", ","")&amp;IF((COUNTIFS(TableBOM[Product ID],$D$10,TableBOM[Item ID],$A71)&gt;0)*($H$10&gt;0),$C$10&amp;", ","")&amp;IF((COUNTIFS(TableBOM[Product ID],$D$11,TableBOM[Item ID],$A71)&gt;0)*($H$11&gt;0),$C$11&amp;", ","")&amp;IF((COUNTIFS(TableBOM[Product ID],$D$12,TableBOM[Item ID],$A71)&gt;0)*($H$12&gt;0),$C$12&amp;", ",""))&gt;1,LEFT(IF((COUNTIFS(TableBOM[Product ID],$D$3,TableBOM[Item ID],$A71)&gt;0)*($H$3&gt;0),$C$3&amp;", ","")&amp;IF((COUNTIFS(TableBOM[Product ID],$D$4,TableBOM[Item ID],$A71)&gt;0)*($H$4&gt;0),$C$4&amp;", ","")&amp;IF((COUNTIFS(TableBOM[Product ID],$D$5,TableBOM[Item ID],$A71)&gt;0)*($H$5&gt;0),$C$5&amp;", ","")&amp;IF((COUNTIFS(TableBOM[Product ID],$D$6,TableBOM[Item ID],$A71)&gt;0)*($H$6&gt;0),$C$6&amp;", ","")&amp;IF((COUNTIFS(TableBOM[Product ID],$D$7,TableBOM[Item ID],$A71)&gt;0)*($H$7&gt;0),$C$7&amp;", ","")&amp;IF((COUNTIFS(TableBOM[Product ID],$D$8,TableBOM[Item ID],$A71)&gt;0)*($H$8&gt;0),$C$8&amp;", ","")&amp;IF((COUNTIFS(TableBOM[Product ID],$D$9,TableBOM[Item ID],$A71)&gt;0)*($H$9&gt;0),$C$9&amp;", ","")&amp;IF((COUNTIFS(TableBOM[Product ID],$D$10,TableBOM[Item ID],$A71)&gt;0)*($H$10&gt;0),$C$10&amp;", ","")&amp;IF((COUNTIFS(TableBOM[Product ID],$D$11,TableBOM[Item ID],$A71)&gt;0)*($H$11&gt;0),$C$11&amp;", ","")&amp;IF((COUNTIFS(TableBOM[Product ID],$D$12,TableBOM[Item ID],$A71)&gt;0)*($H$12&gt;0),$C$12&amp;", ",""),LEN(IF((COUNTIFS(TableBOM[Product ID],$D$3,TableBOM[Item ID],$A71)&gt;0)*($H$3&gt;0),$C$3&amp;", ","")&amp;IF((COUNTIFS(TableBOM[Product ID],$D$4,TableBOM[Item ID],$A71)&gt;0)*($H$4&gt;0),$C$4&amp;", ","")&amp;IF((COUNTIFS(TableBOM[Product ID],$D$5,TableBOM[Item ID],$A71)&gt;0)*($H$5&gt;0),$C$5&amp;", ","")&amp;IF((COUNTIFS(TableBOM[Product ID],$D$6,TableBOM[Item ID],$A71)&gt;0)*($H$6&gt;0),$C$6&amp;", ","")&amp;IF((COUNTIFS(TableBOM[Product ID],$D$7,TableBOM[Item ID],$A71)&gt;0)*($H$7&gt;0),$C$7&amp;", ","")&amp;IF((COUNTIFS(TableBOM[Product ID],$D$8,TableBOM[Item ID],$A71)&gt;0)*($H$8&gt;0),$C$8&amp;", ","")&amp;IF((COUNTIFS(TableBOM[Product ID],$D$9,TableBOM[Item ID],$A71)&gt;0)*($H$9&gt;0),$C$9&amp;", ","")&amp;IF((COUNTIFS(TableBOM[Product ID],$D$10,TableBOM[Item ID],$A71)&gt;0)*($H$10&gt;0),$C$10&amp;", ","")&amp;IF((COUNTIFS(TableBOM[Product ID],$D$11,TableBOM[Item ID],$A71)&gt;0)*($H$11&gt;0),$C$11&amp;", ","")&amp;IF((COUNTIFS(TableBOM[Product ID],$D$12,TableBOM[Item ID],$A71)&gt;0)*($H$12&gt;0),$C$12&amp;", ",""))-2),"")</f>
        <v/>
      </c>
      <c r="I71" s="63">
        <f>IF(LEN(IF((COUNTIFS(TableBOM[Product ID],$D$3,TableBOM[Item ID],$A71)&gt;0)*($H$3&gt;0),$E$3&amp;", ","")&amp;IF((COUNTIFS(TableBOM[Product ID],$D$4,TableBOM[Item ID],$A71)&gt;0)*($H$4&gt;0),$E$4&amp;", ","")&amp;IF((COUNTIFS(TableBOM[Product ID],$D$5,TableBOM[Item ID],$A71)&gt;0)*($H$5&gt;0),$E$5&amp;", ","")&amp;IF((COUNTIFS(TableBOM[Product ID],$D$6,TableBOM[Item ID],$A71)&gt;0)*($H$6&gt;0),$E$6&amp;", ","")&amp;IF((COUNTIFS(TableBOM[Product ID],$D$7,TableBOM[Item ID],$A71)&gt;0)*($H$7&gt;0),$E$7&amp;", ","")&amp;IF((COUNTIFS(TableBOM[Product ID],$D$8,TableBOM[Item ID],$A71)&gt;0)*($H$8&gt;0),$E$8&amp;", ","")&amp;IF((COUNTIFS(TableBOM[Product ID],$D$9,TableBOM[Item ID],$A71)&gt;0)*($H$9&gt;0),$E$9&amp;", ","")&amp;IF((COUNTIFS(TableBOM[Product ID],$D$10,TableBOM[Item ID],$A71)&gt;0)*($H$10&gt;0),$E$10&amp;", ","")&amp;IF((COUNTIFS(TableBOM[Product ID],$D$11,TableBOM[Item ID],$A71)&gt;0)*($H$11&gt;0),$E$11&amp;", ","")&amp;IF((COUNTIFS(TableBOM[Product ID],$D$12,TableBOM[Item ID],$A71)&gt;0)*($H$12&gt;0),$E$12&amp;", ",""))&gt;1,LEFT(IF((COUNTIFS(TableBOM[Product ID],$D$3,TableBOM[Item ID],$A71)&gt;0)*($H$3&gt;0),$E$3&amp;", ","")&amp;IF((COUNTIFS(TableBOM[Product ID],$D$4,TableBOM[Item ID],$A71)&gt;0)*($H$4&gt;0),$E$4&amp;", ","")&amp;IF((COUNTIFS(TableBOM[Product ID],$D$5,TableBOM[Item ID],$A71)&gt;0)*($H$5&gt;0),$E$5&amp;", ","")&amp;IF((COUNTIFS(TableBOM[Product ID],$D$6,TableBOM[Item ID],$A71)&gt;0)*($H$6&gt;0),$E$6&amp;", ","")&amp;IF((COUNTIFS(TableBOM[Product ID],$D$7,TableBOM[Item ID],$A71)&gt;0)*($H$7&gt;0),$E$7&amp;", ","")&amp;IF((COUNTIFS(TableBOM[Product ID],$D$8,TableBOM[Item ID],$A71)&gt;0)*($H$8&gt;0),$E$8&amp;", ","")&amp;IF((COUNTIFS(TableBOM[Product ID],$D$9,TableBOM[Item ID],$A71)&gt;0)*($H$9&gt;0),$E$9&amp;", ","")&amp;IF((COUNTIFS(TableBOM[Product ID],$D$10,TableBOM[Item ID],$A71)&gt;0)*($H$10&gt;0),$E$10&amp;", ","")&amp;IF((COUNTIFS(TableBOM[Product ID],$D$11,TableBOM[Item ID],$A71)&gt;0)*($H$11&gt;0),$E$11&amp;", ","")&amp;IF((COUNTIFS(TableBOM[Product ID],$D$12,TableBOM[Item ID],$A71)&gt;0)*($H$12&gt;0),$E$12&amp;", ",""),LEN(IF((COUNTIFS(TableBOM[Product ID],$D$3,TableBOM[Item ID],$A71)&gt;0)*($H$3&gt;0),$E$3&amp;", ","")&amp;IF((COUNTIFS(TableBOM[Product ID],$D$4,TableBOM[Item ID],$A71)&gt;0)*($H$4&gt;0),$E$4&amp;", ","")&amp;IF((COUNTIFS(TableBOM[Product ID],$D$5,TableBOM[Item ID],$A71)&gt;0)*($H$5&gt;0),$E$5&amp;", ","")&amp;IF((COUNTIFS(TableBOM[Product ID],$D$6,TableBOM[Item ID],$A71)&gt;0)*($H$6&gt;0),$E$6&amp;", ","")&amp;IF((COUNTIFS(TableBOM[Product ID],$D$7,TableBOM[Item ID],$A71)&gt;0)*($H$7&gt;0),$E$7&amp;", ","")&amp;IF((COUNTIFS(TableBOM[Product ID],$D$8,TableBOM[Item ID],$A71)&gt;0)*($H$8&gt;0),$E$8&amp;", ","")&amp;IF((COUNTIFS(TableBOM[Product ID],$D$9,TableBOM[Item ID],$A71)&gt;0)*($H$9&gt;0),$E$9&amp;", ","")&amp;IF((COUNTIFS(TableBOM[Product ID],$D$10,TableBOM[Item ID],$A71)&gt;0)*($H$10&gt;0),$E$10&amp;", ","")&amp;IF((COUNTIFS(TableBOM[Product ID],$D$11,TableBOM[Item ID],$A71)&gt;0)*($H$11&gt;0),$E$11&amp;", ","")&amp;IF((COUNTIFS(TableBOM[Product ID],$D$12,TableBOM[Item ID],$A71)&gt;0)*($H$12&gt;0),$E$12&amp;", ",""))-2),"")</f>
        <v/>
      </c>
      <c r="J71" s="64">
        <f>IF(E71=0,"Not needed",IF(G71&lt;0,"SHORTAGE",IF(G71&lt;F71*0.1,"LOW","OK")))</f>
        <v/>
      </c>
      <c r="K71" s="64">
        <f>IF(B71&lt;&gt;"CAP","",SUMPRODUCT((ISNUMBER(SEARCH("Cap Not Available",'FG Stock'!$H$4:$H$100)))*('FG Stock'!$I$4:$I$100=A71)*'FG Stock'!$F$4:$F$100))</f>
        <v/>
      </c>
      <c r="L71" s="64">
        <f>IF(E71=0,"",MAX(0,E71+IFERROR(K71*1,0)-F71))</f>
        <v/>
      </c>
    </row>
    <row r="72" ht="24" customHeight="1" s="249">
      <c r="A72" s="55" t="n">
        <v>36</v>
      </c>
      <c r="B72" s="55" t="inlineStr">
        <is>
          <t>CARTON</t>
        </is>
      </c>
      <c r="C72" s="55" t="inlineStr">
        <is>
          <t>16X200 3Ply</t>
        </is>
      </c>
      <c r="D72" s="55" t="inlineStr">
        <is>
          <t>PCS</t>
        </is>
      </c>
      <c r="E72" s="61">
        <f>SUMPRODUCT((TableBOM[Item ID]=A72)*TableBOM[Per 1000 Units]*(1+TableBOM[Scrap %])*SUMIF($D$3:$D$12,TableBOM[Product ID],$H$3:$H$12)/1000)</f>
        <v/>
      </c>
      <c r="F72" s="61">
        <f>IFERROR(INDEX(TableInventory[Store Balance],MATCH(A72,TableInventory[Item ID],0)),0)+IFERROR(INDEX(TableInventory[Work In Process],MATCH(A72,TableInventory[Item ID],0)),0)</f>
        <v/>
      </c>
      <c r="G72" s="65">
        <f>F72-E72</f>
        <v/>
      </c>
      <c r="H72" s="62">
        <f>IF(LEN(IF((COUNTIFS(TableBOM[Product ID],$D$3,TableBOM[Item ID],$A72)&gt;0)*($H$3&gt;0),$C$3&amp;", ","")&amp;IF((COUNTIFS(TableBOM[Product ID],$D$4,TableBOM[Item ID],$A72)&gt;0)*($H$4&gt;0),$C$4&amp;", ","")&amp;IF((COUNTIFS(TableBOM[Product ID],$D$5,TableBOM[Item ID],$A72)&gt;0)*($H$5&gt;0),$C$5&amp;", ","")&amp;IF((COUNTIFS(TableBOM[Product ID],$D$6,TableBOM[Item ID],$A72)&gt;0)*($H$6&gt;0),$C$6&amp;", ","")&amp;IF((COUNTIFS(TableBOM[Product ID],$D$7,TableBOM[Item ID],$A72)&gt;0)*($H$7&gt;0),$C$7&amp;", ","")&amp;IF((COUNTIFS(TableBOM[Product ID],$D$8,TableBOM[Item ID],$A72)&gt;0)*($H$8&gt;0),$C$8&amp;", ","")&amp;IF((COUNTIFS(TableBOM[Product ID],$D$9,TableBOM[Item ID],$A72)&gt;0)*($H$9&gt;0),$C$9&amp;", ","")&amp;IF((COUNTIFS(TableBOM[Product ID],$D$10,TableBOM[Item ID],$A72)&gt;0)*($H$10&gt;0),$C$10&amp;", ","")&amp;IF((COUNTIFS(TableBOM[Product ID],$D$11,TableBOM[Item ID],$A72)&gt;0)*($H$11&gt;0),$C$11&amp;", ","")&amp;IF((COUNTIFS(TableBOM[Product ID],$D$12,TableBOM[Item ID],$A72)&gt;0)*($H$12&gt;0),$C$12&amp;", ",""))&gt;1,LEFT(IF((COUNTIFS(TableBOM[Product ID],$D$3,TableBOM[Item ID],$A72)&gt;0)*($H$3&gt;0),$C$3&amp;", ","")&amp;IF((COUNTIFS(TableBOM[Product ID],$D$4,TableBOM[Item ID],$A72)&gt;0)*($H$4&gt;0),$C$4&amp;", ","")&amp;IF((COUNTIFS(TableBOM[Product ID],$D$5,TableBOM[Item ID],$A72)&gt;0)*($H$5&gt;0),$C$5&amp;", ","")&amp;IF((COUNTIFS(TableBOM[Product ID],$D$6,TableBOM[Item ID],$A72)&gt;0)*($H$6&gt;0),$C$6&amp;", ","")&amp;IF((COUNTIFS(TableBOM[Product ID],$D$7,TableBOM[Item ID],$A72)&gt;0)*($H$7&gt;0),$C$7&amp;", ","")&amp;IF((COUNTIFS(TableBOM[Product ID],$D$8,TableBOM[Item ID],$A72)&gt;0)*($H$8&gt;0),$C$8&amp;", ","")&amp;IF((COUNTIFS(TableBOM[Product ID],$D$9,TableBOM[Item ID],$A72)&gt;0)*($H$9&gt;0),$C$9&amp;", ","")&amp;IF((COUNTIFS(TableBOM[Product ID],$D$10,TableBOM[Item ID],$A72)&gt;0)*($H$10&gt;0),$C$10&amp;", ","")&amp;IF((COUNTIFS(TableBOM[Product ID],$D$11,TableBOM[Item ID],$A72)&gt;0)*($H$11&gt;0),$C$11&amp;", ","")&amp;IF((COUNTIFS(TableBOM[Product ID],$D$12,TableBOM[Item ID],$A72)&gt;0)*($H$12&gt;0),$C$12&amp;", ",""),LEN(IF((COUNTIFS(TableBOM[Product ID],$D$3,TableBOM[Item ID],$A72)&gt;0)*($H$3&gt;0),$C$3&amp;", ","")&amp;IF((COUNTIFS(TableBOM[Product ID],$D$4,TableBOM[Item ID],$A72)&gt;0)*($H$4&gt;0),$C$4&amp;", ","")&amp;IF((COUNTIFS(TableBOM[Product ID],$D$5,TableBOM[Item ID],$A72)&gt;0)*($H$5&gt;0),$C$5&amp;", ","")&amp;IF((COUNTIFS(TableBOM[Product ID],$D$6,TableBOM[Item ID],$A72)&gt;0)*($H$6&gt;0),$C$6&amp;", ","")&amp;IF((COUNTIFS(TableBOM[Product ID],$D$7,TableBOM[Item ID],$A72)&gt;0)*($H$7&gt;0),$C$7&amp;", ","")&amp;IF((COUNTIFS(TableBOM[Product ID],$D$8,TableBOM[Item ID],$A72)&gt;0)*($H$8&gt;0),$C$8&amp;", ","")&amp;IF((COUNTIFS(TableBOM[Product ID],$D$9,TableBOM[Item ID],$A72)&gt;0)*($H$9&gt;0),$C$9&amp;", ","")&amp;IF((COUNTIFS(TableBOM[Product ID],$D$10,TableBOM[Item ID],$A72)&gt;0)*($H$10&gt;0),$C$10&amp;", ","")&amp;IF((COUNTIFS(TableBOM[Product ID],$D$11,TableBOM[Item ID],$A72)&gt;0)*($H$11&gt;0),$C$11&amp;", ","")&amp;IF((COUNTIFS(TableBOM[Product ID],$D$12,TableBOM[Item ID],$A72)&gt;0)*($H$12&gt;0),$C$12&amp;", ",""))-2),"")</f>
        <v/>
      </c>
      <c r="I72" s="63">
        <f>IF(LEN(IF((COUNTIFS(TableBOM[Product ID],$D$3,TableBOM[Item ID],$A72)&gt;0)*($H$3&gt;0),$E$3&amp;", ","")&amp;IF((COUNTIFS(TableBOM[Product ID],$D$4,TableBOM[Item ID],$A72)&gt;0)*($H$4&gt;0),$E$4&amp;", ","")&amp;IF((COUNTIFS(TableBOM[Product ID],$D$5,TableBOM[Item ID],$A72)&gt;0)*($H$5&gt;0),$E$5&amp;", ","")&amp;IF((COUNTIFS(TableBOM[Product ID],$D$6,TableBOM[Item ID],$A72)&gt;0)*($H$6&gt;0),$E$6&amp;", ","")&amp;IF((COUNTIFS(TableBOM[Product ID],$D$7,TableBOM[Item ID],$A72)&gt;0)*($H$7&gt;0),$E$7&amp;", ","")&amp;IF((COUNTIFS(TableBOM[Product ID],$D$8,TableBOM[Item ID],$A72)&gt;0)*($H$8&gt;0),$E$8&amp;", ","")&amp;IF((COUNTIFS(TableBOM[Product ID],$D$9,TableBOM[Item ID],$A72)&gt;0)*($H$9&gt;0),$E$9&amp;", ","")&amp;IF((COUNTIFS(TableBOM[Product ID],$D$10,TableBOM[Item ID],$A72)&gt;0)*($H$10&gt;0),$E$10&amp;", ","")&amp;IF((COUNTIFS(TableBOM[Product ID],$D$11,TableBOM[Item ID],$A72)&gt;0)*($H$11&gt;0),$E$11&amp;", ","")&amp;IF((COUNTIFS(TableBOM[Product ID],$D$12,TableBOM[Item ID],$A72)&gt;0)*($H$12&gt;0),$E$12&amp;", ",""))&gt;1,LEFT(IF((COUNTIFS(TableBOM[Product ID],$D$3,TableBOM[Item ID],$A72)&gt;0)*($H$3&gt;0),$E$3&amp;", ","")&amp;IF((COUNTIFS(TableBOM[Product ID],$D$4,TableBOM[Item ID],$A72)&gt;0)*($H$4&gt;0),$E$4&amp;", ","")&amp;IF((COUNTIFS(TableBOM[Product ID],$D$5,TableBOM[Item ID],$A72)&gt;0)*($H$5&gt;0),$E$5&amp;", ","")&amp;IF((COUNTIFS(TableBOM[Product ID],$D$6,TableBOM[Item ID],$A72)&gt;0)*($H$6&gt;0),$E$6&amp;", ","")&amp;IF((COUNTIFS(TableBOM[Product ID],$D$7,TableBOM[Item ID],$A72)&gt;0)*($H$7&gt;0),$E$7&amp;", ","")&amp;IF((COUNTIFS(TableBOM[Product ID],$D$8,TableBOM[Item ID],$A72)&gt;0)*($H$8&gt;0),$E$8&amp;", ","")&amp;IF((COUNTIFS(TableBOM[Product ID],$D$9,TableBOM[Item ID],$A72)&gt;0)*($H$9&gt;0),$E$9&amp;", ","")&amp;IF((COUNTIFS(TableBOM[Product ID],$D$10,TableBOM[Item ID],$A72)&gt;0)*($H$10&gt;0),$E$10&amp;", ","")&amp;IF((COUNTIFS(TableBOM[Product ID],$D$11,TableBOM[Item ID],$A72)&gt;0)*($H$11&gt;0),$E$11&amp;", ","")&amp;IF((COUNTIFS(TableBOM[Product ID],$D$12,TableBOM[Item ID],$A72)&gt;0)*($H$12&gt;0),$E$12&amp;", ",""),LEN(IF((COUNTIFS(TableBOM[Product ID],$D$3,TableBOM[Item ID],$A72)&gt;0)*($H$3&gt;0),$E$3&amp;", ","")&amp;IF((COUNTIFS(TableBOM[Product ID],$D$4,TableBOM[Item ID],$A72)&gt;0)*($H$4&gt;0),$E$4&amp;", ","")&amp;IF((COUNTIFS(TableBOM[Product ID],$D$5,TableBOM[Item ID],$A72)&gt;0)*($H$5&gt;0),$E$5&amp;", ","")&amp;IF((COUNTIFS(TableBOM[Product ID],$D$6,TableBOM[Item ID],$A72)&gt;0)*($H$6&gt;0),$E$6&amp;", ","")&amp;IF((COUNTIFS(TableBOM[Product ID],$D$7,TableBOM[Item ID],$A72)&gt;0)*($H$7&gt;0),$E$7&amp;", ","")&amp;IF((COUNTIFS(TableBOM[Product ID],$D$8,TableBOM[Item ID],$A72)&gt;0)*($H$8&gt;0),$E$8&amp;", ","")&amp;IF((COUNTIFS(TableBOM[Product ID],$D$9,TableBOM[Item ID],$A72)&gt;0)*($H$9&gt;0),$E$9&amp;", ","")&amp;IF((COUNTIFS(TableBOM[Product ID],$D$10,TableBOM[Item ID],$A72)&gt;0)*($H$10&gt;0),$E$10&amp;", ","")&amp;IF((COUNTIFS(TableBOM[Product ID],$D$11,TableBOM[Item ID],$A72)&gt;0)*($H$11&gt;0),$E$11&amp;", ","")&amp;IF((COUNTIFS(TableBOM[Product ID],$D$12,TableBOM[Item ID],$A72)&gt;0)*($H$12&gt;0),$E$12&amp;", ",""))-2),"")</f>
        <v/>
      </c>
      <c r="J72" s="64" t="inlineStr">
        <is>
          <t>CAPS Not Approved</t>
        </is>
      </c>
      <c r="K72" s="64">
        <f>IF(B72&lt;&gt;"CAP","",SUMPRODUCT((ISNUMBER(SEARCH("Cap Not Available",'FG Stock'!$H$4:$H$100)))*('FG Stock'!$I$4:$I$100=A72)*'FG Stock'!$F$4:$F$100))</f>
        <v/>
      </c>
      <c r="L72" s="64">
        <f>IF(E72=0,"",MAX(0,E72+IFERROR(K72*1,0)-F72))</f>
        <v/>
      </c>
    </row>
    <row r="73" ht="24" customHeight="1" s="249">
      <c r="A73" s="55" t="n">
        <v>200</v>
      </c>
      <c r="B73" s="55" t="inlineStr">
        <is>
          <t>CARTON</t>
        </is>
      </c>
      <c r="C73" s="55" t="inlineStr">
        <is>
          <t>DIA 16 5Ply</t>
        </is>
      </c>
      <c r="D73" s="55" t="inlineStr">
        <is>
          <t>PCS</t>
        </is>
      </c>
      <c r="E73" s="61">
        <f>SUMPRODUCT((TableBOM[Item ID]=A73)*TableBOM[Per 1000 Units]*(1+TableBOM[Scrap %])*SUMIF($D$3:$D$12,TableBOM[Product ID],$H$3:$H$12)/1000)</f>
        <v/>
      </c>
      <c r="F73" s="61">
        <f>IFERROR(INDEX(TableInventory[Store Balance],MATCH(A73,TableInventory[Item ID],0)),0)+IFERROR(INDEX(TableInventory[Work In Process],MATCH(A73,TableInventory[Item ID],0)),0)</f>
        <v/>
      </c>
      <c r="G73" s="65">
        <f>F73-E73</f>
        <v/>
      </c>
      <c r="H73" s="62">
        <f>IF(LEN(IF((COUNTIFS(TableBOM[Product ID],$D$3,TableBOM[Item ID],$A73)&gt;0)*($H$3&gt;0),$C$3&amp;", ","")&amp;IF((COUNTIFS(TableBOM[Product ID],$D$4,TableBOM[Item ID],$A73)&gt;0)*($H$4&gt;0),$C$4&amp;", ","")&amp;IF((COUNTIFS(TableBOM[Product ID],$D$5,TableBOM[Item ID],$A73)&gt;0)*($H$5&gt;0),$C$5&amp;", ","")&amp;IF((COUNTIFS(TableBOM[Product ID],$D$6,TableBOM[Item ID],$A73)&gt;0)*($H$6&gt;0),$C$6&amp;", ","")&amp;IF((COUNTIFS(TableBOM[Product ID],$D$7,TableBOM[Item ID],$A73)&gt;0)*($H$7&gt;0),$C$7&amp;", ","")&amp;IF((COUNTIFS(TableBOM[Product ID],$D$8,TableBOM[Item ID],$A73)&gt;0)*($H$8&gt;0),$C$8&amp;", ","")&amp;IF((COUNTIFS(TableBOM[Product ID],$D$9,TableBOM[Item ID],$A73)&gt;0)*($H$9&gt;0),$C$9&amp;", ","")&amp;IF((COUNTIFS(TableBOM[Product ID],$D$10,TableBOM[Item ID],$A73)&gt;0)*($H$10&gt;0),$C$10&amp;", ","")&amp;IF((COUNTIFS(TableBOM[Product ID],$D$11,TableBOM[Item ID],$A73)&gt;0)*($H$11&gt;0),$C$11&amp;", ","")&amp;IF((COUNTIFS(TableBOM[Product ID],$D$12,TableBOM[Item ID],$A73)&gt;0)*($H$12&gt;0),$C$12&amp;", ",""))&gt;1,LEFT(IF((COUNTIFS(TableBOM[Product ID],$D$3,TableBOM[Item ID],$A73)&gt;0)*($H$3&gt;0),$C$3&amp;", ","")&amp;IF((COUNTIFS(TableBOM[Product ID],$D$4,TableBOM[Item ID],$A73)&gt;0)*($H$4&gt;0),$C$4&amp;", ","")&amp;IF((COUNTIFS(TableBOM[Product ID],$D$5,TableBOM[Item ID],$A73)&gt;0)*($H$5&gt;0),$C$5&amp;", ","")&amp;IF((COUNTIFS(TableBOM[Product ID],$D$6,TableBOM[Item ID],$A73)&gt;0)*($H$6&gt;0),$C$6&amp;", ","")&amp;IF((COUNTIFS(TableBOM[Product ID],$D$7,TableBOM[Item ID],$A73)&gt;0)*($H$7&gt;0),$C$7&amp;", ","")&amp;IF((COUNTIFS(TableBOM[Product ID],$D$8,TableBOM[Item ID],$A73)&gt;0)*($H$8&gt;0),$C$8&amp;", ","")&amp;IF((COUNTIFS(TableBOM[Product ID],$D$9,TableBOM[Item ID],$A73)&gt;0)*($H$9&gt;0),$C$9&amp;", ","")&amp;IF((COUNTIFS(TableBOM[Product ID],$D$10,TableBOM[Item ID],$A73)&gt;0)*($H$10&gt;0),$C$10&amp;", ","")&amp;IF((COUNTIFS(TableBOM[Product ID],$D$11,TableBOM[Item ID],$A73)&gt;0)*($H$11&gt;0),$C$11&amp;", ","")&amp;IF((COUNTIFS(TableBOM[Product ID],$D$12,TableBOM[Item ID],$A73)&gt;0)*($H$12&gt;0),$C$12&amp;", ",""),LEN(IF((COUNTIFS(TableBOM[Product ID],$D$3,TableBOM[Item ID],$A73)&gt;0)*($H$3&gt;0),$C$3&amp;", ","")&amp;IF((COUNTIFS(TableBOM[Product ID],$D$4,TableBOM[Item ID],$A73)&gt;0)*($H$4&gt;0),$C$4&amp;", ","")&amp;IF((COUNTIFS(TableBOM[Product ID],$D$5,TableBOM[Item ID],$A73)&gt;0)*($H$5&gt;0),$C$5&amp;", ","")&amp;IF((COUNTIFS(TableBOM[Product ID],$D$6,TableBOM[Item ID],$A73)&gt;0)*($H$6&gt;0),$C$6&amp;", ","")&amp;IF((COUNTIFS(TableBOM[Product ID],$D$7,TableBOM[Item ID],$A73)&gt;0)*($H$7&gt;0),$C$7&amp;", ","")&amp;IF((COUNTIFS(TableBOM[Product ID],$D$8,TableBOM[Item ID],$A73)&gt;0)*($H$8&gt;0),$C$8&amp;", ","")&amp;IF((COUNTIFS(TableBOM[Product ID],$D$9,TableBOM[Item ID],$A73)&gt;0)*($H$9&gt;0),$C$9&amp;", ","")&amp;IF((COUNTIFS(TableBOM[Product ID],$D$10,TableBOM[Item ID],$A73)&gt;0)*($H$10&gt;0),$C$10&amp;", ","")&amp;IF((COUNTIFS(TableBOM[Product ID],$D$11,TableBOM[Item ID],$A73)&gt;0)*($H$11&gt;0),$C$11&amp;", ","")&amp;IF((COUNTIFS(TableBOM[Product ID],$D$12,TableBOM[Item ID],$A73)&gt;0)*($H$12&gt;0),$C$12&amp;", ",""))-2),"")</f>
        <v/>
      </c>
      <c r="I73" s="63">
        <f>IF(LEN(IF((COUNTIFS(TableBOM[Product ID],$D$3,TableBOM[Item ID],$A73)&gt;0)*($H$3&gt;0),$E$3&amp;", ","")&amp;IF((COUNTIFS(TableBOM[Product ID],$D$4,TableBOM[Item ID],$A73)&gt;0)*($H$4&gt;0),$E$4&amp;", ","")&amp;IF((COUNTIFS(TableBOM[Product ID],$D$5,TableBOM[Item ID],$A73)&gt;0)*($H$5&gt;0),$E$5&amp;", ","")&amp;IF((COUNTIFS(TableBOM[Product ID],$D$6,TableBOM[Item ID],$A73)&gt;0)*($H$6&gt;0),$E$6&amp;", ","")&amp;IF((COUNTIFS(TableBOM[Product ID],$D$7,TableBOM[Item ID],$A73)&gt;0)*($H$7&gt;0),$E$7&amp;", ","")&amp;IF((COUNTIFS(TableBOM[Product ID],$D$8,TableBOM[Item ID],$A73)&gt;0)*($H$8&gt;0),$E$8&amp;", ","")&amp;IF((COUNTIFS(TableBOM[Product ID],$D$9,TableBOM[Item ID],$A73)&gt;0)*($H$9&gt;0),$E$9&amp;", ","")&amp;IF((COUNTIFS(TableBOM[Product ID],$D$10,TableBOM[Item ID],$A73)&gt;0)*($H$10&gt;0),$E$10&amp;", ","")&amp;IF((COUNTIFS(TableBOM[Product ID],$D$11,TableBOM[Item ID],$A73)&gt;0)*($H$11&gt;0),$E$11&amp;", ","")&amp;IF((COUNTIFS(TableBOM[Product ID],$D$12,TableBOM[Item ID],$A73)&gt;0)*($H$12&gt;0),$E$12&amp;", ",""))&gt;1,LEFT(IF((COUNTIFS(TableBOM[Product ID],$D$3,TableBOM[Item ID],$A73)&gt;0)*($H$3&gt;0),$E$3&amp;", ","")&amp;IF((COUNTIFS(TableBOM[Product ID],$D$4,TableBOM[Item ID],$A73)&gt;0)*($H$4&gt;0),$E$4&amp;", ","")&amp;IF((COUNTIFS(TableBOM[Product ID],$D$5,TableBOM[Item ID],$A73)&gt;0)*($H$5&gt;0),$E$5&amp;", ","")&amp;IF((COUNTIFS(TableBOM[Product ID],$D$6,TableBOM[Item ID],$A73)&gt;0)*($H$6&gt;0),$E$6&amp;", ","")&amp;IF((COUNTIFS(TableBOM[Product ID],$D$7,TableBOM[Item ID],$A73)&gt;0)*($H$7&gt;0),$E$7&amp;", ","")&amp;IF((COUNTIFS(TableBOM[Product ID],$D$8,TableBOM[Item ID],$A73)&gt;0)*($H$8&gt;0),$E$8&amp;", ","")&amp;IF((COUNTIFS(TableBOM[Product ID],$D$9,TableBOM[Item ID],$A73)&gt;0)*($H$9&gt;0),$E$9&amp;", ","")&amp;IF((COUNTIFS(TableBOM[Product ID],$D$10,TableBOM[Item ID],$A73)&gt;0)*($H$10&gt;0),$E$10&amp;", ","")&amp;IF((COUNTIFS(TableBOM[Product ID],$D$11,TableBOM[Item ID],$A73)&gt;0)*($H$11&gt;0),$E$11&amp;", ","")&amp;IF((COUNTIFS(TableBOM[Product ID],$D$12,TableBOM[Item ID],$A73)&gt;0)*($H$12&gt;0),$E$12&amp;", ",""),LEN(IF((COUNTIFS(TableBOM[Product ID],$D$3,TableBOM[Item ID],$A73)&gt;0)*($H$3&gt;0),$E$3&amp;", ","")&amp;IF((COUNTIFS(TableBOM[Product ID],$D$4,TableBOM[Item ID],$A73)&gt;0)*($H$4&gt;0),$E$4&amp;", ","")&amp;IF((COUNTIFS(TableBOM[Product ID],$D$5,TableBOM[Item ID],$A73)&gt;0)*($H$5&gt;0),$E$5&amp;", ","")&amp;IF((COUNTIFS(TableBOM[Product ID],$D$6,TableBOM[Item ID],$A73)&gt;0)*($H$6&gt;0),$E$6&amp;", ","")&amp;IF((COUNTIFS(TableBOM[Product ID],$D$7,TableBOM[Item ID],$A73)&gt;0)*($H$7&gt;0),$E$7&amp;", ","")&amp;IF((COUNTIFS(TableBOM[Product ID],$D$8,TableBOM[Item ID],$A73)&gt;0)*($H$8&gt;0),$E$8&amp;", ","")&amp;IF((COUNTIFS(TableBOM[Product ID],$D$9,TableBOM[Item ID],$A73)&gt;0)*($H$9&gt;0),$E$9&amp;", ","")&amp;IF((COUNTIFS(TableBOM[Product ID],$D$10,TableBOM[Item ID],$A73)&gt;0)*($H$10&gt;0),$E$10&amp;", ","")&amp;IF((COUNTIFS(TableBOM[Product ID],$D$11,TableBOM[Item ID],$A73)&gt;0)*($H$11&gt;0),$E$11&amp;", ","")&amp;IF((COUNTIFS(TableBOM[Product ID],$D$12,TableBOM[Item ID],$A73)&gt;0)*($H$12&gt;0),$E$12&amp;", ",""))-2),"")</f>
        <v/>
      </c>
      <c r="J73" s="64" t="inlineStr">
        <is>
          <t>CAPS Not Approved</t>
        </is>
      </c>
      <c r="K73" s="64">
        <f>IF(B73&lt;&gt;"CAP","",SUMPRODUCT((ISNUMBER(SEARCH("Cap Not Available",'FG Stock'!$H$4:$H$100)))*('FG Stock'!$I$4:$I$100=A73)*'FG Stock'!$F$4:$F$100))</f>
        <v/>
      </c>
      <c r="L73" s="64">
        <f>IF(E73=0,"",MAX(0,E73+IFERROR(K73*1,0)-F73))</f>
        <v/>
      </c>
    </row>
    <row r="74" hidden="1" ht="24" customHeight="1" s="249">
      <c r="A74" s="55" t="n">
        <v>39</v>
      </c>
      <c r="B74" s="55" t="inlineStr">
        <is>
          <t>CARTON</t>
        </is>
      </c>
      <c r="C74" s="55" t="inlineStr">
        <is>
          <t>19X200 3Ply</t>
        </is>
      </c>
      <c r="D74" s="55" t="inlineStr">
        <is>
          <t>PCS</t>
        </is>
      </c>
      <c r="E74" s="61">
        <f>SUMPRODUCT((TableBOM[Item ID]=A74)*TableBOM[Per 1000 Units]*(1+TableBOM[Scrap %])*SUMIF($D$3:$D$12,TableBOM[Product ID],$H$3:$H$12)/1000)</f>
        <v/>
      </c>
      <c r="F74" s="61">
        <f>IFERROR(INDEX(TableInventory[Store Balance],MATCH(A74,TableInventory[Item ID],0)),0)+IFERROR(INDEX(TableInventory[Work In Process],MATCH(A74,TableInventory[Item ID],0)),0)</f>
        <v/>
      </c>
      <c r="G74" s="61">
        <f>F74-E74</f>
        <v/>
      </c>
      <c r="H74" s="62">
        <f>IF(LEN(IF((COUNTIFS(TableBOM[Product ID],$D$3,TableBOM[Item ID],$A74)&gt;0)*($H$3&gt;0),$C$3&amp;", ","")&amp;IF((COUNTIFS(TableBOM[Product ID],$D$4,TableBOM[Item ID],$A74)&gt;0)*($H$4&gt;0),$C$4&amp;", ","")&amp;IF((COUNTIFS(TableBOM[Product ID],$D$5,TableBOM[Item ID],$A74)&gt;0)*($H$5&gt;0),$C$5&amp;", ","")&amp;IF((COUNTIFS(TableBOM[Product ID],$D$6,TableBOM[Item ID],$A74)&gt;0)*($H$6&gt;0),$C$6&amp;", ","")&amp;IF((COUNTIFS(TableBOM[Product ID],$D$7,TableBOM[Item ID],$A74)&gt;0)*($H$7&gt;0),$C$7&amp;", ","")&amp;IF((COUNTIFS(TableBOM[Product ID],$D$8,TableBOM[Item ID],$A74)&gt;0)*($H$8&gt;0),$C$8&amp;", ","")&amp;IF((COUNTIFS(TableBOM[Product ID],$D$9,TableBOM[Item ID],$A74)&gt;0)*($H$9&gt;0),$C$9&amp;", ","")&amp;IF((COUNTIFS(TableBOM[Product ID],$D$10,TableBOM[Item ID],$A74)&gt;0)*($H$10&gt;0),$C$10&amp;", ","")&amp;IF((COUNTIFS(TableBOM[Product ID],$D$11,TableBOM[Item ID],$A74)&gt;0)*($H$11&gt;0),$C$11&amp;", ","")&amp;IF((COUNTIFS(TableBOM[Product ID],$D$12,TableBOM[Item ID],$A74)&gt;0)*($H$12&gt;0),$C$12&amp;", ",""))&gt;1,LEFT(IF((COUNTIFS(TableBOM[Product ID],$D$3,TableBOM[Item ID],$A74)&gt;0)*($H$3&gt;0),$C$3&amp;", ","")&amp;IF((COUNTIFS(TableBOM[Product ID],$D$4,TableBOM[Item ID],$A74)&gt;0)*($H$4&gt;0),$C$4&amp;", ","")&amp;IF((COUNTIFS(TableBOM[Product ID],$D$5,TableBOM[Item ID],$A74)&gt;0)*($H$5&gt;0),$C$5&amp;", ","")&amp;IF((COUNTIFS(TableBOM[Product ID],$D$6,TableBOM[Item ID],$A74)&gt;0)*($H$6&gt;0),$C$6&amp;", ","")&amp;IF((COUNTIFS(TableBOM[Product ID],$D$7,TableBOM[Item ID],$A74)&gt;0)*($H$7&gt;0),$C$7&amp;", ","")&amp;IF((COUNTIFS(TableBOM[Product ID],$D$8,TableBOM[Item ID],$A74)&gt;0)*($H$8&gt;0),$C$8&amp;", ","")&amp;IF((COUNTIFS(TableBOM[Product ID],$D$9,TableBOM[Item ID],$A74)&gt;0)*($H$9&gt;0),$C$9&amp;", ","")&amp;IF((COUNTIFS(TableBOM[Product ID],$D$10,TableBOM[Item ID],$A74)&gt;0)*($H$10&gt;0),$C$10&amp;", ","")&amp;IF((COUNTIFS(TableBOM[Product ID],$D$11,TableBOM[Item ID],$A74)&gt;0)*($H$11&gt;0),$C$11&amp;", ","")&amp;IF((COUNTIFS(TableBOM[Product ID],$D$12,TableBOM[Item ID],$A74)&gt;0)*($H$12&gt;0),$C$12&amp;", ",""),LEN(IF((COUNTIFS(TableBOM[Product ID],$D$3,TableBOM[Item ID],$A74)&gt;0)*($H$3&gt;0),$C$3&amp;", ","")&amp;IF((COUNTIFS(TableBOM[Product ID],$D$4,TableBOM[Item ID],$A74)&gt;0)*($H$4&gt;0),$C$4&amp;", ","")&amp;IF((COUNTIFS(TableBOM[Product ID],$D$5,TableBOM[Item ID],$A74)&gt;0)*($H$5&gt;0),$C$5&amp;", ","")&amp;IF((COUNTIFS(TableBOM[Product ID],$D$6,TableBOM[Item ID],$A74)&gt;0)*($H$6&gt;0),$C$6&amp;", ","")&amp;IF((COUNTIFS(TableBOM[Product ID],$D$7,TableBOM[Item ID],$A74)&gt;0)*($H$7&gt;0),$C$7&amp;", ","")&amp;IF((COUNTIFS(TableBOM[Product ID],$D$8,TableBOM[Item ID],$A74)&gt;0)*($H$8&gt;0),$C$8&amp;", ","")&amp;IF((COUNTIFS(TableBOM[Product ID],$D$9,TableBOM[Item ID],$A74)&gt;0)*($H$9&gt;0),$C$9&amp;", ","")&amp;IF((COUNTIFS(TableBOM[Product ID],$D$10,TableBOM[Item ID],$A74)&gt;0)*($H$10&gt;0),$C$10&amp;", ","")&amp;IF((COUNTIFS(TableBOM[Product ID],$D$11,TableBOM[Item ID],$A74)&gt;0)*($H$11&gt;0),$C$11&amp;", ","")&amp;IF((COUNTIFS(TableBOM[Product ID],$D$12,TableBOM[Item ID],$A74)&gt;0)*($H$12&gt;0),$C$12&amp;", ",""))-2),"")</f>
        <v/>
      </c>
      <c r="I74" s="63">
        <f>IF(LEN(IF((COUNTIFS(TableBOM[Product ID],$D$3,TableBOM[Item ID],$A74)&gt;0)*($H$3&gt;0),$E$3&amp;", ","")&amp;IF((COUNTIFS(TableBOM[Product ID],$D$4,TableBOM[Item ID],$A74)&gt;0)*($H$4&gt;0),$E$4&amp;", ","")&amp;IF((COUNTIFS(TableBOM[Product ID],$D$5,TableBOM[Item ID],$A74)&gt;0)*($H$5&gt;0),$E$5&amp;", ","")&amp;IF((COUNTIFS(TableBOM[Product ID],$D$6,TableBOM[Item ID],$A74)&gt;0)*($H$6&gt;0),$E$6&amp;", ","")&amp;IF((COUNTIFS(TableBOM[Product ID],$D$7,TableBOM[Item ID],$A74)&gt;0)*($H$7&gt;0),$E$7&amp;", ","")&amp;IF((COUNTIFS(TableBOM[Product ID],$D$8,TableBOM[Item ID],$A74)&gt;0)*($H$8&gt;0),$E$8&amp;", ","")&amp;IF((COUNTIFS(TableBOM[Product ID],$D$9,TableBOM[Item ID],$A74)&gt;0)*($H$9&gt;0),$E$9&amp;", ","")&amp;IF((COUNTIFS(TableBOM[Product ID],$D$10,TableBOM[Item ID],$A74)&gt;0)*($H$10&gt;0),$E$10&amp;", ","")&amp;IF((COUNTIFS(TableBOM[Product ID],$D$11,TableBOM[Item ID],$A74)&gt;0)*($H$11&gt;0),$E$11&amp;", ","")&amp;IF((COUNTIFS(TableBOM[Product ID],$D$12,TableBOM[Item ID],$A74)&gt;0)*($H$12&gt;0),$E$12&amp;", ",""))&gt;1,LEFT(IF((COUNTIFS(TableBOM[Product ID],$D$3,TableBOM[Item ID],$A74)&gt;0)*($H$3&gt;0),$E$3&amp;", ","")&amp;IF((COUNTIFS(TableBOM[Product ID],$D$4,TableBOM[Item ID],$A74)&gt;0)*($H$4&gt;0),$E$4&amp;", ","")&amp;IF((COUNTIFS(TableBOM[Product ID],$D$5,TableBOM[Item ID],$A74)&gt;0)*($H$5&gt;0),$E$5&amp;", ","")&amp;IF((COUNTIFS(TableBOM[Product ID],$D$6,TableBOM[Item ID],$A74)&gt;0)*($H$6&gt;0),$E$6&amp;", ","")&amp;IF((COUNTIFS(TableBOM[Product ID],$D$7,TableBOM[Item ID],$A74)&gt;0)*($H$7&gt;0),$E$7&amp;", ","")&amp;IF((COUNTIFS(TableBOM[Product ID],$D$8,TableBOM[Item ID],$A74)&gt;0)*($H$8&gt;0),$E$8&amp;", ","")&amp;IF((COUNTIFS(TableBOM[Product ID],$D$9,TableBOM[Item ID],$A74)&gt;0)*($H$9&gt;0),$E$9&amp;", ","")&amp;IF((COUNTIFS(TableBOM[Product ID],$D$10,TableBOM[Item ID],$A74)&gt;0)*($H$10&gt;0),$E$10&amp;", ","")&amp;IF((COUNTIFS(TableBOM[Product ID],$D$11,TableBOM[Item ID],$A74)&gt;0)*($H$11&gt;0),$E$11&amp;", ","")&amp;IF((COUNTIFS(TableBOM[Product ID],$D$12,TableBOM[Item ID],$A74)&gt;0)*($H$12&gt;0),$E$12&amp;", ",""),LEN(IF((COUNTIFS(TableBOM[Product ID],$D$3,TableBOM[Item ID],$A74)&gt;0)*($H$3&gt;0),$E$3&amp;", ","")&amp;IF((COUNTIFS(TableBOM[Product ID],$D$4,TableBOM[Item ID],$A74)&gt;0)*($H$4&gt;0),$E$4&amp;", ","")&amp;IF((COUNTIFS(TableBOM[Product ID],$D$5,TableBOM[Item ID],$A74)&gt;0)*($H$5&gt;0),$E$5&amp;", ","")&amp;IF((COUNTIFS(TableBOM[Product ID],$D$6,TableBOM[Item ID],$A74)&gt;0)*($H$6&gt;0),$E$6&amp;", ","")&amp;IF((COUNTIFS(TableBOM[Product ID],$D$7,TableBOM[Item ID],$A74)&gt;0)*($H$7&gt;0),$E$7&amp;", ","")&amp;IF((COUNTIFS(TableBOM[Product ID],$D$8,TableBOM[Item ID],$A74)&gt;0)*($H$8&gt;0),$E$8&amp;", ","")&amp;IF((COUNTIFS(TableBOM[Product ID],$D$9,TableBOM[Item ID],$A74)&gt;0)*($H$9&gt;0),$E$9&amp;", ","")&amp;IF((COUNTIFS(TableBOM[Product ID],$D$10,TableBOM[Item ID],$A74)&gt;0)*($H$10&gt;0),$E$10&amp;", ","")&amp;IF((COUNTIFS(TableBOM[Product ID],$D$11,TableBOM[Item ID],$A74)&gt;0)*($H$11&gt;0),$E$11&amp;", ","")&amp;IF((COUNTIFS(TableBOM[Product ID],$D$12,TableBOM[Item ID],$A74)&gt;0)*($H$12&gt;0),$E$12&amp;", ",""))-2),"")</f>
        <v/>
      </c>
      <c r="J74" s="64">
        <f>IF(E74=0,"Not needed",IF(G74&lt;0,"SHORTAGE",IF(G74&lt;F74*0.1,"LOW","OK")))</f>
        <v/>
      </c>
      <c r="K74" s="64">
        <f>IF(B74&lt;&gt;"CAP","",SUMPRODUCT((ISNUMBER(SEARCH("Cap Not Available",'FG Stock'!$H$4:$H$100)))*('FG Stock'!$I$4:$I$100=A74)*'FG Stock'!$F$4:$F$100))</f>
        <v/>
      </c>
      <c r="L74" s="64">
        <f>IF(E74=0,"",MAX(0,E74+IFERROR(K74*1,0)-F74))</f>
        <v/>
      </c>
    </row>
    <row r="75" ht="24" customHeight="1" s="249">
      <c r="A75" s="55" t="n">
        <v>3619</v>
      </c>
      <c r="B75" s="55" t="inlineStr">
        <is>
          <t>CARTON</t>
        </is>
      </c>
      <c r="C75" s="55" t="inlineStr">
        <is>
          <t>20.5x510 5ply</t>
        </is>
      </c>
      <c r="D75" s="55" t="inlineStr">
        <is>
          <t>PCS</t>
        </is>
      </c>
      <c r="E75" s="61">
        <f>SUMPRODUCT((TableBOM[Item ID]=A75)*TableBOM[Per 1000 Units]*(1+TableBOM[Scrap %])*SUMIF($D$3:$D$12,TableBOM[Product ID],$H$3:$H$12)/1000)</f>
        <v/>
      </c>
      <c r="F75" s="61">
        <f>IFERROR(INDEX(TableInventory[Store Balance],MATCH(A75,TableInventory[Item ID],0)),0)+IFERROR(INDEX(TableInventory[Work In Process],MATCH(A75,TableInventory[Item ID],0)),0)</f>
        <v/>
      </c>
      <c r="G75" s="65">
        <f>F75-E75</f>
        <v/>
      </c>
      <c r="H75" s="62">
        <f>IF(LEN(IF((COUNTIFS(TableBOM[Product ID],$D$3,TableBOM[Item ID],$A75)&gt;0)*($H$3&gt;0),$C$3&amp;", ","")&amp;IF((COUNTIFS(TableBOM[Product ID],$D$4,TableBOM[Item ID],$A75)&gt;0)*($H$4&gt;0),$C$4&amp;", ","")&amp;IF((COUNTIFS(TableBOM[Product ID],$D$5,TableBOM[Item ID],$A75)&gt;0)*($H$5&gt;0),$C$5&amp;", ","")&amp;IF((COUNTIFS(TableBOM[Product ID],$D$6,TableBOM[Item ID],$A75)&gt;0)*($H$6&gt;0),$C$6&amp;", ","")&amp;IF((COUNTIFS(TableBOM[Product ID],$D$7,TableBOM[Item ID],$A75)&gt;0)*($H$7&gt;0),$C$7&amp;", ","")&amp;IF((COUNTIFS(TableBOM[Product ID],$D$8,TableBOM[Item ID],$A75)&gt;0)*($H$8&gt;0),$C$8&amp;", ","")&amp;IF((COUNTIFS(TableBOM[Product ID],$D$9,TableBOM[Item ID],$A75)&gt;0)*($H$9&gt;0),$C$9&amp;", ","")&amp;IF((COUNTIFS(TableBOM[Product ID],$D$10,TableBOM[Item ID],$A75)&gt;0)*($H$10&gt;0),$C$10&amp;", ","")&amp;IF((COUNTIFS(TableBOM[Product ID],$D$11,TableBOM[Item ID],$A75)&gt;0)*($H$11&gt;0),$C$11&amp;", ","")&amp;IF((COUNTIFS(TableBOM[Product ID],$D$12,TableBOM[Item ID],$A75)&gt;0)*($H$12&gt;0),$C$12&amp;", ",""))&gt;1,LEFT(IF((COUNTIFS(TableBOM[Product ID],$D$3,TableBOM[Item ID],$A75)&gt;0)*($H$3&gt;0),$C$3&amp;", ","")&amp;IF((COUNTIFS(TableBOM[Product ID],$D$4,TableBOM[Item ID],$A75)&gt;0)*($H$4&gt;0),$C$4&amp;", ","")&amp;IF((COUNTIFS(TableBOM[Product ID],$D$5,TableBOM[Item ID],$A75)&gt;0)*($H$5&gt;0),$C$5&amp;", ","")&amp;IF((COUNTIFS(TableBOM[Product ID],$D$6,TableBOM[Item ID],$A75)&gt;0)*($H$6&gt;0),$C$6&amp;", ","")&amp;IF((COUNTIFS(TableBOM[Product ID],$D$7,TableBOM[Item ID],$A75)&gt;0)*($H$7&gt;0),$C$7&amp;", ","")&amp;IF((COUNTIFS(TableBOM[Product ID],$D$8,TableBOM[Item ID],$A75)&gt;0)*($H$8&gt;0),$C$8&amp;", ","")&amp;IF((COUNTIFS(TableBOM[Product ID],$D$9,TableBOM[Item ID],$A75)&gt;0)*($H$9&gt;0),$C$9&amp;", ","")&amp;IF((COUNTIFS(TableBOM[Product ID],$D$10,TableBOM[Item ID],$A75)&gt;0)*($H$10&gt;0),$C$10&amp;", ","")&amp;IF((COUNTIFS(TableBOM[Product ID],$D$11,TableBOM[Item ID],$A75)&gt;0)*($H$11&gt;0),$C$11&amp;", ","")&amp;IF((COUNTIFS(TableBOM[Product ID],$D$12,TableBOM[Item ID],$A75)&gt;0)*($H$12&gt;0),$C$12&amp;", ",""),LEN(IF((COUNTIFS(TableBOM[Product ID],$D$3,TableBOM[Item ID],$A75)&gt;0)*($H$3&gt;0),$C$3&amp;", ","")&amp;IF((COUNTIFS(TableBOM[Product ID],$D$4,TableBOM[Item ID],$A75)&gt;0)*($H$4&gt;0),$C$4&amp;", ","")&amp;IF((COUNTIFS(TableBOM[Product ID],$D$5,TableBOM[Item ID],$A75)&gt;0)*($H$5&gt;0),$C$5&amp;", ","")&amp;IF((COUNTIFS(TableBOM[Product ID],$D$6,TableBOM[Item ID],$A75)&gt;0)*($H$6&gt;0),$C$6&amp;", ","")&amp;IF((COUNTIFS(TableBOM[Product ID],$D$7,TableBOM[Item ID],$A75)&gt;0)*($H$7&gt;0),$C$7&amp;", ","")&amp;IF((COUNTIFS(TableBOM[Product ID],$D$8,TableBOM[Item ID],$A75)&gt;0)*($H$8&gt;0),$C$8&amp;", ","")&amp;IF((COUNTIFS(TableBOM[Product ID],$D$9,TableBOM[Item ID],$A75)&gt;0)*($H$9&gt;0),$C$9&amp;", ","")&amp;IF((COUNTIFS(TableBOM[Product ID],$D$10,TableBOM[Item ID],$A75)&gt;0)*($H$10&gt;0),$C$10&amp;", ","")&amp;IF((COUNTIFS(TableBOM[Product ID],$D$11,TableBOM[Item ID],$A75)&gt;0)*($H$11&gt;0),$C$11&amp;", ","")&amp;IF((COUNTIFS(TableBOM[Product ID],$D$12,TableBOM[Item ID],$A75)&gt;0)*($H$12&gt;0),$C$12&amp;", ",""))-2),"")</f>
        <v/>
      </c>
      <c r="I75" s="63">
        <f>IF(LEN(IF((COUNTIFS(TableBOM[Product ID],$D$3,TableBOM[Item ID],$A75)&gt;0)*($H$3&gt;0),$E$3&amp;", ","")&amp;IF((COUNTIFS(TableBOM[Product ID],$D$4,TableBOM[Item ID],$A75)&gt;0)*($H$4&gt;0),$E$4&amp;", ","")&amp;IF((COUNTIFS(TableBOM[Product ID],$D$5,TableBOM[Item ID],$A75)&gt;0)*($H$5&gt;0),$E$5&amp;", ","")&amp;IF((COUNTIFS(TableBOM[Product ID],$D$6,TableBOM[Item ID],$A75)&gt;0)*($H$6&gt;0),$E$6&amp;", ","")&amp;IF((COUNTIFS(TableBOM[Product ID],$D$7,TableBOM[Item ID],$A75)&gt;0)*($H$7&gt;0),$E$7&amp;", ","")&amp;IF((COUNTIFS(TableBOM[Product ID],$D$8,TableBOM[Item ID],$A75)&gt;0)*($H$8&gt;0),$E$8&amp;", ","")&amp;IF((COUNTIFS(TableBOM[Product ID],$D$9,TableBOM[Item ID],$A75)&gt;0)*($H$9&gt;0),$E$9&amp;", ","")&amp;IF((COUNTIFS(TableBOM[Product ID],$D$10,TableBOM[Item ID],$A75)&gt;0)*($H$10&gt;0),$E$10&amp;", ","")&amp;IF((COUNTIFS(TableBOM[Product ID],$D$11,TableBOM[Item ID],$A75)&gt;0)*($H$11&gt;0),$E$11&amp;", ","")&amp;IF((COUNTIFS(TableBOM[Product ID],$D$12,TableBOM[Item ID],$A75)&gt;0)*($H$12&gt;0),$E$12&amp;", ",""))&gt;1,LEFT(IF((COUNTIFS(TableBOM[Product ID],$D$3,TableBOM[Item ID],$A75)&gt;0)*($H$3&gt;0),$E$3&amp;", ","")&amp;IF((COUNTIFS(TableBOM[Product ID],$D$4,TableBOM[Item ID],$A75)&gt;0)*($H$4&gt;0),$E$4&amp;", ","")&amp;IF((COUNTIFS(TableBOM[Product ID],$D$5,TableBOM[Item ID],$A75)&gt;0)*($H$5&gt;0),$E$5&amp;", ","")&amp;IF((COUNTIFS(TableBOM[Product ID],$D$6,TableBOM[Item ID],$A75)&gt;0)*($H$6&gt;0),$E$6&amp;", ","")&amp;IF((COUNTIFS(TableBOM[Product ID],$D$7,TableBOM[Item ID],$A75)&gt;0)*($H$7&gt;0),$E$7&amp;", ","")&amp;IF((COUNTIFS(TableBOM[Product ID],$D$8,TableBOM[Item ID],$A75)&gt;0)*($H$8&gt;0),$E$8&amp;", ","")&amp;IF((COUNTIFS(TableBOM[Product ID],$D$9,TableBOM[Item ID],$A75)&gt;0)*($H$9&gt;0),$E$9&amp;", ","")&amp;IF((COUNTIFS(TableBOM[Product ID],$D$10,TableBOM[Item ID],$A75)&gt;0)*($H$10&gt;0),$E$10&amp;", ","")&amp;IF((COUNTIFS(TableBOM[Product ID],$D$11,TableBOM[Item ID],$A75)&gt;0)*($H$11&gt;0),$E$11&amp;", ","")&amp;IF((COUNTIFS(TableBOM[Product ID],$D$12,TableBOM[Item ID],$A75)&gt;0)*($H$12&gt;0),$E$12&amp;", ",""),LEN(IF((COUNTIFS(TableBOM[Product ID],$D$3,TableBOM[Item ID],$A75)&gt;0)*($H$3&gt;0),$E$3&amp;", ","")&amp;IF((COUNTIFS(TableBOM[Product ID],$D$4,TableBOM[Item ID],$A75)&gt;0)*($H$4&gt;0),$E$4&amp;", ","")&amp;IF((COUNTIFS(TableBOM[Product ID],$D$5,TableBOM[Item ID],$A75)&gt;0)*($H$5&gt;0),$E$5&amp;", ","")&amp;IF((COUNTIFS(TableBOM[Product ID],$D$6,TableBOM[Item ID],$A75)&gt;0)*($H$6&gt;0),$E$6&amp;", ","")&amp;IF((COUNTIFS(TableBOM[Product ID],$D$7,TableBOM[Item ID],$A75)&gt;0)*($H$7&gt;0),$E$7&amp;", ","")&amp;IF((COUNTIFS(TableBOM[Product ID],$D$8,TableBOM[Item ID],$A75)&gt;0)*($H$8&gt;0),$E$8&amp;", ","")&amp;IF((COUNTIFS(TableBOM[Product ID],$D$9,TableBOM[Item ID],$A75)&gt;0)*($H$9&gt;0),$E$9&amp;", ","")&amp;IF((COUNTIFS(TableBOM[Product ID],$D$10,TableBOM[Item ID],$A75)&gt;0)*($H$10&gt;0),$E$10&amp;", ","")&amp;IF((COUNTIFS(TableBOM[Product ID],$D$11,TableBOM[Item ID],$A75)&gt;0)*($H$11&gt;0),$E$11&amp;", ","")&amp;IF((COUNTIFS(TableBOM[Product ID],$D$12,TableBOM[Item ID],$A75)&gt;0)*($H$12&gt;0),$E$12&amp;", ",""))-2),"")</f>
        <v/>
      </c>
      <c r="J75" s="64">
        <f>IF(E75=0,"Not needed",IF(G75&lt;0,"SHORTAGE",IF(G75&lt;F75*0.1,"LOW","OK")))</f>
        <v/>
      </c>
      <c r="K75" s="64">
        <f>IF(B75&lt;&gt;"CAP","",SUMPRODUCT((ISNUMBER(SEARCH("Cap Not Available",'FG Stock'!$H$4:$H$100)))*('FG Stock'!$I$4:$I$100=A75)*'FG Stock'!$F$4:$F$100))</f>
        <v/>
      </c>
      <c r="L75" s="64">
        <f>IF(E75=0,"",MAX(0,E75+IFERROR(K75*1,0)-F75))</f>
        <v/>
      </c>
    </row>
    <row r="76" hidden="1" ht="36" customHeight="1" s="249">
      <c r="A76" s="55" t="n">
        <v>3598</v>
      </c>
      <c r="B76" s="55" t="inlineStr">
        <is>
          <t>CARTON</t>
        </is>
      </c>
      <c r="C76" s="55" t="inlineStr">
        <is>
          <t>25x336 5Ply</t>
        </is>
      </c>
      <c r="D76" s="55" t="inlineStr">
        <is>
          <t>PCS</t>
        </is>
      </c>
      <c r="E76" s="61">
        <f>SUMPRODUCT((TableBOM[Item ID]=A76)*TableBOM[Per 1000 Units]*(1+TableBOM[Scrap %])*SUMIF($D$3:$D$12,TableBOM[Product ID],$H$3:$H$12)/1000)</f>
        <v/>
      </c>
      <c r="F76" s="61">
        <f>IFERROR(INDEX(TableInventory[Store Balance],MATCH(A76,TableInventory[Item ID],0)),0)+IFERROR(INDEX(TableInventory[Work In Process],MATCH(A76,TableInventory[Item ID],0)),0)</f>
        <v/>
      </c>
      <c r="G76" s="65">
        <f>F76-E76</f>
        <v/>
      </c>
      <c r="H76" s="62">
        <f>IF(LEN(IF((COUNTIFS(TableBOM[Product ID],$D$3,TableBOM[Item ID],$A76)&gt;0)*($H$3&gt;0),$C$3&amp;", ","")&amp;IF((COUNTIFS(TableBOM[Product ID],$D$4,TableBOM[Item ID],$A76)&gt;0)*($H$4&gt;0),$C$4&amp;", ","")&amp;IF((COUNTIFS(TableBOM[Product ID],$D$5,TableBOM[Item ID],$A76)&gt;0)*($H$5&gt;0),$C$5&amp;", ","")&amp;IF((COUNTIFS(TableBOM[Product ID],$D$6,TableBOM[Item ID],$A76)&gt;0)*($H$6&gt;0),$C$6&amp;", ","")&amp;IF((COUNTIFS(TableBOM[Product ID],$D$7,TableBOM[Item ID],$A76)&gt;0)*($H$7&gt;0),$C$7&amp;", ","")&amp;IF((COUNTIFS(TableBOM[Product ID],$D$8,TableBOM[Item ID],$A76)&gt;0)*($H$8&gt;0),$C$8&amp;", ","")&amp;IF((COUNTIFS(TableBOM[Product ID],$D$9,TableBOM[Item ID],$A76)&gt;0)*($H$9&gt;0),$C$9&amp;", ","")&amp;IF((COUNTIFS(TableBOM[Product ID],$D$10,TableBOM[Item ID],$A76)&gt;0)*($H$10&gt;0),$C$10&amp;", ","")&amp;IF((COUNTIFS(TableBOM[Product ID],$D$11,TableBOM[Item ID],$A76)&gt;0)*($H$11&gt;0),$C$11&amp;", ","")&amp;IF((COUNTIFS(TableBOM[Product ID],$D$12,TableBOM[Item ID],$A76)&gt;0)*($H$12&gt;0),$C$12&amp;", ",""))&gt;1,LEFT(IF((COUNTIFS(TableBOM[Product ID],$D$3,TableBOM[Item ID],$A76)&gt;0)*($H$3&gt;0),$C$3&amp;", ","")&amp;IF((COUNTIFS(TableBOM[Product ID],$D$4,TableBOM[Item ID],$A76)&gt;0)*($H$4&gt;0),$C$4&amp;", ","")&amp;IF((COUNTIFS(TableBOM[Product ID],$D$5,TableBOM[Item ID],$A76)&gt;0)*($H$5&gt;0),$C$5&amp;", ","")&amp;IF((COUNTIFS(TableBOM[Product ID],$D$6,TableBOM[Item ID],$A76)&gt;0)*($H$6&gt;0),$C$6&amp;", ","")&amp;IF((COUNTIFS(TableBOM[Product ID],$D$7,TableBOM[Item ID],$A76)&gt;0)*($H$7&gt;0),$C$7&amp;", ","")&amp;IF((COUNTIFS(TableBOM[Product ID],$D$8,TableBOM[Item ID],$A76)&gt;0)*($H$8&gt;0),$C$8&amp;", ","")&amp;IF((COUNTIFS(TableBOM[Product ID],$D$9,TableBOM[Item ID],$A76)&gt;0)*($H$9&gt;0),$C$9&amp;", ","")&amp;IF((COUNTIFS(TableBOM[Product ID],$D$10,TableBOM[Item ID],$A76)&gt;0)*($H$10&gt;0),$C$10&amp;", ","")&amp;IF((COUNTIFS(TableBOM[Product ID],$D$11,TableBOM[Item ID],$A76)&gt;0)*($H$11&gt;0),$C$11&amp;", ","")&amp;IF((COUNTIFS(TableBOM[Product ID],$D$12,TableBOM[Item ID],$A76)&gt;0)*($H$12&gt;0),$C$12&amp;", ",""),LEN(IF((COUNTIFS(TableBOM[Product ID],$D$3,TableBOM[Item ID],$A76)&gt;0)*($H$3&gt;0),$C$3&amp;", ","")&amp;IF((COUNTIFS(TableBOM[Product ID],$D$4,TableBOM[Item ID],$A76)&gt;0)*($H$4&gt;0),$C$4&amp;", ","")&amp;IF((COUNTIFS(TableBOM[Product ID],$D$5,TableBOM[Item ID],$A76)&gt;0)*($H$5&gt;0),$C$5&amp;", ","")&amp;IF((COUNTIFS(TableBOM[Product ID],$D$6,TableBOM[Item ID],$A76)&gt;0)*($H$6&gt;0),$C$6&amp;", ","")&amp;IF((COUNTIFS(TableBOM[Product ID],$D$7,TableBOM[Item ID],$A76)&gt;0)*($H$7&gt;0),$C$7&amp;", ","")&amp;IF((COUNTIFS(TableBOM[Product ID],$D$8,TableBOM[Item ID],$A76)&gt;0)*($H$8&gt;0),$C$8&amp;", ","")&amp;IF((COUNTIFS(TableBOM[Product ID],$D$9,TableBOM[Item ID],$A76)&gt;0)*($H$9&gt;0),$C$9&amp;", ","")&amp;IF((COUNTIFS(TableBOM[Product ID],$D$10,TableBOM[Item ID],$A76)&gt;0)*($H$10&gt;0),$C$10&amp;", ","")&amp;IF((COUNTIFS(TableBOM[Product ID],$D$11,TableBOM[Item ID],$A76)&gt;0)*($H$11&gt;0),$C$11&amp;", ","")&amp;IF((COUNTIFS(TableBOM[Product ID],$D$12,TableBOM[Item ID],$A76)&gt;0)*($H$12&gt;0),$C$12&amp;", ",""))-2),"")</f>
        <v/>
      </c>
      <c r="I76" s="63">
        <f>IF(LEN(IF((COUNTIFS(TableBOM[Product ID],$D$3,TableBOM[Item ID],$A76)&gt;0)*($H$3&gt;0),$E$3&amp;", ","")&amp;IF((COUNTIFS(TableBOM[Product ID],$D$4,TableBOM[Item ID],$A76)&gt;0)*($H$4&gt;0),$E$4&amp;", ","")&amp;IF((COUNTIFS(TableBOM[Product ID],$D$5,TableBOM[Item ID],$A76)&gt;0)*($H$5&gt;0),$E$5&amp;", ","")&amp;IF((COUNTIFS(TableBOM[Product ID],$D$6,TableBOM[Item ID],$A76)&gt;0)*($H$6&gt;0),$E$6&amp;", ","")&amp;IF((COUNTIFS(TableBOM[Product ID],$D$7,TableBOM[Item ID],$A76)&gt;0)*($H$7&gt;0),$E$7&amp;", ","")&amp;IF((COUNTIFS(TableBOM[Product ID],$D$8,TableBOM[Item ID],$A76)&gt;0)*($H$8&gt;0),$E$8&amp;", ","")&amp;IF((COUNTIFS(TableBOM[Product ID],$D$9,TableBOM[Item ID],$A76)&gt;0)*($H$9&gt;0),$E$9&amp;", ","")&amp;IF((COUNTIFS(TableBOM[Product ID],$D$10,TableBOM[Item ID],$A76)&gt;0)*($H$10&gt;0),$E$10&amp;", ","")&amp;IF((COUNTIFS(TableBOM[Product ID],$D$11,TableBOM[Item ID],$A76)&gt;0)*($H$11&gt;0),$E$11&amp;", ","")&amp;IF((COUNTIFS(TableBOM[Product ID],$D$12,TableBOM[Item ID],$A76)&gt;0)*($H$12&gt;0),$E$12&amp;", ",""))&gt;1,LEFT(IF((COUNTIFS(TableBOM[Product ID],$D$3,TableBOM[Item ID],$A76)&gt;0)*($H$3&gt;0),$E$3&amp;", ","")&amp;IF((COUNTIFS(TableBOM[Product ID],$D$4,TableBOM[Item ID],$A76)&gt;0)*($H$4&gt;0),$E$4&amp;", ","")&amp;IF((COUNTIFS(TableBOM[Product ID],$D$5,TableBOM[Item ID],$A76)&gt;0)*($H$5&gt;0),$E$5&amp;", ","")&amp;IF((COUNTIFS(TableBOM[Product ID],$D$6,TableBOM[Item ID],$A76)&gt;0)*($H$6&gt;0),$E$6&amp;", ","")&amp;IF((COUNTIFS(TableBOM[Product ID],$D$7,TableBOM[Item ID],$A76)&gt;0)*($H$7&gt;0),$E$7&amp;", ","")&amp;IF((COUNTIFS(TableBOM[Product ID],$D$8,TableBOM[Item ID],$A76)&gt;0)*($H$8&gt;0),$E$8&amp;", ","")&amp;IF((COUNTIFS(TableBOM[Product ID],$D$9,TableBOM[Item ID],$A76)&gt;0)*($H$9&gt;0),$E$9&amp;", ","")&amp;IF((COUNTIFS(TableBOM[Product ID],$D$10,TableBOM[Item ID],$A76)&gt;0)*($H$10&gt;0),$E$10&amp;", ","")&amp;IF((COUNTIFS(TableBOM[Product ID],$D$11,TableBOM[Item ID],$A76)&gt;0)*($H$11&gt;0),$E$11&amp;", ","")&amp;IF((COUNTIFS(TableBOM[Product ID],$D$12,TableBOM[Item ID],$A76)&gt;0)*($H$12&gt;0),$E$12&amp;", ",""),LEN(IF((COUNTIFS(TableBOM[Product ID],$D$3,TableBOM[Item ID],$A76)&gt;0)*($H$3&gt;0),$E$3&amp;", ","")&amp;IF((COUNTIFS(TableBOM[Product ID],$D$4,TableBOM[Item ID],$A76)&gt;0)*($H$4&gt;0),$E$4&amp;", ","")&amp;IF((COUNTIFS(TableBOM[Product ID],$D$5,TableBOM[Item ID],$A76)&gt;0)*($H$5&gt;0),$E$5&amp;", ","")&amp;IF((COUNTIFS(TableBOM[Product ID],$D$6,TableBOM[Item ID],$A76)&gt;0)*($H$6&gt;0),$E$6&amp;", ","")&amp;IF((COUNTIFS(TableBOM[Product ID],$D$7,TableBOM[Item ID],$A76)&gt;0)*($H$7&gt;0),$E$7&amp;", ","")&amp;IF((COUNTIFS(TableBOM[Product ID],$D$8,TableBOM[Item ID],$A76)&gt;0)*($H$8&gt;0),$E$8&amp;", ","")&amp;IF((COUNTIFS(TableBOM[Product ID],$D$9,TableBOM[Item ID],$A76)&gt;0)*($H$9&gt;0),$E$9&amp;", ","")&amp;IF((COUNTIFS(TableBOM[Product ID],$D$10,TableBOM[Item ID],$A76)&gt;0)*($H$10&gt;0),$E$10&amp;", ","")&amp;IF((COUNTIFS(TableBOM[Product ID],$D$11,TableBOM[Item ID],$A76)&gt;0)*($H$11&gt;0),$E$11&amp;", ","")&amp;IF((COUNTIFS(TableBOM[Product ID],$D$12,TableBOM[Item ID],$A76)&gt;0)*($H$12&gt;0),$E$12&amp;", ",""))-2),"")</f>
        <v/>
      </c>
      <c r="J76" s="64">
        <f>IF(E76=0,"Not needed",IF(G76&lt;0,"SHORTAGE",IF(G76&lt;F76*0.1,"LOW","OK")))</f>
        <v/>
      </c>
      <c r="K76" s="64">
        <f>IF(B76&lt;&gt;"CAP","",SUMPRODUCT((ISNUMBER(SEARCH("Cap Not Available",'FG Stock'!$H$4:$H$100)))*('FG Stock'!$I$4:$I$100=A76)*'FG Stock'!$F$4:$F$100))</f>
        <v/>
      </c>
      <c r="L76" s="64">
        <f>IF(E76=0,"",MAX(0,E76+IFERROR(K76*1,0)-F76))</f>
        <v/>
      </c>
    </row>
    <row r="77" hidden="1" ht="15" customHeight="1" s="249">
      <c r="A77" s="55" t="n">
        <v>45</v>
      </c>
      <c r="B77" s="55" t="inlineStr">
        <is>
          <t>CARTON</t>
        </is>
      </c>
      <c r="C77" s="55" t="inlineStr">
        <is>
          <t>30X150 3Ply</t>
        </is>
      </c>
      <c r="D77" s="55" t="inlineStr">
        <is>
          <t>PCS</t>
        </is>
      </c>
      <c r="E77" s="61">
        <f>SUMPRODUCT((TableBOM[Item ID]=A77)*TableBOM[Per 1000 Units]*(1+TableBOM[Scrap %])*SUMIF($D$3:$D$12,TableBOM[Product ID],$H$3:$H$12)/1000)</f>
        <v/>
      </c>
      <c r="F77" s="61">
        <f>IFERROR(INDEX(TableInventory[Store Balance],MATCH(A77,TableInventory[Item ID],0)),0)+IFERROR(INDEX(TableInventory[Work In Process],MATCH(A77,TableInventory[Item ID],0)),0)</f>
        <v/>
      </c>
      <c r="G77" s="61">
        <f>F77-E77</f>
        <v/>
      </c>
      <c r="H77" s="62">
        <f>IF(LEN(IF((COUNTIFS(TableBOM[Product ID],$D$3,TableBOM[Item ID],$A77)&gt;0)*($H$3&gt;0),$C$3&amp;", ","")&amp;IF((COUNTIFS(TableBOM[Product ID],$D$4,TableBOM[Item ID],$A77)&gt;0)*($H$4&gt;0),$C$4&amp;", ","")&amp;IF((COUNTIFS(TableBOM[Product ID],$D$5,TableBOM[Item ID],$A77)&gt;0)*($H$5&gt;0),$C$5&amp;", ","")&amp;IF((COUNTIFS(TableBOM[Product ID],$D$6,TableBOM[Item ID],$A77)&gt;0)*($H$6&gt;0),$C$6&amp;", ","")&amp;IF((COUNTIFS(TableBOM[Product ID],$D$7,TableBOM[Item ID],$A77)&gt;0)*($H$7&gt;0),$C$7&amp;", ","")&amp;IF((COUNTIFS(TableBOM[Product ID],$D$8,TableBOM[Item ID],$A77)&gt;0)*($H$8&gt;0),$C$8&amp;", ","")&amp;IF((COUNTIFS(TableBOM[Product ID],$D$9,TableBOM[Item ID],$A77)&gt;0)*($H$9&gt;0),$C$9&amp;", ","")&amp;IF((COUNTIFS(TableBOM[Product ID],$D$10,TableBOM[Item ID],$A77)&gt;0)*($H$10&gt;0),$C$10&amp;", ","")&amp;IF((COUNTIFS(TableBOM[Product ID],$D$11,TableBOM[Item ID],$A77)&gt;0)*($H$11&gt;0),$C$11&amp;", ","")&amp;IF((COUNTIFS(TableBOM[Product ID],$D$12,TableBOM[Item ID],$A77)&gt;0)*($H$12&gt;0),$C$12&amp;", ",""))&gt;1,LEFT(IF((COUNTIFS(TableBOM[Product ID],$D$3,TableBOM[Item ID],$A77)&gt;0)*($H$3&gt;0),$C$3&amp;", ","")&amp;IF((COUNTIFS(TableBOM[Product ID],$D$4,TableBOM[Item ID],$A77)&gt;0)*($H$4&gt;0),$C$4&amp;", ","")&amp;IF((COUNTIFS(TableBOM[Product ID],$D$5,TableBOM[Item ID],$A77)&gt;0)*($H$5&gt;0),$C$5&amp;", ","")&amp;IF((COUNTIFS(TableBOM[Product ID],$D$6,TableBOM[Item ID],$A77)&gt;0)*($H$6&gt;0),$C$6&amp;", ","")&amp;IF((COUNTIFS(TableBOM[Product ID],$D$7,TableBOM[Item ID],$A77)&gt;0)*($H$7&gt;0),$C$7&amp;", ","")&amp;IF((COUNTIFS(TableBOM[Product ID],$D$8,TableBOM[Item ID],$A77)&gt;0)*($H$8&gt;0),$C$8&amp;", ","")&amp;IF((COUNTIFS(TableBOM[Product ID],$D$9,TableBOM[Item ID],$A77)&gt;0)*($H$9&gt;0),$C$9&amp;", ","")&amp;IF((COUNTIFS(TableBOM[Product ID],$D$10,TableBOM[Item ID],$A77)&gt;0)*($H$10&gt;0),$C$10&amp;", ","")&amp;IF((COUNTIFS(TableBOM[Product ID],$D$11,TableBOM[Item ID],$A77)&gt;0)*($H$11&gt;0),$C$11&amp;", ","")&amp;IF((COUNTIFS(TableBOM[Product ID],$D$12,TableBOM[Item ID],$A77)&gt;0)*($H$12&gt;0),$C$12&amp;", ",""),LEN(IF((COUNTIFS(TableBOM[Product ID],$D$3,TableBOM[Item ID],$A77)&gt;0)*($H$3&gt;0),$C$3&amp;", ","")&amp;IF((COUNTIFS(TableBOM[Product ID],$D$4,TableBOM[Item ID],$A77)&gt;0)*($H$4&gt;0),$C$4&amp;", ","")&amp;IF((COUNTIFS(TableBOM[Product ID],$D$5,TableBOM[Item ID],$A77)&gt;0)*($H$5&gt;0),$C$5&amp;", ","")&amp;IF((COUNTIFS(TableBOM[Product ID],$D$6,TableBOM[Item ID],$A77)&gt;0)*($H$6&gt;0),$C$6&amp;", ","")&amp;IF((COUNTIFS(TableBOM[Product ID],$D$7,TableBOM[Item ID],$A77)&gt;0)*($H$7&gt;0),$C$7&amp;", ","")&amp;IF((COUNTIFS(TableBOM[Product ID],$D$8,TableBOM[Item ID],$A77)&gt;0)*($H$8&gt;0),$C$8&amp;", ","")&amp;IF((COUNTIFS(TableBOM[Product ID],$D$9,TableBOM[Item ID],$A77)&gt;0)*($H$9&gt;0),$C$9&amp;", ","")&amp;IF((COUNTIFS(TableBOM[Product ID],$D$10,TableBOM[Item ID],$A77)&gt;0)*($H$10&gt;0),$C$10&amp;", ","")&amp;IF((COUNTIFS(TableBOM[Product ID],$D$11,TableBOM[Item ID],$A77)&gt;0)*($H$11&gt;0),$C$11&amp;", ","")&amp;IF((COUNTIFS(TableBOM[Product ID],$D$12,TableBOM[Item ID],$A77)&gt;0)*($H$12&gt;0),$C$12&amp;", ",""))-2),"")</f>
        <v/>
      </c>
      <c r="I77" s="63">
        <f>IF(LEN(IF((COUNTIFS(TableBOM[Product ID],$D$3,TableBOM[Item ID],$A77)&gt;0)*($H$3&gt;0),$E$3&amp;", ","")&amp;IF((COUNTIFS(TableBOM[Product ID],$D$4,TableBOM[Item ID],$A77)&gt;0)*($H$4&gt;0),$E$4&amp;", ","")&amp;IF((COUNTIFS(TableBOM[Product ID],$D$5,TableBOM[Item ID],$A77)&gt;0)*($H$5&gt;0),$E$5&amp;", ","")&amp;IF((COUNTIFS(TableBOM[Product ID],$D$6,TableBOM[Item ID],$A77)&gt;0)*($H$6&gt;0),$E$6&amp;", ","")&amp;IF((COUNTIFS(TableBOM[Product ID],$D$7,TableBOM[Item ID],$A77)&gt;0)*($H$7&gt;0),$E$7&amp;", ","")&amp;IF((COUNTIFS(TableBOM[Product ID],$D$8,TableBOM[Item ID],$A77)&gt;0)*($H$8&gt;0),$E$8&amp;", ","")&amp;IF((COUNTIFS(TableBOM[Product ID],$D$9,TableBOM[Item ID],$A77)&gt;0)*($H$9&gt;0),$E$9&amp;", ","")&amp;IF((COUNTIFS(TableBOM[Product ID],$D$10,TableBOM[Item ID],$A77)&gt;0)*($H$10&gt;0),$E$10&amp;", ","")&amp;IF((COUNTIFS(TableBOM[Product ID],$D$11,TableBOM[Item ID],$A77)&gt;0)*($H$11&gt;0),$E$11&amp;", ","")&amp;IF((COUNTIFS(TableBOM[Product ID],$D$12,TableBOM[Item ID],$A77)&gt;0)*($H$12&gt;0),$E$12&amp;", ",""))&gt;1,LEFT(IF((COUNTIFS(TableBOM[Product ID],$D$3,TableBOM[Item ID],$A77)&gt;0)*($H$3&gt;0),$E$3&amp;", ","")&amp;IF((COUNTIFS(TableBOM[Product ID],$D$4,TableBOM[Item ID],$A77)&gt;0)*($H$4&gt;0),$E$4&amp;", ","")&amp;IF((COUNTIFS(TableBOM[Product ID],$D$5,TableBOM[Item ID],$A77)&gt;0)*($H$5&gt;0),$E$5&amp;", ","")&amp;IF((COUNTIFS(TableBOM[Product ID],$D$6,TableBOM[Item ID],$A77)&gt;0)*($H$6&gt;0),$E$6&amp;", ","")&amp;IF((COUNTIFS(TableBOM[Product ID],$D$7,TableBOM[Item ID],$A77)&gt;0)*($H$7&gt;0),$E$7&amp;", ","")&amp;IF((COUNTIFS(TableBOM[Product ID],$D$8,TableBOM[Item ID],$A77)&gt;0)*($H$8&gt;0),$E$8&amp;", ","")&amp;IF((COUNTIFS(TableBOM[Product ID],$D$9,TableBOM[Item ID],$A77)&gt;0)*($H$9&gt;0),$E$9&amp;", ","")&amp;IF((COUNTIFS(TableBOM[Product ID],$D$10,TableBOM[Item ID],$A77)&gt;0)*($H$10&gt;0),$E$10&amp;", ","")&amp;IF((COUNTIFS(TableBOM[Product ID],$D$11,TableBOM[Item ID],$A77)&gt;0)*($H$11&gt;0),$E$11&amp;", ","")&amp;IF((COUNTIFS(TableBOM[Product ID],$D$12,TableBOM[Item ID],$A77)&gt;0)*($H$12&gt;0),$E$12&amp;", ",""),LEN(IF((COUNTIFS(TableBOM[Product ID],$D$3,TableBOM[Item ID],$A77)&gt;0)*($H$3&gt;0),$E$3&amp;", ","")&amp;IF((COUNTIFS(TableBOM[Product ID],$D$4,TableBOM[Item ID],$A77)&gt;0)*($H$4&gt;0),$E$4&amp;", ","")&amp;IF((COUNTIFS(TableBOM[Product ID],$D$5,TableBOM[Item ID],$A77)&gt;0)*($H$5&gt;0),$E$5&amp;", ","")&amp;IF((COUNTIFS(TableBOM[Product ID],$D$6,TableBOM[Item ID],$A77)&gt;0)*($H$6&gt;0),$E$6&amp;", ","")&amp;IF((COUNTIFS(TableBOM[Product ID],$D$7,TableBOM[Item ID],$A77)&gt;0)*($H$7&gt;0),$E$7&amp;", ","")&amp;IF((COUNTIFS(TableBOM[Product ID],$D$8,TableBOM[Item ID],$A77)&gt;0)*($H$8&gt;0),$E$8&amp;", ","")&amp;IF((COUNTIFS(TableBOM[Product ID],$D$9,TableBOM[Item ID],$A77)&gt;0)*($H$9&gt;0),$E$9&amp;", ","")&amp;IF((COUNTIFS(TableBOM[Product ID],$D$10,TableBOM[Item ID],$A77)&gt;0)*($H$10&gt;0),$E$10&amp;", ","")&amp;IF((COUNTIFS(TableBOM[Product ID],$D$11,TableBOM[Item ID],$A77)&gt;0)*($H$11&gt;0),$E$11&amp;", ","")&amp;IF((COUNTIFS(TableBOM[Product ID],$D$12,TableBOM[Item ID],$A77)&gt;0)*($H$12&gt;0),$E$12&amp;", ",""))-2),"")</f>
        <v/>
      </c>
      <c r="J77" s="64">
        <f>IF(E77=0,"Not needed",IF(G77&lt;0,"SHORTAGE",IF(G77&lt;F77*0.1,"LOW","OK")))</f>
        <v/>
      </c>
      <c r="K77" s="64">
        <f>IF(B77&lt;&gt;"CAP","",SUMPRODUCT((ISNUMBER(SEARCH("Cap Not Available",'FG Stock'!$H$4:$H$100)))*('FG Stock'!$I$4:$I$100=A77)*'FG Stock'!$F$4:$F$100))</f>
        <v/>
      </c>
      <c r="L77" s="64">
        <f>IF(E77=0,"",MAX(0,E77+IFERROR(K77*1,0)-F77))</f>
        <v/>
      </c>
    </row>
    <row r="78" ht="24" customHeight="1" s="249">
      <c r="A78" s="55" t="n">
        <v>3988</v>
      </c>
      <c r="B78" s="55" t="inlineStr">
        <is>
          <t>CARTON</t>
        </is>
      </c>
      <c r="C78" s="55" t="inlineStr">
        <is>
          <t>35x165 5ply</t>
        </is>
      </c>
      <c r="D78" s="55" t="inlineStr">
        <is>
          <t>PCS</t>
        </is>
      </c>
      <c r="E78" s="61">
        <f>SUMPRODUCT((TableBOM[Item ID]=A78)*TableBOM[Per 1000 Units]*(1+TableBOM[Scrap %])*SUMIF($D$3:$D$12,TableBOM[Product ID],$H$3:$H$12)/1000)</f>
        <v/>
      </c>
      <c r="F78" s="61">
        <f>IFERROR(INDEX(TableInventory[Store Balance],MATCH(A78,TableInventory[Item ID],0)),0)+IFERROR(INDEX(TableInventory[Work In Process],MATCH(A78,TableInventory[Item ID],0)),0)</f>
        <v/>
      </c>
      <c r="G78" s="65">
        <f>F78-E78</f>
        <v/>
      </c>
      <c r="H78" s="62">
        <f>IF(LEN(IF((COUNTIFS(TableBOM[Product ID],$D$3,TableBOM[Item ID],$A78)&gt;0)*($H$3&gt;0),$C$3&amp;", ","")&amp;IF((COUNTIFS(TableBOM[Product ID],$D$4,TableBOM[Item ID],$A78)&gt;0)*($H$4&gt;0),$C$4&amp;", ","")&amp;IF((COUNTIFS(TableBOM[Product ID],$D$5,TableBOM[Item ID],$A78)&gt;0)*($H$5&gt;0),$C$5&amp;", ","")&amp;IF((COUNTIFS(TableBOM[Product ID],$D$6,TableBOM[Item ID],$A78)&gt;0)*($H$6&gt;0),$C$6&amp;", ","")&amp;IF((COUNTIFS(TableBOM[Product ID],$D$7,TableBOM[Item ID],$A78)&gt;0)*($H$7&gt;0),$C$7&amp;", ","")&amp;IF((COUNTIFS(TableBOM[Product ID],$D$8,TableBOM[Item ID],$A78)&gt;0)*($H$8&gt;0),$C$8&amp;", ","")&amp;IF((COUNTIFS(TableBOM[Product ID],$D$9,TableBOM[Item ID],$A78)&gt;0)*($H$9&gt;0),$C$9&amp;", ","")&amp;IF((COUNTIFS(TableBOM[Product ID],$D$10,TableBOM[Item ID],$A78)&gt;0)*($H$10&gt;0),$C$10&amp;", ","")&amp;IF((COUNTIFS(TableBOM[Product ID],$D$11,TableBOM[Item ID],$A78)&gt;0)*($H$11&gt;0),$C$11&amp;", ","")&amp;IF((COUNTIFS(TableBOM[Product ID],$D$12,TableBOM[Item ID],$A78)&gt;0)*($H$12&gt;0),$C$12&amp;", ",""))&gt;1,LEFT(IF((COUNTIFS(TableBOM[Product ID],$D$3,TableBOM[Item ID],$A78)&gt;0)*($H$3&gt;0),$C$3&amp;", ","")&amp;IF((COUNTIFS(TableBOM[Product ID],$D$4,TableBOM[Item ID],$A78)&gt;0)*($H$4&gt;0),$C$4&amp;", ","")&amp;IF((COUNTIFS(TableBOM[Product ID],$D$5,TableBOM[Item ID],$A78)&gt;0)*($H$5&gt;0),$C$5&amp;", ","")&amp;IF((COUNTIFS(TableBOM[Product ID],$D$6,TableBOM[Item ID],$A78)&gt;0)*($H$6&gt;0),$C$6&amp;", ","")&amp;IF((COUNTIFS(TableBOM[Product ID],$D$7,TableBOM[Item ID],$A78)&gt;0)*($H$7&gt;0),$C$7&amp;", ","")&amp;IF((COUNTIFS(TableBOM[Product ID],$D$8,TableBOM[Item ID],$A78)&gt;0)*($H$8&gt;0),$C$8&amp;", ","")&amp;IF((COUNTIFS(TableBOM[Product ID],$D$9,TableBOM[Item ID],$A78)&gt;0)*($H$9&gt;0),$C$9&amp;", ","")&amp;IF((COUNTIFS(TableBOM[Product ID],$D$10,TableBOM[Item ID],$A78)&gt;0)*($H$10&gt;0),$C$10&amp;", ","")&amp;IF((COUNTIFS(TableBOM[Product ID],$D$11,TableBOM[Item ID],$A78)&gt;0)*($H$11&gt;0),$C$11&amp;", ","")&amp;IF((COUNTIFS(TableBOM[Product ID],$D$12,TableBOM[Item ID],$A78)&gt;0)*($H$12&gt;0),$C$12&amp;", ",""),LEN(IF((COUNTIFS(TableBOM[Product ID],$D$3,TableBOM[Item ID],$A78)&gt;0)*($H$3&gt;0),$C$3&amp;", ","")&amp;IF((COUNTIFS(TableBOM[Product ID],$D$4,TableBOM[Item ID],$A78)&gt;0)*($H$4&gt;0),$C$4&amp;", ","")&amp;IF((COUNTIFS(TableBOM[Product ID],$D$5,TableBOM[Item ID],$A78)&gt;0)*($H$5&gt;0),$C$5&amp;", ","")&amp;IF((COUNTIFS(TableBOM[Product ID],$D$6,TableBOM[Item ID],$A78)&gt;0)*($H$6&gt;0),$C$6&amp;", ","")&amp;IF((COUNTIFS(TableBOM[Product ID],$D$7,TableBOM[Item ID],$A78)&gt;0)*($H$7&gt;0),$C$7&amp;", ","")&amp;IF((COUNTIFS(TableBOM[Product ID],$D$8,TableBOM[Item ID],$A78)&gt;0)*($H$8&gt;0),$C$8&amp;", ","")&amp;IF((COUNTIFS(TableBOM[Product ID],$D$9,TableBOM[Item ID],$A78)&gt;0)*($H$9&gt;0),$C$9&amp;", ","")&amp;IF((COUNTIFS(TableBOM[Product ID],$D$10,TableBOM[Item ID],$A78)&gt;0)*($H$10&gt;0),$C$10&amp;", ","")&amp;IF((COUNTIFS(TableBOM[Product ID],$D$11,TableBOM[Item ID],$A78)&gt;0)*($H$11&gt;0),$C$11&amp;", ","")&amp;IF((COUNTIFS(TableBOM[Product ID],$D$12,TableBOM[Item ID],$A78)&gt;0)*($H$12&gt;0),$C$12&amp;", ",""))-2),"")</f>
        <v/>
      </c>
      <c r="I78" s="63">
        <f>IF(LEN(IF((COUNTIFS(TableBOM[Product ID],$D$3,TableBOM[Item ID],$A78)&gt;0)*($H$3&gt;0),$E$3&amp;", ","")&amp;IF((COUNTIFS(TableBOM[Product ID],$D$4,TableBOM[Item ID],$A78)&gt;0)*($H$4&gt;0),$E$4&amp;", ","")&amp;IF((COUNTIFS(TableBOM[Product ID],$D$5,TableBOM[Item ID],$A78)&gt;0)*($H$5&gt;0),$E$5&amp;", ","")&amp;IF((COUNTIFS(TableBOM[Product ID],$D$6,TableBOM[Item ID],$A78)&gt;0)*($H$6&gt;0),$E$6&amp;", ","")&amp;IF((COUNTIFS(TableBOM[Product ID],$D$7,TableBOM[Item ID],$A78)&gt;0)*($H$7&gt;0),$E$7&amp;", ","")&amp;IF((COUNTIFS(TableBOM[Product ID],$D$8,TableBOM[Item ID],$A78)&gt;0)*($H$8&gt;0),$E$8&amp;", ","")&amp;IF((COUNTIFS(TableBOM[Product ID],$D$9,TableBOM[Item ID],$A78)&gt;0)*($H$9&gt;0),$E$9&amp;", ","")&amp;IF((COUNTIFS(TableBOM[Product ID],$D$10,TableBOM[Item ID],$A78)&gt;0)*($H$10&gt;0),$E$10&amp;", ","")&amp;IF((COUNTIFS(TableBOM[Product ID],$D$11,TableBOM[Item ID],$A78)&gt;0)*($H$11&gt;0),$E$11&amp;", ","")&amp;IF((COUNTIFS(TableBOM[Product ID],$D$12,TableBOM[Item ID],$A78)&gt;0)*($H$12&gt;0),$E$12&amp;", ",""))&gt;1,LEFT(IF((COUNTIFS(TableBOM[Product ID],$D$3,TableBOM[Item ID],$A78)&gt;0)*($H$3&gt;0),$E$3&amp;", ","")&amp;IF((COUNTIFS(TableBOM[Product ID],$D$4,TableBOM[Item ID],$A78)&gt;0)*($H$4&gt;0),$E$4&amp;", ","")&amp;IF((COUNTIFS(TableBOM[Product ID],$D$5,TableBOM[Item ID],$A78)&gt;0)*($H$5&gt;0),$E$5&amp;", ","")&amp;IF((COUNTIFS(TableBOM[Product ID],$D$6,TableBOM[Item ID],$A78)&gt;0)*($H$6&gt;0),$E$6&amp;", ","")&amp;IF((COUNTIFS(TableBOM[Product ID],$D$7,TableBOM[Item ID],$A78)&gt;0)*($H$7&gt;0),$E$7&amp;", ","")&amp;IF((COUNTIFS(TableBOM[Product ID],$D$8,TableBOM[Item ID],$A78)&gt;0)*($H$8&gt;0),$E$8&amp;", ","")&amp;IF((COUNTIFS(TableBOM[Product ID],$D$9,TableBOM[Item ID],$A78)&gt;0)*($H$9&gt;0),$E$9&amp;", ","")&amp;IF((COUNTIFS(TableBOM[Product ID],$D$10,TableBOM[Item ID],$A78)&gt;0)*($H$10&gt;0),$E$10&amp;", ","")&amp;IF((COUNTIFS(TableBOM[Product ID],$D$11,TableBOM[Item ID],$A78)&gt;0)*($H$11&gt;0),$E$11&amp;", ","")&amp;IF((COUNTIFS(TableBOM[Product ID],$D$12,TableBOM[Item ID],$A78)&gt;0)*($H$12&gt;0),$E$12&amp;", ",""),LEN(IF((COUNTIFS(TableBOM[Product ID],$D$3,TableBOM[Item ID],$A78)&gt;0)*($H$3&gt;0),$E$3&amp;", ","")&amp;IF((COUNTIFS(TableBOM[Product ID],$D$4,TableBOM[Item ID],$A78)&gt;0)*($H$4&gt;0),$E$4&amp;", ","")&amp;IF((COUNTIFS(TableBOM[Product ID],$D$5,TableBOM[Item ID],$A78)&gt;0)*($H$5&gt;0),$E$5&amp;", ","")&amp;IF((COUNTIFS(TableBOM[Product ID],$D$6,TableBOM[Item ID],$A78)&gt;0)*($H$6&gt;0),$E$6&amp;", ","")&amp;IF((COUNTIFS(TableBOM[Product ID],$D$7,TableBOM[Item ID],$A78)&gt;0)*($H$7&gt;0),$E$7&amp;", ","")&amp;IF((COUNTIFS(TableBOM[Product ID],$D$8,TableBOM[Item ID],$A78)&gt;0)*($H$8&gt;0),$E$8&amp;", ","")&amp;IF((COUNTIFS(TableBOM[Product ID],$D$9,TableBOM[Item ID],$A78)&gt;0)*($H$9&gt;0),$E$9&amp;", ","")&amp;IF((COUNTIFS(TableBOM[Product ID],$D$10,TableBOM[Item ID],$A78)&gt;0)*($H$10&gt;0),$E$10&amp;", ","")&amp;IF((COUNTIFS(TableBOM[Product ID],$D$11,TableBOM[Item ID],$A78)&gt;0)*($H$11&gt;0),$E$11&amp;", ","")&amp;IF((COUNTIFS(TableBOM[Product ID],$D$12,TableBOM[Item ID],$A78)&gt;0)*($H$12&gt;0),$E$12&amp;", ",""))-2),"")</f>
        <v/>
      </c>
      <c r="J78" s="64" t="inlineStr">
        <is>
          <t>OK (Reuse old Cartons)</t>
        </is>
      </c>
      <c r="K78" s="64">
        <f>IF(B78&lt;&gt;"CAP","",SUMPRODUCT((ISNUMBER(SEARCH("Cap Not Available",'FG Stock'!$H$4:$H$100)))*('FG Stock'!$I$4:$I$100=A78)*'FG Stock'!$F$4:$F$100))</f>
        <v/>
      </c>
      <c r="L78" s="64">
        <f>IF(E78=0,"",MAX(0,E78+IFERROR(K78*1,0)-F78))</f>
        <v/>
      </c>
    </row>
    <row r="79" hidden="1" ht="15" customHeight="1" s="249">
      <c r="A79" s="55" t="n">
        <v>5977</v>
      </c>
      <c r="B79" s="55" t="inlineStr">
        <is>
          <t>CARTON</t>
        </is>
      </c>
      <c r="C79" s="55" t="inlineStr">
        <is>
          <t>MASTER CARTON 38"X24"X15.5"</t>
        </is>
      </c>
      <c r="D79" s="55" t="inlineStr">
        <is>
          <t>PCS</t>
        </is>
      </c>
      <c r="E79" s="61">
        <f>SUMPRODUCT((TableBOM[Item ID]=A79)*TableBOM[Per 1000 Units]*(1+TableBOM[Scrap %])*SUMIF($D$3:$D$12,TableBOM[Product ID],$H$3:$H$12)/1000)</f>
        <v/>
      </c>
      <c r="F79" s="61">
        <f>IFERROR(INDEX(TableInventory[Store Balance],MATCH(A79,TableInventory[Item ID],0)),0)+IFERROR(INDEX(TableInventory[Work In Process],MATCH(A79,TableInventory[Item ID],0)),0)</f>
        <v/>
      </c>
      <c r="G79" s="61">
        <f>F79-E79</f>
        <v/>
      </c>
      <c r="H79" s="62">
        <f>IF(LEN(IF((COUNTIFS(TableBOM[Product ID],$D$3,TableBOM[Item ID],$A79)&gt;0)*($H$3&gt;0),$C$3&amp;", ","")&amp;IF((COUNTIFS(TableBOM[Product ID],$D$4,TableBOM[Item ID],$A79)&gt;0)*($H$4&gt;0),$C$4&amp;", ","")&amp;IF((COUNTIFS(TableBOM[Product ID],$D$5,TableBOM[Item ID],$A79)&gt;0)*($H$5&gt;0),$C$5&amp;", ","")&amp;IF((COUNTIFS(TableBOM[Product ID],$D$6,TableBOM[Item ID],$A79)&gt;0)*($H$6&gt;0),$C$6&amp;", ","")&amp;IF((COUNTIFS(TableBOM[Product ID],$D$7,TableBOM[Item ID],$A79)&gt;0)*($H$7&gt;0),$C$7&amp;", ","")&amp;IF((COUNTIFS(TableBOM[Product ID],$D$8,TableBOM[Item ID],$A79)&gt;0)*($H$8&gt;0),$C$8&amp;", ","")&amp;IF((COUNTIFS(TableBOM[Product ID],$D$9,TableBOM[Item ID],$A79)&gt;0)*($H$9&gt;0),$C$9&amp;", ","")&amp;IF((COUNTIFS(TableBOM[Product ID],$D$10,TableBOM[Item ID],$A79)&gt;0)*($H$10&gt;0),$C$10&amp;", ","")&amp;IF((COUNTIFS(TableBOM[Product ID],$D$11,TableBOM[Item ID],$A79)&gt;0)*($H$11&gt;0),$C$11&amp;", ","")&amp;IF((COUNTIFS(TableBOM[Product ID],$D$12,TableBOM[Item ID],$A79)&gt;0)*($H$12&gt;0),$C$12&amp;", ",""))&gt;1,LEFT(IF((COUNTIFS(TableBOM[Product ID],$D$3,TableBOM[Item ID],$A79)&gt;0)*($H$3&gt;0),$C$3&amp;", ","")&amp;IF((COUNTIFS(TableBOM[Product ID],$D$4,TableBOM[Item ID],$A79)&gt;0)*($H$4&gt;0),$C$4&amp;", ","")&amp;IF((COUNTIFS(TableBOM[Product ID],$D$5,TableBOM[Item ID],$A79)&gt;0)*($H$5&gt;0),$C$5&amp;", ","")&amp;IF((COUNTIFS(TableBOM[Product ID],$D$6,TableBOM[Item ID],$A79)&gt;0)*($H$6&gt;0),$C$6&amp;", ","")&amp;IF((COUNTIFS(TableBOM[Product ID],$D$7,TableBOM[Item ID],$A79)&gt;0)*($H$7&gt;0),$C$7&amp;", ","")&amp;IF((COUNTIFS(TableBOM[Product ID],$D$8,TableBOM[Item ID],$A79)&gt;0)*($H$8&gt;0),$C$8&amp;", ","")&amp;IF((COUNTIFS(TableBOM[Product ID],$D$9,TableBOM[Item ID],$A79)&gt;0)*($H$9&gt;0),$C$9&amp;", ","")&amp;IF((COUNTIFS(TableBOM[Product ID],$D$10,TableBOM[Item ID],$A79)&gt;0)*($H$10&gt;0),$C$10&amp;", ","")&amp;IF((COUNTIFS(TableBOM[Product ID],$D$11,TableBOM[Item ID],$A79)&gt;0)*($H$11&gt;0),$C$11&amp;", ","")&amp;IF((COUNTIFS(TableBOM[Product ID],$D$12,TableBOM[Item ID],$A79)&gt;0)*($H$12&gt;0),$C$12&amp;", ",""),LEN(IF((COUNTIFS(TableBOM[Product ID],$D$3,TableBOM[Item ID],$A79)&gt;0)*($H$3&gt;0),$C$3&amp;", ","")&amp;IF((COUNTIFS(TableBOM[Product ID],$D$4,TableBOM[Item ID],$A79)&gt;0)*($H$4&gt;0),$C$4&amp;", ","")&amp;IF((COUNTIFS(TableBOM[Product ID],$D$5,TableBOM[Item ID],$A79)&gt;0)*($H$5&gt;0),$C$5&amp;", ","")&amp;IF((COUNTIFS(TableBOM[Product ID],$D$6,TableBOM[Item ID],$A79)&gt;0)*($H$6&gt;0),$C$6&amp;", ","")&amp;IF((COUNTIFS(TableBOM[Product ID],$D$7,TableBOM[Item ID],$A79)&gt;0)*($H$7&gt;0),$C$7&amp;", ","")&amp;IF((COUNTIFS(TableBOM[Product ID],$D$8,TableBOM[Item ID],$A79)&gt;0)*($H$8&gt;0),$C$8&amp;", ","")&amp;IF((COUNTIFS(TableBOM[Product ID],$D$9,TableBOM[Item ID],$A79)&gt;0)*($H$9&gt;0),$C$9&amp;", ","")&amp;IF((COUNTIFS(TableBOM[Product ID],$D$10,TableBOM[Item ID],$A79)&gt;0)*($H$10&gt;0),$C$10&amp;", ","")&amp;IF((COUNTIFS(TableBOM[Product ID],$D$11,TableBOM[Item ID],$A79)&gt;0)*($H$11&gt;0),$C$11&amp;", ","")&amp;IF((COUNTIFS(TableBOM[Product ID],$D$12,TableBOM[Item ID],$A79)&gt;0)*($H$12&gt;0),$C$12&amp;", ",""))-2),"")</f>
        <v/>
      </c>
      <c r="I79" s="63">
        <f>IF(LEN(IF((COUNTIFS(TableBOM[Product ID],$D$3,TableBOM[Item ID],$A79)&gt;0)*($H$3&gt;0),$E$3&amp;", ","")&amp;IF((COUNTIFS(TableBOM[Product ID],$D$4,TableBOM[Item ID],$A79)&gt;0)*($H$4&gt;0),$E$4&amp;", ","")&amp;IF((COUNTIFS(TableBOM[Product ID],$D$5,TableBOM[Item ID],$A79)&gt;0)*($H$5&gt;0),$E$5&amp;", ","")&amp;IF((COUNTIFS(TableBOM[Product ID],$D$6,TableBOM[Item ID],$A79)&gt;0)*($H$6&gt;0),$E$6&amp;", ","")&amp;IF((COUNTIFS(TableBOM[Product ID],$D$7,TableBOM[Item ID],$A79)&gt;0)*($H$7&gt;0),$E$7&amp;", ","")&amp;IF((COUNTIFS(TableBOM[Product ID],$D$8,TableBOM[Item ID],$A79)&gt;0)*($H$8&gt;0),$E$8&amp;", ","")&amp;IF((COUNTIFS(TableBOM[Product ID],$D$9,TableBOM[Item ID],$A79)&gt;0)*($H$9&gt;0),$E$9&amp;", ","")&amp;IF((COUNTIFS(TableBOM[Product ID],$D$10,TableBOM[Item ID],$A79)&gt;0)*($H$10&gt;0),$E$10&amp;", ","")&amp;IF((COUNTIFS(TableBOM[Product ID],$D$11,TableBOM[Item ID],$A79)&gt;0)*($H$11&gt;0),$E$11&amp;", ","")&amp;IF((COUNTIFS(TableBOM[Product ID],$D$12,TableBOM[Item ID],$A79)&gt;0)*($H$12&gt;0),$E$12&amp;", ",""))&gt;1,LEFT(IF((COUNTIFS(TableBOM[Product ID],$D$3,TableBOM[Item ID],$A79)&gt;0)*($H$3&gt;0),$E$3&amp;", ","")&amp;IF((COUNTIFS(TableBOM[Product ID],$D$4,TableBOM[Item ID],$A79)&gt;0)*($H$4&gt;0),$E$4&amp;", ","")&amp;IF((COUNTIFS(TableBOM[Product ID],$D$5,TableBOM[Item ID],$A79)&gt;0)*($H$5&gt;0),$E$5&amp;", ","")&amp;IF((COUNTIFS(TableBOM[Product ID],$D$6,TableBOM[Item ID],$A79)&gt;0)*($H$6&gt;0),$E$6&amp;", ","")&amp;IF((COUNTIFS(TableBOM[Product ID],$D$7,TableBOM[Item ID],$A79)&gt;0)*($H$7&gt;0),$E$7&amp;", ","")&amp;IF((COUNTIFS(TableBOM[Product ID],$D$8,TableBOM[Item ID],$A79)&gt;0)*($H$8&gt;0),$E$8&amp;", ","")&amp;IF((COUNTIFS(TableBOM[Product ID],$D$9,TableBOM[Item ID],$A79)&gt;0)*($H$9&gt;0),$E$9&amp;", ","")&amp;IF((COUNTIFS(TableBOM[Product ID],$D$10,TableBOM[Item ID],$A79)&gt;0)*($H$10&gt;0),$E$10&amp;", ","")&amp;IF((COUNTIFS(TableBOM[Product ID],$D$11,TableBOM[Item ID],$A79)&gt;0)*($H$11&gt;0),$E$11&amp;", ","")&amp;IF((COUNTIFS(TableBOM[Product ID],$D$12,TableBOM[Item ID],$A79)&gt;0)*($H$12&gt;0),$E$12&amp;", ",""),LEN(IF((COUNTIFS(TableBOM[Product ID],$D$3,TableBOM[Item ID],$A79)&gt;0)*($H$3&gt;0),$E$3&amp;", ","")&amp;IF((COUNTIFS(TableBOM[Product ID],$D$4,TableBOM[Item ID],$A79)&gt;0)*($H$4&gt;0),$E$4&amp;", ","")&amp;IF((COUNTIFS(TableBOM[Product ID],$D$5,TableBOM[Item ID],$A79)&gt;0)*($H$5&gt;0),$E$5&amp;", ","")&amp;IF((COUNTIFS(TableBOM[Product ID],$D$6,TableBOM[Item ID],$A79)&gt;0)*($H$6&gt;0),$E$6&amp;", ","")&amp;IF((COUNTIFS(TableBOM[Product ID],$D$7,TableBOM[Item ID],$A79)&gt;0)*($H$7&gt;0),$E$7&amp;", ","")&amp;IF((COUNTIFS(TableBOM[Product ID],$D$8,TableBOM[Item ID],$A79)&gt;0)*($H$8&gt;0),$E$8&amp;", ","")&amp;IF((COUNTIFS(TableBOM[Product ID],$D$9,TableBOM[Item ID],$A79)&gt;0)*($H$9&gt;0),$E$9&amp;", ","")&amp;IF((COUNTIFS(TableBOM[Product ID],$D$10,TableBOM[Item ID],$A79)&gt;0)*($H$10&gt;0),$E$10&amp;", ","")&amp;IF((COUNTIFS(TableBOM[Product ID],$D$11,TableBOM[Item ID],$A79)&gt;0)*($H$11&gt;0),$E$11&amp;", ","")&amp;IF((COUNTIFS(TableBOM[Product ID],$D$12,TableBOM[Item ID],$A79)&gt;0)*($H$12&gt;0),$E$12&amp;", ",""))-2),"")</f>
        <v/>
      </c>
      <c r="J79" s="64">
        <f>IF(E79=0,"Not needed",IF(G79&lt;0,"SHORTAGE",IF(G79&lt;F79*0.1,"LOW","OK")))</f>
        <v/>
      </c>
      <c r="K79" s="64">
        <f>IF(B79&lt;&gt;"CAP","",SUMPRODUCT((ISNUMBER(SEARCH("Cap Not Available",'FG Stock'!$H$4:$H$100)))*('FG Stock'!$I$4:$I$100=A79)*'FG Stock'!$F$4:$F$100))</f>
        <v/>
      </c>
      <c r="L79" s="64">
        <f>IF(E79=0,"",MAX(0,E79+IFERROR(K79*1,0)-F79))</f>
        <v/>
      </c>
    </row>
    <row r="80" ht="60" customHeight="1" s="249">
      <c r="A80" s="55" t="n">
        <v>3635</v>
      </c>
      <c r="B80" s="55" t="inlineStr">
        <is>
          <t>TAPE</t>
        </is>
      </c>
      <c r="C80" s="55" t="inlineStr">
        <is>
          <t>PACKING TAPE 2" OF 60 YARDS</t>
        </is>
      </c>
      <c r="D80" s="55" t="inlineStr">
        <is>
          <t>PCS</t>
        </is>
      </c>
      <c r="E80" s="61">
        <f>SUMPRODUCT((TableBOM[Item ID]=A80)*TableBOM[Per 1000 Units]*(1+TableBOM[Scrap %])*SUMIF($D$3:$D$12,TableBOM[Product ID],$H$3:$H$12)/1000)</f>
        <v/>
      </c>
      <c r="F80" s="61">
        <f>IFERROR(INDEX(TableInventory[Store Balance],MATCH(A80,TableInventory[Item ID],0)),0)+IFERROR(INDEX(TableInventory[Work In Process],MATCH(A80,TableInventory[Item ID],0)),0)</f>
        <v/>
      </c>
      <c r="G80" s="65">
        <f>F80-E80</f>
        <v/>
      </c>
      <c r="H80" s="62">
        <f>IF(LEN(IF((COUNTIFS(TableBOM[Product ID],$D$3,TableBOM[Item ID],$A80)&gt;0)*($H$3&gt;0),$C$3&amp;", ","")&amp;IF((COUNTIFS(TableBOM[Product ID],$D$4,TableBOM[Item ID],$A80)&gt;0)*($H$4&gt;0),$C$4&amp;", ","")&amp;IF((COUNTIFS(TableBOM[Product ID],$D$5,TableBOM[Item ID],$A80)&gt;0)*($H$5&gt;0),$C$5&amp;", ","")&amp;IF((COUNTIFS(TableBOM[Product ID],$D$6,TableBOM[Item ID],$A80)&gt;0)*($H$6&gt;0),$C$6&amp;", ","")&amp;IF((COUNTIFS(TableBOM[Product ID],$D$7,TableBOM[Item ID],$A80)&gt;0)*($H$7&gt;0),$C$7&amp;", ","")&amp;IF((COUNTIFS(TableBOM[Product ID],$D$8,TableBOM[Item ID],$A80)&gt;0)*($H$8&gt;0),$C$8&amp;", ","")&amp;IF((COUNTIFS(TableBOM[Product ID],$D$9,TableBOM[Item ID],$A80)&gt;0)*($H$9&gt;0),$C$9&amp;", ","")&amp;IF((COUNTIFS(TableBOM[Product ID],$D$10,TableBOM[Item ID],$A80)&gt;0)*($H$10&gt;0),$C$10&amp;", ","")&amp;IF((COUNTIFS(TableBOM[Product ID],$D$11,TableBOM[Item ID],$A80)&gt;0)*($H$11&gt;0),$C$11&amp;", ","")&amp;IF((COUNTIFS(TableBOM[Product ID],$D$12,TableBOM[Item ID],$A80)&gt;0)*($H$12&gt;0),$C$12&amp;", ",""))&gt;1,LEFT(IF((COUNTIFS(TableBOM[Product ID],$D$3,TableBOM[Item ID],$A80)&gt;0)*($H$3&gt;0),$C$3&amp;", ","")&amp;IF((COUNTIFS(TableBOM[Product ID],$D$4,TableBOM[Item ID],$A80)&gt;0)*($H$4&gt;0),$C$4&amp;", ","")&amp;IF((COUNTIFS(TableBOM[Product ID],$D$5,TableBOM[Item ID],$A80)&gt;0)*($H$5&gt;0),$C$5&amp;", ","")&amp;IF((COUNTIFS(TableBOM[Product ID],$D$6,TableBOM[Item ID],$A80)&gt;0)*($H$6&gt;0),$C$6&amp;", ","")&amp;IF((COUNTIFS(TableBOM[Product ID],$D$7,TableBOM[Item ID],$A80)&gt;0)*($H$7&gt;0),$C$7&amp;", ","")&amp;IF((COUNTIFS(TableBOM[Product ID],$D$8,TableBOM[Item ID],$A80)&gt;0)*($H$8&gt;0),$C$8&amp;", ","")&amp;IF((COUNTIFS(TableBOM[Product ID],$D$9,TableBOM[Item ID],$A80)&gt;0)*($H$9&gt;0),$C$9&amp;", ","")&amp;IF((COUNTIFS(TableBOM[Product ID],$D$10,TableBOM[Item ID],$A80)&gt;0)*($H$10&gt;0),$C$10&amp;", ","")&amp;IF((COUNTIFS(TableBOM[Product ID],$D$11,TableBOM[Item ID],$A80)&gt;0)*($H$11&gt;0),$C$11&amp;", ","")&amp;IF((COUNTIFS(TableBOM[Product ID],$D$12,TableBOM[Item ID],$A80)&gt;0)*($H$12&gt;0),$C$12&amp;", ",""),LEN(IF((COUNTIFS(TableBOM[Product ID],$D$3,TableBOM[Item ID],$A80)&gt;0)*($H$3&gt;0),$C$3&amp;", ","")&amp;IF((COUNTIFS(TableBOM[Product ID],$D$4,TableBOM[Item ID],$A80)&gt;0)*($H$4&gt;0),$C$4&amp;", ","")&amp;IF((COUNTIFS(TableBOM[Product ID],$D$5,TableBOM[Item ID],$A80)&gt;0)*($H$5&gt;0),$C$5&amp;", ","")&amp;IF((COUNTIFS(TableBOM[Product ID],$D$6,TableBOM[Item ID],$A80)&gt;0)*($H$6&gt;0),$C$6&amp;", ","")&amp;IF((COUNTIFS(TableBOM[Product ID],$D$7,TableBOM[Item ID],$A80)&gt;0)*($H$7&gt;0),$C$7&amp;", ","")&amp;IF((COUNTIFS(TableBOM[Product ID],$D$8,TableBOM[Item ID],$A80)&gt;0)*($H$8&gt;0),$C$8&amp;", ","")&amp;IF((COUNTIFS(TableBOM[Product ID],$D$9,TableBOM[Item ID],$A80)&gt;0)*($H$9&gt;0),$C$9&amp;", ","")&amp;IF((COUNTIFS(TableBOM[Product ID],$D$10,TableBOM[Item ID],$A80)&gt;0)*($H$10&gt;0),$C$10&amp;", ","")&amp;IF((COUNTIFS(TableBOM[Product ID],$D$11,TableBOM[Item ID],$A80)&gt;0)*($H$11&gt;0),$C$11&amp;", ","")&amp;IF((COUNTIFS(TableBOM[Product ID],$D$12,TableBOM[Item ID],$A80)&gt;0)*($H$12&gt;0),$C$12&amp;", ",""))-2),"")</f>
        <v/>
      </c>
      <c r="I80" s="63">
        <f>IF(LEN(IF((COUNTIFS(TableBOM[Product ID],$D$3,TableBOM[Item ID],$A80)&gt;0)*($H$3&gt;0),$E$3&amp;", ","")&amp;IF((COUNTIFS(TableBOM[Product ID],$D$4,TableBOM[Item ID],$A80)&gt;0)*($H$4&gt;0),$E$4&amp;", ","")&amp;IF((COUNTIFS(TableBOM[Product ID],$D$5,TableBOM[Item ID],$A80)&gt;0)*($H$5&gt;0),$E$5&amp;", ","")&amp;IF((COUNTIFS(TableBOM[Product ID],$D$6,TableBOM[Item ID],$A80)&gt;0)*($H$6&gt;0),$E$6&amp;", ","")&amp;IF((COUNTIFS(TableBOM[Product ID],$D$7,TableBOM[Item ID],$A80)&gt;0)*($H$7&gt;0),$E$7&amp;", ","")&amp;IF((COUNTIFS(TableBOM[Product ID],$D$8,TableBOM[Item ID],$A80)&gt;0)*($H$8&gt;0),$E$8&amp;", ","")&amp;IF((COUNTIFS(TableBOM[Product ID],$D$9,TableBOM[Item ID],$A80)&gt;0)*($H$9&gt;0),$E$9&amp;", ","")&amp;IF((COUNTIFS(TableBOM[Product ID],$D$10,TableBOM[Item ID],$A80)&gt;0)*($H$10&gt;0),$E$10&amp;", ","")&amp;IF((COUNTIFS(TableBOM[Product ID],$D$11,TableBOM[Item ID],$A80)&gt;0)*($H$11&gt;0),$E$11&amp;", ","")&amp;IF((COUNTIFS(TableBOM[Product ID],$D$12,TableBOM[Item ID],$A80)&gt;0)*($H$12&gt;0),$E$12&amp;", ",""))&gt;1,LEFT(IF((COUNTIFS(TableBOM[Product ID],$D$3,TableBOM[Item ID],$A80)&gt;0)*($H$3&gt;0),$E$3&amp;", ","")&amp;IF((COUNTIFS(TableBOM[Product ID],$D$4,TableBOM[Item ID],$A80)&gt;0)*($H$4&gt;0),$E$4&amp;", ","")&amp;IF((COUNTIFS(TableBOM[Product ID],$D$5,TableBOM[Item ID],$A80)&gt;0)*($H$5&gt;0),$E$5&amp;", ","")&amp;IF((COUNTIFS(TableBOM[Product ID],$D$6,TableBOM[Item ID],$A80)&gt;0)*($H$6&gt;0),$E$6&amp;", ","")&amp;IF((COUNTIFS(TableBOM[Product ID],$D$7,TableBOM[Item ID],$A80)&gt;0)*($H$7&gt;0),$E$7&amp;", ","")&amp;IF((COUNTIFS(TableBOM[Product ID],$D$8,TableBOM[Item ID],$A80)&gt;0)*($H$8&gt;0),$E$8&amp;", ","")&amp;IF((COUNTIFS(TableBOM[Product ID],$D$9,TableBOM[Item ID],$A80)&gt;0)*($H$9&gt;0),$E$9&amp;", ","")&amp;IF((COUNTIFS(TableBOM[Product ID],$D$10,TableBOM[Item ID],$A80)&gt;0)*($H$10&gt;0),$E$10&amp;", ","")&amp;IF((COUNTIFS(TableBOM[Product ID],$D$11,TableBOM[Item ID],$A80)&gt;0)*($H$11&gt;0),$E$11&amp;", ","")&amp;IF((COUNTIFS(TableBOM[Product ID],$D$12,TableBOM[Item ID],$A80)&gt;0)*($H$12&gt;0),$E$12&amp;", ",""),LEN(IF((COUNTIFS(TableBOM[Product ID],$D$3,TableBOM[Item ID],$A80)&gt;0)*($H$3&gt;0),$E$3&amp;", ","")&amp;IF((COUNTIFS(TableBOM[Product ID],$D$4,TableBOM[Item ID],$A80)&gt;0)*($H$4&gt;0),$E$4&amp;", ","")&amp;IF((COUNTIFS(TableBOM[Product ID],$D$5,TableBOM[Item ID],$A80)&gt;0)*($H$5&gt;0),$E$5&amp;", ","")&amp;IF((COUNTIFS(TableBOM[Product ID],$D$6,TableBOM[Item ID],$A80)&gt;0)*($H$6&gt;0),$E$6&amp;", ","")&amp;IF((COUNTIFS(TableBOM[Product ID],$D$7,TableBOM[Item ID],$A80)&gt;0)*($H$7&gt;0),$E$7&amp;", ","")&amp;IF((COUNTIFS(TableBOM[Product ID],$D$8,TableBOM[Item ID],$A80)&gt;0)*($H$8&gt;0),$E$8&amp;", ","")&amp;IF((COUNTIFS(TableBOM[Product ID],$D$9,TableBOM[Item ID],$A80)&gt;0)*($H$9&gt;0),$E$9&amp;", ","")&amp;IF((COUNTIFS(TableBOM[Product ID],$D$10,TableBOM[Item ID],$A80)&gt;0)*($H$10&gt;0),$E$10&amp;", ","")&amp;IF((COUNTIFS(TableBOM[Product ID],$D$11,TableBOM[Item ID],$A80)&gt;0)*($H$11&gt;0),$E$11&amp;", ","")&amp;IF((COUNTIFS(TableBOM[Product ID],$D$12,TableBOM[Item ID],$A80)&gt;0)*($H$12&gt;0),$E$12&amp;", ",""))-2),"")</f>
        <v/>
      </c>
      <c r="J80" s="64">
        <f>IF(E80=0,"Not needed",IF(G80&lt;0,"SHORTAGE",IF(G80&lt;F80*0.1,"LOW","OK")))</f>
        <v/>
      </c>
      <c r="K80" s="64">
        <f>IF(B80&lt;&gt;"CAP","",SUMPRODUCT((ISNUMBER(SEARCH("Cap Not Available",'FG Stock'!$H$4:$H$100)))*('FG Stock'!$I$4:$I$100=A80)*'FG Stock'!$F$4:$F$100))</f>
        <v/>
      </c>
      <c r="L80" s="64">
        <f>IF(E80=0,"",MAX(0,E80+IFERROR(K80*1,0)-F80))</f>
        <v/>
      </c>
    </row>
    <row r="81" ht="24" customHeight="1" s="249">
      <c r="A81" s="55" t="n">
        <v>190</v>
      </c>
      <c r="B81" s="55" t="inlineStr">
        <is>
          <t>THINNER</t>
        </is>
      </c>
      <c r="C81" s="55" t="inlineStr">
        <is>
          <t>THINNER FOR LACQUER SOL R/C</t>
        </is>
      </c>
      <c r="D81" s="55" t="inlineStr">
        <is>
          <t>L</t>
        </is>
      </c>
      <c r="E81" s="61">
        <f>SUMPRODUCT((TableBOM[Item ID]=A81)*TableBOM[Per 1000 Units]*(1+TableBOM[Scrap %])*SUMIF($D$3:$D$12,TableBOM[Product ID],$H$3:$H$12)/1000)</f>
        <v/>
      </c>
      <c r="F81" s="61">
        <f>IFERROR(INDEX(TableInventory[Store Balance],MATCH(A81,TableInventory[Item ID],0)),0)+IFERROR(INDEX(TableInventory[Work In Process],MATCH(A81,TableInventory[Item ID],0)),0)</f>
        <v/>
      </c>
      <c r="G81" s="65">
        <f>F81-E81</f>
        <v/>
      </c>
      <c r="H81" s="62">
        <f>IF(LEN(IF((COUNTIFS(TableBOM[Product ID],$D$3,TableBOM[Item ID],$A81)&gt;0)*($H$3&gt;0),$C$3&amp;", ","")&amp;IF((COUNTIFS(TableBOM[Product ID],$D$4,TableBOM[Item ID],$A81)&gt;0)*($H$4&gt;0),$C$4&amp;", ","")&amp;IF((COUNTIFS(TableBOM[Product ID],$D$5,TableBOM[Item ID],$A81)&gt;0)*($H$5&gt;0),$C$5&amp;", ","")&amp;IF((COUNTIFS(TableBOM[Product ID],$D$6,TableBOM[Item ID],$A81)&gt;0)*($H$6&gt;0),$C$6&amp;", ","")&amp;IF((COUNTIFS(TableBOM[Product ID],$D$7,TableBOM[Item ID],$A81)&gt;0)*($H$7&gt;0),$C$7&amp;", ","")&amp;IF((COUNTIFS(TableBOM[Product ID],$D$8,TableBOM[Item ID],$A81)&gt;0)*($H$8&gt;0),$C$8&amp;", ","")&amp;IF((COUNTIFS(TableBOM[Product ID],$D$9,TableBOM[Item ID],$A81)&gt;0)*($H$9&gt;0),$C$9&amp;", ","")&amp;IF((COUNTIFS(TableBOM[Product ID],$D$10,TableBOM[Item ID],$A81)&gt;0)*($H$10&gt;0),$C$10&amp;", ","")&amp;IF((COUNTIFS(TableBOM[Product ID],$D$11,TableBOM[Item ID],$A81)&gt;0)*($H$11&gt;0),$C$11&amp;", ","")&amp;IF((COUNTIFS(TableBOM[Product ID],$D$12,TableBOM[Item ID],$A81)&gt;0)*($H$12&gt;0),$C$12&amp;", ",""))&gt;1,LEFT(IF((COUNTIFS(TableBOM[Product ID],$D$3,TableBOM[Item ID],$A81)&gt;0)*($H$3&gt;0),$C$3&amp;", ","")&amp;IF((COUNTIFS(TableBOM[Product ID],$D$4,TableBOM[Item ID],$A81)&gt;0)*($H$4&gt;0),$C$4&amp;", ","")&amp;IF((COUNTIFS(TableBOM[Product ID],$D$5,TableBOM[Item ID],$A81)&gt;0)*($H$5&gt;0),$C$5&amp;", ","")&amp;IF((COUNTIFS(TableBOM[Product ID],$D$6,TableBOM[Item ID],$A81)&gt;0)*($H$6&gt;0),$C$6&amp;", ","")&amp;IF((COUNTIFS(TableBOM[Product ID],$D$7,TableBOM[Item ID],$A81)&gt;0)*($H$7&gt;0),$C$7&amp;", ","")&amp;IF((COUNTIFS(TableBOM[Product ID],$D$8,TableBOM[Item ID],$A81)&gt;0)*($H$8&gt;0),$C$8&amp;", ","")&amp;IF((COUNTIFS(TableBOM[Product ID],$D$9,TableBOM[Item ID],$A81)&gt;0)*($H$9&gt;0),$C$9&amp;", ","")&amp;IF((COUNTIFS(TableBOM[Product ID],$D$10,TableBOM[Item ID],$A81)&gt;0)*($H$10&gt;0),$C$10&amp;", ","")&amp;IF((COUNTIFS(TableBOM[Product ID],$D$11,TableBOM[Item ID],$A81)&gt;0)*($H$11&gt;0),$C$11&amp;", ","")&amp;IF((COUNTIFS(TableBOM[Product ID],$D$12,TableBOM[Item ID],$A81)&gt;0)*($H$12&gt;0),$C$12&amp;", ",""),LEN(IF((COUNTIFS(TableBOM[Product ID],$D$3,TableBOM[Item ID],$A81)&gt;0)*($H$3&gt;0),$C$3&amp;", ","")&amp;IF((COUNTIFS(TableBOM[Product ID],$D$4,TableBOM[Item ID],$A81)&gt;0)*($H$4&gt;0),$C$4&amp;", ","")&amp;IF((COUNTIFS(TableBOM[Product ID],$D$5,TableBOM[Item ID],$A81)&gt;0)*($H$5&gt;0),$C$5&amp;", ","")&amp;IF((COUNTIFS(TableBOM[Product ID],$D$6,TableBOM[Item ID],$A81)&gt;0)*($H$6&gt;0),$C$6&amp;", ","")&amp;IF((COUNTIFS(TableBOM[Product ID],$D$7,TableBOM[Item ID],$A81)&gt;0)*($H$7&gt;0),$C$7&amp;", ","")&amp;IF((COUNTIFS(TableBOM[Product ID],$D$8,TableBOM[Item ID],$A81)&gt;0)*($H$8&gt;0),$C$8&amp;", ","")&amp;IF((COUNTIFS(TableBOM[Product ID],$D$9,TableBOM[Item ID],$A81)&gt;0)*($H$9&gt;0),$C$9&amp;", ","")&amp;IF((COUNTIFS(TableBOM[Product ID],$D$10,TableBOM[Item ID],$A81)&gt;0)*($H$10&gt;0),$C$10&amp;", ","")&amp;IF((COUNTIFS(TableBOM[Product ID],$D$11,TableBOM[Item ID],$A81)&gt;0)*($H$11&gt;0),$C$11&amp;", ","")&amp;IF((COUNTIFS(TableBOM[Product ID],$D$12,TableBOM[Item ID],$A81)&gt;0)*($H$12&gt;0),$C$12&amp;", ",""))-2),"")</f>
        <v/>
      </c>
      <c r="I81" s="63">
        <f>IF(LEN(IF((COUNTIFS(TableBOM[Product ID],$D$3,TableBOM[Item ID],$A81)&gt;0)*($H$3&gt;0),$E$3&amp;", ","")&amp;IF((COUNTIFS(TableBOM[Product ID],$D$4,TableBOM[Item ID],$A81)&gt;0)*($H$4&gt;0),$E$4&amp;", ","")&amp;IF((COUNTIFS(TableBOM[Product ID],$D$5,TableBOM[Item ID],$A81)&gt;0)*($H$5&gt;0),$E$5&amp;", ","")&amp;IF((COUNTIFS(TableBOM[Product ID],$D$6,TableBOM[Item ID],$A81)&gt;0)*($H$6&gt;0),$E$6&amp;", ","")&amp;IF((COUNTIFS(TableBOM[Product ID],$D$7,TableBOM[Item ID],$A81)&gt;0)*($H$7&gt;0),$E$7&amp;", ","")&amp;IF((COUNTIFS(TableBOM[Product ID],$D$8,TableBOM[Item ID],$A81)&gt;0)*($H$8&gt;0),$E$8&amp;", ","")&amp;IF((COUNTIFS(TableBOM[Product ID],$D$9,TableBOM[Item ID],$A81)&gt;0)*($H$9&gt;0),$E$9&amp;", ","")&amp;IF((COUNTIFS(TableBOM[Product ID],$D$10,TableBOM[Item ID],$A81)&gt;0)*($H$10&gt;0),$E$10&amp;", ","")&amp;IF((COUNTIFS(TableBOM[Product ID],$D$11,TableBOM[Item ID],$A81)&gt;0)*($H$11&gt;0),$E$11&amp;", ","")&amp;IF((COUNTIFS(TableBOM[Product ID],$D$12,TableBOM[Item ID],$A81)&gt;0)*($H$12&gt;0),$E$12&amp;", ",""))&gt;1,LEFT(IF((COUNTIFS(TableBOM[Product ID],$D$3,TableBOM[Item ID],$A81)&gt;0)*($H$3&gt;0),$E$3&amp;", ","")&amp;IF((COUNTIFS(TableBOM[Product ID],$D$4,TableBOM[Item ID],$A81)&gt;0)*($H$4&gt;0),$E$4&amp;", ","")&amp;IF((COUNTIFS(TableBOM[Product ID],$D$5,TableBOM[Item ID],$A81)&gt;0)*($H$5&gt;0),$E$5&amp;", ","")&amp;IF((COUNTIFS(TableBOM[Product ID],$D$6,TableBOM[Item ID],$A81)&gt;0)*($H$6&gt;0),$E$6&amp;", ","")&amp;IF((COUNTIFS(TableBOM[Product ID],$D$7,TableBOM[Item ID],$A81)&gt;0)*($H$7&gt;0),$E$7&amp;", ","")&amp;IF((COUNTIFS(TableBOM[Product ID],$D$8,TableBOM[Item ID],$A81)&gt;0)*($H$8&gt;0),$E$8&amp;", ","")&amp;IF((COUNTIFS(TableBOM[Product ID],$D$9,TableBOM[Item ID],$A81)&gt;0)*($H$9&gt;0),$E$9&amp;", ","")&amp;IF((COUNTIFS(TableBOM[Product ID],$D$10,TableBOM[Item ID],$A81)&gt;0)*($H$10&gt;0),$E$10&amp;", ","")&amp;IF((COUNTIFS(TableBOM[Product ID],$D$11,TableBOM[Item ID],$A81)&gt;0)*($H$11&gt;0),$E$11&amp;", ","")&amp;IF((COUNTIFS(TableBOM[Product ID],$D$12,TableBOM[Item ID],$A81)&gt;0)*($H$12&gt;0),$E$12&amp;", ",""),LEN(IF((COUNTIFS(TableBOM[Product ID],$D$3,TableBOM[Item ID],$A81)&gt;0)*($H$3&gt;0),$E$3&amp;", ","")&amp;IF((COUNTIFS(TableBOM[Product ID],$D$4,TableBOM[Item ID],$A81)&gt;0)*($H$4&gt;0),$E$4&amp;", ","")&amp;IF((COUNTIFS(TableBOM[Product ID],$D$5,TableBOM[Item ID],$A81)&gt;0)*($H$5&gt;0),$E$5&amp;", ","")&amp;IF((COUNTIFS(TableBOM[Product ID],$D$6,TableBOM[Item ID],$A81)&gt;0)*($H$6&gt;0),$E$6&amp;", ","")&amp;IF((COUNTIFS(TableBOM[Product ID],$D$7,TableBOM[Item ID],$A81)&gt;0)*($H$7&gt;0),$E$7&amp;", ","")&amp;IF((COUNTIFS(TableBOM[Product ID],$D$8,TableBOM[Item ID],$A81)&gt;0)*($H$8&gt;0),$E$8&amp;", ","")&amp;IF((COUNTIFS(TableBOM[Product ID],$D$9,TableBOM[Item ID],$A81)&gt;0)*($H$9&gt;0),$E$9&amp;", ","")&amp;IF((COUNTIFS(TableBOM[Product ID],$D$10,TableBOM[Item ID],$A81)&gt;0)*($H$10&gt;0),$E$10&amp;", ","")&amp;IF((COUNTIFS(TableBOM[Product ID],$D$11,TableBOM[Item ID],$A81)&gt;0)*($H$11&gt;0),$E$11&amp;", ","")&amp;IF((COUNTIFS(TableBOM[Product ID],$D$12,TableBOM[Item ID],$A81)&gt;0)*($H$12&gt;0),$E$12&amp;", ",""))-2),"")</f>
        <v/>
      </c>
      <c r="J81" s="64">
        <f>IF(E81=0,"Not needed",IF(G81&lt;0,"SHORTAGE",IF(G81&lt;F81*0.1,"LOW","OK")))</f>
        <v/>
      </c>
      <c r="K81" s="64">
        <f>IF(B81&lt;&gt;"CAP","",SUMPRODUCT((ISNUMBER(SEARCH("Cap Not Available",'FG Stock'!$H$4:$H$100)))*('FG Stock'!$I$4:$I$100=A81)*'FG Stock'!$F$4:$F$100))</f>
        <v/>
      </c>
      <c r="L81" s="64">
        <f>IF(E81=0,"",MAX(0,E81+IFERROR(K81*1,0)-F81))</f>
        <v/>
      </c>
    </row>
    <row r="82" hidden="1" ht="15" customHeight="1" s="249">
      <c r="A82" s="55" t="n">
        <v>191</v>
      </c>
      <c r="B82" s="55" t="inlineStr">
        <is>
          <t>THINNER</t>
        </is>
      </c>
      <c r="C82" s="55" t="inlineStr">
        <is>
          <t>THINNER LACQUER SOL EPOXY</t>
        </is>
      </c>
      <c r="D82" s="55" t="inlineStr">
        <is>
          <t>L</t>
        </is>
      </c>
      <c r="E82" s="61">
        <f>SUMPRODUCT((TableBOM[Item ID]=A82)*TableBOM[Per 1000 Units]*(1+TableBOM[Scrap %])*SUMIF($D$3:$D$12,TableBOM[Product ID],$H$3:$H$12)/1000)</f>
        <v/>
      </c>
      <c r="F82" s="61">
        <f>IFERROR(INDEX(TableInventory[Store Balance],MATCH(A82,TableInventory[Item ID],0)),0)+IFERROR(INDEX(TableInventory[Work In Process],MATCH(A82,TableInventory[Item ID],0)),0)</f>
        <v/>
      </c>
      <c r="G82" s="61">
        <f>F82-E82</f>
        <v/>
      </c>
      <c r="H82" s="62">
        <f>IF(LEN(IF((COUNTIFS(TableBOM[Product ID],$D$3,TableBOM[Item ID],$A82)&gt;0)*($H$3&gt;0),$C$3&amp;", ","")&amp;IF((COUNTIFS(TableBOM[Product ID],$D$4,TableBOM[Item ID],$A82)&gt;0)*($H$4&gt;0),$C$4&amp;", ","")&amp;IF((COUNTIFS(TableBOM[Product ID],$D$5,TableBOM[Item ID],$A82)&gt;0)*($H$5&gt;0),$C$5&amp;", ","")&amp;IF((COUNTIFS(TableBOM[Product ID],$D$6,TableBOM[Item ID],$A82)&gt;0)*($H$6&gt;0),$C$6&amp;", ","")&amp;IF((COUNTIFS(TableBOM[Product ID],$D$7,TableBOM[Item ID],$A82)&gt;0)*($H$7&gt;0),$C$7&amp;", ","")&amp;IF((COUNTIFS(TableBOM[Product ID],$D$8,TableBOM[Item ID],$A82)&gt;0)*($H$8&gt;0),$C$8&amp;", ","")&amp;IF((COUNTIFS(TableBOM[Product ID],$D$9,TableBOM[Item ID],$A82)&gt;0)*($H$9&gt;0),$C$9&amp;", ","")&amp;IF((COUNTIFS(TableBOM[Product ID],$D$10,TableBOM[Item ID],$A82)&gt;0)*($H$10&gt;0),$C$10&amp;", ","")&amp;IF((COUNTIFS(TableBOM[Product ID],$D$11,TableBOM[Item ID],$A82)&gt;0)*($H$11&gt;0),$C$11&amp;", ","")&amp;IF((COUNTIFS(TableBOM[Product ID],$D$12,TableBOM[Item ID],$A82)&gt;0)*($H$12&gt;0),$C$12&amp;", ",""))&gt;1,LEFT(IF((COUNTIFS(TableBOM[Product ID],$D$3,TableBOM[Item ID],$A82)&gt;0)*($H$3&gt;0),$C$3&amp;", ","")&amp;IF((COUNTIFS(TableBOM[Product ID],$D$4,TableBOM[Item ID],$A82)&gt;0)*($H$4&gt;0),$C$4&amp;", ","")&amp;IF((COUNTIFS(TableBOM[Product ID],$D$5,TableBOM[Item ID],$A82)&gt;0)*($H$5&gt;0),$C$5&amp;", ","")&amp;IF((COUNTIFS(TableBOM[Product ID],$D$6,TableBOM[Item ID],$A82)&gt;0)*($H$6&gt;0),$C$6&amp;", ","")&amp;IF((COUNTIFS(TableBOM[Product ID],$D$7,TableBOM[Item ID],$A82)&gt;0)*($H$7&gt;0),$C$7&amp;", ","")&amp;IF((COUNTIFS(TableBOM[Product ID],$D$8,TableBOM[Item ID],$A82)&gt;0)*($H$8&gt;0),$C$8&amp;", ","")&amp;IF((COUNTIFS(TableBOM[Product ID],$D$9,TableBOM[Item ID],$A82)&gt;0)*($H$9&gt;0),$C$9&amp;", ","")&amp;IF((COUNTIFS(TableBOM[Product ID],$D$10,TableBOM[Item ID],$A82)&gt;0)*($H$10&gt;0),$C$10&amp;", ","")&amp;IF((COUNTIFS(TableBOM[Product ID],$D$11,TableBOM[Item ID],$A82)&gt;0)*($H$11&gt;0),$C$11&amp;", ","")&amp;IF((COUNTIFS(TableBOM[Product ID],$D$12,TableBOM[Item ID],$A82)&gt;0)*($H$12&gt;0),$C$12&amp;", ",""),LEN(IF((COUNTIFS(TableBOM[Product ID],$D$3,TableBOM[Item ID],$A82)&gt;0)*($H$3&gt;0),$C$3&amp;", ","")&amp;IF((COUNTIFS(TableBOM[Product ID],$D$4,TableBOM[Item ID],$A82)&gt;0)*($H$4&gt;0),$C$4&amp;", ","")&amp;IF((COUNTIFS(TableBOM[Product ID],$D$5,TableBOM[Item ID],$A82)&gt;0)*($H$5&gt;0),$C$5&amp;", ","")&amp;IF((COUNTIFS(TableBOM[Product ID],$D$6,TableBOM[Item ID],$A82)&gt;0)*($H$6&gt;0),$C$6&amp;", ","")&amp;IF((COUNTIFS(TableBOM[Product ID],$D$7,TableBOM[Item ID],$A82)&gt;0)*($H$7&gt;0),$C$7&amp;", ","")&amp;IF((COUNTIFS(TableBOM[Product ID],$D$8,TableBOM[Item ID],$A82)&gt;0)*($H$8&gt;0),$C$8&amp;", ","")&amp;IF((COUNTIFS(TableBOM[Product ID],$D$9,TableBOM[Item ID],$A82)&gt;0)*($H$9&gt;0),$C$9&amp;", ","")&amp;IF((COUNTIFS(TableBOM[Product ID],$D$10,TableBOM[Item ID],$A82)&gt;0)*($H$10&gt;0),$C$10&amp;", ","")&amp;IF((COUNTIFS(TableBOM[Product ID],$D$11,TableBOM[Item ID],$A82)&gt;0)*($H$11&gt;0),$C$11&amp;", ","")&amp;IF((COUNTIFS(TableBOM[Product ID],$D$12,TableBOM[Item ID],$A82)&gt;0)*($H$12&gt;0),$C$12&amp;", ",""))-2),"")</f>
        <v/>
      </c>
      <c r="I82" s="63">
        <f>IF(LEN(IF((COUNTIFS(TableBOM[Product ID],$D$3,TableBOM[Item ID],$A82)&gt;0)*($H$3&gt;0),$E$3&amp;", ","")&amp;IF((COUNTIFS(TableBOM[Product ID],$D$4,TableBOM[Item ID],$A82)&gt;0)*($H$4&gt;0),$E$4&amp;", ","")&amp;IF((COUNTIFS(TableBOM[Product ID],$D$5,TableBOM[Item ID],$A82)&gt;0)*($H$5&gt;0),$E$5&amp;", ","")&amp;IF((COUNTIFS(TableBOM[Product ID],$D$6,TableBOM[Item ID],$A82)&gt;0)*($H$6&gt;0),$E$6&amp;", ","")&amp;IF((COUNTIFS(TableBOM[Product ID],$D$7,TableBOM[Item ID],$A82)&gt;0)*($H$7&gt;0),$E$7&amp;", ","")&amp;IF((COUNTIFS(TableBOM[Product ID],$D$8,TableBOM[Item ID],$A82)&gt;0)*($H$8&gt;0),$E$8&amp;", ","")&amp;IF((COUNTIFS(TableBOM[Product ID],$D$9,TableBOM[Item ID],$A82)&gt;0)*($H$9&gt;0),$E$9&amp;", ","")&amp;IF((COUNTIFS(TableBOM[Product ID],$D$10,TableBOM[Item ID],$A82)&gt;0)*($H$10&gt;0),$E$10&amp;", ","")&amp;IF((COUNTIFS(TableBOM[Product ID],$D$11,TableBOM[Item ID],$A82)&gt;0)*($H$11&gt;0),$E$11&amp;", ","")&amp;IF((COUNTIFS(TableBOM[Product ID],$D$12,TableBOM[Item ID],$A82)&gt;0)*($H$12&gt;0),$E$12&amp;", ",""))&gt;1,LEFT(IF((COUNTIFS(TableBOM[Product ID],$D$3,TableBOM[Item ID],$A82)&gt;0)*($H$3&gt;0),$E$3&amp;", ","")&amp;IF((COUNTIFS(TableBOM[Product ID],$D$4,TableBOM[Item ID],$A82)&gt;0)*($H$4&gt;0),$E$4&amp;", ","")&amp;IF((COUNTIFS(TableBOM[Product ID],$D$5,TableBOM[Item ID],$A82)&gt;0)*($H$5&gt;0),$E$5&amp;", ","")&amp;IF((COUNTIFS(TableBOM[Product ID],$D$6,TableBOM[Item ID],$A82)&gt;0)*($H$6&gt;0),$E$6&amp;", ","")&amp;IF((COUNTIFS(TableBOM[Product ID],$D$7,TableBOM[Item ID],$A82)&gt;0)*($H$7&gt;0),$E$7&amp;", ","")&amp;IF((COUNTIFS(TableBOM[Product ID],$D$8,TableBOM[Item ID],$A82)&gt;0)*($H$8&gt;0),$E$8&amp;", ","")&amp;IF((COUNTIFS(TableBOM[Product ID],$D$9,TableBOM[Item ID],$A82)&gt;0)*($H$9&gt;0),$E$9&amp;", ","")&amp;IF((COUNTIFS(TableBOM[Product ID],$D$10,TableBOM[Item ID],$A82)&gt;0)*($H$10&gt;0),$E$10&amp;", ","")&amp;IF((COUNTIFS(TableBOM[Product ID],$D$11,TableBOM[Item ID],$A82)&gt;0)*($H$11&gt;0),$E$11&amp;", ","")&amp;IF((COUNTIFS(TableBOM[Product ID],$D$12,TableBOM[Item ID],$A82)&gt;0)*($H$12&gt;0),$E$12&amp;", ",""),LEN(IF((COUNTIFS(TableBOM[Product ID],$D$3,TableBOM[Item ID],$A82)&gt;0)*($H$3&gt;0),$E$3&amp;", ","")&amp;IF((COUNTIFS(TableBOM[Product ID],$D$4,TableBOM[Item ID],$A82)&gt;0)*($H$4&gt;0),$E$4&amp;", ","")&amp;IF((COUNTIFS(TableBOM[Product ID],$D$5,TableBOM[Item ID],$A82)&gt;0)*($H$5&gt;0),$E$5&amp;", ","")&amp;IF((COUNTIFS(TableBOM[Product ID],$D$6,TableBOM[Item ID],$A82)&gt;0)*($H$6&gt;0),$E$6&amp;", ","")&amp;IF((COUNTIFS(TableBOM[Product ID],$D$7,TableBOM[Item ID],$A82)&gt;0)*($H$7&gt;0),$E$7&amp;", ","")&amp;IF((COUNTIFS(TableBOM[Product ID],$D$8,TableBOM[Item ID],$A82)&gt;0)*($H$8&gt;0),$E$8&amp;", ","")&amp;IF((COUNTIFS(TableBOM[Product ID],$D$9,TableBOM[Item ID],$A82)&gt;0)*($H$9&gt;0),$E$9&amp;", ","")&amp;IF((COUNTIFS(TableBOM[Product ID],$D$10,TableBOM[Item ID],$A82)&gt;0)*($H$10&gt;0),$E$10&amp;", ","")&amp;IF((COUNTIFS(TableBOM[Product ID],$D$11,TableBOM[Item ID],$A82)&gt;0)*($H$11&gt;0),$E$11&amp;", ","")&amp;IF((COUNTIFS(TableBOM[Product ID],$D$12,TableBOM[Item ID],$A82)&gt;0)*($H$12&gt;0),$E$12&amp;", ",""))-2),"")</f>
        <v/>
      </c>
      <c r="J82" s="64">
        <f>IF(E82=0,"Not needed",IF(G82&lt;0,"SHORTAGE",IF(G82&lt;F82*0.1,"LOW","OK")))</f>
        <v/>
      </c>
      <c r="K82" s="64">
        <f>IF(B82&lt;&gt;"CAP","",SUMPRODUCT((ISNUMBER(SEARCH("Cap Not Available",'FG Stock'!$H$4:$H$100)))*('FG Stock'!$I$4:$I$100=A82)*'FG Stock'!$F$4:$F$100))</f>
        <v/>
      </c>
      <c r="L82" s="64">
        <f>IF(E82=0,"",MAX(0,E82+IFERROR(K82*1,0)-F82))</f>
        <v/>
      </c>
    </row>
    <row r="83" hidden="1" ht="15" customHeight="1" s="249">
      <c r="A83" s="55" t="n">
        <v>2680</v>
      </c>
      <c r="B83" s="55" t="inlineStr">
        <is>
          <t>PET RESIN</t>
        </is>
      </c>
      <c r="C83" s="55" t="inlineStr">
        <is>
          <t>PET RESIN A-84</t>
        </is>
      </c>
      <c r="D83" s="55" t="inlineStr">
        <is>
          <t>kg</t>
        </is>
      </c>
      <c r="E83" s="61">
        <f>SUMPRODUCT((TableBOM[Item ID]=A83)*TableBOM[Per 1000 Units]*(1+TableBOM[Scrap %])*SUMIF($D$3:$D$12,TableBOM[Product ID],$H$3:$H$12)/1000)</f>
        <v/>
      </c>
      <c r="F83" s="61">
        <f>IFERROR(INDEX(TableInventory[Store Balance],MATCH(A83,TableInventory[Item ID],0)),0)+IFERROR(INDEX(TableInventory[Work In Process],MATCH(A83,TableInventory[Item ID],0)),0)</f>
        <v/>
      </c>
      <c r="G83" s="61">
        <f>F83-E83</f>
        <v/>
      </c>
      <c r="H83" s="62">
        <f>IF(LEN(IF((COUNTIFS(TableBOM[Product ID],$D$3,TableBOM[Item ID],$A83)&gt;0)*($H$3&gt;0),$C$3&amp;", ","")&amp;IF((COUNTIFS(TableBOM[Product ID],$D$4,TableBOM[Item ID],$A83)&gt;0)*($H$4&gt;0),$C$4&amp;", ","")&amp;IF((COUNTIFS(TableBOM[Product ID],$D$5,TableBOM[Item ID],$A83)&gt;0)*($H$5&gt;0),$C$5&amp;", ","")&amp;IF((COUNTIFS(TableBOM[Product ID],$D$6,TableBOM[Item ID],$A83)&gt;0)*($H$6&gt;0),$C$6&amp;", ","")&amp;IF((COUNTIFS(TableBOM[Product ID],$D$7,TableBOM[Item ID],$A83)&gt;0)*($H$7&gt;0),$C$7&amp;", ","")&amp;IF((COUNTIFS(TableBOM[Product ID],$D$8,TableBOM[Item ID],$A83)&gt;0)*($H$8&gt;0),$C$8&amp;", ","")&amp;IF((COUNTIFS(TableBOM[Product ID],$D$9,TableBOM[Item ID],$A83)&gt;0)*($H$9&gt;0),$C$9&amp;", ","")&amp;IF((COUNTIFS(TableBOM[Product ID],$D$10,TableBOM[Item ID],$A83)&gt;0)*($H$10&gt;0),$C$10&amp;", ","")&amp;IF((COUNTIFS(TableBOM[Product ID],$D$11,TableBOM[Item ID],$A83)&gt;0)*($H$11&gt;0),$C$11&amp;", ","")&amp;IF((COUNTIFS(TableBOM[Product ID],$D$12,TableBOM[Item ID],$A83)&gt;0)*($H$12&gt;0),$C$12&amp;", ",""))&gt;1,LEFT(IF((COUNTIFS(TableBOM[Product ID],$D$3,TableBOM[Item ID],$A83)&gt;0)*($H$3&gt;0),$C$3&amp;", ","")&amp;IF((COUNTIFS(TableBOM[Product ID],$D$4,TableBOM[Item ID],$A83)&gt;0)*($H$4&gt;0),$C$4&amp;", ","")&amp;IF((COUNTIFS(TableBOM[Product ID],$D$5,TableBOM[Item ID],$A83)&gt;0)*($H$5&gt;0),$C$5&amp;", ","")&amp;IF((COUNTIFS(TableBOM[Product ID],$D$6,TableBOM[Item ID],$A83)&gt;0)*($H$6&gt;0),$C$6&amp;", ","")&amp;IF((COUNTIFS(TableBOM[Product ID],$D$7,TableBOM[Item ID],$A83)&gt;0)*($H$7&gt;0),$C$7&amp;", ","")&amp;IF((COUNTIFS(TableBOM[Product ID],$D$8,TableBOM[Item ID],$A83)&gt;0)*($H$8&gt;0),$C$8&amp;", ","")&amp;IF((COUNTIFS(TableBOM[Product ID],$D$9,TableBOM[Item ID],$A83)&gt;0)*($H$9&gt;0),$C$9&amp;", ","")&amp;IF((COUNTIFS(TableBOM[Product ID],$D$10,TableBOM[Item ID],$A83)&gt;0)*($H$10&gt;0),$C$10&amp;", ","")&amp;IF((COUNTIFS(TableBOM[Product ID],$D$11,TableBOM[Item ID],$A83)&gt;0)*($H$11&gt;0),$C$11&amp;", ","")&amp;IF((COUNTIFS(TableBOM[Product ID],$D$12,TableBOM[Item ID],$A83)&gt;0)*($H$12&gt;0),$C$12&amp;", ",""),LEN(IF((COUNTIFS(TableBOM[Product ID],$D$3,TableBOM[Item ID],$A83)&gt;0)*($H$3&gt;0),$C$3&amp;", ","")&amp;IF((COUNTIFS(TableBOM[Product ID],$D$4,TableBOM[Item ID],$A83)&gt;0)*($H$4&gt;0),$C$4&amp;", ","")&amp;IF((COUNTIFS(TableBOM[Product ID],$D$5,TableBOM[Item ID],$A83)&gt;0)*($H$5&gt;0),$C$5&amp;", ","")&amp;IF((COUNTIFS(TableBOM[Product ID],$D$6,TableBOM[Item ID],$A83)&gt;0)*($H$6&gt;0),$C$6&amp;", ","")&amp;IF((COUNTIFS(TableBOM[Product ID],$D$7,TableBOM[Item ID],$A83)&gt;0)*($H$7&gt;0),$C$7&amp;", ","")&amp;IF((COUNTIFS(TableBOM[Product ID],$D$8,TableBOM[Item ID],$A83)&gt;0)*($H$8&gt;0),$C$8&amp;", ","")&amp;IF((COUNTIFS(TableBOM[Product ID],$D$9,TableBOM[Item ID],$A83)&gt;0)*($H$9&gt;0),$C$9&amp;", ","")&amp;IF((COUNTIFS(TableBOM[Product ID],$D$10,TableBOM[Item ID],$A83)&gt;0)*($H$10&gt;0),$C$10&amp;", ","")&amp;IF((COUNTIFS(TableBOM[Product ID],$D$11,TableBOM[Item ID],$A83)&gt;0)*($H$11&gt;0),$C$11&amp;", ","")&amp;IF((COUNTIFS(TableBOM[Product ID],$D$12,TableBOM[Item ID],$A83)&gt;0)*($H$12&gt;0),$C$12&amp;", ",""))-2),"")</f>
        <v/>
      </c>
      <c r="I83" s="63">
        <f>IF(LEN(IF((COUNTIFS(TableBOM[Product ID],$D$3,TableBOM[Item ID],$A83)&gt;0)*($H$3&gt;0),$E$3&amp;", ","")&amp;IF((COUNTIFS(TableBOM[Product ID],$D$4,TableBOM[Item ID],$A83)&gt;0)*($H$4&gt;0),$E$4&amp;", ","")&amp;IF((COUNTIFS(TableBOM[Product ID],$D$5,TableBOM[Item ID],$A83)&gt;0)*($H$5&gt;0),$E$5&amp;", ","")&amp;IF((COUNTIFS(TableBOM[Product ID],$D$6,TableBOM[Item ID],$A83)&gt;0)*($H$6&gt;0),$E$6&amp;", ","")&amp;IF((COUNTIFS(TableBOM[Product ID],$D$7,TableBOM[Item ID],$A83)&gt;0)*($H$7&gt;0),$E$7&amp;", ","")&amp;IF((COUNTIFS(TableBOM[Product ID],$D$8,TableBOM[Item ID],$A83)&gt;0)*($H$8&gt;0),$E$8&amp;", ","")&amp;IF((COUNTIFS(TableBOM[Product ID],$D$9,TableBOM[Item ID],$A83)&gt;0)*($H$9&gt;0),$E$9&amp;", ","")&amp;IF((COUNTIFS(TableBOM[Product ID],$D$10,TableBOM[Item ID],$A83)&gt;0)*($H$10&gt;0),$E$10&amp;", ","")&amp;IF((COUNTIFS(TableBOM[Product ID],$D$11,TableBOM[Item ID],$A83)&gt;0)*($H$11&gt;0),$E$11&amp;", ","")&amp;IF((COUNTIFS(TableBOM[Product ID],$D$12,TableBOM[Item ID],$A83)&gt;0)*($H$12&gt;0),$E$12&amp;", ",""))&gt;1,LEFT(IF((COUNTIFS(TableBOM[Product ID],$D$3,TableBOM[Item ID],$A83)&gt;0)*($H$3&gt;0),$E$3&amp;", ","")&amp;IF((COUNTIFS(TableBOM[Product ID],$D$4,TableBOM[Item ID],$A83)&gt;0)*($H$4&gt;0),$E$4&amp;", ","")&amp;IF((COUNTIFS(TableBOM[Product ID],$D$5,TableBOM[Item ID],$A83)&gt;0)*($H$5&gt;0),$E$5&amp;", ","")&amp;IF((COUNTIFS(TableBOM[Product ID],$D$6,TableBOM[Item ID],$A83)&gt;0)*($H$6&gt;0),$E$6&amp;", ","")&amp;IF((COUNTIFS(TableBOM[Product ID],$D$7,TableBOM[Item ID],$A83)&gt;0)*($H$7&gt;0),$E$7&amp;", ","")&amp;IF((COUNTIFS(TableBOM[Product ID],$D$8,TableBOM[Item ID],$A83)&gt;0)*($H$8&gt;0),$E$8&amp;", ","")&amp;IF((COUNTIFS(TableBOM[Product ID],$D$9,TableBOM[Item ID],$A83)&gt;0)*($H$9&gt;0),$E$9&amp;", ","")&amp;IF((COUNTIFS(TableBOM[Product ID],$D$10,TableBOM[Item ID],$A83)&gt;0)*($H$10&gt;0),$E$10&amp;", ","")&amp;IF((COUNTIFS(TableBOM[Product ID],$D$11,TableBOM[Item ID],$A83)&gt;0)*($H$11&gt;0),$E$11&amp;", ","")&amp;IF((COUNTIFS(TableBOM[Product ID],$D$12,TableBOM[Item ID],$A83)&gt;0)*($H$12&gt;0),$E$12&amp;", ",""),LEN(IF((COUNTIFS(TableBOM[Product ID],$D$3,TableBOM[Item ID],$A83)&gt;0)*($H$3&gt;0),$E$3&amp;", ","")&amp;IF((COUNTIFS(TableBOM[Product ID],$D$4,TableBOM[Item ID],$A83)&gt;0)*($H$4&gt;0),$E$4&amp;", ","")&amp;IF((COUNTIFS(TableBOM[Product ID],$D$5,TableBOM[Item ID],$A83)&gt;0)*($H$5&gt;0),$E$5&amp;", ","")&amp;IF((COUNTIFS(TableBOM[Product ID],$D$6,TableBOM[Item ID],$A83)&gt;0)*($H$6&gt;0),$E$6&amp;", ","")&amp;IF((COUNTIFS(TableBOM[Product ID],$D$7,TableBOM[Item ID],$A83)&gt;0)*($H$7&gt;0),$E$7&amp;", ","")&amp;IF((COUNTIFS(TableBOM[Product ID],$D$8,TableBOM[Item ID],$A83)&gt;0)*($H$8&gt;0),$E$8&amp;", ","")&amp;IF((COUNTIFS(TableBOM[Product ID],$D$9,TableBOM[Item ID],$A83)&gt;0)*($H$9&gt;0),$E$9&amp;", ","")&amp;IF((COUNTIFS(TableBOM[Product ID],$D$10,TableBOM[Item ID],$A83)&gt;0)*($H$10&gt;0),$E$10&amp;", ","")&amp;IF((COUNTIFS(TableBOM[Product ID],$D$11,TableBOM[Item ID],$A83)&gt;0)*($H$11&gt;0),$E$11&amp;", ","")&amp;IF((COUNTIFS(TableBOM[Product ID],$D$12,TableBOM[Item ID],$A83)&gt;0)*($H$12&gt;0),$E$12&amp;", ",""))-2),"")</f>
        <v/>
      </c>
      <c r="J83" s="64">
        <f>IF(E83=0,"Not needed",IF(G83&lt;0,"SHORTAGE",IF(G83&lt;F83*0.1,"LOW","OK")))</f>
        <v/>
      </c>
      <c r="K83" s="64">
        <f>IF(B83&lt;&gt;"CAP","",SUMPRODUCT((ISNUMBER(SEARCH("Cap Not Available",'FG Stock'!$H$4:$H$100)))*('FG Stock'!$I$4:$I$100=A83)*'FG Stock'!$F$4:$F$100))</f>
        <v/>
      </c>
      <c r="L83" s="64">
        <f>IF(E83=0,"",MAX(0,E83+IFERROR(K83*1,0)-F83))</f>
        <v/>
      </c>
    </row>
    <row r="84" hidden="1" ht="15" customHeight="1" s="249">
      <c r="A84" s="55" t="n">
        <v>3492</v>
      </c>
      <c r="B84" s="55" t="inlineStr">
        <is>
          <t>MASTER BATCH</t>
        </is>
      </c>
      <c r="C84" s="55" t="inlineStr">
        <is>
          <t>MASTER BATCH (PA M27) GREEN</t>
        </is>
      </c>
      <c r="D84" s="55" t="inlineStr">
        <is>
          <t>kg</t>
        </is>
      </c>
      <c r="E84" s="61">
        <f>SUMPRODUCT((TableBOM[Item ID]=A84)*TableBOM[Per 1000 Units]*(1+TableBOM[Scrap %])*SUMIF($D$3:$D$12,TableBOM[Product ID],$H$3:$H$12)/1000)</f>
        <v/>
      </c>
      <c r="F84" s="61">
        <f>IFERROR(INDEX(TableInventory[Store Balance],MATCH(A84,TableInventory[Item ID],0)),0)+IFERROR(INDEX(TableInventory[Work In Process],MATCH(A84,TableInventory[Item ID],0)),0)</f>
        <v/>
      </c>
      <c r="G84" s="61">
        <f>F84-E84</f>
        <v/>
      </c>
      <c r="H84" s="62">
        <f>IF(LEN(IF((COUNTIFS(TableBOM[Product ID],$D$3,TableBOM[Item ID],$A84)&gt;0)*($H$3&gt;0),$C$3&amp;", ","")&amp;IF((COUNTIFS(TableBOM[Product ID],$D$4,TableBOM[Item ID],$A84)&gt;0)*($H$4&gt;0),$C$4&amp;", ","")&amp;IF((COUNTIFS(TableBOM[Product ID],$D$5,TableBOM[Item ID],$A84)&gt;0)*($H$5&gt;0),$C$5&amp;", ","")&amp;IF((COUNTIFS(TableBOM[Product ID],$D$6,TableBOM[Item ID],$A84)&gt;0)*($H$6&gt;0),$C$6&amp;", ","")&amp;IF((COUNTIFS(TableBOM[Product ID],$D$7,TableBOM[Item ID],$A84)&gt;0)*($H$7&gt;0),$C$7&amp;", ","")&amp;IF((COUNTIFS(TableBOM[Product ID],$D$8,TableBOM[Item ID],$A84)&gt;0)*($H$8&gt;0),$C$8&amp;", ","")&amp;IF((COUNTIFS(TableBOM[Product ID],$D$9,TableBOM[Item ID],$A84)&gt;0)*($H$9&gt;0),$C$9&amp;", ","")&amp;IF((COUNTIFS(TableBOM[Product ID],$D$10,TableBOM[Item ID],$A84)&gt;0)*($H$10&gt;0),$C$10&amp;", ","")&amp;IF((COUNTIFS(TableBOM[Product ID],$D$11,TableBOM[Item ID],$A84)&gt;0)*($H$11&gt;0),$C$11&amp;", ","")&amp;IF((COUNTIFS(TableBOM[Product ID],$D$12,TableBOM[Item ID],$A84)&gt;0)*($H$12&gt;0),$C$12&amp;", ",""))&gt;1,LEFT(IF((COUNTIFS(TableBOM[Product ID],$D$3,TableBOM[Item ID],$A84)&gt;0)*($H$3&gt;0),$C$3&amp;", ","")&amp;IF((COUNTIFS(TableBOM[Product ID],$D$4,TableBOM[Item ID],$A84)&gt;0)*($H$4&gt;0),$C$4&amp;", ","")&amp;IF((COUNTIFS(TableBOM[Product ID],$D$5,TableBOM[Item ID],$A84)&gt;0)*($H$5&gt;0),$C$5&amp;", ","")&amp;IF((COUNTIFS(TableBOM[Product ID],$D$6,TableBOM[Item ID],$A84)&gt;0)*($H$6&gt;0),$C$6&amp;", ","")&amp;IF((COUNTIFS(TableBOM[Product ID],$D$7,TableBOM[Item ID],$A84)&gt;0)*($H$7&gt;0),$C$7&amp;", ","")&amp;IF((COUNTIFS(TableBOM[Product ID],$D$8,TableBOM[Item ID],$A84)&gt;0)*($H$8&gt;0),$C$8&amp;", ","")&amp;IF((COUNTIFS(TableBOM[Product ID],$D$9,TableBOM[Item ID],$A84)&gt;0)*($H$9&gt;0),$C$9&amp;", ","")&amp;IF((COUNTIFS(TableBOM[Product ID],$D$10,TableBOM[Item ID],$A84)&gt;0)*($H$10&gt;0),$C$10&amp;", ","")&amp;IF((COUNTIFS(TableBOM[Product ID],$D$11,TableBOM[Item ID],$A84)&gt;0)*($H$11&gt;0),$C$11&amp;", ","")&amp;IF((COUNTIFS(TableBOM[Product ID],$D$12,TableBOM[Item ID],$A84)&gt;0)*($H$12&gt;0),$C$12&amp;", ",""),LEN(IF((COUNTIFS(TableBOM[Product ID],$D$3,TableBOM[Item ID],$A84)&gt;0)*($H$3&gt;0),$C$3&amp;", ","")&amp;IF((COUNTIFS(TableBOM[Product ID],$D$4,TableBOM[Item ID],$A84)&gt;0)*($H$4&gt;0),$C$4&amp;", ","")&amp;IF((COUNTIFS(TableBOM[Product ID],$D$5,TableBOM[Item ID],$A84)&gt;0)*($H$5&gt;0),$C$5&amp;", ","")&amp;IF((COUNTIFS(TableBOM[Product ID],$D$6,TableBOM[Item ID],$A84)&gt;0)*($H$6&gt;0),$C$6&amp;", ","")&amp;IF((COUNTIFS(TableBOM[Product ID],$D$7,TableBOM[Item ID],$A84)&gt;0)*($H$7&gt;0),$C$7&amp;", ","")&amp;IF((COUNTIFS(TableBOM[Product ID],$D$8,TableBOM[Item ID],$A84)&gt;0)*($H$8&gt;0),$C$8&amp;", ","")&amp;IF((COUNTIFS(TableBOM[Product ID],$D$9,TableBOM[Item ID],$A84)&gt;0)*($H$9&gt;0),$C$9&amp;", ","")&amp;IF((COUNTIFS(TableBOM[Product ID],$D$10,TableBOM[Item ID],$A84)&gt;0)*($H$10&gt;0),$C$10&amp;", ","")&amp;IF((COUNTIFS(TableBOM[Product ID],$D$11,TableBOM[Item ID],$A84)&gt;0)*($H$11&gt;0),$C$11&amp;", ","")&amp;IF((COUNTIFS(TableBOM[Product ID],$D$12,TableBOM[Item ID],$A84)&gt;0)*($H$12&gt;0),$C$12&amp;", ",""))-2),"")</f>
        <v/>
      </c>
      <c r="I84" s="63">
        <f>IF(LEN(IF((COUNTIFS(TableBOM[Product ID],$D$3,TableBOM[Item ID],$A84)&gt;0)*($H$3&gt;0),$E$3&amp;", ","")&amp;IF((COUNTIFS(TableBOM[Product ID],$D$4,TableBOM[Item ID],$A84)&gt;0)*($H$4&gt;0),$E$4&amp;", ","")&amp;IF((COUNTIFS(TableBOM[Product ID],$D$5,TableBOM[Item ID],$A84)&gt;0)*($H$5&gt;0),$E$5&amp;", ","")&amp;IF((COUNTIFS(TableBOM[Product ID],$D$6,TableBOM[Item ID],$A84)&gt;0)*($H$6&gt;0),$E$6&amp;", ","")&amp;IF((COUNTIFS(TableBOM[Product ID],$D$7,TableBOM[Item ID],$A84)&gt;0)*($H$7&gt;0),$E$7&amp;", ","")&amp;IF((COUNTIFS(TableBOM[Product ID],$D$8,TableBOM[Item ID],$A84)&gt;0)*($H$8&gt;0),$E$8&amp;", ","")&amp;IF((COUNTIFS(TableBOM[Product ID],$D$9,TableBOM[Item ID],$A84)&gt;0)*($H$9&gt;0),$E$9&amp;", ","")&amp;IF((COUNTIFS(TableBOM[Product ID],$D$10,TableBOM[Item ID],$A84)&gt;0)*($H$10&gt;0),$E$10&amp;", ","")&amp;IF((COUNTIFS(TableBOM[Product ID],$D$11,TableBOM[Item ID],$A84)&gt;0)*($H$11&gt;0),$E$11&amp;", ","")&amp;IF((COUNTIFS(TableBOM[Product ID],$D$12,TableBOM[Item ID],$A84)&gt;0)*($H$12&gt;0),$E$12&amp;", ",""))&gt;1,LEFT(IF((COUNTIFS(TableBOM[Product ID],$D$3,TableBOM[Item ID],$A84)&gt;0)*($H$3&gt;0),$E$3&amp;", ","")&amp;IF((COUNTIFS(TableBOM[Product ID],$D$4,TableBOM[Item ID],$A84)&gt;0)*($H$4&gt;0),$E$4&amp;", ","")&amp;IF((COUNTIFS(TableBOM[Product ID],$D$5,TableBOM[Item ID],$A84)&gt;0)*($H$5&gt;0),$E$5&amp;", ","")&amp;IF((COUNTIFS(TableBOM[Product ID],$D$6,TableBOM[Item ID],$A84)&gt;0)*($H$6&gt;0),$E$6&amp;", ","")&amp;IF((COUNTIFS(TableBOM[Product ID],$D$7,TableBOM[Item ID],$A84)&gt;0)*($H$7&gt;0),$E$7&amp;", ","")&amp;IF((COUNTIFS(TableBOM[Product ID],$D$8,TableBOM[Item ID],$A84)&gt;0)*($H$8&gt;0),$E$8&amp;", ","")&amp;IF((COUNTIFS(TableBOM[Product ID],$D$9,TableBOM[Item ID],$A84)&gt;0)*($H$9&gt;0),$E$9&amp;", ","")&amp;IF((COUNTIFS(TableBOM[Product ID],$D$10,TableBOM[Item ID],$A84)&gt;0)*($H$10&gt;0),$E$10&amp;", ","")&amp;IF((COUNTIFS(TableBOM[Product ID],$D$11,TableBOM[Item ID],$A84)&gt;0)*($H$11&gt;0),$E$11&amp;", ","")&amp;IF((COUNTIFS(TableBOM[Product ID],$D$12,TableBOM[Item ID],$A84)&gt;0)*($H$12&gt;0),$E$12&amp;", ",""),LEN(IF((COUNTIFS(TableBOM[Product ID],$D$3,TableBOM[Item ID],$A84)&gt;0)*($H$3&gt;0),$E$3&amp;", ","")&amp;IF((COUNTIFS(TableBOM[Product ID],$D$4,TableBOM[Item ID],$A84)&gt;0)*($H$4&gt;0),$E$4&amp;", ","")&amp;IF((COUNTIFS(TableBOM[Product ID],$D$5,TableBOM[Item ID],$A84)&gt;0)*($H$5&gt;0),$E$5&amp;", ","")&amp;IF((COUNTIFS(TableBOM[Product ID],$D$6,TableBOM[Item ID],$A84)&gt;0)*($H$6&gt;0),$E$6&amp;", ","")&amp;IF((COUNTIFS(TableBOM[Product ID],$D$7,TableBOM[Item ID],$A84)&gt;0)*($H$7&gt;0),$E$7&amp;", ","")&amp;IF((COUNTIFS(TableBOM[Product ID],$D$8,TableBOM[Item ID],$A84)&gt;0)*($H$8&gt;0),$E$8&amp;", ","")&amp;IF((COUNTIFS(TableBOM[Product ID],$D$9,TableBOM[Item ID],$A84)&gt;0)*($H$9&gt;0),$E$9&amp;", ","")&amp;IF((COUNTIFS(TableBOM[Product ID],$D$10,TableBOM[Item ID],$A84)&gt;0)*($H$10&gt;0),$E$10&amp;", ","")&amp;IF((COUNTIFS(TableBOM[Product ID],$D$11,TableBOM[Item ID],$A84)&gt;0)*($H$11&gt;0),$E$11&amp;", ","")&amp;IF((COUNTIFS(TableBOM[Product ID],$D$12,TableBOM[Item ID],$A84)&gt;0)*($H$12&gt;0),$E$12&amp;", ",""))-2),"")</f>
        <v/>
      </c>
      <c r="J84" s="64">
        <f>IF(E84=0,"Not needed",IF(G84&lt;0,"SHORTAGE",IF(G84&lt;F84*0.1,"LOW","OK")))</f>
        <v/>
      </c>
      <c r="K84" s="64">
        <f>IF(B84&lt;&gt;"CAP","",SUMPRODUCT((ISNUMBER(SEARCH("Cap Not Available",'FG Stock'!$H$4:$H$100)))*('FG Stock'!$I$4:$I$100=A84)*'FG Stock'!$F$4:$F$100))</f>
        <v/>
      </c>
      <c r="L84" s="64">
        <f>IF(E84=0,"",MAX(0,E84+IFERROR(K84*1,0)-F84))</f>
        <v/>
      </c>
    </row>
    <row r="85" hidden="1" ht="15" customHeight="1" s="249">
      <c r="A85" s="55" t="n">
        <v>4002</v>
      </c>
      <c r="B85" s="55" t="inlineStr">
        <is>
          <t>MASTER BATCH</t>
        </is>
      </c>
      <c r="C85" s="55" t="inlineStr">
        <is>
          <t>MASTER BATCH YELLOW CMN# 3087</t>
        </is>
      </c>
      <c r="D85" s="55" t="inlineStr">
        <is>
          <t>kg</t>
        </is>
      </c>
      <c r="E85" s="61">
        <f>SUMPRODUCT((TableBOM[Item ID]=A85)*TableBOM[Per 1000 Units]*(1+TableBOM[Scrap %])*SUMIF($D$3:$D$12,TableBOM[Product ID],$H$3:$H$12)/1000)</f>
        <v/>
      </c>
      <c r="F85" s="61">
        <f>IFERROR(INDEX(TableInventory[Store Balance],MATCH(A85,TableInventory[Item ID],0)),0)+IFERROR(INDEX(TableInventory[Work In Process],MATCH(A85,TableInventory[Item ID],0)),0)</f>
        <v/>
      </c>
      <c r="G85" s="61">
        <f>F85-E85</f>
        <v/>
      </c>
      <c r="H85" s="62">
        <f>IF(LEN(IF((COUNTIFS(TableBOM[Product ID],$D$3,TableBOM[Item ID],$A85)&gt;0)*($H$3&gt;0),$C$3&amp;", ","")&amp;IF((COUNTIFS(TableBOM[Product ID],$D$4,TableBOM[Item ID],$A85)&gt;0)*($H$4&gt;0),$C$4&amp;", ","")&amp;IF((COUNTIFS(TableBOM[Product ID],$D$5,TableBOM[Item ID],$A85)&gt;0)*($H$5&gt;0),$C$5&amp;", ","")&amp;IF((COUNTIFS(TableBOM[Product ID],$D$6,TableBOM[Item ID],$A85)&gt;0)*($H$6&gt;0),$C$6&amp;", ","")&amp;IF((COUNTIFS(TableBOM[Product ID],$D$7,TableBOM[Item ID],$A85)&gt;0)*($H$7&gt;0),$C$7&amp;", ","")&amp;IF((COUNTIFS(TableBOM[Product ID],$D$8,TableBOM[Item ID],$A85)&gt;0)*($H$8&gt;0),$C$8&amp;", ","")&amp;IF((COUNTIFS(TableBOM[Product ID],$D$9,TableBOM[Item ID],$A85)&gt;0)*($H$9&gt;0),$C$9&amp;", ","")&amp;IF((COUNTIFS(TableBOM[Product ID],$D$10,TableBOM[Item ID],$A85)&gt;0)*($H$10&gt;0),$C$10&amp;", ","")&amp;IF((COUNTIFS(TableBOM[Product ID],$D$11,TableBOM[Item ID],$A85)&gt;0)*($H$11&gt;0),$C$11&amp;", ","")&amp;IF((COUNTIFS(TableBOM[Product ID],$D$12,TableBOM[Item ID],$A85)&gt;0)*($H$12&gt;0),$C$12&amp;", ",""))&gt;1,LEFT(IF((COUNTIFS(TableBOM[Product ID],$D$3,TableBOM[Item ID],$A85)&gt;0)*($H$3&gt;0),$C$3&amp;", ","")&amp;IF((COUNTIFS(TableBOM[Product ID],$D$4,TableBOM[Item ID],$A85)&gt;0)*($H$4&gt;0),$C$4&amp;", ","")&amp;IF((COUNTIFS(TableBOM[Product ID],$D$5,TableBOM[Item ID],$A85)&gt;0)*($H$5&gt;0),$C$5&amp;", ","")&amp;IF((COUNTIFS(TableBOM[Product ID],$D$6,TableBOM[Item ID],$A85)&gt;0)*($H$6&gt;0),$C$6&amp;", ","")&amp;IF((COUNTIFS(TableBOM[Product ID],$D$7,TableBOM[Item ID],$A85)&gt;0)*($H$7&gt;0),$C$7&amp;", ","")&amp;IF((COUNTIFS(TableBOM[Product ID],$D$8,TableBOM[Item ID],$A85)&gt;0)*($H$8&gt;0),$C$8&amp;", ","")&amp;IF((COUNTIFS(TableBOM[Product ID],$D$9,TableBOM[Item ID],$A85)&gt;0)*($H$9&gt;0),$C$9&amp;", ","")&amp;IF((COUNTIFS(TableBOM[Product ID],$D$10,TableBOM[Item ID],$A85)&gt;0)*($H$10&gt;0),$C$10&amp;", ","")&amp;IF((COUNTIFS(TableBOM[Product ID],$D$11,TableBOM[Item ID],$A85)&gt;0)*($H$11&gt;0),$C$11&amp;", ","")&amp;IF((COUNTIFS(TableBOM[Product ID],$D$12,TableBOM[Item ID],$A85)&gt;0)*($H$12&gt;0),$C$12&amp;", ",""),LEN(IF((COUNTIFS(TableBOM[Product ID],$D$3,TableBOM[Item ID],$A85)&gt;0)*($H$3&gt;0),$C$3&amp;", ","")&amp;IF((COUNTIFS(TableBOM[Product ID],$D$4,TableBOM[Item ID],$A85)&gt;0)*($H$4&gt;0),$C$4&amp;", ","")&amp;IF((COUNTIFS(TableBOM[Product ID],$D$5,TableBOM[Item ID],$A85)&gt;0)*($H$5&gt;0),$C$5&amp;", ","")&amp;IF((COUNTIFS(TableBOM[Product ID],$D$6,TableBOM[Item ID],$A85)&gt;0)*($H$6&gt;0),$C$6&amp;", ","")&amp;IF((COUNTIFS(TableBOM[Product ID],$D$7,TableBOM[Item ID],$A85)&gt;0)*($H$7&gt;0),$C$7&amp;", ","")&amp;IF((COUNTIFS(TableBOM[Product ID],$D$8,TableBOM[Item ID],$A85)&gt;0)*($H$8&gt;0),$C$8&amp;", ","")&amp;IF((COUNTIFS(TableBOM[Product ID],$D$9,TableBOM[Item ID],$A85)&gt;0)*($H$9&gt;0),$C$9&amp;", ","")&amp;IF((COUNTIFS(TableBOM[Product ID],$D$10,TableBOM[Item ID],$A85)&gt;0)*($H$10&gt;0),$C$10&amp;", ","")&amp;IF((COUNTIFS(TableBOM[Product ID],$D$11,TableBOM[Item ID],$A85)&gt;0)*($H$11&gt;0),$C$11&amp;", ","")&amp;IF((COUNTIFS(TableBOM[Product ID],$D$12,TableBOM[Item ID],$A85)&gt;0)*($H$12&gt;0),$C$12&amp;", ",""))-2),"")</f>
        <v/>
      </c>
      <c r="I85" s="63">
        <f>IF(LEN(IF((COUNTIFS(TableBOM[Product ID],$D$3,TableBOM[Item ID],$A85)&gt;0)*($H$3&gt;0),$E$3&amp;", ","")&amp;IF((COUNTIFS(TableBOM[Product ID],$D$4,TableBOM[Item ID],$A85)&gt;0)*($H$4&gt;0),$E$4&amp;", ","")&amp;IF((COUNTIFS(TableBOM[Product ID],$D$5,TableBOM[Item ID],$A85)&gt;0)*($H$5&gt;0),$E$5&amp;", ","")&amp;IF((COUNTIFS(TableBOM[Product ID],$D$6,TableBOM[Item ID],$A85)&gt;0)*($H$6&gt;0),$E$6&amp;", ","")&amp;IF((COUNTIFS(TableBOM[Product ID],$D$7,TableBOM[Item ID],$A85)&gt;0)*($H$7&gt;0),$E$7&amp;", ","")&amp;IF((COUNTIFS(TableBOM[Product ID],$D$8,TableBOM[Item ID],$A85)&gt;0)*($H$8&gt;0),$E$8&amp;", ","")&amp;IF((COUNTIFS(TableBOM[Product ID],$D$9,TableBOM[Item ID],$A85)&gt;0)*($H$9&gt;0),$E$9&amp;", ","")&amp;IF((COUNTIFS(TableBOM[Product ID],$D$10,TableBOM[Item ID],$A85)&gt;0)*($H$10&gt;0),$E$10&amp;", ","")&amp;IF((COUNTIFS(TableBOM[Product ID],$D$11,TableBOM[Item ID],$A85)&gt;0)*($H$11&gt;0),$E$11&amp;", ","")&amp;IF((COUNTIFS(TableBOM[Product ID],$D$12,TableBOM[Item ID],$A85)&gt;0)*($H$12&gt;0),$E$12&amp;", ",""))&gt;1,LEFT(IF((COUNTIFS(TableBOM[Product ID],$D$3,TableBOM[Item ID],$A85)&gt;0)*($H$3&gt;0),$E$3&amp;", ","")&amp;IF((COUNTIFS(TableBOM[Product ID],$D$4,TableBOM[Item ID],$A85)&gt;0)*($H$4&gt;0),$E$4&amp;", ","")&amp;IF((COUNTIFS(TableBOM[Product ID],$D$5,TableBOM[Item ID],$A85)&gt;0)*($H$5&gt;0),$E$5&amp;", ","")&amp;IF((COUNTIFS(TableBOM[Product ID],$D$6,TableBOM[Item ID],$A85)&gt;0)*($H$6&gt;0),$E$6&amp;", ","")&amp;IF((COUNTIFS(TableBOM[Product ID],$D$7,TableBOM[Item ID],$A85)&gt;0)*($H$7&gt;0),$E$7&amp;", ","")&amp;IF((COUNTIFS(TableBOM[Product ID],$D$8,TableBOM[Item ID],$A85)&gt;0)*($H$8&gt;0),$E$8&amp;", ","")&amp;IF((COUNTIFS(TableBOM[Product ID],$D$9,TableBOM[Item ID],$A85)&gt;0)*($H$9&gt;0),$E$9&amp;", ","")&amp;IF((COUNTIFS(TableBOM[Product ID],$D$10,TableBOM[Item ID],$A85)&gt;0)*($H$10&gt;0),$E$10&amp;", ","")&amp;IF((COUNTIFS(TableBOM[Product ID],$D$11,TableBOM[Item ID],$A85)&gt;0)*($H$11&gt;0),$E$11&amp;", ","")&amp;IF((COUNTIFS(TableBOM[Product ID],$D$12,TableBOM[Item ID],$A85)&gt;0)*($H$12&gt;0),$E$12&amp;", ",""),LEN(IF((COUNTIFS(TableBOM[Product ID],$D$3,TableBOM[Item ID],$A85)&gt;0)*($H$3&gt;0),$E$3&amp;", ","")&amp;IF((COUNTIFS(TableBOM[Product ID],$D$4,TableBOM[Item ID],$A85)&gt;0)*($H$4&gt;0),$E$4&amp;", ","")&amp;IF((COUNTIFS(TableBOM[Product ID],$D$5,TableBOM[Item ID],$A85)&gt;0)*($H$5&gt;0),$E$5&amp;", ","")&amp;IF((COUNTIFS(TableBOM[Product ID],$D$6,TableBOM[Item ID],$A85)&gt;0)*($H$6&gt;0),$E$6&amp;", ","")&amp;IF((COUNTIFS(TableBOM[Product ID],$D$7,TableBOM[Item ID],$A85)&gt;0)*($H$7&gt;0),$E$7&amp;", ","")&amp;IF((COUNTIFS(TableBOM[Product ID],$D$8,TableBOM[Item ID],$A85)&gt;0)*($H$8&gt;0),$E$8&amp;", ","")&amp;IF((COUNTIFS(TableBOM[Product ID],$D$9,TableBOM[Item ID],$A85)&gt;0)*($H$9&gt;0),$E$9&amp;", ","")&amp;IF((COUNTIFS(TableBOM[Product ID],$D$10,TableBOM[Item ID],$A85)&gt;0)*($H$10&gt;0),$E$10&amp;", ","")&amp;IF((COUNTIFS(TableBOM[Product ID],$D$11,TableBOM[Item ID],$A85)&gt;0)*($H$11&gt;0),$E$11&amp;", ","")&amp;IF((COUNTIFS(TableBOM[Product ID],$D$12,TableBOM[Item ID],$A85)&gt;0)*($H$12&gt;0),$E$12&amp;", ",""))-2),"")</f>
        <v/>
      </c>
      <c r="J85" s="64">
        <f>IF(E85=0,"Not needed",IF(G85&lt;0,"SHORTAGE",IF(G85&lt;F85*0.1,"LOW","OK")))</f>
        <v/>
      </c>
      <c r="K85" s="64">
        <f>IF(B85&lt;&gt;"CAP","",SUMPRODUCT((ISNUMBER(SEARCH("Cap Not Available",'FG Stock'!$H$4:$H$100)))*('FG Stock'!$I$4:$I$100=A85)*'FG Stock'!$F$4:$F$100))</f>
        <v/>
      </c>
      <c r="L85" s="64">
        <f>IF(E85=0,"",MAX(0,E85+IFERROR(K85*1,0)-F85))</f>
        <v/>
      </c>
    </row>
    <row r="86" hidden="1" ht="15" customHeight="1" s="249">
      <c r="A86" s="55" t="n">
        <v>4070</v>
      </c>
      <c r="B86" s="55" t="inlineStr">
        <is>
          <t>MASTER BATCH</t>
        </is>
      </c>
      <c r="C86" s="55" t="inlineStr">
        <is>
          <t>MASTER BATCH ONCOLOR YELLOW NE12340208-ZN</t>
        </is>
      </c>
      <c r="D86" s="55" t="inlineStr">
        <is>
          <t>kg</t>
        </is>
      </c>
      <c r="E86" s="61">
        <f>SUMPRODUCT((TableBOM[Item ID]=A86)*TableBOM[Per 1000 Units]*(1+TableBOM[Scrap %])*SUMIF($D$3:$D$12,TableBOM[Product ID],$H$3:$H$12)/1000)</f>
        <v/>
      </c>
      <c r="F86" s="61">
        <f>IFERROR(INDEX(TableInventory[Store Balance],MATCH(A86,TableInventory[Item ID],0)),0)+IFERROR(INDEX(TableInventory[Work In Process],MATCH(A86,TableInventory[Item ID],0)),0)</f>
        <v/>
      </c>
      <c r="G86" s="61">
        <f>F86-E86</f>
        <v/>
      </c>
      <c r="H86" s="62">
        <f>IF(LEN(IF((COUNTIFS(TableBOM[Product ID],$D$3,TableBOM[Item ID],$A86)&gt;0)*($H$3&gt;0),$C$3&amp;", ","")&amp;IF((COUNTIFS(TableBOM[Product ID],$D$4,TableBOM[Item ID],$A86)&gt;0)*($H$4&gt;0),$C$4&amp;", ","")&amp;IF((COUNTIFS(TableBOM[Product ID],$D$5,TableBOM[Item ID],$A86)&gt;0)*($H$5&gt;0),$C$5&amp;", ","")&amp;IF((COUNTIFS(TableBOM[Product ID],$D$6,TableBOM[Item ID],$A86)&gt;0)*($H$6&gt;0),$C$6&amp;", ","")&amp;IF((COUNTIFS(TableBOM[Product ID],$D$7,TableBOM[Item ID],$A86)&gt;0)*($H$7&gt;0),$C$7&amp;", ","")&amp;IF((COUNTIFS(TableBOM[Product ID],$D$8,TableBOM[Item ID],$A86)&gt;0)*($H$8&gt;0),$C$8&amp;", ","")&amp;IF((COUNTIFS(TableBOM[Product ID],$D$9,TableBOM[Item ID],$A86)&gt;0)*($H$9&gt;0),$C$9&amp;", ","")&amp;IF((COUNTIFS(TableBOM[Product ID],$D$10,TableBOM[Item ID],$A86)&gt;0)*($H$10&gt;0),$C$10&amp;", ","")&amp;IF((COUNTIFS(TableBOM[Product ID],$D$11,TableBOM[Item ID],$A86)&gt;0)*($H$11&gt;0),$C$11&amp;", ","")&amp;IF((COUNTIFS(TableBOM[Product ID],$D$12,TableBOM[Item ID],$A86)&gt;0)*($H$12&gt;0),$C$12&amp;", ",""))&gt;1,LEFT(IF((COUNTIFS(TableBOM[Product ID],$D$3,TableBOM[Item ID],$A86)&gt;0)*($H$3&gt;0),$C$3&amp;", ","")&amp;IF((COUNTIFS(TableBOM[Product ID],$D$4,TableBOM[Item ID],$A86)&gt;0)*($H$4&gt;0),$C$4&amp;", ","")&amp;IF((COUNTIFS(TableBOM[Product ID],$D$5,TableBOM[Item ID],$A86)&gt;0)*($H$5&gt;0),$C$5&amp;", ","")&amp;IF((COUNTIFS(TableBOM[Product ID],$D$6,TableBOM[Item ID],$A86)&gt;0)*($H$6&gt;0),$C$6&amp;", ","")&amp;IF((COUNTIFS(TableBOM[Product ID],$D$7,TableBOM[Item ID],$A86)&gt;0)*($H$7&gt;0),$C$7&amp;", ","")&amp;IF((COUNTIFS(TableBOM[Product ID],$D$8,TableBOM[Item ID],$A86)&gt;0)*($H$8&gt;0),$C$8&amp;", ","")&amp;IF((COUNTIFS(TableBOM[Product ID],$D$9,TableBOM[Item ID],$A86)&gt;0)*($H$9&gt;0),$C$9&amp;", ","")&amp;IF((COUNTIFS(TableBOM[Product ID],$D$10,TableBOM[Item ID],$A86)&gt;0)*($H$10&gt;0),$C$10&amp;", ","")&amp;IF((COUNTIFS(TableBOM[Product ID],$D$11,TableBOM[Item ID],$A86)&gt;0)*($H$11&gt;0),$C$11&amp;", ","")&amp;IF((COUNTIFS(TableBOM[Product ID],$D$12,TableBOM[Item ID],$A86)&gt;0)*($H$12&gt;0),$C$12&amp;", ",""),LEN(IF((COUNTIFS(TableBOM[Product ID],$D$3,TableBOM[Item ID],$A86)&gt;0)*($H$3&gt;0),$C$3&amp;", ","")&amp;IF((COUNTIFS(TableBOM[Product ID],$D$4,TableBOM[Item ID],$A86)&gt;0)*($H$4&gt;0),$C$4&amp;", ","")&amp;IF((COUNTIFS(TableBOM[Product ID],$D$5,TableBOM[Item ID],$A86)&gt;0)*($H$5&gt;0),$C$5&amp;", ","")&amp;IF((COUNTIFS(TableBOM[Product ID],$D$6,TableBOM[Item ID],$A86)&gt;0)*($H$6&gt;0),$C$6&amp;", ","")&amp;IF((COUNTIFS(TableBOM[Product ID],$D$7,TableBOM[Item ID],$A86)&gt;0)*($H$7&gt;0),$C$7&amp;", ","")&amp;IF((COUNTIFS(TableBOM[Product ID],$D$8,TableBOM[Item ID],$A86)&gt;0)*($H$8&gt;0),$C$8&amp;", ","")&amp;IF((COUNTIFS(TableBOM[Product ID],$D$9,TableBOM[Item ID],$A86)&gt;0)*($H$9&gt;0),$C$9&amp;", ","")&amp;IF((COUNTIFS(TableBOM[Product ID],$D$10,TableBOM[Item ID],$A86)&gt;0)*($H$10&gt;0),$C$10&amp;", ","")&amp;IF((COUNTIFS(TableBOM[Product ID],$D$11,TableBOM[Item ID],$A86)&gt;0)*($H$11&gt;0),$C$11&amp;", ","")&amp;IF((COUNTIFS(TableBOM[Product ID],$D$12,TableBOM[Item ID],$A86)&gt;0)*($H$12&gt;0),$C$12&amp;", ",""))-2),"")</f>
        <v/>
      </c>
      <c r="I86" s="63">
        <f>IF(LEN(IF((COUNTIFS(TableBOM[Product ID],$D$3,TableBOM[Item ID],$A86)&gt;0)*($H$3&gt;0),$E$3&amp;", ","")&amp;IF((COUNTIFS(TableBOM[Product ID],$D$4,TableBOM[Item ID],$A86)&gt;0)*($H$4&gt;0),$E$4&amp;", ","")&amp;IF((COUNTIFS(TableBOM[Product ID],$D$5,TableBOM[Item ID],$A86)&gt;0)*($H$5&gt;0),$E$5&amp;", ","")&amp;IF((COUNTIFS(TableBOM[Product ID],$D$6,TableBOM[Item ID],$A86)&gt;0)*($H$6&gt;0),$E$6&amp;", ","")&amp;IF((COUNTIFS(TableBOM[Product ID],$D$7,TableBOM[Item ID],$A86)&gt;0)*($H$7&gt;0),$E$7&amp;", ","")&amp;IF((COUNTIFS(TableBOM[Product ID],$D$8,TableBOM[Item ID],$A86)&gt;0)*($H$8&gt;0),$E$8&amp;", ","")&amp;IF((COUNTIFS(TableBOM[Product ID],$D$9,TableBOM[Item ID],$A86)&gt;0)*($H$9&gt;0),$E$9&amp;", ","")&amp;IF((COUNTIFS(TableBOM[Product ID],$D$10,TableBOM[Item ID],$A86)&gt;0)*($H$10&gt;0),$E$10&amp;", ","")&amp;IF((COUNTIFS(TableBOM[Product ID],$D$11,TableBOM[Item ID],$A86)&gt;0)*($H$11&gt;0),$E$11&amp;", ","")&amp;IF((COUNTIFS(TableBOM[Product ID],$D$12,TableBOM[Item ID],$A86)&gt;0)*($H$12&gt;0),$E$12&amp;", ",""))&gt;1,LEFT(IF((COUNTIFS(TableBOM[Product ID],$D$3,TableBOM[Item ID],$A86)&gt;0)*($H$3&gt;0),$E$3&amp;", ","")&amp;IF((COUNTIFS(TableBOM[Product ID],$D$4,TableBOM[Item ID],$A86)&gt;0)*($H$4&gt;0),$E$4&amp;", ","")&amp;IF((COUNTIFS(TableBOM[Product ID],$D$5,TableBOM[Item ID],$A86)&gt;0)*($H$5&gt;0),$E$5&amp;", ","")&amp;IF((COUNTIFS(TableBOM[Product ID],$D$6,TableBOM[Item ID],$A86)&gt;0)*($H$6&gt;0),$E$6&amp;", ","")&amp;IF((COUNTIFS(TableBOM[Product ID],$D$7,TableBOM[Item ID],$A86)&gt;0)*($H$7&gt;0),$E$7&amp;", ","")&amp;IF((COUNTIFS(TableBOM[Product ID],$D$8,TableBOM[Item ID],$A86)&gt;0)*($H$8&gt;0),$E$8&amp;", ","")&amp;IF((COUNTIFS(TableBOM[Product ID],$D$9,TableBOM[Item ID],$A86)&gt;0)*($H$9&gt;0),$E$9&amp;", ","")&amp;IF((COUNTIFS(TableBOM[Product ID],$D$10,TableBOM[Item ID],$A86)&gt;0)*($H$10&gt;0),$E$10&amp;", ","")&amp;IF((COUNTIFS(TableBOM[Product ID],$D$11,TableBOM[Item ID],$A86)&gt;0)*($H$11&gt;0),$E$11&amp;", ","")&amp;IF((COUNTIFS(TableBOM[Product ID],$D$12,TableBOM[Item ID],$A86)&gt;0)*($H$12&gt;0),$E$12&amp;", ",""),LEN(IF((COUNTIFS(TableBOM[Product ID],$D$3,TableBOM[Item ID],$A86)&gt;0)*($H$3&gt;0),$E$3&amp;", ","")&amp;IF((COUNTIFS(TableBOM[Product ID],$D$4,TableBOM[Item ID],$A86)&gt;0)*($H$4&gt;0),$E$4&amp;", ","")&amp;IF((COUNTIFS(TableBOM[Product ID],$D$5,TableBOM[Item ID],$A86)&gt;0)*($H$5&gt;0),$E$5&amp;", ","")&amp;IF((COUNTIFS(TableBOM[Product ID],$D$6,TableBOM[Item ID],$A86)&gt;0)*($H$6&gt;0),$E$6&amp;", ","")&amp;IF((COUNTIFS(TableBOM[Product ID],$D$7,TableBOM[Item ID],$A86)&gt;0)*($H$7&gt;0),$E$7&amp;", ","")&amp;IF((COUNTIFS(TableBOM[Product ID],$D$8,TableBOM[Item ID],$A86)&gt;0)*($H$8&gt;0),$E$8&amp;", ","")&amp;IF((COUNTIFS(TableBOM[Product ID],$D$9,TableBOM[Item ID],$A86)&gt;0)*($H$9&gt;0),$E$9&amp;", ","")&amp;IF((COUNTIFS(TableBOM[Product ID],$D$10,TableBOM[Item ID],$A86)&gt;0)*($H$10&gt;0),$E$10&amp;", ","")&amp;IF((COUNTIFS(TableBOM[Product ID],$D$11,TableBOM[Item ID],$A86)&gt;0)*($H$11&gt;0),$E$11&amp;", ","")&amp;IF((COUNTIFS(TableBOM[Product ID],$D$12,TableBOM[Item ID],$A86)&gt;0)*($H$12&gt;0),$E$12&amp;", ",""))-2),"")</f>
        <v/>
      </c>
      <c r="J86" s="64">
        <f>IF(E86=0,"Not needed",IF(G86&lt;0,"SHORTAGE",IF(G86&lt;F86*0.1,"LOW","OK")))</f>
        <v/>
      </c>
      <c r="K86" s="64">
        <f>IF(B86&lt;&gt;"CAP","",SUMPRODUCT((ISNUMBER(SEARCH("Cap Not Available",'FG Stock'!$H$4:$H$100)))*('FG Stock'!$I$4:$I$100=A86)*'FG Stock'!$F$4:$F$100))</f>
        <v/>
      </c>
      <c r="L86" s="64">
        <f>IF(E86=0,"",MAX(0,E86+IFERROR(K86*1,0)-F86))</f>
        <v/>
      </c>
    </row>
    <row r="87" hidden="1" ht="15" customHeight="1" s="249">
      <c r="A87" s="55" t="n">
        <v>4310</v>
      </c>
      <c r="B87" s="55" t="inlineStr">
        <is>
          <t>MASTER BATCH</t>
        </is>
      </c>
      <c r="C87" s="55" t="inlineStr">
        <is>
          <t>MASTER BATCH BEIGE (RCW-25)</t>
        </is>
      </c>
      <c r="D87" s="55" t="inlineStr">
        <is>
          <t>kg</t>
        </is>
      </c>
      <c r="E87" s="61">
        <f>SUMPRODUCT((TableBOM[Item ID]=A87)*TableBOM[Per 1000 Units]*(1+TableBOM[Scrap %])*SUMIF($D$3:$D$12,TableBOM[Product ID],$H$3:$H$12)/1000)</f>
        <v/>
      </c>
      <c r="F87" s="61">
        <f>IFERROR(INDEX(TableInventory[Store Balance],MATCH(A87,TableInventory[Item ID],0)),0)+IFERROR(INDEX(TableInventory[Work In Process],MATCH(A87,TableInventory[Item ID],0)),0)</f>
        <v/>
      </c>
      <c r="G87" s="61">
        <f>F87-E87</f>
        <v/>
      </c>
      <c r="H87" s="62">
        <f>IF(LEN(IF((COUNTIFS(TableBOM[Product ID],$D$3,TableBOM[Item ID],$A87)&gt;0)*($H$3&gt;0),$C$3&amp;", ","")&amp;IF((COUNTIFS(TableBOM[Product ID],$D$4,TableBOM[Item ID],$A87)&gt;0)*($H$4&gt;0),$C$4&amp;", ","")&amp;IF((COUNTIFS(TableBOM[Product ID],$D$5,TableBOM[Item ID],$A87)&gt;0)*($H$5&gt;0),$C$5&amp;", ","")&amp;IF((COUNTIFS(TableBOM[Product ID],$D$6,TableBOM[Item ID],$A87)&gt;0)*($H$6&gt;0),$C$6&amp;", ","")&amp;IF((COUNTIFS(TableBOM[Product ID],$D$7,TableBOM[Item ID],$A87)&gt;0)*($H$7&gt;0),$C$7&amp;", ","")&amp;IF((COUNTIFS(TableBOM[Product ID],$D$8,TableBOM[Item ID],$A87)&gt;0)*($H$8&gt;0),$C$8&amp;", ","")&amp;IF((COUNTIFS(TableBOM[Product ID],$D$9,TableBOM[Item ID],$A87)&gt;0)*($H$9&gt;0),$C$9&amp;", ","")&amp;IF((COUNTIFS(TableBOM[Product ID],$D$10,TableBOM[Item ID],$A87)&gt;0)*($H$10&gt;0),$C$10&amp;", ","")&amp;IF((COUNTIFS(TableBOM[Product ID],$D$11,TableBOM[Item ID],$A87)&gt;0)*($H$11&gt;0),$C$11&amp;", ","")&amp;IF((COUNTIFS(TableBOM[Product ID],$D$12,TableBOM[Item ID],$A87)&gt;0)*($H$12&gt;0),$C$12&amp;", ",""))&gt;1,LEFT(IF((COUNTIFS(TableBOM[Product ID],$D$3,TableBOM[Item ID],$A87)&gt;0)*($H$3&gt;0),$C$3&amp;", ","")&amp;IF((COUNTIFS(TableBOM[Product ID],$D$4,TableBOM[Item ID],$A87)&gt;0)*($H$4&gt;0),$C$4&amp;", ","")&amp;IF((COUNTIFS(TableBOM[Product ID],$D$5,TableBOM[Item ID],$A87)&gt;0)*($H$5&gt;0),$C$5&amp;", ","")&amp;IF((COUNTIFS(TableBOM[Product ID],$D$6,TableBOM[Item ID],$A87)&gt;0)*($H$6&gt;0),$C$6&amp;", ","")&amp;IF((COUNTIFS(TableBOM[Product ID],$D$7,TableBOM[Item ID],$A87)&gt;0)*($H$7&gt;0),$C$7&amp;", ","")&amp;IF((COUNTIFS(TableBOM[Product ID],$D$8,TableBOM[Item ID],$A87)&gt;0)*($H$8&gt;0),$C$8&amp;", ","")&amp;IF((COUNTIFS(TableBOM[Product ID],$D$9,TableBOM[Item ID],$A87)&gt;0)*($H$9&gt;0),$C$9&amp;", ","")&amp;IF((COUNTIFS(TableBOM[Product ID],$D$10,TableBOM[Item ID],$A87)&gt;0)*($H$10&gt;0),$C$10&amp;", ","")&amp;IF((COUNTIFS(TableBOM[Product ID],$D$11,TableBOM[Item ID],$A87)&gt;0)*($H$11&gt;0),$C$11&amp;", ","")&amp;IF((COUNTIFS(TableBOM[Product ID],$D$12,TableBOM[Item ID],$A87)&gt;0)*($H$12&gt;0),$C$12&amp;", ",""),LEN(IF((COUNTIFS(TableBOM[Product ID],$D$3,TableBOM[Item ID],$A87)&gt;0)*($H$3&gt;0),$C$3&amp;", ","")&amp;IF((COUNTIFS(TableBOM[Product ID],$D$4,TableBOM[Item ID],$A87)&gt;0)*($H$4&gt;0),$C$4&amp;", ","")&amp;IF((COUNTIFS(TableBOM[Product ID],$D$5,TableBOM[Item ID],$A87)&gt;0)*($H$5&gt;0),$C$5&amp;", ","")&amp;IF((COUNTIFS(TableBOM[Product ID],$D$6,TableBOM[Item ID],$A87)&gt;0)*($H$6&gt;0),$C$6&amp;", ","")&amp;IF((COUNTIFS(TableBOM[Product ID],$D$7,TableBOM[Item ID],$A87)&gt;0)*($H$7&gt;0),$C$7&amp;", ","")&amp;IF((COUNTIFS(TableBOM[Product ID],$D$8,TableBOM[Item ID],$A87)&gt;0)*($H$8&gt;0),$C$8&amp;", ","")&amp;IF((COUNTIFS(TableBOM[Product ID],$D$9,TableBOM[Item ID],$A87)&gt;0)*($H$9&gt;0),$C$9&amp;", ","")&amp;IF((COUNTIFS(TableBOM[Product ID],$D$10,TableBOM[Item ID],$A87)&gt;0)*($H$10&gt;0),$C$10&amp;", ","")&amp;IF((COUNTIFS(TableBOM[Product ID],$D$11,TableBOM[Item ID],$A87)&gt;0)*($H$11&gt;0),$C$11&amp;", ","")&amp;IF((COUNTIFS(TableBOM[Product ID],$D$12,TableBOM[Item ID],$A87)&gt;0)*($H$12&gt;0),$C$12&amp;", ",""))-2),"")</f>
        <v/>
      </c>
      <c r="I87" s="63">
        <f>IF(LEN(IF((COUNTIFS(TableBOM[Product ID],$D$3,TableBOM[Item ID],$A87)&gt;0)*($H$3&gt;0),$E$3&amp;", ","")&amp;IF((COUNTIFS(TableBOM[Product ID],$D$4,TableBOM[Item ID],$A87)&gt;0)*($H$4&gt;0),$E$4&amp;", ","")&amp;IF((COUNTIFS(TableBOM[Product ID],$D$5,TableBOM[Item ID],$A87)&gt;0)*($H$5&gt;0),$E$5&amp;", ","")&amp;IF((COUNTIFS(TableBOM[Product ID],$D$6,TableBOM[Item ID],$A87)&gt;0)*($H$6&gt;0),$E$6&amp;", ","")&amp;IF((COUNTIFS(TableBOM[Product ID],$D$7,TableBOM[Item ID],$A87)&gt;0)*($H$7&gt;0),$E$7&amp;", ","")&amp;IF((COUNTIFS(TableBOM[Product ID],$D$8,TableBOM[Item ID],$A87)&gt;0)*($H$8&gt;0),$E$8&amp;", ","")&amp;IF((COUNTIFS(TableBOM[Product ID],$D$9,TableBOM[Item ID],$A87)&gt;0)*($H$9&gt;0),$E$9&amp;", ","")&amp;IF((COUNTIFS(TableBOM[Product ID],$D$10,TableBOM[Item ID],$A87)&gt;0)*($H$10&gt;0),$E$10&amp;", ","")&amp;IF((COUNTIFS(TableBOM[Product ID],$D$11,TableBOM[Item ID],$A87)&gt;0)*($H$11&gt;0),$E$11&amp;", ","")&amp;IF((COUNTIFS(TableBOM[Product ID],$D$12,TableBOM[Item ID],$A87)&gt;0)*($H$12&gt;0),$E$12&amp;", ",""))&gt;1,LEFT(IF((COUNTIFS(TableBOM[Product ID],$D$3,TableBOM[Item ID],$A87)&gt;0)*($H$3&gt;0),$E$3&amp;", ","")&amp;IF((COUNTIFS(TableBOM[Product ID],$D$4,TableBOM[Item ID],$A87)&gt;0)*($H$4&gt;0),$E$4&amp;", ","")&amp;IF((COUNTIFS(TableBOM[Product ID],$D$5,TableBOM[Item ID],$A87)&gt;0)*($H$5&gt;0),$E$5&amp;", ","")&amp;IF((COUNTIFS(TableBOM[Product ID],$D$6,TableBOM[Item ID],$A87)&gt;0)*($H$6&gt;0),$E$6&amp;", ","")&amp;IF((COUNTIFS(TableBOM[Product ID],$D$7,TableBOM[Item ID],$A87)&gt;0)*($H$7&gt;0),$E$7&amp;", ","")&amp;IF((COUNTIFS(TableBOM[Product ID],$D$8,TableBOM[Item ID],$A87)&gt;0)*($H$8&gt;0),$E$8&amp;", ","")&amp;IF((COUNTIFS(TableBOM[Product ID],$D$9,TableBOM[Item ID],$A87)&gt;0)*($H$9&gt;0),$E$9&amp;", ","")&amp;IF((COUNTIFS(TableBOM[Product ID],$D$10,TableBOM[Item ID],$A87)&gt;0)*($H$10&gt;0),$E$10&amp;", ","")&amp;IF((COUNTIFS(TableBOM[Product ID],$D$11,TableBOM[Item ID],$A87)&gt;0)*($H$11&gt;0),$E$11&amp;", ","")&amp;IF((COUNTIFS(TableBOM[Product ID],$D$12,TableBOM[Item ID],$A87)&gt;0)*($H$12&gt;0),$E$12&amp;", ",""),LEN(IF((COUNTIFS(TableBOM[Product ID],$D$3,TableBOM[Item ID],$A87)&gt;0)*($H$3&gt;0),$E$3&amp;", ","")&amp;IF((COUNTIFS(TableBOM[Product ID],$D$4,TableBOM[Item ID],$A87)&gt;0)*($H$4&gt;0),$E$4&amp;", ","")&amp;IF((COUNTIFS(TableBOM[Product ID],$D$5,TableBOM[Item ID],$A87)&gt;0)*($H$5&gt;0),$E$5&amp;", ","")&amp;IF((COUNTIFS(TableBOM[Product ID],$D$6,TableBOM[Item ID],$A87)&gt;0)*($H$6&gt;0),$E$6&amp;", ","")&amp;IF((COUNTIFS(TableBOM[Product ID],$D$7,TableBOM[Item ID],$A87)&gt;0)*($H$7&gt;0),$E$7&amp;", ","")&amp;IF((COUNTIFS(TableBOM[Product ID],$D$8,TableBOM[Item ID],$A87)&gt;0)*($H$8&gt;0),$E$8&amp;", ","")&amp;IF((COUNTIFS(TableBOM[Product ID],$D$9,TableBOM[Item ID],$A87)&gt;0)*($H$9&gt;0),$E$9&amp;", ","")&amp;IF((COUNTIFS(TableBOM[Product ID],$D$10,TableBOM[Item ID],$A87)&gt;0)*($H$10&gt;0),$E$10&amp;", ","")&amp;IF((COUNTIFS(TableBOM[Product ID],$D$11,TableBOM[Item ID],$A87)&gt;0)*($H$11&gt;0),$E$11&amp;", ","")&amp;IF((COUNTIFS(TableBOM[Product ID],$D$12,TableBOM[Item ID],$A87)&gt;0)*($H$12&gt;0),$E$12&amp;", ",""))-2),"")</f>
        <v/>
      </c>
      <c r="J87" s="64">
        <f>IF(E87=0,"Not needed",IF(G87&lt;0,"SHORTAGE",IF(G87&lt;F87*0.1,"LOW","OK")))</f>
        <v/>
      </c>
      <c r="K87" s="64">
        <f>IF(B87&lt;&gt;"CAP","",SUMPRODUCT((ISNUMBER(SEARCH("Cap Not Available",'FG Stock'!$H$4:$H$100)))*('FG Stock'!$I$4:$I$100=A87)*'FG Stock'!$F$4:$F$100))</f>
        <v/>
      </c>
      <c r="L87" s="64">
        <f>IF(E87=0,"",MAX(0,E87+IFERROR(K87*1,0)-F87))</f>
        <v/>
      </c>
    </row>
    <row r="88" hidden="1" ht="15" customHeight="1" s="249">
      <c r="A88" s="55" t="n">
        <v>5625</v>
      </c>
      <c r="B88" s="55" t="inlineStr">
        <is>
          <t>MASTER BATCH</t>
        </is>
      </c>
      <c r="C88" s="55" t="inlineStr">
        <is>
          <t>MASTER BATCH AMBAR BR-535n</t>
        </is>
      </c>
      <c r="D88" s="55" t="inlineStr">
        <is>
          <t>kg</t>
        </is>
      </c>
      <c r="E88" s="61">
        <f>SUMPRODUCT((TableBOM[Item ID]=A88)*TableBOM[Per 1000 Units]*(1+TableBOM[Scrap %])*SUMIF($D$3:$D$12,TableBOM[Product ID],$H$3:$H$12)/1000)</f>
        <v/>
      </c>
      <c r="F88" s="61">
        <f>IFERROR(INDEX(TableInventory[Store Balance],MATCH(A88,TableInventory[Item ID],0)),0)+IFERROR(INDEX(TableInventory[Work In Process],MATCH(A88,TableInventory[Item ID],0)),0)</f>
        <v/>
      </c>
      <c r="G88" s="61">
        <f>F88-E88</f>
        <v/>
      </c>
      <c r="H88" s="62">
        <f>IF(LEN(IF((COUNTIFS(TableBOM[Product ID],$D$3,TableBOM[Item ID],$A88)&gt;0)*($H$3&gt;0),$C$3&amp;", ","")&amp;IF((COUNTIFS(TableBOM[Product ID],$D$4,TableBOM[Item ID],$A88)&gt;0)*($H$4&gt;0),$C$4&amp;", ","")&amp;IF((COUNTIFS(TableBOM[Product ID],$D$5,TableBOM[Item ID],$A88)&gt;0)*($H$5&gt;0),$C$5&amp;", ","")&amp;IF((COUNTIFS(TableBOM[Product ID],$D$6,TableBOM[Item ID],$A88)&gt;0)*($H$6&gt;0),$C$6&amp;", ","")&amp;IF((COUNTIFS(TableBOM[Product ID],$D$7,TableBOM[Item ID],$A88)&gt;0)*($H$7&gt;0),$C$7&amp;", ","")&amp;IF((COUNTIFS(TableBOM[Product ID],$D$8,TableBOM[Item ID],$A88)&gt;0)*($H$8&gt;0),$C$8&amp;", ","")&amp;IF((COUNTIFS(TableBOM[Product ID],$D$9,TableBOM[Item ID],$A88)&gt;0)*($H$9&gt;0),$C$9&amp;", ","")&amp;IF((COUNTIFS(TableBOM[Product ID],$D$10,TableBOM[Item ID],$A88)&gt;0)*($H$10&gt;0),$C$10&amp;", ","")&amp;IF((COUNTIFS(TableBOM[Product ID],$D$11,TableBOM[Item ID],$A88)&gt;0)*($H$11&gt;0),$C$11&amp;", ","")&amp;IF((COUNTIFS(TableBOM[Product ID],$D$12,TableBOM[Item ID],$A88)&gt;0)*($H$12&gt;0),$C$12&amp;", ",""))&gt;1,LEFT(IF((COUNTIFS(TableBOM[Product ID],$D$3,TableBOM[Item ID],$A88)&gt;0)*($H$3&gt;0),$C$3&amp;", ","")&amp;IF((COUNTIFS(TableBOM[Product ID],$D$4,TableBOM[Item ID],$A88)&gt;0)*($H$4&gt;0),$C$4&amp;", ","")&amp;IF((COUNTIFS(TableBOM[Product ID],$D$5,TableBOM[Item ID],$A88)&gt;0)*($H$5&gt;0),$C$5&amp;", ","")&amp;IF((COUNTIFS(TableBOM[Product ID],$D$6,TableBOM[Item ID],$A88)&gt;0)*($H$6&gt;0),$C$6&amp;", ","")&amp;IF((COUNTIFS(TableBOM[Product ID],$D$7,TableBOM[Item ID],$A88)&gt;0)*($H$7&gt;0),$C$7&amp;", ","")&amp;IF((COUNTIFS(TableBOM[Product ID],$D$8,TableBOM[Item ID],$A88)&gt;0)*($H$8&gt;0),$C$8&amp;", ","")&amp;IF((COUNTIFS(TableBOM[Product ID],$D$9,TableBOM[Item ID],$A88)&gt;0)*($H$9&gt;0),$C$9&amp;", ","")&amp;IF((COUNTIFS(TableBOM[Product ID],$D$10,TableBOM[Item ID],$A88)&gt;0)*($H$10&gt;0),$C$10&amp;", ","")&amp;IF((COUNTIFS(TableBOM[Product ID],$D$11,TableBOM[Item ID],$A88)&gt;0)*($H$11&gt;0),$C$11&amp;", ","")&amp;IF((COUNTIFS(TableBOM[Product ID],$D$12,TableBOM[Item ID],$A88)&gt;0)*($H$12&gt;0),$C$12&amp;", ",""),LEN(IF((COUNTIFS(TableBOM[Product ID],$D$3,TableBOM[Item ID],$A88)&gt;0)*($H$3&gt;0),$C$3&amp;", ","")&amp;IF((COUNTIFS(TableBOM[Product ID],$D$4,TableBOM[Item ID],$A88)&gt;0)*($H$4&gt;0),$C$4&amp;", ","")&amp;IF((COUNTIFS(TableBOM[Product ID],$D$5,TableBOM[Item ID],$A88)&gt;0)*($H$5&gt;0),$C$5&amp;", ","")&amp;IF((COUNTIFS(TableBOM[Product ID],$D$6,TableBOM[Item ID],$A88)&gt;0)*($H$6&gt;0),$C$6&amp;", ","")&amp;IF((COUNTIFS(TableBOM[Product ID],$D$7,TableBOM[Item ID],$A88)&gt;0)*($H$7&gt;0),$C$7&amp;", ","")&amp;IF((COUNTIFS(TableBOM[Product ID],$D$8,TableBOM[Item ID],$A88)&gt;0)*($H$8&gt;0),$C$8&amp;", ","")&amp;IF((COUNTIFS(TableBOM[Product ID],$D$9,TableBOM[Item ID],$A88)&gt;0)*($H$9&gt;0),$C$9&amp;", ","")&amp;IF((COUNTIFS(TableBOM[Product ID],$D$10,TableBOM[Item ID],$A88)&gt;0)*($H$10&gt;0),$C$10&amp;", ","")&amp;IF((COUNTIFS(TableBOM[Product ID],$D$11,TableBOM[Item ID],$A88)&gt;0)*($H$11&gt;0),$C$11&amp;", ","")&amp;IF((COUNTIFS(TableBOM[Product ID],$D$12,TableBOM[Item ID],$A88)&gt;0)*($H$12&gt;0),$C$12&amp;", ",""))-2),"")</f>
        <v/>
      </c>
      <c r="I88" s="63">
        <f>IF(LEN(IF((COUNTIFS(TableBOM[Product ID],$D$3,TableBOM[Item ID],$A88)&gt;0)*($H$3&gt;0),$E$3&amp;", ","")&amp;IF((COUNTIFS(TableBOM[Product ID],$D$4,TableBOM[Item ID],$A88)&gt;0)*($H$4&gt;0),$E$4&amp;", ","")&amp;IF((COUNTIFS(TableBOM[Product ID],$D$5,TableBOM[Item ID],$A88)&gt;0)*($H$5&gt;0),$E$5&amp;", ","")&amp;IF((COUNTIFS(TableBOM[Product ID],$D$6,TableBOM[Item ID],$A88)&gt;0)*($H$6&gt;0),$E$6&amp;", ","")&amp;IF((COUNTIFS(TableBOM[Product ID],$D$7,TableBOM[Item ID],$A88)&gt;0)*($H$7&gt;0),$E$7&amp;", ","")&amp;IF((COUNTIFS(TableBOM[Product ID],$D$8,TableBOM[Item ID],$A88)&gt;0)*($H$8&gt;0),$E$8&amp;", ","")&amp;IF((COUNTIFS(TableBOM[Product ID],$D$9,TableBOM[Item ID],$A88)&gt;0)*($H$9&gt;0),$E$9&amp;", ","")&amp;IF((COUNTIFS(TableBOM[Product ID],$D$10,TableBOM[Item ID],$A88)&gt;0)*($H$10&gt;0),$E$10&amp;", ","")&amp;IF((COUNTIFS(TableBOM[Product ID],$D$11,TableBOM[Item ID],$A88)&gt;0)*($H$11&gt;0),$E$11&amp;", ","")&amp;IF((COUNTIFS(TableBOM[Product ID],$D$12,TableBOM[Item ID],$A88)&gt;0)*($H$12&gt;0),$E$12&amp;", ",""))&gt;1,LEFT(IF((COUNTIFS(TableBOM[Product ID],$D$3,TableBOM[Item ID],$A88)&gt;0)*($H$3&gt;0),$E$3&amp;", ","")&amp;IF((COUNTIFS(TableBOM[Product ID],$D$4,TableBOM[Item ID],$A88)&gt;0)*($H$4&gt;0),$E$4&amp;", ","")&amp;IF((COUNTIFS(TableBOM[Product ID],$D$5,TableBOM[Item ID],$A88)&gt;0)*($H$5&gt;0),$E$5&amp;", ","")&amp;IF((COUNTIFS(TableBOM[Product ID],$D$6,TableBOM[Item ID],$A88)&gt;0)*($H$6&gt;0),$E$6&amp;", ","")&amp;IF((COUNTIFS(TableBOM[Product ID],$D$7,TableBOM[Item ID],$A88)&gt;0)*($H$7&gt;0),$E$7&amp;", ","")&amp;IF((COUNTIFS(TableBOM[Product ID],$D$8,TableBOM[Item ID],$A88)&gt;0)*($H$8&gt;0),$E$8&amp;", ","")&amp;IF((COUNTIFS(TableBOM[Product ID],$D$9,TableBOM[Item ID],$A88)&gt;0)*($H$9&gt;0),$E$9&amp;", ","")&amp;IF((COUNTIFS(TableBOM[Product ID],$D$10,TableBOM[Item ID],$A88)&gt;0)*($H$10&gt;0),$E$10&amp;", ","")&amp;IF((COUNTIFS(TableBOM[Product ID],$D$11,TableBOM[Item ID],$A88)&gt;0)*($H$11&gt;0),$E$11&amp;", ","")&amp;IF((COUNTIFS(TableBOM[Product ID],$D$12,TableBOM[Item ID],$A88)&gt;0)*($H$12&gt;0),$E$12&amp;", ",""),LEN(IF((COUNTIFS(TableBOM[Product ID],$D$3,TableBOM[Item ID],$A88)&gt;0)*($H$3&gt;0),$E$3&amp;", ","")&amp;IF((COUNTIFS(TableBOM[Product ID],$D$4,TableBOM[Item ID],$A88)&gt;0)*($H$4&gt;0),$E$4&amp;", ","")&amp;IF((COUNTIFS(TableBOM[Product ID],$D$5,TableBOM[Item ID],$A88)&gt;0)*($H$5&gt;0),$E$5&amp;", ","")&amp;IF((COUNTIFS(TableBOM[Product ID],$D$6,TableBOM[Item ID],$A88)&gt;0)*($H$6&gt;0),$E$6&amp;", ","")&amp;IF((COUNTIFS(TableBOM[Product ID],$D$7,TableBOM[Item ID],$A88)&gt;0)*($H$7&gt;0),$E$7&amp;", ","")&amp;IF((COUNTIFS(TableBOM[Product ID],$D$8,TableBOM[Item ID],$A88)&gt;0)*($H$8&gt;0),$E$8&amp;", ","")&amp;IF((COUNTIFS(TableBOM[Product ID],$D$9,TableBOM[Item ID],$A88)&gt;0)*($H$9&gt;0),$E$9&amp;", ","")&amp;IF((COUNTIFS(TableBOM[Product ID],$D$10,TableBOM[Item ID],$A88)&gt;0)*($H$10&gt;0),$E$10&amp;", ","")&amp;IF((COUNTIFS(TableBOM[Product ID],$D$11,TableBOM[Item ID],$A88)&gt;0)*($H$11&gt;0),$E$11&amp;", ","")&amp;IF((COUNTIFS(TableBOM[Product ID],$D$12,TableBOM[Item ID],$A88)&gt;0)*($H$12&gt;0),$E$12&amp;", ",""))-2),"")</f>
        <v/>
      </c>
      <c r="J88" s="64">
        <f>IF(E88=0,"Not needed",IF(G88&lt;0,"SHORTAGE",IF(G88&lt;F88*0.1,"LOW","OK")))</f>
        <v/>
      </c>
      <c r="K88" s="64">
        <f>IF(B88&lt;&gt;"CAP","",SUMPRODUCT((ISNUMBER(SEARCH("Cap Not Available",'FG Stock'!$H$4:$H$100)))*('FG Stock'!$I$4:$I$100=A88)*'FG Stock'!$F$4:$F$100))</f>
        <v/>
      </c>
      <c r="L88" s="64">
        <f>IF(E88=0,"",MAX(0,E88+IFERROR(K88*1,0)-F88))</f>
        <v/>
      </c>
    </row>
    <row r="89" hidden="1" ht="15" customHeight="1" s="249">
      <c r="A89" s="55" t="n">
        <v>5816</v>
      </c>
      <c r="B89" s="55" t="inlineStr">
        <is>
          <t>MASTER BATCH</t>
        </is>
      </c>
      <c r="C89" s="55" t="inlineStr">
        <is>
          <t>MASTER BATCH WHITE PRC-MC ET02340000</t>
        </is>
      </c>
      <c r="D89" s="55" t="inlineStr">
        <is>
          <t>kg</t>
        </is>
      </c>
      <c r="E89" s="61">
        <f>SUMPRODUCT((TableBOM[Item ID]=A89)*TableBOM[Per 1000 Units]*(1+TableBOM[Scrap %])*SUMIF($D$3:$D$12,TableBOM[Product ID],$H$3:$H$12)/1000)</f>
        <v/>
      </c>
      <c r="F89" s="61">
        <f>IFERROR(INDEX(TableInventory[Store Balance],MATCH(A89,TableInventory[Item ID],0)),0)+IFERROR(INDEX(TableInventory[Work In Process],MATCH(A89,TableInventory[Item ID],0)),0)</f>
        <v/>
      </c>
      <c r="G89" s="61">
        <f>F89-E89</f>
        <v/>
      </c>
      <c r="H89" s="62">
        <f>IF(LEN(IF((COUNTIFS(TableBOM[Product ID],$D$3,TableBOM[Item ID],$A89)&gt;0)*($H$3&gt;0),$C$3&amp;", ","")&amp;IF((COUNTIFS(TableBOM[Product ID],$D$4,TableBOM[Item ID],$A89)&gt;0)*($H$4&gt;0),$C$4&amp;", ","")&amp;IF((COUNTIFS(TableBOM[Product ID],$D$5,TableBOM[Item ID],$A89)&gt;0)*($H$5&gt;0),$C$5&amp;", ","")&amp;IF((COUNTIFS(TableBOM[Product ID],$D$6,TableBOM[Item ID],$A89)&gt;0)*($H$6&gt;0),$C$6&amp;", ","")&amp;IF((COUNTIFS(TableBOM[Product ID],$D$7,TableBOM[Item ID],$A89)&gt;0)*($H$7&gt;0),$C$7&amp;", ","")&amp;IF((COUNTIFS(TableBOM[Product ID],$D$8,TableBOM[Item ID],$A89)&gt;0)*($H$8&gt;0),$C$8&amp;", ","")&amp;IF((COUNTIFS(TableBOM[Product ID],$D$9,TableBOM[Item ID],$A89)&gt;0)*($H$9&gt;0),$C$9&amp;", ","")&amp;IF((COUNTIFS(TableBOM[Product ID],$D$10,TableBOM[Item ID],$A89)&gt;0)*($H$10&gt;0),$C$10&amp;", ","")&amp;IF((COUNTIFS(TableBOM[Product ID],$D$11,TableBOM[Item ID],$A89)&gt;0)*($H$11&gt;0),$C$11&amp;", ","")&amp;IF((COUNTIFS(TableBOM[Product ID],$D$12,TableBOM[Item ID],$A89)&gt;0)*($H$12&gt;0),$C$12&amp;", ",""))&gt;1,LEFT(IF((COUNTIFS(TableBOM[Product ID],$D$3,TableBOM[Item ID],$A89)&gt;0)*($H$3&gt;0),$C$3&amp;", ","")&amp;IF((COUNTIFS(TableBOM[Product ID],$D$4,TableBOM[Item ID],$A89)&gt;0)*($H$4&gt;0),$C$4&amp;", ","")&amp;IF((COUNTIFS(TableBOM[Product ID],$D$5,TableBOM[Item ID],$A89)&gt;0)*($H$5&gt;0),$C$5&amp;", ","")&amp;IF((COUNTIFS(TableBOM[Product ID],$D$6,TableBOM[Item ID],$A89)&gt;0)*($H$6&gt;0),$C$6&amp;", ","")&amp;IF((COUNTIFS(TableBOM[Product ID],$D$7,TableBOM[Item ID],$A89)&gt;0)*($H$7&gt;0),$C$7&amp;", ","")&amp;IF((COUNTIFS(TableBOM[Product ID],$D$8,TableBOM[Item ID],$A89)&gt;0)*($H$8&gt;0),$C$8&amp;", ","")&amp;IF((COUNTIFS(TableBOM[Product ID],$D$9,TableBOM[Item ID],$A89)&gt;0)*($H$9&gt;0),$C$9&amp;", ","")&amp;IF((COUNTIFS(TableBOM[Product ID],$D$10,TableBOM[Item ID],$A89)&gt;0)*($H$10&gt;0),$C$10&amp;", ","")&amp;IF((COUNTIFS(TableBOM[Product ID],$D$11,TableBOM[Item ID],$A89)&gt;0)*($H$11&gt;0),$C$11&amp;", ","")&amp;IF((COUNTIFS(TableBOM[Product ID],$D$12,TableBOM[Item ID],$A89)&gt;0)*($H$12&gt;0),$C$12&amp;", ",""),LEN(IF((COUNTIFS(TableBOM[Product ID],$D$3,TableBOM[Item ID],$A89)&gt;0)*($H$3&gt;0),$C$3&amp;", ","")&amp;IF((COUNTIFS(TableBOM[Product ID],$D$4,TableBOM[Item ID],$A89)&gt;0)*($H$4&gt;0),$C$4&amp;", ","")&amp;IF((COUNTIFS(TableBOM[Product ID],$D$5,TableBOM[Item ID],$A89)&gt;0)*($H$5&gt;0),$C$5&amp;", ","")&amp;IF((COUNTIFS(TableBOM[Product ID],$D$6,TableBOM[Item ID],$A89)&gt;0)*($H$6&gt;0),$C$6&amp;", ","")&amp;IF((COUNTIFS(TableBOM[Product ID],$D$7,TableBOM[Item ID],$A89)&gt;0)*($H$7&gt;0),$C$7&amp;", ","")&amp;IF((COUNTIFS(TableBOM[Product ID],$D$8,TableBOM[Item ID],$A89)&gt;0)*($H$8&gt;0),$C$8&amp;", ","")&amp;IF((COUNTIFS(TableBOM[Product ID],$D$9,TableBOM[Item ID],$A89)&gt;0)*($H$9&gt;0),$C$9&amp;", ","")&amp;IF((COUNTIFS(TableBOM[Product ID],$D$10,TableBOM[Item ID],$A89)&gt;0)*($H$10&gt;0),$C$10&amp;", ","")&amp;IF((COUNTIFS(TableBOM[Product ID],$D$11,TableBOM[Item ID],$A89)&gt;0)*($H$11&gt;0),$C$11&amp;", ","")&amp;IF((COUNTIFS(TableBOM[Product ID],$D$12,TableBOM[Item ID],$A89)&gt;0)*($H$12&gt;0),$C$12&amp;", ",""))-2),"")</f>
        <v/>
      </c>
      <c r="I89" s="63">
        <f>IF(LEN(IF((COUNTIFS(TableBOM[Product ID],$D$3,TableBOM[Item ID],$A89)&gt;0)*($H$3&gt;0),$E$3&amp;", ","")&amp;IF((COUNTIFS(TableBOM[Product ID],$D$4,TableBOM[Item ID],$A89)&gt;0)*($H$4&gt;0),$E$4&amp;", ","")&amp;IF((COUNTIFS(TableBOM[Product ID],$D$5,TableBOM[Item ID],$A89)&gt;0)*($H$5&gt;0),$E$5&amp;", ","")&amp;IF((COUNTIFS(TableBOM[Product ID],$D$6,TableBOM[Item ID],$A89)&gt;0)*($H$6&gt;0),$E$6&amp;", ","")&amp;IF((COUNTIFS(TableBOM[Product ID],$D$7,TableBOM[Item ID],$A89)&gt;0)*($H$7&gt;0),$E$7&amp;", ","")&amp;IF((COUNTIFS(TableBOM[Product ID],$D$8,TableBOM[Item ID],$A89)&gt;0)*($H$8&gt;0),$E$8&amp;", ","")&amp;IF((COUNTIFS(TableBOM[Product ID],$D$9,TableBOM[Item ID],$A89)&gt;0)*($H$9&gt;0),$E$9&amp;", ","")&amp;IF((COUNTIFS(TableBOM[Product ID],$D$10,TableBOM[Item ID],$A89)&gt;0)*($H$10&gt;0),$E$10&amp;", ","")&amp;IF((COUNTIFS(TableBOM[Product ID],$D$11,TableBOM[Item ID],$A89)&gt;0)*($H$11&gt;0),$E$11&amp;", ","")&amp;IF((COUNTIFS(TableBOM[Product ID],$D$12,TableBOM[Item ID],$A89)&gt;0)*($H$12&gt;0),$E$12&amp;", ",""))&gt;1,LEFT(IF((COUNTIFS(TableBOM[Product ID],$D$3,TableBOM[Item ID],$A89)&gt;0)*($H$3&gt;0),$E$3&amp;", ","")&amp;IF((COUNTIFS(TableBOM[Product ID],$D$4,TableBOM[Item ID],$A89)&gt;0)*($H$4&gt;0),$E$4&amp;", ","")&amp;IF((COUNTIFS(TableBOM[Product ID],$D$5,TableBOM[Item ID],$A89)&gt;0)*($H$5&gt;0),$E$5&amp;", ","")&amp;IF((COUNTIFS(TableBOM[Product ID],$D$6,TableBOM[Item ID],$A89)&gt;0)*($H$6&gt;0),$E$6&amp;", ","")&amp;IF((COUNTIFS(TableBOM[Product ID],$D$7,TableBOM[Item ID],$A89)&gt;0)*($H$7&gt;0),$E$7&amp;", ","")&amp;IF((COUNTIFS(TableBOM[Product ID],$D$8,TableBOM[Item ID],$A89)&gt;0)*($H$8&gt;0),$E$8&amp;", ","")&amp;IF((COUNTIFS(TableBOM[Product ID],$D$9,TableBOM[Item ID],$A89)&gt;0)*($H$9&gt;0),$E$9&amp;", ","")&amp;IF((COUNTIFS(TableBOM[Product ID],$D$10,TableBOM[Item ID],$A89)&gt;0)*($H$10&gt;0),$E$10&amp;", ","")&amp;IF((COUNTIFS(TableBOM[Product ID],$D$11,TableBOM[Item ID],$A89)&gt;0)*($H$11&gt;0),$E$11&amp;", ","")&amp;IF((COUNTIFS(TableBOM[Product ID],$D$12,TableBOM[Item ID],$A89)&gt;0)*($H$12&gt;0),$E$12&amp;", ",""),LEN(IF((COUNTIFS(TableBOM[Product ID],$D$3,TableBOM[Item ID],$A89)&gt;0)*($H$3&gt;0),$E$3&amp;", ","")&amp;IF((COUNTIFS(TableBOM[Product ID],$D$4,TableBOM[Item ID],$A89)&gt;0)*($H$4&gt;0),$E$4&amp;", ","")&amp;IF((COUNTIFS(TableBOM[Product ID],$D$5,TableBOM[Item ID],$A89)&gt;0)*($H$5&gt;0),$E$5&amp;", ","")&amp;IF((COUNTIFS(TableBOM[Product ID],$D$6,TableBOM[Item ID],$A89)&gt;0)*($H$6&gt;0),$E$6&amp;", ","")&amp;IF((COUNTIFS(TableBOM[Product ID],$D$7,TableBOM[Item ID],$A89)&gt;0)*($H$7&gt;0),$E$7&amp;", ","")&amp;IF((COUNTIFS(TableBOM[Product ID],$D$8,TableBOM[Item ID],$A89)&gt;0)*($H$8&gt;0),$E$8&amp;", ","")&amp;IF((COUNTIFS(TableBOM[Product ID],$D$9,TableBOM[Item ID],$A89)&gt;0)*($H$9&gt;0),$E$9&amp;", ","")&amp;IF((COUNTIFS(TableBOM[Product ID],$D$10,TableBOM[Item ID],$A89)&gt;0)*($H$10&gt;0),$E$10&amp;", ","")&amp;IF((COUNTIFS(TableBOM[Product ID],$D$11,TableBOM[Item ID],$A89)&gt;0)*($H$11&gt;0),$E$11&amp;", ","")&amp;IF((COUNTIFS(TableBOM[Product ID],$D$12,TableBOM[Item ID],$A89)&gt;0)*($H$12&gt;0),$E$12&amp;", ",""))-2),"")</f>
        <v/>
      </c>
      <c r="J89" s="64">
        <f>IF(E89=0,"Not needed",IF(G89&lt;0,"SHORTAGE",IF(G89&lt;F89*0.1,"LOW","OK")))</f>
        <v/>
      </c>
      <c r="K89" s="64">
        <f>IF(B89&lt;&gt;"CAP","",SUMPRODUCT((ISNUMBER(SEARCH("Cap Not Available",'FG Stock'!$H$4:$H$100)))*('FG Stock'!$I$4:$I$100=A89)*'FG Stock'!$F$4:$F$100))</f>
        <v/>
      </c>
      <c r="L89" s="64">
        <f>IF(E89=0,"",MAX(0,E89+IFERROR(K89*1,0)-F89))</f>
        <v/>
      </c>
    </row>
    <row r="90" hidden="1" ht="15" customHeight="1" s="249">
      <c r="A90" s="55" t="n">
        <v>6135</v>
      </c>
      <c r="B90" s="55" t="inlineStr">
        <is>
          <t>MASTER BATCH</t>
        </is>
      </c>
      <c r="C90" s="55" t="inlineStr">
        <is>
          <t>MASTER BATCH RENOL-GREEN NE60340193-MN</t>
        </is>
      </c>
      <c r="D90" s="55" t="inlineStr">
        <is>
          <t>kg</t>
        </is>
      </c>
      <c r="E90" s="61">
        <f>SUMPRODUCT((TableBOM[Item ID]=A90)*TableBOM[Per 1000 Units]*(1+TableBOM[Scrap %])*SUMIF($D$3:$D$12,TableBOM[Product ID],$H$3:$H$12)/1000)</f>
        <v/>
      </c>
      <c r="F90" s="61">
        <f>IFERROR(INDEX(TableInventory[Store Balance],MATCH(A90,TableInventory[Item ID],0)),0)+IFERROR(INDEX(TableInventory[Work In Process],MATCH(A90,TableInventory[Item ID],0)),0)</f>
        <v/>
      </c>
      <c r="G90" s="61">
        <f>F90-E90</f>
        <v/>
      </c>
      <c r="H90" s="62">
        <f>IF(LEN(IF((COUNTIFS(TableBOM[Product ID],$D$3,TableBOM[Item ID],$A90)&gt;0)*($H$3&gt;0),$C$3&amp;", ","")&amp;IF((COUNTIFS(TableBOM[Product ID],$D$4,TableBOM[Item ID],$A90)&gt;0)*($H$4&gt;0),$C$4&amp;", ","")&amp;IF((COUNTIFS(TableBOM[Product ID],$D$5,TableBOM[Item ID],$A90)&gt;0)*($H$5&gt;0),$C$5&amp;", ","")&amp;IF((COUNTIFS(TableBOM[Product ID],$D$6,TableBOM[Item ID],$A90)&gt;0)*($H$6&gt;0),$C$6&amp;", ","")&amp;IF((COUNTIFS(TableBOM[Product ID],$D$7,TableBOM[Item ID],$A90)&gt;0)*($H$7&gt;0),$C$7&amp;", ","")&amp;IF((COUNTIFS(TableBOM[Product ID],$D$8,TableBOM[Item ID],$A90)&gt;0)*($H$8&gt;0),$C$8&amp;", ","")&amp;IF((COUNTIFS(TableBOM[Product ID],$D$9,TableBOM[Item ID],$A90)&gt;0)*($H$9&gt;0),$C$9&amp;", ","")&amp;IF((COUNTIFS(TableBOM[Product ID],$D$10,TableBOM[Item ID],$A90)&gt;0)*($H$10&gt;0),$C$10&amp;", ","")&amp;IF((COUNTIFS(TableBOM[Product ID],$D$11,TableBOM[Item ID],$A90)&gt;0)*($H$11&gt;0),$C$11&amp;", ","")&amp;IF((COUNTIFS(TableBOM[Product ID],$D$12,TableBOM[Item ID],$A90)&gt;0)*($H$12&gt;0),$C$12&amp;", ",""))&gt;1,LEFT(IF((COUNTIFS(TableBOM[Product ID],$D$3,TableBOM[Item ID],$A90)&gt;0)*($H$3&gt;0),$C$3&amp;", ","")&amp;IF((COUNTIFS(TableBOM[Product ID],$D$4,TableBOM[Item ID],$A90)&gt;0)*($H$4&gt;0),$C$4&amp;", ","")&amp;IF((COUNTIFS(TableBOM[Product ID],$D$5,TableBOM[Item ID],$A90)&gt;0)*($H$5&gt;0),$C$5&amp;", ","")&amp;IF((COUNTIFS(TableBOM[Product ID],$D$6,TableBOM[Item ID],$A90)&gt;0)*($H$6&gt;0),$C$6&amp;", ","")&amp;IF((COUNTIFS(TableBOM[Product ID],$D$7,TableBOM[Item ID],$A90)&gt;0)*($H$7&gt;0),$C$7&amp;", ","")&amp;IF((COUNTIFS(TableBOM[Product ID],$D$8,TableBOM[Item ID],$A90)&gt;0)*($H$8&gt;0),$C$8&amp;", ","")&amp;IF((COUNTIFS(TableBOM[Product ID],$D$9,TableBOM[Item ID],$A90)&gt;0)*($H$9&gt;0),$C$9&amp;", ","")&amp;IF((COUNTIFS(TableBOM[Product ID],$D$10,TableBOM[Item ID],$A90)&gt;0)*($H$10&gt;0),$C$10&amp;", ","")&amp;IF((COUNTIFS(TableBOM[Product ID],$D$11,TableBOM[Item ID],$A90)&gt;0)*($H$11&gt;0),$C$11&amp;", ","")&amp;IF((COUNTIFS(TableBOM[Product ID],$D$12,TableBOM[Item ID],$A90)&gt;0)*($H$12&gt;0),$C$12&amp;", ",""),LEN(IF((COUNTIFS(TableBOM[Product ID],$D$3,TableBOM[Item ID],$A90)&gt;0)*($H$3&gt;0),$C$3&amp;", ","")&amp;IF((COUNTIFS(TableBOM[Product ID],$D$4,TableBOM[Item ID],$A90)&gt;0)*($H$4&gt;0),$C$4&amp;", ","")&amp;IF((COUNTIFS(TableBOM[Product ID],$D$5,TableBOM[Item ID],$A90)&gt;0)*($H$5&gt;0),$C$5&amp;", ","")&amp;IF((COUNTIFS(TableBOM[Product ID],$D$6,TableBOM[Item ID],$A90)&gt;0)*($H$6&gt;0),$C$6&amp;", ","")&amp;IF((COUNTIFS(TableBOM[Product ID],$D$7,TableBOM[Item ID],$A90)&gt;0)*($H$7&gt;0),$C$7&amp;", ","")&amp;IF((COUNTIFS(TableBOM[Product ID],$D$8,TableBOM[Item ID],$A90)&gt;0)*($H$8&gt;0),$C$8&amp;", ","")&amp;IF((COUNTIFS(TableBOM[Product ID],$D$9,TableBOM[Item ID],$A90)&gt;0)*($H$9&gt;0),$C$9&amp;", ","")&amp;IF((COUNTIFS(TableBOM[Product ID],$D$10,TableBOM[Item ID],$A90)&gt;0)*($H$10&gt;0),$C$10&amp;", ","")&amp;IF((COUNTIFS(TableBOM[Product ID],$D$11,TableBOM[Item ID],$A90)&gt;0)*($H$11&gt;0),$C$11&amp;", ","")&amp;IF((COUNTIFS(TableBOM[Product ID],$D$12,TableBOM[Item ID],$A90)&gt;0)*($H$12&gt;0),$C$12&amp;", ",""))-2),"")</f>
        <v/>
      </c>
      <c r="I90" s="63">
        <f>IF(LEN(IF((COUNTIFS(TableBOM[Product ID],$D$3,TableBOM[Item ID],$A90)&gt;0)*($H$3&gt;0),$E$3&amp;", ","")&amp;IF((COUNTIFS(TableBOM[Product ID],$D$4,TableBOM[Item ID],$A90)&gt;0)*($H$4&gt;0),$E$4&amp;", ","")&amp;IF((COUNTIFS(TableBOM[Product ID],$D$5,TableBOM[Item ID],$A90)&gt;0)*($H$5&gt;0),$E$5&amp;", ","")&amp;IF((COUNTIFS(TableBOM[Product ID],$D$6,TableBOM[Item ID],$A90)&gt;0)*($H$6&gt;0),$E$6&amp;", ","")&amp;IF((COUNTIFS(TableBOM[Product ID],$D$7,TableBOM[Item ID],$A90)&gt;0)*($H$7&gt;0),$E$7&amp;", ","")&amp;IF((COUNTIFS(TableBOM[Product ID],$D$8,TableBOM[Item ID],$A90)&gt;0)*($H$8&gt;0),$E$8&amp;", ","")&amp;IF((COUNTIFS(TableBOM[Product ID],$D$9,TableBOM[Item ID],$A90)&gt;0)*($H$9&gt;0),$E$9&amp;", ","")&amp;IF((COUNTIFS(TableBOM[Product ID],$D$10,TableBOM[Item ID],$A90)&gt;0)*($H$10&gt;0),$E$10&amp;", ","")&amp;IF((COUNTIFS(TableBOM[Product ID],$D$11,TableBOM[Item ID],$A90)&gt;0)*($H$11&gt;0),$E$11&amp;", ","")&amp;IF((COUNTIFS(TableBOM[Product ID],$D$12,TableBOM[Item ID],$A90)&gt;0)*($H$12&gt;0),$E$12&amp;", ",""))&gt;1,LEFT(IF((COUNTIFS(TableBOM[Product ID],$D$3,TableBOM[Item ID],$A90)&gt;0)*($H$3&gt;0),$E$3&amp;", ","")&amp;IF((COUNTIFS(TableBOM[Product ID],$D$4,TableBOM[Item ID],$A90)&gt;0)*($H$4&gt;0),$E$4&amp;", ","")&amp;IF((COUNTIFS(TableBOM[Product ID],$D$5,TableBOM[Item ID],$A90)&gt;0)*($H$5&gt;0),$E$5&amp;", ","")&amp;IF((COUNTIFS(TableBOM[Product ID],$D$6,TableBOM[Item ID],$A90)&gt;0)*($H$6&gt;0),$E$6&amp;", ","")&amp;IF((COUNTIFS(TableBOM[Product ID],$D$7,TableBOM[Item ID],$A90)&gt;0)*($H$7&gt;0),$E$7&amp;", ","")&amp;IF((COUNTIFS(TableBOM[Product ID],$D$8,TableBOM[Item ID],$A90)&gt;0)*($H$8&gt;0),$E$8&amp;", ","")&amp;IF((COUNTIFS(TableBOM[Product ID],$D$9,TableBOM[Item ID],$A90)&gt;0)*($H$9&gt;0),$E$9&amp;", ","")&amp;IF((COUNTIFS(TableBOM[Product ID],$D$10,TableBOM[Item ID],$A90)&gt;0)*($H$10&gt;0),$E$10&amp;", ","")&amp;IF((COUNTIFS(TableBOM[Product ID],$D$11,TableBOM[Item ID],$A90)&gt;0)*($H$11&gt;0),$E$11&amp;", ","")&amp;IF((COUNTIFS(TableBOM[Product ID],$D$12,TableBOM[Item ID],$A90)&gt;0)*($H$12&gt;0),$E$12&amp;", ",""),LEN(IF((COUNTIFS(TableBOM[Product ID],$D$3,TableBOM[Item ID],$A90)&gt;0)*($H$3&gt;0),$E$3&amp;", ","")&amp;IF((COUNTIFS(TableBOM[Product ID],$D$4,TableBOM[Item ID],$A90)&gt;0)*($H$4&gt;0),$E$4&amp;", ","")&amp;IF((COUNTIFS(TableBOM[Product ID],$D$5,TableBOM[Item ID],$A90)&gt;0)*($H$5&gt;0),$E$5&amp;", ","")&amp;IF((COUNTIFS(TableBOM[Product ID],$D$6,TableBOM[Item ID],$A90)&gt;0)*($H$6&gt;0),$E$6&amp;", ","")&amp;IF((COUNTIFS(TableBOM[Product ID],$D$7,TableBOM[Item ID],$A90)&gt;0)*($H$7&gt;0),$E$7&amp;", ","")&amp;IF((COUNTIFS(TableBOM[Product ID],$D$8,TableBOM[Item ID],$A90)&gt;0)*($H$8&gt;0),$E$8&amp;", ","")&amp;IF((COUNTIFS(TableBOM[Product ID],$D$9,TableBOM[Item ID],$A90)&gt;0)*($H$9&gt;0),$E$9&amp;", ","")&amp;IF((COUNTIFS(TableBOM[Product ID],$D$10,TableBOM[Item ID],$A90)&gt;0)*($H$10&gt;0),$E$10&amp;", ","")&amp;IF((COUNTIFS(TableBOM[Product ID],$D$11,TableBOM[Item ID],$A90)&gt;0)*($H$11&gt;0),$E$11&amp;", ","")&amp;IF((COUNTIFS(TableBOM[Product ID],$D$12,TableBOM[Item ID],$A90)&gt;0)*($H$12&gt;0),$E$12&amp;", ",""))-2),"")</f>
        <v/>
      </c>
      <c r="J90" s="64">
        <f>IF(E90=0,"Not needed",IF(G90&lt;0,"SHORTAGE",IF(G90&lt;F90*0.1,"LOW","OK")))</f>
        <v/>
      </c>
      <c r="K90" s="64">
        <f>IF(B90&lt;&gt;"CAP","",SUMPRODUCT((ISNUMBER(SEARCH("Cap Not Available",'FG Stock'!$H$4:$H$100)))*('FG Stock'!$I$4:$I$100=A90)*'FG Stock'!$F$4:$F$100))</f>
        <v/>
      </c>
      <c r="L90" s="64">
        <f>IF(E90=0,"",MAX(0,E90+IFERROR(K90*1,0)-F90))</f>
        <v/>
      </c>
    </row>
    <row r="91" hidden="1" ht="15" customHeight="1" s="249">
      <c r="A91" s="55" t="n">
        <v>7133</v>
      </c>
      <c r="B91" s="55" t="inlineStr">
        <is>
          <t>MASTER BATCH</t>
        </is>
      </c>
      <c r="C91" s="55" t="inlineStr">
        <is>
          <t>MASTER BATCH GREEN PE63340532-ZN FA</t>
        </is>
      </c>
      <c r="D91" s="55" t="inlineStr">
        <is>
          <t>kg</t>
        </is>
      </c>
      <c r="E91" s="61">
        <f>SUMPRODUCT((TableBOM[Item ID]=A91)*TableBOM[Per 1000 Units]*(1+TableBOM[Scrap %])*SUMIF($D$3:$D$12,TableBOM[Product ID],$H$3:$H$12)/1000)</f>
        <v/>
      </c>
      <c r="F91" s="61">
        <f>IFERROR(INDEX(TableInventory[Store Balance],MATCH(A91,TableInventory[Item ID],0)),0)+IFERROR(INDEX(TableInventory[Work In Process],MATCH(A91,TableInventory[Item ID],0)),0)</f>
        <v/>
      </c>
      <c r="G91" s="61">
        <f>F91-E91</f>
        <v/>
      </c>
      <c r="H91" s="62">
        <f>IF(LEN(IF((COUNTIFS(TableBOM[Product ID],$D$3,TableBOM[Item ID],$A91)&gt;0)*($H$3&gt;0),$C$3&amp;", ","")&amp;IF((COUNTIFS(TableBOM[Product ID],$D$4,TableBOM[Item ID],$A91)&gt;0)*($H$4&gt;0),$C$4&amp;", ","")&amp;IF((COUNTIFS(TableBOM[Product ID],$D$5,TableBOM[Item ID],$A91)&gt;0)*($H$5&gt;0),$C$5&amp;", ","")&amp;IF((COUNTIFS(TableBOM[Product ID],$D$6,TableBOM[Item ID],$A91)&gt;0)*($H$6&gt;0),$C$6&amp;", ","")&amp;IF((COUNTIFS(TableBOM[Product ID],$D$7,TableBOM[Item ID],$A91)&gt;0)*($H$7&gt;0),$C$7&amp;", ","")&amp;IF((COUNTIFS(TableBOM[Product ID],$D$8,TableBOM[Item ID],$A91)&gt;0)*($H$8&gt;0),$C$8&amp;", ","")&amp;IF((COUNTIFS(TableBOM[Product ID],$D$9,TableBOM[Item ID],$A91)&gt;0)*($H$9&gt;0),$C$9&amp;", ","")&amp;IF((COUNTIFS(TableBOM[Product ID],$D$10,TableBOM[Item ID],$A91)&gt;0)*($H$10&gt;0),$C$10&amp;", ","")&amp;IF((COUNTIFS(TableBOM[Product ID],$D$11,TableBOM[Item ID],$A91)&gt;0)*($H$11&gt;0),$C$11&amp;", ","")&amp;IF((COUNTIFS(TableBOM[Product ID],$D$12,TableBOM[Item ID],$A91)&gt;0)*($H$12&gt;0),$C$12&amp;", ",""))&gt;1,LEFT(IF((COUNTIFS(TableBOM[Product ID],$D$3,TableBOM[Item ID],$A91)&gt;0)*($H$3&gt;0),$C$3&amp;", ","")&amp;IF((COUNTIFS(TableBOM[Product ID],$D$4,TableBOM[Item ID],$A91)&gt;0)*($H$4&gt;0),$C$4&amp;", ","")&amp;IF((COUNTIFS(TableBOM[Product ID],$D$5,TableBOM[Item ID],$A91)&gt;0)*($H$5&gt;0),$C$5&amp;", ","")&amp;IF((COUNTIFS(TableBOM[Product ID],$D$6,TableBOM[Item ID],$A91)&gt;0)*($H$6&gt;0),$C$6&amp;", ","")&amp;IF((COUNTIFS(TableBOM[Product ID],$D$7,TableBOM[Item ID],$A91)&gt;0)*($H$7&gt;0),$C$7&amp;", ","")&amp;IF((COUNTIFS(TableBOM[Product ID],$D$8,TableBOM[Item ID],$A91)&gt;0)*($H$8&gt;0),$C$8&amp;", ","")&amp;IF((COUNTIFS(TableBOM[Product ID],$D$9,TableBOM[Item ID],$A91)&gt;0)*($H$9&gt;0),$C$9&amp;", ","")&amp;IF((COUNTIFS(TableBOM[Product ID],$D$10,TableBOM[Item ID],$A91)&gt;0)*($H$10&gt;0),$C$10&amp;", ","")&amp;IF((COUNTIFS(TableBOM[Product ID],$D$11,TableBOM[Item ID],$A91)&gt;0)*($H$11&gt;0),$C$11&amp;", ","")&amp;IF((COUNTIFS(TableBOM[Product ID],$D$12,TableBOM[Item ID],$A91)&gt;0)*($H$12&gt;0),$C$12&amp;", ",""),LEN(IF((COUNTIFS(TableBOM[Product ID],$D$3,TableBOM[Item ID],$A91)&gt;0)*($H$3&gt;0),$C$3&amp;", ","")&amp;IF((COUNTIFS(TableBOM[Product ID],$D$4,TableBOM[Item ID],$A91)&gt;0)*($H$4&gt;0),$C$4&amp;", ","")&amp;IF((COUNTIFS(TableBOM[Product ID],$D$5,TableBOM[Item ID],$A91)&gt;0)*($H$5&gt;0),$C$5&amp;", ","")&amp;IF((COUNTIFS(TableBOM[Product ID],$D$6,TableBOM[Item ID],$A91)&gt;0)*($H$6&gt;0),$C$6&amp;", ","")&amp;IF((COUNTIFS(TableBOM[Product ID],$D$7,TableBOM[Item ID],$A91)&gt;0)*($H$7&gt;0),$C$7&amp;", ","")&amp;IF((COUNTIFS(TableBOM[Product ID],$D$8,TableBOM[Item ID],$A91)&gt;0)*($H$8&gt;0),$C$8&amp;", ","")&amp;IF((COUNTIFS(TableBOM[Product ID],$D$9,TableBOM[Item ID],$A91)&gt;0)*($H$9&gt;0),$C$9&amp;", ","")&amp;IF((COUNTIFS(TableBOM[Product ID],$D$10,TableBOM[Item ID],$A91)&gt;0)*($H$10&gt;0),$C$10&amp;", ","")&amp;IF((COUNTIFS(TableBOM[Product ID],$D$11,TableBOM[Item ID],$A91)&gt;0)*($H$11&gt;0),$C$11&amp;", ","")&amp;IF((COUNTIFS(TableBOM[Product ID],$D$12,TableBOM[Item ID],$A91)&gt;0)*($H$12&gt;0),$C$12&amp;", ",""))-2),"")</f>
        <v/>
      </c>
      <c r="I91" s="63">
        <f>IF(LEN(IF((COUNTIFS(TableBOM[Product ID],$D$3,TableBOM[Item ID],$A91)&gt;0)*($H$3&gt;0),$E$3&amp;", ","")&amp;IF((COUNTIFS(TableBOM[Product ID],$D$4,TableBOM[Item ID],$A91)&gt;0)*($H$4&gt;0),$E$4&amp;", ","")&amp;IF((COUNTIFS(TableBOM[Product ID],$D$5,TableBOM[Item ID],$A91)&gt;0)*($H$5&gt;0),$E$5&amp;", ","")&amp;IF((COUNTIFS(TableBOM[Product ID],$D$6,TableBOM[Item ID],$A91)&gt;0)*($H$6&gt;0),$E$6&amp;", ","")&amp;IF((COUNTIFS(TableBOM[Product ID],$D$7,TableBOM[Item ID],$A91)&gt;0)*($H$7&gt;0),$E$7&amp;", ","")&amp;IF((COUNTIFS(TableBOM[Product ID],$D$8,TableBOM[Item ID],$A91)&gt;0)*($H$8&gt;0),$E$8&amp;", ","")&amp;IF((COUNTIFS(TableBOM[Product ID],$D$9,TableBOM[Item ID],$A91)&gt;0)*($H$9&gt;0),$E$9&amp;", ","")&amp;IF((COUNTIFS(TableBOM[Product ID],$D$10,TableBOM[Item ID],$A91)&gt;0)*($H$10&gt;0),$E$10&amp;", ","")&amp;IF((COUNTIFS(TableBOM[Product ID],$D$11,TableBOM[Item ID],$A91)&gt;0)*($H$11&gt;0),$E$11&amp;", ","")&amp;IF((COUNTIFS(TableBOM[Product ID],$D$12,TableBOM[Item ID],$A91)&gt;0)*($H$12&gt;0),$E$12&amp;", ",""))&gt;1,LEFT(IF((COUNTIFS(TableBOM[Product ID],$D$3,TableBOM[Item ID],$A91)&gt;0)*($H$3&gt;0),$E$3&amp;", ","")&amp;IF((COUNTIFS(TableBOM[Product ID],$D$4,TableBOM[Item ID],$A91)&gt;0)*($H$4&gt;0),$E$4&amp;", ","")&amp;IF((COUNTIFS(TableBOM[Product ID],$D$5,TableBOM[Item ID],$A91)&gt;0)*($H$5&gt;0),$E$5&amp;", ","")&amp;IF((COUNTIFS(TableBOM[Product ID],$D$6,TableBOM[Item ID],$A91)&gt;0)*($H$6&gt;0),$E$6&amp;", ","")&amp;IF((COUNTIFS(TableBOM[Product ID],$D$7,TableBOM[Item ID],$A91)&gt;0)*($H$7&gt;0),$E$7&amp;", ","")&amp;IF((COUNTIFS(TableBOM[Product ID],$D$8,TableBOM[Item ID],$A91)&gt;0)*($H$8&gt;0),$E$8&amp;", ","")&amp;IF((COUNTIFS(TableBOM[Product ID],$D$9,TableBOM[Item ID],$A91)&gt;0)*($H$9&gt;0),$E$9&amp;", ","")&amp;IF((COUNTIFS(TableBOM[Product ID],$D$10,TableBOM[Item ID],$A91)&gt;0)*($H$10&gt;0),$E$10&amp;", ","")&amp;IF((COUNTIFS(TableBOM[Product ID],$D$11,TableBOM[Item ID],$A91)&gt;0)*($H$11&gt;0),$E$11&amp;", ","")&amp;IF((COUNTIFS(TableBOM[Product ID],$D$12,TableBOM[Item ID],$A91)&gt;0)*($H$12&gt;0),$E$12&amp;", ",""),LEN(IF((COUNTIFS(TableBOM[Product ID],$D$3,TableBOM[Item ID],$A91)&gt;0)*($H$3&gt;0),$E$3&amp;", ","")&amp;IF((COUNTIFS(TableBOM[Product ID],$D$4,TableBOM[Item ID],$A91)&gt;0)*($H$4&gt;0),$E$4&amp;", ","")&amp;IF((COUNTIFS(TableBOM[Product ID],$D$5,TableBOM[Item ID],$A91)&gt;0)*($H$5&gt;0),$E$5&amp;", ","")&amp;IF((COUNTIFS(TableBOM[Product ID],$D$6,TableBOM[Item ID],$A91)&gt;0)*($H$6&gt;0),$E$6&amp;", ","")&amp;IF((COUNTIFS(TableBOM[Product ID],$D$7,TableBOM[Item ID],$A91)&gt;0)*($H$7&gt;0),$E$7&amp;", ","")&amp;IF((COUNTIFS(TableBOM[Product ID],$D$8,TableBOM[Item ID],$A91)&gt;0)*($H$8&gt;0),$E$8&amp;", ","")&amp;IF((COUNTIFS(TableBOM[Product ID],$D$9,TableBOM[Item ID],$A91)&gt;0)*($H$9&gt;0),$E$9&amp;", ","")&amp;IF((COUNTIFS(TableBOM[Product ID],$D$10,TableBOM[Item ID],$A91)&gt;0)*($H$10&gt;0),$E$10&amp;", ","")&amp;IF((COUNTIFS(TableBOM[Product ID],$D$11,TableBOM[Item ID],$A91)&gt;0)*($H$11&gt;0),$E$11&amp;", ","")&amp;IF((COUNTIFS(TableBOM[Product ID],$D$12,TableBOM[Item ID],$A91)&gt;0)*($H$12&gt;0),$E$12&amp;", ",""))-2),"")</f>
        <v/>
      </c>
      <c r="J91" s="64">
        <f>IF(E91=0,"Not needed",IF(G91&lt;0,"SHORTAGE",IF(G91&lt;F91*0.1,"LOW","OK")))</f>
        <v/>
      </c>
      <c r="K91" s="64">
        <f>IF(B91&lt;&gt;"CAP","",SUMPRODUCT((ISNUMBER(SEARCH("Cap Not Available",'FG Stock'!$H$4:$H$100)))*('FG Stock'!$I$4:$I$100=A91)*'FG Stock'!$F$4:$F$100))</f>
        <v/>
      </c>
      <c r="L91" s="64">
        <f>IF(E91=0,"",MAX(0,E91+IFERROR(K91*1,0)-F91))</f>
        <v/>
      </c>
    </row>
    <row r="92" hidden="1" ht="15" customHeight="1" s="249">
      <c r="A92" s="55" t="n">
        <v>7412</v>
      </c>
      <c r="B92" s="55" t="inlineStr">
        <is>
          <t>MASTER BATCH</t>
        </is>
      </c>
      <c r="C92" s="55" t="inlineStr">
        <is>
          <t>MASTER BATCH BLACK DP# 6411</t>
        </is>
      </c>
      <c r="D92" s="55" t="inlineStr">
        <is>
          <t>kg</t>
        </is>
      </c>
      <c r="E92" s="61">
        <f>SUMPRODUCT((TableBOM[Item ID]=A92)*TableBOM[Per 1000 Units]*(1+TableBOM[Scrap %])*SUMIF($D$3:$D$12,TableBOM[Product ID],$H$3:$H$12)/1000)</f>
        <v/>
      </c>
      <c r="F92" s="61">
        <f>IFERROR(INDEX(TableInventory[Store Balance],MATCH(A92,TableInventory[Item ID],0)),0)+IFERROR(INDEX(TableInventory[Work In Process],MATCH(A92,TableInventory[Item ID],0)),0)</f>
        <v/>
      </c>
      <c r="G92" s="61">
        <f>F92-E92</f>
        <v/>
      </c>
      <c r="H92" s="62">
        <f>IF(LEN(IF((COUNTIFS(TableBOM[Product ID],$D$3,TableBOM[Item ID],$A92)&gt;0)*($H$3&gt;0),$C$3&amp;", ","")&amp;IF((COUNTIFS(TableBOM[Product ID],$D$4,TableBOM[Item ID],$A92)&gt;0)*($H$4&gt;0),$C$4&amp;", ","")&amp;IF((COUNTIFS(TableBOM[Product ID],$D$5,TableBOM[Item ID],$A92)&gt;0)*($H$5&gt;0),$C$5&amp;", ","")&amp;IF((COUNTIFS(TableBOM[Product ID],$D$6,TableBOM[Item ID],$A92)&gt;0)*($H$6&gt;0),$C$6&amp;", ","")&amp;IF((COUNTIFS(TableBOM[Product ID],$D$7,TableBOM[Item ID],$A92)&gt;0)*($H$7&gt;0),$C$7&amp;", ","")&amp;IF((COUNTIFS(TableBOM[Product ID],$D$8,TableBOM[Item ID],$A92)&gt;0)*($H$8&gt;0),$C$8&amp;", ","")&amp;IF((COUNTIFS(TableBOM[Product ID],$D$9,TableBOM[Item ID],$A92)&gt;0)*($H$9&gt;0),$C$9&amp;", ","")&amp;IF((COUNTIFS(TableBOM[Product ID],$D$10,TableBOM[Item ID],$A92)&gt;0)*($H$10&gt;0),$C$10&amp;", ","")&amp;IF((COUNTIFS(TableBOM[Product ID],$D$11,TableBOM[Item ID],$A92)&gt;0)*($H$11&gt;0),$C$11&amp;", ","")&amp;IF((COUNTIFS(TableBOM[Product ID],$D$12,TableBOM[Item ID],$A92)&gt;0)*($H$12&gt;0),$C$12&amp;", ",""))&gt;1,LEFT(IF((COUNTIFS(TableBOM[Product ID],$D$3,TableBOM[Item ID],$A92)&gt;0)*($H$3&gt;0),$C$3&amp;", ","")&amp;IF((COUNTIFS(TableBOM[Product ID],$D$4,TableBOM[Item ID],$A92)&gt;0)*($H$4&gt;0),$C$4&amp;", ","")&amp;IF((COUNTIFS(TableBOM[Product ID],$D$5,TableBOM[Item ID],$A92)&gt;0)*($H$5&gt;0),$C$5&amp;", ","")&amp;IF((COUNTIFS(TableBOM[Product ID],$D$6,TableBOM[Item ID],$A92)&gt;0)*($H$6&gt;0),$C$6&amp;", ","")&amp;IF((COUNTIFS(TableBOM[Product ID],$D$7,TableBOM[Item ID],$A92)&gt;0)*($H$7&gt;0),$C$7&amp;", ","")&amp;IF((COUNTIFS(TableBOM[Product ID],$D$8,TableBOM[Item ID],$A92)&gt;0)*($H$8&gt;0),$C$8&amp;", ","")&amp;IF((COUNTIFS(TableBOM[Product ID],$D$9,TableBOM[Item ID],$A92)&gt;0)*($H$9&gt;0),$C$9&amp;", ","")&amp;IF((COUNTIFS(TableBOM[Product ID],$D$10,TableBOM[Item ID],$A92)&gt;0)*($H$10&gt;0),$C$10&amp;", ","")&amp;IF((COUNTIFS(TableBOM[Product ID],$D$11,TableBOM[Item ID],$A92)&gt;0)*($H$11&gt;0),$C$11&amp;", ","")&amp;IF((COUNTIFS(TableBOM[Product ID],$D$12,TableBOM[Item ID],$A92)&gt;0)*($H$12&gt;0),$C$12&amp;", ",""),LEN(IF((COUNTIFS(TableBOM[Product ID],$D$3,TableBOM[Item ID],$A92)&gt;0)*($H$3&gt;0),$C$3&amp;", ","")&amp;IF((COUNTIFS(TableBOM[Product ID],$D$4,TableBOM[Item ID],$A92)&gt;0)*($H$4&gt;0),$C$4&amp;", ","")&amp;IF((COUNTIFS(TableBOM[Product ID],$D$5,TableBOM[Item ID],$A92)&gt;0)*($H$5&gt;0),$C$5&amp;", ","")&amp;IF((COUNTIFS(TableBOM[Product ID],$D$6,TableBOM[Item ID],$A92)&gt;0)*($H$6&gt;0),$C$6&amp;", ","")&amp;IF((COUNTIFS(TableBOM[Product ID],$D$7,TableBOM[Item ID],$A92)&gt;0)*($H$7&gt;0),$C$7&amp;", ","")&amp;IF((COUNTIFS(TableBOM[Product ID],$D$8,TableBOM[Item ID],$A92)&gt;0)*($H$8&gt;0),$C$8&amp;", ","")&amp;IF((COUNTIFS(TableBOM[Product ID],$D$9,TableBOM[Item ID],$A92)&gt;0)*($H$9&gt;0),$C$9&amp;", ","")&amp;IF((COUNTIFS(TableBOM[Product ID],$D$10,TableBOM[Item ID],$A92)&gt;0)*($H$10&gt;0),$C$10&amp;", ","")&amp;IF((COUNTIFS(TableBOM[Product ID],$D$11,TableBOM[Item ID],$A92)&gt;0)*($H$11&gt;0),$C$11&amp;", ","")&amp;IF((COUNTIFS(TableBOM[Product ID],$D$12,TableBOM[Item ID],$A92)&gt;0)*($H$12&gt;0),$C$12&amp;", ",""))-2),"")</f>
        <v/>
      </c>
      <c r="I92" s="63">
        <f>IF(LEN(IF((COUNTIFS(TableBOM[Product ID],$D$3,TableBOM[Item ID],$A92)&gt;0)*($H$3&gt;0),$E$3&amp;", ","")&amp;IF((COUNTIFS(TableBOM[Product ID],$D$4,TableBOM[Item ID],$A92)&gt;0)*($H$4&gt;0),$E$4&amp;", ","")&amp;IF((COUNTIFS(TableBOM[Product ID],$D$5,TableBOM[Item ID],$A92)&gt;0)*($H$5&gt;0),$E$5&amp;", ","")&amp;IF((COUNTIFS(TableBOM[Product ID],$D$6,TableBOM[Item ID],$A92)&gt;0)*($H$6&gt;0),$E$6&amp;", ","")&amp;IF((COUNTIFS(TableBOM[Product ID],$D$7,TableBOM[Item ID],$A92)&gt;0)*($H$7&gt;0),$E$7&amp;", ","")&amp;IF((COUNTIFS(TableBOM[Product ID],$D$8,TableBOM[Item ID],$A92)&gt;0)*($H$8&gt;0),$E$8&amp;", ","")&amp;IF((COUNTIFS(TableBOM[Product ID],$D$9,TableBOM[Item ID],$A92)&gt;0)*($H$9&gt;0),$E$9&amp;", ","")&amp;IF((COUNTIFS(TableBOM[Product ID],$D$10,TableBOM[Item ID],$A92)&gt;0)*($H$10&gt;0),$E$10&amp;", ","")&amp;IF((COUNTIFS(TableBOM[Product ID],$D$11,TableBOM[Item ID],$A92)&gt;0)*($H$11&gt;0),$E$11&amp;", ","")&amp;IF((COUNTIFS(TableBOM[Product ID],$D$12,TableBOM[Item ID],$A92)&gt;0)*($H$12&gt;0),$E$12&amp;", ",""))&gt;1,LEFT(IF((COUNTIFS(TableBOM[Product ID],$D$3,TableBOM[Item ID],$A92)&gt;0)*($H$3&gt;0),$E$3&amp;", ","")&amp;IF((COUNTIFS(TableBOM[Product ID],$D$4,TableBOM[Item ID],$A92)&gt;0)*($H$4&gt;0),$E$4&amp;", ","")&amp;IF((COUNTIFS(TableBOM[Product ID],$D$5,TableBOM[Item ID],$A92)&gt;0)*($H$5&gt;0),$E$5&amp;", ","")&amp;IF((COUNTIFS(TableBOM[Product ID],$D$6,TableBOM[Item ID],$A92)&gt;0)*($H$6&gt;0),$E$6&amp;", ","")&amp;IF((COUNTIFS(TableBOM[Product ID],$D$7,TableBOM[Item ID],$A92)&gt;0)*($H$7&gt;0),$E$7&amp;", ","")&amp;IF((COUNTIFS(TableBOM[Product ID],$D$8,TableBOM[Item ID],$A92)&gt;0)*($H$8&gt;0),$E$8&amp;", ","")&amp;IF((COUNTIFS(TableBOM[Product ID],$D$9,TableBOM[Item ID],$A92)&gt;0)*($H$9&gt;0),$E$9&amp;", ","")&amp;IF((COUNTIFS(TableBOM[Product ID],$D$10,TableBOM[Item ID],$A92)&gt;0)*($H$10&gt;0),$E$10&amp;", ","")&amp;IF((COUNTIFS(TableBOM[Product ID],$D$11,TableBOM[Item ID],$A92)&gt;0)*($H$11&gt;0),$E$11&amp;", ","")&amp;IF((COUNTIFS(TableBOM[Product ID],$D$12,TableBOM[Item ID],$A92)&gt;0)*($H$12&gt;0),$E$12&amp;", ",""),LEN(IF((COUNTIFS(TableBOM[Product ID],$D$3,TableBOM[Item ID],$A92)&gt;0)*($H$3&gt;0),$E$3&amp;", ","")&amp;IF((COUNTIFS(TableBOM[Product ID],$D$4,TableBOM[Item ID],$A92)&gt;0)*($H$4&gt;0),$E$4&amp;", ","")&amp;IF((COUNTIFS(TableBOM[Product ID],$D$5,TableBOM[Item ID],$A92)&gt;0)*($H$5&gt;0),$E$5&amp;", ","")&amp;IF((COUNTIFS(TableBOM[Product ID],$D$6,TableBOM[Item ID],$A92)&gt;0)*($H$6&gt;0),$E$6&amp;", ","")&amp;IF((COUNTIFS(TableBOM[Product ID],$D$7,TableBOM[Item ID],$A92)&gt;0)*($H$7&gt;0),$E$7&amp;", ","")&amp;IF((COUNTIFS(TableBOM[Product ID],$D$8,TableBOM[Item ID],$A92)&gt;0)*($H$8&gt;0),$E$8&amp;", ","")&amp;IF((COUNTIFS(TableBOM[Product ID],$D$9,TableBOM[Item ID],$A92)&gt;0)*($H$9&gt;0),$E$9&amp;", ","")&amp;IF((COUNTIFS(TableBOM[Product ID],$D$10,TableBOM[Item ID],$A92)&gt;0)*($H$10&gt;0),$E$10&amp;", ","")&amp;IF((COUNTIFS(TableBOM[Product ID],$D$11,TableBOM[Item ID],$A92)&gt;0)*($H$11&gt;0),$E$11&amp;", ","")&amp;IF((COUNTIFS(TableBOM[Product ID],$D$12,TableBOM[Item ID],$A92)&gt;0)*($H$12&gt;0),$E$12&amp;", ",""))-2),"")</f>
        <v/>
      </c>
      <c r="J92" s="64">
        <f>IF(E92=0,"Not needed",IF(G92&lt;0,"SHORTAGE",IF(G92&lt;F92*0.1,"LOW","OK")))</f>
        <v/>
      </c>
      <c r="K92" s="64">
        <f>IF(B92&lt;&gt;"CAP","",SUMPRODUCT((ISNUMBER(SEARCH("Cap Not Available",'FG Stock'!$H$4:$H$100)))*('FG Stock'!$I$4:$I$100=A92)*'FG Stock'!$F$4:$F$100))</f>
        <v/>
      </c>
      <c r="L92" s="64">
        <f>IF(E92=0,"",MAX(0,E92+IFERROR(K92*1,0)-F92))</f>
        <v/>
      </c>
    </row>
    <row r="93" hidden="1" ht="15" customHeight="1" s="249">
      <c r="A93" s="55" t="n">
        <v>3752</v>
      </c>
      <c r="B93" s="55" t="inlineStr">
        <is>
          <t>GRANULES</t>
        </is>
      </c>
      <c r="C93" s="55" t="inlineStr">
        <is>
          <t>HIGH DENSITY POLY ETHYLINE (HDPE) 200050</t>
        </is>
      </c>
      <c r="D93" s="55" t="inlineStr">
        <is>
          <t>kg</t>
        </is>
      </c>
      <c r="E93" s="61">
        <f>SUMPRODUCT((TableBOM[Item ID]=A93)*TableBOM[Per 1000 Units]*(1+TableBOM[Scrap %])*SUMIF($D$3:$D$12,TableBOM[Product ID],$H$3:$H$12)/1000)</f>
        <v/>
      </c>
      <c r="F93" s="61">
        <f>IFERROR(INDEX(TableInventory[Store Balance],MATCH(A93,TableInventory[Item ID],0)),0)+IFERROR(INDEX(TableInventory[Work In Process],MATCH(A93,TableInventory[Item ID],0)),0)</f>
        <v/>
      </c>
      <c r="G93" s="61">
        <f>F93-E93</f>
        <v/>
      </c>
      <c r="H93" s="62">
        <f>IF(LEN(IF((COUNTIFS(TableBOM[Product ID],$D$3,TableBOM[Item ID],$A93)&gt;0)*($H$3&gt;0),$C$3&amp;", ","")&amp;IF((COUNTIFS(TableBOM[Product ID],$D$4,TableBOM[Item ID],$A93)&gt;0)*($H$4&gt;0),$C$4&amp;", ","")&amp;IF((COUNTIFS(TableBOM[Product ID],$D$5,TableBOM[Item ID],$A93)&gt;0)*($H$5&gt;0),$C$5&amp;", ","")&amp;IF((COUNTIFS(TableBOM[Product ID],$D$6,TableBOM[Item ID],$A93)&gt;0)*($H$6&gt;0),$C$6&amp;", ","")&amp;IF((COUNTIFS(TableBOM[Product ID],$D$7,TableBOM[Item ID],$A93)&gt;0)*($H$7&gt;0),$C$7&amp;", ","")&amp;IF((COUNTIFS(TableBOM[Product ID],$D$8,TableBOM[Item ID],$A93)&gt;0)*($H$8&gt;0),$C$8&amp;", ","")&amp;IF((COUNTIFS(TableBOM[Product ID],$D$9,TableBOM[Item ID],$A93)&gt;0)*($H$9&gt;0),$C$9&amp;", ","")&amp;IF((COUNTIFS(TableBOM[Product ID],$D$10,TableBOM[Item ID],$A93)&gt;0)*($H$10&gt;0),$C$10&amp;", ","")&amp;IF((COUNTIFS(TableBOM[Product ID],$D$11,TableBOM[Item ID],$A93)&gt;0)*($H$11&gt;0),$C$11&amp;", ","")&amp;IF((COUNTIFS(TableBOM[Product ID],$D$12,TableBOM[Item ID],$A93)&gt;0)*($H$12&gt;0),$C$12&amp;", ",""))&gt;1,LEFT(IF((COUNTIFS(TableBOM[Product ID],$D$3,TableBOM[Item ID],$A93)&gt;0)*($H$3&gt;0),$C$3&amp;", ","")&amp;IF((COUNTIFS(TableBOM[Product ID],$D$4,TableBOM[Item ID],$A93)&gt;0)*($H$4&gt;0),$C$4&amp;", ","")&amp;IF((COUNTIFS(TableBOM[Product ID],$D$5,TableBOM[Item ID],$A93)&gt;0)*($H$5&gt;0),$C$5&amp;", ","")&amp;IF((COUNTIFS(TableBOM[Product ID],$D$6,TableBOM[Item ID],$A93)&gt;0)*($H$6&gt;0),$C$6&amp;", ","")&amp;IF((COUNTIFS(TableBOM[Product ID],$D$7,TableBOM[Item ID],$A93)&gt;0)*($H$7&gt;0),$C$7&amp;", ","")&amp;IF((COUNTIFS(TableBOM[Product ID],$D$8,TableBOM[Item ID],$A93)&gt;0)*($H$8&gt;0),$C$8&amp;", ","")&amp;IF((COUNTIFS(TableBOM[Product ID],$D$9,TableBOM[Item ID],$A93)&gt;0)*($H$9&gt;0),$C$9&amp;", ","")&amp;IF((COUNTIFS(TableBOM[Product ID],$D$10,TableBOM[Item ID],$A93)&gt;0)*($H$10&gt;0),$C$10&amp;", ","")&amp;IF((COUNTIFS(TableBOM[Product ID],$D$11,TableBOM[Item ID],$A93)&gt;0)*($H$11&gt;0),$C$11&amp;", ","")&amp;IF((COUNTIFS(TableBOM[Product ID],$D$12,TableBOM[Item ID],$A93)&gt;0)*($H$12&gt;0),$C$12&amp;", ",""),LEN(IF((COUNTIFS(TableBOM[Product ID],$D$3,TableBOM[Item ID],$A93)&gt;0)*($H$3&gt;0),$C$3&amp;", ","")&amp;IF((COUNTIFS(TableBOM[Product ID],$D$4,TableBOM[Item ID],$A93)&gt;0)*($H$4&gt;0),$C$4&amp;", ","")&amp;IF((COUNTIFS(TableBOM[Product ID],$D$5,TableBOM[Item ID],$A93)&gt;0)*($H$5&gt;0),$C$5&amp;", ","")&amp;IF((COUNTIFS(TableBOM[Product ID],$D$6,TableBOM[Item ID],$A93)&gt;0)*($H$6&gt;0),$C$6&amp;", ","")&amp;IF((COUNTIFS(TableBOM[Product ID],$D$7,TableBOM[Item ID],$A93)&gt;0)*($H$7&gt;0),$C$7&amp;", ","")&amp;IF((COUNTIFS(TableBOM[Product ID],$D$8,TableBOM[Item ID],$A93)&gt;0)*($H$8&gt;0),$C$8&amp;", ","")&amp;IF((COUNTIFS(TableBOM[Product ID],$D$9,TableBOM[Item ID],$A93)&gt;0)*($H$9&gt;0),$C$9&amp;", ","")&amp;IF((COUNTIFS(TableBOM[Product ID],$D$10,TableBOM[Item ID],$A93)&gt;0)*($H$10&gt;0),$C$10&amp;", ","")&amp;IF((COUNTIFS(TableBOM[Product ID],$D$11,TableBOM[Item ID],$A93)&gt;0)*($H$11&gt;0),$C$11&amp;", ","")&amp;IF((COUNTIFS(TableBOM[Product ID],$D$12,TableBOM[Item ID],$A93)&gt;0)*($H$12&gt;0),$C$12&amp;", ",""))-2),"")</f>
        <v/>
      </c>
      <c r="I93" s="63">
        <f>IF(LEN(IF((COUNTIFS(TableBOM[Product ID],$D$3,TableBOM[Item ID],$A93)&gt;0)*($H$3&gt;0),$E$3&amp;", ","")&amp;IF((COUNTIFS(TableBOM[Product ID],$D$4,TableBOM[Item ID],$A93)&gt;0)*($H$4&gt;0),$E$4&amp;", ","")&amp;IF((COUNTIFS(TableBOM[Product ID],$D$5,TableBOM[Item ID],$A93)&gt;0)*($H$5&gt;0),$E$5&amp;", ","")&amp;IF((COUNTIFS(TableBOM[Product ID],$D$6,TableBOM[Item ID],$A93)&gt;0)*($H$6&gt;0),$E$6&amp;", ","")&amp;IF((COUNTIFS(TableBOM[Product ID],$D$7,TableBOM[Item ID],$A93)&gt;0)*($H$7&gt;0),$E$7&amp;", ","")&amp;IF((COUNTIFS(TableBOM[Product ID],$D$8,TableBOM[Item ID],$A93)&gt;0)*($H$8&gt;0),$E$8&amp;", ","")&amp;IF((COUNTIFS(TableBOM[Product ID],$D$9,TableBOM[Item ID],$A93)&gt;0)*($H$9&gt;0),$E$9&amp;", ","")&amp;IF((COUNTIFS(TableBOM[Product ID],$D$10,TableBOM[Item ID],$A93)&gt;0)*($H$10&gt;0),$E$10&amp;", ","")&amp;IF((COUNTIFS(TableBOM[Product ID],$D$11,TableBOM[Item ID],$A93)&gt;0)*($H$11&gt;0),$E$11&amp;", ","")&amp;IF((COUNTIFS(TableBOM[Product ID],$D$12,TableBOM[Item ID],$A93)&gt;0)*($H$12&gt;0),$E$12&amp;", ",""))&gt;1,LEFT(IF((COUNTIFS(TableBOM[Product ID],$D$3,TableBOM[Item ID],$A93)&gt;0)*($H$3&gt;0),$E$3&amp;", ","")&amp;IF((COUNTIFS(TableBOM[Product ID],$D$4,TableBOM[Item ID],$A93)&gt;0)*($H$4&gt;0),$E$4&amp;", ","")&amp;IF((COUNTIFS(TableBOM[Product ID],$D$5,TableBOM[Item ID],$A93)&gt;0)*($H$5&gt;0),$E$5&amp;", ","")&amp;IF((COUNTIFS(TableBOM[Product ID],$D$6,TableBOM[Item ID],$A93)&gt;0)*($H$6&gt;0),$E$6&amp;", ","")&amp;IF((COUNTIFS(TableBOM[Product ID],$D$7,TableBOM[Item ID],$A93)&gt;0)*($H$7&gt;0),$E$7&amp;", ","")&amp;IF((COUNTIFS(TableBOM[Product ID],$D$8,TableBOM[Item ID],$A93)&gt;0)*($H$8&gt;0),$E$8&amp;", ","")&amp;IF((COUNTIFS(TableBOM[Product ID],$D$9,TableBOM[Item ID],$A93)&gt;0)*($H$9&gt;0),$E$9&amp;", ","")&amp;IF((COUNTIFS(TableBOM[Product ID],$D$10,TableBOM[Item ID],$A93)&gt;0)*($H$10&gt;0),$E$10&amp;", ","")&amp;IF((COUNTIFS(TableBOM[Product ID],$D$11,TableBOM[Item ID],$A93)&gt;0)*($H$11&gt;0),$E$11&amp;", ","")&amp;IF((COUNTIFS(TableBOM[Product ID],$D$12,TableBOM[Item ID],$A93)&gt;0)*($H$12&gt;0),$E$12&amp;", ",""),LEN(IF((COUNTIFS(TableBOM[Product ID],$D$3,TableBOM[Item ID],$A93)&gt;0)*($H$3&gt;0),$E$3&amp;", ","")&amp;IF((COUNTIFS(TableBOM[Product ID],$D$4,TableBOM[Item ID],$A93)&gt;0)*($H$4&gt;0),$E$4&amp;", ","")&amp;IF((COUNTIFS(TableBOM[Product ID],$D$5,TableBOM[Item ID],$A93)&gt;0)*($H$5&gt;0),$E$5&amp;", ","")&amp;IF((COUNTIFS(TableBOM[Product ID],$D$6,TableBOM[Item ID],$A93)&gt;0)*($H$6&gt;0),$E$6&amp;", ","")&amp;IF((COUNTIFS(TableBOM[Product ID],$D$7,TableBOM[Item ID],$A93)&gt;0)*($H$7&gt;0),$E$7&amp;", ","")&amp;IF((COUNTIFS(TableBOM[Product ID],$D$8,TableBOM[Item ID],$A93)&gt;0)*($H$8&gt;0),$E$8&amp;", ","")&amp;IF((COUNTIFS(TableBOM[Product ID],$D$9,TableBOM[Item ID],$A93)&gt;0)*($H$9&gt;0),$E$9&amp;", ","")&amp;IF((COUNTIFS(TableBOM[Product ID],$D$10,TableBOM[Item ID],$A93)&gt;0)*($H$10&gt;0),$E$10&amp;", ","")&amp;IF((COUNTIFS(TableBOM[Product ID],$D$11,TableBOM[Item ID],$A93)&gt;0)*($H$11&gt;0),$E$11&amp;", ","")&amp;IF((COUNTIFS(TableBOM[Product ID],$D$12,TableBOM[Item ID],$A93)&gt;0)*($H$12&gt;0),$E$12&amp;", ",""))-2),"")</f>
        <v/>
      </c>
      <c r="J93" s="64">
        <f>IF(E93=0,"Not needed",IF(G93&lt;0,"SHORTAGE",IF(G93&lt;F93*0.1,"LOW","OK")))</f>
        <v/>
      </c>
      <c r="K93" s="64">
        <f>IF(B93&lt;&gt;"CAP","",SUMPRODUCT((ISNUMBER(SEARCH("Cap Not Available",'FG Stock'!$H$4:$H$100)))*('FG Stock'!$I$4:$I$100=A93)*'FG Stock'!$F$4:$F$100))</f>
        <v/>
      </c>
      <c r="L93" s="64">
        <f>IF(E93=0,"",MAX(0,E93+IFERROR(K93*1,0)-F93))</f>
        <v/>
      </c>
    </row>
    <row r="94" hidden="1" ht="15" customHeight="1" s="249">
      <c r="A94" s="55" t="n">
        <v>4248</v>
      </c>
      <c r="B94" s="55" t="inlineStr">
        <is>
          <t>GRANULES</t>
        </is>
      </c>
      <c r="C94" s="55" t="inlineStr">
        <is>
          <t>LOW DENSITY POLY ETHYLENE ( LDPE 4025AS AB247Y01)</t>
        </is>
      </c>
      <c r="D94" s="55" t="inlineStr">
        <is>
          <t>kg</t>
        </is>
      </c>
      <c r="E94" s="61">
        <f>SUMPRODUCT((TableBOM[Item ID]=A94)*TableBOM[Per 1000 Units]*(1+TableBOM[Scrap %])*SUMIF($D$3:$D$12,TableBOM[Product ID],$H$3:$H$12)/1000)</f>
        <v/>
      </c>
      <c r="F94" s="61">
        <f>IFERROR(INDEX(TableInventory[Store Balance],MATCH(A94,TableInventory[Item ID],0)),0)+IFERROR(INDEX(TableInventory[Work In Process],MATCH(A94,TableInventory[Item ID],0)),0)</f>
        <v/>
      </c>
      <c r="G94" s="61">
        <f>F94-E94</f>
        <v/>
      </c>
      <c r="H94" s="62">
        <f>IF(LEN(IF((COUNTIFS(TableBOM[Product ID],$D$3,TableBOM[Item ID],$A94)&gt;0)*($H$3&gt;0),$C$3&amp;", ","")&amp;IF((COUNTIFS(TableBOM[Product ID],$D$4,TableBOM[Item ID],$A94)&gt;0)*($H$4&gt;0),$C$4&amp;", ","")&amp;IF((COUNTIFS(TableBOM[Product ID],$D$5,TableBOM[Item ID],$A94)&gt;0)*($H$5&gt;0),$C$5&amp;", ","")&amp;IF((COUNTIFS(TableBOM[Product ID],$D$6,TableBOM[Item ID],$A94)&gt;0)*($H$6&gt;0),$C$6&amp;", ","")&amp;IF((COUNTIFS(TableBOM[Product ID],$D$7,TableBOM[Item ID],$A94)&gt;0)*($H$7&gt;0),$C$7&amp;", ","")&amp;IF((COUNTIFS(TableBOM[Product ID],$D$8,TableBOM[Item ID],$A94)&gt;0)*($H$8&gt;0),$C$8&amp;", ","")&amp;IF((COUNTIFS(TableBOM[Product ID],$D$9,TableBOM[Item ID],$A94)&gt;0)*($H$9&gt;0),$C$9&amp;", ","")&amp;IF((COUNTIFS(TableBOM[Product ID],$D$10,TableBOM[Item ID],$A94)&gt;0)*($H$10&gt;0),$C$10&amp;", ","")&amp;IF((COUNTIFS(TableBOM[Product ID],$D$11,TableBOM[Item ID],$A94)&gt;0)*($H$11&gt;0),$C$11&amp;", ","")&amp;IF((COUNTIFS(TableBOM[Product ID],$D$12,TableBOM[Item ID],$A94)&gt;0)*($H$12&gt;0),$C$12&amp;", ",""))&gt;1,LEFT(IF((COUNTIFS(TableBOM[Product ID],$D$3,TableBOM[Item ID],$A94)&gt;0)*($H$3&gt;0),$C$3&amp;", ","")&amp;IF((COUNTIFS(TableBOM[Product ID],$D$4,TableBOM[Item ID],$A94)&gt;0)*($H$4&gt;0),$C$4&amp;", ","")&amp;IF((COUNTIFS(TableBOM[Product ID],$D$5,TableBOM[Item ID],$A94)&gt;0)*($H$5&gt;0),$C$5&amp;", ","")&amp;IF((COUNTIFS(TableBOM[Product ID],$D$6,TableBOM[Item ID],$A94)&gt;0)*($H$6&gt;0),$C$6&amp;", ","")&amp;IF((COUNTIFS(TableBOM[Product ID],$D$7,TableBOM[Item ID],$A94)&gt;0)*($H$7&gt;0),$C$7&amp;", ","")&amp;IF((COUNTIFS(TableBOM[Product ID],$D$8,TableBOM[Item ID],$A94)&gt;0)*($H$8&gt;0),$C$8&amp;", ","")&amp;IF((COUNTIFS(TableBOM[Product ID],$D$9,TableBOM[Item ID],$A94)&gt;0)*($H$9&gt;0),$C$9&amp;", ","")&amp;IF((COUNTIFS(TableBOM[Product ID],$D$10,TableBOM[Item ID],$A94)&gt;0)*($H$10&gt;0),$C$10&amp;", ","")&amp;IF((COUNTIFS(TableBOM[Product ID],$D$11,TableBOM[Item ID],$A94)&gt;0)*($H$11&gt;0),$C$11&amp;", ","")&amp;IF((COUNTIFS(TableBOM[Product ID],$D$12,TableBOM[Item ID],$A94)&gt;0)*($H$12&gt;0),$C$12&amp;", ",""),LEN(IF((COUNTIFS(TableBOM[Product ID],$D$3,TableBOM[Item ID],$A94)&gt;0)*($H$3&gt;0),$C$3&amp;", ","")&amp;IF((COUNTIFS(TableBOM[Product ID],$D$4,TableBOM[Item ID],$A94)&gt;0)*($H$4&gt;0),$C$4&amp;", ","")&amp;IF((COUNTIFS(TableBOM[Product ID],$D$5,TableBOM[Item ID],$A94)&gt;0)*($H$5&gt;0),$C$5&amp;", ","")&amp;IF((COUNTIFS(TableBOM[Product ID],$D$6,TableBOM[Item ID],$A94)&gt;0)*($H$6&gt;0),$C$6&amp;", ","")&amp;IF((COUNTIFS(TableBOM[Product ID],$D$7,TableBOM[Item ID],$A94)&gt;0)*($H$7&gt;0),$C$7&amp;", ","")&amp;IF((COUNTIFS(TableBOM[Product ID],$D$8,TableBOM[Item ID],$A94)&gt;0)*($H$8&gt;0),$C$8&amp;", ","")&amp;IF((COUNTIFS(TableBOM[Product ID],$D$9,TableBOM[Item ID],$A94)&gt;0)*($H$9&gt;0),$C$9&amp;", ","")&amp;IF((COUNTIFS(TableBOM[Product ID],$D$10,TableBOM[Item ID],$A94)&gt;0)*($H$10&gt;0),$C$10&amp;", ","")&amp;IF((COUNTIFS(TableBOM[Product ID],$D$11,TableBOM[Item ID],$A94)&gt;0)*($H$11&gt;0),$C$11&amp;", ","")&amp;IF((COUNTIFS(TableBOM[Product ID],$D$12,TableBOM[Item ID],$A94)&gt;0)*($H$12&gt;0),$C$12&amp;", ",""))-2),"")</f>
        <v/>
      </c>
      <c r="I94" s="63">
        <f>IF(LEN(IF((COUNTIFS(TableBOM[Product ID],$D$3,TableBOM[Item ID],$A94)&gt;0)*($H$3&gt;0),$E$3&amp;", ","")&amp;IF((COUNTIFS(TableBOM[Product ID],$D$4,TableBOM[Item ID],$A94)&gt;0)*($H$4&gt;0),$E$4&amp;", ","")&amp;IF((COUNTIFS(TableBOM[Product ID],$D$5,TableBOM[Item ID],$A94)&gt;0)*($H$5&gt;0),$E$5&amp;", ","")&amp;IF((COUNTIFS(TableBOM[Product ID],$D$6,TableBOM[Item ID],$A94)&gt;0)*($H$6&gt;0),$E$6&amp;", ","")&amp;IF((COUNTIFS(TableBOM[Product ID],$D$7,TableBOM[Item ID],$A94)&gt;0)*($H$7&gt;0),$E$7&amp;", ","")&amp;IF((COUNTIFS(TableBOM[Product ID],$D$8,TableBOM[Item ID],$A94)&gt;0)*($H$8&gt;0),$E$8&amp;", ","")&amp;IF((COUNTIFS(TableBOM[Product ID],$D$9,TableBOM[Item ID],$A94)&gt;0)*($H$9&gt;0),$E$9&amp;", ","")&amp;IF((COUNTIFS(TableBOM[Product ID],$D$10,TableBOM[Item ID],$A94)&gt;0)*($H$10&gt;0),$E$10&amp;", ","")&amp;IF((COUNTIFS(TableBOM[Product ID],$D$11,TableBOM[Item ID],$A94)&gt;0)*($H$11&gt;0),$E$11&amp;", ","")&amp;IF((COUNTIFS(TableBOM[Product ID],$D$12,TableBOM[Item ID],$A94)&gt;0)*($H$12&gt;0),$E$12&amp;", ",""))&gt;1,LEFT(IF((COUNTIFS(TableBOM[Product ID],$D$3,TableBOM[Item ID],$A94)&gt;0)*($H$3&gt;0),$E$3&amp;", ","")&amp;IF((COUNTIFS(TableBOM[Product ID],$D$4,TableBOM[Item ID],$A94)&gt;0)*($H$4&gt;0),$E$4&amp;", ","")&amp;IF((COUNTIFS(TableBOM[Product ID],$D$5,TableBOM[Item ID],$A94)&gt;0)*($H$5&gt;0),$E$5&amp;", ","")&amp;IF((COUNTIFS(TableBOM[Product ID],$D$6,TableBOM[Item ID],$A94)&gt;0)*($H$6&gt;0),$E$6&amp;", ","")&amp;IF((COUNTIFS(TableBOM[Product ID],$D$7,TableBOM[Item ID],$A94)&gt;0)*($H$7&gt;0),$E$7&amp;", ","")&amp;IF((COUNTIFS(TableBOM[Product ID],$D$8,TableBOM[Item ID],$A94)&gt;0)*($H$8&gt;0),$E$8&amp;", ","")&amp;IF((COUNTIFS(TableBOM[Product ID],$D$9,TableBOM[Item ID],$A94)&gt;0)*($H$9&gt;0),$E$9&amp;", ","")&amp;IF((COUNTIFS(TableBOM[Product ID],$D$10,TableBOM[Item ID],$A94)&gt;0)*($H$10&gt;0),$E$10&amp;", ","")&amp;IF((COUNTIFS(TableBOM[Product ID],$D$11,TableBOM[Item ID],$A94)&gt;0)*($H$11&gt;0),$E$11&amp;", ","")&amp;IF((COUNTIFS(TableBOM[Product ID],$D$12,TableBOM[Item ID],$A94)&gt;0)*($H$12&gt;0),$E$12&amp;", ",""),LEN(IF((COUNTIFS(TableBOM[Product ID],$D$3,TableBOM[Item ID],$A94)&gt;0)*($H$3&gt;0),$E$3&amp;", ","")&amp;IF((COUNTIFS(TableBOM[Product ID],$D$4,TableBOM[Item ID],$A94)&gt;0)*($H$4&gt;0),$E$4&amp;", ","")&amp;IF((COUNTIFS(TableBOM[Product ID],$D$5,TableBOM[Item ID],$A94)&gt;0)*($H$5&gt;0),$E$5&amp;", ","")&amp;IF((COUNTIFS(TableBOM[Product ID],$D$6,TableBOM[Item ID],$A94)&gt;0)*($H$6&gt;0),$E$6&amp;", ","")&amp;IF((COUNTIFS(TableBOM[Product ID],$D$7,TableBOM[Item ID],$A94)&gt;0)*($H$7&gt;0),$E$7&amp;", ","")&amp;IF((COUNTIFS(TableBOM[Product ID],$D$8,TableBOM[Item ID],$A94)&gt;0)*($H$8&gt;0),$E$8&amp;", ","")&amp;IF((COUNTIFS(TableBOM[Product ID],$D$9,TableBOM[Item ID],$A94)&gt;0)*($H$9&gt;0),$E$9&amp;", ","")&amp;IF((COUNTIFS(TableBOM[Product ID],$D$10,TableBOM[Item ID],$A94)&gt;0)*($H$10&gt;0),$E$10&amp;", ","")&amp;IF((COUNTIFS(TableBOM[Product ID],$D$11,TableBOM[Item ID],$A94)&gt;0)*($H$11&gt;0),$E$11&amp;", ","")&amp;IF((COUNTIFS(TableBOM[Product ID],$D$12,TableBOM[Item ID],$A94)&gt;0)*($H$12&gt;0),$E$12&amp;", ",""))-2),"")</f>
        <v/>
      </c>
      <c r="J94" s="64">
        <f>IF(E94=0,"Not needed",IF(G94&lt;0,"SHORTAGE",IF(G94&lt;F94*0.1,"LOW","OK")))</f>
        <v/>
      </c>
      <c r="K94" s="64">
        <f>IF(B94&lt;&gt;"CAP","",SUMPRODUCT((ISNUMBER(SEARCH("Cap Not Available",'FG Stock'!$H$4:$H$100)))*('FG Stock'!$I$4:$I$100=A94)*'FG Stock'!$F$4:$F$100))</f>
        <v/>
      </c>
      <c r="L94" s="64">
        <f>IF(E94=0,"",MAX(0,E94+IFERROR(K94*1,0)-F94))</f>
        <v/>
      </c>
    </row>
    <row r="95" hidden="1" ht="15" customHeight="1" s="249">
      <c r="A95" s="55" t="n">
        <v>6042</v>
      </c>
      <c r="B95" s="55" t="inlineStr">
        <is>
          <t>GRANULES</t>
        </is>
      </c>
      <c r="C95" s="55" t="inlineStr">
        <is>
          <t>HDPE BLOW NATURAL ( MARLEX )</t>
        </is>
      </c>
      <c r="D95" s="55" t="inlineStr">
        <is>
          <t>kg</t>
        </is>
      </c>
      <c r="E95" s="61">
        <f>SUMPRODUCT((TableBOM[Item ID]=A95)*TableBOM[Per 1000 Units]*(1+TableBOM[Scrap %])*SUMIF($D$3:$D$12,TableBOM[Product ID],$H$3:$H$12)/1000)</f>
        <v/>
      </c>
      <c r="F95" s="61">
        <f>IFERROR(INDEX(TableInventory[Store Balance],MATCH(A95,TableInventory[Item ID],0)),0)+IFERROR(INDEX(TableInventory[Work In Process],MATCH(A95,TableInventory[Item ID],0)),0)</f>
        <v/>
      </c>
      <c r="G95" s="61">
        <f>F95-E95</f>
        <v/>
      </c>
      <c r="H95" s="62">
        <f>IF(LEN(IF((COUNTIFS(TableBOM[Product ID],$D$3,TableBOM[Item ID],$A95)&gt;0)*($H$3&gt;0),$C$3&amp;", ","")&amp;IF((COUNTIFS(TableBOM[Product ID],$D$4,TableBOM[Item ID],$A95)&gt;0)*($H$4&gt;0),$C$4&amp;", ","")&amp;IF((COUNTIFS(TableBOM[Product ID],$D$5,TableBOM[Item ID],$A95)&gt;0)*($H$5&gt;0),$C$5&amp;", ","")&amp;IF((COUNTIFS(TableBOM[Product ID],$D$6,TableBOM[Item ID],$A95)&gt;0)*($H$6&gt;0),$C$6&amp;", ","")&amp;IF((COUNTIFS(TableBOM[Product ID],$D$7,TableBOM[Item ID],$A95)&gt;0)*($H$7&gt;0),$C$7&amp;", ","")&amp;IF((COUNTIFS(TableBOM[Product ID],$D$8,TableBOM[Item ID],$A95)&gt;0)*($H$8&gt;0),$C$8&amp;", ","")&amp;IF((COUNTIFS(TableBOM[Product ID],$D$9,TableBOM[Item ID],$A95)&gt;0)*($H$9&gt;0),$C$9&amp;", ","")&amp;IF((COUNTIFS(TableBOM[Product ID],$D$10,TableBOM[Item ID],$A95)&gt;0)*($H$10&gt;0),$C$10&amp;", ","")&amp;IF((COUNTIFS(TableBOM[Product ID],$D$11,TableBOM[Item ID],$A95)&gt;0)*($H$11&gt;0),$C$11&amp;", ","")&amp;IF((COUNTIFS(TableBOM[Product ID],$D$12,TableBOM[Item ID],$A95)&gt;0)*($H$12&gt;0),$C$12&amp;", ",""))&gt;1,LEFT(IF((COUNTIFS(TableBOM[Product ID],$D$3,TableBOM[Item ID],$A95)&gt;0)*($H$3&gt;0),$C$3&amp;", ","")&amp;IF((COUNTIFS(TableBOM[Product ID],$D$4,TableBOM[Item ID],$A95)&gt;0)*($H$4&gt;0),$C$4&amp;", ","")&amp;IF((COUNTIFS(TableBOM[Product ID],$D$5,TableBOM[Item ID],$A95)&gt;0)*($H$5&gt;0),$C$5&amp;", ","")&amp;IF((COUNTIFS(TableBOM[Product ID],$D$6,TableBOM[Item ID],$A95)&gt;0)*($H$6&gt;0),$C$6&amp;", ","")&amp;IF((COUNTIFS(TableBOM[Product ID],$D$7,TableBOM[Item ID],$A95)&gt;0)*($H$7&gt;0),$C$7&amp;", ","")&amp;IF((COUNTIFS(TableBOM[Product ID],$D$8,TableBOM[Item ID],$A95)&gt;0)*($H$8&gt;0),$C$8&amp;", ","")&amp;IF((COUNTIFS(TableBOM[Product ID],$D$9,TableBOM[Item ID],$A95)&gt;0)*($H$9&gt;0),$C$9&amp;", ","")&amp;IF((COUNTIFS(TableBOM[Product ID],$D$10,TableBOM[Item ID],$A95)&gt;0)*($H$10&gt;0),$C$10&amp;", ","")&amp;IF((COUNTIFS(TableBOM[Product ID],$D$11,TableBOM[Item ID],$A95)&gt;0)*($H$11&gt;0),$C$11&amp;", ","")&amp;IF((COUNTIFS(TableBOM[Product ID],$D$12,TableBOM[Item ID],$A95)&gt;0)*($H$12&gt;0),$C$12&amp;", ",""),LEN(IF((COUNTIFS(TableBOM[Product ID],$D$3,TableBOM[Item ID],$A95)&gt;0)*($H$3&gt;0),$C$3&amp;", ","")&amp;IF((COUNTIFS(TableBOM[Product ID],$D$4,TableBOM[Item ID],$A95)&gt;0)*($H$4&gt;0),$C$4&amp;", ","")&amp;IF((COUNTIFS(TableBOM[Product ID],$D$5,TableBOM[Item ID],$A95)&gt;0)*($H$5&gt;0),$C$5&amp;", ","")&amp;IF((COUNTIFS(TableBOM[Product ID],$D$6,TableBOM[Item ID],$A95)&gt;0)*($H$6&gt;0),$C$6&amp;", ","")&amp;IF((COUNTIFS(TableBOM[Product ID],$D$7,TableBOM[Item ID],$A95)&gt;0)*($H$7&gt;0),$C$7&amp;", ","")&amp;IF((COUNTIFS(TableBOM[Product ID],$D$8,TableBOM[Item ID],$A95)&gt;0)*($H$8&gt;0),$C$8&amp;", ","")&amp;IF((COUNTIFS(TableBOM[Product ID],$D$9,TableBOM[Item ID],$A95)&gt;0)*($H$9&gt;0),$C$9&amp;", ","")&amp;IF((COUNTIFS(TableBOM[Product ID],$D$10,TableBOM[Item ID],$A95)&gt;0)*($H$10&gt;0),$C$10&amp;", ","")&amp;IF((COUNTIFS(TableBOM[Product ID],$D$11,TableBOM[Item ID],$A95)&gt;0)*($H$11&gt;0),$C$11&amp;", ","")&amp;IF((COUNTIFS(TableBOM[Product ID],$D$12,TableBOM[Item ID],$A95)&gt;0)*($H$12&gt;0),$C$12&amp;", ",""))-2),"")</f>
        <v/>
      </c>
      <c r="I95" s="63">
        <f>IF(LEN(IF((COUNTIFS(TableBOM[Product ID],$D$3,TableBOM[Item ID],$A95)&gt;0)*($H$3&gt;0),$E$3&amp;", ","")&amp;IF((COUNTIFS(TableBOM[Product ID],$D$4,TableBOM[Item ID],$A95)&gt;0)*($H$4&gt;0),$E$4&amp;", ","")&amp;IF((COUNTIFS(TableBOM[Product ID],$D$5,TableBOM[Item ID],$A95)&gt;0)*($H$5&gt;0),$E$5&amp;", ","")&amp;IF((COUNTIFS(TableBOM[Product ID],$D$6,TableBOM[Item ID],$A95)&gt;0)*($H$6&gt;0),$E$6&amp;", ","")&amp;IF((COUNTIFS(TableBOM[Product ID],$D$7,TableBOM[Item ID],$A95)&gt;0)*($H$7&gt;0),$E$7&amp;", ","")&amp;IF((COUNTIFS(TableBOM[Product ID],$D$8,TableBOM[Item ID],$A95)&gt;0)*($H$8&gt;0),$E$8&amp;", ","")&amp;IF((COUNTIFS(TableBOM[Product ID],$D$9,TableBOM[Item ID],$A95)&gt;0)*($H$9&gt;0),$E$9&amp;", ","")&amp;IF((COUNTIFS(TableBOM[Product ID],$D$10,TableBOM[Item ID],$A95)&gt;0)*($H$10&gt;0),$E$10&amp;", ","")&amp;IF((COUNTIFS(TableBOM[Product ID],$D$11,TableBOM[Item ID],$A95)&gt;0)*($H$11&gt;0),$E$11&amp;", ","")&amp;IF((COUNTIFS(TableBOM[Product ID],$D$12,TableBOM[Item ID],$A95)&gt;0)*($H$12&gt;0),$E$12&amp;", ",""))&gt;1,LEFT(IF((COUNTIFS(TableBOM[Product ID],$D$3,TableBOM[Item ID],$A95)&gt;0)*($H$3&gt;0),$E$3&amp;", ","")&amp;IF((COUNTIFS(TableBOM[Product ID],$D$4,TableBOM[Item ID],$A95)&gt;0)*($H$4&gt;0),$E$4&amp;", ","")&amp;IF((COUNTIFS(TableBOM[Product ID],$D$5,TableBOM[Item ID],$A95)&gt;0)*($H$5&gt;0),$E$5&amp;", ","")&amp;IF((COUNTIFS(TableBOM[Product ID],$D$6,TableBOM[Item ID],$A95)&gt;0)*($H$6&gt;0),$E$6&amp;", ","")&amp;IF((COUNTIFS(TableBOM[Product ID],$D$7,TableBOM[Item ID],$A95)&gt;0)*($H$7&gt;0),$E$7&amp;", ","")&amp;IF((COUNTIFS(TableBOM[Product ID],$D$8,TableBOM[Item ID],$A95)&gt;0)*($H$8&gt;0),$E$8&amp;", ","")&amp;IF((COUNTIFS(TableBOM[Product ID],$D$9,TableBOM[Item ID],$A95)&gt;0)*($H$9&gt;0),$E$9&amp;", ","")&amp;IF((COUNTIFS(TableBOM[Product ID],$D$10,TableBOM[Item ID],$A95)&gt;0)*($H$10&gt;0),$E$10&amp;", ","")&amp;IF((COUNTIFS(TableBOM[Product ID],$D$11,TableBOM[Item ID],$A95)&gt;0)*($H$11&gt;0),$E$11&amp;", ","")&amp;IF((COUNTIFS(TableBOM[Product ID],$D$12,TableBOM[Item ID],$A95)&gt;0)*($H$12&gt;0),$E$12&amp;", ",""),LEN(IF((COUNTIFS(TableBOM[Product ID],$D$3,TableBOM[Item ID],$A95)&gt;0)*($H$3&gt;0),$E$3&amp;", ","")&amp;IF((COUNTIFS(TableBOM[Product ID],$D$4,TableBOM[Item ID],$A95)&gt;0)*($H$4&gt;0),$E$4&amp;", ","")&amp;IF((COUNTIFS(TableBOM[Product ID],$D$5,TableBOM[Item ID],$A95)&gt;0)*($H$5&gt;0),$E$5&amp;", ","")&amp;IF((COUNTIFS(TableBOM[Product ID],$D$6,TableBOM[Item ID],$A95)&gt;0)*($H$6&gt;0),$E$6&amp;", ","")&amp;IF((COUNTIFS(TableBOM[Product ID],$D$7,TableBOM[Item ID],$A95)&gt;0)*($H$7&gt;0),$E$7&amp;", ","")&amp;IF((COUNTIFS(TableBOM[Product ID],$D$8,TableBOM[Item ID],$A95)&gt;0)*($H$8&gt;0),$E$8&amp;", ","")&amp;IF((COUNTIFS(TableBOM[Product ID],$D$9,TableBOM[Item ID],$A95)&gt;0)*($H$9&gt;0),$E$9&amp;", ","")&amp;IF((COUNTIFS(TableBOM[Product ID],$D$10,TableBOM[Item ID],$A95)&gt;0)*($H$10&gt;0),$E$10&amp;", ","")&amp;IF((COUNTIFS(TableBOM[Product ID],$D$11,TableBOM[Item ID],$A95)&gt;0)*($H$11&gt;0),$E$11&amp;", ","")&amp;IF((COUNTIFS(TableBOM[Product ID],$D$12,TableBOM[Item ID],$A95)&gt;0)*($H$12&gt;0),$E$12&amp;", ",""))-2),"")</f>
        <v/>
      </c>
      <c r="J95" s="64">
        <f>IF(E95=0,"Not needed",IF(G95&lt;0,"SHORTAGE",IF(G95&lt;F95*0.1,"LOW","OK")))</f>
        <v/>
      </c>
      <c r="K95" s="64">
        <f>IF(B95&lt;&gt;"CAP","",SUMPRODUCT((ISNUMBER(SEARCH("Cap Not Available",'FG Stock'!$H$4:$H$100)))*('FG Stock'!$I$4:$I$100=A95)*'FG Stock'!$F$4:$F$100))</f>
        <v/>
      </c>
      <c r="L95" s="64">
        <f>IF(E95=0,"",MAX(0,E95+IFERROR(K95*1,0)-F95))</f>
        <v/>
      </c>
    </row>
    <row r="96" hidden="1" ht="15" customHeight="1" s="249">
      <c r="A96" s="55" t="n">
        <v>2267</v>
      </c>
      <c r="B96" s="55" t="inlineStr">
        <is>
          <t>POLY BAG</t>
        </is>
      </c>
      <c r="C96" s="55" t="inlineStr">
        <is>
          <t>POLY BAG 20X30 (LDPE)</t>
        </is>
      </c>
      <c r="D96" s="55" t="inlineStr">
        <is>
          <t>PCS</t>
        </is>
      </c>
      <c r="E96" s="61">
        <f>SUMPRODUCT((TableBOM[Item ID]=A96)*TableBOM[Per 1000 Units]*(1+TableBOM[Scrap %])*SUMIF($D$3:$D$12,TableBOM[Product ID],$H$3:$H$12)/1000)</f>
        <v/>
      </c>
      <c r="F96" s="61">
        <f>IFERROR(INDEX(TableInventory[Store Balance],MATCH(A96,TableInventory[Item ID],0)),0)+IFERROR(INDEX(TableInventory[Work In Process],MATCH(A96,TableInventory[Item ID],0)),0)</f>
        <v/>
      </c>
      <c r="G96" s="61">
        <f>F96-E96</f>
        <v/>
      </c>
      <c r="H96" s="62">
        <f>IF(LEN(IF((COUNTIFS(TableBOM[Product ID],$D$3,TableBOM[Item ID],$A96)&gt;0)*($H$3&gt;0),$C$3&amp;", ","")&amp;IF((COUNTIFS(TableBOM[Product ID],$D$4,TableBOM[Item ID],$A96)&gt;0)*($H$4&gt;0),$C$4&amp;", ","")&amp;IF((COUNTIFS(TableBOM[Product ID],$D$5,TableBOM[Item ID],$A96)&gt;0)*($H$5&gt;0),$C$5&amp;", ","")&amp;IF((COUNTIFS(TableBOM[Product ID],$D$6,TableBOM[Item ID],$A96)&gt;0)*($H$6&gt;0),$C$6&amp;", ","")&amp;IF((COUNTIFS(TableBOM[Product ID],$D$7,TableBOM[Item ID],$A96)&gt;0)*($H$7&gt;0),$C$7&amp;", ","")&amp;IF((COUNTIFS(TableBOM[Product ID],$D$8,TableBOM[Item ID],$A96)&gt;0)*($H$8&gt;0),$C$8&amp;", ","")&amp;IF((COUNTIFS(TableBOM[Product ID],$D$9,TableBOM[Item ID],$A96)&gt;0)*($H$9&gt;0),$C$9&amp;", ","")&amp;IF((COUNTIFS(TableBOM[Product ID],$D$10,TableBOM[Item ID],$A96)&gt;0)*($H$10&gt;0),$C$10&amp;", ","")&amp;IF((COUNTIFS(TableBOM[Product ID],$D$11,TableBOM[Item ID],$A96)&gt;0)*($H$11&gt;0),$C$11&amp;", ","")&amp;IF((COUNTIFS(TableBOM[Product ID],$D$12,TableBOM[Item ID],$A96)&gt;0)*($H$12&gt;0),$C$12&amp;", ",""))&gt;1,LEFT(IF((COUNTIFS(TableBOM[Product ID],$D$3,TableBOM[Item ID],$A96)&gt;0)*($H$3&gt;0),$C$3&amp;", ","")&amp;IF((COUNTIFS(TableBOM[Product ID],$D$4,TableBOM[Item ID],$A96)&gt;0)*($H$4&gt;0),$C$4&amp;", ","")&amp;IF((COUNTIFS(TableBOM[Product ID],$D$5,TableBOM[Item ID],$A96)&gt;0)*($H$5&gt;0),$C$5&amp;", ","")&amp;IF((COUNTIFS(TableBOM[Product ID],$D$6,TableBOM[Item ID],$A96)&gt;0)*($H$6&gt;0),$C$6&amp;", ","")&amp;IF((COUNTIFS(TableBOM[Product ID],$D$7,TableBOM[Item ID],$A96)&gt;0)*($H$7&gt;0),$C$7&amp;", ","")&amp;IF((COUNTIFS(TableBOM[Product ID],$D$8,TableBOM[Item ID],$A96)&gt;0)*($H$8&gt;0),$C$8&amp;", ","")&amp;IF((COUNTIFS(TableBOM[Product ID],$D$9,TableBOM[Item ID],$A96)&gt;0)*($H$9&gt;0),$C$9&amp;", ","")&amp;IF((COUNTIFS(TableBOM[Product ID],$D$10,TableBOM[Item ID],$A96)&gt;0)*($H$10&gt;0),$C$10&amp;", ","")&amp;IF((COUNTIFS(TableBOM[Product ID],$D$11,TableBOM[Item ID],$A96)&gt;0)*($H$11&gt;0),$C$11&amp;", ","")&amp;IF((COUNTIFS(TableBOM[Product ID],$D$12,TableBOM[Item ID],$A96)&gt;0)*($H$12&gt;0),$C$12&amp;", ",""),LEN(IF((COUNTIFS(TableBOM[Product ID],$D$3,TableBOM[Item ID],$A96)&gt;0)*($H$3&gt;0),$C$3&amp;", ","")&amp;IF((COUNTIFS(TableBOM[Product ID],$D$4,TableBOM[Item ID],$A96)&gt;0)*($H$4&gt;0),$C$4&amp;", ","")&amp;IF((COUNTIFS(TableBOM[Product ID],$D$5,TableBOM[Item ID],$A96)&gt;0)*($H$5&gt;0),$C$5&amp;", ","")&amp;IF((COUNTIFS(TableBOM[Product ID],$D$6,TableBOM[Item ID],$A96)&gt;0)*($H$6&gt;0),$C$6&amp;", ","")&amp;IF((COUNTIFS(TableBOM[Product ID],$D$7,TableBOM[Item ID],$A96)&gt;0)*($H$7&gt;0),$C$7&amp;", ","")&amp;IF((COUNTIFS(TableBOM[Product ID],$D$8,TableBOM[Item ID],$A96)&gt;0)*($H$8&gt;0),$C$8&amp;", ","")&amp;IF((COUNTIFS(TableBOM[Product ID],$D$9,TableBOM[Item ID],$A96)&gt;0)*($H$9&gt;0),$C$9&amp;", ","")&amp;IF((COUNTIFS(TableBOM[Product ID],$D$10,TableBOM[Item ID],$A96)&gt;0)*($H$10&gt;0),$C$10&amp;", ","")&amp;IF((COUNTIFS(TableBOM[Product ID],$D$11,TableBOM[Item ID],$A96)&gt;0)*($H$11&gt;0),$C$11&amp;", ","")&amp;IF((COUNTIFS(TableBOM[Product ID],$D$12,TableBOM[Item ID],$A96)&gt;0)*($H$12&gt;0),$C$12&amp;", ",""))-2),"")</f>
        <v/>
      </c>
      <c r="I96" s="63">
        <f>IF(LEN(IF((COUNTIFS(TableBOM[Product ID],$D$3,TableBOM[Item ID],$A96)&gt;0)*($H$3&gt;0),$E$3&amp;", ","")&amp;IF((COUNTIFS(TableBOM[Product ID],$D$4,TableBOM[Item ID],$A96)&gt;0)*($H$4&gt;0),$E$4&amp;", ","")&amp;IF((COUNTIFS(TableBOM[Product ID],$D$5,TableBOM[Item ID],$A96)&gt;0)*($H$5&gt;0),$E$5&amp;", ","")&amp;IF((COUNTIFS(TableBOM[Product ID],$D$6,TableBOM[Item ID],$A96)&gt;0)*($H$6&gt;0),$E$6&amp;", ","")&amp;IF((COUNTIFS(TableBOM[Product ID],$D$7,TableBOM[Item ID],$A96)&gt;0)*($H$7&gt;0),$E$7&amp;", ","")&amp;IF((COUNTIFS(TableBOM[Product ID],$D$8,TableBOM[Item ID],$A96)&gt;0)*($H$8&gt;0),$E$8&amp;", ","")&amp;IF((COUNTIFS(TableBOM[Product ID],$D$9,TableBOM[Item ID],$A96)&gt;0)*($H$9&gt;0),$E$9&amp;", ","")&amp;IF((COUNTIFS(TableBOM[Product ID],$D$10,TableBOM[Item ID],$A96)&gt;0)*($H$10&gt;0),$E$10&amp;", ","")&amp;IF((COUNTIFS(TableBOM[Product ID],$D$11,TableBOM[Item ID],$A96)&gt;0)*($H$11&gt;0),$E$11&amp;", ","")&amp;IF((COUNTIFS(TableBOM[Product ID],$D$12,TableBOM[Item ID],$A96)&gt;0)*($H$12&gt;0),$E$12&amp;", ",""))&gt;1,LEFT(IF((COUNTIFS(TableBOM[Product ID],$D$3,TableBOM[Item ID],$A96)&gt;0)*($H$3&gt;0),$E$3&amp;", ","")&amp;IF((COUNTIFS(TableBOM[Product ID],$D$4,TableBOM[Item ID],$A96)&gt;0)*($H$4&gt;0),$E$4&amp;", ","")&amp;IF((COUNTIFS(TableBOM[Product ID],$D$5,TableBOM[Item ID],$A96)&gt;0)*($H$5&gt;0),$E$5&amp;", ","")&amp;IF((COUNTIFS(TableBOM[Product ID],$D$6,TableBOM[Item ID],$A96)&gt;0)*($H$6&gt;0),$E$6&amp;", ","")&amp;IF((COUNTIFS(TableBOM[Product ID],$D$7,TableBOM[Item ID],$A96)&gt;0)*($H$7&gt;0),$E$7&amp;", ","")&amp;IF((COUNTIFS(TableBOM[Product ID],$D$8,TableBOM[Item ID],$A96)&gt;0)*($H$8&gt;0),$E$8&amp;", ","")&amp;IF((COUNTIFS(TableBOM[Product ID],$D$9,TableBOM[Item ID],$A96)&gt;0)*($H$9&gt;0),$E$9&amp;", ","")&amp;IF((COUNTIFS(TableBOM[Product ID],$D$10,TableBOM[Item ID],$A96)&gt;0)*($H$10&gt;0),$E$10&amp;", ","")&amp;IF((COUNTIFS(TableBOM[Product ID],$D$11,TableBOM[Item ID],$A96)&gt;0)*($H$11&gt;0),$E$11&amp;", ","")&amp;IF((COUNTIFS(TableBOM[Product ID],$D$12,TableBOM[Item ID],$A96)&gt;0)*($H$12&gt;0),$E$12&amp;", ",""),LEN(IF((COUNTIFS(TableBOM[Product ID],$D$3,TableBOM[Item ID],$A96)&gt;0)*($H$3&gt;0),$E$3&amp;", ","")&amp;IF((COUNTIFS(TableBOM[Product ID],$D$4,TableBOM[Item ID],$A96)&gt;0)*($H$4&gt;0),$E$4&amp;", ","")&amp;IF((COUNTIFS(TableBOM[Product ID],$D$5,TableBOM[Item ID],$A96)&gt;0)*($H$5&gt;0),$E$5&amp;", ","")&amp;IF((COUNTIFS(TableBOM[Product ID],$D$6,TableBOM[Item ID],$A96)&gt;0)*($H$6&gt;0),$E$6&amp;", ","")&amp;IF((COUNTIFS(TableBOM[Product ID],$D$7,TableBOM[Item ID],$A96)&gt;0)*($H$7&gt;0),$E$7&amp;", ","")&amp;IF((COUNTIFS(TableBOM[Product ID],$D$8,TableBOM[Item ID],$A96)&gt;0)*($H$8&gt;0),$E$8&amp;", ","")&amp;IF((COUNTIFS(TableBOM[Product ID],$D$9,TableBOM[Item ID],$A96)&gt;0)*($H$9&gt;0),$E$9&amp;", ","")&amp;IF((COUNTIFS(TableBOM[Product ID],$D$10,TableBOM[Item ID],$A96)&gt;0)*($H$10&gt;0),$E$10&amp;", ","")&amp;IF((COUNTIFS(TableBOM[Product ID],$D$11,TableBOM[Item ID],$A96)&gt;0)*($H$11&gt;0),$E$11&amp;", ","")&amp;IF((COUNTIFS(TableBOM[Product ID],$D$12,TableBOM[Item ID],$A96)&gt;0)*($H$12&gt;0),$E$12&amp;", ",""))-2),"")</f>
        <v/>
      </c>
      <c r="J96" s="64">
        <f>IF(E96=0,"Not needed",IF(G96&lt;0,"SHORTAGE",IF(G96&lt;F96*0.1,"LOW","OK")))</f>
        <v/>
      </c>
      <c r="K96" s="64">
        <f>IF(B96&lt;&gt;"CAP","",SUMPRODUCT((ISNUMBER(SEARCH("Cap Not Available",'FG Stock'!$H$4:$H$100)))*('FG Stock'!$I$4:$I$100=A96)*'FG Stock'!$F$4:$F$100))</f>
        <v/>
      </c>
      <c r="L96" s="64">
        <f>IF(E96=0,"",MAX(0,E96+IFERROR(K96*1,0)-F96))</f>
        <v/>
      </c>
    </row>
    <row r="97" hidden="1" ht="15" customHeight="1" s="249">
      <c r="A97" s="55" t="n">
        <v>3006</v>
      </c>
      <c r="B97" s="55" t="inlineStr">
        <is>
          <t>POLY BAG</t>
        </is>
      </c>
      <c r="C97" s="55" t="inlineStr">
        <is>
          <t>POLY BAG 24X36 (LDPE)</t>
        </is>
      </c>
      <c r="D97" s="55" t="inlineStr">
        <is>
          <t>PCS</t>
        </is>
      </c>
      <c r="E97" s="61">
        <f>SUMPRODUCT((TableBOM[Item ID]=A97)*TableBOM[Per 1000 Units]*(1+TableBOM[Scrap %])*SUMIF($D$3:$D$12,TableBOM[Product ID],$H$3:$H$12)/1000)</f>
        <v/>
      </c>
      <c r="F97" s="61">
        <f>IFERROR(INDEX(TableInventory[Store Balance],MATCH(A97,TableInventory[Item ID],0)),0)+IFERROR(INDEX(TableInventory[Work In Process],MATCH(A97,TableInventory[Item ID],0)),0)</f>
        <v/>
      </c>
      <c r="G97" s="61">
        <f>F97-E97</f>
        <v/>
      </c>
      <c r="H97" s="62">
        <f>IF(LEN(IF((COUNTIFS(TableBOM[Product ID],$D$3,TableBOM[Item ID],$A97)&gt;0)*($H$3&gt;0),$C$3&amp;", ","")&amp;IF((COUNTIFS(TableBOM[Product ID],$D$4,TableBOM[Item ID],$A97)&gt;0)*($H$4&gt;0),$C$4&amp;", ","")&amp;IF((COUNTIFS(TableBOM[Product ID],$D$5,TableBOM[Item ID],$A97)&gt;0)*($H$5&gt;0),$C$5&amp;", ","")&amp;IF((COUNTIFS(TableBOM[Product ID],$D$6,TableBOM[Item ID],$A97)&gt;0)*($H$6&gt;0),$C$6&amp;", ","")&amp;IF((COUNTIFS(TableBOM[Product ID],$D$7,TableBOM[Item ID],$A97)&gt;0)*($H$7&gt;0),$C$7&amp;", ","")&amp;IF((COUNTIFS(TableBOM[Product ID],$D$8,TableBOM[Item ID],$A97)&gt;0)*($H$8&gt;0),$C$8&amp;", ","")&amp;IF((COUNTIFS(TableBOM[Product ID],$D$9,TableBOM[Item ID],$A97)&gt;0)*($H$9&gt;0),$C$9&amp;", ","")&amp;IF((COUNTIFS(TableBOM[Product ID],$D$10,TableBOM[Item ID],$A97)&gt;0)*($H$10&gt;0),$C$10&amp;", ","")&amp;IF((COUNTIFS(TableBOM[Product ID],$D$11,TableBOM[Item ID],$A97)&gt;0)*($H$11&gt;0),$C$11&amp;", ","")&amp;IF((COUNTIFS(TableBOM[Product ID],$D$12,TableBOM[Item ID],$A97)&gt;0)*($H$12&gt;0),$C$12&amp;", ",""))&gt;1,LEFT(IF((COUNTIFS(TableBOM[Product ID],$D$3,TableBOM[Item ID],$A97)&gt;0)*($H$3&gt;0),$C$3&amp;", ","")&amp;IF((COUNTIFS(TableBOM[Product ID],$D$4,TableBOM[Item ID],$A97)&gt;0)*($H$4&gt;0),$C$4&amp;", ","")&amp;IF((COUNTIFS(TableBOM[Product ID],$D$5,TableBOM[Item ID],$A97)&gt;0)*($H$5&gt;0),$C$5&amp;", ","")&amp;IF((COUNTIFS(TableBOM[Product ID],$D$6,TableBOM[Item ID],$A97)&gt;0)*($H$6&gt;0),$C$6&amp;", ","")&amp;IF((COUNTIFS(TableBOM[Product ID],$D$7,TableBOM[Item ID],$A97)&gt;0)*($H$7&gt;0),$C$7&amp;", ","")&amp;IF((COUNTIFS(TableBOM[Product ID],$D$8,TableBOM[Item ID],$A97)&gt;0)*($H$8&gt;0),$C$8&amp;", ","")&amp;IF((COUNTIFS(TableBOM[Product ID],$D$9,TableBOM[Item ID],$A97)&gt;0)*($H$9&gt;0),$C$9&amp;", ","")&amp;IF((COUNTIFS(TableBOM[Product ID],$D$10,TableBOM[Item ID],$A97)&gt;0)*($H$10&gt;0),$C$10&amp;", ","")&amp;IF((COUNTIFS(TableBOM[Product ID],$D$11,TableBOM[Item ID],$A97)&gt;0)*($H$11&gt;0),$C$11&amp;", ","")&amp;IF((COUNTIFS(TableBOM[Product ID],$D$12,TableBOM[Item ID],$A97)&gt;0)*($H$12&gt;0),$C$12&amp;", ",""),LEN(IF((COUNTIFS(TableBOM[Product ID],$D$3,TableBOM[Item ID],$A97)&gt;0)*($H$3&gt;0),$C$3&amp;", ","")&amp;IF((COUNTIFS(TableBOM[Product ID],$D$4,TableBOM[Item ID],$A97)&gt;0)*($H$4&gt;0),$C$4&amp;", ","")&amp;IF((COUNTIFS(TableBOM[Product ID],$D$5,TableBOM[Item ID],$A97)&gt;0)*($H$5&gt;0),$C$5&amp;", ","")&amp;IF((COUNTIFS(TableBOM[Product ID],$D$6,TableBOM[Item ID],$A97)&gt;0)*($H$6&gt;0),$C$6&amp;", ","")&amp;IF((COUNTIFS(TableBOM[Product ID],$D$7,TableBOM[Item ID],$A97)&gt;0)*($H$7&gt;0),$C$7&amp;", ","")&amp;IF((COUNTIFS(TableBOM[Product ID],$D$8,TableBOM[Item ID],$A97)&gt;0)*($H$8&gt;0),$C$8&amp;", ","")&amp;IF((COUNTIFS(TableBOM[Product ID],$D$9,TableBOM[Item ID],$A97)&gt;0)*($H$9&gt;0),$C$9&amp;", ","")&amp;IF((COUNTIFS(TableBOM[Product ID],$D$10,TableBOM[Item ID],$A97)&gt;0)*($H$10&gt;0),$C$10&amp;", ","")&amp;IF((COUNTIFS(TableBOM[Product ID],$D$11,TableBOM[Item ID],$A97)&gt;0)*($H$11&gt;0),$C$11&amp;", ","")&amp;IF((COUNTIFS(TableBOM[Product ID],$D$12,TableBOM[Item ID],$A97)&gt;0)*($H$12&gt;0),$C$12&amp;", ",""))-2),"")</f>
        <v/>
      </c>
      <c r="I97" s="63">
        <f>IF(LEN(IF((COUNTIFS(TableBOM[Product ID],$D$3,TableBOM[Item ID],$A97)&gt;0)*($H$3&gt;0),$E$3&amp;", ","")&amp;IF((COUNTIFS(TableBOM[Product ID],$D$4,TableBOM[Item ID],$A97)&gt;0)*($H$4&gt;0),$E$4&amp;", ","")&amp;IF((COUNTIFS(TableBOM[Product ID],$D$5,TableBOM[Item ID],$A97)&gt;0)*($H$5&gt;0),$E$5&amp;", ","")&amp;IF((COUNTIFS(TableBOM[Product ID],$D$6,TableBOM[Item ID],$A97)&gt;0)*($H$6&gt;0),$E$6&amp;", ","")&amp;IF((COUNTIFS(TableBOM[Product ID],$D$7,TableBOM[Item ID],$A97)&gt;0)*($H$7&gt;0),$E$7&amp;", ","")&amp;IF((COUNTIFS(TableBOM[Product ID],$D$8,TableBOM[Item ID],$A97)&gt;0)*($H$8&gt;0),$E$8&amp;", ","")&amp;IF((COUNTIFS(TableBOM[Product ID],$D$9,TableBOM[Item ID],$A97)&gt;0)*($H$9&gt;0),$E$9&amp;", ","")&amp;IF((COUNTIFS(TableBOM[Product ID],$D$10,TableBOM[Item ID],$A97)&gt;0)*($H$10&gt;0),$E$10&amp;", ","")&amp;IF((COUNTIFS(TableBOM[Product ID],$D$11,TableBOM[Item ID],$A97)&gt;0)*($H$11&gt;0),$E$11&amp;", ","")&amp;IF((COUNTIFS(TableBOM[Product ID],$D$12,TableBOM[Item ID],$A97)&gt;0)*($H$12&gt;0),$E$12&amp;", ",""))&gt;1,LEFT(IF((COUNTIFS(TableBOM[Product ID],$D$3,TableBOM[Item ID],$A97)&gt;0)*($H$3&gt;0),$E$3&amp;", ","")&amp;IF((COUNTIFS(TableBOM[Product ID],$D$4,TableBOM[Item ID],$A97)&gt;0)*($H$4&gt;0),$E$4&amp;", ","")&amp;IF((COUNTIFS(TableBOM[Product ID],$D$5,TableBOM[Item ID],$A97)&gt;0)*($H$5&gt;0),$E$5&amp;", ","")&amp;IF((COUNTIFS(TableBOM[Product ID],$D$6,TableBOM[Item ID],$A97)&gt;0)*($H$6&gt;0),$E$6&amp;", ","")&amp;IF((COUNTIFS(TableBOM[Product ID],$D$7,TableBOM[Item ID],$A97)&gt;0)*($H$7&gt;0),$E$7&amp;", ","")&amp;IF((COUNTIFS(TableBOM[Product ID],$D$8,TableBOM[Item ID],$A97)&gt;0)*($H$8&gt;0),$E$8&amp;", ","")&amp;IF((COUNTIFS(TableBOM[Product ID],$D$9,TableBOM[Item ID],$A97)&gt;0)*($H$9&gt;0),$E$9&amp;", ","")&amp;IF((COUNTIFS(TableBOM[Product ID],$D$10,TableBOM[Item ID],$A97)&gt;0)*($H$10&gt;0),$E$10&amp;", ","")&amp;IF((COUNTIFS(TableBOM[Product ID],$D$11,TableBOM[Item ID],$A97)&gt;0)*($H$11&gt;0),$E$11&amp;", ","")&amp;IF((COUNTIFS(TableBOM[Product ID],$D$12,TableBOM[Item ID],$A97)&gt;0)*($H$12&gt;0),$E$12&amp;", ",""),LEN(IF((COUNTIFS(TableBOM[Product ID],$D$3,TableBOM[Item ID],$A97)&gt;0)*($H$3&gt;0),$E$3&amp;", ","")&amp;IF((COUNTIFS(TableBOM[Product ID],$D$4,TableBOM[Item ID],$A97)&gt;0)*($H$4&gt;0),$E$4&amp;", ","")&amp;IF((COUNTIFS(TableBOM[Product ID],$D$5,TableBOM[Item ID],$A97)&gt;0)*($H$5&gt;0),$E$5&amp;", ","")&amp;IF((COUNTIFS(TableBOM[Product ID],$D$6,TableBOM[Item ID],$A97)&gt;0)*($H$6&gt;0),$E$6&amp;", ","")&amp;IF((COUNTIFS(TableBOM[Product ID],$D$7,TableBOM[Item ID],$A97)&gt;0)*($H$7&gt;0),$E$7&amp;", ","")&amp;IF((COUNTIFS(TableBOM[Product ID],$D$8,TableBOM[Item ID],$A97)&gt;0)*($H$8&gt;0),$E$8&amp;", ","")&amp;IF((COUNTIFS(TableBOM[Product ID],$D$9,TableBOM[Item ID],$A97)&gt;0)*($H$9&gt;0),$E$9&amp;", ","")&amp;IF((COUNTIFS(TableBOM[Product ID],$D$10,TableBOM[Item ID],$A97)&gt;0)*($H$10&gt;0),$E$10&amp;", ","")&amp;IF((COUNTIFS(TableBOM[Product ID],$D$11,TableBOM[Item ID],$A97)&gt;0)*($H$11&gt;0),$E$11&amp;", ","")&amp;IF((COUNTIFS(TableBOM[Product ID],$D$12,TableBOM[Item ID],$A97)&gt;0)*($H$12&gt;0),$E$12&amp;", ",""))-2),"")</f>
        <v/>
      </c>
      <c r="J97" s="64">
        <f>IF(E97=0,"Not needed",IF(G97&lt;0,"SHORTAGE",IF(G97&lt;F97*0.1,"LOW","OK")))</f>
        <v/>
      </c>
      <c r="K97" s="64">
        <f>IF(B97&lt;&gt;"CAP","",SUMPRODUCT((ISNUMBER(SEARCH("Cap Not Available",'FG Stock'!$H$4:$H$100)))*('FG Stock'!$I$4:$I$100=A97)*'FG Stock'!$F$4:$F$100))</f>
        <v/>
      </c>
      <c r="L97" s="64">
        <f>IF(E97=0,"",MAX(0,E97+IFERROR(K97*1,0)-F97))</f>
        <v/>
      </c>
    </row>
    <row r="98" hidden="1" ht="15" customHeight="1" s="249">
      <c r="A98" s="55" t="n">
        <v>3043</v>
      </c>
      <c r="B98" s="55" t="inlineStr">
        <is>
          <t>PACKING</t>
        </is>
      </c>
      <c r="C98" s="55" t="inlineStr">
        <is>
          <t>PLASTIC DOORI</t>
        </is>
      </c>
      <c r="D98" s="55" t="inlineStr">
        <is>
          <t>ROLL</t>
        </is>
      </c>
      <c r="E98" s="61">
        <f>SUMPRODUCT((TableBOM[Item ID]=A98)*TableBOM[Per 1000 Units]*(1+TableBOM[Scrap %])*SUMIF($D$3:$D$12,TableBOM[Product ID],$H$3:$H$12)/1000)</f>
        <v/>
      </c>
      <c r="F98" s="61">
        <f>IFERROR(INDEX(TableInventory[Store Balance],MATCH(A98,TableInventory[Item ID],0)),0)+IFERROR(INDEX(TableInventory[Work In Process],MATCH(A98,TableInventory[Item ID],0)),0)</f>
        <v/>
      </c>
      <c r="G98" s="61">
        <f>F98-E98</f>
        <v/>
      </c>
      <c r="H98" s="62">
        <f>IF(LEN(IF((COUNTIFS(TableBOM[Product ID],$D$3,TableBOM[Item ID],$A98)&gt;0)*($H$3&gt;0),$C$3&amp;", ","")&amp;IF((COUNTIFS(TableBOM[Product ID],$D$4,TableBOM[Item ID],$A98)&gt;0)*($H$4&gt;0),$C$4&amp;", ","")&amp;IF((COUNTIFS(TableBOM[Product ID],$D$5,TableBOM[Item ID],$A98)&gt;0)*($H$5&gt;0),$C$5&amp;", ","")&amp;IF((COUNTIFS(TableBOM[Product ID],$D$6,TableBOM[Item ID],$A98)&gt;0)*($H$6&gt;0),$C$6&amp;", ","")&amp;IF((COUNTIFS(TableBOM[Product ID],$D$7,TableBOM[Item ID],$A98)&gt;0)*($H$7&gt;0),$C$7&amp;", ","")&amp;IF((COUNTIFS(TableBOM[Product ID],$D$8,TableBOM[Item ID],$A98)&gt;0)*($H$8&gt;0),$C$8&amp;", ","")&amp;IF((COUNTIFS(TableBOM[Product ID],$D$9,TableBOM[Item ID],$A98)&gt;0)*($H$9&gt;0),$C$9&amp;", ","")&amp;IF((COUNTIFS(TableBOM[Product ID],$D$10,TableBOM[Item ID],$A98)&gt;0)*($H$10&gt;0),$C$10&amp;", ","")&amp;IF((COUNTIFS(TableBOM[Product ID],$D$11,TableBOM[Item ID],$A98)&gt;0)*($H$11&gt;0),$C$11&amp;", ","")&amp;IF((COUNTIFS(TableBOM[Product ID],$D$12,TableBOM[Item ID],$A98)&gt;0)*($H$12&gt;0),$C$12&amp;", ",""))&gt;1,LEFT(IF((COUNTIFS(TableBOM[Product ID],$D$3,TableBOM[Item ID],$A98)&gt;0)*($H$3&gt;0),$C$3&amp;", ","")&amp;IF((COUNTIFS(TableBOM[Product ID],$D$4,TableBOM[Item ID],$A98)&gt;0)*($H$4&gt;0),$C$4&amp;", ","")&amp;IF((COUNTIFS(TableBOM[Product ID],$D$5,TableBOM[Item ID],$A98)&gt;0)*($H$5&gt;0),$C$5&amp;", ","")&amp;IF((COUNTIFS(TableBOM[Product ID],$D$6,TableBOM[Item ID],$A98)&gt;0)*($H$6&gt;0),$C$6&amp;", ","")&amp;IF((COUNTIFS(TableBOM[Product ID],$D$7,TableBOM[Item ID],$A98)&gt;0)*($H$7&gt;0),$C$7&amp;", ","")&amp;IF((COUNTIFS(TableBOM[Product ID],$D$8,TableBOM[Item ID],$A98)&gt;0)*($H$8&gt;0),$C$8&amp;", ","")&amp;IF((COUNTIFS(TableBOM[Product ID],$D$9,TableBOM[Item ID],$A98)&gt;0)*($H$9&gt;0),$C$9&amp;", ","")&amp;IF((COUNTIFS(TableBOM[Product ID],$D$10,TableBOM[Item ID],$A98)&gt;0)*($H$10&gt;0),$C$10&amp;", ","")&amp;IF((COUNTIFS(TableBOM[Product ID],$D$11,TableBOM[Item ID],$A98)&gt;0)*($H$11&gt;0),$C$11&amp;", ","")&amp;IF((COUNTIFS(TableBOM[Product ID],$D$12,TableBOM[Item ID],$A98)&gt;0)*($H$12&gt;0),$C$12&amp;", ",""),LEN(IF((COUNTIFS(TableBOM[Product ID],$D$3,TableBOM[Item ID],$A98)&gt;0)*($H$3&gt;0),$C$3&amp;", ","")&amp;IF((COUNTIFS(TableBOM[Product ID],$D$4,TableBOM[Item ID],$A98)&gt;0)*($H$4&gt;0),$C$4&amp;", ","")&amp;IF((COUNTIFS(TableBOM[Product ID],$D$5,TableBOM[Item ID],$A98)&gt;0)*($H$5&gt;0),$C$5&amp;", ","")&amp;IF((COUNTIFS(TableBOM[Product ID],$D$6,TableBOM[Item ID],$A98)&gt;0)*($H$6&gt;0),$C$6&amp;", ","")&amp;IF((COUNTIFS(TableBOM[Product ID],$D$7,TableBOM[Item ID],$A98)&gt;0)*($H$7&gt;0),$C$7&amp;", ","")&amp;IF((COUNTIFS(TableBOM[Product ID],$D$8,TableBOM[Item ID],$A98)&gt;0)*($H$8&gt;0),$C$8&amp;", ","")&amp;IF((COUNTIFS(TableBOM[Product ID],$D$9,TableBOM[Item ID],$A98)&gt;0)*($H$9&gt;0),$C$9&amp;", ","")&amp;IF((COUNTIFS(TableBOM[Product ID],$D$10,TableBOM[Item ID],$A98)&gt;0)*($H$10&gt;0),$C$10&amp;", ","")&amp;IF((COUNTIFS(TableBOM[Product ID],$D$11,TableBOM[Item ID],$A98)&gt;0)*($H$11&gt;0),$C$11&amp;", ","")&amp;IF((COUNTIFS(TableBOM[Product ID],$D$12,TableBOM[Item ID],$A98)&gt;0)*($H$12&gt;0),$C$12&amp;", ",""))-2),"")</f>
        <v/>
      </c>
      <c r="I98" s="63">
        <f>IF(LEN(IF((COUNTIFS(TableBOM[Product ID],$D$3,TableBOM[Item ID],$A98)&gt;0)*($H$3&gt;0),$E$3&amp;", ","")&amp;IF((COUNTIFS(TableBOM[Product ID],$D$4,TableBOM[Item ID],$A98)&gt;0)*($H$4&gt;0),$E$4&amp;", ","")&amp;IF((COUNTIFS(TableBOM[Product ID],$D$5,TableBOM[Item ID],$A98)&gt;0)*($H$5&gt;0),$E$5&amp;", ","")&amp;IF((COUNTIFS(TableBOM[Product ID],$D$6,TableBOM[Item ID],$A98)&gt;0)*($H$6&gt;0),$E$6&amp;", ","")&amp;IF((COUNTIFS(TableBOM[Product ID],$D$7,TableBOM[Item ID],$A98)&gt;0)*($H$7&gt;0),$E$7&amp;", ","")&amp;IF((COUNTIFS(TableBOM[Product ID],$D$8,TableBOM[Item ID],$A98)&gt;0)*($H$8&gt;0),$E$8&amp;", ","")&amp;IF((COUNTIFS(TableBOM[Product ID],$D$9,TableBOM[Item ID],$A98)&gt;0)*($H$9&gt;0),$E$9&amp;", ","")&amp;IF((COUNTIFS(TableBOM[Product ID],$D$10,TableBOM[Item ID],$A98)&gt;0)*($H$10&gt;0),$E$10&amp;", ","")&amp;IF((COUNTIFS(TableBOM[Product ID],$D$11,TableBOM[Item ID],$A98)&gt;0)*($H$11&gt;0),$E$11&amp;", ","")&amp;IF((COUNTIFS(TableBOM[Product ID],$D$12,TableBOM[Item ID],$A98)&gt;0)*($H$12&gt;0),$E$12&amp;", ",""))&gt;1,LEFT(IF((COUNTIFS(TableBOM[Product ID],$D$3,TableBOM[Item ID],$A98)&gt;0)*($H$3&gt;0),$E$3&amp;", ","")&amp;IF((COUNTIFS(TableBOM[Product ID],$D$4,TableBOM[Item ID],$A98)&gt;0)*($H$4&gt;0),$E$4&amp;", ","")&amp;IF((COUNTIFS(TableBOM[Product ID],$D$5,TableBOM[Item ID],$A98)&gt;0)*($H$5&gt;0),$E$5&amp;", ","")&amp;IF((COUNTIFS(TableBOM[Product ID],$D$6,TableBOM[Item ID],$A98)&gt;0)*($H$6&gt;0),$E$6&amp;", ","")&amp;IF((COUNTIFS(TableBOM[Product ID],$D$7,TableBOM[Item ID],$A98)&gt;0)*($H$7&gt;0),$E$7&amp;", ","")&amp;IF((COUNTIFS(TableBOM[Product ID],$D$8,TableBOM[Item ID],$A98)&gt;0)*($H$8&gt;0),$E$8&amp;", ","")&amp;IF((COUNTIFS(TableBOM[Product ID],$D$9,TableBOM[Item ID],$A98)&gt;0)*($H$9&gt;0),$E$9&amp;", ","")&amp;IF((COUNTIFS(TableBOM[Product ID],$D$10,TableBOM[Item ID],$A98)&gt;0)*($H$10&gt;0),$E$10&amp;", ","")&amp;IF((COUNTIFS(TableBOM[Product ID],$D$11,TableBOM[Item ID],$A98)&gt;0)*($H$11&gt;0),$E$11&amp;", ","")&amp;IF((COUNTIFS(TableBOM[Product ID],$D$12,TableBOM[Item ID],$A98)&gt;0)*($H$12&gt;0),$E$12&amp;", ",""),LEN(IF((COUNTIFS(TableBOM[Product ID],$D$3,TableBOM[Item ID],$A98)&gt;0)*($H$3&gt;0),$E$3&amp;", ","")&amp;IF((COUNTIFS(TableBOM[Product ID],$D$4,TableBOM[Item ID],$A98)&gt;0)*($H$4&gt;0),$E$4&amp;", ","")&amp;IF((COUNTIFS(TableBOM[Product ID],$D$5,TableBOM[Item ID],$A98)&gt;0)*($H$5&gt;0),$E$5&amp;", ","")&amp;IF((COUNTIFS(TableBOM[Product ID],$D$6,TableBOM[Item ID],$A98)&gt;0)*($H$6&gt;0),$E$6&amp;", ","")&amp;IF((COUNTIFS(TableBOM[Product ID],$D$7,TableBOM[Item ID],$A98)&gt;0)*($H$7&gt;0),$E$7&amp;", ","")&amp;IF((COUNTIFS(TableBOM[Product ID],$D$8,TableBOM[Item ID],$A98)&gt;0)*($H$8&gt;0),$E$8&amp;", ","")&amp;IF((COUNTIFS(TableBOM[Product ID],$D$9,TableBOM[Item ID],$A98)&gt;0)*($H$9&gt;0),$E$9&amp;", ","")&amp;IF((COUNTIFS(TableBOM[Product ID],$D$10,TableBOM[Item ID],$A98)&gt;0)*($H$10&gt;0),$E$10&amp;", ","")&amp;IF((COUNTIFS(TableBOM[Product ID],$D$11,TableBOM[Item ID],$A98)&gt;0)*($H$11&gt;0),$E$11&amp;", ","")&amp;IF((COUNTIFS(TableBOM[Product ID],$D$12,TableBOM[Item ID],$A98)&gt;0)*($H$12&gt;0),$E$12&amp;", ",""))-2),"")</f>
        <v/>
      </c>
      <c r="J98" s="64">
        <f>IF(E98=0,"Not needed",IF(G98&lt;0,"SHORTAGE",IF(G98&lt;F98*0.1,"LOW","OK")))</f>
        <v/>
      </c>
      <c r="K98" s="64">
        <f>IF(B98&lt;&gt;"CAP","",SUMPRODUCT((ISNUMBER(SEARCH("Cap Not Available",'FG Stock'!$H$4:$H$100)))*('FG Stock'!$I$4:$I$100=A98)*'FG Stock'!$F$4:$F$100))</f>
        <v/>
      </c>
      <c r="L98" s="64">
        <f>IF(E98=0,"",MAX(0,E98+IFERROR(K98*1,0)-F98))</f>
        <v/>
      </c>
    </row>
    <row r="99" ht="15" customHeight="1" s="249">
      <c r="A99" s="55" t="n"/>
      <c r="B99" s="55" t="n"/>
      <c r="C99" s="55" t="n"/>
      <c r="D99" s="55" t="n"/>
      <c r="E99" s="67" t="n"/>
      <c r="F99" s="67" t="n"/>
      <c r="G99" s="56" t="n"/>
      <c r="H99" s="62" t="n"/>
      <c r="I99" s="63" t="n"/>
      <c r="J99" s="64" t="n"/>
    </row>
    <row r="100" ht="15" customHeight="1" s="249">
      <c r="A100" s="55" t="n"/>
      <c r="B100" s="55" t="n"/>
      <c r="C100" s="55" t="n"/>
      <c r="D100" s="55" t="n"/>
      <c r="E100" s="67" t="n"/>
      <c r="F100" s="67" t="n"/>
      <c r="G100" s="56" t="n"/>
      <c r="H100" s="62" t="n"/>
      <c r="I100" s="63" t="n"/>
      <c r="J100" s="64" t="n"/>
    </row>
    <row r="101" ht="16.5" customHeight="1" s="249">
      <c r="A101" s="40" t="inlineStr">
        <is>
          <t>May PET 2026 Required Pet Orders</t>
        </is>
      </c>
      <c r="B101" s="41" t="n"/>
      <c r="C101" s="41" t="n"/>
      <c r="D101" s="41" t="n"/>
      <c r="E101" s="42" t="n"/>
      <c r="F101" s="42" t="n"/>
      <c r="G101" s="92" t="n"/>
      <c r="H101" s="93" t="n"/>
      <c r="I101" s="259" t="n"/>
      <c r="J101" s="63" t="n"/>
    </row>
    <row r="102" ht="36.75" customHeight="1" s="249">
      <c r="A102" s="46" t="inlineStr">
        <is>
          <t>Dia</t>
        </is>
      </c>
      <c r="B102" s="46" t="inlineStr">
        <is>
          <t>Customer</t>
        </is>
      </c>
      <c r="C102" s="47" t="inlineStr">
        <is>
          <t>Product Name</t>
        </is>
      </c>
      <c r="D102" s="47" t="inlineStr">
        <is>
          <t>Product ID</t>
        </is>
      </c>
      <c r="E102" s="48" t="inlineStr">
        <is>
          <t>Job Order #</t>
        </is>
      </c>
      <c r="F102" s="48" t="inlineStr">
        <is>
          <t>Required Qty</t>
        </is>
      </c>
      <c r="G102" s="49" t="inlineStr">
        <is>
          <t>Produced</t>
        </is>
      </c>
      <c r="H102" s="46" t="inlineStr">
        <is>
          <t>Remaining Balance</t>
        </is>
      </c>
      <c r="I102" s="46" t="n"/>
      <c r="J102" s="47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" t="n"/>
    </row>
    <row r="103" ht="15" customHeight="1" s="249">
      <c r="A103" s="95" t="inlineStr">
        <is>
          <t>120 ml</t>
        </is>
      </c>
      <c r="B103" s="95" t="inlineStr">
        <is>
          <t>Samsol International Private Limited</t>
        </is>
      </c>
      <c r="C103" s="96" t="inlineStr">
        <is>
          <t>PET BOTTLE SMALL (120ML) YELLOW</t>
        </is>
      </c>
      <c r="D103" s="95" t="n">
        <v>8005</v>
      </c>
      <c r="E103" s="97" t="inlineStr">
        <is>
          <t>336 &amp; 337</t>
        </is>
      </c>
      <c r="F103" s="97" t="n">
        <v>58960</v>
      </c>
      <c r="G103" s="98">
        <f>SUMPRODUCT((Production_Log!$F$3:$F$8963=D103)*(MONTH(Production_Log!$A$3:$A$8963)=MONTH(TODAY()))*(YEAR(Production_Log!$A$3:$A$8963)=YEAR(TODAY()))*Production_Log!$H$3:$H$8963)</f>
        <v/>
      </c>
      <c r="H103" s="99">
        <f>F103-G103</f>
        <v/>
      </c>
      <c r="I103" s="55" t="n"/>
      <c r="J103" s="63" t="n"/>
    </row>
    <row r="104" ht="15" customHeight="1" s="249">
      <c r="A104" s="95" t="inlineStr">
        <is>
          <t>130 ml</t>
        </is>
      </c>
      <c r="B104" s="95" t="inlineStr">
        <is>
          <t>Alpha Labs PVT LTD</t>
        </is>
      </c>
      <c r="C104" s="96" t="inlineStr">
        <is>
          <t>PET BOTTLE SMALL (130ML) TRANSPARENT</t>
        </is>
      </c>
      <c r="D104" s="95" t="n">
        <v>8010</v>
      </c>
      <c r="E104" s="97" t="inlineStr">
        <is>
          <t>340</t>
        </is>
      </c>
      <c r="F104" s="97" t="n">
        <v>5000</v>
      </c>
      <c r="G104" s="98">
        <f>SUMPRODUCT((Production_Log!$F$3:$F$8963=D104)*(MONTH(Production_Log!$A$3:$A$8963)=MONTH(TODAY()))*(YEAR(Production_Log!$A$3:$A$8963)=YEAR(TODAY()))*Production_Log!$H$3:$H$8963)</f>
        <v/>
      </c>
      <c r="H104" s="99">
        <f>F104-G104</f>
        <v/>
      </c>
      <c r="I104" s="55" t="n"/>
      <c r="J104" s="63" t="n"/>
    </row>
    <row r="105" ht="15" customHeight="1" s="249">
      <c r="A105" s="95" t="inlineStr">
        <is>
          <t>150 ml</t>
        </is>
      </c>
      <c r="B105" s="95" t="inlineStr">
        <is>
          <t>Alpha Labs PVT LTD</t>
        </is>
      </c>
      <c r="C105" s="96" t="inlineStr">
        <is>
          <t>TRANSPARENT BOTTLE 150ML</t>
        </is>
      </c>
      <c r="D105" s="95" t="n">
        <v>8001</v>
      </c>
      <c r="E105" s="97" t="n">
        <v>319</v>
      </c>
      <c r="F105" s="97" t="n">
        <v>166960</v>
      </c>
      <c r="G105" s="98">
        <f>SUMPRODUCT((Production_Log!$F$3:$F$8963=D105)*(MONTH(Production_Log!$A$3:$A$8963)=MONTH(TODAY()))*(YEAR(Production_Log!$A$3:$A$8963)=YEAR(TODAY()))*Production_Log!$H$3:$H$8963)</f>
        <v/>
      </c>
      <c r="H105" s="99">
        <f>F105-G105</f>
        <v/>
      </c>
      <c r="I105" s="55" t="n"/>
      <c r="J105" s="63" t="n"/>
    </row>
    <row r="106" ht="15" customHeight="1" s="249">
      <c r="A106" s="95" t="inlineStr">
        <is>
          <t>200 ml</t>
        </is>
      </c>
      <c r="B106" s="95" t="inlineStr">
        <is>
          <t>Samsol International Private Limited</t>
        </is>
      </c>
      <c r="C106" s="96" t="inlineStr">
        <is>
          <t>PET BOTTLE LARGE 200ML WHITE</t>
        </is>
      </c>
      <c r="D106" s="95" t="n">
        <v>8007</v>
      </c>
      <c r="E106" s="97" t="inlineStr">
        <is>
          <t>334 &amp; 338</t>
        </is>
      </c>
      <c r="F106" s="97" t="n">
        <v>10000</v>
      </c>
      <c r="G106" s="98">
        <f>SUMPRODUCT((Production_Log!$F$3:$F$8963=D106)*(MONTH(Production_Log!$A$3:$A$8963)=MONTH(TODAY()))*(YEAR(Production_Log!$A$3:$A$8963)=YEAR(TODAY()))*Production_Log!$H$3:$H$8963)</f>
        <v/>
      </c>
      <c r="H106" s="99">
        <f>F106-G106</f>
        <v/>
      </c>
      <c r="I106" s="55" t="n"/>
      <c r="J106" s="63" t="n"/>
    </row>
    <row r="107" ht="15" customHeight="1" s="249">
      <c r="A107" s="95" t="inlineStr">
        <is>
          <t>200 ml</t>
        </is>
      </c>
      <c r="B107" s="95" t="inlineStr">
        <is>
          <t>Samsol International Private Limited</t>
        </is>
      </c>
      <c r="C107" s="96" t="inlineStr">
        <is>
          <t>BT-200 ML YELLOW</t>
        </is>
      </c>
      <c r="D107" s="95" t="n">
        <v>8006</v>
      </c>
      <c r="E107" s="97" t="inlineStr">
        <is>
          <t>335</t>
        </is>
      </c>
      <c r="F107" s="97" t="n">
        <v>42400</v>
      </c>
      <c r="G107" s="98">
        <f>SUMPRODUCT((Production_Log!$F$3:$F$8963=D107)*(MONTH(Production_Log!$A$3:$A$8963)=MONTH(TODAY()))*(YEAR(Production_Log!$A$3:$A$8963)=YEAR(TODAY()))*Production_Log!$H$3:$H$8963)</f>
        <v/>
      </c>
      <c r="H107" s="99">
        <f>F107-G107</f>
        <v/>
      </c>
      <c r="I107" s="55" t="n"/>
      <c r="J107" s="63" t="n"/>
    </row>
    <row r="108" ht="15" customHeight="1" s="249">
      <c r="A108" s="95" t="inlineStr">
        <is>
          <t>200 ml</t>
        </is>
      </c>
      <c r="B108" s="95" t="inlineStr">
        <is>
          <t>Samsol International Private Limited</t>
        </is>
      </c>
      <c r="C108" s="96" t="inlineStr">
        <is>
          <t>BT-200ML MUSTARD OIL (TRANSPARENT)</t>
        </is>
      </c>
      <c r="D108" s="95" t="n">
        <v>8014</v>
      </c>
      <c r="E108" s="97" t="inlineStr">
        <is>
          <t>339</t>
        </is>
      </c>
      <c r="F108" s="97" t="n">
        <v>10000</v>
      </c>
      <c r="G108" s="98">
        <f>SUMPRODUCT((Production_Log!$F$3:$F$8963=D108)*(MONTH(Production_Log!$A$3:$A$8963)=MONTH(TODAY()))*(YEAR(Production_Log!$A$3:$A$8963)=YEAR(TODAY()))*Production_Log!$H$3:$H$8963)</f>
        <v/>
      </c>
      <c r="H108" s="99">
        <f>F108-G108</f>
        <v/>
      </c>
      <c r="I108" s="55" t="n"/>
      <c r="J108" s="63" t="n"/>
    </row>
    <row r="109" ht="15" customHeight="1" s="249">
      <c r="A109" s="55" t="n"/>
      <c r="B109" s="55" t="n"/>
      <c r="C109" s="55" t="n"/>
      <c r="D109" s="55" t="n"/>
      <c r="E109" s="56" t="inlineStr">
        <is>
          <t>TOTAL:</t>
        </is>
      </c>
      <c r="F109" s="56">
        <f>SUBTOTAL(9,F103:F108)</f>
        <v/>
      </c>
      <c r="G109" s="56">
        <f>SUBTOTAL(9,G103:G108)</f>
        <v/>
      </c>
      <c r="H109" s="56">
        <f>SUMIF(H103:H108,"&gt;0")</f>
        <v/>
      </c>
      <c r="I109" s="55" t="n"/>
      <c r="J109" s="45" t="n"/>
      <c r="K109" s="45" t="n"/>
    </row>
    <row r="110" ht="15" customHeight="1" s="249">
      <c r="A110" s="50" t="n"/>
      <c r="B110" s="50" t="n"/>
      <c r="C110" s="51" t="n"/>
      <c r="D110" s="50" t="n"/>
      <c r="E110" s="52" t="n"/>
      <c r="F110" s="52" t="n"/>
      <c r="G110" s="100" t="n"/>
      <c r="H110" s="52" t="n"/>
      <c r="I110" s="54" t="n"/>
      <c r="J110" s="63" t="n"/>
    </row>
    <row r="111" ht="15" customHeight="1" s="249">
      <c r="A111" s="101" t="inlineStr">
        <is>
          <t>May PET MATERIAL REQUIREMENT PLAN</t>
        </is>
      </c>
      <c r="B111" s="102" t="n"/>
      <c r="C111" s="102" t="n"/>
      <c r="D111" s="102" t="n"/>
      <c r="E111" s="103" t="n"/>
      <c r="F111" s="103" t="n"/>
      <c r="G111" s="104" t="n"/>
      <c r="H111" s="103" t="n"/>
      <c r="I111" s="105" t="n"/>
      <c r="J111" s="106" t="n"/>
    </row>
    <row r="112" ht="36" customHeight="1" s="249">
      <c r="A112" s="107" t="inlineStr">
        <is>
          <t>Item ID</t>
        </is>
      </c>
      <c r="B112" s="107" t="inlineStr">
        <is>
          <t>Category</t>
        </is>
      </c>
      <c r="C112" s="108" t="inlineStr">
        <is>
          <t>Item Name</t>
        </is>
      </c>
      <c r="D112" s="107" t="inlineStr">
        <is>
          <t>UOM</t>
        </is>
      </c>
      <c r="E112" s="109" t="inlineStr">
        <is>
          <t>Required Qty</t>
        </is>
      </c>
      <c r="F112" s="49" t="inlineStr">
        <is>
          <t>Current Stock (Store + WIP)</t>
        </is>
      </c>
      <c r="G112" s="49" t="inlineStr">
        <is>
          <t>Surplus / (Deficit)</t>
        </is>
      </c>
      <c r="H112" s="109" t="inlineStr">
        <is>
          <t>Product Name(s)</t>
        </is>
      </c>
      <c r="I112" s="110" t="inlineStr">
        <is>
          <t>Job Order #(s)</t>
        </is>
      </c>
      <c r="J112" s="110" t="inlineStr">
        <is>
          <t>Status</t>
        </is>
      </c>
      <c r="L112" s="110" t="inlineStr">
        <is>
          <t>ORDER QTY</t>
        </is>
      </c>
    </row>
    <row r="113" ht="15" customHeight="1" s="249">
      <c r="A113" s="55" t="n">
        <v>2680</v>
      </c>
      <c r="B113" s="55" t="inlineStr">
        <is>
          <t>PET RESIN</t>
        </is>
      </c>
      <c r="C113" s="111" t="inlineStr">
        <is>
          <t>PET RESIN A-84</t>
        </is>
      </c>
      <c r="D113" s="55" t="inlineStr">
        <is>
          <t>kg</t>
        </is>
      </c>
      <c r="E113" s="66">
        <f>SUMPRODUCT((TableBOM[Item ID]=A113)*TableBOM[Per 1000 Units]*(1+TableBOM[Scrap %])*SUMIF($D$103:$D$108,TableBOM[Product ID],$H$103:$H$108)/1000)</f>
        <v/>
      </c>
      <c r="F113" s="66">
        <f>IFERROR(INDEX(TableInventory[Store Balance],MATCH(A113,TableInventory[Item ID],0)),0)+IFERROR(INDEX(TableInventory[Work In Process],MATCH(A113,TableInventory[Item ID],0)),0)</f>
        <v/>
      </c>
      <c r="G113" s="56">
        <f>F113-E113</f>
        <v/>
      </c>
      <c r="H113" s="112">
        <f>IF(LEN(IF((COUNTIFS(TableBOM[Product ID],$D$103,TableBOM[Item ID],$A113)&gt;0)*($H$103&gt;0),$C$103&amp;", ","")&amp;IF((COUNTIFS(TableBOM[Product ID],$D$104,TableBOM[Item ID],$A113)&gt;0)*($H$104&gt;0),$C$104&amp;", ","")&amp;IF((COUNTIFS(TableBOM[Product ID],$D$105,TableBOM[Item ID],$A113)&gt;0)*($H$105&gt;0),$C$105&amp;", ","")&amp;IF((COUNTIFS(TableBOM[Product ID],$D$106,TableBOM[Item ID],$A113)&gt;0)*($H$106&gt;0),$C$106&amp;", ","")&amp;IF((COUNTIFS(TableBOM[Product ID],$D$107,TableBOM[Item ID],$A113)&gt;0)*($H$107&gt;0),$C$107&amp;", ","")&amp;IF((COUNTIFS(TableBOM[Product ID],$D$108,TableBOM[Item ID],$A113)&gt;0)*($H$108&gt;0),$C$108&amp;", ",""))&gt;1,LEFT(IF((COUNTIFS(TableBOM[Product ID],$D$103,TableBOM[Item ID],$A113)&gt;0)*($H$103&gt;0),$C$103&amp;", ","")&amp;IF((COUNTIFS(TableBOM[Product ID],$D$104,TableBOM[Item ID],$A113)&gt;0)*($H$104&gt;0),$C$104&amp;", ","")&amp;IF((COUNTIFS(TableBOM[Product ID],$D$105,TableBOM[Item ID],$A113)&gt;0)*($H$105&gt;0),$C$105&amp;", ","")&amp;IF((COUNTIFS(TableBOM[Product ID],$D$106,TableBOM[Item ID],$A113)&gt;0)*($H$106&gt;0),$C$106&amp;", ","")&amp;IF((COUNTIFS(TableBOM[Product ID],$D$107,TableBOM[Item ID],$A113)&gt;0)*($H$107&gt;0),$C$107&amp;", ","")&amp;IF((COUNTIFS(TableBOM[Product ID],$D$108,TableBOM[Item ID],$A113)&gt;0)*($H$108&gt;0),$C$108&amp;", ",""),LEN(IF((COUNTIFS(TableBOM[Product ID],$D$103,TableBOM[Item ID],$A113)&gt;0)*($H$103&gt;0),$C$103&amp;", ","")&amp;IF((COUNTIFS(TableBOM[Product ID],$D$104,TableBOM[Item ID],$A113)&gt;0)*($H$104&gt;0),$C$104&amp;", ","")&amp;IF((COUNTIFS(TableBOM[Product ID],$D$105,TableBOM[Item ID],$A113)&gt;0)*($H$105&gt;0),$C$105&amp;", ","")&amp;IF((COUNTIFS(TableBOM[Product ID],$D$106,TableBOM[Item ID],$A113)&gt;0)*($H$106&gt;0),$C$106&amp;", ","")&amp;IF((COUNTIFS(TableBOM[Product ID],$D$107,TableBOM[Item ID],$A113)&gt;0)*($H$107&gt;0),$C$107&amp;", ","")&amp;IF((COUNTIFS(TableBOM[Product ID],$D$108,TableBOM[Item ID],$A113)&gt;0)*($H$108&gt;0),$C$108&amp;", ",""))-2),"")</f>
        <v/>
      </c>
      <c r="I113" s="113">
        <f>IF(LEN(IF((COUNTIFS(TableBOM[Product ID],$D$103,TableBOM[Item ID],$A113)&gt;0)*($H$103&gt;0),$E$103&amp;", ","")&amp;IF((COUNTIFS(TableBOM[Product ID],$D$104,TableBOM[Item ID],$A113)&gt;0)*($H$104&gt;0),$E$104&amp;", ","")&amp;IF((COUNTIFS(TableBOM[Product ID],$D$105,TableBOM[Item ID],$A113)&gt;0)*($H$105&gt;0),$E$105&amp;", ","")&amp;IF((COUNTIFS(TableBOM[Product ID],$D$106,TableBOM[Item ID],$A113)&gt;0)*($H$106&gt;0),$E$106&amp;", ","")&amp;IF((COUNTIFS(TableBOM[Product ID],$D$107,TableBOM[Item ID],$A113)&gt;0)*($H$107&gt;0),$E$107&amp;", ","")&amp;IF((COUNTIFS(TableBOM[Product ID],$D$108,TableBOM[Item ID],$A113)&gt;0)*($H$108&gt;0),$E$108&amp;", ",""))&gt;1,LEFT(IF((COUNTIFS(TableBOM[Product ID],$D$103,TableBOM[Item ID],$A113)&gt;0)*($H$103&gt;0),$E$103&amp;", ","")&amp;IF((COUNTIFS(TableBOM[Product ID],$D$104,TableBOM[Item ID],$A113)&gt;0)*($H$104&gt;0),$E$104&amp;", ","")&amp;IF((COUNTIFS(TableBOM[Product ID],$D$105,TableBOM[Item ID],$A113)&gt;0)*($H$105&gt;0),$E$105&amp;", ","")&amp;IF((COUNTIFS(TableBOM[Product ID],$D$106,TableBOM[Item ID],$A113)&gt;0)*($H$106&gt;0),$E$106&amp;", ","")&amp;IF((COUNTIFS(TableBOM[Product ID],$D$107,TableBOM[Item ID],$A113)&gt;0)*($H$107&gt;0),$E$107&amp;", ","")&amp;IF((COUNTIFS(TableBOM[Product ID],$D$108,TableBOM[Item ID],$A113)&gt;0)*($H$108&gt;0),$E$108&amp;", ",""),LEN(IF((COUNTIFS(TableBOM[Product ID],$D$103,TableBOM[Item ID],$A113)&gt;0)*($H$103&gt;0),$E$103&amp;", ","")&amp;IF((COUNTIFS(TableBOM[Product ID],$D$104,TableBOM[Item ID],$A113)&gt;0)*($H$104&gt;0),$E$104&amp;", ","")&amp;IF((COUNTIFS(TableBOM[Product ID],$D$105,TableBOM[Item ID],$A113)&gt;0)*($H$105&gt;0),$E$105&amp;", ","")&amp;IF((COUNTIFS(TableBOM[Product ID],$D$106,TableBOM[Item ID],$A113)&gt;0)*($H$106&gt;0),$E$106&amp;", ","")&amp;IF((COUNTIFS(TableBOM[Product ID],$D$107,TableBOM[Item ID],$A113)&gt;0)*($H$107&gt;0),$E$107&amp;", ","")&amp;IF((COUNTIFS(TableBOM[Product ID],$D$108,TableBOM[Item ID],$A113)&gt;0)*($H$108&gt;0),$E$108&amp;", ",""))-2),"")</f>
        <v/>
      </c>
      <c r="J113" s="114">
        <f>IF(E113=0,"Not needed",IF(G113&lt;0,"SHORTAGE",IF(G113&lt;F113*0.1,"LOW","OK")))</f>
        <v/>
      </c>
      <c r="L113" s="114">
        <f>IF(E113=0,"",MAX(0,E113-F113))</f>
        <v/>
      </c>
    </row>
    <row r="114" ht="15" customHeight="1" s="249">
      <c r="A114" s="55" t="n">
        <v>4070</v>
      </c>
      <c r="B114" s="55" t="inlineStr">
        <is>
          <t>MASTER BATCH</t>
        </is>
      </c>
      <c r="C114" s="111" t="inlineStr">
        <is>
          <t>MASTER BATCH ONCOLOR YELLOW NE12340208-ZN</t>
        </is>
      </c>
      <c r="D114" s="55" t="inlineStr">
        <is>
          <t>kg</t>
        </is>
      </c>
      <c r="E114" s="66">
        <f>SUMPRODUCT((TableBOM[Item ID]=A114)*TableBOM[Per 1000 Units]*(1+TableBOM[Scrap %])*SUMIF($D$103:$D$108,TableBOM[Product ID],$H$103:$H$108)/1000)</f>
        <v/>
      </c>
      <c r="F114" s="66">
        <f>IFERROR(INDEX(TableInventory[Store Balance],MATCH(A114,TableInventory[Item ID],0)),0)+IFERROR(INDEX(TableInventory[Work In Process],MATCH(A114,TableInventory[Item ID],0)),0)</f>
        <v/>
      </c>
      <c r="G114" s="56">
        <f>F114-E114</f>
        <v/>
      </c>
      <c r="H114" s="112">
        <f>IF(LEN(IF((COUNTIFS(TableBOM[Product ID],$D$103,TableBOM[Item ID],$A114)&gt;0)*($H$103&gt;0),$C$103&amp;", ","")&amp;IF((COUNTIFS(TableBOM[Product ID],$D$104,TableBOM[Item ID],$A114)&gt;0)*($H$104&gt;0),$C$104&amp;", ","")&amp;IF((COUNTIFS(TableBOM[Product ID],$D$105,TableBOM[Item ID],$A114)&gt;0)*($H$105&gt;0),$C$105&amp;", ","")&amp;IF((COUNTIFS(TableBOM[Product ID],$D$106,TableBOM[Item ID],$A114)&gt;0)*($H$106&gt;0),$C$106&amp;", ","")&amp;IF((COUNTIFS(TableBOM[Product ID],$D$107,TableBOM[Item ID],$A114)&gt;0)*($H$107&gt;0),$C$107&amp;", ","")&amp;IF((COUNTIFS(TableBOM[Product ID],$D$108,TableBOM[Item ID],$A114)&gt;0)*($H$108&gt;0),$C$108&amp;", ",""))&gt;1,LEFT(IF((COUNTIFS(TableBOM[Product ID],$D$103,TableBOM[Item ID],$A114)&gt;0)*($H$103&gt;0),$C$103&amp;", ","")&amp;IF((COUNTIFS(TableBOM[Product ID],$D$104,TableBOM[Item ID],$A114)&gt;0)*($H$104&gt;0),$C$104&amp;", ","")&amp;IF((COUNTIFS(TableBOM[Product ID],$D$105,TableBOM[Item ID],$A114)&gt;0)*($H$105&gt;0),$C$105&amp;", ","")&amp;IF((COUNTIFS(TableBOM[Product ID],$D$106,TableBOM[Item ID],$A114)&gt;0)*($H$106&gt;0),$C$106&amp;", ","")&amp;IF((COUNTIFS(TableBOM[Product ID],$D$107,TableBOM[Item ID],$A114)&gt;0)*($H$107&gt;0),$C$107&amp;", ","")&amp;IF((COUNTIFS(TableBOM[Product ID],$D$108,TableBOM[Item ID],$A114)&gt;0)*($H$108&gt;0),$C$108&amp;", ",""),LEN(IF((COUNTIFS(TableBOM[Product ID],$D$103,TableBOM[Item ID],$A114)&gt;0)*($H$103&gt;0),$C$103&amp;", ","")&amp;IF((COUNTIFS(TableBOM[Product ID],$D$104,TableBOM[Item ID],$A114)&gt;0)*($H$104&gt;0),$C$104&amp;", ","")&amp;IF((COUNTIFS(TableBOM[Product ID],$D$105,TableBOM[Item ID],$A114)&gt;0)*($H$105&gt;0),$C$105&amp;", ","")&amp;IF((COUNTIFS(TableBOM[Product ID],$D$106,TableBOM[Item ID],$A114)&gt;0)*($H$106&gt;0),$C$106&amp;", ","")&amp;IF((COUNTIFS(TableBOM[Product ID],$D$107,TableBOM[Item ID],$A114)&gt;0)*($H$107&gt;0),$C$107&amp;", ","")&amp;IF((COUNTIFS(TableBOM[Product ID],$D$108,TableBOM[Item ID],$A114)&gt;0)*($H$108&gt;0),$C$108&amp;", ",""))-2),"")</f>
        <v/>
      </c>
      <c r="I114" s="113">
        <f>IF(LEN(IF((COUNTIFS(TableBOM[Product ID],$D$103,TableBOM[Item ID],$A114)&gt;0)*($H$103&gt;0),$E$103&amp;", ","")&amp;IF((COUNTIFS(TableBOM[Product ID],$D$104,TableBOM[Item ID],$A114)&gt;0)*($H$104&gt;0),$E$104&amp;", ","")&amp;IF((COUNTIFS(TableBOM[Product ID],$D$105,TableBOM[Item ID],$A114)&gt;0)*($H$105&gt;0),$E$105&amp;", ","")&amp;IF((COUNTIFS(TableBOM[Product ID],$D$106,TableBOM[Item ID],$A114)&gt;0)*($H$106&gt;0),$E$106&amp;", ","")&amp;IF((COUNTIFS(TableBOM[Product ID],$D$107,TableBOM[Item ID],$A114)&gt;0)*($H$107&gt;0),$E$107&amp;", ","")&amp;IF((COUNTIFS(TableBOM[Product ID],$D$108,TableBOM[Item ID],$A114)&gt;0)*($H$108&gt;0),$E$108&amp;", ",""))&gt;1,LEFT(IF((COUNTIFS(TableBOM[Product ID],$D$103,TableBOM[Item ID],$A114)&gt;0)*($H$103&gt;0),$E$103&amp;", ","")&amp;IF((COUNTIFS(TableBOM[Product ID],$D$104,TableBOM[Item ID],$A114)&gt;0)*($H$104&gt;0),$E$104&amp;", ","")&amp;IF((COUNTIFS(TableBOM[Product ID],$D$105,TableBOM[Item ID],$A114)&gt;0)*($H$105&gt;0),$E$105&amp;", ","")&amp;IF((COUNTIFS(TableBOM[Product ID],$D$106,TableBOM[Item ID],$A114)&gt;0)*($H$106&gt;0),$E$106&amp;", ","")&amp;IF((COUNTIFS(TableBOM[Product ID],$D$107,TableBOM[Item ID],$A114)&gt;0)*($H$107&gt;0),$E$107&amp;", ","")&amp;IF((COUNTIFS(TableBOM[Product ID],$D$108,TableBOM[Item ID],$A114)&gt;0)*($H$108&gt;0),$E$108&amp;", ",""),LEN(IF((COUNTIFS(TableBOM[Product ID],$D$103,TableBOM[Item ID],$A114)&gt;0)*($H$103&gt;0),$E$103&amp;", ","")&amp;IF((COUNTIFS(TableBOM[Product ID],$D$104,TableBOM[Item ID],$A114)&gt;0)*($H$104&gt;0),$E$104&amp;", ","")&amp;IF((COUNTIFS(TableBOM[Product ID],$D$105,TableBOM[Item ID],$A114)&gt;0)*($H$105&gt;0),$E$105&amp;", ","")&amp;IF((COUNTIFS(TableBOM[Product ID],$D$106,TableBOM[Item ID],$A114)&gt;0)*($H$106&gt;0),$E$106&amp;", ","")&amp;IF((COUNTIFS(TableBOM[Product ID],$D$107,TableBOM[Item ID],$A114)&gt;0)*($H$107&gt;0),$E$107&amp;", ","")&amp;IF((COUNTIFS(TableBOM[Product ID],$D$108,TableBOM[Item ID],$A114)&gt;0)*($H$108&gt;0),$E$108&amp;", ",""))-2),"")</f>
        <v/>
      </c>
      <c r="J114" s="114">
        <f>IF(E114=0,"Not needed",IF(G114&lt;0,"SHORTAGE",IF(G114&lt;F114*0.1,"LOW","OK")))</f>
        <v/>
      </c>
      <c r="L114" s="114">
        <f>IF(E114=0,"",MAX(0,E114-F114))</f>
        <v/>
      </c>
    </row>
    <row r="115" ht="15" customHeight="1" s="249">
      <c r="A115" s="55" t="n">
        <v>5816</v>
      </c>
      <c r="B115" s="55" t="inlineStr">
        <is>
          <t>MASTER BATCH</t>
        </is>
      </c>
      <c r="C115" s="111" t="inlineStr">
        <is>
          <t>MASTER BATCH WHITE PRC-MC ET02340000</t>
        </is>
      </c>
      <c r="D115" s="55" t="inlineStr">
        <is>
          <t>kg</t>
        </is>
      </c>
      <c r="E115" s="66">
        <f>SUMPRODUCT((TableBOM[Item ID]=A115)*TableBOM[Per 1000 Units]*(1+TableBOM[Scrap %])*SUMIF($D$103:$D$108,TableBOM[Product ID],$H$103:$H$108)/1000)</f>
        <v/>
      </c>
      <c r="F115" s="66">
        <f>IFERROR(INDEX(TableInventory[Store Balance],MATCH(A115,TableInventory[Item ID],0)),0)+IFERROR(INDEX(TableInventory[Work In Process],MATCH(A115,TableInventory[Item ID],0)),0)</f>
        <v/>
      </c>
      <c r="G115" s="56">
        <f>F115-E115</f>
        <v/>
      </c>
      <c r="H115" s="112">
        <f>IF(LEN(IF((COUNTIFS(TableBOM[Product ID],$D$103,TableBOM[Item ID],$A115)&gt;0)*($H$103&gt;0),$C$103&amp;", ","")&amp;IF((COUNTIFS(TableBOM[Product ID],$D$104,TableBOM[Item ID],$A115)&gt;0)*($H$104&gt;0),$C$104&amp;", ","")&amp;IF((COUNTIFS(TableBOM[Product ID],$D$105,TableBOM[Item ID],$A115)&gt;0)*($H$105&gt;0),$C$105&amp;", ","")&amp;IF((COUNTIFS(TableBOM[Product ID],$D$106,TableBOM[Item ID],$A115)&gt;0)*($H$106&gt;0),$C$106&amp;", ","")&amp;IF((COUNTIFS(TableBOM[Product ID],$D$107,TableBOM[Item ID],$A115)&gt;0)*($H$107&gt;0),$C$107&amp;", ","")&amp;IF((COUNTIFS(TableBOM[Product ID],$D$108,TableBOM[Item ID],$A115)&gt;0)*($H$108&gt;0),$C$108&amp;", ",""))&gt;1,LEFT(IF((COUNTIFS(TableBOM[Product ID],$D$103,TableBOM[Item ID],$A115)&gt;0)*($H$103&gt;0),$C$103&amp;", ","")&amp;IF((COUNTIFS(TableBOM[Product ID],$D$104,TableBOM[Item ID],$A115)&gt;0)*($H$104&gt;0),$C$104&amp;", ","")&amp;IF((COUNTIFS(TableBOM[Product ID],$D$105,TableBOM[Item ID],$A115)&gt;0)*($H$105&gt;0),$C$105&amp;", ","")&amp;IF((COUNTIFS(TableBOM[Product ID],$D$106,TableBOM[Item ID],$A115)&gt;0)*($H$106&gt;0),$C$106&amp;", ","")&amp;IF((COUNTIFS(TableBOM[Product ID],$D$107,TableBOM[Item ID],$A115)&gt;0)*($H$107&gt;0),$C$107&amp;", ","")&amp;IF((COUNTIFS(TableBOM[Product ID],$D$108,TableBOM[Item ID],$A115)&gt;0)*($H$108&gt;0),$C$108&amp;", ",""),LEN(IF((COUNTIFS(TableBOM[Product ID],$D$103,TableBOM[Item ID],$A115)&gt;0)*($H$103&gt;0),$C$103&amp;", ","")&amp;IF((COUNTIFS(TableBOM[Product ID],$D$104,TableBOM[Item ID],$A115)&gt;0)*($H$104&gt;0),$C$104&amp;", ","")&amp;IF((COUNTIFS(TableBOM[Product ID],$D$105,TableBOM[Item ID],$A115)&gt;0)*($H$105&gt;0),$C$105&amp;", ","")&amp;IF((COUNTIFS(TableBOM[Product ID],$D$106,TableBOM[Item ID],$A115)&gt;0)*($H$106&gt;0),$C$106&amp;", ","")&amp;IF((COUNTIFS(TableBOM[Product ID],$D$107,TableBOM[Item ID],$A115)&gt;0)*($H$107&gt;0),$C$107&amp;", ","")&amp;IF((COUNTIFS(TableBOM[Product ID],$D$108,TableBOM[Item ID],$A115)&gt;0)*($H$108&gt;0),$C$108&amp;", ",""))-2),"")</f>
        <v/>
      </c>
      <c r="I115" s="113">
        <f>IF(LEN(IF((COUNTIFS(TableBOM[Product ID],$D$103,TableBOM[Item ID],$A115)&gt;0)*($H$103&gt;0),$E$103&amp;", ","")&amp;IF((COUNTIFS(TableBOM[Product ID],$D$104,TableBOM[Item ID],$A115)&gt;0)*($H$104&gt;0),$E$104&amp;", ","")&amp;IF((COUNTIFS(TableBOM[Product ID],$D$105,TableBOM[Item ID],$A115)&gt;0)*($H$105&gt;0),$E$105&amp;", ","")&amp;IF((COUNTIFS(TableBOM[Product ID],$D$106,TableBOM[Item ID],$A115)&gt;0)*($H$106&gt;0),$E$106&amp;", ","")&amp;IF((COUNTIFS(TableBOM[Product ID],$D$107,TableBOM[Item ID],$A115)&gt;0)*($H$107&gt;0),$E$107&amp;", ","")&amp;IF((COUNTIFS(TableBOM[Product ID],$D$108,TableBOM[Item ID],$A115)&gt;0)*($H$108&gt;0),$E$108&amp;", ",""))&gt;1,LEFT(IF((COUNTIFS(TableBOM[Product ID],$D$103,TableBOM[Item ID],$A115)&gt;0)*($H$103&gt;0),$E$103&amp;", ","")&amp;IF((COUNTIFS(TableBOM[Product ID],$D$104,TableBOM[Item ID],$A115)&gt;0)*($H$104&gt;0),$E$104&amp;", ","")&amp;IF((COUNTIFS(TableBOM[Product ID],$D$105,TableBOM[Item ID],$A115)&gt;0)*($H$105&gt;0),$E$105&amp;", ","")&amp;IF((COUNTIFS(TableBOM[Product ID],$D$106,TableBOM[Item ID],$A115)&gt;0)*($H$106&gt;0),$E$106&amp;", ","")&amp;IF((COUNTIFS(TableBOM[Product ID],$D$107,TableBOM[Item ID],$A115)&gt;0)*($H$107&gt;0),$E$107&amp;", ","")&amp;IF((COUNTIFS(TableBOM[Product ID],$D$108,TableBOM[Item ID],$A115)&gt;0)*($H$108&gt;0),$E$108&amp;", ",""),LEN(IF((COUNTIFS(TableBOM[Product ID],$D$103,TableBOM[Item ID],$A115)&gt;0)*($H$103&gt;0),$E$103&amp;", ","")&amp;IF((COUNTIFS(TableBOM[Product ID],$D$104,TableBOM[Item ID],$A115)&gt;0)*($H$104&gt;0),$E$104&amp;", ","")&amp;IF((COUNTIFS(TableBOM[Product ID],$D$105,TableBOM[Item ID],$A115)&gt;0)*($H$105&gt;0),$E$105&amp;", ","")&amp;IF((COUNTIFS(TableBOM[Product ID],$D$106,TableBOM[Item ID],$A115)&gt;0)*($H$106&gt;0),$E$106&amp;", ","")&amp;IF((COUNTIFS(TableBOM[Product ID],$D$107,TableBOM[Item ID],$A115)&gt;0)*($H$107&gt;0),$E$107&amp;", ","")&amp;IF((COUNTIFS(TableBOM[Product ID],$D$108,TableBOM[Item ID],$A115)&gt;0)*($H$108&gt;0),$E$108&amp;", ",""))-2),"")</f>
        <v/>
      </c>
      <c r="J115" s="114">
        <f>IF(E115=0,"Not needed",IF(G115&lt;0,"SHORTAGE",IF(G115&lt;F115*0.1,"LOW","OK")))</f>
        <v/>
      </c>
      <c r="L115" s="114">
        <f>IF(E115=0,"",MAX(0,E115-F115))</f>
        <v/>
      </c>
    </row>
    <row r="116" ht="15" customHeight="1" s="249">
      <c r="A116" s="55" t="n">
        <v>5977</v>
      </c>
      <c r="B116" s="55" t="inlineStr">
        <is>
          <t>MASTER CARTON</t>
        </is>
      </c>
      <c r="C116" s="111" t="inlineStr">
        <is>
          <t>MASTER CARTON 38"X24"X15.5"</t>
        </is>
      </c>
      <c r="D116" s="55" t="inlineStr">
        <is>
          <t>PCS</t>
        </is>
      </c>
      <c r="E116" s="66">
        <f>SUMPRODUCT((TableBOM[Item ID]=A116)*TableBOM[Per 1000 Units]*(1+TableBOM[Scrap %])*SUMIF($D$103:$D$108,TableBOM[Product ID],$H$103:$H$108)/1000)</f>
        <v/>
      </c>
      <c r="F116" s="66">
        <f>IFERROR(INDEX(TableInventory[Store Balance],MATCH(A116,TableInventory[Item ID],0)),0)+IFERROR(INDEX(TableInventory[Work In Process],MATCH(A116,TableInventory[Item ID],0)),0)</f>
        <v/>
      </c>
      <c r="G116" s="56">
        <f>F116-E116</f>
        <v/>
      </c>
      <c r="H116" s="112">
        <f>IF(LEN(IF((COUNTIFS(TableBOM[Product ID],$D$103,TableBOM[Item ID],$A116)&gt;0)*($H$103&gt;0),$C$103&amp;", ","")&amp;IF((COUNTIFS(TableBOM[Product ID],$D$104,TableBOM[Item ID],$A116)&gt;0)*($H$104&gt;0),$C$104&amp;", ","")&amp;IF((COUNTIFS(TableBOM[Product ID],$D$105,TableBOM[Item ID],$A116)&gt;0)*($H$105&gt;0),$C$105&amp;", ","")&amp;IF((COUNTIFS(TableBOM[Product ID],$D$106,TableBOM[Item ID],$A116)&gt;0)*($H$106&gt;0),$C$106&amp;", ","")&amp;IF((COUNTIFS(TableBOM[Product ID],$D$107,TableBOM[Item ID],$A116)&gt;0)*($H$107&gt;0),$C$107&amp;", ","")&amp;IF((COUNTIFS(TableBOM[Product ID],$D$108,TableBOM[Item ID],$A116)&gt;0)*($H$108&gt;0),$C$108&amp;", ",""))&gt;1,LEFT(IF((COUNTIFS(TableBOM[Product ID],$D$103,TableBOM[Item ID],$A116)&gt;0)*($H$103&gt;0),$C$103&amp;", ","")&amp;IF((COUNTIFS(TableBOM[Product ID],$D$104,TableBOM[Item ID],$A116)&gt;0)*($H$104&gt;0),$C$104&amp;", ","")&amp;IF((COUNTIFS(TableBOM[Product ID],$D$105,TableBOM[Item ID],$A116)&gt;0)*($H$105&gt;0),$C$105&amp;", ","")&amp;IF((COUNTIFS(TableBOM[Product ID],$D$106,TableBOM[Item ID],$A116)&gt;0)*($H$106&gt;0),$C$106&amp;", ","")&amp;IF((COUNTIFS(TableBOM[Product ID],$D$107,TableBOM[Item ID],$A116)&gt;0)*($H$107&gt;0),$C$107&amp;", ","")&amp;IF((COUNTIFS(TableBOM[Product ID],$D$108,TableBOM[Item ID],$A116)&gt;0)*($H$108&gt;0),$C$108&amp;", ",""),LEN(IF((COUNTIFS(TableBOM[Product ID],$D$103,TableBOM[Item ID],$A116)&gt;0)*($H$103&gt;0),$C$103&amp;", ","")&amp;IF((COUNTIFS(TableBOM[Product ID],$D$104,TableBOM[Item ID],$A116)&gt;0)*($H$104&gt;0),$C$104&amp;", ","")&amp;IF((COUNTIFS(TableBOM[Product ID],$D$105,TableBOM[Item ID],$A116)&gt;0)*($H$105&gt;0),$C$105&amp;", ","")&amp;IF((COUNTIFS(TableBOM[Product ID],$D$106,TableBOM[Item ID],$A116)&gt;0)*($H$106&gt;0),$C$106&amp;", ","")&amp;IF((COUNTIFS(TableBOM[Product ID],$D$107,TableBOM[Item ID],$A116)&gt;0)*($H$107&gt;0),$C$107&amp;", ","")&amp;IF((COUNTIFS(TableBOM[Product ID],$D$108,TableBOM[Item ID],$A116)&gt;0)*($H$108&gt;0),$C$108&amp;", ",""))-2),"")</f>
        <v/>
      </c>
      <c r="I116" s="113">
        <f>IF(LEN(IF((COUNTIFS(TableBOM[Product ID],$D$103,TableBOM[Item ID],$A116)&gt;0)*($H$103&gt;0),$E$103&amp;", ","")&amp;IF((COUNTIFS(TableBOM[Product ID],$D$104,TableBOM[Item ID],$A116)&gt;0)*($H$104&gt;0),$E$104&amp;", ","")&amp;IF((COUNTIFS(TableBOM[Product ID],$D$105,TableBOM[Item ID],$A116)&gt;0)*($H$105&gt;0),$E$105&amp;", ","")&amp;IF((COUNTIFS(TableBOM[Product ID],$D$106,TableBOM[Item ID],$A116)&gt;0)*($H$106&gt;0),$E$106&amp;", ","")&amp;IF((COUNTIFS(TableBOM[Product ID],$D$107,TableBOM[Item ID],$A116)&gt;0)*($H$107&gt;0),$E$107&amp;", ","")&amp;IF((COUNTIFS(TableBOM[Product ID],$D$108,TableBOM[Item ID],$A116)&gt;0)*($H$108&gt;0),$E$108&amp;", ",""))&gt;1,LEFT(IF((COUNTIFS(TableBOM[Product ID],$D$103,TableBOM[Item ID],$A116)&gt;0)*($H$103&gt;0),$E$103&amp;", ","")&amp;IF((COUNTIFS(TableBOM[Product ID],$D$104,TableBOM[Item ID],$A116)&gt;0)*($H$104&gt;0),$E$104&amp;", ","")&amp;IF((COUNTIFS(TableBOM[Product ID],$D$105,TableBOM[Item ID],$A116)&gt;0)*($H$105&gt;0),$E$105&amp;", ","")&amp;IF((COUNTIFS(TableBOM[Product ID],$D$106,TableBOM[Item ID],$A116)&gt;0)*($H$106&gt;0),$E$106&amp;", ","")&amp;IF((COUNTIFS(TableBOM[Product ID],$D$107,TableBOM[Item ID],$A116)&gt;0)*($H$107&gt;0),$E$107&amp;", ","")&amp;IF((COUNTIFS(TableBOM[Product ID],$D$108,TableBOM[Item ID],$A116)&gt;0)*($H$108&gt;0),$E$108&amp;", ",""),LEN(IF((COUNTIFS(TableBOM[Product ID],$D$103,TableBOM[Item ID],$A116)&gt;0)*($H$103&gt;0),$E$103&amp;", ","")&amp;IF((COUNTIFS(TableBOM[Product ID],$D$104,TableBOM[Item ID],$A116)&gt;0)*($H$104&gt;0),$E$104&amp;", ","")&amp;IF((COUNTIFS(TableBOM[Product ID],$D$105,TableBOM[Item ID],$A116)&gt;0)*($H$105&gt;0),$E$105&amp;", ","")&amp;IF((COUNTIFS(TableBOM[Product ID],$D$106,TableBOM[Item ID],$A116)&gt;0)*($H$106&gt;0),$E$106&amp;", ","")&amp;IF((COUNTIFS(TableBOM[Product ID],$D$107,TableBOM[Item ID],$A116)&gt;0)*($H$107&gt;0),$E$107&amp;", ","")&amp;IF((COUNTIFS(TableBOM[Product ID],$D$108,TableBOM[Item ID],$A116)&gt;0)*($H$108&gt;0),$E$108&amp;", ",""))-2),"")</f>
        <v/>
      </c>
      <c r="J116" s="114">
        <f>IF(E116=0,"Not needed",IF(G116&lt;0,"SHORTAGE",IF(G116&lt;F116*0.1,"LOW","OK")))</f>
        <v/>
      </c>
      <c r="L116" s="114">
        <f>IF(E116=0,"",MAX(0,E116-F116))</f>
        <v/>
      </c>
    </row>
    <row r="117" ht="15" customHeight="1" s="249">
      <c r="A117" s="55" t="n">
        <v>2267</v>
      </c>
      <c r="B117" s="55" t="inlineStr">
        <is>
          <t>POLY BAG</t>
        </is>
      </c>
      <c r="C117" s="111" t="inlineStr">
        <is>
          <t>POLY BAG 20X30 (LDPE)</t>
        </is>
      </c>
      <c r="D117" s="55" t="inlineStr">
        <is>
          <t>PCS</t>
        </is>
      </c>
      <c r="E117" s="66">
        <f>SUMPRODUCT((TableBOM[Item ID]=A117)*TableBOM[Per 1000 Units]*(1+TableBOM[Scrap %])*SUMIF($D$103:$D$108,TableBOM[Product ID],$H$103:$H$108)/1000)</f>
        <v/>
      </c>
      <c r="F117" s="66">
        <f>IFERROR(INDEX(TableInventory[Store Balance],MATCH(A117,TableInventory[Item ID],0)),0)+IFERROR(INDEX(TableInventory[Work In Process],MATCH(A117,TableInventory[Item ID],0)),0)</f>
        <v/>
      </c>
      <c r="G117" s="56">
        <f>F117-E117</f>
        <v/>
      </c>
      <c r="H117" s="112">
        <f>IF(LEN(IF((COUNTIFS(TableBOM[Product ID],$D$103,TableBOM[Item ID],$A117)&gt;0)*($H$103&gt;0),$C$103&amp;", ","")&amp;IF((COUNTIFS(TableBOM[Product ID],$D$104,TableBOM[Item ID],$A117)&gt;0)*($H$104&gt;0),$C$104&amp;", ","")&amp;IF((COUNTIFS(TableBOM[Product ID],$D$105,TableBOM[Item ID],$A117)&gt;0)*($H$105&gt;0),$C$105&amp;", ","")&amp;IF((COUNTIFS(TableBOM[Product ID],$D$106,TableBOM[Item ID],$A117)&gt;0)*($H$106&gt;0),$C$106&amp;", ","")&amp;IF((COUNTIFS(TableBOM[Product ID],$D$107,TableBOM[Item ID],$A117)&gt;0)*($H$107&gt;0),$C$107&amp;", ","")&amp;IF((COUNTIFS(TableBOM[Product ID],$D$108,TableBOM[Item ID],$A117)&gt;0)*($H$108&gt;0),$C$108&amp;", ",""))&gt;1,LEFT(IF((COUNTIFS(TableBOM[Product ID],$D$103,TableBOM[Item ID],$A117)&gt;0)*($H$103&gt;0),$C$103&amp;", ","")&amp;IF((COUNTIFS(TableBOM[Product ID],$D$104,TableBOM[Item ID],$A117)&gt;0)*($H$104&gt;0),$C$104&amp;", ","")&amp;IF((COUNTIFS(TableBOM[Product ID],$D$105,TableBOM[Item ID],$A117)&gt;0)*($H$105&gt;0),$C$105&amp;", ","")&amp;IF((COUNTIFS(TableBOM[Product ID],$D$106,TableBOM[Item ID],$A117)&gt;0)*($H$106&gt;0),$C$106&amp;", ","")&amp;IF((COUNTIFS(TableBOM[Product ID],$D$107,TableBOM[Item ID],$A117)&gt;0)*($H$107&gt;0),$C$107&amp;", ","")&amp;IF((COUNTIFS(TableBOM[Product ID],$D$108,TableBOM[Item ID],$A117)&gt;0)*($H$108&gt;0),$C$108&amp;", ",""),LEN(IF((COUNTIFS(TableBOM[Product ID],$D$103,TableBOM[Item ID],$A117)&gt;0)*($H$103&gt;0),$C$103&amp;", ","")&amp;IF((COUNTIFS(TableBOM[Product ID],$D$104,TableBOM[Item ID],$A117)&gt;0)*($H$104&gt;0),$C$104&amp;", ","")&amp;IF((COUNTIFS(TableBOM[Product ID],$D$105,TableBOM[Item ID],$A117)&gt;0)*($H$105&gt;0),$C$105&amp;", ","")&amp;IF((COUNTIFS(TableBOM[Product ID],$D$106,TableBOM[Item ID],$A117)&gt;0)*($H$106&gt;0),$C$106&amp;", ","")&amp;IF((COUNTIFS(TableBOM[Product ID],$D$107,TableBOM[Item ID],$A117)&gt;0)*($H$107&gt;0),$C$107&amp;", ","")&amp;IF((COUNTIFS(TableBOM[Product ID],$D$108,TableBOM[Item ID],$A117)&gt;0)*($H$108&gt;0),$C$108&amp;", ",""))-2),"")</f>
        <v/>
      </c>
      <c r="I117" s="113">
        <f>IF(LEN(IF((COUNTIFS(TableBOM[Product ID],$D$103,TableBOM[Item ID],$A117)&gt;0)*($H$103&gt;0),$E$103&amp;", ","")&amp;IF((COUNTIFS(TableBOM[Product ID],$D$104,TableBOM[Item ID],$A117)&gt;0)*($H$104&gt;0),$E$104&amp;", ","")&amp;IF((COUNTIFS(TableBOM[Product ID],$D$105,TableBOM[Item ID],$A117)&gt;0)*($H$105&gt;0),$E$105&amp;", ","")&amp;IF((COUNTIFS(TableBOM[Product ID],$D$106,TableBOM[Item ID],$A117)&gt;0)*($H$106&gt;0),$E$106&amp;", ","")&amp;IF((COUNTIFS(TableBOM[Product ID],$D$107,TableBOM[Item ID],$A117)&gt;0)*($H$107&gt;0),$E$107&amp;", ","")&amp;IF((COUNTIFS(TableBOM[Product ID],$D$108,TableBOM[Item ID],$A117)&gt;0)*($H$108&gt;0),$E$108&amp;", ",""))&gt;1,LEFT(IF((COUNTIFS(TableBOM[Product ID],$D$103,TableBOM[Item ID],$A117)&gt;0)*($H$103&gt;0),$E$103&amp;", ","")&amp;IF((COUNTIFS(TableBOM[Product ID],$D$104,TableBOM[Item ID],$A117)&gt;0)*($H$104&gt;0),$E$104&amp;", ","")&amp;IF((COUNTIFS(TableBOM[Product ID],$D$105,TableBOM[Item ID],$A117)&gt;0)*($H$105&gt;0),$E$105&amp;", ","")&amp;IF((COUNTIFS(TableBOM[Product ID],$D$106,TableBOM[Item ID],$A117)&gt;0)*($H$106&gt;0),$E$106&amp;", ","")&amp;IF((COUNTIFS(TableBOM[Product ID],$D$107,TableBOM[Item ID],$A117)&gt;0)*($H$107&gt;0),$E$107&amp;", ","")&amp;IF((COUNTIFS(TableBOM[Product ID],$D$108,TableBOM[Item ID],$A117)&gt;0)*($H$108&gt;0),$E$108&amp;", ",""),LEN(IF((COUNTIFS(TableBOM[Product ID],$D$103,TableBOM[Item ID],$A117)&gt;0)*($H$103&gt;0),$E$103&amp;", ","")&amp;IF((COUNTIFS(TableBOM[Product ID],$D$104,TableBOM[Item ID],$A117)&gt;0)*($H$104&gt;0),$E$104&amp;", ","")&amp;IF((COUNTIFS(TableBOM[Product ID],$D$105,TableBOM[Item ID],$A117)&gt;0)*($H$105&gt;0),$E$105&amp;", ","")&amp;IF((COUNTIFS(TableBOM[Product ID],$D$106,TableBOM[Item ID],$A117)&gt;0)*($H$106&gt;0),$E$106&amp;", ","")&amp;IF((COUNTIFS(TableBOM[Product ID],$D$107,TableBOM[Item ID],$A117)&gt;0)*($H$107&gt;0),$E$107&amp;", ","")&amp;IF((COUNTIFS(TableBOM[Product ID],$D$108,TableBOM[Item ID],$A117)&gt;0)*($H$108&gt;0),$E$108&amp;", ",""))-2),"")</f>
        <v/>
      </c>
      <c r="J117" s="115">
        <f>IF(E117=0,"Not needed",IF(G117&lt;0,"SHORTAGE",IF(G117&lt;F117*0.1,"LOW","OK")))</f>
        <v/>
      </c>
      <c r="L117" s="115">
        <f>IF(E117=0,"",MAX(0,E117-F117))</f>
        <v/>
      </c>
    </row>
    <row r="118" ht="15" customHeight="1" s="249">
      <c r="A118" s="55" t="n">
        <v>3006</v>
      </c>
      <c r="B118" s="55" t="inlineStr">
        <is>
          <t>POLY BAG</t>
        </is>
      </c>
      <c r="C118" s="111" t="inlineStr">
        <is>
          <t>POLY BAG 24X36 (LDPE)</t>
        </is>
      </c>
      <c r="D118" s="55" t="inlineStr">
        <is>
          <t>PCS</t>
        </is>
      </c>
      <c r="E118" s="66">
        <f>SUMPRODUCT((TableBOM[Item ID]=A118)*TableBOM[Per 1000 Units]*(1+TableBOM[Scrap %])*SUMIF($D$103:$D$108,TableBOM[Product ID],$H$103:$H$108)/1000)</f>
        <v/>
      </c>
      <c r="F118" s="66">
        <f>IFERROR(INDEX(TableInventory[Store Balance],MATCH(A118,TableInventory[Item ID],0)),0)+IFERROR(INDEX(TableInventory[Work In Process],MATCH(A118,TableInventory[Item ID],0)),0)</f>
        <v/>
      </c>
      <c r="G118" s="56">
        <f>F118-E118</f>
        <v/>
      </c>
      <c r="H118" s="112">
        <f>IF(LEN(IF((COUNTIFS(TableBOM[Product ID],$D$103,TableBOM[Item ID],$A118)&gt;0)*($H$103&gt;0),$C$103&amp;", ","")&amp;IF((COUNTIFS(TableBOM[Product ID],$D$104,TableBOM[Item ID],$A118)&gt;0)*($H$104&gt;0),$C$104&amp;", ","")&amp;IF((COUNTIFS(TableBOM[Product ID],$D$105,TableBOM[Item ID],$A118)&gt;0)*($H$105&gt;0),$C$105&amp;", ","")&amp;IF((COUNTIFS(TableBOM[Product ID],$D$106,TableBOM[Item ID],$A118)&gt;0)*($H$106&gt;0),$C$106&amp;", ","")&amp;IF((COUNTIFS(TableBOM[Product ID],$D$107,TableBOM[Item ID],$A118)&gt;0)*($H$107&gt;0),$C$107&amp;", ","")&amp;IF((COUNTIFS(TableBOM[Product ID],$D$108,TableBOM[Item ID],$A118)&gt;0)*($H$108&gt;0),$C$108&amp;", ",""))&gt;1,LEFT(IF((COUNTIFS(TableBOM[Product ID],$D$103,TableBOM[Item ID],$A118)&gt;0)*($H$103&gt;0),$C$103&amp;", ","")&amp;IF((COUNTIFS(TableBOM[Product ID],$D$104,TableBOM[Item ID],$A118)&gt;0)*($H$104&gt;0),$C$104&amp;", ","")&amp;IF((COUNTIFS(TableBOM[Product ID],$D$105,TableBOM[Item ID],$A118)&gt;0)*($H$105&gt;0),$C$105&amp;", ","")&amp;IF((COUNTIFS(TableBOM[Product ID],$D$106,TableBOM[Item ID],$A118)&gt;0)*($H$106&gt;0),$C$106&amp;", ","")&amp;IF((COUNTIFS(TableBOM[Product ID],$D$107,TableBOM[Item ID],$A118)&gt;0)*($H$107&gt;0),$C$107&amp;", ","")&amp;IF((COUNTIFS(TableBOM[Product ID],$D$108,TableBOM[Item ID],$A118)&gt;0)*($H$108&gt;0),$C$108&amp;", ",""),LEN(IF((COUNTIFS(TableBOM[Product ID],$D$103,TableBOM[Item ID],$A118)&gt;0)*($H$103&gt;0),$C$103&amp;", ","")&amp;IF((COUNTIFS(TableBOM[Product ID],$D$104,TableBOM[Item ID],$A118)&gt;0)*($H$104&gt;0),$C$104&amp;", ","")&amp;IF((COUNTIFS(TableBOM[Product ID],$D$105,TableBOM[Item ID],$A118)&gt;0)*($H$105&gt;0),$C$105&amp;", ","")&amp;IF((COUNTIFS(TableBOM[Product ID],$D$106,TableBOM[Item ID],$A118)&gt;0)*($H$106&gt;0),$C$106&amp;", ","")&amp;IF((COUNTIFS(TableBOM[Product ID],$D$107,TableBOM[Item ID],$A118)&gt;0)*($H$107&gt;0),$C$107&amp;", ","")&amp;IF((COUNTIFS(TableBOM[Product ID],$D$108,TableBOM[Item ID],$A118)&gt;0)*($H$108&gt;0),$C$108&amp;", ",""))-2),"")</f>
        <v/>
      </c>
      <c r="I118" s="113">
        <f>IF(LEN(IF((COUNTIFS(TableBOM[Product ID],$D$103,TableBOM[Item ID],$A118)&gt;0)*($H$103&gt;0),$E$103&amp;", ","")&amp;IF((COUNTIFS(TableBOM[Product ID],$D$104,TableBOM[Item ID],$A118)&gt;0)*($H$104&gt;0),$E$104&amp;", ","")&amp;IF((COUNTIFS(TableBOM[Product ID],$D$105,TableBOM[Item ID],$A118)&gt;0)*($H$105&gt;0),$E$105&amp;", ","")&amp;IF((COUNTIFS(TableBOM[Product ID],$D$106,TableBOM[Item ID],$A118)&gt;0)*($H$106&gt;0),$E$106&amp;", ","")&amp;IF((COUNTIFS(TableBOM[Product ID],$D$107,TableBOM[Item ID],$A118)&gt;0)*($H$107&gt;0),$E$107&amp;", ","")&amp;IF((COUNTIFS(TableBOM[Product ID],$D$108,TableBOM[Item ID],$A118)&gt;0)*($H$108&gt;0),$E$108&amp;", ",""))&gt;1,LEFT(IF((COUNTIFS(TableBOM[Product ID],$D$103,TableBOM[Item ID],$A118)&gt;0)*($H$103&gt;0),$E$103&amp;", ","")&amp;IF((COUNTIFS(TableBOM[Product ID],$D$104,TableBOM[Item ID],$A118)&gt;0)*($H$104&gt;0),$E$104&amp;", ","")&amp;IF((COUNTIFS(TableBOM[Product ID],$D$105,TableBOM[Item ID],$A118)&gt;0)*($H$105&gt;0),$E$105&amp;", ","")&amp;IF((COUNTIFS(TableBOM[Product ID],$D$106,TableBOM[Item ID],$A118)&gt;0)*($H$106&gt;0),$E$106&amp;", ","")&amp;IF((COUNTIFS(TableBOM[Product ID],$D$107,TableBOM[Item ID],$A118)&gt;0)*($H$107&gt;0),$E$107&amp;", ","")&amp;IF((COUNTIFS(TableBOM[Product ID],$D$108,TableBOM[Item ID],$A118)&gt;0)*($H$108&gt;0),$E$108&amp;", ",""),LEN(IF((COUNTIFS(TableBOM[Product ID],$D$103,TableBOM[Item ID],$A118)&gt;0)*($H$103&gt;0),$E$103&amp;", ","")&amp;IF((COUNTIFS(TableBOM[Product ID],$D$104,TableBOM[Item ID],$A118)&gt;0)*($H$104&gt;0),$E$104&amp;", ","")&amp;IF((COUNTIFS(TableBOM[Product ID],$D$105,TableBOM[Item ID],$A118)&gt;0)*($H$105&gt;0),$E$105&amp;", ","")&amp;IF((COUNTIFS(TableBOM[Product ID],$D$106,TableBOM[Item ID],$A118)&gt;0)*($H$106&gt;0),$E$106&amp;", ","")&amp;IF((COUNTIFS(TableBOM[Product ID],$D$107,TableBOM[Item ID],$A118)&gt;0)*($H$107&gt;0),$E$107&amp;", ","")&amp;IF((COUNTIFS(TableBOM[Product ID],$D$108,TableBOM[Item ID],$A118)&gt;0)*($H$108&gt;0),$E$108&amp;", ",""))-2),"")</f>
        <v/>
      </c>
      <c r="J118" s="115">
        <f>IF(E118=0,"Not needed",IF(G118&lt;0,"SHORTAGE",IF(G118&lt;F118*0.1,"LOW","OK")))</f>
        <v/>
      </c>
      <c r="L118" s="115">
        <f>IF(E118=0,"",MAX(0,E118-F118))</f>
        <v/>
      </c>
    </row>
    <row r="119" ht="15" customHeight="1" s="249">
      <c r="A119" s="55" t="n">
        <v>3635</v>
      </c>
      <c r="B119" s="55" t="inlineStr">
        <is>
          <t>TAPE</t>
        </is>
      </c>
      <c r="C119" s="111" t="inlineStr">
        <is>
          <t>PACKING TAPE 2" OF 60 YARDS</t>
        </is>
      </c>
      <c r="D119" s="55" t="inlineStr">
        <is>
          <t>PCS</t>
        </is>
      </c>
      <c r="E119" s="66">
        <f>SUMPRODUCT((TableBOM[Item ID]=A119)*TableBOM[Per 1000 Units]*(1+TableBOM[Scrap %])*SUMIF($D$103:$D$108,TableBOM[Product ID],$H$103:$H$108)/1000)</f>
        <v/>
      </c>
      <c r="F119" s="66">
        <f>IFERROR(INDEX(TableInventory[Store Balance],MATCH(A119,TableInventory[Item ID],0)),0)+IFERROR(INDEX(TableInventory[Work In Process],MATCH(A119,TableInventory[Item ID],0)),0)</f>
        <v/>
      </c>
      <c r="G119" s="56">
        <f>F119-E119</f>
        <v/>
      </c>
      <c r="H119" s="112">
        <f>IF(LEN(IF((COUNTIFS(TableBOM[Product ID],$D$103,TableBOM[Item ID],$A119)&gt;0)*($H$103&gt;0),$C$103&amp;", ","")&amp;IF((COUNTIFS(TableBOM[Product ID],$D$104,TableBOM[Item ID],$A119)&gt;0)*($H$104&gt;0),$C$104&amp;", ","")&amp;IF((COUNTIFS(TableBOM[Product ID],$D$105,TableBOM[Item ID],$A119)&gt;0)*($H$105&gt;0),$C$105&amp;", ","")&amp;IF((COUNTIFS(TableBOM[Product ID],$D$106,TableBOM[Item ID],$A119)&gt;0)*($H$106&gt;0),$C$106&amp;", ","")&amp;IF((COUNTIFS(TableBOM[Product ID],$D$107,TableBOM[Item ID],$A119)&gt;0)*($H$107&gt;0),$C$107&amp;", ","")&amp;IF((COUNTIFS(TableBOM[Product ID],$D$108,TableBOM[Item ID],$A119)&gt;0)*($H$108&gt;0),$C$108&amp;", ",""))&gt;1,LEFT(IF((COUNTIFS(TableBOM[Product ID],$D$103,TableBOM[Item ID],$A119)&gt;0)*($H$103&gt;0),$C$103&amp;", ","")&amp;IF((COUNTIFS(TableBOM[Product ID],$D$104,TableBOM[Item ID],$A119)&gt;0)*($H$104&gt;0),$C$104&amp;", ","")&amp;IF((COUNTIFS(TableBOM[Product ID],$D$105,TableBOM[Item ID],$A119)&gt;0)*($H$105&gt;0),$C$105&amp;", ","")&amp;IF((COUNTIFS(TableBOM[Product ID],$D$106,TableBOM[Item ID],$A119)&gt;0)*($H$106&gt;0),$C$106&amp;", ","")&amp;IF((COUNTIFS(TableBOM[Product ID],$D$107,TableBOM[Item ID],$A119)&gt;0)*($H$107&gt;0),$C$107&amp;", ","")&amp;IF((COUNTIFS(TableBOM[Product ID],$D$108,TableBOM[Item ID],$A119)&gt;0)*($H$108&gt;0),$C$108&amp;", ",""),LEN(IF((COUNTIFS(TableBOM[Product ID],$D$103,TableBOM[Item ID],$A119)&gt;0)*($H$103&gt;0),$C$103&amp;", ","")&amp;IF((COUNTIFS(TableBOM[Product ID],$D$104,TableBOM[Item ID],$A119)&gt;0)*($H$104&gt;0),$C$104&amp;", ","")&amp;IF((COUNTIFS(TableBOM[Product ID],$D$105,TableBOM[Item ID],$A119)&gt;0)*($H$105&gt;0),$C$105&amp;", ","")&amp;IF((COUNTIFS(TableBOM[Product ID],$D$106,TableBOM[Item ID],$A119)&gt;0)*($H$106&gt;0),$C$106&amp;", ","")&amp;IF((COUNTIFS(TableBOM[Product ID],$D$107,TableBOM[Item ID],$A119)&gt;0)*($H$107&gt;0),$C$107&amp;", ","")&amp;IF((COUNTIFS(TableBOM[Product ID],$D$108,TableBOM[Item ID],$A119)&gt;0)*($H$108&gt;0),$C$108&amp;", ",""))-2),"")</f>
        <v/>
      </c>
      <c r="I119" s="113">
        <f>IF(LEN(IF((COUNTIFS(TableBOM[Product ID],$D$103,TableBOM[Item ID],$A119)&gt;0)*($H$103&gt;0),$E$103&amp;", ","")&amp;IF((COUNTIFS(TableBOM[Product ID],$D$104,TableBOM[Item ID],$A119)&gt;0)*($H$104&gt;0),$E$104&amp;", ","")&amp;IF((COUNTIFS(TableBOM[Product ID],$D$105,TableBOM[Item ID],$A119)&gt;0)*($H$105&gt;0),$E$105&amp;", ","")&amp;IF((COUNTIFS(TableBOM[Product ID],$D$106,TableBOM[Item ID],$A119)&gt;0)*($H$106&gt;0),$E$106&amp;", ","")&amp;IF((COUNTIFS(TableBOM[Product ID],$D$107,TableBOM[Item ID],$A119)&gt;0)*($H$107&gt;0),$E$107&amp;", ","")&amp;IF((COUNTIFS(TableBOM[Product ID],$D$108,TableBOM[Item ID],$A119)&gt;0)*($H$108&gt;0),$E$108&amp;", ",""))&gt;1,LEFT(IF((COUNTIFS(TableBOM[Product ID],$D$103,TableBOM[Item ID],$A119)&gt;0)*($H$103&gt;0),$E$103&amp;", ","")&amp;IF((COUNTIFS(TableBOM[Product ID],$D$104,TableBOM[Item ID],$A119)&gt;0)*($H$104&gt;0),$E$104&amp;", ","")&amp;IF((COUNTIFS(TableBOM[Product ID],$D$105,TableBOM[Item ID],$A119)&gt;0)*($H$105&gt;0),$E$105&amp;", ","")&amp;IF((COUNTIFS(TableBOM[Product ID],$D$106,TableBOM[Item ID],$A119)&gt;0)*($H$106&gt;0),$E$106&amp;", ","")&amp;IF((COUNTIFS(TableBOM[Product ID],$D$107,TableBOM[Item ID],$A119)&gt;0)*($H$107&gt;0),$E$107&amp;", ","")&amp;IF((COUNTIFS(TableBOM[Product ID],$D$108,TableBOM[Item ID],$A119)&gt;0)*($H$108&gt;0),$E$108&amp;", ",""),LEN(IF((COUNTIFS(TableBOM[Product ID],$D$103,TableBOM[Item ID],$A119)&gt;0)*($H$103&gt;0),$E$103&amp;", ","")&amp;IF((COUNTIFS(TableBOM[Product ID],$D$104,TableBOM[Item ID],$A119)&gt;0)*($H$104&gt;0),$E$104&amp;", ","")&amp;IF((COUNTIFS(TableBOM[Product ID],$D$105,TableBOM[Item ID],$A119)&gt;0)*($H$105&gt;0),$E$105&amp;", ","")&amp;IF((COUNTIFS(TableBOM[Product ID],$D$106,TableBOM[Item ID],$A119)&gt;0)*($H$106&gt;0),$E$106&amp;", ","")&amp;IF((COUNTIFS(TableBOM[Product ID],$D$107,TableBOM[Item ID],$A119)&gt;0)*($H$107&gt;0),$E$107&amp;", ","")&amp;IF((COUNTIFS(TableBOM[Product ID],$D$108,TableBOM[Item ID],$A119)&gt;0)*($H$108&gt;0),$E$108&amp;", ",""))-2),"")</f>
        <v/>
      </c>
      <c r="J119" s="115">
        <f>IF(E119=0,"Not needed",IF(G119&lt;0,"SHORTAGE",IF(G119&lt;F119*0.1,"LOW","OK")))</f>
        <v/>
      </c>
      <c r="L119" s="115">
        <f>IF(E119=0,"",MAX(0,E119-F119))</f>
        <v/>
      </c>
    </row>
    <row r="120" ht="15" customHeight="1" s="249">
      <c r="A120" s="55" t="n">
        <v>3043</v>
      </c>
      <c r="B120" s="55" t="inlineStr">
        <is>
          <t>PACKING</t>
        </is>
      </c>
      <c r="C120" s="111" t="inlineStr">
        <is>
          <t>PLASTIC DOORI</t>
        </is>
      </c>
      <c r="D120" s="55" t="inlineStr">
        <is>
          <t>ROLL</t>
        </is>
      </c>
      <c r="E120" s="66">
        <f>SUMPRODUCT((TableBOM[Item ID]=A120)*TableBOM[Per 1000 Units]*(1+TableBOM[Scrap %])*SUMIF($D$103:$D$108,TableBOM[Product ID],$H$103:$H$108)/1000)</f>
        <v/>
      </c>
      <c r="F120" s="66">
        <f>IFERROR(INDEX(TableInventory[Store Balance],MATCH(A120,TableInventory[Item ID],0)),0)+IFERROR(INDEX(TableInventory[Work In Process],MATCH(A120,TableInventory[Item ID],0)),0)</f>
        <v/>
      </c>
      <c r="G120" s="56">
        <f>F120-E120</f>
        <v/>
      </c>
      <c r="H120" s="112">
        <f>IF(LEN(IF((COUNTIFS(TableBOM[Product ID],$D$103,TableBOM[Item ID],$A120)&gt;0)*($H$103&gt;0),$C$103&amp;", ","")&amp;IF((COUNTIFS(TableBOM[Product ID],$D$104,TableBOM[Item ID],$A120)&gt;0)*($H$104&gt;0),$C$104&amp;", ","")&amp;IF((COUNTIFS(TableBOM[Product ID],$D$105,TableBOM[Item ID],$A120)&gt;0)*($H$105&gt;0),$C$105&amp;", ","")&amp;IF((COUNTIFS(TableBOM[Product ID],$D$106,TableBOM[Item ID],$A120)&gt;0)*($H$106&gt;0),$C$106&amp;", ","")&amp;IF((COUNTIFS(TableBOM[Product ID],$D$107,TableBOM[Item ID],$A120)&gt;0)*($H$107&gt;0),$C$107&amp;", ","")&amp;IF((COUNTIFS(TableBOM[Product ID],$D$108,TableBOM[Item ID],$A120)&gt;0)*($H$108&gt;0),$C$108&amp;", ",""))&gt;1,LEFT(IF((COUNTIFS(TableBOM[Product ID],$D$103,TableBOM[Item ID],$A120)&gt;0)*($H$103&gt;0),$C$103&amp;", ","")&amp;IF((COUNTIFS(TableBOM[Product ID],$D$104,TableBOM[Item ID],$A120)&gt;0)*($H$104&gt;0),$C$104&amp;", ","")&amp;IF((COUNTIFS(TableBOM[Product ID],$D$105,TableBOM[Item ID],$A120)&gt;0)*($H$105&gt;0),$C$105&amp;", ","")&amp;IF((COUNTIFS(TableBOM[Product ID],$D$106,TableBOM[Item ID],$A120)&gt;0)*($H$106&gt;0),$C$106&amp;", ","")&amp;IF((COUNTIFS(TableBOM[Product ID],$D$107,TableBOM[Item ID],$A120)&gt;0)*($H$107&gt;0),$C$107&amp;", ","")&amp;IF((COUNTIFS(TableBOM[Product ID],$D$108,TableBOM[Item ID],$A120)&gt;0)*($H$108&gt;0),$C$108&amp;", ",""),LEN(IF((COUNTIFS(TableBOM[Product ID],$D$103,TableBOM[Item ID],$A120)&gt;0)*($H$103&gt;0),$C$103&amp;", ","")&amp;IF((COUNTIFS(TableBOM[Product ID],$D$104,TableBOM[Item ID],$A120)&gt;0)*($H$104&gt;0),$C$104&amp;", ","")&amp;IF((COUNTIFS(TableBOM[Product ID],$D$105,TableBOM[Item ID],$A120)&gt;0)*($H$105&gt;0),$C$105&amp;", ","")&amp;IF((COUNTIFS(TableBOM[Product ID],$D$106,TableBOM[Item ID],$A120)&gt;0)*($H$106&gt;0),$C$106&amp;", ","")&amp;IF((COUNTIFS(TableBOM[Product ID],$D$107,TableBOM[Item ID],$A120)&gt;0)*($H$107&gt;0),$C$107&amp;", ","")&amp;IF((COUNTIFS(TableBOM[Product ID],$D$108,TableBOM[Item ID],$A120)&gt;0)*($H$108&gt;0),$C$108&amp;", ",""))-2),"")</f>
        <v/>
      </c>
      <c r="I120" s="113">
        <f>IF(LEN(IF((COUNTIFS(TableBOM[Product ID],$D$103,TableBOM[Item ID],$A120)&gt;0)*($H$103&gt;0),$E$103&amp;", ","")&amp;IF((COUNTIFS(TableBOM[Product ID],$D$104,TableBOM[Item ID],$A120)&gt;0)*($H$104&gt;0),$E$104&amp;", ","")&amp;IF((COUNTIFS(TableBOM[Product ID],$D$105,TableBOM[Item ID],$A120)&gt;0)*($H$105&gt;0),$E$105&amp;", ","")&amp;IF((COUNTIFS(TableBOM[Product ID],$D$106,TableBOM[Item ID],$A120)&gt;0)*($H$106&gt;0),$E$106&amp;", ","")&amp;IF((COUNTIFS(TableBOM[Product ID],$D$107,TableBOM[Item ID],$A120)&gt;0)*($H$107&gt;0),$E$107&amp;", ","")&amp;IF((COUNTIFS(TableBOM[Product ID],$D$108,TableBOM[Item ID],$A120)&gt;0)*($H$108&gt;0),$E$108&amp;", ",""))&gt;1,LEFT(IF((COUNTIFS(TableBOM[Product ID],$D$103,TableBOM[Item ID],$A120)&gt;0)*($H$103&gt;0),$E$103&amp;", ","")&amp;IF((COUNTIFS(TableBOM[Product ID],$D$104,TableBOM[Item ID],$A120)&gt;0)*($H$104&gt;0),$E$104&amp;", ","")&amp;IF((COUNTIFS(TableBOM[Product ID],$D$105,TableBOM[Item ID],$A120)&gt;0)*($H$105&gt;0),$E$105&amp;", ","")&amp;IF((COUNTIFS(TableBOM[Product ID],$D$106,TableBOM[Item ID],$A120)&gt;0)*($H$106&gt;0),$E$106&amp;", ","")&amp;IF((COUNTIFS(TableBOM[Product ID],$D$107,TableBOM[Item ID],$A120)&gt;0)*($H$107&gt;0),$E$107&amp;", ","")&amp;IF((COUNTIFS(TableBOM[Product ID],$D$108,TableBOM[Item ID],$A120)&gt;0)*($H$108&gt;0),$E$108&amp;", ",""),LEN(IF((COUNTIFS(TableBOM[Product ID],$D$103,TableBOM[Item ID],$A120)&gt;0)*($H$103&gt;0),$E$103&amp;", ","")&amp;IF((COUNTIFS(TableBOM[Product ID],$D$104,TableBOM[Item ID],$A120)&gt;0)*($H$104&gt;0),$E$104&amp;", ","")&amp;IF((COUNTIFS(TableBOM[Product ID],$D$105,TableBOM[Item ID],$A120)&gt;0)*($H$105&gt;0),$E$105&amp;", ","")&amp;IF((COUNTIFS(TableBOM[Product ID],$D$106,TableBOM[Item ID],$A120)&gt;0)*($H$106&gt;0),$E$106&amp;", ","")&amp;IF((COUNTIFS(TableBOM[Product ID],$D$107,TableBOM[Item ID],$A120)&gt;0)*($H$107&gt;0),$E$107&amp;", ","")&amp;IF((COUNTIFS(TableBOM[Product ID],$D$108,TableBOM[Item ID],$A120)&gt;0)*($H$108&gt;0),$E$108&amp;", ",""))-2),"")</f>
        <v/>
      </c>
      <c r="J120" s="115">
        <f>IF(E120=0,"Not needed",IF(G120&lt;0,"SHORTAGE",IF(G120&lt;F120*0.1,"LOW","OK")))</f>
        <v/>
      </c>
      <c r="L120" s="115">
        <f>IF(E120=0,"",MAX(0,E120-F120))</f>
        <v/>
      </c>
    </row>
    <row r="121" ht="15" customHeight="1" s="249">
      <c r="A121" s="55" t="n"/>
      <c r="B121" s="55" t="n"/>
      <c r="C121" s="55" t="n"/>
      <c r="D121" s="55" t="n"/>
      <c r="E121" s="67" t="n"/>
      <c r="F121" s="116" t="n"/>
      <c r="G121" s="100" t="n"/>
      <c r="H121" s="67" t="n"/>
      <c r="I121" s="67" t="n"/>
      <c r="J121" s="63" t="n"/>
    </row>
    <row r="122" ht="18" customHeight="1" s="249">
      <c r="A122" s="285" t="inlineStr">
        <is>
          <t xml:space="preserve">  INK — Avg Monthly Usage  |  Data: May 2025 – Apr 2026  |  271.9 kg issued  /  8,617,293 tubes  =  31.6 g / 1,000 tubes</t>
        </is>
      </c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</row>
    <row r="123" ht="30" customHeight="1" s="249">
      <c r="A123" s="118" t="inlineStr">
        <is>
          <t>Item ID</t>
        </is>
      </c>
      <c r="B123" s="118" t="inlineStr">
        <is>
          <t>Category</t>
        </is>
      </c>
      <c r="C123" s="118" t="inlineStr">
        <is>
          <t>Item Name</t>
        </is>
      </c>
      <c r="D123" s="118" t="inlineStr">
        <is>
          <t>UOM</t>
        </is>
      </c>
      <c r="E123" s="119" t="inlineStr">
        <is>
          <t>Avg Monthly
Usage (kg)</t>
        </is>
      </c>
      <c r="F123" s="119" t="inlineStr">
        <is>
          <t>Days of
Stock Left</t>
        </is>
      </c>
      <c r="G123" s="120" t="inlineStr">
        <is>
          <t>Status</t>
        </is>
      </c>
      <c r="H123" s="119" t="inlineStr">
        <is>
          <t>Current Stock
(Store + WIP)</t>
        </is>
      </c>
      <c r="I123" s="119" t="inlineStr">
        <is>
          <t>Surplus /
(Deficit)</t>
        </is>
      </c>
      <c r="J123" s="118" t="inlineStr">
        <is>
          <t>g / 1,000
tubes (ref)</t>
        </is>
      </c>
      <c r="K123" s="117" t="n"/>
      <c r="L123" s="117" t="n"/>
      <c r="M123" s="117" t="n"/>
      <c r="N123" s="117" t="n"/>
      <c r="O123" s="117" t="n"/>
      <c r="P123" s="117" t="n"/>
      <c r="Q123" s="117" t="n"/>
      <c r="R123" s="117" t="n"/>
      <c r="S123" s="117" t="n"/>
      <c r="T123" s="117" t="n"/>
      <c r="U123" s="117" t="n"/>
      <c r="V123" s="117" t="n"/>
    </row>
    <row r="124" ht="15" customHeight="1" s="249">
      <c r="A124" s="121" t="n">
        <v>3734</v>
      </c>
      <c r="B124" s="121" t="inlineStr">
        <is>
          <t>INK</t>
        </is>
      </c>
      <c r="C124" s="122" t="inlineStr">
        <is>
          <t>MAGENTA (LOCAL) 32500</t>
        </is>
      </c>
      <c r="D124" s="121" t="inlineStr">
        <is>
          <t>kg</t>
        </is>
      </c>
      <c r="E124" s="123" t="n">
        <v>4.58</v>
      </c>
      <c r="F124" s="124">
        <f>IF(E124=0,0,ROUND(H124/E124*30,1))</f>
        <v/>
      </c>
      <c r="G124" s="125">
        <f>IF(E124=0,"Not needed",IF(I124&lt;0,"SHORTAGE",IF(I124&lt;E124,"LOW","OK")))</f>
        <v/>
      </c>
      <c r="H124" s="126">
        <f>IFERROR(INDEX(TableInventory[Store Balance],MATCH(A124,TableInventory[Item ID],0)),0)+IFERROR(INDEX(TableInventory[Work In Process],MATCH(A124,TableInventory[Item ID],0)),0)</f>
        <v/>
      </c>
      <c r="I124" s="126">
        <f>H124-E124</f>
        <v/>
      </c>
      <c r="J124" s="127" t="n">
        <v>6.38</v>
      </c>
      <c r="K124" s="117" t="n"/>
      <c r="L124" s="117" t="n"/>
      <c r="M124" s="117" t="n"/>
      <c r="N124" s="117" t="n"/>
      <c r="O124" s="117" t="n"/>
      <c r="P124" s="117" t="n"/>
      <c r="Q124" s="117" t="n"/>
      <c r="R124" s="117" t="n"/>
      <c r="S124" s="117" t="n"/>
      <c r="T124" s="117" t="n"/>
      <c r="U124" s="117" t="n"/>
      <c r="V124" s="117" t="n"/>
    </row>
    <row r="125" ht="15" customHeight="1" s="249">
      <c r="A125" s="121" t="n">
        <v>6038</v>
      </c>
      <c r="B125" s="121" t="inlineStr">
        <is>
          <t>INK</t>
        </is>
      </c>
      <c r="C125" s="122" t="inlineStr">
        <is>
          <t>INK BLUE PC</t>
        </is>
      </c>
      <c r="D125" s="121" t="inlineStr">
        <is>
          <t>kg</t>
        </is>
      </c>
      <c r="E125" s="123" t="n">
        <v>2.08</v>
      </c>
      <c r="F125" s="124">
        <f>IF(E125=0,0,ROUND(H125/E125*30,1))</f>
        <v/>
      </c>
      <c r="G125" s="125">
        <f>IF(E125=0,"Not needed",IF(I125&lt;0,"SHORTAGE",IF(I125&lt;E125,"LOW","OK")))</f>
        <v/>
      </c>
      <c r="H125" s="126">
        <f>IFERROR(INDEX(TableInventory[Store Balance],MATCH(A125,TableInventory[Item ID],0)),0)+IFERROR(INDEX(TableInventory[Work In Process],MATCH(A125,TableInventory[Item ID],0)),0)</f>
        <v/>
      </c>
      <c r="I125" s="126">
        <f>H125-E125</f>
        <v/>
      </c>
      <c r="J125" s="127" t="n">
        <v>2.9</v>
      </c>
      <c r="K125" s="117" t="n"/>
      <c r="L125" s="117" t="n"/>
      <c r="M125" s="117" t="n"/>
      <c r="N125" s="117" t="n"/>
      <c r="O125" s="117" t="n"/>
      <c r="P125" s="117" t="n"/>
      <c r="Q125" s="117" t="n"/>
      <c r="R125" s="117" t="n"/>
      <c r="S125" s="117" t="n"/>
      <c r="T125" s="117" t="n"/>
      <c r="U125" s="117" t="n"/>
      <c r="V125" s="117" t="n"/>
    </row>
    <row r="126" ht="15" customHeight="1" s="249">
      <c r="A126" s="121" t="n">
        <v>3858</v>
      </c>
      <c r="B126" s="121" t="inlineStr">
        <is>
          <t>INK</t>
        </is>
      </c>
      <c r="C126" s="122" t="inlineStr">
        <is>
          <t>GOLD (LOCAL) 97035</t>
        </is>
      </c>
      <c r="D126" s="121" t="inlineStr">
        <is>
          <t>kg</t>
        </is>
      </c>
      <c r="E126" s="123" t="n">
        <v>2.01</v>
      </c>
      <c r="F126" s="124">
        <f>IF(E126=0,0,ROUND(H126/E126*30,1))</f>
        <v/>
      </c>
      <c r="G126" s="125">
        <f>IF(E126=0,"Not needed",IF(I126&lt;0,"SHORTAGE",IF(I126&lt;E126,"LOW","OK")))</f>
        <v/>
      </c>
      <c r="H126" s="126">
        <f>IFERROR(INDEX(TableInventory[Store Balance],MATCH(A126,TableInventory[Item ID],0)),0)+IFERROR(INDEX(TableInventory[Work In Process],MATCH(A126,TableInventory[Item ID],0)),0)</f>
        <v/>
      </c>
      <c r="I126" s="126">
        <f>H126-E126</f>
        <v/>
      </c>
      <c r="J126" s="127" t="n">
        <v>2.8</v>
      </c>
      <c r="K126" s="117" t="n"/>
      <c r="L126" s="117" t="n"/>
      <c r="M126" s="117" t="n"/>
      <c r="N126" s="117" t="n"/>
      <c r="O126" s="117" t="n"/>
      <c r="P126" s="117" t="n"/>
      <c r="Q126" s="117" t="n"/>
      <c r="R126" s="117" t="n"/>
      <c r="S126" s="117" t="n"/>
      <c r="T126" s="117" t="n"/>
      <c r="U126" s="117" t="n"/>
      <c r="V126" s="117" t="n"/>
    </row>
    <row r="127" ht="15" customHeight="1" s="249">
      <c r="A127" s="121" t="n">
        <v>3754</v>
      </c>
      <c r="B127" s="121" t="inlineStr">
        <is>
          <t>INK</t>
        </is>
      </c>
      <c r="C127" s="122" t="inlineStr">
        <is>
          <t>RED BRONZE (LOCAL) 32519</t>
        </is>
      </c>
      <c r="D127" s="121" t="inlineStr">
        <is>
          <t>kg</t>
        </is>
      </c>
      <c r="E127" s="123" t="n">
        <v>1.92</v>
      </c>
      <c r="F127" s="124">
        <f>IF(E127=0,0,ROUND(H127/E127*30,1))</f>
        <v/>
      </c>
      <c r="G127" s="125">
        <f>IF(E127=0,"Not needed",IF(I127&lt;0,"SHORTAGE",IF(I127&lt;E127,"LOW","OK")))</f>
        <v/>
      </c>
      <c r="H127" s="126">
        <f>IFERROR(INDEX(TableInventory[Store Balance],MATCH(A127,TableInventory[Item ID],0)),0)+IFERROR(INDEX(TableInventory[Work In Process],MATCH(A127,TableInventory[Item ID],0)),0)</f>
        <v/>
      </c>
      <c r="I127" s="126">
        <f>H127-E127</f>
        <v/>
      </c>
      <c r="J127" s="127" t="n">
        <v>2.67</v>
      </c>
      <c r="K127" s="117" t="n"/>
      <c r="L127" s="117" t="n"/>
      <c r="M127" s="117" t="n"/>
      <c r="N127" s="117" t="n"/>
      <c r="O127" s="117" t="n"/>
      <c r="P127" s="117" t="n"/>
      <c r="Q127" s="117" t="n"/>
      <c r="R127" s="117" t="n"/>
      <c r="S127" s="117" t="n"/>
      <c r="T127" s="117" t="n"/>
      <c r="U127" s="117" t="n"/>
      <c r="V127" s="117" t="n"/>
    </row>
    <row r="128" ht="15" customHeight="1" s="249">
      <c r="A128" s="121" t="n">
        <v>3755</v>
      </c>
      <c r="B128" s="121" t="inlineStr">
        <is>
          <t>INK</t>
        </is>
      </c>
      <c r="C128" s="122" t="inlineStr">
        <is>
          <t>INK BLUE ES 164</t>
        </is>
      </c>
      <c r="D128" s="121" t="inlineStr">
        <is>
          <t>kg</t>
        </is>
      </c>
      <c r="E128" s="123" t="n">
        <v>1.75</v>
      </c>
      <c r="F128" s="124">
        <f>IF(E128=0,0,ROUND(H128/E128*30,1))</f>
        <v/>
      </c>
      <c r="G128" s="125">
        <f>IF(E128=0,"Not needed",IF(I128&lt;0,"SHORTAGE",IF(I128&lt;E128,"LOW","OK")))</f>
        <v/>
      </c>
      <c r="H128" s="126">
        <f>IFERROR(INDEX(TableInventory[Store Balance],MATCH(A128,TableInventory[Item ID],0)),0)+IFERROR(INDEX(TableInventory[Work In Process],MATCH(A128,TableInventory[Item ID],0)),0)</f>
        <v/>
      </c>
      <c r="I128" s="126">
        <f>H128-E128</f>
        <v/>
      </c>
      <c r="J128" s="127" t="n">
        <v>2.44</v>
      </c>
      <c r="K128" s="117" t="n"/>
      <c r="L128" s="117" t="n"/>
      <c r="M128" s="117" t="n"/>
      <c r="N128" s="117" t="n"/>
      <c r="O128" s="117" t="n"/>
      <c r="P128" s="117" t="n"/>
      <c r="Q128" s="117" t="n"/>
      <c r="R128" s="117" t="n"/>
      <c r="S128" s="117" t="n"/>
      <c r="T128" s="117" t="n"/>
      <c r="U128" s="117" t="n"/>
      <c r="V128" s="117" t="n"/>
    </row>
    <row r="129" ht="15" customHeight="1" s="249">
      <c r="A129" s="121" t="n">
        <v>1928</v>
      </c>
      <c r="B129" s="121" t="inlineStr">
        <is>
          <t>INK</t>
        </is>
      </c>
      <c r="C129" s="122" t="inlineStr">
        <is>
          <t>BLACK (LOCAL) 77842</t>
        </is>
      </c>
      <c r="D129" s="121" t="inlineStr">
        <is>
          <t>kg</t>
        </is>
      </c>
      <c r="E129" s="123" t="n">
        <v>1.67</v>
      </c>
      <c r="F129" s="124">
        <f>IF(E129=0,0,ROUND(H129/E129*30,1))</f>
        <v/>
      </c>
      <c r="G129" s="125">
        <f>IF(E129=0,"Not needed",IF(I129&lt;0,"SHORTAGE",IF(I129&lt;E129,"LOW","OK")))</f>
        <v/>
      </c>
      <c r="H129" s="126">
        <f>IFERROR(INDEX(TableInventory[Store Balance],MATCH(A129,TableInventory[Item ID],0)),0)+IFERROR(INDEX(TableInventory[Work In Process],MATCH(A129,TableInventory[Item ID],0)),0)</f>
        <v/>
      </c>
      <c r="I129" s="126">
        <f>H129-E129</f>
        <v/>
      </c>
      <c r="J129" s="127" t="n">
        <v>2.32</v>
      </c>
      <c r="K129" s="117" t="n"/>
      <c r="L129" s="117" t="n"/>
      <c r="M129" s="117" t="n"/>
      <c r="N129" s="117" t="n"/>
      <c r="O129" s="117" t="n"/>
      <c r="P129" s="117" t="n"/>
      <c r="Q129" s="117" t="n"/>
      <c r="R129" s="117" t="n"/>
      <c r="S129" s="117" t="n"/>
      <c r="T129" s="117" t="n"/>
      <c r="U129" s="117" t="n"/>
      <c r="V129" s="117" t="n"/>
    </row>
    <row r="130" ht="15" customHeight="1" s="249">
      <c r="A130" s="121" t="n">
        <v>7094</v>
      </c>
      <c r="B130" s="121" t="inlineStr">
        <is>
          <t>INK</t>
        </is>
      </c>
      <c r="C130" s="122" t="inlineStr">
        <is>
          <t>INK GOLD V0221267AT-401363 IMPORTED</t>
        </is>
      </c>
      <c r="D130" s="121" t="inlineStr">
        <is>
          <t>kg</t>
        </is>
      </c>
      <c r="E130" s="123" t="n">
        <v>1.67</v>
      </c>
      <c r="F130" s="124">
        <f>IF(E130=0,0,ROUND(H130/E130*30,1))</f>
        <v/>
      </c>
      <c r="G130" s="125">
        <f>IF(E130=0,"Not needed",IF(I130&lt;0,"SHORTAGE",IF(I130&lt;E130,"LOW","OK")))</f>
        <v/>
      </c>
      <c r="H130" s="126">
        <f>IFERROR(INDEX(TableInventory[Store Balance],MATCH(A130,TableInventory[Item ID],0)),0)+IFERROR(INDEX(TableInventory[Work In Process],MATCH(A130,TableInventory[Item ID],0)),0)</f>
        <v/>
      </c>
      <c r="I130" s="126">
        <f>H130-E130</f>
        <v/>
      </c>
      <c r="J130" s="127" t="n">
        <v>2.32</v>
      </c>
      <c r="K130" s="117" t="n"/>
      <c r="L130" s="117" t="n"/>
      <c r="M130" s="117" t="n"/>
      <c r="N130" s="117" t="n"/>
      <c r="O130" s="117" t="n"/>
      <c r="P130" s="117" t="n"/>
      <c r="Q130" s="117" t="n"/>
      <c r="R130" s="117" t="n"/>
      <c r="S130" s="117" t="n"/>
      <c r="T130" s="117" t="n"/>
      <c r="U130" s="117" t="n"/>
      <c r="V130" s="117" t="n"/>
    </row>
    <row r="131" ht="15" customHeight="1" s="249">
      <c r="A131" s="121" t="n">
        <v>3736</v>
      </c>
      <c r="B131" s="121" t="inlineStr">
        <is>
          <t>INK</t>
        </is>
      </c>
      <c r="C131" s="122" t="inlineStr">
        <is>
          <t>WHITE (LOCAL) 07094</t>
        </is>
      </c>
      <c r="D131" s="121" t="inlineStr">
        <is>
          <t>kg</t>
        </is>
      </c>
      <c r="E131" s="123" t="n">
        <v>1.15</v>
      </c>
      <c r="F131" s="124">
        <f>IF(E131=0,0,ROUND(H131/E131*30,1))</f>
        <v/>
      </c>
      <c r="G131" s="125">
        <f>IF(E131=0,"Not needed",IF(I131&lt;0,"SHORTAGE",IF(I131&lt;E131,"LOW","OK")))</f>
        <v/>
      </c>
      <c r="H131" s="126">
        <f>IFERROR(INDEX(TableInventory[Store Balance],MATCH(A131,TableInventory[Item ID],0)),0)+IFERROR(INDEX(TableInventory[Work In Process],MATCH(A131,TableInventory[Item ID],0)),0)</f>
        <v/>
      </c>
      <c r="I131" s="126">
        <f>H131-E131</f>
        <v/>
      </c>
      <c r="J131" s="127" t="n">
        <v>1.6</v>
      </c>
      <c r="K131" s="117" t="n"/>
      <c r="L131" s="117" t="n"/>
      <c r="M131" s="117" t="n"/>
      <c r="N131" s="117" t="n"/>
      <c r="O131" s="117" t="n"/>
      <c r="P131" s="117" t="n"/>
      <c r="Q131" s="117" t="n"/>
      <c r="R131" s="117" t="n"/>
      <c r="S131" s="117" t="n"/>
      <c r="T131" s="117" t="n"/>
      <c r="U131" s="117" t="n"/>
      <c r="V131" s="117" t="n"/>
    </row>
    <row r="132" ht="15" customHeight="1" s="249">
      <c r="A132" s="121" t="n">
        <v>3955</v>
      </c>
      <c r="B132" s="121" t="inlineStr">
        <is>
          <t>INK</t>
        </is>
      </c>
      <c r="C132" s="122" t="inlineStr">
        <is>
          <t>GERANIUM (EVER SHINE) ES-130</t>
        </is>
      </c>
      <c r="D132" s="121" t="inlineStr">
        <is>
          <t>kg</t>
        </is>
      </c>
      <c r="E132" s="123" t="n">
        <v>0.92</v>
      </c>
      <c r="F132" s="124">
        <f>IF(E132=0,0,ROUND(H132/E132*30,1))</f>
        <v/>
      </c>
      <c r="G132" s="125">
        <f>IF(E132=0,"Not needed",IF(I132&lt;0,"SHORTAGE",IF(I132&lt;E132,"LOW","OK")))</f>
        <v/>
      </c>
      <c r="H132" s="126">
        <f>IFERROR(INDEX(TableInventory[Store Balance],MATCH(A132,TableInventory[Item ID],0)),0)+IFERROR(INDEX(TableInventory[Work In Process],MATCH(A132,TableInventory[Item ID],0)),0)</f>
        <v/>
      </c>
      <c r="I132" s="126">
        <f>H132-E132</f>
        <v/>
      </c>
      <c r="J132" s="127" t="n">
        <v>1.28</v>
      </c>
      <c r="K132" s="117" t="n"/>
      <c r="L132" s="117" t="n"/>
      <c r="M132" s="117" t="n"/>
      <c r="N132" s="117" t="n"/>
      <c r="O132" s="117" t="n"/>
      <c r="P132" s="117" t="n"/>
      <c r="Q132" s="117" t="n"/>
      <c r="R132" s="117" t="n"/>
      <c r="S132" s="117" t="n"/>
      <c r="T132" s="117" t="n"/>
      <c r="U132" s="117" t="n"/>
      <c r="V132" s="117" t="n"/>
    </row>
    <row r="133" ht="18.75" customHeight="1" s="249">
      <c r="A133" s="121" t="n">
        <v>7398</v>
      </c>
      <c r="B133" s="121" t="inlineStr">
        <is>
          <t>INK</t>
        </is>
      </c>
      <c r="C133" s="122" t="inlineStr">
        <is>
          <t>PURPLE 48054</t>
        </is>
      </c>
      <c r="D133" s="121" t="inlineStr">
        <is>
          <t>kg</t>
        </is>
      </c>
      <c r="E133" s="123" t="n">
        <v>0.75</v>
      </c>
      <c r="F133" s="124">
        <f>IF(E133=0,0,ROUND(H133/E133*30,1))</f>
        <v/>
      </c>
      <c r="G133" s="125">
        <f>IF(E133=0,"Not needed",IF(I133&lt;0,"SHORTAGE",IF(I133&lt;E133,"LOW","OK")))</f>
        <v/>
      </c>
      <c r="H133" s="126">
        <f>IFERROR(INDEX(TableInventory[Store Balance],MATCH(A133,TableInventory[Item ID],0)),0)+IFERROR(INDEX(TableInventory[Work In Process],MATCH(A133,TableInventory[Item ID],0)),0)</f>
        <v/>
      </c>
      <c r="I133" s="126">
        <f>H133-E133</f>
        <v/>
      </c>
      <c r="J133" s="127" t="n">
        <v>1.04</v>
      </c>
      <c r="K133" s="117" t="n"/>
      <c r="L133" s="117" t="n"/>
      <c r="M133" s="117" t="n"/>
      <c r="N133" s="117" t="n"/>
      <c r="O133" s="117" t="n"/>
      <c r="P133" s="117" t="n"/>
      <c r="Q133" s="117" t="n"/>
      <c r="R133" s="117" t="n"/>
      <c r="S133" s="117" t="n"/>
      <c r="T133" s="117" t="n"/>
      <c r="U133" s="117" t="n"/>
      <c r="V133" s="117" t="n"/>
    </row>
    <row r="134" ht="15" customHeight="1" s="249">
      <c r="A134" s="121" t="n">
        <v>3857</v>
      </c>
      <c r="B134" s="121" t="inlineStr">
        <is>
          <t>INK</t>
        </is>
      </c>
      <c r="C134" s="122" t="inlineStr">
        <is>
          <t>ORANGE (LOCAL)</t>
        </is>
      </c>
      <c r="D134" s="121" t="inlineStr">
        <is>
          <t>kg</t>
        </is>
      </c>
      <c r="E134" s="123" t="n">
        <v>0.58</v>
      </c>
      <c r="F134" s="124">
        <f>IF(E134=0,0,ROUND(H134/E134*30,1))</f>
        <v/>
      </c>
      <c r="G134" s="125">
        <f>IF(E134=0,"Not needed",IF(I134&lt;0,"SHORTAGE",IF(I134&lt;E134,"LOW","OK")))</f>
        <v/>
      </c>
      <c r="H134" s="126">
        <f>IFERROR(INDEX(TableInventory[Store Balance],MATCH(A134,TableInventory[Item ID],0)),0)+IFERROR(INDEX(TableInventory[Work In Process],MATCH(A134,TableInventory[Item ID],0)),0)</f>
        <v/>
      </c>
      <c r="I134" s="126">
        <f>H134-E134</f>
        <v/>
      </c>
      <c r="J134" s="127" t="n">
        <v>0.8100000000000001</v>
      </c>
      <c r="K134" s="117" t="n"/>
      <c r="L134" s="117" t="n"/>
      <c r="M134" s="117" t="n"/>
      <c r="N134" s="117" t="n"/>
      <c r="O134" s="117" t="n"/>
      <c r="P134" s="117" t="n"/>
      <c r="Q134" s="117" t="n"/>
      <c r="R134" s="117" t="n"/>
      <c r="S134" s="117" t="n"/>
      <c r="T134" s="117" t="n"/>
      <c r="U134" s="117" t="n"/>
      <c r="V134" s="117" t="n"/>
    </row>
    <row r="135" ht="18.75" customHeight="1" s="249">
      <c r="A135" s="121" t="n">
        <v>6040</v>
      </c>
      <c r="B135" s="121" t="inlineStr">
        <is>
          <t>INK</t>
        </is>
      </c>
      <c r="C135" s="122" t="inlineStr">
        <is>
          <t>INK CYAN PROCESS 51650</t>
        </is>
      </c>
      <c r="D135" s="121" t="inlineStr">
        <is>
          <t>kg</t>
        </is>
      </c>
      <c r="E135" s="123" t="n">
        <v>0.5</v>
      </c>
      <c r="F135" s="124">
        <f>IF(E135=0,0,ROUND(H135/E135*30,1))</f>
        <v/>
      </c>
      <c r="G135" s="125">
        <f>IF(E135=0,"Not needed",IF(I135&lt;0,"SHORTAGE",IF(I135&lt;E135,"LOW","OK")))</f>
        <v/>
      </c>
      <c r="H135" s="126">
        <f>IFERROR(INDEX(TableInventory[Store Balance],MATCH(A135,TableInventory[Item ID],0)),0)+IFERROR(INDEX(TableInventory[Work In Process],MATCH(A135,TableInventory[Item ID],0)),0)</f>
        <v/>
      </c>
      <c r="I135" s="126">
        <f>H135-E135</f>
        <v/>
      </c>
      <c r="J135" s="127" t="n">
        <v>0.7</v>
      </c>
      <c r="K135" s="117" t="n"/>
      <c r="L135" s="117" t="n"/>
      <c r="M135" s="117" t="n"/>
      <c r="N135" s="117" t="n"/>
      <c r="O135" s="117" t="n"/>
      <c r="P135" s="117" t="n"/>
      <c r="Q135" s="117" t="n"/>
      <c r="R135" s="117" t="n"/>
      <c r="S135" s="117" t="n"/>
      <c r="T135" s="117" t="n"/>
      <c r="U135" s="117" t="n"/>
      <c r="V135" s="117" t="n"/>
    </row>
    <row r="136" ht="18.75" customHeight="1" s="249">
      <c r="A136" s="121" t="n">
        <v>5107</v>
      </c>
      <c r="B136" s="121" t="inlineStr">
        <is>
          <t>INK</t>
        </is>
      </c>
      <c r="C136" s="122" t="inlineStr">
        <is>
          <t>YELLOW LEMON 18600</t>
        </is>
      </c>
      <c r="D136" s="121" t="inlineStr">
        <is>
          <t>kg</t>
        </is>
      </c>
      <c r="E136" s="123" t="n">
        <v>0.5</v>
      </c>
      <c r="F136" s="124">
        <f>IF(E136=0,0,ROUND(H136/E136*30,1))</f>
        <v/>
      </c>
      <c r="G136" s="125">
        <f>IF(E136=0,"Not needed",IF(I136&lt;0,"SHORTAGE",IF(I136&lt;E136,"LOW","OK")))</f>
        <v/>
      </c>
      <c r="H136" s="126">
        <f>IFERROR(INDEX(TableInventory[Store Balance],MATCH(A136,TableInventory[Item ID],0)),0)+IFERROR(INDEX(TableInventory[Work In Process],MATCH(A136,TableInventory[Item ID],0)),0)</f>
        <v/>
      </c>
      <c r="I136" s="126">
        <f>H136-E136</f>
        <v/>
      </c>
      <c r="J136" s="127" t="n">
        <v>0.7</v>
      </c>
      <c r="K136" s="117" t="n"/>
      <c r="L136" s="117" t="n"/>
      <c r="M136" s="117" t="n"/>
      <c r="N136" s="117" t="n"/>
      <c r="O136" s="117" t="n"/>
      <c r="P136" s="117" t="n"/>
      <c r="Q136" s="117" t="n"/>
      <c r="R136" s="117" t="n"/>
      <c r="S136" s="117" t="n"/>
      <c r="T136" s="117" t="n"/>
      <c r="U136" s="117" t="n"/>
      <c r="V136" s="117" t="n"/>
    </row>
    <row r="137" ht="18.75" customHeight="1" s="249">
      <c r="A137" s="121" t="n">
        <v>7152</v>
      </c>
      <c r="B137" s="121" t="inlineStr">
        <is>
          <t>INK</t>
        </is>
      </c>
      <c r="C137" s="122" t="inlineStr">
        <is>
          <t>INK GREEN ES 166</t>
        </is>
      </c>
      <c r="D137" s="121" t="inlineStr">
        <is>
          <t>kg</t>
        </is>
      </c>
      <c r="E137" s="123" t="n">
        <v>0.42</v>
      </c>
      <c r="F137" s="124">
        <f>IF(E137=0,0,ROUND(H137/E137*30,1))</f>
        <v/>
      </c>
      <c r="G137" s="125">
        <f>IF(E137=0,"Not needed",IF(I137&lt;0,"SHORTAGE",IF(I137&lt;E137,"LOW","OK")))</f>
        <v/>
      </c>
      <c r="H137" s="126">
        <f>IFERROR(INDEX(TableInventory[Store Balance],MATCH(A137,TableInventory[Item ID],0)),0)+IFERROR(INDEX(TableInventory[Work In Process],MATCH(A137,TableInventory[Item ID],0)),0)</f>
        <v/>
      </c>
      <c r="I137" s="126">
        <f>H137-E137</f>
        <v/>
      </c>
      <c r="J137" s="127" t="n">
        <v>0.58</v>
      </c>
      <c r="K137" s="117" t="n"/>
      <c r="L137" s="117" t="n"/>
      <c r="M137" s="117" t="n"/>
      <c r="N137" s="117" t="n"/>
      <c r="O137" s="117" t="n"/>
      <c r="P137" s="117" t="n"/>
      <c r="Q137" s="117" t="n"/>
      <c r="R137" s="117" t="n"/>
      <c r="S137" s="117" t="n"/>
      <c r="T137" s="117" t="n"/>
      <c r="U137" s="117" t="n"/>
      <c r="V137" s="117" t="n"/>
    </row>
    <row r="138" ht="18.75" customHeight="1" s="249">
      <c r="A138" s="121" t="n">
        <v>7095</v>
      </c>
      <c r="B138" s="121" t="inlineStr">
        <is>
          <t>INK</t>
        </is>
      </c>
      <c r="C138" s="122" t="inlineStr">
        <is>
          <t>INK BLACK 158000 IMPORTED</t>
        </is>
      </c>
      <c r="D138" s="121" t="inlineStr">
        <is>
          <t>kg</t>
        </is>
      </c>
      <c r="E138" s="123" t="n">
        <v>0.33</v>
      </c>
      <c r="F138" s="124">
        <f>IF(E138=0,0,ROUND(H138/E138*30,1))</f>
        <v/>
      </c>
      <c r="G138" s="125">
        <f>IF(E138=0,"Not needed",IF(I138&lt;0,"SHORTAGE",IF(I138&lt;E138,"LOW","OK")))</f>
        <v/>
      </c>
      <c r="H138" s="126">
        <f>IFERROR(INDEX(TableInventory[Store Balance],MATCH(A138,TableInventory[Item ID],0)),0)+IFERROR(INDEX(TableInventory[Work In Process],MATCH(A138,TableInventory[Item ID],0)),0)</f>
        <v/>
      </c>
      <c r="I138" s="126">
        <f>H138-E138</f>
        <v/>
      </c>
      <c r="J138" s="127" t="n">
        <v>0.46</v>
      </c>
      <c r="K138" s="117" t="n"/>
      <c r="L138" s="117" t="n"/>
      <c r="M138" s="117" t="n"/>
      <c r="N138" s="117" t="n"/>
      <c r="O138" s="117" t="n"/>
      <c r="P138" s="117" t="n"/>
      <c r="Q138" s="117" t="n"/>
      <c r="R138" s="117" t="n"/>
      <c r="S138" s="117" t="n"/>
      <c r="T138" s="117" t="n"/>
      <c r="U138" s="117" t="n"/>
      <c r="V138" s="117" t="n"/>
    </row>
    <row r="139" ht="18.75" customHeight="1" s="249">
      <c r="A139" s="121" t="n">
        <v>118</v>
      </c>
      <c r="B139" s="121" t="inlineStr">
        <is>
          <t>INK</t>
        </is>
      </c>
      <c r="C139" s="122" t="inlineStr">
        <is>
          <t>SILVER (LOCAL)</t>
        </is>
      </c>
      <c r="D139" s="121" t="inlineStr">
        <is>
          <t>kg</t>
        </is>
      </c>
      <c r="E139" s="123" t="n">
        <v>0.33</v>
      </c>
      <c r="F139" s="124">
        <f>IF(E139=0,0,ROUND(H139/E139*30,1))</f>
        <v/>
      </c>
      <c r="G139" s="125">
        <f>IF(E139=0,"Not needed",IF(I139&lt;0,"SHORTAGE",IF(I139&lt;E139,"LOW","OK")))</f>
        <v/>
      </c>
      <c r="H139" s="126">
        <f>IFERROR(INDEX(TableInventory[Store Balance],MATCH(A139,TableInventory[Item ID],0)),0)+IFERROR(INDEX(TableInventory[Work In Process],MATCH(A139,TableInventory[Item ID],0)),0)</f>
        <v/>
      </c>
      <c r="I139" s="126">
        <f>H139-E139</f>
        <v/>
      </c>
      <c r="J139" s="127" t="n">
        <v>0.46</v>
      </c>
      <c r="K139" s="117" t="n"/>
      <c r="L139" s="117" t="n"/>
      <c r="M139" s="117" t="n"/>
      <c r="N139" s="117" t="n"/>
      <c r="O139" s="117" t="n"/>
      <c r="P139" s="117" t="n"/>
      <c r="Q139" s="117" t="n"/>
      <c r="R139" s="117" t="n"/>
      <c r="S139" s="117" t="n"/>
      <c r="T139" s="117" t="n"/>
      <c r="U139" s="117" t="n"/>
      <c r="V139" s="117" t="n"/>
    </row>
    <row r="140" ht="18.75" customHeight="1" s="249">
      <c r="A140" s="121" t="n">
        <v>2284</v>
      </c>
      <c r="B140" s="121" t="inlineStr">
        <is>
          <t>INK</t>
        </is>
      </c>
      <c r="C140" s="122" t="inlineStr">
        <is>
          <t>YELLOW (PASTAL-C)</t>
        </is>
      </c>
      <c r="D140" s="121" t="inlineStr">
        <is>
          <t>kg</t>
        </is>
      </c>
      <c r="E140" s="123" t="n">
        <v>0.33</v>
      </c>
      <c r="F140" s="124">
        <f>IF(E140=0,0,ROUND(H140/E140*30,1))</f>
        <v/>
      </c>
      <c r="G140" s="125">
        <f>IF(E140=0,"Not needed",IF(I140&lt;0,"SHORTAGE",IF(I140&lt;E140,"LOW","OK")))</f>
        <v/>
      </c>
      <c r="H140" s="126">
        <f>IFERROR(INDEX(TableInventory[Store Balance],MATCH(A140,TableInventory[Item ID],0)),0)+IFERROR(INDEX(TableInventory[Work In Process],MATCH(A140,TableInventory[Item ID],0)),0)</f>
        <v/>
      </c>
      <c r="I140" s="126">
        <f>H140-E140</f>
        <v/>
      </c>
      <c r="J140" s="127" t="n">
        <v>0.46</v>
      </c>
      <c r="K140" s="117" t="n"/>
      <c r="L140" s="117" t="n"/>
      <c r="M140" s="117" t="n"/>
      <c r="N140" s="117" t="n"/>
      <c r="O140" s="117" t="n"/>
      <c r="P140" s="117" t="n"/>
      <c r="Q140" s="117" t="n"/>
      <c r="R140" s="117" t="n"/>
      <c r="S140" s="117" t="n"/>
      <c r="T140" s="117" t="n"/>
      <c r="U140" s="117" t="n"/>
      <c r="V140" s="117" t="n"/>
    </row>
    <row r="141" ht="15" customHeight="1" s="249">
      <c r="A141" s="121" t="n">
        <v>110</v>
      </c>
      <c r="B141" s="121" t="inlineStr">
        <is>
          <t>INK</t>
        </is>
      </c>
      <c r="C141" s="122" t="inlineStr">
        <is>
          <t>GREEN 165000</t>
        </is>
      </c>
      <c r="D141" s="121" t="inlineStr">
        <is>
          <t>kg</t>
        </is>
      </c>
      <c r="E141" s="123" t="n">
        <v>0.25</v>
      </c>
      <c r="F141" s="124">
        <f>IF(E141=0,0,ROUND(H141/E141*30,1))</f>
        <v/>
      </c>
      <c r="G141" s="125">
        <f>IF(E141=0,"Not needed",IF(I141&lt;0,"SHORTAGE",IF(I141&lt;E141,"LOW","OK")))</f>
        <v/>
      </c>
      <c r="H141" s="126">
        <f>IFERROR(INDEX(TableInventory[Store Balance],MATCH(A141,TableInventory[Item ID],0)),0)+IFERROR(INDEX(TableInventory[Work In Process],MATCH(A141,TableInventory[Item ID],0)),0)</f>
        <v/>
      </c>
      <c r="I141" s="126">
        <f>H141-E141</f>
        <v/>
      </c>
      <c r="J141" s="127" t="n">
        <v>0.35</v>
      </c>
      <c r="K141" s="117" t="n"/>
      <c r="L141" s="117" t="n"/>
      <c r="M141" s="117" t="n"/>
      <c r="N141" s="117" t="n"/>
      <c r="O141" s="117" t="n"/>
      <c r="P141" s="117" t="n"/>
      <c r="Q141" s="117" t="n"/>
      <c r="R141" s="117" t="n"/>
      <c r="S141" s="117" t="n"/>
      <c r="T141" s="117" t="n"/>
      <c r="U141" s="117" t="n"/>
      <c r="V141" s="117" t="n"/>
    </row>
    <row r="142" ht="15" customHeight="1" s="249">
      <c r="A142" s="121" t="n">
        <v>129</v>
      </c>
      <c r="B142" s="121" t="inlineStr">
        <is>
          <t>INK</t>
        </is>
      </c>
      <c r="C142" s="122" t="inlineStr">
        <is>
          <t>MEGENTA RED 152166</t>
        </is>
      </c>
      <c r="D142" s="121" t="inlineStr">
        <is>
          <t>kg</t>
        </is>
      </c>
      <c r="E142" s="123" t="n">
        <v>0.25</v>
      </c>
      <c r="F142" s="124">
        <f>IF(E142=0,0,ROUND(H142/E142*30,1))</f>
        <v/>
      </c>
      <c r="G142" s="125">
        <f>IF(E142=0,"Not needed",IF(I142&lt;0,"SHORTAGE",IF(I142&lt;E142,"LOW","OK")))</f>
        <v/>
      </c>
      <c r="H142" s="126">
        <f>IFERROR(INDEX(TableInventory[Store Balance],MATCH(A142,TableInventory[Item ID],0)),0)+IFERROR(INDEX(TableInventory[Work In Process],MATCH(A142,TableInventory[Item ID],0)),0)</f>
        <v/>
      </c>
      <c r="I142" s="126">
        <f>H142-E142</f>
        <v/>
      </c>
      <c r="J142" s="127" t="n">
        <v>0.35</v>
      </c>
      <c r="K142" s="117" t="n"/>
      <c r="L142" s="117" t="n"/>
      <c r="M142" s="117" t="n"/>
      <c r="N142" s="117" t="n"/>
      <c r="O142" s="117" t="n"/>
      <c r="P142" s="117" t="n"/>
      <c r="Q142" s="117" t="n"/>
      <c r="R142" s="117" t="n"/>
      <c r="S142" s="117" t="n"/>
      <c r="T142" s="117" t="n"/>
      <c r="U142" s="117" t="n"/>
      <c r="V142" s="117" t="n"/>
    </row>
    <row r="143" ht="18.75" customHeight="1" s="249">
      <c r="A143" s="121" t="n">
        <v>6049</v>
      </c>
      <c r="B143" s="121" t="inlineStr">
        <is>
          <t>INK</t>
        </is>
      </c>
      <c r="C143" s="122" t="inlineStr">
        <is>
          <t>DARK BLUE EAZI COLOR 401168</t>
        </is>
      </c>
      <c r="D143" s="121" t="inlineStr">
        <is>
          <t>kg</t>
        </is>
      </c>
      <c r="E143" s="123" t="n">
        <v>0.17</v>
      </c>
      <c r="F143" s="124">
        <f>IF(E143=0,0,ROUND(H143/E143*30,1))</f>
        <v/>
      </c>
      <c r="G143" s="125">
        <f>IF(E143=0,"Not needed",IF(I143&lt;0,"SHORTAGE",IF(I143&lt;E143,"LOW","OK")))</f>
        <v/>
      </c>
      <c r="H143" s="126">
        <f>IFERROR(INDEX(TableInventory[Store Balance],MATCH(A143,TableInventory[Item ID],0)),0)+IFERROR(INDEX(TableInventory[Work In Process],MATCH(A143,TableInventory[Item ID],0)),0)</f>
        <v/>
      </c>
      <c r="I143" s="126">
        <f>H143-E143</f>
        <v/>
      </c>
      <c r="J143" s="127" t="n">
        <v>0.23</v>
      </c>
      <c r="K143" s="117" t="n"/>
      <c r="L143" s="117" t="n"/>
      <c r="M143" s="117" t="n"/>
      <c r="N143" s="117" t="n"/>
      <c r="O143" s="117" t="n"/>
      <c r="P143" s="117" t="n"/>
      <c r="Q143" s="117" t="n"/>
      <c r="R143" s="117" t="n"/>
      <c r="S143" s="117" t="n"/>
      <c r="T143" s="117" t="n"/>
      <c r="U143" s="117" t="n"/>
      <c r="V143" s="117" t="n"/>
    </row>
    <row r="144" ht="36" customHeight="1" s="249">
      <c r="A144" s="121" t="n">
        <v>3770</v>
      </c>
      <c r="B144" s="121" t="inlineStr">
        <is>
          <t>INK</t>
        </is>
      </c>
      <c r="C144" s="122" t="inlineStr">
        <is>
          <t>GREEN PC</t>
        </is>
      </c>
      <c r="D144" s="121" t="inlineStr">
        <is>
          <t>kg</t>
        </is>
      </c>
      <c r="E144" s="123" t="n">
        <v>0.17</v>
      </c>
      <c r="F144" s="124">
        <f>IF(E144=0,0,ROUND(H144/E144*30,1))</f>
        <v/>
      </c>
      <c r="G144" s="125">
        <f>IF(E144=0,"Not needed",IF(I144&lt;0,"SHORTAGE",IF(I144&lt;E144,"LOW","OK")))</f>
        <v/>
      </c>
      <c r="H144" s="126">
        <f>IFERROR(INDEX(TableInventory[Store Balance],MATCH(A144,TableInventory[Item ID],0)),0)+IFERROR(INDEX(TableInventory[Work In Process],MATCH(A144,TableInventory[Item ID],0)),0)</f>
        <v/>
      </c>
      <c r="I144" s="126">
        <f>H144-E144</f>
        <v/>
      </c>
      <c r="J144" s="127" t="n">
        <v>0.23</v>
      </c>
      <c r="K144" s="117" t="n"/>
      <c r="L144" s="117" t="n"/>
      <c r="M144" s="117" t="n"/>
      <c r="N144" s="117" t="n"/>
      <c r="O144" s="117" t="n"/>
      <c r="P144" s="117" t="n"/>
      <c r="Q144" s="117" t="n"/>
      <c r="R144" s="117" t="n"/>
      <c r="S144" s="117" t="n"/>
      <c r="T144" s="117" t="n"/>
      <c r="U144" s="117" t="n"/>
      <c r="V144" s="117" t="n"/>
    </row>
    <row r="145" ht="15" customHeight="1" s="249">
      <c r="A145" s="121" t="n">
        <v>130</v>
      </c>
      <c r="B145" s="121" t="inlineStr">
        <is>
          <t>INK</t>
        </is>
      </c>
      <c r="C145" s="122" t="inlineStr">
        <is>
          <t>BLUE 165743</t>
        </is>
      </c>
      <c r="D145" s="121" t="inlineStr">
        <is>
          <t>kg</t>
        </is>
      </c>
      <c r="E145" s="123" t="n">
        <v>0.08</v>
      </c>
      <c r="F145" s="124">
        <f>IF(E145=0,0,ROUND(H145/E145*30,1))</f>
        <v/>
      </c>
      <c r="G145" s="125">
        <f>IF(E145=0,"Not needed",IF(I145&lt;0,"SHORTAGE",IF(I145&lt;E145,"LOW","OK")))</f>
        <v/>
      </c>
      <c r="H145" s="126">
        <f>IFERROR(INDEX(TableInventory[Store Balance],MATCH(A145,TableInventory[Item ID],0)),0)+IFERROR(INDEX(TableInventory[Work In Process],MATCH(A145,TableInventory[Item ID],0)),0)</f>
        <v/>
      </c>
      <c r="I145" s="126">
        <f>H145-E145</f>
        <v/>
      </c>
      <c r="J145" s="127" t="n">
        <v>0.12</v>
      </c>
      <c r="K145" s="117" t="n"/>
      <c r="L145" s="117" t="n"/>
      <c r="M145" s="117" t="n"/>
      <c r="N145" s="117" t="n"/>
      <c r="O145" s="117" t="n"/>
      <c r="P145" s="117" t="n"/>
      <c r="Q145" s="117" t="n"/>
      <c r="R145" s="117" t="n"/>
      <c r="S145" s="117" t="n"/>
      <c r="T145" s="117" t="n"/>
      <c r="U145" s="117" t="n"/>
      <c r="V145" s="117" t="n"/>
    </row>
    <row r="146" ht="15" customHeight="1" s="249">
      <c r="A146" s="121" t="n">
        <v>124</v>
      </c>
      <c r="B146" s="121" t="inlineStr">
        <is>
          <t>INK</t>
        </is>
      </c>
      <c r="C146" s="122" t="inlineStr">
        <is>
          <t>BROWN 157662</t>
        </is>
      </c>
      <c r="D146" s="121" t="inlineStr">
        <is>
          <t>kg</t>
        </is>
      </c>
      <c r="E146" s="123" t="n">
        <v>0.08</v>
      </c>
      <c r="F146" s="124">
        <f>IF(E146=0,0,ROUND(H146/E146*30,1))</f>
        <v/>
      </c>
      <c r="G146" s="125">
        <f>IF(E146=0,"Not needed",IF(I146&lt;0,"SHORTAGE",IF(I146&lt;E146,"LOW","OK")))</f>
        <v/>
      </c>
      <c r="H146" s="126">
        <f>IFERROR(INDEX(TableInventory[Store Balance],MATCH(A146,TableInventory[Item ID],0)),0)+IFERROR(INDEX(TableInventory[Work In Process],MATCH(A146,TableInventory[Item ID],0)),0)</f>
        <v/>
      </c>
      <c r="I146" s="126">
        <f>H146-E146</f>
        <v/>
      </c>
      <c r="J146" s="127" t="n">
        <v>0.12</v>
      </c>
      <c r="K146" s="117" t="n"/>
      <c r="L146" s="117" t="n"/>
      <c r="M146" s="117" t="n"/>
      <c r="N146" s="117" t="n"/>
      <c r="O146" s="117" t="n"/>
      <c r="P146" s="117" t="n"/>
      <c r="Q146" s="117" t="n"/>
      <c r="R146" s="117" t="n"/>
      <c r="S146" s="117" t="n"/>
      <c r="T146" s="117" t="n"/>
      <c r="U146" s="117" t="n"/>
      <c r="V146" s="117" t="n"/>
    </row>
    <row r="147" ht="15" customHeight="1" s="249">
      <c r="A147" s="121" t="n">
        <v>3968</v>
      </c>
      <c r="B147" s="121" t="inlineStr">
        <is>
          <t>INK</t>
        </is>
      </c>
      <c r="C147" s="122" t="inlineStr">
        <is>
          <t>BLUE BRONZE (LOCAL) 51168</t>
        </is>
      </c>
      <c r="D147" s="121" t="inlineStr">
        <is>
          <t>kg</t>
        </is>
      </c>
      <c r="E147" s="123" t="n">
        <v>0.08</v>
      </c>
      <c r="F147" s="124">
        <f>IF(E147=0,0,ROUND(H147/E147*30,1))</f>
        <v/>
      </c>
      <c r="G147" s="125">
        <f>IF(E147=0,"Not needed",IF(I147&lt;0,"SHORTAGE",IF(I147&lt;E147,"LOW","OK")))</f>
        <v/>
      </c>
      <c r="H147" s="126">
        <f>IFERROR(INDEX(TableInventory[Store Balance],MATCH(A147,TableInventory[Item ID],0)),0)+IFERROR(INDEX(TableInventory[Work In Process],MATCH(A147,TableInventory[Item ID],0)),0)</f>
        <v/>
      </c>
      <c r="I147" s="126">
        <f>H147-E147</f>
        <v/>
      </c>
      <c r="J147" s="127" t="n">
        <v>0.12</v>
      </c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</row>
    <row r="148" ht="15" customHeight="1" s="249">
      <c r="A148" s="121" t="n">
        <v>3642</v>
      </c>
      <c r="B148" s="121" t="inlineStr">
        <is>
          <t>INK</t>
        </is>
      </c>
      <c r="C148" s="122" t="inlineStr">
        <is>
          <t>INK JET BLACK 77842</t>
        </is>
      </c>
      <c r="D148" s="121" t="inlineStr">
        <is>
          <t>kg</t>
        </is>
      </c>
      <c r="E148" s="123" t="n">
        <v>0.08</v>
      </c>
      <c r="F148" s="124">
        <f>IF(E148=0,0,ROUND(H148/E148*30,1))</f>
        <v/>
      </c>
      <c r="G148" s="125">
        <f>IF(E148=0,"Not needed",IF(I148&lt;0,"SHORTAGE",IF(I148&lt;E148,"LOW","OK")))</f>
        <v/>
      </c>
      <c r="H148" s="126">
        <f>IFERROR(INDEX(TableInventory[Store Balance],MATCH(A148,TableInventory[Item ID],0)),0)+IFERROR(INDEX(TableInventory[Work In Process],MATCH(A148,TableInventory[Item ID],0)),0)</f>
        <v/>
      </c>
      <c r="I148" s="126">
        <f>H148-E148</f>
        <v/>
      </c>
      <c r="J148" s="127" t="n">
        <v>0.12</v>
      </c>
      <c r="K148" s="117" t="n"/>
      <c r="L148" s="117" t="n"/>
      <c r="M148" s="117" t="n"/>
      <c r="N148" s="117" t="n"/>
      <c r="O148" s="117" t="n"/>
      <c r="P148" s="117" t="n"/>
      <c r="Q148" s="117" t="n"/>
      <c r="R148" s="117" t="n"/>
      <c r="S148" s="117" t="n"/>
      <c r="T148" s="117" t="n"/>
      <c r="U148" s="117" t="n"/>
      <c r="V148" s="117" t="n"/>
    </row>
    <row r="149" ht="15" customHeight="1" s="249">
      <c r="A149" s="128" t="n">
        <v>104</v>
      </c>
      <c r="B149" s="128" t="inlineStr">
        <is>
          <t>INK</t>
        </is>
      </c>
      <c r="C149" s="129" t="inlineStr">
        <is>
          <t>VIOLET 501 IMP</t>
        </is>
      </c>
      <c r="D149" s="128" t="inlineStr">
        <is>
          <t>kg</t>
        </is>
      </c>
      <c r="E149" s="130" t="n">
        <v>0</v>
      </c>
      <c r="F149" s="131" t="n">
        <v>0</v>
      </c>
      <c r="G149" s="132" t="inlineStr">
        <is>
          <t>Not needed</t>
        </is>
      </c>
      <c r="H149" s="130">
        <f>IFERROR(INDEX(TableInventory[Store Balance],MATCH(A149,TableInventory[Item ID],0)),0)+IFERROR(INDEX(TableInventory[Work In Process],MATCH(A149,TableInventory[Item ID],0)),0)</f>
        <v/>
      </c>
      <c r="I149" s="130">
        <f>H149</f>
        <v/>
      </c>
      <c r="J149" s="130" t="n">
        <v>0</v>
      </c>
      <c r="K149" s="117" t="n"/>
      <c r="L149" s="117" t="n"/>
      <c r="M149" s="117" t="n"/>
      <c r="N149" s="117" t="n"/>
      <c r="O149" s="117" t="n"/>
      <c r="P149" s="117" t="n"/>
      <c r="Q149" s="117" t="n"/>
      <c r="R149" s="117" t="n"/>
      <c r="S149" s="117" t="n"/>
      <c r="T149" s="117" t="n"/>
      <c r="U149" s="117" t="n"/>
      <c r="V149" s="117" t="n"/>
    </row>
    <row r="150" ht="15" customHeight="1" s="249">
      <c r="A150" s="128" t="n">
        <v>105</v>
      </c>
      <c r="B150" s="128" t="inlineStr">
        <is>
          <t>INK</t>
        </is>
      </c>
      <c r="C150" s="129" t="inlineStr">
        <is>
          <t>VIOLET 502 IMP</t>
        </is>
      </c>
      <c r="D150" s="128" t="inlineStr">
        <is>
          <t>kg</t>
        </is>
      </c>
      <c r="E150" s="130" t="n">
        <v>0</v>
      </c>
      <c r="F150" s="131" t="n">
        <v>0</v>
      </c>
      <c r="G150" s="132" t="inlineStr">
        <is>
          <t>Not needed</t>
        </is>
      </c>
      <c r="H150" s="130">
        <f>IFERROR(INDEX(TableInventory[Store Balance],MATCH(A150,TableInventory[Item ID],0)),0)+IFERROR(INDEX(TableInventory[Work In Process],MATCH(A150,TableInventory[Item ID],0)),0)</f>
        <v/>
      </c>
      <c r="I150" s="130">
        <f>H150</f>
        <v/>
      </c>
      <c r="J150" s="130" t="n">
        <v>0</v>
      </c>
      <c r="K150" s="117" t="n"/>
      <c r="L150" s="117" t="n"/>
      <c r="M150" s="117" t="n"/>
      <c r="N150" s="117" t="n"/>
      <c r="O150" s="117" t="n"/>
      <c r="P150" s="117" t="n"/>
      <c r="Q150" s="117" t="n"/>
      <c r="R150" s="117" t="n"/>
      <c r="S150" s="117" t="n"/>
      <c r="T150" s="117" t="n"/>
      <c r="U150" s="117" t="n"/>
      <c r="V150" s="117" t="n"/>
    </row>
    <row r="151" ht="15" customHeight="1" s="249">
      <c r="A151" s="128" t="n">
        <v>127</v>
      </c>
      <c r="B151" s="128" t="inlineStr">
        <is>
          <t>INK</t>
        </is>
      </c>
      <c r="C151" s="129" t="inlineStr">
        <is>
          <t>BLUE 126039</t>
        </is>
      </c>
      <c r="D151" s="128" t="inlineStr">
        <is>
          <t>kg</t>
        </is>
      </c>
      <c r="E151" s="130" t="n">
        <v>0</v>
      </c>
      <c r="F151" s="131" t="n">
        <v>0</v>
      </c>
      <c r="G151" s="132" t="inlineStr">
        <is>
          <t>Not needed</t>
        </is>
      </c>
      <c r="H151" s="130">
        <f>IFERROR(INDEX(TableInventory[Store Balance],MATCH(A151,TableInventory[Item ID],0)),0)+IFERROR(INDEX(TableInventory[Work In Process],MATCH(A151,TableInventory[Item ID],0)),0)</f>
        <v/>
      </c>
      <c r="I151" s="130">
        <f>H151</f>
        <v/>
      </c>
      <c r="J151" s="130" t="n">
        <v>0</v>
      </c>
      <c r="K151" s="117" t="n"/>
      <c r="L151" s="117" t="n"/>
      <c r="M151" s="117" t="n"/>
      <c r="N151" s="117" t="n"/>
      <c r="O151" s="117" t="n"/>
      <c r="P151" s="117" t="n"/>
      <c r="Q151" s="117" t="n"/>
      <c r="R151" s="117" t="n"/>
      <c r="S151" s="117" t="n"/>
      <c r="T151" s="117" t="n"/>
      <c r="U151" s="117" t="n"/>
      <c r="V151" s="117" t="n"/>
    </row>
    <row r="152" ht="15" customHeight="1" s="249">
      <c r="A152" s="128" t="n">
        <v>3800</v>
      </c>
      <c r="B152" s="128" t="inlineStr">
        <is>
          <t>INK</t>
        </is>
      </c>
      <c r="C152" s="129" t="inlineStr">
        <is>
          <t>VIOLET 400484</t>
        </is>
      </c>
      <c r="D152" s="128" t="inlineStr">
        <is>
          <t>kg</t>
        </is>
      </c>
      <c r="E152" s="130" t="n">
        <v>0</v>
      </c>
      <c r="F152" s="131" t="n">
        <v>0</v>
      </c>
      <c r="G152" s="132" t="inlineStr">
        <is>
          <t>Not needed</t>
        </is>
      </c>
      <c r="H152" s="130">
        <f>IFERROR(INDEX(TableInventory[Store Balance],MATCH(A152,TableInventory[Item ID],0)),0)+IFERROR(INDEX(TableInventory[Work In Process],MATCH(A152,TableInventory[Item ID],0)),0)</f>
        <v/>
      </c>
      <c r="I152" s="130">
        <f>H152</f>
        <v/>
      </c>
      <c r="J152" s="130" t="n">
        <v>0</v>
      </c>
      <c r="K152" s="117" t="n"/>
      <c r="L152" s="117" t="n"/>
      <c r="M152" s="117" t="n"/>
      <c r="N152" s="117" t="n"/>
      <c r="O152" s="117" t="n"/>
      <c r="P152" s="117" t="n"/>
      <c r="Q152" s="117" t="n"/>
      <c r="R152" s="117" t="n"/>
      <c r="S152" s="117" t="n"/>
      <c r="T152" s="117" t="n"/>
      <c r="U152" s="117" t="n"/>
      <c r="V152" s="117" t="n"/>
    </row>
    <row r="153" ht="15" customHeight="1" s="249">
      <c r="A153" s="128" t="n">
        <v>4216</v>
      </c>
      <c r="B153" s="128" t="inlineStr">
        <is>
          <t>INK</t>
        </is>
      </c>
      <c r="C153" s="129" t="inlineStr">
        <is>
          <t>PINK FLUORESCENT</t>
        </is>
      </c>
      <c r="D153" s="128" t="inlineStr">
        <is>
          <t>kg</t>
        </is>
      </c>
      <c r="E153" s="130" t="n">
        <v>0</v>
      </c>
      <c r="F153" s="131" t="n">
        <v>0</v>
      </c>
      <c r="G153" s="132" t="inlineStr">
        <is>
          <t>Not needed</t>
        </is>
      </c>
      <c r="H153" s="130">
        <f>IFERROR(INDEX(TableInventory[Store Balance],MATCH(A153,TableInventory[Item ID],0)),0)+IFERROR(INDEX(TableInventory[Work In Process],MATCH(A153,TableInventory[Item ID],0)),0)</f>
        <v/>
      </c>
      <c r="I153" s="130">
        <f>H153</f>
        <v/>
      </c>
      <c r="J153" s="130" t="n">
        <v>0</v>
      </c>
      <c r="K153" s="117" t="n"/>
      <c r="L153" s="117" t="n"/>
      <c r="M153" s="117" t="n"/>
      <c r="N153" s="117" t="n"/>
      <c r="O153" s="117" t="n"/>
      <c r="P153" s="117" t="n"/>
      <c r="Q153" s="117" t="n"/>
      <c r="R153" s="117" t="n"/>
      <c r="S153" s="117" t="n"/>
      <c r="T153" s="117" t="n"/>
      <c r="U153" s="117" t="n"/>
      <c r="V153" s="117" t="n"/>
    </row>
    <row r="154" ht="15" customHeight="1" s="249">
      <c r="A154" s="128" t="n">
        <v>4306</v>
      </c>
      <c r="B154" s="128" t="inlineStr">
        <is>
          <t>INK</t>
        </is>
      </c>
      <c r="C154" s="129" t="inlineStr">
        <is>
          <t>VIOLET TUB 400011</t>
        </is>
      </c>
      <c r="D154" s="128" t="inlineStr">
        <is>
          <t>kg</t>
        </is>
      </c>
      <c r="E154" s="130" t="n">
        <v>0</v>
      </c>
      <c r="F154" s="131" t="n">
        <v>0</v>
      </c>
      <c r="G154" s="132" t="inlineStr">
        <is>
          <t>Not needed</t>
        </is>
      </c>
      <c r="H154" s="130">
        <f>IFERROR(INDEX(TableInventory[Store Balance],MATCH(A154,TableInventory[Item ID],0)),0)+IFERROR(INDEX(TableInventory[Work In Process],MATCH(A154,TableInventory[Item ID],0)),0)</f>
        <v/>
      </c>
      <c r="I154" s="130">
        <f>H154</f>
        <v/>
      </c>
      <c r="J154" s="130" t="n">
        <v>0</v>
      </c>
      <c r="K154" s="117" t="n"/>
      <c r="L154" s="117" t="n"/>
      <c r="M154" s="117" t="n"/>
      <c r="N154" s="117" t="n"/>
      <c r="O154" s="117" t="n"/>
      <c r="P154" s="117" t="n"/>
      <c r="Q154" s="117" t="n"/>
      <c r="R154" s="117" t="n"/>
      <c r="S154" s="117" t="n"/>
      <c r="T154" s="117" t="n"/>
      <c r="U154" s="117" t="n"/>
      <c r="V154" s="117" t="n"/>
    </row>
    <row r="155" ht="15" customHeight="1" s="249">
      <c r="A155" s="128" t="n">
        <v>6935</v>
      </c>
      <c r="B155" s="128" t="inlineStr">
        <is>
          <t>INK</t>
        </is>
      </c>
      <c r="C155" s="129" t="inlineStr">
        <is>
          <t>GOLD V0221267-RF-401363</t>
        </is>
      </c>
      <c r="D155" s="128" t="inlineStr">
        <is>
          <t>kg</t>
        </is>
      </c>
      <c r="E155" s="130" t="n">
        <v>0</v>
      </c>
      <c r="F155" s="131" t="n">
        <v>0</v>
      </c>
      <c r="G155" s="132" t="inlineStr">
        <is>
          <t>Not needed</t>
        </is>
      </c>
      <c r="H155" s="130">
        <f>IFERROR(INDEX(TableInventory[Store Balance],MATCH(A155,TableInventory[Item ID],0)),0)+IFERROR(INDEX(TableInventory[Work In Process],MATCH(A155,TableInventory[Item ID],0)),0)</f>
        <v/>
      </c>
      <c r="I155" s="130">
        <f>H155</f>
        <v/>
      </c>
      <c r="J155" s="130" t="n">
        <v>0</v>
      </c>
      <c r="K155" s="117" t="n"/>
      <c r="L155" s="117" t="n"/>
      <c r="M155" s="117" t="n"/>
      <c r="N155" s="117" t="n"/>
      <c r="O155" s="117" t="n"/>
      <c r="P155" s="117" t="n"/>
      <c r="Q155" s="117" t="n"/>
      <c r="R155" s="117" t="n"/>
      <c r="S155" s="117" t="n"/>
      <c r="T155" s="117" t="n"/>
      <c r="U155" s="117" t="n"/>
      <c r="V155" s="117" t="n"/>
    </row>
    <row r="158" ht="15" customHeight="1" s="249">
      <c r="A158" t="inlineStr">
        <is>
          <t>FG STOCK — CAPS ON HOLD  |  Detail breakdown for Col K above</t>
        </is>
      </c>
    </row>
    <row r="159" ht="15" customHeight="1" s="249">
      <c r="A159" t="inlineStr">
        <is>
          <t>These tubes are already made but cannot be dispatched because the cap is out of stock. Col K (FG Caps On Hold) in the cap rows above pulls the FG qty from this section. Col L (ORDER QTY) = Production caps needed + FG caps on hold - Current stock. ORDER FROM COL L ONLY — it already includes the FG cap requirement shown here.</t>
        </is>
      </c>
    </row>
    <row r="160" ht="15" customHeight="1" s="249">
      <c r="A160" t="inlineStr">
        <is>
          <t>PID</t>
        </is>
      </c>
      <c r="B160" t="inlineStr">
        <is>
          <t>Customer</t>
        </is>
      </c>
      <c r="C160" s="264" t="inlineStr">
        <is>
          <t>Product Name</t>
        </is>
      </c>
      <c r="D160" t="inlineStr">
        <is>
          <t>Cap Item ID</t>
        </is>
      </c>
      <c r="E160" s="265" t="inlineStr">
        <is>
          <t>Cap Item Name</t>
        </is>
      </c>
      <c r="F160" s="265" t="inlineStr">
        <is>
          <t>FG Qty On Hold</t>
        </is>
      </c>
      <c r="G160" s="266" t="inlineStr">
        <is>
          <t>Notes</t>
        </is>
      </c>
    </row>
    <row r="161" ht="15" customHeight="1" s="249">
      <c r="A161" t="n">
        <v>5782</v>
      </c>
      <c r="B161">
        <f>IFERROR(VLOOKUP(A161,Product_Catalog!$A$3:$D$100,3,0),"-")</f>
        <v/>
      </c>
      <c r="C161" s="264">
        <f>IFERROR(VLOOKUP(A161,Product_Catalog!$A$3:$D$100,4,0),"-")</f>
        <v/>
      </c>
      <c r="D161" t="n">
        <v>1285</v>
      </c>
      <c r="E161" s="265">
        <f>IFERROR(INDEX($C$49:$C$70,MATCH(D161,$A$49:$A$70,0)),"-")</f>
        <v/>
      </c>
      <c r="F161" s="265">
        <f>SUMPRODUCT(('FG Stock'!$B$4:$B$100=A161)*(ISNUMBER(SEARCH("Cap Not Available",'FG Stock'!$H$4:$H$100)))*'FG Stock'!$F$4:$F$100)</f>
        <v/>
      </c>
      <c r="G161" s="266" t="inlineStr">
        <is>
          <t>Included in ORDER QTY above</t>
        </is>
      </c>
    </row>
    <row r="162" ht="15" customHeight="1" s="249">
      <c r="A162" t="n">
        <v>6624</v>
      </c>
      <c r="B162">
        <f>IFERROR(VLOOKUP(A162,Product_Catalog!$A$3:$D$100,3,0),"-")</f>
        <v/>
      </c>
      <c r="C162" s="264">
        <f>IFERROR(VLOOKUP(A162,Product_Catalog!$A$3:$D$100,4,0),"-")</f>
        <v/>
      </c>
      <c r="D162" t="n">
        <v>80</v>
      </c>
      <c r="E162" s="265">
        <f>IFERROR(INDEX($C$49:$C$70,MATCH(D162,$A$49:$A$70,0)),"-")</f>
        <v/>
      </c>
      <c r="F162" s="265">
        <f>SUMPRODUCT(('FG Stock'!$B$4:$B$100=A162)*(ISNUMBER(SEARCH("Cap Not Available",'FG Stock'!$H$4:$H$100)))*'FG Stock'!$F$4:$F$100)</f>
        <v/>
      </c>
      <c r="G162" s="266" t="inlineStr">
        <is>
          <t>Included in ORDER QTY above</t>
        </is>
      </c>
    </row>
    <row r="163" ht="15" customHeight="1" s="249">
      <c r="A163" t="n">
        <v>5699</v>
      </c>
      <c r="B163">
        <f>IFERROR(VLOOKUP(A163,Product_Catalog!$A$3:$D$100,3,0),"-")</f>
        <v/>
      </c>
      <c r="C163" s="264">
        <f>IFERROR(VLOOKUP(A163,Product_Catalog!$A$3:$D$100,4,0),"-")</f>
        <v/>
      </c>
      <c r="D163" t="n">
        <v>6971</v>
      </c>
      <c r="E163" s="265">
        <f>IFERROR(INDEX($C$49:$C$70,MATCH(D163,$A$49:$A$70,0)),"-")</f>
        <v/>
      </c>
      <c r="F163" s="265">
        <f>SUMPRODUCT(('FG Stock'!$B$4:$B$100=A163)*(ISNUMBER(SEARCH("Cap Not Available",'FG Stock'!$H$4:$H$100)))*'FG Stock'!$F$4:$F$100)</f>
        <v/>
      </c>
      <c r="G163" s="266" t="inlineStr">
        <is>
          <t>Included in ORDER QTY above</t>
        </is>
      </c>
    </row>
    <row r="164" ht="15" customHeight="1" s="249">
      <c r="A164" t="n">
        <v>5731</v>
      </c>
      <c r="B164">
        <f>IFERROR(VLOOKUP(A164,Product_Catalog!$A$3:$D$100,3,0),"-")</f>
        <v/>
      </c>
      <c r="C164" s="264">
        <f>IFERROR(VLOOKUP(A164,Product_Catalog!$A$3:$D$100,4,0),"-")</f>
        <v/>
      </c>
      <c r="D164" t="n">
        <v>6971</v>
      </c>
      <c r="E164" s="265">
        <f>IFERROR(INDEX($C$49:$C$70,MATCH(D164,$A$49:$A$70,0)),"-")</f>
        <v/>
      </c>
      <c r="F164" s="265">
        <f>SUMPRODUCT(('FG Stock'!$B$4:$B$100=A164)*(ISNUMBER(SEARCH("Cap Not Available",'FG Stock'!$H$4:$H$100)))*'FG Stock'!$F$4:$F$100)</f>
        <v/>
      </c>
      <c r="G164" s="266" t="inlineStr">
        <is>
          <t>Included in ORDER QTY above</t>
        </is>
      </c>
    </row>
  </sheetData>
  <autoFilter ref="A15:J98">
    <filterColumn colId="4" hiddenButton="0" showButton="1">
      <filters>
        <filter val="11,977"/>
        <filter val="13,566"/>
        <filter val="138"/>
        <filter val="15"/>
        <filter val="188"/>
        <filter val="2"/>
        <filter val="20"/>
        <filter val="23"/>
        <filter val="25,500"/>
        <filter val="40"/>
        <filter val="6"/>
        <filter val="69"/>
        <filter val="89"/>
      </filters>
    </filterColumn>
  </autoFilter>
  <mergeCells count="1">
    <mergeCell ref="A122:J122"/>
  </mergeCells>
  <conditionalFormatting sqref="L3:L14">
    <cfRule type="cellIs" priority="13" operator="lessThan" dxfId="1">
      <formula>0</formula>
    </cfRule>
  </conditionalFormatting>
  <conditionalFormatting sqref="L102">
    <cfRule type="cellIs" priority="9" operator="lessThan" dxfId="1">
      <formula>0</formula>
    </cfRule>
  </conditionalFormatting>
  <conditionalFormatting sqref="L141">
    <cfRule type="cellIs" priority="5" operator="lessThan" dxfId="1">
      <formula>0</formula>
    </cfRule>
  </conditionalFormatting>
  <conditionalFormatting sqref="N3:N16">
    <cfRule type="cellIs" priority="10" operator="equal" dxfId="0">
      <formula>"OK"</formula>
    </cfRule>
    <cfRule type="cellIs" priority="11" operator="equal" dxfId="4">
      <formula>"LOW"</formula>
    </cfRule>
    <cfRule type="cellIs" priority="12" operator="equal" dxfId="1">
      <formula>"SHORTAGE"</formula>
    </cfRule>
  </conditionalFormatting>
  <conditionalFormatting sqref="N102">
    <cfRule type="cellIs" priority="6" operator="equal" dxfId="0">
      <formula>"OK"</formula>
    </cfRule>
    <cfRule type="cellIs" priority="7" operator="equal" dxfId="4">
      <formula>"LOW"</formula>
    </cfRule>
    <cfRule type="cellIs" priority="8" operator="equal" dxfId="1">
      <formula>"SHORTAGE"</formula>
    </cfRule>
  </conditionalFormatting>
  <conditionalFormatting sqref="N141">
    <cfRule type="cellIs" priority="2" operator="equal" dxfId="0">
      <formula>"OK"</formula>
    </cfRule>
    <cfRule type="cellIs" priority="3" operator="equal" dxfId="4">
      <formula>"LOW"</formula>
    </cfRule>
    <cfRule type="cellIs" priority="4" operator="equal" dxfId="1">
      <formula>"SHORTAGE"</formula>
    </cfRule>
  </conditionalFormatting>
  <dataValidations count="3">
    <dataValidation sqref="F136:G136 H2:H12 H134:H141 I142:I149 J2:J12 J16:J17 J19:J20 J22 J24:J27 J30 J32:J33 J35:J37 J39:J45 J48" showDropDown="0" showInputMessage="0" showErrorMessage="0" allowBlank="1" type="list">
      <formula1>"Confirmed,1st Week,2nd Week,Tentative,In Process,Initial Stage,Completed,Cancelled"</formula1>
      <formula2>0</formula2>
    </dataValidation>
    <dataValidation sqref="B13 B16:B27 B138 B142:B143 B148:B149 C3:C9 C135:C137 C139:C141 C144:C146" showDropDown="0" showInputMessage="0" showErrorMessage="0" allowBlank="1" type="list">
      <formula1>"Alpha Lab,Brookes Pharma,DTM,Golden Pearl,Mabley Beauty,Mega Grey,PBS,Samsol"</formula1>
      <formula2>0</formula2>
    </dataValidation>
    <dataValidation sqref="C13 C16:C27 C138 C142:C143 C148:C149 D3:D12 D135:D147" showDropDown="0" showInputMessage="0" showErrorMessage="0" allowBlank="1" type="list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7"/>
  <sheetViews>
    <sheetView topLeftCell="C1" zoomScaleNormal="100" workbookViewId="0">
      <pane ySplit="2" topLeftCell="A29" activePane="bottomLeft" state="frozen"/>
      <selection activeCell="C1" sqref="C1"/>
      <selection pane="bottomLeft" activeCell="D45" sqref="D45"/>
    </sheetView>
  </sheetViews>
  <sheetFormatPr baseColWidth="8" defaultColWidth="8.7109375" defaultRowHeight="15"/>
  <cols>
    <col width="10" customWidth="1" style="249" min="1" max="1"/>
    <col width="8" customWidth="1" style="249" min="2" max="2"/>
    <col width="37.7109375" customWidth="1" style="264" min="3" max="3"/>
    <col width="39" customWidth="1" style="264" min="4" max="4"/>
    <col width="6" customWidth="1" style="249" min="5" max="5"/>
    <col width="16" customWidth="1" style="249" min="6" max="6"/>
    <col width="8" customWidth="1" style="249" min="7" max="7"/>
    <col width="30" customWidth="1" style="264" min="8" max="8"/>
    <col width="6" customWidth="1" style="249" min="9" max="9"/>
    <col width="14" customWidth="1" style="269" min="10" max="10"/>
    <col width="16" customWidth="1" style="264" min="11" max="11"/>
    <col width="8" customWidth="1" style="270" min="12" max="12"/>
    <col width="68.28515625" customWidth="1" style="135" min="13" max="13"/>
  </cols>
  <sheetData>
    <row r="1" ht="20.25" customHeight="1" s="249">
      <c r="A1" s="286" t="inlineStr">
        <is>
          <t xml:space="preserve">  BILL OF MATERIALS — Customer-Specific</t>
        </is>
      </c>
      <c r="M1" s="136" t="n"/>
      <c r="N1" s="4" t="n"/>
      <c r="O1" s="4" t="n"/>
    </row>
    <row r="2" ht="32.25" customFormat="1" customHeight="1" s="142">
      <c r="A2" s="137" t="inlineStr">
        <is>
          <t>Product ID</t>
        </is>
      </c>
      <c r="B2" s="137" t="inlineStr">
        <is>
          <t>BOM ID</t>
        </is>
      </c>
      <c r="C2" s="138" t="inlineStr">
        <is>
          <t>Customer</t>
        </is>
      </c>
      <c r="D2" s="138" t="inlineStr">
        <is>
          <t>Product Name</t>
        </is>
      </c>
      <c r="E2" s="137" t="inlineStr">
        <is>
          <t>Dia</t>
        </is>
      </c>
      <c r="F2" s="137" t="inlineStr">
        <is>
          <t>Material Category</t>
        </is>
      </c>
      <c r="G2" s="137" t="inlineStr">
        <is>
          <t>Item ID</t>
        </is>
      </c>
      <c r="H2" s="138" t="inlineStr">
        <is>
          <t>Item Name</t>
        </is>
      </c>
      <c r="I2" s="137" t="inlineStr">
        <is>
          <t>UOM</t>
        </is>
      </c>
      <c r="J2" s="137" t="inlineStr">
        <is>
          <t>Per 1000 Units</t>
        </is>
      </c>
      <c r="K2" s="138" t="inlineStr">
        <is>
          <t>Material Group</t>
        </is>
      </c>
      <c r="L2" s="139" t="inlineStr">
        <is>
          <t>Scrap %</t>
        </is>
      </c>
      <c r="M2" s="140" t="inlineStr">
        <is>
          <t>Change Note</t>
        </is>
      </c>
      <c r="N2" s="141" t="n"/>
      <c r="O2" s="141" t="n"/>
    </row>
    <row r="3" ht="15" customHeight="1" s="249">
      <c r="A3" s="143" t="n">
        <v>6561</v>
      </c>
      <c r="B3" s="143" t="n">
        <v>190</v>
      </c>
      <c r="C3" s="143" t="inlineStr">
        <is>
          <t>Brookes Pharma Private Limited</t>
        </is>
      </c>
      <c r="D3" s="144" t="inlineStr">
        <is>
          <t>ECZEMUS OINTMENT 0.03% 10G</t>
        </is>
      </c>
      <c r="E3" s="143" t="n">
        <v>16</v>
      </c>
      <c r="F3" s="143" t="inlineStr">
        <is>
          <t>SLUG</t>
        </is>
      </c>
      <c r="G3" s="143" t="n">
        <v>2799</v>
      </c>
      <c r="H3" s="143" t="inlineStr">
        <is>
          <t>16x4.5</t>
        </is>
      </c>
      <c r="I3" s="145" t="inlineStr">
        <is>
          <t>kg</t>
        </is>
      </c>
      <c r="J3" s="146" t="n">
        <v>2.51889</v>
      </c>
      <c r="K3" s="147" t="inlineStr">
        <is>
          <t>Aluminum Slugs</t>
        </is>
      </c>
      <c r="L3" s="147" t="n">
        <v>0.1</v>
      </c>
      <c r="M3" s="147" t="inlineStr">
        <is>
          <t>Updated manually, update in erp</t>
        </is>
      </c>
      <c r="N3" s="147" t="n"/>
      <c r="O3" s="147" t="n"/>
      <c r="P3" s="147" t="n"/>
      <c r="Q3" s="148" t="n"/>
    </row>
    <row r="4" ht="15" customHeight="1" s="249">
      <c r="A4" s="143" t="n">
        <v>6561</v>
      </c>
      <c r="B4" s="143" t="n">
        <v>190</v>
      </c>
      <c r="C4" s="143" t="inlineStr">
        <is>
          <t>Brookes Pharma Private Limited</t>
        </is>
      </c>
      <c r="D4" s="144" t="inlineStr">
        <is>
          <t>ECZEMUS OINTMENT 0.03% 10G</t>
        </is>
      </c>
      <c r="E4" s="143" t="n">
        <v>16</v>
      </c>
      <c r="F4" s="143" t="inlineStr">
        <is>
          <t>BASE COAT</t>
        </is>
      </c>
      <c r="G4" s="143" t="n">
        <v>3595</v>
      </c>
      <c r="H4" s="143" t="inlineStr">
        <is>
          <t>POLYSTER BASE COAT WHITE 234</t>
        </is>
      </c>
      <c r="I4" s="145" t="inlineStr">
        <is>
          <t>kg</t>
        </is>
      </c>
      <c r="J4" s="146" t="n">
        <v>0.29</v>
      </c>
      <c r="K4" s="147" t="inlineStr">
        <is>
          <t>Base Coat</t>
        </is>
      </c>
      <c r="L4" s="147" t="n">
        <v>0.1</v>
      </c>
      <c r="M4" s="149" t="inlineStr">
        <is>
          <t>Item name kept as ERP ('POLYSTER BASE COAT WHITE 234'). Rehan wrote 'BASE COAT WHITE 23410 CT' — corrected. (16-Apr-2026) — Verify in ERP</t>
        </is>
      </c>
      <c r="N4" s="147" t="n"/>
      <c r="O4" s="147" t="n"/>
      <c r="P4" s="147" t="n"/>
      <c r="Q4" s="148" t="n"/>
    </row>
    <row r="5" ht="15" customHeight="1" s="249">
      <c r="A5" s="143" t="n">
        <v>6561</v>
      </c>
      <c r="B5" s="143" t="n">
        <v>190</v>
      </c>
      <c r="C5" s="143" t="inlineStr">
        <is>
          <t>Brookes Pharma Private Limited</t>
        </is>
      </c>
      <c r="D5" s="144" t="inlineStr">
        <is>
          <t>ECZEMUS OINTMENT 0.03% 10G</t>
        </is>
      </c>
      <c r="E5" s="143" t="n">
        <v>16</v>
      </c>
      <c r="F5" s="143" t="inlineStr">
        <is>
          <t>CAP</t>
        </is>
      </c>
      <c r="G5" s="143" t="n">
        <v>69</v>
      </c>
      <c r="H5" s="143" t="inlineStr">
        <is>
          <t>M-7 S/M F/P (S) WHITE</t>
        </is>
      </c>
      <c r="I5" s="145" t="inlineStr">
        <is>
          <t>PCS</t>
        </is>
      </c>
      <c r="J5" s="146" t="n">
        <v>1000</v>
      </c>
      <c r="K5" s="147" t="inlineStr">
        <is>
          <t>Caps</t>
        </is>
      </c>
      <c r="L5" s="147" t="n">
        <v>0.02</v>
      </c>
      <c r="M5" s="149" t="inlineStr">
        <is>
          <t>Value changed manually v9.30 (16-Apr-2026) — Update in ERP BOM</t>
        </is>
      </c>
      <c r="N5" s="147" t="n"/>
      <c r="O5" s="147" t="n"/>
      <c r="P5" s="147" t="n"/>
      <c r="Q5" s="148" t="n"/>
    </row>
    <row r="6" ht="15" customHeight="1" s="249">
      <c r="A6" s="143" t="n">
        <v>6561</v>
      </c>
      <c r="B6" s="143" t="n">
        <v>190</v>
      </c>
      <c r="C6" s="143" t="inlineStr">
        <is>
          <t>Brookes Pharma Private Limited</t>
        </is>
      </c>
      <c r="D6" s="144" t="inlineStr">
        <is>
          <t>ECZEMUS OINTMENT 0.03% 10G</t>
        </is>
      </c>
      <c r="E6" s="143" t="n">
        <v>16</v>
      </c>
      <c r="F6" s="143" t="inlineStr">
        <is>
          <t>CARTON</t>
        </is>
      </c>
      <c r="G6" s="143" t="n">
        <v>36</v>
      </c>
      <c r="H6" s="143" t="inlineStr">
        <is>
          <t>16X200 3Ply</t>
        </is>
      </c>
      <c r="I6" s="145" t="inlineStr">
        <is>
          <t>PCS</t>
        </is>
      </c>
      <c r="J6" s="146" t="n">
        <v>5</v>
      </c>
      <c r="K6" s="147" t="inlineStr">
        <is>
          <t>Cartons</t>
        </is>
      </c>
      <c r="L6" s="147" t="n">
        <v>0.1</v>
      </c>
      <c r="M6" s="149" t="inlineStr">
        <is>
          <t>Value changed manually v9.30 (16-Apr-2026) — Update in ERP BOM</t>
        </is>
      </c>
      <c r="N6" s="147" t="n"/>
      <c r="O6" s="147" t="n"/>
      <c r="P6" s="147" t="n"/>
      <c r="Q6" s="148" t="n"/>
    </row>
    <row r="7" ht="15" customHeight="1" s="249">
      <c r="A7" s="143" t="n">
        <v>6561</v>
      </c>
      <c r="B7" s="143" t="n">
        <v>190</v>
      </c>
      <c r="C7" s="143" t="inlineStr">
        <is>
          <t>Brookes Pharma Private Limited</t>
        </is>
      </c>
      <c r="D7" s="144" t="inlineStr">
        <is>
          <t>ECZEMUS OINTMENT 0.03% 10G</t>
        </is>
      </c>
      <c r="E7" s="143" t="n">
        <v>16</v>
      </c>
      <c r="F7" s="143" t="inlineStr">
        <is>
          <t>ZINC POWDER</t>
        </is>
      </c>
      <c r="G7" s="143" t="n">
        <v>194</v>
      </c>
      <c r="H7" s="143" t="inlineStr">
        <is>
          <t>ZINC STEARATE</t>
        </is>
      </c>
      <c r="I7" s="145" t="inlineStr">
        <is>
          <t>kg</t>
        </is>
      </c>
      <c r="J7" s="146" t="n">
        <v>0.00261964</v>
      </c>
      <c r="K7" s="147" t="inlineStr">
        <is>
          <t>Zinc Stearate</t>
        </is>
      </c>
      <c r="L7" s="147" t="n">
        <v>0.1</v>
      </c>
      <c r="M7" s="147" t="n"/>
      <c r="N7" s="147" t="n"/>
      <c r="O7" s="147" t="n"/>
      <c r="P7" s="147" t="n"/>
      <c r="Q7" s="148" t="n"/>
    </row>
    <row r="8" ht="15" customHeight="1" s="249">
      <c r="A8" s="143" t="n">
        <v>6561</v>
      </c>
      <c r="B8" s="143" t="n">
        <v>190</v>
      </c>
      <c r="C8" s="143" t="inlineStr">
        <is>
          <t>Brookes Pharma Private Limited</t>
        </is>
      </c>
      <c r="D8" s="144" t="inlineStr">
        <is>
          <t>ECZEMUS OINTMENT 0.03% 10G</t>
        </is>
      </c>
      <c r="E8" s="143" t="n">
        <v>16</v>
      </c>
      <c r="F8" s="143" t="inlineStr">
        <is>
          <t>LACQUER</t>
        </is>
      </c>
      <c r="G8" s="143" t="n">
        <v>185</v>
      </c>
      <c r="H8" s="143" t="inlineStr">
        <is>
          <t>EPOXY LACQUER (1500)</t>
        </is>
      </c>
      <c r="I8" s="145" t="inlineStr">
        <is>
          <t>L</t>
        </is>
      </c>
      <c r="J8" s="146" t="n">
        <v>0.17</v>
      </c>
      <c r="K8" s="147" t="inlineStr">
        <is>
          <t>Lacquer</t>
        </is>
      </c>
      <c r="L8" s="147" t="n">
        <v>0.1</v>
      </c>
      <c r="M8" s="147" t="n"/>
      <c r="N8" s="147" t="n"/>
      <c r="O8" s="147" t="n"/>
      <c r="P8" s="147" t="n"/>
      <c r="Q8" s="148" t="n"/>
    </row>
    <row r="9" ht="15" customHeight="1" s="249">
      <c r="A9" s="143" t="n">
        <v>6561</v>
      </c>
      <c r="B9" s="143" t="n">
        <v>190</v>
      </c>
      <c r="C9" s="143" t="inlineStr">
        <is>
          <t>Brookes Pharma Private Limited</t>
        </is>
      </c>
      <c r="D9" s="144" t="inlineStr">
        <is>
          <t>ECZEMUS OINTMENT 0.03% 10G</t>
        </is>
      </c>
      <c r="E9" s="143" t="n">
        <v>16</v>
      </c>
      <c r="F9" s="143" t="inlineStr">
        <is>
          <t>THINNER</t>
        </is>
      </c>
      <c r="G9" s="143" t="n">
        <v>190</v>
      </c>
      <c r="H9" s="143" t="inlineStr">
        <is>
          <t>THINNER FOR LACQUER SOL R/C</t>
        </is>
      </c>
      <c r="I9" s="145" t="inlineStr">
        <is>
          <t>L</t>
        </is>
      </c>
      <c r="J9" s="146" t="n">
        <v>0.06</v>
      </c>
      <c r="K9" s="147" t="inlineStr">
        <is>
          <t>Thinner</t>
        </is>
      </c>
      <c r="L9" s="147" t="n">
        <v>0.1</v>
      </c>
      <c r="M9" s="147" t="n"/>
      <c r="N9" s="147" t="n"/>
      <c r="O9" s="147" t="n"/>
      <c r="P9" s="147" t="n"/>
      <c r="Q9" s="148" t="n"/>
    </row>
    <row r="10" ht="15" customHeight="1" s="249">
      <c r="A10" s="143" t="n">
        <v>6561</v>
      </c>
      <c r="B10" s="143" t="n">
        <v>190</v>
      </c>
      <c r="C10" s="143" t="inlineStr">
        <is>
          <t>Brookes Pharma Private Limited</t>
        </is>
      </c>
      <c r="D10" s="144" t="inlineStr">
        <is>
          <t>ECZEMUS OINTMENT 0.03% 10G</t>
        </is>
      </c>
      <c r="E10" s="143" t="n">
        <v>16</v>
      </c>
      <c r="F10" s="143" t="inlineStr">
        <is>
          <t>TAPE</t>
        </is>
      </c>
      <c r="G10" s="143" t="n">
        <v>3635</v>
      </c>
      <c r="H10" s="143" t="inlineStr">
        <is>
          <t>PACKING TAPE 2" OF 60 YARDS</t>
        </is>
      </c>
      <c r="I10" s="145" t="inlineStr">
        <is>
          <t>PCS</t>
        </is>
      </c>
      <c r="J10" s="146" t="n">
        <v>0.119</v>
      </c>
      <c r="K10" s="147" t="inlineStr">
        <is>
          <t>Packing Tape</t>
        </is>
      </c>
      <c r="L10" s="147" t="n">
        <v>0.1</v>
      </c>
      <c r="M10" s="147" t="n"/>
      <c r="N10" s="147" t="n"/>
      <c r="O10" s="147" t="n"/>
      <c r="P10" s="147" t="n"/>
      <c r="Q10" s="148" t="n"/>
    </row>
    <row r="11" ht="15" customHeight="1" s="249">
      <c r="A11" s="143" t="n">
        <v>6561</v>
      </c>
      <c r="B11" s="143" t="n">
        <v>190</v>
      </c>
      <c r="C11" s="143" t="inlineStr">
        <is>
          <t>Brookes Pharma Private Limited</t>
        </is>
      </c>
      <c r="D11" s="144" t="inlineStr">
        <is>
          <t>ECZEMUS OINTMENT 0.03% 10G</t>
        </is>
      </c>
      <c r="E11" s="143" t="n">
        <v>16</v>
      </c>
      <c r="F11" s="143" t="inlineStr">
        <is>
          <t>CARTON</t>
        </is>
      </c>
      <c r="G11" s="143" t="n">
        <v>200</v>
      </c>
      <c r="H11" s="143" t="inlineStr">
        <is>
          <t>DIA 16 5Ply</t>
        </is>
      </c>
      <c r="I11" s="145" t="inlineStr">
        <is>
          <t>PCS</t>
        </is>
      </c>
      <c r="J11" s="146" t="n">
        <v>0.55</v>
      </c>
      <c r="K11" s="147" t="inlineStr">
        <is>
          <t>Cartons</t>
        </is>
      </c>
      <c r="L11" s="147" t="n">
        <v>0.1</v>
      </c>
      <c r="M11" s="147" t="n"/>
      <c r="N11" s="147" t="n"/>
      <c r="O11" s="147" t="n"/>
      <c r="P11" s="147" t="n"/>
      <c r="Q11" s="148" t="n"/>
    </row>
    <row r="12" ht="15" customHeight="1" s="249">
      <c r="A12" s="143" t="n">
        <v>6561</v>
      </c>
      <c r="B12" s="143" t="n">
        <v>190</v>
      </c>
      <c r="C12" s="143" t="inlineStr">
        <is>
          <t>Brookes Pharma Private Limited</t>
        </is>
      </c>
      <c r="D12" s="144" t="inlineStr">
        <is>
          <t>ECZEMUS OINTMENT 0.03% 10G</t>
        </is>
      </c>
      <c r="E12" s="143" t="n">
        <v>16</v>
      </c>
      <c r="F12" s="143" t="inlineStr">
        <is>
          <t>JALI</t>
        </is>
      </c>
      <c r="G12" s="143" t="n">
        <v>52</v>
      </c>
      <c r="H12" s="143" t="inlineStr">
        <is>
          <t>16X200 J</t>
        </is>
      </c>
      <c r="I12" s="145" t="inlineStr">
        <is>
          <t>pcs</t>
        </is>
      </c>
      <c r="J12" s="146" t="n">
        <v>5</v>
      </c>
      <c r="K12" s="147" t="inlineStr">
        <is>
          <t>Jali</t>
        </is>
      </c>
      <c r="L12" s="147" t="n">
        <v>0.1</v>
      </c>
      <c r="M12" s="149" t="inlineStr">
        <is>
          <t>Value changed manually v9.30 (16-Apr-2026) — Update in ERP BOM</t>
        </is>
      </c>
      <c r="N12" s="147" t="n"/>
      <c r="O12" s="147" t="n"/>
      <c r="P12" s="147" t="n"/>
      <c r="Q12" s="148" t="n"/>
    </row>
    <row r="13" ht="15" customHeight="1" s="249">
      <c r="A13" s="143" t="n">
        <v>1085</v>
      </c>
      <c r="B13" s="143" t="n">
        <v>187</v>
      </c>
      <c r="C13" s="143" t="inlineStr">
        <is>
          <t>Brookes Pharma Private Limited</t>
        </is>
      </c>
      <c r="D13" s="144" t="inlineStr">
        <is>
          <t>PYODINE GEL 20GM</t>
        </is>
      </c>
      <c r="E13" s="143" t="n">
        <v>19</v>
      </c>
      <c r="F13" s="143" t="inlineStr">
        <is>
          <t>SLUG</t>
        </is>
      </c>
      <c r="G13" s="143" t="n">
        <v>22</v>
      </c>
      <c r="H13" s="143" t="inlineStr">
        <is>
          <t>19X4.2</t>
        </is>
      </c>
      <c r="I13" s="145" t="inlineStr">
        <is>
          <t>kg</t>
        </is>
      </c>
      <c r="J13" s="146" t="n">
        <v>3.367</v>
      </c>
      <c r="K13" s="147" t="inlineStr">
        <is>
          <t>Aluminum Slugs</t>
        </is>
      </c>
      <c r="L13" s="147" t="n">
        <v>0.1</v>
      </c>
      <c r="M13" s="147" t="n"/>
      <c r="N13" s="147" t="n"/>
      <c r="O13" s="147" t="n"/>
      <c r="P13" s="147" t="n"/>
      <c r="Q13" s="148" t="n"/>
    </row>
    <row r="14" ht="15" customHeight="1" s="249">
      <c r="A14" s="143" t="n">
        <v>1085</v>
      </c>
      <c r="B14" s="143" t="n">
        <v>187</v>
      </c>
      <c r="C14" s="143" t="inlineStr">
        <is>
          <t>Brookes Pharma Private Limited</t>
        </is>
      </c>
      <c r="D14" s="144" t="inlineStr">
        <is>
          <t>PYODINE GEL 20GM</t>
        </is>
      </c>
      <c r="E14" s="143" t="n">
        <v>19</v>
      </c>
      <c r="F14" s="143" t="inlineStr">
        <is>
          <t>BASE COAT</t>
        </is>
      </c>
      <c r="G14" s="143" t="n">
        <v>3595</v>
      </c>
      <c r="H14" s="143" t="inlineStr">
        <is>
          <t>POLYSTER BASE COAT WHITE 234</t>
        </is>
      </c>
      <c r="I14" s="145" t="inlineStr">
        <is>
          <t>kg</t>
        </is>
      </c>
      <c r="J14" s="146" t="n">
        <v>0.31</v>
      </c>
      <c r="K14" s="147" t="inlineStr">
        <is>
          <t>Base Coat</t>
        </is>
      </c>
      <c r="L14" s="147" t="n">
        <v>0.1</v>
      </c>
      <c r="M14" s="149" t="inlineStr">
        <is>
          <t>Item name kept as ERP ('POLYSTER BASE COAT WHITE 234'). Rehan wrote 'BASE COAT WHITE 23410 CT' — corrected. (16-Apr-2026) — Verify in ERP</t>
        </is>
      </c>
      <c r="N14" s="147" t="n"/>
      <c r="O14" s="147" t="n"/>
      <c r="P14" s="147" t="n"/>
      <c r="Q14" s="148" t="n"/>
    </row>
    <row r="15" ht="15" customHeight="1" s="249">
      <c r="A15" s="143" t="n">
        <v>1085</v>
      </c>
      <c r="B15" s="143" t="n">
        <v>187</v>
      </c>
      <c r="C15" s="143" t="inlineStr">
        <is>
          <t>Brookes Pharma Private Limited</t>
        </is>
      </c>
      <c r="D15" s="144" t="inlineStr">
        <is>
          <t>PYODINE GEL 20GM</t>
        </is>
      </c>
      <c r="E15" s="143" t="n">
        <v>19</v>
      </c>
      <c r="F15" s="143" t="inlineStr">
        <is>
          <t>CAP</t>
        </is>
      </c>
      <c r="G15" s="143" t="n">
        <v>81</v>
      </c>
      <c r="H15" s="143" t="inlineStr">
        <is>
          <t>M-9 S/M F/P WHITE (S)</t>
        </is>
      </c>
      <c r="I15" s="145" t="inlineStr">
        <is>
          <t>PCS</t>
        </is>
      </c>
      <c r="J15" s="146" t="n">
        <v>1000</v>
      </c>
      <c r="K15" s="147" t="inlineStr">
        <is>
          <t>Caps</t>
        </is>
      </c>
      <c r="L15" s="147" t="n">
        <v>0.02</v>
      </c>
      <c r="M15" s="149" t="inlineStr">
        <is>
          <t>Value changed manually v9.30 (16-Apr-2026) — Update in ERP BOM</t>
        </is>
      </c>
      <c r="N15" s="147" t="n"/>
      <c r="O15" s="147" t="n"/>
      <c r="P15" s="147" t="n"/>
      <c r="Q15" s="148" t="n"/>
    </row>
    <row r="16" ht="15" customHeight="1" s="249">
      <c r="A16" s="143" t="n">
        <v>1085</v>
      </c>
      <c r="B16" s="143" t="n">
        <v>187</v>
      </c>
      <c r="C16" s="143" t="inlineStr">
        <is>
          <t>Brookes Pharma Private Limited</t>
        </is>
      </c>
      <c r="D16" s="144" t="inlineStr">
        <is>
          <t>PYODINE GEL 20GM</t>
        </is>
      </c>
      <c r="E16" s="143" t="n">
        <v>19</v>
      </c>
      <c r="F16" s="143" t="inlineStr">
        <is>
          <t>CARTON</t>
        </is>
      </c>
      <c r="G16" s="143" t="n">
        <v>39</v>
      </c>
      <c r="H16" s="143" t="inlineStr">
        <is>
          <t>19X200 3Ply</t>
        </is>
      </c>
      <c r="I16" s="145" t="inlineStr">
        <is>
          <t>PCS</t>
        </is>
      </c>
      <c r="J16" s="146" t="n">
        <v>5</v>
      </c>
      <c r="K16" s="147" t="inlineStr">
        <is>
          <t>Cartons</t>
        </is>
      </c>
      <c r="L16" s="147" t="n">
        <v>0.1</v>
      </c>
      <c r="M16" s="149" t="inlineStr">
        <is>
          <t>Value changed manually v9.30 (16-Apr-2026) — Update in ERP BOM</t>
        </is>
      </c>
      <c r="N16" s="147" t="n"/>
      <c r="O16" s="147" t="n"/>
      <c r="P16" s="147" t="n"/>
      <c r="Q16" s="148" t="n"/>
    </row>
    <row r="17" ht="15" customHeight="1" s="249">
      <c r="A17" s="143" t="n">
        <v>1085</v>
      </c>
      <c r="B17" s="143" t="n">
        <v>187</v>
      </c>
      <c r="C17" s="143" t="inlineStr">
        <is>
          <t>Brookes Pharma Private Limited</t>
        </is>
      </c>
      <c r="D17" s="144" t="inlineStr">
        <is>
          <t>PYODINE GEL 20GM</t>
        </is>
      </c>
      <c r="E17" s="143" t="n">
        <v>19</v>
      </c>
      <c r="F17" s="143" t="inlineStr">
        <is>
          <t>ZINC POWDER</t>
        </is>
      </c>
      <c r="G17" s="143" t="n">
        <v>194</v>
      </c>
      <c r="H17" s="143" t="inlineStr">
        <is>
          <t>ZINC STEARATE</t>
        </is>
      </c>
      <c r="I17" s="145" t="inlineStr">
        <is>
          <t>kg</t>
        </is>
      </c>
      <c r="J17" s="146" t="n">
        <v>0.0034</v>
      </c>
      <c r="K17" s="147" t="inlineStr">
        <is>
          <t>Zinc Stearate</t>
        </is>
      </c>
      <c r="L17" s="147" t="n">
        <v>0.1</v>
      </c>
      <c r="M17" s="147" t="n"/>
      <c r="N17" s="147" t="n"/>
      <c r="O17" s="147" t="n"/>
      <c r="P17" s="147" t="n"/>
      <c r="Q17" s="148" t="n"/>
    </row>
    <row r="18" ht="15" customHeight="1" s="249">
      <c r="A18" s="143" t="n">
        <v>1085</v>
      </c>
      <c r="B18" s="143" t="n">
        <v>187</v>
      </c>
      <c r="C18" s="143" t="inlineStr">
        <is>
          <t>Brookes Pharma Private Limited</t>
        </is>
      </c>
      <c r="D18" s="144" t="inlineStr">
        <is>
          <t>PYODINE GEL 20GM</t>
        </is>
      </c>
      <c r="E18" s="143" t="n">
        <v>19</v>
      </c>
      <c r="F18" s="143" t="inlineStr">
        <is>
          <t>TAPE</t>
        </is>
      </c>
      <c r="G18" s="143" t="n">
        <v>3635</v>
      </c>
      <c r="H18" s="143" t="inlineStr">
        <is>
          <t>PACKING TAPE 2" OF 60 YARDS</t>
        </is>
      </c>
      <c r="I18" s="145" t="inlineStr">
        <is>
          <t>PCS</t>
        </is>
      </c>
      <c r="J18" s="146" t="n">
        <v>0.138</v>
      </c>
      <c r="K18" s="147" t="inlineStr">
        <is>
          <t>Packing Tape</t>
        </is>
      </c>
      <c r="L18" s="147" t="n">
        <v>0.1</v>
      </c>
      <c r="M18" s="147" t="n"/>
      <c r="N18" s="147" t="n"/>
      <c r="O18" s="147" t="n"/>
      <c r="P18" s="147" t="n"/>
      <c r="Q18" s="148" t="n"/>
    </row>
    <row r="19" ht="15" customHeight="1" s="249">
      <c r="A19" s="143" t="n">
        <v>1085</v>
      </c>
      <c r="B19" s="143" t="n">
        <v>187</v>
      </c>
      <c r="C19" s="143" t="inlineStr">
        <is>
          <t>Brookes Pharma Private Limited</t>
        </is>
      </c>
      <c r="D19" s="144" t="inlineStr">
        <is>
          <t>PYODINE GEL 20GM</t>
        </is>
      </c>
      <c r="E19" s="143" t="n">
        <v>19</v>
      </c>
      <c r="F19" s="143" t="inlineStr">
        <is>
          <t>LACQUER</t>
        </is>
      </c>
      <c r="G19" s="143" t="n">
        <v>185</v>
      </c>
      <c r="H19" s="143" t="inlineStr">
        <is>
          <t>EPOXY LACQUER (1500)</t>
        </is>
      </c>
      <c r="I19" s="145" t="inlineStr">
        <is>
          <t>L</t>
        </is>
      </c>
      <c r="J19" s="146" t="n">
        <v>0.1449</v>
      </c>
      <c r="K19" s="147" t="inlineStr">
        <is>
          <t>Lacquer</t>
        </is>
      </c>
      <c r="L19" s="147" t="n">
        <v>0.1</v>
      </c>
      <c r="M19" s="147" t="n"/>
      <c r="N19" s="147" t="n"/>
      <c r="O19" s="147" t="n"/>
      <c r="P19" s="147" t="n"/>
      <c r="Q19" s="148" t="n"/>
    </row>
    <row r="20" ht="15" customHeight="1" s="249">
      <c r="A20" s="143" t="n">
        <v>1085</v>
      </c>
      <c r="B20" s="143" t="n">
        <v>187</v>
      </c>
      <c r="C20" s="143" t="inlineStr">
        <is>
          <t>Brookes Pharma Private Limited</t>
        </is>
      </c>
      <c r="D20" s="144" t="inlineStr">
        <is>
          <t>PYODINE GEL 20GM</t>
        </is>
      </c>
      <c r="E20" s="143" t="n">
        <v>19</v>
      </c>
      <c r="F20" s="143" t="inlineStr">
        <is>
          <t>JALI</t>
        </is>
      </c>
      <c r="G20" s="143" t="n">
        <v>54</v>
      </c>
      <c r="H20" s="143" t="inlineStr">
        <is>
          <t>19X200 J</t>
        </is>
      </c>
      <c r="I20" s="145" t="inlineStr">
        <is>
          <t>pcs</t>
        </is>
      </c>
      <c r="J20" s="146" t="n">
        <v>5</v>
      </c>
      <c r="K20" s="147" t="inlineStr">
        <is>
          <t>Jali</t>
        </is>
      </c>
      <c r="L20" s="147" t="n">
        <v>0.1</v>
      </c>
      <c r="M20" s="149" t="inlineStr">
        <is>
          <t>Value changed manually v9.30 (16-Apr-2026) — Update in ERP BOM</t>
        </is>
      </c>
      <c r="N20" s="147" t="n"/>
      <c r="O20" s="147" t="n"/>
      <c r="P20" s="147" t="n"/>
      <c r="Q20" s="148" t="n"/>
    </row>
    <row r="21" ht="15" customHeight="1" s="249">
      <c r="A21" s="143" t="n">
        <v>1085</v>
      </c>
      <c r="B21" s="143" t="n">
        <v>187</v>
      </c>
      <c r="C21" s="143" t="inlineStr">
        <is>
          <t>Brookes Pharma Private Limited</t>
        </is>
      </c>
      <c r="D21" s="144" t="inlineStr">
        <is>
          <t>PYODINE GEL 20GM</t>
        </is>
      </c>
      <c r="E21" s="143" t="n">
        <v>19</v>
      </c>
      <c r="F21" s="143" t="inlineStr">
        <is>
          <t>IRON AND METAL</t>
        </is>
      </c>
      <c r="G21" s="143" t="n">
        <v>199</v>
      </c>
      <c r="H21" s="143" t="inlineStr">
        <is>
          <t>DIA 19 (1800) 5Ply</t>
        </is>
      </c>
      <c r="I21" s="145" t="inlineStr">
        <is>
          <t>pcs</t>
        </is>
      </c>
      <c r="J21" s="146" t="n">
        <v>0.55</v>
      </c>
      <c r="K21" s="147" t="inlineStr">
        <is>
          <t>Iron &amp; Metal</t>
        </is>
      </c>
      <c r="L21" s="147" t="n">
        <v>0.1</v>
      </c>
      <c r="M21" s="149" t="n"/>
      <c r="N21" s="147" t="n"/>
      <c r="O21" s="147" t="n"/>
      <c r="P21" s="147" t="n"/>
      <c r="Q21" s="148" t="n"/>
    </row>
    <row r="22" ht="15" customHeight="1" s="249">
      <c r="A22" s="143" t="n">
        <v>6559</v>
      </c>
      <c r="B22" s="143" t="n">
        <v>188</v>
      </c>
      <c r="C22" s="143" t="inlineStr">
        <is>
          <t>Brookes Pharma Private Limited</t>
        </is>
      </c>
      <c r="D22" s="144" t="inlineStr">
        <is>
          <t>PHLOGIN GEL 20G</t>
        </is>
      </c>
      <c r="E22" s="143" t="n">
        <v>19</v>
      </c>
      <c r="F22" s="143" t="inlineStr">
        <is>
          <t>SLUG</t>
        </is>
      </c>
      <c r="G22" s="143" t="n">
        <v>22</v>
      </c>
      <c r="H22" s="143" t="inlineStr">
        <is>
          <t>19X4.2</t>
        </is>
      </c>
      <c r="I22" s="145" t="inlineStr">
        <is>
          <t>kg</t>
        </is>
      </c>
      <c r="J22" s="146" t="n">
        <v>3.367</v>
      </c>
      <c r="K22" s="147" t="inlineStr">
        <is>
          <t>Aluminum Slugs</t>
        </is>
      </c>
      <c r="L22" s="147" t="n">
        <v>0.1</v>
      </c>
      <c r="M22" s="147" t="n"/>
      <c r="N22" s="147" t="n"/>
      <c r="O22" s="147" t="n"/>
      <c r="P22" s="147" t="n"/>
      <c r="Q22" s="148" t="n"/>
    </row>
    <row r="23" ht="15" customHeight="1" s="249">
      <c r="A23" s="143" t="n">
        <v>6559</v>
      </c>
      <c r="B23" s="143" t="n">
        <v>188</v>
      </c>
      <c r="C23" s="143" t="inlineStr">
        <is>
          <t>Brookes Pharma Private Limited</t>
        </is>
      </c>
      <c r="D23" s="144" t="inlineStr">
        <is>
          <t>PHLOGIN GEL 20G</t>
        </is>
      </c>
      <c r="E23" s="143" t="n">
        <v>19</v>
      </c>
      <c r="F23" s="143" t="inlineStr">
        <is>
          <t>BASE COAT</t>
        </is>
      </c>
      <c r="G23" s="143" t="n">
        <v>3595</v>
      </c>
      <c r="H23" s="143" t="inlineStr">
        <is>
          <t>POLYSTER BASE COAT WHITE 234</t>
        </is>
      </c>
      <c r="I23" s="145" t="inlineStr">
        <is>
          <t>kg</t>
        </is>
      </c>
      <c r="J23" s="146" t="n">
        <v>0.31</v>
      </c>
      <c r="K23" s="147" t="inlineStr">
        <is>
          <t>Base Coat</t>
        </is>
      </c>
      <c r="L23" s="147" t="n">
        <v>0.1</v>
      </c>
      <c r="M23" s="149" t="inlineStr">
        <is>
          <t>Item name kept as ERP ('POLYSTER BASE COAT WHITE 234'). Rehan wrote 'BASE COAT WHITE 23410 CT' — corrected. (16-Apr-2026) — Verify in ERP</t>
        </is>
      </c>
      <c r="N23" s="147" t="n"/>
      <c r="O23" s="147" t="n"/>
      <c r="P23" s="147" t="n"/>
      <c r="Q23" s="148" t="n"/>
    </row>
    <row r="24" ht="15" customHeight="1" s="249">
      <c r="A24" s="143" t="n">
        <v>6559</v>
      </c>
      <c r="B24" s="143" t="n">
        <v>188</v>
      </c>
      <c r="C24" s="143" t="inlineStr">
        <is>
          <t>Brookes Pharma Private Limited</t>
        </is>
      </c>
      <c r="D24" s="144" t="inlineStr">
        <is>
          <t>PHLOGIN GEL 20G</t>
        </is>
      </c>
      <c r="E24" s="143" t="n">
        <v>19</v>
      </c>
      <c r="F24" s="143" t="inlineStr">
        <is>
          <t>CAP</t>
        </is>
      </c>
      <c r="G24" s="143" t="n">
        <v>81</v>
      </c>
      <c r="H24" s="143" t="inlineStr">
        <is>
          <t>M-9 S/M F/P WHITE (S)</t>
        </is>
      </c>
      <c r="I24" s="145" t="inlineStr">
        <is>
          <t>PCS</t>
        </is>
      </c>
      <c r="J24" s="146" t="n">
        <v>1000</v>
      </c>
      <c r="K24" s="147" t="inlineStr">
        <is>
          <t>Caps</t>
        </is>
      </c>
      <c r="L24" s="147" t="n">
        <v>0.02</v>
      </c>
      <c r="M24" s="149" t="inlineStr">
        <is>
          <t>Value changed manually v9.30 (16-Apr-2026) — Update in ERP BOM</t>
        </is>
      </c>
      <c r="N24" s="147" t="n"/>
      <c r="O24" s="147" t="n"/>
      <c r="P24" s="147" t="n"/>
      <c r="Q24" s="148" t="n"/>
    </row>
    <row r="25" ht="15" customHeight="1" s="249">
      <c r="A25" s="143" t="n">
        <v>6559</v>
      </c>
      <c r="B25" s="143" t="n">
        <v>188</v>
      </c>
      <c r="C25" s="143" t="inlineStr">
        <is>
          <t>Brookes Pharma Private Limited</t>
        </is>
      </c>
      <c r="D25" s="144" t="inlineStr">
        <is>
          <t>PHLOGIN GEL 20G</t>
        </is>
      </c>
      <c r="E25" s="143" t="n">
        <v>19</v>
      </c>
      <c r="F25" s="143" t="inlineStr">
        <is>
          <t>CARTON</t>
        </is>
      </c>
      <c r="G25" s="143" t="n">
        <v>39</v>
      </c>
      <c r="H25" s="143" t="inlineStr">
        <is>
          <t>19X200 3Ply</t>
        </is>
      </c>
      <c r="I25" s="145" t="inlineStr">
        <is>
          <t>PCS</t>
        </is>
      </c>
      <c r="J25" s="146" t="n">
        <v>5</v>
      </c>
      <c r="K25" s="147" t="inlineStr">
        <is>
          <t>Cartons</t>
        </is>
      </c>
      <c r="L25" s="147" t="n">
        <v>0.1</v>
      </c>
      <c r="M25" s="149" t="inlineStr">
        <is>
          <t>Value changed manually v9.30 (16-Apr-2026) — Update in ERP BOM</t>
        </is>
      </c>
      <c r="N25" s="147" t="n"/>
      <c r="O25" s="147" t="n"/>
      <c r="P25" s="147" t="n"/>
      <c r="Q25" s="148" t="n"/>
    </row>
    <row r="26" ht="15" customHeight="1" s="249">
      <c r="A26" s="143" t="n">
        <v>6559</v>
      </c>
      <c r="B26" s="143" t="n">
        <v>188</v>
      </c>
      <c r="C26" s="143" t="inlineStr">
        <is>
          <t>Brookes Pharma Private Limited</t>
        </is>
      </c>
      <c r="D26" s="144" t="inlineStr">
        <is>
          <t>PHLOGIN GEL 20G</t>
        </is>
      </c>
      <c r="E26" s="143" t="n">
        <v>19</v>
      </c>
      <c r="F26" s="143" t="inlineStr">
        <is>
          <t>ZINC POWDER</t>
        </is>
      </c>
      <c r="G26" s="143" t="n">
        <v>194</v>
      </c>
      <c r="H26" s="143" t="inlineStr">
        <is>
          <t>ZINC STEARATE</t>
        </is>
      </c>
      <c r="I26" s="145" t="inlineStr">
        <is>
          <t>kg</t>
        </is>
      </c>
      <c r="J26" s="146" t="n">
        <v>0.0034</v>
      </c>
      <c r="K26" s="147" t="inlineStr">
        <is>
          <t>Zinc Stearate</t>
        </is>
      </c>
      <c r="L26" s="147" t="n">
        <v>0.1</v>
      </c>
      <c r="M26" s="147" t="n"/>
      <c r="N26" s="147" t="n"/>
      <c r="O26" s="147" t="n"/>
      <c r="P26" s="147" t="n"/>
      <c r="Q26" s="148" t="n"/>
    </row>
    <row r="27" ht="15" customHeight="1" s="249">
      <c r="A27" s="143" t="n">
        <v>6559</v>
      </c>
      <c r="B27" s="143" t="n">
        <v>188</v>
      </c>
      <c r="C27" s="143" t="inlineStr">
        <is>
          <t>Brookes Pharma Private Limited</t>
        </is>
      </c>
      <c r="D27" s="144" t="inlineStr">
        <is>
          <t>PHLOGIN GEL 20G</t>
        </is>
      </c>
      <c r="E27" s="143" t="n">
        <v>19</v>
      </c>
      <c r="F27" s="143" t="inlineStr">
        <is>
          <t>TAPE</t>
        </is>
      </c>
      <c r="G27" s="143" t="n">
        <v>3635</v>
      </c>
      <c r="H27" s="143" t="inlineStr">
        <is>
          <t>PACKING TAPE 2" OF 60 YARDS</t>
        </is>
      </c>
      <c r="I27" s="145" t="inlineStr">
        <is>
          <t>PCS</t>
        </is>
      </c>
      <c r="J27" s="146" t="n">
        <v>0.138</v>
      </c>
      <c r="K27" s="147" t="inlineStr">
        <is>
          <t>Packing Tape</t>
        </is>
      </c>
      <c r="L27" s="147" t="n">
        <v>0.1</v>
      </c>
      <c r="M27" s="147" t="n"/>
      <c r="N27" s="147" t="n"/>
      <c r="O27" s="147" t="n"/>
      <c r="P27" s="147" t="n"/>
      <c r="Q27" s="148" t="n"/>
    </row>
    <row r="28" ht="15" customHeight="1" s="249">
      <c r="A28" s="143" t="n">
        <v>6559</v>
      </c>
      <c r="B28" s="143" t="n">
        <v>188</v>
      </c>
      <c r="C28" s="143" t="inlineStr">
        <is>
          <t>Brookes Pharma Private Limited</t>
        </is>
      </c>
      <c r="D28" s="144" t="inlineStr">
        <is>
          <t>PHLOGIN GEL 20G</t>
        </is>
      </c>
      <c r="E28" s="143" t="n">
        <v>19</v>
      </c>
      <c r="F28" s="143" t="inlineStr">
        <is>
          <t>LACQUER</t>
        </is>
      </c>
      <c r="G28" s="143" t="n">
        <v>185</v>
      </c>
      <c r="H28" s="143" t="inlineStr">
        <is>
          <t>EPOXY LACQUER (1500)</t>
        </is>
      </c>
      <c r="I28" s="145" t="inlineStr">
        <is>
          <t>L</t>
        </is>
      </c>
      <c r="J28" s="146" t="n">
        <v>0.1449</v>
      </c>
      <c r="K28" s="147" t="inlineStr">
        <is>
          <t>Lacquer</t>
        </is>
      </c>
      <c r="L28" s="147" t="n">
        <v>0.1</v>
      </c>
      <c r="M28" s="147" t="n"/>
      <c r="N28" s="147" t="n"/>
      <c r="O28" s="147" t="n"/>
      <c r="P28" s="147" t="n"/>
      <c r="Q28" s="148" t="n"/>
    </row>
    <row r="29" ht="15" customHeight="1" s="249">
      <c r="A29" s="143" t="n">
        <v>6559</v>
      </c>
      <c r="B29" s="143" t="n">
        <v>188</v>
      </c>
      <c r="C29" s="143" t="inlineStr">
        <is>
          <t>Brookes Pharma Private Limited</t>
        </is>
      </c>
      <c r="D29" s="144" t="inlineStr">
        <is>
          <t>PHLOGIN GEL 20G</t>
        </is>
      </c>
      <c r="E29" s="143" t="n">
        <v>19</v>
      </c>
      <c r="F29" s="143" t="inlineStr">
        <is>
          <t>JALI</t>
        </is>
      </c>
      <c r="G29" s="143" t="n">
        <v>54</v>
      </c>
      <c r="H29" s="143" t="inlineStr">
        <is>
          <t>19X200 J</t>
        </is>
      </c>
      <c r="I29" s="145" t="inlineStr">
        <is>
          <t>pcs</t>
        </is>
      </c>
      <c r="J29" s="146" t="n">
        <v>5</v>
      </c>
      <c r="K29" s="147" t="inlineStr">
        <is>
          <t>Jali</t>
        </is>
      </c>
      <c r="L29" s="147" t="n">
        <v>0.1</v>
      </c>
      <c r="M29" s="149" t="inlineStr">
        <is>
          <t>Value changed manually v9.30 (16-Apr-2026) — Update in ERP BOM</t>
        </is>
      </c>
      <c r="N29" s="147" t="n"/>
      <c r="O29" s="147" t="n"/>
      <c r="P29" s="147" t="n"/>
      <c r="Q29" s="148" t="n"/>
    </row>
    <row r="30" ht="15" customHeight="1" s="249">
      <c r="A30" s="143" t="n">
        <v>6559</v>
      </c>
      <c r="B30" s="143" t="n">
        <v>188</v>
      </c>
      <c r="C30" s="143" t="inlineStr">
        <is>
          <t>Brookes Pharma Private Limited</t>
        </is>
      </c>
      <c r="D30" s="144" t="inlineStr">
        <is>
          <t>PHLOGIN GEL 20G</t>
        </is>
      </c>
      <c r="E30" s="143" t="n">
        <v>19</v>
      </c>
      <c r="F30" s="143" t="inlineStr">
        <is>
          <t>IRON AND METAL</t>
        </is>
      </c>
      <c r="G30" s="143" t="n">
        <v>199</v>
      </c>
      <c r="H30" s="143" t="inlineStr">
        <is>
          <t>DIA 19 (1800) 5Ply</t>
        </is>
      </c>
      <c r="I30" s="145" t="inlineStr">
        <is>
          <t>pcs</t>
        </is>
      </c>
      <c r="J30" s="146" t="n">
        <v>0.55</v>
      </c>
      <c r="K30" s="147" t="inlineStr">
        <is>
          <t>Iron &amp; Metal</t>
        </is>
      </c>
      <c r="L30" s="147" t="n">
        <v>0.1</v>
      </c>
      <c r="M30" s="149" t="n"/>
      <c r="N30" s="147" t="n"/>
      <c r="O30" s="147" t="n"/>
      <c r="P30" s="147" t="n"/>
      <c r="Q30" s="148" t="n"/>
    </row>
    <row r="31" ht="15" customHeight="1" s="249">
      <c r="A31" s="143" t="n">
        <v>6560</v>
      </c>
      <c r="B31" s="143" t="n">
        <v>189</v>
      </c>
      <c r="C31" s="143" t="inlineStr">
        <is>
          <t>Brookes Pharma Private Limited</t>
        </is>
      </c>
      <c r="D31" s="144" t="inlineStr">
        <is>
          <t>CONTRATUBEX GEL 20G</t>
        </is>
      </c>
      <c r="E31" s="143" t="n">
        <v>19</v>
      </c>
      <c r="F31" s="143" t="inlineStr">
        <is>
          <t>SLUG</t>
        </is>
      </c>
      <c r="G31" s="143" t="n">
        <v>22</v>
      </c>
      <c r="H31" s="143" t="inlineStr">
        <is>
          <t>19X4.2</t>
        </is>
      </c>
      <c r="I31" s="145" t="inlineStr">
        <is>
          <t>kg</t>
        </is>
      </c>
      <c r="J31" s="146" t="n">
        <v>3.367</v>
      </c>
      <c r="K31" s="147" t="inlineStr">
        <is>
          <t>Aluminum Slugs</t>
        </is>
      </c>
      <c r="L31" s="147" t="n">
        <v>0.1</v>
      </c>
      <c r="M31" s="147" t="n"/>
      <c r="N31" s="147" t="n"/>
      <c r="O31" s="147" t="n"/>
      <c r="P31" s="147" t="n"/>
      <c r="Q31" s="148" t="n"/>
    </row>
    <row r="32" ht="15" customHeight="1" s="249">
      <c r="A32" s="143" t="n">
        <v>6560</v>
      </c>
      <c r="B32" s="143" t="n">
        <v>189</v>
      </c>
      <c r="C32" s="143" t="inlineStr">
        <is>
          <t>Brookes Pharma Private Limited</t>
        </is>
      </c>
      <c r="D32" s="144" t="inlineStr">
        <is>
          <t>CONTRATUBEX GEL 20G</t>
        </is>
      </c>
      <c r="E32" s="143" t="n">
        <v>19</v>
      </c>
      <c r="F32" s="143" t="inlineStr">
        <is>
          <t>BASE COAT</t>
        </is>
      </c>
      <c r="G32" s="143" t="n">
        <v>3595</v>
      </c>
      <c r="H32" s="143" t="inlineStr">
        <is>
          <t>POLYSTER BASE COAT WHITE 234</t>
        </is>
      </c>
      <c r="I32" s="145" t="inlineStr">
        <is>
          <t>kg</t>
        </is>
      </c>
      <c r="J32" s="146" t="n">
        <v>0.31</v>
      </c>
      <c r="K32" s="147" t="inlineStr">
        <is>
          <t>Base Coat</t>
        </is>
      </c>
      <c r="L32" s="147" t="n">
        <v>0.1</v>
      </c>
      <c r="M32" s="149" t="inlineStr">
        <is>
          <t>Item name kept as ERP ('POLYSTER BASE COAT WHITE 234'). Rehan wrote 'BASE COAT WHITE 23410 CT' — corrected. (16-Apr-2026) — Verify in ERP</t>
        </is>
      </c>
      <c r="N32" s="147" t="n"/>
      <c r="O32" s="147" t="n"/>
      <c r="P32" s="147" t="n"/>
      <c r="Q32" s="148" t="n"/>
    </row>
    <row r="33" ht="15" customHeight="1" s="249">
      <c r="A33" s="143" t="n">
        <v>6560</v>
      </c>
      <c r="B33" s="143" t="n">
        <v>189</v>
      </c>
      <c r="C33" s="143" t="inlineStr">
        <is>
          <t>Brookes Pharma Private Limited</t>
        </is>
      </c>
      <c r="D33" s="144" t="inlineStr">
        <is>
          <t>CONTRATUBEX GEL 20G</t>
        </is>
      </c>
      <c r="E33" s="143" t="n">
        <v>19</v>
      </c>
      <c r="F33" s="143" t="inlineStr">
        <is>
          <t>CAP</t>
        </is>
      </c>
      <c r="G33" s="143" t="n">
        <v>81</v>
      </c>
      <c r="H33" s="143" t="inlineStr">
        <is>
          <t>M-9 S/M F/P WHITE (S)</t>
        </is>
      </c>
      <c r="I33" s="145" t="inlineStr">
        <is>
          <t>PCS</t>
        </is>
      </c>
      <c r="J33" s="146" t="n">
        <v>1000</v>
      </c>
      <c r="K33" s="147" t="inlineStr">
        <is>
          <t>Caps</t>
        </is>
      </c>
      <c r="L33" s="147" t="n">
        <v>0.02</v>
      </c>
      <c r="M33" s="149" t="inlineStr">
        <is>
          <t>Value changed manually v9.30 (16-Apr-2026) — Update in ERP BOM</t>
        </is>
      </c>
      <c r="N33" s="147" t="n"/>
      <c r="O33" s="147" t="n"/>
      <c r="P33" s="147" t="n"/>
      <c r="Q33" s="148" t="n"/>
    </row>
    <row r="34" ht="15" customHeight="1" s="249">
      <c r="A34" s="143" t="n">
        <v>6560</v>
      </c>
      <c r="B34" s="143" t="n">
        <v>189</v>
      </c>
      <c r="C34" s="143" t="inlineStr">
        <is>
          <t>Brookes Pharma Private Limited</t>
        </is>
      </c>
      <c r="D34" s="144" t="inlineStr">
        <is>
          <t>CONTRATUBEX GEL 20G</t>
        </is>
      </c>
      <c r="E34" s="143" t="n">
        <v>19</v>
      </c>
      <c r="F34" s="143" t="inlineStr">
        <is>
          <t>CARTON</t>
        </is>
      </c>
      <c r="G34" s="143" t="n">
        <v>39</v>
      </c>
      <c r="H34" s="143" t="inlineStr">
        <is>
          <t>19X200 3Ply</t>
        </is>
      </c>
      <c r="I34" s="145" t="inlineStr">
        <is>
          <t>PCS</t>
        </is>
      </c>
      <c r="J34" s="146" t="n">
        <v>5</v>
      </c>
      <c r="K34" s="147" t="inlineStr">
        <is>
          <t>Cartons</t>
        </is>
      </c>
      <c r="L34" s="147" t="n">
        <v>0.1</v>
      </c>
      <c r="M34" s="149" t="inlineStr">
        <is>
          <t>Value changed manually v9.30 (16-Apr-2026) — Update in ERP BOM</t>
        </is>
      </c>
      <c r="N34" s="147" t="n"/>
      <c r="O34" s="147" t="n"/>
      <c r="P34" s="147" t="n"/>
      <c r="Q34" s="148" t="n"/>
    </row>
    <row r="35" ht="15" customHeight="1" s="249">
      <c r="A35" s="143" t="n">
        <v>6560</v>
      </c>
      <c r="B35" s="143" t="n">
        <v>189</v>
      </c>
      <c r="C35" s="143" t="inlineStr">
        <is>
          <t>Brookes Pharma Private Limited</t>
        </is>
      </c>
      <c r="D35" s="144" t="inlineStr">
        <is>
          <t>CONTRATUBEX GEL 20G</t>
        </is>
      </c>
      <c r="E35" s="143" t="n">
        <v>19</v>
      </c>
      <c r="F35" s="143" t="inlineStr">
        <is>
          <t>ZINC POWDER</t>
        </is>
      </c>
      <c r="G35" s="143" t="n">
        <v>194</v>
      </c>
      <c r="H35" s="143" t="inlineStr">
        <is>
          <t>ZINC STEARATE</t>
        </is>
      </c>
      <c r="I35" s="145" t="inlineStr">
        <is>
          <t>kg</t>
        </is>
      </c>
      <c r="J35" s="146" t="n">
        <v>0.0034</v>
      </c>
      <c r="K35" s="147" t="inlineStr">
        <is>
          <t>Zinc Stearate</t>
        </is>
      </c>
      <c r="L35" s="147" t="n">
        <v>0.1</v>
      </c>
      <c r="M35" s="147" t="n"/>
      <c r="N35" s="147" t="n"/>
      <c r="O35" s="147" t="n"/>
      <c r="P35" s="147" t="n"/>
      <c r="Q35" s="148" t="n"/>
    </row>
    <row r="36" ht="15" customHeight="1" s="249">
      <c r="A36" s="143" t="n">
        <v>6560</v>
      </c>
      <c r="B36" s="143" t="n">
        <v>189</v>
      </c>
      <c r="C36" s="143" t="inlineStr">
        <is>
          <t>Brookes Pharma Private Limited</t>
        </is>
      </c>
      <c r="D36" s="144" t="inlineStr">
        <is>
          <t>CONTRATUBEX GEL 20G</t>
        </is>
      </c>
      <c r="E36" s="143" t="n">
        <v>19</v>
      </c>
      <c r="F36" s="143" t="inlineStr">
        <is>
          <t>TAPE</t>
        </is>
      </c>
      <c r="G36" s="143" t="n">
        <v>3635</v>
      </c>
      <c r="H36" s="143" t="inlineStr">
        <is>
          <t>PACKING TAPE 2" OF 60 YARDS</t>
        </is>
      </c>
      <c r="I36" s="145" t="inlineStr">
        <is>
          <t>PCS</t>
        </is>
      </c>
      <c r="J36" s="146" t="n">
        <v>0.138</v>
      </c>
      <c r="K36" s="147" t="inlineStr">
        <is>
          <t>Packing Tape</t>
        </is>
      </c>
      <c r="L36" s="147" t="n">
        <v>0.1</v>
      </c>
      <c r="M36" s="147" t="n"/>
      <c r="N36" s="147" t="n"/>
      <c r="O36" s="147" t="n"/>
      <c r="P36" s="147" t="n"/>
      <c r="Q36" s="148" t="n"/>
    </row>
    <row r="37" ht="15" customHeight="1" s="249">
      <c r="A37" s="143" t="n">
        <v>6560</v>
      </c>
      <c r="B37" s="143" t="n">
        <v>189</v>
      </c>
      <c r="C37" s="143" t="inlineStr">
        <is>
          <t>Brookes Pharma Private Limited</t>
        </is>
      </c>
      <c r="D37" s="144" t="inlineStr">
        <is>
          <t>CONTRATUBEX GEL 20G</t>
        </is>
      </c>
      <c r="E37" s="143" t="n">
        <v>19</v>
      </c>
      <c r="F37" s="143" t="inlineStr">
        <is>
          <t>LACQUER</t>
        </is>
      </c>
      <c r="G37" s="143" t="n">
        <v>185</v>
      </c>
      <c r="H37" s="143" t="inlineStr">
        <is>
          <t>EPOXY LACQUER (1500)</t>
        </is>
      </c>
      <c r="I37" s="145" t="inlineStr">
        <is>
          <t>L</t>
        </is>
      </c>
      <c r="J37" s="146" t="n">
        <v>0.1449</v>
      </c>
      <c r="K37" s="147" t="inlineStr">
        <is>
          <t>Lacquer</t>
        </is>
      </c>
      <c r="L37" s="147" t="n">
        <v>0.1</v>
      </c>
      <c r="M37" s="147" t="n"/>
      <c r="N37" s="147" t="n"/>
      <c r="O37" s="147" t="n"/>
      <c r="P37" s="147" t="n"/>
      <c r="Q37" s="148" t="n"/>
    </row>
    <row r="38" ht="15" customHeight="1" s="249">
      <c r="A38" s="143" t="n">
        <v>6560</v>
      </c>
      <c r="B38" s="143" t="n">
        <v>189</v>
      </c>
      <c r="C38" s="143" t="inlineStr">
        <is>
          <t>Brookes Pharma Private Limited</t>
        </is>
      </c>
      <c r="D38" s="144" t="inlineStr">
        <is>
          <t>CONTRATUBEX GEL 20G</t>
        </is>
      </c>
      <c r="E38" s="143" t="n">
        <v>19</v>
      </c>
      <c r="F38" s="143" t="inlineStr">
        <is>
          <t>JALI</t>
        </is>
      </c>
      <c r="G38" s="143" t="n">
        <v>54</v>
      </c>
      <c r="H38" s="143" t="inlineStr">
        <is>
          <t>19X200 J</t>
        </is>
      </c>
      <c r="I38" s="145" t="inlineStr">
        <is>
          <t>pcs</t>
        </is>
      </c>
      <c r="J38" s="146" t="n">
        <v>5</v>
      </c>
      <c r="K38" s="147" t="inlineStr">
        <is>
          <t>Jali</t>
        </is>
      </c>
      <c r="L38" s="147" t="n">
        <v>0.1</v>
      </c>
      <c r="M38" s="149" t="inlineStr">
        <is>
          <t>Value changed manually v9.30 (16-Apr-2026) — Update in ERP BOM</t>
        </is>
      </c>
      <c r="N38" s="147" t="n"/>
      <c r="O38" s="147" t="n"/>
      <c r="P38" s="147" t="n"/>
      <c r="Q38" s="148" t="n"/>
    </row>
    <row r="39" ht="15" customHeight="1" s="249">
      <c r="A39" s="143" t="n">
        <v>6560</v>
      </c>
      <c r="B39" s="143" t="n">
        <v>189</v>
      </c>
      <c r="C39" s="143" t="inlineStr">
        <is>
          <t>Brookes Pharma Private Limited</t>
        </is>
      </c>
      <c r="D39" s="144" t="inlineStr">
        <is>
          <t>CONTRATUBEX GEL 20G</t>
        </is>
      </c>
      <c r="E39" s="143" t="n">
        <v>19</v>
      </c>
      <c r="F39" s="143" t="inlineStr">
        <is>
          <t>IRON AND METAL</t>
        </is>
      </c>
      <c r="G39" s="143" t="n">
        <v>199</v>
      </c>
      <c r="H39" s="143" t="inlineStr">
        <is>
          <t>DIA 19 (1800) 5Ply</t>
        </is>
      </c>
      <c r="I39" s="145" t="inlineStr">
        <is>
          <t>pcs</t>
        </is>
      </c>
      <c r="J39" s="146" t="n">
        <v>0.55</v>
      </c>
      <c r="K39" s="147" t="inlineStr">
        <is>
          <t>Iron &amp; Metal</t>
        </is>
      </c>
      <c r="L39" s="147" t="n">
        <v>0.1</v>
      </c>
      <c r="M39" s="149" t="n"/>
      <c r="N39" s="147" t="n"/>
      <c r="O39" s="147" t="n"/>
      <c r="P39" s="147" t="n"/>
      <c r="Q39" s="148" t="n"/>
    </row>
    <row r="40" ht="15" customHeight="1" s="249">
      <c r="A40" s="143" t="n">
        <v>6077</v>
      </c>
      <c r="B40" s="143" t="n">
        <v>138</v>
      </c>
      <c r="C40" s="143" t="inlineStr">
        <is>
          <t>Mablay Beauty PVT LTD.</t>
        </is>
      </c>
      <c r="D40" s="144" t="inlineStr">
        <is>
          <t>VINCE HIS ONLY BEARD &amp; MUSTACHE COLOR CREAM</t>
        </is>
      </c>
      <c r="E40" s="143" t="n">
        <v>20.5</v>
      </c>
      <c r="F40" s="143" t="inlineStr">
        <is>
          <t>SLUG</t>
        </is>
      </c>
      <c r="G40" s="143" t="n">
        <v>4179</v>
      </c>
      <c r="H40" s="143" t="inlineStr">
        <is>
          <t>20.5x4.5</t>
        </is>
      </c>
      <c r="I40" s="145" t="inlineStr">
        <is>
          <t>kg</t>
        </is>
      </c>
      <c r="J40" s="146" t="n">
        <v>3.937</v>
      </c>
      <c r="K40" s="147" t="inlineStr">
        <is>
          <t>Aluminum Slugs</t>
        </is>
      </c>
      <c r="L40" s="147" t="n">
        <v>0.1</v>
      </c>
      <c r="M40" s="147" t="n"/>
      <c r="N40" s="147" t="n"/>
      <c r="O40" s="147" t="n"/>
      <c r="P40" s="147" t="n"/>
      <c r="Q40" s="148" t="n"/>
    </row>
    <row r="41" ht="15" customHeight="1" s="249">
      <c r="A41" s="143" t="n">
        <v>6077</v>
      </c>
      <c r="B41" s="143" t="n">
        <v>138</v>
      </c>
      <c r="C41" s="143" t="inlineStr">
        <is>
          <t>Mablay Beauty PVT LTD.</t>
        </is>
      </c>
      <c r="D41" s="144" t="inlineStr">
        <is>
          <t>VINCE HIS ONLY BEARD &amp; MUSTACHE COLOR CREAM</t>
        </is>
      </c>
      <c r="E41" s="143" t="n">
        <v>20.5</v>
      </c>
      <c r="F41" s="143" t="inlineStr">
        <is>
          <t>BASE COAT</t>
        </is>
      </c>
      <c r="G41" s="143" t="n">
        <v>3595</v>
      </c>
      <c r="H41" s="143" t="inlineStr">
        <is>
          <t>POLYSTER BASE COAT WHITE 234</t>
        </is>
      </c>
      <c r="I41" s="145" t="inlineStr">
        <is>
          <t>kg</t>
        </is>
      </c>
      <c r="J41" s="146" t="n">
        <v>0.31</v>
      </c>
      <c r="K41" s="147" t="inlineStr">
        <is>
          <t>Base Coat</t>
        </is>
      </c>
      <c r="L41" s="147" t="n">
        <v>0.1</v>
      </c>
      <c r="M41" s="149" t="inlineStr">
        <is>
          <t>NEW material line added manually v9.30 (16-Apr-2026) — Add to ERP BOM</t>
        </is>
      </c>
      <c r="N41" s="147" t="n"/>
      <c r="O41" s="147" t="n"/>
      <c r="P41" s="147" t="n"/>
      <c r="Q41" s="148" t="n"/>
    </row>
    <row r="42" ht="15" customHeight="1" s="249">
      <c r="A42" s="143" t="n">
        <v>6077</v>
      </c>
      <c r="B42" s="143" t="n">
        <v>138</v>
      </c>
      <c r="C42" s="143" t="inlineStr">
        <is>
          <t>Mablay Beauty PVT LTD.</t>
        </is>
      </c>
      <c r="D42" s="144" t="inlineStr">
        <is>
          <t>VINCE HIS ONLY BEARD &amp; MUSTACHE COLOR CREAM</t>
        </is>
      </c>
      <c r="E42" s="143" t="n">
        <v>20.5</v>
      </c>
      <c r="F42" s="143" t="inlineStr">
        <is>
          <t>CAP</t>
        </is>
      </c>
      <c r="G42" s="143" t="n">
        <v>7370</v>
      </c>
      <c r="H42" s="143" t="inlineStr">
        <is>
          <t>M-9 S/M SPR BLACK DIA 20.5MM</t>
        </is>
      </c>
      <c r="I42" s="145" t="inlineStr">
        <is>
          <t>PCS</t>
        </is>
      </c>
      <c r="J42" s="146" t="n">
        <v>1000</v>
      </c>
      <c r="K42" s="147" t="inlineStr">
        <is>
          <t>Caps</t>
        </is>
      </c>
      <c r="L42" s="147" t="n">
        <v>0.02</v>
      </c>
      <c r="M42" s="149" t="inlineStr">
        <is>
          <t>Value changed manually v9.30 (16-Apr-2026) — Update in ERP BOM</t>
        </is>
      </c>
      <c r="N42" s="147" t="n"/>
      <c r="O42" s="147" t="n"/>
      <c r="P42" s="147" t="n"/>
      <c r="Q42" s="148" t="n"/>
    </row>
    <row r="43" ht="15" customHeight="1" s="249">
      <c r="A43" s="143" t="n">
        <v>6077</v>
      </c>
      <c r="B43" s="143" t="n">
        <v>138</v>
      </c>
      <c r="C43" s="143" t="inlineStr">
        <is>
          <t>Mablay Beauty PVT LTD.</t>
        </is>
      </c>
      <c r="D43" s="144" t="inlineStr">
        <is>
          <t>VINCE HIS ONLY BEARD &amp; MUSTACHE COLOR CREAM</t>
        </is>
      </c>
      <c r="E43" s="143" t="n">
        <v>20.5</v>
      </c>
      <c r="F43" s="143" t="inlineStr">
        <is>
          <t>CARTON</t>
        </is>
      </c>
      <c r="G43" s="143" t="n">
        <v>3619</v>
      </c>
      <c r="H43" s="143" t="inlineStr">
        <is>
          <t>20.5x510 5ply</t>
        </is>
      </c>
      <c r="I43" s="145" t="inlineStr">
        <is>
          <t>PCS</t>
        </is>
      </c>
      <c r="J43" s="146" t="n">
        <v>1.7</v>
      </c>
      <c r="K43" s="147" t="inlineStr">
        <is>
          <t>Cartons</t>
        </is>
      </c>
      <c r="L43" s="147" t="n">
        <v>0.1</v>
      </c>
      <c r="M43" s="147" t="n"/>
      <c r="N43" s="147" t="n"/>
      <c r="O43" s="147" t="n"/>
      <c r="P43" s="147" t="n"/>
      <c r="Q43" s="148" t="n"/>
    </row>
    <row r="44" ht="15" customHeight="1" s="249">
      <c r="A44" s="143" t="n">
        <v>6077</v>
      </c>
      <c r="B44" s="143" t="n">
        <v>138</v>
      </c>
      <c r="C44" s="143" t="inlineStr">
        <is>
          <t>Mablay Beauty PVT LTD.</t>
        </is>
      </c>
      <c r="D44" s="144" t="inlineStr">
        <is>
          <t>VINCE HIS ONLY BEARD &amp; MUSTACHE COLOR CREAM</t>
        </is>
      </c>
      <c r="E44" s="143" t="n">
        <v>20.5</v>
      </c>
      <c r="F44" s="143" t="inlineStr">
        <is>
          <t>ZINC POWDER</t>
        </is>
      </c>
      <c r="G44" s="143" t="n">
        <v>194</v>
      </c>
      <c r="H44" s="143" t="inlineStr">
        <is>
          <t>ZINC STEARATE</t>
        </is>
      </c>
      <c r="I44" s="145" t="inlineStr">
        <is>
          <t>kg</t>
        </is>
      </c>
      <c r="J44" s="146" t="n">
        <v>0.0034</v>
      </c>
      <c r="K44" s="147" t="inlineStr">
        <is>
          <t>Zinc</t>
        </is>
      </c>
      <c r="L44" s="147" t="n">
        <v>0.1</v>
      </c>
      <c r="M44" s="147" t="n"/>
      <c r="N44" s="147" t="n"/>
      <c r="O44" s="147" t="n"/>
      <c r="P44" s="147" t="n"/>
      <c r="Q44" s="148" t="n"/>
    </row>
    <row r="45" ht="15" customHeight="1" s="249">
      <c r="A45" s="143" t="n">
        <v>6077</v>
      </c>
      <c r="B45" s="143" t="n">
        <v>138</v>
      </c>
      <c r="C45" s="143" t="inlineStr">
        <is>
          <t>Mablay Beauty PVT LTD.</t>
        </is>
      </c>
      <c r="D45" s="144" t="inlineStr">
        <is>
          <t>VINCE HIS ONLY BEARD &amp; MUSTACHE COLOR CREAM</t>
        </is>
      </c>
      <c r="E45" s="143" t="n">
        <v>20.5</v>
      </c>
      <c r="F45" s="143" t="inlineStr">
        <is>
          <t>LACQUER</t>
        </is>
      </c>
      <c r="G45" s="143" t="n">
        <v>4155</v>
      </c>
      <c r="H45" s="143" t="inlineStr">
        <is>
          <t>E/P LACQUER 4000 A/R</t>
        </is>
      </c>
      <c r="I45" s="145" t="inlineStr">
        <is>
          <t>kg</t>
        </is>
      </c>
      <c r="J45" s="146" t="n">
        <v>0.1449</v>
      </c>
      <c r="K45" s="147" t="inlineStr">
        <is>
          <t>Lacquer</t>
        </is>
      </c>
      <c r="L45" s="147" t="n">
        <v>0.1</v>
      </c>
      <c r="M45" s="147" t="n"/>
      <c r="N45" s="147" t="n"/>
      <c r="O45" s="147" t="n"/>
      <c r="P45" s="147" t="n"/>
      <c r="Q45" s="148" t="n"/>
    </row>
    <row r="46" ht="15" customHeight="1" s="249">
      <c r="A46" s="143" t="n">
        <v>6077</v>
      </c>
      <c r="B46" s="143" t="n">
        <v>138</v>
      </c>
      <c r="C46" s="143" t="inlineStr">
        <is>
          <t>Mablay Beauty PVT LTD.</t>
        </is>
      </c>
      <c r="D46" s="144" t="inlineStr">
        <is>
          <t>VINCE HIS ONLY BEARD &amp; MUSTACHE COLOR CREAM</t>
        </is>
      </c>
      <c r="E46" s="143" t="n">
        <v>20.5</v>
      </c>
      <c r="F46" s="143" t="inlineStr">
        <is>
          <t>TAPE</t>
        </is>
      </c>
      <c r="G46" s="143" t="n">
        <v>3635</v>
      </c>
      <c r="H46" s="143" t="inlineStr">
        <is>
          <t>PACKING TAPE 2" OF 60 YARDS</t>
        </is>
      </c>
      <c r="I46" s="145" t="inlineStr">
        <is>
          <t>PCS</t>
        </is>
      </c>
      <c r="J46" s="146" t="n">
        <v>0.059</v>
      </c>
      <c r="K46" s="147" t="inlineStr">
        <is>
          <t>Tape</t>
        </is>
      </c>
      <c r="L46" s="147" t="n">
        <v>0.1</v>
      </c>
      <c r="M46" s="149" t="n"/>
      <c r="N46" s="147" t="n"/>
      <c r="O46" s="147" t="n"/>
      <c r="P46" s="147" t="n"/>
      <c r="Q46" s="148" t="n"/>
    </row>
    <row r="47" ht="15" customHeight="1" s="249">
      <c r="A47" s="143" t="n">
        <v>5698</v>
      </c>
      <c r="B47" s="143" t="n">
        <v>22</v>
      </c>
      <c r="C47" s="143" t="inlineStr">
        <is>
          <t>Samsol International Private Limited</t>
        </is>
      </c>
      <c r="D47" s="144" t="inlineStr">
        <is>
          <t>S-45 DIA 20.5</t>
        </is>
      </c>
      <c r="E47" s="143" t="n">
        <v>20.5</v>
      </c>
      <c r="F47" s="143" t="inlineStr">
        <is>
          <t>SLUG</t>
        </is>
      </c>
      <c r="G47" s="143" t="n">
        <v>4179</v>
      </c>
      <c r="H47" s="143" t="inlineStr">
        <is>
          <t>20.5x4.5</t>
        </is>
      </c>
      <c r="I47" s="145" t="inlineStr">
        <is>
          <t>kg</t>
        </is>
      </c>
      <c r="J47" s="146" t="n">
        <v>3.937</v>
      </c>
      <c r="K47" s="147" t="inlineStr">
        <is>
          <t>Aluminum Slugs</t>
        </is>
      </c>
      <c r="L47" s="147" t="n">
        <v>0.1</v>
      </c>
      <c r="M47" s="147" t="n"/>
      <c r="N47" s="147" t="n"/>
      <c r="O47" s="147" t="n"/>
      <c r="P47" s="147" t="n"/>
      <c r="Q47" s="148" t="n"/>
    </row>
    <row r="48" ht="15" customHeight="1" s="249">
      <c r="A48" s="143" t="n">
        <v>5698</v>
      </c>
      <c r="B48" s="143" t="n">
        <v>22</v>
      </c>
      <c r="C48" s="143" t="inlineStr">
        <is>
          <t>Samsol International Private Limited</t>
        </is>
      </c>
      <c r="D48" s="144" t="inlineStr">
        <is>
          <t>S-45 DIA 20.5</t>
        </is>
      </c>
      <c r="E48" s="143" t="n">
        <v>20.5</v>
      </c>
      <c r="F48" s="143" t="inlineStr">
        <is>
          <t>BASE COAT</t>
        </is>
      </c>
      <c r="G48" s="143" t="n">
        <v>3595</v>
      </c>
      <c r="H48" s="143" t="inlineStr">
        <is>
          <t>POLYSTER BASE COAT WHITE 234</t>
        </is>
      </c>
      <c r="I48" s="145" t="inlineStr">
        <is>
          <t>kg</t>
        </is>
      </c>
      <c r="J48" s="146" t="n">
        <v>0.385</v>
      </c>
      <c r="K48" s="147" t="inlineStr">
        <is>
          <t>Base Coat</t>
        </is>
      </c>
      <c r="L48" s="147" t="n">
        <v>0.1</v>
      </c>
      <c r="M48" s="149" t="inlineStr">
        <is>
          <t>Item name kept as ERP ('POLYSTER BASE COAT WHITE 234'). Rehan wrote 'BASE COAT WHITE 23410 CT' — corrected. (16-Apr-2026) — Verify in ERP</t>
        </is>
      </c>
      <c r="N48" s="147" t="n"/>
      <c r="O48" s="147" t="n"/>
      <c r="P48" s="147" t="n"/>
      <c r="Q48" s="148" t="n"/>
    </row>
    <row r="49" ht="15" customHeight="1" s="249">
      <c r="A49" s="143" t="n">
        <v>5698</v>
      </c>
      <c r="B49" s="143" t="n">
        <v>22</v>
      </c>
      <c r="C49" s="143" t="inlineStr">
        <is>
          <t>Samsol International Private Limited</t>
        </is>
      </c>
      <c r="D49" s="144" t="inlineStr">
        <is>
          <t>S-45 DIA 20.5</t>
        </is>
      </c>
      <c r="E49" s="143" t="n">
        <v>20.5</v>
      </c>
      <c r="F49" s="143" t="inlineStr">
        <is>
          <t>CAP</t>
        </is>
      </c>
      <c r="G49" s="143" t="n">
        <v>6971</v>
      </c>
      <c r="H49" s="143" t="inlineStr">
        <is>
          <t>M-9 S/M SPR WHITE DIA 20.5MM</t>
        </is>
      </c>
      <c r="I49" s="145" t="inlineStr">
        <is>
          <t>PCS</t>
        </is>
      </c>
      <c r="J49" s="146" t="n">
        <v>1000</v>
      </c>
      <c r="K49" s="147" t="inlineStr">
        <is>
          <t>Caps</t>
        </is>
      </c>
      <c r="L49" s="147" t="n">
        <v>0.02</v>
      </c>
      <c r="M49" s="149" t="inlineStr">
        <is>
          <t>Value changed manually v9.30 (16-Apr-2026) — Update in ERP BOM</t>
        </is>
      </c>
      <c r="N49" s="147" t="n"/>
      <c r="O49" s="147" t="n"/>
      <c r="P49" s="147" t="n"/>
      <c r="Q49" s="148" t="n"/>
    </row>
    <row r="50" ht="15" customHeight="1" s="249">
      <c r="A50" s="143" t="n">
        <v>5698</v>
      </c>
      <c r="B50" s="143" t="n">
        <v>22</v>
      </c>
      <c r="C50" s="143" t="inlineStr">
        <is>
          <t>Samsol International Private Limited</t>
        </is>
      </c>
      <c r="D50" s="144" t="inlineStr">
        <is>
          <t>S-45 DIA 20.5</t>
        </is>
      </c>
      <c r="E50" s="143" t="n">
        <v>20.5</v>
      </c>
      <c r="F50" s="143" t="inlineStr">
        <is>
          <t>CARTON</t>
        </is>
      </c>
      <c r="G50" s="143" t="n">
        <v>3619</v>
      </c>
      <c r="H50" s="143" t="inlineStr">
        <is>
          <t>20.5x510 5ply</t>
        </is>
      </c>
      <c r="I50" s="145" t="inlineStr">
        <is>
          <t>PCS</t>
        </is>
      </c>
      <c r="J50" s="146" t="n">
        <v>2.976</v>
      </c>
      <c r="K50" s="147" t="inlineStr">
        <is>
          <t>Cartons</t>
        </is>
      </c>
      <c r="L50" s="147" t="n">
        <v>0.1</v>
      </c>
      <c r="M50" s="147" t="n"/>
      <c r="N50" s="147" t="n"/>
      <c r="O50" s="147" t="n"/>
      <c r="P50" s="147" t="n"/>
      <c r="Q50" s="148" t="n"/>
    </row>
    <row r="51" ht="15" customHeight="1" s="249">
      <c r="A51" s="143" t="n">
        <v>5698</v>
      </c>
      <c r="B51" s="143" t="n">
        <v>22</v>
      </c>
      <c r="C51" s="143" t="inlineStr">
        <is>
          <t>Samsol International Private Limited</t>
        </is>
      </c>
      <c r="D51" s="144" t="inlineStr">
        <is>
          <t>S-45 DIA 20.5</t>
        </is>
      </c>
      <c r="E51" s="143" t="n">
        <v>20.5</v>
      </c>
      <c r="F51" s="143" t="inlineStr">
        <is>
          <t>ZINC POWDER</t>
        </is>
      </c>
      <c r="G51" s="143" t="n">
        <v>194</v>
      </c>
      <c r="H51" s="143" t="inlineStr">
        <is>
          <t>ZINC STEARATE</t>
        </is>
      </c>
      <c r="I51" s="145" t="inlineStr">
        <is>
          <t>kg</t>
        </is>
      </c>
      <c r="J51" s="146" t="n">
        <v>0.00409</v>
      </c>
      <c r="K51" s="147" t="inlineStr">
        <is>
          <t>Zinc Stearate</t>
        </is>
      </c>
      <c r="L51" s="147" t="n">
        <v>0.1</v>
      </c>
      <c r="M51" s="147" t="n"/>
      <c r="N51" s="147" t="n"/>
      <c r="O51" s="147" t="n"/>
      <c r="P51" s="147" t="n"/>
      <c r="Q51" s="148" t="n"/>
    </row>
    <row r="52" ht="15" customHeight="1" s="249">
      <c r="A52" s="143" t="n">
        <v>5698</v>
      </c>
      <c r="B52" s="143" t="n">
        <v>22</v>
      </c>
      <c r="C52" s="143" t="inlineStr">
        <is>
          <t>Samsol International Private Limited</t>
        </is>
      </c>
      <c r="D52" s="144" t="inlineStr">
        <is>
          <t>S-45 DIA 20.5</t>
        </is>
      </c>
      <c r="E52" s="143" t="n">
        <v>20.5</v>
      </c>
      <c r="F52" s="143" t="inlineStr">
        <is>
          <t>LACQUER</t>
        </is>
      </c>
      <c r="G52" s="143" t="n">
        <v>185</v>
      </c>
      <c r="H52" s="143" t="inlineStr">
        <is>
          <t>EPOXY LACQUER (1500)</t>
        </is>
      </c>
      <c r="I52" s="145" t="inlineStr">
        <is>
          <t>L</t>
        </is>
      </c>
      <c r="J52" s="146" t="n">
        <v>0.24</v>
      </c>
      <c r="K52" s="147" t="inlineStr">
        <is>
          <t>Lacquer</t>
        </is>
      </c>
      <c r="L52" s="147" t="n">
        <v>0.1</v>
      </c>
      <c r="M52" s="147" t="n"/>
      <c r="N52" s="147" t="n"/>
      <c r="O52" s="147" t="n"/>
      <c r="P52" s="147" t="n"/>
      <c r="Q52" s="148" t="n"/>
    </row>
    <row r="53" ht="15" customHeight="1" s="249">
      <c r="A53" s="143" t="n">
        <v>5698</v>
      </c>
      <c r="B53" s="143" t="n">
        <v>22</v>
      </c>
      <c r="C53" s="143" t="inlineStr">
        <is>
          <t>Samsol International Private Limited</t>
        </is>
      </c>
      <c r="D53" s="144" t="inlineStr">
        <is>
          <t>S-45 DIA 20.5</t>
        </is>
      </c>
      <c r="E53" s="143" t="n">
        <v>20.5</v>
      </c>
      <c r="F53" s="143" t="inlineStr">
        <is>
          <t>TAPE</t>
        </is>
      </c>
      <c r="G53" s="143" t="n">
        <v>3635</v>
      </c>
      <c r="H53" s="143" t="inlineStr">
        <is>
          <t>PACKING TAPE 2" OF 60 YARDS</t>
        </is>
      </c>
      <c r="I53" s="145" t="inlineStr">
        <is>
          <t>PCS</t>
        </is>
      </c>
      <c r="J53" s="146" t="n">
        <v>0.059</v>
      </c>
      <c r="K53" s="147" t="inlineStr">
        <is>
          <t>Packing Tape</t>
        </is>
      </c>
      <c r="L53" s="147" t="n">
        <v>0.1</v>
      </c>
      <c r="M53" s="149" t="n"/>
      <c r="N53" s="147" t="n"/>
      <c r="O53" s="147" t="n"/>
      <c r="P53" s="147" t="n"/>
      <c r="Q53" s="148" t="n"/>
    </row>
    <row r="54" ht="15" customHeight="1" s="249">
      <c r="A54" s="143" t="n">
        <v>5699</v>
      </c>
      <c r="B54" s="143" t="n">
        <v>21</v>
      </c>
      <c r="C54" s="143" t="inlineStr">
        <is>
          <t>Samsol International Private Limited</t>
        </is>
      </c>
      <c r="D54" s="144" t="inlineStr">
        <is>
          <t>S-43 DIA 20.5</t>
        </is>
      </c>
      <c r="E54" s="143" t="n">
        <v>20.5</v>
      </c>
      <c r="F54" s="143" t="inlineStr">
        <is>
          <t>SLUG</t>
        </is>
      </c>
      <c r="G54" s="143" t="n">
        <v>4179</v>
      </c>
      <c r="H54" s="143" t="inlineStr">
        <is>
          <t>20.5x4.5</t>
        </is>
      </c>
      <c r="I54" s="145" t="inlineStr">
        <is>
          <t>kg</t>
        </is>
      </c>
      <c r="J54" s="146" t="n">
        <v>3.937</v>
      </c>
      <c r="K54" s="147" t="inlineStr">
        <is>
          <t>Aluminum Slugs</t>
        </is>
      </c>
      <c r="L54" s="147" t="n">
        <v>0.1</v>
      </c>
      <c r="M54" s="147" t="n"/>
      <c r="N54" s="147" t="n"/>
      <c r="O54" s="147" t="n"/>
      <c r="P54" s="147" t="n"/>
      <c r="Q54" s="148" t="n"/>
    </row>
    <row r="55" ht="15" customHeight="1" s="249">
      <c r="A55" s="143" t="n">
        <v>5699</v>
      </c>
      <c r="B55" s="143" t="n">
        <v>21</v>
      </c>
      <c r="C55" s="143" t="inlineStr">
        <is>
          <t>Samsol International Private Limited</t>
        </is>
      </c>
      <c r="D55" s="144" t="inlineStr">
        <is>
          <t>S-43 DIA 20.5</t>
        </is>
      </c>
      <c r="E55" s="143" t="n">
        <v>20.5</v>
      </c>
      <c r="F55" s="143" t="inlineStr">
        <is>
          <t>BASE COAT</t>
        </is>
      </c>
      <c r="G55" s="143" t="n">
        <v>3595</v>
      </c>
      <c r="H55" s="143" t="inlineStr">
        <is>
          <t>POLYSTER BASE COAT WHITE 234</t>
        </is>
      </c>
      <c r="I55" s="145" t="inlineStr">
        <is>
          <t>kg</t>
        </is>
      </c>
      <c r="J55" s="146" t="n">
        <v>0.385</v>
      </c>
      <c r="K55" s="147" t="inlineStr">
        <is>
          <t>Base Coat</t>
        </is>
      </c>
      <c r="L55" s="147" t="n">
        <v>0.1</v>
      </c>
      <c r="M55" s="149" t="inlineStr">
        <is>
          <t>Item name kept as ERP ('POLYSTER BASE COAT WHITE 234'). Rehan wrote 'BASE COAT WHITE 23410 CT' — corrected. (16-Apr-2026) — Verify in ERP</t>
        </is>
      </c>
      <c r="N55" s="147" t="n"/>
      <c r="O55" s="147" t="n"/>
      <c r="P55" s="147" t="n"/>
      <c r="Q55" s="148" t="n"/>
    </row>
    <row r="56" ht="15" customHeight="1" s="249">
      <c r="A56" s="143" t="n">
        <v>5699</v>
      </c>
      <c r="B56" s="143" t="n">
        <v>21</v>
      </c>
      <c r="C56" s="143" t="inlineStr">
        <is>
          <t>Samsol International Private Limited</t>
        </is>
      </c>
      <c r="D56" s="144" t="inlineStr">
        <is>
          <t>S-43 DIA 20.5</t>
        </is>
      </c>
      <c r="E56" s="143" t="n">
        <v>20.5</v>
      </c>
      <c r="F56" s="143" t="inlineStr">
        <is>
          <t>CAP</t>
        </is>
      </c>
      <c r="G56" s="143" t="n">
        <v>6971</v>
      </c>
      <c r="H56" s="143" t="inlineStr">
        <is>
          <t>M-9 S/M SPR WHITE DIA 20.5MM</t>
        </is>
      </c>
      <c r="I56" s="145" t="inlineStr">
        <is>
          <t>PCS</t>
        </is>
      </c>
      <c r="J56" s="146" t="n">
        <v>1000</v>
      </c>
      <c r="K56" s="147" t="inlineStr">
        <is>
          <t>Caps</t>
        </is>
      </c>
      <c r="L56" s="147" t="n">
        <v>0.02</v>
      </c>
      <c r="M56" s="149" t="inlineStr">
        <is>
          <t>Value changed manually v9.30 (16-Apr-2026) — Update in ERP BOM</t>
        </is>
      </c>
      <c r="N56" s="147" t="n"/>
      <c r="O56" s="147" t="n"/>
      <c r="P56" s="147" t="n"/>
      <c r="Q56" s="148" t="n"/>
    </row>
    <row r="57" ht="15" customHeight="1" s="249">
      <c r="A57" s="143" t="n">
        <v>5699</v>
      </c>
      <c r="B57" s="143" t="n">
        <v>21</v>
      </c>
      <c r="C57" s="143" t="inlineStr">
        <is>
          <t>Samsol International Private Limited</t>
        </is>
      </c>
      <c r="D57" s="144" t="inlineStr">
        <is>
          <t>S-43 DIA 20.5</t>
        </is>
      </c>
      <c r="E57" s="143" t="n">
        <v>20.5</v>
      </c>
      <c r="F57" s="143" t="inlineStr">
        <is>
          <t>CARTON</t>
        </is>
      </c>
      <c r="G57" s="143" t="n">
        <v>3619</v>
      </c>
      <c r="H57" s="143" t="inlineStr">
        <is>
          <t>20.5x510 5ply</t>
        </is>
      </c>
      <c r="I57" s="145" t="inlineStr">
        <is>
          <t>PCS</t>
        </is>
      </c>
      <c r="J57" s="146" t="n">
        <v>1.9607</v>
      </c>
      <c r="K57" s="147" t="inlineStr">
        <is>
          <t>Cartons</t>
        </is>
      </c>
      <c r="L57" s="147" t="n">
        <v>0.1</v>
      </c>
      <c r="M57" s="147" t="n"/>
      <c r="N57" s="147" t="n"/>
      <c r="O57" s="147" t="n"/>
      <c r="P57" s="147" t="n"/>
      <c r="Q57" s="148" t="n"/>
    </row>
    <row r="58" ht="15" customHeight="1" s="249">
      <c r="A58" s="143" t="n">
        <v>5699</v>
      </c>
      <c r="B58" s="143" t="n">
        <v>21</v>
      </c>
      <c r="C58" s="143" t="inlineStr">
        <is>
          <t>Samsol International Private Limited</t>
        </is>
      </c>
      <c r="D58" s="144" t="inlineStr">
        <is>
          <t>S-43 DIA 20.5</t>
        </is>
      </c>
      <c r="E58" s="143" t="n">
        <v>20.5</v>
      </c>
      <c r="F58" s="143" t="inlineStr">
        <is>
          <t>ZINC POWDER</t>
        </is>
      </c>
      <c r="G58" s="143" t="n">
        <v>194</v>
      </c>
      <c r="H58" s="143" t="inlineStr">
        <is>
          <t>ZINC STEARATE</t>
        </is>
      </c>
      <c r="I58" s="145" t="inlineStr">
        <is>
          <t>kg</t>
        </is>
      </c>
      <c r="J58" s="146" t="n">
        <v>0.00409</v>
      </c>
      <c r="K58" s="147" t="inlineStr">
        <is>
          <t>Zinc Stearate</t>
        </is>
      </c>
      <c r="L58" s="147" t="n">
        <v>0.1</v>
      </c>
      <c r="M58" s="147" t="n"/>
      <c r="N58" s="147" t="n"/>
      <c r="O58" s="147" t="n"/>
      <c r="P58" s="147" t="n"/>
      <c r="Q58" s="148" t="n"/>
    </row>
    <row r="59" ht="15" customHeight="1" s="249">
      <c r="A59" s="143" t="n">
        <v>5699</v>
      </c>
      <c r="B59" s="143" t="n">
        <v>21</v>
      </c>
      <c r="C59" s="143" t="inlineStr">
        <is>
          <t>Samsol International Private Limited</t>
        </is>
      </c>
      <c r="D59" s="144" t="inlineStr">
        <is>
          <t>S-43 DIA 20.5</t>
        </is>
      </c>
      <c r="E59" s="143" t="n">
        <v>20.5</v>
      </c>
      <c r="F59" s="143" t="inlineStr">
        <is>
          <t>LACQUER</t>
        </is>
      </c>
      <c r="G59" s="143" t="n">
        <v>185</v>
      </c>
      <c r="H59" s="143" t="inlineStr">
        <is>
          <t>EPOXY LACQUER (1500)</t>
        </is>
      </c>
      <c r="I59" s="145" t="inlineStr">
        <is>
          <t>L</t>
        </is>
      </c>
      <c r="J59" s="146" t="n">
        <v>0.24</v>
      </c>
      <c r="K59" s="147" t="inlineStr">
        <is>
          <t>Lacquer</t>
        </is>
      </c>
      <c r="L59" s="147" t="n">
        <v>0.1</v>
      </c>
      <c r="M59" s="147" t="n"/>
      <c r="N59" s="147" t="n"/>
      <c r="O59" s="147" t="n"/>
      <c r="P59" s="147" t="n"/>
      <c r="Q59" s="148" t="n"/>
    </row>
    <row r="60" ht="15" customHeight="1" s="249">
      <c r="A60" s="143" t="n">
        <v>5699</v>
      </c>
      <c r="B60" s="143" t="n">
        <v>21</v>
      </c>
      <c r="C60" s="143" t="inlineStr">
        <is>
          <t>Samsol International Private Limited</t>
        </is>
      </c>
      <c r="D60" s="144" t="inlineStr">
        <is>
          <t>S-43 DIA 20.5</t>
        </is>
      </c>
      <c r="E60" s="143" t="n">
        <v>20.5</v>
      </c>
      <c r="F60" s="143" t="inlineStr">
        <is>
          <t>TAPE</t>
        </is>
      </c>
      <c r="G60" s="143" t="n">
        <v>3635</v>
      </c>
      <c r="H60" s="143" t="inlineStr">
        <is>
          <t>PACKING TAPE 2" OF 60 YARDS</t>
        </is>
      </c>
      <c r="I60" s="145" t="inlineStr">
        <is>
          <t>PCS</t>
        </is>
      </c>
      <c r="J60" s="146" t="n">
        <v>0.059</v>
      </c>
      <c r="K60" s="147" t="inlineStr">
        <is>
          <t>Packing Tape</t>
        </is>
      </c>
      <c r="L60" s="147" t="n">
        <v>0.1</v>
      </c>
      <c r="M60" s="149" t="n"/>
      <c r="N60" s="147" t="n"/>
      <c r="O60" s="147" t="n"/>
      <c r="P60" s="147" t="n"/>
      <c r="Q60" s="148" t="n"/>
    </row>
    <row r="61" ht="15" customHeight="1" s="249">
      <c r="A61" s="143" t="n">
        <v>5731</v>
      </c>
      <c r="B61" s="143" t="n">
        <v>32</v>
      </c>
      <c r="C61" s="143" t="inlineStr">
        <is>
          <t>Samsol International Private Limited</t>
        </is>
      </c>
      <c r="D61" s="144" t="inlineStr">
        <is>
          <t>SAMSOL HAIR COLOR 45 DIA 20.5 MM</t>
        </is>
      </c>
      <c r="E61" s="143" t="n">
        <v>20.5</v>
      </c>
      <c r="F61" s="143" t="inlineStr">
        <is>
          <t>SLUG</t>
        </is>
      </c>
      <c r="G61" s="143" t="n">
        <v>4179</v>
      </c>
      <c r="H61" s="143" t="inlineStr">
        <is>
          <t>20.5x4.5</t>
        </is>
      </c>
      <c r="I61" s="145" t="inlineStr">
        <is>
          <t>kg</t>
        </is>
      </c>
      <c r="J61" s="146" t="n">
        <v>3.937</v>
      </c>
      <c r="K61" s="147" t="inlineStr">
        <is>
          <t>Aluminum Slugs</t>
        </is>
      </c>
      <c r="L61" s="147" t="n">
        <v>0.1</v>
      </c>
      <c r="M61" s="149" t="n"/>
      <c r="N61" s="147" t="n"/>
      <c r="O61" s="147" t="n"/>
      <c r="P61" s="147" t="n"/>
      <c r="Q61" s="148" t="n"/>
    </row>
    <row r="62" ht="15" customHeight="1" s="249">
      <c r="A62" s="143" t="n">
        <v>5731</v>
      </c>
      <c r="B62" s="143" t="n">
        <v>32</v>
      </c>
      <c r="C62" s="143" t="inlineStr">
        <is>
          <t>Samsol International Private Limited</t>
        </is>
      </c>
      <c r="D62" s="144" t="inlineStr">
        <is>
          <t>SAMSOL HAIR COLOR 45 DIA 20.5 MM</t>
        </is>
      </c>
      <c r="E62" s="143" t="n">
        <v>20.5</v>
      </c>
      <c r="F62" s="143" t="inlineStr">
        <is>
          <t>BASE COAT</t>
        </is>
      </c>
      <c r="G62" s="143" t="n">
        <v>3595</v>
      </c>
      <c r="H62" s="143" t="inlineStr">
        <is>
          <t>POLYSTER BASE COAT WHITE 234</t>
        </is>
      </c>
      <c r="I62" s="145" t="inlineStr">
        <is>
          <t>kg</t>
        </is>
      </c>
      <c r="J62" s="146" t="n">
        <v>0.385</v>
      </c>
      <c r="K62" s="147" t="inlineStr">
        <is>
          <t>Base Coat</t>
        </is>
      </c>
      <c r="L62" s="147" t="n">
        <v>0.1</v>
      </c>
      <c r="M62" s="149" t="inlineStr">
        <is>
          <t>NEW material line added manually v9.30 (16-Apr-2026) — Add to ERP BOM</t>
        </is>
      </c>
      <c r="N62" s="147" t="n"/>
      <c r="O62" s="147" t="n"/>
      <c r="P62" s="147" t="n"/>
      <c r="Q62" s="148" t="n"/>
    </row>
    <row r="63" ht="15" customHeight="1" s="249">
      <c r="A63" s="143" t="n">
        <v>5731</v>
      </c>
      <c r="B63" s="143" t="n">
        <v>32</v>
      </c>
      <c r="C63" s="143" t="inlineStr">
        <is>
          <t>Samsol International Private Limited</t>
        </is>
      </c>
      <c r="D63" s="144" t="inlineStr">
        <is>
          <t>SAMSOL HAIR COLOR 45 DIA 20.5 MM</t>
        </is>
      </c>
      <c r="E63" s="143" t="n">
        <v>20.5</v>
      </c>
      <c r="F63" s="143" t="inlineStr">
        <is>
          <t>CAP</t>
        </is>
      </c>
      <c r="G63" s="143" t="n">
        <v>6971</v>
      </c>
      <c r="H63" s="143" t="inlineStr">
        <is>
          <t>M-9 S/M SPR WHITE DIA 20.5MM</t>
        </is>
      </c>
      <c r="I63" s="145" t="inlineStr">
        <is>
          <t>PCS</t>
        </is>
      </c>
      <c r="J63" s="146" t="n">
        <v>1000</v>
      </c>
      <c r="K63" s="147" t="inlineStr">
        <is>
          <t>Caps</t>
        </is>
      </c>
      <c r="L63" s="147" t="n">
        <v>0.02</v>
      </c>
      <c r="M63" s="149" t="inlineStr">
        <is>
          <t>NEW material line added manually v9.30 (16-Apr-2026) — Add to ERP BOM</t>
        </is>
      </c>
      <c r="N63" s="147" t="n"/>
      <c r="O63" s="147" t="n"/>
      <c r="P63" s="147" t="n"/>
      <c r="Q63" s="148" t="n"/>
    </row>
    <row r="64" ht="15" customHeight="1" s="249">
      <c r="A64" s="143" t="n">
        <v>5731</v>
      </c>
      <c r="B64" s="143" t="n">
        <v>32</v>
      </c>
      <c r="C64" s="143" t="inlineStr">
        <is>
          <t>Samsol International Private Limited</t>
        </is>
      </c>
      <c r="D64" s="144" t="inlineStr">
        <is>
          <t>SAMSOL HAIR COLOR 45 DIA 20.5 MM</t>
        </is>
      </c>
      <c r="E64" s="143" t="n">
        <v>20.5</v>
      </c>
      <c r="F64" s="143" t="inlineStr">
        <is>
          <t>CARTON</t>
        </is>
      </c>
      <c r="G64" s="143" t="n">
        <v>3619</v>
      </c>
      <c r="H64" s="143" t="inlineStr">
        <is>
          <t>20.5x510 5ply</t>
        </is>
      </c>
      <c r="I64" s="145" t="inlineStr">
        <is>
          <t>PCS</t>
        </is>
      </c>
      <c r="J64" s="146" t="n">
        <v>1.96</v>
      </c>
      <c r="K64" s="147" t="inlineStr">
        <is>
          <t>Cartons</t>
        </is>
      </c>
      <c r="L64" s="147" t="n">
        <v>0.1</v>
      </c>
      <c r="M64" s="149" t="n"/>
      <c r="N64" s="147" t="n"/>
      <c r="O64" s="147" t="n"/>
      <c r="P64" s="147" t="n"/>
      <c r="Q64" s="148" t="n"/>
    </row>
    <row r="65" ht="15" customHeight="1" s="249">
      <c r="A65" s="143" t="n">
        <v>5731</v>
      </c>
      <c r="B65" s="143" t="n">
        <v>32</v>
      </c>
      <c r="C65" s="143" t="inlineStr">
        <is>
          <t>Samsol International Private Limited</t>
        </is>
      </c>
      <c r="D65" s="144" t="inlineStr">
        <is>
          <t>SAMSOL HAIR COLOR 45 DIA 20.5 MM</t>
        </is>
      </c>
      <c r="E65" s="143" t="n">
        <v>20.5</v>
      </c>
      <c r="F65" s="143" t="inlineStr">
        <is>
          <t>ZINC POWDER</t>
        </is>
      </c>
      <c r="G65" s="143" t="n">
        <v>194</v>
      </c>
      <c r="H65" s="143" t="inlineStr">
        <is>
          <t>ZINC STEARATE</t>
        </is>
      </c>
      <c r="I65" s="145" t="inlineStr">
        <is>
          <t>kg</t>
        </is>
      </c>
      <c r="J65" s="146" t="n">
        <v>0.004094</v>
      </c>
      <c r="K65" s="147" t="inlineStr">
        <is>
          <t>Zinc Stearate</t>
        </is>
      </c>
      <c r="L65" s="147" t="n">
        <v>0.1</v>
      </c>
      <c r="M65" s="147" t="n"/>
      <c r="N65" s="147" t="n"/>
      <c r="O65" s="147" t="n"/>
      <c r="P65" s="147" t="n"/>
      <c r="Q65" s="148" t="n"/>
    </row>
    <row r="66" ht="15" customHeight="1" s="249">
      <c r="A66" s="143" t="n">
        <v>5731</v>
      </c>
      <c r="B66" s="143" t="n">
        <v>32</v>
      </c>
      <c r="C66" s="143" t="inlineStr">
        <is>
          <t>Samsol International Private Limited</t>
        </is>
      </c>
      <c r="D66" s="144" t="inlineStr">
        <is>
          <t>SAMSOL HAIR COLOR 45 DIA 20.5 MM</t>
        </is>
      </c>
      <c r="E66" s="143" t="n">
        <v>20.5</v>
      </c>
      <c r="F66" s="143" t="inlineStr">
        <is>
          <t>LACQUER</t>
        </is>
      </c>
      <c r="G66" s="143" t="n">
        <v>185</v>
      </c>
      <c r="H66" s="143" t="inlineStr">
        <is>
          <t>EPOXY LACQUER (1500)</t>
        </is>
      </c>
      <c r="I66" s="145" t="inlineStr">
        <is>
          <t>L</t>
        </is>
      </c>
      <c r="J66" s="146" t="n">
        <v>0.24</v>
      </c>
      <c r="K66" s="147" t="inlineStr">
        <is>
          <t>Lacquer</t>
        </is>
      </c>
      <c r="L66" s="147" t="n">
        <v>0.1</v>
      </c>
      <c r="M66" s="149" t="inlineStr">
        <is>
          <t>NEW material line added manually v9.30 (16-Apr-2026) — Add to ERP BOM</t>
        </is>
      </c>
      <c r="N66" s="147" t="n"/>
      <c r="O66" s="147" t="n"/>
      <c r="P66" s="147" t="n"/>
      <c r="Q66" s="148" t="n"/>
    </row>
    <row r="67" ht="15" customHeight="1" s="249">
      <c r="A67" s="143" t="n">
        <v>5731</v>
      </c>
      <c r="B67" s="143" t="n">
        <v>32</v>
      </c>
      <c r="C67" s="143" t="inlineStr">
        <is>
          <t>Samsol International Private Limited</t>
        </is>
      </c>
      <c r="D67" s="144" t="inlineStr">
        <is>
          <t>SAMSOL HAIR COLOR 45 DIA 20.5 MM</t>
        </is>
      </c>
      <c r="E67" s="143" t="n">
        <v>20.5</v>
      </c>
      <c r="F67" s="143" t="inlineStr">
        <is>
          <t>TAPE</t>
        </is>
      </c>
      <c r="G67" s="143" t="n">
        <v>3635</v>
      </c>
      <c r="H67" s="143" t="inlineStr">
        <is>
          <t>PACKING TAPE 2" OF 60 YARDS</t>
        </is>
      </c>
      <c r="I67" s="145" t="inlineStr">
        <is>
          <t>PCS</t>
        </is>
      </c>
      <c r="J67" s="146" t="n">
        <v>2.996</v>
      </c>
      <c r="K67" s="147" t="inlineStr">
        <is>
          <t>Packing Tape</t>
        </is>
      </c>
      <c r="L67" s="147" t="n">
        <v>0.1</v>
      </c>
      <c r="M67" s="149" t="n"/>
      <c r="N67" s="147" t="n"/>
      <c r="O67" s="147" t="n"/>
      <c r="P67" s="147" t="n"/>
      <c r="Q67" s="148" t="n"/>
    </row>
    <row r="68" ht="15" customHeight="1" s="249">
      <c r="A68" s="143" t="n">
        <v>5732</v>
      </c>
      <c r="B68" s="143" t="n">
        <v>33</v>
      </c>
      <c r="C68" s="143" t="inlineStr">
        <is>
          <t>Samsol International Private Limited</t>
        </is>
      </c>
      <c r="D68" s="144" t="inlineStr">
        <is>
          <t>SAMSOL HAIR COLOR 43 DIA 20.5 MM</t>
        </is>
      </c>
      <c r="E68" s="143" t="n">
        <v>20.5</v>
      </c>
      <c r="F68" s="143" t="inlineStr">
        <is>
          <t>SLUG</t>
        </is>
      </c>
      <c r="G68" s="143" t="n">
        <v>4179</v>
      </c>
      <c r="H68" s="143" t="inlineStr">
        <is>
          <t>20.5x4.5</t>
        </is>
      </c>
      <c r="I68" s="145" t="inlineStr">
        <is>
          <t>kg</t>
        </is>
      </c>
      <c r="J68" s="146" t="n">
        <v>3.937</v>
      </c>
      <c r="K68" s="147" t="inlineStr">
        <is>
          <t>Aluminum Slugs</t>
        </is>
      </c>
      <c r="L68" s="147" t="n">
        <v>0.1</v>
      </c>
      <c r="M68" s="149" t="n"/>
      <c r="N68" s="147" t="n"/>
      <c r="O68" s="147" t="n"/>
      <c r="P68" s="147" t="n"/>
      <c r="Q68" s="148" t="n"/>
    </row>
    <row r="69" ht="15" customHeight="1" s="249">
      <c r="A69" s="143" t="n">
        <v>5732</v>
      </c>
      <c r="B69" s="143" t="n">
        <v>33</v>
      </c>
      <c r="C69" s="143" t="inlineStr">
        <is>
          <t>Samsol International Private Limited</t>
        </is>
      </c>
      <c r="D69" s="144" t="inlineStr">
        <is>
          <t>SAMSOL HAIR COLOR 43 DIA 20.5 MM</t>
        </is>
      </c>
      <c r="E69" s="143" t="n">
        <v>20.5</v>
      </c>
      <c r="F69" s="143" t="inlineStr">
        <is>
          <t>BASE COAT</t>
        </is>
      </c>
      <c r="G69" s="143" t="n">
        <v>3595</v>
      </c>
      <c r="H69" s="143" t="inlineStr">
        <is>
          <t>POLYSTER BASE COAT WHITE 234</t>
        </is>
      </c>
      <c r="I69" s="145" t="inlineStr">
        <is>
          <t>kg</t>
        </is>
      </c>
      <c r="J69" s="146" t="n">
        <v>0.385</v>
      </c>
      <c r="K69" s="147" t="inlineStr">
        <is>
          <t>Base Coat</t>
        </is>
      </c>
      <c r="L69" s="147" t="n">
        <v>0.1</v>
      </c>
      <c r="M69" s="149" t="inlineStr">
        <is>
          <t>NEW material line added manually v9.30 (16-Apr-2026) — Add to ERP BOM</t>
        </is>
      </c>
      <c r="N69" s="147" t="n"/>
      <c r="O69" s="147" t="n"/>
      <c r="P69" s="147" t="n"/>
      <c r="Q69" s="148" t="n"/>
    </row>
    <row r="70" ht="15" customHeight="1" s="249">
      <c r="A70" s="143" t="n">
        <v>5732</v>
      </c>
      <c r="B70" s="143" t="n">
        <v>33</v>
      </c>
      <c r="C70" s="143" t="inlineStr">
        <is>
          <t>Samsol International Private Limited</t>
        </is>
      </c>
      <c r="D70" s="144" t="inlineStr">
        <is>
          <t>SAMSOL HAIR COLOR 43 DIA 20.5 MM</t>
        </is>
      </c>
      <c r="E70" s="143" t="n">
        <v>20.5</v>
      </c>
      <c r="F70" s="143" t="inlineStr">
        <is>
          <t>CAP</t>
        </is>
      </c>
      <c r="G70" s="143" t="n">
        <v>6971</v>
      </c>
      <c r="H70" s="143" t="inlineStr">
        <is>
          <t>M-9 S/M SPR WHITE DIA 20.5MM</t>
        </is>
      </c>
      <c r="I70" s="145" t="inlineStr">
        <is>
          <t>PCS</t>
        </is>
      </c>
      <c r="J70" s="146" t="n">
        <v>1000</v>
      </c>
      <c r="K70" s="147" t="inlineStr">
        <is>
          <t>Caps</t>
        </is>
      </c>
      <c r="L70" s="147" t="n">
        <v>0.02</v>
      </c>
      <c r="M70" s="149" t="inlineStr">
        <is>
          <t>NEW material line added manually v9.30 (16-Apr-2026) — Add to ERP BOM</t>
        </is>
      </c>
      <c r="N70" s="147" t="n"/>
      <c r="O70" s="147" t="n"/>
      <c r="P70" s="147" t="n"/>
      <c r="Q70" s="148" t="n"/>
    </row>
    <row r="71" ht="15" customHeight="1" s="249">
      <c r="A71" s="143" t="n">
        <v>5732</v>
      </c>
      <c r="B71" s="143" t="n">
        <v>33</v>
      </c>
      <c r="C71" s="143" t="inlineStr">
        <is>
          <t>Samsol International Private Limited</t>
        </is>
      </c>
      <c r="D71" s="144" t="inlineStr">
        <is>
          <t>SAMSOL HAIR COLOR 43 DIA 20.5 MM</t>
        </is>
      </c>
      <c r="E71" s="143" t="n">
        <v>20.5</v>
      </c>
      <c r="F71" s="143" t="inlineStr">
        <is>
          <t>CARTON</t>
        </is>
      </c>
      <c r="G71" s="143" t="n">
        <v>3619</v>
      </c>
      <c r="H71" s="143" t="inlineStr">
        <is>
          <t>20.5x510 5ply</t>
        </is>
      </c>
      <c r="I71" s="145" t="inlineStr">
        <is>
          <t>PCS</t>
        </is>
      </c>
      <c r="J71" s="146" t="n">
        <v>1.96</v>
      </c>
      <c r="K71" s="147" t="inlineStr">
        <is>
          <t>Cartons</t>
        </is>
      </c>
      <c r="L71" s="147" t="n">
        <v>0.1</v>
      </c>
      <c r="M71" s="149" t="n"/>
      <c r="N71" s="147" t="n"/>
      <c r="O71" s="147" t="n"/>
      <c r="P71" s="147" t="n"/>
      <c r="Q71" s="148" t="n"/>
    </row>
    <row r="72" ht="15" customHeight="1" s="249">
      <c r="A72" s="143" t="n">
        <v>5732</v>
      </c>
      <c r="B72" s="143" t="n">
        <v>33</v>
      </c>
      <c r="C72" s="143" t="inlineStr">
        <is>
          <t>Samsol International Private Limited</t>
        </is>
      </c>
      <c r="D72" s="144" t="inlineStr">
        <is>
          <t>SAMSOL HAIR COLOR 43 DIA 20.5 MM</t>
        </is>
      </c>
      <c r="E72" s="143" t="n">
        <v>20.5</v>
      </c>
      <c r="F72" s="143" t="inlineStr">
        <is>
          <t>ZINC POWDER</t>
        </is>
      </c>
      <c r="G72" s="143" t="n">
        <v>194</v>
      </c>
      <c r="H72" s="143" t="inlineStr">
        <is>
          <t>ZINC STEARATE</t>
        </is>
      </c>
      <c r="I72" s="145" t="inlineStr">
        <is>
          <t>kg</t>
        </is>
      </c>
      <c r="J72" s="146" t="n">
        <v>0.00409</v>
      </c>
      <c r="K72" s="147" t="inlineStr">
        <is>
          <t>Zinc</t>
        </is>
      </c>
      <c r="L72" s="147" t="n">
        <v>0.1</v>
      </c>
      <c r="M72" s="147" t="n"/>
      <c r="N72" s="147" t="n"/>
      <c r="O72" s="147" t="n"/>
      <c r="P72" s="147" t="n"/>
      <c r="Q72" s="148" t="n"/>
    </row>
    <row r="73" ht="15" customHeight="1" s="249">
      <c r="A73" s="143" t="n">
        <v>5732</v>
      </c>
      <c r="B73" s="143" t="n">
        <v>33</v>
      </c>
      <c r="C73" s="143" t="inlineStr">
        <is>
          <t>Samsol International Private Limited</t>
        </is>
      </c>
      <c r="D73" s="144" t="inlineStr">
        <is>
          <t>SAMSOL HAIR COLOR 43 DIA 20.5 MM</t>
        </is>
      </c>
      <c r="E73" s="143" t="n">
        <v>20.5</v>
      </c>
      <c r="F73" s="143" t="inlineStr">
        <is>
          <t>LACQUER</t>
        </is>
      </c>
      <c r="G73" s="143" t="n">
        <v>185</v>
      </c>
      <c r="H73" s="143" t="inlineStr">
        <is>
          <t>EPOXY LACQUER (1500)</t>
        </is>
      </c>
      <c r="I73" s="145" t="inlineStr">
        <is>
          <t>L</t>
        </is>
      </c>
      <c r="J73" s="146" t="n">
        <v>0.24</v>
      </c>
      <c r="K73" s="147" t="inlineStr">
        <is>
          <t>Lacquer</t>
        </is>
      </c>
      <c r="L73" s="147" t="n">
        <v>0.1</v>
      </c>
      <c r="M73" s="149" t="inlineStr">
        <is>
          <t>NEW material line added manually v9.30 (16-Apr-2026) — Add to ERP BOM</t>
        </is>
      </c>
      <c r="N73" s="147" t="n"/>
      <c r="O73" s="147" t="n"/>
      <c r="P73" s="147" t="n"/>
      <c r="Q73" s="148" t="n"/>
    </row>
    <row r="74" ht="15" customHeight="1" s="249">
      <c r="A74" s="143" t="n">
        <v>5732</v>
      </c>
      <c r="B74" s="143" t="n">
        <v>33</v>
      </c>
      <c r="C74" s="143" t="inlineStr">
        <is>
          <t>Samsol International Private Limited</t>
        </is>
      </c>
      <c r="D74" s="144" t="inlineStr">
        <is>
          <t>SAMSOL HAIR COLOR 43 DIA 20.5 MM</t>
        </is>
      </c>
      <c r="E74" s="143" t="n">
        <v>20.5</v>
      </c>
      <c r="F74" s="143" t="inlineStr">
        <is>
          <t>TAPE</t>
        </is>
      </c>
      <c r="G74" s="143" t="n">
        <v>3635</v>
      </c>
      <c r="H74" s="143" t="inlineStr">
        <is>
          <t>PACKING TAPE 2" OF 60 YARDS</t>
        </is>
      </c>
      <c r="I74" s="145" t="inlineStr">
        <is>
          <t>PCS</t>
        </is>
      </c>
      <c r="J74" s="146" t="n">
        <v>2.996</v>
      </c>
      <c r="K74" s="147" t="inlineStr">
        <is>
          <t>Tape</t>
        </is>
      </c>
      <c r="L74" s="147" t="n">
        <v>0.1</v>
      </c>
      <c r="M74" s="149" t="n"/>
      <c r="N74" s="147" t="n"/>
      <c r="O74" s="147" t="n"/>
      <c r="P74" s="147" t="n"/>
      <c r="Q74" s="148" t="n"/>
    </row>
    <row r="75" ht="15" customHeight="1" s="249">
      <c r="A75" s="143" t="n">
        <v>6556</v>
      </c>
      <c r="B75" s="143" t="n">
        <v>186</v>
      </c>
      <c r="C75" s="143" t="inlineStr">
        <is>
          <t>Samsol International Private Limited</t>
        </is>
      </c>
      <c r="D75" s="144" t="inlineStr">
        <is>
          <t>SAMSOL HAIR COLOR 39 SMALL PURPLE</t>
        </is>
      </c>
      <c r="E75" s="143" t="n">
        <v>20.5</v>
      </c>
      <c r="F75" s="143" t="inlineStr">
        <is>
          <t>SLUG</t>
        </is>
      </c>
      <c r="G75" s="143" t="n">
        <v>4179</v>
      </c>
      <c r="H75" s="143" t="inlineStr">
        <is>
          <t>20.5x4.5</t>
        </is>
      </c>
      <c r="I75" s="145" t="inlineStr">
        <is>
          <t>kg</t>
        </is>
      </c>
      <c r="J75" s="146" t="n">
        <v>3.937</v>
      </c>
      <c r="K75" s="147" t="inlineStr">
        <is>
          <t>Aluminum Slugs</t>
        </is>
      </c>
      <c r="L75" s="147" t="n">
        <v>0.1</v>
      </c>
      <c r="M75" s="147" t="n"/>
      <c r="N75" s="147" t="n"/>
      <c r="O75" s="147" t="n"/>
      <c r="P75" s="147" t="n"/>
      <c r="Q75" s="148" t="n"/>
    </row>
    <row r="76" ht="15" customHeight="1" s="249">
      <c r="A76" s="143" t="n">
        <v>6556</v>
      </c>
      <c r="B76" s="143" t="n">
        <v>186</v>
      </c>
      <c r="C76" s="143" t="inlineStr">
        <is>
          <t>Samsol International Private Limited</t>
        </is>
      </c>
      <c r="D76" s="144" t="inlineStr">
        <is>
          <t>SAMSOL HAIR COLOR 39 SMALL PURPLE</t>
        </is>
      </c>
      <c r="E76" s="143" t="n">
        <v>20.5</v>
      </c>
      <c r="F76" s="143" t="inlineStr">
        <is>
          <t>BASE COAT</t>
        </is>
      </c>
      <c r="G76" s="143" t="n">
        <v>3595</v>
      </c>
      <c r="H76" s="143" t="inlineStr">
        <is>
          <t>POLYSTER BASE COAT WHITE 234</t>
        </is>
      </c>
      <c r="I76" s="145" t="inlineStr">
        <is>
          <t>kg</t>
        </is>
      </c>
      <c r="J76" s="146" t="n">
        <v>0.385</v>
      </c>
      <c r="K76" s="147" t="inlineStr">
        <is>
          <t>Base Coat</t>
        </is>
      </c>
      <c r="L76" s="147" t="n">
        <v>0.1</v>
      </c>
      <c r="M76" s="149" t="inlineStr">
        <is>
          <t>Item name kept as ERP ('POLYSTER BASE COAT WHITE 234'). Rehan wrote 'BASE COAT WHITE 23410 CT' — corrected. (16-Apr-2026) — Verify in ERP</t>
        </is>
      </c>
      <c r="N76" s="147" t="n"/>
      <c r="O76" s="147" t="n"/>
      <c r="P76" s="147" t="n"/>
      <c r="Q76" s="148" t="n"/>
    </row>
    <row r="77" ht="15" customHeight="1" s="249">
      <c r="A77" s="143" t="n">
        <v>6556</v>
      </c>
      <c r="B77" s="143" t="n">
        <v>186</v>
      </c>
      <c r="C77" s="143" t="inlineStr">
        <is>
          <t>Samsol International Private Limited</t>
        </is>
      </c>
      <c r="D77" s="144" t="inlineStr">
        <is>
          <t>SAMSOL HAIR COLOR 39 SMALL PURPLE</t>
        </is>
      </c>
      <c r="E77" s="143" t="n">
        <v>20.5</v>
      </c>
      <c r="F77" s="143" t="inlineStr">
        <is>
          <t>CAP</t>
        </is>
      </c>
      <c r="G77" s="143" t="n">
        <v>6971</v>
      </c>
      <c r="H77" s="143" t="inlineStr">
        <is>
          <t>M-9 S/M SPR WHITE DIA 20.5MM</t>
        </is>
      </c>
      <c r="I77" s="145" t="inlineStr">
        <is>
          <t>PCS</t>
        </is>
      </c>
      <c r="J77" s="146" t="n">
        <v>1000</v>
      </c>
      <c r="K77" s="147" t="inlineStr">
        <is>
          <t>Caps</t>
        </is>
      </c>
      <c r="L77" s="147" t="n">
        <v>0.02</v>
      </c>
      <c r="M77" s="149" t="inlineStr">
        <is>
          <t>Value changed manually v9.30 (16-Apr-2026) — Update in ERP BOM</t>
        </is>
      </c>
      <c r="N77" s="147" t="n"/>
      <c r="O77" s="147" t="n"/>
      <c r="P77" s="147" t="n"/>
      <c r="Q77" s="148" t="n"/>
    </row>
    <row r="78" ht="15" customHeight="1" s="249">
      <c r="A78" s="143" t="n">
        <v>6556</v>
      </c>
      <c r="B78" s="143" t="n">
        <v>186</v>
      </c>
      <c r="C78" s="143" t="inlineStr">
        <is>
          <t>Samsol International Private Limited</t>
        </is>
      </c>
      <c r="D78" s="144" t="inlineStr">
        <is>
          <t>SAMSOL HAIR COLOR 39 SMALL PURPLE</t>
        </is>
      </c>
      <c r="E78" s="143" t="n">
        <v>20.5</v>
      </c>
      <c r="F78" s="143" t="inlineStr">
        <is>
          <t>CARTON</t>
        </is>
      </c>
      <c r="G78" s="143" t="n">
        <v>3619</v>
      </c>
      <c r="H78" s="143" t="inlineStr">
        <is>
          <t>20.5x510 5ply</t>
        </is>
      </c>
      <c r="I78" s="145" t="inlineStr">
        <is>
          <t>PCS</t>
        </is>
      </c>
      <c r="J78" s="146" t="n">
        <v>1.9607</v>
      </c>
      <c r="K78" s="147" t="inlineStr">
        <is>
          <t>Cartons</t>
        </is>
      </c>
      <c r="L78" s="147" t="n">
        <v>0.1</v>
      </c>
      <c r="M78" s="147" t="n"/>
      <c r="N78" s="147" t="n"/>
      <c r="O78" s="147" t="n"/>
      <c r="P78" s="147" t="n"/>
      <c r="Q78" s="148" t="n"/>
    </row>
    <row r="79" ht="15" customHeight="1" s="249">
      <c r="A79" s="143" t="n">
        <v>6556</v>
      </c>
      <c r="B79" s="143" t="n">
        <v>186</v>
      </c>
      <c r="C79" s="143" t="inlineStr">
        <is>
          <t>Samsol International Private Limited</t>
        </is>
      </c>
      <c r="D79" s="144" t="inlineStr">
        <is>
          <t>SAMSOL HAIR COLOR 39 SMALL PURPLE</t>
        </is>
      </c>
      <c r="E79" s="143" t="n">
        <v>20.5</v>
      </c>
      <c r="F79" s="143" t="inlineStr">
        <is>
          <t>ZINC POWDER</t>
        </is>
      </c>
      <c r="G79" s="143" t="n">
        <v>194</v>
      </c>
      <c r="H79" s="143" t="inlineStr">
        <is>
          <t>ZINC STEARATE</t>
        </is>
      </c>
      <c r="I79" s="145" t="inlineStr">
        <is>
          <t>kg</t>
        </is>
      </c>
      <c r="J79" s="146" t="n">
        <v>0.00409</v>
      </c>
      <c r="K79" s="147" t="inlineStr">
        <is>
          <t>Zinc Stearate</t>
        </is>
      </c>
      <c r="L79" s="147" t="n">
        <v>0.1</v>
      </c>
      <c r="M79" s="147" t="n"/>
      <c r="N79" s="147" t="n"/>
      <c r="O79" s="147" t="n"/>
      <c r="P79" s="147" t="n"/>
      <c r="Q79" s="148" t="n"/>
    </row>
    <row r="80" ht="15" customHeight="1" s="249">
      <c r="A80" s="143" t="n">
        <v>6556</v>
      </c>
      <c r="B80" s="143" t="n">
        <v>186</v>
      </c>
      <c r="C80" s="143" t="inlineStr">
        <is>
          <t>Samsol International Private Limited</t>
        </is>
      </c>
      <c r="D80" s="144" t="inlineStr">
        <is>
          <t>SAMSOL HAIR COLOR 39 SMALL PURPLE</t>
        </is>
      </c>
      <c r="E80" s="143" t="n">
        <v>20.5</v>
      </c>
      <c r="F80" s="143" t="inlineStr">
        <is>
          <t>LACQUER</t>
        </is>
      </c>
      <c r="G80" s="143" t="n">
        <v>185</v>
      </c>
      <c r="H80" s="143" t="inlineStr">
        <is>
          <t>EPOXY LACQUER (1500)</t>
        </is>
      </c>
      <c r="I80" s="145" t="inlineStr">
        <is>
          <t>L</t>
        </is>
      </c>
      <c r="J80" s="146" t="n">
        <v>0.24</v>
      </c>
      <c r="K80" s="147" t="inlineStr">
        <is>
          <t>Lacquer</t>
        </is>
      </c>
      <c r="L80" s="147" t="n">
        <v>0.1</v>
      </c>
      <c r="M80" s="147" t="n"/>
      <c r="N80" s="147" t="n"/>
      <c r="O80" s="147" t="n"/>
      <c r="P80" s="147" t="n"/>
      <c r="Q80" s="148" t="n"/>
    </row>
    <row r="81" ht="15" customHeight="1" s="249">
      <c r="A81" s="143" t="n">
        <v>6556</v>
      </c>
      <c r="B81" s="143" t="n">
        <v>186</v>
      </c>
      <c r="C81" s="143" t="inlineStr">
        <is>
          <t>Samsol International Private Limited</t>
        </is>
      </c>
      <c r="D81" s="144" t="inlineStr">
        <is>
          <t>SAMSOL HAIR COLOR 39 SMALL PURPLE</t>
        </is>
      </c>
      <c r="E81" s="143" t="n">
        <v>20.5</v>
      </c>
      <c r="F81" s="143" t="inlineStr">
        <is>
          <t>TAPE</t>
        </is>
      </c>
      <c r="G81" s="143" t="n">
        <v>3635</v>
      </c>
      <c r="H81" s="143" t="inlineStr">
        <is>
          <t>PACKING TAPE 2" OF 60 YARDS</t>
        </is>
      </c>
      <c r="I81" s="145" t="inlineStr">
        <is>
          <t>PCS</t>
        </is>
      </c>
      <c r="J81" s="146" t="n">
        <v>0.059</v>
      </c>
      <c r="K81" s="147" t="inlineStr">
        <is>
          <t>Packing Tape</t>
        </is>
      </c>
      <c r="L81" s="147" t="n">
        <v>0.1</v>
      </c>
      <c r="M81" s="149" t="n"/>
      <c r="N81" s="147" t="n"/>
      <c r="O81" s="147" t="n"/>
      <c r="P81" s="147" t="n"/>
      <c r="Q81" s="148" t="n"/>
    </row>
    <row r="82" ht="15" customHeight="1" s="249">
      <c r="A82" s="143" t="n">
        <v>6557</v>
      </c>
      <c r="B82" s="143" t="n">
        <v>185</v>
      </c>
      <c r="C82" s="143" t="inlineStr">
        <is>
          <t>Samsol International Private Limited</t>
        </is>
      </c>
      <c r="D82" s="144" t="inlineStr">
        <is>
          <t>SAMSOL HAIR COLOR 41 SMALL PURPLE</t>
        </is>
      </c>
      <c r="E82" s="143" t="n">
        <v>20.5</v>
      </c>
      <c r="F82" s="143" t="inlineStr">
        <is>
          <t>SLUG</t>
        </is>
      </c>
      <c r="G82" s="143" t="n">
        <v>4179</v>
      </c>
      <c r="H82" s="143" t="inlineStr">
        <is>
          <t>20.5x4.5</t>
        </is>
      </c>
      <c r="I82" s="145" t="inlineStr">
        <is>
          <t>kg</t>
        </is>
      </c>
      <c r="J82" s="146" t="n">
        <v>3.937</v>
      </c>
      <c r="K82" s="147" t="inlineStr">
        <is>
          <t>Aluminum Slugs</t>
        </is>
      </c>
      <c r="L82" s="147" t="n">
        <v>0.1</v>
      </c>
      <c r="M82" s="147" t="n"/>
      <c r="N82" s="147" t="n"/>
      <c r="O82" s="147" t="n"/>
      <c r="P82" s="147" t="n"/>
      <c r="Q82" s="148" t="n"/>
    </row>
    <row r="83" ht="15" customHeight="1" s="249">
      <c r="A83" s="143" t="n">
        <v>6557</v>
      </c>
      <c r="B83" s="143" t="n">
        <v>185</v>
      </c>
      <c r="C83" s="143" t="inlineStr">
        <is>
          <t>Samsol International Private Limited</t>
        </is>
      </c>
      <c r="D83" s="144" t="inlineStr">
        <is>
          <t>SAMSOL HAIR COLOR 41 SMALL PURPLE</t>
        </is>
      </c>
      <c r="E83" s="143" t="n">
        <v>20.5</v>
      </c>
      <c r="F83" s="143" t="inlineStr">
        <is>
          <t>BASE COAT</t>
        </is>
      </c>
      <c r="G83" s="143" t="n">
        <v>3595</v>
      </c>
      <c r="H83" s="143" t="inlineStr">
        <is>
          <t>POLYSTER BASE COAT WHITE 234</t>
        </is>
      </c>
      <c r="I83" s="145" t="inlineStr">
        <is>
          <t>kg</t>
        </is>
      </c>
      <c r="J83" s="146" t="n">
        <v>0.385</v>
      </c>
      <c r="K83" s="147" t="inlineStr">
        <is>
          <t>Base Coat</t>
        </is>
      </c>
      <c r="L83" s="147" t="n">
        <v>0.1</v>
      </c>
      <c r="M83" s="149" t="inlineStr">
        <is>
          <t>Item name kept as ERP ('POLYSTER BASE COAT WHITE 234'). Rehan wrote 'BASE COAT WHITE 23410 CT' — corrected. (16-Apr-2026) — Verify in ERP</t>
        </is>
      </c>
      <c r="N83" s="147" t="n"/>
      <c r="O83" s="147" t="n"/>
      <c r="P83" s="147" t="n"/>
      <c r="Q83" s="148" t="n"/>
    </row>
    <row r="84" ht="15" customHeight="1" s="249">
      <c r="A84" s="143" t="n">
        <v>6557</v>
      </c>
      <c r="B84" s="143" t="n">
        <v>185</v>
      </c>
      <c r="C84" s="143" t="inlineStr">
        <is>
          <t>Samsol International Private Limited</t>
        </is>
      </c>
      <c r="D84" s="144" t="inlineStr">
        <is>
          <t>SAMSOL HAIR COLOR 41 SMALL PURPLE</t>
        </is>
      </c>
      <c r="E84" s="143" t="n">
        <v>20.5</v>
      </c>
      <c r="F84" s="143" t="inlineStr">
        <is>
          <t>CAP</t>
        </is>
      </c>
      <c r="G84" s="143" t="n">
        <v>6971</v>
      </c>
      <c r="H84" s="143" t="inlineStr">
        <is>
          <t>M-9 S/M SPR WHITE DIA 20.5MM</t>
        </is>
      </c>
      <c r="I84" s="145" t="inlineStr">
        <is>
          <t>PCS</t>
        </is>
      </c>
      <c r="J84" s="146" t="n">
        <v>1000</v>
      </c>
      <c r="K84" s="147" t="inlineStr">
        <is>
          <t>Caps</t>
        </is>
      </c>
      <c r="L84" s="147" t="n">
        <v>0.02</v>
      </c>
      <c r="M84" s="149" t="inlineStr">
        <is>
          <t>Value changed manually v9.30 (16-Apr-2026) — Update in ERP BOM</t>
        </is>
      </c>
      <c r="N84" s="147" t="n"/>
      <c r="O84" s="147" t="n"/>
      <c r="P84" s="147" t="n"/>
      <c r="Q84" s="148" t="n"/>
    </row>
    <row r="85" ht="15" customHeight="1" s="249">
      <c r="A85" s="143" t="n">
        <v>6557</v>
      </c>
      <c r="B85" s="143" t="n">
        <v>185</v>
      </c>
      <c r="C85" s="143" t="inlineStr">
        <is>
          <t>Samsol International Private Limited</t>
        </is>
      </c>
      <c r="D85" s="144" t="inlineStr">
        <is>
          <t>SAMSOL HAIR COLOR 41 SMALL PURPLE</t>
        </is>
      </c>
      <c r="E85" s="143" t="n">
        <v>20.5</v>
      </c>
      <c r="F85" s="143" t="inlineStr">
        <is>
          <t>CARTON</t>
        </is>
      </c>
      <c r="G85" s="143" t="n">
        <v>3619</v>
      </c>
      <c r="H85" s="143" t="inlineStr">
        <is>
          <t>20.5x510 5ply</t>
        </is>
      </c>
      <c r="I85" s="145" t="inlineStr">
        <is>
          <t>PCS</t>
        </is>
      </c>
      <c r="J85" s="146" t="n">
        <v>1.9607</v>
      </c>
      <c r="K85" s="147" t="inlineStr">
        <is>
          <t>Cartons</t>
        </is>
      </c>
      <c r="L85" s="147" t="n">
        <v>0.1</v>
      </c>
      <c r="M85" s="147" t="n"/>
      <c r="N85" s="147" t="n"/>
      <c r="O85" s="147" t="n"/>
      <c r="P85" s="147" t="n"/>
      <c r="Q85" s="148" t="n"/>
    </row>
    <row r="86" ht="15" customHeight="1" s="249">
      <c r="A86" s="143" t="n">
        <v>6557</v>
      </c>
      <c r="B86" s="143" t="n">
        <v>185</v>
      </c>
      <c r="C86" s="143" t="inlineStr">
        <is>
          <t>Samsol International Private Limited</t>
        </is>
      </c>
      <c r="D86" s="144" t="inlineStr">
        <is>
          <t>SAMSOL HAIR COLOR 41 SMALL PURPLE</t>
        </is>
      </c>
      <c r="E86" s="143" t="n">
        <v>20.5</v>
      </c>
      <c r="F86" s="143" t="inlineStr">
        <is>
          <t>ZINC POWDER</t>
        </is>
      </c>
      <c r="G86" s="143" t="n">
        <v>194</v>
      </c>
      <c r="H86" s="143" t="inlineStr">
        <is>
          <t>ZINC STEARATE</t>
        </is>
      </c>
      <c r="I86" s="145" t="inlineStr">
        <is>
          <t>kg</t>
        </is>
      </c>
      <c r="J86" s="146" t="n">
        <v>0.00409</v>
      </c>
      <c r="K86" s="147" t="inlineStr">
        <is>
          <t>Zinc Stearate</t>
        </is>
      </c>
      <c r="L86" s="147" t="n">
        <v>0.1</v>
      </c>
      <c r="M86" s="147" t="n"/>
      <c r="N86" s="147" t="n"/>
      <c r="O86" s="147" t="n"/>
      <c r="P86" s="147" t="n"/>
      <c r="Q86" s="148" t="n"/>
    </row>
    <row r="87" ht="15" customHeight="1" s="249">
      <c r="A87" s="143" t="n">
        <v>6557</v>
      </c>
      <c r="B87" s="143" t="n">
        <v>185</v>
      </c>
      <c r="C87" s="143" t="inlineStr">
        <is>
          <t>Samsol International Private Limited</t>
        </is>
      </c>
      <c r="D87" s="144" t="inlineStr">
        <is>
          <t>SAMSOL HAIR COLOR 41 SMALL PURPLE</t>
        </is>
      </c>
      <c r="E87" s="143" t="n">
        <v>20.5</v>
      </c>
      <c r="F87" s="143" t="inlineStr">
        <is>
          <t>LACQUER</t>
        </is>
      </c>
      <c r="G87" s="143" t="n">
        <v>185</v>
      </c>
      <c r="H87" s="143" t="inlineStr">
        <is>
          <t>EPOXY LACQUER (1500)</t>
        </is>
      </c>
      <c r="I87" s="145" t="inlineStr">
        <is>
          <t>L</t>
        </is>
      </c>
      <c r="J87" s="146" t="n">
        <v>0.24</v>
      </c>
      <c r="K87" s="147" t="inlineStr">
        <is>
          <t>Lacquer</t>
        </is>
      </c>
      <c r="L87" s="147" t="n">
        <v>0.1</v>
      </c>
      <c r="M87" s="147" t="n"/>
      <c r="N87" s="147" t="n"/>
      <c r="O87" s="147" t="n"/>
      <c r="P87" s="147" t="n"/>
      <c r="Q87" s="148" t="n"/>
    </row>
    <row r="88" ht="15" customHeight="1" s="249">
      <c r="A88" s="143" t="n">
        <v>6557</v>
      </c>
      <c r="B88" s="143" t="n">
        <v>185</v>
      </c>
      <c r="C88" s="143" t="inlineStr">
        <is>
          <t>Samsol International Private Limited</t>
        </is>
      </c>
      <c r="D88" s="144" t="inlineStr">
        <is>
          <t>SAMSOL HAIR COLOR 41 SMALL PURPLE</t>
        </is>
      </c>
      <c r="E88" s="143" t="n">
        <v>20.5</v>
      </c>
      <c r="F88" s="143" t="inlineStr">
        <is>
          <t>TAPE</t>
        </is>
      </c>
      <c r="G88" s="143" t="n">
        <v>3635</v>
      </c>
      <c r="H88" s="143" t="inlineStr">
        <is>
          <t>PACKING TAPE 2" OF 60 YARDS</t>
        </is>
      </c>
      <c r="I88" s="145" t="inlineStr">
        <is>
          <t>PCS</t>
        </is>
      </c>
      <c r="J88" s="146" t="n">
        <v>0.059</v>
      </c>
      <c r="K88" s="147" t="inlineStr">
        <is>
          <t>Packing Tape</t>
        </is>
      </c>
      <c r="L88" s="147" t="n">
        <v>0.1</v>
      </c>
      <c r="M88" s="149" t="n"/>
      <c r="N88" s="147" t="n"/>
      <c r="O88" s="147" t="n"/>
      <c r="P88" s="147" t="n"/>
      <c r="Q88" s="148" t="n"/>
    </row>
    <row r="89" ht="15" customHeight="1" s="249">
      <c r="A89" s="143" t="n">
        <v>6228</v>
      </c>
      <c r="B89" s="143" t="n">
        <v>150</v>
      </c>
      <c r="C89" s="143" t="inlineStr">
        <is>
          <t>Mablay Beauty PVT LTD.</t>
        </is>
      </c>
      <c r="D89" s="144" t="inlineStr">
        <is>
          <t>HIS ONLY HAIR COLOR CREAM 40GM</t>
        </is>
      </c>
      <c r="E89" s="143" t="n">
        <v>25</v>
      </c>
      <c r="F89" s="143" t="inlineStr">
        <is>
          <t>SLUG</t>
        </is>
      </c>
      <c r="G89" s="143" t="n">
        <v>6</v>
      </c>
      <c r="H89" s="143" t="inlineStr">
        <is>
          <t>25X4.5 S/M</t>
        </is>
      </c>
      <c r="I89" s="145" t="inlineStr">
        <is>
          <t>kg</t>
        </is>
      </c>
      <c r="J89" s="146" t="n">
        <v>5.97</v>
      </c>
      <c r="K89" s="147" t="inlineStr">
        <is>
          <t>Aluminum Slugs</t>
        </is>
      </c>
      <c r="L89" s="147" t="n">
        <v>0.1</v>
      </c>
      <c r="M89" s="147" t="n"/>
      <c r="N89" s="147" t="n"/>
      <c r="O89" s="147" t="n"/>
      <c r="P89" s="147" t="n"/>
      <c r="Q89" s="148" t="n"/>
    </row>
    <row r="90" ht="15" customHeight="1" s="249">
      <c r="A90" s="143" t="n">
        <v>6228</v>
      </c>
      <c r="B90" s="143" t="n">
        <v>150</v>
      </c>
      <c r="C90" s="143" t="inlineStr">
        <is>
          <t>Mablay Beauty PVT LTD.</t>
        </is>
      </c>
      <c r="D90" s="144" t="inlineStr">
        <is>
          <t>HIS ONLY HAIR COLOR CREAM 40GM</t>
        </is>
      </c>
      <c r="E90" s="143" t="n">
        <v>25</v>
      </c>
      <c r="F90" s="143" t="inlineStr">
        <is>
          <t>BASE COAT</t>
        </is>
      </c>
      <c r="G90" s="143" t="n">
        <v>3595</v>
      </c>
      <c r="H90" s="143" t="inlineStr">
        <is>
          <t>POLYSTER BASE COAT WHITE 234</t>
        </is>
      </c>
      <c r="I90" s="145" t="inlineStr">
        <is>
          <t>kg</t>
        </is>
      </c>
      <c r="J90" s="146" t="n">
        <v>0.612</v>
      </c>
      <c r="K90" s="147" t="inlineStr">
        <is>
          <t>Base Coat</t>
        </is>
      </c>
      <c r="L90" s="147" t="n">
        <v>0.1</v>
      </c>
      <c r="M90" s="149" t="inlineStr">
        <is>
          <t>NEW material line added manually v9.30 (16-Apr-2026) — Add to ERP BOM</t>
        </is>
      </c>
      <c r="N90" s="147" t="n"/>
      <c r="O90" s="147" t="n"/>
      <c r="P90" s="147" t="n"/>
      <c r="Q90" s="148" t="n"/>
    </row>
    <row r="91" ht="15" customHeight="1" s="249">
      <c r="A91" s="143" t="n">
        <v>6228</v>
      </c>
      <c r="B91" s="143" t="n">
        <v>150</v>
      </c>
      <c r="C91" s="143" t="inlineStr">
        <is>
          <t>Mablay Beauty PVT LTD.</t>
        </is>
      </c>
      <c r="D91" s="144" t="inlineStr">
        <is>
          <t>HIS ONLY HAIR COLOR CREAM 40GM</t>
        </is>
      </c>
      <c r="E91" s="143" t="n">
        <v>25</v>
      </c>
      <c r="F91" s="143" t="inlineStr">
        <is>
          <t>LATEX</t>
        </is>
      </c>
      <c r="G91" s="143" t="n">
        <v>186</v>
      </c>
      <c r="H91" s="143" t="inlineStr">
        <is>
          <t>LATEX IMP 574010002</t>
        </is>
      </c>
      <c r="I91" s="145" t="inlineStr">
        <is>
          <t>kg</t>
        </is>
      </c>
      <c r="J91" s="146" t="n">
        <v>0.25</v>
      </c>
      <c r="K91" s="147" t="inlineStr">
        <is>
          <t>Latex</t>
        </is>
      </c>
      <c r="L91" s="147" t="n">
        <v>0.1</v>
      </c>
      <c r="M91" s="147" t="n"/>
      <c r="N91" s="147" t="n"/>
      <c r="O91" s="147" t="n"/>
      <c r="P91" s="147" t="n"/>
      <c r="Q91" s="148" t="n"/>
    </row>
    <row r="92" ht="15" customHeight="1" s="249">
      <c r="A92" s="143" t="n">
        <v>6228</v>
      </c>
      <c r="B92" s="143" t="n">
        <v>150</v>
      </c>
      <c r="C92" s="143" t="inlineStr">
        <is>
          <t>Mablay Beauty PVT LTD.</t>
        </is>
      </c>
      <c r="D92" s="144" t="inlineStr">
        <is>
          <t>HIS ONLY HAIR COLOR CREAM 40GM</t>
        </is>
      </c>
      <c r="E92" s="143" t="n">
        <v>25</v>
      </c>
      <c r="F92" s="143" t="inlineStr">
        <is>
          <t>CAP</t>
        </is>
      </c>
      <c r="G92" s="143" t="n">
        <v>68</v>
      </c>
      <c r="H92" s="143" t="inlineStr">
        <is>
          <t>M-11 S/M SPR WHITE DIA 25MM</t>
        </is>
      </c>
      <c r="I92" s="145" t="inlineStr">
        <is>
          <t>PCS</t>
        </is>
      </c>
      <c r="J92" s="146" t="n">
        <v>1000</v>
      </c>
      <c r="K92" s="147" t="inlineStr">
        <is>
          <t>Caps</t>
        </is>
      </c>
      <c r="L92" s="147" t="n">
        <v>0.02</v>
      </c>
      <c r="M92" s="149" t="inlineStr">
        <is>
          <t>Value changed manually v9.30 (16-Apr-2026) — Update in ERP BOM</t>
        </is>
      </c>
      <c r="N92" s="147" t="n"/>
      <c r="O92" s="147" t="n"/>
      <c r="P92" s="147" t="n"/>
      <c r="Q92" s="148" t="n"/>
    </row>
    <row r="93" ht="15" customHeight="1" s="249">
      <c r="A93" s="143" t="n">
        <v>6228</v>
      </c>
      <c r="B93" s="143" t="n">
        <v>150</v>
      </c>
      <c r="C93" s="143" t="inlineStr">
        <is>
          <t>Mablay Beauty PVT LTD.</t>
        </is>
      </c>
      <c r="D93" s="144" t="inlineStr">
        <is>
          <t>HIS ONLY HAIR COLOR CREAM 40GM</t>
        </is>
      </c>
      <c r="E93" s="143" t="n">
        <v>25</v>
      </c>
      <c r="F93" s="143" t="inlineStr">
        <is>
          <t>CARTON</t>
        </is>
      </c>
      <c r="G93" s="143" t="n">
        <v>3598</v>
      </c>
      <c r="H93" s="143" t="inlineStr">
        <is>
          <t>25x336 5Ply</t>
        </is>
      </c>
      <c r="I93" s="145" t="inlineStr">
        <is>
          <t>PCS</t>
        </is>
      </c>
      <c r="J93" s="146" t="n">
        <v>2.976</v>
      </c>
      <c r="K93" s="147" t="inlineStr">
        <is>
          <t>Cartons</t>
        </is>
      </c>
      <c r="L93" s="147" t="n">
        <v>0.1</v>
      </c>
      <c r="M93" s="147" t="n"/>
      <c r="N93" s="147" t="n"/>
      <c r="O93" s="147" t="n"/>
      <c r="P93" s="147" t="n"/>
      <c r="Q93" s="148" t="n"/>
    </row>
    <row r="94" ht="15" customHeight="1" s="249">
      <c r="A94" s="143" t="n">
        <v>6228</v>
      </c>
      <c r="B94" s="143" t="n">
        <v>150</v>
      </c>
      <c r="C94" s="143" t="inlineStr">
        <is>
          <t>Mablay Beauty PVT LTD.</t>
        </is>
      </c>
      <c r="D94" s="144" t="inlineStr">
        <is>
          <t>HIS ONLY HAIR COLOR CREAM 40GM</t>
        </is>
      </c>
      <c r="E94" s="143" t="n">
        <v>25</v>
      </c>
      <c r="F94" s="143" t="inlineStr">
        <is>
          <t>ZINC POWDER</t>
        </is>
      </c>
      <c r="G94" s="143" t="n">
        <v>194</v>
      </c>
      <c r="H94" s="143" t="inlineStr">
        <is>
          <t>ZINC STEARATE</t>
        </is>
      </c>
      <c r="I94" s="145" t="inlineStr">
        <is>
          <t>kg</t>
        </is>
      </c>
      <c r="J94" s="146" t="n">
        <v>0.00615385</v>
      </c>
      <c r="K94" s="147" t="inlineStr">
        <is>
          <t>Zinc Stearate</t>
        </is>
      </c>
      <c r="L94" s="147" t="n">
        <v>0.1</v>
      </c>
      <c r="M94" s="147" t="n"/>
      <c r="N94" s="147" t="n"/>
      <c r="O94" s="147" t="n"/>
      <c r="P94" s="147" t="n"/>
      <c r="Q94" s="148" t="n"/>
    </row>
    <row r="95" ht="15" customHeight="1" s="249">
      <c r="A95" s="143" t="n">
        <v>6228</v>
      </c>
      <c r="B95" s="143" t="n">
        <v>150</v>
      </c>
      <c r="C95" s="143" t="inlineStr">
        <is>
          <t>Mablay Beauty PVT LTD.</t>
        </is>
      </c>
      <c r="D95" s="144" t="inlineStr">
        <is>
          <t>HIS ONLY HAIR COLOR CREAM 40GM</t>
        </is>
      </c>
      <c r="E95" s="143" t="n">
        <v>25</v>
      </c>
      <c r="F95" s="143" t="inlineStr">
        <is>
          <t>LACQUER</t>
        </is>
      </c>
      <c r="G95" s="143" t="n">
        <v>4155</v>
      </c>
      <c r="H95" s="143" t="inlineStr">
        <is>
          <t>E/P LACQUER 4000 A/R</t>
        </is>
      </c>
      <c r="I95" s="145" t="inlineStr">
        <is>
          <t>kg</t>
        </is>
      </c>
      <c r="J95" s="146" t="n">
        <v>0.292</v>
      </c>
      <c r="K95" s="147" t="inlineStr">
        <is>
          <t>Lacquer</t>
        </is>
      </c>
      <c r="L95" s="147" t="n">
        <v>0.1</v>
      </c>
      <c r="M95" s="147" t="n"/>
      <c r="N95" s="147" t="n"/>
      <c r="O95" s="147" t="n"/>
      <c r="P95" s="147" t="n"/>
      <c r="Q95" s="148" t="n"/>
    </row>
    <row r="96" ht="15" customHeight="1" s="249">
      <c r="A96" s="143" t="n">
        <v>6228</v>
      </c>
      <c r="B96" s="143" t="n">
        <v>150</v>
      </c>
      <c r="C96" s="143" t="inlineStr">
        <is>
          <t>Mablay Beauty PVT LTD.</t>
        </is>
      </c>
      <c r="D96" s="144" t="inlineStr">
        <is>
          <t>HIS ONLY HAIR COLOR CREAM 40GM</t>
        </is>
      </c>
      <c r="E96" s="143" t="n">
        <v>25</v>
      </c>
      <c r="F96" s="143" t="inlineStr">
        <is>
          <t>STATIONARY</t>
        </is>
      </c>
      <c r="G96" s="143" t="n">
        <v>495</v>
      </c>
      <c r="H96" s="143" t="inlineStr">
        <is>
          <t>CARTON LABEL</t>
        </is>
      </c>
      <c r="I96" s="145" t="inlineStr">
        <is>
          <t>pcs</t>
        </is>
      </c>
      <c r="J96" s="146" t="n">
        <v>2.976</v>
      </c>
      <c r="K96" s="147" t="inlineStr">
        <is>
          <t>Labels</t>
        </is>
      </c>
      <c r="L96" s="147" t="n">
        <v>0.1</v>
      </c>
      <c r="M96" s="147" t="n"/>
      <c r="N96" s="147" t="n"/>
      <c r="O96" s="147" t="n"/>
      <c r="P96" s="147" t="n"/>
      <c r="Q96" s="148" t="n"/>
    </row>
    <row r="97" ht="15" customHeight="1" s="249">
      <c r="A97" s="143" t="n">
        <v>6228</v>
      </c>
      <c r="B97" s="143" t="n">
        <v>150</v>
      </c>
      <c r="C97" s="143" t="inlineStr">
        <is>
          <t>Mablay Beauty PVT LTD.</t>
        </is>
      </c>
      <c r="D97" s="144" t="inlineStr">
        <is>
          <t>HIS ONLY HAIR COLOR CREAM 40GM</t>
        </is>
      </c>
      <c r="E97" s="143" t="n">
        <v>25</v>
      </c>
      <c r="F97" s="143" t="inlineStr">
        <is>
          <t>TAPE</t>
        </is>
      </c>
      <c r="G97" s="143" t="n">
        <v>3635</v>
      </c>
      <c r="H97" s="143" t="inlineStr">
        <is>
          <t>PACKING TAPE 2" OF 60 YARDS</t>
        </is>
      </c>
      <c r="I97" s="145" t="inlineStr">
        <is>
          <t>PCS</t>
        </is>
      </c>
      <c r="J97" s="146" t="n">
        <v>0.079</v>
      </c>
      <c r="K97" s="147" t="inlineStr">
        <is>
          <t>Packing Tape</t>
        </is>
      </c>
      <c r="L97" s="147" t="n">
        <v>0.1</v>
      </c>
      <c r="M97" s="149" t="n"/>
      <c r="N97" s="147" t="n"/>
      <c r="O97" s="147" t="n"/>
      <c r="P97" s="147" t="n"/>
      <c r="Q97" s="148" t="n"/>
    </row>
    <row r="98" ht="15" customHeight="1" s="249">
      <c r="A98" s="143" t="n">
        <v>3447</v>
      </c>
      <c r="B98" s="143" t="n">
        <v>34</v>
      </c>
      <c r="C98" s="143" t="inlineStr">
        <is>
          <t>Samsol International Private Limited</t>
        </is>
      </c>
      <c r="D98" s="144" t="inlineStr">
        <is>
          <t>S 43 25MM</t>
        </is>
      </c>
      <c r="E98" s="143" t="n">
        <v>25</v>
      </c>
      <c r="F98" s="143" t="inlineStr">
        <is>
          <t>SLUG</t>
        </is>
      </c>
      <c r="G98" s="143" t="n">
        <v>6</v>
      </c>
      <c r="H98" s="143" t="inlineStr">
        <is>
          <t>25X4.5 S/M</t>
        </is>
      </c>
      <c r="I98" s="145" t="inlineStr">
        <is>
          <t>kg</t>
        </is>
      </c>
      <c r="J98" s="146" t="n">
        <v>5.917</v>
      </c>
      <c r="K98" s="147" t="inlineStr">
        <is>
          <t>Aluminum Slugs</t>
        </is>
      </c>
      <c r="L98" s="147" t="n">
        <v>0.1</v>
      </c>
      <c r="M98" s="149" t="n"/>
      <c r="N98" s="147" t="n"/>
      <c r="O98" s="147" t="n"/>
      <c r="P98" s="147" t="n"/>
      <c r="Q98" s="148" t="n"/>
    </row>
    <row r="99" ht="15" customHeight="1" s="249">
      <c r="A99" s="143" t="n">
        <v>3447</v>
      </c>
      <c r="B99" s="143" t="n">
        <v>34</v>
      </c>
      <c r="C99" s="143" t="inlineStr">
        <is>
          <t>Samsol International Private Limited</t>
        </is>
      </c>
      <c r="D99" s="144" t="inlineStr">
        <is>
          <t>S 43 25MM</t>
        </is>
      </c>
      <c r="E99" s="143" t="n">
        <v>25</v>
      </c>
      <c r="F99" s="143" t="inlineStr">
        <is>
          <t>BASE COAT</t>
        </is>
      </c>
      <c r="G99" s="143" t="n">
        <v>3595</v>
      </c>
      <c r="H99" s="143" t="inlineStr">
        <is>
          <t>POLYSTER BASE COAT WHITE 234</t>
        </is>
      </c>
      <c r="I99" s="145" t="inlineStr">
        <is>
          <t>kg</t>
        </is>
      </c>
      <c r="J99" s="146" t="n">
        <v>0.61</v>
      </c>
      <c r="K99" s="147" t="inlineStr">
        <is>
          <t>Base Coat</t>
        </is>
      </c>
      <c r="L99" s="147" t="n">
        <v>0.1</v>
      </c>
      <c r="M99" s="149" t="inlineStr">
        <is>
          <t>NEW material line added manually v9.30 (16-Apr-2026) — Add to ERP BOM</t>
        </is>
      </c>
      <c r="N99" s="147" t="n"/>
      <c r="O99" s="147" t="n"/>
      <c r="P99" s="147" t="n"/>
      <c r="Q99" s="148" t="n"/>
    </row>
    <row r="100" ht="15" customHeight="1" s="249">
      <c r="A100" s="143" t="n">
        <v>3447</v>
      </c>
      <c r="B100" s="143" t="n">
        <v>34</v>
      </c>
      <c r="C100" s="143" t="inlineStr">
        <is>
          <t>Samsol International Private Limited</t>
        </is>
      </c>
      <c r="D100" s="144" t="inlineStr">
        <is>
          <t>S 43 25MM</t>
        </is>
      </c>
      <c r="E100" s="143" t="n">
        <v>25</v>
      </c>
      <c r="F100" s="143" t="inlineStr">
        <is>
          <t>CAP</t>
        </is>
      </c>
      <c r="G100" s="143" t="n">
        <v>68</v>
      </c>
      <c r="H100" s="143" t="inlineStr">
        <is>
          <t>M-11 S/M SPR WHITE DIA 25MM</t>
        </is>
      </c>
      <c r="I100" s="145" t="inlineStr">
        <is>
          <t>PCS</t>
        </is>
      </c>
      <c r="J100" s="146" t="n">
        <v>1000</v>
      </c>
      <c r="K100" s="147" t="inlineStr">
        <is>
          <t>Caps</t>
        </is>
      </c>
      <c r="L100" s="147" t="n">
        <v>0.02</v>
      </c>
      <c r="M100" s="149" t="inlineStr">
        <is>
          <t>NEW material line added manually v9.30 (16-Apr-2026) — Add to ERP BOM</t>
        </is>
      </c>
      <c r="N100" s="147" t="n"/>
      <c r="O100" s="147" t="n"/>
      <c r="P100" s="147" t="n"/>
      <c r="Q100" s="148" t="n"/>
    </row>
    <row r="101" ht="15" customHeight="1" s="249">
      <c r="A101" s="143" t="n">
        <v>3447</v>
      </c>
      <c r="B101" s="143" t="n">
        <v>34</v>
      </c>
      <c r="C101" s="143" t="inlineStr">
        <is>
          <t>Samsol International Private Limited</t>
        </is>
      </c>
      <c r="D101" s="144" t="inlineStr">
        <is>
          <t>S 43 25MM</t>
        </is>
      </c>
      <c r="E101" s="143" t="n">
        <v>25</v>
      </c>
      <c r="F101" s="143" t="inlineStr">
        <is>
          <t>CARTON</t>
        </is>
      </c>
      <c r="G101" s="143" t="n">
        <v>3598</v>
      </c>
      <c r="H101" s="143" t="inlineStr">
        <is>
          <t>25x336 5Ply</t>
        </is>
      </c>
      <c r="I101" s="145" t="inlineStr">
        <is>
          <t>PCS</t>
        </is>
      </c>
      <c r="J101" s="146" t="n">
        <v>2.976</v>
      </c>
      <c r="K101" s="147" t="inlineStr">
        <is>
          <t>Cartons</t>
        </is>
      </c>
      <c r="L101" s="147" t="n">
        <v>0.1</v>
      </c>
      <c r="M101" s="149" t="n"/>
      <c r="N101" s="147" t="n"/>
      <c r="O101" s="147" t="n"/>
      <c r="P101" s="147" t="n"/>
      <c r="Q101" s="148" t="n"/>
    </row>
    <row r="102" ht="15" customHeight="1" s="249">
      <c r="A102" s="143" t="n">
        <v>3447</v>
      </c>
      <c r="B102" s="143" t="n">
        <v>34</v>
      </c>
      <c r="C102" s="143" t="inlineStr">
        <is>
          <t>Samsol International Private Limited</t>
        </is>
      </c>
      <c r="D102" s="144" t="inlineStr">
        <is>
          <t>S 43 25MM</t>
        </is>
      </c>
      <c r="E102" s="143" t="n">
        <v>25</v>
      </c>
      <c r="F102" s="143" t="inlineStr">
        <is>
          <t>ZINC POWDER</t>
        </is>
      </c>
      <c r="G102" s="143" t="n">
        <v>194</v>
      </c>
      <c r="H102" s="143" t="inlineStr">
        <is>
          <t>ZINC STEARATE</t>
        </is>
      </c>
      <c r="I102" s="145" t="inlineStr">
        <is>
          <t>kg</t>
        </is>
      </c>
      <c r="J102" s="146" t="n">
        <v>0.00615</v>
      </c>
      <c r="K102" s="147" t="inlineStr">
        <is>
          <t>Zinc Stearate</t>
        </is>
      </c>
      <c r="L102" s="147" t="n">
        <v>0.1</v>
      </c>
      <c r="M102" s="147" t="n"/>
      <c r="N102" s="147" t="n"/>
      <c r="O102" s="147" t="n"/>
      <c r="P102" s="147" t="n"/>
      <c r="Q102" s="148" t="n"/>
    </row>
    <row r="103" ht="15" customHeight="1" s="249">
      <c r="A103" s="143" t="n">
        <v>3447</v>
      </c>
      <c r="B103" s="143" t="n">
        <v>34</v>
      </c>
      <c r="C103" s="143" t="inlineStr">
        <is>
          <t>Samsol International Private Limited</t>
        </is>
      </c>
      <c r="D103" s="144" t="inlineStr">
        <is>
          <t>S 43 25MM</t>
        </is>
      </c>
      <c r="E103" s="143" t="n">
        <v>25</v>
      </c>
      <c r="F103" s="143" t="inlineStr">
        <is>
          <t>LACQUER</t>
        </is>
      </c>
      <c r="G103" s="143" t="n">
        <v>185</v>
      </c>
      <c r="H103" s="143" t="inlineStr">
        <is>
          <t>EPOXY LACQUER (1500)</t>
        </is>
      </c>
      <c r="I103" s="145" t="inlineStr">
        <is>
          <t>L</t>
        </is>
      </c>
      <c r="J103" s="146" t="n">
        <v>0.3737</v>
      </c>
      <c r="K103" s="147" t="inlineStr">
        <is>
          <t>Lacquer</t>
        </is>
      </c>
      <c r="L103" s="147" t="n">
        <v>0.1</v>
      </c>
      <c r="M103" s="149" t="inlineStr">
        <is>
          <t>NEW material line added manually v9.30 (16-Apr-2026) — Add to ERP BOM</t>
        </is>
      </c>
      <c r="N103" s="147" t="n"/>
      <c r="O103" s="147" t="n"/>
      <c r="P103" s="147" t="n"/>
      <c r="Q103" s="148" t="n"/>
    </row>
    <row r="104" ht="15" customHeight="1" s="249">
      <c r="A104" s="143" t="n">
        <v>3447</v>
      </c>
      <c r="B104" s="143" t="n">
        <v>34</v>
      </c>
      <c r="C104" s="143" t="inlineStr">
        <is>
          <t>Samsol International Private Limited</t>
        </is>
      </c>
      <c r="D104" s="144" t="inlineStr">
        <is>
          <t>S 43 25MM</t>
        </is>
      </c>
      <c r="E104" s="143" t="n">
        <v>25</v>
      </c>
      <c r="F104" s="143" t="inlineStr">
        <is>
          <t>TAPE</t>
        </is>
      </c>
      <c r="G104" s="143" t="n">
        <v>3635</v>
      </c>
      <c r="H104" s="143" t="inlineStr">
        <is>
          <t>PACKING TAPE 2" OF 60 YARDS</t>
        </is>
      </c>
      <c r="I104" s="145" t="inlineStr">
        <is>
          <t>PCS</t>
        </is>
      </c>
      <c r="J104" s="146" t="n">
        <v>4.712</v>
      </c>
      <c r="K104" s="147" t="inlineStr">
        <is>
          <t>Packing Tape</t>
        </is>
      </c>
      <c r="L104" s="147" t="n">
        <v>0.1</v>
      </c>
      <c r="M104" s="149" t="n"/>
      <c r="N104" s="147" t="n"/>
      <c r="O104" s="147" t="n"/>
      <c r="P104" s="147" t="n"/>
      <c r="Q104" s="148" t="n"/>
    </row>
    <row r="105" ht="15" customHeight="1" s="249">
      <c r="A105" s="143" t="n">
        <v>3726</v>
      </c>
      <c r="B105" s="143" t="n">
        <v>9</v>
      </c>
      <c r="C105" s="143" t="inlineStr">
        <is>
          <t>Samsol International Private Limited</t>
        </is>
      </c>
      <c r="D105" s="144" t="inlineStr">
        <is>
          <t>TUBES</t>
        </is>
      </c>
      <c r="E105" s="143" t="n">
        <v>25</v>
      </c>
      <c r="F105" s="143" t="inlineStr">
        <is>
          <t>SLUG</t>
        </is>
      </c>
      <c r="G105" s="143" t="n">
        <v>6</v>
      </c>
      <c r="H105" s="143" t="inlineStr">
        <is>
          <t>25X4.5 S/M</t>
        </is>
      </c>
      <c r="I105" s="145" t="inlineStr">
        <is>
          <t>kg</t>
        </is>
      </c>
      <c r="J105" s="146" t="n">
        <v>5.917</v>
      </c>
      <c r="K105" s="147" t="inlineStr">
        <is>
          <t>Aluminum Slugs</t>
        </is>
      </c>
      <c r="L105" s="147" t="n">
        <v>0.1</v>
      </c>
      <c r="M105" s="147" t="n"/>
      <c r="N105" s="147" t="n"/>
      <c r="O105" s="147" t="n"/>
      <c r="P105" s="147" t="n"/>
      <c r="Q105" s="148" t="n"/>
    </row>
    <row r="106" ht="15" customHeight="1" s="249">
      <c r="A106" s="143" t="n">
        <v>3726</v>
      </c>
      <c r="B106" s="143" t="n">
        <v>9</v>
      </c>
      <c r="C106" s="143" t="inlineStr">
        <is>
          <t>Samsol International Private Limited</t>
        </is>
      </c>
      <c r="D106" s="144" t="inlineStr">
        <is>
          <t>TUBES</t>
        </is>
      </c>
      <c r="E106" s="143" t="n">
        <v>25</v>
      </c>
      <c r="F106" s="143" t="inlineStr">
        <is>
          <t>BASE COAT</t>
        </is>
      </c>
      <c r="G106" s="143" t="n">
        <v>3595</v>
      </c>
      <c r="H106" s="143" t="inlineStr">
        <is>
          <t>POLYSTER BASE COAT WHITE 234</t>
        </is>
      </c>
      <c r="I106" s="145" t="inlineStr">
        <is>
          <t>kg</t>
        </is>
      </c>
      <c r="J106" s="146" t="n">
        <v>0.612</v>
      </c>
      <c r="K106" s="147" t="inlineStr">
        <is>
          <t>Base Coat</t>
        </is>
      </c>
      <c r="L106" s="147" t="n">
        <v>0.1</v>
      </c>
      <c r="M106" s="149" t="inlineStr">
        <is>
          <t>NEW material line added manually v9.30 (16-Apr-2026) — Add to ERP BOM</t>
        </is>
      </c>
      <c r="N106" s="147" t="n"/>
      <c r="O106" s="147" t="n"/>
      <c r="P106" s="147" t="n"/>
      <c r="Q106" s="148" t="n"/>
    </row>
    <row r="107" ht="15" customHeight="1" s="249">
      <c r="A107" s="143" t="n">
        <v>3726</v>
      </c>
      <c r="B107" s="143" t="n">
        <v>9</v>
      </c>
      <c r="C107" s="143" t="inlineStr">
        <is>
          <t>Samsol International Private Limited</t>
        </is>
      </c>
      <c r="D107" s="144" t="inlineStr">
        <is>
          <t>TUBES</t>
        </is>
      </c>
      <c r="E107" s="143" t="n">
        <v>25</v>
      </c>
      <c r="F107" s="143" t="inlineStr">
        <is>
          <t>CAP</t>
        </is>
      </c>
      <c r="G107" s="143" t="n">
        <v>68</v>
      </c>
      <c r="H107" s="143" t="inlineStr">
        <is>
          <t>M-11 S/M SPR WHITE DIA 25MM</t>
        </is>
      </c>
      <c r="I107" s="145" t="inlineStr">
        <is>
          <t>PCS</t>
        </is>
      </c>
      <c r="J107" s="146" t="n">
        <v>1000</v>
      </c>
      <c r="K107" s="147" t="inlineStr">
        <is>
          <t>Caps</t>
        </is>
      </c>
      <c r="L107" s="147" t="n">
        <v>0.02</v>
      </c>
      <c r="M107" s="149" t="inlineStr">
        <is>
          <t>Value changed manually v9.30 (16-Apr-2026) — Update in ERP BOM</t>
        </is>
      </c>
      <c r="N107" s="147" t="n"/>
      <c r="O107" s="147" t="n"/>
      <c r="P107" s="147" t="n"/>
      <c r="Q107" s="148" t="n"/>
    </row>
    <row r="108" ht="15" customHeight="1" s="249">
      <c r="A108" s="143" t="n">
        <v>3726</v>
      </c>
      <c r="B108" s="143" t="n">
        <v>9</v>
      </c>
      <c r="C108" s="143" t="inlineStr">
        <is>
          <t>Samsol International Private Limited</t>
        </is>
      </c>
      <c r="D108" s="144" t="inlineStr">
        <is>
          <t>TUBES</t>
        </is>
      </c>
      <c r="E108" s="143" t="n">
        <v>25</v>
      </c>
      <c r="F108" s="143" t="inlineStr">
        <is>
          <t>CARTON</t>
        </is>
      </c>
      <c r="G108" s="143" t="n">
        <v>3598</v>
      </c>
      <c r="H108" s="143" t="inlineStr">
        <is>
          <t>25x336 5Ply</t>
        </is>
      </c>
      <c r="I108" s="145" t="inlineStr">
        <is>
          <t>PCS</t>
        </is>
      </c>
      <c r="J108" s="146" t="n">
        <v>2.976</v>
      </c>
      <c r="K108" s="147" t="inlineStr">
        <is>
          <t>Cartons</t>
        </is>
      </c>
      <c r="L108" s="147" t="n">
        <v>0.1</v>
      </c>
      <c r="M108" s="149" t="n"/>
      <c r="N108" s="147" t="n"/>
      <c r="O108" s="147" t="n"/>
      <c r="P108" s="147" t="n"/>
      <c r="Q108" s="148" t="n"/>
    </row>
    <row r="109" ht="15" customHeight="1" s="249">
      <c r="A109" s="143" t="n">
        <v>3726</v>
      </c>
      <c r="B109" s="143" t="n">
        <v>9</v>
      </c>
      <c r="C109" s="143" t="inlineStr">
        <is>
          <t>Samsol International Private Limited</t>
        </is>
      </c>
      <c r="D109" s="144" t="inlineStr">
        <is>
          <t>TUBES</t>
        </is>
      </c>
      <c r="E109" s="143" t="n">
        <v>25</v>
      </c>
      <c r="F109" s="143" t="inlineStr">
        <is>
          <t>ZINC POWDER</t>
        </is>
      </c>
      <c r="G109" s="143" t="n">
        <v>194</v>
      </c>
      <c r="H109" s="143" t="inlineStr">
        <is>
          <t>ZINC STEARATE</t>
        </is>
      </c>
      <c r="I109" s="145" t="inlineStr">
        <is>
          <t>kg</t>
        </is>
      </c>
      <c r="J109" s="146" t="n">
        <v>0.00615</v>
      </c>
      <c r="K109" s="147" t="inlineStr">
        <is>
          <t>Zinc Stearate</t>
        </is>
      </c>
      <c r="L109" s="147" t="n">
        <v>0.1</v>
      </c>
      <c r="M109" s="147" t="n"/>
      <c r="N109" s="147" t="n"/>
      <c r="O109" s="147" t="n"/>
      <c r="P109" s="147" t="n"/>
      <c r="Q109" s="148" t="n"/>
    </row>
    <row r="110" ht="15" customHeight="1" s="249">
      <c r="A110" s="143" t="n">
        <v>3726</v>
      </c>
      <c r="B110" s="143" t="n">
        <v>9</v>
      </c>
      <c r="C110" s="143" t="inlineStr">
        <is>
          <t>Samsol International Private Limited</t>
        </is>
      </c>
      <c r="D110" s="144" t="inlineStr">
        <is>
          <t>TUBES</t>
        </is>
      </c>
      <c r="E110" s="143" t="n">
        <v>25</v>
      </c>
      <c r="F110" s="143" t="inlineStr">
        <is>
          <t>LACQUER</t>
        </is>
      </c>
      <c r="G110" s="143" t="n">
        <v>185</v>
      </c>
      <c r="H110" s="143" t="inlineStr">
        <is>
          <t>EPOXY LACQUER (1500)</t>
        </is>
      </c>
      <c r="I110" s="145" t="inlineStr">
        <is>
          <t>L</t>
        </is>
      </c>
      <c r="J110" s="146" t="n">
        <v>0.292</v>
      </c>
      <c r="K110" s="147" t="inlineStr">
        <is>
          <t>Lacquer</t>
        </is>
      </c>
      <c r="L110" s="147" t="n">
        <v>0.1</v>
      </c>
      <c r="M110" s="149" t="inlineStr">
        <is>
          <t>NEW material line added manually v9.30 (16-Apr-2026) — Add to ERP BOM</t>
        </is>
      </c>
      <c r="N110" s="147" t="n"/>
      <c r="O110" s="147" t="n"/>
      <c r="P110" s="147" t="n"/>
      <c r="Q110" s="148" t="n"/>
    </row>
    <row r="111" ht="15" customHeight="1" s="249">
      <c r="A111" s="143" t="n">
        <v>3726</v>
      </c>
      <c r="B111" s="143" t="n">
        <v>9</v>
      </c>
      <c r="C111" s="143" t="inlineStr">
        <is>
          <t>Samsol International Private Limited</t>
        </is>
      </c>
      <c r="D111" s="144" t="inlineStr">
        <is>
          <t>TUBES</t>
        </is>
      </c>
      <c r="E111" s="143" t="n">
        <v>25</v>
      </c>
      <c r="F111" s="143" t="inlineStr">
        <is>
          <t>TAPE</t>
        </is>
      </c>
      <c r="G111" s="143" t="n">
        <v>3635</v>
      </c>
      <c r="H111" s="143" t="inlineStr">
        <is>
          <t>PACKING TAPE 2" OF 60 YARDS</t>
        </is>
      </c>
      <c r="I111" s="145" t="inlineStr">
        <is>
          <t>PCS</t>
        </is>
      </c>
      <c r="J111" s="146" t="n">
        <v>0.079</v>
      </c>
      <c r="K111" s="147" t="inlineStr">
        <is>
          <t>Packing Tape</t>
        </is>
      </c>
      <c r="L111" s="147" t="n">
        <v>0.1</v>
      </c>
      <c r="M111" s="149" t="n"/>
      <c r="N111" s="147" t="n"/>
      <c r="O111" s="147" t="n"/>
      <c r="P111" s="147" t="n"/>
      <c r="Q111" s="148" t="n"/>
    </row>
    <row r="112" ht="15" customHeight="1" s="249">
      <c r="A112" s="143" t="n">
        <v>6470</v>
      </c>
      <c r="B112" s="143" t="n">
        <v>177</v>
      </c>
      <c r="C112" s="143" t="inlineStr">
        <is>
          <t>Muhammad Hashim Khan</t>
        </is>
      </c>
      <c r="D112" s="144" t="inlineStr">
        <is>
          <t>TUBES COMMON RED</t>
        </is>
      </c>
      <c r="E112" s="143" t="n">
        <v>25</v>
      </c>
      <c r="F112" s="143" t="inlineStr">
        <is>
          <t>SLUG</t>
        </is>
      </c>
      <c r="G112" s="143" t="n">
        <v>6</v>
      </c>
      <c r="H112" s="143" t="inlineStr">
        <is>
          <t>25X4.5 S/M</t>
        </is>
      </c>
      <c r="I112" s="145" t="inlineStr">
        <is>
          <t>kg</t>
        </is>
      </c>
      <c r="J112" s="146" t="n">
        <v>5.917</v>
      </c>
      <c r="K112" s="147" t="inlineStr">
        <is>
          <t>Aluminum Slugs</t>
        </is>
      </c>
      <c r="L112" s="147" t="n">
        <v>0.1</v>
      </c>
      <c r="M112" s="147" t="n"/>
      <c r="N112" s="147" t="n"/>
      <c r="O112" s="147" t="n"/>
      <c r="P112" s="147" t="n"/>
      <c r="Q112" s="148" t="n"/>
    </row>
    <row r="113" ht="15" customHeight="1" s="249">
      <c r="A113" s="143" t="n">
        <v>6470</v>
      </c>
      <c r="B113" s="143" t="n">
        <v>177</v>
      </c>
      <c r="C113" s="143" t="inlineStr">
        <is>
          <t>Muhammad Hashim Khan</t>
        </is>
      </c>
      <c r="D113" s="144" t="inlineStr">
        <is>
          <t>TUBES COMMON RED</t>
        </is>
      </c>
      <c r="E113" s="143" t="n">
        <v>25</v>
      </c>
      <c r="F113" s="143" t="inlineStr">
        <is>
          <t>BASE COAT</t>
        </is>
      </c>
      <c r="G113" s="143" t="n">
        <v>3595</v>
      </c>
      <c r="H113" s="143" t="inlineStr">
        <is>
          <t>POLYSTER BASE COAT WHITE 234</t>
        </is>
      </c>
      <c r="I113" s="145" t="inlineStr">
        <is>
          <t>kg</t>
        </is>
      </c>
      <c r="J113" s="146" t="n">
        <v>0.612</v>
      </c>
      <c r="K113" s="147" t="inlineStr">
        <is>
          <t>Base Coat</t>
        </is>
      </c>
      <c r="L113" s="147" t="n">
        <v>0.1</v>
      </c>
      <c r="M113" s="149" t="inlineStr">
        <is>
          <t>Item name kept as ERP ('POLYSTER BASE COAT WHITE 234'). Rehan wrote 'BASE COAT WHITE 23410 CT' — corrected. (16-Apr-2026) — Verify in ERP</t>
        </is>
      </c>
      <c r="N113" s="147" t="n"/>
      <c r="O113" s="147" t="n"/>
      <c r="P113" s="147" t="n"/>
      <c r="Q113" s="148" t="n"/>
    </row>
    <row r="114" ht="15" customHeight="1" s="249">
      <c r="A114" s="143" t="n">
        <v>6470</v>
      </c>
      <c r="B114" s="143" t="n">
        <v>177</v>
      </c>
      <c r="C114" s="143" t="inlineStr">
        <is>
          <t>Muhammad Hashim Khan</t>
        </is>
      </c>
      <c r="D114" s="144" t="inlineStr">
        <is>
          <t>TUBES COMMON RED</t>
        </is>
      </c>
      <c r="E114" s="143" t="n">
        <v>25</v>
      </c>
      <c r="F114" s="143" t="inlineStr">
        <is>
          <t>CAP</t>
        </is>
      </c>
      <c r="G114" s="143" t="n">
        <v>68</v>
      </c>
      <c r="H114" s="143" t="inlineStr">
        <is>
          <t>M-11 S/M SPR WHITE DIA 25MM</t>
        </is>
      </c>
      <c r="I114" s="145" t="inlineStr">
        <is>
          <t>PCS</t>
        </is>
      </c>
      <c r="J114" s="146" t="n">
        <v>1000</v>
      </c>
      <c r="K114" s="147" t="inlineStr">
        <is>
          <t>Caps</t>
        </is>
      </c>
      <c r="L114" s="147" t="n">
        <v>0.02</v>
      </c>
      <c r="M114" s="149" t="inlineStr">
        <is>
          <t>Value changed manually v9.30 (16-Apr-2026) — Update in ERP BOM</t>
        </is>
      </c>
      <c r="N114" s="147" t="n"/>
      <c r="O114" s="147" t="n"/>
      <c r="P114" s="147" t="n"/>
      <c r="Q114" s="148" t="n"/>
    </row>
    <row r="115" ht="15" customHeight="1" s="249">
      <c r="A115" s="143" t="n">
        <v>6470</v>
      </c>
      <c r="B115" s="143" t="n">
        <v>177</v>
      </c>
      <c r="C115" s="143" t="inlineStr">
        <is>
          <t>Muhammad Hashim Khan</t>
        </is>
      </c>
      <c r="D115" s="144" t="inlineStr">
        <is>
          <t>TUBES COMMON RED</t>
        </is>
      </c>
      <c r="E115" s="143" t="n">
        <v>25</v>
      </c>
      <c r="F115" s="143" t="inlineStr">
        <is>
          <t>CARTON</t>
        </is>
      </c>
      <c r="G115" s="143" t="n">
        <v>3598</v>
      </c>
      <c r="H115" s="143" t="inlineStr">
        <is>
          <t>25x336 5Ply</t>
        </is>
      </c>
      <c r="I115" s="145" t="inlineStr">
        <is>
          <t>PCS</t>
        </is>
      </c>
      <c r="J115" s="146" t="n">
        <v>2.976</v>
      </c>
      <c r="K115" s="147" t="inlineStr">
        <is>
          <t>Cartons</t>
        </is>
      </c>
      <c r="L115" s="147" t="n">
        <v>0.1</v>
      </c>
      <c r="M115" s="147" t="n"/>
      <c r="N115" s="147" t="n"/>
      <c r="O115" s="147" t="n"/>
      <c r="P115" s="147" t="n"/>
      <c r="Q115" s="148" t="n"/>
    </row>
    <row r="116" ht="15" customHeight="1" s="249">
      <c r="A116" s="143" t="n">
        <v>6470</v>
      </c>
      <c r="B116" s="143" t="n">
        <v>177</v>
      </c>
      <c r="C116" s="143" t="inlineStr">
        <is>
          <t>Muhammad Hashim Khan</t>
        </is>
      </c>
      <c r="D116" s="144" t="inlineStr">
        <is>
          <t>TUBES COMMON RED</t>
        </is>
      </c>
      <c r="E116" s="143" t="n">
        <v>25</v>
      </c>
      <c r="F116" s="143" t="inlineStr">
        <is>
          <t>ZINC POWDER</t>
        </is>
      </c>
      <c r="G116" s="143" t="n">
        <v>194</v>
      </c>
      <c r="H116" s="143" t="inlineStr">
        <is>
          <t>ZINC STEARATE</t>
        </is>
      </c>
      <c r="I116" s="145" t="inlineStr">
        <is>
          <t>kg</t>
        </is>
      </c>
      <c r="J116" s="146" t="n">
        <v>0.006154</v>
      </c>
      <c r="K116" s="147" t="inlineStr">
        <is>
          <t>Zinc Stearate</t>
        </is>
      </c>
      <c r="L116" s="147" t="n">
        <v>0.1</v>
      </c>
      <c r="M116" s="147" t="n"/>
      <c r="N116" s="147" t="n"/>
      <c r="O116" s="147" t="n"/>
      <c r="P116" s="147" t="n"/>
      <c r="Q116" s="148" t="n"/>
    </row>
    <row r="117" ht="15" customHeight="1" s="249">
      <c r="A117" s="143" t="n">
        <v>6470</v>
      </c>
      <c r="B117" s="143" t="n">
        <v>177</v>
      </c>
      <c r="C117" s="143" t="inlineStr">
        <is>
          <t>Muhammad Hashim Khan</t>
        </is>
      </c>
      <c r="D117" s="144" t="inlineStr">
        <is>
          <t>TUBES COMMON RED</t>
        </is>
      </c>
      <c r="E117" s="143" t="n">
        <v>25</v>
      </c>
      <c r="F117" s="143" t="inlineStr">
        <is>
          <t>LACQUER</t>
        </is>
      </c>
      <c r="G117" s="143" t="n">
        <v>185</v>
      </c>
      <c r="H117" s="143" t="inlineStr">
        <is>
          <t>EPOXY LACQUER (1500)</t>
        </is>
      </c>
      <c r="I117" s="145" t="inlineStr">
        <is>
          <t>L</t>
        </is>
      </c>
      <c r="J117" s="146" t="n">
        <v>0.292</v>
      </c>
      <c r="K117" s="147" t="inlineStr">
        <is>
          <t>Lacquer</t>
        </is>
      </c>
      <c r="L117" s="147" t="n">
        <v>0.1</v>
      </c>
      <c r="M117" s="147" t="n"/>
      <c r="N117" s="147" t="n"/>
      <c r="O117" s="147" t="n"/>
      <c r="P117" s="147" t="n"/>
      <c r="Q117" s="148" t="n"/>
    </row>
    <row r="118" ht="15" customHeight="1" s="249">
      <c r="A118" s="143" t="n">
        <v>6470</v>
      </c>
      <c r="B118" s="143" t="n">
        <v>177</v>
      </c>
      <c r="C118" s="143" t="inlineStr">
        <is>
          <t>Muhammad Hashim Khan</t>
        </is>
      </c>
      <c r="D118" s="144" t="inlineStr">
        <is>
          <t>TUBES COMMON RED</t>
        </is>
      </c>
      <c r="E118" s="143" t="n">
        <v>25</v>
      </c>
      <c r="F118" s="143" t="inlineStr">
        <is>
          <t>TAPE</t>
        </is>
      </c>
      <c r="G118" s="143" t="n">
        <v>3635</v>
      </c>
      <c r="H118" s="143" t="inlineStr">
        <is>
          <t>PACKING TAPE 2" OF 60 YARDS</t>
        </is>
      </c>
      <c r="I118" s="145" t="inlineStr">
        <is>
          <t>PCS</t>
        </is>
      </c>
      <c r="J118" s="146" t="n">
        <v>0.079</v>
      </c>
      <c r="K118" s="147" t="inlineStr">
        <is>
          <t>Packing Tape</t>
        </is>
      </c>
      <c r="L118" s="147" t="n">
        <v>0.1</v>
      </c>
      <c r="M118" s="147" t="n"/>
      <c r="N118" s="147" t="n"/>
      <c r="O118" s="147" t="n"/>
      <c r="P118" s="147" t="n"/>
      <c r="Q118" s="148" t="n"/>
    </row>
    <row r="119" ht="15" customHeight="1" s="249">
      <c r="A119" s="143" t="n">
        <v>6470</v>
      </c>
      <c r="B119" s="143" t="n">
        <v>177</v>
      </c>
      <c r="C119" s="143" t="inlineStr">
        <is>
          <t>Muhammad Hashim Khan</t>
        </is>
      </c>
      <c r="D119" s="144" t="inlineStr">
        <is>
          <t>TUBES COMMON RED</t>
        </is>
      </c>
      <c r="E119" s="143" t="n">
        <v>25</v>
      </c>
      <c r="F119" s="143" t="inlineStr">
        <is>
          <t>INK</t>
        </is>
      </c>
      <c r="G119" s="143" t="n">
        <v>3754</v>
      </c>
      <c r="H119" s="143" t="inlineStr">
        <is>
          <t>RED BRONZE (LOCAL) 32519</t>
        </is>
      </c>
      <c r="I119" s="145" t="inlineStr">
        <is>
          <t>kg</t>
        </is>
      </c>
      <c r="J119" s="146" t="n">
        <v>0.025</v>
      </c>
      <c r="K119" s="147" t="inlineStr">
        <is>
          <t>Ink</t>
        </is>
      </c>
      <c r="L119" s="147" t="n">
        <v>0.1</v>
      </c>
      <c r="M119" s="147" t="n"/>
      <c r="N119" s="147" t="n"/>
      <c r="O119" s="147" t="n"/>
      <c r="P119" s="147" t="n"/>
      <c r="Q119" s="148" t="n"/>
    </row>
    <row r="120" ht="15" customHeight="1" s="249">
      <c r="A120" s="143" t="n">
        <v>6470</v>
      </c>
      <c r="B120" s="143" t="n">
        <v>177</v>
      </c>
      <c r="C120" s="143" t="inlineStr">
        <is>
          <t>Muhammad Hashim Khan</t>
        </is>
      </c>
      <c r="D120" s="144" t="inlineStr">
        <is>
          <t>TUBES COMMON RED</t>
        </is>
      </c>
      <c r="E120" s="143" t="n">
        <v>25</v>
      </c>
      <c r="F120" s="143" t="inlineStr">
        <is>
          <t>INK</t>
        </is>
      </c>
      <c r="G120" s="143" t="n">
        <v>3955</v>
      </c>
      <c r="H120" s="143" t="inlineStr">
        <is>
          <t>GERANIUM (EVER SHINE) ES-130</t>
        </is>
      </c>
      <c r="I120" s="145" t="inlineStr">
        <is>
          <t>kg</t>
        </is>
      </c>
      <c r="J120" s="146" t="n">
        <v>0.025</v>
      </c>
      <c r="K120" s="147" t="inlineStr">
        <is>
          <t>Ink</t>
        </is>
      </c>
      <c r="L120" s="147" t="n">
        <v>0.1</v>
      </c>
      <c r="M120" s="149" t="n"/>
      <c r="N120" s="147" t="n"/>
      <c r="O120" s="147" t="n"/>
      <c r="P120" s="147" t="n"/>
      <c r="Q120" s="148" t="n"/>
    </row>
    <row r="121" ht="15" customHeight="1" s="249">
      <c r="A121" s="143" t="n">
        <v>6506</v>
      </c>
      <c r="B121" s="143" t="n">
        <v>179</v>
      </c>
      <c r="C121" s="143" t="inlineStr">
        <is>
          <t>Samsol International Private Limited</t>
        </is>
      </c>
      <c r="D121" s="144" t="inlineStr">
        <is>
          <t>TUBES MEN BLUE</t>
        </is>
      </c>
      <c r="E121" s="143" t="n">
        <v>25</v>
      </c>
      <c r="F121" s="143" t="inlineStr">
        <is>
          <t>SLUG</t>
        </is>
      </c>
      <c r="G121" s="143" t="n">
        <v>6</v>
      </c>
      <c r="H121" s="143" t="inlineStr">
        <is>
          <t>25X4.5 S/M</t>
        </is>
      </c>
      <c r="I121" s="145" t="inlineStr">
        <is>
          <t>kg</t>
        </is>
      </c>
      <c r="J121" s="146" t="n">
        <v>5.917</v>
      </c>
      <c r="K121" s="147" t="inlineStr">
        <is>
          <t>Aluminum Slugs</t>
        </is>
      </c>
      <c r="L121" s="147" t="n">
        <v>0.1</v>
      </c>
      <c r="M121" s="147" t="n"/>
      <c r="N121" s="147" t="n"/>
      <c r="O121" s="147" t="n"/>
      <c r="P121" s="147" t="n"/>
      <c r="Q121" s="148" t="n"/>
    </row>
    <row r="122" ht="15" customHeight="1" s="249">
      <c r="A122" s="143" t="n">
        <v>6506</v>
      </c>
      <c r="B122" s="143" t="n">
        <v>179</v>
      </c>
      <c r="C122" s="143" t="inlineStr">
        <is>
          <t>Samsol International Private Limited</t>
        </is>
      </c>
      <c r="D122" s="144" t="inlineStr">
        <is>
          <t>TUBES MEN BLUE</t>
        </is>
      </c>
      <c r="E122" s="143" t="n">
        <v>25</v>
      </c>
      <c r="F122" s="143" t="inlineStr">
        <is>
          <t>BASE COAT</t>
        </is>
      </c>
      <c r="G122" s="143" t="n">
        <v>3595</v>
      </c>
      <c r="H122" s="143" t="inlineStr">
        <is>
          <t>POLYSTER BASE COAT WHITE 234</t>
        </is>
      </c>
      <c r="I122" s="145" t="inlineStr">
        <is>
          <t>kg</t>
        </is>
      </c>
      <c r="J122" s="146" t="n">
        <v>0.612</v>
      </c>
      <c r="K122" s="147" t="inlineStr">
        <is>
          <t>Base Coat</t>
        </is>
      </c>
      <c r="L122" s="147" t="n">
        <v>0.1</v>
      </c>
      <c r="M122" s="149" t="inlineStr">
        <is>
          <t>Item name kept as ERP ('POLYSTER BASE COAT WHITE 234'). Rehan wrote 'BASE COAT WHITE 23410 CT' — corrected. (16-Apr-2026) — Verify in ERP</t>
        </is>
      </c>
      <c r="N122" s="147" t="n"/>
      <c r="O122" s="147" t="n"/>
      <c r="P122" s="147" t="n"/>
      <c r="Q122" s="148" t="n"/>
    </row>
    <row r="123" ht="15" customHeight="1" s="249">
      <c r="A123" s="143" t="n">
        <v>6506</v>
      </c>
      <c r="B123" s="143" t="n">
        <v>179</v>
      </c>
      <c r="C123" s="143" t="inlineStr">
        <is>
          <t>Samsol International Private Limited</t>
        </is>
      </c>
      <c r="D123" s="144" t="inlineStr">
        <is>
          <t>TUBES MEN BLUE</t>
        </is>
      </c>
      <c r="E123" s="143" t="n">
        <v>25</v>
      </c>
      <c r="F123" s="143" t="inlineStr">
        <is>
          <t>CAP</t>
        </is>
      </c>
      <c r="G123" s="143" t="n">
        <v>68</v>
      </c>
      <c r="H123" s="143" t="inlineStr">
        <is>
          <t>M-11 S/M SPR WHITE DIA 25MM</t>
        </is>
      </c>
      <c r="I123" s="145" t="inlineStr">
        <is>
          <t>PCS</t>
        </is>
      </c>
      <c r="J123" s="146" t="n">
        <v>1000</v>
      </c>
      <c r="K123" s="147" t="inlineStr">
        <is>
          <t>Caps</t>
        </is>
      </c>
      <c r="L123" s="147" t="n">
        <v>0.02</v>
      </c>
      <c r="M123" s="149" t="inlineStr">
        <is>
          <t>Value changed manually v9.30 (16-Apr-2026) — Update in ERP BOM</t>
        </is>
      </c>
      <c r="N123" s="147" t="n"/>
      <c r="O123" s="147" t="n"/>
      <c r="P123" s="147" t="n"/>
      <c r="Q123" s="148" t="n"/>
    </row>
    <row r="124" ht="15" customHeight="1" s="249">
      <c r="A124" s="143" t="n">
        <v>6506</v>
      </c>
      <c r="B124" s="143" t="n">
        <v>179</v>
      </c>
      <c r="C124" s="143" t="inlineStr">
        <is>
          <t>Samsol International Private Limited</t>
        </is>
      </c>
      <c r="D124" s="144" t="inlineStr">
        <is>
          <t>TUBES MEN BLUE</t>
        </is>
      </c>
      <c r="E124" s="143" t="n">
        <v>25</v>
      </c>
      <c r="F124" s="143" t="inlineStr">
        <is>
          <t>CARTON</t>
        </is>
      </c>
      <c r="G124" s="143" t="n">
        <v>3598</v>
      </c>
      <c r="H124" s="143" t="inlineStr">
        <is>
          <t>25x336 5Ply</t>
        </is>
      </c>
      <c r="I124" s="145" t="inlineStr">
        <is>
          <t>PCS</t>
        </is>
      </c>
      <c r="J124" s="146" t="n">
        <v>2.976</v>
      </c>
      <c r="K124" s="147" t="inlineStr">
        <is>
          <t>Cartons</t>
        </is>
      </c>
      <c r="L124" s="147" t="n">
        <v>0.1</v>
      </c>
      <c r="M124" s="147" t="n"/>
      <c r="N124" s="147" t="n"/>
      <c r="O124" s="147" t="n"/>
      <c r="P124" s="147" t="n"/>
      <c r="Q124" s="148" t="n"/>
    </row>
    <row r="125" ht="15" customHeight="1" s="249">
      <c r="A125" s="143" t="n">
        <v>6506</v>
      </c>
      <c r="B125" s="143" t="n">
        <v>179</v>
      </c>
      <c r="C125" s="143" t="inlineStr">
        <is>
          <t>Samsol International Private Limited</t>
        </is>
      </c>
      <c r="D125" s="144" t="inlineStr">
        <is>
          <t>TUBES MEN BLUE</t>
        </is>
      </c>
      <c r="E125" s="143" t="n">
        <v>25</v>
      </c>
      <c r="F125" s="143" t="inlineStr">
        <is>
          <t>ZINC POWDER</t>
        </is>
      </c>
      <c r="G125" s="143" t="n">
        <v>194</v>
      </c>
      <c r="H125" s="143" t="inlineStr">
        <is>
          <t>ZINC STEARATE</t>
        </is>
      </c>
      <c r="I125" s="145" t="inlineStr">
        <is>
          <t>kg</t>
        </is>
      </c>
      <c r="J125" s="146" t="n">
        <v>0.006154</v>
      </c>
      <c r="K125" s="147" t="inlineStr">
        <is>
          <t>Zinc Stearate</t>
        </is>
      </c>
      <c r="L125" s="147" t="n">
        <v>0.1</v>
      </c>
      <c r="M125" s="147" t="n"/>
      <c r="N125" s="147" t="n"/>
      <c r="O125" s="147" t="n"/>
      <c r="P125" s="147" t="n"/>
      <c r="Q125" s="148" t="n"/>
    </row>
    <row r="126" ht="15" customHeight="1" s="249">
      <c r="A126" s="143" t="n">
        <v>6506</v>
      </c>
      <c r="B126" s="143" t="n">
        <v>179</v>
      </c>
      <c r="C126" s="143" t="inlineStr">
        <is>
          <t>Samsol International Private Limited</t>
        </is>
      </c>
      <c r="D126" s="144" t="inlineStr">
        <is>
          <t>TUBES MEN BLUE</t>
        </is>
      </c>
      <c r="E126" s="143" t="n">
        <v>25</v>
      </c>
      <c r="F126" s="143" t="inlineStr">
        <is>
          <t>LACQUER</t>
        </is>
      </c>
      <c r="G126" s="143" t="n">
        <v>185</v>
      </c>
      <c r="H126" s="143" t="inlineStr">
        <is>
          <t>EPOXY LACQUER (1500)</t>
        </is>
      </c>
      <c r="I126" s="145" t="inlineStr">
        <is>
          <t>L</t>
        </is>
      </c>
      <c r="J126" s="146" t="n">
        <v>0.292</v>
      </c>
      <c r="K126" s="147" t="inlineStr">
        <is>
          <t>Lacquer</t>
        </is>
      </c>
      <c r="L126" s="147" t="n">
        <v>0.1</v>
      </c>
      <c r="M126" s="147" t="n"/>
      <c r="N126" s="147" t="n"/>
      <c r="O126" s="147" t="n"/>
      <c r="P126" s="147" t="n"/>
      <c r="Q126" s="148" t="n"/>
    </row>
    <row r="127" ht="15" customHeight="1" s="249">
      <c r="A127" s="143" t="n">
        <v>6506</v>
      </c>
      <c r="B127" s="143" t="n">
        <v>179</v>
      </c>
      <c r="C127" s="143" t="inlineStr">
        <is>
          <t>Samsol International Private Limited</t>
        </is>
      </c>
      <c r="D127" s="144" t="inlineStr">
        <is>
          <t>TUBES MEN BLUE</t>
        </is>
      </c>
      <c r="E127" s="143" t="n">
        <v>25</v>
      </c>
      <c r="F127" s="143" t="inlineStr">
        <is>
          <t>TAPE</t>
        </is>
      </c>
      <c r="G127" s="143" t="n">
        <v>3635</v>
      </c>
      <c r="H127" s="143" t="inlineStr">
        <is>
          <t>PACKING TAPE 2" OF 60 YARDS</t>
        </is>
      </c>
      <c r="I127" s="145" t="inlineStr">
        <is>
          <t>PCS</t>
        </is>
      </c>
      <c r="J127" s="146" t="n">
        <v>0.079</v>
      </c>
      <c r="K127" s="147" t="inlineStr">
        <is>
          <t>Packing Tape</t>
        </is>
      </c>
      <c r="L127" s="147" t="n">
        <v>0.1</v>
      </c>
      <c r="M127" s="149" t="n"/>
      <c r="N127" s="147" t="n"/>
      <c r="O127" s="147" t="n"/>
      <c r="P127" s="147" t="n"/>
      <c r="Q127" s="148" t="n"/>
    </row>
    <row r="128" ht="15" customHeight="1" s="249">
      <c r="A128" s="143" t="n">
        <v>6532</v>
      </c>
      <c r="B128" s="143" t="n">
        <v>181</v>
      </c>
      <c r="C128" s="143" t="inlineStr">
        <is>
          <t>Samsol International Private Limited</t>
        </is>
      </c>
      <c r="D128" s="144" t="inlineStr">
        <is>
          <t>TUBE COMMON PURPLE</t>
        </is>
      </c>
      <c r="E128" s="143" t="n">
        <v>25</v>
      </c>
      <c r="F128" s="143" t="inlineStr">
        <is>
          <t>SLUG</t>
        </is>
      </c>
      <c r="G128" s="143" t="n">
        <v>6</v>
      </c>
      <c r="H128" s="143" t="inlineStr">
        <is>
          <t>25X4.5 S/M</t>
        </is>
      </c>
      <c r="I128" s="145" t="inlineStr">
        <is>
          <t>kg</t>
        </is>
      </c>
      <c r="J128" s="146" t="n">
        <v>5.917</v>
      </c>
      <c r="K128" s="147" t="inlineStr">
        <is>
          <t>Aluminum Slugs</t>
        </is>
      </c>
      <c r="L128" s="147" t="n">
        <v>0.1</v>
      </c>
      <c r="M128" s="147" t="n"/>
      <c r="N128" s="147" t="n"/>
      <c r="O128" s="147" t="n"/>
      <c r="P128" s="147" t="n"/>
      <c r="Q128" s="148" t="n"/>
    </row>
    <row r="129" ht="15" customHeight="1" s="249">
      <c r="A129" s="143" t="n">
        <v>6532</v>
      </c>
      <c r="B129" s="143" t="n">
        <v>181</v>
      </c>
      <c r="C129" s="143" t="inlineStr">
        <is>
          <t>Samsol International Private Limited</t>
        </is>
      </c>
      <c r="D129" s="144" t="inlineStr">
        <is>
          <t>TUBE COMMON PURPLE</t>
        </is>
      </c>
      <c r="E129" s="143" t="n">
        <v>25</v>
      </c>
      <c r="F129" s="143" t="inlineStr">
        <is>
          <t>BASE COAT</t>
        </is>
      </c>
      <c r="G129" s="143" t="n">
        <v>3595</v>
      </c>
      <c r="H129" s="143" t="inlineStr">
        <is>
          <t>POLYSTER BASE COAT WHITE 234</t>
        </is>
      </c>
      <c r="I129" s="145" t="inlineStr">
        <is>
          <t>kg</t>
        </is>
      </c>
      <c r="J129" s="146" t="n">
        <v>0.612</v>
      </c>
      <c r="K129" s="147" t="inlineStr">
        <is>
          <t>Base Coat</t>
        </is>
      </c>
      <c r="L129" s="147" t="n">
        <v>0.1</v>
      </c>
      <c r="M129" s="149" t="inlineStr">
        <is>
          <t>NEW material line added manually v9.30 (16-Apr-2026) — Add to ERP BOM</t>
        </is>
      </c>
      <c r="N129" s="147" t="n"/>
      <c r="O129" s="147" t="n"/>
      <c r="P129" s="147" t="n"/>
      <c r="Q129" s="148" t="n"/>
    </row>
    <row r="130" ht="15" customHeight="1" s="249">
      <c r="A130" s="143" t="n">
        <v>6532</v>
      </c>
      <c r="B130" s="143" t="n">
        <v>181</v>
      </c>
      <c r="C130" s="143" t="inlineStr">
        <is>
          <t>Samsol International Private Limited</t>
        </is>
      </c>
      <c r="D130" s="144" t="inlineStr">
        <is>
          <t>TUBE COMMON PURPLE</t>
        </is>
      </c>
      <c r="E130" s="143" t="n">
        <v>25</v>
      </c>
      <c r="F130" s="143" t="inlineStr">
        <is>
          <t>CAP</t>
        </is>
      </c>
      <c r="G130" s="143" t="n">
        <v>68</v>
      </c>
      <c r="H130" s="143" t="inlineStr">
        <is>
          <t>M-11 S/M SPR WHITE DIA 25MM</t>
        </is>
      </c>
      <c r="I130" s="145" t="inlineStr">
        <is>
          <t>PCS</t>
        </is>
      </c>
      <c r="J130" s="146" t="n">
        <v>1000</v>
      </c>
      <c r="K130" s="147" t="inlineStr">
        <is>
          <t>Caps</t>
        </is>
      </c>
      <c r="L130" s="147" t="n">
        <v>0.02</v>
      </c>
      <c r="M130" s="149" t="inlineStr">
        <is>
          <t>Value changed manually v9.30 (16-Apr-2026) — Update in ERP BOM</t>
        </is>
      </c>
      <c r="N130" s="147" t="n"/>
      <c r="O130" s="147" t="n"/>
      <c r="P130" s="147" t="n"/>
      <c r="Q130" s="148" t="n"/>
    </row>
    <row r="131" ht="15" customHeight="1" s="249">
      <c r="A131" s="143" t="n">
        <v>6532</v>
      </c>
      <c r="B131" s="143" t="n">
        <v>181</v>
      </c>
      <c r="C131" s="143" t="inlineStr">
        <is>
          <t>Samsol International Private Limited</t>
        </is>
      </c>
      <c r="D131" s="144" t="inlineStr">
        <is>
          <t>TUBE COMMON PURPLE</t>
        </is>
      </c>
      <c r="E131" s="143" t="n">
        <v>25</v>
      </c>
      <c r="F131" s="143" t="inlineStr">
        <is>
          <t>CARTON</t>
        </is>
      </c>
      <c r="G131" s="143" t="n">
        <v>3598</v>
      </c>
      <c r="H131" s="143" t="inlineStr">
        <is>
          <t>25x336 5Ply</t>
        </is>
      </c>
      <c r="I131" s="145" t="inlineStr">
        <is>
          <t>PCS</t>
        </is>
      </c>
      <c r="J131" s="146" t="n">
        <v>2.976</v>
      </c>
      <c r="K131" s="147" t="inlineStr">
        <is>
          <t>Cartons</t>
        </is>
      </c>
      <c r="L131" s="147" t="n">
        <v>0.1</v>
      </c>
      <c r="M131" s="149" t="inlineStr">
        <is>
          <t>Item name kept as ERP ('25x336 5Ply'). Rehan wrote '25x336 5Ply L21.5 W14.5 H7' — corrected. (16-Apr-2026) — Verify in ERP</t>
        </is>
      </c>
      <c r="N131" s="147" t="n"/>
      <c r="O131" s="147" t="n"/>
      <c r="P131" s="147" t="n"/>
      <c r="Q131" s="148" t="n"/>
    </row>
    <row r="132" ht="15" customHeight="1" s="249">
      <c r="A132" s="143" t="n">
        <v>6532</v>
      </c>
      <c r="B132" s="143" t="n">
        <v>181</v>
      </c>
      <c r="C132" s="143" t="inlineStr">
        <is>
          <t>Samsol International Private Limited</t>
        </is>
      </c>
      <c r="D132" s="144" t="inlineStr">
        <is>
          <t>TUBE COMMON PURPLE</t>
        </is>
      </c>
      <c r="E132" s="143" t="n">
        <v>25</v>
      </c>
      <c r="F132" s="143" t="inlineStr">
        <is>
          <t>ZINC POWDER</t>
        </is>
      </c>
      <c r="G132" s="143" t="n">
        <v>194</v>
      </c>
      <c r="H132" s="143" t="inlineStr">
        <is>
          <t>ZINC STEARATE</t>
        </is>
      </c>
      <c r="I132" s="145" t="inlineStr">
        <is>
          <t>kg</t>
        </is>
      </c>
      <c r="J132" s="146" t="n">
        <v>0.00615385</v>
      </c>
      <c r="K132" s="147" t="inlineStr">
        <is>
          <t>Zinc Stearate</t>
        </is>
      </c>
      <c r="L132" s="147" t="n">
        <v>0.1</v>
      </c>
      <c r="M132" s="147" t="n"/>
      <c r="N132" s="147" t="n"/>
      <c r="O132" s="147" t="n"/>
      <c r="P132" s="147" t="n"/>
      <c r="Q132" s="148" t="n"/>
    </row>
    <row r="133" ht="15" customHeight="1" s="249">
      <c r="A133" s="143" t="n">
        <v>6532</v>
      </c>
      <c r="B133" s="143" t="n">
        <v>181</v>
      </c>
      <c r="C133" s="143" t="inlineStr">
        <is>
          <t>Samsol International Private Limited</t>
        </is>
      </c>
      <c r="D133" s="144" t="inlineStr">
        <is>
          <t>TUBE COMMON PURPLE</t>
        </is>
      </c>
      <c r="E133" s="143" t="n">
        <v>25</v>
      </c>
      <c r="F133" s="143" t="inlineStr">
        <is>
          <t>LACQUER</t>
        </is>
      </c>
      <c r="G133" s="143" t="n">
        <v>185</v>
      </c>
      <c r="H133" s="143" t="inlineStr">
        <is>
          <t>EPOXY LACQUER (1500)</t>
        </is>
      </c>
      <c r="I133" s="145" t="inlineStr">
        <is>
          <t>L</t>
        </is>
      </c>
      <c r="J133" s="146" t="n">
        <v>0.292</v>
      </c>
      <c r="K133" s="147" t="inlineStr">
        <is>
          <t>Lacquer</t>
        </is>
      </c>
      <c r="L133" s="147" t="n">
        <v>0.1</v>
      </c>
      <c r="M133" s="149" t="inlineStr">
        <is>
          <t>NEW material line added manually v9.30 (16-Apr-2026) — Add to ERP BOM</t>
        </is>
      </c>
      <c r="N133" s="147" t="n"/>
      <c r="O133" s="147" t="n"/>
      <c r="P133" s="147" t="n"/>
      <c r="Q133" s="148" t="n"/>
    </row>
    <row r="134" ht="15" customHeight="1" s="249">
      <c r="A134" s="143" t="n">
        <v>6532</v>
      </c>
      <c r="B134" s="143" t="n">
        <v>181</v>
      </c>
      <c r="C134" s="143" t="inlineStr">
        <is>
          <t>Samsol International Private Limited</t>
        </is>
      </c>
      <c r="D134" s="144" t="inlineStr">
        <is>
          <t>TUBE COMMON PURPLE</t>
        </is>
      </c>
      <c r="E134" s="143" t="n">
        <v>25</v>
      </c>
      <c r="F134" s="143" t="inlineStr">
        <is>
          <t>TAPE</t>
        </is>
      </c>
      <c r="G134" s="143" t="n">
        <v>3635</v>
      </c>
      <c r="H134" s="143" t="inlineStr">
        <is>
          <t>PACKING TAPE 2" OF 60 YARDS</t>
        </is>
      </c>
      <c r="I134" s="145" t="inlineStr">
        <is>
          <t>PCS</t>
        </is>
      </c>
      <c r="J134" s="146" t="n">
        <v>0.079</v>
      </c>
      <c r="K134" s="147" t="inlineStr">
        <is>
          <t>Packing Tape</t>
        </is>
      </c>
      <c r="L134" s="147" t="n">
        <v>0.1</v>
      </c>
      <c r="M134" s="149" t="n"/>
      <c r="N134" s="147" t="n"/>
      <c r="O134" s="147" t="n"/>
      <c r="P134" s="147" t="n"/>
      <c r="Q134" s="148" t="n"/>
    </row>
    <row r="135" ht="15" customHeight="1" s="249">
      <c r="A135" s="143" t="n">
        <v>6338</v>
      </c>
      <c r="B135" s="143" t="n">
        <v>167</v>
      </c>
      <c r="C135" s="143" t="inlineStr">
        <is>
          <t>DTM</t>
        </is>
      </c>
      <c r="D135" s="144" t="inlineStr">
        <is>
          <t>DTM DIA 25MM</t>
        </is>
      </c>
      <c r="E135" s="143" t="n">
        <v>25</v>
      </c>
      <c r="F135" s="143" t="inlineStr">
        <is>
          <t>SLUG</t>
        </is>
      </c>
      <c r="G135" s="143" t="n">
        <v>10</v>
      </c>
      <c r="H135" s="143" t="inlineStr">
        <is>
          <t>25X4.8 S/M</t>
        </is>
      </c>
      <c r="I135" s="145" t="inlineStr">
        <is>
          <t>kg</t>
        </is>
      </c>
      <c r="J135" s="146" t="n">
        <v>5.917</v>
      </c>
      <c r="K135" s="147" t="inlineStr">
        <is>
          <t>Aluminum Slugs</t>
        </is>
      </c>
      <c r="L135" s="147" t="n">
        <v>0.1</v>
      </c>
      <c r="M135" s="147" t="n"/>
      <c r="N135" s="147" t="n"/>
      <c r="O135" s="147" t="n"/>
      <c r="P135" s="147" t="n"/>
      <c r="Q135" s="148" t="n"/>
    </row>
    <row r="136" ht="15" customHeight="1" s="249">
      <c r="A136" s="143" t="n">
        <v>6338</v>
      </c>
      <c r="B136" s="143" t="n">
        <v>167</v>
      </c>
      <c r="C136" s="143" t="inlineStr">
        <is>
          <t>DTM</t>
        </is>
      </c>
      <c r="D136" s="144" t="inlineStr">
        <is>
          <t>DTM DIA 25MM</t>
        </is>
      </c>
      <c r="E136" s="143" t="n">
        <v>25</v>
      </c>
      <c r="F136" s="143" t="inlineStr">
        <is>
          <t>BASE COAT</t>
        </is>
      </c>
      <c r="G136" s="143" t="n">
        <v>3595</v>
      </c>
      <c r="H136" s="143" t="inlineStr">
        <is>
          <t>POLYSTER BASE COAT WHITE 234</t>
        </is>
      </c>
      <c r="I136" s="145" t="inlineStr">
        <is>
          <t>kg</t>
        </is>
      </c>
      <c r="J136" s="146" t="n">
        <v>0.5600000000000001</v>
      </c>
      <c r="K136" s="147" t="inlineStr">
        <is>
          <t>Base Coat</t>
        </is>
      </c>
      <c r="L136" s="147" t="n">
        <v>0.1</v>
      </c>
      <c r="M136" s="149" t="inlineStr">
        <is>
          <t>NEW material line added manually v9.30 (16-Apr-2026) — Add to ERP BOM</t>
        </is>
      </c>
      <c r="N136" s="147" t="n"/>
      <c r="O136" s="147" t="n"/>
      <c r="P136" s="147" t="n"/>
      <c r="Q136" s="148" t="n"/>
    </row>
    <row r="137" ht="15" customHeight="1" s="249">
      <c r="A137" s="143" t="n">
        <v>6338</v>
      </c>
      <c r="B137" s="143" t="n">
        <v>167</v>
      </c>
      <c r="C137" s="143" t="inlineStr">
        <is>
          <t>DTM</t>
        </is>
      </c>
      <c r="D137" s="144" t="inlineStr">
        <is>
          <t>DTM DIA 25MM</t>
        </is>
      </c>
      <c r="E137" s="143" t="n">
        <v>25</v>
      </c>
      <c r="F137" s="143" t="inlineStr">
        <is>
          <t>CARTON</t>
        </is>
      </c>
      <c r="G137" s="143" t="n">
        <v>3598</v>
      </c>
      <c r="H137" s="143" t="inlineStr">
        <is>
          <t>25x336 5Ply</t>
        </is>
      </c>
      <c r="I137" s="145" t="inlineStr">
        <is>
          <t>PCS</t>
        </is>
      </c>
      <c r="J137" s="146" t="n">
        <v>2.976</v>
      </c>
      <c r="K137" s="147" t="inlineStr">
        <is>
          <t>Cartons</t>
        </is>
      </c>
      <c r="L137" s="147" t="n">
        <v>0.1</v>
      </c>
      <c r="M137" s="149" t="n"/>
      <c r="N137" s="147" t="n"/>
      <c r="O137" s="147" t="n"/>
      <c r="P137" s="147" t="n"/>
      <c r="Q137" s="148" t="n"/>
    </row>
    <row r="138" ht="15" customHeight="1" s="249">
      <c r="A138" s="143" t="n">
        <v>6338</v>
      </c>
      <c r="B138" s="143" t="n">
        <v>167</v>
      </c>
      <c r="C138" s="143" t="inlineStr">
        <is>
          <t>DTM</t>
        </is>
      </c>
      <c r="D138" s="144" t="inlineStr">
        <is>
          <t>DTM DIA 25MM</t>
        </is>
      </c>
      <c r="E138" s="143" t="n">
        <v>25</v>
      </c>
      <c r="F138" s="143" t="inlineStr">
        <is>
          <t>ZINC POWDER</t>
        </is>
      </c>
      <c r="G138" s="143" t="n">
        <v>194</v>
      </c>
      <c r="H138" s="143" t="inlineStr">
        <is>
          <t>ZINC STEARATE</t>
        </is>
      </c>
      <c r="I138" s="145" t="inlineStr">
        <is>
          <t>kg</t>
        </is>
      </c>
      <c r="J138" s="146" t="n">
        <v>0.00587</v>
      </c>
      <c r="K138" s="147" t="inlineStr">
        <is>
          <t>Zinc Stearate</t>
        </is>
      </c>
      <c r="L138" s="147" t="n">
        <v>0.1</v>
      </c>
      <c r="M138" s="147" t="n"/>
      <c r="N138" s="147" t="n"/>
      <c r="O138" s="147" t="n"/>
      <c r="P138" s="147" t="n"/>
      <c r="Q138" s="148" t="n"/>
    </row>
    <row r="139" ht="15" customHeight="1" s="249">
      <c r="A139" s="143" t="n">
        <v>6338</v>
      </c>
      <c r="B139" s="143" t="n">
        <v>167</v>
      </c>
      <c r="C139" s="143" t="inlineStr">
        <is>
          <t>DTM</t>
        </is>
      </c>
      <c r="D139" s="144" t="inlineStr">
        <is>
          <t>DTM DIA 25MM</t>
        </is>
      </c>
      <c r="E139" s="143" t="n">
        <v>25</v>
      </c>
      <c r="F139" s="143" t="inlineStr">
        <is>
          <t>LACQUER</t>
        </is>
      </c>
      <c r="G139" s="143" t="n">
        <v>185</v>
      </c>
      <c r="H139" s="143" t="inlineStr">
        <is>
          <t>EPOXY LACQUER (1500)</t>
        </is>
      </c>
      <c r="I139" s="145" t="inlineStr">
        <is>
          <t>L</t>
        </is>
      </c>
      <c r="J139" s="146" t="n">
        <v>0.3737</v>
      </c>
      <c r="K139" s="147" t="inlineStr">
        <is>
          <t>Lacquer</t>
        </is>
      </c>
      <c r="L139" s="147" t="n">
        <v>0.1</v>
      </c>
      <c r="M139" s="149" t="inlineStr">
        <is>
          <t>NEW material line added manually v9.30 (16-Apr-2026) — Add to ERP BOM</t>
        </is>
      </c>
      <c r="N139" s="147" t="n"/>
      <c r="O139" s="147" t="n"/>
      <c r="P139" s="147" t="n"/>
      <c r="Q139" s="148" t="n"/>
    </row>
    <row r="140" ht="15" customHeight="1" s="249">
      <c r="A140" s="143" t="n">
        <v>6338</v>
      </c>
      <c r="B140" s="143" t="n">
        <v>167</v>
      </c>
      <c r="C140" s="143" t="inlineStr">
        <is>
          <t>DTM</t>
        </is>
      </c>
      <c r="D140" s="144" t="inlineStr">
        <is>
          <t>DTM DIA 25MM</t>
        </is>
      </c>
      <c r="E140" s="143" t="n">
        <v>25</v>
      </c>
      <c r="F140" s="143" t="inlineStr">
        <is>
          <t>TAPE</t>
        </is>
      </c>
      <c r="G140" s="143" t="n">
        <v>3635</v>
      </c>
      <c r="H140" s="143" t="inlineStr">
        <is>
          <t>PACKING TAPE 2" OF 60 YARDS</t>
        </is>
      </c>
      <c r="I140" s="145" t="inlineStr">
        <is>
          <t>PCS</t>
        </is>
      </c>
      <c r="J140" s="146" t="n">
        <v>0.007900000000000001</v>
      </c>
      <c r="K140" s="147" t="inlineStr">
        <is>
          <t>Packing Tape</t>
        </is>
      </c>
      <c r="L140" s="147" t="n">
        <v>0.1</v>
      </c>
      <c r="M140" s="147" t="n"/>
      <c r="N140" s="147" t="n"/>
      <c r="O140" s="147" t="n"/>
      <c r="P140" s="147" t="n"/>
      <c r="Q140" s="148" t="n"/>
    </row>
    <row r="141" ht="15" customHeight="1" s="249">
      <c r="A141" s="143" t="n">
        <v>6338</v>
      </c>
      <c r="B141" s="143" t="n">
        <v>167</v>
      </c>
      <c r="C141" s="143" t="inlineStr">
        <is>
          <t>DTM</t>
        </is>
      </c>
      <c r="D141" s="144" t="inlineStr">
        <is>
          <t>DTM DIA 25MM</t>
        </is>
      </c>
      <c r="E141" s="143" t="n">
        <v>25</v>
      </c>
      <c r="F141" s="143" t="inlineStr">
        <is>
          <t>INK</t>
        </is>
      </c>
      <c r="G141" s="143" t="n">
        <v>3857</v>
      </c>
      <c r="H141" s="143" t="inlineStr">
        <is>
          <t>ORANGE (LOCAL)</t>
        </is>
      </c>
      <c r="I141" s="145" t="inlineStr">
        <is>
          <t>kg</t>
        </is>
      </c>
      <c r="J141" s="146" t="n">
        <v>0.33</v>
      </c>
      <c r="K141" s="147" t="inlineStr">
        <is>
          <t>Ink</t>
        </is>
      </c>
      <c r="L141" s="147" t="n">
        <v>0.1</v>
      </c>
      <c r="M141" s="149" t="n"/>
      <c r="N141" s="147" t="n"/>
      <c r="O141" s="147" t="n"/>
      <c r="P141" s="147" t="n"/>
      <c r="Q141" s="148" t="n"/>
    </row>
    <row r="142" ht="15" customHeight="1" s="249">
      <c r="A142" s="143" t="n">
        <v>6337</v>
      </c>
      <c r="B142" s="143" t="n">
        <v>166</v>
      </c>
      <c r="C142" s="143" t="inlineStr">
        <is>
          <t>Al-Rehman Group</t>
        </is>
      </c>
      <c r="D142" s="144" t="inlineStr">
        <is>
          <t>ACTIVE PRO HAIR COLOR CREAM 60ML</t>
        </is>
      </c>
      <c r="E142" s="143" t="n">
        <v>30</v>
      </c>
      <c r="F142" s="143" t="inlineStr">
        <is>
          <t>SLUG</t>
        </is>
      </c>
      <c r="G142" s="143" t="n">
        <v>406</v>
      </c>
      <c r="H142" s="143" t="inlineStr">
        <is>
          <t>30X4.5 S/M</t>
        </is>
      </c>
      <c r="I142" s="145" t="inlineStr">
        <is>
          <t>kg</t>
        </is>
      </c>
      <c r="J142" s="146" t="n">
        <v>8</v>
      </c>
      <c r="K142" s="147" t="inlineStr">
        <is>
          <t>Aluminum Slugs</t>
        </is>
      </c>
      <c r="L142" s="147" t="n">
        <v>0.1</v>
      </c>
      <c r="M142" s="149" t="inlineStr">
        <is>
          <t>Slug changed 30X4.3 (ID 2) → 30X4.5 S/M (ID 406) per Sikander 21-Apr-2026. ERP update required.</t>
        </is>
      </c>
      <c r="N142" s="147" t="n"/>
      <c r="O142" s="147" t="n"/>
      <c r="P142" s="147" t="n"/>
      <c r="Q142" s="148" t="n"/>
    </row>
    <row r="143" ht="15" customHeight="1" s="249">
      <c r="A143" s="143" t="n">
        <v>6337</v>
      </c>
      <c r="B143" s="143" t="n">
        <v>166</v>
      </c>
      <c r="C143" s="143" t="inlineStr">
        <is>
          <t>Al-Rehman Group</t>
        </is>
      </c>
      <c r="D143" s="144" t="inlineStr">
        <is>
          <t>ACTIVE PRO HAIR COLOR CREAM 60ML</t>
        </is>
      </c>
      <c r="E143" s="143" t="n">
        <v>30</v>
      </c>
      <c r="F143" s="143" t="inlineStr">
        <is>
          <t>BASE COAT</t>
        </is>
      </c>
      <c r="G143" s="143" t="n">
        <v>3595</v>
      </c>
      <c r="H143" s="143" t="inlineStr">
        <is>
          <t>POLYSTER BASE COAT WHITE 234</t>
        </is>
      </c>
      <c r="I143" s="145" t="inlineStr">
        <is>
          <t>kg</t>
        </is>
      </c>
      <c r="J143" s="146" t="n">
        <v>0.67</v>
      </c>
      <c r="K143" s="147" t="inlineStr">
        <is>
          <t>Base Coat</t>
        </is>
      </c>
      <c r="L143" s="147" t="n">
        <v>0.1</v>
      </c>
      <c r="M143" s="149" t="inlineStr">
        <is>
          <t>NEW material line added manually v9.30 (16-Apr-2026) — Add to ERP BOM</t>
        </is>
      </c>
      <c r="N143" s="147" t="n"/>
      <c r="O143" s="147" t="n"/>
      <c r="P143" s="147" t="n"/>
      <c r="Q143" s="148" t="n"/>
    </row>
    <row r="144" ht="15" customHeight="1" s="249">
      <c r="A144" s="143" t="n">
        <v>6337</v>
      </c>
      <c r="B144" s="143" t="n">
        <v>166</v>
      </c>
      <c r="C144" s="143" t="inlineStr">
        <is>
          <t>Al-Rehman Group</t>
        </is>
      </c>
      <c r="D144" s="144" t="inlineStr">
        <is>
          <t>ACTIVE PRO HAIR COLOR CREAM 60ML</t>
        </is>
      </c>
      <c r="E144" s="143" t="n">
        <v>30</v>
      </c>
      <c r="F144" s="143" t="inlineStr">
        <is>
          <t>LATEX</t>
        </is>
      </c>
      <c r="G144" s="143" t="n">
        <v>186</v>
      </c>
      <c r="H144" s="143" t="inlineStr">
        <is>
          <t>LATEX IMP 574010002</t>
        </is>
      </c>
      <c r="I144" s="145" t="inlineStr">
        <is>
          <t>kg</t>
        </is>
      </c>
      <c r="J144" s="146" t="n">
        <v>0.28</v>
      </c>
      <c r="K144" s="147" t="inlineStr">
        <is>
          <t>Latex</t>
        </is>
      </c>
      <c r="L144" s="147" t="n">
        <v>0.1</v>
      </c>
      <c r="M144" s="149" t="n"/>
      <c r="N144" s="147" t="n"/>
      <c r="O144" s="147" t="n"/>
      <c r="P144" s="147" t="n"/>
      <c r="Q144" s="148" t="n"/>
    </row>
    <row r="145" ht="15" customHeight="1" s="249">
      <c r="A145" s="143" t="n">
        <v>6337</v>
      </c>
      <c r="B145" s="143" t="n">
        <v>166</v>
      </c>
      <c r="C145" s="143" t="inlineStr">
        <is>
          <t>Al-Rehman Group</t>
        </is>
      </c>
      <c r="D145" s="144" t="inlineStr">
        <is>
          <t>ACTIVE PRO HAIR COLOR CREAM 60ML</t>
        </is>
      </c>
      <c r="E145" s="143" t="n">
        <v>30</v>
      </c>
      <c r="F145" s="143" t="inlineStr">
        <is>
          <t>CAP</t>
        </is>
      </c>
      <c r="G145" s="143" t="n">
        <v>578</v>
      </c>
      <c r="H145" s="143" t="inlineStr">
        <is>
          <t>M-12 S/M SPR WHITE DIA 30</t>
        </is>
      </c>
      <c r="I145" s="145" t="inlineStr">
        <is>
          <t>PCS</t>
        </is>
      </c>
      <c r="J145" s="146" t="n">
        <v>1000</v>
      </c>
      <c r="K145" s="147" t="inlineStr">
        <is>
          <t>Caps</t>
        </is>
      </c>
      <c r="L145" s="147" t="n">
        <v>0.02</v>
      </c>
      <c r="M145" s="149" t="inlineStr">
        <is>
          <t>Value changed manually v9.30 (16-Apr-2026) — Update in ERP BOM</t>
        </is>
      </c>
      <c r="N145" s="147" t="n"/>
      <c r="O145" s="147" t="n"/>
      <c r="P145" s="147" t="n"/>
      <c r="Q145" s="148" t="n"/>
    </row>
    <row r="146" ht="15" customHeight="1" s="249">
      <c r="A146" s="143" t="n">
        <v>6337</v>
      </c>
      <c r="B146" s="143" t="n">
        <v>166</v>
      </c>
      <c r="C146" s="143" t="inlineStr">
        <is>
          <t>Al-Rehman Group</t>
        </is>
      </c>
      <c r="D146" s="144" t="inlineStr">
        <is>
          <t>ACTIVE PRO HAIR COLOR CREAM 60ML</t>
        </is>
      </c>
      <c r="E146" s="143" t="n">
        <v>30</v>
      </c>
      <c r="F146" s="143" t="inlineStr">
        <is>
          <t>CARTON</t>
        </is>
      </c>
      <c r="G146" s="143" t="n">
        <v>45</v>
      </c>
      <c r="H146" s="143" t="inlineStr">
        <is>
          <t>30X150 3Ply</t>
        </is>
      </c>
      <c r="I146" s="145" t="inlineStr">
        <is>
          <t>PCS</t>
        </is>
      </c>
      <c r="J146" s="146" t="n">
        <v>6.6666</v>
      </c>
      <c r="K146" s="147" t="inlineStr">
        <is>
          <t>Cartons</t>
        </is>
      </c>
      <c r="L146" s="147" t="n">
        <v>0.1</v>
      </c>
      <c r="M146" s="149" t="n"/>
      <c r="N146" s="147" t="n"/>
      <c r="O146" s="147" t="n"/>
      <c r="P146" s="147" t="n"/>
      <c r="Q146" s="148" t="n"/>
    </row>
    <row r="147" ht="15" customHeight="1" s="249">
      <c r="A147" s="143" t="n">
        <v>6337</v>
      </c>
      <c r="B147" s="143" t="n">
        <v>166</v>
      </c>
      <c r="C147" s="143" t="inlineStr">
        <is>
          <t>Al-Rehman Group</t>
        </is>
      </c>
      <c r="D147" s="144" t="inlineStr">
        <is>
          <t>ACTIVE PRO HAIR COLOR CREAM 60ML</t>
        </is>
      </c>
      <c r="E147" s="143" t="n">
        <v>30</v>
      </c>
      <c r="F147" s="143" t="inlineStr">
        <is>
          <t>LACQUER</t>
        </is>
      </c>
      <c r="G147" s="143" t="n">
        <v>4155</v>
      </c>
      <c r="H147" s="143" t="inlineStr">
        <is>
          <t>E/P LACQUER 4000 A/R</t>
        </is>
      </c>
      <c r="I147" s="145" t="inlineStr">
        <is>
          <t>kg</t>
        </is>
      </c>
      <c r="J147" s="146" t="n">
        <v>0.28</v>
      </c>
      <c r="K147" s="147" t="inlineStr">
        <is>
          <t>Lacquer</t>
        </is>
      </c>
      <c r="L147" s="147" t="n">
        <v>0.1</v>
      </c>
      <c r="M147" s="149" t="inlineStr">
        <is>
          <t>NEW material line added manually v9.30 (16-Apr-2026) — Add to ERP BOM</t>
        </is>
      </c>
      <c r="N147" s="147" t="n"/>
      <c r="O147" s="147" t="n"/>
      <c r="P147" s="147" t="n"/>
      <c r="Q147" s="148" t="n"/>
    </row>
    <row r="148" ht="15" customHeight="1" s="249">
      <c r="A148" s="143" t="n">
        <v>6337</v>
      </c>
      <c r="B148" s="143" t="n">
        <v>166</v>
      </c>
      <c r="C148" s="143" t="inlineStr">
        <is>
          <t>Al-Rehman Group</t>
        </is>
      </c>
      <c r="D148" s="144" t="inlineStr">
        <is>
          <t>ACTIVE PRO HAIR COLOR CREAM 60ML</t>
        </is>
      </c>
      <c r="E148" s="143" t="n">
        <v>30</v>
      </c>
      <c r="F148" s="143" t="inlineStr">
        <is>
          <t>TAPE</t>
        </is>
      </c>
      <c r="G148" s="143" t="n">
        <v>3635</v>
      </c>
      <c r="H148" s="143" t="inlineStr">
        <is>
          <t>PACKING TAPE 2" OF 60 YARDS</t>
        </is>
      </c>
      <c r="I148" s="145" t="inlineStr">
        <is>
          <t>PCS</t>
        </is>
      </c>
      <c r="J148" s="146" t="n">
        <v>0.156</v>
      </c>
      <c r="K148" s="147" t="inlineStr">
        <is>
          <t>Tape</t>
        </is>
      </c>
      <c r="L148" s="147" t="n">
        <v>0.1</v>
      </c>
      <c r="M148" s="149" t="n"/>
      <c r="N148" s="147" t="n"/>
      <c r="O148" s="147" t="n"/>
      <c r="P148" s="147" t="n"/>
      <c r="Q148" s="148" t="n"/>
    </row>
    <row r="149" ht="15" customHeight="1" s="249">
      <c r="A149" s="143" t="n">
        <v>6337</v>
      </c>
      <c r="B149" s="143" t="n">
        <v>166</v>
      </c>
      <c r="C149" s="143" t="inlineStr">
        <is>
          <t>Al-Rehman Group</t>
        </is>
      </c>
      <c r="D149" s="144" t="inlineStr">
        <is>
          <t>ACTIVE PRO HAIR COLOR CREAM 60ML</t>
        </is>
      </c>
      <c r="E149" s="143" t="n">
        <v>30</v>
      </c>
      <c r="F149" s="143" t="inlineStr">
        <is>
          <t>ZINC POWDER</t>
        </is>
      </c>
      <c r="G149" s="143" t="n">
        <v>194</v>
      </c>
      <c r="H149" s="143" t="inlineStr">
        <is>
          <t>ZINC STEARATE</t>
        </is>
      </c>
      <c r="I149" s="145" t="inlineStr">
        <is>
          <t>kg</t>
        </is>
      </c>
      <c r="J149" s="146" t="n">
        <v>0.008319999999999999</v>
      </c>
      <c r="K149" s="147" t="inlineStr">
        <is>
          <t>ZINC POWDER</t>
        </is>
      </c>
      <c r="L149" s="147" t="n">
        <v>0.1</v>
      </c>
      <c r="M149" s="149" t="inlineStr">
        <is>
          <t>Replaces Item 4165 (ZINC ARCHIMATE). ERP BOM update required.</t>
        </is>
      </c>
      <c r="N149" s="147" t="n"/>
      <c r="O149" s="147" t="n"/>
      <c r="P149" s="147" t="n"/>
      <c r="Q149" s="148" t="n"/>
    </row>
    <row r="150" ht="15" customHeight="1" s="249">
      <c r="A150" s="143" t="n">
        <v>6416</v>
      </c>
      <c r="B150" s="143" t="n">
        <v>171</v>
      </c>
      <c r="C150" s="143" t="inlineStr">
        <is>
          <t>Al-Rehman Group</t>
        </is>
      </c>
      <c r="D150" s="144" t="inlineStr">
        <is>
          <t>SIGNATURE HAIR COLOR CREAM 60ML</t>
        </is>
      </c>
      <c r="E150" s="143" t="n">
        <v>30</v>
      </c>
      <c r="F150" s="143" t="inlineStr">
        <is>
          <t>SLUG</t>
        </is>
      </c>
      <c r="G150" s="143" t="n">
        <v>406</v>
      </c>
      <c r="H150" s="143" t="inlineStr">
        <is>
          <t>30X4.5 S/M</t>
        </is>
      </c>
      <c r="I150" s="145" t="inlineStr">
        <is>
          <t>kg</t>
        </is>
      </c>
      <c r="J150" s="146" t="n">
        <v>8</v>
      </c>
      <c r="K150" s="147" t="inlineStr">
        <is>
          <t>Aluminum Slugs</t>
        </is>
      </c>
      <c r="L150" s="147" t="n">
        <v>0.1</v>
      </c>
      <c r="M150" s="149" t="inlineStr">
        <is>
          <t>Slug changed 30X4.3 (ID 2) → 30X4.5 S/M (ID 406) per Sikander 21-Apr-2026. ERP update required.</t>
        </is>
      </c>
      <c r="N150" s="147" t="n"/>
      <c r="O150" s="147" t="n"/>
      <c r="P150" s="147" t="n"/>
      <c r="Q150" s="148" t="n"/>
    </row>
    <row r="151" ht="15" customHeight="1" s="249">
      <c r="A151" s="143" t="n">
        <v>6416</v>
      </c>
      <c r="B151" s="143" t="n">
        <v>171</v>
      </c>
      <c r="C151" s="143" t="inlineStr">
        <is>
          <t>Al-Rehman Group</t>
        </is>
      </c>
      <c r="D151" s="144" t="inlineStr">
        <is>
          <t>SIGNATURE HAIR COLOR CREAM 60ML</t>
        </is>
      </c>
      <c r="E151" s="143" t="n">
        <v>30</v>
      </c>
      <c r="F151" s="143" t="inlineStr">
        <is>
          <t>BASE COAT</t>
        </is>
      </c>
      <c r="G151" s="143" t="n">
        <v>3595</v>
      </c>
      <c r="H151" s="143" t="inlineStr">
        <is>
          <t>POLYSTER BASE COAT WHITE 234</t>
        </is>
      </c>
      <c r="I151" s="145" t="inlineStr">
        <is>
          <t>kg</t>
        </is>
      </c>
      <c r="J151" s="146" t="n">
        <v>0.67</v>
      </c>
      <c r="K151" s="147" t="inlineStr">
        <is>
          <t>Base Coat</t>
        </is>
      </c>
      <c r="L151" s="147" t="n">
        <v>0.1</v>
      </c>
      <c r="M151" s="149" t="inlineStr">
        <is>
          <t>Item name kept as ERP ('POLYSTER BASE COAT WHITE 234'). Rehan wrote 'BASE COAT WHITE 23410 CT' — corrected. (16-Apr-2026) — Verify in ERP</t>
        </is>
      </c>
      <c r="N151" s="147" t="n"/>
      <c r="O151" s="147" t="n"/>
      <c r="P151" s="147" t="n"/>
      <c r="Q151" s="148" t="n"/>
    </row>
    <row r="152" ht="15" customHeight="1" s="249">
      <c r="A152" s="143" t="n">
        <v>6416</v>
      </c>
      <c r="B152" s="143" t="n">
        <v>171</v>
      </c>
      <c r="C152" s="143" t="inlineStr">
        <is>
          <t>Al-Rehman Group</t>
        </is>
      </c>
      <c r="D152" s="144" t="inlineStr">
        <is>
          <t>SIGNATURE HAIR COLOR CREAM 60ML</t>
        </is>
      </c>
      <c r="E152" s="143" t="n">
        <v>30</v>
      </c>
      <c r="F152" s="143" t="inlineStr">
        <is>
          <t>LATEX</t>
        </is>
      </c>
      <c r="G152" s="143" t="n">
        <v>186</v>
      </c>
      <c r="H152" s="143" t="inlineStr">
        <is>
          <t>LATEX IMP 574010002</t>
        </is>
      </c>
      <c r="I152" s="145" t="inlineStr">
        <is>
          <t>kg</t>
        </is>
      </c>
      <c r="J152" s="146" t="n">
        <v>0.28</v>
      </c>
      <c r="K152" s="147" t="inlineStr">
        <is>
          <t>Latex</t>
        </is>
      </c>
      <c r="L152" s="147" t="n">
        <v>0.1</v>
      </c>
      <c r="M152" s="149" t="n"/>
      <c r="N152" s="147" t="n"/>
      <c r="O152" s="147" t="n"/>
      <c r="P152" s="147" t="n"/>
      <c r="Q152" s="148" t="n"/>
    </row>
    <row r="153" ht="15" customHeight="1" s="249">
      <c r="A153" s="143" t="n">
        <v>6416</v>
      </c>
      <c r="B153" s="143" t="n">
        <v>171</v>
      </c>
      <c r="C153" s="143" t="inlineStr">
        <is>
          <t>Al-Rehman Group</t>
        </is>
      </c>
      <c r="D153" s="144" t="inlineStr">
        <is>
          <t>SIGNATURE HAIR COLOR CREAM 60ML</t>
        </is>
      </c>
      <c r="E153" s="143" t="n">
        <v>30</v>
      </c>
      <c r="F153" s="143" t="inlineStr">
        <is>
          <t>CAP</t>
        </is>
      </c>
      <c r="G153" s="143" t="n">
        <v>578</v>
      </c>
      <c r="H153" s="143" t="inlineStr">
        <is>
          <t>M-12 S/M SPR WHITE DIA 30</t>
        </is>
      </c>
      <c r="I153" s="145" t="inlineStr">
        <is>
          <t>PCS</t>
        </is>
      </c>
      <c r="J153" s="146" t="n">
        <v>1000</v>
      </c>
      <c r="K153" s="147" t="inlineStr">
        <is>
          <t>Caps</t>
        </is>
      </c>
      <c r="L153" s="147" t="n">
        <v>0.02</v>
      </c>
      <c r="M153" s="149" t="inlineStr">
        <is>
          <t>Value changed manually v9.30 (16-Apr-2026) — Update in ERP BOM</t>
        </is>
      </c>
      <c r="N153" s="147" t="n"/>
      <c r="O153" s="147" t="n"/>
      <c r="P153" s="147" t="n"/>
      <c r="Q153" s="148" t="n"/>
    </row>
    <row r="154" ht="15" customHeight="1" s="249">
      <c r="A154" s="143" t="n">
        <v>6416</v>
      </c>
      <c r="B154" s="143" t="n">
        <v>171</v>
      </c>
      <c r="C154" s="143" t="inlineStr">
        <is>
          <t>Al-Rehman Group</t>
        </is>
      </c>
      <c r="D154" s="144" t="inlineStr">
        <is>
          <t>SIGNATURE HAIR COLOR CREAM 60ML</t>
        </is>
      </c>
      <c r="E154" s="143" t="n">
        <v>30</v>
      </c>
      <c r="F154" s="143" t="inlineStr">
        <is>
          <t>CARTON</t>
        </is>
      </c>
      <c r="G154" s="143" t="n">
        <v>3598</v>
      </c>
      <c r="H154" s="143" t="inlineStr">
        <is>
          <t>25x336 5Ply</t>
        </is>
      </c>
      <c r="I154" s="145" t="inlineStr">
        <is>
          <t>PCS</t>
        </is>
      </c>
      <c r="J154" s="146" t="n">
        <v>4.2016</v>
      </c>
      <c r="K154" s="147" t="inlineStr">
        <is>
          <t>Cartons</t>
        </is>
      </c>
      <c r="L154" s="147" t="n">
        <v>0.1</v>
      </c>
      <c r="M154" s="149" t="n"/>
      <c r="N154" s="147" t="n"/>
      <c r="O154" s="147" t="n"/>
      <c r="P154" s="147" t="n"/>
      <c r="Q154" s="148" t="n"/>
    </row>
    <row r="155" ht="15" customHeight="1" s="249">
      <c r="A155" s="143" t="n">
        <v>6416</v>
      </c>
      <c r="B155" s="143" t="n">
        <v>171</v>
      </c>
      <c r="C155" s="143" t="inlineStr">
        <is>
          <t>Al-Rehman Group</t>
        </is>
      </c>
      <c r="D155" s="144" t="inlineStr">
        <is>
          <t>SIGNATURE HAIR COLOR CREAM 60ML</t>
        </is>
      </c>
      <c r="E155" s="143" t="n">
        <v>30</v>
      </c>
      <c r="F155" s="143" t="inlineStr">
        <is>
          <t>LACQUER</t>
        </is>
      </c>
      <c r="G155" s="143" t="n">
        <v>4155</v>
      </c>
      <c r="H155" s="143" t="inlineStr">
        <is>
          <t>E/P LACQUER 4000 A/R</t>
        </is>
      </c>
      <c r="I155" s="145" t="inlineStr">
        <is>
          <t>kg</t>
        </is>
      </c>
      <c r="J155" s="146" t="n">
        <v>0.28</v>
      </c>
      <c r="K155" s="147" t="inlineStr">
        <is>
          <t>Lacquer</t>
        </is>
      </c>
      <c r="L155" s="147" t="n">
        <v>0.1</v>
      </c>
      <c r="M155" s="149" t="n"/>
      <c r="N155" s="147" t="n"/>
      <c r="O155" s="147" t="n"/>
      <c r="P155" s="147" t="n"/>
      <c r="Q155" s="148" t="n"/>
    </row>
    <row r="156" ht="15" customHeight="1" s="249">
      <c r="A156" s="143" t="n">
        <v>6416</v>
      </c>
      <c r="B156" s="143" t="n">
        <v>171</v>
      </c>
      <c r="C156" s="143" t="inlineStr">
        <is>
          <t>Al-Rehman Group</t>
        </is>
      </c>
      <c r="D156" s="144" t="inlineStr">
        <is>
          <t>SIGNATURE HAIR COLOR CREAM 60ML</t>
        </is>
      </c>
      <c r="E156" s="143" t="n">
        <v>30</v>
      </c>
      <c r="F156" s="143" t="inlineStr">
        <is>
          <t>TAPE</t>
        </is>
      </c>
      <c r="G156" s="143" t="n">
        <v>3635</v>
      </c>
      <c r="H156" s="143" t="inlineStr">
        <is>
          <t>PACKING TAPE 2" OF 60 YARDS</t>
        </is>
      </c>
      <c r="I156" s="145" t="inlineStr">
        <is>
          <t>PCS</t>
        </is>
      </c>
      <c r="J156" s="146" t="n">
        <v>0.156</v>
      </c>
      <c r="K156" s="147" t="inlineStr">
        <is>
          <t>Tape</t>
        </is>
      </c>
      <c r="L156" s="147" t="n">
        <v>0.1</v>
      </c>
      <c r="M156" s="149" t="n"/>
      <c r="N156" s="147" t="n"/>
      <c r="O156" s="147" t="n"/>
      <c r="P156" s="147" t="n"/>
      <c r="Q156" s="148" t="n"/>
    </row>
    <row r="157" ht="15" customHeight="1" s="249">
      <c r="A157" s="143" t="n">
        <v>6416</v>
      </c>
      <c r="B157" s="143" t="n">
        <v>171</v>
      </c>
      <c r="C157" s="143" t="inlineStr">
        <is>
          <t>Al-Rehman Group</t>
        </is>
      </c>
      <c r="D157" s="144" t="inlineStr">
        <is>
          <t>SIGNATURE HAIR COLOR CREAM 60ML</t>
        </is>
      </c>
      <c r="E157" s="143" t="n">
        <v>30</v>
      </c>
      <c r="F157" s="143" t="inlineStr">
        <is>
          <t>ZINC POWDER</t>
        </is>
      </c>
      <c r="G157" s="143" t="n">
        <v>194</v>
      </c>
      <c r="H157" s="143" t="inlineStr">
        <is>
          <t>ZINC STEARATE</t>
        </is>
      </c>
      <c r="I157" s="145" t="inlineStr">
        <is>
          <t>kg</t>
        </is>
      </c>
      <c r="J157" s="146" t="n">
        <v>0.008319999999999999</v>
      </c>
      <c r="K157" s="147" t="inlineStr">
        <is>
          <t>ZINC POWDER</t>
        </is>
      </c>
      <c r="L157" s="147" t="n">
        <v>0.1</v>
      </c>
      <c r="M157" s="149" t="inlineStr">
        <is>
          <t>Replaces Item 4165 (ZINC ARCHIMATE). ERP BOM update required.</t>
        </is>
      </c>
      <c r="N157" s="147" t="n"/>
      <c r="O157" s="147" t="n"/>
      <c r="P157" s="147" t="n"/>
      <c r="Q157" s="148" t="n"/>
    </row>
    <row r="158" ht="15" customHeight="1" s="249">
      <c r="A158" s="143" t="n">
        <v>6206</v>
      </c>
      <c r="B158" s="143" t="n">
        <v>149</v>
      </c>
      <c r="C158" s="143" t="inlineStr">
        <is>
          <t>Golden Pearl Cosmetics (PVT) LTD</t>
        </is>
      </c>
      <c r="D158" s="144" t="inlineStr">
        <is>
          <t>HELLO HAIR COLOR</t>
        </is>
      </c>
      <c r="E158" s="143" t="n">
        <v>30</v>
      </c>
      <c r="F158" s="143" t="inlineStr">
        <is>
          <t>SLUG</t>
        </is>
      </c>
      <c r="G158" s="143" t="n">
        <v>406</v>
      </c>
      <c r="H158" s="143" t="inlineStr">
        <is>
          <t>30X4.5 S/M</t>
        </is>
      </c>
      <c r="I158" s="145" t="inlineStr">
        <is>
          <t>kg</t>
        </is>
      </c>
      <c r="J158" s="146" t="n">
        <v>8</v>
      </c>
      <c r="K158" s="147" t="inlineStr">
        <is>
          <t>Aluminum Slugs</t>
        </is>
      </c>
      <c r="L158" s="147" t="n">
        <v>0.1</v>
      </c>
      <c r="M158" s="149" t="inlineStr">
        <is>
          <t>Slug changed 30X4.3 (ID 2) → 30X4.5 S/M (ID 406) per Sikander 21-Apr-2026. ERP update required.</t>
        </is>
      </c>
      <c r="N158" s="147" t="n"/>
      <c r="O158" s="147" t="n"/>
      <c r="P158" s="147" t="n"/>
      <c r="Q158" s="148" t="n"/>
    </row>
    <row r="159" ht="15" customHeight="1" s="249">
      <c r="A159" s="143" t="n">
        <v>6206</v>
      </c>
      <c r="B159" s="143" t="n">
        <v>149</v>
      </c>
      <c r="C159" s="143" t="inlineStr">
        <is>
          <t>Golden Pearl Cosmetics (PVT) LTD</t>
        </is>
      </c>
      <c r="D159" s="144" t="inlineStr">
        <is>
          <t>HELLO HAIR COLOR</t>
        </is>
      </c>
      <c r="E159" s="143" t="n">
        <v>30</v>
      </c>
      <c r="F159" s="143" t="inlineStr">
        <is>
          <t>BASE COAT</t>
        </is>
      </c>
      <c r="G159" s="143" t="n">
        <v>3595</v>
      </c>
      <c r="H159" s="143" t="inlineStr">
        <is>
          <t>POLYSTER BASE COAT WHITE 234</t>
        </is>
      </c>
      <c r="I159" s="145" t="inlineStr">
        <is>
          <t>kg</t>
        </is>
      </c>
      <c r="J159" s="146" t="n">
        <v>0.67</v>
      </c>
      <c r="K159" s="147" t="inlineStr">
        <is>
          <t>Base Coat</t>
        </is>
      </c>
      <c r="L159" s="147" t="n">
        <v>0.1</v>
      </c>
      <c r="M159" s="149" t="inlineStr">
        <is>
          <t>Item name kept as ERP ('POLYSTER BASE COAT WHITE 234'). Rehan wrote 'BASE COAT WHITE 23410 CT' — corrected. (16-Apr-2026) — Verify in ERP</t>
        </is>
      </c>
      <c r="N159" s="147" t="n"/>
      <c r="O159" s="147" t="n"/>
      <c r="P159" s="147" t="n"/>
      <c r="Q159" s="148" t="n"/>
    </row>
    <row r="160" ht="15" customHeight="1" s="249">
      <c r="A160" s="143" t="n">
        <v>6206</v>
      </c>
      <c r="B160" s="143" t="n">
        <v>149</v>
      </c>
      <c r="C160" s="143" t="inlineStr">
        <is>
          <t>Golden Pearl Cosmetics (PVT) LTD</t>
        </is>
      </c>
      <c r="D160" s="144" t="inlineStr">
        <is>
          <t>HELLO HAIR COLOR</t>
        </is>
      </c>
      <c r="E160" s="143" t="n">
        <v>30</v>
      </c>
      <c r="F160" s="143" t="inlineStr">
        <is>
          <t>LATEX</t>
        </is>
      </c>
      <c r="G160" s="143" t="n">
        <v>186</v>
      </c>
      <c r="H160" s="143" t="inlineStr">
        <is>
          <t>LATEX IMP 574010002</t>
        </is>
      </c>
      <c r="I160" s="145" t="inlineStr">
        <is>
          <t>kg</t>
        </is>
      </c>
      <c r="J160" s="146" t="n">
        <v>0.28</v>
      </c>
      <c r="K160" s="147" t="inlineStr">
        <is>
          <t>Latex</t>
        </is>
      </c>
      <c r="L160" s="147" t="n">
        <v>0.1</v>
      </c>
      <c r="M160" s="147" t="n"/>
      <c r="N160" s="147" t="n"/>
      <c r="O160" s="147" t="n"/>
      <c r="P160" s="147" t="n"/>
      <c r="Q160" s="148" t="n"/>
    </row>
    <row r="161" ht="15" customHeight="1" s="249">
      <c r="A161" s="143" t="n">
        <v>6206</v>
      </c>
      <c r="B161" s="143" t="n">
        <v>149</v>
      </c>
      <c r="C161" s="143" t="inlineStr">
        <is>
          <t>Golden Pearl Cosmetics (PVT) LTD</t>
        </is>
      </c>
      <c r="D161" s="144" t="inlineStr">
        <is>
          <t>HELLO HAIR COLOR</t>
        </is>
      </c>
      <c r="E161" s="143" t="n">
        <v>30</v>
      </c>
      <c r="F161" s="143" t="inlineStr">
        <is>
          <t>CAP</t>
        </is>
      </c>
      <c r="G161" s="143" t="n">
        <v>68</v>
      </c>
      <c r="H161" s="143" t="inlineStr">
        <is>
          <t>M-11 S/M SPR WHITE DIA 25MM</t>
        </is>
      </c>
      <c r="I161" s="145" t="inlineStr">
        <is>
          <t>PCS</t>
        </is>
      </c>
      <c r="J161" s="146" t="n">
        <v>1000</v>
      </c>
      <c r="K161" s="147" t="inlineStr">
        <is>
          <t>Caps</t>
        </is>
      </c>
      <c r="L161" s="147" t="n">
        <v>0.02</v>
      </c>
      <c r="M161" s="149" t="inlineStr">
        <is>
          <t>Value changed manually v9.30 (16-Apr-2026) — Update in ERP BOM</t>
        </is>
      </c>
      <c r="N161" s="147" t="n"/>
      <c r="O161" s="147" t="n"/>
      <c r="P161" s="147" t="n"/>
      <c r="Q161" s="148" t="n"/>
    </row>
    <row r="162" ht="15" customHeight="1" s="249">
      <c r="A162" s="143" t="n">
        <v>6206</v>
      </c>
      <c r="B162" s="143" t="n">
        <v>149</v>
      </c>
      <c r="C162" s="143" t="inlineStr">
        <is>
          <t>Golden Pearl Cosmetics (PVT) LTD</t>
        </is>
      </c>
      <c r="D162" s="144" t="inlineStr">
        <is>
          <t>HELLO HAIR COLOR</t>
        </is>
      </c>
      <c r="E162" s="143" t="n">
        <v>30</v>
      </c>
      <c r="F162" s="143" t="inlineStr">
        <is>
          <t>CARTON</t>
        </is>
      </c>
      <c r="G162" s="143" t="n">
        <v>3598</v>
      </c>
      <c r="H162" s="143" t="inlineStr">
        <is>
          <t>25x336 5Ply</t>
        </is>
      </c>
      <c r="I162" s="145" t="inlineStr">
        <is>
          <t>PCS</t>
        </is>
      </c>
      <c r="J162" s="146" t="n">
        <v>4.2016</v>
      </c>
      <c r="K162" s="147" t="inlineStr">
        <is>
          <t>Cartons</t>
        </is>
      </c>
      <c r="L162" s="147" t="n">
        <v>0.1</v>
      </c>
      <c r="M162" s="147" t="n"/>
      <c r="N162" s="147" t="n"/>
      <c r="O162" s="147" t="n"/>
      <c r="P162" s="147" t="n"/>
      <c r="Q162" s="148" t="n"/>
    </row>
    <row r="163" ht="15" customHeight="1" s="249">
      <c r="A163" s="143" t="n">
        <v>6206</v>
      </c>
      <c r="B163" s="143" t="n">
        <v>149</v>
      </c>
      <c r="C163" s="143" t="inlineStr">
        <is>
          <t>Golden Pearl Cosmetics (PVT) LTD</t>
        </is>
      </c>
      <c r="D163" s="144" t="inlineStr">
        <is>
          <t>HELLO HAIR COLOR</t>
        </is>
      </c>
      <c r="E163" s="143" t="n">
        <v>30</v>
      </c>
      <c r="F163" s="143" t="inlineStr">
        <is>
          <t>ZINC POWDER</t>
        </is>
      </c>
      <c r="G163" s="143" t="n">
        <v>194</v>
      </c>
      <c r="H163" s="143" t="inlineStr">
        <is>
          <t>ZINC STEARATE</t>
        </is>
      </c>
      <c r="I163" s="145" t="inlineStr">
        <is>
          <t>kg</t>
        </is>
      </c>
      <c r="J163" s="146" t="n">
        <v>0.008319999999999999</v>
      </c>
      <c r="K163" s="147" t="inlineStr">
        <is>
          <t>Zinc Stearate</t>
        </is>
      </c>
      <c r="L163" s="147" t="n">
        <v>0.1</v>
      </c>
      <c r="M163" s="147" t="n"/>
      <c r="N163" s="147" t="n"/>
      <c r="O163" s="147" t="n"/>
      <c r="P163" s="147" t="n"/>
      <c r="Q163" s="148" t="n"/>
    </row>
    <row r="164" ht="15" customHeight="1" s="249">
      <c r="A164" s="143" t="n">
        <v>6206</v>
      </c>
      <c r="B164" s="143" t="n">
        <v>149</v>
      </c>
      <c r="C164" s="143" t="inlineStr">
        <is>
          <t>Golden Pearl Cosmetics (PVT) LTD</t>
        </is>
      </c>
      <c r="D164" s="144" t="inlineStr">
        <is>
          <t>HELLO HAIR COLOR</t>
        </is>
      </c>
      <c r="E164" s="143" t="n">
        <v>30</v>
      </c>
      <c r="F164" s="143" t="inlineStr">
        <is>
          <t>LACQUER</t>
        </is>
      </c>
      <c r="G164" s="143" t="n">
        <v>4155</v>
      </c>
      <c r="H164" s="143" t="inlineStr">
        <is>
          <t>E/P LACQUER 4000 A/R</t>
        </is>
      </c>
      <c r="I164" s="145" t="inlineStr">
        <is>
          <t>kg</t>
        </is>
      </c>
      <c r="J164" s="146" t="n">
        <v>0.28</v>
      </c>
      <c r="K164" s="147" t="inlineStr">
        <is>
          <t>Lacquer</t>
        </is>
      </c>
      <c r="L164" s="147" t="n">
        <v>0.1</v>
      </c>
      <c r="M164" s="147" t="n"/>
      <c r="N164" s="147" t="n"/>
      <c r="O164" s="147" t="n"/>
      <c r="P164" s="147" t="n"/>
      <c r="Q164" s="148" t="n"/>
    </row>
    <row r="165" ht="15" customHeight="1" s="249">
      <c r="A165" s="143" t="n">
        <v>6206</v>
      </c>
      <c r="B165" s="143" t="n">
        <v>149</v>
      </c>
      <c r="C165" s="143" t="inlineStr">
        <is>
          <t>Golden Pearl Cosmetics (PVT) LTD</t>
        </is>
      </c>
      <c r="D165" s="144" t="inlineStr">
        <is>
          <t>HELLO HAIR COLOR</t>
        </is>
      </c>
      <c r="E165" s="143" t="n">
        <v>30</v>
      </c>
      <c r="F165" s="143" t="inlineStr">
        <is>
          <t>TAPE</t>
        </is>
      </c>
      <c r="G165" s="143" t="n">
        <v>3635</v>
      </c>
      <c r="H165" s="143" t="inlineStr">
        <is>
          <t>PACKING TAPE 2" OF 60 YARDS</t>
        </is>
      </c>
      <c r="I165" s="145" t="inlineStr">
        <is>
          <t>PCS</t>
        </is>
      </c>
      <c r="J165" s="146" t="n">
        <v>0.156</v>
      </c>
      <c r="K165" s="147" t="inlineStr">
        <is>
          <t>Packing Tape</t>
        </is>
      </c>
      <c r="L165" s="147" t="n">
        <v>0.1</v>
      </c>
      <c r="M165" s="147" t="n"/>
      <c r="N165" s="147" t="n"/>
      <c r="O165" s="147" t="n"/>
      <c r="P165" s="147" t="n"/>
      <c r="Q165" s="148" t="n"/>
    </row>
    <row r="166" ht="15" customHeight="1" s="249">
      <c r="A166" s="143" t="n">
        <v>6206</v>
      </c>
      <c r="B166" s="143" t="n">
        <v>149</v>
      </c>
      <c r="C166" s="143" t="inlineStr">
        <is>
          <t>Golden Pearl Cosmetics (PVT) LTD</t>
        </is>
      </c>
      <c r="D166" s="144" t="inlineStr">
        <is>
          <t>HELLO HAIR COLOR</t>
        </is>
      </c>
      <c r="E166" s="143" t="n">
        <v>30</v>
      </c>
      <c r="F166" s="143" t="inlineStr">
        <is>
          <t>INK</t>
        </is>
      </c>
      <c r="G166" s="143" t="n">
        <v>6935</v>
      </c>
      <c r="H166" s="143" t="inlineStr">
        <is>
          <t>GOLD V0221267-RF-401363</t>
        </is>
      </c>
      <c r="I166" s="145" t="inlineStr">
        <is>
          <t>kg</t>
        </is>
      </c>
      <c r="J166" s="146" t="n">
        <v>0.033</v>
      </c>
      <c r="K166" s="147" t="inlineStr">
        <is>
          <t>Ink</t>
        </is>
      </c>
      <c r="L166" s="147" t="n">
        <v>0.1</v>
      </c>
      <c r="M166" s="149" t="n"/>
      <c r="N166" s="147" t="n"/>
      <c r="O166" s="147" t="n"/>
      <c r="P166" s="147" t="n"/>
      <c r="Q166" s="148" t="n"/>
    </row>
    <row r="167" ht="15" customHeight="1" s="249">
      <c r="A167" s="143" t="n">
        <v>5814</v>
      </c>
      <c r="B167" s="143" t="n">
        <v>95</v>
      </c>
      <c r="C167" s="143" t="inlineStr">
        <is>
          <t>Mablay Beauty PVT LTD.</t>
        </is>
      </c>
      <c r="D167" s="144" t="inlineStr">
        <is>
          <t>VINCE NURTURAL</t>
        </is>
      </c>
      <c r="E167" s="143" t="n">
        <v>30</v>
      </c>
      <c r="F167" s="143" t="inlineStr">
        <is>
          <t>SLUG</t>
        </is>
      </c>
      <c r="G167" s="143" t="n">
        <v>406</v>
      </c>
      <c r="H167" s="143" t="inlineStr">
        <is>
          <t>30X4.5 S/M</t>
        </is>
      </c>
      <c r="I167" s="145" t="inlineStr">
        <is>
          <t>kg</t>
        </is>
      </c>
      <c r="J167" s="146" t="n">
        <v>8</v>
      </c>
      <c r="K167" s="147" t="inlineStr">
        <is>
          <t>Aluminum Slugs</t>
        </is>
      </c>
      <c r="L167" s="147" t="n">
        <v>0.1</v>
      </c>
      <c r="M167" s="149" t="inlineStr">
        <is>
          <t>Slug changed 30X4.3 (ID 2) → 30X4.5 S/M (ID 406) per Sikander 21-Apr-2026. ERP update required.</t>
        </is>
      </c>
      <c r="N167" s="147" t="n"/>
      <c r="O167" s="147" t="n"/>
      <c r="P167" s="147" t="n"/>
      <c r="Q167" s="148" t="n"/>
    </row>
    <row r="168" ht="15" customHeight="1" s="249">
      <c r="A168" s="143" t="n">
        <v>5814</v>
      </c>
      <c r="B168" s="143" t="n">
        <v>95</v>
      </c>
      <c r="C168" s="143" t="inlineStr">
        <is>
          <t>Mablay Beauty PVT LTD.</t>
        </is>
      </c>
      <c r="D168" s="144" t="inlineStr">
        <is>
          <t>VINCE NURTURAL</t>
        </is>
      </c>
      <c r="E168" s="143" t="n">
        <v>30</v>
      </c>
      <c r="F168" s="143" t="inlineStr">
        <is>
          <t>BASE COAT</t>
        </is>
      </c>
      <c r="G168" s="143" t="n">
        <v>3595</v>
      </c>
      <c r="H168" s="143" t="inlineStr">
        <is>
          <t>POLYSTER BASE COAT WHITE 234</t>
        </is>
      </c>
      <c r="I168" s="145" t="inlineStr">
        <is>
          <t>kg</t>
        </is>
      </c>
      <c r="J168" s="146" t="n">
        <v>0.6684</v>
      </c>
      <c r="K168" s="147" t="inlineStr">
        <is>
          <t>Base Coat</t>
        </is>
      </c>
      <c r="L168" s="147" t="n">
        <v>0.1</v>
      </c>
      <c r="M168" s="149" t="inlineStr">
        <is>
          <t>NEW material line added manually v9.30 (16-Apr-2026) — Add to ERP BOM</t>
        </is>
      </c>
      <c r="N168" s="147" t="n"/>
      <c r="O168" s="147" t="n"/>
      <c r="P168" s="147" t="n"/>
      <c r="Q168" s="148" t="n"/>
    </row>
    <row r="169" ht="15" customHeight="1" s="249">
      <c r="A169" s="143" t="n">
        <v>5814</v>
      </c>
      <c r="B169" s="143" t="n">
        <v>95</v>
      </c>
      <c r="C169" s="143" t="inlineStr">
        <is>
          <t>Mablay Beauty PVT LTD.</t>
        </is>
      </c>
      <c r="D169" s="144" t="inlineStr">
        <is>
          <t>VINCE NURTURAL</t>
        </is>
      </c>
      <c r="E169" s="143" t="n">
        <v>30</v>
      </c>
      <c r="F169" s="143" t="inlineStr">
        <is>
          <t>LATEX</t>
        </is>
      </c>
      <c r="G169" s="143" t="n">
        <v>186</v>
      </c>
      <c r="H169" s="143" t="inlineStr">
        <is>
          <t>LATEX IMP 574010002</t>
        </is>
      </c>
      <c r="I169" s="145" t="inlineStr">
        <is>
          <t>kg</t>
        </is>
      </c>
      <c r="J169" s="146" t="n">
        <v>0.12</v>
      </c>
      <c r="K169" s="147" t="inlineStr">
        <is>
          <t>Latex</t>
        </is>
      </c>
      <c r="L169" s="147" t="n">
        <v>0.1</v>
      </c>
      <c r="M169" s="149" t="n"/>
      <c r="N169" s="147" t="n"/>
      <c r="O169" s="147" t="n"/>
      <c r="P169" s="147" t="n"/>
      <c r="Q169" s="148" t="n"/>
    </row>
    <row r="170" ht="15" customHeight="1" s="249">
      <c r="A170" s="143" t="n">
        <v>5814</v>
      </c>
      <c r="B170" s="143" t="n">
        <v>95</v>
      </c>
      <c r="C170" s="143" t="inlineStr">
        <is>
          <t>Mablay Beauty PVT LTD.</t>
        </is>
      </c>
      <c r="D170" s="144" t="inlineStr">
        <is>
          <t>VINCE NURTURAL</t>
        </is>
      </c>
      <c r="E170" s="143" t="n">
        <v>30</v>
      </c>
      <c r="F170" s="143" t="inlineStr">
        <is>
          <t>CAP</t>
        </is>
      </c>
      <c r="G170" s="143" t="n">
        <v>578</v>
      </c>
      <c r="H170" s="143" t="inlineStr">
        <is>
          <t>M-12 S/M SPR WHITE DIA 30</t>
        </is>
      </c>
      <c r="I170" s="145" t="inlineStr">
        <is>
          <t>PCS</t>
        </is>
      </c>
      <c r="J170" s="146" t="n">
        <v>1000</v>
      </c>
      <c r="K170" s="147" t="inlineStr">
        <is>
          <t>Caps</t>
        </is>
      </c>
      <c r="L170" s="147" t="n">
        <v>0.02</v>
      </c>
      <c r="M170" s="149" t="inlineStr">
        <is>
          <t>Value changed manually v9.30 (16-Apr-2026) — Update in ERP BOM</t>
        </is>
      </c>
      <c r="N170" s="147" t="n"/>
      <c r="O170" s="147" t="n"/>
      <c r="P170" s="147" t="n"/>
      <c r="Q170" s="148" t="n"/>
    </row>
    <row r="171" ht="15" customHeight="1" s="249">
      <c r="A171" s="143" t="n">
        <v>5814</v>
      </c>
      <c r="B171" s="143" t="n">
        <v>95</v>
      </c>
      <c r="C171" s="143" t="inlineStr">
        <is>
          <t>Mablay Beauty PVT LTD.</t>
        </is>
      </c>
      <c r="D171" s="144" t="inlineStr">
        <is>
          <t>VINCE NURTURAL</t>
        </is>
      </c>
      <c r="E171" s="143" t="n">
        <v>30</v>
      </c>
      <c r="F171" s="143" t="inlineStr">
        <is>
          <t>LACQUER</t>
        </is>
      </c>
      <c r="G171" s="143" t="n">
        <v>4155</v>
      </c>
      <c r="H171" s="143" t="inlineStr">
        <is>
          <t>E/P LACQUER 4000 A/R</t>
        </is>
      </c>
      <c r="I171" s="145" t="inlineStr">
        <is>
          <t>kg</t>
        </is>
      </c>
      <c r="J171" s="146" t="n">
        <v>0.2959</v>
      </c>
      <c r="K171" s="147" t="inlineStr">
        <is>
          <t>Lacquer</t>
        </is>
      </c>
      <c r="L171" s="147" t="n">
        <v>0.1</v>
      </c>
      <c r="M171" s="149" t="inlineStr">
        <is>
          <t>NEW material line added manually v9.30 (16-Apr-2026) — Add to ERP BOM</t>
        </is>
      </c>
      <c r="N171" s="147" t="n"/>
      <c r="O171" s="147" t="n"/>
      <c r="P171" s="147" t="n"/>
      <c r="Q171" s="148" t="n"/>
    </row>
    <row r="172" ht="15" customHeight="1" s="249">
      <c r="A172" s="143" t="n">
        <v>5814</v>
      </c>
      <c r="B172" s="143" t="n">
        <v>95</v>
      </c>
      <c r="C172" s="143" t="inlineStr">
        <is>
          <t>Mablay Beauty PVT LTD.</t>
        </is>
      </c>
      <c r="D172" s="144" t="inlineStr">
        <is>
          <t>VINCE NURTURAL</t>
        </is>
      </c>
      <c r="E172" s="143" t="n">
        <v>30</v>
      </c>
      <c r="F172" s="143" t="inlineStr">
        <is>
          <t>TAPE</t>
        </is>
      </c>
      <c r="G172" s="143" t="n">
        <v>3635</v>
      </c>
      <c r="H172" s="143" t="inlineStr">
        <is>
          <t>PACKING TAPE 2" OF 60 YARDS</t>
        </is>
      </c>
      <c r="I172" s="145" t="inlineStr">
        <is>
          <t>PCS</t>
        </is>
      </c>
      <c r="J172" s="146" t="n">
        <v>0.156</v>
      </c>
      <c r="K172" s="147" t="inlineStr">
        <is>
          <t>Packing Tape</t>
        </is>
      </c>
      <c r="L172" s="147" t="n">
        <v>0.1</v>
      </c>
      <c r="M172" s="149" t="n"/>
      <c r="N172" s="147" t="n"/>
      <c r="O172" s="147" t="n"/>
      <c r="P172" s="147" t="n"/>
      <c r="Q172" s="148" t="n"/>
    </row>
    <row r="173" ht="15" customHeight="1" s="249">
      <c r="A173" s="143" t="n">
        <v>4050</v>
      </c>
      <c r="B173" s="143" t="n">
        <v>19</v>
      </c>
      <c r="C173" s="143" t="inlineStr">
        <is>
          <t>Professional Beauty Solution (PVT) LTD.Pakistan</t>
        </is>
      </c>
      <c r="D173" s="144" t="inlineStr">
        <is>
          <t>EAZICOLOR PREMIUM HAIR COLOUR 60ML</t>
        </is>
      </c>
      <c r="E173" s="143" t="n">
        <v>30</v>
      </c>
      <c r="F173" s="143" t="inlineStr">
        <is>
          <t>SLUG</t>
        </is>
      </c>
      <c r="G173" s="143" t="n">
        <v>406</v>
      </c>
      <c r="H173" s="143" t="inlineStr">
        <is>
          <t>30X4.5 S/M</t>
        </is>
      </c>
      <c r="I173" s="145" t="inlineStr">
        <is>
          <t>kg</t>
        </is>
      </c>
      <c r="J173" s="146" t="n">
        <v>8</v>
      </c>
      <c r="K173" s="147" t="inlineStr">
        <is>
          <t>Aluminum Slugs</t>
        </is>
      </c>
      <c r="L173" s="147" t="n">
        <v>0.1</v>
      </c>
      <c r="M173" s="149" t="inlineStr">
        <is>
          <t>Slug changed 30X4.3 (ID 2) → 30X4.5 S/M (ID 406) per Sikander 21-Apr-2026. ERP update required.</t>
        </is>
      </c>
      <c r="N173" s="147" t="n"/>
      <c r="O173" s="147" t="n"/>
      <c r="P173" s="147" t="n"/>
      <c r="Q173" s="148" t="n"/>
    </row>
    <row r="174" ht="15" customHeight="1" s="249">
      <c r="A174" s="143" t="n">
        <v>4050</v>
      </c>
      <c r="B174" s="143" t="n">
        <v>19</v>
      </c>
      <c r="C174" s="143" t="inlineStr">
        <is>
          <t>Professional Beauty Solution (PVT) LTD.Pakistan</t>
        </is>
      </c>
      <c r="D174" s="144" t="inlineStr">
        <is>
          <t>EAZICOLOR PREMIUM HAIR COLOUR 60ML</t>
        </is>
      </c>
      <c r="E174" s="143" t="n">
        <v>30</v>
      </c>
      <c r="F174" s="143" t="inlineStr">
        <is>
          <t>BASE COAT</t>
        </is>
      </c>
      <c r="G174" s="143" t="n">
        <v>3595</v>
      </c>
      <c r="H174" s="143" t="inlineStr">
        <is>
          <t>POLYSTER BASE COAT WHITE 234</t>
        </is>
      </c>
      <c r="I174" s="145" t="inlineStr">
        <is>
          <t>kg</t>
        </is>
      </c>
      <c r="J174" s="146" t="n">
        <v>0.6684</v>
      </c>
      <c r="K174" s="147" t="inlineStr">
        <is>
          <t>Base Coat</t>
        </is>
      </c>
      <c r="L174" s="147" t="n">
        <v>0.1</v>
      </c>
      <c r="M174" s="149" t="inlineStr">
        <is>
          <t>Item name kept as ERP ('POLYSTER BASE COAT WHITE 234'). Rehan wrote 'BASE COAT WHITE 23410 CT' — corrected. (16-Apr-2026) — Verify in ERP</t>
        </is>
      </c>
      <c r="N174" s="147" t="n"/>
      <c r="O174" s="147" t="n"/>
      <c r="P174" s="147" t="n"/>
      <c r="Q174" s="148" t="n"/>
    </row>
    <row r="175" ht="15" customHeight="1" s="249">
      <c r="A175" s="143" t="n">
        <v>4050</v>
      </c>
      <c r="B175" s="143" t="n">
        <v>19</v>
      </c>
      <c r="C175" s="143" t="inlineStr">
        <is>
          <t>Professional Beauty Solution (PVT) LTD.Pakistan</t>
        </is>
      </c>
      <c r="D175" s="144" t="inlineStr">
        <is>
          <t>EAZICOLOR PREMIUM HAIR COLOUR 60ML</t>
        </is>
      </c>
      <c r="E175" s="143" t="n">
        <v>30</v>
      </c>
      <c r="F175" s="143" t="inlineStr">
        <is>
          <t>LATEX</t>
        </is>
      </c>
      <c r="G175" s="143" t="n">
        <v>186</v>
      </c>
      <c r="H175" s="143" t="inlineStr">
        <is>
          <t>LATEX IMP 574010002</t>
        </is>
      </c>
      <c r="I175" s="145" t="inlineStr">
        <is>
          <t>kg</t>
        </is>
      </c>
      <c r="J175" s="146" t="n">
        <v>0.12</v>
      </c>
      <c r="K175" s="147" t="inlineStr">
        <is>
          <t>Latex</t>
        </is>
      </c>
      <c r="L175" s="147" t="n">
        <v>0.1</v>
      </c>
      <c r="M175" s="147" t="n"/>
      <c r="N175" s="147" t="n"/>
      <c r="O175" s="147" t="n"/>
      <c r="P175" s="147" t="n"/>
      <c r="Q175" s="148" t="n"/>
    </row>
    <row r="176" ht="15" customHeight="1" s="249">
      <c r="A176" s="143" t="n">
        <v>4050</v>
      </c>
      <c r="B176" s="143" t="n">
        <v>19</v>
      </c>
      <c r="C176" s="143" t="inlineStr">
        <is>
          <t>Professional Beauty Solution (PVT) LTD.Pakistan</t>
        </is>
      </c>
      <c r="D176" s="144" t="inlineStr">
        <is>
          <t>EAZICOLOR PREMIUM HAIR COLOUR 60ML</t>
        </is>
      </c>
      <c r="E176" s="143" t="n">
        <v>30</v>
      </c>
      <c r="F176" s="143" t="inlineStr">
        <is>
          <t>CAP</t>
        </is>
      </c>
      <c r="G176" s="143" t="n">
        <v>578</v>
      </c>
      <c r="H176" s="143" t="inlineStr">
        <is>
          <t>M-12 S/M SPR WHITE DIA 30</t>
        </is>
      </c>
      <c r="I176" s="145" t="inlineStr">
        <is>
          <t>PCS</t>
        </is>
      </c>
      <c r="J176" s="146" t="n">
        <v>1000</v>
      </c>
      <c r="K176" s="147" t="inlineStr">
        <is>
          <t>Caps</t>
        </is>
      </c>
      <c r="L176" s="147" t="n">
        <v>0.02</v>
      </c>
      <c r="M176" s="149" t="inlineStr">
        <is>
          <t>Value changed manually v9.30 (16-Apr-2026) — Update in ERP BOM</t>
        </is>
      </c>
      <c r="N176" s="147" t="n"/>
      <c r="O176" s="147" t="n"/>
      <c r="P176" s="147" t="n"/>
      <c r="Q176" s="148" t="n"/>
    </row>
    <row r="177" ht="15" customHeight="1" s="249">
      <c r="A177" s="143" t="n">
        <v>4050</v>
      </c>
      <c r="B177" s="143" t="n">
        <v>19</v>
      </c>
      <c r="C177" s="143" t="inlineStr">
        <is>
          <t>Professional Beauty Solution (PVT) LTD.Pakistan</t>
        </is>
      </c>
      <c r="D177" s="144" t="inlineStr">
        <is>
          <t>EAZICOLOR PREMIUM HAIR COLOUR 60ML</t>
        </is>
      </c>
      <c r="E177" s="143" t="n">
        <v>30</v>
      </c>
      <c r="F177" s="143" t="inlineStr">
        <is>
          <t>CARTON</t>
        </is>
      </c>
      <c r="G177" s="143" t="n">
        <v>45</v>
      </c>
      <c r="H177" s="143" t="inlineStr">
        <is>
          <t>30X150 3Ply</t>
        </is>
      </c>
      <c r="I177" s="145" t="inlineStr">
        <is>
          <t>PCS</t>
        </is>
      </c>
      <c r="J177" s="146" t="n">
        <v>6.666</v>
      </c>
      <c r="K177" s="147" t="inlineStr">
        <is>
          <t>Cartons</t>
        </is>
      </c>
      <c r="L177" s="147" t="n">
        <v>0.1</v>
      </c>
      <c r="M177" s="147" t="n"/>
      <c r="N177" s="147" t="n"/>
      <c r="O177" s="147" t="n"/>
      <c r="P177" s="147" t="n"/>
      <c r="Q177" s="148" t="n"/>
    </row>
    <row r="178" ht="15" customHeight="1" s="249">
      <c r="A178" s="143" t="n">
        <v>4050</v>
      </c>
      <c r="B178" s="143" t="n">
        <v>19</v>
      </c>
      <c r="C178" s="143" t="inlineStr">
        <is>
          <t>Professional Beauty Solution (PVT) LTD.Pakistan</t>
        </is>
      </c>
      <c r="D178" s="144" t="inlineStr">
        <is>
          <t>EAZICOLOR PREMIUM HAIR COLOUR 60ML</t>
        </is>
      </c>
      <c r="E178" s="143" t="n">
        <v>30</v>
      </c>
      <c r="F178" s="143" t="inlineStr">
        <is>
          <t>ZINC POWDER</t>
        </is>
      </c>
      <c r="G178" s="143" t="n">
        <v>194</v>
      </c>
      <c r="H178" s="143" t="inlineStr">
        <is>
          <t>ZINC STEARATE</t>
        </is>
      </c>
      <c r="I178" s="145" t="inlineStr">
        <is>
          <t>kg</t>
        </is>
      </c>
      <c r="J178" s="146" t="n">
        <v>0.008319999999999999</v>
      </c>
      <c r="K178" s="147" t="inlineStr">
        <is>
          <t>Zinc Stearate</t>
        </is>
      </c>
      <c r="L178" s="147" t="n">
        <v>0.1</v>
      </c>
      <c r="M178" s="147" t="n"/>
      <c r="N178" s="147" t="n"/>
      <c r="O178" s="147" t="n"/>
      <c r="P178" s="147" t="n"/>
      <c r="Q178" s="148" t="n"/>
    </row>
    <row r="179" ht="15" customHeight="1" s="249">
      <c r="A179" s="143" t="n">
        <v>4050</v>
      </c>
      <c r="B179" s="143" t="n">
        <v>19</v>
      </c>
      <c r="C179" s="143" t="inlineStr">
        <is>
          <t>Professional Beauty Solution (PVT) LTD.Pakistan</t>
        </is>
      </c>
      <c r="D179" s="144" t="inlineStr">
        <is>
          <t>EAZICOLOR PREMIUM HAIR COLOUR 60ML</t>
        </is>
      </c>
      <c r="E179" s="143" t="n">
        <v>30</v>
      </c>
      <c r="F179" s="143" t="inlineStr">
        <is>
          <t>LACQUER</t>
        </is>
      </c>
      <c r="G179" s="143" t="n">
        <v>4155</v>
      </c>
      <c r="H179" s="143" t="inlineStr">
        <is>
          <t>E/P LACQUER 4000 A/R</t>
        </is>
      </c>
      <c r="I179" s="145" t="inlineStr">
        <is>
          <t>kg</t>
        </is>
      </c>
      <c r="J179" s="146" t="n">
        <v>0.2959</v>
      </c>
      <c r="K179" s="147" t="inlineStr">
        <is>
          <t>Lacquer</t>
        </is>
      </c>
      <c r="L179" s="147" t="n">
        <v>0.1</v>
      </c>
      <c r="M179" s="147" t="n"/>
      <c r="N179" s="147" t="n"/>
      <c r="O179" s="147" t="n"/>
      <c r="P179" s="147" t="n"/>
      <c r="Q179" s="148" t="n"/>
    </row>
    <row r="180" ht="15" customHeight="1" s="249">
      <c r="A180" s="143" t="n">
        <v>4050</v>
      </c>
      <c r="B180" s="143" t="n">
        <v>19</v>
      </c>
      <c r="C180" s="143" t="inlineStr">
        <is>
          <t>Professional Beauty Solution (PVT) LTD.Pakistan</t>
        </is>
      </c>
      <c r="D180" s="144" t="inlineStr">
        <is>
          <t>EAZICOLOR PREMIUM HAIR COLOUR 60ML</t>
        </is>
      </c>
      <c r="E180" s="143" t="n">
        <v>30</v>
      </c>
      <c r="F180" s="143" t="inlineStr">
        <is>
          <t>TAPE</t>
        </is>
      </c>
      <c r="G180" s="143" t="n">
        <v>3635</v>
      </c>
      <c r="H180" s="143" t="inlineStr">
        <is>
          <t>PACKING TAPE 2" OF 60 YARDS</t>
        </is>
      </c>
      <c r="I180" s="145" t="inlineStr">
        <is>
          <t>PCS</t>
        </is>
      </c>
      <c r="J180" s="146" t="n">
        <v>0.156</v>
      </c>
      <c r="K180" s="147" t="inlineStr">
        <is>
          <t>Packing Tape</t>
        </is>
      </c>
      <c r="L180" s="147" t="n">
        <v>0.1</v>
      </c>
      <c r="M180" s="147" t="n"/>
      <c r="N180" s="147" t="n"/>
      <c r="O180" s="147" t="n"/>
      <c r="P180" s="147" t="n"/>
      <c r="Q180" s="148" t="n"/>
    </row>
    <row r="181" ht="15" customHeight="1" s="249">
      <c r="A181" s="143" t="n">
        <v>4050</v>
      </c>
      <c r="B181" s="143" t="n">
        <v>19</v>
      </c>
      <c r="C181" s="143" t="inlineStr">
        <is>
          <t>Professional Beauty Solution (PVT) LTD.Pakistan</t>
        </is>
      </c>
      <c r="D181" s="144" t="inlineStr">
        <is>
          <t>EAZICOLOR PREMIUM HAIR COLOUR 60ML</t>
        </is>
      </c>
      <c r="E181" s="143" t="n">
        <v>30</v>
      </c>
      <c r="F181" s="143" t="inlineStr">
        <is>
          <t>JALI</t>
        </is>
      </c>
      <c r="G181" s="143" t="n">
        <v>57</v>
      </c>
      <c r="H181" s="143" t="inlineStr">
        <is>
          <t>30X150 J</t>
        </is>
      </c>
      <c r="I181" s="145" t="inlineStr">
        <is>
          <t>pcs</t>
        </is>
      </c>
      <c r="J181" s="146" t="n">
        <v>6.666</v>
      </c>
      <c r="K181" s="147" t="inlineStr">
        <is>
          <t>Jali</t>
        </is>
      </c>
      <c r="L181" s="147" t="n">
        <v>0.1</v>
      </c>
      <c r="M181" s="149" t="n"/>
      <c r="N181" s="147" t="n"/>
      <c r="O181" s="147" t="n"/>
      <c r="P181" s="147" t="n"/>
      <c r="Q181" s="148" t="n"/>
    </row>
    <row r="182" ht="15" customHeight="1" s="249">
      <c r="A182" s="143" t="n">
        <v>6312</v>
      </c>
      <c r="B182" s="143" t="n">
        <v>157</v>
      </c>
      <c r="C182" s="143" t="inlineStr">
        <is>
          <t>Professional Beauty Solution (PVT) LTD.Pakistan</t>
        </is>
      </c>
      <c r="D182" s="144" t="inlineStr">
        <is>
          <t>HIBA S HAIR COLOR 60ML</t>
        </is>
      </c>
      <c r="E182" s="143" t="n">
        <v>30</v>
      </c>
      <c r="F182" s="143" t="inlineStr">
        <is>
          <t>SLUG</t>
        </is>
      </c>
      <c r="G182" s="143" t="n">
        <v>406</v>
      </c>
      <c r="H182" s="143" t="inlineStr">
        <is>
          <t>30X4.5 S/M</t>
        </is>
      </c>
      <c r="I182" s="145" t="inlineStr">
        <is>
          <t>kg</t>
        </is>
      </c>
      <c r="J182" s="146" t="n">
        <v>8</v>
      </c>
      <c r="K182" s="147" t="inlineStr">
        <is>
          <t>Aluminum Slugs</t>
        </is>
      </c>
      <c r="L182" s="147" t="n">
        <v>0.1</v>
      </c>
      <c r="M182" s="149" t="inlineStr">
        <is>
          <t>Slug changed 30X4.3 (ID 2) → 30X4.5 S/M (ID 406) per Sikander 21-Apr-2026. ERP update required.</t>
        </is>
      </c>
      <c r="N182" s="147" t="n"/>
      <c r="O182" s="147" t="n"/>
      <c r="P182" s="147" t="n"/>
      <c r="Q182" s="148" t="n"/>
    </row>
    <row r="183" ht="15" customHeight="1" s="249">
      <c r="A183" s="143" t="n">
        <v>6312</v>
      </c>
      <c r="B183" s="143" t="n">
        <v>157</v>
      </c>
      <c r="C183" s="143" t="inlineStr">
        <is>
          <t>Professional Beauty Solution (PVT) LTD.Pakistan</t>
        </is>
      </c>
      <c r="D183" s="144" t="inlineStr">
        <is>
          <t>HIBA S HAIR COLOR 60ML</t>
        </is>
      </c>
      <c r="E183" s="143" t="n">
        <v>30</v>
      </c>
      <c r="F183" s="143" t="inlineStr">
        <is>
          <t>BASE COAT</t>
        </is>
      </c>
      <c r="G183" s="143" t="n">
        <v>3595</v>
      </c>
      <c r="H183" s="143" t="inlineStr">
        <is>
          <t>POLYSTER BASE COAT WHITE 234</t>
        </is>
      </c>
      <c r="I183" s="145" t="inlineStr">
        <is>
          <t>kg</t>
        </is>
      </c>
      <c r="J183" s="146" t="n">
        <v>0.67</v>
      </c>
      <c r="K183" s="147" t="inlineStr">
        <is>
          <t>Base Coat</t>
        </is>
      </c>
      <c r="L183" s="147" t="n">
        <v>0.1</v>
      </c>
      <c r="M183" s="149" t="inlineStr">
        <is>
          <t>NEW material line added manually v9.30 (16-Apr-2026) — Add to ERP BOM</t>
        </is>
      </c>
      <c r="N183" s="147" t="n"/>
      <c r="O183" s="147" t="n"/>
      <c r="P183" s="147" t="n"/>
      <c r="Q183" s="148" t="n"/>
    </row>
    <row r="184" ht="15" customHeight="1" s="249">
      <c r="A184" s="143" t="n">
        <v>6312</v>
      </c>
      <c r="B184" s="143" t="n">
        <v>157</v>
      </c>
      <c r="C184" s="143" t="inlineStr">
        <is>
          <t>Professional Beauty Solution (PVT) LTD.Pakistan</t>
        </is>
      </c>
      <c r="D184" s="144" t="inlineStr">
        <is>
          <t>HIBA S HAIR COLOR 60ML</t>
        </is>
      </c>
      <c r="E184" s="143" t="n">
        <v>30</v>
      </c>
      <c r="F184" s="143" t="inlineStr">
        <is>
          <t>CARTON</t>
        </is>
      </c>
      <c r="G184" s="143" t="n">
        <v>45</v>
      </c>
      <c r="H184" s="143" t="inlineStr">
        <is>
          <t>30X150 3Ply</t>
        </is>
      </c>
      <c r="I184" s="145" t="inlineStr">
        <is>
          <t>PCS</t>
        </is>
      </c>
      <c r="J184" s="146" t="n">
        <v>6.6666</v>
      </c>
      <c r="K184" s="147" t="inlineStr">
        <is>
          <t>Cartons</t>
        </is>
      </c>
      <c r="L184" s="147" t="n">
        <v>0.1</v>
      </c>
      <c r="M184" s="149" t="n"/>
      <c r="N184" s="147" t="n"/>
      <c r="O184" s="147" t="n"/>
      <c r="P184" s="147" t="n"/>
      <c r="Q184" s="148" t="n"/>
    </row>
    <row r="185" ht="15" customHeight="1" s="249">
      <c r="A185" s="143" t="n">
        <v>6312</v>
      </c>
      <c r="B185" s="143" t="n">
        <v>157</v>
      </c>
      <c r="C185" s="143" t="inlineStr">
        <is>
          <t>Professional Beauty Solution (PVT) LTD.Pakistan</t>
        </is>
      </c>
      <c r="D185" s="144" t="inlineStr">
        <is>
          <t>HIBA S HAIR COLOR 60ML</t>
        </is>
      </c>
      <c r="E185" s="143" t="n">
        <v>30</v>
      </c>
      <c r="F185" s="143" t="inlineStr">
        <is>
          <t>LACQUER</t>
        </is>
      </c>
      <c r="G185" s="143" t="n">
        <v>4155</v>
      </c>
      <c r="H185" s="143" t="inlineStr">
        <is>
          <t>E/P LACQUER 4000 A/R</t>
        </is>
      </c>
      <c r="I185" s="145" t="inlineStr">
        <is>
          <t>kg</t>
        </is>
      </c>
      <c r="J185" s="146" t="n">
        <v>0.28</v>
      </c>
      <c r="K185" s="147" t="inlineStr">
        <is>
          <t>Lacquer</t>
        </is>
      </c>
      <c r="L185" s="147" t="n">
        <v>0.1</v>
      </c>
      <c r="M185" s="149" t="inlineStr">
        <is>
          <t>NEW material line added manually v9.30 (16-Apr-2026) — Add to ERP BOM</t>
        </is>
      </c>
      <c r="N185" s="147" t="n"/>
      <c r="O185" s="147" t="n"/>
      <c r="P185" s="147" t="n"/>
      <c r="Q185" s="148" t="n"/>
    </row>
    <row r="186" ht="15" customHeight="1" s="249">
      <c r="A186" s="143" t="n">
        <v>6312</v>
      </c>
      <c r="B186" s="143" t="n">
        <v>157</v>
      </c>
      <c r="C186" s="143" t="inlineStr">
        <is>
          <t>Professional Beauty Solution (PVT) LTD.Pakistan</t>
        </is>
      </c>
      <c r="D186" s="144" t="inlineStr">
        <is>
          <t>HIBA S HAIR COLOR 60ML</t>
        </is>
      </c>
      <c r="E186" s="143" t="n">
        <v>30</v>
      </c>
      <c r="F186" s="143" t="inlineStr">
        <is>
          <t>TAPE</t>
        </is>
      </c>
      <c r="G186" s="143" t="n">
        <v>3635</v>
      </c>
      <c r="H186" s="143" t="inlineStr">
        <is>
          <t>PACKING TAPE 2" OF 60 YARDS</t>
        </is>
      </c>
      <c r="I186" s="145" t="inlineStr">
        <is>
          <t>PCS</t>
        </is>
      </c>
      <c r="J186" s="146" t="n">
        <v>0.156</v>
      </c>
      <c r="K186" s="147" t="inlineStr">
        <is>
          <t>Tape</t>
        </is>
      </c>
      <c r="L186" s="147" t="n">
        <v>0.1</v>
      </c>
      <c r="M186" s="147" t="n"/>
      <c r="N186" s="147" t="n"/>
      <c r="O186" s="147" t="n"/>
      <c r="P186" s="147" t="n"/>
      <c r="Q186" s="148" t="n"/>
    </row>
    <row r="187" ht="15" customHeight="1" s="249">
      <c r="A187" s="143" t="n">
        <v>6312</v>
      </c>
      <c r="B187" s="143" t="n">
        <v>157</v>
      </c>
      <c r="C187" s="143" t="inlineStr">
        <is>
          <t>Professional Beauty Solution (PVT) LTD.Pakistan</t>
        </is>
      </c>
      <c r="D187" s="144" t="inlineStr">
        <is>
          <t>HIBA S HAIR COLOR 60ML</t>
        </is>
      </c>
      <c r="E187" s="143" t="n">
        <v>30</v>
      </c>
      <c r="F187" s="143" t="inlineStr">
        <is>
          <t>JALI</t>
        </is>
      </c>
      <c r="G187" s="143" t="n">
        <v>57</v>
      </c>
      <c r="H187" s="143" t="inlineStr">
        <is>
          <t>30X150 J</t>
        </is>
      </c>
      <c r="I187" s="145" t="inlineStr">
        <is>
          <t>pcs</t>
        </is>
      </c>
      <c r="J187" s="146" t="n">
        <v>6.6666</v>
      </c>
      <c r="K187" s="147" t="inlineStr">
        <is>
          <t>Jali</t>
        </is>
      </c>
      <c r="L187" s="147" t="n">
        <v>0.1</v>
      </c>
      <c r="M187" s="149" t="n"/>
      <c r="N187" s="147" t="n"/>
      <c r="O187" s="147" t="n"/>
      <c r="P187" s="147" t="n"/>
      <c r="Q187" s="148" t="n"/>
    </row>
    <row r="188" ht="15" customHeight="1" s="249">
      <c r="A188" s="143" t="n">
        <v>6312</v>
      </c>
      <c r="B188" s="143" t="n">
        <v>157</v>
      </c>
      <c r="C188" s="143" t="inlineStr">
        <is>
          <t>Professional Beauty Solution (PVT) LTD.Pakistan</t>
        </is>
      </c>
      <c r="D188" s="144" t="inlineStr">
        <is>
          <t>HIBA S HAIR COLOR 60ML</t>
        </is>
      </c>
      <c r="E188" s="143" t="n">
        <v>30</v>
      </c>
      <c r="F188" s="143" t="inlineStr">
        <is>
          <t>ZINC POWDER</t>
        </is>
      </c>
      <c r="G188" s="143" t="n">
        <v>194</v>
      </c>
      <c r="H188" s="143" t="inlineStr">
        <is>
          <t>ZINC STEARATE</t>
        </is>
      </c>
      <c r="I188" s="145" t="inlineStr">
        <is>
          <t>kg</t>
        </is>
      </c>
      <c r="J188" s="146" t="n">
        <v>0.008319999999999999</v>
      </c>
      <c r="K188" s="147" t="inlineStr">
        <is>
          <t>ZINC POWDER</t>
        </is>
      </c>
      <c r="L188" s="147" t="n">
        <v>0.1</v>
      </c>
      <c r="M188" s="149" t="inlineStr">
        <is>
          <t>Replaces Item 4165 (ZINC ARCHIMATE). ERP BOM update required.</t>
        </is>
      </c>
      <c r="N188" s="147" t="n"/>
      <c r="O188" s="147" t="n"/>
      <c r="P188" s="147" t="n"/>
      <c r="Q188" s="148" t="n"/>
    </row>
    <row r="189" ht="15" customHeight="1" s="249">
      <c r="A189" s="143" t="n">
        <v>6595</v>
      </c>
      <c r="B189" s="143" t="n">
        <v>191</v>
      </c>
      <c r="C189" s="143" t="inlineStr">
        <is>
          <t>Seatle (Private) Limited</t>
        </is>
      </c>
      <c r="D189" s="144" t="inlineStr">
        <is>
          <t>DOWFEN GEL 50G</t>
        </is>
      </c>
      <c r="E189" s="143" t="n">
        <v>30</v>
      </c>
      <c r="F189" s="143" t="inlineStr">
        <is>
          <t>SLUG</t>
        </is>
      </c>
      <c r="G189" s="143" t="n">
        <v>406</v>
      </c>
      <c r="H189" s="143" t="inlineStr">
        <is>
          <t>30X4.5 S/M</t>
        </is>
      </c>
      <c r="I189" s="145" t="inlineStr">
        <is>
          <t>kg</t>
        </is>
      </c>
      <c r="J189" s="146" t="n">
        <v>8</v>
      </c>
      <c r="K189" s="147" t="inlineStr">
        <is>
          <t>Aluminum Slugs</t>
        </is>
      </c>
      <c r="L189" s="147" t="n">
        <v>0.1</v>
      </c>
      <c r="M189" s="149" t="inlineStr">
        <is>
          <t>Slug changed 30X4.3 (ID 2) → 30X4.5 S/M (ID 406) per Sikander 21-Apr-2026. ERP update required.</t>
        </is>
      </c>
      <c r="N189" s="147" t="n"/>
      <c r="O189" s="147" t="n"/>
      <c r="P189" s="147" t="n"/>
      <c r="Q189" s="148" t="n"/>
    </row>
    <row r="190" ht="15" customHeight="1" s="249">
      <c r="A190" s="143" t="n">
        <v>6595</v>
      </c>
      <c r="B190" s="143" t="n">
        <v>191</v>
      </c>
      <c r="C190" s="143" t="inlineStr">
        <is>
          <t>Seatle (Private) Limited</t>
        </is>
      </c>
      <c r="D190" s="144" t="inlineStr">
        <is>
          <t>DOWFEN GEL 50G</t>
        </is>
      </c>
      <c r="E190" s="143" t="n">
        <v>30</v>
      </c>
      <c r="F190" s="143" t="inlineStr">
        <is>
          <t>BASE COAT</t>
        </is>
      </c>
      <c r="G190" s="143" t="n">
        <v>3595</v>
      </c>
      <c r="H190" s="143" t="inlineStr">
        <is>
          <t>POLYSTER BASE COAT WHITE 234</t>
        </is>
      </c>
      <c r="I190" s="145" t="inlineStr">
        <is>
          <t>kg</t>
        </is>
      </c>
      <c r="J190" s="146" t="n">
        <v>0.67</v>
      </c>
      <c r="K190" s="147" t="inlineStr">
        <is>
          <t>Base Coat</t>
        </is>
      </c>
      <c r="L190" s="147" t="n">
        <v>0.1</v>
      </c>
      <c r="M190" s="149" t="inlineStr">
        <is>
          <t>Item name kept as ERP ('POLYSTER BASE COAT WHITE 234'). Rehan wrote 'BASE COAT WHITE 23410 CT' — corrected. (16-Apr-2026) — Verify in ERP</t>
        </is>
      </c>
      <c r="N190" s="147" t="n"/>
      <c r="O190" s="147" t="n"/>
      <c r="P190" s="147" t="n"/>
      <c r="Q190" s="148" t="n"/>
    </row>
    <row r="191" ht="15" customHeight="1" s="249">
      <c r="A191" s="143" t="n">
        <v>6595</v>
      </c>
      <c r="B191" s="143" t="n">
        <v>191</v>
      </c>
      <c r="C191" s="143" t="inlineStr">
        <is>
          <t>Seatle (Private) Limited</t>
        </is>
      </c>
      <c r="D191" s="144" t="inlineStr">
        <is>
          <t>DOWFEN GEL 50G</t>
        </is>
      </c>
      <c r="E191" s="143" t="n">
        <v>30</v>
      </c>
      <c r="F191" s="143" t="inlineStr">
        <is>
          <t>LATEX</t>
        </is>
      </c>
      <c r="G191" s="143" t="n">
        <v>186</v>
      </c>
      <c r="H191" s="143" t="inlineStr">
        <is>
          <t>LATEX IMP 574010002</t>
        </is>
      </c>
      <c r="I191" s="145" t="inlineStr">
        <is>
          <t>kg</t>
        </is>
      </c>
      <c r="J191" s="146" t="n">
        <v>0.28</v>
      </c>
      <c r="K191" s="147" t="inlineStr">
        <is>
          <t>Latex</t>
        </is>
      </c>
      <c r="L191" s="147" t="n">
        <v>0.1</v>
      </c>
      <c r="M191" s="147" t="n"/>
      <c r="N191" s="147" t="n"/>
      <c r="O191" s="147" t="n"/>
      <c r="P191" s="147" t="n"/>
      <c r="Q191" s="148" t="n"/>
    </row>
    <row r="192" ht="15" customHeight="1" s="249">
      <c r="A192" s="143" t="n">
        <v>6595</v>
      </c>
      <c r="B192" s="143" t="n">
        <v>191</v>
      </c>
      <c r="C192" s="143" t="inlineStr">
        <is>
          <t>Seatle (Private) Limited</t>
        </is>
      </c>
      <c r="D192" s="144" t="inlineStr">
        <is>
          <t>DOWFEN GEL 50G</t>
        </is>
      </c>
      <c r="E192" s="143" t="n">
        <v>30</v>
      </c>
      <c r="F192" s="143" t="inlineStr">
        <is>
          <t>CAP</t>
        </is>
      </c>
      <c r="G192" s="143" t="n">
        <v>3211</v>
      </c>
      <c r="H192" s="143" t="inlineStr">
        <is>
          <t>M-9 S/M SPR WHITE DIA 22 AUTO</t>
        </is>
      </c>
      <c r="I192" s="145" t="inlineStr">
        <is>
          <t>PCS</t>
        </is>
      </c>
      <c r="J192" s="146" t="n">
        <v>1000</v>
      </c>
      <c r="K192" s="147" t="inlineStr">
        <is>
          <t>Caps</t>
        </is>
      </c>
      <c r="L192" s="147" t="n">
        <v>0.02</v>
      </c>
      <c r="M192" s="149" t="inlineStr">
        <is>
          <t>Value changed manually v9.30 (16-Apr-2026) — Update in ERP BOM</t>
        </is>
      </c>
      <c r="N192" s="147" t="n"/>
      <c r="O192" s="147" t="n"/>
      <c r="P192" s="147" t="n"/>
      <c r="Q192" s="148" t="n"/>
    </row>
    <row r="193" ht="15" customHeight="1" s="249">
      <c r="A193" s="143" t="n">
        <v>6595</v>
      </c>
      <c r="B193" s="143" t="n">
        <v>191</v>
      </c>
      <c r="C193" s="143" t="inlineStr">
        <is>
          <t>Seatle (Private) Limited</t>
        </is>
      </c>
      <c r="D193" s="144" t="inlineStr">
        <is>
          <t>DOWFEN GEL 50G</t>
        </is>
      </c>
      <c r="E193" s="143" t="n">
        <v>30</v>
      </c>
      <c r="F193" s="143" t="inlineStr">
        <is>
          <t>CARTON</t>
        </is>
      </c>
      <c r="G193" s="143" t="n">
        <v>3598</v>
      </c>
      <c r="H193" s="143" t="inlineStr">
        <is>
          <t>25x336 5Ply</t>
        </is>
      </c>
      <c r="I193" s="145" t="inlineStr">
        <is>
          <t>PCS</t>
        </is>
      </c>
      <c r="J193" s="146" t="n">
        <v>4.2016</v>
      </c>
      <c r="K193" s="147" t="inlineStr">
        <is>
          <t>Cartons</t>
        </is>
      </c>
      <c r="L193" s="147" t="n">
        <v>0.1</v>
      </c>
      <c r="M193" s="147" t="n"/>
      <c r="N193" s="147" t="n"/>
      <c r="O193" s="147" t="n"/>
      <c r="P193" s="147" t="n"/>
      <c r="Q193" s="148" t="n"/>
    </row>
    <row r="194" ht="15" customHeight="1" s="249">
      <c r="A194" s="143" t="n">
        <v>6595</v>
      </c>
      <c r="B194" s="143" t="n">
        <v>191</v>
      </c>
      <c r="C194" s="143" t="inlineStr">
        <is>
          <t>Seatle (Private) Limited</t>
        </is>
      </c>
      <c r="D194" s="144" t="inlineStr">
        <is>
          <t>DOWFEN GEL 50G</t>
        </is>
      </c>
      <c r="E194" s="143" t="n">
        <v>30</v>
      </c>
      <c r="F194" s="143" t="inlineStr">
        <is>
          <t>LACQUER</t>
        </is>
      </c>
      <c r="G194" s="143" t="n">
        <v>185</v>
      </c>
      <c r="H194" s="143" t="inlineStr">
        <is>
          <t>EPOXY LACQUER (1500)</t>
        </is>
      </c>
      <c r="I194" s="145" t="inlineStr">
        <is>
          <t>L</t>
        </is>
      </c>
      <c r="J194" s="146" t="n">
        <v>0.28</v>
      </c>
      <c r="K194" s="147" t="inlineStr">
        <is>
          <t>Lacquer</t>
        </is>
      </c>
      <c r="L194" s="147" t="n">
        <v>0.1</v>
      </c>
      <c r="M194" s="147" t="n"/>
      <c r="N194" s="147" t="n"/>
      <c r="O194" s="147" t="n"/>
      <c r="P194" s="147" t="n"/>
      <c r="Q194" s="148" t="n"/>
    </row>
    <row r="195" ht="15" customHeight="1" s="249">
      <c r="A195" s="143" t="n">
        <v>6595</v>
      </c>
      <c r="B195" s="143" t="n">
        <v>191</v>
      </c>
      <c r="C195" s="143" t="inlineStr">
        <is>
          <t>Seatle (Private) Limited</t>
        </is>
      </c>
      <c r="D195" s="144" t="inlineStr">
        <is>
          <t>DOWFEN GEL 50G</t>
        </is>
      </c>
      <c r="E195" s="143" t="n">
        <v>30</v>
      </c>
      <c r="F195" s="143" t="inlineStr">
        <is>
          <t>ZINC POWDER</t>
        </is>
      </c>
      <c r="G195" s="143" t="n">
        <v>194</v>
      </c>
      <c r="H195" s="143" t="inlineStr">
        <is>
          <t>ZINC STEARATE</t>
        </is>
      </c>
      <c r="I195" s="145" t="inlineStr">
        <is>
          <t>kg</t>
        </is>
      </c>
      <c r="J195" s="146" t="n">
        <v>0.008322</v>
      </c>
      <c r="K195" s="147" t="inlineStr">
        <is>
          <t>Zinc Stearate</t>
        </is>
      </c>
      <c r="L195" s="147" t="n">
        <v>0.1</v>
      </c>
      <c r="M195" s="147" t="n"/>
      <c r="N195" s="147" t="n"/>
      <c r="O195" s="147" t="n"/>
      <c r="P195" s="147" t="n"/>
      <c r="Q195" s="148" t="n"/>
    </row>
    <row r="196" ht="15" customHeight="1" s="249">
      <c r="A196" s="143" t="n">
        <v>6595</v>
      </c>
      <c r="B196" s="143" t="n">
        <v>191</v>
      </c>
      <c r="C196" s="143" t="inlineStr">
        <is>
          <t>Seatle (Private) Limited</t>
        </is>
      </c>
      <c r="D196" s="144" t="inlineStr">
        <is>
          <t>DOWFEN GEL 50G</t>
        </is>
      </c>
      <c r="E196" s="143" t="n">
        <v>30</v>
      </c>
      <c r="F196" s="143" t="inlineStr">
        <is>
          <t>TAPE</t>
        </is>
      </c>
      <c r="G196" s="143" t="n">
        <v>3635</v>
      </c>
      <c r="H196" s="143" t="inlineStr">
        <is>
          <t>PACKING TAPE 2" OF 60 YARDS</t>
        </is>
      </c>
      <c r="I196" s="145" t="inlineStr">
        <is>
          <t>PCS</t>
        </is>
      </c>
      <c r="J196" s="146" t="n">
        <v>0.156</v>
      </c>
      <c r="K196" s="147" t="inlineStr">
        <is>
          <t>Packing Tape</t>
        </is>
      </c>
      <c r="L196" s="147" t="n">
        <v>0.1</v>
      </c>
      <c r="M196" s="149" t="n"/>
      <c r="N196" s="147" t="n"/>
      <c r="O196" s="147" t="n"/>
      <c r="P196" s="147" t="n"/>
      <c r="Q196" s="148" t="n"/>
    </row>
    <row r="197" ht="15" customHeight="1" s="249">
      <c r="A197" s="143" t="n">
        <v>5782</v>
      </c>
      <c r="B197" s="143" t="n">
        <v>70</v>
      </c>
      <c r="C197" s="143" t="inlineStr">
        <is>
          <t>Mega Grey</t>
        </is>
      </c>
      <c r="D197" s="144" t="inlineStr">
        <is>
          <t>M.G</t>
        </is>
      </c>
      <c r="E197" s="143" t="n">
        <v>32</v>
      </c>
      <c r="F197" s="143" t="inlineStr">
        <is>
          <t>SLUG</t>
        </is>
      </c>
      <c r="G197" s="143" t="n">
        <v>3935</v>
      </c>
      <c r="H197" s="143" t="inlineStr">
        <is>
          <t>32x5.0</t>
        </is>
      </c>
      <c r="I197" s="145" t="inlineStr">
        <is>
          <t>kg</t>
        </is>
      </c>
      <c r="J197" s="146" t="n">
        <v>10.8632</v>
      </c>
      <c r="K197" s="147" t="inlineStr">
        <is>
          <t>Aluminum Slugs</t>
        </is>
      </c>
      <c r="L197" s="147" t="n">
        <v>0.1</v>
      </c>
      <c r="M197" s="147" t="n"/>
      <c r="N197" s="147" t="n"/>
      <c r="O197" s="147" t="n"/>
      <c r="P197" s="147" t="n"/>
      <c r="Q197" s="148" t="n"/>
    </row>
    <row r="198" ht="15" customHeight="1" s="249">
      <c r="A198" s="143" t="n">
        <v>5782</v>
      </c>
      <c r="B198" s="143" t="n">
        <v>70</v>
      </c>
      <c r="C198" s="143" t="inlineStr">
        <is>
          <t>Mega Grey</t>
        </is>
      </c>
      <c r="D198" s="144" t="inlineStr">
        <is>
          <t>M.G</t>
        </is>
      </c>
      <c r="E198" s="143" t="n">
        <v>32</v>
      </c>
      <c r="F198" s="143" t="inlineStr">
        <is>
          <t>BASE COAT</t>
        </is>
      </c>
      <c r="G198" s="143" t="n">
        <v>3595</v>
      </c>
      <c r="H198" s="143" t="inlineStr">
        <is>
          <t>POLYSTER BASE COAT WHITE 234</t>
        </is>
      </c>
      <c r="I198" s="145" t="inlineStr">
        <is>
          <t>kg</t>
        </is>
      </c>
      <c r="J198" s="146" t="n">
        <v>0.78</v>
      </c>
      <c r="K198" s="147" t="inlineStr">
        <is>
          <t>Base Coat</t>
        </is>
      </c>
      <c r="L198" s="147" t="n">
        <v>0.1</v>
      </c>
      <c r="M198" s="149" t="inlineStr">
        <is>
          <t>NEW material line added manually v9.30 (16-Apr-2026) — Add to ERP BOM</t>
        </is>
      </c>
      <c r="N198" s="147" t="n"/>
      <c r="O198" s="147" t="n"/>
      <c r="P198" s="147" t="n"/>
      <c r="Q198" s="148" t="n"/>
    </row>
    <row r="199" ht="15" customHeight="1" s="249">
      <c r="A199" s="143" t="n">
        <v>5782</v>
      </c>
      <c r="B199" s="143" t="n">
        <v>70</v>
      </c>
      <c r="C199" s="143" t="inlineStr">
        <is>
          <t>Mega Grey</t>
        </is>
      </c>
      <c r="D199" s="144" t="inlineStr">
        <is>
          <t>M.G</t>
        </is>
      </c>
      <c r="E199" s="143" t="n">
        <v>32</v>
      </c>
      <c r="F199" s="143" t="inlineStr">
        <is>
          <t>LATEX</t>
        </is>
      </c>
      <c r="G199" s="143" t="n">
        <v>186</v>
      </c>
      <c r="H199" s="143" t="inlineStr">
        <is>
          <t>LATEX IMP 574010002</t>
        </is>
      </c>
      <c r="I199" s="145" t="inlineStr">
        <is>
          <t>kg</t>
        </is>
      </c>
      <c r="J199" s="146" t="n">
        <v>0.7</v>
      </c>
      <c r="K199" s="147" t="inlineStr">
        <is>
          <t>Latex</t>
        </is>
      </c>
      <c r="L199" s="147" t="n">
        <v>0.1</v>
      </c>
      <c r="M199" s="147" t="n"/>
      <c r="N199" s="147" t="n"/>
      <c r="O199" s="147" t="n"/>
      <c r="P199" s="147" t="n"/>
      <c r="Q199" s="148" t="n"/>
    </row>
    <row r="200" ht="15" customHeight="1" s="249">
      <c r="A200" s="143" t="n">
        <v>5782</v>
      </c>
      <c r="B200" s="143" t="n">
        <v>70</v>
      </c>
      <c r="C200" s="143" t="inlineStr">
        <is>
          <t>Mega Grey</t>
        </is>
      </c>
      <c r="D200" s="144" t="inlineStr">
        <is>
          <t>M.G</t>
        </is>
      </c>
      <c r="E200" s="143" t="n">
        <v>32</v>
      </c>
      <c r="F200" s="143" t="inlineStr">
        <is>
          <t>CAP</t>
        </is>
      </c>
      <c r="G200" s="143" t="n">
        <v>1285</v>
      </c>
      <c r="H200" s="143" t="inlineStr">
        <is>
          <t>M-11 S/M F/P WHITE (LARGE)</t>
        </is>
      </c>
      <c r="I200" s="145" t="inlineStr">
        <is>
          <t>PCS</t>
        </is>
      </c>
      <c r="J200" s="146" t="n">
        <v>1000</v>
      </c>
      <c r="K200" s="147" t="inlineStr">
        <is>
          <t>Caps</t>
        </is>
      </c>
      <c r="L200" s="147" t="n">
        <v>0.02</v>
      </c>
      <c r="M200" s="149" t="inlineStr">
        <is>
          <t>Value changed manually v9.30 (16-Apr-2026) — Update in ERP BOM</t>
        </is>
      </c>
      <c r="N200" s="147" t="n"/>
      <c r="O200" s="147" t="n"/>
      <c r="P200" s="147" t="n"/>
      <c r="Q200" s="148" t="n"/>
    </row>
    <row r="201" ht="15" customHeight="1" s="249">
      <c r="A201" s="143" t="n">
        <v>5782</v>
      </c>
      <c r="B201" s="143" t="n">
        <v>70</v>
      </c>
      <c r="C201" s="143" t="inlineStr">
        <is>
          <t>Mega Grey</t>
        </is>
      </c>
      <c r="D201" s="144" t="inlineStr">
        <is>
          <t>M.G</t>
        </is>
      </c>
      <c r="E201" s="143" t="n">
        <v>32</v>
      </c>
      <c r="F201" s="143" t="inlineStr">
        <is>
          <t>CARTON</t>
        </is>
      </c>
      <c r="G201" s="143" t="n">
        <v>3988</v>
      </c>
      <c r="H201" s="143" t="inlineStr">
        <is>
          <t>35x180 5ply</t>
        </is>
      </c>
      <c r="I201" s="145" t="inlineStr">
        <is>
          <t>PCS</t>
        </is>
      </c>
      <c r="J201" s="146" t="n">
        <v>6.06</v>
      </c>
      <c r="K201" s="147" t="inlineStr">
        <is>
          <t>Cartons</t>
        </is>
      </c>
      <c r="L201" s="147" t="n">
        <v>0.1</v>
      </c>
      <c r="M201" s="149" t="n"/>
      <c r="N201" s="147" t="n"/>
      <c r="O201" s="147" t="n"/>
      <c r="P201" s="147" t="n"/>
      <c r="Q201" s="148" t="n"/>
    </row>
    <row r="202" ht="15" customHeight="1" s="249">
      <c r="A202" s="143" t="n">
        <v>5782</v>
      </c>
      <c r="B202" s="143" t="n">
        <v>70</v>
      </c>
      <c r="C202" s="143" t="inlineStr">
        <is>
          <t>Mega Grey</t>
        </is>
      </c>
      <c r="D202" s="144" t="inlineStr">
        <is>
          <t>M.G</t>
        </is>
      </c>
      <c r="E202" s="143" t="n">
        <v>32</v>
      </c>
      <c r="F202" s="143" t="inlineStr">
        <is>
          <t>ZINC POWDER</t>
        </is>
      </c>
      <c r="G202" s="143" t="n">
        <v>194</v>
      </c>
      <c r="H202" s="143" t="inlineStr">
        <is>
          <t>ZINC STEARATE</t>
        </is>
      </c>
      <c r="I202" s="145" t="inlineStr">
        <is>
          <t>kg</t>
        </is>
      </c>
      <c r="J202" s="146" t="n">
        <v>0.009599999999999999</v>
      </c>
      <c r="K202" s="147" t="inlineStr">
        <is>
          <t>Zinc Stearate</t>
        </is>
      </c>
      <c r="L202" s="147" t="n">
        <v>0.1</v>
      </c>
      <c r="M202" s="147" t="n"/>
      <c r="N202" s="147" t="n"/>
      <c r="O202" s="147" t="n"/>
      <c r="P202" s="147" t="n"/>
      <c r="Q202" s="148" t="n"/>
    </row>
    <row r="203" ht="15" customHeight="1" s="249">
      <c r="A203" s="143" t="n">
        <v>5782</v>
      </c>
      <c r="B203" s="143" t="n">
        <v>70</v>
      </c>
      <c r="C203" s="143" t="inlineStr">
        <is>
          <t>Mega Grey</t>
        </is>
      </c>
      <c r="D203" s="144" t="inlineStr">
        <is>
          <t>M.G</t>
        </is>
      </c>
      <c r="E203" s="143" t="n">
        <v>32</v>
      </c>
      <c r="F203" s="143" t="inlineStr">
        <is>
          <t>LACQUER</t>
        </is>
      </c>
      <c r="G203" s="143" t="n">
        <v>185</v>
      </c>
      <c r="H203" s="143" t="inlineStr">
        <is>
          <t>EPOXY LACQUER (1500)</t>
        </is>
      </c>
      <c r="I203" s="145" t="inlineStr">
        <is>
          <t>L</t>
        </is>
      </c>
      <c r="J203" s="146" t="n">
        <v>0.1785</v>
      </c>
      <c r="K203" s="147" t="inlineStr">
        <is>
          <t>Lacquer</t>
        </is>
      </c>
      <c r="L203" s="147" t="n">
        <v>0.1</v>
      </c>
      <c r="M203" s="149" t="inlineStr">
        <is>
          <t>NEW material line added manually v9.30 (16-Apr-2026) — Add to ERP BOM</t>
        </is>
      </c>
      <c r="N203" s="147" t="n"/>
      <c r="O203" s="147" t="n"/>
      <c r="P203" s="147" t="n"/>
      <c r="Q203" s="148" t="n"/>
    </row>
    <row r="204" ht="15" customHeight="1" s="249">
      <c r="A204" s="143" t="n">
        <v>5782</v>
      </c>
      <c r="B204" s="143" t="n">
        <v>70</v>
      </c>
      <c r="C204" s="143" t="inlineStr">
        <is>
          <t>Mega Grey</t>
        </is>
      </c>
      <c r="D204" s="144" t="inlineStr">
        <is>
          <t>M.G</t>
        </is>
      </c>
      <c r="E204" s="143" t="n">
        <v>32</v>
      </c>
      <c r="F204" s="143" t="inlineStr">
        <is>
          <t>TAPE</t>
        </is>
      </c>
      <c r="G204" s="143" t="n">
        <v>3635</v>
      </c>
      <c r="H204" s="143" t="inlineStr">
        <is>
          <t>PACKING TAPE 2" OF 60 YARDS</t>
        </is>
      </c>
      <c r="I204" s="145" t="inlineStr">
        <is>
          <t>PCS</t>
        </is>
      </c>
      <c r="J204" s="146" t="n">
        <v>0.168</v>
      </c>
      <c r="K204" s="147" t="inlineStr">
        <is>
          <t>Packing Tape</t>
        </is>
      </c>
      <c r="L204" s="147" t="n">
        <v>0.1</v>
      </c>
      <c r="M204" s="149" t="n"/>
      <c r="N204" s="147" t="n"/>
      <c r="O204" s="147" t="n"/>
      <c r="P204" s="147" t="n"/>
      <c r="Q204" s="148" t="n"/>
    </row>
    <row r="205" ht="15" customHeight="1" s="249">
      <c r="A205" s="143" t="n">
        <v>6515</v>
      </c>
      <c r="B205" s="143" t="n">
        <v>180</v>
      </c>
      <c r="C205" s="143" t="inlineStr">
        <is>
          <t>Hola Hair</t>
        </is>
      </c>
      <c r="D205" s="144" t="inlineStr">
        <is>
          <t>H.H 100GM</t>
        </is>
      </c>
      <c r="E205" s="143" t="n">
        <v>32</v>
      </c>
      <c r="F205" s="143" t="inlineStr">
        <is>
          <t>SLUG</t>
        </is>
      </c>
      <c r="G205" s="143" t="n">
        <v>3935</v>
      </c>
      <c r="H205" s="143" t="inlineStr">
        <is>
          <t>32x5.0</t>
        </is>
      </c>
      <c r="I205" s="145" t="inlineStr">
        <is>
          <t>kg</t>
        </is>
      </c>
      <c r="J205" s="146" t="n">
        <v>10.8632</v>
      </c>
      <c r="K205" s="147" t="inlineStr">
        <is>
          <t>Aluminum Slugs</t>
        </is>
      </c>
      <c r="L205" s="147" t="n">
        <v>0.1</v>
      </c>
      <c r="M205" s="147" t="inlineStr">
        <is>
          <t>Manually Changed from 5.0. Update needed in ERP</t>
        </is>
      </c>
      <c r="N205" s="147" t="n"/>
      <c r="O205" s="147" t="n"/>
      <c r="P205" s="147" t="n"/>
      <c r="Q205" s="148" t="n"/>
    </row>
    <row r="206" ht="15" customHeight="1" s="249">
      <c r="A206" s="143" t="n">
        <v>6515</v>
      </c>
      <c r="B206" s="143" t="n">
        <v>180</v>
      </c>
      <c r="C206" s="143" t="inlineStr">
        <is>
          <t>Hola Hair</t>
        </is>
      </c>
      <c r="D206" s="144" t="inlineStr">
        <is>
          <t>H.H 100GM</t>
        </is>
      </c>
      <c r="E206" s="143" t="n">
        <v>32</v>
      </c>
      <c r="F206" s="143" t="inlineStr">
        <is>
          <t>BASE COAT</t>
        </is>
      </c>
      <c r="G206" s="143" t="n">
        <v>3595</v>
      </c>
      <c r="H206" s="143" t="inlineStr">
        <is>
          <t>POLYSTER BASE COAT WHITE 234</t>
        </is>
      </c>
      <c r="I206" s="145" t="inlineStr">
        <is>
          <t>kg</t>
        </is>
      </c>
      <c r="J206" s="146" t="n">
        <v>0.78</v>
      </c>
      <c r="K206" s="147" t="inlineStr">
        <is>
          <t>Base Coat</t>
        </is>
      </c>
      <c r="L206" s="147" t="n">
        <v>0.1</v>
      </c>
      <c r="M206" s="149" t="inlineStr">
        <is>
          <t>Item name kept as ERP ('POLYSTER BASE COAT WHITE 234'). Rehan wrote 'BASE COAT WHITE 23410 CT' — corrected. (16-Apr-2026) — Verify in ERP</t>
        </is>
      </c>
      <c r="N206" s="147" t="n"/>
      <c r="O206" s="147" t="n"/>
      <c r="P206" s="147" t="n"/>
      <c r="Q206" s="148" t="n"/>
    </row>
    <row r="207" ht="15" customHeight="1" s="249">
      <c r="A207" s="143" t="n">
        <v>6515</v>
      </c>
      <c r="B207" s="143" t="n">
        <v>180</v>
      </c>
      <c r="C207" s="143" t="inlineStr">
        <is>
          <t>Hola Hair</t>
        </is>
      </c>
      <c r="D207" s="144" t="inlineStr">
        <is>
          <t>H.H 100GM</t>
        </is>
      </c>
      <c r="E207" s="143" t="n">
        <v>32</v>
      </c>
      <c r="F207" s="143" t="inlineStr">
        <is>
          <t>LATEX</t>
        </is>
      </c>
      <c r="G207" s="143" t="n">
        <v>186</v>
      </c>
      <c r="H207" s="143" t="inlineStr">
        <is>
          <t>LATEX IMP 574010002</t>
        </is>
      </c>
      <c r="I207" s="145" t="inlineStr">
        <is>
          <t>kg</t>
        </is>
      </c>
      <c r="J207" s="146" t="n">
        <v>0.7</v>
      </c>
      <c r="K207" s="147" t="inlineStr">
        <is>
          <t>Latex</t>
        </is>
      </c>
      <c r="L207" s="147" t="n">
        <v>0.1</v>
      </c>
      <c r="M207" s="147" t="n"/>
      <c r="N207" s="147" t="n"/>
      <c r="O207" s="147" t="n"/>
      <c r="P207" s="147" t="n"/>
      <c r="Q207" s="148" t="n"/>
    </row>
    <row r="208" ht="15" customHeight="1" s="249">
      <c r="A208" s="143" t="n">
        <v>6515</v>
      </c>
      <c r="B208" s="143" t="n">
        <v>180</v>
      </c>
      <c r="C208" s="143" t="inlineStr">
        <is>
          <t>Hola Hair</t>
        </is>
      </c>
      <c r="D208" s="144" t="inlineStr">
        <is>
          <t>H.H 100GM</t>
        </is>
      </c>
      <c r="E208" s="143" t="n">
        <v>32</v>
      </c>
      <c r="F208" s="143" t="inlineStr">
        <is>
          <t>CAP</t>
        </is>
      </c>
      <c r="G208" s="143" t="n">
        <v>1073</v>
      </c>
      <c r="H208" s="143" t="inlineStr">
        <is>
          <t>M-11 S/M F/P BLACK</t>
        </is>
      </c>
      <c r="I208" s="145" t="inlineStr">
        <is>
          <t>PCS</t>
        </is>
      </c>
      <c r="J208" s="146" t="n">
        <v>1000</v>
      </c>
      <c r="K208" s="147" t="inlineStr">
        <is>
          <t>Caps</t>
        </is>
      </c>
      <c r="L208" s="147" t="n">
        <v>0.02</v>
      </c>
      <c r="M208" s="149" t="inlineStr">
        <is>
          <t>Value changed manually v9.30 (16-Apr-2026) — Update in ERP BOM</t>
        </is>
      </c>
      <c r="N208" s="147" t="n"/>
      <c r="O208" s="147" t="n"/>
      <c r="P208" s="147" t="n"/>
      <c r="Q208" s="148" t="n"/>
    </row>
    <row r="209" ht="15" customHeight="1" s="249">
      <c r="A209" s="143" t="n">
        <v>6515</v>
      </c>
      <c r="B209" s="143" t="n">
        <v>180</v>
      </c>
      <c r="C209" s="143" t="inlineStr">
        <is>
          <t>Hola Hair</t>
        </is>
      </c>
      <c r="D209" s="144" t="inlineStr">
        <is>
          <t>H.H 100GM</t>
        </is>
      </c>
      <c r="E209" s="143" t="n">
        <v>32</v>
      </c>
      <c r="F209" s="143" t="inlineStr">
        <is>
          <t>CARTON</t>
        </is>
      </c>
      <c r="G209" s="143" t="n">
        <v>3988</v>
      </c>
      <c r="H209" s="143" t="inlineStr">
        <is>
          <t>35x180 5ply</t>
        </is>
      </c>
      <c r="I209" s="145" t="inlineStr">
        <is>
          <t>PCS</t>
        </is>
      </c>
      <c r="J209" s="146" t="n">
        <v>6.06</v>
      </c>
      <c r="K209" s="147" t="inlineStr">
        <is>
          <t>Cartons</t>
        </is>
      </c>
      <c r="L209" s="147" t="n">
        <v>0.1</v>
      </c>
      <c r="M209" s="147" t="n"/>
      <c r="N209" s="147" t="n"/>
      <c r="O209" s="147" t="n"/>
      <c r="P209" s="147" t="n"/>
      <c r="Q209" s="148" t="n"/>
    </row>
    <row r="210" ht="15" customHeight="1" s="249">
      <c r="A210" s="143" t="n">
        <v>6515</v>
      </c>
      <c r="B210" s="143" t="n">
        <v>180</v>
      </c>
      <c r="C210" s="143" t="inlineStr">
        <is>
          <t>Hola Hair</t>
        </is>
      </c>
      <c r="D210" s="144" t="inlineStr">
        <is>
          <t>H.H 100GM</t>
        </is>
      </c>
      <c r="E210" s="143" t="n">
        <v>32</v>
      </c>
      <c r="F210" s="143" t="inlineStr">
        <is>
          <t>ZINC POWDER</t>
        </is>
      </c>
      <c r="G210" s="143" t="n">
        <v>194</v>
      </c>
      <c r="H210" s="143" t="inlineStr">
        <is>
          <t>ZINC STEARATE</t>
        </is>
      </c>
      <c r="I210" s="145" t="inlineStr">
        <is>
          <t>kg</t>
        </is>
      </c>
      <c r="J210" s="146" t="n">
        <v>0.009599999999999999</v>
      </c>
      <c r="K210" s="147" t="inlineStr">
        <is>
          <t>Zinc Stearate</t>
        </is>
      </c>
      <c r="L210" s="147" t="n">
        <v>0.1</v>
      </c>
      <c r="M210" s="147" t="n"/>
      <c r="N210" s="147" t="n"/>
      <c r="O210" s="147" t="n"/>
      <c r="P210" s="147" t="n"/>
      <c r="Q210" s="148" t="n"/>
    </row>
    <row r="211" ht="15" customHeight="1" s="249">
      <c r="A211" s="143" t="n">
        <v>6515</v>
      </c>
      <c r="B211" s="143" t="n">
        <v>180</v>
      </c>
      <c r="C211" s="143" t="inlineStr">
        <is>
          <t>Hola Hair</t>
        </is>
      </c>
      <c r="D211" s="144" t="inlineStr">
        <is>
          <t>H.H 100GM</t>
        </is>
      </c>
      <c r="E211" s="143" t="n">
        <v>32</v>
      </c>
      <c r="F211" s="143" t="inlineStr">
        <is>
          <t>LACQUER</t>
        </is>
      </c>
      <c r="G211" s="143" t="n">
        <v>4155</v>
      </c>
      <c r="H211" s="143" t="inlineStr">
        <is>
          <t>E/P LACQUER 4000 A/R</t>
        </is>
      </c>
      <c r="I211" s="145" t="inlineStr">
        <is>
          <t>kg</t>
        </is>
      </c>
      <c r="J211" s="146" t="n">
        <v>0.1785</v>
      </c>
      <c r="K211" s="147" t="inlineStr">
        <is>
          <t>Lacquer</t>
        </is>
      </c>
      <c r="L211" s="147" t="n">
        <v>0.1</v>
      </c>
      <c r="M211" s="147" t="n"/>
      <c r="N211" s="147" t="n"/>
      <c r="O211" s="147" t="n"/>
      <c r="P211" s="147" t="n"/>
      <c r="Q211" s="148" t="n"/>
    </row>
    <row r="212" ht="15" customHeight="1" s="249">
      <c r="A212" s="143" t="n">
        <v>6515</v>
      </c>
      <c r="B212" s="143" t="n">
        <v>180</v>
      </c>
      <c r="C212" s="143" t="inlineStr">
        <is>
          <t>Hola Hair</t>
        </is>
      </c>
      <c r="D212" s="144" t="inlineStr">
        <is>
          <t>H.H 100GM</t>
        </is>
      </c>
      <c r="E212" s="143" t="n">
        <v>32</v>
      </c>
      <c r="F212" s="143" t="inlineStr">
        <is>
          <t>TAPE</t>
        </is>
      </c>
      <c r="G212" s="143" t="n">
        <v>3635</v>
      </c>
      <c r="H212" s="143" t="inlineStr">
        <is>
          <t>PACKING TAPE 2" OF 60 YARDS</t>
        </is>
      </c>
      <c r="I212" s="145" t="inlineStr">
        <is>
          <t>PCS</t>
        </is>
      </c>
      <c r="J212" s="146" t="n">
        <v>0.168</v>
      </c>
      <c r="K212" s="147" t="inlineStr">
        <is>
          <t>Packing Tape</t>
        </is>
      </c>
      <c r="L212" s="147" t="n">
        <v>0.1</v>
      </c>
      <c r="M212" s="149" t="n"/>
      <c r="N212" s="147" t="n"/>
      <c r="O212" s="147" t="n"/>
      <c r="P212" s="147" t="n"/>
      <c r="Q212" s="148" t="n"/>
    </row>
    <row r="213" ht="15" customHeight="1" s="249">
      <c r="A213" s="143" t="n">
        <v>6020</v>
      </c>
      <c r="B213" s="143" t="n">
        <v>130</v>
      </c>
      <c r="C213" s="143" t="inlineStr">
        <is>
          <t>Adore</t>
        </is>
      </c>
      <c r="D213" s="144" t="inlineStr">
        <is>
          <t>ANVIL 43</t>
        </is>
      </c>
      <c r="E213" s="143" t="n">
        <v>35</v>
      </c>
      <c r="F213" s="143" t="inlineStr">
        <is>
          <t>SLUG</t>
        </is>
      </c>
      <c r="G213" s="143" t="n">
        <v>3503</v>
      </c>
      <c r="H213" s="143" t="inlineStr">
        <is>
          <t>35X5.0</t>
        </is>
      </c>
      <c r="I213" s="145" t="inlineStr">
        <is>
          <t>kg</t>
        </is>
      </c>
      <c r="J213" s="146" t="n">
        <v>12.82</v>
      </c>
      <c r="K213" s="147" t="inlineStr">
        <is>
          <t>Aluminum Slugs</t>
        </is>
      </c>
      <c r="L213" s="147" t="n">
        <v>0.1</v>
      </c>
      <c r="M213" s="147" t="n"/>
      <c r="N213" s="147" t="n"/>
      <c r="O213" s="147" t="n"/>
      <c r="P213" s="147" t="n"/>
      <c r="Q213" s="148" t="n"/>
    </row>
    <row r="214" ht="15" customHeight="1" s="249">
      <c r="A214" s="143" t="n">
        <v>6020</v>
      </c>
      <c r="B214" s="143" t="n">
        <v>130</v>
      </c>
      <c r="C214" s="143" t="inlineStr">
        <is>
          <t>Adore</t>
        </is>
      </c>
      <c r="D214" s="144" t="inlineStr">
        <is>
          <t>ANVIL 43</t>
        </is>
      </c>
      <c r="E214" s="143" t="n">
        <v>35</v>
      </c>
      <c r="F214" s="143" t="inlineStr">
        <is>
          <t>BASE COAT</t>
        </is>
      </c>
      <c r="G214" s="143" t="n">
        <v>4156</v>
      </c>
      <c r="H214" s="143" t="inlineStr">
        <is>
          <t>BEIGE 5711200007</t>
        </is>
      </c>
      <c r="I214" s="145" t="inlineStr">
        <is>
          <t>kg</t>
        </is>
      </c>
      <c r="J214" s="146" t="n">
        <v>0.78</v>
      </c>
      <c r="K214" s="147" t="inlineStr">
        <is>
          <t>Base Coat</t>
        </is>
      </c>
      <c r="L214" s="147" t="n">
        <v>0.1</v>
      </c>
      <c r="M214" s="149" t="n"/>
      <c r="N214" s="147" t="n"/>
      <c r="O214" s="147" t="n"/>
      <c r="P214" s="147" t="n"/>
      <c r="Q214" s="148" t="n"/>
    </row>
    <row r="215" ht="15" customHeight="1" s="249">
      <c r="A215" s="143" t="n">
        <v>6020</v>
      </c>
      <c r="B215" s="143" t="n">
        <v>130</v>
      </c>
      <c r="C215" s="143" t="inlineStr">
        <is>
          <t>Adore</t>
        </is>
      </c>
      <c r="D215" s="144" t="inlineStr">
        <is>
          <t>ANVIL 43</t>
        </is>
      </c>
      <c r="E215" s="143" t="n">
        <v>35</v>
      </c>
      <c r="F215" s="143" t="inlineStr">
        <is>
          <t>BASE COAT</t>
        </is>
      </c>
      <c r="G215" s="143" t="n"/>
      <c r="H215" s="143" t="inlineStr">
        <is>
          <t>YELLOW BASE COAT (Item ID unknown — confirm with ERP)</t>
        </is>
      </c>
      <c r="I215" s="145" t="inlineStr">
        <is>
          <t>kg</t>
        </is>
      </c>
      <c r="J215" s="146" t="n">
        <v>0.78</v>
      </c>
      <c r="K215" s="147" t="inlineStr">
        <is>
          <t>Base Coat</t>
        </is>
      </c>
      <c r="L215" s="147" t="n">
        <v>0.1</v>
      </c>
      <c r="M215" s="149" t="inlineStr">
        <is>
          <t>Rate 0.78 kg estimated (matches all other 35mm BC products: 6530/6531). Item ID unknown — confirm with Rehan.</t>
        </is>
      </c>
      <c r="N215" s="147" t="n"/>
      <c r="O215" s="147" t="n"/>
      <c r="P215" s="147" t="n"/>
      <c r="Q215" s="148" t="n"/>
    </row>
    <row r="216" ht="15" customHeight="1" s="249">
      <c r="A216" s="143" t="n">
        <v>6020</v>
      </c>
      <c r="B216" s="143" t="n">
        <v>130</v>
      </c>
      <c r="C216" s="143" t="inlineStr">
        <is>
          <t>Adore</t>
        </is>
      </c>
      <c r="D216" s="144" t="inlineStr">
        <is>
          <t>ANVIL 43</t>
        </is>
      </c>
      <c r="E216" s="143" t="n">
        <v>35</v>
      </c>
      <c r="F216" s="143" t="inlineStr">
        <is>
          <t>CAP</t>
        </is>
      </c>
      <c r="G216" s="143" t="n">
        <v>1073</v>
      </c>
      <c r="H216" s="143" t="inlineStr">
        <is>
          <t>M-11 S/M F/P BLACK</t>
        </is>
      </c>
      <c r="I216" s="145" t="inlineStr">
        <is>
          <t>PCS</t>
        </is>
      </c>
      <c r="J216" s="146" t="n">
        <v>1000</v>
      </c>
      <c r="K216" s="147" t="inlineStr">
        <is>
          <t>Caps</t>
        </is>
      </c>
      <c r="L216" s="147" t="n">
        <v>0.02</v>
      </c>
      <c r="M216" s="149" t="inlineStr">
        <is>
          <t>Value changed manually v9.30 (16-Apr-2026) — Update in ERP BOM</t>
        </is>
      </c>
      <c r="N216" s="147" t="n"/>
      <c r="O216" s="147" t="n"/>
      <c r="P216" s="147" t="n"/>
      <c r="Q216" s="148" t="n"/>
    </row>
    <row r="217" ht="15" customHeight="1" s="249">
      <c r="A217" s="143" t="n">
        <v>6020</v>
      </c>
      <c r="B217" s="143" t="n">
        <v>130</v>
      </c>
      <c r="C217" s="143" t="inlineStr">
        <is>
          <t>Adore</t>
        </is>
      </c>
      <c r="D217" s="144" t="inlineStr">
        <is>
          <t>ANVIL 43</t>
        </is>
      </c>
      <c r="E217" s="143" t="n">
        <v>35</v>
      </c>
      <c r="F217" s="143" t="inlineStr">
        <is>
          <t>CARTON</t>
        </is>
      </c>
      <c r="G217" s="143" t="n">
        <v>3988</v>
      </c>
      <c r="H217" s="143" t="inlineStr">
        <is>
          <t>35x180 5ply</t>
        </is>
      </c>
      <c r="I217" s="145" t="inlineStr">
        <is>
          <t>PCS</t>
        </is>
      </c>
      <c r="J217" s="146" t="n">
        <v>6.06</v>
      </c>
      <c r="K217" s="147" t="inlineStr">
        <is>
          <t>Cartons</t>
        </is>
      </c>
      <c r="L217" s="147" t="n">
        <v>0.1</v>
      </c>
      <c r="M217" s="147" t="n"/>
      <c r="N217" s="147" t="n"/>
      <c r="O217" s="147" t="n"/>
      <c r="P217" s="147" t="n"/>
      <c r="Q217" s="148" t="n"/>
    </row>
    <row r="218" ht="15" customHeight="1" s="249">
      <c r="A218" s="143" t="n">
        <v>6020</v>
      </c>
      <c r="B218" s="143" t="n">
        <v>130</v>
      </c>
      <c r="C218" s="143" t="inlineStr">
        <is>
          <t>Adore</t>
        </is>
      </c>
      <c r="D218" s="144" t="inlineStr">
        <is>
          <t>ANVIL 43</t>
        </is>
      </c>
      <c r="E218" s="143" t="n">
        <v>35</v>
      </c>
      <c r="F218" s="143" t="inlineStr">
        <is>
          <t>ZINC POWDER</t>
        </is>
      </c>
      <c r="G218" s="143" t="n">
        <v>194</v>
      </c>
      <c r="H218" s="143" t="inlineStr">
        <is>
          <t>ZINC STEARATE</t>
        </is>
      </c>
      <c r="I218" s="145" t="inlineStr">
        <is>
          <t>kg</t>
        </is>
      </c>
      <c r="J218" s="146" t="n">
        <v>0.01333</v>
      </c>
      <c r="K218" s="147" t="inlineStr">
        <is>
          <t>Zinc Stearate</t>
        </is>
      </c>
      <c r="L218" s="147" t="n">
        <v>0.1</v>
      </c>
      <c r="M218" s="147" t="n"/>
      <c r="N218" s="147" t="n"/>
      <c r="O218" s="147" t="n"/>
      <c r="P218" s="147" t="n"/>
      <c r="Q218" s="148" t="n"/>
    </row>
    <row r="219" ht="15" customHeight="1" s="249">
      <c r="A219" s="143" t="n">
        <v>6020</v>
      </c>
      <c r="B219" s="143" t="n">
        <v>130</v>
      </c>
      <c r="C219" s="143" t="inlineStr">
        <is>
          <t>Adore</t>
        </is>
      </c>
      <c r="D219" s="144" t="inlineStr">
        <is>
          <t>ANVIL 43</t>
        </is>
      </c>
      <c r="E219" s="143" t="n">
        <v>35</v>
      </c>
      <c r="F219" s="143" t="inlineStr">
        <is>
          <t>TAPE</t>
        </is>
      </c>
      <c r="G219" s="143" t="n">
        <v>3635</v>
      </c>
      <c r="H219" s="143" t="inlineStr">
        <is>
          <t>PACKING TAPE 2" OF 60 YARDS</t>
        </is>
      </c>
      <c r="I219" s="145" t="inlineStr">
        <is>
          <t>PCS</t>
        </is>
      </c>
      <c r="J219" s="146" t="n">
        <v>0.168</v>
      </c>
      <c r="K219" s="147" t="inlineStr">
        <is>
          <t>Packing Tape</t>
        </is>
      </c>
      <c r="L219" s="147" t="n">
        <v>0.1</v>
      </c>
      <c r="M219" s="147" t="n"/>
      <c r="N219" s="147" t="n"/>
      <c r="O219" s="147" t="n"/>
      <c r="P219" s="147" t="n"/>
      <c r="Q219" s="148" t="n"/>
    </row>
    <row r="220" ht="15" customHeight="1" s="249">
      <c r="A220" s="143" t="n">
        <v>6020</v>
      </c>
      <c r="B220" s="143" t="n">
        <v>130</v>
      </c>
      <c r="C220" s="143" t="inlineStr">
        <is>
          <t>Adore</t>
        </is>
      </c>
      <c r="D220" s="144" t="inlineStr">
        <is>
          <t>ANVIL 43</t>
        </is>
      </c>
      <c r="E220" s="143" t="n">
        <v>35</v>
      </c>
      <c r="F220" s="143" t="inlineStr">
        <is>
          <t>LACQUER</t>
        </is>
      </c>
      <c r="G220" s="143" t="n">
        <v>4155</v>
      </c>
      <c r="H220" s="143" t="inlineStr">
        <is>
          <t>E/P LACQUER 4000 A/R</t>
        </is>
      </c>
      <c r="I220" s="145" t="inlineStr">
        <is>
          <t>kg</t>
        </is>
      </c>
      <c r="J220" s="146" t="n">
        <v>0.5</v>
      </c>
      <c r="K220" s="147" t="inlineStr">
        <is>
          <t>Lacquer</t>
        </is>
      </c>
      <c r="L220" s="147" t="n">
        <v>0.1</v>
      </c>
      <c r="M220" s="147" t="n"/>
      <c r="N220" s="147" t="n"/>
      <c r="O220" s="147" t="n"/>
      <c r="P220" s="147" t="n"/>
      <c r="Q220" s="148" t="n"/>
    </row>
    <row r="221" ht="15" customHeight="1" s="249">
      <c r="A221" s="143" t="n">
        <v>6020</v>
      </c>
      <c r="B221" s="143" t="n">
        <v>130</v>
      </c>
      <c r="C221" s="143" t="inlineStr">
        <is>
          <t>Adore</t>
        </is>
      </c>
      <c r="D221" s="144" t="inlineStr">
        <is>
          <t>ANVIL 43</t>
        </is>
      </c>
      <c r="E221" s="143" t="n">
        <v>35</v>
      </c>
      <c r="F221" s="143" t="inlineStr">
        <is>
          <t>LATEX</t>
        </is>
      </c>
      <c r="G221" s="143" t="n">
        <v>186</v>
      </c>
      <c r="H221" s="143" t="inlineStr">
        <is>
          <t>LATEX IMP 574010002</t>
        </is>
      </c>
      <c r="I221" s="145" t="inlineStr">
        <is>
          <t>kg</t>
        </is>
      </c>
      <c r="J221" s="146" t="n">
        <v>0.7</v>
      </c>
      <c r="K221" s="147" t="inlineStr">
        <is>
          <t>Latex</t>
        </is>
      </c>
      <c r="L221" s="147" t="n">
        <v>0.1</v>
      </c>
      <c r="M221" s="147" t="n"/>
      <c r="N221" s="147" t="n"/>
      <c r="O221" s="147" t="n"/>
      <c r="P221" s="147" t="n"/>
      <c r="Q221" s="148" t="n"/>
    </row>
    <row r="222" ht="15" customHeight="1" s="249">
      <c r="A222" s="143" t="n">
        <v>6021</v>
      </c>
      <c r="B222" s="143" t="n">
        <v>131</v>
      </c>
      <c r="C222" s="143" t="inlineStr">
        <is>
          <t>Adore</t>
        </is>
      </c>
      <c r="D222" s="144" t="inlineStr">
        <is>
          <t>ANVIL 45</t>
        </is>
      </c>
      <c r="E222" s="143" t="n">
        <v>35</v>
      </c>
      <c r="F222" s="143" t="inlineStr">
        <is>
          <t>SLUG</t>
        </is>
      </c>
      <c r="G222" s="143" t="n">
        <v>3503</v>
      </c>
      <c r="H222" s="143" t="inlineStr">
        <is>
          <t>35X5.0</t>
        </is>
      </c>
      <c r="I222" s="145" t="inlineStr">
        <is>
          <t>kg</t>
        </is>
      </c>
      <c r="J222" s="146" t="n">
        <v>12.82</v>
      </c>
      <c r="K222" s="147" t="inlineStr">
        <is>
          <t>Aluminum Slugs</t>
        </is>
      </c>
      <c r="L222" s="147" t="n">
        <v>0.1</v>
      </c>
      <c r="M222" s="149" t="n"/>
      <c r="N222" s="147" t="n"/>
      <c r="O222" s="147" t="n"/>
      <c r="P222" s="147" t="n"/>
      <c r="Q222" s="148" t="n"/>
    </row>
    <row r="223" ht="15" customHeight="1" s="249">
      <c r="A223" s="143" t="n">
        <v>6021</v>
      </c>
      <c r="B223" s="143" t="n">
        <v>131</v>
      </c>
      <c r="C223" s="143" t="inlineStr">
        <is>
          <t>Adore</t>
        </is>
      </c>
      <c r="D223" s="144" t="inlineStr">
        <is>
          <t>ANVIL 45</t>
        </is>
      </c>
      <c r="E223" s="143" t="n">
        <v>35</v>
      </c>
      <c r="F223" s="143" t="inlineStr">
        <is>
          <t>BASE COAT</t>
        </is>
      </c>
      <c r="G223" s="143" t="n">
        <v>4156</v>
      </c>
      <c r="H223" s="143" t="inlineStr">
        <is>
          <t>BEIGE 5711200007</t>
        </is>
      </c>
      <c r="I223" s="145" t="inlineStr">
        <is>
          <t>kg</t>
        </is>
      </c>
      <c r="J223" s="146" t="n">
        <v>0.78</v>
      </c>
      <c r="K223" s="147" t="inlineStr">
        <is>
          <t>Base Coat</t>
        </is>
      </c>
      <c r="L223" s="147" t="n">
        <v>0.1</v>
      </c>
      <c r="M223" s="147" t="n"/>
      <c r="N223" s="147" t="n"/>
      <c r="O223" s="147" t="n"/>
      <c r="P223" s="147" t="n"/>
      <c r="Q223" s="148" t="n"/>
    </row>
    <row r="224" ht="15" customHeight="1" s="249">
      <c r="A224" s="143" t="n">
        <v>6021</v>
      </c>
      <c r="B224" s="143" t="n">
        <v>131</v>
      </c>
      <c r="C224" s="143" t="inlineStr">
        <is>
          <t>Adore</t>
        </is>
      </c>
      <c r="D224" s="144" t="inlineStr">
        <is>
          <t>ANVIL 45</t>
        </is>
      </c>
      <c r="E224" s="143" t="n">
        <v>35</v>
      </c>
      <c r="F224" s="143" t="inlineStr">
        <is>
          <t>BASE COAT</t>
        </is>
      </c>
      <c r="G224" s="143" t="n"/>
      <c r="H224" s="143" t="inlineStr">
        <is>
          <t>YELLOW BASE COAT (Item ID unknown — confirm with ERP)</t>
        </is>
      </c>
      <c r="I224" s="145" t="inlineStr">
        <is>
          <t>kg</t>
        </is>
      </c>
      <c r="J224" s="146" t="n">
        <v>0.78</v>
      </c>
      <c r="K224" s="147" t="inlineStr">
        <is>
          <t>Base Coat</t>
        </is>
      </c>
      <c r="L224" s="147" t="n">
        <v>0.1</v>
      </c>
      <c r="M224" s="149" t="inlineStr">
        <is>
          <t>Rate 0.78 kg estimated (matches all other 35mm BC products: 6530/6531). Item ID unknown — confirm with Rehan.</t>
        </is>
      </c>
      <c r="N224" s="147" t="n"/>
      <c r="O224" s="147" t="n"/>
      <c r="P224" s="147" t="n"/>
      <c r="Q224" s="148" t="n"/>
    </row>
    <row r="225" ht="15" customHeight="1" s="249">
      <c r="A225" s="143" t="n">
        <v>6021</v>
      </c>
      <c r="B225" s="143" t="n">
        <v>131</v>
      </c>
      <c r="C225" s="143" t="inlineStr">
        <is>
          <t>Adore</t>
        </is>
      </c>
      <c r="D225" s="144" t="inlineStr">
        <is>
          <t>ANVIL 45</t>
        </is>
      </c>
      <c r="E225" s="143" t="n">
        <v>35</v>
      </c>
      <c r="F225" s="143" t="inlineStr">
        <is>
          <t>CAP</t>
        </is>
      </c>
      <c r="G225" s="143" t="n">
        <v>1073</v>
      </c>
      <c r="H225" s="143" t="inlineStr">
        <is>
          <t>M-11 S/M F/P BLACK</t>
        </is>
      </c>
      <c r="I225" s="145" t="inlineStr">
        <is>
          <t>PCS</t>
        </is>
      </c>
      <c r="J225" s="146" t="n">
        <v>1000</v>
      </c>
      <c r="K225" s="147" t="inlineStr">
        <is>
          <t>Caps</t>
        </is>
      </c>
      <c r="L225" s="147" t="n">
        <v>0.02</v>
      </c>
      <c r="M225" s="149" t="inlineStr">
        <is>
          <t>Value changed manually v9.30 (16-Apr-2026) — Update in ERP BOM</t>
        </is>
      </c>
      <c r="N225" s="147" t="n"/>
      <c r="O225" s="147" t="n"/>
      <c r="P225" s="147" t="n"/>
      <c r="Q225" s="148" t="n"/>
    </row>
    <row r="226" ht="15" customHeight="1" s="249">
      <c r="A226" s="143" t="n">
        <v>6021</v>
      </c>
      <c r="B226" s="143" t="n">
        <v>131</v>
      </c>
      <c r="C226" s="143" t="inlineStr">
        <is>
          <t>Adore</t>
        </is>
      </c>
      <c r="D226" s="144" t="inlineStr">
        <is>
          <t>ANVIL 45</t>
        </is>
      </c>
      <c r="E226" s="143" t="n">
        <v>35</v>
      </c>
      <c r="F226" s="143" t="inlineStr">
        <is>
          <t>CARTON</t>
        </is>
      </c>
      <c r="G226" s="143" t="n">
        <v>3988</v>
      </c>
      <c r="H226" s="143" t="inlineStr">
        <is>
          <t>35x180 5ply</t>
        </is>
      </c>
      <c r="I226" s="145" t="inlineStr">
        <is>
          <t>PCS</t>
        </is>
      </c>
      <c r="J226" s="146" t="n">
        <v>6.06</v>
      </c>
      <c r="K226" s="147" t="inlineStr">
        <is>
          <t>Cartons</t>
        </is>
      </c>
      <c r="L226" s="147" t="n">
        <v>0.1</v>
      </c>
      <c r="M226" s="147" t="n"/>
      <c r="N226" s="147" t="n"/>
      <c r="O226" s="147" t="n"/>
      <c r="P226" s="147" t="n"/>
      <c r="Q226" s="148" t="n"/>
    </row>
    <row r="227" ht="15" customHeight="1" s="249">
      <c r="A227" s="143" t="n">
        <v>6021</v>
      </c>
      <c r="B227" s="143" t="n">
        <v>131</v>
      </c>
      <c r="C227" s="143" t="inlineStr">
        <is>
          <t>Adore</t>
        </is>
      </c>
      <c r="D227" s="144" t="inlineStr">
        <is>
          <t>ANVIL 45</t>
        </is>
      </c>
      <c r="E227" s="143" t="n">
        <v>35</v>
      </c>
      <c r="F227" s="143" t="inlineStr">
        <is>
          <t>ZINC POWDER</t>
        </is>
      </c>
      <c r="G227" s="143" t="n">
        <v>194</v>
      </c>
      <c r="H227" s="143" t="inlineStr">
        <is>
          <t>ZINC STEARATE</t>
        </is>
      </c>
      <c r="I227" s="145" t="inlineStr">
        <is>
          <t>kg</t>
        </is>
      </c>
      <c r="J227" s="146" t="n">
        <v>0.01333</v>
      </c>
      <c r="K227" s="147" t="inlineStr">
        <is>
          <t>Zinc Stearate</t>
        </is>
      </c>
      <c r="L227" s="147" t="n">
        <v>0.1</v>
      </c>
      <c r="M227" s="147" t="n"/>
      <c r="N227" s="147" t="n"/>
      <c r="O227" s="147" t="n"/>
      <c r="P227" s="147" t="n"/>
      <c r="Q227" s="148" t="n"/>
    </row>
    <row r="228" ht="15" customHeight="1" s="249">
      <c r="A228" s="143" t="n">
        <v>6021</v>
      </c>
      <c r="B228" s="143" t="n">
        <v>131</v>
      </c>
      <c r="C228" s="143" t="inlineStr">
        <is>
          <t>Adore</t>
        </is>
      </c>
      <c r="D228" s="144" t="inlineStr">
        <is>
          <t>ANVIL 45</t>
        </is>
      </c>
      <c r="E228" s="143" t="n">
        <v>35</v>
      </c>
      <c r="F228" s="143" t="inlineStr">
        <is>
          <t>TAPE</t>
        </is>
      </c>
      <c r="G228" s="143" t="n">
        <v>3635</v>
      </c>
      <c r="H228" s="143" t="inlineStr">
        <is>
          <t>PACKING TAPE 2" OF 60 YARDS</t>
        </is>
      </c>
      <c r="I228" s="145" t="inlineStr">
        <is>
          <t>PCS</t>
        </is>
      </c>
      <c r="J228" s="146" t="n">
        <v>0.168</v>
      </c>
      <c r="K228" s="147" t="inlineStr">
        <is>
          <t>Packing Tape</t>
        </is>
      </c>
      <c r="L228" s="147" t="n">
        <v>0.1</v>
      </c>
      <c r="M228" s="147" t="n"/>
      <c r="N228" s="147" t="n"/>
      <c r="O228" s="147" t="n"/>
      <c r="P228" s="147" t="n"/>
      <c r="Q228" s="148" t="n"/>
    </row>
    <row r="229" ht="15" customHeight="1" s="249">
      <c r="A229" s="143" t="n">
        <v>6021</v>
      </c>
      <c r="B229" s="143" t="n">
        <v>131</v>
      </c>
      <c r="C229" s="143" t="inlineStr">
        <is>
          <t>Adore</t>
        </is>
      </c>
      <c r="D229" s="144" t="inlineStr">
        <is>
          <t>ANVIL 45</t>
        </is>
      </c>
      <c r="E229" s="143" t="n">
        <v>35</v>
      </c>
      <c r="F229" s="143" t="inlineStr">
        <is>
          <t>LACQUER</t>
        </is>
      </c>
      <c r="G229" s="143" t="n">
        <v>4155</v>
      </c>
      <c r="H229" s="143" t="inlineStr">
        <is>
          <t>E/P LACQUER 4000 A/R</t>
        </is>
      </c>
      <c r="I229" s="145" t="inlineStr">
        <is>
          <t>kg</t>
        </is>
      </c>
      <c r="J229" s="146" t="n">
        <v>0.5</v>
      </c>
      <c r="K229" s="147" t="inlineStr">
        <is>
          <t>Lacquer</t>
        </is>
      </c>
      <c r="L229" s="147" t="n">
        <v>0.1</v>
      </c>
      <c r="M229" s="147" t="n"/>
      <c r="N229" s="147" t="n"/>
      <c r="O229" s="147" t="n"/>
      <c r="P229" s="147" t="n"/>
      <c r="Q229" s="148" t="n"/>
    </row>
    <row r="230" ht="15" customHeight="1" s="249">
      <c r="A230" s="143" t="n">
        <v>6021</v>
      </c>
      <c r="B230" s="143" t="n">
        <v>131</v>
      </c>
      <c r="C230" s="143" t="inlineStr">
        <is>
          <t>Adore</t>
        </is>
      </c>
      <c r="D230" s="144" t="inlineStr">
        <is>
          <t>ANVIL 45</t>
        </is>
      </c>
      <c r="E230" s="143" t="n">
        <v>35</v>
      </c>
      <c r="F230" s="143" t="inlineStr">
        <is>
          <t>LATEX</t>
        </is>
      </c>
      <c r="G230" s="143" t="n">
        <v>186</v>
      </c>
      <c r="H230" s="143" t="inlineStr">
        <is>
          <t>LATEX IMP 574010002</t>
        </is>
      </c>
      <c r="I230" s="145" t="inlineStr">
        <is>
          <t>kg</t>
        </is>
      </c>
      <c r="J230" s="146" t="n">
        <v>0.7</v>
      </c>
      <c r="K230" s="147" t="inlineStr">
        <is>
          <t>Latex</t>
        </is>
      </c>
      <c r="L230" s="147" t="n">
        <v>0.1</v>
      </c>
      <c r="M230" s="149" t="n"/>
      <c r="N230" s="147" t="n"/>
      <c r="O230" s="147" t="n"/>
      <c r="P230" s="147" t="n"/>
      <c r="Q230" s="148" t="n"/>
    </row>
    <row r="231" ht="15" customHeight="1" s="249">
      <c r="A231" s="143" t="n">
        <v>6530</v>
      </c>
      <c r="B231" s="143" t="n">
        <v>182</v>
      </c>
      <c r="C231" s="143" t="inlineStr">
        <is>
          <t>Adore</t>
        </is>
      </c>
      <c r="D231" s="144" t="inlineStr">
        <is>
          <t>V- HC BROWN</t>
        </is>
      </c>
      <c r="E231" s="143" t="n">
        <v>35</v>
      </c>
      <c r="F231" s="143" t="inlineStr">
        <is>
          <t>SLUG</t>
        </is>
      </c>
      <c r="G231" s="143" t="n">
        <v>3503</v>
      </c>
      <c r="H231" s="143" t="inlineStr">
        <is>
          <t>35X5.0</t>
        </is>
      </c>
      <c r="I231" s="145" t="inlineStr">
        <is>
          <t>kg</t>
        </is>
      </c>
      <c r="J231" s="146" t="n">
        <v>12.82</v>
      </c>
      <c r="K231" s="147" t="inlineStr">
        <is>
          <t>Aluminum Slugs</t>
        </is>
      </c>
      <c r="L231" s="147" t="n">
        <v>0.1</v>
      </c>
      <c r="M231" s="147" t="n"/>
      <c r="N231" s="147" t="n"/>
      <c r="O231" s="147" t="n"/>
      <c r="P231" s="147" t="n"/>
      <c r="Q231" s="148" t="n"/>
    </row>
    <row r="232" ht="15" customHeight="1" s="249">
      <c r="A232" s="143" t="n">
        <v>6530</v>
      </c>
      <c r="B232" s="143" t="n">
        <v>182</v>
      </c>
      <c r="C232" s="143" t="inlineStr">
        <is>
          <t>Adore</t>
        </is>
      </c>
      <c r="D232" s="144" t="inlineStr">
        <is>
          <t>V- HC BROWN</t>
        </is>
      </c>
      <c r="E232" s="143" t="n">
        <v>35</v>
      </c>
      <c r="F232" s="143" t="inlineStr">
        <is>
          <t>BASE COAT</t>
        </is>
      </c>
      <c r="G232" s="143" t="n">
        <v>3595</v>
      </c>
      <c r="H232" s="143" t="inlineStr">
        <is>
          <t>POLYSTER BASE COAT WHITE 234</t>
        </is>
      </c>
      <c r="I232" s="145" t="inlineStr">
        <is>
          <t>kg</t>
        </is>
      </c>
      <c r="J232" s="146" t="n">
        <v>0.78</v>
      </c>
      <c r="K232" s="147" t="inlineStr">
        <is>
          <t>Base Coat</t>
        </is>
      </c>
      <c r="L232" s="147" t="n">
        <v>0.1</v>
      </c>
      <c r="M232" s="149" t="inlineStr">
        <is>
          <t>Item name kept as ERP ('POLYSTER BASE COAT WHITE 234'). Rehan wrote 'BASE COAT WHITE 23410 CT' — corrected. (16-Apr-2026) — Verify in ERP</t>
        </is>
      </c>
      <c r="N232" s="147" t="n"/>
      <c r="O232" s="147" t="n"/>
      <c r="P232" s="147" t="n"/>
      <c r="Q232" s="148" t="n"/>
    </row>
    <row r="233" ht="15" customHeight="1" s="249">
      <c r="A233" s="143" t="n">
        <v>6530</v>
      </c>
      <c r="B233" s="143" t="n">
        <v>182</v>
      </c>
      <c r="C233" s="143" t="inlineStr">
        <is>
          <t>Adore</t>
        </is>
      </c>
      <c r="D233" s="144" t="inlineStr">
        <is>
          <t>V- HC BROWN</t>
        </is>
      </c>
      <c r="E233" s="143" t="n">
        <v>35</v>
      </c>
      <c r="F233" s="143" t="inlineStr">
        <is>
          <t>CAP</t>
        </is>
      </c>
      <c r="G233" s="143" t="n">
        <v>578</v>
      </c>
      <c r="H233" s="143" t="inlineStr">
        <is>
          <t>M-12 S/M SPR WHITE DIA 30</t>
        </is>
      </c>
      <c r="I233" s="145" t="inlineStr">
        <is>
          <t>PCS</t>
        </is>
      </c>
      <c r="J233" s="146" t="n">
        <v>1000</v>
      </c>
      <c r="K233" s="147" t="inlineStr">
        <is>
          <t>Caps</t>
        </is>
      </c>
      <c r="L233" s="147" t="n">
        <v>0.02</v>
      </c>
      <c r="M233" s="149" t="inlineStr">
        <is>
          <t>Value changed manually v9.30 (16-Apr-2026) — Update in ERP BOM</t>
        </is>
      </c>
      <c r="N233" s="147" t="n"/>
      <c r="O233" s="147" t="n"/>
      <c r="P233" s="147" t="n"/>
      <c r="Q233" s="148" t="n"/>
    </row>
    <row r="234" ht="15" customHeight="1" s="249">
      <c r="A234" s="143" t="n">
        <v>6530</v>
      </c>
      <c r="B234" s="143" t="n">
        <v>182</v>
      </c>
      <c r="C234" s="143" t="inlineStr">
        <is>
          <t>Adore</t>
        </is>
      </c>
      <c r="D234" s="144" t="inlineStr">
        <is>
          <t>V- HC BROWN</t>
        </is>
      </c>
      <c r="E234" s="143" t="n">
        <v>35</v>
      </c>
      <c r="F234" s="143" t="inlineStr">
        <is>
          <t>CARTON</t>
        </is>
      </c>
      <c r="G234" s="143" t="n">
        <v>3988</v>
      </c>
      <c r="H234" s="143" t="inlineStr">
        <is>
          <t>35x180 5ply</t>
        </is>
      </c>
      <c r="I234" s="145" t="inlineStr">
        <is>
          <t>PCS</t>
        </is>
      </c>
      <c r="J234" s="146" t="n">
        <v>6.06</v>
      </c>
      <c r="K234" s="147" t="inlineStr">
        <is>
          <t>Cartons</t>
        </is>
      </c>
      <c r="L234" s="147" t="n">
        <v>0.1</v>
      </c>
      <c r="M234" s="147" t="n"/>
      <c r="N234" s="147" t="n"/>
      <c r="O234" s="147" t="n"/>
      <c r="P234" s="147" t="n"/>
      <c r="Q234" s="148" t="n"/>
    </row>
    <row r="235" ht="15" customHeight="1" s="249">
      <c r="A235" s="143" t="n">
        <v>6530</v>
      </c>
      <c r="B235" s="143" t="n">
        <v>182</v>
      </c>
      <c r="C235" s="143" t="inlineStr">
        <is>
          <t>Adore</t>
        </is>
      </c>
      <c r="D235" s="144" t="inlineStr">
        <is>
          <t>V- HC BROWN</t>
        </is>
      </c>
      <c r="E235" s="143" t="n">
        <v>35</v>
      </c>
      <c r="F235" s="143" t="inlineStr">
        <is>
          <t>ZINC POWDER</t>
        </is>
      </c>
      <c r="G235" s="143" t="n">
        <v>194</v>
      </c>
      <c r="H235" s="143" t="inlineStr">
        <is>
          <t>ZINC STEARATE</t>
        </is>
      </c>
      <c r="I235" s="145" t="inlineStr">
        <is>
          <t>kg</t>
        </is>
      </c>
      <c r="J235" s="146" t="n">
        <v>0.0133</v>
      </c>
      <c r="K235" s="147" t="inlineStr">
        <is>
          <t>Zinc Stearate</t>
        </is>
      </c>
      <c r="L235" s="147" t="n">
        <v>0.1</v>
      </c>
      <c r="M235" s="147" t="n"/>
      <c r="N235" s="147" t="n"/>
      <c r="O235" s="147" t="n"/>
      <c r="P235" s="147" t="n"/>
      <c r="Q235" s="148" t="n"/>
    </row>
    <row r="236" ht="15" customHeight="1" s="249">
      <c r="A236" s="143" t="n">
        <v>6530</v>
      </c>
      <c r="B236" s="143" t="n">
        <v>182</v>
      </c>
      <c r="C236" s="143" t="inlineStr">
        <is>
          <t>Adore</t>
        </is>
      </c>
      <c r="D236" s="144" t="inlineStr">
        <is>
          <t>V- HC BROWN</t>
        </is>
      </c>
      <c r="E236" s="143" t="n">
        <v>35</v>
      </c>
      <c r="F236" s="143" t="inlineStr">
        <is>
          <t>LACQUER</t>
        </is>
      </c>
      <c r="G236" s="143" t="n">
        <v>4155</v>
      </c>
      <c r="H236" s="143" t="inlineStr">
        <is>
          <t>E/P LACQUER 4000 A/R</t>
        </is>
      </c>
      <c r="I236" s="145" t="inlineStr">
        <is>
          <t>kg</t>
        </is>
      </c>
      <c r="J236" s="146" t="n">
        <v>0.16</v>
      </c>
      <c r="K236" s="147" t="inlineStr">
        <is>
          <t>Lacquer</t>
        </is>
      </c>
      <c r="L236" s="147" t="n">
        <v>0.1</v>
      </c>
      <c r="M236" s="147" t="n"/>
      <c r="N236" s="147" t="n"/>
      <c r="O236" s="147" t="n"/>
      <c r="P236" s="147" t="n"/>
      <c r="Q236" s="148" t="n"/>
    </row>
    <row r="237" ht="15" customHeight="1" s="249">
      <c r="A237" s="143" t="n">
        <v>6530</v>
      </c>
      <c r="B237" s="143" t="n">
        <v>182</v>
      </c>
      <c r="C237" s="143" t="inlineStr">
        <is>
          <t>Adore</t>
        </is>
      </c>
      <c r="D237" s="144" t="inlineStr">
        <is>
          <t>V- HC BROWN</t>
        </is>
      </c>
      <c r="E237" s="143" t="n">
        <v>35</v>
      </c>
      <c r="F237" s="143" t="inlineStr">
        <is>
          <t>STATIONARY</t>
        </is>
      </c>
      <c r="G237" s="143" t="n">
        <v>495</v>
      </c>
      <c r="H237" s="143" t="inlineStr">
        <is>
          <t>CARTON LABEL</t>
        </is>
      </c>
      <c r="I237" s="145" t="inlineStr">
        <is>
          <t>pcs</t>
        </is>
      </c>
      <c r="J237" s="146" t="n">
        <v>6.06</v>
      </c>
      <c r="K237" s="147" t="inlineStr">
        <is>
          <t>Labels</t>
        </is>
      </c>
      <c r="L237" s="147" t="n">
        <v>0.1</v>
      </c>
      <c r="M237" s="147" t="n"/>
      <c r="N237" s="147" t="n"/>
      <c r="O237" s="147" t="n"/>
      <c r="P237" s="147" t="n"/>
      <c r="Q237" s="148" t="n"/>
    </row>
    <row r="238" ht="15" customHeight="1" s="249">
      <c r="A238" s="143" t="n">
        <v>6530</v>
      </c>
      <c r="B238" s="143" t="n">
        <v>182</v>
      </c>
      <c r="C238" s="143" t="inlineStr">
        <is>
          <t>Adore</t>
        </is>
      </c>
      <c r="D238" s="144" t="inlineStr">
        <is>
          <t>V- HC BROWN</t>
        </is>
      </c>
      <c r="E238" s="143" t="n">
        <v>35</v>
      </c>
      <c r="F238" s="143" t="inlineStr">
        <is>
          <t>TAPE</t>
        </is>
      </c>
      <c r="G238" s="143" t="n">
        <v>3635</v>
      </c>
      <c r="H238" s="143" t="inlineStr">
        <is>
          <t>PACKING TAPE 2" OF 60 YARDS</t>
        </is>
      </c>
      <c r="I238" s="145" t="inlineStr">
        <is>
          <t>PCS</t>
        </is>
      </c>
      <c r="J238" s="146" t="n">
        <v>0.168</v>
      </c>
      <c r="K238" s="147" t="inlineStr">
        <is>
          <t>Packing Tape</t>
        </is>
      </c>
      <c r="L238" s="147" t="n">
        <v>0.1</v>
      </c>
      <c r="M238" s="149" t="n"/>
      <c r="N238" s="147" t="n"/>
      <c r="O238" s="147" t="n"/>
      <c r="P238" s="147" t="n"/>
      <c r="Q238" s="148" t="n"/>
    </row>
    <row r="239" ht="15" customHeight="1" s="249">
      <c r="A239" s="143" t="n">
        <v>6531</v>
      </c>
      <c r="B239" s="143" t="n">
        <v>183</v>
      </c>
      <c r="C239" s="143" t="inlineStr">
        <is>
          <t>Adore</t>
        </is>
      </c>
      <c r="D239" s="144" t="inlineStr">
        <is>
          <t>V-HC BLACK</t>
        </is>
      </c>
      <c r="E239" s="143" t="n">
        <v>35</v>
      </c>
      <c r="F239" s="143" t="inlineStr">
        <is>
          <t>SLUG</t>
        </is>
      </c>
      <c r="G239" s="143" t="n">
        <v>3503</v>
      </c>
      <c r="H239" s="143" t="inlineStr">
        <is>
          <t>35X5.0</t>
        </is>
      </c>
      <c r="I239" s="145" t="inlineStr">
        <is>
          <t>kg</t>
        </is>
      </c>
      <c r="J239" s="146" t="n">
        <v>12.82</v>
      </c>
      <c r="K239" s="147" t="inlineStr">
        <is>
          <t>Aluminum Slugs</t>
        </is>
      </c>
      <c r="L239" s="147" t="n">
        <v>0.1</v>
      </c>
      <c r="M239" s="147" t="n"/>
      <c r="N239" s="147" t="n"/>
      <c r="O239" s="147" t="n"/>
      <c r="P239" s="147" t="n"/>
      <c r="Q239" s="148" t="n"/>
    </row>
    <row r="240" ht="15" customHeight="1" s="249">
      <c r="A240" s="143" t="n">
        <v>6531</v>
      </c>
      <c r="B240" s="143" t="n">
        <v>183</v>
      </c>
      <c r="C240" s="143" t="inlineStr">
        <is>
          <t>Adore</t>
        </is>
      </c>
      <c r="D240" s="144" t="inlineStr">
        <is>
          <t>V-HC BLACK</t>
        </is>
      </c>
      <c r="E240" s="143" t="n">
        <v>35</v>
      </c>
      <c r="F240" s="143" t="inlineStr">
        <is>
          <t>BASE COAT</t>
        </is>
      </c>
      <c r="G240" s="143" t="n">
        <v>3595</v>
      </c>
      <c r="H240" s="143" t="inlineStr">
        <is>
          <t>POLYSTER BASE COAT WHITE 234</t>
        </is>
      </c>
      <c r="I240" s="145" t="inlineStr">
        <is>
          <t>kg</t>
        </is>
      </c>
      <c r="J240" s="146" t="n">
        <v>0.78</v>
      </c>
      <c r="K240" s="147" t="inlineStr">
        <is>
          <t>Base Coat</t>
        </is>
      </c>
      <c r="L240" s="147" t="n">
        <v>0.1</v>
      </c>
      <c r="M240" s="149" t="inlineStr">
        <is>
          <t>Item name kept as ERP ('POLYSTER BASE COAT WHITE 234'). Rehan wrote 'BASE COAT WHITE 23410 CT' — corrected. (16-Apr-2026) — Verify in ERP</t>
        </is>
      </c>
      <c r="N240" s="147" t="n"/>
      <c r="O240" s="147" t="n"/>
      <c r="P240" s="147" t="n"/>
      <c r="Q240" s="148" t="n"/>
    </row>
    <row r="241" ht="15" customHeight="1" s="249">
      <c r="A241" s="143" t="n">
        <v>6531</v>
      </c>
      <c r="B241" s="143" t="n">
        <v>183</v>
      </c>
      <c r="C241" s="143" t="inlineStr">
        <is>
          <t>Adore</t>
        </is>
      </c>
      <c r="D241" s="144" t="inlineStr">
        <is>
          <t>V-HC BLACK</t>
        </is>
      </c>
      <c r="E241" s="143" t="n">
        <v>35</v>
      </c>
      <c r="F241" s="143" t="inlineStr">
        <is>
          <t>CAP</t>
        </is>
      </c>
      <c r="G241" s="143" t="n">
        <v>578</v>
      </c>
      <c r="H241" s="143" t="inlineStr">
        <is>
          <t>M-12 S/M SPR WHITE DIA 30</t>
        </is>
      </c>
      <c r="I241" s="145" t="inlineStr">
        <is>
          <t>PCS</t>
        </is>
      </c>
      <c r="J241" s="146" t="n">
        <v>1000</v>
      </c>
      <c r="K241" s="147" t="inlineStr">
        <is>
          <t>Caps</t>
        </is>
      </c>
      <c r="L241" s="147" t="n">
        <v>0.02</v>
      </c>
      <c r="M241" s="149" t="inlineStr">
        <is>
          <t>Value changed manually v9.30 (16-Apr-2026) — Update in ERP BOM</t>
        </is>
      </c>
      <c r="N241" s="147" t="n"/>
      <c r="O241" s="147" t="n"/>
      <c r="P241" s="147" t="n"/>
      <c r="Q241" s="148" t="n"/>
    </row>
    <row r="242" ht="15" customHeight="1" s="249">
      <c r="A242" s="143" t="n">
        <v>6531</v>
      </c>
      <c r="B242" s="143" t="n">
        <v>183</v>
      </c>
      <c r="C242" s="143" t="inlineStr">
        <is>
          <t>Adore</t>
        </is>
      </c>
      <c r="D242" s="144" t="inlineStr">
        <is>
          <t>V-HC BLACK</t>
        </is>
      </c>
      <c r="E242" s="143" t="n">
        <v>35</v>
      </c>
      <c r="F242" s="143" t="inlineStr">
        <is>
          <t>CARTON</t>
        </is>
      </c>
      <c r="G242" s="143" t="n">
        <v>3988</v>
      </c>
      <c r="H242" s="143" t="inlineStr">
        <is>
          <t>35x180 5ply</t>
        </is>
      </c>
      <c r="I242" s="145" t="inlineStr">
        <is>
          <t>PCS</t>
        </is>
      </c>
      <c r="J242" s="146" t="n">
        <v>6.06</v>
      </c>
      <c r="K242" s="147" t="inlineStr">
        <is>
          <t>Cartons</t>
        </is>
      </c>
      <c r="L242" s="147" t="n">
        <v>0.1</v>
      </c>
      <c r="M242" s="147" t="n"/>
      <c r="N242" s="147" t="n"/>
      <c r="O242" s="147" t="n"/>
      <c r="P242" s="147" t="n"/>
      <c r="Q242" s="148" t="n"/>
    </row>
    <row r="243" ht="15" customHeight="1" s="249">
      <c r="A243" s="143" t="n">
        <v>6531</v>
      </c>
      <c r="B243" s="143" t="n">
        <v>183</v>
      </c>
      <c r="C243" s="143" t="inlineStr">
        <is>
          <t>Adore</t>
        </is>
      </c>
      <c r="D243" s="144" t="inlineStr">
        <is>
          <t>V-HC BLACK</t>
        </is>
      </c>
      <c r="E243" s="143" t="n">
        <v>35</v>
      </c>
      <c r="F243" s="143" t="inlineStr">
        <is>
          <t>ZINC POWDER</t>
        </is>
      </c>
      <c r="G243" s="143" t="n">
        <v>194</v>
      </c>
      <c r="H243" s="143" t="inlineStr">
        <is>
          <t>ZINC STEARATE</t>
        </is>
      </c>
      <c r="I243" s="145" t="inlineStr">
        <is>
          <t>kg</t>
        </is>
      </c>
      <c r="J243" s="146" t="n">
        <v>0.0133</v>
      </c>
      <c r="K243" s="147" t="inlineStr">
        <is>
          <t>Zinc Stearate</t>
        </is>
      </c>
      <c r="L243" s="147" t="n">
        <v>0.1</v>
      </c>
      <c r="M243" s="147" t="n"/>
      <c r="N243" s="147" t="n"/>
      <c r="O243" s="147" t="n"/>
      <c r="P243" s="147" t="n"/>
      <c r="Q243" s="148" t="n"/>
    </row>
    <row r="244" ht="15" customHeight="1" s="249">
      <c r="A244" s="143" t="n">
        <v>6531</v>
      </c>
      <c r="B244" s="143" t="n">
        <v>183</v>
      </c>
      <c r="C244" s="143" t="inlineStr">
        <is>
          <t>Adore</t>
        </is>
      </c>
      <c r="D244" s="144" t="inlineStr">
        <is>
          <t>V-HC BLACK</t>
        </is>
      </c>
      <c r="E244" s="143" t="n">
        <v>35</v>
      </c>
      <c r="F244" s="143" t="inlineStr">
        <is>
          <t>LACQUER</t>
        </is>
      </c>
      <c r="G244" s="143" t="n">
        <v>4155</v>
      </c>
      <c r="H244" s="143" t="inlineStr">
        <is>
          <t>E/P LACQUER 4000 A/R</t>
        </is>
      </c>
      <c r="I244" s="145" t="inlineStr">
        <is>
          <t>kg</t>
        </is>
      </c>
      <c r="J244" s="146" t="n">
        <v>0.16</v>
      </c>
      <c r="K244" s="147" t="inlineStr">
        <is>
          <t>Lacquer</t>
        </is>
      </c>
      <c r="L244" s="147" t="n">
        <v>0.1</v>
      </c>
      <c r="M244" s="147" t="n"/>
      <c r="N244" s="147" t="n"/>
      <c r="O244" s="147" t="n"/>
      <c r="P244" s="147" t="n"/>
      <c r="Q244" s="148" t="n"/>
    </row>
    <row r="245" ht="15" customHeight="1" s="249">
      <c r="A245" s="143" t="n">
        <v>6531</v>
      </c>
      <c r="B245" s="143" t="n">
        <v>183</v>
      </c>
      <c r="C245" s="143" t="inlineStr">
        <is>
          <t>Adore</t>
        </is>
      </c>
      <c r="D245" s="144" t="inlineStr">
        <is>
          <t>V-HC BLACK</t>
        </is>
      </c>
      <c r="E245" s="143" t="n">
        <v>35</v>
      </c>
      <c r="F245" s="143" t="inlineStr">
        <is>
          <t>TAPE</t>
        </is>
      </c>
      <c r="G245" s="143" t="n">
        <v>3635</v>
      </c>
      <c r="H245" s="143" t="inlineStr">
        <is>
          <t>PACKING TAPE 2" OF 60 YARDS</t>
        </is>
      </c>
      <c r="I245" s="145" t="inlineStr">
        <is>
          <t>PCS</t>
        </is>
      </c>
      <c r="J245" s="146" t="n">
        <v>0.168</v>
      </c>
      <c r="K245" s="147" t="inlineStr">
        <is>
          <t>Packing Tape</t>
        </is>
      </c>
      <c r="L245" s="147" t="n">
        <v>0.1</v>
      </c>
      <c r="M245" s="147" t="n"/>
      <c r="N245" s="147" t="n"/>
      <c r="O245" s="147" t="n"/>
      <c r="P245" s="147" t="n"/>
      <c r="Q245" s="148" t="n"/>
    </row>
    <row r="246" ht="15" customHeight="1" s="249">
      <c r="A246" s="143" t="n">
        <v>6531</v>
      </c>
      <c r="B246" s="143" t="n">
        <v>183</v>
      </c>
      <c r="C246" s="143" t="inlineStr">
        <is>
          <t>Adore</t>
        </is>
      </c>
      <c r="D246" s="144" t="inlineStr">
        <is>
          <t>V-HC BLACK</t>
        </is>
      </c>
      <c r="E246" s="143" t="n">
        <v>35</v>
      </c>
      <c r="F246" s="143" t="inlineStr">
        <is>
          <t>STATIONARY</t>
        </is>
      </c>
      <c r="G246" s="143" t="n">
        <v>495</v>
      </c>
      <c r="H246" s="143" t="inlineStr">
        <is>
          <t>CARTON LABEL</t>
        </is>
      </c>
      <c r="I246" s="145" t="inlineStr">
        <is>
          <t>pcs</t>
        </is>
      </c>
      <c r="J246" s="146" t="n">
        <v>6.06</v>
      </c>
      <c r="K246" s="147" t="inlineStr">
        <is>
          <t>Labels</t>
        </is>
      </c>
      <c r="L246" s="147" t="n">
        <v>0.1</v>
      </c>
      <c r="M246" s="149" t="n"/>
      <c r="N246" s="147" t="n"/>
      <c r="O246" s="147" t="n"/>
      <c r="P246" s="147" t="n"/>
      <c r="Q246" s="148" t="n"/>
    </row>
    <row r="247" ht="15" customHeight="1" s="249">
      <c r="A247" s="143" t="n">
        <v>8001</v>
      </c>
      <c r="B247" s="143" t="n">
        <v>800</v>
      </c>
      <c r="C247" s="143" t="inlineStr">
        <is>
          <t>Alpha Labs PVT LTD</t>
        </is>
      </c>
      <c r="D247" s="144" t="inlineStr">
        <is>
          <t>TRANSPARENT BOTTLE 150ML</t>
        </is>
      </c>
      <c r="E247" s="143" t="inlineStr">
        <is>
          <t>150 ml</t>
        </is>
      </c>
      <c r="F247" s="143" t="inlineStr">
        <is>
          <t>PET RESIN</t>
        </is>
      </c>
      <c r="G247" s="143" t="n">
        <v>2680</v>
      </c>
      <c r="H247" s="143" t="inlineStr">
        <is>
          <t>PET RESIN A-84</t>
        </is>
      </c>
      <c r="I247" s="145" t="inlineStr">
        <is>
          <t>kg</t>
        </is>
      </c>
      <c r="J247" s="146" t="n">
        <v>22</v>
      </c>
      <c r="K247" s="147" t="inlineStr">
        <is>
          <t>PET Resin</t>
        </is>
      </c>
      <c r="L247" s="147" t="n">
        <v>0.15</v>
      </c>
      <c r="M247" s="149" t="inlineStr">
        <is>
          <t>Value changed manually v9.30 (16-Apr-2026) — Update in ERP BOM</t>
        </is>
      </c>
      <c r="N247" s="147" t="n"/>
      <c r="O247" s="147" t="n"/>
      <c r="P247" s="147" t="n"/>
      <c r="Q247" s="148" t="n"/>
    </row>
    <row r="248" ht="15" customHeight="1" s="249">
      <c r="A248" s="143" t="n">
        <v>8001</v>
      </c>
      <c r="B248" s="143" t="n">
        <v>800</v>
      </c>
      <c r="C248" s="143" t="inlineStr">
        <is>
          <t>Alpha Labs PVT LTD</t>
        </is>
      </c>
      <c r="D248" s="144" t="inlineStr">
        <is>
          <t>TRANSPARENT BOTTLE 150ML</t>
        </is>
      </c>
      <c r="E248" s="143" t="inlineStr">
        <is>
          <t>150 ml</t>
        </is>
      </c>
      <c r="F248" s="143" t="inlineStr">
        <is>
          <t>MASTER CARTON</t>
        </is>
      </c>
      <c r="G248" s="143" t="n">
        <v>5977</v>
      </c>
      <c r="H248" s="143" t="inlineStr">
        <is>
          <t>MASTER CARTON 38"X24"X15.5"</t>
        </is>
      </c>
      <c r="I248" s="145" t="inlineStr">
        <is>
          <t>PCS</t>
        </is>
      </c>
      <c r="J248" s="146" t="n">
        <v>1.087</v>
      </c>
      <c r="K248" s="147" t="inlineStr">
        <is>
          <t>Master Carton</t>
        </is>
      </c>
      <c r="L248" s="147" t="n">
        <v>0.15</v>
      </c>
      <c r="M248" s="147" t="n"/>
      <c r="N248" s="147" t="n"/>
      <c r="O248" s="147" t="n"/>
      <c r="P248" s="147" t="n"/>
      <c r="Q248" s="148" t="n"/>
    </row>
    <row r="249" ht="15" customHeight="1" s="249">
      <c r="A249" s="143" t="n">
        <v>8001</v>
      </c>
      <c r="B249" s="143" t="n">
        <v>800</v>
      </c>
      <c r="C249" s="143" t="inlineStr">
        <is>
          <t>Alpha Labs PVT LTD</t>
        </is>
      </c>
      <c r="D249" s="144" t="inlineStr">
        <is>
          <t>TRANSPARENT BOTTLE 150ML</t>
        </is>
      </c>
      <c r="E249" s="143" t="inlineStr">
        <is>
          <t>150 ml</t>
        </is>
      </c>
      <c r="F249" s="143" t="inlineStr">
        <is>
          <t>POLY BAG</t>
        </is>
      </c>
      <c r="G249" s="143" t="n">
        <v>2267</v>
      </c>
      <c r="H249" s="143" t="inlineStr">
        <is>
          <t>POLY BAG 20X30 (LDPE)</t>
        </is>
      </c>
      <c r="I249" s="145" t="inlineStr">
        <is>
          <t>PCS</t>
        </is>
      </c>
      <c r="J249" s="146" t="n">
        <v>8.696</v>
      </c>
      <c r="K249" s="147" t="inlineStr">
        <is>
          <t>Poly Bag</t>
        </is>
      </c>
      <c r="L249" s="147" t="n">
        <v>0.15</v>
      </c>
      <c r="M249" s="147" t="n"/>
      <c r="N249" s="147" t="n"/>
      <c r="O249" s="147" t="n"/>
      <c r="P249" s="147" t="n"/>
      <c r="Q249" s="148" t="n"/>
    </row>
    <row r="250" ht="15" customHeight="1" s="249">
      <c r="A250" s="143" t="n">
        <v>8001</v>
      </c>
      <c r="B250" s="143" t="n">
        <v>800</v>
      </c>
      <c r="C250" s="143" t="inlineStr">
        <is>
          <t>Alpha Labs PVT LTD</t>
        </is>
      </c>
      <c r="D250" s="144" t="inlineStr">
        <is>
          <t>TRANSPARENT BOTTLE 150ML</t>
        </is>
      </c>
      <c r="E250" s="143" t="inlineStr">
        <is>
          <t>150 ml</t>
        </is>
      </c>
      <c r="F250" s="143" t="inlineStr">
        <is>
          <t>TAPE</t>
        </is>
      </c>
      <c r="G250" s="143" t="n">
        <v>3635</v>
      </c>
      <c r="H250" s="143" t="inlineStr">
        <is>
          <t>PACKING TAPE 2" OF 60 YARDS</t>
        </is>
      </c>
      <c r="I250" s="145" t="inlineStr">
        <is>
          <t>PCS</t>
        </is>
      </c>
      <c r="J250" s="146" t="n">
        <v>0.027</v>
      </c>
      <c r="K250" s="147" t="inlineStr">
        <is>
          <t>Packing Tape</t>
        </is>
      </c>
      <c r="L250" s="147" t="n">
        <v>0.15</v>
      </c>
      <c r="M250" s="147" t="n"/>
      <c r="N250" s="147" t="n"/>
      <c r="O250" s="147" t="n"/>
      <c r="P250" s="147" t="n"/>
      <c r="Q250" s="148" t="n"/>
    </row>
    <row r="251" ht="15" customHeight="1" s="249">
      <c r="A251" s="143" t="n">
        <v>8001</v>
      </c>
      <c r="B251" s="143" t="n">
        <v>800</v>
      </c>
      <c r="C251" s="143" t="inlineStr">
        <is>
          <t>Alpha Labs PVT LTD</t>
        </is>
      </c>
      <c r="D251" s="144" t="inlineStr">
        <is>
          <t>TRANSPARENT BOTTLE 150ML</t>
        </is>
      </c>
      <c r="E251" s="143" t="inlineStr">
        <is>
          <t>150 ml</t>
        </is>
      </c>
      <c r="F251" s="143" t="inlineStr">
        <is>
          <t>PLASTIC DOORI</t>
        </is>
      </c>
      <c r="G251" s="143" t="n">
        <v>3043</v>
      </c>
      <c r="H251" s="143" t="inlineStr">
        <is>
          <t>PLASTIC DOORI</t>
        </is>
      </c>
      <c r="I251" s="145" t="inlineStr">
        <is>
          <t>ROLL</t>
        </is>
      </c>
      <c r="J251" s="146" t="n">
        <v>0.005</v>
      </c>
      <c r="K251" s="147" t="inlineStr">
        <is>
          <t>Packing</t>
        </is>
      </c>
      <c r="L251" s="147" t="n">
        <v>0.15</v>
      </c>
      <c r="M251" s="147" t="n"/>
      <c r="N251" s="147" t="n"/>
      <c r="O251" s="147" t="n"/>
      <c r="P251" s="147" t="n"/>
      <c r="Q251" s="148" t="n"/>
    </row>
    <row r="252" ht="15" customHeight="1" s="249">
      <c r="A252" s="143" t="n">
        <v>8005</v>
      </c>
      <c r="B252" s="143" t="n">
        <v>805</v>
      </c>
      <c r="C252" s="143" t="inlineStr">
        <is>
          <t>Samsol International Private Limited</t>
        </is>
      </c>
      <c r="D252" s="144" t="inlineStr">
        <is>
          <t>PET BOTTLE SMALL (120ML) YELLOW</t>
        </is>
      </c>
      <c r="E252" s="143" t="inlineStr">
        <is>
          <t>120 ml</t>
        </is>
      </c>
      <c r="F252" s="143" t="inlineStr">
        <is>
          <t>PET RESIN</t>
        </is>
      </c>
      <c r="G252" s="143" t="n">
        <v>2680</v>
      </c>
      <c r="H252" s="143" t="inlineStr">
        <is>
          <t>PET RESIN A-84</t>
        </is>
      </c>
      <c r="I252" s="145" t="inlineStr">
        <is>
          <t>kg</t>
        </is>
      </c>
      <c r="J252" s="146" t="n">
        <v>17.1</v>
      </c>
      <c r="K252" s="147" t="inlineStr">
        <is>
          <t>PET Resin</t>
        </is>
      </c>
      <c r="L252" s="147" t="n">
        <v>0.15</v>
      </c>
      <c r="M252" s="147" t="n"/>
      <c r="N252" s="147" t="n"/>
      <c r="O252" s="147" t="n"/>
      <c r="P252" s="147" t="n"/>
      <c r="Q252" s="148" t="n"/>
    </row>
    <row r="253" ht="15" customHeight="1" s="249">
      <c r="A253" s="143" t="n">
        <v>8005</v>
      </c>
      <c r="B253" s="143" t="n">
        <v>805</v>
      </c>
      <c r="C253" s="143" t="inlineStr">
        <is>
          <t>Samsol International Private Limited</t>
        </is>
      </c>
      <c r="D253" s="144" t="inlineStr">
        <is>
          <t>PET BOTTLE SMALL (120ML) YELLOW</t>
        </is>
      </c>
      <c r="E253" s="143" t="inlineStr">
        <is>
          <t>120 ml</t>
        </is>
      </c>
      <c r="F253" s="143" t="inlineStr">
        <is>
          <t>MASTERBATCH</t>
        </is>
      </c>
      <c r="G253" s="143" t="n">
        <v>4070</v>
      </c>
      <c r="H253" s="143" t="inlineStr">
        <is>
          <t>MASTER BATCH ONCOLOR YELLOW NE12340208-ZN</t>
        </is>
      </c>
      <c r="I253" s="145" t="inlineStr">
        <is>
          <t>kg</t>
        </is>
      </c>
      <c r="J253" s="146" t="n">
        <v>0.9</v>
      </c>
      <c r="K253" s="147" t="inlineStr">
        <is>
          <t>Masterbatch</t>
        </is>
      </c>
      <c r="L253" s="147" t="n">
        <v>0.15</v>
      </c>
      <c r="M253" s="147" t="n"/>
      <c r="N253" s="147" t="n"/>
      <c r="O253" s="147" t="n"/>
      <c r="P253" s="147" t="n"/>
      <c r="Q253" s="148" t="n"/>
    </row>
    <row r="254" ht="15" customHeight="1" s="249">
      <c r="A254" s="143" t="n">
        <v>8005</v>
      </c>
      <c r="B254" s="143" t="n">
        <v>805</v>
      </c>
      <c r="C254" s="143" t="inlineStr">
        <is>
          <t>Samsol International Private Limited</t>
        </is>
      </c>
      <c r="D254" s="144" t="inlineStr">
        <is>
          <t>PET BOTTLE SMALL (120ML) YELLOW</t>
        </is>
      </c>
      <c r="E254" s="143" t="inlineStr">
        <is>
          <t>120 ml</t>
        </is>
      </c>
      <c r="F254" s="143" t="inlineStr">
        <is>
          <t>POLY BAG</t>
        </is>
      </c>
      <c r="G254" s="143" t="n">
        <v>2267</v>
      </c>
      <c r="H254" s="143" t="inlineStr">
        <is>
          <t>POLY BAG 20X30 (LDPE)</t>
        </is>
      </c>
      <c r="I254" s="145" t="inlineStr">
        <is>
          <t>PCS</t>
        </is>
      </c>
      <c r="J254" s="146" t="n">
        <v>8.333</v>
      </c>
      <c r="K254" s="147" t="inlineStr">
        <is>
          <t>Poly Bag</t>
        </is>
      </c>
      <c r="L254" s="147" t="n">
        <v>0.15</v>
      </c>
      <c r="M254" s="147" t="n"/>
      <c r="N254" s="147" t="n"/>
      <c r="O254" s="147" t="n"/>
      <c r="P254" s="147" t="n"/>
      <c r="Q254" s="148" t="n"/>
    </row>
    <row r="255" ht="15" customHeight="1" s="249">
      <c r="A255" s="143" t="n">
        <v>8005</v>
      </c>
      <c r="B255" s="143" t="n">
        <v>805</v>
      </c>
      <c r="C255" s="143" t="inlineStr">
        <is>
          <t>Samsol International Private Limited</t>
        </is>
      </c>
      <c r="D255" s="144" t="inlineStr">
        <is>
          <t>PET BOTTLE SMALL (120ML) YELLOW</t>
        </is>
      </c>
      <c r="E255" s="143" t="inlineStr">
        <is>
          <t>120 ml</t>
        </is>
      </c>
      <c r="F255" s="143" t="inlineStr">
        <is>
          <t>PLASTIC DOORI</t>
        </is>
      </c>
      <c r="G255" s="143" t="n">
        <v>3043</v>
      </c>
      <c r="H255" s="143" t="inlineStr">
        <is>
          <t>PLASTIC DOORI</t>
        </is>
      </c>
      <c r="I255" s="145" t="inlineStr">
        <is>
          <t>ROLL</t>
        </is>
      </c>
      <c r="J255" s="146" t="n">
        <v>0.005</v>
      </c>
      <c r="K255" s="147" t="inlineStr">
        <is>
          <t>Packing</t>
        </is>
      </c>
      <c r="L255" s="147" t="n">
        <v>0.15</v>
      </c>
      <c r="M255" s="149" t="n"/>
      <c r="N255" s="147" t="n"/>
      <c r="O255" s="147" t="n"/>
      <c r="P255" s="147" t="n"/>
      <c r="Q255" s="148" t="n"/>
    </row>
    <row r="256" ht="15" customHeight="1" s="249">
      <c r="A256" s="143" t="n">
        <v>8011</v>
      </c>
      <c r="B256" s="143" t="n">
        <v>811</v>
      </c>
      <c r="C256" s="143" t="inlineStr">
        <is>
          <t>Samsol International Private Limited</t>
        </is>
      </c>
      <c r="D256" s="144" t="inlineStr">
        <is>
          <t>BLACK SMALL BOTTLE 120ML</t>
        </is>
      </c>
      <c r="E256" s="143" t="inlineStr">
        <is>
          <t>120 ml</t>
        </is>
      </c>
      <c r="F256" s="143" t="inlineStr">
        <is>
          <t>PET RESIN</t>
        </is>
      </c>
      <c r="G256" s="143" t="n">
        <v>2680</v>
      </c>
      <c r="H256" s="143" t="inlineStr">
        <is>
          <t>PET RESIN A-84</t>
        </is>
      </c>
      <c r="I256" s="145" t="inlineStr">
        <is>
          <t>kg</t>
        </is>
      </c>
      <c r="J256" s="146" t="n">
        <v>17.46</v>
      </c>
      <c r="K256" s="147" t="inlineStr">
        <is>
          <t>PET Resin</t>
        </is>
      </c>
      <c r="L256" s="147" t="n">
        <v>0.15</v>
      </c>
      <c r="M256" s="147" t="n"/>
      <c r="N256" s="147" t="n"/>
      <c r="O256" s="147" t="n"/>
      <c r="P256" s="147" t="n"/>
      <c r="Q256" s="148" t="n"/>
    </row>
    <row r="257" ht="15" customHeight="1" s="249">
      <c r="A257" s="143" t="n">
        <v>8011</v>
      </c>
      <c r="B257" s="143" t="n">
        <v>811</v>
      </c>
      <c r="C257" s="143" t="inlineStr">
        <is>
          <t>Samsol International Private Limited</t>
        </is>
      </c>
      <c r="D257" s="144" t="inlineStr">
        <is>
          <t>BLACK SMALL BOTTLE 120ML</t>
        </is>
      </c>
      <c r="E257" s="143" t="inlineStr">
        <is>
          <t>120 ml</t>
        </is>
      </c>
      <c r="F257" s="143" t="inlineStr">
        <is>
          <t>MASTERBATCH</t>
        </is>
      </c>
      <c r="G257" s="143" t="n">
        <v>7412</v>
      </c>
      <c r="H257" s="143" t="inlineStr">
        <is>
          <t>MASTER BATCH BLACK DP# 6411</t>
        </is>
      </c>
      <c r="I257" s="145" t="inlineStr">
        <is>
          <t>kg</t>
        </is>
      </c>
      <c r="J257" s="146" t="n">
        <v>0.54</v>
      </c>
      <c r="K257" s="147" t="inlineStr">
        <is>
          <t>Masterbatch</t>
        </is>
      </c>
      <c r="L257" s="147" t="n">
        <v>0.15</v>
      </c>
      <c r="M257" s="147" t="n"/>
      <c r="N257" s="147" t="n"/>
      <c r="O257" s="147" t="n"/>
      <c r="P257" s="147" t="n"/>
      <c r="Q257" s="148" t="n"/>
    </row>
    <row r="258" ht="15" customHeight="1" s="249">
      <c r="A258" s="143" t="n">
        <v>8011</v>
      </c>
      <c r="B258" s="143" t="n">
        <v>811</v>
      </c>
      <c r="C258" s="143" t="inlineStr">
        <is>
          <t>Samsol International Private Limited</t>
        </is>
      </c>
      <c r="D258" s="144" t="inlineStr">
        <is>
          <t>BLACK SMALL BOTTLE 120ML</t>
        </is>
      </c>
      <c r="E258" s="143" t="inlineStr">
        <is>
          <t>120 ml</t>
        </is>
      </c>
      <c r="F258" s="143" t="inlineStr">
        <is>
          <t>POLY BAG</t>
        </is>
      </c>
      <c r="G258" s="143" t="n">
        <v>2267</v>
      </c>
      <c r="H258" s="143" t="inlineStr">
        <is>
          <t>POLY BAG 20X30 (LDPE)</t>
        </is>
      </c>
      <c r="I258" s="145" t="inlineStr">
        <is>
          <t>PCS</t>
        </is>
      </c>
      <c r="J258" s="146" t="n">
        <v>8.333</v>
      </c>
      <c r="K258" s="147" t="inlineStr">
        <is>
          <t>Poly Bag</t>
        </is>
      </c>
      <c r="L258" s="147" t="n">
        <v>0.15</v>
      </c>
      <c r="M258" s="147" t="n"/>
      <c r="N258" s="147" t="n"/>
      <c r="O258" s="147" t="n"/>
      <c r="P258" s="147" t="n"/>
      <c r="Q258" s="148" t="n"/>
    </row>
    <row r="259" ht="15" customHeight="1" s="249">
      <c r="A259" s="143" t="n">
        <v>8011</v>
      </c>
      <c r="B259" s="143" t="n">
        <v>811</v>
      </c>
      <c r="C259" s="143" t="inlineStr">
        <is>
          <t>Samsol International Private Limited</t>
        </is>
      </c>
      <c r="D259" s="144" t="inlineStr">
        <is>
          <t>BLACK SMALL BOTTLE 120ML</t>
        </is>
      </c>
      <c r="E259" s="143" t="inlineStr">
        <is>
          <t>120 ml</t>
        </is>
      </c>
      <c r="F259" s="143" t="inlineStr">
        <is>
          <t>PLASTIC DOORI</t>
        </is>
      </c>
      <c r="G259" s="143" t="n">
        <v>3043</v>
      </c>
      <c r="H259" s="143" t="inlineStr">
        <is>
          <t>PLASTIC DOORI</t>
        </is>
      </c>
      <c r="I259" s="145" t="inlineStr">
        <is>
          <t>ROLL</t>
        </is>
      </c>
      <c r="J259" s="146" t="n">
        <v>0.005</v>
      </c>
      <c r="K259" s="147" t="inlineStr">
        <is>
          <t>Packing</t>
        </is>
      </c>
      <c r="L259" s="147" t="n">
        <v>0.15</v>
      </c>
      <c r="M259" s="147" t="n"/>
      <c r="N259" s="147" t="n"/>
      <c r="O259" s="147" t="n"/>
      <c r="P259" s="147" t="n"/>
      <c r="Q259" s="148" t="n"/>
    </row>
    <row r="260" ht="15" customHeight="1" s="249">
      <c r="A260" s="143" t="n">
        <v>8012</v>
      </c>
      <c r="B260" s="143" t="n">
        <v>812</v>
      </c>
      <c r="C260" s="143" t="inlineStr">
        <is>
          <t>Samsol International Private Limited</t>
        </is>
      </c>
      <c r="D260" s="144" t="inlineStr">
        <is>
          <t>WHITE SMALL BOTTLE 120ML</t>
        </is>
      </c>
      <c r="E260" s="143" t="inlineStr">
        <is>
          <t>120 ml</t>
        </is>
      </c>
      <c r="F260" s="143" t="inlineStr">
        <is>
          <t>PET RESIN</t>
        </is>
      </c>
      <c r="G260" s="143" t="n">
        <v>2680</v>
      </c>
      <c r="H260" s="143" t="inlineStr">
        <is>
          <t>PET RESIN A-84</t>
        </is>
      </c>
      <c r="I260" s="145" t="inlineStr">
        <is>
          <t>kg</t>
        </is>
      </c>
      <c r="J260" s="146" t="n">
        <v>17.1</v>
      </c>
      <c r="K260" s="147" t="inlineStr">
        <is>
          <t>PET Resin</t>
        </is>
      </c>
      <c r="L260" s="147" t="n">
        <v>0.15</v>
      </c>
      <c r="M260" s="147" t="n"/>
      <c r="N260" s="147" t="n"/>
      <c r="O260" s="147" t="n"/>
      <c r="P260" s="147" t="n"/>
      <c r="Q260" s="148" t="n"/>
    </row>
    <row r="261" ht="15" customHeight="1" s="249">
      <c r="A261" s="143" t="n">
        <v>8012</v>
      </c>
      <c r="B261" s="143" t="n">
        <v>812</v>
      </c>
      <c r="C261" s="143" t="inlineStr">
        <is>
          <t>Samsol International Private Limited</t>
        </is>
      </c>
      <c r="D261" s="144" t="inlineStr">
        <is>
          <t>WHITE SMALL BOTTLE 120ML</t>
        </is>
      </c>
      <c r="E261" s="143" t="inlineStr">
        <is>
          <t>120 ml</t>
        </is>
      </c>
      <c r="F261" s="143" t="inlineStr">
        <is>
          <t>MASTERBATCH</t>
        </is>
      </c>
      <c r="G261" s="143" t="n">
        <v>5816</v>
      </c>
      <c r="H261" s="143" t="inlineStr">
        <is>
          <t>MASTER BATCH WHITE PRC-MC ET02340000</t>
        </is>
      </c>
      <c r="I261" s="145" t="inlineStr">
        <is>
          <t>kg</t>
        </is>
      </c>
      <c r="J261" s="146" t="n">
        <v>0.9</v>
      </c>
      <c r="K261" s="147" t="inlineStr">
        <is>
          <t>Masterbatch</t>
        </is>
      </c>
      <c r="L261" s="147" t="n">
        <v>0.15</v>
      </c>
      <c r="M261" s="147" t="n"/>
      <c r="N261" s="147" t="n"/>
      <c r="O261" s="147" t="n"/>
      <c r="P261" s="147" t="n"/>
      <c r="Q261" s="148" t="n"/>
    </row>
    <row r="262" ht="15" customHeight="1" s="249">
      <c r="A262" s="143" t="n">
        <v>8012</v>
      </c>
      <c r="B262" s="143" t="n">
        <v>812</v>
      </c>
      <c r="C262" s="143" t="inlineStr">
        <is>
          <t>Samsol International Private Limited</t>
        </is>
      </c>
      <c r="D262" s="144" t="inlineStr">
        <is>
          <t>WHITE SMALL BOTTLE 120ML</t>
        </is>
      </c>
      <c r="E262" s="143" t="inlineStr">
        <is>
          <t>120 ml</t>
        </is>
      </c>
      <c r="F262" s="143" t="inlineStr">
        <is>
          <t>POLY BAG</t>
        </is>
      </c>
      <c r="G262" s="143" t="n">
        <v>2267</v>
      </c>
      <c r="H262" s="143" t="inlineStr">
        <is>
          <t>POLY BAG 20X30 (LDPE)</t>
        </is>
      </c>
      <c r="I262" s="145" t="inlineStr">
        <is>
          <t>PCS</t>
        </is>
      </c>
      <c r="J262" s="146" t="n">
        <v>8.333</v>
      </c>
      <c r="K262" s="147" t="inlineStr">
        <is>
          <t>Poly Bag</t>
        </is>
      </c>
      <c r="L262" s="147" t="n">
        <v>0.15</v>
      </c>
      <c r="M262" s="147" t="n"/>
      <c r="N262" s="147" t="n"/>
      <c r="O262" s="147" t="n"/>
      <c r="P262" s="147" t="n"/>
      <c r="Q262" s="148" t="n"/>
    </row>
    <row r="263" ht="15" customHeight="1" s="249">
      <c r="A263" s="143" t="n">
        <v>8012</v>
      </c>
      <c r="B263" s="143" t="n">
        <v>812</v>
      </c>
      <c r="C263" s="143" t="inlineStr">
        <is>
          <t>Samsol International Private Limited</t>
        </is>
      </c>
      <c r="D263" s="144" t="inlineStr">
        <is>
          <t>WHITE SMALL BOTTLE 120ML</t>
        </is>
      </c>
      <c r="E263" s="143" t="inlineStr">
        <is>
          <t>120 ml</t>
        </is>
      </c>
      <c r="F263" s="143" t="inlineStr">
        <is>
          <t>PLASTIC DOORI</t>
        </is>
      </c>
      <c r="G263" s="143" t="n">
        <v>3043</v>
      </c>
      <c r="H263" s="143" t="inlineStr">
        <is>
          <t>PLASTIC DOORI</t>
        </is>
      </c>
      <c r="I263" s="145" t="inlineStr">
        <is>
          <t>ROLL</t>
        </is>
      </c>
      <c r="J263" s="146" t="n">
        <v>0.005</v>
      </c>
      <c r="K263" s="147" t="inlineStr">
        <is>
          <t>Packing</t>
        </is>
      </c>
      <c r="L263" s="147" t="n">
        <v>0.15</v>
      </c>
      <c r="M263" s="147" t="n"/>
      <c r="N263" s="147" t="n"/>
      <c r="O263" s="147" t="n"/>
      <c r="P263" s="147" t="n"/>
      <c r="Q263" s="148" t="n"/>
    </row>
    <row r="264" ht="15" customHeight="1" s="249">
      <c r="A264" s="143" t="n">
        <v>8010</v>
      </c>
      <c r="B264" s="143" t="n">
        <v>810</v>
      </c>
      <c r="C264" s="143" t="inlineStr">
        <is>
          <t>Alpha Labs PVT LTD</t>
        </is>
      </c>
      <c r="D264" s="144" t="inlineStr">
        <is>
          <t>PET BOTTLE SMALL (130ML) TRANSPARENT</t>
        </is>
      </c>
      <c r="E264" s="143" t="inlineStr">
        <is>
          <t>130 ml</t>
        </is>
      </c>
      <c r="F264" s="143" t="inlineStr">
        <is>
          <t>PET RESIN</t>
        </is>
      </c>
      <c r="G264" s="143" t="n">
        <v>2680</v>
      </c>
      <c r="H264" s="143" t="inlineStr">
        <is>
          <t>PET RESIN A-84</t>
        </is>
      </c>
      <c r="I264" s="145" t="inlineStr">
        <is>
          <t>kg</t>
        </is>
      </c>
      <c r="J264" s="146" t="n">
        <v>18</v>
      </c>
      <c r="K264" s="147" t="inlineStr">
        <is>
          <t>PET Resin</t>
        </is>
      </c>
      <c r="L264" s="147" t="n">
        <v>0.15</v>
      </c>
      <c r="M264" s="149" t="inlineStr">
        <is>
          <t>Value changed manually v9.30 (16-Apr-2026) — Update in ERP BOM</t>
        </is>
      </c>
      <c r="N264" s="147" t="n"/>
      <c r="O264" s="147" t="n"/>
      <c r="P264" s="147" t="n"/>
      <c r="Q264" s="148" t="n"/>
    </row>
    <row r="265" ht="15" customHeight="1" s="249">
      <c r="A265" s="143" t="n">
        <v>8010</v>
      </c>
      <c r="B265" s="143" t="n">
        <v>810</v>
      </c>
      <c r="C265" s="143" t="inlineStr">
        <is>
          <t>Alpha Labs PVT LTD</t>
        </is>
      </c>
      <c r="D265" s="144" t="inlineStr">
        <is>
          <t>PET BOTTLE SMALL (130ML) TRANSPARENT</t>
        </is>
      </c>
      <c r="E265" s="143" t="inlineStr">
        <is>
          <t>130 ml</t>
        </is>
      </c>
      <c r="F265" s="143" t="inlineStr">
        <is>
          <t>MASTER CARTON</t>
        </is>
      </c>
      <c r="G265" s="143" t="n">
        <v>5977</v>
      </c>
      <c r="H265" s="143" t="inlineStr">
        <is>
          <t>MASTER CARTON 38"X24"X15.5"</t>
        </is>
      </c>
      <c r="I265" s="145" t="inlineStr">
        <is>
          <t>PCS</t>
        </is>
      </c>
      <c r="J265" s="146" t="n">
        <v>1.667</v>
      </c>
      <c r="K265" s="147" t="inlineStr">
        <is>
          <t>Master Carton</t>
        </is>
      </c>
      <c r="L265" s="147" t="n">
        <v>0.15</v>
      </c>
      <c r="M265" s="147" t="n"/>
      <c r="N265" s="147" t="n"/>
      <c r="O265" s="147" t="n"/>
      <c r="P265" s="147" t="n"/>
      <c r="Q265" s="148" t="n"/>
    </row>
    <row r="266" ht="15" customHeight="1" s="249">
      <c r="A266" s="143" t="n">
        <v>8010</v>
      </c>
      <c r="B266" s="143" t="n">
        <v>810</v>
      </c>
      <c r="C266" s="143" t="inlineStr">
        <is>
          <t>Alpha Labs PVT LTD</t>
        </is>
      </c>
      <c r="D266" s="144" t="inlineStr">
        <is>
          <t>PET BOTTLE SMALL (130ML) TRANSPARENT</t>
        </is>
      </c>
      <c r="E266" s="143" t="inlineStr">
        <is>
          <t>130 ml</t>
        </is>
      </c>
      <c r="F266" s="143" t="inlineStr">
        <is>
          <t>POLY BAG</t>
        </is>
      </c>
      <c r="G266" s="143" t="n">
        <v>2267</v>
      </c>
      <c r="H266" s="143" t="inlineStr">
        <is>
          <t>POLY BAG 20X30 (LDPE)</t>
        </is>
      </c>
      <c r="I266" s="145" t="inlineStr">
        <is>
          <t>PCS</t>
        </is>
      </c>
      <c r="J266" s="146" t="n">
        <v>10</v>
      </c>
      <c r="K266" s="147" t="inlineStr">
        <is>
          <t>Poly Bag</t>
        </is>
      </c>
      <c r="L266" s="147" t="n">
        <v>0.15</v>
      </c>
      <c r="M266" s="149" t="inlineStr">
        <is>
          <t>Value changed manually v9.30 (16-Apr-2026) — Update in ERP BOM</t>
        </is>
      </c>
      <c r="N266" s="147" t="n"/>
      <c r="O266" s="147" t="n"/>
      <c r="P266" s="147" t="n"/>
      <c r="Q266" s="148" t="n"/>
    </row>
    <row r="267" ht="15" customHeight="1" s="249">
      <c r="A267" s="143" t="n">
        <v>8010</v>
      </c>
      <c r="B267" s="143" t="n">
        <v>810</v>
      </c>
      <c r="C267" s="143" t="inlineStr">
        <is>
          <t>Alpha Labs PVT LTD</t>
        </is>
      </c>
      <c r="D267" s="144" t="inlineStr">
        <is>
          <t>PET BOTTLE SMALL (130ML) TRANSPARENT</t>
        </is>
      </c>
      <c r="E267" s="143" t="inlineStr">
        <is>
          <t>130 ml</t>
        </is>
      </c>
      <c r="F267" s="143" t="inlineStr">
        <is>
          <t>TAPE</t>
        </is>
      </c>
      <c r="G267" s="143" t="n">
        <v>3635</v>
      </c>
      <c r="H267" s="143" t="inlineStr">
        <is>
          <t>PACKING TAPE 2" OF 60 YARDS</t>
        </is>
      </c>
      <c r="I267" s="145" t="inlineStr">
        <is>
          <t>PCS</t>
        </is>
      </c>
      <c r="J267" s="146" t="n">
        <v>0.042</v>
      </c>
      <c r="K267" s="147" t="inlineStr">
        <is>
          <t>Packing Tape</t>
        </is>
      </c>
      <c r="L267" s="147" t="n">
        <v>0.15</v>
      </c>
      <c r="M267" s="147" t="n"/>
      <c r="N267" s="147" t="n"/>
      <c r="O267" s="147" t="n"/>
      <c r="P267" s="147" t="n"/>
      <c r="Q267" s="148" t="n"/>
    </row>
    <row r="268" ht="15" customHeight="1" s="249">
      <c r="A268" s="143" t="n">
        <v>8010</v>
      </c>
      <c r="B268" s="143" t="n">
        <v>810</v>
      </c>
      <c r="C268" s="143" t="inlineStr">
        <is>
          <t>Alpha Labs PVT LTD</t>
        </is>
      </c>
      <c r="D268" s="144" t="inlineStr">
        <is>
          <t>PET BOTTLE SMALL (130ML) TRANSPARENT</t>
        </is>
      </c>
      <c r="E268" s="143" t="inlineStr">
        <is>
          <t>130 ml</t>
        </is>
      </c>
      <c r="F268" s="143" t="inlineStr">
        <is>
          <t>PLASTIC DOORI</t>
        </is>
      </c>
      <c r="G268" s="143" t="n">
        <v>3043</v>
      </c>
      <c r="H268" s="143" t="inlineStr">
        <is>
          <t>PLASTIC DOORI</t>
        </is>
      </c>
      <c r="I268" s="145" t="inlineStr">
        <is>
          <t>ROLL</t>
        </is>
      </c>
      <c r="J268" s="146" t="n">
        <v>0.005</v>
      </c>
      <c r="K268" s="147" t="inlineStr">
        <is>
          <t>Packing</t>
        </is>
      </c>
      <c r="L268" s="147" t="n">
        <v>0.15</v>
      </c>
      <c r="M268" s="147" t="n"/>
      <c r="N268" s="147" t="n"/>
      <c r="O268" s="147" t="n"/>
      <c r="P268" s="147" t="n"/>
      <c r="Q268" s="148" t="n"/>
    </row>
    <row r="269" ht="15" customHeight="1" s="249">
      <c r="A269" s="143" t="n">
        <v>8006</v>
      </c>
      <c r="B269" s="143" t="n">
        <v>806</v>
      </c>
      <c r="C269" s="143" t="inlineStr">
        <is>
          <t>Samsol International Private Limited</t>
        </is>
      </c>
      <c r="D269" s="144" t="inlineStr">
        <is>
          <t>BT-200 ML YELLOW</t>
        </is>
      </c>
      <c r="E269" s="143" t="inlineStr">
        <is>
          <t>200 ml</t>
        </is>
      </c>
      <c r="F269" s="143" t="inlineStr">
        <is>
          <t>PET RESIN</t>
        </is>
      </c>
      <c r="G269" s="143" t="n">
        <v>2680</v>
      </c>
      <c r="H269" s="143" t="inlineStr">
        <is>
          <t>PET RESIN A-84</t>
        </is>
      </c>
      <c r="I269" s="145" t="inlineStr">
        <is>
          <t>kg</t>
        </is>
      </c>
      <c r="J269" s="146" t="n">
        <v>23.75</v>
      </c>
      <c r="K269" s="147" t="inlineStr">
        <is>
          <t>PET Resin</t>
        </is>
      </c>
      <c r="L269" s="147" t="n">
        <v>0.15</v>
      </c>
      <c r="M269" s="147" t="n"/>
      <c r="N269" s="147" t="n"/>
      <c r="O269" s="147" t="n"/>
      <c r="P269" s="147" t="n"/>
      <c r="Q269" s="148" t="n"/>
    </row>
    <row r="270" ht="15" customHeight="1" s="249">
      <c r="A270" s="143" t="n">
        <v>8006</v>
      </c>
      <c r="B270" s="143" t="n">
        <v>806</v>
      </c>
      <c r="C270" s="143" t="inlineStr">
        <is>
          <t>Samsol International Private Limited</t>
        </is>
      </c>
      <c r="D270" s="144" t="inlineStr">
        <is>
          <t>BT-200 ML YELLOW</t>
        </is>
      </c>
      <c r="E270" s="143" t="inlineStr">
        <is>
          <t>200 ml</t>
        </is>
      </c>
      <c r="F270" s="143" t="inlineStr">
        <is>
          <t>MASTERBATCH</t>
        </is>
      </c>
      <c r="G270" s="143" t="n">
        <v>4070</v>
      </c>
      <c r="H270" s="143" t="inlineStr">
        <is>
          <t>MASTER BATCH ONCOLOR YELLOW NE12340208-ZN</t>
        </is>
      </c>
      <c r="I270" s="145" t="inlineStr">
        <is>
          <t>kg</t>
        </is>
      </c>
      <c r="J270" s="146" t="n">
        <v>1.25</v>
      </c>
      <c r="K270" s="147" t="inlineStr">
        <is>
          <t>Masterbatch</t>
        </is>
      </c>
      <c r="L270" s="147" t="n">
        <v>0.15</v>
      </c>
      <c r="M270" s="147" t="n"/>
      <c r="N270" s="147" t="n"/>
      <c r="O270" s="147" t="n"/>
      <c r="P270" s="147" t="n"/>
      <c r="Q270" s="148" t="n"/>
    </row>
    <row r="271" ht="15" customHeight="1" s="249">
      <c r="A271" s="143" t="n">
        <v>8006</v>
      </c>
      <c r="B271" s="143" t="n">
        <v>806</v>
      </c>
      <c r="C271" s="143" t="inlineStr">
        <is>
          <t>Samsol International Private Limited</t>
        </is>
      </c>
      <c r="D271" s="144" t="inlineStr">
        <is>
          <t>BT-200 ML YELLOW</t>
        </is>
      </c>
      <c r="E271" s="143" t="inlineStr">
        <is>
          <t>200 ml</t>
        </is>
      </c>
      <c r="F271" s="143" t="inlineStr">
        <is>
          <t>POLY BAG</t>
        </is>
      </c>
      <c r="G271" s="143" t="n">
        <v>3006</v>
      </c>
      <c r="H271" s="143" t="inlineStr">
        <is>
          <t>POLY BAG 24X36 (LDPE)</t>
        </is>
      </c>
      <c r="I271" s="145" t="inlineStr">
        <is>
          <t>PCS</t>
        </is>
      </c>
      <c r="J271" s="146" t="n">
        <v>8.333</v>
      </c>
      <c r="K271" s="147" t="inlineStr">
        <is>
          <t>Poly Bag</t>
        </is>
      </c>
      <c r="L271" s="147" t="n">
        <v>0.15</v>
      </c>
      <c r="M271" s="147" t="n"/>
      <c r="N271" s="147" t="n"/>
      <c r="O271" s="147" t="n"/>
      <c r="P271" s="147" t="n"/>
      <c r="Q271" s="148" t="n"/>
    </row>
    <row r="272" ht="15" customHeight="1" s="249">
      <c r="A272" s="143" t="n">
        <v>8006</v>
      </c>
      <c r="B272" s="143" t="n">
        <v>806</v>
      </c>
      <c r="C272" s="143" t="inlineStr">
        <is>
          <t>Samsol International Private Limited</t>
        </is>
      </c>
      <c r="D272" s="144" t="inlineStr">
        <is>
          <t>BT-200 ML YELLOW</t>
        </is>
      </c>
      <c r="E272" s="143" t="inlineStr">
        <is>
          <t>200 ml</t>
        </is>
      </c>
      <c r="F272" s="143" t="inlineStr">
        <is>
          <t>PLASTIC DOORI</t>
        </is>
      </c>
      <c r="G272" s="143" t="n">
        <v>3043</v>
      </c>
      <c r="H272" s="143" t="inlineStr">
        <is>
          <t>PLASTIC DOORI</t>
        </is>
      </c>
      <c r="I272" s="145" t="inlineStr">
        <is>
          <t>ROLL</t>
        </is>
      </c>
      <c r="J272" s="146" t="n">
        <v>0.005</v>
      </c>
      <c r="K272" s="147" t="inlineStr">
        <is>
          <t>Packing</t>
        </is>
      </c>
      <c r="L272" s="147" t="n">
        <v>0.15</v>
      </c>
      <c r="M272" s="147" t="n"/>
      <c r="N272" s="147" t="n"/>
      <c r="O272" s="147" t="n"/>
      <c r="P272" s="147" t="n"/>
      <c r="Q272" s="148" t="n"/>
    </row>
    <row r="273" ht="15" customHeight="1" s="249">
      <c r="A273" s="143" t="n">
        <v>8007</v>
      </c>
      <c r="B273" s="143" t="n">
        <v>807</v>
      </c>
      <c r="C273" s="143" t="inlineStr">
        <is>
          <t>Samsol International Private Limited</t>
        </is>
      </c>
      <c r="D273" s="144" t="inlineStr">
        <is>
          <t>PET BOTTLE LARGE 200ML WHITE</t>
        </is>
      </c>
      <c r="E273" s="143" t="inlineStr">
        <is>
          <t>200 ml</t>
        </is>
      </c>
      <c r="F273" s="143" t="inlineStr">
        <is>
          <t>PET RESIN</t>
        </is>
      </c>
      <c r="G273" s="143" t="n">
        <v>2680</v>
      </c>
      <c r="H273" s="143" t="inlineStr">
        <is>
          <t>PET RESIN A-84</t>
        </is>
      </c>
      <c r="I273" s="145" t="inlineStr">
        <is>
          <t>kg</t>
        </is>
      </c>
      <c r="J273" s="146" t="n">
        <v>23.75</v>
      </c>
      <c r="K273" s="147" t="inlineStr">
        <is>
          <t>PET Resin</t>
        </is>
      </c>
      <c r="L273" s="147" t="n">
        <v>0.15</v>
      </c>
      <c r="M273" s="147" t="n"/>
      <c r="N273" s="147" t="n"/>
      <c r="O273" s="147" t="n"/>
      <c r="P273" s="147" t="n"/>
      <c r="Q273" s="148" t="n"/>
    </row>
    <row r="274" ht="15" customHeight="1" s="249">
      <c r="A274" s="143" t="n">
        <v>8007</v>
      </c>
      <c r="B274" s="143" t="n">
        <v>807</v>
      </c>
      <c r="C274" s="143" t="inlineStr">
        <is>
          <t>Samsol International Private Limited</t>
        </is>
      </c>
      <c r="D274" s="144" t="inlineStr">
        <is>
          <t>PET BOTTLE LARGE 200ML WHITE</t>
        </is>
      </c>
      <c r="E274" s="143" t="inlineStr">
        <is>
          <t>200 ml</t>
        </is>
      </c>
      <c r="F274" s="143" t="inlineStr">
        <is>
          <t>MASTERBATCH</t>
        </is>
      </c>
      <c r="G274" s="143" t="n">
        <v>5816</v>
      </c>
      <c r="H274" s="143" t="inlineStr">
        <is>
          <t>MASTER BATCH WHITE PRC-MC ET02340000</t>
        </is>
      </c>
      <c r="I274" s="145" t="inlineStr">
        <is>
          <t>kg</t>
        </is>
      </c>
      <c r="J274" s="146" t="n">
        <v>1.25</v>
      </c>
      <c r="K274" s="147" t="inlineStr">
        <is>
          <t>Masterbatch</t>
        </is>
      </c>
      <c r="L274" s="147" t="n">
        <v>0.15</v>
      </c>
      <c r="M274" s="147" t="n"/>
      <c r="N274" s="147" t="n"/>
      <c r="O274" s="147" t="n"/>
      <c r="P274" s="147" t="n"/>
      <c r="Q274" s="148" t="n"/>
    </row>
    <row r="275" ht="15" customHeight="1" s="249">
      <c r="A275" s="143" t="n">
        <v>8007</v>
      </c>
      <c r="B275" s="143" t="n">
        <v>807</v>
      </c>
      <c r="C275" s="143" t="inlineStr">
        <is>
          <t>Samsol International Private Limited</t>
        </is>
      </c>
      <c r="D275" s="144" t="inlineStr">
        <is>
          <t>PET BOTTLE LARGE 200ML WHITE</t>
        </is>
      </c>
      <c r="E275" s="143" t="inlineStr">
        <is>
          <t>200 ml</t>
        </is>
      </c>
      <c r="F275" s="143" t="inlineStr">
        <is>
          <t>POLY BAG</t>
        </is>
      </c>
      <c r="G275" s="143" t="n">
        <v>3006</v>
      </c>
      <c r="H275" s="143" t="inlineStr">
        <is>
          <t>POLY BAG 24X36 (LDPE)</t>
        </is>
      </c>
      <c r="I275" s="145" t="inlineStr">
        <is>
          <t>PCS</t>
        </is>
      </c>
      <c r="J275" s="146" t="n">
        <v>8.333</v>
      </c>
      <c r="K275" s="147" t="inlineStr">
        <is>
          <t>Poly Bag</t>
        </is>
      </c>
      <c r="L275" s="147" t="n">
        <v>0.15</v>
      </c>
      <c r="M275" s="147" t="n"/>
      <c r="N275" s="147" t="n"/>
      <c r="O275" s="147" t="n"/>
      <c r="P275" s="147" t="n"/>
      <c r="Q275" s="148" t="n"/>
    </row>
    <row r="276" ht="15" customHeight="1" s="249">
      <c r="A276" s="143" t="n">
        <v>8007</v>
      </c>
      <c r="B276" s="143" t="n">
        <v>807</v>
      </c>
      <c r="C276" s="143" t="inlineStr">
        <is>
          <t>Samsol International Private Limited</t>
        </is>
      </c>
      <c r="D276" s="144" t="inlineStr">
        <is>
          <t>PET BOTTLE LARGE 200ML WHITE</t>
        </is>
      </c>
      <c r="E276" s="143" t="inlineStr">
        <is>
          <t>200 ml</t>
        </is>
      </c>
      <c r="F276" s="143" t="inlineStr">
        <is>
          <t>PLASTIC DOORI</t>
        </is>
      </c>
      <c r="G276" s="143" t="n">
        <v>3043</v>
      </c>
      <c r="H276" s="143" t="inlineStr">
        <is>
          <t>PLASTIC DOORI</t>
        </is>
      </c>
      <c r="I276" s="145" t="inlineStr">
        <is>
          <t>ROLL</t>
        </is>
      </c>
      <c r="J276" s="146" t="n">
        <v>0.005</v>
      </c>
      <c r="K276" s="147" t="inlineStr">
        <is>
          <t>Packing</t>
        </is>
      </c>
      <c r="L276" s="147" t="n">
        <v>0.15</v>
      </c>
      <c r="M276" s="147" t="n"/>
      <c r="N276" s="147" t="n"/>
      <c r="O276" s="147" t="n"/>
      <c r="P276" s="147" t="n"/>
      <c r="Q276" s="148" t="n"/>
    </row>
    <row r="277" ht="15" customHeight="1" s="249">
      <c r="A277" s="143" t="n">
        <v>8008</v>
      </c>
      <c r="B277" s="143" t="n">
        <v>808</v>
      </c>
      <c r="C277" s="143" t="inlineStr">
        <is>
          <t>Samsol International Private Limited</t>
        </is>
      </c>
      <c r="D277" s="144" t="inlineStr">
        <is>
          <t>BLACK BOTTLE 200ML</t>
        </is>
      </c>
      <c r="E277" s="143" t="inlineStr">
        <is>
          <t>200 ml</t>
        </is>
      </c>
      <c r="F277" s="143" t="inlineStr">
        <is>
          <t>PET RESIN</t>
        </is>
      </c>
      <c r="G277" s="143" t="n">
        <v>2680</v>
      </c>
      <c r="H277" s="143" t="inlineStr">
        <is>
          <t>PET RESIN A-84</t>
        </is>
      </c>
      <c r="I277" s="145" t="inlineStr">
        <is>
          <t>kg</t>
        </is>
      </c>
      <c r="J277" s="146" t="n">
        <v>24.25</v>
      </c>
      <c r="K277" s="147" t="inlineStr">
        <is>
          <t>PET Resin</t>
        </is>
      </c>
      <c r="L277" s="147" t="n">
        <v>0.15</v>
      </c>
      <c r="M277" s="147" t="n"/>
      <c r="N277" s="147" t="n"/>
      <c r="O277" s="147" t="n"/>
      <c r="P277" s="147" t="n"/>
      <c r="Q277" s="148" t="n"/>
    </row>
    <row r="278" ht="15" customHeight="1" s="249">
      <c r="A278" s="143" t="n">
        <v>8008</v>
      </c>
      <c r="B278" s="143" t="n">
        <v>808</v>
      </c>
      <c r="C278" s="143" t="inlineStr">
        <is>
          <t>Samsol International Private Limited</t>
        </is>
      </c>
      <c r="D278" s="144" t="inlineStr">
        <is>
          <t>BLACK BOTTLE 200ML</t>
        </is>
      </c>
      <c r="E278" s="143" t="inlineStr">
        <is>
          <t>200 ml</t>
        </is>
      </c>
      <c r="F278" s="143" t="inlineStr">
        <is>
          <t>MASTERBATCH</t>
        </is>
      </c>
      <c r="G278" s="143" t="n">
        <v>7412</v>
      </c>
      <c r="H278" s="143" t="inlineStr">
        <is>
          <t>MASTER BATCH BLACK DP# 6411</t>
        </is>
      </c>
      <c r="I278" s="145" t="inlineStr">
        <is>
          <t>kg</t>
        </is>
      </c>
      <c r="J278" s="146" t="n">
        <v>0.75</v>
      </c>
      <c r="K278" s="147" t="inlineStr">
        <is>
          <t>Masterbatch</t>
        </is>
      </c>
      <c r="L278" s="147" t="n">
        <v>0.15</v>
      </c>
      <c r="M278" s="147" t="n"/>
      <c r="N278" s="147" t="n"/>
      <c r="O278" s="147" t="n"/>
      <c r="P278" s="147" t="n"/>
      <c r="Q278" s="148" t="n"/>
    </row>
    <row r="279" ht="15" customHeight="1" s="249">
      <c r="A279" s="143" t="n">
        <v>8008</v>
      </c>
      <c r="B279" s="143" t="n">
        <v>808</v>
      </c>
      <c r="C279" s="143" t="inlineStr">
        <is>
          <t>Samsol International Private Limited</t>
        </is>
      </c>
      <c r="D279" s="144" t="inlineStr">
        <is>
          <t>BLACK BOTTLE 200ML</t>
        </is>
      </c>
      <c r="E279" s="143" t="inlineStr">
        <is>
          <t>200 ml</t>
        </is>
      </c>
      <c r="F279" s="143" t="inlineStr">
        <is>
          <t>POLY BAG</t>
        </is>
      </c>
      <c r="G279" s="143" t="n">
        <v>3006</v>
      </c>
      <c r="H279" s="143" t="inlineStr">
        <is>
          <t>POLY BAG 24X36 (LDPE)</t>
        </is>
      </c>
      <c r="I279" s="145" t="inlineStr">
        <is>
          <t>PCS</t>
        </is>
      </c>
      <c r="J279" s="146" t="n">
        <v>8.333</v>
      </c>
      <c r="K279" s="147" t="inlineStr">
        <is>
          <t>Poly Bag</t>
        </is>
      </c>
      <c r="L279" s="147" t="n">
        <v>0.15</v>
      </c>
      <c r="M279" s="147" t="n"/>
      <c r="N279" s="147" t="n"/>
      <c r="O279" s="147" t="n"/>
      <c r="P279" s="147" t="n"/>
      <c r="Q279" s="148" t="n"/>
    </row>
    <row r="280" ht="15" customHeight="1" s="249">
      <c r="A280" s="143" t="n">
        <v>8008</v>
      </c>
      <c r="B280" s="143" t="n">
        <v>808</v>
      </c>
      <c r="C280" s="143" t="inlineStr">
        <is>
          <t>Samsol International Private Limited</t>
        </is>
      </c>
      <c r="D280" s="144" t="inlineStr">
        <is>
          <t>BLACK BOTTLE 200ML</t>
        </is>
      </c>
      <c r="E280" s="143" t="inlineStr">
        <is>
          <t>200 ml</t>
        </is>
      </c>
      <c r="F280" s="143" t="inlineStr">
        <is>
          <t>PLASTIC DOORI</t>
        </is>
      </c>
      <c r="G280" s="143" t="n">
        <v>3043</v>
      </c>
      <c r="H280" s="143" t="inlineStr">
        <is>
          <t>PLASTIC DOORI</t>
        </is>
      </c>
      <c r="I280" s="145" t="inlineStr">
        <is>
          <t>ROLL</t>
        </is>
      </c>
      <c r="J280" s="146" t="n">
        <v>0.005</v>
      </c>
      <c r="K280" s="147" t="inlineStr">
        <is>
          <t>Packing</t>
        </is>
      </c>
      <c r="L280" s="147" t="n">
        <v>0.15</v>
      </c>
      <c r="M280" s="147" t="n"/>
      <c r="N280" s="147" t="n"/>
      <c r="O280" s="147" t="n"/>
      <c r="P280" s="147" t="n"/>
      <c r="Q280" s="148" t="n"/>
    </row>
    <row r="281" ht="15" customHeight="1" s="249">
      <c r="A281" s="143" t="n">
        <v>8009</v>
      </c>
      <c r="B281" s="143" t="n">
        <v>809</v>
      </c>
      <c r="C281" s="143" t="inlineStr">
        <is>
          <t>Mablay Beauty PVT LTD.</t>
        </is>
      </c>
      <c r="D281" s="144" t="inlineStr">
        <is>
          <t>TRANSPARENT BOTTLE 300ML</t>
        </is>
      </c>
      <c r="E281" s="143" t="inlineStr">
        <is>
          <t>300 ml</t>
        </is>
      </c>
      <c r="F281" s="143" t="inlineStr">
        <is>
          <t>PET RESIN</t>
        </is>
      </c>
      <c r="G281" s="143" t="n">
        <v>2680</v>
      </c>
      <c r="H281" s="143" t="inlineStr">
        <is>
          <t>PET RESIN A-84</t>
        </is>
      </c>
      <c r="I281" s="145" t="inlineStr">
        <is>
          <t>kg</t>
        </is>
      </c>
      <c r="J281" s="146" t="n">
        <v>25</v>
      </c>
      <c r="K281" s="147" t="inlineStr">
        <is>
          <t>PET Resin</t>
        </is>
      </c>
      <c r="L281" s="147" t="n">
        <v>0.15</v>
      </c>
      <c r="M281" s="149" t="inlineStr">
        <is>
          <t>Value changed manually v9.30 (16-Apr-2026) — Update in ERP BOM</t>
        </is>
      </c>
      <c r="N281" s="147" t="n"/>
      <c r="O281" s="147" t="n"/>
      <c r="P281" s="147" t="n"/>
      <c r="Q281" s="148" t="n"/>
    </row>
    <row r="282" ht="15" customHeight="1" s="249">
      <c r="A282" s="143" t="n">
        <v>8009</v>
      </c>
      <c r="B282" s="143" t="n">
        <v>809</v>
      </c>
      <c r="C282" s="143" t="inlineStr">
        <is>
          <t>Mablay Beauty PVT LTD.</t>
        </is>
      </c>
      <c r="D282" s="144" t="inlineStr">
        <is>
          <t>TRANSPARENT BOTTLE 300ML</t>
        </is>
      </c>
      <c r="E282" s="143" t="inlineStr">
        <is>
          <t>300 ml</t>
        </is>
      </c>
      <c r="F282" s="143" t="inlineStr">
        <is>
          <t>MASTER CARTON</t>
        </is>
      </c>
      <c r="G282" s="143" t="n">
        <v>3621</v>
      </c>
      <c r="H282" s="143" t="inlineStr">
        <is>
          <t>MASTER CARTON 34.7 X 59.5 X 34.5</t>
        </is>
      </c>
      <c r="I282" s="145" t="inlineStr">
        <is>
          <t>PCS</t>
        </is>
      </c>
      <c r="J282" s="146" t="n">
        <v>7.143</v>
      </c>
      <c r="K282" s="147" t="inlineStr">
        <is>
          <t>Master Carton</t>
        </is>
      </c>
      <c r="L282" s="147" t="n">
        <v>0.15</v>
      </c>
      <c r="M282" s="147" t="n"/>
      <c r="N282" s="147" t="n"/>
      <c r="O282" s="147" t="n"/>
      <c r="P282" s="147" t="n"/>
      <c r="Q282" s="148" t="n"/>
    </row>
    <row r="283" ht="15" customHeight="1" s="249">
      <c r="A283" s="143" t="n">
        <v>8009</v>
      </c>
      <c r="B283" s="143" t="n">
        <v>809</v>
      </c>
      <c r="C283" s="143" t="inlineStr">
        <is>
          <t>Mablay Beauty PVT LTD.</t>
        </is>
      </c>
      <c r="D283" s="144" t="inlineStr">
        <is>
          <t>TRANSPARENT BOTTLE 300ML</t>
        </is>
      </c>
      <c r="E283" s="143" t="inlineStr">
        <is>
          <t>300 ml</t>
        </is>
      </c>
      <c r="F283" s="143" t="inlineStr">
        <is>
          <t>POLY BAG</t>
        </is>
      </c>
      <c r="G283" s="143" t="n">
        <v>3006</v>
      </c>
      <c r="H283" s="143" t="inlineStr">
        <is>
          <t>POLY BAG 24X36 (LDPE)</t>
        </is>
      </c>
      <c r="I283" s="145" t="inlineStr">
        <is>
          <t>PCS</t>
        </is>
      </c>
      <c r="J283" s="146" t="n">
        <v>11.111</v>
      </c>
      <c r="K283" s="147" t="inlineStr">
        <is>
          <t>Poly Bag</t>
        </is>
      </c>
      <c r="L283" s="147" t="n">
        <v>0.15</v>
      </c>
      <c r="M283" s="147" t="n"/>
      <c r="N283" s="147" t="n"/>
      <c r="O283" s="147" t="n"/>
      <c r="P283" s="147" t="n"/>
      <c r="Q283" s="148" t="n"/>
    </row>
    <row r="284" ht="15" customHeight="1" s="249">
      <c r="A284" s="143" t="n">
        <v>8009</v>
      </c>
      <c r="B284" s="143" t="n">
        <v>809</v>
      </c>
      <c r="C284" s="143" t="inlineStr">
        <is>
          <t>Mablay Beauty PVT LTD.</t>
        </is>
      </c>
      <c r="D284" s="144" t="inlineStr">
        <is>
          <t>TRANSPARENT BOTTLE 300ML</t>
        </is>
      </c>
      <c r="E284" s="143" t="inlineStr">
        <is>
          <t>300 ml</t>
        </is>
      </c>
      <c r="F284" s="143" t="inlineStr">
        <is>
          <t>TAPE</t>
        </is>
      </c>
      <c r="G284" s="143" t="n">
        <v>3635</v>
      </c>
      <c r="H284" s="143" t="inlineStr">
        <is>
          <t>PACKING TAPE 2" OF 60 YARDS</t>
        </is>
      </c>
      <c r="I284" s="145" t="inlineStr">
        <is>
          <t>PCS</t>
        </is>
      </c>
      <c r="J284" s="146" t="n">
        <v>0.179</v>
      </c>
      <c r="K284" s="147" t="inlineStr">
        <is>
          <t>Packing Tape</t>
        </is>
      </c>
      <c r="L284" s="147" t="n">
        <v>0.15</v>
      </c>
      <c r="M284" s="147" t="n"/>
      <c r="N284" s="147" t="n"/>
      <c r="O284" s="147" t="n"/>
      <c r="P284" s="147" t="n"/>
      <c r="Q284" s="148" t="n"/>
    </row>
    <row r="285" ht="15" customHeight="1" s="249">
      <c r="A285" s="143" t="n">
        <v>8009</v>
      </c>
      <c r="B285" s="143" t="n">
        <v>809</v>
      </c>
      <c r="C285" s="143" t="inlineStr">
        <is>
          <t>Mablay Beauty PVT LTD.</t>
        </is>
      </c>
      <c r="D285" s="144" t="inlineStr">
        <is>
          <t>TRANSPARENT BOTTLE 300ML</t>
        </is>
      </c>
      <c r="E285" s="143" t="inlineStr">
        <is>
          <t>300 ml</t>
        </is>
      </c>
      <c r="F285" s="143" t="inlineStr">
        <is>
          <t>PLASTIC DOORI</t>
        </is>
      </c>
      <c r="G285" s="143" t="n">
        <v>3043</v>
      </c>
      <c r="H285" s="143" t="inlineStr">
        <is>
          <t>PLASTIC DOORI</t>
        </is>
      </c>
      <c r="I285" s="145" t="inlineStr">
        <is>
          <t>ROLL</t>
        </is>
      </c>
      <c r="J285" s="146" t="n">
        <v>0.005</v>
      </c>
      <c r="K285" s="147" t="inlineStr">
        <is>
          <t>Packing</t>
        </is>
      </c>
      <c r="L285" s="147" t="n">
        <v>0.15</v>
      </c>
      <c r="M285" s="147" t="n"/>
      <c r="N285" s="147" t="n"/>
      <c r="O285" s="147" t="n"/>
      <c r="P285" s="147" t="n"/>
      <c r="Q285" s="148" t="n"/>
    </row>
    <row r="286" ht="15" customHeight="1" s="249">
      <c r="A286" s="143" t="n">
        <v>8013</v>
      </c>
      <c r="B286" s="143" t="n">
        <v>813</v>
      </c>
      <c r="C286" s="143" t="inlineStr">
        <is>
          <t>Mablay Beauty PVT LTD.</t>
        </is>
      </c>
      <c r="D286" s="144" t="inlineStr">
        <is>
          <t>TRANSPARENT JAR 500ML</t>
        </is>
      </c>
      <c r="E286" s="143" t="inlineStr">
        <is>
          <t>500 ml</t>
        </is>
      </c>
      <c r="F286" s="143" t="inlineStr">
        <is>
          <t>PET RESIN</t>
        </is>
      </c>
      <c r="G286" s="143" t="n">
        <v>2680</v>
      </c>
      <c r="H286" s="143" t="inlineStr">
        <is>
          <t>PET RESIN A-84</t>
        </is>
      </c>
      <c r="I286" s="145" t="inlineStr">
        <is>
          <t>kg</t>
        </is>
      </c>
      <c r="J286" s="146" t="n">
        <v>50</v>
      </c>
      <c r="K286" s="147" t="inlineStr">
        <is>
          <t>PET Resin</t>
        </is>
      </c>
      <c r="L286" s="147" t="n">
        <v>0.15</v>
      </c>
      <c r="M286" s="149" t="inlineStr">
        <is>
          <t>Value changed manually v9.30 (16-Apr-2026) — Update in ERP BOM</t>
        </is>
      </c>
      <c r="N286" s="147" t="n"/>
      <c r="O286" s="147" t="n"/>
      <c r="P286" s="147" t="n"/>
      <c r="Q286" s="148" t="n"/>
    </row>
    <row r="287" ht="15" customHeight="1" s="249">
      <c r="A287" s="143" t="n">
        <v>8013</v>
      </c>
      <c r="B287" s="143" t="n">
        <v>813</v>
      </c>
      <c r="C287" s="143" t="inlineStr">
        <is>
          <t>Mablay Beauty PVT LTD.</t>
        </is>
      </c>
      <c r="D287" s="144" t="inlineStr">
        <is>
          <t>TRANSPARENT JAR 500ML</t>
        </is>
      </c>
      <c r="E287" s="143" t="inlineStr">
        <is>
          <t>500 ml</t>
        </is>
      </c>
      <c r="F287" s="143" t="inlineStr">
        <is>
          <t>MASTER CARTON</t>
        </is>
      </c>
      <c r="G287" s="143" t="n">
        <v>3621</v>
      </c>
      <c r="H287" s="143" t="inlineStr">
        <is>
          <t>MASTER CARTON 34.7 X 59.5 X 34.5</t>
        </is>
      </c>
      <c r="I287" s="145" t="inlineStr">
        <is>
          <t>PCS</t>
        </is>
      </c>
      <c r="J287" s="146" t="n">
        <v>2.778</v>
      </c>
      <c r="K287" s="147" t="inlineStr">
        <is>
          <t>Master Carton</t>
        </is>
      </c>
      <c r="L287" s="147" t="n">
        <v>0.15</v>
      </c>
      <c r="M287" s="147" t="n"/>
      <c r="N287" s="147" t="n"/>
      <c r="O287" s="147" t="n"/>
      <c r="P287" s="147" t="n"/>
      <c r="Q287" s="148" t="n"/>
    </row>
    <row r="288" ht="15" customHeight="1" s="249">
      <c r="A288" s="143" t="n">
        <v>8013</v>
      </c>
      <c r="B288" s="143" t="n">
        <v>813</v>
      </c>
      <c r="C288" s="143" t="inlineStr">
        <is>
          <t>Mablay Beauty PVT LTD.</t>
        </is>
      </c>
      <c r="D288" s="144" t="inlineStr">
        <is>
          <t>TRANSPARENT JAR 500ML</t>
        </is>
      </c>
      <c r="E288" s="143" t="inlineStr">
        <is>
          <t>500 ml</t>
        </is>
      </c>
      <c r="F288" s="143" t="inlineStr">
        <is>
          <t>POLY BAG</t>
        </is>
      </c>
      <c r="G288" s="143" t="n">
        <v>3006</v>
      </c>
      <c r="H288" s="143" t="inlineStr">
        <is>
          <t>POLY BAG 24X36 (LDPE)</t>
        </is>
      </c>
      <c r="I288" s="145" t="inlineStr">
        <is>
          <t>PCS</t>
        </is>
      </c>
      <c r="J288" s="146" t="n">
        <v>16.667</v>
      </c>
      <c r="K288" s="147" t="inlineStr">
        <is>
          <t>Poly Bag</t>
        </is>
      </c>
      <c r="L288" s="147" t="n">
        <v>0.15</v>
      </c>
      <c r="M288" s="147" t="n"/>
      <c r="N288" s="147" t="n"/>
      <c r="O288" s="147" t="n"/>
      <c r="P288" s="147" t="n"/>
      <c r="Q288" s="148" t="n"/>
    </row>
    <row r="289" ht="15" customHeight="1" s="249">
      <c r="A289" s="143" t="n">
        <v>8013</v>
      </c>
      <c r="B289" s="143" t="n">
        <v>813</v>
      </c>
      <c r="C289" s="143" t="inlineStr">
        <is>
          <t>Mablay Beauty PVT LTD.</t>
        </is>
      </c>
      <c r="D289" s="144" t="inlineStr">
        <is>
          <t>TRANSPARENT JAR 500ML</t>
        </is>
      </c>
      <c r="E289" s="143" t="inlineStr">
        <is>
          <t>500 ml</t>
        </is>
      </c>
      <c r="F289" s="143" t="inlineStr">
        <is>
          <t>TAPE</t>
        </is>
      </c>
      <c r="G289" s="143" t="n">
        <v>3635</v>
      </c>
      <c r="H289" s="143" t="inlineStr">
        <is>
          <t>PACKING TAPE 2" OF 60 YARDS</t>
        </is>
      </c>
      <c r="I289" s="145" t="inlineStr">
        <is>
          <t>PCS</t>
        </is>
      </c>
      <c r="J289" s="146" t="n">
        <v>0.06900000000000001</v>
      </c>
      <c r="K289" s="147" t="inlineStr">
        <is>
          <t>Packing Tape</t>
        </is>
      </c>
      <c r="L289" s="147" t="n">
        <v>0.15</v>
      </c>
      <c r="M289" s="147" t="n"/>
    </row>
    <row r="290" ht="15" customHeight="1" s="249">
      <c r="A290" s="143" t="n">
        <v>8013</v>
      </c>
      <c r="B290" s="143" t="n">
        <v>813</v>
      </c>
      <c r="C290" s="143" t="inlineStr">
        <is>
          <t>Mablay Beauty PVT LTD.</t>
        </is>
      </c>
      <c r="D290" s="144" t="inlineStr">
        <is>
          <t>TRANSPARENT JAR 500ML</t>
        </is>
      </c>
      <c r="E290" s="143" t="inlineStr">
        <is>
          <t>500 ml</t>
        </is>
      </c>
      <c r="F290" s="143" t="inlineStr">
        <is>
          <t>PLASTIC DOORI</t>
        </is>
      </c>
      <c r="G290" s="143" t="n">
        <v>3043</v>
      </c>
      <c r="H290" s="143" t="inlineStr">
        <is>
          <t>PLASTIC DOORI</t>
        </is>
      </c>
      <c r="I290" s="145" t="inlineStr">
        <is>
          <t>ROLL</t>
        </is>
      </c>
      <c r="J290" s="146" t="n">
        <v>0.005</v>
      </c>
      <c r="K290" s="147" t="inlineStr">
        <is>
          <t>Packing</t>
        </is>
      </c>
      <c r="L290" s="147" t="n">
        <v>0.15</v>
      </c>
      <c r="M290" s="147" t="n"/>
    </row>
    <row r="291" ht="15" customHeight="1" s="249">
      <c r="A291" s="143" t="n">
        <v>8014</v>
      </c>
      <c r="B291" s="143" t="n">
        <v>814</v>
      </c>
      <c r="C291" s="143" t="inlineStr">
        <is>
          <t>Samsol International Private Limited</t>
        </is>
      </c>
      <c r="D291" s="144" t="inlineStr">
        <is>
          <t>BT-200ML MUSTARD OIL (TRANSPARENT)</t>
        </is>
      </c>
      <c r="E291" s="143" t="inlineStr">
        <is>
          <t>200 ml</t>
        </is>
      </c>
      <c r="F291" s="143" t="inlineStr">
        <is>
          <t>PET RESIN</t>
        </is>
      </c>
      <c r="G291" s="143" t="n">
        <v>2680</v>
      </c>
      <c r="H291" s="143" t="inlineStr">
        <is>
          <t>PET RESIN A-84</t>
        </is>
      </c>
      <c r="I291" s="145" t="inlineStr">
        <is>
          <t>kg</t>
        </is>
      </c>
      <c r="J291" s="146" t="n">
        <v>23.75</v>
      </c>
      <c r="K291" s="147" t="inlineStr">
        <is>
          <t>PET Resin</t>
        </is>
      </c>
      <c r="L291" s="147" t="n">
        <v>0.15</v>
      </c>
      <c r="M291" s="147" t="n"/>
      <c r="N291" s="147" t="n"/>
      <c r="O291" s="147" t="n"/>
      <c r="P291" s="147" t="n"/>
      <c r="Q291" s="148" t="n"/>
    </row>
    <row r="292" ht="15" customHeight="1" s="249">
      <c r="A292" s="143" t="n">
        <v>8014</v>
      </c>
      <c r="B292" s="143" t="n">
        <v>814</v>
      </c>
      <c r="C292" s="143" t="inlineStr">
        <is>
          <t>Samsol International Private Limited</t>
        </is>
      </c>
      <c r="D292" s="144" t="inlineStr">
        <is>
          <t>BT-200ML MUSTARD OIL (TRANSPARENT)</t>
        </is>
      </c>
      <c r="E292" s="143" t="inlineStr">
        <is>
          <t>200 ml</t>
        </is>
      </c>
      <c r="F292" s="143" t="inlineStr">
        <is>
          <t>POLY BAG</t>
        </is>
      </c>
      <c r="G292" s="143" t="n">
        <v>3006</v>
      </c>
      <c r="H292" s="143" t="inlineStr">
        <is>
          <t>POLY BAG 24X36 (LDPE)</t>
        </is>
      </c>
      <c r="I292" s="145" t="inlineStr">
        <is>
          <t>PCS</t>
        </is>
      </c>
      <c r="J292" s="146" t="n">
        <v>8.333</v>
      </c>
      <c r="K292" s="147" t="inlineStr">
        <is>
          <t>Poly Bag</t>
        </is>
      </c>
      <c r="L292" s="147" t="n">
        <v>0.15</v>
      </c>
      <c r="M292" s="147" t="n"/>
      <c r="N292" s="147" t="n"/>
      <c r="O292" s="147" t="n"/>
      <c r="P292" s="147" t="n"/>
      <c r="Q292" s="148" t="n"/>
    </row>
    <row r="293" ht="15" customHeight="1" s="249">
      <c r="A293" s="143" t="n">
        <v>8014</v>
      </c>
      <c r="B293" s="143" t="n">
        <v>814</v>
      </c>
      <c r="C293" s="143" t="inlineStr">
        <is>
          <t>Samsol International Private Limited</t>
        </is>
      </c>
      <c r="D293" s="144" t="inlineStr">
        <is>
          <t>BT-200ML MUSTARD OIL (TRANSPARENT)</t>
        </is>
      </c>
      <c r="E293" s="143" t="inlineStr">
        <is>
          <t>200 ml</t>
        </is>
      </c>
      <c r="F293" s="143" t="inlineStr">
        <is>
          <t>PLASTIC DOORI</t>
        </is>
      </c>
      <c r="G293" s="143" t="n">
        <v>3043</v>
      </c>
      <c r="H293" s="143" t="inlineStr">
        <is>
          <t>PLASTIC DOORI</t>
        </is>
      </c>
      <c r="I293" s="145" t="inlineStr">
        <is>
          <t>ROLL</t>
        </is>
      </c>
      <c r="J293" s="146" t="n">
        <v>0.005</v>
      </c>
      <c r="K293" s="147" t="inlineStr">
        <is>
          <t>Packing</t>
        </is>
      </c>
      <c r="L293" s="147" t="n">
        <v>0.15</v>
      </c>
      <c r="M293" s="147" t="n"/>
      <c r="N293" s="147" t="n"/>
      <c r="O293" s="147" t="n"/>
      <c r="P293" s="147" t="n"/>
      <c r="Q293" s="148" t="n"/>
    </row>
    <row r="294" ht="15" customHeight="1" s="249">
      <c r="A294" s="143" t="n">
        <v>2909</v>
      </c>
      <c r="B294" s="143" t="n">
        <v>56</v>
      </c>
      <c r="C294" s="143" t="inlineStr">
        <is>
          <t>Professional Beauty Solution (Pvt) Ltd.Pakistan</t>
        </is>
      </c>
      <c r="D294" s="144" t="inlineStr">
        <is>
          <t>EAZI COLOR PERMANENT HAIR COLOUR 60ML</t>
        </is>
      </c>
      <c r="E294" s="143" t="n">
        <v>30</v>
      </c>
      <c r="F294" s="143" t="inlineStr">
        <is>
          <t>SLUG</t>
        </is>
      </c>
      <c r="G294" s="143" t="n">
        <v>2</v>
      </c>
      <c r="H294" s="143" t="inlineStr">
        <is>
          <t>30X4.3</t>
        </is>
      </c>
      <c r="I294" s="145" t="inlineStr">
        <is>
          <t>kg</t>
        </is>
      </c>
      <c r="J294" s="146" t="n">
        <v>8</v>
      </c>
      <c r="K294" s="147" t="inlineStr">
        <is>
          <t>SLUG</t>
        </is>
      </c>
      <c r="L294" s="147" t="n">
        <v>0.1</v>
      </c>
      <c r="M294" s="149" t="n"/>
      <c r="N294" s="147" t="n"/>
      <c r="O294" s="147" t="n"/>
      <c r="P294" s="147" t="n"/>
      <c r="Q294" s="148" t="n"/>
    </row>
    <row r="295" ht="15" customHeight="1" s="249">
      <c r="A295" s="143" t="n">
        <v>2909</v>
      </c>
      <c r="B295" s="143" t="n">
        <v>56</v>
      </c>
      <c r="C295" s="143" t="inlineStr">
        <is>
          <t>Professional Beauty Solution (Pvt) Ltd.Pakistan</t>
        </is>
      </c>
      <c r="D295" s="144" t="inlineStr">
        <is>
          <t>EAZI COLOR PERMANENT HAIR COLOUR 60ML</t>
        </is>
      </c>
      <c r="E295" s="143" t="n">
        <v>30</v>
      </c>
      <c r="F295" s="143" t="inlineStr">
        <is>
          <t>BASE COAT</t>
        </is>
      </c>
      <c r="G295" s="143" t="n">
        <v>170</v>
      </c>
      <c r="H295" s="143" t="inlineStr">
        <is>
          <t>WHITE 5711200001</t>
        </is>
      </c>
      <c r="I295" s="145" t="inlineStr">
        <is>
          <t>kg</t>
        </is>
      </c>
      <c r="J295" s="146" t="n">
        <v>0.67</v>
      </c>
      <c r="K295" s="147" t="inlineStr">
        <is>
          <t>BASE COAT</t>
        </is>
      </c>
      <c r="L295" s="147" t="n">
        <v>0.1</v>
      </c>
      <c r="M295" s="149" t="n"/>
      <c r="N295" s="147" t="n"/>
      <c r="O295" s="147" t="n"/>
      <c r="P295" s="147" t="n"/>
      <c r="Q295" s="148" t="n"/>
    </row>
    <row r="296" ht="15" customHeight="1" s="249">
      <c r="A296" s="143" t="n">
        <v>2909</v>
      </c>
      <c r="B296" s="143" t="n">
        <v>56</v>
      </c>
      <c r="C296" s="143" t="inlineStr">
        <is>
          <t>Professional Beauty Solution (Pvt) Ltd.Pakistan</t>
        </is>
      </c>
      <c r="D296" s="144" t="inlineStr">
        <is>
          <t>EAZI COLOR PERMANENT HAIR COLOUR 60ML</t>
        </is>
      </c>
      <c r="E296" s="143" t="n">
        <v>30</v>
      </c>
      <c r="F296" s="143" t="inlineStr">
        <is>
          <t>CARTON</t>
        </is>
      </c>
      <c r="G296" s="143" t="n">
        <v>45</v>
      </c>
      <c r="H296" s="143" t="inlineStr">
        <is>
          <t>30X150 3Ply L18.75" W12.5" H6.5"</t>
        </is>
      </c>
      <c r="I296" s="145" t="inlineStr">
        <is>
          <t>pcs</t>
        </is>
      </c>
      <c r="J296" s="146" t="n">
        <v>6.6666</v>
      </c>
      <c r="K296" s="147" t="inlineStr">
        <is>
          <t>CARTON</t>
        </is>
      </c>
      <c r="L296" s="147" t="n">
        <v>0.1</v>
      </c>
      <c r="M296" s="149" t="n"/>
      <c r="N296" s="147" t="n"/>
      <c r="O296" s="147" t="n"/>
      <c r="P296" s="147" t="n"/>
      <c r="Q296" s="148" t="n"/>
    </row>
    <row r="297" ht="15" customHeight="1" s="249">
      <c r="A297" s="143" t="n">
        <v>2909</v>
      </c>
      <c r="B297" s="143" t="n">
        <v>56</v>
      </c>
      <c r="C297" s="143" t="inlineStr">
        <is>
          <t>Professional Beauty Solution (Pvt) Ltd.Pakistan</t>
        </is>
      </c>
      <c r="D297" s="144" t="inlineStr">
        <is>
          <t>EAZI COLOR PERMANENT HAIR COLOUR 60ML</t>
        </is>
      </c>
      <c r="E297" s="143" t="n">
        <v>30</v>
      </c>
      <c r="F297" s="143" t="inlineStr">
        <is>
          <t>ZINC POWDER</t>
        </is>
      </c>
      <c r="G297" s="143" t="n">
        <v>4165</v>
      </c>
      <c r="H297" s="143" t="inlineStr">
        <is>
          <t>Zinc Archinate</t>
        </is>
      </c>
      <c r="I297" s="145" t="inlineStr">
        <is>
          <t>kg</t>
        </is>
      </c>
      <c r="J297" s="146" t="n">
        <v>0.008319999999999999</v>
      </c>
      <c r="K297" s="147" t="inlineStr">
        <is>
          <t>ZINC POWDER</t>
        </is>
      </c>
      <c r="L297" s="147" t="n">
        <v>0.1</v>
      </c>
      <c r="M297" s="149" t="n"/>
      <c r="N297" s="147" t="n"/>
      <c r="O297" s="147" t="n"/>
      <c r="P297" s="147" t="n"/>
      <c r="Q297" s="148" t="n"/>
    </row>
    <row r="298" ht="15" customHeight="1" s="249">
      <c r="A298" s="143" t="n">
        <v>2909</v>
      </c>
      <c r="B298" s="143" t="n">
        <v>56</v>
      </c>
      <c r="C298" s="143" t="inlineStr">
        <is>
          <t>Professional Beauty Solution (Pvt) Ltd.Pakistan</t>
        </is>
      </c>
      <c r="D298" s="144" t="inlineStr">
        <is>
          <t>EAZI COLOR PERMANENT HAIR COLOUR 60ML</t>
        </is>
      </c>
      <c r="E298" s="143" t="n">
        <v>30</v>
      </c>
      <c r="F298" s="143" t="inlineStr">
        <is>
          <t>JALI</t>
        </is>
      </c>
      <c r="G298" s="143" t="n">
        <v>57</v>
      </c>
      <c r="H298" s="143" t="inlineStr">
        <is>
          <t>30X150 J</t>
        </is>
      </c>
      <c r="I298" s="145" t="inlineStr">
        <is>
          <t>pcs</t>
        </is>
      </c>
      <c r="J298" s="146" t="n">
        <v>6.6666</v>
      </c>
      <c r="K298" s="147" t="inlineStr">
        <is>
          <t>JALI</t>
        </is>
      </c>
      <c r="L298" s="147" t="n">
        <v>0.1</v>
      </c>
      <c r="M298" s="149" t="n"/>
      <c r="N298" s="147" t="n"/>
      <c r="O298" s="147" t="n"/>
      <c r="P298" s="147" t="n"/>
      <c r="Q298" s="148" t="n"/>
    </row>
    <row r="299" ht="15" customHeight="1" s="249">
      <c r="A299" s="143" t="n">
        <v>2909</v>
      </c>
      <c r="B299" s="143" t="n">
        <v>56</v>
      </c>
      <c r="C299" s="143" t="inlineStr">
        <is>
          <t>Professional Beauty Solution (Pvt) Ltd.Pakistan</t>
        </is>
      </c>
      <c r="D299" s="144" t="inlineStr">
        <is>
          <t>EAZI COLOR PERMANENT HAIR COLOUR 60ML</t>
        </is>
      </c>
      <c r="E299" s="143" t="n">
        <v>30</v>
      </c>
      <c r="F299" s="143" t="inlineStr">
        <is>
          <t>LACQUER</t>
        </is>
      </c>
      <c r="G299" s="143" t="n">
        <v>1065</v>
      </c>
      <c r="H299" s="143" t="inlineStr">
        <is>
          <t>PIGMENTED LACQUAR 57300</t>
        </is>
      </c>
      <c r="I299" s="145" t="inlineStr">
        <is>
          <t>kg</t>
        </is>
      </c>
      <c r="J299" s="146" t="n">
        <v>0.28</v>
      </c>
      <c r="K299" s="147" t="inlineStr">
        <is>
          <t>LACQUER</t>
        </is>
      </c>
      <c r="L299" s="147" t="n">
        <v>0.1</v>
      </c>
      <c r="M299" s="149" t="n"/>
      <c r="N299" s="147" t="n"/>
      <c r="O299" s="147" t="n"/>
      <c r="P299" s="147" t="n"/>
      <c r="Q299" s="148" t="n"/>
    </row>
    <row r="300" ht="15" customHeight="1" s="249">
      <c r="A300" s="143" t="n">
        <v>2909</v>
      </c>
      <c r="B300" s="143" t="n">
        <v>56</v>
      </c>
      <c r="C300" s="143" t="inlineStr">
        <is>
          <t>Professional Beauty Solution (Pvt) Ltd.Pakistan</t>
        </is>
      </c>
      <c r="D300" s="144" t="inlineStr">
        <is>
          <t>EAZI COLOR PERMANENT HAIR COLOUR 60ML</t>
        </is>
      </c>
      <c r="E300" s="143" t="n">
        <v>30</v>
      </c>
      <c r="F300" s="143" t="inlineStr">
        <is>
          <t>TAPE</t>
        </is>
      </c>
      <c r="G300" s="143" t="n">
        <v>3635</v>
      </c>
      <c r="H300" s="143" t="inlineStr">
        <is>
          <t>PACKING TAPE 2" OF 60 YARDS</t>
        </is>
      </c>
      <c r="I300" s="145" t="inlineStr">
        <is>
          <t>PCS</t>
        </is>
      </c>
      <c r="J300" s="146" t="n">
        <v>0.156</v>
      </c>
      <c r="K300" s="147" t="inlineStr">
        <is>
          <t>TAPE</t>
        </is>
      </c>
      <c r="L300" s="147" t="n">
        <v>0.1</v>
      </c>
      <c r="M300" s="149" t="n"/>
      <c r="N300" s="147" t="n"/>
      <c r="O300" s="147" t="n"/>
      <c r="P300" s="147" t="n"/>
      <c r="Q300" s="148" t="n"/>
    </row>
    <row r="301" ht="15" customHeight="1" s="249">
      <c r="A301" s="143" t="n">
        <v>4227</v>
      </c>
      <c r="B301" s="143" t="n">
        <v>20</v>
      </c>
      <c r="C301" s="143" t="inlineStr">
        <is>
          <t>Professional Beauty Solution (Pvt) Ltd</t>
        </is>
      </c>
      <c r="D301" s="144" t="inlineStr">
        <is>
          <t>BELINI HAIR COLOR 50ML</t>
        </is>
      </c>
      <c r="E301" s="143" t="n">
        <v>25</v>
      </c>
      <c r="F301" s="143" t="inlineStr">
        <is>
          <t>SLUG</t>
        </is>
      </c>
      <c r="G301" s="143" t="n">
        <v>6</v>
      </c>
      <c r="H301" s="143" t="inlineStr">
        <is>
          <t>25X4.5 S/M</t>
        </is>
      </c>
      <c r="I301" s="145" t="inlineStr">
        <is>
          <t>kg</t>
        </is>
      </c>
      <c r="J301" s="146" t="n">
        <v>5.9171</v>
      </c>
      <c r="K301" s="147" t="inlineStr">
        <is>
          <t>SLUG</t>
        </is>
      </c>
      <c r="L301" s="147" t="n">
        <v>0.1</v>
      </c>
      <c r="M301" s="149" t="n"/>
      <c r="N301" s="147" t="n"/>
      <c r="O301" s="147" t="n"/>
      <c r="P301" s="147" t="n"/>
      <c r="Q301" s="148" t="n"/>
    </row>
    <row r="302" ht="15" customHeight="1" s="249">
      <c r="A302" s="143" t="n">
        <v>4227</v>
      </c>
      <c r="B302" s="143" t="n">
        <v>20</v>
      </c>
      <c r="C302" s="143" t="inlineStr">
        <is>
          <t>Professional Beauty Solution (Pvt) Ltd</t>
        </is>
      </c>
      <c r="D302" s="144" t="inlineStr">
        <is>
          <t>BELINI HAIR COLOR 50ML</t>
        </is>
      </c>
      <c r="E302" s="143" t="n">
        <v>25</v>
      </c>
      <c r="F302" s="143" t="inlineStr">
        <is>
          <t>LATEX</t>
        </is>
      </c>
      <c r="G302" s="143" t="n">
        <v>186</v>
      </c>
      <c r="H302" s="143" t="inlineStr">
        <is>
          <t>LATEX IMP 574010002</t>
        </is>
      </c>
      <c r="I302" s="145" t="inlineStr">
        <is>
          <t>kg</t>
        </is>
      </c>
      <c r="J302" s="146" t="n">
        <v>0.09</v>
      </c>
      <c r="K302" s="147" t="inlineStr">
        <is>
          <t>LATEX</t>
        </is>
      </c>
      <c r="L302" s="147" t="n">
        <v>0.1</v>
      </c>
      <c r="M302" s="149" t="n"/>
      <c r="N302" s="147" t="n"/>
      <c r="O302" s="147" t="n"/>
      <c r="P302" s="147" t="n"/>
      <c r="Q302" s="148" t="n"/>
    </row>
    <row r="303" ht="15" customHeight="1" s="249">
      <c r="A303" s="143" t="n">
        <v>4227</v>
      </c>
      <c r="B303" s="143" t="n">
        <v>20</v>
      </c>
      <c r="C303" s="143" t="inlineStr">
        <is>
          <t>Professional Beauty Solution (Pvt) Ltd</t>
        </is>
      </c>
      <c r="D303" s="144" t="inlineStr">
        <is>
          <t>BELINI HAIR COLOR 50ML</t>
        </is>
      </c>
      <c r="E303" s="143" t="n">
        <v>25</v>
      </c>
      <c r="F303" s="143" t="inlineStr">
        <is>
          <t>CAP</t>
        </is>
      </c>
      <c r="G303" s="143" t="n">
        <v>3522</v>
      </c>
      <c r="H303" s="143" t="inlineStr">
        <is>
          <t>M-11 S/M SPR DARK BLUE DIA 25MM</t>
        </is>
      </c>
      <c r="I303" s="145" t="inlineStr">
        <is>
          <t>PCS</t>
        </is>
      </c>
      <c r="J303" s="146" t="n">
        <v>1000</v>
      </c>
      <c r="K303" s="147" t="inlineStr">
        <is>
          <t>CAP</t>
        </is>
      </c>
      <c r="L303" s="147" t="n">
        <v>0.1</v>
      </c>
      <c r="M303" s="149" t="n"/>
      <c r="N303" s="147" t="n"/>
      <c r="O303" s="147" t="n"/>
      <c r="P303" s="147" t="n"/>
      <c r="Q303" s="148" t="n"/>
    </row>
    <row r="304" ht="15" customHeight="1" s="249">
      <c r="A304" s="143" t="n">
        <v>4227</v>
      </c>
      <c r="B304" s="143" t="n">
        <v>20</v>
      </c>
      <c r="C304" s="143" t="inlineStr">
        <is>
          <t>Professional Beauty Solution (Pvt) Ltd</t>
        </is>
      </c>
      <c r="D304" s="144" t="inlineStr">
        <is>
          <t>BELINI HAIR COLOR 50ML</t>
        </is>
      </c>
      <c r="E304" s="143" t="n">
        <v>25</v>
      </c>
      <c r="F304" s="143" t="inlineStr">
        <is>
          <t>CARTON</t>
        </is>
      </c>
      <c r="G304" s="143" t="n">
        <v>3598</v>
      </c>
      <c r="H304" s="143" t="inlineStr">
        <is>
          <t>25x336 5Ply L21.5" W14.5" H7 "</t>
        </is>
      </c>
      <c r="I304" s="145" t="inlineStr">
        <is>
          <t>PCS</t>
        </is>
      </c>
      <c r="J304" s="146" t="n">
        <v>2.9761</v>
      </c>
      <c r="K304" s="147" t="inlineStr">
        <is>
          <t>CARTON</t>
        </is>
      </c>
      <c r="L304" s="147" t="n">
        <v>0.1</v>
      </c>
      <c r="M304" s="149" t="n"/>
      <c r="N304" s="147" t="n"/>
      <c r="O304" s="147" t="n"/>
      <c r="P304" s="147" t="n"/>
      <c r="Q304" s="148" t="n"/>
    </row>
    <row r="305" ht="15" customHeight="1" s="249">
      <c r="A305" s="143" t="n">
        <v>4227</v>
      </c>
      <c r="B305" s="143" t="n">
        <v>20</v>
      </c>
      <c r="C305" s="143" t="inlineStr">
        <is>
          <t>Professional Beauty Solution (Pvt) Ltd</t>
        </is>
      </c>
      <c r="D305" s="144" t="inlineStr">
        <is>
          <t>BELINI HAIR COLOR 50ML</t>
        </is>
      </c>
      <c r="E305" s="143" t="n">
        <v>25</v>
      </c>
      <c r="F305" s="143" t="inlineStr">
        <is>
          <t>ZINC POWDER</t>
        </is>
      </c>
      <c r="G305" s="143" t="n">
        <v>194</v>
      </c>
      <c r="H305" s="143" t="inlineStr">
        <is>
          <t>ZINC STEARATE</t>
        </is>
      </c>
      <c r="I305" s="145" t="inlineStr">
        <is>
          <t>kg</t>
        </is>
      </c>
      <c r="J305" s="146" t="n">
        <v>0.008319999999999999</v>
      </c>
      <c r="K305" s="147" t="inlineStr">
        <is>
          <t>ZINC POWDER</t>
        </is>
      </c>
      <c r="L305" s="147" t="n">
        <v>0.1</v>
      </c>
      <c r="M305" s="149" t="n"/>
      <c r="N305" s="147" t="n"/>
      <c r="O305" s="147" t="n"/>
      <c r="P305" s="147" t="n"/>
      <c r="Q305" s="148" t="n"/>
    </row>
    <row r="306" ht="15" customHeight="1" s="249">
      <c r="A306" s="143" t="n">
        <v>4227</v>
      </c>
      <c r="B306" s="143" t="n">
        <v>20</v>
      </c>
      <c r="C306" s="143" t="inlineStr">
        <is>
          <t>Professional Beauty Solution (Pvt) Ltd</t>
        </is>
      </c>
      <c r="D306" s="144" t="inlineStr">
        <is>
          <t>BELINI HAIR COLOR 50ML</t>
        </is>
      </c>
      <c r="E306" s="143" t="n">
        <v>25</v>
      </c>
      <c r="F306" s="143" t="inlineStr">
        <is>
          <t>LACQUER</t>
        </is>
      </c>
      <c r="G306" s="143" t="n">
        <v>1065</v>
      </c>
      <c r="H306" s="143" t="inlineStr">
        <is>
          <t>PIGMENTED LACQUAR 57300</t>
        </is>
      </c>
      <c r="I306" s="145" t="inlineStr">
        <is>
          <t>kg</t>
        </is>
      </c>
      <c r="J306" s="146" t="n">
        <v>0.4202</v>
      </c>
      <c r="K306" s="147" t="inlineStr">
        <is>
          <t>LACQUER</t>
        </is>
      </c>
      <c r="L306" s="147" t="n">
        <v>0.1</v>
      </c>
      <c r="M306" s="149" t="n"/>
      <c r="N306" s="147" t="n"/>
      <c r="O306" s="147" t="n"/>
      <c r="P306" s="147" t="n"/>
      <c r="Q306" s="148" t="n"/>
    </row>
    <row r="307" ht="15" customHeight="1" s="249">
      <c r="A307" s="143" t="n">
        <v>4227</v>
      </c>
      <c r="B307" s="143" t="n">
        <v>20</v>
      </c>
      <c r="C307" s="143" t="inlineStr">
        <is>
          <t>Professional Beauty Solution (Pvt) Ltd</t>
        </is>
      </c>
      <c r="D307" s="144" t="inlineStr">
        <is>
          <t>BELINI HAIR COLOR 50ML</t>
        </is>
      </c>
      <c r="E307" s="143" t="n">
        <v>25</v>
      </c>
      <c r="F307" s="143" t="inlineStr">
        <is>
          <t>TAPE</t>
        </is>
      </c>
      <c r="G307" s="143" t="n">
        <v>3635</v>
      </c>
      <c r="H307" s="143" t="inlineStr">
        <is>
          <t>PACKING TAPE 2" OF 60 YARDS</t>
        </is>
      </c>
      <c r="I307" s="145" t="inlineStr">
        <is>
          <t>PCS</t>
        </is>
      </c>
      <c r="J307" s="146" t="n">
        <v>0.079</v>
      </c>
      <c r="K307" s="147" t="inlineStr">
        <is>
          <t>TAPE</t>
        </is>
      </c>
      <c r="L307" s="147" t="n">
        <v>0.1</v>
      </c>
      <c r="M307" s="149" t="n"/>
      <c r="N307" s="147" t="n"/>
      <c r="O307" s="147" t="n"/>
      <c r="P307" s="147" t="n"/>
      <c r="Q307" s="148" t="n"/>
    </row>
    <row r="308" ht="15" customHeight="1" s="249">
      <c r="A308" s="143" t="n">
        <v>5389</v>
      </c>
      <c r="B308" s="143" t="n">
        <v>35</v>
      </c>
      <c r="C308" s="143" t="inlineStr">
        <is>
          <t>Habib Hanif Inc</t>
        </is>
      </c>
      <c r="D308" s="144" t="inlineStr">
        <is>
          <t>S-45</t>
        </is>
      </c>
      <c r="E308" s="143" t="n">
        <v>25</v>
      </c>
      <c r="F308" s="143" t="inlineStr">
        <is>
          <t>SLUG</t>
        </is>
      </c>
      <c r="G308" s="143" t="n">
        <v>6</v>
      </c>
      <c r="H308" s="143" t="inlineStr">
        <is>
          <t>25X4.5 S/M</t>
        </is>
      </c>
      <c r="I308" s="145" t="inlineStr">
        <is>
          <t>kg</t>
        </is>
      </c>
      <c r="J308" s="146" t="n">
        <v>5.917</v>
      </c>
      <c r="K308" s="147" t="inlineStr">
        <is>
          <t>SLUG</t>
        </is>
      </c>
      <c r="L308" s="147" t="n">
        <v>0.1</v>
      </c>
      <c r="M308" s="149" t="n"/>
      <c r="N308" s="147" t="n"/>
      <c r="O308" s="147" t="n"/>
      <c r="P308" s="147" t="n"/>
      <c r="Q308" s="148" t="n"/>
    </row>
    <row r="309" ht="15" customHeight="1" s="249">
      <c r="A309" s="143" t="n">
        <v>5389</v>
      </c>
      <c r="B309" s="143" t="n">
        <v>35</v>
      </c>
      <c r="C309" s="143" t="inlineStr">
        <is>
          <t>Habib Hanif Inc</t>
        </is>
      </c>
      <c r="D309" s="144" t="inlineStr">
        <is>
          <t>S-45</t>
        </is>
      </c>
      <c r="E309" s="143" t="n">
        <v>25</v>
      </c>
      <c r="F309" s="143" t="inlineStr">
        <is>
          <t>BASE COAT</t>
        </is>
      </c>
      <c r="G309" s="143" t="n">
        <v>4156</v>
      </c>
      <c r="H309" s="143" t="inlineStr">
        <is>
          <t>BEIGE 5711200007</t>
        </is>
      </c>
      <c r="I309" s="145" t="inlineStr">
        <is>
          <t>kg</t>
        </is>
      </c>
      <c r="J309" s="146" t="n">
        <v>0.61</v>
      </c>
      <c r="K309" s="147" t="inlineStr">
        <is>
          <t>BASE COAT</t>
        </is>
      </c>
      <c r="L309" s="147" t="n">
        <v>0.1</v>
      </c>
      <c r="M309" s="149" t="n"/>
      <c r="N309" s="147" t="n"/>
      <c r="O309" s="147" t="n"/>
      <c r="P309" s="147" t="n"/>
      <c r="Q309" s="148" t="n"/>
    </row>
    <row r="310" ht="15" customHeight="1" s="249">
      <c r="A310" s="143" t="n">
        <v>5389</v>
      </c>
      <c r="B310" s="143" t="n">
        <v>35</v>
      </c>
      <c r="C310" s="143" t="inlineStr">
        <is>
          <t>Habib Hanif Inc</t>
        </is>
      </c>
      <c r="D310" s="144" t="inlineStr">
        <is>
          <t>S-45</t>
        </is>
      </c>
      <c r="E310" s="143" t="n">
        <v>25</v>
      </c>
      <c r="F310" s="143" t="inlineStr">
        <is>
          <t>CAP</t>
        </is>
      </c>
      <c r="G310" s="143" t="n">
        <v>3866</v>
      </c>
      <c r="H310" s="143" t="inlineStr">
        <is>
          <t>M-11 S/M SPR BEIGE DIA 25</t>
        </is>
      </c>
      <c r="I310" s="145" t="inlineStr">
        <is>
          <t>PCS</t>
        </is>
      </c>
      <c r="J310" s="146" t="n">
        <v>1000</v>
      </c>
      <c r="K310" s="147" t="inlineStr">
        <is>
          <t>CAP</t>
        </is>
      </c>
      <c r="L310" s="147" t="n">
        <v>0.1</v>
      </c>
      <c r="M310" s="149" t="n"/>
      <c r="N310" s="147" t="n"/>
      <c r="O310" s="147" t="n"/>
      <c r="P310" s="147" t="n"/>
      <c r="Q310" s="148" t="n"/>
    </row>
    <row r="311" ht="15" customHeight="1" s="249">
      <c r="A311" s="143" t="n">
        <v>5389</v>
      </c>
      <c r="B311" s="143" t="n">
        <v>35</v>
      </c>
      <c r="C311" s="143" t="inlineStr">
        <is>
          <t>Habib Hanif Inc</t>
        </is>
      </c>
      <c r="D311" s="144" t="inlineStr">
        <is>
          <t>S-45</t>
        </is>
      </c>
      <c r="E311" s="143" t="n">
        <v>25</v>
      </c>
      <c r="F311" s="143" t="inlineStr">
        <is>
          <t>CARTON</t>
        </is>
      </c>
      <c r="G311" s="143" t="n">
        <v>3598</v>
      </c>
      <c r="H311" s="143" t="inlineStr">
        <is>
          <t>25x336 5Ply L21.5" W14.5" H7 "</t>
        </is>
      </c>
      <c r="I311" s="145" t="inlineStr">
        <is>
          <t>PCS</t>
        </is>
      </c>
      <c r="J311" s="146" t="n">
        <v>2.976</v>
      </c>
      <c r="K311" s="147" t="inlineStr">
        <is>
          <t>CARTON</t>
        </is>
      </c>
      <c r="L311" s="147" t="n">
        <v>0.1</v>
      </c>
      <c r="M311" s="149" t="n"/>
      <c r="N311" s="147" t="n"/>
      <c r="O311" s="147" t="n"/>
      <c r="P311" s="147" t="n"/>
      <c r="Q311" s="148" t="n"/>
    </row>
    <row r="312" ht="15" customHeight="1" s="249">
      <c r="A312" s="143" t="n">
        <v>5389</v>
      </c>
      <c r="B312" s="143" t="n">
        <v>35</v>
      </c>
      <c r="C312" s="143" t="inlineStr">
        <is>
          <t>Habib Hanif Inc</t>
        </is>
      </c>
      <c r="D312" s="144" t="inlineStr">
        <is>
          <t>S-45</t>
        </is>
      </c>
      <c r="E312" s="143" t="n">
        <v>25</v>
      </c>
      <c r="F312" s="143" t="inlineStr">
        <is>
          <t>ZINC POWDER</t>
        </is>
      </c>
      <c r="G312" s="143" t="n">
        <v>194</v>
      </c>
      <c r="H312" s="143" t="inlineStr">
        <is>
          <t>ZINC STEARATE</t>
        </is>
      </c>
      <c r="I312" s="145" t="inlineStr">
        <is>
          <t>kg</t>
        </is>
      </c>
      <c r="J312" s="146" t="n">
        <v>0.006153846</v>
      </c>
      <c r="K312" s="147" t="inlineStr">
        <is>
          <t>ZINC POWDER</t>
        </is>
      </c>
      <c r="L312" s="147" t="n">
        <v>0.1</v>
      </c>
      <c r="M312" s="149" t="n"/>
      <c r="N312" s="147" t="n"/>
      <c r="O312" s="147" t="n"/>
      <c r="P312" s="147" t="n"/>
      <c r="Q312" s="148" t="n"/>
    </row>
    <row r="313" ht="15" customHeight="1" s="249">
      <c r="A313" s="143" t="n">
        <v>5389</v>
      </c>
      <c r="B313" s="143" t="n">
        <v>35</v>
      </c>
      <c r="C313" s="143" t="inlineStr">
        <is>
          <t>Habib Hanif Inc</t>
        </is>
      </c>
      <c r="D313" s="144" t="inlineStr">
        <is>
          <t>S-45</t>
        </is>
      </c>
      <c r="E313" s="143" t="n">
        <v>25</v>
      </c>
      <c r="F313" s="143" t="inlineStr">
        <is>
          <t>LACQUER</t>
        </is>
      </c>
      <c r="G313" s="143" t="n">
        <v>184</v>
      </c>
      <c r="H313" s="143" t="inlineStr">
        <is>
          <t>LACQUAR IMP 49989</t>
        </is>
      </c>
      <c r="I313" s="145" t="inlineStr">
        <is>
          <t>kg</t>
        </is>
      </c>
      <c r="J313" s="146" t="n">
        <v>0.3737</v>
      </c>
      <c r="K313" s="147" t="inlineStr">
        <is>
          <t>LACQUER</t>
        </is>
      </c>
      <c r="L313" s="147" t="n">
        <v>0.1</v>
      </c>
      <c r="M313" s="149" t="n"/>
      <c r="N313" s="147" t="n"/>
      <c r="O313" s="147" t="n"/>
      <c r="P313" s="147" t="n"/>
      <c r="Q313" s="148" t="n"/>
    </row>
    <row r="314" ht="15" customHeight="1" s="249">
      <c r="A314" s="143" t="n">
        <v>5389</v>
      </c>
      <c r="B314" s="143" t="n">
        <v>35</v>
      </c>
      <c r="C314" s="143" t="inlineStr">
        <is>
          <t>Habib Hanif Inc</t>
        </is>
      </c>
      <c r="D314" s="144" t="inlineStr">
        <is>
          <t>S-45</t>
        </is>
      </c>
      <c r="E314" s="143" t="n">
        <v>25</v>
      </c>
      <c r="F314" s="143" t="inlineStr">
        <is>
          <t>TAPE</t>
        </is>
      </c>
      <c r="G314" s="143" t="n">
        <v>3635</v>
      </c>
      <c r="H314" s="143" t="inlineStr">
        <is>
          <t>PACKING TAPE 2" OF 60 YARDS</t>
        </is>
      </c>
      <c r="I314" s="145" t="inlineStr">
        <is>
          <t>PCS</t>
        </is>
      </c>
      <c r="J314" s="146" t="n">
        <v>4.712</v>
      </c>
      <c r="K314" s="147" t="inlineStr">
        <is>
          <t>TAPE</t>
        </is>
      </c>
      <c r="L314" s="147" t="n">
        <v>0.1</v>
      </c>
      <c r="M314" s="149" t="n"/>
      <c r="N314" s="147" t="n"/>
      <c r="O314" s="147" t="n"/>
      <c r="P314" s="147" t="n"/>
      <c r="Q314" s="148" t="n"/>
    </row>
    <row r="315" ht="15" customHeight="1" s="249">
      <c r="A315" s="143" t="n">
        <v>6151</v>
      </c>
      <c r="B315" s="143" t="n">
        <v>146</v>
      </c>
      <c r="C315" s="143" t="inlineStr">
        <is>
          <t>Mateen Sons</t>
        </is>
      </c>
      <c r="D315" s="144" t="inlineStr">
        <is>
          <t>GP DIA 30MM</t>
        </is>
      </c>
      <c r="E315" s="143" t="n">
        <v>30</v>
      </c>
      <c r="F315" s="143" t="inlineStr">
        <is>
          <t>SLUG</t>
        </is>
      </c>
      <c r="G315" s="143" t="n">
        <v>2</v>
      </c>
      <c r="H315" s="143" t="inlineStr">
        <is>
          <t>30X4.3</t>
        </is>
      </c>
      <c r="I315" s="145" t="inlineStr">
        <is>
          <t>kg</t>
        </is>
      </c>
      <c r="J315" s="146" t="n">
        <v>8</v>
      </c>
      <c r="K315" s="147" t="inlineStr">
        <is>
          <t>SLUG</t>
        </is>
      </c>
      <c r="L315" s="147" t="n">
        <v>0.1</v>
      </c>
      <c r="M315" s="149" t="n"/>
      <c r="N315" s="147" t="n"/>
      <c r="O315" s="147" t="n"/>
      <c r="P315" s="147" t="n"/>
      <c r="Q315" s="148" t="n"/>
    </row>
    <row r="316" ht="15" customHeight="1" s="249">
      <c r="A316" s="143" t="n">
        <v>6151</v>
      </c>
      <c r="B316" s="143" t="n">
        <v>146</v>
      </c>
      <c r="C316" s="143" t="inlineStr">
        <is>
          <t>Mateen Sons</t>
        </is>
      </c>
      <c r="D316" s="144" t="inlineStr">
        <is>
          <t>GP DIA 30MM</t>
        </is>
      </c>
      <c r="E316" s="143" t="n">
        <v>30</v>
      </c>
      <c r="F316" s="143" t="inlineStr">
        <is>
          <t>BASE COAT</t>
        </is>
      </c>
      <c r="G316" s="143" t="n">
        <v>170</v>
      </c>
      <c r="H316" s="143" t="inlineStr">
        <is>
          <t>WHITE 5711200001</t>
        </is>
      </c>
      <c r="I316" s="145" t="inlineStr">
        <is>
          <t>kg</t>
        </is>
      </c>
      <c r="J316" s="146" t="n">
        <v>0.67</v>
      </c>
      <c r="K316" s="147" t="inlineStr">
        <is>
          <t>BASE COAT</t>
        </is>
      </c>
      <c r="L316" s="147" t="n">
        <v>0.1</v>
      </c>
      <c r="M316" s="149" t="n"/>
      <c r="N316" s="147" t="n"/>
      <c r="O316" s="147" t="n"/>
      <c r="P316" s="147" t="n"/>
      <c r="Q316" s="148" t="n"/>
    </row>
    <row r="317" ht="15" customHeight="1" s="249">
      <c r="A317" s="143" t="n">
        <v>6151</v>
      </c>
      <c r="B317" s="143" t="n">
        <v>146</v>
      </c>
      <c r="C317" s="143" t="inlineStr">
        <is>
          <t>Mateen Sons</t>
        </is>
      </c>
      <c r="D317" s="144" t="inlineStr">
        <is>
          <t>GP DIA 30MM</t>
        </is>
      </c>
      <c r="E317" s="143" t="n">
        <v>30</v>
      </c>
      <c r="F317" s="143" t="inlineStr">
        <is>
          <t>LATEX</t>
        </is>
      </c>
      <c r="G317" s="143" t="n">
        <v>186</v>
      </c>
      <c r="H317" s="143" t="inlineStr">
        <is>
          <t>LATEX IMP 574010002</t>
        </is>
      </c>
      <c r="I317" s="145" t="inlineStr">
        <is>
          <t>kg</t>
        </is>
      </c>
      <c r="J317" s="146" t="n">
        <v>0.28</v>
      </c>
      <c r="K317" s="147" t="inlineStr">
        <is>
          <t>LATEX</t>
        </is>
      </c>
      <c r="L317" s="147" t="n">
        <v>0.1</v>
      </c>
      <c r="M317" s="149" t="n"/>
      <c r="N317" s="147" t="n"/>
      <c r="O317" s="147" t="n"/>
      <c r="P317" s="147" t="n"/>
      <c r="Q317" s="148" t="n"/>
    </row>
    <row r="318" ht="15" customHeight="1" s="249">
      <c r="A318" s="143" t="n">
        <v>6151</v>
      </c>
      <c r="B318" s="143" t="n">
        <v>146</v>
      </c>
      <c r="C318" s="143" t="inlineStr">
        <is>
          <t>Mateen Sons</t>
        </is>
      </c>
      <c r="D318" s="144" t="inlineStr">
        <is>
          <t>GP DIA 30MM</t>
        </is>
      </c>
      <c r="E318" s="143" t="n">
        <v>30</v>
      </c>
      <c r="F318" s="143" t="inlineStr">
        <is>
          <t>CAP</t>
        </is>
      </c>
      <c r="G318" s="143" t="n">
        <v>578</v>
      </c>
      <c r="H318" s="143" t="inlineStr">
        <is>
          <t>M-12 S/M SPR WHITE DIA 30 SCABIN</t>
        </is>
      </c>
      <c r="I318" s="145" t="inlineStr">
        <is>
          <t>pcs</t>
        </is>
      </c>
      <c r="J318" s="146" t="n">
        <v>1000</v>
      </c>
      <c r="K318" s="147" t="inlineStr">
        <is>
          <t>CAP</t>
        </is>
      </c>
      <c r="L318" s="147" t="n">
        <v>0.1</v>
      </c>
      <c r="M318" s="149" t="n"/>
      <c r="N318" s="147" t="n"/>
      <c r="O318" s="147" t="n"/>
      <c r="P318" s="147" t="n"/>
      <c r="Q318" s="148" t="n"/>
    </row>
    <row r="319" ht="15" customHeight="1" s="249">
      <c r="A319" s="143" t="n">
        <v>6151</v>
      </c>
      <c r="B319" s="143" t="n">
        <v>146</v>
      </c>
      <c r="C319" s="143" t="inlineStr">
        <is>
          <t>Mateen Sons</t>
        </is>
      </c>
      <c r="D319" s="144" t="inlineStr">
        <is>
          <t>GP DIA 30MM</t>
        </is>
      </c>
      <c r="E319" s="143" t="n">
        <v>30</v>
      </c>
      <c r="F319" s="143" t="inlineStr">
        <is>
          <t>CARTON</t>
        </is>
      </c>
      <c r="G319" s="143" t="n">
        <v>3988</v>
      </c>
      <c r="H319" s="143" t="inlineStr">
        <is>
          <t>35x180 5ply L21.5" W14.5" H8.5"</t>
        </is>
      </c>
      <c r="I319" s="145" t="inlineStr">
        <is>
          <t>pcs</t>
        </is>
      </c>
      <c r="J319" s="146" t="n">
        <v>4.2016</v>
      </c>
      <c r="K319" s="147" t="inlineStr">
        <is>
          <t>CARTON</t>
        </is>
      </c>
      <c r="L319" s="147" t="n">
        <v>0.1</v>
      </c>
      <c r="M319" s="149" t="n"/>
      <c r="N319" s="147" t="n"/>
      <c r="O319" s="147" t="n"/>
      <c r="P319" s="147" t="n"/>
      <c r="Q319" s="148" t="n"/>
    </row>
    <row r="320" ht="15" customHeight="1" s="249">
      <c r="A320" s="143" t="n">
        <v>6151</v>
      </c>
      <c r="B320" s="143" t="n">
        <v>146</v>
      </c>
      <c r="C320" s="143" t="inlineStr">
        <is>
          <t>Mateen Sons</t>
        </is>
      </c>
      <c r="D320" s="144" t="inlineStr">
        <is>
          <t>GP DIA 30MM</t>
        </is>
      </c>
      <c r="E320" s="143" t="n">
        <v>30</v>
      </c>
      <c r="F320" s="143" t="inlineStr">
        <is>
          <t>ZINC POWDER</t>
        </is>
      </c>
      <c r="G320" s="143" t="n">
        <v>4165</v>
      </c>
      <c r="H320" s="143" t="inlineStr">
        <is>
          <t>Zinc Archinate</t>
        </is>
      </c>
      <c r="I320" s="145" t="inlineStr">
        <is>
          <t>kg</t>
        </is>
      </c>
      <c r="J320" s="146" t="n">
        <v>0.008319999999999999</v>
      </c>
      <c r="K320" s="147" t="inlineStr">
        <is>
          <t>ZINC POWDER</t>
        </is>
      </c>
      <c r="L320" s="147" t="n">
        <v>0.1</v>
      </c>
      <c r="M320" s="149" t="n"/>
      <c r="N320" s="147" t="n"/>
      <c r="O320" s="147" t="n"/>
      <c r="P320" s="147" t="n"/>
      <c r="Q320" s="148" t="n"/>
    </row>
    <row r="321" ht="15" customHeight="1" s="249">
      <c r="A321" s="143" t="n">
        <v>6151</v>
      </c>
      <c r="B321" s="143" t="n">
        <v>146</v>
      </c>
      <c r="C321" s="143" t="inlineStr">
        <is>
          <t>Mateen Sons</t>
        </is>
      </c>
      <c r="D321" s="144" t="inlineStr">
        <is>
          <t>GP DIA 30MM</t>
        </is>
      </c>
      <c r="E321" s="143" t="n">
        <v>30</v>
      </c>
      <c r="F321" s="143" t="inlineStr">
        <is>
          <t>LACQUER</t>
        </is>
      </c>
      <c r="G321" s="143" t="n">
        <v>1065</v>
      </c>
      <c r="H321" s="143" t="inlineStr">
        <is>
          <t>PIGMENTED LACQUAR 57300</t>
        </is>
      </c>
      <c r="I321" s="145" t="inlineStr">
        <is>
          <t>kg</t>
        </is>
      </c>
      <c r="J321" s="146" t="n">
        <v>0.28</v>
      </c>
      <c r="K321" s="147" t="inlineStr">
        <is>
          <t>LACQUER</t>
        </is>
      </c>
      <c r="L321" s="147" t="n">
        <v>0.1</v>
      </c>
      <c r="M321" s="149" t="n"/>
      <c r="N321" s="147" t="n"/>
      <c r="O321" s="147" t="n"/>
      <c r="P321" s="147" t="n"/>
      <c r="Q321" s="148" t="n"/>
    </row>
    <row r="322" ht="15" customHeight="1" s="249">
      <c r="A322" s="143" t="n">
        <v>6151</v>
      </c>
      <c r="B322" s="143" t="n">
        <v>146</v>
      </c>
      <c r="C322" s="143" t="inlineStr">
        <is>
          <t>Mateen Sons</t>
        </is>
      </c>
      <c r="D322" s="144" t="inlineStr">
        <is>
          <t>GP DIA 30MM</t>
        </is>
      </c>
      <c r="E322" s="143" t="n">
        <v>30</v>
      </c>
      <c r="F322" s="143" t="inlineStr">
        <is>
          <t>TAPE</t>
        </is>
      </c>
      <c r="G322" s="143" t="n">
        <v>3635</v>
      </c>
      <c r="H322" s="143" t="inlineStr">
        <is>
          <t>PACKING TAPE 2" OF 60 YARDS</t>
        </is>
      </c>
      <c r="I322" s="145" t="inlineStr">
        <is>
          <t>PCS</t>
        </is>
      </c>
      <c r="J322" s="146" t="n">
        <v>0.156</v>
      </c>
      <c r="K322" s="147" t="inlineStr">
        <is>
          <t>TAPE</t>
        </is>
      </c>
      <c r="L322" s="147" t="n">
        <v>0.1</v>
      </c>
      <c r="M322" s="149" t="n"/>
      <c r="N322" s="147" t="n"/>
      <c r="O322" s="147" t="n"/>
      <c r="P322" s="147" t="n"/>
      <c r="Q322" s="148" t="n"/>
    </row>
    <row r="323" ht="15" customHeight="1" s="249">
      <c r="A323" s="143" t="n">
        <v>6151</v>
      </c>
      <c r="B323" s="143" t="n">
        <v>146</v>
      </c>
      <c r="C323" s="143" t="inlineStr">
        <is>
          <t>Mateen Sons</t>
        </is>
      </c>
      <c r="D323" s="144" t="inlineStr">
        <is>
          <t>GP DIA 30MM</t>
        </is>
      </c>
      <c r="E323" s="143" t="n">
        <v>30</v>
      </c>
      <c r="F323" s="143" t="inlineStr">
        <is>
          <t>INK</t>
        </is>
      </c>
      <c r="G323" s="143" t="n">
        <v>6935</v>
      </c>
      <c r="H323" s="143" t="inlineStr">
        <is>
          <t>GOLD V0221267-RF-401363</t>
        </is>
      </c>
      <c r="I323" s="145" t="inlineStr">
        <is>
          <t>kg</t>
        </is>
      </c>
      <c r="J323" s="146" t="n">
        <v>0.033</v>
      </c>
      <c r="K323" s="147" t="inlineStr">
        <is>
          <t>INK</t>
        </is>
      </c>
      <c r="L323" s="147" t="n">
        <v>0.1</v>
      </c>
      <c r="M323" s="149" t="n"/>
      <c r="N323" s="147" t="n"/>
      <c r="O323" s="147" t="n"/>
      <c r="P323" s="147" t="n"/>
      <c r="Q323" s="148" t="n"/>
    </row>
    <row r="324" ht="15" customHeight="1" s="249">
      <c r="A324" s="143" t="n">
        <v>6623</v>
      </c>
      <c r="B324" s="143" t="n">
        <v>193</v>
      </c>
      <c r="C324" s="143" t="inlineStr">
        <is>
          <t>Samsol International Private Limited</t>
        </is>
      </c>
      <c r="D324" s="144" t="inlineStr">
        <is>
          <t>S-43 DIA 19MM</t>
        </is>
      </c>
      <c r="E324" s="143" t="n">
        <v>19</v>
      </c>
      <c r="F324" s="143" t="inlineStr">
        <is>
          <t>SLUG</t>
        </is>
      </c>
      <c r="G324" s="143" t="n">
        <v>19</v>
      </c>
      <c r="H324" s="143" t="inlineStr">
        <is>
          <t>19X4.5 S/M</t>
        </is>
      </c>
      <c r="I324" s="145" t="inlineStr">
        <is>
          <t>kg</t>
        </is>
      </c>
      <c r="J324" s="146" t="n">
        <v>3.367</v>
      </c>
      <c r="K324" s="147" t="inlineStr">
        <is>
          <t>SLUG</t>
        </is>
      </c>
      <c r="L324" s="147" t="n">
        <v>0.1</v>
      </c>
      <c r="M324" s="149" t="n"/>
    </row>
    <row r="325" ht="15" customHeight="1" s="249">
      <c r="A325" s="143" t="n">
        <v>6623</v>
      </c>
      <c r="B325" s="143" t="n">
        <v>193</v>
      </c>
      <c r="C325" s="143" t="inlineStr">
        <is>
          <t>Samsol International Private Limited</t>
        </is>
      </c>
      <c r="D325" s="144" t="inlineStr">
        <is>
          <t>S-43 DIA 19MM</t>
        </is>
      </c>
      <c r="E325" s="143" t="n">
        <v>19</v>
      </c>
      <c r="F325" s="143" t="inlineStr">
        <is>
          <t>BASE COAT</t>
        </is>
      </c>
      <c r="G325" s="143" t="n">
        <v>3595</v>
      </c>
      <c r="H325" s="143" t="inlineStr">
        <is>
          <t>POLYSTER BASE COAT WHITE 23410 CT</t>
        </is>
      </c>
      <c r="I325" s="145" t="inlineStr">
        <is>
          <t>kg</t>
        </is>
      </c>
      <c r="J325" s="146" t="n">
        <v>0.31</v>
      </c>
      <c r="K325" s="147" t="inlineStr">
        <is>
          <t>BASE COAT</t>
        </is>
      </c>
      <c r="L325" s="147" t="n">
        <v>0.1</v>
      </c>
      <c r="M325" s="149" t="n"/>
    </row>
    <row r="326" ht="15" customHeight="1" s="249">
      <c r="A326" s="143" t="n">
        <v>6623</v>
      </c>
      <c r="B326" s="143" t="n">
        <v>193</v>
      </c>
      <c r="C326" s="143" t="inlineStr">
        <is>
          <t>Samsol International Private Limited</t>
        </is>
      </c>
      <c r="D326" s="144" t="inlineStr">
        <is>
          <t>S-43 DIA 19MM</t>
        </is>
      </c>
      <c r="E326" s="143" t="n">
        <v>19</v>
      </c>
      <c r="F326" s="143" t="inlineStr">
        <is>
          <t>CAP</t>
        </is>
      </c>
      <c r="G326" s="143" t="n">
        <v>80</v>
      </c>
      <c r="H326" s="143" t="inlineStr">
        <is>
          <t>M-9 S/M SPR WHITE DIA 19</t>
        </is>
      </c>
      <c r="I326" s="145" t="inlineStr">
        <is>
          <t>pcs</t>
        </is>
      </c>
      <c r="J326" s="146" t="n">
        <v>1000</v>
      </c>
      <c r="K326" s="147" t="inlineStr">
        <is>
          <t>CAP</t>
        </is>
      </c>
      <c r="L326" s="147" t="n">
        <v>0.1</v>
      </c>
      <c r="M326" s="149" t="n"/>
    </row>
    <row r="327" ht="15" customHeight="1" s="249">
      <c r="A327" s="143" t="n">
        <v>6623</v>
      </c>
      <c r="B327" s="143" t="n">
        <v>193</v>
      </c>
      <c r="C327" s="143" t="inlineStr">
        <is>
          <t>Samsol International Private Limited</t>
        </is>
      </c>
      <c r="D327" s="144" t="inlineStr">
        <is>
          <t>S-43 DIA 19MM</t>
        </is>
      </c>
      <c r="E327" s="143" t="n">
        <v>19</v>
      </c>
      <c r="F327" s="143" t="inlineStr">
        <is>
          <t>CARTON</t>
        </is>
      </c>
      <c r="G327" s="143" t="n">
        <v>3619</v>
      </c>
      <c r="H327" s="143" t="inlineStr">
        <is>
          <t>20.5x510 5ply L21.5" W14.5" H6"</t>
        </is>
      </c>
      <c r="I327" s="145" t="inlineStr">
        <is>
          <t>pcs</t>
        </is>
      </c>
      <c r="J327" s="146" t="n">
        <v>1.7</v>
      </c>
      <c r="K327" s="147" t="inlineStr">
        <is>
          <t>CARTON</t>
        </is>
      </c>
      <c r="L327" s="147" t="n">
        <v>0.1</v>
      </c>
      <c r="M327" s="149" t="n"/>
    </row>
    <row r="328" ht="15" customHeight="1" s="249">
      <c r="A328" s="143" t="n">
        <v>6623</v>
      </c>
      <c r="B328" s="143" t="n">
        <v>193</v>
      </c>
      <c r="C328" s="143" t="inlineStr">
        <is>
          <t>Samsol International Private Limited</t>
        </is>
      </c>
      <c r="D328" s="144" t="inlineStr">
        <is>
          <t>S-43 DIA 19MM</t>
        </is>
      </c>
      <c r="E328" s="143" t="n">
        <v>19</v>
      </c>
      <c r="F328" s="143" t="inlineStr">
        <is>
          <t>ZINC POWDER</t>
        </is>
      </c>
      <c r="G328" s="143" t="n">
        <v>194</v>
      </c>
      <c r="H328" s="143" t="inlineStr">
        <is>
          <t>ZINC STEARATE</t>
        </is>
      </c>
      <c r="I328" s="145" t="inlineStr">
        <is>
          <t>kg</t>
        </is>
      </c>
      <c r="J328" s="146" t="n">
        <v>0.0034</v>
      </c>
      <c r="K328" s="147" t="inlineStr">
        <is>
          <t>ZINC POWDER</t>
        </is>
      </c>
      <c r="L328" s="147" t="n">
        <v>0.1</v>
      </c>
      <c r="M328" s="149" t="n"/>
    </row>
    <row r="329" ht="15" customHeight="1" s="249">
      <c r="A329" s="143" t="n">
        <v>6623</v>
      </c>
      <c r="B329" s="143" t="n">
        <v>193</v>
      </c>
      <c r="C329" s="143" t="inlineStr">
        <is>
          <t>Samsol International Private Limited</t>
        </is>
      </c>
      <c r="D329" s="144" t="inlineStr">
        <is>
          <t>S-43 DIA 19MM</t>
        </is>
      </c>
      <c r="E329" s="143" t="n">
        <v>19</v>
      </c>
      <c r="F329" s="143" t="inlineStr">
        <is>
          <t>LACQUER</t>
        </is>
      </c>
      <c r="G329" s="143" t="n">
        <v>185</v>
      </c>
      <c r="H329" s="143" t="inlineStr">
        <is>
          <t>EPOXY LACQUER (1500)</t>
        </is>
      </c>
      <c r="I329" s="145" t="inlineStr">
        <is>
          <t>L</t>
        </is>
      </c>
      <c r="J329" s="146" t="n">
        <v>0.1449</v>
      </c>
      <c r="K329" s="147" t="inlineStr">
        <is>
          <t>LACQUER</t>
        </is>
      </c>
      <c r="L329" s="147" t="n">
        <v>0.1</v>
      </c>
      <c r="M329" s="149" t="n"/>
    </row>
    <row r="330" ht="15" customHeight="1" s="249">
      <c r="A330" s="143" t="n">
        <v>6623</v>
      </c>
      <c r="B330" s="143" t="n">
        <v>193</v>
      </c>
      <c r="C330" s="143" t="inlineStr">
        <is>
          <t>Samsol International Private Limited</t>
        </is>
      </c>
      <c r="D330" s="144" t="inlineStr">
        <is>
          <t>S-43 DIA 19MM</t>
        </is>
      </c>
      <c r="E330" s="143" t="n">
        <v>19</v>
      </c>
      <c r="F330" s="143" t="inlineStr">
        <is>
          <t>TAPE</t>
        </is>
      </c>
      <c r="G330" s="143" t="n">
        <v>3635</v>
      </c>
      <c r="H330" s="143" t="inlineStr">
        <is>
          <t>PACKING TAPE 2" OF 60 YARDS</t>
        </is>
      </c>
      <c r="I330" s="145" t="inlineStr">
        <is>
          <t>PCS</t>
        </is>
      </c>
      <c r="J330" s="146" t="n">
        <v>0.059</v>
      </c>
      <c r="K330" s="147" t="inlineStr">
        <is>
          <t>TAPE</t>
        </is>
      </c>
      <c r="L330" s="147" t="n">
        <v>0.1</v>
      </c>
      <c r="M330" s="149" t="n"/>
    </row>
    <row r="331" ht="15" customHeight="1" s="249">
      <c r="A331" s="143" t="n">
        <v>6624</v>
      </c>
      <c r="B331" s="143" t="n">
        <v>192</v>
      </c>
      <c r="C331" s="143" t="inlineStr">
        <is>
          <t>Samsol International Private Limited</t>
        </is>
      </c>
      <c r="D331" s="144" t="inlineStr">
        <is>
          <t>S-45 DIA 19MM</t>
        </is>
      </c>
      <c r="E331" s="143" t="n">
        <v>19</v>
      </c>
      <c r="F331" s="143" t="inlineStr">
        <is>
          <t>SLUG</t>
        </is>
      </c>
      <c r="G331" s="143" t="n">
        <v>19</v>
      </c>
      <c r="H331" s="143" t="inlineStr">
        <is>
          <t>19X4.5 S/M</t>
        </is>
      </c>
      <c r="I331" s="145" t="inlineStr">
        <is>
          <t>kg</t>
        </is>
      </c>
      <c r="J331" s="146" t="n">
        <v>3.367</v>
      </c>
      <c r="K331" s="147" t="inlineStr">
        <is>
          <t>SLUG</t>
        </is>
      </c>
      <c r="L331" s="147" t="n">
        <v>0.1</v>
      </c>
      <c r="M331" s="149" t="n"/>
      <c r="N331" s="147" t="n"/>
      <c r="O331" s="147" t="n"/>
      <c r="P331" s="147" t="n"/>
      <c r="Q331" s="148" t="n"/>
    </row>
    <row r="332" ht="15" customHeight="1" s="249">
      <c r="A332" s="143" t="n">
        <v>6624</v>
      </c>
      <c r="B332" s="143" t="n">
        <v>192</v>
      </c>
      <c r="C332" s="143" t="inlineStr">
        <is>
          <t>Samsol International Private Limited</t>
        </is>
      </c>
      <c r="D332" s="144" t="inlineStr">
        <is>
          <t>S-45 DIA 19MM</t>
        </is>
      </c>
      <c r="E332" s="143" t="n">
        <v>19</v>
      </c>
      <c r="F332" s="143" t="inlineStr">
        <is>
          <t>BASE COAT</t>
        </is>
      </c>
      <c r="G332" s="143" t="n">
        <v>3595</v>
      </c>
      <c r="H332" s="143" t="inlineStr">
        <is>
          <t>POLYSTER BASE COAT WHITE 23410 CT</t>
        </is>
      </c>
      <c r="I332" s="145" t="inlineStr">
        <is>
          <t>kg</t>
        </is>
      </c>
      <c r="J332" s="146" t="n">
        <v>0.31</v>
      </c>
      <c r="K332" s="147" t="inlineStr">
        <is>
          <t>BASE COAT</t>
        </is>
      </c>
      <c r="L332" s="147" t="n">
        <v>0.1</v>
      </c>
      <c r="M332" s="149" t="n"/>
      <c r="N332" s="147" t="n"/>
      <c r="O332" s="147" t="n"/>
      <c r="P332" s="147" t="n"/>
      <c r="Q332" s="148" t="n"/>
    </row>
    <row r="333" ht="15" customHeight="1" s="249">
      <c r="A333" s="143" t="n">
        <v>6624</v>
      </c>
      <c r="B333" s="143" t="n">
        <v>192</v>
      </c>
      <c r="C333" s="143" t="inlineStr">
        <is>
          <t>Samsol International Private Limited</t>
        </is>
      </c>
      <c r="D333" s="144" t="inlineStr">
        <is>
          <t>S-45 DIA 19MM</t>
        </is>
      </c>
      <c r="E333" s="143" t="n">
        <v>19</v>
      </c>
      <c r="F333" s="143" t="inlineStr">
        <is>
          <t>CAP</t>
        </is>
      </c>
      <c r="G333" s="143" t="n">
        <v>80</v>
      </c>
      <c r="H333" s="143" t="inlineStr">
        <is>
          <t>M-9 S/M SPR WHITE DIA 19</t>
        </is>
      </c>
      <c r="I333" s="145" t="inlineStr">
        <is>
          <t>pcs</t>
        </is>
      </c>
      <c r="J333" s="146" t="n">
        <v>1000</v>
      </c>
      <c r="K333" s="147" t="inlineStr">
        <is>
          <t>CAP</t>
        </is>
      </c>
      <c r="L333" s="147" t="n">
        <v>0.1</v>
      </c>
      <c r="M333" s="149" t="n"/>
      <c r="N333" s="147" t="n"/>
      <c r="O333" s="147" t="n"/>
      <c r="P333" s="147" t="n"/>
      <c r="Q333" s="148" t="n"/>
    </row>
    <row r="334" ht="15" customHeight="1" s="249">
      <c r="A334" s="143" t="n">
        <v>6624</v>
      </c>
      <c r="B334" s="143" t="n">
        <v>192</v>
      </c>
      <c r="C334" s="143" t="inlineStr">
        <is>
          <t>Samsol International Private Limited</t>
        </is>
      </c>
      <c r="D334" s="144" t="inlineStr">
        <is>
          <t>S-45 DIA 19MM</t>
        </is>
      </c>
      <c r="E334" s="143" t="n">
        <v>19</v>
      </c>
      <c r="F334" s="143" t="inlineStr">
        <is>
          <t>CARTON</t>
        </is>
      </c>
      <c r="G334" s="143" t="n">
        <v>3619</v>
      </c>
      <c r="H334" s="143" t="inlineStr">
        <is>
          <t>20.5x510 5ply L21.5" W14.5" H6"</t>
        </is>
      </c>
      <c r="I334" s="145" t="inlineStr">
        <is>
          <t>pcs</t>
        </is>
      </c>
      <c r="J334" s="146" t="n">
        <v>1.7</v>
      </c>
      <c r="K334" s="147" t="inlineStr">
        <is>
          <t>CARTON</t>
        </is>
      </c>
      <c r="L334" s="147" t="n">
        <v>0.1</v>
      </c>
      <c r="M334" s="149" t="n"/>
      <c r="N334" s="147" t="n"/>
      <c r="O334" s="147" t="n"/>
      <c r="P334" s="147" t="n"/>
      <c r="Q334" s="148" t="n"/>
    </row>
    <row r="335" ht="15" customHeight="1" s="249">
      <c r="A335" s="143" t="n">
        <v>6624</v>
      </c>
      <c r="B335" s="143" t="n">
        <v>192</v>
      </c>
      <c r="C335" s="143" t="inlineStr">
        <is>
          <t>Samsol International Private Limited</t>
        </is>
      </c>
      <c r="D335" s="144" t="inlineStr">
        <is>
          <t>S-45 DIA 19MM</t>
        </is>
      </c>
      <c r="E335" s="143" t="n">
        <v>19</v>
      </c>
      <c r="F335" s="143" t="inlineStr">
        <is>
          <t>ZINC POWDER</t>
        </is>
      </c>
      <c r="G335" s="143" t="n">
        <v>194</v>
      </c>
      <c r="H335" s="143" t="inlineStr">
        <is>
          <t>ZINC STEARATE</t>
        </is>
      </c>
      <c r="I335" s="145" t="inlineStr">
        <is>
          <t>kg</t>
        </is>
      </c>
      <c r="J335" s="146" t="n">
        <v>0.0034</v>
      </c>
      <c r="K335" s="147" t="inlineStr">
        <is>
          <t>ZINC POWDER</t>
        </is>
      </c>
      <c r="L335" s="147" t="n">
        <v>0.1</v>
      </c>
      <c r="M335" s="149" t="n"/>
      <c r="N335" s="147" t="n"/>
      <c r="O335" s="147" t="n"/>
      <c r="P335" s="147" t="n"/>
      <c r="Q335" s="148" t="n"/>
    </row>
    <row r="336" ht="15" customHeight="1" s="249">
      <c r="A336" s="143" t="n">
        <v>6624</v>
      </c>
      <c r="B336" s="143" t="n">
        <v>192</v>
      </c>
      <c r="C336" s="143" t="inlineStr">
        <is>
          <t>Samsol International Private Limited</t>
        </is>
      </c>
      <c r="D336" s="144" t="inlineStr">
        <is>
          <t>S-45 DIA 19MM</t>
        </is>
      </c>
      <c r="E336" s="143" t="n">
        <v>19</v>
      </c>
      <c r="F336" s="143" t="inlineStr">
        <is>
          <t>LACQUER</t>
        </is>
      </c>
      <c r="G336" s="143" t="n">
        <v>185</v>
      </c>
      <c r="H336" s="143" t="inlineStr">
        <is>
          <t>EPOXY LACQUER (1500)</t>
        </is>
      </c>
      <c r="I336" s="145" t="inlineStr">
        <is>
          <t>L</t>
        </is>
      </c>
      <c r="J336" s="146" t="n">
        <v>0.1449</v>
      </c>
      <c r="K336" s="147" t="inlineStr">
        <is>
          <t>LACQUER</t>
        </is>
      </c>
      <c r="L336" s="147" t="n">
        <v>0.1</v>
      </c>
      <c r="M336" s="149" t="n"/>
      <c r="N336" s="147" t="n"/>
      <c r="O336" s="147" t="n"/>
      <c r="P336" s="147" t="n"/>
      <c r="Q336" s="148" t="n"/>
    </row>
    <row r="337" ht="15" customHeight="1" s="249">
      <c r="A337" s="143" t="n">
        <v>6624</v>
      </c>
      <c r="B337" s="143" t="n">
        <v>192</v>
      </c>
      <c r="C337" s="143" t="inlineStr">
        <is>
          <t>Samsol International Private Limited</t>
        </is>
      </c>
      <c r="D337" s="144" t="inlineStr">
        <is>
          <t>S-45 DIA 19MM</t>
        </is>
      </c>
      <c r="E337" s="143" t="n">
        <v>19</v>
      </c>
      <c r="F337" s="143" t="inlineStr">
        <is>
          <t>TAPE</t>
        </is>
      </c>
      <c r="G337" s="143" t="n">
        <v>3635</v>
      </c>
      <c r="H337" s="143" t="inlineStr">
        <is>
          <t>PACKING TAPE 2" OF 60 YARDS</t>
        </is>
      </c>
      <c r="I337" s="145" t="inlineStr">
        <is>
          <t>PCS</t>
        </is>
      </c>
      <c r="J337" s="146" t="n">
        <v>0.059</v>
      </c>
      <c r="K337" s="147" t="inlineStr">
        <is>
          <t>TAPE</t>
        </is>
      </c>
      <c r="L337" s="147" t="n">
        <v>0.1</v>
      </c>
      <c r="M337" s="149" t="n"/>
      <c r="N337" s="147" t="n"/>
      <c r="O337" s="147" t="n"/>
      <c r="P337" s="147" t="n"/>
      <c r="Q337" s="148" t="n"/>
    </row>
    <row r="338" hidden="1" ht="15" customHeight="1" s="249"/>
    <row r="339" ht="15" customHeight="1" s="249"/>
    <row r="340" ht="15" customHeight="1" s="249"/>
    <row r="341" ht="15" customHeight="1" s="249"/>
    <row r="342" ht="15" customHeight="1" s="249"/>
    <row r="343" ht="15" customHeight="1" s="249"/>
    <row r="344" ht="15" customHeight="1" s="249"/>
    <row r="345" ht="15" customHeight="1" s="249"/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3"/>
  <sheetViews>
    <sheetView topLeftCell="A51" zoomScale="130" zoomScaleNormal="130" workbookViewId="0">
      <selection activeCell="A12" sqref="A12:J65"/>
    </sheetView>
  </sheetViews>
  <sheetFormatPr baseColWidth="8" defaultColWidth="8.7109375" defaultRowHeight="15"/>
  <cols>
    <col width="10" customWidth="1" style="249" min="1" max="1"/>
    <col width="15.28515625" customWidth="1" style="249" min="2" max="2"/>
    <col width="15.42578125" customWidth="1" style="249" min="3" max="3"/>
    <col width="6" customWidth="1" style="249" min="4" max="4"/>
    <col width="8.5703125" customWidth="1" style="150" min="5" max="5"/>
    <col width="8.85546875" customWidth="1" style="150" min="6" max="6"/>
    <col width="11.140625" customWidth="1" style="150" min="7" max="7"/>
    <col width="8.5703125" customWidth="1" style="151" min="8" max="8"/>
    <col hidden="1" width="7.7109375" customWidth="1" style="150" min="9" max="9"/>
    <col width="16.140625" customWidth="1" style="150" min="10" max="10"/>
    <col width="18" customWidth="1" style="249" min="11" max="11"/>
  </cols>
  <sheetData>
    <row r="1" ht="19.5" customHeight="1" s="249">
      <c r="A1" s="271" t="inlineStr">
        <is>
          <t>Slugs Inventory — May 2026 MONTH TO DATE</t>
        </is>
      </c>
      <c r="B1" s="272" t="n"/>
      <c r="C1" s="272" t="n"/>
      <c r="D1" s="272" t="n"/>
      <c r="E1" s="272" t="n"/>
      <c r="F1" s="272" t="n"/>
      <c r="G1" s="272" t="n"/>
      <c r="H1" s="272" t="n"/>
      <c r="I1" s="152" t="inlineStr">
        <is>
          <t>Date:</t>
        </is>
      </c>
      <c r="J1" s="153">
        <f>TODAY()</f>
        <v/>
      </c>
    </row>
    <row r="2" ht="37.5" customFormat="1" customHeight="1" s="154">
      <c r="A2" s="46" t="inlineStr">
        <is>
          <t>Item ID</t>
        </is>
      </c>
      <c r="B2" s="46" t="inlineStr">
        <is>
          <t>Category</t>
        </is>
      </c>
      <c r="C2" s="46" t="inlineStr">
        <is>
          <t>Item Name (ERP)</t>
        </is>
      </c>
      <c r="D2" s="46" t="inlineStr">
        <is>
          <t>UOM</t>
        </is>
      </c>
      <c r="E2" s="49" t="inlineStr">
        <is>
          <t>Opening</t>
        </is>
      </c>
      <c r="F2" s="49" t="inlineStr">
        <is>
          <t>Received from Vendor</t>
        </is>
      </c>
      <c r="G2" s="49" t="inlineStr">
        <is>
          <t>Issued to Production</t>
        </is>
      </c>
      <c r="H2" s="49" t="inlineStr">
        <is>
          <t>Store Balance</t>
        </is>
      </c>
      <c r="I2" s="49" t="inlineStr">
        <is>
          <t>Work In Process</t>
        </is>
      </c>
      <c r="J2" s="49" t="inlineStr">
        <is>
          <t>Pieces Can Be Produced (Store + Floor Stock)</t>
        </is>
      </c>
    </row>
    <row r="3" ht="15" customHeight="1" s="249">
      <c r="A3" s="95" t="n">
        <v>31</v>
      </c>
      <c r="B3" s="95" t="inlineStr">
        <is>
          <t>Slug</t>
        </is>
      </c>
      <c r="C3" s="96" t="inlineStr">
        <is>
          <t>13.5X4.2</t>
        </is>
      </c>
      <c r="D3" s="95" t="inlineStr">
        <is>
          <t>kg</t>
        </is>
      </c>
      <c r="E3" s="97" t="n">
        <v>71.5</v>
      </c>
      <c r="F3" s="97" t="n">
        <v>0</v>
      </c>
      <c r="G3" s="97" t="n">
        <v>0</v>
      </c>
      <c r="H3" s="98">
        <f>E3+F3-G3</f>
        <v/>
      </c>
      <c r="I3" s="97" t="n"/>
      <c r="J3" s="97">
        <f>IFERROR(IF(AVERAGEIF(TableBOM[Item ID],A3,TableBOM[Per 1000 Units])=0,"-",ROUND((H3+I3)/(AVERAGEIF(TableBOM[Item ID],A3,TableBOM[Per 1000 Units])/1000),0)),"-")</f>
        <v/>
      </c>
    </row>
    <row r="4" ht="15" customHeight="1" s="249">
      <c r="A4" s="95" t="n">
        <v>2799</v>
      </c>
      <c r="B4" s="95" t="inlineStr">
        <is>
          <t>Slug</t>
        </is>
      </c>
      <c r="C4" s="96" t="inlineStr">
        <is>
          <t>16x4.5</t>
        </is>
      </c>
      <c r="D4" s="95" t="inlineStr">
        <is>
          <t>kg</t>
        </is>
      </c>
      <c r="E4" s="97" t="n">
        <v>88</v>
      </c>
      <c r="F4" s="97" t="n">
        <v>0</v>
      </c>
      <c r="G4" s="97" t="n">
        <v>0</v>
      </c>
      <c r="H4" s="98">
        <f>E4+F4-G4</f>
        <v/>
      </c>
      <c r="I4" s="97" t="n"/>
      <c r="J4" s="97">
        <f>IFERROR(IF(AVERAGEIF(TableBOM[Item ID],A4,TableBOM[Per 1000 Units])=0,"-",ROUND((H4+I4)/(AVERAGEIF(TableBOM[Item ID],A4,TableBOM[Per 1000 Units])/1000),0)),"-")</f>
        <v/>
      </c>
    </row>
    <row r="5" ht="15" customFormat="1" customHeight="1" s="155">
      <c r="A5" s="95" t="n">
        <v>19</v>
      </c>
      <c r="B5" s="95" t="inlineStr">
        <is>
          <t>Slug</t>
        </is>
      </c>
      <c r="C5" s="96" t="inlineStr">
        <is>
          <t>19X4.5 S/M</t>
        </is>
      </c>
      <c r="D5" s="95" t="inlineStr">
        <is>
          <t>kg</t>
        </is>
      </c>
      <c r="E5" s="97" t="n">
        <v>152.6</v>
      </c>
      <c r="F5" s="97" t="n">
        <v>0</v>
      </c>
      <c r="G5" s="97" t="n">
        <v>152.6</v>
      </c>
      <c r="H5" s="98">
        <f>E5+F5-G5</f>
        <v/>
      </c>
      <c r="I5" s="97" t="n"/>
      <c r="J5" s="97">
        <f>IFERROR(IF(AVERAGEIF(TableBOM[Item ID],A5,TableBOM[Per 1000 Units])=0,"-",ROUND((H5+I5)/(AVERAGEIF(TableBOM[Item ID],A5,TableBOM[Per 1000 Units])/1000),0)),"-")</f>
        <v/>
      </c>
    </row>
    <row r="6" ht="15" customHeight="1" s="249">
      <c r="A6" s="95" t="n">
        <v>4179</v>
      </c>
      <c r="B6" s="95" t="inlineStr">
        <is>
          <t>Slug</t>
        </is>
      </c>
      <c r="C6" s="96" t="inlineStr">
        <is>
          <t>20.5x4.5</t>
        </is>
      </c>
      <c r="D6" s="95" t="inlineStr">
        <is>
          <t>kg</t>
        </is>
      </c>
      <c r="E6" s="97" t="n">
        <v>282</v>
      </c>
      <c r="F6" s="97" t="n">
        <v>0</v>
      </c>
      <c r="G6" s="97" t="n">
        <v>100</v>
      </c>
      <c r="H6" s="98">
        <f>E6+F6-G6</f>
        <v/>
      </c>
      <c r="I6" s="97" t="n"/>
      <c r="J6" s="97">
        <f>IFERROR(IF(AVERAGEIF(TableBOM[Item ID],A6,TableBOM[Per 1000 Units])=0,"-",ROUND((H6+I6)/(AVERAGEIF(TableBOM[Item ID],A6,TableBOM[Per 1000 Units])/1000),0)),"-")</f>
        <v/>
      </c>
    </row>
    <row r="7" ht="15" customHeight="1" s="249">
      <c r="A7" s="95" t="n">
        <v>6</v>
      </c>
      <c r="B7" s="95" t="inlineStr">
        <is>
          <t>Slug</t>
        </is>
      </c>
      <c r="C7" s="96" t="inlineStr">
        <is>
          <t>25X4.5 S/M</t>
        </is>
      </c>
      <c r="D7" s="95" t="inlineStr">
        <is>
          <t>kg</t>
        </is>
      </c>
      <c r="E7" s="97" t="n">
        <v>75</v>
      </c>
      <c r="F7" s="97" t="n">
        <v>1890</v>
      </c>
      <c r="G7" s="97" t="n">
        <v>750</v>
      </c>
      <c r="H7" s="98">
        <f>E7+F7-G7</f>
        <v/>
      </c>
      <c r="I7" s="97" t="n">
        <v>40</v>
      </c>
      <c r="J7" s="97">
        <f>IFERROR(IF(AVERAGEIF(TableBOM[Item ID],A7,TableBOM[Per 1000 Units])=0,"-",ROUND((H7+I7)/(AVERAGEIF(TableBOM[Item ID],A7,TableBOM[Per 1000 Units])/1000),0)),"-")</f>
        <v/>
      </c>
    </row>
    <row r="8" ht="15" customHeight="1" s="249">
      <c r="A8" s="95" t="n">
        <v>406</v>
      </c>
      <c r="B8" s="95" t="inlineStr">
        <is>
          <t>Slug</t>
        </is>
      </c>
      <c r="C8" s="96" t="inlineStr">
        <is>
          <t>30X4.5 S/M</t>
        </is>
      </c>
      <c r="D8" s="95" t="inlineStr">
        <is>
          <t>kg</t>
        </is>
      </c>
      <c r="E8" s="97" t="n">
        <v>700</v>
      </c>
      <c r="F8" s="97" t="n">
        <v>1250</v>
      </c>
      <c r="G8" s="97" t="n">
        <v>1175</v>
      </c>
      <c r="H8" s="98">
        <f>E8+F8-G8</f>
        <v/>
      </c>
      <c r="I8" s="97" t="n">
        <v>100</v>
      </c>
      <c r="J8" s="97">
        <f>IFERROR(IF(AVERAGEIF(TableBOM[Item ID],A8,TableBOM[Per 1000 Units])=0,"-",ROUND((H8+I8)/(AVERAGEIF(TableBOM[Item ID],A8,TableBOM[Per 1000 Units])/1000),0)),"-")</f>
        <v/>
      </c>
    </row>
    <row r="9" ht="15" customHeight="1" s="249">
      <c r="A9" s="95" t="n">
        <v>3935</v>
      </c>
      <c r="B9" s="95" t="inlineStr">
        <is>
          <t>Slug</t>
        </is>
      </c>
      <c r="C9" s="96" t="inlineStr">
        <is>
          <t>32x5.0</t>
        </is>
      </c>
      <c r="D9" s="95" t="inlineStr">
        <is>
          <t>kg</t>
        </is>
      </c>
      <c r="E9" s="97" t="n">
        <v>594</v>
      </c>
      <c r="F9" s="97" t="n">
        <v>0</v>
      </c>
      <c r="G9" s="97" t="n">
        <v>150</v>
      </c>
      <c r="H9" s="98">
        <f>E9+F9-G9</f>
        <v/>
      </c>
      <c r="I9" s="97" t="n"/>
      <c r="J9" s="97">
        <f>IFERROR(IF(AVERAGEIF(TableBOM[Item ID],A9,TableBOM[Per 1000 Units])=0,"-",ROUND((H9+I9)/(AVERAGEIF(TableBOM[Item ID],A9,TableBOM[Per 1000 Units])/1000),0)),"-")</f>
        <v/>
      </c>
    </row>
    <row r="10" ht="15" customHeight="1" s="249">
      <c r="A10" s="95" t="n">
        <v>3503</v>
      </c>
      <c r="B10" s="95" t="inlineStr">
        <is>
          <t>Slug</t>
        </is>
      </c>
      <c r="C10" s="96" t="inlineStr">
        <is>
          <t>35X5.0</t>
        </is>
      </c>
      <c r="D10" s="95" t="inlineStr">
        <is>
          <t>kg</t>
        </is>
      </c>
      <c r="E10" s="97" t="n">
        <v>0</v>
      </c>
      <c r="F10" s="97" t="n">
        <v>783</v>
      </c>
      <c r="G10" s="97" t="n">
        <v>650</v>
      </c>
      <c r="H10" s="98">
        <f>E10+F10-G10</f>
        <v/>
      </c>
      <c r="I10" s="97" t="n">
        <v>195</v>
      </c>
      <c r="J10" s="97">
        <f>IFERROR(IF(AVERAGEIF(TableBOM[Item ID],A10,TableBOM[Per 1000 Units])=0,"-",ROUND((H10+I10)/(AVERAGEIF(TableBOM[Item ID],A10,TableBOM[Per 1000 Units])/1000),0)),"-")</f>
        <v/>
      </c>
    </row>
    <row r="11" ht="15" customHeight="1" s="249"/>
    <row r="12" ht="18.75" customHeight="1" s="249">
      <c r="A12" s="156" t="inlineStr">
        <is>
          <t>Inventory — May 2026 Month to Date</t>
        </is>
      </c>
      <c r="B12" s="157" t="n"/>
      <c r="C12" s="157" t="n"/>
      <c r="D12" s="157" t="n"/>
      <c r="E12" s="157" t="n"/>
      <c r="F12" s="157" t="n"/>
      <c r="G12" s="157" t="n"/>
      <c r="H12" s="152" t="inlineStr">
        <is>
          <t>Date:</t>
        </is>
      </c>
      <c r="I12" s="157" t="n"/>
      <c r="J12" s="153">
        <f>TODAY()</f>
        <v/>
      </c>
    </row>
    <row r="13" ht="36" customHeight="1" s="249">
      <c r="A13" s="46" t="inlineStr">
        <is>
          <t>Item ID</t>
        </is>
      </c>
      <c r="B13" s="46" t="inlineStr">
        <is>
          <t>Category</t>
        </is>
      </c>
      <c r="C13" s="46" t="inlineStr">
        <is>
          <t>Item Name (ERP)</t>
        </is>
      </c>
      <c r="D13" s="46" t="inlineStr">
        <is>
          <t>UOM</t>
        </is>
      </c>
      <c r="E13" s="46" t="inlineStr">
        <is>
          <t>Opening</t>
        </is>
      </c>
      <c r="F13" s="46" t="inlineStr">
        <is>
          <t>Received from Vendor</t>
        </is>
      </c>
      <c r="G13" s="46" t="inlineStr">
        <is>
          <t>Issued to Production</t>
        </is>
      </c>
      <c r="H13" s="46" t="n"/>
      <c r="I13" s="46" t="inlineStr">
        <is>
          <t>Work In Process</t>
        </is>
      </c>
      <c r="J13" s="46" t="n"/>
    </row>
    <row r="14" ht="15" customHeight="1" s="249">
      <c r="A14" s="95" t="n">
        <v>184</v>
      </c>
      <c r="B14" s="95" t="inlineStr">
        <is>
          <t>Lacquer</t>
        </is>
      </c>
      <c r="C14" s="96" t="inlineStr">
        <is>
          <t>LACQUAR IMP 49989</t>
        </is>
      </c>
      <c r="D14" s="95" t="inlineStr">
        <is>
          <t>kg</t>
        </is>
      </c>
      <c r="E14" s="97" t="n">
        <v>0</v>
      </c>
      <c r="F14" s="97" t="n">
        <v>0</v>
      </c>
      <c r="G14" s="97" t="n">
        <v>0</v>
      </c>
      <c r="H14" s="98">
        <f>E14+F14-G14</f>
        <v/>
      </c>
      <c r="I14" s="97" t="n"/>
      <c r="J14" s="97">
        <f>IFERROR(IF(AVERAGEIF(TableBOM[Item ID],A14,TableBOM[Per 1000 Units])=0,"-",ROUND((H14+I14)/(AVERAGEIF(TableBOM[Item ID],A14,TableBOM[Per 1000 Units])/1000),0)),"-")</f>
        <v/>
      </c>
    </row>
    <row r="15" ht="15" customHeight="1" s="249">
      <c r="A15" s="95" t="n">
        <v>185</v>
      </c>
      <c r="B15" s="95" t="inlineStr">
        <is>
          <t>Lacquer</t>
        </is>
      </c>
      <c r="C15" s="96" t="inlineStr">
        <is>
          <t>EPOXY LACQUER (1500)</t>
        </is>
      </c>
      <c r="D15" s="95" t="inlineStr">
        <is>
          <t>L</t>
        </is>
      </c>
      <c r="E15" s="97" t="n">
        <v>225</v>
      </c>
      <c r="F15" s="97" t="n">
        <v>0</v>
      </c>
      <c r="G15" s="97" t="n">
        <v>50</v>
      </c>
      <c r="H15" s="98">
        <f>E15+F15-G15</f>
        <v/>
      </c>
      <c r="I15" s="97" t="n"/>
      <c r="J15" s="97">
        <f>IFERROR(IF(AVERAGEIF(TableBOM[Item ID],A15,TableBOM[Per 1000 Units])=0,"-",ROUND((H15+I15)/(AVERAGEIF(TableBOM[Item ID],A15,TableBOM[Per 1000 Units])/1000),0)),"-")</f>
        <v/>
      </c>
    </row>
    <row r="16" ht="15" customFormat="1" customHeight="1" s="155">
      <c r="A16" s="95" t="n">
        <v>188</v>
      </c>
      <c r="B16" s="95" t="inlineStr">
        <is>
          <t>Lacquer</t>
        </is>
      </c>
      <c r="C16" s="96" t="inlineStr">
        <is>
          <t>LACQUAR RHENANIA (ACTEGA COLL 299)</t>
        </is>
      </c>
      <c r="D16" s="95" t="inlineStr">
        <is>
          <t>kg</t>
        </is>
      </c>
      <c r="E16" s="97" t="n">
        <v>91</v>
      </c>
      <c r="F16" s="97" t="n">
        <v>0</v>
      </c>
      <c r="G16" s="97" t="n">
        <v>0</v>
      </c>
      <c r="H16" s="98">
        <f>E16+F16-G16</f>
        <v/>
      </c>
      <c r="I16" s="97" t="n">
        <v>0</v>
      </c>
      <c r="J16" s="97">
        <f>IFERROR(IF(AVERAGEIF(TableBOM[Item ID],A16,TableBOM[Per 1000 Units])=0,"-",ROUND((H16+I16)/(AVERAGEIF(TableBOM[Item ID],A16,TableBOM[Per 1000 Units])/1000),0)),"-")</f>
        <v/>
      </c>
    </row>
    <row r="17" ht="15" customHeight="1" s="249">
      <c r="A17" s="95" t="n">
        <v>1065</v>
      </c>
      <c r="B17" s="95" t="inlineStr">
        <is>
          <t>Lacquer</t>
        </is>
      </c>
      <c r="C17" s="96" t="inlineStr">
        <is>
          <t>PIGMENTED LACQUAR 57300</t>
        </is>
      </c>
      <c r="D17" s="95" t="inlineStr">
        <is>
          <t>kg</t>
        </is>
      </c>
      <c r="E17" s="97" t="n">
        <v>0</v>
      </c>
      <c r="F17" s="97" t="n">
        <v>0</v>
      </c>
      <c r="G17" s="97" t="n">
        <v>0</v>
      </c>
      <c r="H17" s="98">
        <f>E17+F17-G17</f>
        <v/>
      </c>
      <c r="I17" s="97" t="n"/>
      <c r="J17" s="97">
        <f>IFERROR(IF(AVERAGEIF(TableBOM[Item ID],A17,TableBOM[Per 1000 Units])=0,"-",ROUND((H17+I17)/(AVERAGEIF(TableBOM[Item ID],A17,TableBOM[Per 1000 Units])/1000),0)),"-")</f>
        <v/>
      </c>
    </row>
    <row r="18" ht="15" customHeight="1" s="249">
      <c r="A18" s="95" t="n">
        <v>4155</v>
      </c>
      <c r="B18" s="95" t="inlineStr">
        <is>
          <t>Lacquer</t>
        </is>
      </c>
      <c r="C18" s="96" t="inlineStr">
        <is>
          <t>E/P LACQUAR 4000 A/R</t>
        </is>
      </c>
      <c r="D18" s="95" t="inlineStr">
        <is>
          <t>kg</t>
        </is>
      </c>
      <c r="E18" s="97" t="n">
        <v>225</v>
      </c>
      <c r="F18" s="97" t="n">
        <v>200</v>
      </c>
      <c r="G18" s="97" t="n">
        <v>175</v>
      </c>
      <c r="H18" s="98">
        <f>E18+F18-G18</f>
        <v/>
      </c>
      <c r="I18" s="97" t="n"/>
      <c r="J18" s="97">
        <f>IFERROR(IF(AVERAGEIF(TableBOM[Item ID],A18,TableBOM[Per 1000 Units])=0,"-",ROUND((H18+I18)/(AVERAGEIF(TableBOM[Item ID],A18,TableBOM[Per 1000 Units])/1000),0)),"-")</f>
        <v/>
      </c>
    </row>
    <row r="19" ht="15" customHeight="1" s="249">
      <c r="A19" s="95" t="n">
        <v>170</v>
      </c>
      <c r="B19" s="95" t="inlineStr">
        <is>
          <t>Base Coat</t>
        </is>
      </c>
      <c r="C19" s="96" t="inlineStr">
        <is>
          <t>WHITE 5711200001</t>
        </is>
      </c>
      <c r="D19" s="95" t="inlineStr">
        <is>
          <t>kg</t>
        </is>
      </c>
      <c r="E19" s="97" t="n">
        <v>0</v>
      </c>
      <c r="F19" s="97" t="n">
        <v>0</v>
      </c>
      <c r="G19" s="97" t="n">
        <v>0</v>
      </c>
      <c r="H19" s="98">
        <f>E19+F19-G19</f>
        <v/>
      </c>
      <c r="I19" s="97" t="n"/>
      <c r="J19" s="97">
        <f>IFERROR(IF(AVERAGEIF(TableBOM[Item ID],A19,TableBOM[Per 1000 Units])=0,"-",ROUND((H19+I19)/(AVERAGEIF(TableBOM[Item ID],A19,TableBOM[Per 1000 Units])/1000),0)),"-")</f>
        <v/>
      </c>
    </row>
    <row r="20" ht="15" customHeight="1" s="249">
      <c r="A20" s="95" t="n">
        <v>175</v>
      </c>
      <c r="B20" s="95" t="inlineStr">
        <is>
          <t>Base Coat</t>
        </is>
      </c>
      <c r="C20" s="96" t="inlineStr">
        <is>
          <t>GOLD 5725100018</t>
        </is>
      </c>
      <c r="D20" s="95" t="inlineStr">
        <is>
          <t>kg</t>
        </is>
      </c>
      <c r="E20" s="97" t="n">
        <v>30</v>
      </c>
      <c r="F20" s="97" t="n">
        <v>0</v>
      </c>
      <c r="G20" s="97" t="n">
        <v>0</v>
      </c>
      <c r="H20" s="98">
        <f>E20+F20-G20</f>
        <v/>
      </c>
      <c r="I20" s="97" t="n">
        <v>0</v>
      </c>
      <c r="J20" s="97">
        <f>IFERROR(IF(AVERAGEIF(TableBOM[Item ID],A20,TableBOM[Per 1000 Units])=0,"-",ROUND((H20+I20)/(AVERAGEIF(TableBOM[Item ID],A20,TableBOM[Per 1000 Units])/1000),0)),"-")</f>
        <v/>
      </c>
    </row>
    <row r="21" ht="15" customHeight="1" s="249">
      <c r="A21" s="95" t="n">
        <v>192</v>
      </c>
      <c r="B21" s="95" t="inlineStr">
        <is>
          <t>Base Coat</t>
        </is>
      </c>
      <c r="C21" s="96" t="inlineStr">
        <is>
          <t>TRANSPARENT 234-786</t>
        </is>
      </c>
      <c r="D21" s="95" t="inlineStr">
        <is>
          <t>kg</t>
        </is>
      </c>
      <c r="E21" s="97" t="n">
        <v>50</v>
      </c>
      <c r="F21" s="97" t="n">
        <v>0</v>
      </c>
      <c r="G21" s="97" t="n">
        <v>0</v>
      </c>
      <c r="H21" s="98">
        <f>E21+F21-G21</f>
        <v/>
      </c>
      <c r="I21" s="97" t="n">
        <v>0</v>
      </c>
      <c r="J21" s="97">
        <f>IFERROR(IF(AVERAGEIF(TableBOM[Item ID],A21,TableBOM[Per 1000 Units])=0,"-",ROUND((H21+I21)/(AVERAGEIF(TableBOM[Item ID],A21,TableBOM[Per 1000 Units])/1000),0)),"-")</f>
        <v/>
      </c>
    </row>
    <row r="22" ht="15" customHeight="1" s="249">
      <c r="A22" s="95" t="n">
        <v>3595</v>
      </c>
      <c r="B22" s="95" t="inlineStr">
        <is>
          <t>Base Coat</t>
        </is>
      </c>
      <c r="C22" s="96" t="inlineStr">
        <is>
          <t>POLYSTER BASE COAT WHITE 23410</t>
        </is>
      </c>
      <c r="D22" s="95" t="inlineStr">
        <is>
          <t>kg</t>
        </is>
      </c>
      <c r="E22" s="97" t="n">
        <v>270</v>
      </c>
      <c r="F22" s="97" t="n">
        <v>210</v>
      </c>
      <c r="G22" s="97" t="n">
        <v>210</v>
      </c>
      <c r="H22" s="98">
        <f>E22+F22-G22</f>
        <v/>
      </c>
      <c r="I22" s="97" t="n"/>
      <c r="J22" s="97">
        <f>IFERROR(IF(AVERAGEIF(TableBOM[Item ID],A22,TableBOM[Per 1000 Units])=0,"-",ROUND((H22+I22)/(AVERAGEIF(TableBOM[Item ID],A22,TableBOM[Per 1000 Units])/1000),0)),"-")</f>
        <v/>
      </c>
    </row>
    <row r="23" ht="15" customHeight="1" s="249">
      <c r="A23" s="95" t="n">
        <v>3869</v>
      </c>
      <c r="B23" s="95" t="inlineStr">
        <is>
          <t>Base Coat</t>
        </is>
      </c>
      <c r="C23" s="96" t="inlineStr">
        <is>
          <t>POLYESTER BASE COAT BEIGE 234-999</t>
        </is>
      </c>
      <c r="D23" s="95" t="inlineStr">
        <is>
          <t>kg</t>
        </is>
      </c>
      <c r="E23" s="97" t="n">
        <v>60</v>
      </c>
      <c r="F23" s="97" t="n">
        <v>0</v>
      </c>
      <c r="G23" s="97" t="n">
        <v>0</v>
      </c>
      <c r="H23" s="98">
        <f>E23+F23-G23</f>
        <v/>
      </c>
      <c r="I23" s="97" t="n">
        <v>0</v>
      </c>
      <c r="J23" s="97">
        <f>IFERROR(IF(AVERAGEIF(TableBOM[Item ID],A23,TableBOM[Per 1000 Units])=0,"-",ROUND((H23+I23)/(AVERAGEIF(TableBOM[Item ID],A23,TableBOM[Per 1000 Units])/1000),0)),"-")</f>
        <v/>
      </c>
    </row>
    <row r="24" ht="15" customHeight="1" s="249">
      <c r="A24" s="95" t="n">
        <v>4156</v>
      </c>
      <c r="B24" s="95" t="inlineStr">
        <is>
          <t>Base Coat</t>
        </is>
      </c>
      <c r="C24" s="96" t="inlineStr">
        <is>
          <t>BEIGE 5711200007</t>
        </is>
      </c>
      <c r="D24" s="95" t="inlineStr">
        <is>
          <t>kg</t>
        </is>
      </c>
      <c r="E24" s="97" t="n">
        <v>0</v>
      </c>
      <c r="F24" s="97" t="n">
        <v>0</v>
      </c>
      <c r="G24" s="97" t="n">
        <v>0</v>
      </c>
      <c r="H24" s="98">
        <f>E24+F24-G24</f>
        <v/>
      </c>
      <c r="I24" s="97" t="n"/>
      <c r="J24" s="97">
        <f>IFERROR(IF(AVERAGEIF(TableBOM[Item ID],A24,TableBOM[Per 1000 Units])=0,"-",ROUND((H24+I24)/(AVERAGEIF(TableBOM[Item ID],A24,TableBOM[Per 1000 Units])/1000),0)),"-")</f>
        <v/>
      </c>
    </row>
    <row r="25" ht="15" customHeight="1" s="249">
      <c r="A25" s="95" t="n">
        <v>4157</v>
      </c>
      <c r="B25" s="95" t="inlineStr">
        <is>
          <t>Base Coat</t>
        </is>
      </c>
      <c r="C25" s="96" t="inlineStr">
        <is>
          <t>SILVER METALLIC 5725100011</t>
        </is>
      </c>
      <c r="D25" s="95" t="inlineStr">
        <is>
          <t>kg</t>
        </is>
      </c>
      <c r="E25" s="97" t="n">
        <v>240</v>
      </c>
      <c r="F25" s="97" t="n">
        <v>0</v>
      </c>
      <c r="G25" s="97" t="n">
        <v>0</v>
      </c>
      <c r="H25" s="98">
        <f>E25+F25-G25</f>
        <v/>
      </c>
      <c r="I25" s="97" t="n">
        <v>0</v>
      </c>
      <c r="J25" s="97">
        <f>IFERROR(IF(AVERAGEIF(TableBOM[Item ID],A25,TableBOM[Per 1000 Units])=0,"-",ROUND((H25+I25)/(AVERAGEIF(TableBOM[Item ID],A25,TableBOM[Per 1000 Units])/1000),0)),"-")</f>
        <v/>
      </c>
    </row>
    <row r="26" ht="15" customHeight="1" s="249">
      <c r="A26" s="95" t="n">
        <v>5895</v>
      </c>
      <c r="B26" s="95" t="inlineStr">
        <is>
          <t>Base Coat</t>
        </is>
      </c>
      <c r="C26" s="96" t="inlineStr">
        <is>
          <t>GOLD METALLIC ALM-550-234</t>
        </is>
      </c>
      <c r="D26" s="95" t="inlineStr">
        <is>
          <t>kg</t>
        </is>
      </c>
      <c r="E26" s="97" t="n">
        <v>50</v>
      </c>
      <c r="F26" s="97" t="n">
        <v>0</v>
      </c>
      <c r="G26" s="97" t="n">
        <v>0</v>
      </c>
      <c r="H26" s="98">
        <f>E26+F26-G26</f>
        <v/>
      </c>
      <c r="I26" s="97" t="n">
        <v>0</v>
      </c>
      <c r="J26" s="97">
        <f>IFERROR(IF(AVERAGEIF(TableBOM[Item ID],A26,TableBOM[Per 1000 Units])=0,"-",ROUND((H26+I26)/(AVERAGEIF(TableBOM[Item ID],A26,TableBOM[Per 1000 Units])/1000),0)),"-")</f>
        <v/>
      </c>
    </row>
    <row r="27" ht="15" customHeight="1" s="249">
      <c r="A27" s="95" t="n">
        <v>5974</v>
      </c>
      <c r="B27" s="95" t="inlineStr">
        <is>
          <t>Base Coat</t>
        </is>
      </c>
      <c r="C27" s="96" t="inlineStr">
        <is>
          <t>P11 TBX HT VARNISH (PC 176)</t>
        </is>
      </c>
      <c r="D27" s="95" t="inlineStr">
        <is>
          <t>L</t>
        </is>
      </c>
      <c r="E27" s="97" t="n">
        <v>75</v>
      </c>
      <c r="F27" s="97" t="n">
        <v>0</v>
      </c>
      <c r="G27" s="97" t="n">
        <v>25</v>
      </c>
      <c r="H27" s="98">
        <f>E27+F27-G27</f>
        <v/>
      </c>
      <c r="I27" s="97" t="n">
        <v>0</v>
      </c>
      <c r="J27" s="97">
        <f>IFERROR(IF(AVERAGEIF(TableBOM[Item ID],A27,TableBOM[Per 1000 Units])=0,"-",ROUND((H27+I27)/(AVERAGEIF(TableBOM[Item ID],A27,TableBOM[Per 1000 Units])/1000),0)),"-")</f>
        <v/>
      </c>
      <c r="K27" s="158" t="n"/>
      <c r="L27" s="158" t="n"/>
      <c r="M27" s="158" t="n"/>
      <c r="N27" s="158" t="n"/>
      <c r="O27" s="158" t="n"/>
      <c r="P27" s="158" t="n"/>
    </row>
    <row r="28" ht="15" customHeight="1" s="249">
      <c r="A28" s="95" t="n">
        <v>177</v>
      </c>
      <c r="B28" s="95" t="inlineStr">
        <is>
          <t>Base Coat</t>
        </is>
      </c>
      <c r="C28" s="96" t="inlineStr">
        <is>
          <t>YELLOW IMP 5711200008</t>
        </is>
      </c>
      <c r="D28" s="95" t="inlineStr">
        <is>
          <t>kg</t>
        </is>
      </c>
      <c r="E28" s="97" t="n">
        <v>450</v>
      </c>
      <c r="F28" s="97" t="n">
        <v>0</v>
      </c>
      <c r="G28" s="97" t="n">
        <v>0</v>
      </c>
      <c r="H28" s="98">
        <f>E28+F28-G28</f>
        <v/>
      </c>
      <c r="I28" s="97" t="n"/>
      <c r="J28" s="97">
        <f>IFERROR(IF(AVERAGEIF(TableBOM[Item ID],A28,TableBOM[Per 1000 Units])=0,"-",ROUND((H28+I28)/(AVERAGEIF(TableBOM[Item ID],A28,TableBOM[Per 1000 Units])/1000),0)),"-")</f>
        <v/>
      </c>
      <c r="K28" s="158" t="n"/>
      <c r="L28" s="158" t="n"/>
      <c r="M28" s="158" t="n"/>
      <c r="N28" s="158" t="n"/>
      <c r="O28" s="158" t="n"/>
      <c r="P28" s="158" t="n"/>
    </row>
    <row r="29" ht="15" customHeight="1" s="249">
      <c r="A29" s="95" t="n">
        <v>6132</v>
      </c>
      <c r="B29" s="95" t="inlineStr">
        <is>
          <t>Base Coat</t>
        </is>
      </c>
      <c r="C29" s="96" t="inlineStr">
        <is>
          <t>VR SCHEKOLIN 57251</t>
        </is>
      </c>
      <c r="D29" s="95" t="inlineStr">
        <is>
          <t>kg</t>
        </is>
      </c>
      <c r="E29" s="97" t="n">
        <v>60</v>
      </c>
      <c r="F29" s="97" t="n">
        <v>0</v>
      </c>
      <c r="G29" s="97" t="n">
        <v>0</v>
      </c>
      <c r="H29" s="98">
        <f>E29+F29-G29</f>
        <v/>
      </c>
      <c r="I29" s="97" t="n"/>
      <c r="J29" s="97">
        <f>IFERROR(IF(AVERAGEIF(TableBOM[Item ID],A29,TableBOM[Per 1000 Units])=0,"-",ROUND((H29+I29)/(AVERAGEIF(TableBOM[Item ID],A29,TableBOM[Per 1000 Units])/1000),0)),"-")</f>
        <v/>
      </c>
      <c r="K29" s="159" t="n"/>
      <c r="L29" s="159" t="n"/>
      <c r="M29" s="159" t="n"/>
      <c r="N29" s="159" t="n"/>
      <c r="O29" s="159" t="n"/>
      <c r="P29" s="159" t="n"/>
    </row>
    <row r="30" ht="15" customHeight="1" s="249">
      <c r="A30" s="95" t="n">
        <v>186</v>
      </c>
      <c r="B30" s="95" t="inlineStr">
        <is>
          <t>Latex</t>
        </is>
      </c>
      <c r="C30" s="96" t="inlineStr">
        <is>
          <t>LATEX IMP 574010002</t>
        </is>
      </c>
      <c r="D30" s="95" t="inlineStr">
        <is>
          <t>kg</t>
        </is>
      </c>
      <c r="E30" s="97" t="n">
        <v>150</v>
      </c>
      <c r="F30" s="97" t="n">
        <v>0</v>
      </c>
      <c r="G30" s="97" t="n">
        <v>45</v>
      </c>
      <c r="H30" s="98">
        <f>E30+F30-G30</f>
        <v/>
      </c>
      <c r="I30" s="97" t="n"/>
      <c r="J30" s="97">
        <f>IFERROR(IF(AVERAGEIF(TableBOM[Item ID],A30,TableBOM[Per 1000 Units])=0,"-",ROUND((H30+I30)/(AVERAGEIF(TableBOM[Item ID],A30,TableBOM[Per 1000 Units])/1000),0)),"-")</f>
        <v/>
      </c>
      <c r="K30" s="158" t="n"/>
      <c r="L30" s="158" t="n"/>
      <c r="M30" s="158" t="n"/>
      <c r="N30" s="158" t="n"/>
      <c r="O30" s="158" t="n"/>
      <c r="P30" s="158" t="n"/>
    </row>
    <row r="31" ht="15" customHeight="1" s="249">
      <c r="A31" s="95" t="n">
        <v>194</v>
      </c>
      <c r="B31" s="95" t="inlineStr">
        <is>
          <t>Zinc Powder</t>
        </is>
      </c>
      <c r="C31" s="96" t="inlineStr">
        <is>
          <t>ZINC STEARATE</t>
        </is>
      </c>
      <c r="D31" s="95" t="inlineStr">
        <is>
          <t>kg</t>
        </is>
      </c>
      <c r="E31" s="97" t="n">
        <v>29.5</v>
      </c>
      <c r="F31" s="97" t="n">
        <v>0</v>
      </c>
      <c r="G31" s="97" t="n">
        <v>4</v>
      </c>
      <c r="H31" s="98">
        <f>E31+F31-G31</f>
        <v/>
      </c>
      <c r="I31" s="97" t="n"/>
      <c r="J31" s="97">
        <f>IFERROR(IF(AVERAGEIF(TableBOM[Item ID],A31,TableBOM[Per 1000 Units])=0,"-",ROUND((H31+I31)/(AVERAGEIF(TableBOM[Item ID],A31,TableBOM[Per 1000 Units])/1000),0)),"-")</f>
        <v/>
      </c>
      <c r="K31" s="158" t="n"/>
      <c r="L31" s="158" t="n"/>
      <c r="M31" s="158" t="n"/>
      <c r="N31" s="158" t="n"/>
      <c r="O31" s="158" t="n"/>
      <c r="P31" s="158" t="n"/>
    </row>
    <row r="32" ht="15" customHeight="1" s="249">
      <c r="A32" s="95" t="n">
        <v>69</v>
      </c>
      <c r="B32" s="95" t="inlineStr">
        <is>
          <t>Cap</t>
        </is>
      </c>
      <c r="C32" s="96" t="inlineStr">
        <is>
          <t>M-7 S/M F/P (S) WHITE</t>
        </is>
      </c>
      <c r="D32" s="95" t="inlineStr">
        <is>
          <t>PCS</t>
        </is>
      </c>
      <c r="E32" s="97" t="n">
        <v>0</v>
      </c>
      <c r="F32" s="97" t="n">
        <v>0</v>
      </c>
      <c r="G32" s="97" t="n">
        <v>0</v>
      </c>
      <c r="H32" s="98">
        <f>E32+F32-G32</f>
        <v/>
      </c>
      <c r="I32" s="97" t="n"/>
      <c r="J32" s="97">
        <f>IFERROR(IF(AVERAGEIF(TableBOM[Item ID],A32,TableBOM[Per 1000 Units])=0,"-",ROUND((H32+I32)/(AVERAGEIF(TableBOM[Item ID],A32,TableBOM[Per 1000 Units])/1000),0)),"-")</f>
        <v/>
      </c>
      <c r="K32" s="158" t="n"/>
      <c r="L32" s="158" t="n"/>
      <c r="M32" s="158" t="n"/>
      <c r="N32" s="158" t="n"/>
      <c r="O32" s="158" t="n"/>
      <c r="P32" s="158" t="n"/>
    </row>
    <row r="33" ht="15" customHeight="1" s="249">
      <c r="A33" s="95" t="n">
        <v>99</v>
      </c>
      <c r="B33" s="95" t="inlineStr">
        <is>
          <t>Cap</t>
        </is>
      </c>
      <c r="C33" s="96" t="inlineStr">
        <is>
          <t>M-7 OPHTHALMIC  PINK</t>
        </is>
      </c>
      <c r="D33" s="95" t="inlineStr">
        <is>
          <t>pcs</t>
        </is>
      </c>
      <c r="E33" s="97" t="n">
        <v>10000</v>
      </c>
      <c r="F33" s="97" t="n">
        <v>0</v>
      </c>
      <c r="G33" s="97" t="n">
        <v>0</v>
      </c>
      <c r="H33" s="98">
        <f>E33+F33-G33</f>
        <v/>
      </c>
      <c r="I33" s="97" t="n"/>
      <c r="J33" s="97">
        <f>IFERROR(IF(AVERAGEIF(TableBOM[Item ID],A33,TableBOM[Per 1000 Units])=0,"-",ROUND((H33+I33)/(AVERAGEIF(TableBOM[Item ID],A33,TableBOM[Per 1000 Units])/1000),0)),"-")</f>
        <v/>
      </c>
      <c r="K33" s="159" t="n"/>
      <c r="L33" s="159" t="n"/>
      <c r="M33" s="159" t="n"/>
      <c r="N33" s="159" t="n"/>
      <c r="O33" s="159" t="n"/>
      <c r="P33" s="159" t="n"/>
    </row>
    <row r="34" ht="15" customHeight="1" s="249">
      <c r="A34" s="95" t="n">
        <v>72</v>
      </c>
      <c r="B34" s="95" t="inlineStr">
        <is>
          <t>Cap</t>
        </is>
      </c>
      <c r="C34" s="96" t="inlineStr">
        <is>
          <t>M-9 S/M SPR BLACK DIA 16MM</t>
        </is>
      </c>
      <c r="D34" s="95" t="inlineStr">
        <is>
          <t>pcs</t>
        </is>
      </c>
      <c r="E34" s="97" t="n">
        <v>23741</v>
      </c>
      <c r="F34" s="97" t="n">
        <v>0</v>
      </c>
      <c r="G34" s="97" t="n">
        <v>0</v>
      </c>
      <c r="H34" s="98">
        <f>E34+F34-G34</f>
        <v/>
      </c>
      <c r="I34" s="97" t="n"/>
      <c r="J34" s="97">
        <f>IFERROR(IF(AVERAGEIF(TableBOM[Item ID],A34,TableBOM[Per 1000 Units])=0,"-",ROUND((H34+I34)/(AVERAGEIF(TableBOM[Item ID],A34,TableBOM[Per 1000 Units])/1000),0)),"-")</f>
        <v/>
      </c>
      <c r="K34" s="158" t="n"/>
      <c r="L34" s="158" t="n"/>
      <c r="M34" s="158" t="n"/>
      <c r="N34" s="158" t="n"/>
      <c r="O34" s="158" t="n"/>
      <c r="P34" s="158" t="n"/>
    </row>
    <row r="35" ht="15" customHeight="1" s="249">
      <c r="A35" s="95" t="n">
        <v>79</v>
      </c>
      <c r="B35" s="95" t="inlineStr">
        <is>
          <t>Cap</t>
        </is>
      </c>
      <c r="C35" s="96" t="inlineStr">
        <is>
          <t>M-9 S/M SPR WHITE LORINE</t>
        </is>
      </c>
      <c r="D35" s="95" t="inlineStr">
        <is>
          <t>pcs</t>
        </is>
      </c>
      <c r="E35" s="97" t="n">
        <v>83600</v>
      </c>
      <c r="F35" s="97" t="n">
        <v>0</v>
      </c>
      <c r="G35" s="97" t="n">
        <v>0</v>
      </c>
      <c r="H35" s="98">
        <f>E35+F35-G35</f>
        <v/>
      </c>
      <c r="I35" s="97" t="n"/>
      <c r="J35" s="97">
        <f>IFERROR(IF(AVERAGEIF(TableBOM[Item ID],A35,TableBOM[Per 1000 Units])=0,"-",ROUND((H35+I35)/(AVERAGEIF(TableBOM[Item ID],A35,TableBOM[Per 1000 Units])/1000),0)),"-")</f>
        <v/>
      </c>
      <c r="K35" s="158" t="n"/>
      <c r="L35" s="158" t="n"/>
      <c r="M35" s="158" t="n"/>
      <c r="N35" s="158" t="n"/>
      <c r="O35" s="158" t="n"/>
      <c r="P35" s="158" t="n"/>
    </row>
    <row r="36" ht="15" customHeight="1" s="249">
      <c r="A36" s="95" t="n">
        <v>80</v>
      </c>
      <c r="B36" s="95" t="inlineStr">
        <is>
          <t>Cap</t>
        </is>
      </c>
      <c r="C36" s="96" t="inlineStr">
        <is>
          <t>M-9 S/M SPR WHITE DIA 19</t>
        </is>
      </c>
      <c r="D36" s="95" t="inlineStr">
        <is>
          <t>PCS</t>
        </is>
      </c>
      <c r="E36" s="97" t="n">
        <v>100000</v>
      </c>
      <c r="F36" s="97" t="n">
        <v>0</v>
      </c>
      <c r="G36" s="97" t="n">
        <v>0</v>
      </c>
      <c r="H36" s="98">
        <f>E36+F36-G36</f>
        <v/>
      </c>
      <c r="I36" s="97" t="n">
        <v>0</v>
      </c>
      <c r="J36" s="97">
        <f>IFERROR(IF(AVERAGEIF(TableBOM[Item ID],A36,TableBOM[Per 1000 Units])=0,"-",ROUND((H36+I36)/(AVERAGEIF(TableBOM[Item ID],A36,TableBOM[Per 1000 Units])/1000),0)),"-")</f>
        <v/>
      </c>
      <c r="K36" s="159" t="n"/>
      <c r="L36" s="159" t="n"/>
      <c r="M36" s="159" t="n"/>
      <c r="N36" s="159" t="n"/>
      <c r="O36" s="159" t="n"/>
      <c r="P36" s="159" t="n"/>
    </row>
    <row r="37" ht="15" customHeight="1" s="249">
      <c r="A37" s="95" t="n">
        <v>81</v>
      </c>
      <c r="B37" s="95" t="inlineStr">
        <is>
          <t>Cap</t>
        </is>
      </c>
      <c r="C37" s="96" t="inlineStr">
        <is>
          <t>M-9 S/M F/P WHITE (S)</t>
        </is>
      </c>
      <c r="D37" s="95" t="inlineStr">
        <is>
          <t>PCS</t>
        </is>
      </c>
      <c r="E37" s="97" t="n">
        <v>553124</v>
      </c>
      <c r="F37" s="97" t="n">
        <v>0</v>
      </c>
      <c r="G37" s="97" t="n">
        <v>0</v>
      </c>
      <c r="H37" s="98">
        <f>E37+F37-G37</f>
        <v/>
      </c>
      <c r="I37" s="97" t="n"/>
      <c r="J37" s="97">
        <f>IFERROR(IF(AVERAGEIF(TableBOM[Item ID],A37,TableBOM[Per 1000 Units])=0,"-",ROUND((H37+I37)/(AVERAGEIF(TableBOM[Item ID],A37,TableBOM[Per 1000 Units])/1000),0)),"-")</f>
        <v/>
      </c>
      <c r="K37" s="159" t="n"/>
      <c r="L37" s="159" t="n"/>
      <c r="M37" s="159" t="n"/>
      <c r="N37" s="159" t="n"/>
      <c r="O37" s="159" t="n"/>
      <c r="P37" s="159" t="n"/>
    </row>
    <row r="38" ht="15" customHeight="1" s="249">
      <c r="A38" s="95" t="n">
        <v>1800</v>
      </c>
      <c r="B38" s="95" t="inlineStr">
        <is>
          <t>Cap</t>
        </is>
      </c>
      <c r="C38" s="96" t="inlineStr">
        <is>
          <t>M-9 S/M SPR BLACK DIA 19</t>
        </is>
      </c>
      <c r="D38" s="95" t="inlineStr">
        <is>
          <t>PCS</t>
        </is>
      </c>
      <c r="E38" s="97" t="n">
        <v>0</v>
      </c>
      <c r="F38" s="97" t="n">
        <v>0</v>
      </c>
      <c r="G38" s="97" t="n">
        <v>0</v>
      </c>
      <c r="H38" s="98">
        <f>E38+F38-G38</f>
        <v/>
      </c>
      <c r="I38" s="97" t="n"/>
      <c r="J38" s="97">
        <f>IFERROR(IF(AVERAGEIF(TableBOM[Item ID],A38,TableBOM[Per 1000 Units])=0,"-",ROUND((H38+I38)/(AVERAGEIF(TableBOM[Item ID],A38,TableBOM[Per 1000 Units])/1000),0)),"-")</f>
        <v/>
      </c>
      <c r="K38" s="159" t="n"/>
      <c r="L38" s="159" t="n"/>
      <c r="M38" s="159" t="n"/>
      <c r="N38" s="159" t="n"/>
      <c r="O38" s="159" t="n"/>
      <c r="P38" s="159" t="n"/>
    </row>
    <row r="39" ht="15" customHeight="1" s="249">
      <c r="A39" s="95" t="n">
        <v>3211</v>
      </c>
      <c r="B39" s="95" t="inlineStr">
        <is>
          <t>Cap</t>
        </is>
      </c>
      <c r="C39" s="96" t="inlineStr">
        <is>
          <t>M-9 S/M SPR WHITE DIA 22 AUTO</t>
        </is>
      </c>
      <c r="D39" s="95" t="inlineStr">
        <is>
          <t>PCS</t>
        </is>
      </c>
      <c r="E39" s="97" t="n">
        <v>5000</v>
      </c>
      <c r="F39" s="97" t="n">
        <v>0</v>
      </c>
      <c r="G39" s="97" t="n">
        <v>0</v>
      </c>
      <c r="H39" s="98">
        <f>E39+F39-G39</f>
        <v/>
      </c>
      <c r="I39" s="97" t="n"/>
      <c r="J39" s="97">
        <f>IFERROR(IF(AVERAGEIF(TableBOM[Item ID],A39,TableBOM[Per 1000 Units])=0,"-",ROUND((H39+I39)/(AVERAGEIF(TableBOM[Item ID],A39,TableBOM[Per 1000 Units])/1000),0)),"-")</f>
        <v/>
      </c>
    </row>
    <row r="40" ht="15" customHeight="1" s="249">
      <c r="A40" s="95" t="n">
        <v>4015</v>
      </c>
      <c r="B40" s="95" t="inlineStr">
        <is>
          <t>Cap</t>
        </is>
      </c>
      <c r="C40" s="96" t="inlineStr">
        <is>
          <t>M-9 S/M F/P ORANGE (NORMAL)</t>
        </is>
      </c>
      <c r="D40" s="95" t="inlineStr">
        <is>
          <t>PCS</t>
        </is>
      </c>
      <c r="E40" s="97" t="n">
        <v>475000</v>
      </c>
      <c r="F40" s="97" t="n">
        <v>0</v>
      </c>
      <c r="G40" s="97" t="n">
        <v>0</v>
      </c>
      <c r="H40" s="98">
        <f>E40+F40-G40</f>
        <v/>
      </c>
      <c r="I40" s="97" t="n"/>
      <c r="J40" s="97">
        <f>IFERROR(IF(AVERAGEIF(TableBOM[Item ID],A40,TableBOM[Per 1000 Units])=0,"-",ROUND((H40+I40)/(AVERAGEIF(TableBOM[Item ID],A40,TableBOM[Per 1000 Units])/1000),0)),"-")</f>
        <v/>
      </c>
    </row>
    <row r="41" ht="15" customHeight="1" s="249">
      <c r="A41" s="95" t="n">
        <v>4044</v>
      </c>
      <c r="B41" s="95" t="inlineStr">
        <is>
          <t>Cap</t>
        </is>
      </c>
      <c r="C41" s="96" t="inlineStr">
        <is>
          <t>M-9 S/M SPR BEIGE DIA 20.5</t>
        </is>
      </c>
      <c r="D41" s="95" t="inlineStr">
        <is>
          <t>PCS</t>
        </is>
      </c>
      <c r="E41" s="97" t="n">
        <v>0</v>
      </c>
      <c r="F41" s="97" t="n">
        <v>0</v>
      </c>
      <c r="G41" s="97" t="n">
        <v>0</v>
      </c>
      <c r="H41" s="98">
        <f>E41+F41-G41</f>
        <v/>
      </c>
      <c r="I41" s="97" t="n"/>
      <c r="J41" s="97">
        <f>IFERROR(IF(AVERAGEIF(TableBOM[Item ID],A41,TableBOM[Per 1000 Units])=0,"-",ROUND((H41+I41)/(AVERAGEIF(TableBOM[Item ID],A41,TableBOM[Per 1000 Units])/1000),0)),"-")</f>
        <v/>
      </c>
    </row>
    <row r="42" ht="15" customHeight="1" s="249">
      <c r="A42" s="95" t="n">
        <v>4088</v>
      </c>
      <c r="B42" s="95" t="inlineStr">
        <is>
          <t>Cap</t>
        </is>
      </c>
      <c r="C42" s="96" t="inlineStr">
        <is>
          <t>M-9 S/M SPR WHITE DIA 16MM</t>
        </is>
      </c>
      <c r="D42" s="95" t="inlineStr">
        <is>
          <t>PCS</t>
        </is>
      </c>
      <c r="E42" s="97" t="n">
        <v>60000</v>
      </c>
      <c r="F42" s="97" t="n">
        <v>0</v>
      </c>
      <c r="G42" s="97" t="n">
        <v>0</v>
      </c>
      <c r="H42" s="98">
        <f>E42+F42-G42</f>
        <v/>
      </c>
      <c r="I42" s="97" t="n"/>
      <c r="J42" s="97">
        <f>IFERROR(IF(AVERAGEIF(TableBOM[Item ID],A42,TableBOM[Per 1000 Units])=0,"-",ROUND((H42+I42)/(AVERAGEIF(TableBOM[Item ID],A42,TableBOM[Per 1000 Units])/1000),0)),"-")</f>
        <v/>
      </c>
    </row>
    <row r="43" ht="15" customHeight="1" s="249">
      <c r="A43" s="95" t="n">
        <v>4143</v>
      </c>
      <c r="B43" s="95" t="inlineStr">
        <is>
          <t>Cap</t>
        </is>
      </c>
      <c r="C43" s="96" t="inlineStr">
        <is>
          <t>M-9 S/M F/P Normal White</t>
        </is>
      </c>
      <c r="D43" s="95" t="inlineStr">
        <is>
          <t>PCS</t>
        </is>
      </c>
      <c r="E43" s="97" t="n">
        <v>65000</v>
      </c>
      <c r="F43" s="97" t="n">
        <v>0</v>
      </c>
      <c r="G43" s="97" t="n">
        <v>0</v>
      </c>
      <c r="H43" s="98">
        <f>E43+F43-G43</f>
        <v/>
      </c>
      <c r="I43" s="97" t="n">
        <v>0</v>
      </c>
      <c r="J43" s="97">
        <f>IFERROR(IF(AVERAGEIF(TableBOM[Item ID],A43,TableBOM[Per 1000 Units])=0,"-",ROUND((H43+I43)/(AVERAGEIF(TableBOM[Item ID],A43,TableBOM[Per 1000 Units])/1000),0)),"-")</f>
        <v/>
      </c>
    </row>
    <row r="44" ht="15" customHeight="1" s="249">
      <c r="A44" s="95" t="n">
        <v>6971</v>
      </c>
      <c r="B44" s="95" t="inlineStr">
        <is>
          <t>Cap</t>
        </is>
      </c>
      <c r="C44" s="96" t="inlineStr">
        <is>
          <t>M-9 S/M SPR WHITE DIA 20.5MM</t>
        </is>
      </c>
      <c r="D44" s="95" t="inlineStr">
        <is>
          <t>PCS</t>
        </is>
      </c>
      <c r="E44" s="97" t="n">
        <v>-2000</v>
      </c>
      <c r="F44" s="97" t="n">
        <v>0</v>
      </c>
      <c r="G44" s="97" t="n">
        <v>0</v>
      </c>
      <c r="H44" s="98">
        <f>E44+F44-G44</f>
        <v/>
      </c>
      <c r="I44" s="97" t="n"/>
      <c r="J44" s="97">
        <f>IFERROR(IF(AVERAGEIF(TableBOM[Item ID],A44,TableBOM[Per 1000 Units])=0,"-",ROUND((H44+I44)/(AVERAGEIF(TableBOM[Item ID],A44,TableBOM[Per 1000 Units])/1000),0)),"-")</f>
        <v/>
      </c>
      <c r="K44" s="158" t="n"/>
      <c r="L44" s="158" t="n"/>
      <c r="M44" s="158" t="n"/>
      <c r="N44" s="158" t="n"/>
      <c r="O44" s="158" t="n"/>
      <c r="P44" s="158" t="n"/>
    </row>
    <row r="45" ht="15" customHeight="1" s="249">
      <c r="A45" s="95" t="n">
        <v>7370</v>
      </c>
      <c r="B45" s="95" t="inlineStr">
        <is>
          <t>Cap</t>
        </is>
      </c>
      <c r="C45" s="96" t="inlineStr">
        <is>
          <t>M-9 S/M SPR BLACK DIA 20.5MM</t>
        </is>
      </c>
      <c r="D45" s="95" t="inlineStr">
        <is>
          <t>PCS</t>
        </is>
      </c>
      <c r="E45" s="97" t="n">
        <v>72400</v>
      </c>
      <c r="F45" s="97" t="n">
        <v>0</v>
      </c>
      <c r="G45" s="97" t="n">
        <v>23000</v>
      </c>
      <c r="H45" s="98">
        <f>E45+F45-G45</f>
        <v/>
      </c>
      <c r="I45" s="97" t="n">
        <v>0</v>
      </c>
      <c r="J45" s="97">
        <f>IFERROR(IF(AVERAGEIF(TableBOM[Item ID],A45,TableBOM[Per 1000 Units])=0,"-",ROUND((H45+I45)/(AVERAGEIF(TableBOM[Item ID],A45,TableBOM[Per 1000 Units])/1000),0)),"-")</f>
        <v/>
      </c>
      <c r="K45" s="159" t="n"/>
      <c r="L45" s="159" t="n"/>
      <c r="M45" s="159" t="n"/>
      <c r="N45" s="159" t="n"/>
      <c r="O45" s="159" t="n"/>
      <c r="P45" s="159" t="n"/>
    </row>
    <row r="46" ht="15" customHeight="1" s="249">
      <c r="A46" s="95" t="n">
        <v>68</v>
      </c>
      <c r="B46" s="95" t="inlineStr">
        <is>
          <t>Cap</t>
        </is>
      </c>
      <c r="C46" s="96" t="inlineStr">
        <is>
          <t>M-11 S/M SPR WHITE DIA 25MM</t>
        </is>
      </c>
      <c r="D46" s="95" t="inlineStr">
        <is>
          <t>PCS</t>
        </is>
      </c>
      <c r="E46" s="97" t="n">
        <v>90000</v>
      </c>
      <c r="F46" s="97" t="n">
        <v>300000</v>
      </c>
      <c r="G46" s="97" t="n">
        <v>190000</v>
      </c>
      <c r="H46" s="98">
        <f>E46+F46-G46</f>
        <v/>
      </c>
      <c r="I46" s="97" t="n"/>
      <c r="J46" s="97">
        <f>IFERROR(IF(AVERAGEIF(TableBOM[Item ID],A46,TableBOM[Per 1000 Units])=0,"-",ROUND((H46+I46)/(AVERAGEIF(TableBOM[Item ID],A46,TableBOM[Per 1000 Units])/1000),0)),"-")</f>
        <v/>
      </c>
      <c r="K46" s="158" t="n"/>
      <c r="L46" s="158" t="n"/>
      <c r="M46" s="158" t="n"/>
      <c r="N46" s="158" t="n"/>
      <c r="O46" s="158" t="n"/>
      <c r="P46" s="158" t="n"/>
    </row>
    <row r="47" ht="15" customHeight="1" s="249">
      <c r="A47" s="95" t="n">
        <v>102</v>
      </c>
      <c r="B47" s="95" t="inlineStr">
        <is>
          <t>Cap</t>
        </is>
      </c>
      <c r="C47" s="96" t="inlineStr">
        <is>
          <t>M-11 S/M SPR ORANGE DIA 25</t>
        </is>
      </c>
      <c r="D47" s="95" t="inlineStr">
        <is>
          <t>pcs</t>
        </is>
      </c>
      <c r="E47" s="97" t="n">
        <v>30000</v>
      </c>
      <c r="F47" s="97" t="n">
        <v>0</v>
      </c>
      <c r="G47" s="97" t="n">
        <v>0</v>
      </c>
      <c r="H47" s="98">
        <f>E47+F47-G47</f>
        <v/>
      </c>
      <c r="I47" s="97" t="n"/>
      <c r="J47" s="97">
        <f>IFERROR(IF(AVERAGEIF(TableBOM[Item ID],A47,TableBOM[Per 1000 Units])=0,"-",ROUND((H47+I47)/(AVERAGEIF(TableBOM[Item ID],A47,TableBOM[Per 1000 Units])/1000),0)),"-")</f>
        <v/>
      </c>
      <c r="K47" s="158" t="n"/>
      <c r="L47" s="158" t="n"/>
      <c r="M47" s="158" t="n"/>
      <c r="N47" s="158" t="n"/>
      <c r="O47" s="158" t="n"/>
      <c r="P47" s="158" t="n"/>
    </row>
    <row r="48" ht="15" customHeight="1" s="249">
      <c r="A48" s="95" t="n">
        <v>1073</v>
      </c>
      <c r="B48" s="95" t="inlineStr">
        <is>
          <t>Cap</t>
        </is>
      </c>
      <c r="C48" s="96" t="inlineStr">
        <is>
          <t>M-11 S/M F/P BLACK</t>
        </is>
      </c>
      <c r="D48" s="95" t="inlineStr">
        <is>
          <t>PCS</t>
        </is>
      </c>
      <c r="E48" s="97" t="n">
        <v>0</v>
      </c>
      <c r="F48" s="97" t="n">
        <v>80000</v>
      </c>
      <c r="G48" s="97" t="n">
        <v>80000</v>
      </c>
      <c r="H48" s="98">
        <f>E48+F48-G48</f>
        <v/>
      </c>
      <c r="I48" s="97" t="n"/>
      <c r="J48" s="97">
        <f>IFERROR(IF(AVERAGEIF(TableBOM[Item ID],A48,TableBOM[Per 1000 Units])=0,"-",ROUND((H48+I48)/(AVERAGEIF(TableBOM[Item ID],A48,TableBOM[Per 1000 Units])/1000),0)),"-")</f>
        <v/>
      </c>
      <c r="K48" s="158" t="n"/>
      <c r="L48" s="158" t="n"/>
      <c r="M48" s="158" t="n"/>
      <c r="N48" s="158" t="n"/>
      <c r="O48" s="158" t="n"/>
      <c r="P48" s="158" t="n"/>
    </row>
    <row r="49" ht="15" customHeight="1" s="249">
      <c r="A49" s="95" t="n">
        <v>1285</v>
      </c>
      <c r="B49" s="95" t="inlineStr">
        <is>
          <t>Cap</t>
        </is>
      </c>
      <c r="C49" s="96" t="inlineStr">
        <is>
          <t>M-11 S/M F/P WHITE (LARGE)</t>
        </is>
      </c>
      <c r="D49" s="95" t="inlineStr">
        <is>
          <t>PCS</t>
        </is>
      </c>
      <c r="E49" s="97" t="n">
        <v>130000</v>
      </c>
      <c r="F49" s="97" t="n">
        <v>0</v>
      </c>
      <c r="G49" s="97" t="n">
        <v>130000</v>
      </c>
      <c r="H49" s="98">
        <f>E49+F49-G49</f>
        <v/>
      </c>
      <c r="I49" s="97" t="n"/>
      <c r="J49" s="97">
        <f>IFERROR(IF(AVERAGEIF(TableBOM[Item ID],A49,TableBOM[Per 1000 Units])=0,"-",ROUND((H49+I49)/(AVERAGEIF(TableBOM[Item ID],A49,TableBOM[Per 1000 Units])/1000),0)),"-")</f>
        <v/>
      </c>
      <c r="K49" s="159" t="n"/>
      <c r="L49" s="159" t="n"/>
      <c r="M49" s="159" t="n"/>
      <c r="N49" s="159" t="n"/>
      <c r="O49" s="159" t="n"/>
      <c r="P49" s="159" t="n"/>
    </row>
    <row r="50" ht="15" customHeight="1" s="249">
      <c r="A50" s="95" t="n">
        <v>3522</v>
      </c>
      <c r="B50" s="95" t="inlineStr">
        <is>
          <t>Cap</t>
        </is>
      </c>
      <c r="C50" s="96" t="inlineStr">
        <is>
          <t>M-11 S/M SPR DARK BLUE DIA 25MM</t>
        </is>
      </c>
      <c r="D50" s="95" t="inlineStr">
        <is>
          <t>PCS</t>
        </is>
      </c>
      <c r="E50" s="97" t="n">
        <v>75000</v>
      </c>
      <c r="F50" s="97" t="n">
        <v>0</v>
      </c>
      <c r="G50" s="97" t="n">
        <v>0</v>
      </c>
      <c r="H50" s="98">
        <f>E50+F50-G50</f>
        <v/>
      </c>
      <c r="I50" s="97" t="n">
        <v>0</v>
      </c>
      <c r="J50" s="97">
        <f>IFERROR(IF(AVERAGEIF(TableBOM[Item ID],A50,TableBOM[Per 1000 Units])=0,"-",ROUND((H50+I50)/(AVERAGEIF(TableBOM[Item ID],A50,TableBOM[Per 1000 Units])/1000),0)),"-")</f>
        <v/>
      </c>
      <c r="K50" s="159" t="n"/>
      <c r="L50" s="159" t="n"/>
      <c r="M50" s="159" t="n"/>
      <c r="N50" s="159" t="n"/>
      <c r="O50" s="159" t="n"/>
      <c r="P50" s="159" t="n"/>
    </row>
    <row r="51" ht="15" customHeight="1" s="249">
      <c r="A51" s="95" t="n">
        <v>3866</v>
      </c>
      <c r="B51" s="95" t="inlineStr">
        <is>
          <t>Cap</t>
        </is>
      </c>
      <c r="C51" s="96" t="inlineStr">
        <is>
          <t>M-11 S/M SPR BEIGE DIA 25</t>
        </is>
      </c>
      <c r="D51" s="95" t="inlineStr">
        <is>
          <t>PCS</t>
        </is>
      </c>
      <c r="E51" s="97" t="n">
        <v>0</v>
      </c>
      <c r="F51" s="97" t="n">
        <v>0</v>
      </c>
      <c r="G51" s="97" t="n">
        <v>0</v>
      </c>
      <c r="H51" s="98">
        <f>E51+F51-G51</f>
        <v/>
      </c>
      <c r="I51" s="97" t="n"/>
      <c r="J51" s="97">
        <f>IFERROR(IF(AVERAGEIF(TableBOM[Item ID],A51,TableBOM[Per 1000 Units])=0,"-",ROUND((H51+I51)/(AVERAGEIF(TableBOM[Item ID],A51,TableBOM[Per 1000 Units])/1000),0)),"-")</f>
        <v/>
      </c>
      <c r="K51" s="159" t="n"/>
      <c r="L51" s="159" t="n"/>
      <c r="M51" s="159" t="n"/>
      <c r="N51" s="159" t="n"/>
      <c r="O51" s="159" t="n"/>
      <c r="P51" s="159" t="n"/>
    </row>
    <row r="52" ht="15" customHeight="1" s="249">
      <c r="A52" s="95" t="n">
        <v>578</v>
      </c>
      <c r="B52" s="95" t="inlineStr">
        <is>
          <t>Cap</t>
        </is>
      </c>
      <c r="C52" s="96" t="inlineStr">
        <is>
          <t>M-12 S/M SPR WHITE DIA 30</t>
        </is>
      </c>
      <c r="D52" s="95" t="inlineStr">
        <is>
          <t>PCS</t>
        </is>
      </c>
      <c r="E52" s="97" t="n">
        <v>30000</v>
      </c>
      <c r="F52" s="97" t="n">
        <v>0</v>
      </c>
      <c r="G52" s="97" t="n">
        <v>30000</v>
      </c>
      <c r="H52" s="98">
        <f>E52+F52-G52</f>
        <v/>
      </c>
      <c r="I52" s="97" t="n"/>
      <c r="J52" s="97">
        <f>IFERROR(IF(AVERAGEIF(TableBOM[Item ID],A52,TableBOM[Per 1000 Units])=0,"-",ROUND((H52+I52)/(AVERAGEIF(TableBOM[Item ID],A52,TableBOM[Per 1000 Units])/1000),0)),"-")</f>
        <v/>
      </c>
      <c r="K52" s="158" t="n"/>
      <c r="L52" s="158" t="n"/>
      <c r="M52" s="158" t="n"/>
      <c r="N52" s="158" t="n"/>
      <c r="O52" s="158" t="n"/>
      <c r="P52" s="158" t="n"/>
    </row>
    <row r="53" ht="15" customHeight="1" s="249">
      <c r="A53" s="95" t="n">
        <v>9902</v>
      </c>
      <c r="B53" s="95" t="inlineStr">
        <is>
          <t>Cap</t>
        </is>
      </c>
      <c r="C53" s="96" t="inlineStr">
        <is>
          <t>CAP 12.5MM (est)</t>
        </is>
      </c>
      <c r="D53" s="95" t="inlineStr">
        <is>
          <t>PCS</t>
        </is>
      </c>
      <c r="E53" s="97" t="n">
        <v>0</v>
      </c>
      <c r="F53" s="97" t="n">
        <v>0</v>
      </c>
      <c r="G53" s="97" t="n">
        <v>0</v>
      </c>
      <c r="H53" s="98">
        <f>E53+F53-G53</f>
        <v/>
      </c>
      <c r="I53" s="97" t="n"/>
      <c r="J53" s="97">
        <f>IFERROR(IF(AVERAGEIF(TableBOM[Item ID],A53,TableBOM[Per 1000 Units])=0,"-",ROUND((H53+I53)/(AVERAGEIF(TableBOM[Item ID],A53,TableBOM[Per 1000 Units])/1000),0)),"-")</f>
        <v/>
      </c>
    </row>
    <row r="54" ht="15" customHeight="1" s="249">
      <c r="A54" s="95" t="n">
        <v>9903</v>
      </c>
      <c r="B54" s="95" t="inlineStr">
        <is>
          <t>Carton</t>
        </is>
      </c>
      <c r="C54" s="96" t="inlineStr">
        <is>
          <t>CARTON 12.5MM (est)</t>
        </is>
      </c>
      <c r="D54" s="95" t="inlineStr">
        <is>
          <t>PCS</t>
        </is>
      </c>
      <c r="E54" s="97" t="n">
        <v>0</v>
      </c>
      <c r="F54" s="97" t="n">
        <v>0</v>
      </c>
      <c r="G54" s="97" t="n">
        <v>0</v>
      </c>
      <c r="H54" s="98">
        <f>E54+F54-G54</f>
        <v/>
      </c>
      <c r="I54" s="97" t="n"/>
      <c r="J54" s="97">
        <f>IFERROR(IF(AVERAGEIF(TableBOM[Item ID],A54,TableBOM[Per 1000 Units])=0,"-",ROUND((H54+I54)/(AVERAGEIF(TableBOM[Item ID],A54,TableBOM[Per 1000 Units])/1000),0)),"-")</f>
        <v/>
      </c>
      <c r="K54" s="158" t="n"/>
      <c r="L54" s="158" t="n"/>
      <c r="M54" s="158" t="n"/>
      <c r="N54" s="158" t="n"/>
      <c r="O54" s="158" t="n"/>
      <c r="P54" s="158" t="n"/>
    </row>
    <row r="55" ht="15" customHeight="1" s="249">
      <c r="A55" s="95" t="n">
        <v>36</v>
      </c>
      <c r="B55" s="95" t="inlineStr">
        <is>
          <t>Carton</t>
        </is>
      </c>
      <c r="C55" s="96" t="inlineStr">
        <is>
          <t>16X200 3Ply</t>
        </is>
      </c>
      <c r="D55" s="95" t="inlineStr">
        <is>
          <t>PCS</t>
        </is>
      </c>
      <c r="E55" s="97" t="n">
        <v>0</v>
      </c>
      <c r="F55" s="97" t="n">
        <v>0</v>
      </c>
      <c r="G55" s="97" t="n">
        <v>0</v>
      </c>
      <c r="H55" s="98">
        <f>E55+F55-G55</f>
        <v/>
      </c>
      <c r="I55" s="97" t="n"/>
      <c r="J55" s="97">
        <f>IFERROR(IF(AVERAGEIF(TableBOM[Item ID],A55,TableBOM[Per 1000 Units])=0,"-",ROUND((H55+I55)/(AVERAGEIF(TableBOM[Item ID],A55,TableBOM[Per 1000 Units])/1000),0)),"-")</f>
        <v/>
      </c>
      <c r="K55" s="158" t="n"/>
      <c r="L55" s="158" t="n"/>
      <c r="M55" s="158" t="n"/>
      <c r="N55" s="158" t="n"/>
      <c r="O55" s="158" t="n"/>
      <c r="P55" s="158" t="n"/>
    </row>
    <row r="56" ht="15" customHeight="1" s="249">
      <c r="A56" s="95" t="n">
        <v>200</v>
      </c>
      <c r="B56" s="95" t="inlineStr">
        <is>
          <t>Carton</t>
        </is>
      </c>
      <c r="C56" s="96" t="inlineStr">
        <is>
          <t>DIA 16 5Ply</t>
        </is>
      </c>
      <c r="D56" s="95" t="inlineStr">
        <is>
          <t>PCS</t>
        </is>
      </c>
      <c r="E56" s="97" t="n">
        <v>0</v>
      </c>
      <c r="F56" s="97" t="n">
        <v>0</v>
      </c>
      <c r="G56" s="97" t="n">
        <v>0</v>
      </c>
      <c r="H56" s="98">
        <f>E56+F56-G56</f>
        <v/>
      </c>
      <c r="I56" s="97" t="n"/>
      <c r="J56" s="97">
        <f>IFERROR(IF(AVERAGEIF(TableBOM[Item ID],A56,TableBOM[Per 1000 Units])=0,"-",ROUND((H56+I56)/(AVERAGEIF(TableBOM[Item ID],A56,TableBOM[Per 1000 Units])/1000),0)),"-")</f>
        <v/>
      </c>
      <c r="K56" s="158" t="n"/>
      <c r="L56" s="158" t="n"/>
      <c r="M56" s="158" t="n"/>
      <c r="N56" s="158" t="n"/>
      <c r="O56" s="158" t="n"/>
      <c r="P56" s="158" t="n"/>
    </row>
    <row r="57" ht="15" customHeight="1" s="249">
      <c r="A57" s="95" t="n">
        <v>39</v>
      </c>
      <c r="B57" s="95" t="inlineStr">
        <is>
          <t>Carton</t>
        </is>
      </c>
      <c r="C57" s="96" t="inlineStr">
        <is>
          <t>19X200 3Ply</t>
        </is>
      </c>
      <c r="D57" s="95" t="inlineStr">
        <is>
          <t>PCS</t>
        </is>
      </c>
      <c r="E57" s="97" t="n">
        <v>0</v>
      </c>
      <c r="F57" s="97" t="n">
        <v>0</v>
      </c>
      <c r="G57" s="97" t="n">
        <v>0</v>
      </c>
      <c r="H57" s="98">
        <f>E57+F57-G57</f>
        <v/>
      </c>
      <c r="I57" s="97" t="n"/>
      <c r="J57" s="97">
        <f>IFERROR(IF(AVERAGEIF(TableBOM[Item ID],A57,TableBOM[Per 1000 Units])=0,"-",ROUND((H57+I57)/(AVERAGEIF(TableBOM[Item ID],A57,TableBOM[Per 1000 Units])/1000),0)),"-")</f>
        <v/>
      </c>
      <c r="K57" s="159" t="n"/>
      <c r="L57" s="159" t="n"/>
      <c r="M57" s="159" t="n"/>
      <c r="N57" s="159" t="n"/>
      <c r="O57" s="159" t="n"/>
      <c r="P57" s="159" t="n"/>
    </row>
    <row r="58" ht="15" customHeight="1" s="249">
      <c r="A58" s="95" t="n">
        <v>3619</v>
      </c>
      <c r="B58" s="95" t="inlineStr">
        <is>
          <t>Carton</t>
        </is>
      </c>
      <c r="C58" s="96" t="inlineStr">
        <is>
          <t>20.5x510 5ply</t>
        </is>
      </c>
      <c r="D58" s="95" t="inlineStr">
        <is>
          <t>PCS</t>
        </is>
      </c>
      <c r="E58" s="97" t="n">
        <v>613</v>
      </c>
      <c r="F58" s="97" t="n">
        <v>0</v>
      </c>
      <c r="G58" s="97" t="n">
        <v>321</v>
      </c>
      <c r="H58" s="98">
        <f>E58+F58-G58</f>
        <v/>
      </c>
      <c r="I58" s="97" t="n"/>
      <c r="J58" s="97">
        <f>IFERROR(IF(AVERAGEIF(TableBOM[Item ID],A58,TableBOM[Per 1000 Units])=0,"-",ROUND((H58+I58)/(AVERAGEIF(TableBOM[Item ID],A58,TableBOM[Per 1000 Units])/1000),0)),"-")</f>
        <v/>
      </c>
      <c r="K58" s="158" t="n"/>
      <c r="L58" s="158" t="n"/>
      <c r="M58" s="158" t="n"/>
      <c r="N58" s="158" t="n"/>
      <c r="O58" s="158" t="n"/>
      <c r="P58" s="158" t="n"/>
    </row>
    <row r="59" ht="15" customHeight="1" s="249">
      <c r="A59" s="95" t="n">
        <v>3598</v>
      </c>
      <c r="B59" s="95" t="inlineStr">
        <is>
          <t>Carton</t>
        </is>
      </c>
      <c r="C59" s="96" t="inlineStr">
        <is>
          <t>25x336 5Ply</t>
        </is>
      </c>
      <c r="D59" s="95" t="inlineStr">
        <is>
          <t>PCS</t>
        </is>
      </c>
      <c r="E59" s="97" t="n">
        <v>735</v>
      </c>
      <c r="F59" s="97" t="n">
        <v>550</v>
      </c>
      <c r="G59" s="97" t="n">
        <v>1092</v>
      </c>
      <c r="H59" s="98">
        <f>E59+F59-G59</f>
        <v/>
      </c>
      <c r="I59" s="97" t="n"/>
      <c r="J59" s="97">
        <f>IFERROR(IF(AVERAGEIF(TableBOM[Item ID],A59,TableBOM[Per 1000 Units])=0,"-",ROUND((H59+I59)/(AVERAGEIF(TableBOM[Item ID],A59,TableBOM[Per 1000 Units])/1000),0)),"-")</f>
        <v/>
      </c>
      <c r="K59" s="158" t="n"/>
      <c r="L59" s="158" t="n"/>
      <c r="M59" s="158" t="n"/>
      <c r="N59" s="158" t="n"/>
      <c r="O59" s="158" t="n"/>
      <c r="P59" s="158" t="n"/>
    </row>
    <row r="60" ht="15" customHeight="1" s="249">
      <c r="A60" s="95" t="n">
        <v>45</v>
      </c>
      <c r="B60" s="95" t="inlineStr">
        <is>
          <t>Carton</t>
        </is>
      </c>
      <c r="C60" s="96" t="inlineStr">
        <is>
          <t>30X150 3Ply</t>
        </is>
      </c>
      <c r="D60" s="95" t="inlineStr">
        <is>
          <t>PCS</t>
        </is>
      </c>
      <c r="E60" s="97" t="n">
        <v>600</v>
      </c>
      <c r="F60" s="97" t="n">
        <v>0</v>
      </c>
      <c r="G60" s="97" t="n">
        <v>0</v>
      </c>
      <c r="H60" s="98">
        <f>E60+F60-G60</f>
        <v/>
      </c>
      <c r="I60" s="97" t="n"/>
      <c r="J60" s="97">
        <f>IFERROR(IF(AVERAGEIF(TableBOM[Item ID],A60,TableBOM[Per 1000 Units])=0,"-",ROUND((H60+I60)/(AVERAGEIF(TableBOM[Item ID],A60,TableBOM[Per 1000 Units])/1000),0)),"-")</f>
        <v/>
      </c>
      <c r="K60" s="158" t="n"/>
      <c r="L60" s="158" t="n"/>
      <c r="M60" s="158" t="n"/>
      <c r="N60" s="158" t="n"/>
      <c r="O60" s="158" t="n"/>
      <c r="P60" s="158" t="n"/>
    </row>
    <row r="61" ht="15" customHeight="1" s="249">
      <c r="A61" s="95" t="n">
        <v>3988</v>
      </c>
      <c r="B61" s="95" t="inlineStr">
        <is>
          <t>Carton</t>
        </is>
      </c>
      <c r="C61" s="96" t="inlineStr">
        <is>
          <t>35x165 5ply</t>
        </is>
      </c>
      <c r="D61" s="95" t="inlineStr">
        <is>
          <t>PCS</t>
        </is>
      </c>
      <c r="E61" s="97" t="n">
        <v>201</v>
      </c>
      <c r="F61" s="97" t="n">
        <v>0</v>
      </c>
      <c r="G61" s="97" t="n">
        <v>201</v>
      </c>
      <c r="H61" s="98">
        <f>E61+F61-G61</f>
        <v/>
      </c>
      <c r="I61" s="97" t="n"/>
      <c r="J61" s="97">
        <f>IFERROR(IF(AVERAGEIF(TableBOM[Item ID],A61,TableBOM[Per 1000 Units])=0,"-",ROUND((H61+I61)/(AVERAGEIF(TableBOM[Item ID],A61,TableBOM[Per 1000 Units])/1000),0)),"-")</f>
        <v/>
      </c>
      <c r="K61" s="159" t="n"/>
      <c r="L61" s="159" t="n"/>
      <c r="M61" s="159" t="n"/>
      <c r="N61" s="159" t="n"/>
      <c r="O61" s="159" t="n"/>
      <c r="P61" s="159" t="n"/>
    </row>
    <row r="62" ht="15" customHeight="1" s="249">
      <c r="A62" s="95" t="n">
        <v>5977</v>
      </c>
      <c r="B62" s="95" t="inlineStr">
        <is>
          <t>Carton</t>
        </is>
      </c>
      <c r="C62" s="96" t="inlineStr">
        <is>
          <t>MASTER CARTON 38"X24"X15.5"</t>
        </is>
      </c>
      <c r="D62" s="95" t="inlineStr">
        <is>
          <t>PCS</t>
        </is>
      </c>
      <c r="E62" s="97" t="n">
        <v>150</v>
      </c>
      <c r="F62" s="97" t="n">
        <v>0</v>
      </c>
      <c r="G62" s="97" t="n">
        <v>16</v>
      </c>
      <c r="H62" s="98">
        <f>E62+F62-G62</f>
        <v/>
      </c>
      <c r="I62" s="97" t="n"/>
      <c r="J62" s="97">
        <f>IFERROR(IF(AVERAGEIF(TableBOM[Item ID],A62,TableBOM[Per 1000 Units])=0,"-",ROUND((H62+I62)/(AVERAGEIF(TableBOM[Item ID],A62,TableBOM[Per 1000 Units])/1000),0)),"-")</f>
        <v/>
      </c>
      <c r="K62" s="159" t="n"/>
      <c r="L62" s="159" t="n"/>
      <c r="M62" s="159" t="n"/>
      <c r="N62" s="159" t="n"/>
      <c r="O62" s="159" t="n"/>
      <c r="P62" s="159" t="n"/>
    </row>
    <row r="63" ht="15" customHeight="1" s="249">
      <c r="A63" s="95" t="n">
        <v>3635</v>
      </c>
      <c r="B63" s="95" t="inlineStr">
        <is>
          <t>Tape</t>
        </is>
      </c>
      <c r="C63" s="96" t="inlineStr">
        <is>
          <t>PACKING TAPE 2" OF 60 YARDS</t>
        </is>
      </c>
      <c r="D63" s="95" t="inlineStr">
        <is>
          <t>PCS</t>
        </is>
      </c>
      <c r="E63" s="97" t="n">
        <v>177</v>
      </c>
      <c r="F63" s="97" t="n">
        <v>540</v>
      </c>
      <c r="G63" s="97" t="n">
        <v>66</v>
      </c>
      <c r="H63" s="98">
        <f>E63+F63-G63</f>
        <v/>
      </c>
      <c r="I63" s="97" t="n"/>
      <c r="J63" s="97">
        <f>IFERROR(IF(AVERAGEIF(TableBOM[Item ID],A63,TableBOM[Per 1000 Units])=0,"-",ROUND((H63+I63)/(AVERAGEIF(TableBOM[Item ID],A63,TableBOM[Per 1000 Units])/1000),0)),"-")</f>
        <v/>
      </c>
      <c r="K63" s="159" t="n"/>
      <c r="L63" s="159" t="n"/>
      <c r="M63" s="159" t="n"/>
      <c r="N63" s="159" t="n"/>
      <c r="O63" s="159" t="n"/>
      <c r="P63" s="159" t="n"/>
    </row>
    <row r="64" ht="15" customHeight="1" s="249">
      <c r="A64" s="95" t="n">
        <v>190</v>
      </c>
      <c r="B64" s="95" t="inlineStr">
        <is>
          <t>Thinner</t>
        </is>
      </c>
      <c r="C64" s="96" t="inlineStr">
        <is>
          <t>THINNER FOR LACQUER SOL R/C</t>
        </is>
      </c>
      <c r="D64" s="95" t="inlineStr">
        <is>
          <t>L</t>
        </is>
      </c>
      <c r="E64" s="97" t="n">
        <v>150</v>
      </c>
      <c r="F64" s="97" t="n">
        <v>200</v>
      </c>
      <c r="G64" s="97" t="n">
        <v>75</v>
      </c>
      <c r="H64" s="98">
        <f>E64+F64-G64</f>
        <v/>
      </c>
      <c r="I64" s="97" t="n"/>
      <c r="J64" s="97">
        <f>IFERROR(IF(AVERAGEIF(TableBOM[Item ID],A64,TableBOM[Per 1000 Units])=0,"-",ROUND((H64+I64)/(AVERAGEIF(TableBOM[Item ID],A64,TableBOM[Per 1000 Units])/1000),0)),"-")</f>
        <v/>
      </c>
      <c r="K64" s="159" t="n"/>
      <c r="L64" s="159" t="n"/>
      <c r="M64" s="159" t="n"/>
      <c r="N64" s="159" t="n"/>
      <c r="O64" s="159" t="n"/>
      <c r="P64" s="159" t="n"/>
    </row>
    <row r="65" ht="15" customHeight="1" s="249">
      <c r="A65" s="95" t="n">
        <v>191</v>
      </c>
      <c r="B65" s="95" t="inlineStr">
        <is>
          <t>Thinner</t>
        </is>
      </c>
      <c r="C65" s="96" t="inlineStr">
        <is>
          <t>THINNER LACQUAR SOL EPOXY</t>
        </is>
      </c>
      <c r="D65" s="95" t="inlineStr">
        <is>
          <t>L</t>
        </is>
      </c>
      <c r="E65" s="97" t="n">
        <v>125</v>
      </c>
      <c r="F65" s="97" t="n">
        <v>200</v>
      </c>
      <c r="G65" s="97" t="n">
        <v>100</v>
      </c>
      <c r="H65" s="98">
        <f>E65+F65-G65</f>
        <v/>
      </c>
      <c r="I65" s="97" t="n">
        <v>0</v>
      </c>
      <c r="J65" s="97">
        <f>IFERROR(IF(AVERAGEIF(TableBOM[Item ID],A64,TableBOM[Per 1000 Units])=0,"-",ROUND((H65+I65)/(AVERAGEIF(TableBOM[Item ID],A64,TableBOM[Per 1000 Units])/1000),0)),"-")</f>
        <v/>
      </c>
      <c r="K65" s="158" t="n"/>
      <c r="L65" s="158" t="n"/>
      <c r="M65" s="158" t="n"/>
      <c r="N65" s="158" t="n"/>
      <c r="O65" s="158" t="n"/>
      <c r="P65" s="158" t="n"/>
    </row>
    <row r="66" ht="15" customHeight="1" s="249">
      <c r="A66" s="95" t="n">
        <v>104</v>
      </c>
      <c r="B66" s="95" t="inlineStr">
        <is>
          <t>Ink</t>
        </is>
      </c>
      <c r="C66" s="96" t="inlineStr">
        <is>
          <t>VIOLET 501 IMP</t>
        </is>
      </c>
      <c r="D66" s="95" t="inlineStr">
        <is>
          <t>kg</t>
        </is>
      </c>
      <c r="E66" s="97" t="n">
        <v>2</v>
      </c>
      <c r="F66" s="97" t="n">
        <v>0</v>
      </c>
      <c r="G66" s="97" t="n">
        <v>0</v>
      </c>
      <c r="H66" s="98">
        <f>E66+F66-G66</f>
        <v/>
      </c>
      <c r="I66" s="97" t="n"/>
      <c r="J66" s="97">
        <f>IFERROR(IF(AVERAGEIF(TableBOM[Item ID],A66,TableBOM[Per 1000 Units])=0,"-",ROUND((H66+I66)/(AVERAGEIF(TableBOM[Item ID],A66,TableBOM[Per 1000 Units])/1000),0)),"-")</f>
        <v/>
      </c>
      <c r="K66" s="159" t="n"/>
      <c r="L66" s="159" t="n"/>
      <c r="M66" s="159" t="n"/>
      <c r="N66" s="159" t="n"/>
      <c r="O66" s="159" t="n"/>
      <c r="P66" s="159" t="n"/>
    </row>
    <row r="67" ht="15" customHeight="1" s="249">
      <c r="A67" s="95" t="n">
        <v>105</v>
      </c>
      <c r="B67" s="95" t="inlineStr">
        <is>
          <t>Ink</t>
        </is>
      </c>
      <c r="C67" s="96" t="inlineStr">
        <is>
          <t>VIOLET 502 IMP</t>
        </is>
      </c>
      <c r="D67" s="95" t="inlineStr">
        <is>
          <t>kg</t>
        </is>
      </c>
      <c r="E67" s="97" t="n">
        <v>1</v>
      </c>
      <c r="F67" s="97" t="n">
        <v>0</v>
      </c>
      <c r="G67" s="97" t="n">
        <v>0</v>
      </c>
      <c r="H67" s="98">
        <f>E67+F67-G67</f>
        <v/>
      </c>
      <c r="I67" s="97" t="n"/>
      <c r="J67" s="97">
        <f>IFERROR(IF(AVERAGEIF(TableBOM[Item ID],A67,TableBOM[Per 1000 Units])=0,"-",ROUND((H67+I67)/(AVERAGEIF(TableBOM[Item ID],A67,TableBOM[Per 1000 Units])/1000),0)),"-")</f>
        <v/>
      </c>
      <c r="K67" s="159" t="n"/>
      <c r="L67" s="159" t="n"/>
      <c r="M67" s="159" t="n"/>
      <c r="N67" s="159" t="n"/>
      <c r="O67" s="159" t="n"/>
      <c r="P67" s="159" t="n"/>
    </row>
    <row r="68" ht="15" customHeight="1" s="249">
      <c r="A68" s="95" t="n">
        <v>110</v>
      </c>
      <c r="B68" s="95" t="inlineStr">
        <is>
          <t>Ink</t>
        </is>
      </c>
      <c r="C68" s="96" t="inlineStr">
        <is>
          <t>GREEN 165000</t>
        </is>
      </c>
      <c r="D68" s="95" t="inlineStr">
        <is>
          <t>kg</t>
        </is>
      </c>
      <c r="E68" s="97" t="n">
        <v>2</v>
      </c>
      <c r="F68" s="97" t="n">
        <v>0</v>
      </c>
      <c r="G68" s="97" t="n">
        <v>0</v>
      </c>
      <c r="H68" s="98">
        <f>E68+F68-G68</f>
        <v/>
      </c>
      <c r="I68" s="97" t="n"/>
      <c r="J68" s="97">
        <f>IFERROR(IF(AVERAGEIF(TableBOM[Item ID],A68,TableBOM[Per 1000 Units])=0,"-",ROUND((H68+I68)/(AVERAGEIF(TableBOM[Item ID],A68,TableBOM[Per 1000 Units])/1000),0)),"-")</f>
        <v/>
      </c>
      <c r="K68" s="158" t="n"/>
      <c r="L68" s="158" t="n"/>
      <c r="M68" s="158" t="n"/>
      <c r="N68" s="158" t="n"/>
      <c r="O68" s="158" t="n"/>
      <c r="P68" s="158" t="n"/>
    </row>
    <row r="69" ht="15" customHeight="1" s="249">
      <c r="A69" s="95" t="n">
        <v>124</v>
      </c>
      <c r="B69" s="95" t="inlineStr">
        <is>
          <t>Ink</t>
        </is>
      </c>
      <c r="C69" s="96" t="inlineStr">
        <is>
          <t>BROWN 157662</t>
        </is>
      </c>
      <c r="D69" s="95" t="inlineStr">
        <is>
          <t>kg</t>
        </is>
      </c>
      <c r="E69" s="97" t="n">
        <v>0</v>
      </c>
      <c r="F69" s="97" t="n">
        <v>0</v>
      </c>
      <c r="G69" s="97" t="n">
        <v>0</v>
      </c>
      <c r="H69" s="98">
        <f>E69+F69-G69</f>
        <v/>
      </c>
      <c r="I69" s="97" t="n"/>
      <c r="J69" s="97">
        <f>IFERROR(IF(AVERAGEIF(TableBOM[Item ID],A69,TableBOM[Per 1000 Units])=0,"-",ROUND((H69+I69)/(AVERAGEIF(TableBOM[Item ID],A69,TableBOM[Per 1000 Units])/1000),0)),"-")</f>
        <v/>
      </c>
      <c r="K69" s="159" t="n"/>
      <c r="L69" s="159" t="n"/>
      <c r="M69" s="159" t="n"/>
      <c r="N69" s="159" t="n"/>
      <c r="O69" s="159" t="n"/>
      <c r="P69" s="159" t="n"/>
    </row>
    <row r="70" ht="15" customHeight="1" s="249">
      <c r="A70" s="95" t="n">
        <v>127</v>
      </c>
      <c r="B70" s="95" t="inlineStr">
        <is>
          <t>Ink</t>
        </is>
      </c>
      <c r="C70" s="96" t="inlineStr">
        <is>
          <t>BLUE 126039</t>
        </is>
      </c>
      <c r="D70" s="95" t="inlineStr">
        <is>
          <t>kg</t>
        </is>
      </c>
      <c r="E70" s="97" t="n">
        <v>2</v>
      </c>
      <c r="F70" s="97" t="n">
        <v>0</v>
      </c>
      <c r="G70" s="97" t="n">
        <v>0</v>
      </c>
      <c r="H70" s="98">
        <f>E70+F70-G70</f>
        <v/>
      </c>
      <c r="I70" s="97" t="n"/>
      <c r="J70" s="97">
        <f>IFERROR(IF(AVERAGEIF(TableBOM[Item ID],A70,TableBOM[Per 1000 Units])=0,"-",ROUND((H70+I70)/(AVERAGEIF(TableBOM[Item ID],A70,TableBOM[Per 1000 Units])/1000),0)),"-")</f>
        <v/>
      </c>
      <c r="K70" s="159" t="n"/>
      <c r="L70" s="159" t="n"/>
      <c r="M70" s="159" t="n"/>
      <c r="N70" s="159" t="n"/>
      <c r="O70" s="159" t="n"/>
      <c r="P70" s="159" t="n"/>
    </row>
    <row r="71" ht="15" customHeight="1" s="249">
      <c r="A71" s="95" t="n">
        <v>129</v>
      </c>
      <c r="B71" s="95" t="inlineStr">
        <is>
          <t>Ink</t>
        </is>
      </c>
      <c r="C71" s="96" t="inlineStr">
        <is>
          <t>MEGENTA RED 152166</t>
        </is>
      </c>
      <c r="D71" s="95" t="inlineStr">
        <is>
          <t>kg</t>
        </is>
      </c>
      <c r="E71" s="97" t="n">
        <v>2</v>
      </c>
      <c r="F71" s="97" t="n">
        <v>0</v>
      </c>
      <c r="G71" s="97" t="n">
        <v>0</v>
      </c>
      <c r="H71" s="98">
        <f>E71+F71-G71</f>
        <v/>
      </c>
      <c r="I71" s="97" t="n"/>
      <c r="J71" s="97">
        <f>IFERROR(IF(AVERAGEIF(TableBOM[Item ID],A71,TableBOM[Per 1000 Units])=0,"-",ROUND((H71+I71)/(AVERAGEIF(TableBOM[Item ID],A71,TableBOM[Per 1000 Units])/1000),0)),"-")</f>
        <v/>
      </c>
      <c r="K71" s="159" t="n"/>
      <c r="L71" s="159" t="n"/>
      <c r="M71" s="159" t="n"/>
      <c r="N71" s="159" t="n"/>
      <c r="O71" s="159" t="n"/>
      <c r="P71" s="159" t="n"/>
    </row>
    <row r="72" ht="15" customHeight="1" s="249">
      <c r="A72" s="95" t="n">
        <v>130</v>
      </c>
      <c r="B72" s="95" t="inlineStr">
        <is>
          <t>Ink</t>
        </is>
      </c>
      <c r="C72" s="96" t="inlineStr">
        <is>
          <t>BLUE 165743</t>
        </is>
      </c>
      <c r="D72" s="95" t="inlineStr">
        <is>
          <t>kg</t>
        </is>
      </c>
      <c r="E72" s="97" t="n">
        <v>1</v>
      </c>
      <c r="F72" s="97" t="n">
        <v>0</v>
      </c>
      <c r="G72" s="97" t="n">
        <v>0</v>
      </c>
      <c r="H72" s="98">
        <f>E72+F72-G72</f>
        <v/>
      </c>
      <c r="I72" s="97" t="n"/>
      <c r="J72" s="97">
        <f>IFERROR(IF(AVERAGEIF(TableBOM[Item ID],A72,TableBOM[Per 1000 Units])=0,"-",ROUND((H72+I72)/(AVERAGEIF(TableBOM[Item ID],A72,TableBOM[Per 1000 Units])/1000),0)),"-")</f>
        <v/>
      </c>
      <c r="K72" s="158" t="n"/>
      <c r="L72" s="158" t="n"/>
      <c r="M72" s="158" t="n"/>
      <c r="N72" s="158" t="n"/>
      <c r="O72" s="158" t="n"/>
      <c r="P72" s="158" t="n"/>
    </row>
    <row r="73" ht="15" customHeight="1" s="249">
      <c r="A73" s="95" t="n">
        <v>1928</v>
      </c>
      <c r="B73" s="95" t="inlineStr">
        <is>
          <t>Ink</t>
        </is>
      </c>
      <c r="C73" s="96" t="inlineStr">
        <is>
          <t>BLACK (LOCAL) 77660</t>
        </is>
      </c>
      <c r="D73" s="95" t="inlineStr">
        <is>
          <t>kg</t>
        </is>
      </c>
      <c r="E73" s="97" t="n">
        <v>2</v>
      </c>
      <c r="F73" s="97" t="n">
        <v>0</v>
      </c>
      <c r="G73" s="97" t="n">
        <v>2</v>
      </c>
      <c r="H73" s="98">
        <f>E73+F73-G73</f>
        <v/>
      </c>
      <c r="I73" s="97" t="n"/>
      <c r="J73" s="97">
        <f>IFERROR(IF(AVERAGEIF(TableBOM[Item ID],A73,TableBOM[Per 1000 Units])=0,"-",ROUND((H73+I73)/(AVERAGEIF(TableBOM[Item ID],A73,TableBOM[Per 1000 Units])/1000),0)),"-")</f>
        <v/>
      </c>
      <c r="K73" s="159" t="n"/>
      <c r="L73" s="159" t="n"/>
      <c r="M73" s="159" t="n"/>
      <c r="N73" s="159" t="n"/>
      <c r="O73" s="159" t="n"/>
      <c r="P73" s="159" t="n"/>
    </row>
    <row r="74" ht="15" customHeight="1" s="249">
      <c r="A74" s="95" t="n">
        <v>2284</v>
      </c>
      <c r="B74" s="95" t="inlineStr">
        <is>
          <t>Ink</t>
        </is>
      </c>
      <c r="C74" s="96" t="inlineStr">
        <is>
          <t>YELLOW (PASTAL-C)</t>
        </is>
      </c>
      <c r="D74" s="95" t="inlineStr">
        <is>
          <t>kg</t>
        </is>
      </c>
      <c r="E74" s="97" t="n">
        <v>0</v>
      </c>
      <c r="F74" s="97" t="n">
        <v>0</v>
      </c>
      <c r="G74" s="97" t="n">
        <v>0</v>
      </c>
      <c r="H74" s="98">
        <f>E74+F74-G74</f>
        <v/>
      </c>
      <c r="I74" s="97" t="n"/>
      <c r="J74" s="97">
        <f>IFERROR(IF(AVERAGEIF(TableBOM[Item ID],A74,TableBOM[Per 1000 Units])=0,"-",ROUND((H74+I74)/(AVERAGEIF(TableBOM[Item ID],A74,TableBOM[Per 1000 Units])/1000),0)),"-")</f>
        <v/>
      </c>
      <c r="K74" s="158" t="n"/>
      <c r="L74" s="158" t="n"/>
      <c r="M74" s="158" t="n"/>
      <c r="N74" s="158" t="n"/>
      <c r="O74" s="158" t="n"/>
      <c r="P74" s="158" t="n"/>
    </row>
    <row r="75" ht="15" customHeight="1" s="249">
      <c r="A75" s="95" t="n">
        <v>3642</v>
      </c>
      <c r="B75" s="95" t="inlineStr">
        <is>
          <t>Ink</t>
        </is>
      </c>
      <c r="C75" s="96" t="inlineStr">
        <is>
          <t>INK JET BLACK 77842</t>
        </is>
      </c>
      <c r="D75" s="95" t="inlineStr">
        <is>
          <t>kg</t>
        </is>
      </c>
      <c r="E75" s="97" t="n">
        <v>1</v>
      </c>
      <c r="F75" s="97" t="n">
        <v>0</v>
      </c>
      <c r="G75" s="97" t="n">
        <v>0</v>
      </c>
      <c r="H75" s="98">
        <f>E75+F75-G75</f>
        <v/>
      </c>
      <c r="I75" s="97" t="n"/>
      <c r="J75" s="97">
        <f>IFERROR(IF(AVERAGEIF(TableBOM[Item ID],A75,TableBOM[Per 1000 Units])=0,"-",ROUND((H75+I75)/(AVERAGEIF(TableBOM[Item ID],A75,TableBOM[Per 1000 Units])/1000),0)),"-")</f>
        <v/>
      </c>
      <c r="K75" s="159" t="n"/>
      <c r="L75" s="159" t="n"/>
      <c r="M75" s="159" t="n"/>
      <c r="N75" s="159" t="n"/>
      <c r="O75" s="159" t="n"/>
      <c r="P75" s="159" t="n"/>
    </row>
    <row r="76" ht="15" customHeight="1" s="249">
      <c r="A76" s="95" t="n">
        <v>3734</v>
      </c>
      <c r="B76" s="95" t="inlineStr">
        <is>
          <t>Ink</t>
        </is>
      </c>
      <c r="C76" s="96" t="inlineStr">
        <is>
          <t>MAGENTA (LOCAL) 32500</t>
        </is>
      </c>
      <c r="D76" s="95" t="inlineStr">
        <is>
          <t>kg</t>
        </is>
      </c>
      <c r="E76" s="97" t="n">
        <v>1</v>
      </c>
      <c r="F76" s="97" t="n">
        <v>0</v>
      </c>
      <c r="G76" s="97" t="n">
        <v>0</v>
      </c>
      <c r="H76" s="98">
        <f>E76+F76-G76</f>
        <v/>
      </c>
      <c r="I76" s="97" t="n"/>
      <c r="J76" s="97">
        <f>IFERROR(IF(AVERAGEIF(TableBOM[Item ID],A76,TableBOM[Per 1000 Units])=0,"-",ROUND((H76+I76)/(AVERAGEIF(TableBOM[Item ID],A76,TableBOM[Per 1000 Units])/1000),0)),"-")</f>
        <v/>
      </c>
      <c r="K76" s="159" t="n"/>
      <c r="L76" s="159" t="n"/>
      <c r="M76" s="159" t="n"/>
      <c r="N76" s="159" t="n"/>
      <c r="O76" s="159" t="n"/>
      <c r="P76" s="159" t="n"/>
    </row>
    <row r="77" ht="15" customHeight="1" s="249">
      <c r="A77" s="95" t="n">
        <v>3736</v>
      </c>
      <c r="B77" s="95" t="inlineStr">
        <is>
          <t>Ink</t>
        </is>
      </c>
      <c r="C77" s="96" t="inlineStr">
        <is>
          <t>WHITE (LOCAL) 07094</t>
        </is>
      </c>
      <c r="D77" s="95" t="inlineStr">
        <is>
          <t>kg</t>
        </is>
      </c>
      <c r="E77" s="97" t="n">
        <v>3.6</v>
      </c>
      <c r="F77" s="97" t="n">
        <v>0</v>
      </c>
      <c r="G77" s="97" t="n">
        <v>0</v>
      </c>
      <c r="H77" s="98">
        <f>E77+F77-G77</f>
        <v/>
      </c>
      <c r="I77" s="97" t="n"/>
      <c r="J77" s="97">
        <f>IFERROR(IF(AVERAGEIF(TableBOM[Item ID],A77,TableBOM[Per 1000 Units])=0,"-",ROUND((H77+I77)/(AVERAGEIF(TableBOM[Item ID],A77,TableBOM[Per 1000 Units])/1000),0)),"-")</f>
        <v/>
      </c>
      <c r="K77" s="158" t="n"/>
      <c r="L77" s="158" t="n"/>
      <c r="M77" s="158" t="n"/>
      <c r="N77" s="158" t="n"/>
      <c r="O77" s="158" t="n"/>
      <c r="P77" s="158" t="n"/>
    </row>
    <row r="78" ht="15" customHeight="1" s="249">
      <c r="A78" s="95" t="n">
        <v>3754</v>
      </c>
      <c r="B78" s="95" t="inlineStr">
        <is>
          <t>Ink</t>
        </is>
      </c>
      <c r="C78" s="96" t="inlineStr">
        <is>
          <t>RED BRONZE (LOCAL) 32519</t>
        </is>
      </c>
      <c r="D78" s="95" t="inlineStr">
        <is>
          <t>kg</t>
        </is>
      </c>
      <c r="E78" s="97" t="n">
        <v>6</v>
      </c>
      <c r="F78" s="97" t="n">
        <v>1</v>
      </c>
      <c r="G78" s="97" t="n">
        <v>3</v>
      </c>
      <c r="H78" s="98">
        <f>E78+F78-G78</f>
        <v/>
      </c>
      <c r="I78" s="97" t="n"/>
      <c r="J78" s="97">
        <f>IFERROR(IF(AVERAGEIF(TableBOM[Item ID],A78,TableBOM[Per 1000 Units])=0,"-",ROUND((H78+I78)/(AVERAGEIF(TableBOM[Item ID],A78,TableBOM[Per 1000 Units])/1000),0)),"-")</f>
        <v/>
      </c>
      <c r="K78" s="158" t="n"/>
      <c r="L78" s="158" t="n"/>
      <c r="M78" s="158" t="n"/>
      <c r="N78" s="158" t="n"/>
      <c r="O78" s="158" t="n"/>
      <c r="P78" s="158" t="n"/>
    </row>
    <row r="79" ht="15" customHeight="1" s="249">
      <c r="A79" s="95" t="n">
        <v>3755</v>
      </c>
      <c r="B79" s="95" t="inlineStr">
        <is>
          <t>Ink</t>
        </is>
      </c>
      <c r="C79" s="96" t="inlineStr">
        <is>
          <t>INK BLUE ES 164</t>
        </is>
      </c>
      <c r="D79" s="95" t="inlineStr">
        <is>
          <t>kg</t>
        </is>
      </c>
      <c r="E79" s="97" t="n">
        <v>0</v>
      </c>
      <c r="F79" s="97" t="n">
        <v>0</v>
      </c>
      <c r="G79" s="97" t="n">
        <v>0</v>
      </c>
      <c r="H79" s="98">
        <f>E79+F79-G79</f>
        <v/>
      </c>
      <c r="I79" s="97" t="n"/>
      <c r="J79" s="97">
        <f>IFERROR(IF(AVERAGEIF(TableBOM[Item ID],A79,TableBOM[Per 1000 Units])=0,"-",ROUND((H79+I79)/(AVERAGEIF(TableBOM[Item ID],A79,TableBOM[Per 1000 Units])/1000),0)),"-")</f>
        <v/>
      </c>
      <c r="K79" s="158" t="n"/>
      <c r="L79" s="158" t="n"/>
      <c r="M79" s="158" t="n"/>
      <c r="N79" s="158" t="n"/>
      <c r="O79" s="158" t="n"/>
      <c r="P79" s="158" t="n"/>
    </row>
    <row r="80" ht="15" customHeight="1" s="249">
      <c r="A80" s="95" t="n">
        <v>3800</v>
      </c>
      <c r="B80" s="95" t="inlineStr">
        <is>
          <t>Ink</t>
        </is>
      </c>
      <c r="C80" s="96" t="inlineStr">
        <is>
          <t>VIOLET 400484</t>
        </is>
      </c>
      <c r="D80" s="95" t="inlineStr">
        <is>
          <t>kg</t>
        </is>
      </c>
      <c r="E80" s="97" t="n">
        <v>1</v>
      </c>
      <c r="F80" s="97" t="n">
        <v>0</v>
      </c>
      <c r="G80" s="97" t="n">
        <v>0</v>
      </c>
      <c r="H80" s="98">
        <f>E80+F80-G80</f>
        <v/>
      </c>
      <c r="I80" s="97" t="n"/>
      <c r="J80" s="97">
        <f>IFERROR(IF(AVERAGEIF(TableBOM[Item ID],A80,TableBOM[Per 1000 Units])=0,"-",ROUND((H80+I80)/(AVERAGEIF(TableBOM[Item ID],A80,TableBOM[Per 1000 Units])/1000),0)),"-")</f>
        <v/>
      </c>
      <c r="K80" s="159" t="n"/>
      <c r="L80" s="159" t="n"/>
      <c r="M80" s="159" t="n"/>
      <c r="N80" s="159" t="n"/>
      <c r="O80" s="159" t="n"/>
      <c r="P80" s="159" t="n"/>
    </row>
    <row r="81" ht="15" customHeight="1" s="249">
      <c r="A81" s="95" t="n">
        <v>3857</v>
      </c>
      <c r="B81" s="95" t="inlineStr">
        <is>
          <t>Ink</t>
        </is>
      </c>
      <c r="C81" s="96" t="inlineStr">
        <is>
          <t>ORANGE (LOCAL)</t>
        </is>
      </c>
      <c r="D81" s="95" t="inlineStr">
        <is>
          <t>kg</t>
        </is>
      </c>
      <c r="E81" s="97" t="n">
        <v>0</v>
      </c>
      <c r="F81" s="97" t="n">
        <v>1</v>
      </c>
      <c r="G81" s="97" t="n">
        <v>1</v>
      </c>
      <c r="H81" s="98">
        <f>E81+F81-G81</f>
        <v/>
      </c>
      <c r="I81" s="97" t="n"/>
      <c r="J81" s="97">
        <f>IFERROR(IF(AVERAGEIF(TableBOM[Item ID],A81,TableBOM[Per 1000 Units])=0,"-",ROUND((H81+I81)/(AVERAGEIF(TableBOM[Item ID],A81,TableBOM[Per 1000 Units])/1000),0)),"-")</f>
        <v/>
      </c>
    </row>
    <row r="82" ht="15" customHeight="1" s="249">
      <c r="A82" s="95" t="n">
        <v>3858</v>
      </c>
      <c r="B82" s="95" t="inlineStr">
        <is>
          <t>Ink</t>
        </is>
      </c>
      <c r="C82" s="96" t="inlineStr">
        <is>
          <t>GOLD (LOCAL) 97035</t>
        </is>
      </c>
      <c r="D82" s="95" t="inlineStr">
        <is>
          <t>kg</t>
        </is>
      </c>
      <c r="E82" s="97" t="n">
        <v>0</v>
      </c>
      <c r="F82" s="97" t="n">
        <v>2</v>
      </c>
      <c r="G82" s="97" t="n">
        <v>2</v>
      </c>
      <c r="H82" s="98">
        <f>E82+F82-G82</f>
        <v/>
      </c>
      <c r="I82" s="97" t="n"/>
      <c r="J82" s="97">
        <f>IFERROR(IF(AVERAGEIF(TableBOM[Item ID],A82,TableBOM[Per 1000 Units])=0,"-",ROUND((H82+I82)/(AVERAGEIF(TableBOM[Item ID],A82,TableBOM[Per 1000 Units])/1000),0)),"-")</f>
        <v/>
      </c>
    </row>
    <row r="83" ht="15" customHeight="1" s="249">
      <c r="A83" s="95" t="n">
        <v>3955</v>
      </c>
      <c r="B83" s="95" t="inlineStr">
        <is>
          <t>Ink</t>
        </is>
      </c>
      <c r="C83" s="96" t="inlineStr">
        <is>
          <t>GERANIUM (EVER SHINE) ES-130</t>
        </is>
      </c>
      <c r="D83" s="95" t="inlineStr">
        <is>
          <t>kg</t>
        </is>
      </c>
      <c r="E83" s="97" t="n">
        <v>1</v>
      </c>
      <c r="F83" s="97" t="n">
        <v>0</v>
      </c>
      <c r="G83" s="97" t="n">
        <v>1</v>
      </c>
      <c r="H83" s="98">
        <f>E83+F83-G83</f>
        <v/>
      </c>
      <c r="I83" s="97" t="n"/>
      <c r="J83" s="97">
        <f>IFERROR(IF(AVERAGEIF(TableBOM[Item ID],A83,TableBOM[Per 1000 Units])=0,"-",ROUND((H83+I83)/(AVERAGEIF(TableBOM[Item ID],A83,TableBOM[Per 1000 Units])/1000),0)),"-")</f>
        <v/>
      </c>
    </row>
    <row r="84" ht="15" customHeight="1" s="249">
      <c r="A84" s="95" t="n">
        <v>3968</v>
      </c>
      <c r="B84" s="95" t="inlineStr">
        <is>
          <t>Ink</t>
        </is>
      </c>
      <c r="C84" s="96" t="inlineStr">
        <is>
          <t>BLUE BRONZE (LOCAL) 51168</t>
        </is>
      </c>
      <c r="D84" s="95" t="inlineStr">
        <is>
          <t>kg</t>
        </is>
      </c>
      <c r="E84" s="97" t="n">
        <v>5</v>
      </c>
      <c r="F84" s="97" t="n">
        <v>0</v>
      </c>
      <c r="G84" s="97" t="n">
        <v>1</v>
      </c>
      <c r="H84" s="98">
        <f>E84+F84-G84</f>
        <v/>
      </c>
      <c r="I84" s="97" t="n"/>
      <c r="J84" s="97">
        <f>IFERROR(IF(AVERAGEIF(TableBOM[Item ID],A84,TableBOM[Per 1000 Units])=0,"-",ROUND((H84+I84)/(AVERAGEIF(TableBOM[Item ID],A84,TableBOM[Per 1000 Units])/1000),0)),"-")</f>
        <v/>
      </c>
    </row>
    <row r="85" ht="15" customHeight="1" s="249">
      <c r="A85" s="95" t="n">
        <v>4216</v>
      </c>
      <c r="B85" s="95" t="inlineStr">
        <is>
          <t>Ink</t>
        </is>
      </c>
      <c r="C85" s="96" t="inlineStr">
        <is>
          <t>PINK FLUORESCENT</t>
        </is>
      </c>
      <c r="D85" s="95" t="inlineStr">
        <is>
          <t>kg</t>
        </is>
      </c>
      <c r="E85" s="97" t="n">
        <v>1</v>
      </c>
      <c r="F85" s="97" t="n">
        <v>0</v>
      </c>
      <c r="G85" s="97" t="n">
        <v>0</v>
      </c>
      <c r="H85" s="98">
        <f>E85+F85-G85</f>
        <v/>
      </c>
      <c r="I85" s="97" t="n"/>
      <c r="J85" s="97">
        <f>IFERROR(IF(AVERAGEIF(TableBOM[Item ID],A85,TableBOM[Per 1000 Units])=0,"-",ROUND((H85+I85)/(AVERAGEIF(TableBOM[Item ID],A85,TableBOM[Per 1000 Units])/1000),0)),"-")</f>
        <v/>
      </c>
    </row>
    <row r="86" ht="15" customHeight="1" s="249">
      <c r="A86" s="95" t="n">
        <v>4306</v>
      </c>
      <c r="B86" s="95" t="inlineStr">
        <is>
          <t>Ink</t>
        </is>
      </c>
      <c r="C86" s="96" t="inlineStr">
        <is>
          <t>VIOLET TUB 400011</t>
        </is>
      </c>
      <c r="D86" s="95" t="inlineStr">
        <is>
          <t>kg</t>
        </is>
      </c>
      <c r="E86" s="97" t="n">
        <v>3</v>
      </c>
      <c r="F86" s="97" t="n">
        <v>0</v>
      </c>
      <c r="G86" s="97" t="n">
        <v>0</v>
      </c>
      <c r="H86" s="98">
        <f>E86+F86-G86</f>
        <v/>
      </c>
      <c r="I86" s="97" t="n"/>
      <c r="J86" s="97">
        <f>IFERROR(IF(AVERAGEIF(TableBOM[Item ID],A86,TableBOM[Per 1000 Units])=0,"-",ROUND((H86+I86)/(AVERAGEIF(TableBOM[Item ID],A86,TableBOM[Per 1000 Units])/1000),0)),"-")</f>
        <v/>
      </c>
    </row>
    <row r="87" ht="15" customHeight="1" s="249">
      <c r="A87" s="95" t="n">
        <v>5107</v>
      </c>
      <c r="B87" s="95" t="inlineStr">
        <is>
          <t>Ink</t>
        </is>
      </c>
      <c r="C87" s="96" t="inlineStr">
        <is>
          <t>YELLOW LEMON 18600</t>
        </is>
      </c>
      <c r="D87" s="95" t="inlineStr">
        <is>
          <t>kg</t>
        </is>
      </c>
      <c r="E87" s="97" t="n">
        <v>2</v>
      </c>
      <c r="F87" s="97" t="n">
        <v>0</v>
      </c>
      <c r="G87" s="97" t="n">
        <v>2</v>
      </c>
      <c r="H87" s="98">
        <f>E87+F87-G87</f>
        <v/>
      </c>
      <c r="I87" s="97" t="n"/>
      <c r="J87" s="97">
        <f>IFERROR(IF(AVERAGEIF(TableBOM[Item ID],A87,TableBOM[Per 1000 Units])=0,"-",ROUND((H87+I87)/(AVERAGEIF(TableBOM[Item ID],A87,TableBOM[Per 1000 Units])/1000),0)),"-")</f>
        <v/>
      </c>
    </row>
    <row r="88" ht="15" customHeight="1" s="249">
      <c r="A88" s="95" t="n">
        <v>6038</v>
      </c>
      <c r="B88" s="95" t="inlineStr">
        <is>
          <t>Ink</t>
        </is>
      </c>
      <c r="C88" s="96" t="inlineStr">
        <is>
          <t>INK BLUE PC</t>
        </is>
      </c>
      <c r="D88" s="95" t="inlineStr">
        <is>
          <t>kg</t>
        </is>
      </c>
      <c r="E88" s="97" t="n">
        <v>0</v>
      </c>
      <c r="F88" s="97" t="n">
        <v>0</v>
      </c>
      <c r="G88" s="97" t="n">
        <v>0</v>
      </c>
      <c r="H88" s="98">
        <f>E88+F88-G88</f>
        <v/>
      </c>
      <c r="I88" s="97" t="n"/>
      <c r="J88" s="97">
        <f>IFERROR(IF(AVERAGEIF(TableBOM[Item ID],A88,TableBOM[Per 1000 Units])=0,"-",ROUND((H88+I88)/(AVERAGEIF(TableBOM[Item ID],A88,TableBOM[Per 1000 Units])/1000),0)),"-")</f>
        <v/>
      </c>
    </row>
    <row r="89" ht="15" customHeight="1" s="249">
      <c r="A89" s="95" t="n">
        <v>6040</v>
      </c>
      <c r="B89" s="95" t="inlineStr">
        <is>
          <t>Ink</t>
        </is>
      </c>
      <c r="C89" s="96" t="inlineStr">
        <is>
          <t>INK CYAN PROCESS 51650</t>
        </is>
      </c>
      <c r="D89" s="95" t="inlineStr">
        <is>
          <t>kg</t>
        </is>
      </c>
      <c r="E89" s="97" t="n">
        <v>3</v>
      </c>
      <c r="F89" s="97" t="n">
        <v>0</v>
      </c>
      <c r="G89" s="97" t="n">
        <v>1</v>
      </c>
      <c r="H89" s="98">
        <f>E89+F89-G89</f>
        <v/>
      </c>
      <c r="I89" s="97" t="n"/>
      <c r="J89" s="97">
        <f>IFERROR(IF(AVERAGEIF(TableBOM[Item ID],A89,TableBOM[Per 1000 Units])=0,"-",ROUND((H89+I89)/(AVERAGEIF(TableBOM[Item ID],A89,TableBOM[Per 1000 Units])/1000),0)),"-")</f>
        <v/>
      </c>
    </row>
    <row r="90" ht="15" customHeight="1" s="249">
      <c r="A90" s="95" t="n">
        <v>6935</v>
      </c>
      <c r="B90" s="95" t="inlineStr">
        <is>
          <t>Ink</t>
        </is>
      </c>
      <c r="C90" s="96" t="inlineStr">
        <is>
          <t>GOLD V0221267-RF-401363</t>
        </is>
      </c>
      <c r="D90" s="95" t="inlineStr">
        <is>
          <t>kg</t>
        </is>
      </c>
      <c r="E90" s="97" t="n">
        <v>0</v>
      </c>
      <c r="F90" s="97" t="n">
        <v>0</v>
      </c>
      <c r="G90" s="97" t="n">
        <v>0</v>
      </c>
      <c r="H90" s="98">
        <f>E90+F90-G90</f>
        <v/>
      </c>
      <c r="I90" s="97" t="n"/>
      <c r="J90" s="97">
        <f>IFERROR(IF(AVERAGEIF(TableBOM[Item ID],A90,TableBOM[Per 1000 Units])=0,"-",ROUND((H90+I90)/(AVERAGEIF(TableBOM[Item ID],A90,TableBOM[Per 1000 Units])/1000),0)),"-")</f>
        <v/>
      </c>
    </row>
    <row r="91" ht="15" customHeight="1" s="249">
      <c r="A91" s="95" t="n">
        <v>7094</v>
      </c>
      <c r="B91" s="95" t="inlineStr">
        <is>
          <t>Ink</t>
        </is>
      </c>
      <c r="C91" s="96" t="inlineStr">
        <is>
          <t>INK GOLD V0221267AT-401363 IMP</t>
        </is>
      </c>
      <c r="D91" s="95" t="inlineStr">
        <is>
          <t>kg</t>
        </is>
      </c>
      <c r="E91" s="97" t="n">
        <v>0</v>
      </c>
      <c r="F91" s="97" t="n">
        <v>0</v>
      </c>
      <c r="G91" s="97" t="n">
        <v>0</v>
      </c>
      <c r="H91" s="98">
        <f>E91+F91-G91</f>
        <v/>
      </c>
      <c r="I91" s="97" t="n"/>
      <c r="J91" s="97">
        <f>IFERROR(IF(AVERAGEIF(TableBOM[Item ID],A91,TableBOM[Per 1000 Units])=0,"-",ROUND((H91+I91)/(AVERAGEIF(TableBOM[Item ID],A91,TableBOM[Per 1000 Units])/1000),0)),"-")</f>
        <v/>
      </c>
    </row>
    <row r="92" ht="15" customHeight="1" s="249">
      <c r="A92" s="95" t="n">
        <v>7095</v>
      </c>
      <c r="B92" s="95" t="inlineStr">
        <is>
          <t>Ink</t>
        </is>
      </c>
      <c r="C92" s="96" t="inlineStr">
        <is>
          <t>INK BLACK 158000 IMPORTED</t>
        </is>
      </c>
      <c r="D92" s="95" t="inlineStr">
        <is>
          <t>kg</t>
        </is>
      </c>
      <c r="E92" s="97" t="n">
        <v>0</v>
      </c>
      <c r="F92" s="97" t="n">
        <v>0</v>
      </c>
      <c r="G92" s="97" t="n">
        <v>0</v>
      </c>
      <c r="H92" s="98">
        <f>E92+F92-G92</f>
        <v/>
      </c>
      <c r="I92" s="97" t="n"/>
      <c r="J92" s="97">
        <f>IFERROR(IF(AVERAGEIF(TableBOM[Item ID],A92,TableBOM[Per 1000 Units])=0,"-",ROUND((H92+I92)/(AVERAGEIF(TableBOM[Item ID],A92,TableBOM[Per 1000 Units])/1000),0)),"-")</f>
        <v/>
      </c>
    </row>
    <row r="93" ht="15" customHeight="1" s="249">
      <c r="A93" s="95" t="n">
        <v>7152</v>
      </c>
      <c r="B93" s="95" t="inlineStr">
        <is>
          <t>Ink</t>
        </is>
      </c>
      <c r="C93" s="96" t="inlineStr">
        <is>
          <t>INK GREEN ES 166</t>
        </is>
      </c>
      <c r="D93" s="95" t="inlineStr">
        <is>
          <t>kg</t>
        </is>
      </c>
      <c r="E93" s="97" t="n">
        <v>1</v>
      </c>
      <c r="F93" s="97" t="n">
        <v>0</v>
      </c>
      <c r="G93" s="97" t="n">
        <v>0</v>
      </c>
      <c r="H93" s="98">
        <f>E93+F93-G93</f>
        <v/>
      </c>
      <c r="I93" s="97" t="n"/>
      <c r="J93" s="97">
        <f>IFERROR(IF(AVERAGEIF(TableBOM[Item ID],A93,TableBOM[Per 1000 Units])=0,"-",ROUND((H93+I93)/(AVERAGEIF(TableBOM[Item ID],A93,TableBOM[Per 1000 Units])/1000),0)),"-")</f>
        <v/>
      </c>
    </row>
    <row r="94" ht="15" customHeight="1" s="249">
      <c r="A94" s="95" t="n">
        <v>7398</v>
      </c>
      <c r="B94" s="95" t="inlineStr">
        <is>
          <t>Ink</t>
        </is>
      </c>
      <c r="C94" s="96" t="inlineStr">
        <is>
          <t>PURPLE 48054</t>
        </is>
      </c>
      <c r="D94" s="95" t="inlineStr">
        <is>
          <t>kg</t>
        </is>
      </c>
      <c r="E94" s="97" t="n">
        <v>7</v>
      </c>
      <c r="F94" s="97" t="n">
        <v>0</v>
      </c>
      <c r="G94" s="97" t="n">
        <v>0</v>
      </c>
      <c r="H94" s="98">
        <f>E94+F94-G94</f>
        <v/>
      </c>
      <c r="I94" s="97" t="n"/>
      <c r="J94" s="97">
        <f>IFERROR(IF(AVERAGEIF(TableBOM[Item ID],A94,TableBOM[Per 1000 Units])=0,"-",ROUND((H94+I94)/(AVERAGEIF(TableBOM[Item ID],A94,TableBOM[Per 1000 Units])/1000),0)),"-")</f>
        <v/>
      </c>
    </row>
    <row r="95" ht="15" customHeight="1" s="249"/>
    <row r="96" ht="15" customHeight="1" s="249">
      <c r="A96" s="157" t="inlineStr">
        <is>
          <t>PET Inventory — May 2026 Month to Date</t>
        </is>
      </c>
      <c r="B96" s="157" t="n"/>
      <c r="C96" s="157" t="n"/>
      <c r="D96" s="157" t="n"/>
      <c r="E96" s="157" t="n"/>
      <c r="F96" s="157" t="n"/>
      <c r="G96" s="157" t="n"/>
      <c r="H96" s="157" t="n"/>
      <c r="I96" s="157" t="n"/>
      <c r="J96" s="157" t="n"/>
    </row>
    <row r="97" ht="15" customHeight="1" s="249">
      <c r="A97" s="46" t="inlineStr">
        <is>
          <t>Item ID</t>
        </is>
      </c>
      <c r="B97" s="46" t="inlineStr">
        <is>
          <t>Category</t>
        </is>
      </c>
      <c r="C97" s="46" t="inlineStr">
        <is>
          <t>Item Name (ERP)</t>
        </is>
      </c>
      <c r="D97" s="46" t="inlineStr">
        <is>
          <t>UOM</t>
        </is>
      </c>
      <c r="E97" s="46" t="inlineStr">
        <is>
          <t>Opening</t>
        </is>
      </c>
      <c r="F97" s="46" t="inlineStr">
        <is>
          <t>Received from Vendor</t>
        </is>
      </c>
      <c r="G97" s="46" t="inlineStr">
        <is>
          <t>Issued to Production</t>
        </is>
      </c>
      <c r="H97" s="46" t="n"/>
      <c r="I97" s="46" t="inlineStr">
        <is>
          <t>Work In Process</t>
        </is>
      </c>
      <c r="J97" s="46" t="n"/>
    </row>
    <row r="98" ht="15" customHeight="1" s="249">
      <c r="A98" s="95" t="n">
        <v>2680</v>
      </c>
      <c r="B98" s="95" t="inlineStr">
        <is>
          <t>PET Resin</t>
        </is>
      </c>
      <c r="C98" s="96" t="inlineStr">
        <is>
          <t>PET RESIN A-84</t>
        </is>
      </c>
      <c r="D98" s="95" t="inlineStr">
        <is>
          <t>kg</t>
        </is>
      </c>
      <c r="E98" s="97" t="n">
        <v>2500</v>
      </c>
      <c r="F98" s="97" t="n">
        <v>0</v>
      </c>
      <c r="G98" s="97" t="n">
        <v>1825</v>
      </c>
      <c r="H98" s="98">
        <f>E98+F98-G98</f>
        <v/>
      </c>
      <c r="I98" s="97" t="n">
        <v>0</v>
      </c>
      <c r="J98" s="97">
        <f>IFERROR(IF(AVERAGEIF(TableBOM[Item ID],A98,TableBOM[Per 1000 Units])=0,"-",ROUND((H98+I98)/(AVERAGEIF(TableBOM[Item ID],A98,TableBOM[Per 1000 Units])/1000),0)),"-")</f>
        <v/>
      </c>
    </row>
    <row r="99" ht="15" customHeight="1" s="249">
      <c r="A99" s="95" t="n">
        <v>3492</v>
      </c>
      <c r="B99" s="95" t="inlineStr">
        <is>
          <t>Master Batch</t>
        </is>
      </c>
      <c r="C99" s="96" t="inlineStr">
        <is>
          <t>MASTER BATCH (PA M27) GREEN</t>
        </is>
      </c>
      <c r="D99" s="95" t="inlineStr">
        <is>
          <t>kg</t>
        </is>
      </c>
      <c r="E99" s="97" t="n">
        <v>75</v>
      </c>
      <c r="F99" s="97" t="n">
        <v>0</v>
      </c>
      <c r="G99" s="97" t="n">
        <v>0</v>
      </c>
      <c r="H99" s="98">
        <f>E99+F99-G99</f>
        <v/>
      </c>
      <c r="I99" s="97" t="n">
        <v>0</v>
      </c>
      <c r="J99" s="97">
        <f>IFERROR(IF(AVERAGEIF(TableBOM[Item ID],A99,TableBOM[Per 1000 Units])=0,"-",ROUND((H99+I99)/(AVERAGEIF(TableBOM[Item ID],A99,TableBOM[Per 1000 Units])/1000),0)),"-")</f>
        <v/>
      </c>
    </row>
    <row r="100" ht="15" customHeight="1" s="249">
      <c r="A100" s="95" t="n">
        <v>4002</v>
      </c>
      <c r="B100" s="95" t="inlineStr">
        <is>
          <t>Master Batch</t>
        </is>
      </c>
      <c r="C100" s="96" t="inlineStr">
        <is>
          <t>MASTER BATCH YELLOW CMN# 3087</t>
        </is>
      </c>
      <c r="D100" s="95" t="inlineStr">
        <is>
          <t>kg</t>
        </is>
      </c>
      <c r="E100" s="97" t="n">
        <v>0</v>
      </c>
      <c r="F100" s="97" t="n">
        <v>75</v>
      </c>
      <c r="G100" s="97" t="n">
        <v>50</v>
      </c>
      <c r="H100" s="98">
        <f>E100+F100-G100</f>
        <v/>
      </c>
      <c r="I100" s="97" t="n">
        <v>0</v>
      </c>
      <c r="J100" s="97">
        <f>IFERROR(IF(AVERAGEIF(TableBOM[Item ID],A100,TableBOM[Per 1000 Units])=0,"-",ROUND((H100+I100)/(AVERAGEIF(TableBOM[Item ID],A100,TableBOM[Per 1000 Units])/1000),0)),"-")</f>
        <v/>
      </c>
    </row>
    <row r="101" ht="15" customHeight="1" s="249">
      <c r="A101" s="95" t="n">
        <v>4070</v>
      </c>
      <c r="B101" s="95" t="inlineStr">
        <is>
          <t>Master Batch</t>
        </is>
      </c>
      <c r="C101" s="96" t="inlineStr">
        <is>
          <t>MASTER BATCH ONCOLOR YELLOW NE12340208-ZN</t>
        </is>
      </c>
      <c r="D101" s="95" t="inlineStr">
        <is>
          <t>kg</t>
        </is>
      </c>
      <c r="E101" s="97" t="n">
        <v>0</v>
      </c>
      <c r="F101" s="97" t="n">
        <v>0</v>
      </c>
      <c r="G101" s="97" t="n">
        <v>0</v>
      </c>
      <c r="H101" s="98">
        <f>E101+F101-G101</f>
        <v/>
      </c>
      <c r="I101" s="97" t="n">
        <v>0</v>
      </c>
      <c r="J101" s="97">
        <f>IFERROR(IF(AVERAGEIF(TableBOM[Item ID],A101,TableBOM[Per 1000 Units])=0,"-",ROUND((H101+I101)/(AVERAGEIF(TableBOM[Item ID],A101,TableBOM[Per 1000 Units])/1000),0)),"-")</f>
        <v/>
      </c>
    </row>
    <row r="102" ht="15" customHeight="1" s="249">
      <c r="A102" s="95" t="n">
        <v>4310</v>
      </c>
      <c r="B102" s="95" t="inlineStr">
        <is>
          <t>Master Batch</t>
        </is>
      </c>
      <c r="C102" s="96" t="inlineStr">
        <is>
          <t>MASTER BATCH BEIGE (RCW-25)</t>
        </is>
      </c>
      <c r="D102" s="95" t="inlineStr">
        <is>
          <t>kg</t>
        </is>
      </c>
      <c r="E102" s="97" t="n">
        <v>36.23</v>
      </c>
      <c r="F102" s="97" t="n">
        <v>0</v>
      </c>
      <c r="G102" s="97" t="n">
        <v>0</v>
      </c>
      <c r="H102" s="98">
        <f>E102+F102-G102</f>
        <v/>
      </c>
      <c r="I102" s="97" t="n">
        <v>0</v>
      </c>
      <c r="J102" s="97">
        <f>IFERROR(IF(AVERAGEIF(TableBOM[Item ID],A102,TableBOM[Per 1000 Units])=0,"-",ROUND((H102+I102)/(AVERAGEIF(TableBOM[Item ID],A102,TableBOM[Per 1000 Units])/1000),0)),"-")</f>
        <v/>
      </c>
    </row>
    <row r="103" ht="15" customHeight="1" s="249">
      <c r="A103" s="95" t="n">
        <v>5625</v>
      </c>
      <c r="B103" s="95" t="inlineStr">
        <is>
          <t>Master Batch</t>
        </is>
      </c>
      <c r="C103" s="96" t="inlineStr">
        <is>
          <t>MASTER BATCH AMBAR BR-535n</t>
        </is>
      </c>
      <c r="D103" s="95" t="inlineStr">
        <is>
          <t>kg</t>
        </is>
      </c>
      <c r="E103" s="97" t="n">
        <v>48.5</v>
      </c>
      <c r="F103" s="97" t="n">
        <v>0</v>
      </c>
      <c r="G103" s="97" t="n">
        <v>0</v>
      </c>
      <c r="H103" s="98">
        <f>E103+F103-G103</f>
        <v/>
      </c>
      <c r="I103" s="97" t="n">
        <v>0</v>
      </c>
      <c r="J103" s="97">
        <f>IFERROR(IF(AVERAGEIF(TableBOM[Item ID],A103,TableBOM[Per 1000 Units])=0,"-",ROUND((H103+I103)/(AVERAGEIF(TableBOM[Item ID],A103,TableBOM[Per 1000 Units])/1000),0)),"-")</f>
        <v/>
      </c>
    </row>
    <row r="104" ht="15" customHeight="1" s="249">
      <c r="A104" s="95" t="n">
        <v>5816</v>
      </c>
      <c r="B104" s="95" t="inlineStr">
        <is>
          <t>Master Batch</t>
        </is>
      </c>
      <c r="C104" s="96" t="inlineStr">
        <is>
          <t>MASTER BATCH WHITE PRC-MC ET02340000</t>
        </is>
      </c>
      <c r="D104" s="95" t="inlineStr">
        <is>
          <t>kg</t>
        </is>
      </c>
      <c r="E104" s="97" t="n">
        <v>22</v>
      </c>
      <c r="F104" s="97" t="n">
        <v>0</v>
      </c>
      <c r="G104" s="97" t="n">
        <v>0</v>
      </c>
      <c r="H104" s="98">
        <f>E104+F104-G104</f>
        <v/>
      </c>
      <c r="I104" s="97" t="n">
        <v>0</v>
      </c>
      <c r="J104" s="97">
        <f>IFERROR(IF(AVERAGEIF(TableBOM[Item ID],A104,TableBOM[Per 1000 Units])=0,"-",ROUND((H104+I104)/(AVERAGEIF(TableBOM[Item ID],A104,TableBOM[Per 1000 Units])/1000),0)),"-")</f>
        <v/>
      </c>
    </row>
    <row r="105" ht="15" customHeight="1" s="249">
      <c r="A105" s="95" t="n">
        <v>6135</v>
      </c>
      <c r="B105" s="95" t="inlineStr">
        <is>
          <t>Master Batch</t>
        </is>
      </c>
      <c r="C105" s="96" t="inlineStr">
        <is>
          <t>MASTER BATCH RENOL-GREEN NE60340193-MN</t>
        </is>
      </c>
      <c r="D105" s="95" t="inlineStr">
        <is>
          <t>kg</t>
        </is>
      </c>
      <c r="E105" s="97" t="n">
        <v>200</v>
      </c>
      <c r="F105" s="97" t="n">
        <v>0</v>
      </c>
      <c r="G105" s="97" t="n">
        <v>0</v>
      </c>
      <c r="H105" s="98">
        <f>E105+F105-G105</f>
        <v/>
      </c>
      <c r="I105" s="97" t="n">
        <v>0</v>
      </c>
      <c r="J105" s="97">
        <f>IFERROR(IF(AVERAGEIF(TableBOM[Item ID],A105,TableBOM[Per 1000 Units])=0,"-",ROUND((H105+I105)/(AVERAGEIF(TableBOM[Item ID],A105,TableBOM[Per 1000 Units])/1000),0)),"-")</f>
        <v/>
      </c>
    </row>
    <row r="106" ht="15" customHeight="1" s="249">
      <c r="A106" s="95" t="n">
        <v>7133</v>
      </c>
      <c r="B106" s="95" t="inlineStr">
        <is>
          <t>Master Batch</t>
        </is>
      </c>
      <c r="C106" s="96" t="inlineStr">
        <is>
          <t>MASTER BATCH GREEN PE63340532-ZN FA</t>
        </is>
      </c>
      <c r="D106" s="95" t="inlineStr">
        <is>
          <t>kg</t>
        </is>
      </c>
      <c r="E106" s="97" t="n">
        <v>20</v>
      </c>
      <c r="F106" s="97" t="n">
        <v>0</v>
      </c>
      <c r="G106" s="97" t="n">
        <v>0</v>
      </c>
      <c r="H106" s="98">
        <f>E106+F106-G106</f>
        <v/>
      </c>
      <c r="I106" s="97" t="n">
        <v>0</v>
      </c>
      <c r="J106" s="97">
        <f>IFERROR(IF(AVERAGEIF(TableBOM[Item ID],A106,TableBOM[Per 1000 Units])=0,"-",ROUND((H106+I106)/(AVERAGEIF(TableBOM[Item ID],A106,TableBOM[Per 1000 Units])/1000),0)),"-")</f>
        <v/>
      </c>
    </row>
    <row r="107" ht="15" customHeight="1" s="249">
      <c r="A107" s="95" t="n">
        <v>7412</v>
      </c>
      <c r="B107" s="95" t="inlineStr">
        <is>
          <t>Master Batch</t>
        </is>
      </c>
      <c r="C107" s="96" t="inlineStr">
        <is>
          <t>MASTER BATCH BLACK DP# 6411</t>
        </is>
      </c>
      <c r="D107" s="95" t="inlineStr">
        <is>
          <t>kg</t>
        </is>
      </c>
      <c r="E107" s="97" t="n">
        <v>25</v>
      </c>
      <c r="F107" s="97" t="n">
        <v>0</v>
      </c>
      <c r="G107" s="97" t="n">
        <v>0</v>
      </c>
      <c r="H107" s="98">
        <f>E107+F107-G107</f>
        <v/>
      </c>
      <c r="I107" s="97" t="n">
        <v>0</v>
      </c>
      <c r="J107" s="97">
        <f>IFERROR(IF(AVERAGEIF(TableBOM[Item ID],A107,TableBOM[Per 1000 Units])=0,"-",ROUND((H107+I107)/(AVERAGEIF(TableBOM[Item ID],A107,TableBOM[Per 1000 Units])/1000),0)),"-")</f>
        <v/>
      </c>
    </row>
    <row r="108" ht="15" customHeight="1" s="249">
      <c r="A108" s="95" t="n">
        <v>3752</v>
      </c>
      <c r="B108" s="95" t="inlineStr">
        <is>
          <t>Granules</t>
        </is>
      </c>
      <c r="C108" s="96" t="inlineStr">
        <is>
          <t>HIGH DENSITY POLY ETHYLINE (HDPE) 200050</t>
        </is>
      </c>
      <c r="D108" s="95" t="inlineStr">
        <is>
          <t>kg</t>
        </is>
      </c>
      <c r="E108" s="97" t="n">
        <v>56</v>
      </c>
      <c r="F108" s="97" t="n">
        <v>0</v>
      </c>
      <c r="G108" s="97" t="n">
        <v>0</v>
      </c>
      <c r="H108" s="98">
        <f>E108+F108-G108</f>
        <v/>
      </c>
      <c r="I108" s="97" t="n"/>
      <c r="J108" s="97">
        <f>IFERROR(IF(AVERAGEIF(TableBOM[Item ID],A108,TableBOM[Per 1000 Units])=0,"-",ROUND((H108+I108)/(AVERAGEIF(TableBOM[Item ID],A108,TableBOM[Per 1000 Units])/1000),0)),"-")</f>
        <v/>
      </c>
    </row>
    <row r="109" ht="15" customHeight="1" s="249">
      <c r="A109" s="95" t="n">
        <v>4248</v>
      </c>
      <c r="B109" s="95" t="inlineStr">
        <is>
          <t>Granules</t>
        </is>
      </c>
      <c r="C109" s="96" t="inlineStr">
        <is>
          <t>LOW DENSITY POLY ETHYLENE ( LDPE 4025AS AB247Y01)</t>
        </is>
      </c>
      <c r="D109" s="95" t="inlineStr">
        <is>
          <t>kg</t>
        </is>
      </c>
      <c r="E109" s="97" t="n">
        <v>250</v>
      </c>
      <c r="F109" s="97" t="n">
        <v>0</v>
      </c>
      <c r="G109" s="97" t="n">
        <v>0</v>
      </c>
      <c r="H109" s="98">
        <f>E109+F109-G109</f>
        <v/>
      </c>
      <c r="I109" s="97" t="n"/>
      <c r="J109" s="97">
        <f>IFERROR(IF(AVERAGEIF(TableBOM[Item ID],A109,TableBOM[Per 1000 Units])=0,"-",ROUND((H109+I109)/(AVERAGEIF(TableBOM[Item ID],A109,TableBOM[Per 1000 Units])/1000),0)),"-")</f>
        <v/>
      </c>
    </row>
    <row r="110" ht="15" customHeight="1" s="249">
      <c r="A110" s="95" t="n">
        <v>6042</v>
      </c>
      <c r="B110" s="95" t="inlineStr">
        <is>
          <t>Granules</t>
        </is>
      </c>
      <c r="C110" s="96" t="inlineStr">
        <is>
          <t>HDPE BLOW NATURAL ( MARLEX )</t>
        </is>
      </c>
      <c r="D110" s="95" t="inlineStr">
        <is>
          <t>kg</t>
        </is>
      </c>
      <c r="E110" s="97" t="n">
        <v>25</v>
      </c>
      <c r="F110" s="97" t="n">
        <v>0</v>
      </c>
      <c r="G110" s="97" t="n">
        <v>0</v>
      </c>
      <c r="H110" s="98">
        <f>E110+F110-G110</f>
        <v/>
      </c>
      <c r="I110" s="97" t="n"/>
      <c r="J110" s="97">
        <f>IFERROR(IF(AVERAGEIF(TableBOM[Item ID],A110,TableBOM[Per 1000 Units])=0,"-",ROUND((H110+I110)/(AVERAGEIF(TableBOM[Item ID],A110,TableBOM[Per 1000 Units])/1000),0)),"-")</f>
        <v/>
      </c>
    </row>
    <row r="111" ht="15" customHeight="1" s="249">
      <c r="A111" s="95" t="n">
        <v>2267</v>
      </c>
      <c r="B111" s="95" t="inlineStr">
        <is>
          <t>Poly Bag</t>
        </is>
      </c>
      <c r="C111" s="96" t="inlineStr">
        <is>
          <t>POLY BAG 20X30 (LDPE)</t>
        </is>
      </c>
      <c r="D111" s="95" t="inlineStr">
        <is>
          <t>PCS</t>
        </is>
      </c>
      <c r="E111" s="97" t="n">
        <v>150</v>
      </c>
      <c r="F111" s="97" t="n">
        <v>0</v>
      </c>
      <c r="G111" s="97" t="n">
        <v>25</v>
      </c>
      <c r="H111" s="98">
        <f>E111+F111-G111</f>
        <v/>
      </c>
      <c r="I111" s="97" t="n"/>
      <c r="J111" s="97">
        <f>IFERROR(IF(AVERAGEIF(TableBOM[Item ID],A111,TableBOM[Per 1000 Units])=0,"-",ROUND((H111+I111)/(AVERAGEIF(TableBOM[Item ID],A111,TableBOM[Per 1000 Units])/1000),0)),"-")</f>
        <v/>
      </c>
    </row>
    <row r="112" ht="15" customHeight="1" s="249">
      <c r="A112" s="95" t="n">
        <v>3006</v>
      </c>
      <c r="B112" s="95" t="inlineStr">
        <is>
          <t>Poly Bag</t>
        </is>
      </c>
      <c r="C112" s="96" t="inlineStr">
        <is>
          <t>POLY BAG 24X36 (LDPE)</t>
        </is>
      </c>
      <c r="D112" s="95" t="inlineStr">
        <is>
          <t>PCS</t>
        </is>
      </c>
      <c r="E112" s="97" t="n">
        <v>201</v>
      </c>
      <c r="F112" s="97" t="n">
        <v>0</v>
      </c>
      <c r="G112" s="97" t="n">
        <v>0</v>
      </c>
      <c r="H112" s="98">
        <f>E112+F112-G112</f>
        <v/>
      </c>
      <c r="I112" s="97" t="n"/>
      <c r="J112" s="97">
        <f>IFERROR(IF(AVERAGEIF(TableBOM[Item ID],A112,TableBOM[Per 1000 Units])=0,"-",ROUND((H112+I112)/(AVERAGEIF(TableBOM[Item ID],A112,TableBOM[Per 1000 Units])/1000),0)),"-")</f>
        <v/>
      </c>
    </row>
    <row r="113" ht="15" customHeight="1" s="249">
      <c r="A113" s="95" t="n">
        <v>3043</v>
      </c>
      <c r="B113" s="95" t="inlineStr">
        <is>
          <t>Packing</t>
        </is>
      </c>
      <c r="C113" s="96" t="inlineStr">
        <is>
          <t>PLASTIC DOORI</t>
        </is>
      </c>
      <c r="D113" s="95" t="inlineStr">
        <is>
          <t>ROLL</t>
        </is>
      </c>
      <c r="E113" s="97" t="n">
        <v>9</v>
      </c>
      <c r="F113" s="97" t="n">
        <v>0</v>
      </c>
      <c r="G113" s="97" t="n">
        <v>2</v>
      </c>
      <c r="H113" s="98">
        <f>E113+F113-G113</f>
        <v/>
      </c>
      <c r="I113" s="97" t="n"/>
      <c r="J113" s="97">
        <f>IFERROR(IF(AVERAGEIF(TableBOM[Item ID],A113,TableBOM[Per 1000 Units])=0,"-",ROUND((H113+I113)/(AVERAGEIF(TableBOM[Item ID],A113,TableBOM[Per 1000 Units])/1000),0)),"-")</f>
        <v/>
      </c>
    </row>
  </sheetData>
  <mergeCells count="1">
    <mergeCell ref="A1:H1"/>
  </mergeCells>
  <conditionalFormatting sqref="J3:J11 J13:J84">
    <cfRule type="containsText" priority="2" operator="containsText" dxfId="2" text="BOM Missing">
      <formula>NOT(ISERROR(SEARCH("BOM Missing",J3)))</formula>
    </cfRule>
  </conditionalFormatting>
  <conditionalFormatting sqref="K3:K12">
    <cfRule type="cellIs" priority="3" operator="equal" dxfId="1">
      <formula>"CRITICAL - ORDER NOW"</formula>
    </cfRule>
    <cfRule type="cellIs" priority="4" operator="equal" dxfId="0">
      <formula>"Healthy"</formula>
    </cfRule>
  </conditionalFormatting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4"/>
  <sheetViews>
    <sheetView zoomScaleNormal="100" workbookViewId="0">
      <pane ySplit="2" topLeftCell="A3" activePane="bottomLeft" state="frozen"/>
      <selection activeCell="D1" sqref="D1"/>
      <selection pane="bottomLeft" activeCell="D10" sqref="D10"/>
    </sheetView>
  </sheetViews>
  <sheetFormatPr baseColWidth="8" defaultColWidth="8.7109375" defaultRowHeight="15"/>
  <cols>
    <col width="10" customWidth="1" style="249" min="1" max="1"/>
    <col width="36.85546875" customWidth="1" style="249" min="2" max="2"/>
    <col width="37.7109375" customWidth="1" style="249" min="3" max="3"/>
    <col width="40" customWidth="1" style="249" min="4" max="4"/>
    <col width="10" customWidth="1" style="249" min="5" max="5"/>
    <col width="11.42578125" customWidth="1" style="249" min="6" max="6"/>
    <col width="8" customWidth="1" style="249" min="7" max="7"/>
    <col width="12" customWidth="1" style="249" min="8" max="19"/>
  </cols>
  <sheetData>
    <row r="1" ht="20.25" customHeight="1" s="249">
      <c r="A1" s="160" t="inlineStr">
        <is>
          <t xml:space="preserve">  PRODUCT CATALOG — Master lookup for all products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</row>
    <row r="2" ht="15" customHeight="1" s="249">
      <c r="A2" s="107" t="inlineStr">
        <is>
          <t>Product ID</t>
        </is>
      </c>
      <c r="B2" s="107" t="inlineStr">
        <is>
          <t>BOM ID</t>
        </is>
      </c>
      <c r="C2" s="107" t="inlineStr">
        <is>
          <t>Customer</t>
        </is>
      </c>
      <c r="D2" s="107" t="inlineStr">
        <is>
          <t>Product Name</t>
        </is>
      </c>
      <c r="E2" s="107" t="inlineStr">
        <is>
          <t>Dia (mm)</t>
        </is>
      </c>
      <c r="F2" s="107" t="inlineStr">
        <is>
          <t>Length (mm)</t>
        </is>
      </c>
      <c r="G2" s="107" t="inlineStr">
        <is>
          <t>Latex</t>
        </is>
      </c>
      <c r="H2" s="107" t="inlineStr">
        <is>
          <t>Pcs/Carton</t>
        </is>
      </c>
      <c r="I2" s="161" t="inlineStr">
        <is>
          <t># of Pieces</t>
        </is>
      </c>
      <c r="J2" s="161" t="inlineStr">
        <is>
          <t>Slug (kg)</t>
        </is>
      </c>
      <c r="K2" s="161" t="inlineStr">
        <is>
          <t>Base Coat (kg)</t>
        </is>
      </c>
      <c r="L2" s="161" t="inlineStr">
        <is>
          <t>Lacquer (kg)</t>
        </is>
      </c>
      <c r="M2" s="161" t="inlineStr">
        <is>
          <t>Latex (kg)</t>
        </is>
      </c>
      <c r="N2" s="161" t="inlineStr">
        <is>
          <t>Zinc (kg)</t>
        </is>
      </c>
      <c r="O2" s="161" t="inlineStr">
        <is>
          <t>Caps (PCS)</t>
        </is>
      </c>
      <c r="P2" s="161" t="inlineStr">
        <is>
          <t>Cartons (PCS)</t>
        </is>
      </c>
      <c r="Q2" s="161" t="inlineStr">
        <is>
          <t>Ink Used</t>
        </is>
      </c>
      <c r="R2" s="161" t="inlineStr">
        <is>
          <t>Ink Used</t>
        </is>
      </c>
      <c r="S2" s="161" t="inlineStr">
        <is>
          <t>Ink Used</t>
        </is>
      </c>
    </row>
    <row r="3" ht="15" customHeight="1" s="249">
      <c r="A3" s="143" t="n">
        <v>9004</v>
      </c>
      <c r="B3" s="143" t="n">
        <v>904</v>
      </c>
      <c r="C3" s="143" t="inlineStr">
        <is>
          <t>Bahadur</t>
        </is>
      </c>
      <c r="D3" s="144" t="inlineStr">
        <is>
          <t>BAHADUR TUBE 12.5MM</t>
        </is>
      </c>
      <c r="E3" s="143" t="n">
        <v>12.5</v>
      </c>
      <c r="F3" s="143" t="n">
        <v>0</v>
      </c>
      <c r="G3" s="143" t="inlineStr">
        <is>
          <t>No</t>
        </is>
      </c>
      <c r="H3" s="143" t="n">
        <v>0</v>
      </c>
      <c r="I3" s="162" t="n"/>
      <c r="J3" s="147">
        <f>IF(I3="","",IFERROR(SUMPRODUCT((TableBOM[Product ID]=A3)*(TableBOM[Material Category]="SLUG")*TableBOM[Per 1000 Units]*(1+TableBOM[Scrap %]))*I3/1000,0))</f>
        <v/>
      </c>
      <c r="K3" s="147">
        <f>IF(I3="","",IFERROR(SUMPRODUCT((TableBOM[Product ID]=A3)*(TableBOM[Material Category]="BASE COAT")*TableBOM[Per 1000 Units]*(1+TableBOM[Scrap %]))*I3/1000,0))</f>
        <v/>
      </c>
      <c r="L3" s="147">
        <f>IF(I3="","",IFERROR(SUMPRODUCT((TableBOM[Product ID]=A3)*(TableBOM[Material Category]="LACQUER")*TableBOM[Per 1000 Units]*(1+TableBOM[Scrap %]))*I3/1000,0))</f>
        <v/>
      </c>
      <c r="M3" s="147">
        <f>IF(I3="","",IFERROR(SUMPRODUCT((TableBOM[Product ID]=A3)*(TableBOM[Material Category]="LATEX")*TableBOM[Per 1000 Units]*(1+TableBOM[Scrap %]))*I3/1000,0))</f>
        <v/>
      </c>
      <c r="N3" s="147">
        <f>IF(I3="","",IFERROR(SUMPRODUCT((TableBOM[Product ID]=A3)*(TableBOM[Material Category]="ZINC POWDER")*TableBOM[Per 1000 Units]*(1+TableBOM[Scrap %]))*I3/1000,0))</f>
        <v/>
      </c>
      <c r="O3" s="147">
        <f>IF(I3="","",IFERROR(SUMPRODUCT((TableBOM[Product ID]=A3)*(TableBOM[Material Category]="CAP")*TableBOM[Per 1000 Units]*(1+TableBOM[Scrap %]))*I3/1000,0))</f>
        <v/>
      </c>
      <c r="P3" s="147">
        <f>IF(I3="","",IFERROR(SUMPRODUCT((TableBOM[Product ID]=A3)*(TableBOM[Material Category]="CARTON")*TableBOM[Per 1000 Units]*(1+TableBOM[Scrap %]))*I3/1000,0))</f>
        <v/>
      </c>
      <c r="Q3" s="147" t="n"/>
      <c r="R3" s="147" t="n"/>
      <c r="S3" s="147" t="n"/>
    </row>
    <row r="4" ht="15" customHeight="1" s="249">
      <c r="A4" s="143" t="n">
        <v>6561</v>
      </c>
      <c r="B4" s="143" t="n">
        <v>190</v>
      </c>
      <c r="C4" s="143" t="inlineStr">
        <is>
          <t>Brookes Pharma Private Limited</t>
        </is>
      </c>
      <c r="D4" s="144" t="inlineStr">
        <is>
          <t>ECZEMUS OINTMENT 0.03% 10G</t>
        </is>
      </c>
      <c r="E4" s="143" t="n">
        <v>16</v>
      </c>
      <c r="F4" s="143" t="n">
        <v>100</v>
      </c>
      <c r="G4" s="143" t="inlineStr">
        <is>
          <t>No</t>
        </is>
      </c>
      <c r="H4" s="143" t="n">
        <v>588</v>
      </c>
      <c r="I4" s="162" t="n"/>
      <c r="J4" s="147">
        <f>IF(I4="","",IFERROR(SUMPRODUCT((TableBOM[Product ID]=A4)*(TableBOM[Material Category]="SLUG")*TableBOM[Per 1000 Units]*(1+TableBOM[Scrap %]))*I4/1000,0))</f>
        <v/>
      </c>
      <c r="K4" s="147">
        <f>IF(I4="","",IFERROR(SUMPRODUCT((TableBOM[Product ID]=A4)*(TableBOM[Material Category]="BASE COAT")*TableBOM[Per 1000 Units]*(1+TableBOM[Scrap %]))*I4/1000,0))</f>
        <v/>
      </c>
      <c r="L4" s="147">
        <f>IF(I4="","",IFERROR(SUMPRODUCT((TableBOM[Product ID]=A4)*(TableBOM[Material Category]="LACQUER")*TableBOM[Per 1000 Units]*(1+TableBOM[Scrap %]))*I4/1000,0))</f>
        <v/>
      </c>
      <c r="M4" s="147">
        <f>IF(I4="","",IFERROR(SUMPRODUCT((TableBOM[Product ID]=A4)*(TableBOM[Material Category]="LATEX")*TableBOM[Per 1000 Units]*(1+TableBOM[Scrap %]))*I4/1000,0))</f>
        <v/>
      </c>
      <c r="N4" s="147">
        <f>IF(I4="","",IFERROR(SUMPRODUCT((TableBOM[Product ID]=A4)*(TableBOM[Material Category]="ZINC POWDER")*TableBOM[Per 1000 Units]*(1+TableBOM[Scrap %]))*I4/1000,0))</f>
        <v/>
      </c>
      <c r="O4" s="147">
        <f>IF(I4="","",IFERROR(SUMPRODUCT((TableBOM[Product ID]=A4)*(TableBOM[Material Category]="CAP")*TableBOM[Per 1000 Units]*(1+TableBOM[Scrap %]))*I4/1000,0))</f>
        <v/>
      </c>
      <c r="P4" s="147">
        <f>IF(I4="","",IFERROR(SUMPRODUCT((TableBOM[Product ID]=A4)*(TableBOM[Material Category]="CARTON")*TableBOM[Per 1000 Units]*(1+TableBOM[Scrap %]))*I4/1000,0))</f>
        <v/>
      </c>
      <c r="Q4" s="147" t="n"/>
      <c r="R4" s="147" t="n"/>
      <c r="S4" s="147" t="n"/>
    </row>
    <row r="5" ht="15" customHeight="1" s="249">
      <c r="A5" s="143" t="n">
        <v>1085</v>
      </c>
      <c r="B5" s="143" t="n">
        <v>187</v>
      </c>
      <c r="C5" s="143" t="inlineStr">
        <is>
          <t>Brookes Pharma Private Limited</t>
        </is>
      </c>
      <c r="D5" s="144" t="inlineStr">
        <is>
          <t>PYODINE GEL 20GM</t>
        </is>
      </c>
      <c r="E5" s="143" t="n">
        <v>19</v>
      </c>
      <c r="F5" s="143" t="n">
        <v>106</v>
      </c>
      <c r="G5" s="143" t="inlineStr">
        <is>
          <t>No</t>
        </is>
      </c>
      <c r="H5" s="143" t="n">
        <v>588</v>
      </c>
      <c r="I5" s="162" t="n"/>
      <c r="J5" s="147">
        <f>IF(I5="","",IFERROR(SUMPRODUCT((TableBOM[Product ID]=A5)*(TableBOM[Material Category]="SLUG")*TableBOM[Per 1000 Units]*(1+TableBOM[Scrap %]))*I5/1000,0))</f>
        <v/>
      </c>
      <c r="K5" s="147">
        <f>IF(I5="","",IFERROR(SUMPRODUCT((TableBOM[Product ID]=A5)*(TableBOM[Material Category]="BASE COAT")*TableBOM[Per 1000 Units]*(1+TableBOM[Scrap %]))*I5/1000,0))</f>
        <v/>
      </c>
      <c r="L5" s="147">
        <f>IF(I5="","",IFERROR(SUMPRODUCT((TableBOM[Product ID]=A5)*(TableBOM[Material Category]="LACQUER")*TableBOM[Per 1000 Units]*(1+TableBOM[Scrap %]))*I5/1000,0))</f>
        <v/>
      </c>
      <c r="M5" s="147">
        <f>IF(I5="","",IFERROR(SUMPRODUCT((TableBOM[Product ID]=A5)*(TableBOM[Material Category]="LATEX")*TableBOM[Per 1000 Units]*(1+TableBOM[Scrap %]))*I5/1000,0))</f>
        <v/>
      </c>
      <c r="N5" s="147">
        <f>IF(I5="","",IFERROR(SUMPRODUCT((TableBOM[Product ID]=A5)*(TableBOM[Material Category]="ZINC POWDER")*TableBOM[Per 1000 Units]*(1+TableBOM[Scrap %]))*I5/1000,0))</f>
        <v/>
      </c>
      <c r="O5" s="147">
        <f>IF(I5="","",IFERROR(SUMPRODUCT((TableBOM[Product ID]=A5)*(TableBOM[Material Category]="CAP")*TableBOM[Per 1000 Units]*(1+TableBOM[Scrap %]))*I5/1000,0))</f>
        <v/>
      </c>
      <c r="P5" s="147">
        <f>IF(I5="","",IFERROR(SUMPRODUCT((TableBOM[Product ID]=A5)*(TableBOM[Material Category]="CARTON")*TableBOM[Per 1000 Units]*(1+TableBOM[Scrap %]))*I5/1000,0))</f>
        <v/>
      </c>
      <c r="Q5" s="147" t="n"/>
      <c r="R5" s="147" t="n"/>
      <c r="S5" s="147" t="n"/>
    </row>
    <row r="6" ht="15" customHeight="1" s="249">
      <c r="A6" s="143" t="n">
        <v>6559</v>
      </c>
      <c r="B6" s="143" t="n">
        <v>188</v>
      </c>
      <c r="C6" s="143" t="inlineStr">
        <is>
          <t>Brookes Pharma Private Limited</t>
        </is>
      </c>
      <c r="D6" s="144" t="inlineStr">
        <is>
          <t>PHLOGIN GEL 20G</t>
        </is>
      </c>
      <c r="E6" s="143" t="n">
        <v>19</v>
      </c>
      <c r="F6" s="143" t="n">
        <v>106</v>
      </c>
      <c r="G6" s="143" t="inlineStr">
        <is>
          <t>No</t>
        </is>
      </c>
      <c r="H6" s="143" t="n">
        <v>588</v>
      </c>
      <c r="I6" s="162" t="n"/>
      <c r="J6" s="147">
        <f>IF(I6="","",IFERROR(SUMPRODUCT((TableBOM[Product ID]=A6)*(TableBOM[Material Category]="SLUG")*TableBOM[Per 1000 Units]*(1+TableBOM[Scrap %]))*I6/1000,0))</f>
        <v/>
      </c>
      <c r="K6" s="147">
        <f>IF(I6="","",IFERROR(SUMPRODUCT((TableBOM[Product ID]=A6)*(TableBOM[Material Category]="BASE COAT")*TableBOM[Per 1000 Units]*(1+TableBOM[Scrap %]))*I6/1000,0))</f>
        <v/>
      </c>
      <c r="L6" s="147">
        <f>IF(I6="","",IFERROR(SUMPRODUCT((TableBOM[Product ID]=A6)*(TableBOM[Material Category]="LACQUER")*TableBOM[Per 1000 Units]*(1+TableBOM[Scrap %]))*I6/1000,0))</f>
        <v/>
      </c>
      <c r="M6" s="147">
        <f>IF(I6="","",IFERROR(SUMPRODUCT((TableBOM[Product ID]=A6)*(TableBOM[Material Category]="LATEX")*TableBOM[Per 1000 Units]*(1+TableBOM[Scrap %]))*I6/1000,0))</f>
        <v/>
      </c>
      <c r="N6" s="147">
        <f>IF(I6="","",IFERROR(SUMPRODUCT((TableBOM[Product ID]=A6)*(TableBOM[Material Category]="ZINC POWDER")*TableBOM[Per 1000 Units]*(1+TableBOM[Scrap %]))*I6/1000,0))</f>
        <v/>
      </c>
      <c r="O6" s="147">
        <f>IF(I6="","",IFERROR(SUMPRODUCT((TableBOM[Product ID]=A6)*(TableBOM[Material Category]="CAP")*TableBOM[Per 1000 Units]*(1+TableBOM[Scrap %]))*I6/1000,0))</f>
        <v/>
      </c>
      <c r="P6" s="147">
        <f>IF(I6="","",IFERROR(SUMPRODUCT((TableBOM[Product ID]=A6)*(TableBOM[Material Category]="CARTON")*TableBOM[Per 1000 Units]*(1+TableBOM[Scrap %]))*I6/1000,0))</f>
        <v/>
      </c>
      <c r="Q6" s="147" t="n"/>
      <c r="R6" s="147" t="n"/>
      <c r="S6" s="147" t="n"/>
    </row>
    <row r="7" ht="15" customHeight="1" s="249">
      <c r="A7" s="143" t="n">
        <v>6560</v>
      </c>
      <c r="B7" s="143" t="n">
        <v>189</v>
      </c>
      <c r="C7" s="143" t="inlineStr">
        <is>
          <t>Brookes Pharma Private Limited</t>
        </is>
      </c>
      <c r="D7" s="144" t="inlineStr">
        <is>
          <t>CONTRATUBEX GEL 20G</t>
        </is>
      </c>
      <c r="E7" s="143" t="n">
        <v>19</v>
      </c>
      <c r="F7" s="143" t="n">
        <v>106</v>
      </c>
      <c r="G7" s="143" t="inlineStr">
        <is>
          <t>No</t>
        </is>
      </c>
      <c r="H7" s="143" t="n">
        <v>588</v>
      </c>
      <c r="I7" s="162" t="n"/>
      <c r="J7" s="147">
        <f>IF(I7="","",IFERROR(SUMPRODUCT((TableBOM[Product ID]=A7)*(TableBOM[Material Category]="SLUG")*TableBOM[Per 1000 Units]*(1+TableBOM[Scrap %]))*I7/1000,0))</f>
        <v/>
      </c>
      <c r="K7" s="147">
        <f>IF(I7="","",IFERROR(SUMPRODUCT((TableBOM[Product ID]=A7)*(TableBOM[Material Category]="BASE COAT")*TableBOM[Per 1000 Units]*(1+TableBOM[Scrap %]))*I7/1000,0))</f>
        <v/>
      </c>
      <c r="L7" s="147">
        <f>IF(I7="","",IFERROR(SUMPRODUCT((TableBOM[Product ID]=A7)*(TableBOM[Material Category]="LACQUER")*TableBOM[Per 1000 Units]*(1+TableBOM[Scrap %]))*I7/1000,0))</f>
        <v/>
      </c>
      <c r="M7" s="147">
        <f>IF(I7="","",IFERROR(SUMPRODUCT((TableBOM[Product ID]=A7)*(TableBOM[Material Category]="LATEX")*TableBOM[Per 1000 Units]*(1+TableBOM[Scrap %]))*I7/1000,0))</f>
        <v/>
      </c>
      <c r="N7" s="147">
        <f>IF(I7="","",IFERROR(SUMPRODUCT((TableBOM[Product ID]=A7)*(TableBOM[Material Category]="ZINC POWDER")*TableBOM[Per 1000 Units]*(1+TableBOM[Scrap %]))*I7/1000,0))</f>
        <v/>
      </c>
      <c r="O7" s="147">
        <f>IF(I7="","",IFERROR(SUMPRODUCT((TableBOM[Product ID]=A7)*(TableBOM[Material Category]="CAP")*TableBOM[Per 1000 Units]*(1+TableBOM[Scrap %]))*I7/1000,0))</f>
        <v/>
      </c>
      <c r="P7" s="147">
        <f>IF(I7="","",IFERROR(SUMPRODUCT((TableBOM[Product ID]=A7)*(TableBOM[Material Category]="CARTON")*TableBOM[Per 1000 Units]*(1+TableBOM[Scrap %]))*I7/1000,0))</f>
        <v/>
      </c>
      <c r="Q7" s="147" t="n"/>
      <c r="R7" s="147" t="n"/>
      <c r="S7" s="147" t="n"/>
    </row>
    <row r="8" ht="15" customHeight="1" s="249">
      <c r="A8" s="143" t="n">
        <v>6623</v>
      </c>
      <c r="B8" s="143" t="n">
        <v>193</v>
      </c>
      <c r="C8" s="143" t="inlineStr">
        <is>
          <t>Samsol International Private Limited</t>
        </is>
      </c>
      <c r="D8" s="144" t="inlineStr">
        <is>
          <t>S-43 DIA 19MM</t>
        </is>
      </c>
      <c r="E8" s="143" t="n">
        <v>19</v>
      </c>
      <c r="F8" s="143" t="n">
        <v>120</v>
      </c>
      <c r="G8" s="143" t="inlineStr">
        <is>
          <t>No</t>
        </is>
      </c>
      <c r="H8" s="143" t="n">
        <v>510</v>
      </c>
      <c r="J8">
        <f>IF(I8="","",IFERROR(SUMPRODUCT((TableBOM[Product ID]=A8)*(TableBOM[Material Category]="SLUG")*TableBOM[Per 1000 Units]*(1+TableBOM[Scrap %]))*I8/1000,0))</f>
        <v/>
      </c>
      <c r="K8">
        <f>IF(I8="","",IFERROR(SUMPRODUCT((TableBOM[Product ID]=A8)*(TableBOM[Material Category]="BASE COAT")*TableBOM[Per 1000 Units]*(1+TableBOM[Scrap %]))*I8/1000,0))</f>
        <v/>
      </c>
      <c r="L8">
        <f>IF(I8="","",IFERROR(SUMPRODUCT((TableBOM[Product ID]=A8)*(TableBOM[Material Category]="LACQUER")*TableBOM[Per 1000 Units]*(1+TableBOM[Scrap %]))*I8/1000,0))</f>
        <v/>
      </c>
      <c r="M8">
        <f>IF(I8="","",IFERROR(SUMPRODUCT((TableBOM[Product ID]=A8)*(TableBOM[Material Category]="LATEX")*TableBOM[Per 1000 Units]*(1+TableBOM[Scrap %]))*I8/1000,0))</f>
        <v/>
      </c>
      <c r="N8">
        <f>IF(I8="","",IFERROR(SUMPRODUCT((TableBOM[Product ID]=A8)*(TableBOM[Material Category]="ZINC POWDER")*TableBOM[Per 1000 Units]*(1+TableBOM[Scrap %]))*I8/1000,0))</f>
        <v/>
      </c>
      <c r="O8">
        <f>IF(I8="","",IFERROR(SUMPRODUCT((TableBOM[Product ID]=A8)*(TableBOM[Material Category]="CAP")*TableBOM[Per 1000 Units]*(1+TableBOM[Scrap %]))*I8/1000,0))</f>
        <v/>
      </c>
      <c r="P8">
        <f>IF(I8="","",IFERROR(SUMPRODUCT((TableBOM[Product ID]=A8)*(TableBOM[Material Category]="CARTON")*TableBOM[Per 1000 Units]*(1+TableBOM[Scrap %]))*I8/1000,0))</f>
        <v/>
      </c>
    </row>
    <row r="9" ht="15" customHeight="1" s="249">
      <c r="A9" s="143" t="n">
        <v>6624</v>
      </c>
      <c r="B9" s="143" t="n">
        <v>192</v>
      </c>
      <c r="C9" s="143" t="inlineStr">
        <is>
          <t>Samsol International Private Limited</t>
        </is>
      </c>
      <c r="D9" s="144" t="inlineStr">
        <is>
          <t>S-45 DIA 19MM</t>
        </is>
      </c>
      <c r="E9" s="143" t="n">
        <v>19</v>
      </c>
      <c r="F9" s="143" t="n">
        <v>120</v>
      </c>
      <c r="G9" s="143" t="inlineStr">
        <is>
          <t>No</t>
        </is>
      </c>
      <c r="H9" s="143" t="n">
        <v>510</v>
      </c>
      <c r="I9" s="162" t="n"/>
      <c r="J9" s="147">
        <f>IF(I9="","",IFERROR(SUMPRODUCT((TableBOM[Product ID]=A9)*(TableBOM[Material Category]="SLUG")*TableBOM[Per 1000 Units]*(1+TableBOM[Scrap %]))*I9/1000,0))</f>
        <v/>
      </c>
      <c r="K9" s="147">
        <f>IF(I9="","",IFERROR(SUMPRODUCT((TableBOM[Product ID]=A9)*(TableBOM[Material Category]="BASE COAT")*TableBOM[Per 1000 Units]*(1+TableBOM[Scrap %]))*I9/1000,0))</f>
        <v/>
      </c>
      <c r="L9" s="147">
        <f>IF(I9="","",IFERROR(SUMPRODUCT((TableBOM[Product ID]=A9)*(TableBOM[Material Category]="LACQUER")*TableBOM[Per 1000 Units]*(1+TableBOM[Scrap %]))*I9/1000,0))</f>
        <v/>
      </c>
      <c r="M9" s="147">
        <f>IF(I9="","",IFERROR(SUMPRODUCT((TableBOM[Product ID]=A9)*(TableBOM[Material Category]="LATEX")*TableBOM[Per 1000 Units]*(1+TableBOM[Scrap %]))*I9/1000,0))</f>
        <v/>
      </c>
      <c r="N9" s="147">
        <f>IF(I9="","",IFERROR(SUMPRODUCT((TableBOM[Product ID]=A9)*(TableBOM[Material Category]="ZINC POWDER")*TableBOM[Per 1000 Units]*(1+TableBOM[Scrap %]))*I9/1000,0))</f>
        <v/>
      </c>
      <c r="O9" s="147">
        <f>IF(I9="","",IFERROR(SUMPRODUCT((TableBOM[Product ID]=A9)*(TableBOM[Material Category]="CAP")*TableBOM[Per 1000 Units]*(1+TableBOM[Scrap %]))*I9/1000,0))</f>
        <v/>
      </c>
      <c r="P9" s="147">
        <f>IF(I9="","",IFERROR(SUMPRODUCT((TableBOM[Product ID]=A9)*(TableBOM[Material Category]="CARTON")*TableBOM[Per 1000 Units]*(1+TableBOM[Scrap %]))*I9/1000,0))</f>
        <v/>
      </c>
      <c r="Q9" s="147" t="n"/>
      <c r="R9" s="147" t="n"/>
      <c r="S9" s="147" t="n"/>
    </row>
    <row r="10" ht="15" customHeight="1" s="249">
      <c r="A10" s="143" t="n">
        <v>6077</v>
      </c>
      <c r="B10" s="143" t="n">
        <v>138</v>
      </c>
      <c r="C10" s="143" t="inlineStr">
        <is>
          <t>Mablay Beauty PVT LTD.</t>
        </is>
      </c>
      <c r="D10" s="144" t="inlineStr">
        <is>
          <t>VINCE HIS ONLY BEARD &amp; MUSTACHE COLOR CREAM</t>
        </is>
      </c>
      <c r="E10" s="143" t="n">
        <v>20.5</v>
      </c>
      <c r="F10" s="143" t="n">
        <v>120</v>
      </c>
      <c r="G10" s="143" t="inlineStr">
        <is>
          <t>Yes</t>
        </is>
      </c>
      <c r="H10" s="143" t="n">
        <v>200</v>
      </c>
      <c r="I10" s="162" t="n"/>
      <c r="J10" s="147">
        <f>IF(I10="","",IFERROR(SUMPRODUCT((TableBOM[Product ID]=A10)*(TableBOM[Material Category]="SLUG")*TableBOM[Per 1000 Units]*(1+TableBOM[Scrap %]))*I10/1000,0))</f>
        <v/>
      </c>
      <c r="K10" s="147">
        <f>IF(I10="","",IFERROR(SUMPRODUCT((TableBOM[Product ID]=A10)*(TableBOM[Material Category]="BASE COAT")*TableBOM[Per 1000 Units]*(1+TableBOM[Scrap %]))*I10/1000,0))</f>
        <v/>
      </c>
      <c r="L10" s="147">
        <f>IF(I10="","",IFERROR(SUMPRODUCT((TableBOM[Product ID]=A10)*(TableBOM[Material Category]="LACQUER")*TableBOM[Per 1000 Units]*(1+TableBOM[Scrap %]))*I10/1000,0))</f>
        <v/>
      </c>
      <c r="M10" s="147">
        <f>IF(I10="","",IFERROR(SUMPRODUCT((TableBOM[Product ID]=A10)*(TableBOM[Material Category]="LATEX")*TableBOM[Per 1000 Units]*(1+TableBOM[Scrap %]))*I10/1000,0))</f>
        <v/>
      </c>
      <c r="N10" s="147">
        <f>IF(I10="","",IFERROR(SUMPRODUCT((TableBOM[Product ID]=A10)*(TableBOM[Material Category]="ZINC POWDER")*TableBOM[Per 1000 Units]*(1+TableBOM[Scrap %]))*I10/1000,0))</f>
        <v/>
      </c>
      <c r="O10" s="147">
        <f>IF(I10="","",IFERROR(SUMPRODUCT((TableBOM[Product ID]=A10)*(TableBOM[Material Category]="CAP")*TableBOM[Per 1000 Units]*(1+TableBOM[Scrap %]))*I10/1000,0))</f>
        <v/>
      </c>
      <c r="P10" s="147">
        <f>IF(I10="","",IFERROR(SUMPRODUCT((TableBOM[Product ID]=A10)*(TableBOM[Material Category]="CARTON")*TableBOM[Per 1000 Units]*(1+TableBOM[Scrap %]))*I10/1000,0))</f>
        <v/>
      </c>
      <c r="Q10" s="147" t="n"/>
      <c r="R10" s="147" t="n"/>
      <c r="S10" s="147" t="n"/>
    </row>
    <row r="11" ht="15" customHeight="1" s="249">
      <c r="A11" s="143" t="n">
        <v>5698</v>
      </c>
      <c r="B11" s="143" t="n">
        <v>22</v>
      </c>
      <c r="C11" s="143" t="inlineStr">
        <is>
          <t>Samsol International Private Limited</t>
        </is>
      </c>
      <c r="D11" s="144" t="inlineStr">
        <is>
          <t>S-45 DIA 20.5</t>
        </is>
      </c>
      <c r="E11" s="143" t="n">
        <v>20.5</v>
      </c>
      <c r="F11" s="143" t="n">
        <v>120</v>
      </c>
      <c r="G11" s="143" t="inlineStr">
        <is>
          <t>No</t>
        </is>
      </c>
      <c r="H11" s="143" t="n">
        <v>336</v>
      </c>
      <c r="I11" s="162" t="n"/>
      <c r="J11" s="147">
        <f>IF(I11="","",IFERROR(SUMPRODUCT((TableBOM[Product ID]=A11)*(TableBOM[Material Category]="SLUG")*TableBOM[Per 1000 Units]*(1+TableBOM[Scrap %]))*I11/1000,0))</f>
        <v/>
      </c>
      <c r="K11" s="147">
        <f>IF(I11="","",IFERROR(SUMPRODUCT((TableBOM[Product ID]=A11)*(TableBOM[Material Category]="BASE COAT")*TableBOM[Per 1000 Units]*(1+TableBOM[Scrap %]))*I11/1000,0))</f>
        <v/>
      </c>
      <c r="L11" s="147">
        <f>IF(I11="","",IFERROR(SUMPRODUCT((TableBOM[Product ID]=A11)*(TableBOM[Material Category]="LACQUER")*TableBOM[Per 1000 Units]*(1+TableBOM[Scrap %]))*I11/1000,0))</f>
        <v/>
      </c>
      <c r="M11" s="147">
        <f>IF(I11="","",IFERROR(SUMPRODUCT((TableBOM[Product ID]=A11)*(TableBOM[Material Category]="LATEX")*TableBOM[Per 1000 Units]*(1+TableBOM[Scrap %]))*I11/1000,0))</f>
        <v/>
      </c>
      <c r="N11" s="147">
        <f>IF(I11="","",IFERROR(SUMPRODUCT((TableBOM[Product ID]=A11)*(TableBOM[Material Category]="ZINC POWDER")*TableBOM[Per 1000 Units]*(1+TableBOM[Scrap %]))*I11/1000,0))</f>
        <v/>
      </c>
      <c r="O11" s="147">
        <f>IF(I11="","",IFERROR(SUMPRODUCT((TableBOM[Product ID]=A11)*(TableBOM[Material Category]="CAP")*TableBOM[Per 1000 Units]*(1+TableBOM[Scrap %]))*I11/1000,0))</f>
        <v/>
      </c>
      <c r="P11" s="147">
        <f>IF(I11="","",IFERROR(SUMPRODUCT((TableBOM[Product ID]=A11)*(TableBOM[Material Category]="CARTON")*TableBOM[Per 1000 Units]*(1+TableBOM[Scrap %]))*I11/1000,0))</f>
        <v/>
      </c>
      <c r="Q11" s="147" t="n"/>
      <c r="R11" s="147" t="n"/>
      <c r="S11" s="147" t="n"/>
    </row>
    <row r="12" ht="15" customHeight="1" s="249">
      <c r="A12" s="143" t="n">
        <v>5699</v>
      </c>
      <c r="B12" s="143" t="n">
        <v>21</v>
      </c>
      <c r="C12" s="143" t="inlineStr">
        <is>
          <t>Samsol International Private Limited</t>
        </is>
      </c>
      <c r="D12" s="144" t="inlineStr">
        <is>
          <t>S-43 DIA 20.5</t>
        </is>
      </c>
      <c r="E12" s="143" t="n">
        <v>20.5</v>
      </c>
      <c r="F12" s="143" t="n">
        <v>120</v>
      </c>
      <c r="G12" s="143" t="inlineStr">
        <is>
          <t>No</t>
        </is>
      </c>
      <c r="H12" s="143" t="n">
        <v>336</v>
      </c>
      <c r="I12" s="162" t="n"/>
      <c r="J12" s="147">
        <f>IF(I12="","",IFERROR(SUMPRODUCT((TableBOM[Product ID]=A12)*(TableBOM[Material Category]="SLUG")*TableBOM[Per 1000 Units]*(1+TableBOM[Scrap %]))*I12/1000,0))</f>
        <v/>
      </c>
      <c r="K12" s="147">
        <f>IF(I12="","",IFERROR(SUMPRODUCT((TableBOM[Product ID]=A12)*(TableBOM[Material Category]="BASE COAT")*TableBOM[Per 1000 Units]*(1+TableBOM[Scrap %]))*I12/1000,0))</f>
        <v/>
      </c>
      <c r="L12" s="147">
        <f>IF(I12="","",IFERROR(SUMPRODUCT((TableBOM[Product ID]=A12)*(TableBOM[Material Category]="LACQUER")*TableBOM[Per 1000 Units]*(1+TableBOM[Scrap %]))*I12/1000,0))</f>
        <v/>
      </c>
      <c r="M12" s="147">
        <f>IF(I12="","",IFERROR(SUMPRODUCT((TableBOM[Product ID]=A12)*(TableBOM[Material Category]="LATEX")*TableBOM[Per 1000 Units]*(1+TableBOM[Scrap %]))*I12/1000,0))</f>
        <v/>
      </c>
      <c r="N12" s="147">
        <f>IF(I12="","",IFERROR(SUMPRODUCT((TableBOM[Product ID]=A12)*(TableBOM[Material Category]="ZINC POWDER")*TableBOM[Per 1000 Units]*(1+TableBOM[Scrap %]))*I12/1000,0))</f>
        <v/>
      </c>
      <c r="O12" s="147">
        <f>IF(I12="","",IFERROR(SUMPRODUCT((TableBOM[Product ID]=A12)*(TableBOM[Material Category]="CAP")*TableBOM[Per 1000 Units]*(1+TableBOM[Scrap %]))*I12/1000,0))</f>
        <v/>
      </c>
      <c r="P12" s="147">
        <f>IF(I12="","",IFERROR(SUMPRODUCT((TableBOM[Product ID]=A12)*(TableBOM[Material Category]="CARTON")*TableBOM[Per 1000 Units]*(1+TableBOM[Scrap %]))*I12/1000,0))</f>
        <v/>
      </c>
      <c r="Q12" s="147" t="n"/>
      <c r="R12" s="147" t="n"/>
      <c r="S12" s="147" t="n"/>
    </row>
    <row r="13" ht="15" customHeight="1" s="249">
      <c r="A13" s="143" t="n">
        <v>5731</v>
      </c>
      <c r="B13" s="143" t="n">
        <v>32</v>
      </c>
      <c r="C13" s="143" t="inlineStr">
        <is>
          <t>Samsol International Private Limited</t>
        </is>
      </c>
      <c r="D13" s="144" t="inlineStr">
        <is>
          <t>SAMSOL HAIR COLOR 45 DIA 20.5 MM</t>
        </is>
      </c>
      <c r="E13" s="143" t="n">
        <v>20.5</v>
      </c>
      <c r="F13" s="143" t="n">
        <v>120</v>
      </c>
      <c r="G13" s="143" t="inlineStr">
        <is>
          <t>No</t>
        </is>
      </c>
      <c r="H13" s="143" t="n">
        <v>510</v>
      </c>
      <c r="I13" s="162" t="n"/>
      <c r="J13" s="147">
        <f>IF(I13="","",IFERROR(SUMPRODUCT((TableBOM[Product ID]=A13)*(TableBOM[Material Category]="SLUG")*TableBOM[Per 1000 Units]*(1+TableBOM[Scrap %]))*I13/1000,0))</f>
        <v/>
      </c>
      <c r="K13" s="147">
        <f>IF(I13="","",IFERROR(SUMPRODUCT((TableBOM[Product ID]=A13)*(TableBOM[Material Category]="BASE COAT")*TableBOM[Per 1000 Units]*(1+TableBOM[Scrap %]))*I13/1000,0))</f>
        <v/>
      </c>
      <c r="L13" s="147">
        <f>IF(I13="","",IFERROR(SUMPRODUCT((TableBOM[Product ID]=A13)*(TableBOM[Material Category]="LACQUER")*TableBOM[Per 1000 Units]*(1+TableBOM[Scrap %]))*I13/1000,0))</f>
        <v/>
      </c>
      <c r="M13" s="147">
        <f>IF(I13="","",IFERROR(SUMPRODUCT((TableBOM[Product ID]=A13)*(TableBOM[Material Category]="LATEX")*TableBOM[Per 1000 Units]*(1+TableBOM[Scrap %]))*I13/1000,0))</f>
        <v/>
      </c>
      <c r="N13" s="147">
        <f>IF(I13="","",IFERROR(SUMPRODUCT((TableBOM[Product ID]=A13)*(TableBOM[Material Category]="ZINC POWDER")*TableBOM[Per 1000 Units]*(1+TableBOM[Scrap %]))*I13/1000,0))</f>
        <v/>
      </c>
      <c r="O13" s="147">
        <f>IF(I13="","",IFERROR(SUMPRODUCT((TableBOM[Product ID]=A13)*(TableBOM[Material Category]="CAP")*TableBOM[Per 1000 Units]*(1+TableBOM[Scrap %]))*I13/1000,0))</f>
        <v/>
      </c>
      <c r="P13" s="147">
        <f>IF(I13="","",IFERROR(SUMPRODUCT((TableBOM[Product ID]=A13)*(TableBOM[Material Category]="CARTON")*TableBOM[Per 1000 Units]*(1+TableBOM[Scrap %]))*I13/1000,0))</f>
        <v/>
      </c>
      <c r="Q13" s="147" t="n"/>
      <c r="R13" s="147" t="n"/>
      <c r="S13" s="147" t="n"/>
    </row>
    <row r="14" ht="15" customHeight="1" s="249">
      <c r="A14" s="143" t="n">
        <v>5732</v>
      </c>
      <c r="B14" s="143" t="n">
        <v>33</v>
      </c>
      <c r="C14" s="143" t="inlineStr">
        <is>
          <t>Samsol International Private Limited</t>
        </is>
      </c>
      <c r="D14" s="144" t="inlineStr">
        <is>
          <t>SAMSOL HAIR COLOR 43 DIA 20.5 MM</t>
        </is>
      </c>
      <c r="E14" s="143" t="n">
        <v>20.5</v>
      </c>
      <c r="F14" s="143" t="n">
        <v>120</v>
      </c>
      <c r="G14" s="143" t="inlineStr">
        <is>
          <t>No</t>
        </is>
      </c>
      <c r="H14" s="143" t="n">
        <v>510</v>
      </c>
      <c r="I14" s="162" t="n"/>
      <c r="J14" s="147">
        <f>IF(I14="","",IFERROR(SUMPRODUCT((TableBOM[Product ID]=A14)*(TableBOM[Material Category]="SLUG")*TableBOM[Per 1000 Units]*(1+TableBOM[Scrap %]))*I14/1000,0))</f>
        <v/>
      </c>
      <c r="K14" s="147">
        <f>IF(I14="","",IFERROR(SUMPRODUCT((TableBOM[Product ID]=A14)*(TableBOM[Material Category]="BASE COAT")*TableBOM[Per 1000 Units]*(1+TableBOM[Scrap %]))*I14/1000,0))</f>
        <v/>
      </c>
      <c r="L14" s="147">
        <f>IF(I14="","",IFERROR(SUMPRODUCT((TableBOM[Product ID]=A14)*(TableBOM[Material Category]="LACQUER")*TableBOM[Per 1000 Units]*(1+TableBOM[Scrap %]))*I14/1000,0))</f>
        <v/>
      </c>
      <c r="M14" s="147">
        <f>IF(I14="","",IFERROR(SUMPRODUCT((TableBOM[Product ID]=A14)*(TableBOM[Material Category]="LATEX")*TableBOM[Per 1000 Units]*(1+TableBOM[Scrap %]))*I14/1000,0))</f>
        <v/>
      </c>
      <c r="N14" s="147">
        <f>IF(I14="","",IFERROR(SUMPRODUCT((TableBOM[Product ID]=A14)*(TableBOM[Material Category]="ZINC POWDER")*TableBOM[Per 1000 Units]*(1+TableBOM[Scrap %]))*I14/1000,0))</f>
        <v/>
      </c>
      <c r="O14" s="147">
        <f>IF(I14="","",IFERROR(SUMPRODUCT((TableBOM[Product ID]=A14)*(TableBOM[Material Category]="CAP")*TableBOM[Per 1000 Units]*(1+TableBOM[Scrap %]))*I14/1000,0))</f>
        <v/>
      </c>
      <c r="P14" s="147">
        <f>IF(I14="","",IFERROR(SUMPRODUCT((TableBOM[Product ID]=A14)*(TableBOM[Material Category]="CARTON")*TableBOM[Per 1000 Units]*(1+TableBOM[Scrap %]))*I14/1000,0))</f>
        <v/>
      </c>
      <c r="Q14" s="147" t="n"/>
      <c r="R14" s="147" t="n"/>
      <c r="S14" s="147" t="n"/>
    </row>
    <row r="15" ht="15" customHeight="1" s="249">
      <c r="A15" s="143" t="n">
        <v>6556</v>
      </c>
      <c r="B15" s="143" t="n">
        <v>186</v>
      </c>
      <c r="C15" s="143" t="inlineStr">
        <is>
          <t>Samsol International Private Limited</t>
        </is>
      </c>
      <c r="D15" s="144" t="inlineStr">
        <is>
          <t>SAMSOL HAIR COLOR 39 SMALL PURPLE</t>
        </is>
      </c>
      <c r="E15" s="143" t="n">
        <v>20.5</v>
      </c>
      <c r="F15" s="143" t="n">
        <v>120</v>
      </c>
      <c r="G15" s="143" t="inlineStr">
        <is>
          <t>No</t>
        </is>
      </c>
      <c r="H15" s="143" t="n">
        <v>510</v>
      </c>
      <c r="I15" s="162" t="n"/>
      <c r="J15" s="147">
        <f>IF(I15="","",IFERROR(SUMPRODUCT((TableBOM[Product ID]=A15)*(TableBOM[Material Category]="SLUG")*TableBOM[Per 1000 Units]*(1+TableBOM[Scrap %]))*I15/1000,0))</f>
        <v/>
      </c>
      <c r="K15" s="147">
        <f>IF(I15="","",IFERROR(SUMPRODUCT((TableBOM[Product ID]=A15)*(TableBOM[Material Category]="BASE COAT")*TableBOM[Per 1000 Units]*(1+TableBOM[Scrap %]))*I15/1000,0))</f>
        <v/>
      </c>
      <c r="L15" s="147">
        <f>IF(I15="","",IFERROR(SUMPRODUCT((TableBOM[Product ID]=A15)*(TableBOM[Material Category]="LACQUER")*TableBOM[Per 1000 Units]*(1+TableBOM[Scrap %]))*I15/1000,0))</f>
        <v/>
      </c>
      <c r="M15" s="147">
        <f>IF(I15="","",IFERROR(SUMPRODUCT((TableBOM[Product ID]=A15)*(TableBOM[Material Category]="LATEX")*TableBOM[Per 1000 Units]*(1+TableBOM[Scrap %]))*I15/1000,0))</f>
        <v/>
      </c>
      <c r="N15" s="147">
        <f>IF(I15="","",IFERROR(SUMPRODUCT((TableBOM[Product ID]=A15)*(TableBOM[Material Category]="ZINC POWDER")*TableBOM[Per 1000 Units]*(1+TableBOM[Scrap %]))*I15/1000,0))</f>
        <v/>
      </c>
      <c r="O15" s="147">
        <f>IF(I15="","",IFERROR(SUMPRODUCT((TableBOM[Product ID]=A15)*(TableBOM[Material Category]="CAP")*TableBOM[Per 1000 Units]*(1+TableBOM[Scrap %]))*I15/1000,0))</f>
        <v/>
      </c>
      <c r="P15" s="147">
        <f>IF(I15="","",IFERROR(SUMPRODUCT((TableBOM[Product ID]=A15)*(TableBOM[Material Category]="CARTON")*TableBOM[Per 1000 Units]*(1+TableBOM[Scrap %]))*I15/1000,0))</f>
        <v/>
      </c>
      <c r="Q15" s="147" t="n"/>
      <c r="R15" s="147" t="n"/>
      <c r="S15" s="147" t="n"/>
    </row>
    <row r="16" ht="15" customHeight="1" s="249">
      <c r="A16" s="143" t="n">
        <v>6557</v>
      </c>
      <c r="B16" s="143" t="n">
        <v>185</v>
      </c>
      <c r="C16" s="143" t="inlineStr">
        <is>
          <t>Samsol International Private Limited</t>
        </is>
      </c>
      <c r="D16" s="144" t="inlineStr">
        <is>
          <t>SAMSOL HAIR COLOR 41 SMALL PURPLE</t>
        </is>
      </c>
      <c r="E16" s="143" t="n">
        <v>20.5</v>
      </c>
      <c r="F16" s="143" t="n">
        <v>120</v>
      </c>
      <c r="G16" s="143" t="inlineStr">
        <is>
          <t>No</t>
        </is>
      </c>
      <c r="H16" s="143" t="n">
        <v>510</v>
      </c>
      <c r="I16" s="162" t="n"/>
      <c r="J16" s="147">
        <f>IF(I16="","",IFERROR(SUMPRODUCT((TableBOM[Product ID]=A16)*(TableBOM[Material Category]="SLUG")*TableBOM[Per 1000 Units]*(1+TableBOM[Scrap %]))*I16/1000,0))</f>
        <v/>
      </c>
      <c r="K16" s="147">
        <f>IF(I16="","",IFERROR(SUMPRODUCT((TableBOM[Product ID]=A16)*(TableBOM[Material Category]="BASE COAT")*TableBOM[Per 1000 Units]*(1+TableBOM[Scrap %]))*I16/1000,0))</f>
        <v/>
      </c>
      <c r="L16" s="147">
        <f>IF(I16="","",IFERROR(SUMPRODUCT((TableBOM[Product ID]=A16)*(TableBOM[Material Category]="LACQUER")*TableBOM[Per 1000 Units]*(1+TableBOM[Scrap %]))*I16/1000,0))</f>
        <v/>
      </c>
      <c r="M16" s="147">
        <f>IF(I16="","",IFERROR(SUMPRODUCT((TableBOM[Product ID]=A16)*(TableBOM[Material Category]="LATEX")*TableBOM[Per 1000 Units]*(1+TableBOM[Scrap %]))*I16/1000,0))</f>
        <v/>
      </c>
      <c r="N16" s="147">
        <f>IF(I16="","",IFERROR(SUMPRODUCT((TableBOM[Product ID]=A16)*(TableBOM[Material Category]="ZINC POWDER")*TableBOM[Per 1000 Units]*(1+TableBOM[Scrap %]))*I16/1000,0))</f>
        <v/>
      </c>
      <c r="O16" s="147">
        <f>IF(I16="","",IFERROR(SUMPRODUCT((TableBOM[Product ID]=A16)*(TableBOM[Material Category]="CAP")*TableBOM[Per 1000 Units]*(1+TableBOM[Scrap %]))*I16/1000,0))</f>
        <v/>
      </c>
      <c r="P16" s="147">
        <f>IF(I16="","",IFERROR(SUMPRODUCT((TableBOM[Product ID]=A16)*(TableBOM[Material Category]="CARTON")*TableBOM[Per 1000 Units]*(1+TableBOM[Scrap %]))*I16/1000,0))</f>
        <v/>
      </c>
      <c r="Q16" s="147" t="n"/>
      <c r="R16" s="147" t="n"/>
      <c r="S16" s="147" t="n"/>
    </row>
    <row r="17" ht="15" customHeight="1" s="249">
      <c r="A17" s="143" t="n">
        <v>6228</v>
      </c>
      <c r="B17" s="143" t="n">
        <v>150</v>
      </c>
      <c r="C17" s="143" t="inlineStr">
        <is>
          <t>Mablay Beauty PVT LTD.</t>
        </is>
      </c>
      <c r="D17" s="144" t="inlineStr">
        <is>
          <t>HIS ONLY HAIR COLOR CREAM 40GM</t>
        </is>
      </c>
      <c r="E17" s="143" t="n">
        <v>25</v>
      </c>
      <c r="F17" s="143" t="n">
        <v>130</v>
      </c>
      <c r="G17" s="143" t="inlineStr">
        <is>
          <t>Yes</t>
        </is>
      </c>
      <c r="H17" s="143" t="n">
        <v>336</v>
      </c>
      <c r="I17" s="162" t="n"/>
      <c r="J17" s="147">
        <f>IF(I17="","",IFERROR(SUMPRODUCT((TableBOM[Product ID]=A17)*(TableBOM[Material Category]="SLUG")*TableBOM[Per 1000 Units]*(1+TableBOM[Scrap %]))*I17/1000,0))</f>
        <v/>
      </c>
      <c r="K17" s="147">
        <f>IF(I17="","",IFERROR(SUMPRODUCT((TableBOM[Product ID]=A17)*(TableBOM[Material Category]="BASE COAT")*TableBOM[Per 1000 Units]*(1+TableBOM[Scrap %]))*I17/1000,0))</f>
        <v/>
      </c>
      <c r="L17" s="147">
        <f>IF(I17="","",IFERROR(SUMPRODUCT((TableBOM[Product ID]=A17)*(TableBOM[Material Category]="LACQUER")*TableBOM[Per 1000 Units]*(1+TableBOM[Scrap %]))*I17/1000,0))</f>
        <v/>
      </c>
      <c r="M17" s="147">
        <f>IF(I17="","",IFERROR(SUMPRODUCT((TableBOM[Product ID]=A17)*(TableBOM[Material Category]="LATEX")*TableBOM[Per 1000 Units]*(1+TableBOM[Scrap %]))*I17/1000,0))</f>
        <v/>
      </c>
      <c r="N17" s="147">
        <f>IF(I17="","",IFERROR(SUMPRODUCT((TableBOM[Product ID]=A17)*(TableBOM[Material Category]="ZINC POWDER")*TableBOM[Per 1000 Units]*(1+TableBOM[Scrap %]))*I17/1000,0))</f>
        <v/>
      </c>
      <c r="O17" s="147">
        <f>IF(I17="","",IFERROR(SUMPRODUCT((TableBOM[Product ID]=A17)*(TableBOM[Material Category]="CAP")*TableBOM[Per 1000 Units]*(1+TableBOM[Scrap %]))*I17/1000,0))</f>
        <v/>
      </c>
      <c r="P17" s="147">
        <f>IF(I17="","",IFERROR(SUMPRODUCT((TableBOM[Product ID]=A17)*(TableBOM[Material Category]="CARTON")*TableBOM[Per 1000 Units]*(1+TableBOM[Scrap %]))*I17/1000,0))</f>
        <v/>
      </c>
      <c r="Q17" s="147" t="n"/>
      <c r="R17" s="147" t="n"/>
      <c r="S17" s="147" t="n"/>
    </row>
    <row r="18" ht="15" customHeight="1" s="249">
      <c r="A18" s="143" t="n">
        <v>3447</v>
      </c>
      <c r="B18" s="143" t="n">
        <v>34</v>
      </c>
      <c r="C18" s="143" t="inlineStr">
        <is>
          <t>Samsol International Private Limited</t>
        </is>
      </c>
      <c r="D18" s="144" t="inlineStr">
        <is>
          <t>S 43 25MM</t>
        </is>
      </c>
      <c r="E18" s="143" t="n">
        <v>25</v>
      </c>
      <c r="F18" s="143" t="n">
        <v>150</v>
      </c>
      <c r="G18" s="143" t="inlineStr">
        <is>
          <t>No</t>
        </is>
      </c>
      <c r="H18" s="143" t="n">
        <v>336</v>
      </c>
      <c r="I18" s="162" t="n"/>
      <c r="J18" s="147">
        <f>IF(I18="","",IFERROR(SUMPRODUCT((TableBOM[Product ID]=A18)*(TableBOM[Material Category]="SLUG")*TableBOM[Per 1000 Units]*(1+TableBOM[Scrap %]))*I18/1000,0))</f>
        <v/>
      </c>
      <c r="K18" s="147">
        <f>IF(I18="","",IFERROR(SUMPRODUCT((TableBOM[Product ID]=A18)*(TableBOM[Material Category]="BASE COAT")*TableBOM[Per 1000 Units]*(1+TableBOM[Scrap %]))*I18/1000,0))</f>
        <v/>
      </c>
      <c r="L18" s="147">
        <f>IF(I18="","",IFERROR(SUMPRODUCT((TableBOM[Product ID]=A18)*(TableBOM[Material Category]="LACQUER")*TableBOM[Per 1000 Units]*(1+TableBOM[Scrap %]))*I18/1000,0))</f>
        <v/>
      </c>
      <c r="M18" s="147">
        <f>IF(I18="","",IFERROR(SUMPRODUCT((TableBOM[Product ID]=A18)*(TableBOM[Material Category]="LATEX")*TableBOM[Per 1000 Units]*(1+TableBOM[Scrap %]))*I18/1000,0))</f>
        <v/>
      </c>
      <c r="N18" s="147">
        <f>IF(I18="","",IFERROR(SUMPRODUCT((TableBOM[Product ID]=A18)*(TableBOM[Material Category]="ZINC POWDER")*TableBOM[Per 1000 Units]*(1+TableBOM[Scrap %]))*I18/1000,0))</f>
        <v/>
      </c>
      <c r="O18" s="147">
        <f>IF(I18="","",IFERROR(SUMPRODUCT((TableBOM[Product ID]=A18)*(TableBOM[Material Category]="CAP")*TableBOM[Per 1000 Units]*(1+TableBOM[Scrap %]))*I18/1000,0))</f>
        <v/>
      </c>
      <c r="P18" s="147">
        <f>IF(I18="","",IFERROR(SUMPRODUCT((TableBOM[Product ID]=A18)*(TableBOM[Material Category]="CARTON")*TableBOM[Per 1000 Units]*(1+TableBOM[Scrap %]))*I18/1000,0))</f>
        <v/>
      </c>
      <c r="Q18" s="147" t="n"/>
      <c r="R18" s="147" t="n"/>
      <c r="S18" s="147" t="n"/>
    </row>
    <row r="19" ht="15" customHeight="1" s="249">
      <c r="A19" s="143" t="n">
        <v>3726</v>
      </c>
      <c r="B19" s="143" t="n">
        <v>9</v>
      </c>
      <c r="C19" s="143" t="inlineStr">
        <is>
          <t>Samsol International Private Limited</t>
        </is>
      </c>
      <c r="D19" s="144" t="inlineStr">
        <is>
          <t>TUBES</t>
        </is>
      </c>
      <c r="E19" s="143" t="n">
        <v>25</v>
      </c>
      <c r="F19" s="143" t="n">
        <v>150</v>
      </c>
      <c r="G19" s="143" t="inlineStr">
        <is>
          <t>No</t>
        </is>
      </c>
      <c r="H19" s="143" t="n">
        <v>336</v>
      </c>
      <c r="I19" s="162" t="n"/>
      <c r="J19" s="147">
        <f>IF(I19="","",IFERROR(SUMPRODUCT((TableBOM[Product ID]=A19)*(TableBOM[Material Category]="SLUG")*TableBOM[Per 1000 Units]*(1+TableBOM[Scrap %]))*I19/1000,0))</f>
        <v/>
      </c>
      <c r="K19" s="147">
        <f>IF(I19="","",IFERROR(SUMPRODUCT((TableBOM[Product ID]=A19)*(TableBOM[Material Category]="BASE COAT")*TableBOM[Per 1000 Units]*(1+TableBOM[Scrap %]))*I19/1000,0))</f>
        <v/>
      </c>
      <c r="L19" s="147">
        <f>IF(I19="","",IFERROR(SUMPRODUCT((TableBOM[Product ID]=A19)*(TableBOM[Material Category]="LACQUER")*TableBOM[Per 1000 Units]*(1+TableBOM[Scrap %]))*I19/1000,0))</f>
        <v/>
      </c>
      <c r="M19" s="147">
        <f>IF(I19="","",IFERROR(SUMPRODUCT((TableBOM[Product ID]=A19)*(TableBOM[Material Category]="LATEX")*TableBOM[Per 1000 Units]*(1+TableBOM[Scrap %]))*I19/1000,0))</f>
        <v/>
      </c>
      <c r="N19" s="147">
        <f>IF(I19="","",IFERROR(SUMPRODUCT((TableBOM[Product ID]=A19)*(TableBOM[Material Category]="ZINC POWDER")*TableBOM[Per 1000 Units]*(1+TableBOM[Scrap %]))*I19/1000,0))</f>
        <v/>
      </c>
      <c r="O19" s="147">
        <f>IF(I19="","",IFERROR(SUMPRODUCT((TableBOM[Product ID]=A19)*(TableBOM[Material Category]="CAP")*TableBOM[Per 1000 Units]*(1+TableBOM[Scrap %]))*I19/1000,0))</f>
        <v/>
      </c>
      <c r="P19" s="147">
        <f>IF(I19="","",IFERROR(SUMPRODUCT((TableBOM[Product ID]=A19)*(TableBOM[Material Category]="CARTON")*TableBOM[Per 1000 Units]*(1+TableBOM[Scrap %]))*I19/1000,0))</f>
        <v/>
      </c>
      <c r="Q19" s="147" t="n"/>
      <c r="R19" s="147" t="n"/>
      <c r="S19" s="147" t="n"/>
    </row>
    <row r="20" ht="15" customHeight="1" s="249">
      <c r="A20" s="143" t="n">
        <v>6470</v>
      </c>
      <c r="B20" s="143" t="n">
        <v>177</v>
      </c>
      <c r="C20" s="143" t="inlineStr">
        <is>
          <t>Samsol International Private Limited</t>
        </is>
      </c>
      <c r="D20" s="144" t="inlineStr">
        <is>
          <t>TUBES COMMON RED</t>
        </is>
      </c>
      <c r="E20" s="143" t="n">
        <v>25</v>
      </c>
      <c r="F20" s="143" t="n">
        <v>150</v>
      </c>
      <c r="G20" s="143" t="inlineStr">
        <is>
          <t>No</t>
        </is>
      </c>
      <c r="H20" s="143" t="n">
        <v>336</v>
      </c>
      <c r="I20" s="162" t="n"/>
      <c r="J20" s="147">
        <f>IF(I20="","",IFERROR(SUMPRODUCT((TableBOM[Product ID]=A20)*(TableBOM[Material Category]="SLUG")*TableBOM[Per 1000 Units]*(1+TableBOM[Scrap %]))*I20/1000,0))</f>
        <v/>
      </c>
      <c r="K20" s="147">
        <f>IF(I20="","",IFERROR(SUMPRODUCT((TableBOM[Product ID]=A20)*(TableBOM[Material Category]="BASE COAT")*TableBOM[Per 1000 Units]*(1+TableBOM[Scrap %]))*I20/1000,0))</f>
        <v/>
      </c>
      <c r="L20" s="147">
        <f>IF(I20="","",IFERROR(SUMPRODUCT((TableBOM[Product ID]=A20)*(TableBOM[Material Category]="LACQUER")*TableBOM[Per 1000 Units]*(1+TableBOM[Scrap %]))*I20/1000,0))</f>
        <v/>
      </c>
      <c r="M20" s="147">
        <f>IF(I20="","",IFERROR(SUMPRODUCT((TableBOM[Product ID]=A20)*(TableBOM[Material Category]="LATEX")*TableBOM[Per 1000 Units]*(1+TableBOM[Scrap %]))*I20/1000,0))</f>
        <v/>
      </c>
      <c r="N20" s="147">
        <f>IF(I20="","",IFERROR(SUMPRODUCT((TableBOM[Product ID]=A20)*(TableBOM[Material Category]="ZINC POWDER")*TableBOM[Per 1000 Units]*(1+TableBOM[Scrap %]))*I20/1000,0))</f>
        <v/>
      </c>
      <c r="O20" s="147">
        <f>IF(I20="","",IFERROR(SUMPRODUCT((TableBOM[Product ID]=A20)*(TableBOM[Material Category]="CAP")*TableBOM[Per 1000 Units]*(1+TableBOM[Scrap %]))*I20/1000,0))</f>
        <v/>
      </c>
      <c r="P20" s="147">
        <f>IF(I20="","",IFERROR(SUMPRODUCT((TableBOM[Product ID]=A20)*(TableBOM[Material Category]="CARTON")*TableBOM[Per 1000 Units]*(1+TableBOM[Scrap %]))*I20/1000,0))</f>
        <v/>
      </c>
      <c r="Q20" s="147" t="n"/>
      <c r="R20" s="147" t="n"/>
      <c r="S20" s="147" t="n"/>
    </row>
    <row r="21" ht="15" customHeight="1" s="249">
      <c r="A21" s="143" t="n">
        <v>6506</v>
      </c>
      <c r="B21" s="143" t="n">
        <v>179</v>
      </c>
      <c r="C21" s="143" t="inlineStr">
        <is>
          <t>Samsol International Private Limited</t>
        </is>
      </c>
      <c r="D21" s="144" t="inlineStr">
        <is>
          <t>TUBES MEN BLUE</t>
        </is>
      </c>
      <c r="E21" s="143" t="n">
        <v>25</v>
      </c>
      <c r="F21" s="143" t="n">
        <v>150</v>
      </c>
      <c r="G21" s="143" t="inlineStr">
        <is>
          <t>No</t>
        </is>
      </c>
      <c r="H21" s="143" t="n">
        <v>336</v>
      </c>
      <c r="I21" s="162" t="n"/>
      <c r="J21" s="147">
        <f>IF(I21="","",IFERROR(SUMPRODUCT((TableBOM[Product ID]=A21)*(TableBOM[Material Category]="SLUG")*TableBOM[Per 1000 Units]*(1+TableBOM[Scrap %]))*I21/1000,0))</f>
        <v/>
      </c>
      <c r="K21" s="147">
        <f>IF(I21="","",IFERROR(SUMPRODUCT((TableBOM[Product ID]=A21)*(TableBOM[Material Category]="BASE COAT")*TableBOM[Per 1000 Units]*(1+TableBOM[Scrap %]))*I21/1000,0))</f>
        <v/>
      </c>
      <c r="L21" s="147">
        <f>IF(I21="","",IFERROR(SUMPRODUCT((TableBOM[Product ID]=A21)*(TableBOM[Material Category]="LACQUER")*TableBOM[Per 1000 Units]*(1+TableBOM[Scrap %]))*I21/1000,0))</f>
        <v/>
      </c>
      <c r="M21" s="147">
        <f>IF(I21="","",IFERROR(SUMPRODUCT((TableBOM[Product ID]=A21)*(TableBOM[Material Category]="LATEX")*TableBOM[Per 1000 Units]*(1+TableBOM[Scrap %]))*I21/1000,0))</f>
        <v/>
      </c>
      <c r="N21" s="147">
        <f>IF(I21="","",IFERROR(SUMPRODUCT((TableBOM[Product ID]=A21)*(TableBOM[Material Category]="ZINC POWDER")*TableBOM[Per 1000 Units]*(1+TableBOM[Scrap %]))*I21/1000,0))</f>
        <v/>
      </c>
      <c r="O21" s="147">
        <f>IF(I21="","",IFERROR(SUMPRODUCT((TableBOM[Product ID]=A21)*(TableBOM[Material Category]="CAP")*TableBOM[Per 1000 Units]*(1+TableBOM[Scrap %]))*I21/1000,0))</f>
        <v/>
      </c>
      <c r="P21" s="147">
        <f>IF(I21="","",IFERROR(SUMPRODUCT((TableBOM[Product ID]=A21)*(TableBOM[Material Category]="CARTON")*TableBOM[Per 1000 Units]*(1+TableBOM[Scrap %]))*I21/1000,0))</f>
        <v/>
      </c>
      <c r="Q21" s="147" t="n"/>
      <c r="R21" s="147" t="n"/>
      <c r="S21" s="147" t="n"/>
    </row>
    <row r="22" ht="15" customHeight="1" s="249">
      <c r="A22" s="143" t="n">
        <v>6532</v>
      </c>
      <c r="B22" s="143" t="n">
        <v>181</v>
      </c>
      <c r="C22" s="143" t="inlineStr">
        <is>
          <t>Samsol International Private Limited</t>
        </is>
      </c>
      <c r="D22" s="144" t="inlineStr">
        <is>
          <t>TUBE COMMON PURPLE</t>
        </is>
      </c>
      <c r="E22" s="143" t="n">
        <v>25</v>
      </c>
      <c r="F22" s="143" t="n">
        <v>150</v>
      </c>
      <c r="G22" s="143" t="inlineStr">
        <is>
          <t>No</t>
        </is>
      </c>
      <c r="H22" s="143" t="n">
        <v>336</v>
      </c>
      <c r="I22" s="162" t="n"/>
      <c r="J22" s="147">
        <f>IF(I22="","",IFERROR(SUMPRODUCT((TableBOM[Product ID]=A22)*(TableBOM[Material Category]="SLUG")*TableBOM[Per 1000 Units]*(1+TableBOM[Scrap %]))*I22/1000,0))</f>
        <v/>
      </c>
      <c r="K22" s="147">
        <f>IF(I22="","",IFERROR(SUMPRODUCT((TableBOM[Product ID]=A22)*(TableBOM[Material Category]="BASE COAT")*TableBOM[Per 1000 Units]*(1+TableBOM[Scrap %]))*I22/1000,0))</f>
        <v/>
      </c>
      <c r="L22" s="147">
        <f>IF(I22="","",IFERROR(SUMPRODUCT((TableBOM[Product ID]=A22)*(TableBOM[Material Category]="LACQUER")*TableBOM[Per 1000 Units]*(1+TableBOM[Scrap %]))*I22/1000,0))</f>
        <v/>
      </c>
      <c r="M22" s="147">
        <f>IF(I22="","",IFERROR(SUMPRODUCT((TableBOM[Product ID]=A22)*(TableBOM[Material Category]="LATEX")*TableBOM[Per 1000 Units]*(1+TableBOM[Scrap %]))*I22/1000,0))</f>
        <v/>
      </c>
      <c r="N22" s="147">
        <f>IF(I22="","",IFERROR(SUMPRODUCT((TableBOM[Product ID]=A22)*(TableBOM[Material Category]="ZINC POWDER")*TableBOM[Per 1000 Units]*(1+TableBOM[Scrap %]))*I22/1000,0))</f>
        <v/>
      </c>
      <c r="O22" s="147">
        <f>IF(I22="","",IFERROR(SUMPRODUCT((TableBOM[Product ID]=A22)*(TableBOM[Material Category]="CAP")*TableBOM[Per 1000 Units]*(1+TableBOM[Scrap %]))*I22/1000,0))</f>
        <v/>
      </c>
      <c r="P22" s="147">
        <f>IF(I22="","",IFERROR(SUMPRODUCT((TableBOM[Product ID]=A22)*(TableBOM[Material Category]="CARTON")*TableBOM[Per 1000 Units]*(1+TableBOM[Scrap %]))*I22/1000,0))</f>
        <v/>
      </c>
      <c r="Q22" s="147" t="n"/>
      <c r="R22" s="147" t="n"/>
      <c r="S22" s="147" t="n"/>
    </row>
    <row r="23" ht="15" customHeight="1" s="249">
      <c r="A23" s="143" t="n">
        <v>9006</v>
      </c>
      <c r="B23" s="143" t="n">
        <v>906</v>
      </c>
      <c r="C23" s="143" t="inlineStr">
        <is>
          <t>Samsol International Private Limited</t>
        </is>
      </c>
      <c r="D23" s="144" t="inlineStr">
        <is>
          <t>SAMSOL RED 25MM</t>
        </is>
      </c>
      <c r="E23" s="143" t="n">
        <v>25</v>
      </c>
      <c r="F23" s="143" t="n">
        <v>150</v>
      </c>
      <c r="G23" s="143" t="inlineStr">
        <is>
          <t>No</t>
        </is>
      </c>
      <c r="H23" s="143" t="n">
        <v>336</v>
      </c>
      <c r="I23" s="162" t="n"/>
      <c r="J23" s="147">
        <f>IF(I23="","",IFERROR(SUMPRODUCT((TableBOM[Product ID]=A23)*(TableBOM[Material Category]="SLUG")*TableBOM[Per 1000 Units]*(1+TableBOM[Scrap %]))*I23/1000,0))</f>
        <v/>
      </c>
      <c r="K23" s="147">
        <f>IF(I23="","",IFERROR(SUMPRODUCT((TableBOM[Product ID]=A23)*(TableBOM[Material Category]="BASE COAT")*TableBOM[Per 1000 Units]*(1+TableBOM[Scrap %]))*I23/1000,0))</f>
        <v/>
      </c>
      <c r="L23" s="147">
        <f>IF(I23="","",IFERROR(SUMPRODUCT((TableBOM[Product ID]=A23)*(TableBOM[Material Category]="LACQUER")*TableBOM[Per 1000 Units]*(1+TableBOM[Scrap %]))*I23/1000,0))</f>
        <v/>
      </c>
      <c r="M23" s="147">
        <f>IF(I23="","",IFERROR(SUMPRODUCT((TableBOM[Product ID]=A23)*(TableBOM[Material Category]="LATEX")*TableBOM[Per 1000 Units]*(1+TableBOM[Scrap %]))*I23/1000,0))</f>
        <v/>
      </c>
      <c r="N23" s="147">
        <f>IF(I23="","",IFERROR(SUMPRODUCT((TableBOM[Product ID]=A23)*(TableBOM[Material Category]="ZINC POWDER")*TableBOM[Per 1000 Units]*(1+TableBOM[Scrap %]))*I23/1000,0))</f>
        <v/>
      </c>
      <c r="O23" s="147">
        <f>IF(I23="","",IFERROR(SUMPRODUCT((TableBOM[Product ID]=A23)*(TableBOM[Material Category]="CAP")*TableBOM[Per 1000 Units]*(1+TableBOM[Scrap %]))*I23/1000,0))</f>
        <v/>
      </c>
      <c r="P23" s="147">
        <f>IF(I23="","",IFERROR(SUMPRODUCT((TableBOM[Product ID]=A23)*(TableBOM[Material Category]="CARTON")*TableBOM[Per 1000 Units]*(1+TableBOM[Scrap %]))*I23/1000,0))</f>
        <v/>
      </c>
      <c r="Q23" s="147" t="n"/>
      <c r="R23" s="147" t="n"/>
      <c r="S23" s="147" t="n"/>
    </row>
    <row r="24" ht="15" customHeight="1" s="249">
      <c r="A24" s="143" t="n">
        <v>6338</v>
      </c>
      <c r="B24" s="143" t="n">
        <v>167</v>
      </c>
      <c r="C24" s="143" t="inlineStr">
        <is>
          <t>DTM</t>
        </is>
      </c>
      <c r="D24" s="144" t="inlineStr">
        <is>
          <t>DTM DIA 25MM</t>
        </is>
      </c>
      <c r="E24" s="143" t="n">
        <v>25</v>
      </c>
      <c r="F24" s="143" t="n">
        <v>155</v>
      </c>
      <c r="G24" s="143" t="inlineStr">
        <is>
          <t>No</t>
        </is>
      </c>
      <c r="H24" s="143" t="n">
        <v>336</v>
      </c>
      <c r="I24" s="162" t="n"/>
      <c r="J24" s="147">
        <f>IF(I24="","",IFERROR(SUMPRODUCT((TableBOM[Product ID]=A24)*(TableBOM[Material Category]="SLUG")*TableBOM[Per 1000 Units]*(1+TableBOM[Scrap %]))*I24/1000,0))</f>
        <v/>
      </c>
      <c r="K24" s="147">
        <f>IF(I24="","",IFERROR(SUMPRODUCT((TableBOM[Product ID]=A24)*(TableBOM[Material Category]="BASE COAT")*TableBOM[Per 1000 Units]*(1+TableBOM[Scrap %]))*I24/1000,0))</f>
        <v/>
      </c>
      <c r="L24" s="147">
        <f>IF(I24="","",IFERROR(SUMPRODUCT((TableBOM[Product ID]=A24)*(TableBOM[Material Category]="LACQUER")*TableBOM[Per 1000 Units]*(1+TableBOM[Scrap %]))*I24/1000,0))</f>
        <v/>
      </c>
      <c r="M24" s="147">
        <f>IF(I24="","",IFERROR(SUMPRODUCT((TableBOM[Product ID]=A24)*(TableBOM[Material Category]="LATEX")*TableBOM[Per 1000 Units]*(1+TableBOM[Scrap %]))*I24/1000,0))</f>
        <v/>
      </c>
      <c r="N24" s="147">
        <f>IF(I24="","",IFERROR(SUMPRODUCT((TableBOM[Product ID]=A24)*(TableBOM[Material Category]="ZINC POWDER")*TableBOM[Per 1000 Units]*(1+TableBOM[Scrap %]))*I24/1000,0))</f>
        <v/>
      </c>
      <c r="O24" s="147">
        <f>IF(I24="","",IFERROR(SUMPRODUCT((TableBOM[Product ID]=A24)*(TableBOM[Material Category]="CAP")*TableBOM[Per 1000 Units]*(1+TableBOM[Scrap %]))*I24/1000,0))</f>
        <v/>
      </c>
      <c r="P24" s="147">
        <f>IF(I24="","",IFERROR(SUMPRODUCT((TableBOM[Product ID]=A24)*(TableBOM[Material Category]="CARTON")*TableBOM[Per 1000 Units]*(1+TableBOM[Scrap %]))*I24/1000,0))</f>
        <v/>
      </c>
      <c r="Q24" s="147" t="n"/>
      <c r="R24" s="147" t="n"/>
      <c r="S24" s="147" t="n"/>
    </row>
    <row r="25" ht="15" customHeight="1" s="249">
      <c r="A25" s="143" t="n">
        <v>6337</v>
      </c>
      <c r="B25" s="143" t="n">
        <v>166</v>
      </c>
      <c r="C25" s="143" t="inlineStr">
        <is>
          <t>Al-Rehman Group</t>
        </is>
      </c>
      <c r="D25" s="144" t="inlineStr">
        <is>
          <t>ACTIVE PRO HAIR COLOR CREAM 60ML</t>
        </is>
      </c>
      <c r="E25" s="143" t="n">
        <v>30</v>
      </c>
      <c r="F25" s="143" t="n">
        <v>130</v>
      </c>
      <c r="G25" s="143" t="inlineStr">
        <is>
          <t>Yes</t>
        </is>
      </c>
      <c r="H25" s="143" t="n">
        <v>150</v>
      </c>
      <c r="I25" s="162" t="n"/>
      <c r="J25" s="147">
        <f>IF(I25="","",IFERROR(SUMPRODUCT((TableBOM[Product ID]=A25)*(TableBOM[Material Category]="SLUG")*TableBOM[Per 1000 Units]*(1+TableBOM[Scrap %]))*I25/1000,0))</f>
        <v/>
      </c>
      <c r="K25" s="147">
        <f>IF(I25="","",IFERROR(SUMPRODUCT((TableBOM[Product ID]=A25)*(TableBOM[Material Category]="BASE COAT")*TableBOM[Per 1000 Units]*(1+TableBOM[Scrap %]))*I25/1000,0))</f>
        <v/>
      </c>
      <c r="L25" s="147">
        <f>IF(I25="","",IFERROR(SUMPRODUCT((TableBOM[Product ID]=A25)*(TableBOM[Material Category]="LACQUER")*TableBOM[Per 1000 Units]*(1+TableBOM[Scrap %]))*I25/1000,0))</f>
        <v/>
      </c>
      <c r="M25" s="147">
        <f>IF(I25="","",IFERROR(SUMPRODUCT((TableBOM[Product ID]=A25)*(TableBOM[Material Category]="LATEX")*TableBOM[Per 1000 Units]*(1+TableBOM[Scrap %]))*I25/1000,0))</f>
        <v/>
      </c>
      <c r="N25" s="147">
        <f>IF(I25="","",IFERROR(SUMPRODUCT((TableBOM[Product ID]=A25)*(TableBOM[Material Category]="ZINC POWDER")*TableBOM[Per 1000 Units]*(1+TableBOM[Scrap %]))*I25/1000,0))</f>
        <v/>
      </c>
      <c r="O25" s="147">
        <f>IF(I25="","",IFERROR(SUMPRODUCT((TableBOM[Product ID]=A25)*(TableBOM[Material Category]="CAP")*TableBOM[Per 1000 Units]*(1+TableBOM[Scrap %]))*I25/1000,0))</f>
        <v/>
      </c>
      <c r="P25" s="147">
        <f>IF(I25="","",IFERROR(SUMPRODUCT((TableBOM[Product ID]=A25)*(TableBOM[Material Category]="CARTON")*TableBOM[Per 1000 Units]*(1+TableBOM[Scrap %]))*I25/1000,0))</f>
        <v/>
      </c>
      <c r="Q25" s="147" t="n"/>
      <c r="R25" s="147" t="n"/>
      <c r="S25" s="147" t="n"/>
    </row>
    <row r="26" ht="15" customHeight="1" s="249">
      <c r="A26" s="143" t="n">
        <v>6416</v>
      </c>
      <c r="B26" s="143" t="n">
        <v>171</v>
      </c>
      <c r="C26" s="143" t="inlineStr">
        <is>
          <t>Al-Rehman Group</t>
        </is>
      </c>
      <c r="D26" s="144" t="inlineStr">
        <is>
          <t>SIGNATURE HAIR COLOR CREAM 60ML</t>
        </is>
      </c>
      <c r="E26" s="143" t="n">
        <v>30</v>
      </c>
      <c r="F26" s="143" t="n">
        <v>130</v>
      </c>
      <c r="G26" s="143" t="inlineStr">
        <is>
          <t>Yes</t>
        </is>
      </c>
      <c r="H26" s="143" t="n">
        <v>150</v>
      </c>
      <c r="I26" s="162" t="n"/>
      <c r="J26" s="147">
        <f>IF(I26="","",IFERROR(SUMPRODUCT((TableBOM[Product ID]=A26)*(TableBOM[Material Category]="SLUG")*TableBOM[Per 1000 Units]*(1+TableBOM[Scrap %]))*I26/1000,0))</f>
        <v/>
      </c>
      <c r="K26" s="147">
        <f>IF(I26="","",IFERROR(SUMPRODUCT((TableBOM[Product ID]=A26)*(TableBOM[Material Category]="BASE COAT")*TableBOM[Per 1000 Units]*(1+TableBOM[Scrap %]))*I26/1000,0))</f>
        <v/>
      </c>
      <c r="L26" s="147">
        <f>IF(I26="","",IFERROR(SUMPRODUCT((TableBOM[Product ID]=A26)*(TableBOM[Material Category]="LACQUER")*TableBOM[Per 1000 Units]*(1+TableBOM[Scrap %]))*I26/1000,0))</f>
        <v/>
      </c>
      <c r="M26" s="147">
        <f>IF(I26="","",IFERROR(SUMPRODUCT((TableBOM[Product ID]=A26)*(TableBOM[Material Category]="LATEX")*TableBOM[Per 1000 Units]*(1+TableBOM[Scrap %]))*I26/1000,0))</f>
        <v/>
      </c>
      <c r="N26" s="147">
        <f>IF(I26="","",IFERROR(SUMPRODUCT((TableBOM[Product ID]=A26)*(TableBOM[Material Category]="ZINC POWDER")*TableBOM[Per 1000 Units]*(1+TableBOM[Scrap %]))*I26/1000,0))</f>
        <v/>
      </c>
      <c r="O26" s="147">
        <f>IF(I26="","",IFERROR(SUMPRODUCT((TableBOM[Product ID]=A26)*(TableBOM[Material Category]="CAP")*TableBOM[Per 1000 Units]*(1+TableBOM[Scrap %]))*I26/1000,0))</f>
        <v/>
      </c>
      <c r="P26" s="147">
        <f>IF(I26="","",IFERROR(SUMPRODUCT((TableBOM[Product ID]=A26)*(TableBOM[Material Category]="CARTON")*TableBOM[Per 1000 Units]*(1+TableBOM[Scrap %]))*I26/1000,0))</f>
        <v/>
      </c>
      <c r="Q26" s="147" t="n"/>
      <c r="R26" s="147" t="n"/>
      <c r="S26" s="147" t="n"/>
    </row>
    <row r="27" ht="15" customHeight="1" s="249">
      <c r="A27" s="143" t="n">
        <v>6206</v>
      </c>
      <c r="B27" s="143" t="n">
        <v>149</v>
      </c>
      <c r="C27" s="143" t="inlineStr">
        <is>
          <t>Golden Pearl Cosmetics (PVT) LTD</t>
        </is>
      </c>
      <c r="D27" s="144" t="inlineStr">
        <is>
          <t>HELLO HAIR COLOR</t>
        </is>
      </c>
      <c r="E27" s="143" t="n">
        <v>30</v>
      </c>
      <c r="F27" s="143" t="n">
        <v>130</v>
      </c>
      <c r="G27" s="143" t="inlineStr">
        <is>
          <t>Yes</t>
        </is>
      </c>
      <c r="H27" s="143" t="n">
        <v>245</v>
      </c>
      <c r="I27" s="162" t="n"/>
      <c r="J27" s="147">
        <f>IF(I27="","",IFERROR(SUMPRODUCT((TableBOM[Product ID]=A27)*(TableBOM[Material Category]="SLUG")*TableBOM[Per 1000 Units]*(1+TableBOM[Scrap %]))*I27/1000,0))</f>
        <v/>
      </c>
      <c r="K27" s="147">
        <f>IF(I27="","",IFERROR(SUMPRODUCT((TableBOM[Product ID]=A27)*(TableBOM[Material Category]="BASE COAT")*TableBOM[Per 1000 Units]*(1+TableBOM[Scrap %]))*I27/1000,0))</f>
        <v/>
      </c>
      <c r="L27" s="147">
        <f>IF(I27="","",IFERROR(SUMPRODUCT((TableBOM[Product ID]=A27)*(TableBOM[Material Category]="LACQUER")*TableBOM[Per 1000 Units]*(1+TableBOM[Scrap %]))*I27/1000,0))</f>
        <v/>
      </c>
      <c r="M27" s="147">
        <f>IF(I27="","",IFERROR(SUMPRODUCT((TableBOM[Product ID]=A27)*(TableBOM[Material Category]="LATEX")*TableBOM[Per 1000 Units]*(1+TableBOM[Scrap %]))*I27/1000,0))</f>
        <v/>
      </c>
      <c r="N27" s="147">
        <f>IF(I27="","",IFERROR(SUMPRODUCT((TableBOM[Product ID]=A27)*(TableBOM[Material Category]="ZINC POWDER")*TableBOM[Per 1000 Units]*(1+TableBOM[Scrap %]))*I27/1000,0))</f>
        <v/>
      </c>
      <c r="O27" s="147">
        <f>IF(I27="","",IFERROR(SUMPRODUCT((TableBOM[Product ID]=A27)*(TableBOM[Material Category]="CAP")*TableBOM[Per 1000 Units]*(1+TableBOM[Scrap %]))*I27/1000,0))</f>
        <v/>
      </c>
      <c r="P27" s="147">
        <f>IF(I27="","",IFERROR(SUMPRODUCT((TableBOM[Product ID]=A27)*(TableBOM[Material Category]="CARTON")*TableBOM[Per 1000 Units]*(1+TableBOM[Scrap %]))*I27/1000,0))</f>
        <v/>
      </c>
      <c r="Q27" s="147" t="n"/>
      <c r="R27" s="147" t="n"/>
      <c r="S27" s="147" t="n"/>
    </row>
    <row r="28" ht="15" customHeight="1" s="249">
      <c r="A28" s="143" t="n">
        <v>5814</v>
      </c>
      <c r="B28" s="143" t="n">
        <v>95</v>
      </c>
      <c r="C28" s="143" t="inlineStr">
        <is>
          <t>Mablay Beauty PVT LTD.</t>
        </is>
      </c>
      <c r="D28" s="144" t="inlineStr">
        <is>
          <t>VINCE NURTURAL</t>
        </is>
      </c>
      <c r="E28" s="143" t="n">
        <v>30</v>
      </c>
      <c r="F28" s="143" t="n">
        <v>130</v>
      </c>
      <c r="G28" s="143" t="inlineStr">
        <is>
          <t>Yes</t>
        </is>
      </c>
      <c r="H28" s="143" t="n">
        <v>150</v>
      </c>
      <c r="I28" s="162" t="n"/>
      <c r="J28" s="147">
        <f>IF(I28="","",IFERROR(SUMPRODUCT((TableBOM[Product ID]=A28)*(TableBOM[Material Category]="SLUG")*TableBOM[Per 1000 Units]*(1+TableBOM[Scrap %]))*I28/1000,0))</f>
        <v/>
      </c>
      <c r="K28" s="147">
        <f>IF(I28="","",IFERROR(SUMPRODUCT((TableBOM[Product ID]=A28)*(TableBOM[Material Category]="BASE COAT")*TableBOM[Per 1000 Units]*(1+TableBOM[Scrap %]))*I28/1000,0))</f>
        <v/>
      </c>
      <c r="L28" s="147">
        <f>IF(I28="","",IFERROR(SUMPRODUCT((TableBOM[Product ID]=A28)*(TableBOM[Material Category]="LACQUER")*TableBOM[Per 1000 Units]*(1+TableBOM[Scrap %]))*I28/1000,0))</f>
        <v/>
      </c>
      <c r="M28" s="147">
        <f>IF(I28="","",IFERROR(SUMPRODUCT((TableBOM[Product ID]=A28)*(TableBOM[Material Category]="LATEX")*TableBOM[Per 1000 Units]*(1+TableBOM[Scrap %]))*I28/1000,0))</f>
        <v/>
      </c>
      <c r="N28" s="147">
        <f>IF(I28="","",IFERROR(SUMPRODUCT((TableBOM[Product ID]=A28)*(TableBOM[Material Category]="ZINC POWDER")*TableBOM[Per 1000 Units]*(1+TableBOM[Scrap %]))*I28/1000,0))</f>
        <v/>
      </c>
      <c r="O28" s="147">
        <f>IF(I28="","",IFERROR(SUMPRODUCT((TableBOM[Product ID]=A28)*(TableBOM[Material Category]="CAP")*TableBOM[Per 1000 Units]*(1+TableBOM[Scrap %]))*I28/1000,0))</f>
        <v/>
      </c>
      <c r="P28" s="147">
        <f>IF(I28="","",IFERROR(SUMPRODUCT((TableBOM[Product ID]=A28)*(TableBOM[Material Category]="CARTON")*TableBOM[Per 1000 Units]*(1+TableBOM[Scrap %]))*I28/1000,0))</f>
        <v/>
      </c>
      <c r="Q28" s="147" t="n"/>
      <c r="R28" s="147" t="n"/>
      <c r="S28" s="147" t="n"/>
    </row>
    <row r="29" ht="15" customHeight="1" s="249">
      <c r="A29" s="143" t="n">
        <v>9002</v>
      </c>
      <c r="B29" s="143" t="n">
        <v>901</v>
      </c>
      <c r="C29" s="143" t="inlineStr">
        <is>
          <t>Mablay Beauty PVT LTD.</t>
        </is>
      </c>
      <c r="D29" s="144" t="inlineStr">
        <is>
          <t>VINCE NURTURAL (Varnish)</t>
        </is>
      </c>
      <c r="E29" s="143" t="n">
        <v>30</v>
      </c>
      <c r="F29" s="143" t="n">
        <v>130</v>
      </c>
      <c r="G29" s="143" t="inlineStr">
        <is>
          <t>No</t>
        </is>
      </c>
      <c r="H29" s="143" t="n">
        <v>245</v>
      </c>
      <c r="I29" s="162" t="n"/>
      <c r="J29" s="147">
        <f>IF(I29="","",IFERROR(SUMPRODUCT((TableBOM[Product ID]=A29)*(TableBOM[Material Category]="SLUG")*TableBOM[Per 1000 Units]*(1+TableBOM[Scrap %]))*I29/1000,0))</f>
        <v/>
      </c>
      <c r="K29" s="147">
        <f>IF(I29="","",IFERROR(SUMPRODUCT((TableBOM[Product ID]=A29)*(TableBOM[Material Category]="BASE COAT")*TableBOM[Per 1000 Units]*(1+TableBOM[Scrap %]))*I29/1000,0))</f>
        <v/>
      </c>
      <c r="L29" s="147">
        <f>IF(I29="","",IFERROR(SUMPRODUCT((TableBOM[Product ID]=A29)*(TableBOM[Material Category]="LACQUER")*TableBOM[Per 1000 Units]*(1+TableBOM[Scrap %]))*I29/1000,0))</f>
        <v/>
      </c>
      <c r="M29" s="147">
        <f>IF(I29="","",IFERROR(SUMPRODUCT((TableBOM[Product ID]=A29)*(TableBOM[Material Category]="LATEX")*TableBOM[Per 1000 Units]*(1+TableBOM[Scrap %]))*I29/1000,0))</f>
        <v/>
      </c>
      <c r="N29" s="147">
        <f>IF(I29="","",IFERROR(SUMPRODUCT((TableBOM[Product ID]=A29)*(TableBOM[Material Category]="ZINC POWDER")*TableBOM[Per 1000 Units]*(1+TableBOM[Scrap %]))*I29/1000,0))</f>
        <v/>
      </c>
      <c r="O29" s="147">
        <f>IF(I29="","",IFERROR(SUMPRODUCT((TableBOM[Product ID]=A29)*(TableBOM[Material Category]="CAP")*TableBOM[Per 1000 Units]*(1+TableBOM[Scrap %]))*I29/1000,0))</f>
        <v/>
      </c>
      <c r="P29" s="147">
        <f>IF(I29="","",IFERROR(SUMPRODUCT((TableBOM[Product ID]=A29)*(TableBOM[Material Category]="CARTON")*TableBOM[Per 1000 Units]*(1+TableBOM[Scrap %]))*I29/1000,0))</f>
        <v/>
      </c>
      <c r="Q29" s="147" t="n"/>
      <c r="R29" s="147" t="n"/>
      <c r="S29" s="147" t="n"/>
    </row>
    <row r="30" ht="15" customHeight="1" s="249">
      <c r="A30" s="143" t="n">
        <v>4050</v>
      </c>
      <c r="B30" s="143" t="n">
        <v>19</v>
      </c>
      <c r="C30" s="143" t="inlineStr">
        <is>
          <t>Professional Beauty Solution (PVT) LTD.Pakistan</t>
        </is>
      </c>
      <c r="D30" s="144" t="inlineStr">
        <is>
          <t>EAZICOLOR PREMIUM HAIR COLOUR 60ML</t>
        </is>
      </c>
      <c r="E30" s="143" t="n">
        <v>30</v>
      </c>
      <c r="F30" s="143" t="n">
        <v>130</v>
      </c>
      <c r="G30" s="143" t="inlineStr">
        <is>
          <t>Yes</t>
        </is>
      </c>
      <c r="H30" s="143" t="n">
        <v>150</v>
      </c>
      <c r="I30" s="162" t="n"/>
      <c r="J30" s="147">
        <f>IF(I30="","",IFERROR(SUMPRODUCT((TableBOM[Product ID]=A30)*(TableBOM[Material Category]="SLUG")*TableBOM[Per 1000 Units]*(1+TableBOM[Scrap %]))*I30/1000,0))</f>
        <v/>
      </c>
      <c r="K30" s="147">
        <f>IF(I30="","",IFERROR(SUMPRODUCT((TableBOM[Product ID]=A30)*(TableBOM[Material Category]="BASE COAT")*TableBOM[Per 1000 Units]*(1+TableBOM[Scrap %]))*I30/1000,0))</f>
        <v/>
      </c>
      <c r="L30" s="147">
        <f>IF(I30="","",IFERROR(SUMPRODUCT((TableBOM[Product ID]=A30)*(TableBOM[Material Category]="LACQUER")*TableBOM[Per 1000 Units]*(1+TableBOM[Scrap %]))*I30/1000,0))</f>
        <v/>
      </c>
      <c r="M30" s="147">
        <f>IF(I30="","",IFERROR(SUMPRODUCT((TableBOM[Product ID]=A30)*(TableBOM[Material Category]="LATEX")*TableBOM[Per 1000 Units]*(1+TableBOM[Scrap %]))*I30/1000,0))</f>
        <v/>
      </c>
      <c r="N30" s="147">
        <f>IF(I30="","",IFERROR(SUMPRODUCT((TableBOM[Product ID]=A30)*(TableBOM[Material Category]="ZINC POWDER")*TableBOM[Per 1000 Units]*(1+TableBOM[Scrap %]))*I30/1000,0))</f>
        <v/>
      </c>
      <c r="O30" s="147">
        <f>IF(I30="","",IFERROR(SUMPRODUCT((TableBOM[Product ID]=A30)*(TableBOM[Material Category]="CAP")*TableBOM[Per 1000 Units]*(1+TableBOM[Scrap %]))*I30/1000,0))</f>
        <v/>
      </c>
      <c r="P30" s="147">
        <f>IF(I30="","",IFERROR(SUMPRODUCT((TableBOM[Product ID]=A30)*(TableBOM[Material Category]="CARTON")*TableBOM[Per 1000 Units]*(1+TableBOM[Scrap %]))*I30/1000,0))</f>
        <v/>
      </c>
      <c r="Q30" s="147" t="n"/>
      <c r="R30" s="147" t="n"/>
      <c r="S30" s="147" t="n"/>
    </row>
    <row r="31" ht="15" customHeight="1" s="249">
      <c r="A31" s="143" t="n">
        <v>6312</v>
      </c>
      <c r="B31" s="143" t="n">
        <v>157</v>
      </c>
      <c r="C31" s="143" t="inlineStr">
        <is>
          <t>Professional Beauty Solution (PVT) LTD.Pakistan</t>
        </is>
      </c>
      <c r="D31" s="144" t="inlineStr">
        <is>
          <t>HIBA S HAIR COLOR 60ML</t>
        </is>
      </c>
      <c r="E31" s="143" t="n">
        <v>30</v>
      </c>
      <c r="F31" s="143" t="n">
        <v>130</v>
      </c>
      <c r="G31" s="143" t="inlineStr">
        <is>
          <t>No</t>
        </is>
      </c>
      <c r="H31" s="143" t="n">
        <v>150</v>
      </c>
      <c r="I31" s="162" t="n"/>
      <c r="J31" s="147">
        <f>IF(I31="","",IFERROR(SUMPRODUCT((TableBOM[Product ID]=A31)*(TableBOM[Material Category]="SLUG")*TableBOM[Per 1000 Units]*(1+TableBOM[Scrap %]))*I31/1000,0))</f>
        <v/>
      </c>
      <c r="K31" s="147">
        <f>IF(I31="","",IFERROR(SUMPRODUCT((TableBOM[Product ID]=A31)*(TableBOM[Material Category]="BASE COAT")*TableBOM[Per 1000 Units]*(1+TableBOM[Scrap %]))*I31/1000,0))</f>
        <v/>
      </c>
      <c r="L31" s="147">
        <f>IF(I31="","",IFERROR(SUMPRODUCT((TableBOM[Product ID]=A31)*(TableBOM[Material Category]="LACQUER")*TableBOM[Per 1000 Units]*(1+TableBOM[Scrap %]))*I31/1000,0))</f>
        <v/>
      </c>
      <c r="M31" s="147">
        <f>IF(I31="","",IFERROR(SUMPRODUCT((TableBOM[Product ID]=A31)*(TableBOM[Material Category]="LATEX")*TableBOM[Per 1000 Units]*(1+TableBOM[Scrap %]))*I31/1000,0))</f>
        <v/>
      </c>
      <c r="N31" s="147">
        <f>IF(I31="","",IFERROR(SUMPRODUCT((TableBOM[Product ID]=A31)*(TableBOM[Material Category]="ZINC POWDER")*TableBOM[Per 1000 Units]*(1+TableBOM[Scrap %]))*I31/1000,0))</f>
        <v/>
      </c>
      <c r="O31" s="147">
        <f>IF(I31="","",IFERROR(SUMPRODUCT((TableBOM[Product ID]=A31)*(TableBOM[Material Category]="CAP")*TableBOM[Per 1000 Units]*(1+TableBOM[Scrap %]))*I31/1000,0))</f>
        <v/>
      </c>
      <c r="P31" s="147">
        <f>IF(I31="","",IFERROR(SUMPRODUCT((TableBOM[Product ID]=A31)*(TableBOM[Material Category]="CARTON")*TableBOM[Per 1000 Units]*(1+TableBOM[Scrap %]))*I31/1000,0))</f>
        <v/>
      </c>
      <c r="Q31" s="147" t="n"/>
      <c r="R31" s="147" t="n"/>
      <c r="S31" s="147" t="n"/>
    </row>
    <row r="32" ht="15" customHeight="1" s="249">
      <c r="A32" s="143" t="n">
        <v>6595</v>
      </c>
      <c r="B32" s="143" t="n">
        <v>191</v>
      </c>
      <c r="C32" s="143" t="inlineStr">
        <is>
          <t>Seatle (Private) Limited</t>
        </is>
      </c>
      <c r="D32" s="144" t="inlineStr">
        <is>
          <t>DOWFEN GEL 50G</t>
        </is>
      </c>
      <c r="E32" s="143" t="n">
        <v>30</v>
      </c>
      <c r="F32" s="143" t="n">
        <v>130</v>
      </c>
      <c r="G32" s="143" t="inlineStr">
        <is>
          <t>Yes</t>
        </is>
      </c>
      <c r="H32" s="143" t="n">
        <v>245</v>
      </c>
      <c r="I32" s="162" t="n"/>
      <c r="J32" s="147">
        <f>IF(I32="","",IFERROR(SUMPRODUCT((TableBOM[Product ID]=A32)*(TableBOM[Material Category]="SLUG")*TableBOM[Per 1000 Units]*(1+TableBOM[Scrap %]))*I32/1000,0))</f>
        <v/>
      </c>
      <c r="K32" s="147">
        <f>IF(I32="","",IFERROR(SUMPRODUCT((TableBOM[Product ID]=A32)*(TableBOM[Material Category]="BASE COAT")*TableBOM[Per 1000 Units]*(1+TableBOM[Scrap %]))*I32/1000,0))</f>
        <v/>
      </c>
      <c r="L32" s="147">
        <f>IF(I32="","",IFERROR(SUMPRODUCT((TableBOM[Product ID]=A32)*(TableBOM[Material Category]="LACQUER")*TableBOM[Per 1000 Units]*(1+TableBOM[Scrap %]))*I32/1000,0))</f>
        <v/>
      </c>
      <c r="M32" s="147">
        <f>IF(I32="","",IFERROR(SUMPRODUCT((TableBOM[Product ID]=A32)*(TableBOM[Material Category]="LATEX")*TableBOM[Per 1000 Units]*(1+TableBOM[Scrap %]))*I32/1000,0))</f>
        <v/>
      </c>
      <c r="N32" s="147">
        <f>IF(I32="","",IFERROR(SUMPRODUCT((TableBOM[Product ID]=A32)*(TableBOM[Material Category]="ZINC POWDER")*TableBOM[Per 1000 Units]*(1+TableBOM[Scrap %]))*I32/1000,0))</f>
        <v/>
      </c>
      <c r="O32" s="147">
        <f>IF(I32="","",IFERROR(SUMPRODUCT((TableBOM[Product ID]=A32)*(TableBOM[Material Category]="CAP")*TableBOM[Per 1000 Units]*(1+TableBOM[Scrap %]))*I32/1000,0))</f>
        <v/>
      </c>
      <c r="P32" s="147">
        <f>IF(I32="","",IFERROR(SUMPRODUCT((TableBOM[Product ID]=A32)*(TableBOM[Material Category]="CARTON")*TableBOM[Per 1000 Units]*(1+TableBOM[Scrap %]))*I32/1000,0))</f>
        <v/>
      </c>
      <c r="Q32" s="147" t="n"/>
      <c r="R32" s="147" t="n"/>
      <c r="S32" s="147" t="n"/>
    </row>
    <row r="33" ht="15" customHeight="1" s="249">
      <c r="A33" s="143" t="n">
        <v>5782</v>
      </c>
      <c r="B33" s="143" t="n">
        <v>70</v>
      </c>
      <c r="C33" s="143" t="inlineStr">
        <is>
          <t>Mega Grey</t>
        </is>
      </c>
      <c r="D33" s="144" t="inlineStr">
        <is>
          <t>M.G</t>
        </is>
      </c>
      <c r="E33" s="143" t="n">
        <v>32</v>
      </c>
      <c r="F33" s="143" t="n">
        <v>155</v>
      </c>
      <c r="G33" s="143" t="inlineStr">
        <is>
          <t>Yes</t>
        </is>
      </c>
      <c r="H33" s="143" t="n">
        <v>230</v>
      </c>
      <c r="I33" s="162" t="n"/>
      <c r="J33" s="147">
        <f>IF(I33="","",IFERROR(SUMPRODUCT((TableBOM[Product ID]=A33)*(TableBOM[Material Category]="SLUG")*TableBOM[Per 1000 Units]*(1+TableBOM[Scrap %]))*I33/1000,0))</f>
        <v/>
      </c>
      <c r="K33" s="147">
        <f>IF(I33="","",IFERROR(SUMPRODUCT((TableBOM[Product ID]=A33)*(TableBOM[Material Category]="BASE COAT")*TableBOM[Per 1000 Units]*(1+TableBOM[Scrap %]))*I33/1000,0))</f>
        <v/>
      </c>
      <c r="L33" s="147">
        <f>IF(I33="","",IFERROR(SUMPRODUCT((TableBOM[Product ID]=A33)*(TableBOM[Material Category]="LACQUER")*TableBOM[Per 1000 Units]*(1+TableBOM[Scrap %]))*I33/1000,0))</f>
        <v/>
      </c>
      <c r="M33" s="147">
        <f>IF(I33="","",IFERROR(SUMPRODUCT((TableBOM[Product ID]=A33)*(TableBOM[Material Category]="LATEX")*TableBOM[Per 1000 Units]*(1+TableBOM[Scrap %]))*I33/1000,0))</f>
        <v/>
      </c>
      <c r="N33" s="147">
        <f>IF(I33="","",IFERROR(SUMPRODUCT((TableBOM[Product ID]=A33)*(TableBOM[Material Category]="ZINC POWDER")*TableBOM[Per 1000 Units]*(1+TableBOM[Scrap %]))*I33/1000,0))</f>
        <v/>
      </c>
      <c r="O33" s="147">
        <f>IF(I33="","",IFERROR(SUMPRODUCT((TableBOM[Product ID]=A33)*(TableBOM[Material Category]="CAP")*TableBOM[Per 1000 Units]*(1+TableBOM[Scrap %]))*I33/1000,0))</f>
        <v/>
      </c>
      <c r="P33" s="147">
        <f>IF(I33="","",IFERROR(SUMPRODUCT((TableBOM[Product ID]=A33)*(TableBOM[Material Category]="CARTON")*TableBOM[Per 1000 Units]*(1+TableBOM[Scrap %]))*I33/1000,0))</f>
        <v/>
      </c>
      <c r="Q33" s="147" t="n"/>
      <c r="R33" s="147" t="n"/>
      <c r="S33" s="147" t="n"/>
    </row>
    <row r="34" ht="15" customHeight="1" s="249">
      <c r="A34" s="143" t="n">
        <v>6515</v>
      </c>
      <c r="B34" s="143" t="n">
        <v>180</v>
      </c>
      <c r="C34" s="143" t="inlineStr">
        <is>
          <t>Hola Hair</t>
        </is>
      </c>
      <c r="D34" s="144" t="inlineStr">
        <is>
          <t>H.H 100GM</t>
        </is>
      </c>
      <c r="E34" s="143" t="n">
        <v>32</v>
      </c>
      <c r="F34" s="143" t="n">
        <v>180</v>
      </c>
      <c r="G34" s="143" t="inlineStr">
        <is>
          <t>Yes</t>
        </is>
      </c>
      <c r="H34" s="143" t="n">
        <v>336</v>
      </c>
      <c r="I34" s="162" t="n"/>
      <c r="J34" s="147">
        <f>IF(I34="","",IFERROR(SUMPRODUCT((TableBOM[Product ID]=A34)*(TableBOM[Material Category]="SLUG")*TableBOM[Per 1000 Units]*(1+TableBOM[Scrap %]))*I34/1000,0))</f>
        <v/>
      </c>
      <c r="K34" s="147">
        <f>IF(I34="","",IFERROR(SUMPRODUCT((TableBOM[Product ID]=A34)*(TableBOM[Material Category]="BASE COAT")*TableBOM[Per 1000 Units]*(1+TableBOM[Scrap %]))*I34/1000,0))</f>
        <v/>
      </c>
      <c r="L34" s="147">
        <f>IF(I34="","",IFERROR(SUMPRODUCT((TableBOM[Product ID]=A34)*(TableBOM[Material Category]="LACQUER")*TableBOM[Per 1000 Units]*(1+TableBOM[Scrap %]))*I34/1000,0))</f>
        <v/>
      </c>
      <c r="M34" s="147">
        <f>IF(I34="","",IFERROR(SUMPRODUCT((TableBOM[Product ID]=A34)*(TableBOM[Material Category]="LATEX")*TableBOM[Per 1000 Units]*(1+TableBOM[Scrap %]))*I34/1000,0))</f>
        <v/>
      </c>
      <c r="N34" s="147">
        <f>IF(I34="","",IFERROR(SUMPRODUCT((TableBOM[Product ID]=A34)*(TableBOM[Material Category]="ZINC POWDER")*TableBOM[Per 1000 Units]*(1+TableBOM[Scrap %]))*I34/1000,0))</f>
        <v/>
      </c>
      <c r="O34" s="147">
        <f>IF(I34="","",IFERROR(SUMPRODUCT((TableBOM[Product ID]=A34)*(TableBOM[Material Category]="CAP")*TableBOM[Per 1000 Units]*(1+TableBOM[Scrap %]))*I34/1000,0))</f>
        <v/>
      </c>
      <c r="P34" s="147">
        <f>IF(I34="","",IFERROR(SUMPRODUCT((TableBOM[Product ID]=A34)*(TableBOM[Material Category]="CARTON")*TableBOM[Per 1000 Units]*(1+TableBOM[Scrap %]))*I34/1000,0))</f>
        <v/>
      </c>
      <c r="Q34" s="147" t="n"/>
      <c r="R34" s="147" t="n"/>
      <c r="S34" s="147" t="n"/>
    </row>
    <row r="35" ht="15" customHeight="1" s="249">
      <c r="A35" s="143" t="n">
        <v>6020</v>
      </c>
      <c r="B35" s="143" t="n">
        <v>130</v>
      </c>
      <c r="C35" s="143" t="inlineStr">
        <is>
          <t>Adore</t>
        </is>
      </c>
      <c r="D35" s="144" t="inlineStr">
        <is>
          <t>ANVIL 43</t>
        </is>
      </c>
      <c r="E35" s="143" t="n">
        <v>35</v>
      </c>
      <c r="F35" s="143" t="n">
        <v>165</v>
      </c>
      <c r="G35" s="143" t="inlineStr">
        <is>
          <t>Yes</t>
        </is>
      </c>
      <c r="H35" s="143" t="n">
        <v>180</v>
      </c>
      <c r="I35" s="162" t="n"/>
      <c r="J35" s="147">
        <f>IF(I35="","",IFERROR(SUMPRODUCT((TableBOM[Product ID]=A35)*(TableBOM[Material Category]="SLUG")*TableBOM[Per 1000 Units]*(1+TableBOM[Scrap %]))*I35/1000,0))</f>
        <v/>
      </c>
      <c r="K35" s="147">
        <f>IF(I35="","",IFERROR(SUMPRODUCT((TableBOM[Product ID]=A35)*(TableBOM[Material Category]="BASE COAT")*TableBOM[Per 1000 Units]*(1+TableBOM[Scrap %]))*I35/1000,0))</f>
        <v/>
      </c>
      <c r="L35" s="147">
        <f>IF(I35="","",IFERROR(SUMPRODUCT((TableBOM[Product ID]=A35)*(TableBOM[Material Category]="LACQUER")*TableBOM[Per 1000 Units]*(1+TableBOM[Scrap %]))*I35/1000,0))</f>
        <v/>
      </c>
      <c r="M35" s="147">
        <f>IF(I35="","",IFERROR(SUMPRODUCT((TableBOM[Product ID]=A35)*(TableBOM[Material Category]="LATEX")*TableBOM[Per 1000 Units]*(1+TableBOM[Scrap %]))*I35/1000,0))</f>
        <v/>
      </c>
      <c r="N35" s="147">
        <f>IF(I35="","",IFERROR(SUMPRODUCT((TableBOM[Product ID]=A35)*(TableBOM[Material Category]="ZINC POWDER")*TableBOM[Per 1000 Units]*(1+TableBOM[Scrap %]))*I35/1000,0))</f>
        <v/>
      </c>
      <c r="O35" s="147">
        <f>IF(I35="","",IFERROR(SUMPRODUCT((TableBOM[Product ID]=A35)*(TableBOM[Material Category]="CAP")*TableBOM[Per 1000 Units]*(1+TableBOM[Scrap %]))*I35/1000,0))</f>
        <v/>
      </c>
      <c r="P35" s="147">
        <f>IF(I35="","",IFERROR(SUMPRODUCT((TableBOM[Product ID]=A35)*(TableBOM[Material Category]="CARTON")*TableBOM[Per 1000 Units]*(1+TableBOM[Scrap %]))*I35/1000,0))</f>
        <v/>
      </c>
      <c r="Q35" s="147" t="n"/>
      <c r="R35" s="147" t="n"/>
      <c r="S35" s="147" t="n"/>
    </row>
    <row r="36" ht="15" customHeight="1" s="249">
      <c r="A36" s="143" t="n">
        <v>6021</v>
      </c>
      <c r="B36" s="143" t="n">
        <v>131</v>
      </c>
      <c r="C36" s="143" t="inlineStr">
        <is>
          <t>Adore</t>
        </is>
      </c>
      <c r="D36" s="144" t="inlineStr">
        <is>
          <t>ANVIL 45</t>
        </is>
      </c>
      <c r="E36" s="143" t="n">
        <v>35</v>
      </c>
      <c r="F36" s="143" t="n">
        <v>165</v>
      </c>
      <c r="G36" s="143" t="inlineStr">
        <is>
          <t>Yes</t>
        </is>
      </c>
      <c r="H36" s="143" t="n">
        <v>180</v>
      </c>
      <c r="I36" s="162" t="n"/>
      <c r="J36" s="147">
        <f>IF(I36="","",IFERROR(SUMPRODUCT((TableBOM[Product ID]=A36)*(TableBOM[Material Category]="SLUG")*TableBOM[Per 1000 Units]*(1+TableBOM[Scrap %]))*I36/1000,0))</f>
        <v/>
      </c>
      <c r="K36" s="147">
        <f>IF(I36="","",IFERROR(SUMPRODUCT((TableBOM[Product ID]=A36)*(TableBOM[Material Category]="BASE COAT")*TableBOM[Per 1000 Units]*(1+TableBOM[Scrap %]))*I36/1000,0))</f>
        <v/>
      </c>
      <c r="L36" s="147">
        <f>IF(I36="","",IFERROR(SUMPRODUCT((TableBOM[Product ID]=A36)*(TableBOM[Material Category]="LACQUER")*TableBOM[Per 1000 Units]*(1+TableBOM[Scrap %]))*I36/1000,0))</f>
        <v/>
      </c>
      <c r="M36" s="147">
        <f>IF(I36="","",IFERROR(SUMPRODUCT((TableBOM[Product ID]=A36)*(TableBOM[Material Category]="LATEX")*TableBOM[Per 1000 Units]*(1+TableBOM[Scrap %]))*I36/1000,0))</f>
        <v/>
      </c>
      <c r="N36" s="147">
        <f>IF(I36="","",IFERROR(SUMPRODUCT((TableBOM[Product ID]=A36)*(TableBOM[Material Category]="ZINC POWDER")*TableBOM[Per 1000 Units]*(1+TableBOM[Scrap %]))*I36/1000,0))</f>
        <v/>
      </c>
      <c r="O36" s="147">
        <f>IF(I36="","",IFERROR(SUMPRODUCT((TableBOM[Product ID]=A36)*(TableBOM[Material Category]="CAP")*TableBOM[Per 1000 Units]*(1+TableBOM[Scrap %]))*I36/1000,0))</f>
        <v/>
      </c>
      <c r="P36" s="147">
        <f>IF(I36="","",IFERROR(SUMPRODUCT((TableBOM[Product ID]=A36)*(TableBOM[Material Category]="CARTON")*TableBOM[Per 1000 Units]*(1+TableBOM[Scrap %]))*I36/1000,0))</f>
        <v/>
      </c>
      <c r="Q36" s="147" t="n"/>
      <c r="R36" s="147" t="n"/>
      <c r="S36" s="147" t="n"/>
    </row>
    <row r="37" ht="15" customHeight="1" s="249">
      <c r="A37" s="143" t="n">
        <v>6530</v>
      </c>
      <c r="B37" s="143" t="n">
        <v>182</v>
      </c>
      <c r="C37" s="143" t="inlineStr">
        <is>
          <t>Adore</t>
        </is>
      </c>
      <c r="D37" s="144" t="inlineStr">
        <is>
          <t>V- HC BROWN</t>
        </is>
      </c>
      <c r="E37" s="143" t="n">
        <v>35</v>
      </c>
      <c r="F37" s="143" t="n">
        <v>170</v>
      </c>
      <c r="G37" s="143" t="inlineStr">
        <is>
          <t>Yes</t>
        </is>
      </c>
      <c r="H37" s="143" t="n">
        <v>336</v>
      </c>
      <c r="I37" s="162" t="n"/>
      <c r="J37" s="147">
        <f>IF(I37="","",IFERROR(SUMPRODUCT((TableBOM[Product ID]=A37)*(TableBOM[Material Category]="SLUG")*TableBOM[Per 1000 Units]*(1+TableBOM[Scrap %]))*I37/1000,0))</f>
        <v/>
      </c>
      <c r="K37" s="147">
        <f>IF(I37="","",IFERROR(SUMPRODUCT((TableBOM[Product ID]=A37)*(TableBOM[Material Category]="BASE COAT")*TableBOM[Per 1000 Units]*(1+TableBOM[Scrap %]))*I37/1000,0))</f>
        <v/>
      </c>
      <c r="L37" s="147">
        <f>IF(I37="","",IFERROR(SUMPRODUCT((TableBOM[Product ID]=A37)*(TableBOM[Material Category]="LACQUER")*TableBOM[Per 1000 Units]*(1+TableBOM[Scrap %]))*I37/1000,0))</f>
        <v/>
      </c>
      <c r="M37" s="147">
        <f>IF(I37="","",IFERROR(SUMPRODUCT((TableBOM[Product ID]=A37)*(TableBOM[Material Category]="LATEX")*TableBOM[Per 1000 Units]*(1+TableBOM[Scrap %]))*I37/1000,0))</f>
        <v/>
      </c>
      <c r="N37" s="147">
        <f>IF(I37="","",IFERROR(SUMPRODUCT((TableBOM[Product ID]=A37)*(TableBOM[Material Category]="ZINC POWDER")*TableBOM[Per 1000 Units]*(1+TableBOM[Scrap %]))*I37/1000,0))</f>
        <v/>
      </c>
      <c r="O37" s="147">
        <f>IF(I37="","",IFERROR(SUMPRODUCT((TableBOM[Product ID]=A37)*(TableBOM[Material Category]="CAP")*TableBOM[Per 1000 Units]*(1+TableBOM[Scrap %]))*I37/1000,0))</f>
        <v/>
      </c>
      <c r="P37" s="147">
        <f>IF(I37="","",IFERROR(SUMPRODUCT((TableBOM[Product ID]=A37)*(TableBOM[Material Category]="CARTON")*TableBOM[Per 1000 Units]*(1+TableBOM[Scrap %]))*I37/1000,0))</f>
        <v/>
      </c>
      <c r="Q37" s="147" t="n"/>
      <c r="R37" s="147" t="n"/>
      <c r="S37" s="147" t="n"/>
    </row>
    <row r="38" ht="15" customHeight="1" s="249">
      <c r="A38" s="143" t="n">
        <v>6531</v>
      </c>
      <c r="B38" s="143" t="n">
        <v>183</v>
      </c>
      <c r="C38" s="143" t="inlineStr">
        <is>
          <t>Adore</t>
        </is>
      </c>
      <c r="D38" s="144" t="inlineStr">
        <is>
          <t>V-HC BLACK</t>
        </is>
      </c>
      <c r="E38" s="143" t="n">
        <v>35</v>
      </c>
      <c r="F38" s="143" t="n">
        <v>170</v>
      </c>
      <c r="G38" s="143" t="inlineStr">
        <is>
          <t>Yes</t>
        </is>
      </c>
      <c r="H38" s="143" t="n">
        <v>180</v>
      </c>
      <c r="I38" s="162" t="n">
        <v>22000</v>
      </c>
      <c r="J38" s="147">
        <f>IF(I38="","",IFERROR(SUMPRODUCT((TableBOM[Product ID]=A38)*(TableBOM[Material Category]="SLUG")*TableBOM[Per 1000 Units]*(1+TableBOM[Scrap %]))*I38/1000,0))</f>
        <v/>
      </c>
      <c r="K38" s="147">
        <f>IF(I38="","",IFERROR(SUMPRODUCT((TableBOM[Product ID]=A38)*(TableBOM[Material Category]="BASE COAT")*TableBOM[Per 1000 Units]*(1+TableBOM[Scrap %]))*I38/1000,0))</f>
        <v/>
      </c>
      <c r="L38" s="147">
        <f>IF(I38="","",IFERROR(SUMPRODUCT((TableBOM[Product ID]=A38)*(TableBOM[Material Category]="LACQUER")*TableBOM[Per 1000 Units]*(1+TableBOM[Scrap %]))*I38/1000,0))</f>
        <v/>
      </c>
      <c r="M38" s="147">
        <f>IF(I38="","",IFERROR(SUMPRODUCT((TableBOM[Product ID]=A38)*(TableBOM[Material Category]="LATEX")*TableBOM[Per 1000 Units]*(1+TableBOM[Scrap %]))*I38/1000,0))</f>
        <v/>
      </c>
      <c r="N38" s="147">
        <f>IF(I38="","",IFERROR(SUMPRODUCT((TableBOM[Product ID]=A38)*(TableBOM[Material Category]="ZINC POWDER")*TableBOM[Per 1000 Units]*(1+TableBOM[Scrap %]))*I38/1000,0))</f>
        <v/>
      </c>
      <c r="O38" s="147">
        <f>IF(I38="","",IFERROR(SUMPRODUCT((TableBOM[Product ID]=A38)*(TableBOM[Material Category]="CAP")*TableBOM[Per 1000 Units]*(1+TableBOM[Scrap %]))*I38/1000,0))</f>
        <v/>
      </c>
      <c r="P38" s="147">
        <f>IF(I38="","",IFERROR(SUMPRODUCT((TableBOM[Product ID]=A38)*(TableBOM[Material Category]="CARTON")*TableBOM[Per 1000 Units]*(1+TableBOM[Scrap %]))*I38/1000,0))</f>
        <v/>
      </c>
      <c r="Q38" s="147" t="n"/>
      <c r="R38" s="147" t="n"/>
      <c r="S38" s="147" t="n"/>
    </row>
    <row r="39" ht="15" customHeight="1" s="249">
      <c r="A39" s="143" t="n">
        <v>8001</v>
      </c>
      <c r="B39" s="143" t="n">
        <v>800</v>
      </c>
      <c r="C39" s="143" t="inlineStr">
        <is>
          <t>Alpha Labs PVT LTD</t>
        </is>
      </c>
      <c r="D39" s="144" t="inlineStr">
        <is>
          <t>TRANSPARENT BOTTLE 150ML</t>
        </is>
      </c>
      <c r="E39" s="143" t="inlineStr">
        <is>
          <t>150 ml</t>
        </is>
      </c>
      <c r="F39" s="143" t="n">
        <v>0</v>
      </c>
      <c r="G39" s="143" t="inlineStr">
        <is>
          <t>No</t>
        </is>
      </c>
      <c r="H39" s="143" t="n">
        <v>0</v>
      </c>
      <c r="I39" s="162" t="n"/>
      <c r="J39" s="147">
        <f>IF(I39="","",IFERROR(SUMPRODUCT((TableBOM[Product ID]=A39)*(TableBOM[Material Category]="SLUG")*TableBOM[Per 1000 Units]*(1+TableBOM[Scrap %]))*I39/1000,0))</f>
        <v/>
      </c>
      <c r="K39" s="147">
        <f>IF(I39="","",IFERROR(SUMPRODUCT((TableBOM[Product ID]=A39)*(TableBOM[Material Category]="BASE COAT")*TableBOM[Per 1000 Units]*(1+TableBOM[Scrap %]))*I39/1000,0))</f>
        <v/>
      </c>
      <c r="L39" s="147">
        <f>IF(I39="","",IFERROR(SUMPRODUCT((TableBOM[Product ID]=A39)*(TableBOM[Material Category]="LACQUER")*TableBOM[Per 1000 Units]*(1+TableBOM[Scrap %]))*I39/1000,0))</f>
        <v/>
      </c>
      <c r="M39" s="147">
        <f>IF(I39="","",IFERROR(SUMPRODUCT((TableBOM[Product ID]=A39)*(TableBOM[Material Category]="LATEX")*TableBOM[Per 1000 Units]*(1+TableBOM[Scrap %]))*I39/1000,0))</f>
        <v/>
      </c>
      <c r="N39" s="147">
        <f>IF(I39="","",IFERROR(SUMPRODUCT((TableBOM[Product ID]=A39)*(TableBOM[Material Category]="ZINC POWDER")*TableBOM[Per 1000 Units]*(1+TableBOM[Scrap %]))*I39/1000,0))</f>
        <v/>
      </c>
      <c r="O39" s="147">
        <f>IF(I39="","",IFERROR(SUMPRODUCT((TableBOM[Product ID]=A39)*(TableBOM[Material Category]="CAP")*TableBOM[Per 1000 Units]*(1+TableBOM[Scrap %]))*I39/1000,0))</f>
        <v/>
      </c>
      <c r="P39" s="147">
        <f>IF(I39="","",IFERROR(SUMPRODUCT((TableBOM[Product ID]=A39)*(TableBOM[Material Category]="CARTON")*TableBOM[Per 1000 Units]*(1+TableBOM[Scrap %]))*I39/1000,0))</f>
        <v/>
      </c>
      <c r="Q39" s="147" t="n"/>
      <c r="R39" s="147" t="n"/>
      <c r="S39" s="147" t="n"/>
    </row>
    <row r="40" ht="15" customHeight="1" s="249">
      <c r="A40" s="143" t="n">
        <v>8005</v>
      </c>
      <c r="B40" s="143" t="n">
        <v>805</v>
      </c>
      <c r="C40" s="143" t="inlineStr">
        <is>
          <t>Samsol International Private Limited</t>
        </is>
      </c>
      <c r="D40" s="144" t="inlineStr">
        <is>
          <t>PET BOTTLE SMALL (120ML) YELLOW</t>
        </is>
      </c>
      <c r="E40" s="143" t="inlineStr">
        <is>
          <t>120 ml</t>
        </is>
      </c>
      <c r="F40" s="143" t="n">
        <v>0</v>
      </c>
      <c r="G40" s="143" t="inlineStr">
        <is>
          <t>No</t>
        </is>
      </c>
      <c r="H40" s="143" t="n">
        <v>0</v>
      </c>
      <c r="I40" s="162" t="n"/>
      <c r="J40" s="147">
        <f>IF(I40="","",IFERROR(SUMPRODUCT((TableBOM[Product ID]=A40)*(TableBOM[Material Category]="SLUG")*TableBOM[Per 1000 Units]*(1+TableBOM[Scrap %]))*I40/1000,0))</f>
        <v/>
      </c>
      <c r="K40" s="147">
        <f>IF(I40="","",IFERROR(SUMPRODUCT((TableBOM[Product ID]=A40)*(TableBOM[Material Category]="BASE COAT")*TableBOM[Per 1000 Units]*(1+TableBOM[Scrap %]))*I40/1000,0))</f>
        <v/>
      </c>
      <c r="L40" s="147">
        <f>IF(I40="","",IFERROR(SUMPRODUCT((TableBOM[Product ID]=A40)*(TableBOM[Material Category]="LACQUER")*TableBOM[Per 1000 Units]*(1+TableBOM[Scrap %]))*I40/1000,0))</f>
        <v/>
      </c>
      <c r="M40" s="147">
        <f>IF(I40="","",IFERROR(SUMPRODUCT((TableBOM[Product ID]=A40)*(TableBOM[Material Category]="LATEX")*TableBOM[Per 1000 Units]*(1+TableBOM[Scrap %]))*I40/1000,0))</f>
        <v/>
      </c>
      <c r="N40" s="147">
        <f>IF(I40="","",IFERROR(SUMPRODUCT((TableBOM[Product ID]=A40)*(TableBOM[Material Category]="ZINC POWDER")*TableBOM[Per 1000 Units]*(1+TableBOM[Scrap %]))*I40/1000,0))</f>
        <v/>
      </c>
      <c r="O40" s="147">
        <f>IF(I40="","",IFERROR(SUMPRODUCT((TableBOM[Product ID]=A40)*(TableBOM[Material Category]="CAP")*TableBOM[Per 1000 Units]*(1+TableBOM[Scrap %]))*I40/1000,0))</f>
        <v/>
      </c>
      <c r="P40" s="147">
        <f>IF(I40="","",IFERROR(SUMPRODUCT((TableBOM[Product ID]=A40)*(TableBOM[Material Category]="CARTON")*TableBOM[Per 1000 Units]*(1+TableBOM[Scrap %]))*I40/1000,0))</f>
        <v/>
      </c>
      <c r="Q40" s="147" t="n"/>
      <c r="R40" s="147" t="n"/>
      <c r="S40" s="147" t="n"/>
    </row>
    <row r="41" ht="15" customHeight="1" s="249">
      <c r="A41" s="143" t="n">
        <v>8011</v>
      </c>
      <c r="B41" s="143" t="n">
        <v>811</v>
      </c>
      <c r="C41" s="143" t="inlineStr">
        <is>
          <t>Samsol International Private Limited</t>
        </is>
      </c>
      <c r="D41" s="144" t="inlineStr">
        <is>
          <t>BLACK SMALL BOTTLE 120ML</t>
        </is>
      </c>
      <c r="E41" s="143" t="inlineStr">
        <is>
          <t>120 ml</t>
        </is>
      </c>
      <c r="F41" s="143" t="n">
        <v>0</v>
      </c>
      <c r="G41" s="143" t="inlineStr">
        <is>
          <t>No</t>
        </is>
      </c>
      <c r="H41" s="143" t="n">
        <v>0</v>
      </c>
      <c r="I41" s="162" t="n"/>
      <c r="J41" s="147">
        <f>IF(I41="","",IFERROR(SUMPRODUCT((TableBOM[Product ID]=A41)*(TableBOM[Material Category]="SLUG")*TableBOM[Per 1000 Units]*(1+TableBOM[Scrap %]))*I41/1000,0))</f>
        <v/>
      </c>
      <c r="K41" s="147">
        <f>IF(I41="","",IFERROR(SUMPRODUCT((TableBOM[Product ID]=A41)*(TableBOM[Material Category]="BASE COAT")*TableBOM[Per 1000 Units]*(1+TableBOM[Scrap %]))*I41/1000,0))</f>
        <v/>
      </c>
      <c r="L41" s="147">
        <f>IF(I41="","",IFERROR(SUMPRODUCT((TableBOM[Product ID]=A41)*(TableBOM[Material Category]="LACQUER")*TableBOM[Per 1000 Units]*(1+TableBOM[Scrap %]))*I41/1000,0))</f>
        <v/>
      </c>
      <c r="M41" s="147">
        <f>IF(I41="","",IFERROR(SUMPRODUCT((TableBOM[Product ID]=A41)*(TableBOM[Material Category]="LATEX")*TableBOM[Per 1000 Units]*(1+TableBOM[Scrap %]))*I41/1000,0))</f>
        <v/>
      </c>
      <c r="N41" s="147">
        <f>IF(I41="","",IFERROR(SUMPRODUCT((TableBOM[Product ID]=A41)*(TableBOM[Material Category]="ZINC POWDER")*TableBOM[Per 1000 Units]*(1+TableBOM[Scrap %]))*I41/1000,0))</f>
        <v/>
      </c>
      <c r="O41" s="147">
        <f>IF(I41="","",IFERROR(SUMPRODUCT((TableBOM[Product ID]=A41)*(TableBOM[Material Category]="CAP")*TableBOM[Per 1000 Units]*(1+TableBOM[Scrap %]))*I41/1000,0))</f>
        <v/>
      </c>
      <c r="P41" s="147">
        <f>IF(I41="","",IFERROR(SUMPRODUCT((TableBOM[Product ID]=A41)*(TableBOM[Material Category]="CARTON")*TableBOM[Per 1000 Units]*(1+TableBOM[Scrap %]))*I41/1000,0))</f>
        <v/>
      </c>
      <c r="Q41" s="147" t="n"/>
      <c r="R41" s="147" t="n"/>
      <c r="S41" s="147" t="n"/>
    </row>
    <row r="42" ht="15" customHeight="1" s="249">
      <c r="A42" s="143" t="n">
        <v>8012</v>
      </c>
      <c r="B42" s="143" t="n">
        <v>812</v>
      </c>
      <c r="C42" s="143" t="inlineStr">
        <is>
          <t>Samsol International Private Limited</t>
        </is>
      </c>
      <c r="D42" s="163" t="inlineStr">
        <is>
          <t>WHITE SMALL BOTTLE 120ML</t>
        </is>
      </c>
      <c r="E42" s="143" t="inlineStr">
        <is>
          <t>120 ml</t>
        </is>
      </c>
      <c r="F42" s="143" t="n">
        <v>0</v>
      </c>
      <c r="G42" s="143" t="inlineStr">
        <is>
          <t>No</t>
        </is>
      </c>
      <c r="H42" s="143" t="n">
        <v>0</v>
      </c>
      <c r="I42" s="162" t="n"/>
      <c r="J42" s="147">
        <f>IF(I42="","",IFERROR(SUMPRODUCT((TableBOM[Product ID]=A42)*(TableBOM[Material Category]="SLUG")*TableBOM[Per 1000 Units]*(1+TableBOM[Scrap %]))*I42/1000,0))</f>
        <v/>
      </c>
      <c r="K42" s="147">
        <f>IF(I42="","",IFERROR(SUMPRODUCT((TableBOM[Product ID]=A42)*(TableBOM[Material Category]="BASE COAT")*TableBOM[Per 1000 Units]*(1+TableBOM[Scrap %]))*I42/1000,0))</f>
        <v/>
      </c>
      <c r="L42" s="147">
        <f>IF(I42="","",IFERROR(SUMPRODUCT((TableBOM[Product ID]=A42)*(TableBOM[Material Category]="LACQUER")*TableBOM[Per 1000 Units]*(1+TableBOM[Scrap %]))*I42/1000,0))</f>
        <v/>
      </c>
      <c r="M42" s="147">
        <f>IF(I42="","",IFERROR(SUMPRODUCT((TableBOM[Product ID]=A42)*(TableBOM[Material Category]="LATEX")*TableBOM[Per 1000 Units]*(1+TableBOM[Scrap %]))*I42/1000,0))</f>
        <v/>
      </c>
      <c r="N42" s="147">
        <f>IF(I42="","",IFERROR(SUMPRODUCT((TableBOM[Product ID]=A42)*(TableBOM[Material Category]="ZINC POWDER")*TableBOM[Per 1000 Units]*(1+TableBOM[Scrap %]))*I42/1000,0))</f>
        <v/>
      </c>
      <c r="O42" s="147">
        <f>IF(I42="","",IFERROR(SUMPRODUCT((TableBOM[Product ID]=A42)*(TableBOM[Material Category]="CAP")*TableBOM[Per 1000 Units]*(1+TableBOM[Scrap %]))*I42/1000,0))</f>
        <v/>
      </c>
      <c r="P42" s="147">
        <f>IF(I42="","",IFERROR(SUMPRODUCT((TableBOM[Product ID]=A42)*(TableBOM[Material Category]="CARTON")*TableBOM[Per 1000 Units]*(1+TableBOM[Scrap %]))*I42/1000,0))</f>
        <v/>
      </c>
      <c r="Q42" s="147" t="n"/>
      <c r="R42" s="147" t="n"/>
      <c r="S42" s="147" t="n"/>
    </row>
    <row r="43" ht="10.5" customHeight="1" s="249">
      <c r="A43" s="143" t="n">
        <v>8010</v>
      </c>
      <c r="B43" s="143" t="n">
        <v>810</v>
      </c>
      <c r="C43" s="143" t="inlineStr">
        <is>
          <t>Alpha Labs PVT LTD</t>
        </is>
      </c>
      <c r="D43" s="164" t="inlineStr">
        <is>
          <t>PET BOTTLE SMALL (130ML) TRANSPARENT</t>
        </is>
      </c>
      <c r="E43" s="143" t="inlineStr">
        <is>
          <t>130 ml</t>
        </is>
      </c>
      <c r="F43" s="143" t="n">
        <v>0</v>
      </c>
      <c r="G43" s="143" t="inlineStr">
        <is>
          <t>No</t>
        </is>
      </c>
      <c r="H43" s="143" t="n">
        <v>0</v>
      </c>
      <c r="I43" s="162" t="n"/>
      <c r="J43" s="147">
        <f>IF(I43="","",IFERROR(SUMPRODUCT((TableBOM[Product ID]=A43)*(TableBOM[Material Category]="SLUG")*TableBOM[Per 1000 Units]*(1+TableBOM[Scrap %]))*I43/1000,0))</f>
        <v/>
      </c>
      <c r="K43" s="147">
        <f>IF(I43="","",IFERROR(SUMPRODUCT((TableBOM[Product ID]=A43)*(TableBOM[Material Category]="BASE COAT")*TableBOM[Per 1000 Units]*(1+TableBOM[Scrap %]))*I43/1000,0))</f>
        <v/>
      </c>
      <c r="L43" s="147">
        <f>IF(I43="","",IFERROR(SUMPRODUCT((TableBOM[Product ID]=A43)*(TableBOM[Material Category]="LACQUER")*TableBOM[Per 1000 Units]*(1+TableBOM[Scrap %]))*I43/1000,0))</f>
        <v/>
      </c>
      <c r="M43" s="147">
        <f>IF(I43="","",IFERROR(SUMPRODUCT((TableBOM[Product ID]=A43)*(TableBOM[Material Category]="LATEX")*TableBOM[Per 1000 Units]*(1+TableBOM[Scrap %]))*I43/1000,0))</f>
        <v/>
      </c>
      <c r="N43" s="147">
        <f>IF(I43="","",IFERROR(SUMPRODUCT((TableBOM[Product ID]=A43)*(TableBOM[Material Category]="ZINC POWDER")*TableBOM[Per 1000 Units]*(1+TableBOM[Scrap %]))*I43/1000,0))</f>
        <v/>
      </c>
      <c r="O43" s="147">
        <f>IF(I43="","",IFERROR(SUMPRODUCT((TableBOM[Product ID]=A43)*(TableBOM[Material Category]="CAP")*TableBOM[Per 1000 Units]*(1+TableBOM[Scrap %]))*I43/1000,0))</f>
        <v/>
      </c>
      <c r="P43" s="147">
        <f>IF(I43="","",IFERROR(SUMPRODUCT((TableBOM[Product ID]=A43)*(TableBOM[Material Category]="CARTON")*TableBOM[Per 1000 Units]*(1+TableBOM[Scrap %]))*I43/1000,0))</f>
        <v/>
      </c>
      <c r="Q43" s="147" t="n"/>
      <c r="R43" s="147" t="n"/>
      <c r="S43" s="147" t="n"/>
    </row>
    <row r="44" ht="15" customHeight="1" s="249">
      <c r="A44" s="143" t="n">
        <v>8006</v>
      </c>
      <c r="B44" s="143" t="n">
        <v>806</v>
      </c>
      <c r="C44" s="143" t="inlineStr">
        <is>
          <t>Samsol International Private Limited</t>
        </is>
      </c>
      <c r="D44" s="144" t="inlineStr">
        <is>
          <t>BT-200 ML YELLOW</t>
        </is>
      </c>
      <c r="E44" s="143" t="inlineStr">
        <is>
          <t>200 ml</t>
        </is>
      </c>
      <c r="F44" s="143" t="n">
        <v>0</v>
      </c>
      <c r="G44" s="143" t="inlineStr">
        <is>
          <t>No</t>
        </is>
      </c>
      <c r="H44" s="143" t="n">
        <v>0</v>
      </c>
      <c r="I44" s="162" t="n"/>
      <c r="J44" s="147">
        <f>IF(I44="","",IFERROR(SUMPRODUCT((TableBOM[Product ID]=A44)*(TableBOM[Material Category]="SLUG")*TableBOM[Per 1000 Units]*(1+TableBOM[Scrap %]))*I44/1000,0))</f>
        <v/>
      </c>
      <c r="K44" s="147">
        <f>IF(I44="","",IFERROR(SUMPRODUCT((TableBOM[Product ID]=A44)*(TableBOM[Material Category]="BASE COAT")*TableBOM[Per 1000 Units]*(1+TableBOM[Scrap %]))*I44/1000,0))</f>
        <v/>
      </c>
      <c r="L44" s="147">
        <f>IF(I44="","",IFERROR(SUMPRODUCT((TableBOM[Product ID]=A44)*(TableBOM[Material Category]="LACQUER")*TableBOM[Per 1000 Units]*(1+TableBOM[Scrap %]))*I44/1000,0))</f>
        <v/>
      </c>
      <c r="M44" s="147">
        <f>IF(I44="","",IFERROR(SUMPRODUCT((TableBOM[Product ID]=A44)*(TableBOM[Material Category]="LATEX")*TableBOM[Per 1000 Units]*(1+TableBOM[Scrap %]))*I44/1000,0))</f>
        <v/>
      </c>
      <c r="N44" s="147">
        <f>IF(I44="","",IFERROR(SUMPRODUCT((TableBOM[Product ID]=A44)*(TableBOM[Material Category]="ZINC POWDER")*TableBOM[Per 1000 Units]*(1+TableBOM[Scrap %]))*I44/1000,0))</f>
        <v/>
      </c>
      <c r="O44" s="147">
        <f>IF(I44="","",IFERROR(SUMPRODUCT((TableBOM[Product ID]=A44)*(TableBOM[Material Category]="CAP")*TableBOM[Per 1000 Units]*(1+TableBOM[Scrap %]))*I44/1000,0))</f>
        <v/>
      </c>
      <c r="P44" s="147">
        <f>IF(I44="","",IFERROR(SUMPRODUCT((TableBOM[Product ID]=A44)*(TableBOM[Material Category]="CARTON")*TableBOM[Per 1000 Units]*(1+TableBOM[Scrap %]))*I44/1000,0))</f>
        <v/>
      </c>
      <c r="Q44" s="147" t="n"/>
      <c r="R44" s="147" t="n"/>
      <c r="S44" s="147" t="n"/>
    </row>
    <row r="45" ht="15" customHeight="1" s="249">
      <c r="A45" s="143" t="n">
        <v>8007</v>
      </c>
      <c r="B45" s="143" t="n">
        <v>807</v>
      </c>
      <c r="C45" s="143" t="inlineStr">
        <is>
          <t>Samsol International Private Limited</t>
        </is>
      </c>
      <c r="D45" s="144" t="inlineStr">
        <is>
          <t>PET BOTTLE LARGE 200ML WHITE</t>
        </is>
      </c>
      <c r="E45" s="143" t="inlineStr">
        <is>
          <t>200 ml</t>
        </is>
      </c>
      <c r="F45" s="143" t="n">
        <v>0</v>
      </c>
      <c r="G45" s="143" t="inlineStr">
        <is>
          <t>No</t>
        </is>
      </c>
      <c r="H45" s="143" t="n">
        <v>0</v>
      </c>
      <c r="I45" s="162" t="n"/>
      <c r="J45" s="147">
        <f>IF(I45="","",IFERROR(SUMPRODUCT((TableBOM[Product ID]=A45)*(TableBOM[Material Category]="SLUG")*TableBOM[Per 1000 Units]*(1+TableBOM[Scrap %]))*I45/1000,0))</f>
        <v/>
      </c>
      <c r="K45" s="147">
        <f>IF(I45="","",IFERROR(SUMPRODUCT((TableBOM[Product ID]=A45)*(TableBOM[Material Category]="BASE COAT")*TableBOM[Per 1000 Units]*(1+TableBOM[Scrap %]))*I45/1000,0))</f>
        <v/>
      </c>
      <c r="L45" s="147">
        <f>IF(I45="","",IFERROR(SUMPRODUCT((TableBOM[Product ID]=A45)*(TableBOM[Material Category]="LACQUER")*TableBOM[Per 1000 Units]*(1+TableBOM[Scrap %]))*I45/1000,0))</f>
        <v/>
      </c>
      <c r="M45" s="147">
        <f>IF(I45="","",IFERROR(SUMPRODUCT((TableBOM[Product ID]=A45)*(TableBOM[Material Category]="LATEX")*TableBOM[Per 1000 Units]*(1+TableBOM[Scrap %]))*I45/1000,0))</f>
        <v/>
      </c>
      <c r="N45" s="147">
        <f>IF(I45="","",IFERROR(SUMPRODUCT((TableBOM[Product ID]=A45)*(TableBOM[Material Category]="ZINC POWDER")*TableBOM[Per 1000 Units]*(1+TableBOM[Scrap %]))*I45/1000,0))</f>
        <v/>
      </c>
      <c r="O45" s="147">
        <f>IF(I45="","",IFERROR(SUMPRODUCT((TableBOM[Product ID]=A45)*(TableBOM[Material Category]="CAP")*TableBOM[Per 1000 Units]*(1+TableBOM[Scrap %]))*I45/1000,0))</f>
        <v/>
      </c>
      <c r="P45" s="147">
        <f>IF(I45="","",IFERROR(SUMPRODUCT((TableBOM[Product ID]=A45)*(TableBOM[Material Category]="CARTON")*TableBOM[Per 1000 Units]*(1+TableBOM[Scrap %]))*I45/1000,0))</f>
        <v/>
      </c>
      <c r="Q45" s="147" t="n"/>
      <c r="R45" s="147" t="n"/>
      <c r="S45" s="147" t="n"/>
    </row>
    <row r="46" ht="15" customHeight="1" s="249">
      <c r="A46" s="143" t="n">
        <v>8008</v>
      </c>
      <c r="B46" s="143" t="n">
        <v>808</v>
      </c>
      <c r="C46" s="143" t="inlineStr">
        <is>
          <t>Samsol International Private Limited</t>
        </is>
      </c>
      <c r="D46" s="144" t="inlineStr">
        <is>
          <t>BLACK BOTTLE 200ML</t>
        </is>
      </c>
      <c r="E46" s="143" t="inlineStr">
        <is>
          <t>200 ml</t>
        </is>
      </c>
      <c r="F46" s="143" t="n">
        <v>0</v>
      </c>
      <c r="G46" s="143" t="inlineStr">
        <is>
          <t>No</t>
        </is>
      </c>
      <c r="H46" s="143" t="n">
        <v>0</v>
      </c>
      <c r="I46" s="162" t="n"/>
      <c r="J46" s="147">
        <f>IF(I46="","",IFERROR(SUMPRODUCT((TableBOM[Product ID]=A46)*(TableBOM[Material Category]="SLUG")*TableBOM[Per 1000 Units]*(1+TableBOM[Scrap %]))*I46/1000,0))</f>
        <v/>
      </c>
      <c r="K46" s="147">
        <f>IF(I46="","",IFERROR(SUMPRODUCT((TableBOM[Product ID]=A46)*(TableBOM[Material Category]="BASE COAT")*TableBOM[Per 1000 Units]*(1+TableBOM[Scrap %]))*I46/1000,0))</f>
        <v/>
      </c>
      <c r="L46" s="147">
        <f>IF(I46="","",IFERROR(SUMPRODUCT((TableBOM[Product ID]=A46)*(TableBOM[Material Category]="LACQUER")*TableBOM[Per 1000 Units]*(1+TableBOM[Scrap %]))*I46/1000,0))</f>
        <v/>
      </c>
      <c r="M46" s="147">
        <f>IF(I46="","",IFERROR(SUMPRODUCT((TableBOM[Product ID]=A46)*(TableBOM[Material Category]="LATEX")*TableBOM[Per 1000 Units]*(1+TableBOM[Scrap %]))*I46/1000,0))</f>
        <v/>
      </c>
      <c r="N46" s="147">
        <f>IF(I46="","",IFERROR(SUMPRODUCT((TableBOM[Product ID]=A46)*(TableBOM[Material Category]="ZINC POWDER")*TableBOM[Per 1000 Units]*(1+TableBOM[Scrap %]))*I46/1000,0))</f>
        <v/>
      </c>
      <c r="O46" s="147">
        <f>IF(I46="","",IFERROR(SUMPRODUCT((TableBOM[Product ID]=A46)*(TableBOM[Material Category]="CAP")*TableBOM[Per 1000 Units]*(1+TableBOM[Scrap %]))*I46/1000,0))</f>
        <v/>
      </c>
      <c r="P46" s="147">
        <f>IF(I46="","",IFERROR(SUMPRODUCT((TableBOM[Product ID]=A46)*(TableBOM[Material Category]="CARTON")*TableBOM[Per 1000 Units]*(1+TableBOM[Scrap %]))*I46/1000,0))</f>
        <v/>
      </c>
      <c r="Q46" s="147" t="n"/>
      <c r="R46" s="147" t="n"/>
      <c r="S46" s="147" t="n"/>
    </row>
    <row r="47" ht="15" customHeight="1" s="249">
      <c r="A47" s="143" t="n">
        <v>8009</v>
      </c>
      <c r="B47" s="143" t="n">
        <v>809</v>
      </c>
      <c r="C47" s="143" t="inlineStr">
        <is>
          <t>Mablay Beauty PVT LTD.</t>
        </is>
      </c>
      <c r="D47" s="144" t="inlineStr">
        <is>
          <t>TRANSPARENT BOTTLE 300ML</t>
        </is>
      </c>
      <c r="E47" s="143" t="inlineStr">
        <is>
          <t>300 ml</t>
        </is>
      </c>
      <c r="F47" s="143" t="n">
        <v>0</v>
      </c>
      <c r="G47" s="143" t="inlineStr">
        <is>
          <t>No</t>
        </is>
      </c>
      <c r="H47" s="143" t="n">
        <v>0</v>
      </c>
      <c r="I47" s="162" t="n"/>
      <c r="J47" s="147">
        <f>IF(I47="","",IFERROR(SUMPRODUCT((TableBOM[Product ID]=A47)*(TableBOM[Material Category]="SLUG")*TableBOM[Per 1000 Units]*(1+TableBOM[Scrap %]))*I47/1000,0))</f>
        <v/>
      </c>
      <c r="K47" s="147">
        <f>IF(I47="","",IFERROR(SUMPRODUCT((TableBOM[Product ID]=A47)*(TableBOM[Material Category]="BASE COAT")*TableBOM[Per 1000 Units]*(1+TableBOM[Scrap %]))*I47/1000,0))</f>
        <v/>
      </c>
      <c r="L47" s="147">
        <f>IF(I47="","",IFERROR(SUMPRODUCT((TableBOM[Product ID]=A47)*(TableBOM[Material Category]="LACQUER")*TableBOM[Per 1000 Units]*(1+TableBOM[Scrap %]))*I47/1000,0))</f>
        <v/>
      </c>
      <c r="M47" s="147">
        <f>IF(I47="","",IFERROR(SUMPRODUCT((TableBOM[Product ID]=A47)*(TableBOM[Material Category]="LATEX")*TableBOM[Per 1000 Units]*(1+TableBOM[Scrap %]))*I47/1000,0))</f>
        <v/>
      </c>
      <c r="N47" s="147">
        <f>IF(I47="","",IFERROR(SUMPRODUCT((TableBOM[Product ID]=A47)*(TableBOM[Material Category]="ZINC POWDER")*TableBOM[Per 1000 Units]*(1+TableBOM[Scrap %]))*I47/1000,0))</f>
        <v/>
      </c>
      <c r="O47" s="147">
        <f>IF(I47="","",IFERROR(SUMPRODUCT((TableBOM[Product ID]=A47)*(TableBOM[Material Category]="CAP")*TableBOM[Per 1000 Units]*(1+TableBOM[Scrap %]))*I47/1000,0))</f>
        <v/>
      </c>
      <c r="P47" s="147">
        <f>IF(I47="","",IFERROR(SUMPRODUCT((TableBOM[Product ID]=A47)*(TableBOM[Material Category]="CARTON")*TableBOM[Per 1000 Units]*(1+TableBOM[Scrap %]))*I47/1000,0))</f>
        <v/>
      </c>
      <c r="Q47" s="147" t="n"/>
      <c r="R47" s="147" t="n"/>
      <c r="S47" s="147" t="n"/>
    </row>
    <row r="48" ht="15" customHeight="1" s="249">
      <c r="A48" s="143" t="n">
        <v>8013</v>
      </c>
      <c r="B48" s="143" t="n">
        <v>813</v>
      </c>
      <c r="C48" s="143" t="inlineStr">
        <is>
          <t>Mablay Beauty PVT LTD.</t>
        </is>
      </c>
      <c r="D48" s="144" t="inlineStr">
        <is>
          <t>TRANSPARENT JAR 500ML</t>
        </is>
      </c>
      <c r="E48" s="143" t="inlineStr">
        <is>
          <t>500 ml</t>
        </is>
      </c>
      <c r="F48" s="143" t="n">
        <v>0</v>
      </c>
      <c r="G48" s="143" t="inlineStr">
        <is>
          <t>No</t>
        </is>
      </c>
      <c r="H48" s="143" t="n">
        <v>0</v>
      </c>
      <c r="I48" s="162" t="n"/>
      <c r="J48" s="147">
        <f>IF(I48="","",IFERROR(SUMPRODUCT((TableBOM[Product ID]=A48)*(TableBOM[Material Category]="SLUG")*TableBOM[Per 1000 Units]*(1+TableBOM[Scrap %]))*I48/1000,0))</f>
        <v/>
      </c>
      <c r="K48" s="147">
        <f>IF(I48="","",IFERROR(SUMPRODUCT((TableBOM[Product ID]=A48)*(TableBOM[Material Category]="BASE COAT")*TableBOM[Per 1000 Units]*(1+TableBOM[Scrap %]))*I48/1000,0))</f>
        <v/>
      </c>
      <c r="L48" s="147">
        <f>IF(I48="","",IFERROR(SUMPRODUCT((TableBOM[Product ID]=A48)*(TableBOM[Material Category]="LACQUER")*TableBOM[Per 1000 Units]*(1+TableBOM[Scrap %]))*I48/1000,0))</f>
        <v/>
      </c>
      <c r="M48" s="147">
        <f>IF(I48="","",IFERROR(SUMPRODUCT((TableBOM[Product ID]=A48)*(TableBOM[Material Category]="LATEX")*TableBOM[Per 1000 Units]*(1+TableBOM[Scrap %]))*I48/1000,0))</f>
        <v/>
      </c>
      <c r="N48" s="147">
        <f>IF(I48="","",IFERROR(SUMPRODUCT((TableBOM[Product ID]=A48)*(TableBOM[Material Category]="ZINC POWDER")*TableBOM[Per 1000 Units]*(1+TableBOM[Scrap %]))*I48/1000,0))</f>
        <v/>
      </c>
      <c r="O48" s="147">
        <f>IF(I48="","",IFERROR(SUMPRODUCT((TableBOM[Product ID]=A48)*(TableBOM[Material Category]="CAP")*TableBOM[Per 1000 Units]*(1+TableBOM[Scrap %]))*I48/1000,0))</f>
        <v/>
      </c>
      <c r="P48" s="147">
        <f>IF(I48="","",IFERROR(SUMPRODUCT((TableBOM[Product ID]=A48)*(TableBOM[Material Category]="CARTON")*TableBOM[Per 1000 Units]*(1+TableBOM[Scrap %]))*I48/1000,0))</f>
        <v/>
      </c>
      <c r="Q48" s="147" t="n"/>
      <c r="R48" s="147" t="n"/>
      <c r="S48" s="147" t="n"/>
    </row>
    <row r="49" ht="15" customHeight="1" s="249">
      <c r="A49" s="143" t="n">
        <v>8014</v>
      </c>
      <c r="B49" s="143" t="n">
        <v>814</v>
      </c>
      <c r="C49" s="143" t="inlineStr">
        <is>
          <t>Samsol International Private Limited</t>
        </is>
      </c>
      <c r="D49" s="144" t="inlineStr">
        <is>
          <t>BT-200ML MUSTARD OIL (TRANSPARENT)</t>
        </is>
      </c>
      <c r="E49" s="143" t="inlineStr">
        <is>
          <t>200 ml</t>
        </is>
      </c>
      <c r="F49" s="143" t="n">
        <v>0</v>
      </c>
      <c r="G49" s="143" t="inlineStr">
        <is>
          <t>No</t>
        </is>
      </c>
      <c r="H49" s="143" t="n">
        <v>0</v>
      </c>
      <c r="I49" s="162" t="n"/>
      <c r="J49" s="147">
        <f>IF(I49="","",IFERROR(SUMPRODUCT((TableBOM[Product ID]=A49)*(TableBOM[Material Category]="SLUG")*TableBOM[Per 1000 Units]*(1+TableBOM[Scrap %]))*I49/1000,0))</f>
        <v/>
      </c>
      <c r="K49" s="147">
        <f>IF(I49="","",IFERROR(SUMPRODUCT((TableBOM[Product ID]=A49)*(TableBOM[Material Category]="BASE COAT")*TableBOM[Per 1000 Units]*(1+TableBOM[Scrap %]))*I49/1000,0))</f>
        <v/>
      </c>
      <c r="L49" s="147">
        <f>IF(I49="","",IFERROR(SUMPRODUCT((TableBOM[Product ID]=A49)*(TableBOM[Material Category]="LACQUER")*TableBOM[Per 1000 Units]*(1+TableBOM[Scrap %]))*I49/1000,0))</f>
        <v/>
      </c>
      <c r="M49" s="147">
        <f>IF(I49="","",IFERROR(SUMPRODUCT((TableBOM[Product ID]=A49)*(TableBOM[Material Category]="LATEX")*TableBOM[Per 1000 Units]*(1+TableBOM[Scrap %]))*I49/1000,0))</f>
        <v/>
      </c>
      <c r="N49" s="147">
        <f>IF(I49="","",IFERROR(SUMPRODUCT((TableBOM[Product ID]=A49)*(TableBOM[Material Category]="ZINC POWDER")*TableBOM[Per 1000 Units]*(1+TableBOM[Scrap %]))*I49/1000,0))</f>
        <v/>
      </c>
      <c r="O49" s="147">
        <f>IF(I49="","",IFERROR(SUMPRODUCT((TableBOM[Product ID]=A49)*(TableBOM[Material Category]="CAP")*TableBOM[Per 1000 Units]*(1+TableBOM[Scrap %]))*I49/1000,0))</f>
        <v/>
      </c>
      <c r="P49" s="147">
        <f>IF(I49="","",IFERROR(SUMPRODUCT((TableBOM[Product ID]=A49)*(TableBOM[Material Category]="CARTON")*TableBOM[Per 1000 Units]*(1+TableBOM[Scrap %]))*I49/1000,0))</f>
        <v/>
      </c>
      <c r="Q49" s="147" t="n"/>
      <c r="R49" s="147" t="n"/>
      <c r="S49" s="147" t="n"/>
    </row>
    <row r="50" ht="15" customHeight="1" s="249">
      <c r="A50" s="143" t="n">
        <v>2909</v>
      </c>
      <c r="B50" s="143" t="n">
        <v>56</v>
      </c>
      <c r="C50" s="143" t="inlineStr">
        <is>
          <t>Professional Beauty Solution (PVT) LTD.Pakistan</t>
        </is>
      </c>
      <c r="D50" s="144" t="inlineStr">
        <is>
          <t>EAZI COLOR PERMANENT HAIR COLOUR 60ML</t>
        </is>
      </c>
      <c r="E50" s="143" t="n">
        <v>30</v>
      </c>
      <c r="F50" s="143" t="n">
        <v>130</v>
      </c>
      <c r="G50" s="143" t="inlineStr">
        <is>
          <t>No</t>
        </is>
      </c>
      <c r="H50" s="143" t="n">
        <v>150</v>
      </c>
      <c r="I50" s="162" t="n"/>
      <c r="J50" s="147">
        <f>IF(I50="","",IFERROR(SUMPRODUCT((TableBOM[Product ID]=A50)*(TableBOM[Material Category]="SLUG")*TableBOM[Per 1000 Units]*(1+TableBOM[Scrap %]))*I50/1000,0))</f>
        <v/>
      </c>
      <c r="K50" s="147">
        <f>IF(I50="","",IFERROR(SUMPRODUCT((TableBOM[Product ID]=A50)*(TableBOM[Material Category]="BASE COAT")*TableBOM[Per 1000 Units]*(1+TableBOM[Scrap %]))*I50/1000,0))</f>
        <v/>
      </c>
      <c r="L50" s="147">
        <f>IF(I50="","",IFERROR(SUMPRODUCT((TableBOM[Product ID]=A50)*(TableBOM[Material Category]="LACQUER")*TableBOM[Per 1000 Units]*(1+TableBOM[Scrap %]))*I50/1000,0))</f>
        <v/>
      </c>
      <c r="M50" s="147">
        <f>IF(I50="","",IFERROR(SUMPRODUCT((TableBOM[Product ID]=A50)*(TableBOM[Material Category]="LATEX")*TableBOM[Per 1000 Units]*(1+TableBOM[Scrap %]))*I50/1000,0))</f>
        <v/>
      </c>
      <c r="N50" s="147">
        <f>IF(I50="","",IFERROR(SUMPRODUCT((TableBOM[Product ID]=A50)*(TableBOM[Material Category]="ZINC POWDER")*TableBOM[Per 1000 Units]*(1+TableBOM[Scrap %]))*I50/1000,0))</f>
        <v/>
      </c>
      <c r="O50" s="147">
        <f>IF(I50="","",IFERROR(SUMPRODUCT((TableBOM[Product ID]=A50)*(TableBOM[Material Category]="CAP")*TableBOM[Per 1000 Units]*(1+TableBOM[Scrap %]))*I50/1000,0))</f>
        <v/>
      </c>
      <c r="P50" s="147">
        <f>IF(I50="","",IFERROR(SUMPRODUCT((TableBOM[Product ID]=A50)*(TableBOM[Material Category]="CARTON")*TableBOM[Per 1000 Units]*(1+TableBOM[Scrap %]))*I50/1000,0))</f>
        <v/>
      </c>
      <c r="Q50" s="147" t="n"/>
      <c r="R50" s="147" t="n"/>
      <c r="S50" s="147" t="n"/>
    </row>
    <row r="51" ht="15" customHeight="1" s="249">
      <c r="A51" s="143" t="n">
        <v>4227</v>
      </c>
      <c r="B51" s="143" t="n">
        <v>20</v>
      </c>
      <c r="C51" s="143" t="inlineStr">
        <is>
          <t>Professional Beauty Solution (Pvt) Ltd</t>
        </is>
      </c>
      <c r="D51" s="144" t="inlineStr">
        <is>
          <t>BELINI HAIR COLOR 50ML</t>
        </is>
      </c>
      <c r="E51" s="143" t="n">
        <v>25</v>
      </c>
      <c r="F51" s="143" t="n">
        <v>150</v>
      </c>
      <c r="G51" s="143" t="inlineStr">
        <is>
          <t>Yes</t>
        </is>
      </c>
      <c r="H51" s="143" t="n">
        <v>336</v>
      </c>
      <c r="I51" s="162" t="n"/>
      <c r="J51" s="147">
        <f>IF(I51="","",IFERROR(SUMPRODUCT((TableBOM[Product ID]=A51)*(TableBOM[Material Category]="SLUG")*TableBOM[Per 1000 Units]*(1+TableBOM[Scrap %]))*I51/1000,0))</f>
        <v/>
      </c>
      <c r="K51" s="147">
        <f>IF(I51="","",IFERROR(SUMPRODUCT((TableBOM[Product ID]=A51)*(TableBOM[Material Category]="BASE COAT")*TableBOM[Per 1000 Units]*(1+TableBOM[Scrap %]))*I51/1000,0))</f>
        <v/>
      </c>
      <c r="L51" s="147">
        <f>IF(I51="","",IFERROR(SUMPRODUCT((TableBOM[Product ID]=A51)*(TableBOM[Material Category]="LACQUER")*TableBOM[Per 1000 Units]*(1+TableBOM[Scrap %]))*I51/1000,0))</f>
        <v/>
      </c>
      <c r="M51" s="147">
        <f>IF(I51="","",IFERROR(SUMPRODUCT((TableBOM[Product ID]=A51)*(TableBOM[Material Category]="LATEX")*TableBOM[Per 1000 Units]*(1+TableBOM[Scrap %]))*I51/1000,0))</f>
        <v/>
      </c>
      <c r="N51" s="147">
        <f>IF(I51="","",IFERROR(SUMPRODUCT((TableBOM[Product ID]=A51)*(TableBOM[Material Category]="ZINC POWDER")*TableBOM[Per 1000 Units]*(1+TableBOM[Scrap %]))*I51/1000,0))</f>
        <v/>
      </c>
      <c r="O51" s="147">
        <f>IF(I51="","",IFERROR(SUMPRODUCT((TableBOM[Product ID]=A51)*(TableBOM[Material Category]="CAP")*TableBOM[Per 1000 Units]*(1+TableBOM[Scrap %]))*I51/1000,0))</f>
        <v/>
      </c>
      <c r="P51" s="147">
        <f>IF(I51="","",IFERROR(SUMPRODUCT((TableBOM[Product ID]=A51)*(TableBOM[Material Category]="CARTON")*TableBOM[Per 1000 Units]*(1+TableBOM[Scrap %]))*I51/1000,0))</f>
        <v/>
      </c>
      <c r="Q51" s="147" t="n"/>
      <c r="R51" s="147" t="n"/>
      <c r="S51" s="147" t="n"/>
    </row>
    <row r="52" ht="15" customHeight="1" s="249">
      <c r="A52" s="143" t="n">
        <v>5389</v>
      </c>
      <c r="B52" s="143" t="n">
        <v>35</v>
      </c>
      <c r="C52" s="143" t="inlineStr">
        <is>
          <t>Habib Hanif Inc</t>
        </is>
      </c>
      <c r="D52" s="144" t="inlineStr">
        <is>
          <t>S-45</t>
        </is>
      </c>
      <c r="E52" s="143" t="n">
        <v>25</v>
      </c>
      <c r="F52" s="143" t="n">
        <v>150</v>
      </c>
      <c r="G52" s="143" t="inlineStr">
        <is>
          <t>No</t>
        </is>
      </c>
      <c r="H52" s="143" t="n">
        <v>336</v>
      </c>
      <c r="I52" s="162" t="n"/>
      <c r="J52" s="147">
        <f>IF(I52="","",IFERROR(SUMPRODUCT((TableBOM[Product ID]=A52)*(TableBOM[Material Category]="SLUG")*TableBOM[Per 1000 Units]*(1+TableBOM[Scrap %]))*I52/1000,0))</f>
        <v/>
      </c>
      <c r="K52" s="147">
        <f>IF(I52="","",IFERROR(SUMPRODUCT((TableBOM[Product ID]=A52)*(TableBOM[Material Category]="BASE COAT")*TableBOM[Per 1000 Units]*(1+TableBOM[Scrap %]))*I52/1000,0))</f>
        <v/>
      </c>
      <c r="L52" s="147">
        <f>IF(I52="","",IFERROR(SUMPRODUCT((TableBOM[Product ID]=A52)*(TableBOM[Material Category]="LACQUER")*TableBOM[Per 1000 Units]*(1+TableBOM[Scrap %]))*I52/1000,0))</f>
        <v/>
      </c>
      <c r="M52" s="147">
        <f>IF(I52="","",IFERROR(SUMPRODUCT((TableBOM[Product ID]=A52)*(TableBOM[Material Category]="LATEX")*TableBOM[Per 1000 Units]*(1+TableBOM[Scrap %]))*I52/1000,0))</f>
        <v/>
      </c>
      <c r="N52" s="147">
        <f>IF(I52="","",IFERROR(SUMPRODUCT((TableBOM[Product ID]=A52)*(TableBOM[Material Category]="ZINC POWDER")*TableBOM[Per 1000 Units]*(1+TableBOM[Scrap %]))*I52/1000,0))</f>
        <v/>
      </c>
      <c r="O52" s="147">
        <f>IF(I52="","",IFERROR(SUMPRODUCT((TableBOM[Product ID]=A52)*(TableBOM[Material Category]="CAP")*TableBOM[Per 1000 Units]*(1+TableBOM[Scrap %]))*I52/1000,0))</f>
        <v/>
      </c>
      <c r="P52" s="147">
        <f>IF(I52="","",IFERROR(SUMPRODUCT((TableBOM[Product ID]=A52)*(TableBOM[Material Category]="CARTON")*TableBOM[Per 1000 Units]*(1+TableBOM[Scrap %]))*I52/1000,0))</f>
        <v/>
      </c>
      <c r="Q52" s="147" t="n"/>
      <c r="R52" s="147" t="n"/>
      <c r="S52" s="147" t="n"/>
    </row>
    <row r="53" ht="15" customHeight="1" s="249">
      <c r="A53" s="143" t="n">
        <v>6151</v>
      </c>
      <c r="B53" s="143" t="n">
        <v>146</v>
      </c>
      <c r="C53" s="143" t="inlineStr">
        <is>
          <t>Mateen Sons</t>
        </is>
      </c>
      <c r="D53" s="144" t="inlineStr">
        <is>
          <t>GP DIA 30MM</t>
        </is>
      </c>
      <c r="E53" s="143" t="n">
        <v>30</v>
      </c>
      <c r="F53" s="143" t="n">
        <v>130</v>
      </c>
      <c r="G53" s="143" t="inlineStr">
        <is>
          <t>Yes</t>
        </is>
      </c>
      <c r="H53" s="143" t="n">
        <v>238</v>
      </c>
      <c r="I53" s="162" t="n"/>
      <c r="J53" s="147">
        <f>IF(I53="","",IFERROR(SUMPRODUCT((TableBOM[Product ID]=A53)*(TableBOM[Material Category]="SLUG")*TableBOM[Per 1000 Units]*(1+TableBOM[Scrap %]))*I53/1000,0))</f>
        <v/>
      </c>
      <c r="K53" s="147">
        <f>IF(I53="","",IFERROR(SUMPRODUCT((TableBOM[Product ID]=A53)*(TableBOM[Material Category]="BASE COAT")*TableBOM[Per 1000 Units]*(1+TableBOM[Scrap %]))*I53/1000,0))</f>
        <v/>
      </c>
      <c r="L53" s="147">
        <f>IF(I53="","",IFERROR(SUMPRODUCT((TableBOM[Product ID]=A53)*(TableBOM[Material Category]="LACQUER")*TableBOM[Per 1000 Units]*(1+TableBOM[Scrap %]))*I53/1000,0))</f>
        <v/>
      </c>
      <c r="M53" s="147">
        <f>IF(I53="","",IFERROR(SUMPRODUCT((TableBOM[Product ID]=A53)*(TableBOM[Material Category]="LATEX")*TableBOM[Per 1000 Units]*(1+TableBOM[Scrap %]))*I53/1000,0))</f>
        <v/>
      </c>
      <c r="N53" s="147">
        <f>IF(I53="","",IFERROR(SUMPRODUCT((TableBOM[Product ID]=A53)*(TableBOM[Material Category]="ZINC POWDER")*TableBOM[Per 1000 Units]*(1+TableBOM[Scrap %]))*I53/1000,0))</f>
        <v/>
      </c>
      <c r="O53" s="147">
        <f>IF(I53="","",IFERROR(SUMPRODUCT((TableBOM[Product ID]=A53)*(TableBOM[Material Category]="CAP")*TableBOM[Per 1000 Units]*(1+TableBOM[Scrap %]))*I53/1000,0))</f>
        <v/>
      </c>
      <c r="P53" s="147">
        <f>IF(I53="","",IFERROR(SUMPRODUCT((TableBOM[Product ID]=A53)*(TableBOM[Material Category]="CARTON")*TableBOM[Per 1000 Units]*(1+TableBOM[Scrap %]))*I53/1000,0))</f>
        <v/>
      </c>
      <c r="Q53" s="147" t="n"/>
      <c r="R53" s="147" t="n"/>
      <c r="S53" s="147" t="n"/>
    </row>
    <row r="54" ht="15" customHeight="1" s="249">
      <c r="A54" s="143" t="n"/>
      <c r="B54" s="143" t="n"/>
      <c r="C54" s="143" t="n"/>
      <c r="D54" s="144" t="n"/>
      <c r="E54" s="143" t="n"/>
      <c r="F54" s="143" t="n"/>
      <c r="G54" s="143" t="n"/>
      <c r="H54" s="143" t="n"/>
      <c r="I54" s="162" t="n"/>
      <c r="J54" s="147" t="n"/>
      <c r="K54" s="147" t="n"/>
      <c r="L54" s="147" t="n"/>
      <c r="M54" s="147" t="n"/>
      <c r="N54" s="147" t="n"/>
      <c r="O54" s="147" t="n"/>
      <c r="P54" s="147" t="n"/>
      <c r="Q54" s="147" t="n"/>
      <c r="R54" s="147" t="n"/>
      <c r="S54" s="147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S247"/>
  <sheetViews>
    <sheetView topLeftCell="A90" zoomScaleNormal="100" workbookViewId="0">
      <selection activeCell="F107" sqref="F107"/>
    </sheetView>
  </sheetViews>
  <sheetFormatPr baseColWidth="8" defaultColWidth="8.7109375" defaultRowHeight="15"/>
  <cols>
    <col width="20.85546875" customWidth="1" style="249" min="1" max="1"/>
    <col width="14" customWidth="1" style="249" min="2" max="2"/>
    <col width="34" customWidth="1" style="264" min="3" max="3"/>
    <col width="21.7109375" customWidth="1" style="264" min="4" max="4"/>
    <col width="12" customWidth="1" style="249" min="5" max="6"/>
    <col width="14" customWidth="1" style="249" min="7" max="7"/>
    <col width="20" customWidth="1" style="249" min="8" max="8"/>
    <col width="12.85546875" customWidth="1" style="249" min="9" max="9"/>
    <col width="10" customWidth="1" style="249" min="10" max="10"/>
    <col width="14" customWidth="1" style="249" min="11" max="12"/>
    <col width="18" customWidth="1" style="249" min="13" max="13"/>
    <col width="14" customWidth="1" style="249" min="14" max="15"/>
    <col width="18" customWidth="1" style="249" min="16" max="16"/>
    <col width="17.140625" customWidth="1" style="249" min="17" max="17"/>
    <col width="16" customWidth="1" style="249" min="18" max="18"/>
  </cols>
  <sheetData>
    <row r="1" ht="15" customHeight="1" s="249">
      <c r="A1" s="165" t="inlineStr">
        <is>
          <t xml:space="preserve">  PRODUCTION LOG — One row per machine per product per day.</t>
        </is>
      </c>
      <c r="B1" s="165" t="n"/>
      <c r="C1" s="165" t="n"/>
      <c r="D1" s="165" t="n"/>
      <c r="E1" s="165" t="n"/>
      <c r="F1" s="165" t="n"/>
      <c r="G1" s="165" t="n"/>
      <c r="H1" s="165" t="n"/>
      <c r="I1" s="165" t="n"/>
      <c r="J1" s="165" t="n"/>
      <c r="K1" s="165" t="n"/>
      <c r="L1" s="165" t="n"/>
      <c r="M1" s="165" t="n"/>
      <c r="N1" s="165" t="n"/>
      <c r="O1" s="165" t="n"/>
      <c r="P1" s="165" t="n"/>
      <c r="Q1" s="4" t="n"/>
    </row>
    <row r="2" ht="29.25" customHeight="1" s="249">
      <c r="A2" s="166" t="inlineStr">
        <is>
          <t>Date</t>
        </is>
      </c>
      <c r="B2" s="167" t="inlineStr">
        <is>
          <t>Machine</t>
        </is>
      </c>
      <c r="C2" s="168" t="inlineStr">
        <is>
          <t>Customer</t>
        </is>
      </c>
      <c r="D2" s="168" t="inlineStr">
        <is>
          <t>Product Name</t>
        </is>
      </c>
      <c r="E2" s="167" t="inlineStr">
        <is>
          <t>Dia / Volume</t>
        </is>
      </c>
      <c r="F2" s="169" t="inlineStr">
        <is>
          <t>Product ID</t>
        </is>
      </c>
      <c r="G2" s="170" t="inlineStr">
        <is>
          <t>Target Quantity</t>
        </is>
      </c>
      <c r="H2" s="170" t="inlineStr">
        <is>
          <t>Good Quantity Produced</t>
        </is>
      </c>
      <c r="I2" s="170" t="inlineStr">
        <is>
          <t>Reject/Scrap Quantity</t>
        </is>
      </c>
      <c r="J2" s="171" t="inlineStr">
        <is>
          <t>Waste%</t>
        </is>
      </c>
      <c r="K2" s="167" t="inlineStr">
        <is>
          <t>Mechanical DT</t>
        </is>
      </c>
      <c r="L2" s="167" t="inlineStr">
        <is>
          <t>Electrical DT</t>
        </is>
      </c>
      <c r="M2" s="167" t="inlineStr">
        <is>
          <t>Material Shortage DT</t>
        </is>
      </c>
      <c r="N2" s="167" t="inlineStr">
        <is>
          <t>Changeover DT</t>
        </is>
      </c>
      <c r="O2" s="167" t="inlineStr">
        <is>
          <t>Operations DT</t>
        </is>
      </c>
      <c r="P2" s="167" t="inlineStr">
        <is>
          <t>Power Shutdown DT</t>
        </is>
      </c>
      <c r="Q2" s="167" t="inlineStr">
        <is>
          <t>Gas Shutdown DT</t>
        </is>
      </c>
      <c r="R2" s="167" t="inlineStr">
        <is>
          <t>Workers Shortage DT</t>
        </is>
      </c>
    </row>
    <row r="3" hidden="1" ht="15" customHeight="1" s="249">
      <c r="A3" s="294" t="n">
        <v>46144</v>
      </c>
      <c r="B3" s="291" t="inlineStr">
        <is>
          <t>Lacquer-02</t>
        </is>
      </c>
      <c r="C3" s="291" t="inlineStr">
        <is>
          <t>Samsol International Private Limited</t>
        </is>
      </c>
      <c r="D3" s="291" t="inlineStr">
        <is>
          <t>S 43 25MM</t>
        </is>
      </c>
      <c r="E3" s="291" t="n">
        <v>25</v>
      </c>
      <c r="F3" s="291" t="n">
        <v>3447</v>
      </c>
      <c r="G3" s="292" t="n">
        <v>21000</v>
      </c>
      <c r="H3" s="292" t="n">
        <v>20645</v>
      </c>
      <c r="I3" s="292" t="n">
        <v>355</v>
      </c>
      <c r="J3" s="293">
        <f>IFERROR(I3/(H3+I3),"")</f>
        <v/>
      </c>
      <c r="K3" s="291" t="n"/>
      <c r="L3" s="291" t="n"/>
      <c r="M3" s="291" t="n"/>
      <c r="N3" s="291" t="n"/>
      <c r="O3" s="291" t="n"/>
      <c r="P3" s="291" t="n">
        <v>30</v>
      </c>
      <c r="Q3" s="291" t="n"/>
      <c r="R3" s="291" t="n"/>
      <c r="S3" s="291" t="n"/>
    </row>
    <row r="4" hidden="1" ht="15" customHeight="1" s="249">
      <c r="A4" s="294" t="n">
        <v>46144</v>
      </c>
      <c r="B4" s="291" t="inlineStr">
        <is>
          <t>Lacquer-03</t>
        </is>
      </c>
      <c r="C4" s="291" t="inlineStr">
        <is>
          <t>Golden Pearl Cosmetics (PVT) LTD</t>
        </is>
      </c>
      <c r="D4" s="291" t="inlineStr">
        <is>
          <t>HELLO HAIR COLOR</t>
        </is>
      </c>
      <c r="E4" s="291" t="n">
        <v>30</v>
      </c>
      <c r="F4" s="291" t="n">
        <v>6206</v>
      </c>
      <c r="G4" s="292" t="n">
        <v>28000</v>
      </c>
      <c r="H4" s="292" t="n">
        <v>27520</v>
      </c>
      <c r="I4" s="292" t="n">
        <v>480</v>
      </c>
      <c r="J4" s="293">
        <f>IFERROR(I4/(H4+I4),"")</f>
        <v/>
      </c>
      <c r="K4" s="291" t="n"/>
      <c r="L4" s="291" t="n"/>
      <c r="M4" s="291" t="n"/>
      <c r="N4" s="291" t="n"/>
      <c r="O4" s="291" t="n"/>
      <c r="P4" s="291" t="n">
        <v>30</v>
      </c>
      <c r="Q4" s="291" t="n"/>
      <c r="R4" s="291" t="n"/>
      <c r="S4" s="291" t="n"/>
    </row>
    <row r="5" hidden="1" ht="15" customHeight="1" s="249">
      <c r="A5" s="294" t="n">
        <v>46144</v>
      </c>
      <c r="B5" s="291" t="inlineStr">
        <is>
          <t>Latex-01</t>
        </is>
      </c>
      <c r="C5" s="291" t="inlineStr">
        <is>
          <t>Golden Pearl Cosmetics (PVT) LTD</t>
        </is>
      </c>
      <c r="D5" s="291" t="inlineStr">
        <is>
          <t>HELLO HAIR COLOR</t>
        </is>
      </c>
      <c r="E5" s="291" t="n">
        <v>30</v>
      </c>
      <c r="F5" s="291" t="n">
        <v>6206</v>
      </c>
      <c r="G5" s="292" t="n">
        <v>0</v>
      </c>
      <c r="H5" s="292" t="n">
        <v>0</v>
      </c>
      <c r="I5" s="292" t="n">
        <v>0</v>
      </c>
      <c r="J5" s="293">
        <f>IFERROR(I5/(H5+I5),"")</f>
        <v/>
      </c>
      <c r="K5" s="291" t="n"/>
      <c r="L5" s="291" t="n"/>
      <c r="M5" s="291" t="n"/>
      <c r="N5" s="291" t="n"/>
      <c r="O5" s="291" t="n">
        <v>450</v>
      </c>
      <c r="P5" s="291" t="n">
        <v>30</v>
      </c>
      <c r="Q5" s="291" t="n"/>
      <c r="R5" s="291" t="n"/>
      <c r="S5" s="291" t="n"/>
    </row>
    <row r="6" hidden="1" ht="15" customHeight="1" s="249">
      <c r="A6" s="294" t="n">
        <v>46144</v>
      </c>
      <c r="B6" s="291" t="inlineStr">
        <is>
          <t>PF Machine</t>
        </is>
      </c>
      <c r="C6" s="291" t="inlineStr">
        <is>
          <t>Mablay Beauty PVT LTD.</t>
        </is>
      </c>
      <c r="D6" s="291" t="inlineStr">
        <is>
          <t>PET BOTTLE SMALL (130ML) TRANSPARENT</t>
        </is>
      </c>
      <c r="E6" s="291" t="inlineStr">
        <is>
          <t>130 ml</t>
        </is>
      </c>
      <c r="F6" s="291" t="n">
        <v>8010</v>
      </c>
      <c r="G6" s="292" t="n">
        <v>6100</v>
      </c>
      <c r="H6" s="292" t="n">
        <v>5520</v>
      </c>
      <c r="I6" s="292" t="n">
        <v>580</v>
      </c>
      <c r="J6" s="293">
        <f>IFERROR(I6/(H6+I6),"")</f>
        <v/>
      </c>
      <c r="K6" s="291" t="n">
        <v>100</v>
      </c>
      <c r="L6" s="291" t="n"/>
      <c r="M6" s="291" t="n"/>
      <c r="N6" s="291" t="n"/>
      <c r="O6" s="291" t="n">
        <v>150</v>
      </c>
      <c r="P6" s="291" t="n"/>
      <c r="Q6" s="291" t="n"/>
      <c r="R6" s="291" t="n"/>
      <c r="S6" s="291" t="n"/>
    </row>
    <row r="7" hidden="1" ht="15" customHeight="1" s="249">
      <c r="A7" s="294" t="n">
        <v>46144</v>
      </c>
      <c r="B7" s="291" t="inlineStr">
        <is>
          <t>Press-04</t>
        </is>
      </c>
      <c r="C7" s="291" t="inlineStr">
        <is>
          <t>Golden Pearl Cosmetics (PVT) LTD</t>
        </is>
      </c>
      <c r="D7" s="291" t="inlineStr">
        <is>
          <t>HELLO HAIR COLOR</t>
        </is>
      </c>
      <c r="E7" s="291" t="n">
        <v>30</v>
      </c>
      <c r="F7" s="291" t="n">
        <v>6206</v>
      </c>
      <c r="G7" s="292" t="n">
        <v>25000</v>
      </c>
      <c r="H7" s="292" t="n">
        <v>24820</v>
      </c>
      <c r="I7" s="292" t="n">
        <v>180</v>
      </c>
      <c r="J7" s="293">
        <f>IFERROR(I7/(H7+I7),"")</f>
        <v/>
      </c>
      <c r="K7" s="291" t="n"/>
      <c r="L7" s="291" t="n"/>
      <c r="M7" s="291" t="n"/>
      <c r="N7" s="291" t="n"/>
      <c r="O7" s="291" t="n"/>
      <c r="P7" s="291" t="n">
        <v>30</v>
      </c>
      <c r="Q7" s="291" t="n"/>
      <c r="R7" s="291" t="n"/>
      <c r="S7" s="291" t="n"/>
    </row>
    <row r="8" hidden="1" ht="15" customHeight="1" s="249">
      <c r="A8" s="294" t="n">
        <v>46144</v>
      </c>
      <c r="B8" s="291" t="inlineStr">
        <is>
          <t>Press-06</t>
        </is>
      </c>
      <c r="C8" s="291" t="inlineStr">
        <is>
          <t>Samsol International Private Limited</t>
        </is>
      </c>
      <c r="D8" s="291" t="inlineStr">
        <is>
          <t>S 43 25MM</t>
        </is>
      </c>
      <c r="E8" s="291" t="n">
        <v>25</v>
      </c>
      <c r="F8" s="291" t="n">
        <v>3447</v>
      </c>
      <c r="G8" s="292" t="n">
        <v>16000</v>
      </c>
      <c r="H8" s="292" t="n">
        <v>15890</v>
      </c>
      <c r="I8" s="292" t="n">
        <v>110</v>
      </c>
      <c r="J8" s="293">
        <f>IFERROR(I8/(H8+I8),"")</f>
        <v/>
      </c>
      <c r="K8" s="291" t="n">
        <v>120</v>
      </c>
      <c r="L8" s="291" t="n"/>
      <c r="M8" s="291" t="n"/>
      <c r="N8" s="291" t="n"/>
      <c r="O8" s="291" t="n"/>
      <c r="P8" s="291" t="n">
        <v>30</v>
      </c>
      <c r="Q8" s="291" t="n"/>
      <c r="R8" s="291" t="n"/>
      <c r="S8" s="291" t="n"/>
    </row>
    <row r="9" hidden="1" ht="15" customHeight="1" s="249">
      <c r="A9" s="294" t="n">
        <v>46144</v>
      </c>
      <c r="B9" s="291" t="inlineStr">
        <is>
          <t>Printing-03</t>
        </is>
      </c>
      <c r="C9" s="291" t="inlineStr">
        <is>
          <t>Samsol International Private Limited</t>
        </is>
      </c>
      <c r="D9" s="291" t="inlineStr">
        <is>
          <t>S 43 25MM</t>
        </is>
      </c>
      <c r="E9" s="291" t="n">
        <v>25</v>
      </c>
      <c r="F9" s="291" t="n">
        <v>3447</v>
      </c>
      <c r="G9" s="292" t="n">
        <v>20715</v>
      </c>
      <c r="H9" s="292" t="n">
        <v>20160</v>
      </c>
      <c r="I9" s="292" t="n">
        <v>555</v>
      </c>
      <c r="J9" s="293">
        <f>IFERROR(I9/(H9+I9),"")</f>
        <v/>
      </c>
      <c r="K9" s="291" t="n"/>
      <c r="L9" s="291" t="n"/>
      <c r="M9" s="291" t="n"/>
      <c r="N9" s="291" t="n"/>
      <c r="O9" s="291" t="n"/>
      <c r="P9" s="291" t="n">
        <v>30</v>
      </c>
      <c r="Q9" s="291" t="n"/>
      <c r="R9" s="291" t="n"/>
      <c r="S9" s="291" t="n"/>
    </row>
    <row r="10" hidden="1" ht="15" customHeight="1" s="249">
      <c r="A10" s="294" t="n">
        <v>46144</v>
      </c>
      <c r="B10" s="291" t="inlineStr">
        <is>
          <t>Printing-04</t>
        </is>
      </c>
      <c r="C10" s="291" t="inlineStr">
        <is>
          <t>Golden Pearl Cosmetics (PVT) LTD</t>
        </is>
      </c>
      <c r="D10" s="291" t="inlineStr">
        <is>
          <t>HELLO HAIR COLOR</t>
        </is>
      </c>
      <c r="E10" s="291" t="n">
        <v>30</v>
      </c>
      <c r="F10" s="291" t="n">
        <v>6206</v>
      </c>
      <c r="G10" s="292" t="n">
        <v>25580</v>
      </c>
      <c r="H10" s="292" t="n">
        <v>24990</v>
      </c>
      <c r="I10" s="292" t="n">
        <v>590</v>
      </c>
      <c r="J10" s="293">
        <f>IFERROR(I10/(H10+I10),"")</f>
        <v/>
      </c>
      <c r="K10" s="291" t="n"/>
      <c r="L10" s="291" t="n"/>
      <c r="M10" s="291" t="n"/>
      <c r="N10" s="291" t="n"/>
      <c r="O10" s="291" t="n"/>
      <c r="P10" s="291" t="n">
        <v>30</v>
      </c>
      <c r="Q10" s="291" t="n"/>
      <c r="R10" s="291" t="n"/>
      <c r="S10" s="291" t="n"/>
    </row>
    <row r="11" hidden="1" ht="15" customHeight="1" s="249">
      <c r="A11" s="294" t="n">
        <v>46146</v>
      </c>
      <c r="B11" s="291" t="inlineStr">
        <is>
          <t>Lacquer-02</t>
        </is>
      </c>
      <c r="C11" s="291" t="inlineStr">
        <is>
          <t>Samsol International Private Limited</t>
        </is>
      </c>
      <c r="D11" s="291" t="inlineStr">
        <is>
          <t>S 43 25MM</t>
        </is>
      </c>
      <c r="E11" s="291" t="n">
        <v>25</v>
      </c>
      <c r="F11" s="291" t="n">
        <v>3447</v>
      </c>
      <c r="G11" s="292" t="n">
        <v>4000</v>
      </c>
      <c r="H11" s="292" t="n">
        <v>3890</v>
      </c>
      <c r="I11" s="292" t="n">
        <v>110</v>
      </c>
      <c r="J11" s="293">
        <f>IFERROR(I11/(H11+I11),"")</f>
        <v/>
      </c>
      <c r="K11" s="291" t="n"/>
      <c r="L11" s="291" t="n"/>
      <c r="M11" s="291" t="n">
        <v>360</v>
      </c>
      <c r="N11" s="291" t="n"/>
      <c r="O11" s="291" t="n"/>
      <c r="P11" s="291" t="n"/>
      <c r="Q11" s="291" t="n"/>
      <c r="R11" s="291" t="n"/>
      <c r="S11" s="291" t="n"/>
    </row>
    <row r="12" hidden="1" ht="15" customHeight="1" s="249">
      <c r="A12" s="294" t="n">
        <v>46146</v>
      </c>
      <c r="B12" s="291" t="inlineStr">
        <is>
          <t>Lacquer-03</t>
        </is>
      </c>
      <c r="C12" s="291" t="inlineStr">
        <is>
          <t>Golden Pearl Cosmetics (PVT) LTD</t>
        </is>
      </c>
      <c r="D12" s="291" t="inlineStr">
        <is>
          <t>HELLO HAIR COLOR</t>
        </is>
      </c>
      <c r="E12" s="291" t="n">
        <v>30</v>
      </c>
      <c r="F12" s="291" t="n">
        <v>6206</v>
      </c>
      <c r="G12" s="292" t="n">
        <v>28000</v>
      </c>
      <c r="H12" s="292" t="n">
        <v>27520</v>
      </c>
      <c r="I12" s="292" t="n">
        <v>480</v>
      </c>
      <c r="J12" s="293">
        <f>IFERROR(I12/(H12+I12),"")</f>
        <v/>
      </c>
      <c r="K12" s="291" t="n"/>
      <c r="L12" s="291" t="n"/>
      <c r="M12" s="291" t="n"/>
      <c r="N12" s="291" t="n"/>
      <c r="O12" s="291" t="n"/>
      <c r="P12" s="291" t="n"/>
      <c r="Q12" s="291" t="n"/>
      <c r="R12" s="291" t="n"/>
      <c r="S12" s="291" t="n"/>
    </row>
    <row r="13" hidden="1" ht="15" customHeight="1" s="249">
      <c r="A13" s="294" t="n">
        <v>46146</v>
      </c>
      <c r="B13" s="291" t="inlineStr">
        <is>
          <t>Latex-01</t>
        </is>
      </c>
      <c r="C13" s="291" t="inlineStr">
        <is>
          <t>Golden Pearl Cosmetics (PVT) LTD</t>
        </is>
      </c>
      <c r="D13" s="291" t="inlineStr">
        <is>
          <t>HELLO HAIR COLOR</t>
        </is>
      </c>
      <c r="E13" s="291" t="n">
        <v>30</v>
      </c>
      <c r="F13" s="291" t="n">
        <v>6206</v>
      </c>
      <c r="G13" s="292" t="n">
        <v>28084</v>
      </c>
      <c r="H13" s="292" t="n">
        <v>28070</v>
      </c>
      <c r="I13" s="292" t="n">
        <v>14</v>
      </c>
      <c r="J13" s="293">
        <f>IFERROR(I13/(H13+I13),"")</f>
        <v/>
      </c>
      <c r="K13" s="291" t="n"/>
      <c r="L13" s="291" t="n"/>
      <c r="M13" s="291" t="n"/>
      <c r="N13" s="291" t="n"/>
      <c r="O13" s="291" t="n"/>
      <c r="P13" s="291" t="n"/>
      <c r="Q13" s="291" t="n"/>
      <c r="R13" s="291" t="n"/>
      <c r="S13" s="291" t="n"/>
    </row>
    <row r="14" hidden="1" ht="15" customHeight="1" s="249">
      <c r="A14" s="294" t="n">
        <v>46146</v>
      </c>
      <c r="B14" s="291" t="inlineStr">
        <is>
          <t>PF Machine</t>
        </is>
      </c>
      <c r="C14" s="291" t="inlineStr">
        <is>
          <t>Samsol International Private Limited</t>
        </is>
      </c>
      <c r="D14" s="291" t="inlineStr">
        <is>
          <t>PET BOTTLE SMALL (120ML) YELLOW</t>
        </is>
      </c>
      <c r="E14" s="291" t="inlineStr">
        <is>
          <t>120 ml</t>
        </is>
      </c>
      <c r="F14" s="291" t="n">
        <v>8005</v>
      </c>
      <c r="G14" s="292" t="n">
        <v>11250</v>
      </c>
      <c r="H14" s="292" t="n">
        <v>10800</v>
      </c>
      <c r="I14" s="292" t="n">
        <v>450</v>
      </c>
      <c r="J14" s="293">
        <f>IFERROR(I14/(H14+I14),"")</f>
        <v/>
      </c>
      <c r="K14" s="291" t="n">
        <v>210</v>
      </c>
      <c r="L14" s="291" t="n">
        <v>30</v>
      </c>
      <c r="M14" s="291" t="n"/>
      <c r="N14" s="291" t="n"/>
      <c r="O14" s="291" t="n">
        <v>40</v>
      </c>
      <c r="P14" s="291" t="n"/>
      <c r="Q14" s="291" t="n"/>
      <c r="R14" s="291" t="n"/>
      <c r="S14" s="291" t="n"/>
    </row>
    <row r="15" hidden="1" ht="15" customHeight="1" s="249">
      <c r="A15" s="294" t="n">
        <v>46146</v>
      </c>
      <c r="B15" s="291" t="inlineStr">
        <is>
          <t>Press-04</t>
        </is>
      </c>
      <c r="C15" s="291" t="inlineStr">
        <is>
          <t>Golden Pearl Cosmetics (PVT) LTD</t>
        </is>
      </c>
      <c r="D15" s="291" t="inlineStr">
        <is>
          <t>HELLO HAIR COLOR</t>
        </is>
      </c>
      <c r="E15" s="291" t="n">
        <v>30</v>
      </c>
      <c r="F15" s="291" t="n">
        <v>6206</v>
      </c>
      <c r="G15" s="292" t="n">
        <v>22000</v>
      </c>
      <c r="H15" s="292" t="n">
        <v>21850</v>
      </c>
      <c r="I15" s="292" t="n">
        <v>150</v>
      </c>
      <c r="J15" s="293">
        <f>IFERROR(I15/(H15+I15),"")</f>
        <v/>
      </c>
      <c r="K15" s="291" t="n"/>
      <c r="L15" s="291" t="n"/>
      <c r="M15" s="291" t="n"/>
      <c r="N15" s="291" t="n"/>
      <c r="O15" s="291" t="n"/>
      <c r="P15" s="291" t="n"/>
      <c r="Q15" s="291" t="n"/>
      <c r="R15" s="291" t="n"/>
      <c r="S15" s="291" t="n"/>
    </row>
    <row r="16" hidden="1" ht="15" customHeight="1" s="249">
      <c r="A16" s="294" t="n">
        <v>46146</v>
      </c>
      <c r="B16" s="291" t="inlineStr">
        <is>
          <t>Press-05</t>
        </is>
      </c>
      <c r="C16" s="291" t="inlineStr">
        <is>
          <t>Samsol International Private Limited</t>
        </is>
      </c>
      <c r="D16" s="291" t="inlineStr">
        <is>
          <t>S 43 25MM</t>
        </is>
      </c>
      <c r="E16" s="291" t="n">
        <v>25</v>
      </c>
      <c r="F16" s="291" t="n">
        <v>3447</v>
      </c>
      <c r="G16" s="292" t="n">
        <v>2400</v>
      </c>
      <c r="H16" s="292" t="n">
        <v>2345</v>
      </c>
      <c r="I16" s="292" t="n">
        <v>55</v>
      </c>
      <c r="J16" s="293">
        <f>IFERROR(I16/(H16+I16),"")</f>
        <v/>
      </c>
      <c r="K16" s="291" t="n"/>
      <c r="L16" s="291" t="n"/>
      <c r="M16" s="291" t="n">
        <v>420</v>
      </c>
      <c r="N16" s="291" t="n"/>
      <c r="O16" s="291" t="n"/>
      <c r="P16" s="291" t="n"/>
      <c r="Q16" s="291" t="n"/>
      <c r="R16" s="291" t="n"/>
      <c r="S16" s="291" t="n"/>
    </row>
    <row r="17" hidden="1" ht="15" customHeight="1" s="249">
      <c r="A17" s="294" t="n">
        <v>46146</v>
      </c>
      <c r="B17" s="291" t="inlineStr">
        <is>
          <t>Printing-03</t>
        </is>
      </c>
      <c r="C17" s="291" t="inlineStr">
        <is>
          <t>Samsol International Private Limited</t>
        </is>
      </c>
      <c r="D17" s="291" t="inlineStr">
        <is>
          <t>S 43 25MM</t>
        </is>
      </c>
      <c r="E17" s="291" t="n">
        <v>25</v>
      </c>
      <c r="F17" s="291" t="n">
        <v>3447</v>
      </c>
      <c r="G17" s="292" t="n">
        <v>7351</v>
      </c>
      <c r="H17" s="292" t="n">
        <v>7056</v>
      </c>
      <c r="I17" s="292" t="n">
        <v>295</v>
      </c>
      <c r="J17" s="293">
        <f>IFERROR(I17/(H17+I17),"")</f>
        <v/>
      </c>
      <c r="K17" s="291" t="n"/>
      <c r="L17" s="291" t="n"/>
      <c r="M17" s="291" t="n">
        <v>300</v>
      </c>
      <c r="N17" s="291" t="n"/>
      <c r="O17" s="291" t="n"/>
      <c r="P17" s="291" t="n"/>
      <c r="Q17" s="291" t="n"/>
      <c r="R17" s="291" t="n"/>
      <c r="S17" s="291" t="n"/>
    </row>
    <row r="18" hidden="1" ht="15" customHeight="1" s="249">
      <c r="A18" s="294" t="n">
        <v>46146</v>
      </c>
      <c r="B18" s="291" t="inlineStr">
        <is>
          <t>Printing-03</t>
        </is>
      </c>
      <c r="C18" s="291" t="inlineStr">
        <is>
          <t>Hola Hair</t>
        </is>
      </c>
      <c r="D18" s="291" t="inlineStr">
        <is>
          <t>H.H 100GM (Varnish)</t>
        </is>
      </c>
      <c r="E18" s="291" t="n">
        <v>32</v>
      </c>
      <c r="F18" s="291" t="n"/>
      <c r="G18" s="292" t="n">
        <v>1070</v>
      </c>
      <c r="H18" s="292" t="n">
        <v>1040</v>
      </c>
      <c r="I18" s="292" t="n">
        <v>30</v>
      </c>
      <c r="J18" s="293">
        <f>IFERROR(I18/(H18+I18),"")</f>
        <v/>
      </c>
      <c r="K18" s="291" t="n"/>
      <c r="L18" s="291" t="n"/>
      <c r="M18" s="291" t="n"/>
      <c r="N18" s="291" t="n"/>
      <c r="O18" s="291" t="n"/>
      <c r="P18" s="291" t="n"/>
      <c r="Q18" s="291" t="n"/>
      <c r="R18" s="291" t="n"/>
      <c r="S18" s="291" t="n"/>
    </row>
    <row r="19" hidden="1" ht="15" customHeight="1" s="249">
      <c r="A19" s="294" t="n">
        <v>46146</v>
      </c>
      <c r="B19" s="291" t="inlineStr">
        <is>
          <t>Printing-04</t>
        </is>
      </c>
      <c r="C19" s="291" t="inlineStr">
        <is>
          <t>Golden Pearl Cosmetics (PVT) LTD</t>
        </is>
      </c>
      <c r="D19" s="291" t="inlineStr">
        <is>
          <t>HELLO HAIR COLOR</t>
        </is>
      </c>
      <c r="E19" s="291" t="n">
        <v>30</v>
      </c>
      <c r="F19" s="291" t="n">
        <v>6206</v>
      </c>
      <c r="G19" s="292" t="n">
        <v>25640</v>
      </c>
      <c r="H19" s="292" t="n">
        <v>24990</v>
      </c>
      <c r="I19" s="292" t="n">
        <v>650</v>
      </c>
      <c r="J19" s="293">
        <f>IFERROR(I19/(H19+I19),"")</f>
        <v/>
      </c>
      <c r="K19" s="291" t="n"/>
      <c r="L19" s="291" t="n"/>
      <c r="M19" s="291" t="n"/>
      <c r="N19" s="291" t="n"/>
      <c r="O19" s="291" t="n"/>
      <c r="P19" s="291" t="n"/>
      <c r="Q19" s="291" t="n"/>
      <c r="R19" s="291" t="n"/>
      <c r="S19" s="291" t="n"/>
    </row>
    <row r="20" hidden="1" ht="15" customHeight="1" s="249">
      <c r="A20" s="294" t="n">
        <v>46147</v>
      </c>
      <c r="B20" s="291" t="inlineStr">
        <is>
          <t>Lacquer-02</t>
        </is>
      </c>
      <c r="C20" s="291" t="inlineStr">
        <is>
          <t>Golden Pearl Cosmetics (PVT) LTD</t>
        </is>
      </c>
      <c r="D20" s="291" t="inlineStr">
        <is>
          <t>HELLO HAIR COLOR</t>
        </is>
      </c>
      <c r="E20" s="291" t="n">
        <v>30</v>
      </c>
      <c r="F20" s="291" t="n">
        <v>6206</v>
      </c>
      <c r="G20" s="292" t="n">
        <v>20000</v>
      </c>
      <c r="H20" s="292" t="n">
        <v>19650</v>
      </c>
      <c r="I20" s="292" t="n">
        <v>350</v>
      </c>
      <c r="J20" s="293">
        <f>IFERROR(I20/(H20+I20),"")</f>
        <v/>
      </c>
      <c r="K20" s="291" t="n"/>
      <c r="L20" s="291" t="n"/>
      <c r="M20" s="291" t="n"/>
      <c r="N20" s="291" t="n"/>
      <c r="O20" s="291" t="n"/>
      <c r="P20" s="291" t="n"/>
      <c r="Q20" s="291" t="n"/>
      <c r="R20" s="291" t="n"/>
      <c r="S20" s="291" t="n"/>
    </row>
    <row r="21" hidden="1" ht="15" customHeight="1" s="249">
      <c r="A21" s="294" t="n">
        <v>46147</v>
      </c>
      <c r="B21" s="291" t="inlineStr">
        <is>
          <t>Lacquer-03</t>
        </is>
      </c>
      <c r="C21" s="291" t="inlineStr">
        <is>
          <t>Adore</t>
        </is>
      </c>
      <c r="D21" s="291" t="inlineStr">
        <is>
          <t>V- HC BROWN</t>
        </is>
      </c>
      <c r="E21" s="291" t="n">
        <v>35</v>
      </c>
      <c r="F21" s="291" t="n">
        <v>6530</v>
      </c>
      <c r="G21" s="292" t="n">
        <v>1000</v>
      </c>
      <c r="H21" s="292" t="n">
        <v>950</v>
      </c>
      <c r="I21" s="292" t="n">
        <v>50</v>
      </c>
      <c r="J21" s="293">
        <f>IFERROR(I21/(H21+I21),"")</f>
        <v/>
      </c>
      <c r="K21" s="291" t="n"/>
      <c r="L21" s="291" t="n"/>
      <c r="M21" s="291" t="n">
        <v>450</v>
      </c>
      <c r="N21" s="291" t="n"/>
      <c r="O21" s="291" t="n"/>
      <c r="P21" s="291" t="n"/>
      <c r="Q21" s="291" t="n"/>
      <c r="R21" s="291" t="n"/>
      <c r="S21" s="291" t="n"/>
    </row>
    <row r="22" hidden="1" ht="15" customHeight="1" s="249">
      <c r="A22" s="294" t="n">
        <v>46147</v>
      </c>
      <c r="B22" s="291" t="inlineStr">
        <is>
          <t>Latex-01</t>
        </is>
      </c>
      <c r="C22" s="291" t="inlineStr">
        <is>
          <t>Golden Pearl Cosmetics (PVT) LTD</t>
        </is>
      </c>
      <c r="D22" s="291" t="inlineStr">
        <is>
          <t>HELLO HAIR COLOR</t>
        </is>
      </c>
      <c r="E22" s="291" t="n">
        <v>30</v>
      </c>
      <c r="F22" s="291" t="n">
        <v>6206</v>
      </c>
      <c r="G22" s="292" t="n">
        <v>28084</v>
      </c>
      <c r="H22" s="292" t="n">
        <v>28069</v>
      </c>
      <c r="I22" s="292" t="n">
        <v>15</v>
      </c>
      <c r="J22" s="293">
        <f>IFERROR(I22/(H22+I22),"")</f>
        <v/>
      </c>
      <c r="K22" s="291" t="n"/>
      <c r="L22" s="291" t="n"/>
      <c r="M22" s="291" t="n"/>
      <c r="N22" s="291" t="n"/>
      <c r="O22" s="291" t="n"/>
      <c r="P22" s="291" t="n"/>
      <c r="Q22" s="291" t="n"/>
      <c r="R22" s="291" t="n"/>
      <c r="S22" s="291" t="n"/>
    </row>
    <row r="23" hidden="1" ht="15" customHeight="1" s="249">
      <c r="A23" s="294" t="n">
        <v>46147</v>
      </c>
      <c r="B23" s="291" t="inlineStr">
        <is>
          <t>PF Machine</t>
        </is>
      </c>
      <c r="C23" s="291" t="inlineStr">
        <is>
          <t>Samsol International Private Limited</t>
        </is>
      </c>
      <c r="D23" s="291" t="inlineStr">
        <is>
          <t>PET BOTTLE SMALL (120ML) YELLOW</t>
        </is>
      </c>
      <c r="E23" s="291" t="inlineStr">
        <is>
          <t>120 ml</t>
        </is>
      </c>
      <c r="F23" s="291" t="n">
        <v>8005</v>
      </c>
      <c r="G23" s="292" t="n">
        <v>7500</v>
      </c>
      <c r="H23" s="292" t="n">
        <v>7200</v>
      </c>
      <c r="I23" s="292" t="n">
        <v>300</v>
      </c>
      <c r="J23" s="293">
        <f>IFERROR(I23/(H23+I23),"")</f>
        <v/>
      </c>
      <c r="K23" s="291" t="n">
        <v>180</v>
      </c>
      <c r="L23" s="291" t="n"/>
      <c r="M23" s="291" t="n"/>
      <c r="N23" s="291" t="n"/>
      <c r="O23" s="291" t="n"/>
      <c r="P23" s="291" t="n"/>
      <c r="Q23" s="291" t="n"/>
      <c r="R23" s="291" t="n"/>
      <c r="S23" s="291" t="n"/>
    </row>
    <row r="24" hidden="1" ht="15" customHeight="1" s="249">
      <c r="A24" s="294" t="n">
        <v>46147</v>
      </c>
      <c r="B24" s="291" t="inlineStr">
        <is>
          <t>Press-03</t>
        </is>
      </c>
      <c r="C24" s="291" t="inlineStr">
        <is>
          <t>Adore</t>
        </is>
      </c>
      <c r="D24" s="291" t="inlineStr">
        <is>
          <t>V- HC BROWN</t>
        </is>
      </c>
      <c r="E24" s="291" t="n">
        <v>35</v>
      </c>
      <c r="F24" s="291" t="n">
        <v>6530</v>
      </c>
      <c r="G24" s="292" t="n">
        <v>9000</v>
      </c>
      <c r="H24" s="292" t="n">
        <v>8905</v>
      </c>
      <c r="I24" s="292" t="n">
        <v>95</v>
      </c>
      <c r="J24" s="293">
        <f>IFERROR(I24/(H24+I24),"")</f>
        <v/>
      </c>
      <c r="K24" s="291" t="n">
        <v>330</v>
      </c>
      <c r="L24" s="291" t="n"/>
      <c r="M24" s="291" t="n"/>
      <c r="N24" s="291" t="n"/>
      <c r="O24" s="291" t="n"/>
      <c r="P24" s="291" t="n"/>
      <c r="Q24" s="291" t="n"/>
      <c r="R24" s="291" t="n"/>
      <c r="S24" s="291" t="n"/>
    </row>
    <row r="25" hidden="1" ht="15" customHeight="1" s="249">
      <c r="A25" s="294" t="n">
        <v>46147</v>
      </c>
      <c r="B25" s="291" t="inlineStr">
        <is>
          <t>Press-04</t>
        </is>
      </c>
      <c r="C25" s="291" t="inlineStr">
        <is>
          <t>Golden Pearl Cosmetics (PVT) LTD</t>
        </is>
      </c>
      <c r="D25" s="291" t="inlineStr">
        <is>
          <t>HELLO HAIR COLOR</t>
        </is>
      </c>
      <c r="E25" s="291" t="n">
        <v>30</v>
      </c>
      <c r="F25" s="291" t="n">
        <v>6206</v>
      </c>
      <c r="G25" s="292" t="n">
        <v>24000</v>
      </c>
      <c r="H25" s="292" t="n">
        <v>23855</v>
      </c>
      <c r="I25" s="292" t="n">
        <v>145</v>
      </c>
      <c r="J25" s="293">
        <f>IFERROR(I25/(H25+I25),"")</f>
        <v/>
      </c>
      <c r="K25" s="291" t="n"/>
      <c r="L25" s="291" t="n"/>
      <c r="M25" s="291" t="n"/>
      <c r="N25" s="291" t="n"/>
      <c r="O25" s="291" t="n"/>
      <c r="P25" s="291" t="n"/>
      <c r="Q25" s="291" t="n"/>
      <c r="R25" s="291" t="n"/>
      <c r="S25" s="291" t="n"/>
    </row>
    <row r="26" hidden="1" ht="15" customHeight="1" s="249">
      <c r="A26" s="294" t="n">
        <v>46147</v>
      </c>
      <c r="B26" s="291" t="inlineStr">
        <is>
          <t>Printing-03</t>
        </is>
      </c>
      <c r="C26" s="291" t="inlineStr">
        <is>
          <t>Hola Hair</t>
        </is>
      </c>
      <c r="D26" s="291" t="inlineStr">
        <is>
          <t>H.H 100GM (Varnish)</t>
        </is>
      </c>
      <c r="E26" s="291" t="n">
        <v>32</v>
      </c>
      <c r="F26" s="291" t="n"/>
      <c r="G26" s="292" t="n">
        <v>27490</v>
      </c>
      <c r="H26" s="292" t="n">
        <v>27040</v>
      </c>
      <c r="I26" s="292" t="n">
        <v>450</v>
      </c>
      <c r="J26" s="293">
        <f>IFERROR(I26/(H26+I26),"")</f>
        <v/>
      </c>
      <c r="K26" s="291" t="n"/>
      <c r="L26" s="291" t="n"/>
      <c r="M26" s="291" t="n"/>
      <c r="N26" s="291" t="n"/>
      <c r="O26" s="291" t="n"/>
      <c r="P26" s="291" t="n"/>
      <c r="Q26" s="291" t="n"/>
      <c r="R26" s="291" t="n"/>
      <c r="S26" s="291" t="n"/>
    </row>
    <row r="27" hidden="1" ht="15" customHeight="1" s="249">
      <c r="A27" s="294" t="n">
        <v>46147</v>
      </c>
      <c r="B27" s="291" t="inlineStr">
        <is>
          <t>Printing-04</t>
        </is>
      </c>
      <c r="C27" s="291" t="inlineStr">
        <is>
          <t>Golden Pearl Cosmetics (PVT) LTD</t>
        </is>
      </c>
      <c r="D27" s="291" t="inlineStr">
        <is>
          <t>HELLO HAIR COLOR</t>
        </is>
      </c>
      <c r="E27" s="291" t="n">
        <v>30</v>
      </c>
      <c r="F27" s="291" t="n">
        <v>6206</v>
      </c>
      <c r="G27" s="292" t="n">
        <v>23428</v>
      </c>
      <c r="H27" s="292" t="n">
        <v>22848</v>
      </c>
      <c r="I27" s="292" t="n">
        <v>580</v>
      </c>
      <c r="J27" s="293">
        <f>IFERROR(I27/(H27+I27),"")</f>
        <v/>
      </c>
      <c r="K27" s="291" t="n"/>
      <c r="L27" s="291" t="n"/>
      <c r="M27" s="291" t="n"/>
      <c r="N27" s="291" t="n"/>
      <c r="O27" s="291" t="n"/>
      <c r="P27" s="291" t="n"/>
      <c r="Q27" s="291" t="n"/>
      <c r="R27" s="291" t="n"/>
      <c r="S27" s="291" t="n"/>
    </row>
    <row r="28" hidden="1" ht="15" customHeight="1" s="249">
      <c r="A28" s="294" t="n">
        <v>46148</v>
      </c>
      <c r="B28" s="291" t="inlineStr">
        <is>
          <t>Lacquer-02</t>
        </is>
      </c>
      <c r="C28" s="291" t="inlineStr">
        <is>
          <t>Golden Pearl Cosmetics (PVT) LTD</t>
        </is>
      </c>
      <c r="D28" s="291" t="inlineStr">
        <is>
          <t>HELLO HAIR COLOR</t>
        </is>
      </c>
      <c r="E28" s="291" t="n">
        <v>30</v>
      </c>
      <c r="F28" s="291" t="n">
        <v>6206</v>
      </c>
      <c r="G28" s="292" t="n">
        <v>0</v>
      </c>
      <c r="H28" s="292" t="n">
        <v>0</v>
      </c>
      <c r="I28" s="292" t="n">
        <v>0</v>
      </c>
      <c r="J28" s="293">
        <f>IFERROR(I28/(H28+I28),"")</f>
        <v/>
      </c>
      <c r="K28" s="291" t="n"/>
      <c r="L28" s="291" t="n"/>
      <c r="M28" s="291" t="n"/>
      <c r="N28" s="291" t="n"/>
      <c r="O28" s="291" t="n">
        <v>480</v>
      </c>
      <c r="P28" s="291" t="n"/>
      <c r="Q28" s="291" t="n"/>
      <c r="R28" s="291" t="n"/>
      <c r="S28" s="291" t="n"/>
    </row>
    <row r="29" hidden="1" ht="15" customHeight="1" s="249">
      <c r="A29" s="294" t="n">
        <v>46148</v>
      </c>
      <c r="B29" s="291" t="inlineStr">
        <is>
          <t>Lacquer-03</t>
        </is>
      </c>
      <c r="C29" s="291" t="inlineStr">
        <is>
          <t>Adore</t>
        </is>
      </c>
      <c r="D29" s="291" t="inlineStr">
        <is>
          <t>V- HC BROWN</t>
        </is>
      </c>
      <c r="E29" s="291" t="n">
        <v>35</v>
      </c>
      <c r="F29" s="291" t="n">
        <v>6530</v>
      </c>
      <c r="G29" s="292" t="n">
        <v>22000</v>
      </c>
      <c r="H29" s="292" t="n">
        <v>21610</v>
      </c>
      <c r="I29" s="292" t="n">
        <v>390</v>
      </c>
      <c r="J29" s="293">
        <f>IFERROR(I29/(H29+I29),"")</f>
        <v/>
      </c>
      <c r="K29" s="291" t="n"/>
      <c r="L29" s="291" t="n"/>
      <c r="M29" s="291" t="n"/>
      <c r="N29" s="291" t="n"/>
      <c r="O29" s="291" t="n"/>
      <c r="P29" s="291" t="n"/>
      <c r="Q29" s="291" t="n"/>
      <c r="R29" s="291" t="n"/>
      <c r="S29" s="291" t="n"/>
    </row>
    <row r="30" hidden="1" ht="15" customHeight="1" s="249">
      <c r="A30" s="294" t="n">
        <v>46148</v>
      </c>
      <c r="B30" s="291" t="inlineStr">
        <is>
          <t>Latex-01</t>
        </is>
      </c>
      <c r="C30" s="291" t="inlineStr">
        <is>
          <t>Adore</t>
        </is>
      </c>
      <c r="D30" s="291" t="inlineStr">
        <is>
          <t>V- HC BROWN</t>
        </is>
      </c>
      <c r="E30" s="291" t="n">
        <v>35</v>
      </c>
      <c r="F30" s="291" t="n">
        <v>6530</v>
      </c>
      <c r="G30" s="292" t="n">
        <v>5010</v>
      </c>
      <c r="H30" s="292" t="n">
        <v>5000</v>
      </c>
      <c r="I30" s="292" t="n">
        <v>10</v>
      </c>
      <c r="J30" s="293">
        <f>IFERROR(I30/(H30+I30),"")</f>
        <v/>
      </c>
      <c r="K30" s="291" t="n"/>
      <c r="L30" s="291" t="n"/>
      <c r="M30" s="291" t="n"/>
      <c r="N30" s="291" t="n"/>
      <c r="O30" s="291" t="n">
        <v>360</v>
      </c>
      <c r="P30" s="291" t="n"/>
      <c r="Q30" s="291" t="n"/>
      <c r="R30" s="291" t="n"/>
      <c r="S30" s="291" t="n"/>
    </row>
    <row r="31" hidden="1" ht="15" customHeight="1" s="249">
      <c r="A31" s="294" t="n">
        <v>46148</v>
      </c>
      <c r="B31" s="291" t="inlineStr">
        <is>
          <t>PF Machine</t>
        </is>
      </c>
      <c r="C31" s="291" t="inlineStr">
        <is>
          <t>Samsol International Private Limited</t>
        </is>
      </c>
      <c r="D31" s="291" t="inlineStr">
        <is>
          <t>PET BOTTLE SMALL (120ML) YELLOW</t>
        </is>
      </c>
      <c r="E31" s="291" t="inlineStr">
        <is>
          <t>120 ml</t>
        </is>
      </c>
      <c r="F31" s="291" t="n">
        <v>8005</v>
      </c>
      <c r="G31" s="292" t="n">
        <v>11500</v>
      </c>
      <c r="H31" s="292" t="n">
        <v>11040</v>
      </c>
      <c r="I31" s="292" t="n">
        <v>460</v>
      </c>
      <c r="J31" s="293">
        <f>IFERROR(I31/(H31+I31),"")</f>
        <v/>
      </c>
      <c r="K31" s="291" t="n"/>
      <c r="L31" s="291" t="n"/>
      <c r="M31" s="291" t="n"/>
      <c r="N31" s="291" t="n"/>
      <c r="O31" s="291" t="n"/>
      <c r="P31" s="291" t="n"/>
      <c r="Q31" s="291" t="n"/>
      <c r="R31" s="291" t="n"/>
      <c r="S31" s="291" t="n"/>
    </row>
    <row r="32" hidden="1" ht="15" customHeight="1" s="249">
      <c r="A32" s="294" t="n">
        <v>46148</v>
      </c>
      <c r="B32" s="291" t="inlineStr">
        <is>
          <t>Press-03</t>
        </is>
      </c>
      <c r="C32" s="291" t="inlineStr">
        <is>
          <t>Adore</t>
        </is>
      </c>
      <c r="D32" s="291" t="inlineStr">
        <is>
          <t>V- HC BROWN</t>
        </is>
      </c>
      <c r="E32" s="291" t="n">
        <v>35</v>
      </c>
      <c r="F32" s="291" t="n">
        <v>6530</v>
      </c>
      <c r="G32" s="292" t="n">
        <v>22000</v>
      </c>
      <c r="H32" s="292" t="n">
        <v>21850</v>
      </c>
      <c r="I32" s="292" t="n">
        <v>150</v>
      </c>
      <c r="J32" s="293">
        <f>IFERROR(I32/(H32+I32),"")</f>
        <v/>
      </c>
      <c r="K32" s="291" t="n"/>
      <c r="L32" s="291" t="n"/>
      <c r="M32" s="291" t="n"/>
      <c r="N32" s="291" t="n"/>
      <c r="O32" s="291" t="n"/>
      <c r="P32" s="291" t="n"/>
      <c r="Q32" s="291" t="n"/>
      <c r="R32" s="291" t="n"/>
      <c r="S32" s="291" t="n"/>
    </row>
    <row r="33" hidden="1" ht="15" customHeight="1" s="249">
      <c r="A33" s="294" t="n">
        <v>46148</v>
      </c>
      <c r="B33" s="291" t="inlineStr">
        <is>
          <t>Press-04</t>
        </is>
      </c>
      <c r="C33" s="291" t="inlineStr">
        <is>
          <t>Golden Pearl Cosmetics (PVT) LTD</t>
        </is>
      </c>
      <c r="D33" s="291" t="inlineStr">
        <is>
          <t>HELLO HAIR COLOR</t>
        </is>
      </c>
      <c r="E33" s="291" t="n">
        <v>30</v>
      </c>
      <c r="F33" s="291" t="n">
        <v>6206</v>
      </c>
      <c r="G33" s="292" t="n">
        <v>7900</v>
      </c>
      <c r="H33" s="292" t="n">
        <v>7790</v>
      </c>
      <c r="I33" s="292" t="n">
        <v>110</v>
      </c>
      <c r="J33" s="293">
        <f>IFERROR(I33/(H33+I33),"")</f>
        <v/>
      </c>
      <c r="K33" s="291" t="n"/>
      <c r="L33" s="291" t="n"/>
      <c r="M33" s="291" t="n"/>
      <c r="N33" s="291" t="n">
        <v>300</v>
      </c>
      <c r="O33" s="291" t="n"/>
      <c r="P33" s="291" t="n"/>
      <c r="Q33" s="291" t="n"/>
      <c r="R33" s="291" t="n"/>
      <c r="S33" s="291" t="n"/>
    </row>
    <row r="34" hidden="1" ht="15" customHeight="1" s="249">
      <c r="A34" s="294" t="n">
        <v>46148</v>
      </c>
      <c r="B34" s="291" t="inlineStr">
        <is>
          <t>Printing-03</t>
        </is>
      </c>
      <c r="C34" s="291" t="inlineStr">
        <is>
          <t>Hola Hair</t>
        </is>
      </c>
      <c r="D34" s="291" t="inlineStr">
        <is>
          <t>H.H 100GM (Varnish)</t>
        </is>
      </c>
      <c r="E34" s="291" t="n">
        <v>32</v>
      </c>
      <c r="F34" s="291" t="n"/>
      <c r="G34" s="292" t="n">
        <v>11908</v>
      </c>
      <c r="H34" s="292" t="n">
        <v>11648</v>
      </c>
      <c r="I34" s="292" t="n">
        <v>260</v>
      </c>
      <c r="J34" s="293">
        <f>IFERROR(I34/(H34+I34),"")</f>
        <v/>
      </c>
      <c r="K34" s="291" t="n"/>
      <c r="L34" s="291" t="n"/>
      <c r="M34" s="291" t="n">
        <v>180</v>
      </c>
      <c r="N34" s="291" t="n"/>
      <c r="O34" s="291" t="n"/>
      <c r="P34" s="291" t="n"/>
      <c r="Q34" s="291" t="n"/>
      <c r="R34" s="291" t="n"/>
      <c r="S34" s="291" t="n"/>
    </row>
    <row r="35" hidden="1" ht="15" customHeight="1" s="249">
      <c r="A35" s="294" t="n">
        <v>46148</v>
      </c>
      <c r="B35" s="291" t="inlineStr">
        <is>
          <t>Printing-04</t>
        </is>
      </c>
      <c r="C35" s="291" t="inlineStr">
        <is>
          <t>Adore</t>
        </is>
      </c>
      <c r="D35" s="291" t="inlineStr">
        <is>
          <t>V- HC BROWN</t>
        </is>
      </c>
      <c r="E35" s="291" t="n">
        <v>35</v>
      </c>
      <c r="F35" s="291" t="n">
        <v>6530</v>
      </c>
      <c r="G35" s="292" t="n">
        <v>10080</v>
      </c>
      <c r="H35" s="292" t="n">
        <v>9540</v>
      </c>
      <c r="I35" s="292" t="n">
        <v>540</v>
      </c>
      <c r="J35" s="293">
        <f>IFERROR(I35/(H35+I35),"")</f>
        <v/>
      </c>
      <c r="K35" s="291" t="n"/>
      <c r="L35" s="291" t="n"/>
      <c r="M35" s="291" t="n"/>
      <c r="N35" s="291" t="n"/>
      <c r="O35" s="291" t="n">
        <v>240</v>
      </c>
      <c r="P35" s="291" t="n"/>
      <c r="Q35" s="291" t="n"/>
      <c r="R35" s="291" t="n"/>
      <c r="S35" s="291" t="n"/>
    </row>
    <row r="36" hidden="1" ht="15" customHeight="1" s="249">
      <c r="A36" s="294" t="n">
        <v>46149</v>
      </c>
      <c r="B36" s="291" t="inlineStr">
        <is>
          <t>Lacquer-02</t>
        </is>
      </c>
      <c r="C36" s="291" t="inlineStr">
        <is>
          <t>Samsol International Private Limited</t>
        </is>
      </c>
      <c r="D36" s="291" t="inlineStr">
        <is>
          <t>S 43 25MM</t>
        </is>
      </c>
      <c r="E36" s="291" t="n">
        <v>25</v>
      </c>
      <c r="F36" s="291" t="n">
        <v>3447</v>
      </c>
      <c r="G36" s="292" t="n">
        <v>12000</v>
      </c>
      <c r="H36" s="292" t="n">
        <v>11745</v>
      </c>
      <c r="I36" s="292" t="n">
        <v>255</v>
      </c>
      <c r="J36" s="293">
        <f>IFERROR(I36/(H36+I36),"")</f>
        <v/>
      </c>
      <c r="K36" s="291" t="n"/>
      <c r="L36" s="291" t="n"/>
      <c r="M36" s="291" t="n"/>
      <c r="N36" s="291" t="n"/>
      <c r="O36" s="291" t="n">
        <v>200</v>
      </c>
      <c r="P36" s="291" t="n">
        <v>40</v>
      </c>
      <c r="Q36" s="291" t="n"/>
      <c r="R36" s="291" t="n"/>
      <c r="S36" s="291" t="n"/>
    </row>
    <row r="37" hidden="1" ht="15" customHeight="1" s="249">
      <c r="A37" s="294" t="n">
        <v>46149</v>
      </c>
      <c r="B37" s="291" t="inlineStr">
        <is>
          <t>Lacquer-03</t>
        </is>
      </c>
      <c r="C37" s="291" t="inlineStr">
        <is>
          <t>Golden Pearl Cosmetics (PVT) LTD</t>
        </is>
      </c>
      <c r="D37" s="291" t="inlineStr">
        <is>
          <t>HELLO HAIR COLOR</t>
        </is>
      </c>
      <c r="E37" s="291" t="n">
        <v>30</v>
      </c>
      <c r="F37" s="291" t="n">
        <v>6206</v>
      </c>
      <c r="G37" s="292" t="n">
        <v>14000</v>
      </c>
      <c r="H37" s="292" t="n">
        <v>13695</v>
      </c>
      <c r="I37" s="292" t="n">
        <v>305</v>
      </c>
      <c r="J37" s="293">
        <f>IFERROR(I37/(H37+I37),"")</f>
        <v/>
      </c>
      <c r="K37" s="291" t="n"/>
      <c r="L37" s="291" t="n"/>
      <c r="M37" s="291" t="n"/>
      <c r="N37" s="291" t="n"/>
      <c r="O37" s="291" t="n">
        <v>140</v>
      </c>
      <c r="P37" s="291" t="n">
        <v>40</v>
      </c>
      <c r="Q37" s="291" t="n"/>
      <c r="R37" s="291" t="n"/>
      <c r="S37" s="291" t="n"/>
    </row>
    <row r="38" hidden="1" ht="15" customHeight="1" s="249">
      <c r="A38" s="294" t="n">
        <v>46149</v>
      </c>
      <c r="B38" s="291" t="inlineStr">
        <is>
          <t>Latex-01</t>
        </is>
      </c>
      <c r="C38" s="291" t="inlineStr">
        <is>
          <t>Adore</t>
        </is>
      </c>
      <c r="D38" s="291" t="inlineStr">
        <is>
          <t>V- HC BROWN</t>
        </is>
      </c>
      <c r="E38" s="291" t="n">
        <v>35</v>
      </c>
      <c r="F38" s="291" t="n">
        <v>6530</v>
      </c>
      <c r="G38" s="292" t="n">
        <v>2500</v>
      </c>
      <c r="H38" s="292" t="n">
        <v>2495</v>
      </c>
      <c r="I38" s="292" t="n">
        <v>5</v>
      </c>
      <c r="J38" s="293">
        <f>IFERROR(I38/(H38+I38),"")</f>
        <v/>
      </c>
      <c r="K38" s="291" t="n"/>
      <c r="L38" s="291" t="n"/>
      <c r="M38" s="291" t="n"/>
      <c r="N38" s="291" t="n"/>
      <c r="O38" s="291" t="n"/>
      <c r="P38" s="291" t="n"/>
      <c r="Q38" s="291" t="n"/>
      <c r="R38" s="291" t="n"/>
      <c r="S38" s="291" t="n"/>
    </row>
    <row r="39" hidden="1" ht="15" customHeight="1" s="249">
      <c r="A39" s="294" t="n">
        <v>46149</v>
      </c>
      <c r="B39" s="291" t="inlineStr">
        <is>
          <t>Latex-01</t>
        </is>
      </c>
      <c r="C39" s="291" t="inlineStr">
        <is>
          <t>Golden Pearl Cosmetics (PVT) LTD</t>
        </is>
      </c>
      <c r="D39" s="291" t="inlineStr">
        <is>
          <t>HELLO HAIR COLOR</t>
        </is>
      </c>
      <c r="E39" s="291" t="n">
        <v>30</v>
      </c>
      <c r="F39" s="291" t="n">
        <v>6206</v>
      </c>
      <c r="G39" s="292" t="n">
        <v>22610</v>
      </c>
      <c r="H39" s="292" t="n">
        <v>22600</v>
      </c>
      <c r="I39" s="292" t="n">
        <v>10</v>
      </c>
      <c r="J39" s="293">
        <f>IFERROR(I39/(H39+I39),"")</f>
        <v/>
      </c>
      <c r="K39" s="291" t="n"/>
      <c r="L39" s="291" t="n"/>
      <c r="M39" s="291" t="n"/>
      <c r="N39" s="291" t="n"/>
      <c r="O39" s="291" t="n"/>
      <c r="P39" s="291" t="n">
        <v>40</v>
      </c>
      <c r="Q39" s="291" t="n"/>
      <c r="R39" s="291" t="n"/>
      <c r="S39" s="291" t="n"/>
    </row>
    <row r="40" hidden="1" ht="15" customHeight="1" s="249">
      <c r="A40" s="294" t="n">
        <v>46149</v>
      </c>
      <c r="B40" s="291" t="inlineStr">
        <is>
          <t>PF Machine</t>
        </is>
      </c>
      <c r="C40" s="291" t="inlineStr">
        <is>
          <t>Samsol International Private Limited</t>
        </is>
      </c>
      <c r="D40" s="291" t="inlineStr">
        <is>
          <t>PET BOTTLE SMALL (120ML) YELLOW</t>
        </is>
      </c>
      <c r="E40" s="291" t="inlineStr">
        <is>
          <t>120 ml</t>
        </is>
      </c>
      <c r="F40" s="291" t="n">
        <v>8005</v>
      </c>
      <c r="G40" s="292" t="n">
        <v>10730</v>
      </c>
      <c r="H40" s="292" t="n">
        <v>10080</v>
      </c>
      <c r="I40" s="292" t="n">
        <v>650</v>
      </c>
      <c r="J40" s="293">
        <f>IFERROR(I40/(H40+I40),"")</f>
        <v/>
      </c>
      <c r="K40" s="291" t="n"/>
      <c r="L40" s="291" t="n"/>
      <c r="M40" s="291" t="n"/>
      <c r="N40" s="291" t="n"/>
      <c r="O40" s="291" t="n"/>
      <c r="P40" s="291" t="n">
        <v>40</v>
      </c>
      <c r="Q40" s="291" t="n"/>
      <c r="R40" s="291" t="n"/>
      <c r="S40" s="291" t="n"/>
    </row>
    <row r="41" ht="15" customHeight="1" s="249">
      <c r="A41" s="294" t="n">
        <v>46149</v>
      </c>
      <c r="B41" s="291" t="inlineStr">
        <is>
          <t>Press-01</t>
        </is>
      </c>
      <c r="C41" s="291" t="inlineStr">
        <is>
          <t>Mablay Beauty PVT LTD.</t>
        </is>
      </c>
      <c r="D41" s="291" t="inlineStr">
        <is>
          <t>VINCE HIS BEARD &amp; MUSTACHE COLOR</t>
        </is>
      </c>
      <c r="E41" s="291" t="n">
        <v>20.5</v>
      </c>
      <c r="F41" s="291" t="n">
        <v>6077</v>
      </c>
      <c r="G41" s="292" t="n">
        <v>2000</v>
      </c>
      <c r="H41" s="292" t="n">
        <v>1945</v>
      </c>
      <c r="I41" s="292" t="n">
        <v>55</v>
      </c>
      <c r="J41" s="293">
        <f>IFERROR(I41/(H41+I41),"")</f>
        <v/>
      </c>
      <c r="K41" s="291" t="n"/>
      <c r="L41" s="291" t="n"/>
      <c r="M41" s="291" t="n"/>
      <c r="N41" s="291" t="n">
        <v>380</v>
      </c>
      <c r="O41" s="291" t="n"/>
      <c r="P41" s="291" t="n">
        <v>40</v>
      </c>
      <c r="Q41" s="291" t="n"/>
      <c r="R41" s="291" t="n"/>
      <c r="S41" s="291" t="n"/>
    </row>
    <row r="42" hidden="1" ht="15" customHeight="1" s="249">
      <c r="A42" s="294" t="n">
        <v>46149</v>
      </c>
      <c r="B42" s="291" t="inlineStr">
        <is>
          <t>Press-06</t>
        </is>
      </c>
      <c r="C42" s="291" t="inlineStr">
        <is>
          <t>Samsol International Private Limited</t>
        </is>
      </c>
      <c r="D42" s="291" t="inlineStr">
        <is>
          <t>S 43 25MM</t>
        </is>
      </c>
      <c r="E42" s="291" t="n">
        <v>25</v>
      </c>
      <c r="F42" s="291" t="n">
        <v>3447</v>
      </c>
      <c r="G42" s="292" t="n">
        <v>12500</v>
      </c>
      <c r="H42" s="292" t="n">
        <v>12400</v>
      </c>
      <c r="I42" s="292" t="n">
        <v>100</v>
      </c>
      <c r="J42" s="293">
        <f>IFERROR(I42/(H42+I42),"")</f>
        <v/>
      </c>
      <c r="K42" s="291" t="n"/>
      <c r="L42" s="291" t="n"/>
      <c r="M42" s="291" t="n"/>
      <c r="N42" s="291" t="n">
        <v>200</v>
      </c>
      <c r="O42" s="291" t="n"/>
      <c r="P42" s="291" t="n">
        <v>40</v>
      </c>
      <c r="Q42" s="291" t="n"/>
      <c r="R42" s="291" t="n"/>
      <c r="S42" s="291" t="n"/>
    </row>
    <row r="43" hidden="1" ht="15" customHeight="1" s="249">
      <c r="A43" s="294" t="n">
        <v>46149</v>
      </c>
      <c r="B43" s="291" t="inlineStr">
        <is>
          <t>Printing-03</t>
        </is>
      </c>
      <c r="C43" s="291" t="inlineStr">
        <is>
          <t>Samsol International Private Limited</t>
        </is>
      </c>
      <c r="D43" s="291" t="inlineStr">
        <is>
          <t>S 43 25MM</t>
        </is>
      </c>
      <c r="E43" s="291" t="n">
        <v>25</v>
      </c>
      <c r="F43" s="291" t="n">
        <v>3447</v>
      </c>
      <c r="G43" s="292" t="n">
        <v>12240</v>
      </c>
      <c r="H43" s="292" t="n">
        <v>11760</v>
      </c>
      <c r="I43" s="292" t="n">
        <v>480</v>
      </c>
      <c r="J43" s="293">
        <f>IFERROR(I43/(H43+I43),"")</f>
        <v/>
      </c>
      <c r="K43" s="291" t="n"/>
      <c r="L43" s="291" t="n"/>
      <c r="M43" s="291" t="n"/>
      <c r="N43" s="291" t="n">
        <v>200</v>
      </c>
      <c r="O43" s="291" t="n"/>
      <c r="P43" s="291" t="n">
        <v>40</v>
      </c>
      <c r="Q43" s="291" t="n"/>
      <c r="R43" s="291" t="n"/>
      <c r="S43" s="291" t="n"/>
    </row>
    <row r="44" hidden="1" ht="15" customHeight="1" s="249">
      <c r="A44" s="294" t="n">
        <v>46149</v>
      </c>
      <c r="B44" s="291" t="inlineStr">
        <is>
          <t>Printing-04</t>
        </is>
      </c>
      <c r="C44" s="291" t="inlineStr">
        <is>
          <t>Golden Pearl Cosmetics (PVT) LTD</t>
        </is>
      </c>
      <c r="D44" s="291" t="inlineStr">
        <is>
          <t>HELLO HAIR COLOR</t>
        </is>
      </c>
      <c r="E44" s="291" t="n">
        <v>30</v>
      </c>
      <c r="F44" s="291" t="n">
        <v>6206</v>
      </c>
      <c r="G44" s="292" t="n">
        <v>14875</v>
      </c>
      <c r="H44" s="292" t="n">
        <v>14280</v>
      </c>
      <c r="I44" s="292" t="n">
        <v>595</v>
      </c>
      <c r="J44" s="293">
        <f>IFERROR(I44/(H44+I44),"")</f>
        <v/>
      </c>
      <c r="K44" s="291" t="n"/>
      <c r="L44" s="291" t="n"/>
      <c r="M44" s="291" t="n"/>
      <c r="N44" s="291" t="n">
        <v>140</v>
      </c>
      <c r="O44" s="291" t="n"/>
      <c r="P44" s="291" t="n">
        <v>40</v>
      </c>
      <c r="Q44" s="291" t="n"/>
      <c r="R44" s="291" t="n"/>
      <c r="S44" s="291" t="n"/>
    </row>
    <row r="45" ht="15" customHeight="1" s="249">
      <c r="A45" s="294" t="n">
        <v>46150</v>
      </c>
      <c r="B45" s="291" t="inlineStr">
        <is>
          <t>Lacquer-02</t>
        </is>
      </c>
      <c r="C45" s="291" t="inlineStr">
        <is>
          <t>Mablay Beauty PVT LTD.</t>
        </is>
      </c>
      <c r="D45" s="291" t="inlineStr">
        <is>
          <t>VINCE HIS BEARD &amp; MUSTACHE COLOR</t>
        </is>
      </c>
      <c r="E45" s="291" t="n">
        <v>20.5</v>
      </c>
      <c r="F45" s="291" t="n">
        <v>6077</v>
      </c>
      <c r="G45" s="292" t="n">
        <v>13000</v>
      </c>
      <c r="H45" s="292" t="n">
        <v>12730</v>
      </c>
      <c r="I45" s="292" t="n">
        <v>270</v>
      </c>
      <c r="J45" s="293">
        <f>IFERROR(I45/(H45+I45),"")</f>
        <v/>
      </c>
      <c r="K45" s="291" t="n"/>
      <c r="L45" s="291" t="n"/>
      <c r="M45" s="291" t="n">
        <v>180</v>
      </c>
      <c r="N45" s="291" t="n"/>
      <c r="O45" s="291" t="n"/>
      <c r="P45" s="291" t="n"/>
      <c r="Q45" s="291" t="n"/>
      <c r="R45" s="291" t="n"/>
      <c r="S45" s="291" t="n"/>
    </row>
    <row r="46" hidden="1" ht="15" customHeight="1" s="249">
      <c r="A46" s="294" t="n">
        <v>46150</v>
      </c>
      <c r="B46" s="291" t="inlineStr">
        <is>
          <t>Lacquer-04</t>
        </is>
      </c>
      <c r="C46" s="291" t="inlineStr">
        <is>
          <t>Mablay Beauty PVT LTD.</t>
        </is>
      </c>
      <c r="D46" s="291" t="inlineStr">
        <is>
          <t>VINCE NURTURAL</t>
        </is>
      </c>
      <c r="E46" s="291" t="n">
        <v>30</v>
      </c>
      <c r="F46" s="291" t="n">
        <v>5814</v>
      </c>
      <c r="G46" s="292" t="n">
        <v>5000</v>
      </c>
      <c r="H46" s="292" t="n">
        <v>4890</v>
      </c>
      <c r="I46" s="292" t="n">
        <v>110</v>
      </c>
      <c r="J46" s="293">
        <f>IFERROR(I46/(H46+I46),"")</f>
        <v/>
      </c>
      <c r="K46" s="291" t="n">
        <v>300</v>
      </c>
      <c r="L46" s="291" t="n"/>
      <c r="M46" s="291" t="n"/>
      <c r="N46" s="291" t="n"/>
      <c r="O46" s="291" t="n"/>
      <c r="P46" s="291" t="n"/>
      <c r="Q46" s="291" t="n"/>
      <c r="R46" s="291" t="n"/>
      <c r="S46" s="291" t="n"/>
    </row>
    <row r="47" hidden="1" ht="15" customHeight="1" s="249">
      <c r="A47" s="294" t="n">
        <v>46150</v>
      </c>
      <c r="B47" s="291" t="inlineStr">
        <is>
          <t>Latex-01</t>
        </is>
      </c>
      <c r="C47" s="291" t="inlineStr">
        <is>
          <t>Golden Pearl Cosmetics (PVT) LTD</t>
        </is>
      </c>
      <c r="D47" s="291" t="inlineStr">
        <is>
          <t>HELLO HAIR COLOR</t>
        </is>
      </c>
      <c r="E47" s="291" t="n">
        <v>30</v>
      </c>
      <c r="F47" s="291" t="n">
        <v>6206</v>
      </c>
      <c r="G47" s="292" t="n">
        <v>11610</v>
      </c>
      <c r="H47" s="292" t="n">
        <v>11600</v>
      </c>
      <c r="I47" s="292" t="n">
        <v>10</v>
      </c>
      <c r="J47" s="293">
        <f>IFERROR(I47/(H47+I47),"")</f>
        <v/>
      </c>
      <c r="K47" s="291" t="n"/>
      <c r="L47" s="291" t="n"/>
      <c r="M47" s="291" t="n"/>
      <c r="N47" s="291" t="n"/>
      <c r="O47" s="291" t="n"/>
      <c r="P47" s="291" t="n"/>
      <c r="Q47" s="291" t="n"/>
      <c r="R47" s="291" t="n"/>
      <c r="S47" s="291" t="n"/>
    </row>
    <row r="48" hidden="1" ht="15" customHeight="1" s="249">
      <c r="A48" s="294" t="n">
        <v>46150</v>
      </c>
      <c r="B48" s="291" t="inlineStr">
        <is>
          <t>Latex-01</t>
        </is>
      </c>
      <c r="C48" s="291" t="inlineStr">
        <is>
          <t>Samsol International Private Limited</t>
        </is>
      </c>
      <c r="D48" s="291" t="inlineStr">
        <is>
          <t>H.H 100GM</t>
        </is>
      </c>
      <c r="E48" s="291" t="n">
        <v>32</v>
      </c>
      <c r="F48" s="291" t="n">
        <v>6515</v>
      </c>
      <c r="G48" s="292" t="n">
        <v>11440</v>
      </c>
      <c r="H48" s="292" t="n">
        <v>11420</v>
      </c>
      <c r="I48" s="292" t="n">
        <v>20</v>
      </c>
      <c r="J48" s="293">
        <f>IFERROR(I48/(H48+I48),"")</f>
        <v/>
      </c>
      <c r="K48" s="291" t="n"/>
      <c r="L48" s="291" t="n"/>
      <c r="M48" s="291" t="n"/>
      <c r="N48" s="291" t="n"/>
      <c r="O48" s="291" t="n"/>
      <c r="P48" s="291" t="n"/>
      <c r="Q48" s="291" t="n"/>
      <c r="R48" s="291" t="n"/>
      <c r="S48" s="291" t="n"/>
    </row>
    <row r="49" hidden="1" ht="15" customHeight="1" s="249">
      <c r="A49" s="294" t="n">
        <v>46150</v>
      </c>
      <c r="B49" s="291" t="inlineStr">
        <is>
          <t>PF Machine</t>
        </is>
      </c>
      <c r="C49" s="291" t="inlineStr">
        <is>
          <t>Mablay Beauty PVT LTD.</t>
        </is>
      </c>
      <c r="D49" s="291" t="inlineStr">
        <is>
          <t>PET BOTTLE SMALL (130ML) TRANSPARENT</t>
        </is>
      </c>
      <c r="E49" s="291" t="inlineStr">
        <is>
          <t>130 ml</t>
        </is>
      </c>
      <c r="F49" s="291" t="n">
        <v>8010</v>
      </c>
      <c r="G49" s="292" t="n">
        <v>0</v>
      </c>
      <c r="H49" s="292" t="n">
        <v>0</v>
      </c>
      <c r="I49" s="292" t="n">
        <v>0</v>
      </c>
      <c r="J49" s="293">
        <f>IFERROR(I49/(H49+I49),"")</f>
        <v/>
      </c>
      <c r="K49" s="291" t="n"/>
      <c r="L49" s="291" t="n"/>
      <c r="M49" s="291" t="n"/>
      <c r="N49" s="291" t="n">
        <v>480</v>
      </c>
      <c r="O49" s="291" t="n"/>
      <c r="P49" s="291" t="n"/>
      <c r="Q49" s="291" t="n"/>
      <c r="R49" s="291" t="n"/>
      <c r="S49" s="291" t="n"/>
    </row>
    <row r="50" ht="15" customHeight="1" s="249">
      <c r="A50" s="294" t="n">
        <v>46150</v>
      </c>
      <c r="B50" s="291" t="inlineStr">
        <is>
          <t>Press-01</t>
        </is>
      </c>
      <c r="C50" s="291" t="inlineStr">
        <is>
          <t>Mablay Beauty PVT LTD.</t>
        </is>
      </c>
      <c r="D50" s="291" t="inlineStr">
        <is>
          <t>VINCE HIS BEARD &amp; MUSTACHE COLOR</t>
        </is>
      </c>
      <c r="E50" s="291" t="n">
        <v>20.5</v>
      </c>
      <c r="F50" s="291" t="n">
        <v>6077</v>
      </c>
      <c r="G50" s="292" t="n">
        <v>17000</v>
      </c>
      <c r="H50" s="292" t="n">
        <v>16890</v>
      </c>
      <c r="I50" s="292" t="n">
        <v>110</v>
      </c>
      <c r="J50" s="293">
        <f>IFERROR(I50/(H50+I50),"")</f>
        <v/>
      </c>
      <c r="K50" s="291" t="n">
        <v>60</v>
      </c>
      <c r="L50" s="291" t="n"/>
      <c r="M50" s="291" t="n"/>
      <c r="N50" s="291" t="n"/>
      <c r="O50" s="291" t="n"/>
      <c r="P50" s="291" t="n"/>
      <c r="Q50" s="291" t="n"/>
      <c r="R50" s="291" t="n"/>
      <c r="S50" s="291" t="n"/>
    </row>
    <row r="51" hidden="1" ht="15" customHeight="1" s="249">
      <c r="A51" s="294" t="n">
        <v>46150</v>
      </c>
      <c r="B51" s="291" t="inlineStr">
        <is>
          <t>Press-04</t>
        </is>
      </c>
      <c r="C51" s="291" t="inlineStr">
        <is>
          <t>Mablay Beauty PVT LTD.</t>
        </is>
      </c>
      <c r="D51" s="291" t="inlineStr">
        <is>
          <t>VINCE NURTURAL</t>
        </is>
      </c>
      <c r="E51" s="291" t="n">
        <v>30</v>
      </c>
      <c r="F51" s="291" t="n">
        <v>5814</v>
      </c>
      <c r="G51" s="292" t="n">
        <v>13000</v>
      </c>
      <c r="H51" s="292" t="n">
        <v>12905</v>
      </c>
      <c r="I51" s="292" t="n">
        <v>95</v>
      </c>
      <c r="J51" s="293">
        <f>IFERROR(I51/(H51+I51),"")</f>
        <v/>
      </c>
      <c r="K51" s="291" t="n"/>
      <c r="L51" s="291" t="n"/>
      <c r="M51" s="291" t="n">
        <v>180</v>
      </c>
      <c r="N51" s="291" t="n"/>
      <c r="O51" s="291" t="n"/>
      <c r="P51" s="291" t="n"/>
      <c r="Q51" s="291" t="n"/>
      <c r="R51" s="291" t="n"/>
      <c r="S51" s="291" t="n"/>
    </row>
    <row r="52" ht="15" customHeight="1" s="249">
      <c r="A52" s="294" t="n">
        <v>46150</v>
      </c>
      <c r="B52" s="291" t="inlineStr">
        <is>
          <t>Printing-03</t>
        </is>
      </c>
      <c r="C52" s="291" t="inlineStr">
        <is>
          <t>Mablay Beauty PVT LTD.</t>
        </is>
      </c>
      <c r="D52" s="291" t="inlineStr">
        <is>
          <t>VINCE HIS BEARD &amp; MUSTACHE COLOR</t>
        </is>
      </c>
      <c r="E52" s="291" t="n">
        <v>20.5</v>
      </c>
      <c r="F52" s="291" t="n">
        <v>6077</v>
      </c>
      <c r="G52" s="292" t="n">
        <v>9660</v>
      </c>
      <c r="H52" s="292" t="n">
        <v>9180</v>
      </c>
      <c r="I52" s="292" t="n">
        <v>480</v>
      </c>
      <c r="J52" s="293">
        <f>IFERROR(I52/(H52+I52),"")</f>
        <v/>
      </c>
      <c r="K52" s="291" t="n"/>
      <c r="L52" s="291" t="n"/>
      <c r="M52" s="291" t="n">
        <v>240</v>
      </c>
      <c r="N52" s="291" t="n"/>
      <c r="O52" s="291" t="n"/>
      <c r="P52" s="291" t="n"/>
      <c r="Q52" s="291" t="n"/>
      <c r="R52" s="291" t="n"/>
      <c r="S52" s="291" t="n"/>
    </row>
    <row r="53" hidden="1" ht="15" customHeight="1" s="249">
      <c r="A53" s="294" t="n">
        <v>46150</v>
      </c>
      <c r="B53" s="291" t="inlineStr">
        <is>
          <t>Printing-04</t>
        </is>
      </c>
      <c r="C53" s="291" t="inlineStr">
        <is>
          <t>Mablay Beauty PVT LTD.</t>
        </is>
      </c>
      <c r="D53" s="291" t="inlineStr">
        <is>
          <t>VINCE NURTURAL</t>
        </is>
      </c>
      <c r="E53" s="291" t="n">
        <v>30</v>
      </c>
      <c r="F53" s="291" t="n">
        <v>5814</v>
      </c>
      <c r="G53" s="292" t="n">
        <v>2505</v>
      </c>
      <c r="H53" s="292" t="n">
        <v>2380</v>
      </c>
      <c r="I53" s="292" t="n">
        <v>125</v>
      </c>
      <c r="J53" s="293">
        <f>IFERROR(I53/(H53+I53),"")</f>
        <v/>
      </c>
      <c r="K53" s="291" t="n"/>
      <c r="L53" s="291" t="n"/>
      <c r="M53" s="291" t="n">
        <v>420</v>
      </c>
      <c r="N53" s="291" t="n"/>
      <c r="O53" s="291" t="n"/>
      <c r="P53" s="291" t="n"/>
      <c r="Q53" s="291" t="n"/>
      <c r="R53" s="291" t="n"/>
      <c r="S53" s="291" t="n"/>
    </row>
    <row r="54" ht="15" customHeight="1" s="249">
      <c r="A54" s="294" t="n">
        <v>46151</v>
      </c>
      <c r="B54" s="291" t="inlineStr">
        <is>
          <t>Lacquer-02</t>
        </is>
      </c>
      <c r="C54" s="291" t="inlineStr">
        <is>
          <t>Mablay Beauty PVT LTD.</t>
        </is>
      </c>
      <c r="D54" s="291" t="inlineStr">
        <is>
          <t>VINCE HIS BEARD &amp; MUSTACHE COLOR</t>
        </is>
      </c>
      <c r="E54" s="291" t="n">
        <v>20.5</v>
      </c>
      <c r="F54" s="291" t="n">
        <v>6077</v>
      </c>
      <c r="G54" s="292" t="n">
        <v>12000</v>
      </c>
      <c r="H54" s="292" t="n">
        <v>11805</v>
      </c>
      <c r="I54" s="292" t="n">
        <v>195</v>
      </c>
      <c r="J54" s="293">
        <f>IFERROR(I54/(H54+I54),"")</f>
        <v/>
      </c>
      <c r="K54" s="291" t="n">
        <v>180</v>
      </c>
      <c r="L54" s="291" t="n"/>
      <c r="M54" s="291" t="n"/>
      <c r="N54" s="291" t="n"/>
      <c r="O54" s="291" t="n"/>
      <c r="P54" s="291" t="n"/>
      <c r="Q54" s="291" t="n"/>
      <c r="R54" s="291" t="n"/>
      <c r="S54" s="291" t="n"/>
    </row>
    <row r="55" hidden="1" ht="15" customHeight="1" s="249">
      <c r="A55" s="294" t="n">
        <v>46151</v>
      </c>
      <c r="B55" s="291" t="inlineStr">
        <is>
          <t>Lacquer-04</t>
        </is>
      </c>
      <c r="C55" s="291" t="inlineStr">
        <is>
          <t>Mablay Beauty PVT LTD.</t>
        </is>
      </c>
      <c r="D55" s="291" t="inlineStr">
        <is>
          <t>VINCE NURTURAL</t>
        </is>
      </c>
      <c r="E55" s="291" t="n">
        <v>30</v>
      </c>
      <c r="F55" s="291" t="n">
        <v>5814</v>
      </c>
      <c r="G55" s="292" t="n">
        <v>16000</v>
      </c>
      <c r="H55" s="292" t="n">
        <v>15760</v>
      </c>
      <c r="I55" s="292" t="n">
        <v>240</v>
      </c>
      <c r="J55" s="293">
        <f>IFERROR(I55/(H55+I55),"")</f>
        <v/>
      </c>
      <c r="K55" s="291" t="n">
        <v>120</v>
      </c>
      <c r="L55" s="291" t="n"/>
      <c r="M55" s="291" t="n"/>
      <c r="N55" s="291" t="n"/>
      <c r="O55" s="291" t="n"/>
      <c r="P55" s="291" t="n"/>
      <c r="Q55" s="291" t="n"/>
      <c r="R55" s="291" t="n"/>
      <c r="S55" s="291" t="n"/>
    </row>
    <row r="56" hidden="1" ht="15" customHeight="1" s="249">
      <c r="A56" s="294" t="n">
        <v>46151</v>
      </c>
      <c r="B56" s="291" t="inlineStr">
        <is>
          <t>Latex-01</t>
        </is>
      </c>
      <c r="C56" s="291" t="inlineStr">
        <is>
          <t>Samsol International Private Limited</t>
        </is>
      </c>
      <c r="D56" s="291" t="inlineStr">
        <is>
          <t>H.H 100GM</t>
        </is>
      </c>
      <c r="E56" s="291" t="n">
        <v>32</v>
      </c>
      <c r="F56" s="291" t="n">
        <v>6515</v>
      </c>
      <c r="G56" s="292" t="n">
        <v>23000</v>
      </c>
      <c r="H56" s="292" t="n">
        <v>22980</v>
      </c>
      <c r="I56" s="292" t="n">
        <v>20</v>
      </c>
      <c r="J56" s="293">
        <f>IFERROR(I56/(H56+I56),"")</f>
        <v/>
      </c>
      <c r="K56" s="291" t="n"/>
      <c r="L56" s="291" t="n"/>
      <c r="M56" s="291" t="n"/>
      <c r="N56" s="291" t="n"/>
      <c r="O56" s="291" t="n"/>
      <c r="P56" s="291" t="n"/>
      <c r="Q56" s="291" t="n"/>
      <c r="R56" s="291" t="n"/>
      <c r="S56" s="291" t="n"/>
    </row>
    <row r="57" hidden="1" ht="15" customHeight="1" s="249">
      <c r="A57" s="294" t="n">
        <v>46151</v>
      </c>
      <c r="B57" s="291" t="inlineStr">
        <is>
          <t>PF Machine</t>
        </is>
      </c>
      <c r="C57" s="291" t="inlineStr">
        <is>
          <t>Mablay Beauty PVT LTD.</t>
        </is>
      </c>
      <c r="D57" s="291" t="inlineStr">
        <is>
          <t>PET BOTTLE SMALL (130ML) TRANSPARENT</t>
        </is>
      </c>
      <c r="E57" s="291" t="inlineStr">
        <is>
          <t>130 ml</t>
        </is>
      </c>
      <c r="F57" s="291" t="n">
        <v>8010</v>
      </c>
      <c r="G57" s="292" t="n">
        <v>0</v>
      </c>
      <c r="H57" s="292" t="n">
        <v>0</v>
      </c>
      <c r="I57" s="292" t="n">
        <v>0</v>
      </c>
      <c r="J57" s="293">
        <f>IFERROR(I57/(H57+I57),"")</f>
        <v/>
      </c>
      <c r="K57" s="291" t="n"/>
      <c r="L57" s="291" t="n"/>
      <c r="M57" s="291" t="n"/>
      <c r="N57" s="291" t="n"/>
      <c r="O57" s="291" t="n">
        <v>480</v>
      </c>
      <c r="P57" s="291" t="n"/>
      <c r="Q57" s="291" t="n"/>
      <c r="R57" s="291" t="n"/>
      <c r="S57" s="291" t="n"/>
    </row>
    <row r="58" ht="15" customHeight="1" s="249">
      <c r="A58" s="294" t="n">
        <v>46151</v>
      </c>
      <c r="B58" s="291" t="inlineStr">
        <is>
          <t>Press-01</t>
        </is>
      </c>
      <c r="C58" s="291" t="inlineStr">
        <is>
          <t>Mablay Beauty PVT LTD.</t>
        </is>
      </c>
      <c r="D58" s="291" t="inlineStr">
        <is>
          <t>VINCE HIS BEARD &amp; MUSTACHE COLOR</t>
        </is>
      </c>
      <c r="E58" s="291" t="n">
        <v>20.5</v>
      </c>
      <c r="F58" s="291" t="n">
        <v>6077</v>
      </c>
      <c r="G58" s="292" t="n">
        <v>7500</v>
      </c>
      <c r="H58" s="292" t="n">
        <v>7415</v>
      </c>
      <c r="I58" s="292" t="n">
        <v>85</v>
      </c>
      <c r="J58" s="293">
        <f>IFERROR(I58/(H58+I58),"")</f>
        <v/>
      </c>
      <c r="K58" s="291" t="n"/>
      <c r="L58" s="291" t="n"/>
      <c r="M58" s="291" t="n"/>
      <c r="N58" s="291" t="n">
        <v>300</v>
      </c>
      <c r="O58" s="291" t="n"/>
      <c r="P58" s="291" t="n"/>
      <c r="Q58" s="291" t="n"/>
      <c r="R58" s="291" t="n"/>
      <c r="S58" s="291" t="n"/>
    </row>
    <row r="59" hidden="1" ht="15" customHeight="1" s="249">
      <c r="A59" s="294" t="n">
        <v>46151</v>
      </c>
      <c r="B59" s="291" t="inlineStr">
        <is>
          <t>Press-04</t>
        </is>
      </c>
      <c r="C59" s="291" t="inlineStr">
        <is>
          <t>Mablay Beauty PVT LTD.</t>
        </is>
      </c>
      <c r="D59" s="291" t="inlineStr">
        <is>
          <t>VINCE NURTURAL</t>
        </is>
      </c>
      <c r="E59" s="291" t="n">
        <v>30</v>
      </c>
      <c r="F59" s="291" t="n">
        <v>5814</v>
      </c>
      <c r="G59" s="292" t="n">
        <v>13900</v>
      </c>
      <c r="H59" s="292" t="n">
        <v>13795</v>
      </c>
      <c r="I59" s="292" t="n">
        <v>105</v>
      </c>
      <c r="J59" s="293">
        <f>IFERROR(I59/(H59+I59),"")</f>
        <v/>
      </c>
      <c r="K59" s="291" t="n"/>
      <c r="L59" s="291" t="n"/>
      <c r="M59" s="291" t="n"/>
      <c r="N59" s="291" t="n">
        <v>150</v>
      </c>
      <c r="O59" s="291" t="n"/>
      <c r="P59" s="291" t="n"/>
      <c r="Q59" s="291" t="n"/>
      <c r="R59" s="291" t="n"/>
      <c r="S59" s="291" t="n"/>
    </row>
    <row r="60" ht="15" customHeight="1" s="249">
      <c r="A60" s="294" t="n">
        <v>46151</v>
      </c>
      <c r="B60" s="291" t="inlineStr">
        <is>
          <t>Printing-03</t>
        </is>
      </c>
      <c r="C60" s="291" t="inlineStr">
        <is>
          <t>Mablay Beauty PVT LTD.</t>
        </is>
      </c>
      <c r="D60" s="291" t="inlineStr">
        <is>
          <t>VINCE HIS BEARD &amp; MUSTACHE COLOR</t>
        </is>
      </c>
      <c r="E60" s="291" t="n">
        <v>20.5</v>
      </c>
      <c r="F60" s="291" t="n">
        <v>6077</v>
      </c>
      <c r="G60" s="292" t="n">
        <v>15415</v>
      </c>
      <c r="H60" s="292" t="n">
        <v>14790</v>
      </c>
      <c r="I60" s="292" t="n">
        <v>625</v>
      </c>
      <c r="J60" s="293">
        <f>IFERROR(I60/(H60+I60),"")</f>
        <v/>
      </c>
      <c r="K60" s="291" t="n"/>
      <c r="L60" s="291" t="n"/>
      <c r="M60" s="291" t="n"/>
      <c r="N60" s="291" t="n">
        <v>150</v>
      </c>
      <c r="O60" s="291" t="n"/>
      <c r="P60" s="291" t="n"/>
      <c r="Q60" s="291" t="n"/>
      <c r="R60" s="291" t="n"/>
      <c r="S60" s="291" t="n"/>
    </row>
    <row r="61" hidden="1" ht="15" customHeight="1" s="249">
      <c r="A61" s="294" t="n">
        <v>46151</v>
      </c>
      <c r="B61" s="291" t="inlineStr">
        <is>
          <t>Printing-04</t>
        </is>
      </c>
      <c r="C61" s="291" t="inlineStr">
        <is>
          <t>Mablay Beauty PVT LTD.</t>
        </is>
      </c>
      <c r="D61" s="291" t="inlineStr">
        <is>
          <t>VINCE NURTURAL</t>
        </is>
      </c>
      <c r="E61" s="291" t="n">
        <v>30</v>
      </c>
      <c r="F61" s="291" t="n">
        <v>5814</v>
      </c>
      <c r="G61" s="292" t="n">
        <v>18550</v>
      </c>
      <c r="H61" s="292" t="n">
        <v>17850</v>
      </c>
      <c r="I61" s="292" t="n">
        <v>700</v>
      </c>
      <c r="J61" s="293">
        <f>IFERROR(I61/(H61+I61),"")</f>
        <v/>
      </c>
      <c r="K61" s="291" t="n"/>
      <c r="L61" s="291" t="n"/>
      <c r="M61" s="291" t="n">
        <v>120</v>
      </c>
      <c r="N61" s="291" t="n"/>
      <c r="O61" s="291" t="n"/>
      <c r="P61" s="291" t="n"/>
      <c r="Q61" s="291" t="n"/>
      <c r="R61" s="291" t="n"/>
      <c r="S61" s="291" t="n"/>
    </row>
    <row r="62" hidden="1" ht="15" customHeight="1" s="249">
      <c r="A62" s="294" t="n">
        <v>46153</v>
      </c>
      <c r="B62" s="291" t="inlineStr">
        <is>
          <t>Lacquer-02</t>
        </is>
      </c>
      <c r="C62" s="291" t="inlineStr">
        <is>
          <t>Samsol International Private Limited</t>
        </is>
      </c>
      <c r="D62" s="291" t="inlineStr">
        <is>
          <t>H.H 100GM</t>
        </is>
      </c>
      <c r="E62" s="291" t="n">
        <v>32</v>
      </c>
      <c r="F62" s="291" t="n">
        <v>6515</v>
      </c>
      <c r="G62" s="292" t="n">
        <v>11000</v>
      </c>
      <c r="H62" s="292" t="n">
        <v>10760</v>
      </c>
      <c r="I62" s="292" t="n">
        <v>240</v>
      </c>
      <c r="J62" s="293">
        <f>IFERROR(I62/(H62+I62),"")</f>
        <v/>
      </c>
      <c r="K62" s="291" t="n"/>
      <c r="L62" s="291" t="n"/>
      <c r="M62" s="291" t="n"/>
      <c r="N62" s="291" t="n">
        <v>120</v>
      </c>
      <c r="O62" s="291" t="n"/>
      <c r="P62" s="291" t="n"/>
      <c r="Q62" s="291" t="n"/>
      <c r="R62" s="291" t="n"/>
      <c r="S62" s="291" t="n"/>
    </row>
    <row r="63" hidden="1" ht="15" customHeight="1" s="249">
      <c r="A63" s="294" t="n">
        <v>46153</v>
      </c>
      <c r="B63" s="291" t="inlineStr">
        <is>
          <t>Lacquer-02</t>
        </is>
      </c>
      <c r="C63" s="291" t="inlineStr">
        <is>
          <t>Mablay Beauty PVT LTD.</t>
        </is>
      </c>
      <c r="D63" s="291" t="inlineStr">
        <is>
          <t>VINCE NURTURAL</t>
        </is>
      </c>
      <c r="E63" s="291" t="n">
        <v>30</v>
      </c>
      <c r="F63" s="291" t="n">
        <v>5814</v>
      </c>
      <c r="G63" s="292" t="n">
        <v>2000</v>
      </c>
      <c r="H63" s="292" t="n">
        <v>1915</v>
      </c>
      <c r="I63" s="292" t="n">
        <v>85</v>
      </c>
      <c r="J63" s="293">
        <f>IFERROR(I63/(H63+I63),"")</f>
        <v/>
      </c>
      <c r="K63" s="291" t="n"/>
      <c r="L63" s="291" t="n"/>
      <c r="M63" s="291" t="n"/>
      <c r="N63" s="291" t="n"/>
      <c r="O63" s="291" t="n"/>
      <c r="P63" s="291" t="n"/>
      <c r="Q63" s="291" t="n"/>
      <c r="R63" s="291" t="n"/>
      <c r="S63" s="291" t="n"/>
    </row>
    <row r="64" hidden="1" ht="15" customHeight="1" s="249">
      <c r="A64" s="294" t="n">
        <v>46153</v>
      </c>
      <c r="B64" s="291" t="inlineStr">
        <is>
          <t>Latex-01</t>
        </is>
      </c>
      <c r="C64" s="291" t="inlineStr">
        <is>
          <t>Samsol International Private Limited</t>
        </is>
      </c>
      <c r="D64" s="291" t="inlineStr">
        <is>
          <t>H.H 100GM</t>
        </is>
      </c>
      <c r="E64" s="291" t="n">
        <v>32</v>
      </c>
      <c r="F64" s="291" t="n">
        <v>6515</v>
      </c>
      <c r="G64" s="292" t="n">
        <v>23088</v>
      </c>
      <c r="H64" s="292" t="n">
        <v>23078</v>
      </c>
      <c r="I64" s="292" t="n">
        <v>10</v>
      </c>
      <c r="J64" s="293">
        <f>IFERROR(I64/(H64+I64),"")</f>
        <v/>
      </c>
      <c r="K64" s="291" t="n"/>
      <c r="L64" s="291" t="n"/>
      <c r="M64" s="291" t="n"/>
      <c r="N64" s="291" t="n"/>
      <c r="O64" s="291" t="n"/>
      <c r="P64" s="291" t="n"/>
      <c r="Q64" s="291" t="n"/>
      <c r="R64" s="291" t="n"/>
      <c r="S64" s="291" t="n"/>
    </row>
    <row r="65" hidden="1" ht="15" customHeight="1" s="249">
      <c r="A65" s="294" t="n">
        <v>46153</v>
      </c>
      <c r="B65" s="291" t="inlineStr">
        <is>
          <t>PF Machine</t>
        </is>
      </c>
      <c r="C65" s="291" t="inlineStr">
        <is>
          <t>Mablay Beauty PVT LTD.</t>
        </is>
      </c>
      <c r="D65" s="291" t="inlineStr">
        <is>
          <t>PET BOTTLE SMALL (130ML) TRANSPARENT</t>
        </is>
      </c>
      <c r="E65" s="291" t="inlineStr">
        <is>
          <t>130 ml</t>
        </is>
      </c>
      <c r="F65" s="291" t="n">
        <v>8010</v>
      </c>
      <c r="G65" s="292" t="n">
        <v>0</v>
      </c>
      <c r="H65" s="292" t="n">
        <v>0</v>
      </c>
      <c r="I65" s="292" t="n">
        <v>0</v>
      </c>
      <c r="J65" s="293">
        <f>IFERROR(I65/(H65+I65),"")</f>
        <v/>
      </c>
      <c r="K65" s="291" t="n"/>
      <c r="L65" s="291" t="n"/>
      <c r="M65" s="291" t="n"/>
      <c r="N65" s="291" t="n"/>
      <c r="O65" s="291" t="n">
        <v>480</v>
      </c>
      <c r="P65" s="291" t="n"/>
      <c r="Q65" s="291" t="n"/>
      <c r="R65" s="291" t="n"/>
      <c r="S65" s="291" t="n"/>
    </row>
    <row r="66" hidden="1" ht="15" customHeight="1" s="249">
      <c r="A66" s="294" t="n">
        <v>46153</v>
      </c>
      <c r="B66" s="291" t="inlineStr">
        <is>
          <t>Press-03</t>
        </is>
      </c>
      <c r="C66" s="291" t="inlineStr">
        <is>
          <t>Samsol International Private Limited</t>
        </is>
      </c>
      <c r="D66" s="291" t="inlineStr">
        <is>
          <t>H.H 100GM</t>
        </is>
      </c>
      <c r="E66" s="291" t="n">
        <v>32</v>
      </c>
      <c r="F66" s="291" t="n">
        <v>6515</v>
      </c>
      <c r="G66" s="292" t="n">
        <v>15600</v>
      </c>
      <c r="H66" s="292" t="n">
        <v>15480</v>
      </c>
      <c r="I66" s="292" t="n">
        <v>120</v>
      </c>
      <c r="J66" s="293">
        <f>IFERROR(I66/(H66+I66),"")</f>
        <v/>
      </c>
      <c r="K66" s="291" t="n"/>
      <c r="L66" s="291" t="n"/>
      <c r="M66" s="291" t="n"/>
      <c r="N66" s="291" t="n"/>
      <c r="O66" s="291" t="n"/>
      <c r="P66" s="291" t="n"/>
      <c r="Q66" s="291" t="n"/>
      <c r="R66" s="291" t="n"/>
      <c r="S66" s="291" t="n"/>
    </row>
    <row r="67" ht="15" customHeight="1" s="249">
      <c r="A67" s="294" t="n">
        <v>46153</v>
      </c>
      <c r="B67" s="291" t="inlineStr">
        <is>
          <t>Press-04</t>
        </is>
      </c>
      <c r="C67" s="291" t="inlineStr">
        <is>
          <t>Mablay Beauty PVT LTD.</t>
        </is>
      </c>
      <c r="D67" s="291" t="inlineStr">
        <is>
          <t>HIS ONLY HAIR COLOR CREAM 40GM</t>
        </is>
      </c>
      <c r="E67" s="291" t="n">
        <v>25</v>
      </c>
      <c r="F67" s="291" t="n">
        <v>6228</v>
      </c>
      <c r="G67" s="292" t="n">
        <v>0</v>
      </c>
      <c r="H67" s="292" t="n">
        <v>0</v>
      </c>
      <c r="I67" s="292" t="n">
        <v>0</v>
      </c>
      <c r="J67" s="293">
        <f>IFERROR(I67/(H67+I67),"")</f>
        <v/>
      </c>
      <c r="K67" s="291" t="n"/>
      <c r="L67" s="291" t="n"/>
      <c r="M67" s="291" t="n"/>
      <c r="N67" s="291" t="n"/>
      <c r="O67" s="291" t="n"/>
      <c r="P67" s="291" t="n"/>
      <c r="Q67" s="291" t="n"/>
      <c r="R67" s="291" t="n"/>
      <c r="S67" s="291" t="n">
        <v>480</v>
      </c>
    </row>
    <row r="68" hidden="1" ht="15" customHeight="1" s="249">
      <c r="A68" s="294" t="n">
        <v>46153</v>
      </c>
      <c r="B68" s="291" t="inlineStr">
        <is>
          <t>Printing-03</t>
        </is>
      </c>
      <c r="C68" s="291" t="inlineStr">
        <is>
          <t>Mablay Beauty PVT LTD.</t>
        </is>
      </c>
      <c r="D68" s="291" t="inlineStr">
        <is>
          <t>VINCE HIS BEARD &amp; MUSTACHE COLOR (Varnish)</t>
        </is>
      </c>
      <c r="E68" s="291" t="n">
        <v>20.5</v>
      </c>
      <c r="F68" s="291" t="n"/>
      <c r="G68" s="292" t="n">
        <v>23910</v>
      </c>
      <c r="H68" s="292" t="n">
        <v>23460</v>
      </c>
      <c r="I68" s="292" t="n">
        <v>450</v>
      </c>
      <c r="J68" s="293">
        <f>IFERROR(I68/(H68+I68),"")</f>
        <v/>
      </c>
      <c r="K68" s="291" t="n"/>
      <c r="L68" s="291" t="n"/>
      <c r="M68" s="291" t="n"/>
      <c r="N68" s="291" t="n"/>
      <c r="O68" s="291" t="n"/>
      <c r="P68" s="291" t="n"/>
      <c r="Q68" s="291" t="n"/>
      <c r="R68" s="291" t="n"/>
      <c r="S68" s="291" t="n"/>
    </row>
    <row r="69" hidden="1" ht="15" customHeight="1" s="249">
      <c r="A69" s="294" t="n">
        <v>46153</v>
      </c>
      <c r="B69" s="291" t="inlineStr">
        <is>
          <t>Printing-04</t>
        </is>
      </c>
      <c r="C69" s="291" t="inlineStr">
        <is>
          <t>Mablay Beauty PVT LTD.</t>
        </is>
      </c>
      <c r="D69" s="291" t="inlineStr">
        <is>
          <t>VINCE NURTURAL</t>
        </is>
      </c>
      <c r="E69" s="291" t="n">
        <v>30</v>
      </c>
      <c r="F69" s="291" t="n">
        <v>5814</v>
      </c>
      <c r="G69" s="292" t="n">
        <v>3622</v>
      </c>
      <c r="H69" s="292" t="n">
        <v>3332</v>
      </c>
      <c r="I69" s="292" t="n">
        <v>290</v>
      </c>
      <c r="J69" s="293">
        <f>IFERROR(I69/(H69+I69),"")</f>
        <v/>
      </c>
      <c r="K69" s="291" t="n"/>
      <c r="L69" s="291" t="n"/>
      <c r="M69" s="291" t="n"/>
      <c r="N69" s="291" t="n"/>
      <c r="O69" s="291" t="n"/>
      <c r="P69" s="291" t="n"/>
      <c r="Q69" s="291" t="n"/>
      <c r="R69" s="291" t="n"/>
      <c r="S69" s="291" t="n"/>
    </row>
    <row r="70" hidden="1" ht="15" customHeight="1" s="249">
      <c r="A70" s="294" t="n">
        <v>46153</v>
      </c>
      <c r="B70" s="291" t="inlineStr">
        <is>
          <t>Printing-04</t>
        </is>
      </c>
      <c r="C70" s="291" t="inlineStr">
        <is>
          <t>Samsol International Private Limited</t>
        </is>
      </c>
      <c r="D70" s="291" t="inlineStr">
        <is>
          <t>H.H 100GM</t>
        </is>
      </c>
      <c r="E70" s="291" t="n">
        <v>32</v>
      </c>
      <c r="F70" s="291" t="n">
        <v>6515</v>
      </c>
      <c r="G70" s="292" t="n">
        <v>7828</v>
      </c>
      <c r="H70" s="292" t="n">
        <v>7488</v>
      </c>
      <c r="I70" s="292" t="n">
        <v>340</v>
      </c>
      <c r="J70" s="293">
        <f>IFERROR(I70/(H70+I70),"")</f>
        <v/>
      </c>
      <c r="K70" s="291" t="n"/>
      <c r="L70" s="291" t="n"/>
      <c r="M70" s="291" t="n"/>
      <c r="N70" s="291" t="n">
        <v>160</v>
      </c>
      <c r="O70" s="291" t="n"/>
      <c r="P70" s="291" t="n"/>
      <c r="Q70" s="291" t="n"/>
      <c r="R70" s="291" t="n"/>
      <c r="S70" s="291" t="n"/>
    </row>
    <row r="71" ht="15" customHeight="1" s="249">
      <c r="A71" s="294" t="n">
        <v>46154</v>
      </c>
      <c r="B71" s="291" t="inlineStr">
        <is>
          <t>Lacquer-02</t>
        </is>
      </c>
      <c r="C71" s="291" t="inlineStr">
        <is>
          <t>Mablay Beauty PVT LTD.</t>
        </is>
      </c>
      <c r="D71" s="291" t="inlineStr">
        <is>
          <t>HIS ONLY HAIR COLOR CREAM 40GM</t>
        </is>
      </c>
      <c r="E71" s="291" t="n">
        <v>25</v>
      </c>
      <c r="F71" s="291" t="n">
        <v>6228</v>
      </c>
      <c r="G71" s="292" t="n">
        <v>15000</v>
      </c>
      <c r="H71" s="292" t="n">
        <v>14760</v>
      </c>
      <c r="I71" s="292" t="n">
        <v>240</v>
      </c>
      <c r="J71" s="293">
        <f>IFERROR(I71/(H71+I71),"")</f>
        <v/>
      </c>
      <c r="K71" s="291" t="n"/>
      <c r="L71" s="291" t="n"/>
      <c r="M71" s="291" t="n">
        <v>120</v>
      </c>
      <c r="N71" s="291" t="n"/>
      <c r="O71" s="291" t="n"/>
      <c r="P71" s="291" t="n"/>
      <c r="Q71" s="291" t="n"/>
      <c r="R71" s="291" t="n"/>
      <c r="S71" s="291" t="n"/>
    </row>
    <row r="72" hidden="1" ht="15" customHeight="1" s="249">
      <c r="A72" s="294" t="n">
        <v>46154</v>
      </c>
      <c r="B72" s="291" t="inlineStr">
        <is>
          <t>Lacquer-03</t>
        </is>
      </c>
      <c r="C72" s="291" t="inlineStr">
        <is>
          <t>Samsol International Private Limited</t>
        </is>
      </c>
      <c r="D72" s="291" t="inlineStr">
        <is>
          <t>H.H 100GM</t>
        </is>
      </c>
      <c r="E72" s="291" t="n">
        <v>32</v>
      </c>
      <c r="F72" s="291" t="n">
        <v>6515</v>
      </c>
      <c r="G72" s="292" t="n">
        <v>4000</v>
      </c>
      <c r="H72" s="292" t="n">
        <v>3910</v>
      </c>
      <c r="I72" s="292" t="n">
        <v>90</v>
      </c>
      <c r="J72" s="293">
        <f>IFERROR(I72/(H72+I72),"")</f>
        <v/>
      </c>
      <c r="K72" s="291" t="n"/>
      <c r="L72" s="291" t="n"/>
      <c r="M72" s="291" t="n"/>
      <c r="N72" s="291" t="n">
        <v>360</v>
      </c>
      <c r="O72" s="291" t="n"/>
      <c r="P72" s="291" t="n"/>
      <c r="Q72" s="291" t="n"/>
      <c r="R72" s="291" t="n"/>
      <c r="S72" s="291" t="n"/>
    </row>
    <row r="73" hidden="1" ht="15" customHeight="1" s="249">
      <c r="A73" s="294" t="n">
        <v>46154</v>
      </c>
      <c r="B73" s="291" t="inlineStr">
        <is>
          <t>Latex-01</t>
        </is>
      </c>
      <c r="C73" s="291" t="inlineStr">
        <is>
          <t>Samsol International Private Limited</t>
        </is>
      </c>
      <c r="D73" s="291" t="inlineStr">
        <is>
          <t>H.H 100GM</t>
        </is>
      </c>
      <c r="E73" s="291" t="n">
        <v>32</v>
      </c>
      <c r="F73" s="291" t="n">
        <v>6515</v>
      </c>
      <c r="G73" s="292" t="n">
        <v>4576</v>
      </c>
      <c r="H73" s="292" t="n">
        <v>4571</v>
      </c>
      <c r="I73" s="292" t="n">
        <v>5</v>
      </c>
      <c r="J73" s="293">
        <f>IFERROR(I73/(H73+I73),"")</f>
        <v/>
      </c>
      <c r="K73" s="291" t="n"/>
      <c r="L73" s="291" t="n"/>
      <c r="M73" s="291" t="n"/>
      <c r="N73" s="291" t="n"/>
      <c r="O73" s="291" t="n"/>
      <c r="P73" s="291" t="n"/>
      <c r="Q73" s="291" t="n"/>
      <c r="R73" s="291" t="n"/>
      <c r="S73" s="291" t="n"/>
    </row>
    <row r="74" ht="15" customHeight="1" s="249">
      <c r="A74" s="294" t="n">
        <v>46154</v>
      </c>
      <c r="B74" s="291" t="inlineStr">
        <is>
          <t>Latex-01</t>
        </is>
      </c>
      <c r="C74" s="291" t="inlineStr">
        <is>
          <t>Mablay Beauty PVT LTD.</t>
        </is>
      </c>
      <c r="D74" s="291" t="inlineStr">
        <is>
          <t>VINCE HIS BEARD &amp; MUSTACHE COLOR</t>
        </is>
      </c>
      <c r="E74" s="291" t="n">
        <v>20.5</v>
      </c>
      <c r="F74" s="291" t="n">
        <v>6077</v>
      </c>
      <c r="G74" s="292" t="n">
        <v>18360</v>
      </c>
      <c r="H74" s="292" t="n">
        <v>18350</v>
      </c>
      <c r="I74" s="292" t="n">
        <v>10</v>
      </c>
      <c r="J74" s="293">
        <f>IFERROR(I74/(H74+I74),"")</f>
        <v/>
      </c>
      <c r="K74" s="291" t="n"/>
      <c r="L74" s="291" t="n"/>
      <c r="M74" s="291" t="n"/>
      <c r="N74" s="291" t="n"/>
      <c r="O74" s="291" t="n"/>
      <c r="P74" s="291" t="n"/>
      <c r="Q74" s="291" t="n"/>
      <c r="R74" s="291" t="n"/>
      <c r="S74" s="291" t="n"/>
    </row>
    <row r="75" hidden="1" ht="15" customHeight="1" s="249">
      <c r="A75" s="294" t="n">
        <v>46154</v>
      </c>
      <c r="B75" s="291" t="inlineStr">
        <is>
          <t>PF Machine</t>
        </is>
      </c>
      <c r="C75" s="291" t="inlineStr">
        <is>
          <t>Mablay Beauty PVT LTD.</t>
        </is>
      </c>
      <c r="D75" s="291" t="inlineStr">
        <is>
          <t>PET BOTTLE SMALL (130ML) TRANSPARENT</t>
        </is>
      </c>
      <c r="E75" s="291" t="inlineStr">
        <is>
          <t>130 ml</t>
        </is>
      </c>
      <c r="F75" s="291" t="n">
        <v>8010</v>
      </c>
      <c r="G75" s="292" t="n">
        <v>0</v>
      </c>
      <c r="H75" s="292" t="n">
        <v>0</v>
      </c>
      <c r="I75" s="292" t="n">
        <v>0</v>
      </c>
      <c r="J75" s="293">
        <f>IFERROR(I75/(H75+I75),"")</f>
        <v/>
      </c>
      <c r="K75" s="291" t="n"/>
      <c r="L75" s="291" t="n"/>
      <c r="M75" s="291" t="n"/>
      <c r="N75" s="291" t="n"/>
      <c r="O75" s="291" t="n">
        <v>480</v>
      </c>
      <c r="P75" s="291" t="n"/>
      <c r="Q75" s="291" t="n"/>
      <c r="R75" s="291" t="n"/>
      <c r="S75" s="291" t="n"/>
    </row>
    <row r="76" hidden="1" ht="15" customHeight="1" s="249">
      <c r="A76" s="294" t="n">
        <v>46154</v>
      </c>
      <c r="B76" s="291" t="inlineStr">
        <is>
          <t>Press-03</t>
        </is>
      </c>
      <c r="C76" s="291" t="inlineStr">
        <is>
          <t>Adore</t>
        </is>
      </c>
      <c r="D76" s="291" t="inlineStr">
        <is>
          <t>V- HC BROWN</t>
        </is>
      </c>
      <c r="E76" s="291" t="n">
        <v>35</v>
      </c>
      <c r="F76" s="291" t="n">
        <v>6530</v>
      </c>
      <c r="G76" s="292" t="n">
        <v>0</v>
      </c>
      <c r="H76" s="292" t="n">
        <v>0</v>
      </c>
      <c r="I76" s="292" t="n">
        <v>0</v>
      </c>
      <c r="J76" s="293">
        <f>IFERROR(I76/(H76+I76),"")</f>
        <v/>
      </c>
      <c r="K76" s="291" t="n"/>
      <c r="L76" s="291" t="n"/>
      <c r="M76" s="291" t="n"/>
      <c r="N76" s="291" t="n">
        <v>480</v>
      </c>
      <c r="O76" s="291" t="n"/>
      <c r="P76" s="291" t="n"/>
      <c r="Q76" s="291" t="n"/>
      <c r="R76" s="291" t="n"/>
      <c r="S76" s="291" t="n"/>
    </row>
    <row r="77" ht="15" customHeight="1" s="249">
      <c r="A77" s="294" t="n">
        <v>46154</v>
      </c>
      <c r="B77" s="291" t="inlineStr">
        <is>
          <t>Press-04</t>
        </is>
      </c>
      <c r="C77" s="291" t="inlineStr">
        <is>
          <t>Mablay Beauty PVT LTD.</t>
        </is>
      </c>
      <c r="D77" s="291" t="inlineStr">
        <is>
          <t>HIS ONLY HAIR COLOR CREAM 40GM</t>
        </is>
      </c>
      <c r="E77" s="291" t="n">
        <v>25</v>
      </c>
      <c r="F77" s="291" t="n">
        <v>6228</v>
      </c>
      <c r="G77" s="292" t="n">
        <v>18000</v>
      </c>
      <c r="H77" s="292" t="n">
        <v>17890</v>
      </c>
      <c r="I77" s="292" t="n">
        <v>110</v>
      </c>
      <c r="J77" s="293">
        <f>IFERROR(I77/(H77+I77),"")</f>
        <v/>
      </c>
      <c r="K77" s="291" t="n">
        <v>60</v>
      </c>
      <c r="L77" s="291" t="n"/>
      <c r="M77" s="291" t="n"/>
      <c r="N77" s="291" t="n"/>
      <c r="O77" s="291" t="n"/>
      <c r="P77" s="291" t="n"/>
      <c r="Q77" s="291" t="n"/>
      <c r="R77" s="291" t="n"/>
      <c r="S77" s="291" t="n"/>
    </row>
    <row r="78" ht="15" customHeight="1" s="249">
      <c r="A78" s="294" t="n">
        <v>46154</v>
      </c>
      <c r="B78" s="291" t="inlineStr">
        <is>
          <t>Printing-03</t>
        </is>
      </c>
      <c r="C78" s="291" t="inlineStr">
        <is>
          <t>Mablay Beauty PVT LTD.</t>
        </is>
      </c>
      <c r="D78" s="291" t="inlineStr">
        <is>
          <t>HIS ONLY HAIR COLOR CREAM 40GM</t>
        </is>
      </c>
      <c r="E78" s="291" t="n">
        <v>25</v>
      </c>
      <c r="F78" s="291" t="n">
        <v>6228</v>
      </c>
      <c r="G78" s="292" t="n">
        <v>13760</v>
      </c>
      <c r="H78" s="292" t="n">
        <v>13440</v>
      </c>
      <c r="I78" s="292" t="n">
        <v>320</v>
      </c>
      <c r="J78" s="293">
        <f>IFERROR(I78/(H78+I78),"")</f>
        <v/>
      </c>
      <c r="K78" s="291" t="n"/>
      <c r="L78" s="291" t="n"/>
      <c r="M78" s="291" t="n"/>
      <c r="N78" s="291" t="n"/>
      <c r="O78" s="291" t="n">
        <v>180</v>
      </c>
      <c r="P78" s="291" t="n"/>
      <c r="Q78" s="291" t="n"/>
      <c r="R78" s="291" t="n"/>
      <c r="S78" s="291" t="n"/>
    </row>
    <row r="79" hidden="1" ht="15" customHeight="1" s="249">
      <c r="A79" s="294" t="n">
        <v>46154</v>
      </c>
      <c r="B79" s="291" t="inlineStr">
        <is>
          <t>Printing-04</t>
        </is>
      </c>
      <c r="C79" s="291" t="inlineStr">
        <is>
          <t>Samsol International Private Limited</t>
        </is>
      </c>
      <c r="D79" s="291" t="inlineStr">
        <is>
          <t>H.H 100GM</t>
        </is>
      </c>
      <c r="E79" s="291" t="n">
        <v>32</v>
      </c>
      <c r="F79" s="291" t="n">
        <v>6515</v>
      </c>
      <c r="G79" s="292" t="n">
        <v>5811</v>
      </c>
      <c r="H79" s="292" t="n">
        <v>5616</v>
      </c>
      <c r="I79" s="292" t="n">
        <v>195</v>
      </c>
      <c r="J79" s="293">
        <f>IFERROR(I79/(H79+I79),"")</f>
        <v/>
      </c>
      <c r="K79" s="291" t="n"/>
      <c r="L79" s="291" t="n"/>
      <c r="M79" s="291" t="n"/>
      <c r="N79" s="291" t="n">
        <v>60</v>
      </c>
      <c r="O79" s="291" t="n"/>
      <c r="P79" s="291" t="n"/>
      <c r="Q79" s="291" t="n"/>
      <c r="R79" s="291" t="n"/>
      <c r="S79" s="291" t="n"/>
    </row>
    <row r="80" hidden="1" ht="15" customHeight="1" s="249">
      <c r="A80" s="294" t="n">
        <v>46154</v>
      </c>
      <c r="B80" s="291" t="inlineStr">
        <is>
          <t>Printing-04</t>
        </is>
      </c>
      <c r="C80" s="291" t="inlineStr">
        <is>
          <t>Hola Hair</t>
        </is>
      </c>
      <c r="D80" s="291" t="inlineStr">
        <is>
          <t>H.H 100GM (Varnish)</t>
        </is>
      </c>
      <c r="E80" s="291" t="n">
        <v>32</v>
      </c>
      <c r="F80" s="291" t="n"/>
      <c r="G80" s="292" t="n">
        <v>13324</v>
      </c>
      <c r="H80" s="292" t="n">
        <v>13104</v>
      </c>
      <c r="I80" s="292" t="n">
        <v>220</v>
      </c>
      <c r="J80" s="293">
        <f>IFERROR(I80/(H80+I80),"")</f>
        <v/>
      </c>
      <c r="K80" s="291" t="n"/>
      <c r="L80" s="291" t="n"/>
      <c r="M80" s="291" t="n"/>
      <c r="N80" s="291" t="n"/>
      <c r="O80" s="291" t="n"/>
      <c r="P80" s="291" t="n"/>
      <c r="Q80" s="291" t="n"/>
      <c r="R80" s="291" t="n"/>
      <c r="S80" s="291" t="n"/>
    </row>
    <row r="81" ht="15" customHeight="1" s="249">
      <c r="A81" s="294" t="n">
        <v>46155</v>
      </c>
      <c r="B81" s="291" t="inlineStr">
        <is>
          <t>Lacquer-02</t>
        </is>
      </c>
      <c r="C81" s="291" t="inlineStr">
        <is>
          <t>Mablay Beauty PVT LTD.</t>
        </is>
      </c>
      <c r="D81" s="291" t="inlineStr">
        <is>
          <t>HIS ONLY HAIR COLOR CREAM 40GM</t>
        </is>
      </c>
      <c r="E81" s="291" t="n">
        <v>25</v>
      </c>
      <c r="F81" s="291" t="n">
        <v>6228</v>
      </c>
      <c r="G81" s="292" t="n">
        <v>8000</v>
      </c>
      <c r="H81" s="292" t="n">
        <v>7835</v>
      </c>
      <c r="I81" s="292" t="n">
        <v>165</v>
      </c>
      <c r="J81" s="293">
        <f>IFERROR(I81/(H81+I81),"")</f>
        <v/>
      </c>
      <c r="K81" s="291" t="n"/>
      <c r="L81" s="291" t="n"/>
      <c r="M81" s="291" t="n"/>
      <c r="N81" s="291" t="n">
        <v>300</v>
      </c>
      <c r="O81" s="291" t="n"/>
      <c r="P81" s="291" t="n"/>
      <c r="Q81" s="291" t="n"/>
      <c r="R81" s="291" t="n"/>
      <c r="S81" s="291" t="n"/>
    </row>
    <row r="82" ht="15" customHeight="1" s="249">
      <c r="A82" s="294" t="n">
        <v>46155</v>
      </c>
      <c r="B82" s="291" t="inlineStr">
        <is>
          <t>Lacquer-03</t>
        </is>
      </c>
      <c r="C82" s="291" t="inlineStr">
        <is>
          <t>Adore</t>
        </is>
      </c>
      <c r="D82" s="291" t="inlineStr">
        <is>
          <t>V- HC BROWN</t>
        </is>
      </c>
      <c r="E82" s="291" t="n">
        <v>35</v>
      </c>
      <c r="F82" s="291" t="n">
        <v>6530</v>
      </c>
      <c r="G82" s="292" t="n">
        <v>9800</v>
      </c>
      <c r="H82" s="292" t="n">
        <v>9580</v>
      </c>
      <c r="I82" s="292" t="n">
        <v>220</v>
      </c>
      <c r="J82" s="293">
        <f>IFERROR(I82/(H82+I82),"")</f>
        <v/>
      </c>
      <c r="K82" s="291" t="n"/>
      <c r="L82" s="291" t="n"/>
      <c r="M82" s="291" t="n"/>
      <c r="N82" s="291" t="n"/>
      <c r="O82" s="291" t="n">
        <v>240</v>
      </c>
      <c r="P82" s="291" t="n"/>
      <c r="Q82" s="291" t="n"/>
      <c r="R82" s="291" t="n"/>
      <c r="S82" s="291" t="n"/>
    </row>
    <row r="83" ht="15" customHeight="1" s="249">
      <c r="A83" s="294" t="n">
        <v>46155</v>
      </c>
      <c r="B83" s="291" t="inlineStr">
        <is>
          <t>Latex-01</t>
        </is>
      </c>
      <c r="C83" s="291" t="inlineStr">
        <is>
          <t>Samsol International Private Limited</t>
        </is>
      </c>
      <c r="D83" s="291" t="inlineStr">
        <is>
          <t>H.H 100GM</t>
        </is>
      </c>
      <c r="E83" s="291" t="n">
        <v>32</v>
      </c>
      <c r="F83" s="291" t="n">
        <v>6515</v>
      </c>
      <c r="G83" s="292" t="n">
        <v>8320</v>
      </c>
      <c r="H83" s="292" t="n">
        <v>8308</v>
      </c>
      <c r="I83" s="292" t="n">
        <v>12</v>
      </c>
      <c r="J83" s="293">
        <f>IFERROR(I83/(H83+I83),"")</f>
        <v/>
      </c>
      <c r="K83" s="291" t="n"/>
      <c r="L83" s="291" t="n"/>
      <c r="M83" s="291" t="n"/>
      <c r="N83" s="291" t="n"/>
      <c r="O83" s="291" t="n"/>
      <c r="P83" s="291" t="n"/>
      <c r="Q83" s="291" t="n"/>
      <c r="R83" s="291" t="n"/>
      <c r="S83" s="291" t="n"/>
    </row>
    <row r="84" ht="15" customHeight="1" s="249">
      <c r="A84" s="294" t="n">
        <v>46155</v>
      </c>
      <c r="B84" s="291" t="inlineStr">
        <is>
          <t>Latex-01</t>
        </is>
      </c>
      <c r="C84" s="291" t="inlineStr">
        <is>
          <t>Mablay Beauty PVT LTD.</t>
        </is>
      </c>
      <c r="D84" s="291" t="inlineStr">
        <is>
          <t>VINCE HIS BEARD &amp; MUSTACHE COLOR</t>
        </is>
      </c>
      <c r="E84" s="291" t="n">
        <v>20.5</v>
      </c>
      <c r="F84" s="291" t="n">
        <v>6077</v>
      </c>
      <c r="G84" s="292" t="n">
        <v>5000</v>
      </c>
      <c r="H84" s="292" t="n">
        <v>4995</v>
      </c>
      <c r="I84" s="292" t="n">
        <v>5</v>
      </c>
      <c r="J84" s="293">
        <f>IFERROR(I84/(H84+I84),"")</f>
        <v/>
      </c>
      <c r="K84" s="291" t="n"/>
      <c r="L84" s="291" t="n"/>
      <c r="M84" s="291" t="n"/>
      <c r="N84" s="291" t="n"/>
      <c r="O84" s="291" t="n"/>
      <c r="P84" s="291" t="n"/>
      <c r="Q84" s="291" t="n"/>
      <c r="R84" s="291" t="n"/>
      <c r="S84" s="291" t="n"/>
    </row>
    <row r="85" ht="15" customHeight="1" s="249">
      <c r="A85" s="294" t="n">
        <v>46155</v>
      </c>
      <c r="B85" s="291" t="inlineStr">
        <is>
          <t>PF Machine</t>
        </is>
      </c>
      <c r="C85" s="291" t="inlineStr">
        <is>
          <t>Mablay Beauty PVT LTD.</t>
        </is>
      </c>
      <c r="D85" s="291" t="inlineStr">
        <is>
          <t>PET BOTTLE SMALL (130ML) TRANSPARENT</t>
        </is>
      </c>
      <c r="E85" s="291" t="inlineStr">
        <is>
          <t>130 ml</t>
        </is>
      </c>
      <c r="F85" s="291" t="n">
        <v>8010</v>
      </c>
      <c r="G85" s="292" t="n">
        <v>0</v>
      </c>
      <c r="H85" s="292" t="n">
        <v>0</v>
      </c>
      <c r="I85" s="292" t="n">
        <v>0</v>
      </c>
      <c r="J85" s="293">
        <f>IFERROR(I85/(H85+I85),"")</f>
        <v/>
      </c>
      <c r="K85" s="291" t="n"/>
      <c r="L85" s="291" t="n"/>
      <c r="M85" s="291" t="n"/>
      <c r="N85" s="291" t="n"/>
      <c r="O85" s="291" t="n">
        <v>480</v>
      </c>
      <c r="P85" s="291" t="n"/>
      <c r="Q85" s="291" t="n"/>
      <c r="R85" s="291" t="n"/>
      <c r="S85" s="291" t="n"/>
    </row>
    <row r="86" ht="15" customHeight="1" s="249">
      <c r="A86" s="294" t="n">
        <v>46155</v>
      </c>
      <c r="B86" s="291" t="inlineStr">
        <is>
          <t>Press-03</t>
        </is>
      </c>
      <c r="C86" s="291" t="inlineStr">
        <is>
          <t>Adore</t>
        </is>
      </c>
      <c r="D86" s="291" t="inlineStr">
        <is>
          <t>V- HC BROWN</t>
        </is>
      </c>
      <c r="E86" s="291" t="n">
        <v>35</v>
      </c>
      <c r="F86" s="291" t="n">
        <v>6530</v>
      </c>
      <c r="G86" s="292" t="n">
        <v>4500</v>
      </c>
      <c r="H86" s="292" t="n">
        <v>4280</v>
      </c>
      <c r="I86" s="292" t="n">
        <v>220</v>
      </c>
      <c r="J86" s="293">
        <f>IFERROR(I86/(H86+I86),"")</f>
        <v/>
      </c>
      <c r="K86" s="291" t="n"/>
      <c r="L86" s="291" t="n"/>
      <c r="M86" s="291" t="n"/>
      <c r="N86" s="291" t="n"/>
      <c r="O86" s="291" t="n">
        <v>360</v>
      </c>
      <c r="P86" s="291" t="n"/>
      <c r="Q86" s="291" t="n"/>
      <c r="R86" s="291" t="n"/>
      <c r="S86" s="291" t="n"/>
    </row>
    <row r="87" ht="15" customHeight="1" s="249">
      <c r="A87" s="294" t="n">
        <v>46155</v>
      </c>
      <c r="B87" s="291" t="inlineStr">
        <is>
          <t>Press-04</t>
        </is>
      </c>
      <c r="C87" s="291" t="inlineStr">
        <is>
          <t>Mablay Beauty PVT LTD.</t>
        </is>
      </c>
      <c r="D87" s="291" t="inlineStr">
        <is>
          <t>HIS ONLY HAIR COLOR CREAM 40GM</t>
        </is>
      </c>
      <c r="E87" s="291" t="n">
        <v>25</v>
      </c>
      <c r="F87" s="291" t="n">
        <v>6228</v>
      </c>
      <c r="G87" s="292" t="n">
        <v>4600</v>
      </c>
      <c r="H87" s="292" t="n">
        <v>4465</v>
      </c>
      <c r="I87" s="292" t="n">
        <v>135</v>
      </c>
      <c r="J87" s="293">
        <f>IFERROR(I87/(H87+I87),"")</f>
        <v/>
      </c>
      <c r="K87" s="291" t="n"/>
      <c r="L87" s="291" t="n"/>
      <c r="M87" s="291" t="n"/>
      <c r="N87" s="291" t="n">
        <v>330</v>
      </c>
      <c r="O87" s="291" t="n"/>
      <c r="P87" s="291" t="n"/>
      <c r="Q87" s="291" t="n"/>
      <c r="R87" s="291" t="n"/>
      <c r="S87" s="291" t="n"/>
    </row>
    <row r="88" ht="15" customHeight="1" s="249">
      <c r="A88" s="294" t="n">
        <v>46155</v>
      </c>
      <c r="B88" s="291" t="inlineStr">
        <is>
          <t>Printing-03</t>
        </is>
      </c>
      <c r="C88" s="291" t="inlineStr">
        <is>
          <t>Mablay Beauty PVT LTD.</t>
        </is>
      </c>
      <c r="D88" s="291" t="inlineStr">
        <is>
          <t>HIS ONLY HAIR COLOR CREAM 40GM</t>
        </is>
      </c>
      <c r="E88" s="291" t="n">
        <v>25</v>
      </c>
      <c r="F88" s="291" t="n">
        <v>6228</v>
      </c>
      <c r="G88" s="292" t="n">
        <v>8615</v>
      </c>
      <c r="H88" s="292" t="n">
        <v>8400</v>
      </c>
      <c r="I88" s="292" t="n">
        <v>215</v>
      </c>
      <c r="J88" s="293">
        <f>IFERROR(I88/(H88+I88),"")</f>
        <v/>
      </c>
      <c r="K88" s="291" t="n"/>
      <c r="L88" s="291" t="n"/>
      <c r="M88" s="291" t="n"/>
      <c r="N88" s="291" t="n">
        <v>220</v>
      </c>
      <c r="O88" s="291" t="n"/>
      <c r="P88" s="291" t="n"/>
      <c r="Q88" s="291" t="n"/>
      <c r="R88" s="291" t="n"/>
      <c r="S88" s="291" t="n"/>
    </row>
    <row r="89" ht="15" customHeight="1" s="249">
      <c r="A89" s="294" t="n">
        <v>46155</v>
      </c>
      <c r="B89" s="291" t="inlineStr">
        <is>
          <t>Printing-03</t>
        </is>
      </c>
      <c r="C89" s="291" t="inlineStr">
        <is>
          <t>Mablay Beauty PVT LTD.</t>
        </is>
      </c>
      <c r="D89" s="291" t="inlineStr">
        <is>
          <t>HIS ONLY HAIR COLOR CREAM 40GM (Varnish)</t>
        </is>
      </c>
      <c r="E89" s="291" t="n">
        <v>25</v>
      </c>
      <c r="F89" s="291" t="n"/>
      <c r="G89" s="292" t="n">
        <v>2753</v>
      </c>
      <c r="H89" s="292" t="n">
        <v>2688</v>
      </c>
      <c r="I89" s="292" t="n">
        <v>65</v>
      </c>
      <c r="J89" s="293">
        <f>IFERROR(I89/(H89+I89),"")</f>
        <v/>
      </c>
      <c r="K89" s="291" t="n"/>
      <c r="L89" s="291" t="n"/>
      <c r="M89" s="291" t="n"/>
      <c r="N89" s="291" t="n"/>
      <c r="O89" s="291" t="n"/>
      <c r="P89" s="291" t="n"/>
      <c r="Q89" s="291" t="n"/>
      <c r="R89" s="291" t="n"/>
      <c r="S89" s="291" t="n"/>
    </row>
    <row r="90" ht="15" customHeight="1" s="249">
      <c r="A90" s="294" t="n">
        <v>46155</v>
      </c>
      <c r="B90" s="291" t="inlineStr">
        <is>
          <t>Printing-04</t>
        </is>
      </c>
      <c r="C90" s="291" t="inlineStr">
        <is>
          <t>Adore</t>
        </is>
      </c>
      <c r="D90" s="291" t="inlineStr">
        <is>
          <t>V-HC BLACK</t>
        </is>
      </c>
      <c r="E90" s="291" t="n">
        <v>35</v>
      </c>
      <c r="F90" s="291" t="n">
        <v>6531</v>
      </c>
      <c r="G90" s="292" t="n">
        <v>10945</v>
      </c>
      <c r="H90" s="292" t="n">
        <v>10620</v>
      </c>
      <c r="I90" s="292" t="n">
        <v>325</v>
      </c>
      <c r="J90" s="293">
        <f>IFERROR(I90/(H90+I90),"")</f>
        <v/>
      </c>
      <c r="K90" s="291" t="n"/>
      <c r="L90" s="291" t="n"/>
      <c r="M90" s="291" t="n"/>
      <c r="N90" s="291" t="n">
        <v>180</v>
      </c>
      <c r="O90" s="291" t="n"/>
      <c r="P90" s="291" t="n"/>
      <c r="Q90" s="291" t="n"/>
      <c r="R90" s="291" t="n"/>
      <c r="S90" s="291" t="n"/>
    </row>
    <row r="91" ht="15" customHeight="1" s="249">
      <c r="A91" s="294" t="n">
        <v>46155</v>
      </c>
      <c r="B91" s="291" t="inlineStr">
        <is>
          <t>Printing-04</t>
        </is>
      </c>
      <c r="C91" s="291" t="inlineStr">
        <is>
          <t>Adore</t>
        </is>
      </c>
      <c r="D91" s="291" t="inlineStr">
        <is>
          <t>V- HC BROWN</t>
        </is>
      </c>
      <c r="E91" s="291" t="n">
        <v>35</v>
      </c>
      <c r="F91" s="291" t="n">
        <v>6530</v>
      </c>
      <c r="G91" s="292" t="n">
        <v>2630</v>
      </c>
      <c r="H91" s="292" t="n">
        <v>2520</v>
      </c>
      <c r="I91" s="292" t="n">
        <v>110</v>
      </c>
      <c r="J91" s="293">
        <f>IFERROR(I91/(H91+I91),"")</f>
        <v/>
      </c>
      <c r="K91" s="291" t="n"/>
      <c r="L91" s="291" t="n"/>
      <c r="M91" s="291" t="n"/>
      <c r="N91" s="291" t="n"/>
      <c r="O91" s="291" t="n"/>
      <c r="P91" s="291" t="n"/>
      <c r="Q91" s="291" t="n"/>
      <c r="R91" s="291" t="n"/>
      <c r="S91" s="291" t="n"/>
    </row>
    <row r="92" ht="15" customHeight="1" s="249">
      <c r="A92" s="294" t="n">
        <v>46156</v>
      </c>
      <c r="B92" s="291" t="inlineStr">
        <is>
          <t>Lacquer-02</t>
        </is>
      </c>
      <c r="C92" s="291" t="inlineStr">
        <is>
          <t>Mablay Beauty PVT LTD.</t>
        </is>
      </c>
      <c r="D92" s="291" t="inlineStr">
        <is>
          <t>HIS ONLY HAIR COLOR CREAM 40GM</t>
        </is>
      </c>
      <c r="E92" s="291" t="n">
        <v>25</v>
      </c>
      <c r="F92" s="291" t="n">
        <v>6228</v>
      </c>
      <c r="G92" s="292" t="n">
        <v>0</v>
      </c>
      <c r="H92" s="292" t="n">
        <v>0</v>
      </c>
      <c r="I92" s="292" t="n">
        <v>0</v>
      </c>
      <c r="J92" s="293">
        <f>IFERROR(I92/(H92+I92),"")</f>
        <v/>
      </c>
      <c r="K92" s="291" t="n"/>
      <c r="L92" s="291" t="n"/>
      <c r="M92" s="291" t="n"/>
      <c r="N92" s="291" t="n"/>
      <c r="O92" s="291" t="n"/>
      <c r="P92" s="291" t="n"/>
      <c r="Q92" s="291" t="n"/>
      <c r="R92" s="291" t="n"/>
      <c r="S92" s="291" t="n"/>
    </row>
    <row r="93" ht="15" customHeight="1" s="249">
      <c r="A93" s="294" t="n">
        <v>46156</v>
      </c>
      <c r="B93" s="291" t="inlineStr">
        <is>
          <t>Lacquer-03</t>
        </is>
      </c>
      <c r="C93" s="291" t="inlineStr">
        <is>
          <t>Adore</t>
        </is>
      </c>
      <c r="D93" s="291" t="inlineStr">
        <is>
          <t>V- HC BROWN</t>
        </is>
      </c>
      <c r="E93" s="291" t="n">
        <v>35</v>
      </c>
      <c r="F93" s="291" t="n">
        <v>6530</v>
      </c>
      <c r="G93" s="292" t="n">
        <v>0</v>
      </c>
      <c r="H93" s="292" t="n">
        <v>0</v>
      </c>
      <c r="I93" s="292" t="n">
        <v>0</v>
      </c>
      <c r="J93" s="293">
        <f>IFERROR(I93/(H93+I93),"")</f>
        <v/>
      </c>
      <c r="K93" s="291" t="n"/>
      <c r="L93" s="291" t="n"/>
      <c r="M93" s="291" t="n"/>
      <c r="N93" s="291" t="n"/>
      <c r="O93" s="291" t="n"/>
      <c r="P93" s="291" t="n"/>
      <c r="Q93" s="291" t="n"/>
      <c r="R93" s="291" t="n"/>
      <c r="S93" s="291" t="n"/>
    </row>
    <row r="94" ht="15" customHeight="1" s="249">
      <c r="A94" s="294" t="n">
        <v>46156</v>
      </c>
      <c r="B94" s="291" t="inlineStr">
        <is>
          <t>Latex-01</t>
        </is>
      </c>
      <c r="C94" s="291" t="inlineStr">
        <is>
          <t>Samsol International Private Limited</t>
        </is>
      </c>
      <c r="D94" s="291" t="inlineStr">
        <is>
          <t>H.H 100GM</t>
        </is>
      </c>
      <c r="E94" s="291" t="n">
        <v>32</v>
      </c>
      <c r="F94" s="291" t="n">
        <v>6515</v>
      </c>
      <c r="G94" s="292" t="n">
        <v>10000</v>
      </c>
      <c r="H94" s="292" t="n">
        <v>9992</v>
      </c>
      <c r="I94" s="292" t="n">
        <v>8</v>
      </c>
      <c r="J94" s="293">
        <f>IFERROR(I94/(H94+I94),"")</f>
        <v/>
      </c>
      <c r="K94" s="291" t="n"/>
      <c r="L94" s="291" t="n"/>
      <c r="M94" s="291" t="n"/>
      <c r="N94" s="291" t="n"/>
      <c r="O94" s="291" t="n"/>
      <c r="P94" s="291" t="n"/>
      <c r="Q94" s="291" t="n"/>
      <c r="R94" s="291" t="n"/>
      <c r="S94" s="291" t="n"/>
    </row>
    <row r="95" ht="15" customHeight="1" s="249">
      <c r="A95" s="294" t="n">
        <v>46156</v>
      </c>
      <c r="B95" s="291" t="inlineStr">
        <is>
          <t>Latex-01</t>
        </is>
      </c>
      <c r="C95" s="291" t="inlineStr">
        <is>
          <t>Mablay Beauty PVT LTD.</t>
        </is>
      </c>
      <c r="D95" s="291" t="inlineStr">
        <is>
          <t>HIS ONLY HAIR COLOR CREAM 40GM</t>
        </is>
      </c>
      <c r="E95" s="291" t="n">
        <v>25</v>
      </c>
      <c r="F95" s="291" t="n">
        <v>6228</v>
      </c>
      <c r="G95" s="292" t="n">
        <v>3536</v>
      </c>
      <c r="H95" s="292" t="n">
        <v>3536</v>
      </c>
      <c r="I95" s="292" t="n">
        <v>0</v>
      </c>
      <c r="J95" s="293">
        <f>IFERROR(I95/(H95+I95),"")</f>
        <v/>
      </c>
      <c r="K95" s="291" t="n"/>
      <c r="L95" s="291" t="n"/>
      <c r="M95" s="291" t="n"/>
      <c r="N95" s="291" t="n"/>
      <c r="O95" s="291" t="n"/>
      <c r="P95" s="291" t="n"/>
      <c r="Q95" s="291" t="n"/>
      <c r="R95" s="291" t="n"/>
      <c r="S95" s="291" t="n"/>
    </row>
    <row r="96" ht="15" customHeight="1" s="249">
      <c r="A96" s="294" t="n">
        <v>46156</v>
      </c>
      <c r="B96" s="291" t="inlineStr">
        <is>
          <t>PF Machine</t>
        </is>
      </c>
      <c r="C96" s="291" t="inlineStr">
        <is>
          <t>Mablay Beauty PVT LTD.</t>
        </is>
      </c>
      <c r="D96" s="291" t="inlineStr">
        <is>
          <t>PET BOTTLE SMALL (130ML) TRANSPARENT</t>
        </is>
      </c>
      <c r="E96" s="291" t="inlineStr">
        <is>
          <t>130 ml</t>
        </is>
      </c>
      <c r="F96" s="291" t="n">
        <v>8010</v>
      </c>
      <c r="G96" s="292" t="n">
        <v>0</v>
      </c>
      <c r="H96" s="292" t="n">
        <v>0</v>
      </c>
      <c r="I96" s="292" t="n">
        <v>0</v>
      </c>
      <c r="J96" s="293">
        <f>IFERROR(I96/(H96+I96),"")</f>
        <v/>
      </c>
      <c r="K96" s="291" t="n"/>
      <c r="L96" s="291" t="n"/>
      <c r="M96" s="291" t="n"/>
      <c r="N96" s="291" t="n"/>
      <c r="O96" s="291" t="n">
        <v>480</v>
      </c>
      <c r="P96" s="291" t="n"/>
      <c r="Q96" s="291" t="n"/>
      <c r="R96" s="291" t="n"/>
      <c r="S96" s="291" t="n"/>
    </row>
    <row r="97" ht="15" customHeight="1" s="249">
      <c r="A97" s="294" t="n">
        <v>46156</v>
      </c>
      <c r="B97" s="291" t="inlineStr">
        <is>
          <t>Press-03</t>
        </is>
      </c>
      <c r="C97" s="291" t="inlineStr">
        <is>
          <t>Adore</t>
        </is>
      </c>
      <c r="D97" s="291" t="inlineStr">
        <is>
          <t>V- HC BROWN</t>
        </is>
      </c>
      <c r="E97" s="291" t="n">
        <v>35</v>
      </c>
      <c r="F97" s="291" t="n">
        <v>6530</v>
      </c>
      <c r="G97" s="292" t="n">
        <v>0</v>
      </c>
      <c r="H97" s="292" t="n">
        <v>0</v>
      </c>
      <c r="I97" s="292" t="n">
        <v>0</v>
      </c>
      <c r="J97" s="293">
        <f>IFERROR(I97/(H97+I97),"")</f>
        <v/>
      </c>
      <c r="K97" s="291" t="n"/>
      <c r="L97" s="291" t="n"/>
      <c r="M97" s="291" t="n"/>
      <c r="N97" s="291" t="n"/>
      <c r="O97" s="291" t="n"/>
      <c r="P97" s="291" t="n"/>
      <c r="Q97" s="291" t="n"/>
      <c r="R97" s="291" t="n"/>
      <c r="S97" s="291" t="n"/>
    </row>
    <row r="98" ht="15" customHeight="1" s="249">
      <c r="A98" s="294" t="n">
        <v>46156</v>
      </c>
      <c r="B98" s="291" t="inlineStr">
        <is>
          <t>Press-04</t>
        </is>
      </c>
      <c r="C98" s="291" t="inlineStr">
        <is>
          <t>Mablay Beauty PVT LTD.</t>
        </is>
      </c>
      <c r="D98" s="291" t="inlineStr">
        <is>
          <t>HIS ONLY HAIR COLOR CREAM 40GM</t>
        </is>
      </c>
      <c r="E98" s="291" t="n">
        <v>25</v>
      </c>
      <c r="F98" s="291" t="n">
        <v>6228</v>
      </c>
      <c r="G98" s="292" t="n">
        <v>0</v>
      </c>
      <c r="H98" s="292" t="n">
        <v>0</v>
      </c>
      <c r="I98" s="292" t="n">
        <v>0</v>
      </c>
      <c r="J98" s="293">
        <f>IFERROR(I98/(H98+I98),"")</f>
        <v/>
      </c>
      <c r="K98" s="291" t="n"/>
      <c r="L98" s="291" t="n"/>
      <c r="M98" s="291" t="n"/>
      <c r="N98" s="291" t="n"/>
      <c r="O98" s="291" t="n"/>
      <c r="P98" s="291" t="n"/>
      <c r="Q98" s="291" t="n"/>
      <c r="R98" s="291" t="n"/>
      <c r="S98" s="291" t="n"/>
    </row>
    <row r="99" ht="15" customHeight="1" s="249">
      <c r="A99" s="294" t="n">
        <v>46156</v>
      </c>
      <c r="B99" s="291" t="inlineStr">
        <is>
          <t>Printing-03</t>
        </is>
      </c>
      <c r="C99" s="291" t="inlineStr">
        <is>
          <t>Mablay Beauty PVT LTD.</t>
        </is>
      </c>
      <c r="D99" s="291" t="inlineStr">
        <is>
          <t>HIS ONLY HAIR COLOR CREAM 40GM (Varnish)</t>
        </is>
      </c>
      <c r="E99" s="291" t="n">
        <v>25</v>
      </c>
      <c r="F99" s="291" t="n"/>
      <c r="G99" s="292" t="n">
        <v>19908</v>
      </c>
      <c r="H99" s="292" t="n">
        <v>19843</v>
      </c>
      <c r="I99" s="292" t="n">
        <v>65</v>
      </c>
      <c r="J99" s="293">
        <f>IFERROR(I99/(H99+I99),"")</f>
        <v/>
      </c>
      <c r="K99" s="291" t="n"/>
      <c r="L99" s="291" t="n"/>
      <c r="M99" s="291" t="n"/>
      <c r="N99" s="291" t="n"/>
      <c r="O99" s="291" t="n"/>
      <c r="P99" s="291" t="n"/>
      <c r="Q99" s="291" t="n"/>
      <c r="R99" s="291" t="n"/>
      <c r="S99" s="291" t="n"/>
    </row>
    <row r="100" ht="15" customHeight="1" s="249">
      <c r="A100" s="294" t="n">
        <v>46156</v>
      </c>
      <c r="B100" s="291" t="inlineStr">
        <is>
          <t>Printing-04</t>
        </is>
      </c>
      <c r="C100" s="291" t="inlineStr">
        <is>
          <t>Adore</t>
        </is>
      </c>
      <c r="D100" s="291" t="inlineStr">
        <is>
          <t>V- HC BROWN</t>
        </is>
      </c>
      <c r="E100" s="291" t="n">
        <v>35</v>
      </c>
      <c r="F100" s="291" t="n">
        <v>6530</v>
      </c>
      <c r="G100" s="292" t="n">
        <v>8640</v>
      </c>
      <c r="H100" s="292" t="n">
        <v>8590</v>
      </c>
      <c r="I100" s="292" t="n">
        <v>50</v>
      </c>
      <c r="J100" s="293">
        <f>IFERROR(I100/(H100+I100),"")</f>
        <v/>
      </c>
      <c r="K100" s="291" t="n"/>
      <c r="L100" s="291" t="n"/>
      <c r="M100" s="291" t="n"/>
      <c r="N100" s="291" t="n"/>
      <c r="O100" s="291" t="n"/>
      <c r="P100" s="291" t="n"/>
      <c r="Q100" s="291" t="n"/>
      <c r="R100" s="291" t="n"/>
      <c r="S100" s="291" t="n"/>
    </row>
    <row r="101" ht="15" customHeight="1" s="249">
      <c r="A101" s="294" t="n">
        <v>46157</v>
      </c>
      <c r="B101" s="291" t="inlineStr">
        <is>
          <t>Lacquer-02</t>
        </is>
      </c>
      <c r="C101" s="291" t="inlineStr">
        <is>
          <t>Golden Pearl Cosmetics (PVT) LTD</t>
        </is>
      </c>
      <c r="D101" s="291" t="inlineStr">
        <is>
          <t>HELLO HAIR COLOR</t>
        </is>
      </c>
      <c r="E101" s="291" t="n">
        <v>30</v>
      </c>
      <c r="F101" s="291" t="n">
        <v>6206</v>
      </c>
      <c r="G101" s="292" t="n">
        <v>0</v>
      </c>
      <c r="H101" s="292" t="n">
        <v>0</v>
      </c>
      <c r="I101" s="292" t="n">
        <v>0</v>
      </c>
      <c r="J101" s="293">
        <f>IFERROR(I101/(H101+I101),"")</f>
        <v/>
      </c>
      <c r="K101" s="291" t="n"/>
      <c r="L101" s="291" t="n"/>
      <c r="M101" s="291" t="n"/>
      <c r="N101" s="291" t="n"/>
      <c r="O101" s="291" t="n"/>
      <c r="P101" s="291" t="n"/>
      <c r="Q101" s="291" t="n"/>
      <c r="R101" s="291" t="n"/>
      <c r="S101" s="291" t="n"/>
    </row>
    <row r="102" ht="15" customHeight="1" s="249">
      <c r="A102" s="294" t="n">
        <v>46157</v>
      </c>
      <c r="B102" s="291" t="inlineStr">
        <is>
          <t>Lacquer-03</t>
        </is>
      </c>
      <c r="C102" s="291" t="inlineStr">
        <is>
          <t>Samsol International Private Limited</t>
        </is>
      </c>
      <c r="D102" s="291" t="inlineStr">
        <is>
          <t>TUBES COMMON RED</t>
        </is>
      </c>
      <c r="E102" s="291" t="n">
        <v>25</v>
      </c>
      <c r="F102" s="291" t="n">
        <v>6470</v>
      </c>
      <c r="G102" s="292" t="n">
        <v>0</v>
      </c>
      <c r="H102" s="292" t="n">
        <v>0</v>
      </c>
      <c r="I102" s="292" t="n">
        <v>0</v>
      </c>
      <c r="J102" s="293">
        <f>IFERROR(I102/(H102+I102),"")</f>
        <v/>
      </c>
      <c r="K102" s="291" t="n"/>
      <c r="L102" s="291" t="n"/>
      <c r="M102" s="291" t="n"/>
      <c r="N102" s="291" t="n"/>
      <c r="O102" s="291" t="n"/>
      <c r="P102" s="291" t="n"/>
      <c r="Q102" s="291" t="n"/>
      <c r="R102" s="291" t="n"/>
      <c r="S102" s="291" t="n"/>
    </row>
    <row r="103" ht="15" customHeight="1" s="249">
      <c r="A103" s="294" t="n">
        <v>46157</v>
      </c>
      <c r="B103" s="291" t="inlineStr">
        <is>
          <t>Latex-01</t>
        </is>
      </c>
      <c r="C103" s="291" t="inlineStr">
        <is>
          <t>Mablay Beauty PVT LTD.</t>
        </is>
      </c>
      <c r="D103" s="291" t="inlineStr">
        <is>
          <t>HIS ONLY HAIR COLOR CREAM 40GM</t>
        </is>
      </c>
      <c r="E103" s="291" t="n">
        <v>25</v>
      </c>
      <c r="F103" s="291" t="n">
        <v>6228</v>
      </c>
      <c r="G103" s="292" t="n">
        <v>0</v>
      </c>
      <c r="H103" s="292" t="n">
        <v>0</v>
      </c>
      <c r="I103" s="292" t="n">
        <v>0</v>
      </c>
      <c r="J103" s="293">
        <f>IFERROR(I103/(H103+I103),"")</f>
        <v/>
      </c>
      <c r="K103" s="291" t="n"/>
      <c r="L103" s="291" t="n"/>
      <c r="M103" s="291" t="n"/>
      <c r="N103" s="291" t="n"/>
      <c r="O103" s="291" t="n"/>
      <c r="P103" s="291" t="n"/>
      <c r="Q103" s="291" t="n"/>
      <c r="R103" s="291" t="n"/>
      <c r="S103" s="291" t="n"/>
    </row>
    <row r="104" ht="15" customHeight="1" s="249">
      <c r="A104" s="294" t="n">
        <v>46157</v>
      </c>
      <c r="B104" s="291" t="inlineStr">
        <is>
          <t>PF Machine</t>
        </is>
      </c>
      <c r="C104" s="291" t="inlineStr">
        <is>
          <t>Mablay Beauty PVT LTD.</t>
        </is>
      </c>
      <c r="D104" s="291" t="inlineStr">
        <is>
          <t>PET BOTTLE SMALL (130ML) TRANSPARENT</t>
        </is>
      </c>
      <c r="E104" s="291" t="inlineStr">
        <is>
          <t>130 ml</t>
        </is>
      </c>
      <c r="F104" s="291" t="n">
        <v>8010</v>
      </c>
      <c r="G104" s="292" t="n">
        <v>0</v>
      </c>
      <c r="H104" s="292" t="n">
        <v>0</v>
      </c>
      <c r="I104" s="292" t="n">
        <v>0</v>
      </c>
      <c r="J104" s="293">
        <f>IFERROR(I104/(H104+I104),"")</f>
        <v/>
      </c>
      <c r="K104" s="291" t="n"/>
      <c r="L104" s="291" t="n"/>
      <c r="M104" s="291" t="n"/>
      <c r="N104" s="291" t="n"/>
      <c r="O104" s="291" t="n"/>
      <c r="P104" s="291" t="n"/>
      <c r="Q104" s="291" t="n"/>
      <c r="R104" s="291" t="n"/>
      <c r="S104" s="291" t="n"/>
    </row>
    <row r="105" ht="15" customHeight="1" s="249">
      <c r="A105" s="294" t="n">
        <v>46157</v>
      </c>
      <c r="B105" s="291" t="inlineStr">
        <is>
          <t>Press-03</t>
        </is>
      </c>
      <c r="C105" s="291" t="inlineStr">
        <is>
          <t>Golden Pearl Cosmetics (PVT) LTD</t>
        </is>
      </c>
      <c r="D105" s="291" t="inlineStr">
        <is>
          <t>HELLO HAIR COLOR</t>
        </is>
      </c>
      <c r="E105" s="291" t="n">
        <v>30</v>
      </c>
      <c r="F105" s="291" t="n">
        <v>6206</v>
      </c>
      <c r="G105" s="292" t="n">
        <v>0</v>
      </c>
      <c r="H105" s="292" t="n">
        <v>0</v>
      </c>
      <c r="I105" s="292" t="n">
        <v>0</v>
      </c>
      <c r="J105" s="293">
        <f>IFERROR(I105/(H105+I105),"")</f>
        <v/>
      </c>
      <c r="K105" s="291" t="n"/>
      <c r="L105" s="291" t="n"/>
      <c r="M105" s="291" t="n"/>
      <c r="N105" s="291" t="n"/>
      <c r="O105" s="291" t="n"/>
      <c r="P105" s="291" t="n"/>
      <c r="Q105" s="291" t="n"/>
      <c r="R105" s="291" t="n"/>
      <c r="S105" s="291" t="n"/>
    </row>
    <row r="106" ht="15" customHeight="1" s="249">
      <c r="A106" s="294" t="n">
        <v>46157</v>
      </c>
      <c r="B106" s="291" t="inlineStr">
        <is>
          <t>Press-06</t>
        </is>
      </c>
      <c r="C106" s="291" t="inlineStr">
        <is>
          <t>Samsol International Private Limited</t>
        </is>
      </c>
      <c r="D106" s="291" t="inlineStr">
        <is>
          <t>TUBES COMMON RED</t>
        </is>
      </c>
      <c r="E106" s="291" t="n">
        <v>25</v>
      </c>
      <c r="F106" s="291" t="n">
        <v>6470</v>
      </c>
      <c r="G106" s="292" t="n">
        <v>0</v>
      </c>
      <c r="H106" s="292" t="n">
        <v>0</v>
      </c>
      <c r="I106" s="292" t="n">
        <v>0</v>
      </c>
      <c r="J106" s="293">
        <f>IFERROR(I106/(H106+I106),"")</f>
        <v/>
      </c>
      <c r="K106" s="291" t="n"/>
      <c r="L106" s="291" t="n"/>
      <c r="M106" s="291" t="n"/>
      <c r="N106" s="291" t="n"/>
      <c r="O106" s="291" t="n"/>
      <c r="P106" s="291" t="n"/>
      <c r="Q106" s="291" t="n"/>
      <c r="R106" s="291" t="n"/>
      <c r="S106" s="291" t="n"/>
    </row>
    <row r="107" ht="15" customHeight="1" s="249">
      <c r="A107" s="294" t="n">
        <v>46157</v>
      </c>
      <c r="B107" s="291" t="inlineStr">
        <is>
          <t>Printing-03</t>
        </is>
      </c>
      <c r="C107" s="291" t="inlineStr">
        <is>
          <t>Mablay Beauty PVT LTD.</t>
        </is>
      </c>
      <c r="D107" s="291" t="inlineStr">
        <is>
          <t>VINCE NURTURAL (Varnish)</t>
        </is>
      </c>
      <c r="E107" s="291" t="n">
        <v>30</v>
      </c>
      <c r="F107" s="291" t="n"/>
      <c r="G107" s="292" t="n">
        <v>12641</v>
      </c>
      <c r="H107" s="292" t="n">
        <v>12376</v>
      </c>
      <c r="I107" s="292" t="n">
        <v>265</v>
      </c>
      <c r="J107" s="293">
        <f>IFERROR(I107/(H107+I107),"")</f>
        <v/>
      </c>
      <c r="K107" s="291" t="n"/>
      <c r="L107" s="291" t="n"/>
      <c r="M107" s="291" t="n"/>
      <c r="N107" s="291" t="n"/>
      <c r="O107" s="291" t="n"/>
      <c r="P107" s="291" t="n"/>
      <c r="Q107" s="291" t="n"/>
      <c r="R107" s="291" t="n"/>
      <c r="S107" s="291" t="n"/>
    </row>
    <row r="108" ht="15" customHeight="1" s="249">
      <c r="A108" s="294" t="n">
        <v>46157</v>
      </c>
      <c r="B108" s="291" t="inlineStr">
        <is>
          <t>Printing-04</t>
        </is>
      </c>
      <c r="C108" s="291" t="inlineStr">
        <is>
          <t>Golden Pearl Cosmetics (PVT) LTD</t>
        </is>
      </c>
      <c r="D108" s="291" t="inlineStr">
        <is>
          <t>HELLO HAIR COLOR</t>
        </is>
      </c>
      <c r="E108" s="291" t="n">
        <v>30</v>
      </c>
      <c r="F108" s="291" t="n">
        <v>6206</v>
      </c>
      <c r="G108" s="292" t="n">
        <v>0</v>
      </c>
      <c r="H108" s="292" t="n">
        <v>0</v>
      </c>
      <c r="I108" s="292" t="n">
        <v>0</v>
      </c>
      <c r="J108" s="293">
        <f>IFERROR(I108/(H108+I108),"")</f>
        <v/>
      </c>
      <c r="K108" s="291" t="n"/>
      <c r="L108" s="291" t="n"/>
      <c r="M108" s="291" t="n"/>
      <c r="N108" s="291" t="n"/>
      <c r="O108" s="291" t="n"/>
      <c r="P108" s="291" t="n"/>
      <c r="Q108" s="291" t="n"/>
      <c r="R108" s="291" t="n"/>
      <c r="S108" s="291" t="n"/>
    </row>
    <row r="109" ht="15" customHeight="1" s="249">
      <c r="A109" s="294" t="n">
        <v>46158</v>
      </c>
      <c r="B109" s="291" t="inlineStr">
        <is>
          <t>Lacquer-02</t>
        </is>
      </c>
      <c r="C109" s="291" t="inlineStr">
        <is>
          <t>Golden Pearl Cosmetics (PVT) LTD</t>
        </is>
      </c>
      <c r="D109" s="291" t="inlineStr">
        <is>
          <t>HELLO HAIR COLOR</t>
        </is>
      </c>
      <c r="E109" s="291" t="n">
        <v>30</v>
      </c>
      <c r="F109" s="291" t="n">
        <v>6206</v>
      </c>
      <c r="G109" s="292" t="n">
        <v>800</v>
      </c>
      <c r="H109" s="292" t="n">
        <v>785</v>
      </c>
      <c r="I109" s="292" t="n">
        <v>15</v>
      </c>
      <c r="J109" s="293">
        <f>IFERROR(I109/(H109+I109),"")</f>
        <v/>
      </c>
      <c r="K109" s="291" t="n"/>
      <c r="L109" s="291" t="n"/>
      <c r="M109" s="291" t="n"/>
      <c r="N109" s="291" t="n"/>
      <c r="O109" s="291" t="n"/>
      <c r="P109" s="291" t="n"/>
      <c r="Q109" s="291" t="n"/>
      <c r="R109" s="291" t="n"/>
      <c r="S109" s="291" t="n"/>
    </row>
    <row r="110" ht="15" customHeight="1" s="249">
      <c r="A110" s="294" t="n">
        <v>46158</v>
      </c>
      <c r="B110" s="291" t="inlineStr">
        <is>
          <t>Lacquer-03</t>
        </is>
      </c>
      <c r="C110" s="291" t="inlineStr">
        <is>
          <t>Samsol International Private Limited</t>
        </is>
      </c>
      <c r="D110" s="291" t="inlineStr">
        <is>
          <t>TUBES COMMON RED</t>
        </is>
      </c>
      <c r="E110" s="291" t="n">
        <v>25</v>
      </c>
      <c r="F110" s="291" t="n">
        <v>6470</v>
      </c>
      <c r="G110" s="292" t="n">
        <v>6000</v>
      </c>
      <c r="H110" s="292" t="n">
        <v>5865</v>
      </c>
      <c r="I110" s="292" t="n">
        <v>135</v>
      </c>
      <c r="J110" s="293">
        <f>IFERROR(I110/(H110+I110),"")</f>
        <v/>
      </c>
      <c r="K110" s="291" t="n"/>
      <c r="L110" s="291" t="n"/>
      <c r="M110" s="291" t="n"/>
      <c r="N110" s="291" t="n"/>
      <c r="O110" s="291" t="n"/>
      <c r="P110" s="291" t="n"/>
      <c r="Q110" s="291" t="n"/>
      <c r="R110" s="291" t="n"/>
      <c r="S110" s="291" t="n"/>
    </row>
    <row r="111" ht="15" customHeight="1" s="249">
      <c r="A111" s="294" t="n">
        <v>46158</v>
      </c>
      <c r="B111" s="291" t="inlineStr">
        <is>
          <t>Latex-01</t>
        </is>
      </c>
      <c r="C111" s="291" t="inlineStr">
        <is>
          <t>Mablay Beauty PVT LTD.</t>
        </is>
      </c>
      <c r="D111" s="291" t="inlineStr">
        <is>
          <t>HIS ONLY HAIR COLOR CREAM 40GM</t>
        </is>
      </c>
      <c r="E111" s="291" t="n">
        <v>25</v>
      </c>
      <c r="F111" s="291" t="n">
        <v>6228</v>
      </c>
      <c r="G111" s="292" t="n">
        <v>5000</v>
      </c>
      <c r="H111" s="292" t="n">
        <v>4995</v>
      </c>
      <c r="I111" s="292" t="n">
        <v>5</v>
      </c>
      <c r="J111" s="293">
        <f>IFERROR(I111/(H111+I111),"")</f>
        <v/>
      </c>
      <c r="K111" s="291" t="n"/>
      <c r="L111" s="291" t="n"/>
      <c r="M111" s="291" t="n"/>
      <c r="N111" s="291" t="n"/>
      <c r="O111" s="291" t="n"/>
      <c r="P111" s="291" t="n"/>
      <c r="Q111" s="291" t="n"/>
      <c r="R111" s="291" t="n"/>
      <c r="S111" s="291" t="n"/>
    </row>
    <row r="112" ht="15" customHeight="1" s="249">
      <c r="A112" s="294" t="n">
        <v>46158</v>
      </c>
      <c r="B112" s="291" t="inlineStr">
        <is>
          <t>PF Machine</t>
        </is>
      </c>
      <c r="C112" s="291" t="inlineStr">
        <is>
          <t>Mablay Beauty PVT LTD.</t>
        </is>
      </c>
      <c r="D112" s="291" t="inlineStr">
        <is>
          <t>PET BOTTLE SMALL (130ML) TRANSPARENT</t>
        </is>
      </c>
      <c r="E112" s="291" t="inlineStr">
        <is>
          <t>130 ml</t>
        </is>
      </c>
      <c r="F112" s="291" t="n">
        <v>8010</v>
      </c>
      <c r="G112" s="292" t="n">
        <v>4665</v>
      </c>
      <c r="H112" s="292" t="n">
        <v>3565</v>
      </c>
      <c r="I112" s="292" t="n">
        <v>1100</v>
      </c>
      <c r="J112" s="293">
        <f>IFERROR(I112/(H112+I112),"")</f>
        <v/>
      </c>
      <c r="K112" s="291" t="n"/>
      <c r="L112" s="291" t="n"/>
      <c r="M112" s="291" t="n"/>
      <c r="N112" s="291" t="n"/>
      <c r="O112" s="291" t="n"/>
      <c r="P112" s="291" t="n"/>
      <c r="Q112" s="291" t="n"/>
      <c r="R112" s="291" t="n"/>
      <c r="S112" s="291" t="n"/>
    </row>
    <row r="113" ht="15" customHeight="1" s="249">
      <c r="A113" s="294" t="n">
        <v>46158</v>
      </c>
      <c r="B113" s="291" t="inlineStr">
        <is>
          <t>Press-03</t>
        </is>
      </c>
      <c r="C113" s="291" t="inlineStr">
        <is>
          <t>Golden Pearl Cosmetics (PVT) LTD</t>
        </is>
      </c>
      <c r="D113" s="291" t="inlineStr">
        <is>
          <t>HELLO HAIR COLOR</t>
        </is>
      </c>
      <c r="E113" s="291" t="n">
        <v>30</v>
      </c>
      <c r="F113" s="291" t="n">
        <v>6206</v>
      </c>
      <c r="G113" s="292" t="n">
        <v>11000</v>
      </c>
      <c r="H113" s="292" t="n">
        <v>10880</v>
      </c>
      <c r="I113" s="292" t="n">
        <v>120</v>
      </c>
      <c r="J113" s="293">
        <f>IFERROR(I113/(H113+I113),"")</f>
        <v/>
      </c>
      <c r="K113" s="291" t="n"/>
      <c r="L113" s="291" t="n"/>
      <c r="M113" s="291" t="n"/>
      <c r="N113" s="291" t="n"/>
      <c r="O113" s="291" t="n"/>
      <c r="P113" s="291" t="n"/>
      <c r="Q113" s="291" t="n"/>
      <c r="R113" s="291" t="n"/>
      <c r="S113" s="291" t="n"/>
    </row>
    <row r="114" ht="15" customHeight="1" s="249">
      <c r="A114" s="294" t="n">
        <v>46158</v>
      </c>
      <c r="B114" s="291" t="inlineStr">
        <is>
          <t>Press-06</t>
        </is>
      </c>
      <c r="C114" s="291" t="inlineStr">
        <is>
          <t>Samsol International Private Limited</t>
        </is>
      </c>
      <c r="D114" s="291" t="inlineStr">
        <is>
          <t>TUBES COMMON RED</t>
        </is>
      </c>
      <c r="E114" s="291" t="n">
        <v>25</v>
      </c>
      <c r="F114" s="291" t="n">
        <v>6470</v>
      </c>
      <c r="G114" s="292" t="n">
        <v>9000</v>
      </c>
      <c r="H114" s="292" t="n">
        <v>8905</v>
      </c>
      <c r="I114" s="292" t="n">
        <v>95</v>
      </c>
      <c r="J114" s="293">
        <f>IFERROR(I114/(H114+I114),"")</f>
        <v/>
      </c>
      <c r="K114" s="291" t="n"/>
      <c r="L114" s="291" t="n"/>
      <c r="M114" s="291" t="n"/>
      <c r="N114" s="291" t="n"/>
      <c r="O114" s="291" t="n"/>
      <c r="P114" s="291" t="n"/>
      <c r="Q114" s="291" t="n"/>
      <c r="R114" s="291" t="n"/>
      <c r="S114" s="291" t="n"/>
    </row>
    <row r="115" ht="15" customHeight="1" s="249">
      <c r="A115" s="294" t="n">
        <v>46158</v>
      </c>
      <c r="B115" s="291" t="inlineStr">
        <is>
          <t>Printing-03</t>
        </is>
      </c>
      <c r="C115" s="291" t="inlineStr">
        <is>
          <t>Mablay Beauty PVT LTD.</t>
        </is>
      </c>
      <c r="D115" s="291" t="inlineStr">
        <is>
          <t>VINCE NURTURAL (Varnish)</t>
        </is>
      </c>
      <c r="E115" s="291" t="n">
        <v>30</v>
      </c>
      <c r="F115" s="291" t="n"/>
      <c r="G115" s="292" t="n">
        <v>9642</v>
      </c>
      <c r="H115" s="292" t="n">
        <v>9282</v>
      </c>
      <c r="I115" s="292" t="n">
        <v>360</v>
      </c>
      <c r="J115" s="293">
        <f>IFERROR(I115/(H115+I115),"")</f>
        <v/>
      </c>
      <c r="K115" s="291" t="n"/>
      <c r="L115" s="291" t="n"/>
      <c r="M115" s="291" t="n"/>
      <c r="N115" s="291" t="n"/>
      <c r="O115" s="291" t="n"/>
      <c r="P115" s="291" t="n"/>
      <c r="Q115" s="291" t="n"/>
      <c r="R115" s="291" t="n"/>
      <c r="S115" s="291" t="n"/>
    </row>
    <row r="116" ht="15" customHeight="1" s="249">
      <c r="A116" s="294" t="n">
        <v>46158</v>
      </c>
      <c r="B116" s="291" t="inlineStr">
        <is>
          <t>Printing-04</t>
        </is>
      </c>
      <c r="C116" s="291" t="inlineStr">
        <is>
          <t>Golden Pearl Cosmetics (PVT) LTD</t>
        </is>
      </c>
      <c r="D116" s="291" t="inlineStr">
        <is>
          <t>HELLO HAIR COLOR</t>
        </is>
      </c>
      <c r="E116" s="291" t="n">
        <v>30</v>
      </c>
      <c r="F116" s="291" t="n">
        <v>6206</v>
      </c>
      <c r="G116" s="292" t="n">
        <v>3730</v>
      </c>
      <c r="H116" s="292" t="n">
        <v>3570</v>
      </c>
      <c r="I116" s="292" t="n">
        <v>160</v>
      </c>
      <c r="J116" s="293">
        <f>IFERROR(I116/(H116+I116),"")</f>
        <v/>
      </c>
      <c r="K116" s="291" t="n"/>
      <c r="L116" s="291" t="n"/>
      <c r="M116" s="291" t="n"/>
      <c r="N116" s="291" t="n"/>
      <c r="O116" s="291" t="n"/>
      <c r="P116" s="291" t="n"/>
      <c r="Q116" s="291" t="n"/>
      <c r="R116" s="291" t="n"/>
      <c r="S116" s="291" t="n"/>
    </row>
    <row r="117" ht="15" customHeight="1" s="249">
      <c r="A117" s="294" t="n">
        <v>46160</v>
      </c>
      <c r="B117" s="291" t="inlineStr">
        <is>
          <t>Lacquer-02</t>
        </is>
      </c>
      <c r="C117" s="291" t="inlineStr">
        <is>
          <t>Golden Pearl Cosmetics (PVT) LTD</t>
        </is>
      </c>
      <c r="D117" s="291" t="inlineStr">
        <is>
          <t>HELLO HAIR COLOR</t>
        </is>
      </c>
      <c r="E117" s="291" t="n">
        <v>30</v>
      </c>
      <c r="F117" s="291" t="n">
        <v>6206</v>
      </c>
      <c r="G117" s="292" t="n">
        <v>10000</v>
      </c>
      <c r="H117" s="292" t="n">
        <v>9790</v>
      </c>
      <c r="I117" s="292" t="n">
        <v>210</v>
      </c>
      <c r="J117" s="293">
        <f>IFERROR(I117/(H117+I117),"")</f>
        <v/>
      </c>
      <c r="K117" s="291" t="n">
        <v>240</v>
      </c>
      <c r="L117" s="291" t="n"/>
      <c r="M117" s="291" t="n"/>
      <c r="N117" s="291" t="n"/>
      <c r="O117" s="291" t="n"/>
      <c r="P117" s="291" t="n"/>
      <c r="Q117" s="291" t="n"/>
      <c r="R117" s="291" t="n"/>
      <c r="S117" s="291" t="n"/>
    </row>
    <row r="118" ht="15" customHeight="1" s="249">
      <c r="A118" s="294" t="n">
        <v>46160</v>
      </c>
      <c r="B118" s="291" t="inlineStr">
        <is>
          <t>Lacquer-03</t>
        </is>
      </c>
      <c r="C118" s="291" t="inlineStr">
        <is>
          <t>Samsol International Private Limited</t>
        </is>
      </c>
      <c r="D118" s="291" t="inlineStr">
        <is>
          <t>TUBES COMMON RED</t>
        </is>
      </c>
      <c r="E118" s="291" t="n">
        <v>25</v>
      </c>
      <c r="F118" s="291" t="n">
        <v>6470</v>
      </c>
      <c r="G118" s="292" t="n">
        <v>9000</v>
      </c>
      <c r="H118" s="292" t="n">
        <v>8805</v>
      </c>
      <c r="I118" s="292" t="n">
        <v>195</v>
      </c>
      <c r="J118" s="293">
        <f>IFERROR(I118/(H118+I118),"")</f>
        <v/>
      </c>
      <c r="K118" s="291" t="n">
        <v>240</v>
      </c>
      <c r="L118" s="291" t="n"/>
      <c r="M118" s="291" t="n"/>
      <c r="N118" s="291" t="n"/>
      <c r="O118" s="291" t="n"/>
      <c r="P118" s="291" t="n"/>
      <c r="Q118" s="291" t="n"/>
      <c r="R118" s="291" t="n"/>
      <c r="S118" s="291" t="n"/>
    </row>
    <row r="119" ht="15" customHeight="1" s="249">
      <c r="A119" s="294" t="n">
        <v>46160</v>
      </c>
      <c r="B119" s="291" t="inlineStr">
        <is>
          <t>Latex-01</t>
        </is>
      </c>
      <c r="C119" s="291" t="inlineStr">
        <is>
          <t>Mablay Beauty PVT LTD.</t>
        </is>
      </c>
      <c r="D119" s="291" t="inlineStr">
        <is>
          <t>HIS ONLY HAIR COLOR CREAM 40GM</t>
        </is>
      </c>
      <c r="E119" s="291" t="n">
        <v>25</v>
      </c>
      <c r="F119" s="291" t="n">
        <v>6228</v>
      </c>
      <c r="G119" s="292" t="n">
        <v>6048</v>
      </c>
      <c r="H119" s="292" t="n">
        <v>6043</v>
      </c>
      <c r="I119" s="292" t="n">
        <v>5</v>
      </c>
      <c r="J119" s="293">
        <f>IFERROR(I119/(H119+I119),"")</f>
        <v/>
      </c>
      <c r="K119" s="291" t="n"/>
      <c r="L119" s="291" t="n"/>
      <c r="M119" s="291" t="n"/>
      <c r="N119" s="291" t="n"/>
      <c r="O119" s="291" t="n"/>
      <c r="P119" s="291" t="n"/>
      <c r="Q119" s="291" t="n"/>
      <c r="R119" s="291" t="n"/>
      <c r="S119" s="291" t="n"/>
    </row>
    <row r="120" ht="15" customHeight="1" s="249">
      <c r="A120" s="294" t="n">
        <v>46160</v>
      </c>
      <c r="B120" s="291" t="inlineStr">
        <is>
          <t>Latex-01</t>
        </is>
      </c>
      <c r="C120" s="291" t="inlineStr">
        <is>
          <t>Adore</t>
        </is>
      </c>
      <c r="D120" s="291" t="inlineStr">
        <is>
          <t>V-HC BLACK</t>
        </is>
      </c>
      <c r="E120" s="291" t="n">
        <v>35</v>
      </c>
      <c r="F120" s="291" t="n">
        <v>6531</v>
      </c>
      <c r="G120" s="292" t="n">
        <v>7740</v>
      </c>
      <c r="H120" s="292" t="n">
        <v>7730</v>
      </c>
      <c r="I120" s="292" t="n">
        <v>10</v>
      </c>
      <c r="J120" s="293">
        <f>IFERROR(I120/(H120+I120),"")</f>
        <v/>
      </c>
      <c r="K120" s="291" t="n"/>
      <c r="L120" s="291" t="n"/>
      <c r="M120" s="291" t="n"/>
      <c r="N120" s="291" t="n"/>
      <c r="O120" s="291" t="n"/>
      <c r="P120" s="291" t="n"/>
      <c r="Q120" s="291" t="n"/>
      <c r="R120" s="291" t="n"/>
      <c r="S120" s="291" t="n"/>
    </row>
    <row r="121" ht="15" customHeight="1" s="249">
      <c r="A121" s="294" t="n">
        <v>46160</v>
      </c>
      <c r="B121" s="291" t="inlineStr">
        <is>
          <t>PF Machine</t>
        </is>
      </c>
      <c r="C121" s="291" t="inlineStr">
        <is>
          <t>Mablay Beauty PVT LTD.</t>
        </is>
      </c>
      <c r="D121" s="291" t="inlineStr">
        <is>
          <t>PET BOTTLE SMALL (130ML) TRANSPARENT</t>
        </is>
      </c>
      <c r="E121" s="291" t="inlineStr">
        <is>
          <t>130 ml</t>
        </is>
      </c>
      <c r="F121" s="291" t="n">
        <v>8010</v>
      </c>
      <c r="G121" s="292" t="n">
        <v>10050</v>
      </c>
      <c r="H121" s="292" t="n">
        <v>9200</v>
      </c>
      <c r="I121" s="292" t="n">
        <v>850</v>
      </c>
      <c r="J121" s="293">
        <f>IFERROR(I121/(H121+I121),"")</f>
        <v/>
      </c>
      <c r="K121" s="291" t="n"/>
      <c r="L121" s="291" t="n"/>
      <c r="M121" s="291" t="n"/>
      <c r="N121" s="291" t="n"/>
      <c r="O121" s="291" t="n">
        <v>290</v>
      </c>
      <c r="P121" s="291" t="n"/>
      <c r="Q121" s="291" t="n"/>
      <c r="R121" s="291" t="n"/>
      <c r="S121" s="291" t="n"/>
    </row>
    <row r="122" ht="15" customHeight="1" s="249">
      <c r="A122" s="294" t="n">
        <v>46160</v>
      </c>
      <c r="B122" s="291" t="inlineStr">
        <is>
          <t>Press-03</t>
        </is>
      </c>
      <c r="C122" s="291" t="inlineStr">
        <is>
          <t>Golden Pearl Cosmetics (PVT) LTD</t>
        </is>
      </c>
      <c r="D122" s="291" t="inlineStr">
        <is>
          <t>HELLO HAIR COLOR</t>
        </is>
      </c>
      <c r="E122" s="291" t="n">
        <v>30</v>
      </c>
      <c r="F122" s="291" t="n">
        <v>6206</v>
      </c>
      <c r="G122" s="292" t="n">
        <v>24000</v>
      </c>
      <c r="H122" s="292" t="n">
        <v>23850</v>
      </c>
      <c r="I122" s="292" t="n">
        <v>150</v>
      </c>
      <c r="J122" s="293">
        <f>IFERROR(I122/(H122+I122),"")</f>
        <v/>
      </c>
      <c r="K122" s="291" t="n"/>
      <c r="L122" s="291" t="n"/>
      <c r="M122" s="291" t="n"/>
      <c r="N122" s="291" t="n"/>
      <c r="O122" s="291" t="n"/>
      <c r="P122" s="291" t="n"/>
      <c r="Q122" s="291" t="n"/>
      <c r="R122" s="291" t="n"/>
      <c r="S122" s="291" t="n"/>
    </row>
    <row r="123" ht="15" customHeight="1" s="249">
      <c r="A123" s="294" t="n">
        <v>46160</v>
      </c>
      <c r="B123" s="291" t="inlineStr">
        <is>
          <t>Press-06</t>
        </is>
      </c>
      <c r="C123" s="291" t="inlineStr">
        <is>
          <t>Samsol International Private Limited</t>
        </is>
      </c>
      <c r="D123" s="291" t="inlineStr">
        <is>
          <t>TUBES COMMON RED</t>
        </is>
      </c>
      <c r="E123" s="291" t="n">
        <v>25</v>
      </c>
      <c r="F123" s="291" t="n">
        <v>6470</v>
      </c>
      <c r="G123" s="292" t="n">
        <v>16400</v>
      </c>
      <c r="H123" s="292" t="n">
        <v>16280</v>
      </c>
      <c r="I123" s="292" t="n">
        <v>120</v>
      </c>
      <c r="J123" s="293">
        <f>IFERROR(I123/(H123+I123),"")</f>
        <v/>
      </c>
      <c r="K123" s="291" t="n"/>
      <c r="L123" s="291" t="n"/>
      <c r="M123" s="291" t="n"/>
      <c r="N123" s="291" t="n"/>
      <c r="O123" s="291" t="n">
        <v>120</v>
      </c>
      <c r="P123" s="291" t="n"/>
      <c r="Q123" s="291" t="n"/>
      <c r="R123" s="291" t="n"/>
      <c r="S123" s="291" t="n"/>
    </row>
    <row r="124" ht="15" customHeight="1" s="249">
      <c r="A124" s="294" t="n">
        <v>46160</v>
      </c>
      <c r="B124" s="291" t="inlineStr">
        <is>
          <t>Printing-03</t>
        </is>
      </c>
      <c r="C124" s="291" t="inlineStr">
        <is>
          <t>Samsol International Private Limited</t>
        </is>
      </c>
      <c r="D124" s="291" t="inlineStr">
        <is>
          <t>TUBES COMMON RED</t>
        </is>
      </c>
      <c r="E124" s="291" t="n">
        <v>25</v>
      </c>
      <c r="F124" s="291" t="n">
        <v>6470</v>
      </c>
      <c r="G124" s="292" t="n">
        <v>12155</v>
      </c>
      <c r="H124" s="292" t="n">
        <v>11760</v>
      </c>
      <c r="I124" s="292" t="n">
        <v>395</v>
      </c>
      <c r="J124" s="293">
        <f>IFERROR(I124/(H124+I124),"")</f>
        <v/>
      </c>
      <c r="K124" s="291" t="n"/>
      <c r="L124" s="291" t="n"/>
      <c r="M124" s="291" t="n">
        <v>240</v>
      </c>
      <c r="N124" s="291" t="n"/>
      <c r="O124" s="291" t="n"/>
      <c r="P124" s="291" t="n"/>
      <c r="Q124" s="291" t="n"/>
      <c r="R124" s="291" t="n"/>
      <c r="S124" s="291" t="n"/>
    </row>
    <row r="125" ht="15" customHeight="1" s="249">
      <c r="A125" s="294" t="n">
        <v>46160</v>
      </c>
      <c r="B125" s="291" t="inlineStr">
        <is>
          <t>Printing-04</t>
        </is>
      </c>
      <c r="C125" s="291" t="inlineStr">
        <is>
          <t>Golden Pearl Cosmetics (PVT) LTD</t>
        </is>
      </c>
      <c r="D125" s="291" t="inlineStr">
        <is>
          <t>HELLO HAIR COLOR</t>
        </is>
      </c>
      <c r="E125" s="291" t="n">
        <v>30</v>
      </c>
      <c r="F125" s="291" t="n">
        <v>6206</v>
      </c>
      <c r="G125" s="292" t="n">
        <v>14968</v>
      </c>
      <c r="H125" s="292" t="n">
        <v>14518</v>
      </c>
      <c r="I125" s="292" t="n">
        <v>450</v>
      </c>
      <c r="J125" s="293">
        <f>IFERROR(I125/(H125+I125),"")</f>
        <v/>
      </c>
      <c r="K125" s="291" t="n"/>
      <c r="L125" s="291" t="n"/>
      <c r="M125" s="291" t="n">
        <v>180</v>
      </c>
      <c r="N125" s="291" t="n"/>
      <c r="O125" s="291" t="n"/>
      <c r="P125" s="291" t="n"/>
      <c r="Q125" s="291" t="n"/>
      <c r="R125" s="291" t="n"/>
      <c r="S125" s="291" t="n"/>
    </row>
    <row r="126" ht="15" customHeight="1" s="249">
      <c r="A126" s="294" t="n">
        <v>46161</v>
      </c>
      <c r="B126" s="291" t="inlineStr">
        <is>
          <t>Lacquer-03</t>
        </is>
      </c>
      <c r="C126" s="291" t="inlineStr">
        <is>
          <t>Golden Pearl Cosmetics (PVT) LTD</t>
        </is>
      </c>
      <c r="D126" s="291" t="inlineStr">
        <is>
          <t>HELLO HAIR COLOR</t>
        </is>
      </c>
      <c r="E126" s="291" t="n">
        <v>30</v>
      </c>
      <c r="F126" s="291" t="n">
        <v>6206</v>
      </c>
      <c r="G126" s="292" t="n">
        <v>24000</v>
      </c>
      <c r="H126" s="292" t="n">
        <v>23660</v>
      </c>
      <c r="I126" s="292" t="n">
        <v>340</v>
      </c>
      <c r="J126" s="293">
        <f>IFERROR(I126/(H126+I126),"")</f>
        <v/>
      </c>
      <c r="K126" s="291" t="n"/>
      <c r="L126" s="291" t="n"/>
      <c r="M126" s="291" t="n"/>
      <c r="N126" s="291" t="n"/>
      <c r="O126" s="291" t="n"/>
      <c r="P126" s="291" t="n"/>
      <c r="Q126" s="291" t="n"/>
      <c r="R126" s="291" t="n"/>
      <c r="S126" s="291" t="n"/>
    </row>
    <row r="127" ht="15" customHeight="1" s="249">
      <c r="A127" s="294" t="n">
        <v>46161</v>
      </c>
      <c r="B127" s="291" t="inlineStr">
        <is>
          <t>Lacquer-04</t>
        </is>
      </c>
      <c r="C127" s="291" t="inlineStr">
        <is>
          <t>Samsol International Private Limited</t>
        </is>
      </c>
      <c r="D127" s="291" t="inlineStr">
        <is>
          <t>TUBES COMMON RED</t>
        </is>
      </c>
      <c r="E127" s="291" t="n">
        <v>25</v>
      </c>
      <c r="F127" s="291" t="n">
        <v>6470</v>
      </c>
      <c r="G127" s="292" t="n">
        <v>10000</v>
      </c>
      <c r="H127" s="292" t="n">
        <v>9775</v>
      </c>
      <c r="I127" s="292" t="n">
        <v>225</v>
      </c>
      <c r="J127" s="293">
        <f>IFERROR(I127/(H127+I127),"")</f>
        <v/>
      </c>
      <c r="K127" s="291" t="n"/>
      <c r="L127" s="291" t="n"/>
      <c r="M127" s="291" t="n"/>
      <c r="N127" s="291" t="n">
        <v>180</v>
      </c>
      <c r="O127" s="291" t="n"/>
      <c r="P127" s="291" t="n"/>
      <c r="Q127" s="291" t="n"/>
      <c r="R127" s="291" t="n"/>
      <c r="S127" s="291" t="n"/>
    </row>
    <row r="128" ht="15" customHeight="1" s="249">
      <c r="A128" s="294" t="n">
        <v>46161</v>
      </c>
      <c r="B128" s="291" t="inlineStr">
        <is>
          <t>Latex-01</t>
        </is>
      </c>
      <c r="C128" s="291" t="inlineStr">
        <is>
          <t>Adore</t>
        </is>
      </c>
      <c r="D128" s="291" t="inlineStr">
        <is>
          <t>V-HC BLACK</t>
        </is>
      </c>
      <c r="E128" s="291" t="n">
        <v>35</v>
      </c>
      <c r="F128" s="291" t="n">
        <v>6531</v>
      </c>
      <c r="G128" s="292" t="n">
        <v>2880</v>
      </c>
      <c r="H128" s="292" t="n">
        <v>2870</v>
      </c>
      <c r="I128" s="292" t="n">
        <v>10</v>
      </c>
      <c r="J128" s="293">
        <f>IFERROR(I128/(H128+I128),"")</f>
        <v/>
      </c>
      <c r="K128" s="291" t="n"/>
      <c r="L128" s="291" t="n"/>
      <c r="M128" s="291" t="n"/>
      <c r="N128" s="291" t="n"/>
      <c r="O128" s="291" t="n"/>
      <c r="P128" s="291" t="n"/>
      <c r="Q128" s="291" t="n"/>
      <c r="R128" s="291" t="n"/>
      <c r="S128" s="291" t="n"/>
    </row>
    <row r="129" ht="15" customHeight="1" s="249">
      <c r="A129" s="294" t="n">
        <v>46161</v>
      </c>
      <c r="B129" s="291" t="inlineStr">
        <is>
          <t>Latex-01</t>
        </is>
      </c>
      <c r="C129" s="291" t="inlineStr">
        <is>
          <t>Mablay Beauty PVT LTD.</t>
        </is>
      </c>
      <c r="D129" s="291" t="inlineStr">
        <is>
          <t>Vince Nutural</t>
        </is>
      </c>
      <c r="E129" s="291" t="n">
        <v>30</v>
      </c>
      <c r="F129" s="291" t="n"/>
      <c r="G129" s="292" t="n">
        <v>2400</v>
      </c>
      <c r="H129" s="292" t="n">
        <v>2395</v>
      </c>
      <c r="I129" s="292" t="n">
        <v>5</v>
      </c>
      <c r="J129" s="293">
        <f>IFERROR(I129/(H129+I129),"")</f>
        <v/>
      </c>
      <c r="K129" s="291" t="n">
        <v>360</v>
      </c>
      <c r="L129" s="291" t="n"/>
      <c r="M129" s="291" t="n"/>
      <c r="N129" s="291" t="n"/>
      <c r="O129" s="291" t="n"/>
      <c r="P129" s="291" t="n"/>
      <c r="Q129" s="291" t="n"/>
      <c r="R129" s="291" t="n"/>
      <c r="S129" s="291" t="n"/>
    </row>
    <row r="130" ht="15" customHeight="1" s="249">
      <c r="A130" s="294" t="n">
        <v>46161</v>
      </c>
      <c r="B130" s="291" t="inlineStr">
        <is>
          <t>PF Machine</t>
        </is>
      </c>
      <c r="C130" s="291" t="inlineStr">
        <is>
          <t>Alpha Lab</t>
        </is>
      </c>
      <c r="D130" s="291" t="inlineStr">
        <is>
          <t>Trp bottle</t>
        </is>
      </c>
      <c r="E130" s="291" t="inlineStr">
        <is>
          <t>150 ml</t>
        </is>
      </c>
      <c r="F130" s="291" t="n"/>
      <c r="G130" s="292" t="n">
        <v>7940</v>
      </c>
      <c r="H130" s="292" t="n">
        <v>7590</v>
      </c>
      <c r="I130" s="292" t="n">
        <v>350</v>
      </c>
      <c r="J130" s="293">
        <f>IFERROR(I130/(H130+I130),"")</f>
        <v/>
      </c>
      <c r="K130" s="291" t="n"/>
      <c r="L130" s="291" t="n"/>
      <c r="M130" s="291" t="n"/>
      <c r="N130" s="291" t="n"/>
      <c r="O130" s="291" t="n">
        <v>60</v>
      </c>
      <c r="P130" s="291" t="n"/>
      <c r="Q130" s="291" t="n"/>
      <c r="R130" s="291" t="n"/>
      <c r="S130" s="291" t="n"/>
    </row>
    <row r="131" ht="15" customHeight="1" s="249">
      <c r="A131" s="294" t="n">
        <v>46161</v>
      </c>
      <c r="B131" s="291" t="inlineStr">
        <is>
          <t>Press-01</t>
        </is>
      </c>
      <c r="C131" s="291" t="inlineStr">
        <is>
          <t>Samsol International Private Limited</t>
        </is>
      </c>
      <c r="D131" s="291" t="inlineStr">
        <is>
          <t>S-45 DIA 19MM</t>
        </is>
      </c>
      <c r="E131" s="291" t="n">
        <v>19</v>
      </c>
      <c r="F131" s="291" t="n">
        <v>6624</v>
      </c>
      <c r="G131" s="292" t="n">
        <v>0</v>
      </c>
      <c r="H131" s="292" t="n">
        <v>0</v>
      </c>
      <c r="I131" s="292" t="n">
        <v>0</v>
      </c>
      <c r="J131" s="293">
        <f>IFERROR(I131/(H131+I131),"")</f>
        <v/>
      </c>
      <c r="K131" s="291" t="n"/>
      <c r="L131" s="291" t="n"/>
      <c r="M131" s="291" t="n">
        <v>300</v>
      </c>
      <c r="N131" s="291" t="n">
        <v>180</v>
      </c>
      <c r="O131" s="291" t="n"/>
      <c r="P131" s="291" t="n"/>
      <c r="Q131" s="291" t="n"/>
      <c r="R131" s="291" t="n"/>
      <c r="S131" s="291" t="n"/>
    </row>
    <row r="132" ht="15" customHeight="1" s="249">
      <c r="A132" s="294" t="n">
        <v>46161</v>
      </c>
      <c r="B132" s="291" t="inlineStr">
        <is>
          <t>Press-03</t>
        </is>
      </c>
      <c r="C132" s="291" t="inlineStr">
        <is>
          <t>Golden Pearl Cosmetics (PVT) LTD</t>
        </is>
      </c>
      <c r="D132" s="291" t="inlineStr">
        <is>
          <t>HELLO HAIR COLOR</t>
        </is>
      </c>
      <c r="E132" s="291" t="n">
        <v>30</v>
      </c>
      <c r="F132" s="291" t="n">
        <v>6206</v>
      </c>
      <c r="G132" s="292" t="n">
        <v>15000</v>
      </c>
      <c r="H132" s="292" t="n">
        <v>14885</v>
      </c>
      <c r="I132" s="292" t="n">
        <v>115</v>
      </c>
      <c r="J132" s="293">
        <f>IFERROR(I132/(H132+I132),"")</f>
        <v/>
      </c>
      <c r="K132" s="291" t="n">
        <v>120</v>
      </c>
      <c r="L132" s="291" t="n"/>
      <c r="M132" s="291" t="n"/>
      <c r="N132" s="291" t="n"/>
      <c r="O132" s="291" t="n"/>
      <c r="P132" s="291" t="n"/>
      <c r="Q132" s="291" t="n"/>
      <c r="R132" s="291" t="n"/>
      <c r="S132" s="291" t="n"/>
    </row>
    <row r="133" ht="15" customHeight="1" s="249">
      <c r="A133" s="294" t="n">
        <v>46161</v>
      </c>
      <c r="B133" s="291" t="inlineStr">
        <is>
          <t>Printing-03</t>
        </is>
      </c>
      <c r="C133" s="291" t="inlineStr">
        <is>
          <t>Samsol International Private Limited</t>
        </is>
      </c>
      <c r="D133" s="291" t="inlineStr">
        <is>
          <t>TUBES COMMON RED</t>
        </is>
      </c>
      <c r="E133" s="291" t="n">
        <v>25</v>
      </c>
      <c r="F133" s="291" t="n">
        <v>6470</v>
      </c>
      <c r="G133" s="292" t="n">
        <v>10039</v>
      </c>
      <c r="H133" s="292" t="n">
        <v>9744</v>
      </c>
      <c r="I133" s="292" t="n">
        <v>295</v>
      </c>
      <c r="J133" s="293">
        <f>IFERROR(I133/(H133+I133),"")</f>
        <v/>
      </c>
      <c r="K133" s="291" t="n"/>
      <c r="L133" s="291" t="n"/>
      <c r="M133" s="291" t="n"/>
      <c r="N133" s="291" t="n">
        <v>240</v>
      </c>
      <c r="O133" s="291" t="n"/>
      <c r="P133" s="291" t="n"/>
      <c r="Q133" s="291" t="n"/>
      <c r="R133" s="291" t="n"/>
      <c r="S133" s="291" t="n"/>
    </row>
    <row r="134" ht="15" customHeight="1" s="249">
      <c r="A134" s="294" t="n">
        <v>46161</v>
      </c>
      <c r="B134" s="291" t="inlineStr">
        <is>
          <t>Printing-04</t>
        </is>
      </c>
      <c r="C134" s="291" t="inlineStr">
        <is>
          <t>Golden Pearl Cosmetics (PVT) LTD</t>
        </is>
      </c>
      <c r="D134" s="291" t="inlineStr">
        <is>
          <t>HELLO HAIR COLOR</t>
        </is>
      </c>
      <c r="E134" s="291" t="n">
        <v>30</v>
      </c>
      <c r="F134" s="291" t="n">
        <v>6206</v>
      </c>
      <c r="G134" s="292" t="n">
        <v>19024</v>
      </c>
      <c r="H134" s="292" t="n">
        <v>18564</v>
      </c>
      <c r="I134" s="292" t="n">
        <v>460</v>
      </c>
      <c r="J134" s="293">
        <f>IFERROR(I134/(H134+I134),"")</f>
        <v/>
      </c>
      <c r="K134" s="291" t="n"/>
      <c r="L134" s="291" t="n"/>
      <c r="M134" s="291" t="n"/>
      <c r="N134" s="291" t="n"/>
      <c r="O134" s="291" t="n"/>
      <c r="P134" s="291" t="n"/>
      <c r="Q134" s="291" t="n"/>
      <c r="R134" s="291" t="n"/>
      <c r="S134" s="291" t="n"/>
    </row>
    <row r="135" ht="15" customHeight="1" s="249">
      <c r="A135" s="172" t="n"/>
      <c r="G135" s="173" t="n"/>
      <c r="H135" s="173" t="n"/>
      <c r="I135" s="173" t="n"/>
      <c r="J135" s="174" t="n"/>
    </row>
    <row r="136" ht="15" customHeight="1" s="249">
      <c r="A136" s="172" t="n"/>
      <c r="G136" s="173" t="n"/>
      <c r="H136" s="173" t="n"/>
      <c r="I136" s="173" t="n"/>
      <c r="J136" s="174" t="n"/>
    </row>
    <row r="137" ht="15" customHeight="1" s="249">
      <c r="A137" s="172" t="n"/>
      <c r="G137" s="173" t="n"/>
      <c r="H137" s="173" t="n"/>
      <c r="I137" s="173" t="n"/>
      <c r="J137" s="174" t="n"/>
    </row>
    <row r="138" ht="15" customHeight="1" s="249">
      <c r="A138" s="172" t="n"/>
      <c r="G138" s="173" t="n"/>
      <c r="H138" s="173" t="n"/>
      <c r="I138" s="173" t="n"/>
      <c r="J138" s="174" t="n"/>
    </row>
    <row r="139" ht="15" customHeight="1" s="249">
      <c r="A139" s="172" t="n"/>
      <c r="G139" s="173" t="n"/>
      <c r="H139" s="173" t="n"/>
      <c r="I139" s="173" t="n"/>
      <c r="J139" s="174" t="n"/>
    </row>
    <row r="140" ht="15" customHeight="1" s="249">
      <c r="A140" s="172" t="n"/>
      <c r="G140" s="173" t="n"/>
      <c r="H140" s="173" t="n"/>
      <c r="I140" s="173" t="n"/>
      <c r="J140" s="174" t="n"/>
    </row>
    <row r="141" ht="15" customHeight="1" s="249">
      <c r="A141" s="172" t="n"/>
      <c r="G141" s="173" t="n"/>
      <c r="H141" s="173" t="n"/>
      <c r="I141" s="173" t="n"/>
      <c r="J141" s="174" t="n"/>
    </row>
    <row r="142" ht="15" customHeight="1" s="249">
      <c r="A142" s="172" t="n"/>
      <c r="G142" s="173" t="n"/>
      <c r="H142" s="173" t="n"/>
      <c r="I142" s="173" t="n"/>
      <c r="J142" s="174" t="n"/>
    </row>
    <row r="143" ht="15" customHeight="1" s="249">
      <c r="A143" s="172" t="n"/>
      <c r="G143" s="173" t="n"/>
      <c r="H143" s="173" t="n"/>
      <c r="I143" s="173" t="n"/>
      <c r="J143" s="174" t="n"/>
    </row>
    <row r="144" ht="15" customHeight="1" s="249">
      <c r="A144" s="172" t="n"/>
      <c r="G144" s="173" t="n"/>
      <c r="H144" s="173" t="n"/>
      <c r="I144" s="173" t="n"/>
      <c r="J144" s="174" t="n"/>
    </row>
    <row r="145" ht="15" customHeight="1" s="249">
      <c r="A145" s="172" t="n"/>
      <c r="G145" s="173" t="n"/>
      <c r="H145" s="173" t="n"/>
      <c r="I145" s="173" t="n"/>
      <c r="J145" s="174" t="n"/>
    </row>
    <row r="146" ht="15" customHeight="1" s="249">
      <c r="A146" s="172" t="n"/>
      <c r="G146" s="173" t="n"/>
      <c r="H146" s="173" t="n"/>
      <c r="I146" s="173" t="n"/>
      <c r="J146" s="174" t="n"/>
    </row>
    <row r="147" ht="15" customHeight="1" s="249">
      <c r="A147" s="172" t="n"/>
      <c r="G147" s="173" t="n"/>
      <c r="H147" s="173" t="n"/>
      <c r="I147" s="173" t="n"/>
      <c r="J147" s="174" t="n"/>
    </row>
    <row r="148" ht="15" customHeight="1" s="249">
      <c r="A148" s="172" t="n"/>
      <c r="G148" s="173" t="n"/>
      <c r="H148" s="173" t="n"/>
      <c r="I148" s="173" t="n"/>
      <c r="J148" s="174" t="n"/>
    </row>
    <row r="149" ht="15" customHeight="1" s="249">
      <c r="A149" s="172" t="n"/>
      <c r="G149" s="173" t="n"/>
      <c r="H149" s="173" t="n"/>
      <c r="I149" s="173" t="n"/>
      <c r="J149" s="174" t="n"/>
    </row>
    <row r="150" ht="15" customHeight="1" s="249">
      <c r="A150" s="172" t="n"/>
      <c r="G150" s="173" t="n"/>
      <c r="H150" s="173" t="n"/>
      <c r="I150" s="173" t="n"/>
      <c r="J150" s="174" t="n"/>
    </row>
    <row r="151" ht="15" customHeight="1" s="249">
      <c r="A151" s="172" t="n"/>
      <c r="G151" s="173" t="n"/>
      <c r="H151" s="173" t="n"/>
      <c r="I151" s="173" t="n"/>
      <c r="J151" s="174" t="n"/>
    </row>
    <row r="152" ht="15" customHeight="1" s="249">
      <c r="A152" s="172" t="n"/>
      <c r="G152" s="173" t="n"/>
      <c r="H152" s="173" t="n"/>
      <c r="I152" s="173" t="n"/>
      <c r="J152" s="174" t="n"/>
    </row>
    <row r="153" ht="15" customHeight="1" s="249">
      <c r="A153" s="172" t="n"/>
      <c r="G153" s="173" t="n"/>
      <c r="H153" s="173" t="n"/>
      <c r="I153" s="173" t="n"/>
      <c r="J153" s="174" t="n"/>
    </row>
    <row r="154" ht="15" customHeight="1" s="249">
      <c r="A154" s="172" t="n"/>
      <c r="G154" s="173" t="n"/>
      <c r="H154" s="173" t="n"/>
      <c r="I154" s="173" t="n"/>
      <c r="J154" s="174" t="n"/>
    </row>
    <row r="155" ht="15" customHeight="1" s="249">
      <c r="A155" s="172" t="n"/>
      <c r="G155" s="173" t="n"/>
      <c r="H155" s="173" t="n"/>
      <c r="I155" s="173" t="n"/>
      <c r="J155" s="174" t="n"/>
    </row>
    <row r="156" ht="15" customHeight="1" s="249">
      <c r="A156" s="172" t="n"/>
      <c r="G156" s="173" t="n"/>
      <c r="H156" s="173" t="n"/>
      <c r="I156" s="173" t="n"/>
      <c r="J156" s="174" t="n"/>
    </row>
    <row r="157" ht="15" customHeight="1" s="249">
      <c r="A157" s="172" t="n"/>
      <c r="G157" s="173" t="n"/>
      <c r="H157" s="173" t="n"/>
      <c r="I157" s="173" t="n"/>
      <c r="J157" s="174" t="n"/>
    </row>
    <row r="158" ht="15" customHeight="1" s="249">
      <c r="A158" s="172" t="n"/>
      <c r="G158" s="173" t="n"/>
      <c r="H158" s="173" t="n"/>
      <c r="I158" s="173" t="n"/>
      <c r="J158" s="174" t="n"/>
    </row>
    <row r="159" ht="15" customHeight="1" s="249">
      <c r="A159" s="172" t="n"/>
      <c r="G159" s="173" t="n"/>
      <c r="H159" s="173" t="n"/>
      <c r="I159" s="173" t="n"/>
      <c r="J159" s="174" t="n"/>
    </row>
    <row r="160" ht="15" customHeight="1" s="249">
      <c r="A160" s="172" t="n"/>
      <c r="G160" s="173" t="n"/>
      <c r="H160" s="173" t="n"/>
      <c r="I160" s="173" t="n"/>
      <c r="J160" s="174" t="n"/>
    </row>
    <row r="161" ht="15" customHeight="1" s="249">
      <c r="A161" s="172" t="n"/>
      <c r="G161" s="173" t="n"/>
      <c r="H161" s="173" t="n"/>
      <c r="I161" s="173" t="n"/>
      <c r="J161" s="174" t="n"/>
    </row>
    <row r="162" ht="15" customHeight="1" s="249">
      <c r="A162" s="172" t="n"/>
      <c r="G162" s="173" t="n"/>
      <c r="H162" s="173" t="n"/>
      <c r="I162" s="173" t="n"/>
      <c r="J162" s="174" t="n"/>
    </row>
    <row r="163" ht="15" customHeight="1" s="249">
      <c r="A163" s="172" t="n"/>
      <c r="G163" s="173" t="n"/>
      <c r="H163" s="173" t="n"/>
      <c r="I163" s="173" t="n"/>
      <c r="J163" s="174" t="n"/>
    </row>
    <row r="164" ht="15" customHeight="1" s="249">
      <c r="A164" s="172" t="n"/>
      <c r="G164" s="173" t="n"/>
      <c r="H164" s="173" t="n"/>
      <c r="I164" s="173" t="n"/>
      <c r="J164" s="174" t="n"/>
    </row>
    <row r="165" ht="15" customHeight="1" s="249">
      <c r="A165" s="172" t="n"/>
      <c r="G165" s="173" t="n"/>
      <c r="H165" s="173" t="n"/>
      <c r="I165" s="173" t="n"/>
      <c r="J165" s="174" t="n"/>
    </row>
    <row r="166" ht="15" customHeight="1" s="249">
      <c r="A166" s="172" t="n"/>
      <c r="G166" s="173" t="n"/>
      <c r="H166" s="173" t="n"/>
      <c r="I166" s="173" t="n"/>
      <c r="J166" s="174" t="n"/>
    </row>
    <row r="167" ht="15" customHeight="1" s="249">
      <c r="A167" s="172" t="n"/>
      <c r="G167" s="173" t="n"/>
      <c r="H167" s="173" t="n"/>
      <c r="I167" s="173" t="n"/>
      <c r="J167" s="174" t="n"/>
    </row>
    <row r="168" ht="15" customHeight="1" s="249">
      <c r="A168" s="172" t="n"/>
      <c r="G168" s="173" t="n"/>
      <c r="H168" s="173" t="n"/>
      <c r="I168" s="173" t="n"/>
      <c r="J168" s="174" t="n"/>
    </row>
    <row r="169" ht="15" customHeight="1" s="249">
      <c r="A169" s="172" t="n"/>
      <c r="G169" s="173" t="n"/>
      <c r="H169" s="173" t="n"/>
      <c r="I169" s="173" t="n"/>
      <c r="J169" s="174" t="n"/>
    </row>
    <row r="170" ht="15" customHeight="1" s="249">
      <c r="A170" s="172" t="n"/>
      <c r="G170" s="173" t="n"/>
      <c r="H170" s="173" t="n"/>
      <c r="I170" s="173" t="n"/>
      <c r="J170" s="174" t="n"/>
    </row>
    <row r="171" ht="15" customHeight="1" s="249">
      <c r="A171" s="172" t="n"/>
      <c r="G171" s="173" t="n"/>
      <c r="H171" s="173" t="n"/>
      <c r="I171" s="173" t="n"/>
      <c r="J171" s="174" t="n"/>
    </row>
    <row r="172" ht="15" customHeight="1" s="249">
      <c r="A172" s="172" t="n"/>
      <c r="G172" s="173" t="n"/>
      <c r="H172" s="173" t="n"/>
      <c r="I172" s="173" t="n"/>
      <c r="J172" s="174" t="n"/>
    </row>
    <row r="173" ht="15" customHeight="1" s="249">
      <c r="A173" s="172" t="n"/>
      <c r="G173" s="173" t="n"/>
      <c r="H173" s="173" t="n"/>
      <c r="I173" s="173" t="n"/>
      <c r="J173" s="174" t="n"/>
    </row>
    <row r="174" ht="15" customHeight="1" s="249">
      <c r="A174" s="172" t="n"/>
      <c r="G174" s="173" t="n"/>
      <c r="H174" s="173" t="n"/>
      <c r="I174" s="173" t="n"/>
      <c r="J174" s="174" t="n"/>
    </row>
    <row r="175" ht="15" customHeight="1" s="249">
      <c r="A175" s="172" t="n"/>
      <c r="G175" s="173" t="n"/>
      <c r="H175" s="173" t="n"/>
      <c r="I175" s="173" t="n"/>
      <c r="J175" s="174" t="n"/>
    </row>
    <row r="176" ht="15" customHeight="1" s="249">
      <c r="A176" s="172" t="n"/>
      <c r="G176" s="173" t="n"/>
      <c r="H176" s="173" t="n"/>
      <c r="I176" s="173" t="n"/>
      <c r="J176" s="174" t="n"/>
    </row>
    <row r="177" ht="15" customHeight="1" s="249">
      <c r="A177" s="172" t="n"/>
      <c r="G177" s="173" t="n"/>
      <c r="H177" s="173" t="n"/>
      <c r="I177" s="173" t="n"/>
      <c r="J177" s="174" t="n"/>
    </row>
    <row r="178" ht="15" customHeight="1" s="249">
      <c r="A178" s="172" t="n"/>
      <c r="G178" s="173" t="n"/>
      <c r="H178" s="173" t="n"/>
      <c r="I178" s="173" t="n"/>
      <c r="J178" s="174" t="n"/>
    </row>
    <row r="179" ht="15" customHeight="1" s="249">
      <c r="A179" s="172" t="n"/>
      <c r="G179" s="173" t="n"/>
      <c r="H179" s="173" t="n"/>
      <c r="I179" s="173" t="n"/>
      <c r="J179" s="174" t="n"/>
    </row>
    <row r="180" ht="15" customHeight="1" s="249">
      <c r="A180" s="172" t="n"/>
      <c r="G180" s="173" t="n"/>
      <c r="H180" s="173" t="n"/>
      <c r="I180" s="173" t="n"/>
      <c r="J180" s="174" t="n"/>
    </row>
    <row r="181" ht="15" customHeight="1" s="249">
      <c r="A181" s="172" t="n"/>
      <c r="G181" s="173" t="n"/>
      <c r="H181" s="173" t="n"/>
      <c r="I181" s="173" t="n"/>
      <c r="J181" s="174" t="n"/>
    </row>
    <row r="182" ht="15" customHeight="1" s="249">
      <c r="A182" s="172" t="n"/>
      <c r="G182" s="173" t="n"/>
      <c r="H182" s="173" t="n"/>
      <c r="I182" s="173" t="n"/>
      <c r="J182" s="174" t="n"/>
    </row>
    <row r="183" ht="15" customHeight="1" s="249">
      <c r="A183" s="172" t="n"/>
      <c r="G183" s="173" t="n"/>
      <c r="H183" s="173" t="n"/>
      <c r="I183" s="173" t="n"/>
      <c r="J183" s="174" t="n"/>
    </row>
    <row r="184" ht="15" customHeight="1" s="249">
      <c r="A184" s="172" t="n"/>
      <c r="G184" s="173" t="n"/>
      <c r="H184" s="173" t="n"/>
      <c r="I184" s="173" t="n"/>
      <c r="J184" s="174" t="n"/>
    </row>
    <row r="185" ht="15" customHeight="1" s="249">
      <c r="A185" s="172" t="n"/>
      <c r="G185" s="173" t="n"/>
      <c r="H185" s="173" t="n"/>
      <c r="I185" s="173" t="n"/>
      <c r="J185" s="174" t="n"/>
    </row>
    <row r="186" ht="15" customHeight="1" s="249">
      <c r="A186" s="172" t="n"/>
      <c r="G186" s="173" t="n"/>
      <c r="H186" s="173" t="n"/>
      <c r="I186" s="173" t="n"/>
      <c r="J186" s="174" t="n"/>
    </row>
    <row r="187" ht="15" customHeight="1" s="249">
      <c r="A187" s="172" t="n"/>
      <c r="G187" s="173" t="n"/>
      <c r="H187" s="173" t="n"/>
      <c r="I187" s="173" t="n"/>
      <c r="J187" s="174" t="n"/>
    </row>
    <row r="188" ht="15" customHeight="1" s="249">
      <c r="A188" s="172" t="n"/>
      <c r="G188" s="173" t="n"/>
      <c r="H188" s="173" t="n"/>
      <c r="I188" s="173" t="n"/>
      <c r="J188" s="174" t="n"/>
    </row>
    <row r="189" ht="15" customHeight="1" s="249">
      <c r="A189" s="172" t="n"/>
      <c r="G189" s="173" t="n"/>
      <c r="H189" s="173" t="n"/>
      <c r="I189" s="173" t="n"/>
      <c r="J189" s="174" t="n"/>
    </row>
    <row r="190" ht="15" customHeight="1" s="249">
      <c r="A190" s="172" t="n"/>
      <c r="G190" s="173" t="n"/>
      <c r="H190" s="173" t="n"/>
      <c r="I190" s="173" t="n"/>
      <c r="J190" s="174" t="n"/>
    </row>
    <row r="191" ht="15" customHeight="1" s="249">
      <c r="A191" s="172" t="n"/>
      <c r="G191" s="173" t="n"/>
      <c r="H191" s="173" t="n"/>
      <c r="I191" s="173" t="n"/>
      <c r="J191" s="174" t="n"/>
    </row>
    <row r="192" ht="15" customHeight="1" s="249">
      <c r="A192" s="172" t="n"/>
      <c r="G192" s="173" t="n"/>
      <c r="H192" s="173" t="n"/>
      <c r="I192" s="173" t="n"/>
      <c r="J192" s="174" t="n"/>
    </row>
    <row r="193" ht="15" customHeight="1" s="249">
      <c r="A193" s="172" t="n"/>
      <c r="G193" s="173" t="n"/>
      <c r="H193" s="173" t="n"/>
      <c r="I193" s="173" t="n"/>
      <c r="J193" s="174" t="n"/>
    </row>
    <row r="194" ht="15" customHeight="1" s="249">
      <c r="A194" s="172" t="n"/>
      <c r="G194" s="173" t="n"/>
      <c r="H194" s="173" t="n"/>
      <c r="I194" s="173" t="n"/>
      <c r="J194" s="174" t="n"/>
    </row>
    <row r="195" ht="15" customHeight="1" s="249">
      <c r="A195" s="172" t="n"/>
      <c r="G195" s="173" t="n"/>
      <c r="H195" s="173" t="n"/>
      <c r="I195" s="173" t="n"/>
      <c r="J195" s="174" t="n"/>
    </row>
    <row r="196" ht="15" customHeight="1" s="249">
      <c r="A196" s="172" t="n"/>
      <c r="G196" s="173" t="n"/>
      <c r="H196" s="173" t="n"/>
      <c r="I196" s="173" t="n"/>
      <c r="J196" s="174" t="n"/>
    </row>
    <row r="197" ht="15" customHeight="1" s="249">
      <c r="A197" s="172" t="n"/>
      <c r="G197" s="173" t="n"/>
      <c r="H197" s="173" t="n"/>
      <c r="I197" s="173" t="n"/>
      <c r="J197" s="174" t="n"/>
    </row>
    <row r="198" ht="15" customHeight="1" s="249">
      <c r="A198" s="172" t="n"/>
      <c r="G198" s="173" t="n"/>
      <c r="H198" s="173" t="n"/>
      <c r="I198" s="173" t="n"/>
      <c r="J198" s="174" t="n"/>
    </row>
    <row r="199" ht="15" customHeight="1" s="249">
      <c r="A199" s="172" t="n"/>
      <c r="G199" s="173" t="n"/>
      <c r="H199" s="173" t="n"/>
      <c r="I199" s="173" t="n"/>
      <c r="J199" s="174" t="n"/>
    </row>
    <row r="200" ht="15" customHeight="1" s="249">
      <c r="A200" s="172" t="n"/>
      <c r="G200" s="173" t="n"/>
      <c r="H200" s="173" t="n"/>
      <c r="I200" s="173" t="n"/>
      <c r="J200" s="174" t="n"/>
    </row>
    <row r="201" ht="15" customHeight="1" s="249">
      <c r="A201" s="172" t="n"/>
      <c r="G201" s="173" t="n"/>
      <c r="H201" s="173" t="n"/>
      <c r="I201" s="173" t="n"/>
      <c r="J201" s="174" t="n"/>
    </row>
    <row r="202" ht="15" customHeight="1" s="249">
      <c r="A202" s="172" t="n"/>
      <c r="G202" s="173" t="n"/>
      <c r="H202" s="173" t="n"/>
      <c r="I202" s="173" t="n"/>
      <c r="J202" s="174" t="n"/>
    </row>
    <row r="203" ht="15" customHeight="1" s="249">
      <c r="A203" s="172" t="n"/>
      <c r="G203" s="173" t="n"/>
      <c r="H203" s="173" t="n"/>
      <c r="I203" s="173" t="n"/>
      <c r="J203" s="174" t="n"/>
    </row>
    <row r="204" ht="15" customHeight="1" s="249">
      <c r="A204" s="172" t="n"/>
      <c r="G204" s="173" t="n"/>
      <c r="H204" s="173" t="n"/>
      <c r="I204" s="173" t="n"/>
      <c r="J204" s="174" t="n"/>
    </row>
    <row r="205" ht="15" customHeight="1" s="249">
      <c r="A205" s="172" t="n"/>
      <c r="G205" s="173" t="n"/>
      <c r="H205" s="173" t="n"/>
      <c r="I205" s="173" t="n"/>
      <c r="J205" s="174" t="n"/>
    </row>
    <row r="206" ht="15" customHeight="1" s="249">
      <c r="A206" s="172" t="n"/>
      <c r="G206" s="173" t="n"/>
      <c r="H206" s="173" t="n"/>
      <c r="I206" s="173" t="n"/>
      <c r="J206" s="174" t="n"/>
    </row>
    <row r="207" ht="15" customHeight="1" s="249">
      <c r="A207" s="172" t="n"/>
      <c r="G207" s="173" t="n"/>
      <c r="H207" s="173" t="n"/>
      <c r="I207" s="173" t="n"/>
      <c r="J207" s="174" t="n"/>
    </row>
    <row r="208" ht="15" customHeight="1" s="249">
      <c r="A208" s="172" t="n"/>
      <c r="G208" s="173" t="n"/>
      <c r="H208" s="173" t="n"/>
      <c r="I208" s="173" t="n"/>
      <c r="J208" s="174" t="n"/>
    </row>
    <row r="209" ht="15" customHeight="1" s="249">
      <c r="A209" s="172" t="n"/>
      <c r="G209" s="173" t="n"/>
      <c r="H209" s="173" t="n"/>
      <c r="I209" s="173" t="n"/>
      <c r="J209" s="174" t="n"/>
    </row>
    <row r="210" ht="15" customHeight="1" s="249">
      <c r="A210" s="172" t="n"/>
      <c r="G210" s="173" t="n"/>
      <c r="H210" s="173" t="n"/>
      <c r="I210" s="173" t="n"/>
      <c r="J210" s="174" t="n"/>
    </row>
    <row r="211" ht="15" customHeight="1" s="249">
      <c r="A211" s="172" t="n"/>
      <c r="G211" s="173" t="n"/>
      <c r="H211" s="173" t="n"/>
      <c r="I211" s="173" t="n"/>
      <c r="J211" s="174" t="n"/>
    </row>
    <row r="212" ht="15" customHeight="1" s="249">
      <c r="A212" s="172" t="n"/>
      <c r="G212" s="173" t="n"/>
      <c r="H212" s="173" t="n"/>
      <c r="I212" s="173" t="n"/>
      <c r="J212" s="174" t="n"/>
    </row>
    <row r="213" ht="15" customHeight="1" s="249">
      <c r="A213" s="172" t="n"/>
      <c r="G213" s="173" t="n"/>
      <c r="H213" s="173" t="n"/>
      <c r="I213" s="173" t="n"/>
      <c r="J213" s="174" t="n"/>
    </row>
    <row r="214" ht="15" customHeight="1" s="249">
      <c r="A214" s="172" t="n"/>
      <c r="G214" s="173" t="n"/>
      <c r="H214" s="173" t="n"/>
      <c r="I214" s="173" t="n"/>
      <c r="J214" s="174" t="n"/>
    </row>
    <row r="215" ht="15" customHeight="1" s="249">
      <c r="A215" s="172" t="n"/>
      <c r="G215" s="173" t="n"/>
      <c r="H215" s="173" t="n"/>
      <c r="I215" s="173" t="n"/>
      <c r="J215" s="174" t="n"/>
    </row>
    <row r="216" ht="15" customHeight="1" s="249">
      <c r="A216" s="172" t="n"/>
      <c r="G216" s="173" t="n"/>
      <c r="H216" s="173" t="n"/>
      <c r="I216" s="173" t="n"/>
      <c r="J216" s="174" t="n"/>
    </row>
    <row r="217" ht="15" customHeight="1" s="249">
      <c r="A217" s="172" t="n"/>
      <c r="G217" s="173" t="n"/>
      <c r="H217" s="173" t="n"/>
      <c r="I217" s="173" t="n"/>
      <c r="J217" s="174" t="n"/>
    </row>
    <row r="218" ht="15" customHeight="1" s="249">
      <c r="A218" s="172" t="n"/>
      <c r="G218" s="173" t="n"/>
      <c r="H218" s="173" t="n"/>
      <c r="I218" s="173" t="n"/>
      <c r="J218" s="174" t="n"/>
    </row>
    <row r="219" ht="15" customHeight="1" s="249">
      <c r="A219" s="172" t="n"/>
      <c r="G219" s="173" t="n"/>
      <c r="H219" s="173" t="n"/>
      <c r="I219" s="173" t="n"/>
      <c r="J219" s="174" t="n"/>
    </row>
    <row r="220" ht="15" customHeight="1" s="249">
      <c r="A220" s="172" t="n"/>
      <c r="G220" s="173" t="n"/>
      <c r="H220" s="173" t="n"/>
      <c r="I220" s="173" t="n"/>
      <c r="J220" s="174" t="n"/>
    </row>
    <row r="221" ht="15" customHeight="1" s="249">
      <c r="A221" s="172" t="n"/>
      <c r="G221" s="173" t="n"/>
      <c r="H221" s="173" t="n"/>
      <c r="I221" s="173" t="n"/>
      <c r="J221" s="174" t="n"/>
    </row>
    <row r="222" ht="15" customHeight="1" s="249">
      <c r="A222" s="172" t="n"/>
      <c r="G222" s="173" t="n"/>
      <c r="H222" s="173" t="n"/>
      <c r="I222" s="173" t="n"/>
      <c r="J222" s="174" t="n"/>
    </row>
    <row r="223" ht="15" customHeight="1" s="249">
      <c r="A223" s="172" t="n"/>
      <c r="G223" s="173" t="n"/>
      <c r="H223" s="173" t="n"/>
      <c r="I223" s="173" t="n"/>
      <c r="J223" s="174" t="n"/>
    </row>
    <row r="224" ht="15" customHeight="1" s="249">
      <c r="A224" s="172" t="n"/>
      <c r="G224" s="173" t="n"/>
      <c r="H224" s="173" t="n"/>
      <c r="I224" s="173" t="n"/>
      <c r="J224" s="174" t="n"/>
    </row>
    <row r="225" ht="15" customHeight="1" s="249">
      <c r="A225" s="172" t="n"/>
      <c r="G225" s="173" t="n"/>
      <c r="H225" s="173" t="n"/>
      <c r="I225" s="173" t="n"/>
      <c r="J225" s="174" t="n"/>
    </row>
    <row r="226" ht="15" customHeight="1" s="249">
      <c r="A226" s="172" t="n"/>
      <c r="G226" s="173" t="n"/>
      <c r="H226" s="173" t="n"/>
      <c r="I226" s="173" t="n"/>
      <c r="J226" s="174" t="n"/>
    </row>
    <row r="227" ht="15" customHeight="1" s="249">
      <c r="A227" s="172" t="n"/>
      <c r="G227" s="173" t="n"/>
      <c r="H227" s="173" t="n"/>
      <c r="I227" s="173" t="n"/>
      <c r="J227" s="174" t="n"/>
    </row>
    <row r="228" ht="15" customHeight="1" s="249">
      <c r="A228" s="172" t="n"/>
      <c r="G228" s="173" t="n"/>
      <c r="H228" s="173" t="n"/>
      <c r="I228" s="173" t="n"/>
      <c r="J228" s="174" t="n"/>
    </row>
    <row r="229" ht="15" customHeight="1" s="249">
      <c r="A229" s="172" t="n"/>
      <c r="G229" s="173" t="n"/>
      <c r="H229" s="173" t="n"/>
      <c r="I229" s="173" t="n"/>
      <c r="J229" s="174" t="n"/>
    </row>
    <row r="230" ht="15" customHeight="1" s="249">
      <c r="A230" s="172" t="n"/>
      <c r="G230" s="173" t="n"/>
      <c r="H230" s="173" t="n"/>
      <c r="I230" s="173" t="n"/>
      <c r="J230" s="174" t="n"/>
    </row>
    <row r="231" ht="15" customHeight="1" s="249">
      <c r="A231" s="172" t="n"/>
      <c r="G231" s="173" t="n"/>
      <c r="H231" s="173" t="n"/>
      <c r="I231" s="173" t="n"/>
      <c r="J231" s="174" t="n"/>
    </row>
    <row r="232" ht="15" customHeight="1" s="249">
      <c r="A232" s="172" t="n"/>
      <c r="G232" s="173" t="n"/>
      <c r="H232" s="173" t="n"/>
      <c r="I232" s="173" t="n"/>
      <c r="J232" s="174" t="n"/>
    </row>
    <row r="233" ht="15" customHeight="1" s="249">
      <c r="A233" s="172" t="n"/>
      <c r="G233" s="173" t="n"/>
      <c r="H233" s="173" t="n"/>
      <c r="I233" s="173" t="n"/>
      <c r="J233" s="174" t="n"/>
    </row>
    <row r="234" ht="15" customHeight="1" s="249">
      <c r="A234" s="172" t="n"/>
      <c r="G234" s="173" t="n"/>
      <c r="H234" s="173" t="n"/>
      <c r="I234" s="173" t="n"/>
      <c r="J234" s="174" t="n"/>
    </row>
    <row r="235" ht="15" customHeight="1" s="249">
      <c r="A235" s="172" t="n"/>
      <c r="G235" s="173" t="n"/>
      <c r="H235" s="173" t="n"/>
      <c r="I235" s="173" t="n"/>
      <c r="J235" s="174" t="n"/>
    </row>
    <row r="236" ht="15" customHeight="1" s="249">
      <c r="A236" s="172" t="n"/>
      <c r="G236" s="173" t="n"/>
      <c r="H236" s="173" t="n"/>
      <c r="I236" s="173" t="n"/>
      <c r="J236" s="174" t="n"/>
    </row>
    <row r="237" ht="15" customHeight="1" s="249">
      <c r="A237" s="172" t="n"/>
      <c r="G237" s="173" t="n"/>
      <c r="H237" s="173" t="n"/>
      <c r="I237" s="173" t="n"/>
      <c r="J237" s="174" t="n"/>
    </row>
    <row r="238" ht="15" customHeight="1" s="249">
      <c r="A238" s="172" t="n"/>
      <c r="G238" s="173" t="n"/>
      <c r="H238" s="173" t="n"/>
      <c r="I238" s="173" t="n"/>
      <c r="J238" s="174" t="n"/>
    </row>
    <row r="239" ht="15" customHeight="1" s="249">
      <c r="A239" s="172" t="n"/>
      <c r="G239" s="173" t="n"/>
      <c r="H239" s="173" t="n"/>
      <c r="I239" s="173" t="n"/>
      <c r="J239" s="174" t="n"/>
    </row>
    <row r="240" ht="15" customHeight="1" s="249">
      <c r="A240" s="172" t="n"/>
      <c r="G240" s="173" t="n"/>
      <c r="H240" s="173" t="n"/>
      <c r="I240" s="173" t="n"/>
      <c r="J240" s="174" t="n"/>
    </row>
    <row r="241" ht="15" customHeight="1" s="249">
      <c r="A241" s="172" t="n"/>
      <c r="G241" s="173" t="n"/>
      <c r="H241" s="173" t="n"/>
      <c r="I241" s="173" t="n"/>
      <c r="J241" s="174" t="n"/>
    </row>
    <row r="242" ht="15" customHeight="1" s="249">
      <c r="A242" s="172" t="n"/>
      <c r="G242" s="173" t="n"/>
      <c r="H242" s="173" t="n"/>
      <c r="I242" s="173" t="n"/>
      <c r="J242" s="174" t="n"/>
    </row>
    <row r="243" ht="15" customHeight="1" s="249">
      <c r="A243" s="172" t="n"/>
      <c r="G243" s="173" t="n"/>
      <c r="H243" s="173" t="n"/>
      <c r="I243" s="173" t="n"/>
      <c r="J243" s="174" t="n"/>
    </row>
    <row r="244" ht="15" customHeight="1" s="249">
      <c r="A244" s="172" t="n"/>
      <c r="G244" s="173" t="n"/>
      <c r="H244" s="173" t="n"/>
      <c r="I244" s="173" t="n"/>
      <c r="J244" s="174" t="n"/>
    </row>
    <row r="245" ht="15" customHeight="1" s="249">
      <c r="A245" s="172" t="n"/>
      <c r="G245" s="173" t="n"/>
      <c r="H245" s="173" t="n"/>
      <c r="I245" s="173" t="n"/>
      <c r="J245" s="174" t="n"/>
    </row>
    <row r="246" ht="15" customHeight="1" s="249">
      <c r="A246" s="172" t="n"/>
      <c r="G246" s="173" t="n"/>
      <c r="H246" s="173" t="n"/>
      <c r="I246" s="173" t="n"/>
      <c r="J246" s="174" t="n"/>
    </row>
    <row r="247" ht="15" customHeight="1" s="249">
      <c r="A247" s="172" t="n"/>
      <c r="G247" s="173" t="n"/>
      <c r="H247" s="173" t="n"/>
      <c r="I247" s="173" t="n"/>
      <c r="J247" s="174" t="n"/>
    </row>
  </sheetData>
  <autoFilter ref="A2:S80">
    <filterColumn colId="5" hiddenButton="0" showButton="1">
      <filters>
        <filter val="6077"/>
      </filters>
    </filterColumn>
  </autoFilter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9"/>
  <sheetViews>
    <sheetView showGridLines="0" zoomScaleNormal="100" workbookViewId="0">
      <pane ySplit="1" topLeftCell="A32" activePane="bottomLeft" state="frozen"/>
      <selection pane="bottomLeft" activeCell="C13" sqref="C13"/>
    </sheetView>
  </sheetViews>
  <sheetFormatPr baseColWidth="8" defaultColWidth="8.7109375" defaultRowHeight="15"/>
  <cols>
    <col width="8" customWidth="1" style="249" min="1" max="2"/>
    <col width="35" customWidth="1" style="249" min="3" max="3"/>
    <col width="15" customWidth="1" style="249" min="4" max="4"/>
    <col width="10" customWidth="1" style="249" min="5" max="5"/>
    <col width="30" customWidth="1" style="249" min="6" max="6"/>
    <col width="10" customWidth="1" style="249" min="7" max="7"/>
    <col width="30" customWidth="1" style="249" min="8" max="8"/>
    <col width="12" customWidth="1" style="249" min="9" max="15"/>
  </cols>
  <sheetData>
    <row r="1" ht="21.95" customHeight="1" s="249">
      <c r="A1" s="273" t="inlineStr">
        <is>
          <t>BOM ISSUES — ERP Action Register (v10.21 · May 2026)</t>
        </is>
      </c>
    </row>
    <row r="2">
      <c r="A2" s="210" t="inlineStr">
        <is>
          <t>Open items only. Fixed/resolved items are removed. Colour code: RED=CRITICAL · ORANGE=HIGH · YELLOW=MEDIUM · WHITE=LOW.</t>
        </is>
      </c>
      <c r="B2" s="211" t="n"/>
      <c r="C2" s="212" t="n"/>
      <c r="D2" s="212" t="n"/>
      <c r="E2" s="212" t="n"/>
      <c r="F2" s="212" t="n"/>
      <c r="G2" s="212" t="n"/>
      <c r="H2" s="212" t="n"/>
      <c r="I2" s="212" t="n"/>
      <c r="J2" s="212" t="n"/>
      <c r="K2" s="212" t="n"/>
    </row>
    <row r="3" ht="6" customHeight="1" s="249">
      <c r="A3" s="213" t="n"/>
      <c r="B3" s="213" t="n"/>
      <c r="C3" s="213" t="n"/>
      <c r="D3" s="213" t="n"/>
      <c r="E3" s="213" t="n"/>
      <c r="F3" s="213" t="n"/>
      <c r="G3" s="213" t="n"/>
      <c r="H3" s="213" t="n"/>
      <c r="I3" s="213" t="n"/>
      <c r="J3" s="213" t="n"/>
      <c r="K3" s="213" t="n"/>
    </row>
    <row r="4" ht="21.95" customHeight="1" s="249">
      <c r="A4" s="273" t="inlineStr">
        <is>
          <t>S1 — NEW ERP BOMs REQUIRED: TUBE PRODUCTS</t>
        </is>
      </c>
    </row>
    <row r="5" ht="18" customHeight="1" s="249">
      <c r="A5" s="214" t="inlineStr">
        <is>
          <t>PID</t>
        </is>
      </c>
      <c r="B5" s="214" t="inlineStr">
        <is>
          <t>BOM#</t>
        </is>
      </c>
      <c r="C5" s="215" t="inlineStr">
        <is>
          <t>Customer</t>
        </is>
      </c>
      <c r="D5" s="215" t="inlineStr">
        <is>
          <t>Product</t>
        </is>
      </c>
      <c r="E5" s="215" t="inlineStr">
        <is>
          <t>Dia</t>
        </is>
      </c>
      <c r="F5" s="215" t="inlineStr">
        <is>
          <t>Issue</t>
        </is>
      </c>
      <c r="G5" s="215" t="inlineStr">
        <is>
          <t>ERP Action Required</t>
        </is>
      </c>
      <c r="H5" s="215" t="inlineStr">
        <is>
          <t>Priority</t>
        </is>
      </c>
      <c r="I5" s="215" t="inlineStr">
        <is>
          <t>Status</t>
        </is>
      </c>
      <c r="J5" s="215" t="n"/>
      <c r="K5" s="215" t="n"/>
    </row>
    <row r="6" ht="108" customHeight="1" s="249">
      <c r="A6" s="211" t="n">
        <v>9002</v>
      </c>
      <c r="B6" s="211" t="n">
        <v>901</v>
      </c>
      <c r="C6" s="212" t="inlineStr">
        <is>
          <t>Mablay Beauty PVT LTD.</t>
        </is>
      </c>
      <c r="D6" s="212" t="inlineStr">
        <is>
          <t>VINCE NURTURAL (Varnish)</t>
        </is>
      </c>
      <c r="E6" s="212" t="n">
        <v>30</v>
      </c>
      <c r="F6" s="212" t="inlineStr">
        <is>
          <t>Placeholder PID — varnish pass</t>
        </is>
      </c>
      <c r="G6" s="212" t="inlineStr">
        <is>
          <t>Create ERP BOM: Slug(2)+BC(3595)+Lac(4155)+Zinc(194)+Cap(578)+Carton(3598)+Tape(3635).</t>
        </is>
      </c>
      <c r="H6" s="216" t="inlineStr">
        <is>
          <t>HIGH</t>
        </is>
      </c>
      <c r="I6" s="217" t="inlineStr">
        <is>
          <t>OPEN</t>
        </is>
      </c>
      <c r="J6" s="212" t="n"/>
      <c r="K6" s="212" t="n"/>
    </row>
    <row r="7" ht="132" customHeight="1" s="249">
      <c r="A7" s="218" t="n">
        <v>6624</v>
      </c>
      <c r="B7" s="218" t="inlineStr">
        <is>
          <t>—</t>
        </is>
      </c>
      <c r="C7" s="219" t="inlineStr">
        <is>
          <t>Samsol International</t>
        </is>
      </c>
      <c r="D7" s="219" t="inlineStr">
        <is>
          <t>S-43 DIA 19</t>
        </is>
      </c>
      <c r="E7" s="219" t="n">
        <v>19</v>
      </c>
      <c r="F7" s="219" t="inlineStr">
        <is>
          <t>Real ERP PID confirmed (was 9003)</t>
        </is>
      </c>
      <c r="G7" s="219" t="inlineStr">
        <is>
          <t>Create ERP BOM: Slug(22)+BC(3595)+Lac(185)+Cap(80)+Carton(39 or 3619 — confirm)+Zinc(194)+Tape(3635).</t>
        </is>
      </c>
      <c r="H7" s="220" t="inlineStr">
        <is>
          <t>HIGH</t>
        </is>
      </c>
      <c r="I7" s="221" t="inlineStr">
        <is>
          <t>OPEN</t>
        </is>
      </c>
      <c r="J7" s="219" t="n"/>
      <c r="K7" s="219" t="n"/>
    </row>
    <row r="8" ht="132" customHeight="1" s="249">
      <c r="A8" s="211" t="n">
        <v>9004</v>
      </c>
      <c r="B8" s="211" t="n">
        <v>904</v>
      </c>
      <c r="C8" s="212" t="inlineStr">
        <is>
          <t>Bahadur</t>
        </is>
      </c>
      <c r="D8" s="212" t="inlineStr">
        <is>
          <t>BAHADUR TUBE 12.5MM</t>
        </is>
      </c>
      <c r="E8" s="212" t="n">
        <v>12.5</v>
      </c>
      <c r="F8" s="212" t="inlineStr">
        <is>
          <t>Placeholder PID. Carton ID 9903 is fake.</t>
        </is>
      </c>
      <c r="G8" s="212" t="inlineStr">
        <is>
          <t>Create ERP BOM. Confirm real carton Item ID. Lacquer Item ID unknown — add once confirmed.</t>
        </is>
      </c>
      <c r="H8" s="216" t="inlineStr">
        <is>
          <t>HIGH</t>
        </is>
      </c>
      <c r="I8" s="217" t="inlineStr">
        <is>
          <t>OPEN</t>
        </is>
      </c>
      <c r="J8" s="212" t="n"/>
      <c r="K8" s="212" t="n"/>
    </row>
    <row r="9" ht="108" customHeight="1" s="249">
      <c r="A9" s="218" t="n">
        <v>9006</v>
      </c>
      <c r="B9" s="218" t="n">
        <v>906</v>
      </c>
      <c r="C9" s="219" t="inlineStr">
        <is>
          <t>Samsol International</t>
        </is>
      </c>
      <c r="D9" s="219" t="inlineStr">
        <is>
          <t>SAMSOL RED 25MM</t>
        </is>
      </c>
      <c r="E9" s="219" t="n">
        <v>25</v>
      </c>
      <c r="F9" s="219" t="inlineStr">
        <is>
          <t>Placeholder PID</t>
        </is>
      </c>
      <c r="G9" s="219" t="inlineStr">
        <is>
          <t>Create ERP BOM: Slug(6)+BC(3595)+Lac(185)+Cap(68)+Carton(3598)+Zinc(194)+Tape(3635).</t>
        </is>
      </c>
      <c r="H9" s="220" t="inlineStr">
        <is>
          <t>HIGH</t>
        </is>
      </c>
      <c r="I9" s="221" t="inlineStr">
        <is>
          <t>OPEN</t>
        </is>
      </c>
      <c r="J9" s="219" t="n"/>
      <c r="K9" s="219" t="n"/>
    </row>
    <row r="10" ht="6" customHeight="1" s="249">
      <c r="A10" s="222" t="n"/>
      <c r="B10" s="222" t="n"/>
      <c r="C10" s="213" t="n"/>
      <c r="D10" s="222" t="n"/>
      <c r="E10" s="222" t="n"/>
      <c r="F10" s="222" t="n"/>
      <c r="G10" s="223" t="n"/>
      <c r="H10" s="222" t="n"/>
      <c r="I10" s="222" t="n"/>
      <c r="J10" s="213" t="n"/>
      <c r="K10" s="222" t="n"/>
    </row>
    <row r="11" ht="6" customHeight="1" s="249">
      <c r="A11" s="224" t="n"/>
      <c r="B11" s="213" t="n"/>
      <c r="C11" s="213" t="n"/>
      <c r="D11" s="213" t="n"/>
      <c r="E11" s="213" t="n"/>
      <c r="F11" s="213" t="n"/>
      <c r="G11" s="213" t="n"/>
      <c r="H11" s="213" t="n"/>
      <c r="I11" s="213" t="n"/>
      <c r="J11" s="213" t="n"/>
      <c r="K11" s="222" t="n"/>
    </row>
    <row r="12" ht="21.95" customHeight="1" s="249">
      <c r="A12" s="273" t="inlineStr">
        <is>
          <t>S3 — BOM RATE CORRECTIONS: Fix quantities in existing ERP BOMs</t>
        </is>
      </c>
    </row>
    <row r="13" ht="18" customHeight="1" s="249">
      <c r="A13" s="214" t="inlineStr">
        <is>
          <t>PID</t>
        </is>
      </c>
      <c r="B13" s="214" t="inlineStr">
        <is>
          <t>Product</t>
        </is>
      </c>
      <c r="C13" s="215" t="n"/>
      <c r="D13" s="215" t="inlineStr">
        <is>
          <t>Material</t>
        </is>
      </c>
      <c r="E13" s="215" t="inlineStr">
        <is>
          <t>Item ID</t>
        </is>
      </c>
      <c r="F13" s="215" t="inlineStr">
        <is>
          <t>Current ERP Rate</t>
        </is>
      </c>
      <c r="G13" s="215" t="inlineStr">
        <is>
          <t>Correct Rate</t>
        </is>
      </c>
      <c r="H13" s="215" t="inlineStr">
        <is>
          <t>Priority</t>
        </is>
      </c>
      <c r="I13" s="215" t="inlineStr">
        <is>
          <t>Notes</t>
        </is>
      </c>
      <c r="J13" s="215" t="n"/>
      <c r="K13" s="215" t="n"/>
    </row>
    <row r="14" ht="60" customHeight="1" s="249">
      <c r="A14" s="211" t="n">
        <v>6020</v>
      </c>
      <c r="B14" s="211" t="inlineStr">
        <is>
          <t>ANVIL 43</t>
        </is>
      </c>
      <c r="C14" s="212" t="n"/>
      <c r="D14" s="212" t="inlineStr">
        <is>
          <t>LACQUER</t>
        </is>
      </c>
      <c r="E14" s="212" t="inlineStr">
        <is>
          <t>4155</t>
        </is>
      </c>
      <c r="F14" s="212" t="inlineStr">
        <is>
          <t>0.16 kg</t>
        </is>
      </c>
      <c r="G14" s="212" t="inlineStr">
        <is>
          <t>0.50 kg</t>
        </is>
      </c>
      <c r="H14" s="216" t="inlineStr">
        <is>
          <t>CRITICAL</t>
        </is>
      </c>
      <c r="I14" s="212" t="inlineStr">
        <is>
          <t>Floor measurement. 3× understatement.</t>
        </is>
      </c>
      <c r="J14" s="212" t="n"/>
      <c r="K14" s="212" t="n"/>
    </row>
    <row r="15" ht="24" customHeight="1" s="249">
      <c r="A15" s="218" t="n">
        <v>6021</v>
      </c>
      <c r="B15" s="218" t="inlineStr">
        <is>
          <t>ANVIL 45</t>
        </is>
      </c>
      <c r="C15" s="219" t="n"/>
      <c r="D15" s="219" t="inlineStr">
        <is>
          <t>LACQUER</t>
        </is>
      </c>
      <c r="E15" s="219" t="inlineStr">
        <is>
          <t>4155</t>
        </is>
      </c>
      <c r="F15" s="219" t="inlineStr">
        <is>
          <t>0.16 kg</t>
        </is>
      </c>
      <c r="G15" s="219" t="inlineStr">
        <is>
          <t>0.50 kg</t>
        </is>
      </c>
      <c r="H15" s="220" t="inlineStr">
        <is>
          <t>CRITICAL</t>
        </is>
      </c>
      <c r="I15" s="219" t="inlineStr">
        <is>
          <t>Same spec as Anvil 43.</t>
        </is>
      </c>
      <c r="J15" s="219" t="n"/>
      <c r="K15" s="219" t="n"/>
    </row>
    <row r="16" ht="24" customHeight="1" s="249">
      <c r="A16" s="211" t="n">
        <v>6020</v>
      </c>
      <c r="B16" s="211" t="inlineStr">
        <is>
          <t>ANVIL 43</t>
        </is>
      </c>
      <c r="C16" s="212" t="n"/>
      <c r="D16" s="212" t="inlineStr">
        <is>
          <t>BASE COAT</t>
        </is>
      </c>
      <c r="E16" s="212" t="inlineStr">
        <is>
          <t>4156</t>
        </is>
      </c>
      <c r="F16" s="212" t="inlineStr">
        <is>
          <t>0.78 kg</t>
        </is>
      </c>
      <c r="G16" s="212" t="inlineStr">
        <is>
          <t>1.20 kg</t>
        </is>
      </c>
      <c r="H16" s="216" t="inlineStr">
        <is>
          <t>HIGH</t>
        </is>
      </c>
      <c r="I16" s="212" t="inlineStr">
        <is>
          <t>Floor wet measurement.</t>
        </is>
      </c>
      <c r="J16" s="212" t="n"/>
      <c r="K16" s="212" t="n"/>
    </row>
    <row r="17" ht="24" customHeight="1" s="249">
      <c r="A17" s="218" t="n">
        <v>6021</v>
      </c>
      <c r="B17" s="218" t="inlineStr">
        <is>
          <t>ANVIL 45</t>
        </is>
      </c>
      <c r="C17" s="219" t="n"/>
      <c r="D17" s="219" t="inlineStr">
        <is>
          <t>BASE COAT</t>
        </is>
      </c>
      <c r="E17" s="219" t="inlineStr">
        <is>
          <t>4156</t>
        </is>
      </c>
      <c r="F17" s="219" t="inlineStr">
        <is>
          <t>0.78 kg</t>
        </is>
      </c>
      <c r="G17" s="219" t="inlineStr">
        <is>
          <t>1.20 kg</t>
        </is>
      </c>
      <c r="H17" s="220" t="inlineStr">
        <is>
          <t>HIGH</t>
        </is>
      </c>
      <c r="I17" s="219" t="inlineStr">
        <is>
          <t>Same spec as Anvil 43.</t>
        </is>
      </c>
      <c r="J17" s="219" t="n"/>
      <c r="K17" s="219" t="n"/>
    </row>
    <row r="18" ht="24" customHeight="1" s="249">
      <c r="A18" s="211" t="n">
        <v>5731</v>
      </c>
      <c r="B18" s="211" t="inlineStr">
        <is>
          <t>SAMSOL HC 45 20.5MM</t>
        </is>
      </c>
      <c r="C18" s="212" t="n"/>
      <c r="D18" s="212" t="inlineStr">
        <is>
          <t>TAPE</t>
        </is>
      </c>
      <c r="E18" s="212" t="inlineStr">
        <is>
          <t>3635</t>
        </is>
      </c>
      <c r="F18" s="212" t="inlineStr">
        <is>
          <t>2.996 PCS</t>
        </is>
      </c>
      <c r="G18" s="212" t="inlineStr">
        <is>
          <t>0.059 PCS</t>
        </is>
      </c>
      <c r="H18" s="216" t="inlineStr">
        <is>
          <t>HIGH</t>
        </is>
      </c>
      <c r="I18" s="212" t="inlineStr">
        <is>
          <t>50× data entry error.</t>
        </is>
      </c>
      <c r="J18" s="212" t="n"/>
      <c r="K18" s="212" t="n"/>
    </row>
    <row r="19" ht="24" customHeight="1" s="249">
      <c r="A19" s="218" t="n">
        <v>5732</v>
      </c>
      <c r="B19" s="218" t="inlineStr">
        <is>
          <t>SAMSOL HC 43 20.5MM</t>
        </is>
      </c>
      <c r="C19" s="219" t="n"/>
      <c r="D19" s="219" t="inlineStr">
        <is>
          <t>TAPE</t>
        </is>
      </c>
      <c r="E19" s="219" t="inlineStr">
        <is>
          <t>3635</t>
        </is>
      </c>
      <c r="F19" s="219" t="inlineStr">
        <is>
          <t>2.996 PCS</t>
        </is>
      </c>
      <c r="G19" s="219" t="inlineStr">
        <is>
          <t>0.059 PCS</t>
        </is>
      </c>
      <c r="H19" s="220" t="inlineStr">
        <is>
          <t>HIGH</t>
        </is>
      </c>
      <c r="I19" s="219" t="inlineStr">
        <is>
          <t>50× data entry error.</t>
        </is>
      </c>
      <c r="J19" s="219" t="n"/>
      <c r="K19" s="219" t="n"/>
    </row>
    <row r="20" ht="48" customHeight="1" s="249">
      <c r="A20" s="211" t="n">
        <v>6338</v>
      </c>
      <c r="B20" s="211" t="inlineStr">
        <is>
          <t>DTM DIA 25MM</t>
        </is>
      </c>
      <c r="C20" s="212" t="n"/>
      <c r="D20" s="212" t="inlineStr">
        <is>
          <t>BASE COAT</t>
        </is>
      </c>
      <c r="E20" s="212" t="inlineStr">
        <is>
          <t>any</t>
        </is>
      </c>
      <c r="F20" s="212" t="inlineStr">
        <is>
          <t>5,600,000 kg</t>
        </is>
      </c>
      <c r="G20" s="212" t="inlineStr">
        <is>
          <t>~0.56 kg</t>
        </is>
      </c>
      <c r="H20" s="216" t="inlineStr">
        <is>
          <t>HIGH</t>
        </is>
      </c>
      <c r="I20" s="212" t="inlineStr">
        <is>
          <t>ERP data entry error — magnitude wrong.</t>
        </is>
      </c>
      <c r="J20" s="212" t="n"/>
      <c r="K20" s="212" t="n"/>
    </row>
    <row r="21" ht="24" customHeight="1" s="249">
      <c r="A21" s="218" t="n">
        <v>6531</v>
      </c>
      <c r="B21" s="218" t="inlineStr">
        <is>
          <t>V-HC BLACK</t>
        </is>
      </c>
      <c r="C21" s="219" t="n"/>
      <c r="D21" s="219" t="inlineStr">
        <is>
          <t>LACQUER</t>
        </is>
      </c>
      <c r="E21" s="219" t="inlineStr">
        <is>
          <t>4155</t>
        </is>
      </c>
      <c r="F21" s="219" t="inlineStr">
        <is>
          <t>0.28 kg</t>
        </is>
      </c>
      <c r="G21" s="219" t="inlineStr">
        <is>
          <t>0.47 kg</t>
        </is>
      </c>
      <c r="H21" s="225" t="inlineStr">
        <is>
          <t>MEDIUM</t>
        </is>
      </c>
      <c r="I21" s="219" t="inlineStr">
        <is>
          <t>Floor dry measurement.</t>
        </is>
      </c>
      <c r="J21" s="219" t="n"/>
      <c r="K21" s="219" t="n"/>
    </row>
    <row r="22" ht="6" customHeight="1" s="249">
      <c r="A22" s="224" t="n"/>
      <c r="B22" s="213" t="n"/>
      <c r="C22" s="213" t="n"/>
      <c r="D22" s="213" t="n"/>
      <c r="E22" s="213" t="n"/>
      <c r="F22" s="213" t="n"/>
      <c r="G22" s="213" t="n"/>
      <c r="H22" s="213" t="n"/>
      <c r="I22" s="213" t="n"/>
      <c r="J22" s="213" t="n"/>
      <c r="K22" s="223" t="n"/>
    </row>
    <row r="23" ht="21.95" customHeight="1" s="249">
      <c r="A23" s="273" t="inlineStr">
        <is>
          <t>S4 — MISSING MATERIAL LINES: Add to existing ERP BOMs</t>
        </is>
      </c>
    </row>
    <row r="24" ht="18" customHeight="1" s="249">
      <c r="A24" s="214" t="inlineStr">
        <is>
          <t>PID</t>
        </is>
      </c>
      <c r="B24" s="214" t="inlineStr">
        <is>
          <t>Product</t>
        </is>
      </c>
      <c r="C24" s="215" t="n"/>
      <c r="D24" s="215" t="inlineStr">
        <is>
          <t>Missing Material</t>
        </is>
      </c>
      <c r="E24" s="215" t="inlineStr">
        <is>
          <t>Item ID</t>
        </is>
      </c>
      <c r="F24" s="215" t="inlineStr">
        <is>
          <t>Rate</t>
        </is>
      </c>
      <c r="G24" s="215" t="inlineStr">
        <is>
          <t>Reason / Evidence</t>
        </is>
      </c>
      <c r="H24" s="215" t="inlineStr">
        <is>
          <t>Priority</t>
        </is>
      </c>
      <c r="I24" s="215" t="n"/>
      <c r="J24" s="215" t="n"/>
      <c r="K24" s="215" t="n"/>
    </row>
    <row r="25" ht="96" customHeight="1" s="249">
      <c r="A25" s="211" t="inlineStr">
        <is>
          <t>6020/6021</t>
        </is>
      </c>
      <c r="B25" s="211" t="inlineStr">
        <is>
          <t>ANVIL 43 / ANVIL 45</t>
        </is>
      </c>
      <c r="C25" s="212" t="n"/>
      <c r="D25" s="212" t="inlineStr">
        <is>
          <t>YELLOW BASE COAT</t>
        </is>
      </c>
      <c r="E25" s="212" t="n">
        <v>177</v>
      </c>
      <c r="F25" s="212" t="inlineStr">
        <is>
          <t>0.78 kg (est — matches all 35mm)</t>
        </is>
      </c>
      <c r="G25" s="212" t="inlineStr">
        <is>
          <t>Added to local BOM (red font). Item ID 177 confirmed per S6. ADD to ERP BOM.</t>
        </is>
      </c>
      <c r="H25" s="216" t="inlineStr">
        <is>
          <t>CRITICAL</t>
        </is>
      </c>
      <c r="I25" s="212" t="n"/>
      <c r="J25" s="212" t="n"/>
      <c r="K25" s="212" t="n"/>
    </row>
    <row r="26" ht="18" customHeight="1" s="249">
      <c r="A26" s="214" t="n">
        <v>6312</v>
      </c>
      <c r="B26" s="214" t="inlineStr">
        <is>
          <t>HIBA S HAIR COLOR 60ML</t>
        </is>
      </c>
      <c r="C26" s="215" t="n"/>
      <c r="D26" s="215" t="inlineStr">
        <is>
          <t>CAP</t>
        </is>
      </c>
      <c r="E26" s="215" t="n">
        <v>578</v>
      </c>
      <c r="F26" s="215" t="inlineStr">
        <is>
          <t>1,000 PCS</t>
        </is>
      </c>
      <c r="G26" s="215" t="inlineStr">
        <is>
          <t>No cap in ERP BOM. Same 30mm white cap used by all 30mm products.</t>
        </is>
      </c>
      <c r="H26" s="215" t="inlineStr">
        <is>
          <t>HIGH</t>
        </is>
      </c>
      <c r="I26" s="215" t="n"/>
      <c r="J26" s="215" t="n"/>
      <c r="K26" s="215" t="n"/>
    </row>
    <row r="27" ht="72" customHeight="1" s="249">
      <c r="A27" s="211" t="n">
        <v>6338</v>
      </c>
      <c r="B27" s="211" t="inlineStr">
        <is>
          <t>DTM DIA 25MM</t>
        </is>
      </c>
      <c r="C27" s="212" t="n"/>
      <c r="D27" s="212" t="inlineStr">
        <is>
          <t>CAP</t>
        </is>
      </c>
      <c r="E27" s="212" t="inlineStr">
        <is>
          <t>UNKNOWN</t>
        </is>
      </c>
      <c r="F27" s="212" t="inlineStr">
        <is>
          <t>TBD</t>
        </is>
      </c>
      <c r="G27" s="212" t="inlineStr">
        <is>
          <t>No cap line in ERP BOM at all. Confirm Item ID with Rehan.</t>
        </is>
      </c>
      <c r="H27" s="216" t="inlineStr">
        <is>
          <t>HIGH</t>
        </is>
      </c>
      <c r="I27" s="212" t="n"/>
      <c r="J27" s="212" t="n"/>
      <c r="K27" s="212" t="n"/>
    </row>
    <row r="28" ht="108" customHeight="1" s="249">
      <c r="A28" s="218" t="n">
        <v>5814</v>
      </c>
      <c r="B28" s="218" t="inlineStr">
        <is>
          <t>VINCE NURTURAL</t>
        </is>
      </c>
      <c r="C28" s="219" t="n"/>
      <c r="D28" s="219" t="inlineStr">
        <is>
          <t>CARTON</t>
        </is>
      </c>
      <c r="E28" s="219" t="inlineStr">
        <is>
          <t>UNKNOWN</t>
        </is>
      </c>
      <c r="F28" s="219" t="inlineStr">
        <is>
          <t>TBD</t>
        </is>
      </c>
      <c r="G28" s="219" t="inlineStr">
        <is>
          <t>ERP BOM#95 has no carton despite 150 pcs/carton in header. Confirm Item ID.</t>
        </is>
      </c>
      <c r="H28" s="220" t="inlineStr">
        <is>
          <t>HIGH</t>
        </is>
      </c>
      <c r="I28" s="219" t="n"/>
      <c r="J28" s="219" t="n"/>
      <c r="K28" s="219" t="n"/>
    </row>
    <row r="29" ht="18" customHeight="1" s="249">
      <c r="A29" s="214" t="n">
        <v>6312</v>
      </c>
      <c r="B29" s="214" t="inlineStr">
        <is>
          <t>HIBA S HAIR COLOR 60ML</t>
        </is>
      </c>
      <c r="C29" s="215" t="n"/>
      <c r="D29" s="215" t="inlineStr">
        <is>
          <t>LATEX</t>
        </is>
      </c>
      <c r="E29" s="215" t="n">
        <v>186</v>
      </c>
      <c r="F29" s="215" t="inlineStr">
        <is>
          <t>0.28 kg (est)</t>
        </is>
      </c>
      <c r="G29" s="215" t="inlineStr">
        <is>
          <t>Product_Catalog=Yes but not in BOM. Same rate as Active Pro 30mm.</t>
        </is>
      </c>
      <c r="H29" s="215" t="inlineStr">
        <is>
          <t>MEDIUM</t>
        </is>
      </c>
      <c r="I29" s="215" t="n"/>
      <c r="J29" s="215" t="n"/>
      <c r="K29" s="215" t="n"/>
    </row>
    <row r="30" ht="18" customHeight="1" s="249">
      <c r="A30" s="214" t="n">
        <v>6077</v>
      </c>
      <c r="B30" s="214" t="inlineStr">
        <is>
          <t>VINCE HIS</t>
        </is>
      </c>
      <c r="C30" s="215" t="n"/>
      <c r="D30" s="215" t="inlineStr">
        <is>
          <t>LATEX</t>
        </is>
      </c>
      <c r="E30" s="215" t="n">
        <v>186</v>
      </c>
      <c r="F30" s="215" t="inlineStr">
        <is>
          <t>0.28 kg (est)</t>
        </is>
      </c>
      <c r="G30" s="215" t="inlineStr">
        <is>
          <t>Product_Catalog=Yes but not in BOM. Confirm rate with Rehan.</t>
        </is>
      </c>
      <c r="H30" s="215" t="inlineStr">
        <is>
          <t>MEDIUM</t>
        </is>
      </c>
      <c r="I30" s="215" t="n"/>
      <c r="J30" s="215" t="n"/>
      <c r="K30" s="215" t="n"/>
    </row>
    <row r="31" ht="72" customHeight="1" s="249">
      <c r="A31" s="211" t="n">
        <v>6530</v>
      </c>
      <c r="B31" s="211" t="inlineStr">
        <is>
          <t>V- HC BROWN</t>
        </is>
      </c>
      <c r="C31" s="212" t="n"/>
      <c r="D31" s="212" t="inlineStr">
        <is>
          <t>LATEX</t>
        </is>
      </c>
      <c r="E31" s="212" t="n">
        <v>186</v>
      </c>
      <c r="F31" s="212" t="inlineStr">
        <is>
          <t>0.28 kg (est)</t>
        </is>
      </c>
      <c r="G31" s="212" t="inlineStr">
        <is>
          <t>Header shows Latex=Yes but no latex line in BOM.</t>
        </is>
      </c>
      <c r="H31" s="226" t="inlineStr">
        <is>
          <t>MEDIUM</t>
        </is>
      </c>
      <c r="I31" s="212" t="n"/>
      <c r="J31" s="212" t="n"/>
      <c r="K31" s="212" t="n"/>
    </row>
    <row r="32" ht="18" customHeight="1" s="249">
      <c r="A32" s="214" t="n">
        <v>6531</v>
      </c>
      <c r="B32" s="214" t="inlineStr">
        <is>
          <t>V-HC BLACK</t>
        </is>
      </c>
      <c r="C32" s="215" t="n"/>
      <c r="D32" s="215" t="inlineStr">
        <is>
          <t>LATEX</t>
        </is>
      </c>
      <c r="E32" s="215" t="n">
        <v>186</v>
      </c>
      <c r="F32" s="215" t="inlineStr">
        <is>
          <t>0.28 kg (est)</t>
        </is>
      </c>
      <c r="G32" s="215" t="inlineStr">
        <is>
          <t>Product_Catalog=Yes but not in BOM.</t>
        </is>
      </c>
      <c r="H32" s="215" t="inlineStr">
        <is>
          <t>MEDIUM</t>
        </is>
      </c>
      <c r="I32" s="215" t="n"/>
      <c r="J32" s="215" t="n"/>
      <c r="K32" s="215" t="n"/>
    </row>
    <row r="33" ht="6" customHeight="1" s="249">
      <c r="A33" s="224" t="n"/>
      <c r="B33" s="213" t="n"/>
      <c r="C33" s="213" t="n"/>
      <c r="D33" s="213" t="n"/>
      <c r="E33" s="213" t="n"/>
      <c r="F33" s="213" t="n"/>
      <c r="G33" s="213" t="n"/>
      <c r="H33" s="213" t="n"/>
      <c r="I33" s="213" t="n"/>
      <c r="J33" s="213" t="n"/>
      <c r="K33" s="222" t="n"/>
    </row>
    <row r="34" ht="21.95" customHeight="1" s="249">
      <c r="A34" s="273" t="inlineStr">
        <is>
          <t>S5 — ITEM ID CHANGES: Applied in local BOM. Must be replicated in ERP (delete old line, add new line)</t>
        </is>
      </c>
    </row>
    <row r="35" ht="18" customHeight="1" s="249">
      <c r="A35" s="214" t="inlineStr">
        <is>
          <t>PID</t>
        </is>
      </c>
      <c r="B35" s="214" t="inlineStr">
        <is>
          <t>BOM#</t>
        </is>
      </c>
      <c r="C35" s="215" t="inlineStr">
        <is>
          <t>Product</t>
        </is>
      </c>
      <c r="D35" s="215" t="inlineStr">
        <is>
          <t>Material</t>
        </is>
      </c>
      <c r="E35" s="215" t="inlineStr">
        <is>
          <t>Old Item ID</t>
        </is>
      </c>
      <c r="F35" s="215" t="inlineStr">
        <is>
          <t>Old ERP Name</t>
        </is>
      </c>
      <c r="G35" s="215" t="inlineStr">
        <is>
          <t>New Item ID</t>
        </is>
      </c>
      <c r="H35" s="215" t="inlineStr">
        <is>
          <t>New ERP Name</t>
        </is>
      </c>
      <c r="I35" s="215" t="inlineStr">
        <is>
          <t>Rate</t>
        </is>
      </c>
      <c r="J35" s="215" t="n"/>
      <c r="K35" s="215" t="n"/>
    </row>
    <row r="36">
      <c r="A36" s="211" t="n">
        <v>6337</v>
      </c>
      <c r="B36" s="211" t="n">
        <v>166</v>
      </c>
      <c r="C36" s="212" t="inlineStr">
        <is>
          <t>ACTIVE PRO 60ML</t>
        </is>
      </c>
      <c r="D36" s="212" t="inlineStr">
        <is>
          <t>BASE COAT</t>
        </is>
      </c>
      <c r="E36" s="212" t="n">
        <v>170</v>
      </c>
      <c r="F36" s="212" t="inlineStr">
        <is>
          <t>WHITE 5711200001</t>
        </is>
      </c>
      <c r="G36" s="212" t="n">
        <v>3595</v>
      </c>
      <c r="H36" s="212" t="inlineStr">
        <is>
          <t>POLYSTER BASE COAT WHITE 234</t>
        </is>
      </c>
      <c r="I36" s="212" t="inlineStr">
        <is>
          <t>0.67 kg</t>
        </is>
      </c>
      <c r="J36" s="212" t="n"/>
      <c r="K36" s="212" t="n"/>
    </row>
    <row r="37">
      <c r="A37" s="218" t="n">
        <v>6337</v>
      </c>
      <c r="B37" s="218" t="n">
        <v>166</v>
      </c>
      <c r="C37" s="219" t="inlineStr">
        <is>
          <t>ACTIVE PRO 60ML</t>
        </is>
      </c>
      <c r="D37" s="219" t="inlineStr">
        <is>
          <t>LACQUER</t>
        </is>
      </c>
      <c r="E37" s="219" t="n">
        <v>1065</v>
      </c>
      <c r="F37" s="219" t="inlineStr">
        <is>
          <t>PIGMENTED LACQUER 57300</t>
        </is>
      </c>
      <c r="G37" s="219" t="n">
        <v>4155</v>
      </c>
      <c r="H37" s="219" t="inlineStr">
        <is>
          <t>E/P LACQUER 4000 A/R</t>
        </is>
      </c>
      <c r="I37" s="219" t="inlineStr">
        <is>
          <t>0.28 kg</t>
        </is>
      </c>
      <c r="J37" s="219" t="n"/>
      <c r="K37" s="219" t="n"/>
    </row>
    <row r="38">
      <c r="A38" s="211" t="n">
        <v>6338</v>
      </c>
      <c r="B38" s="211" t="n">
        <v>167</v>
      </c>
      <c r="C38" s="212" t="inlineStr">
        <is>
          <t>DTM DIA 25MM</t>
        </is>
      </c>
      <c r="D38" s="212" t="inlineStr">
        <is>
          <t>BASE COAT</t>
        </is>
      </c>
      <c r="E38" s="212" t="n">
        <v>170</v>
      </c>
      <c r="F38" s="212" t="inlineStr">
        <is>
          <t>WHITE 5711200001</t>
        </is>
      </c>
      <c r="G38" s="212" t="n">
        <v>3595</v>
      </c>
      <c r="H38" s="212" t="inlineStr">
        <is>
          <t>POLYSTER BASE COAT WHITE 234</t>
        </is>
      </c>
      <c r="I38" s="212" t="inlineStr">
        <is>
          <t>0.56 kg</t>
        </is>
      </c>
      <c r="J38" s="212" t="n"/>
      <c r="K38" s="212" t="n"/>
    </row>
    <row r="39">
      <c r="A39" s="218" t="n">
        <v>6338</v>
      </c>
      <c r="B39" s="218" t="n">
        <v>167</v>
      </c>
      <c r="C39" s="219" t="inlineStr">
        <is>
          <t>DTM DIA 25MM</t>
        </is>
      </c>
      <c r="D39" s="219" t="inlineStr">
        <is>
          <t>LACQUER</t>
        </is>
      </c>
      <c r="E39" s="219" t="n">
        <v>184</v>
      </c>
      <c r="F39" s="219" t="inlineStr">
        <is>
          <t>LACQUER IMP 49989</t>
        </is>
      </c>
      <c r="G39" s="219" t="n">
        <v>185</v>
      </c>
      <c r="H39" s="219" t="inlineStr">
        <is>
          <t>EPOXY LACQUER (1500)</t>
        </is>
      </c>
      <c r="I39" s="219" t="inlineStr">
        <is>
          <t>0.3737 kg</t>
        </is>
      </c>
      <c r="J39" s="219" t="n"/>
      <c r="K39" s="219" t="n"/>
    </row>
    <row r="40">
      <c r="A40" s="211" t="n">
        <v>6312</v>
      </c>
      <c r="B40" s="211" t="n">
        <v>157</v>
      </c>
      <c r="C40" s="212" t="inlineStr">
        <is>
          <t>HIBA S HAIR COLOR</t>
        </is>
      </c>
      <c r="D40" s="212" t="inlineStr">
        <is>
          <t>BASE COAT</t>
        </is>
      </c>
      <c r="E40" s="212" t="n">
        <v>170</v>
      </c>
      <c r="F40" s="212" t="inlineStr">
        <is>
          <t>WHITE 5711200001</t>
        </is>
      </c>
      <c r="G40" s="212" t="n">
        <v>3595</v>
      </c>
      <c r="H40" s="212" t="inlineStr">
        <is>
          <t>POLYSTER BASE COAT WHITE 234</t>
        </is>
      </c>
      <c r="I40" s="212" t="inlineStr">
        <is>
          <t>0.67 kg</t>
        </is>
      </c>
      <c r="J40" s="212" t="n"/>
      <c r="K40" s="212" t="n"/>
    </row>
    <row r="41">
      <c r="A41" s="218" t="n">
        <v>6312</v>
      </c>
      <c r="B41" s="218" t="n">
        <v>157</v>
      </c>
      <c r="C41" s="219" t="inlineStr">
        <is>
          <t>HIBA S HAIR COLOR</t>
        </is>
      </c>
      <c r="D41" s="219" t="inlineStr">
        <is>
          <t>LACQUER</t>
        </is>
      </c>
      <c r="E41" s="219" t="n">
        <v>1065</v>
      </c>
      <c r="F41" s="219" t="inlineStr">
        <is>
          <t>PIGMENTED LACQUER 57300</t>
        </is>
      </c>
      <c r="G41" s="219" t="n">
        <v>4155</v>
      </c>
      <c r="H41" s="219" t="inlineStr">
        <is>
          <t>E/P LACQUER 4000 A/R</t>
        </is>
      </c>
      <c r="I41" s="219" t="inlineStr">
        <is>
          <t>0.28 kg</t>
        </is>
      </c>
      <c r="J41" s="219" t="n"/>
      <c r="K41" s="219" t="n"/>
    </row>
    <row r="42">
      <c r="A42" s="211" t="n">
        <v>6228</v>
      </c>
      <c r="B42" s="211" t="n">
        <v>150</v>
      </c>
      <c r="C42" s="212" t="inlineStr">
        <is>
          <t>HIS ONLY HC 40GM</t>
        </is>
      </c>
      <c r="D42" s="212" t="inlineStr">
        <is>
          <t>BASE COAT</t>
        </is>
      </c>
      <c r="E42" s="212" t="n">
        <v>170</v>
      </c>
      <c r="F42" s="212" t="inlineStr">
        <is>
          <t>WHITE 5711200001</t>
        </is>
      </c>
      <c r="G42" s="212" t="n">
        <v>3595</v>
      </c>
      <c r="H42" s="212" t="inlineStr">
        <is>
          <t>POLYSTER BASE COAT WHITE 234</t>
        </is>
      </c>
      <c r="I42" s="212" t="inlineStr">
        <is>
          <t>0.612 kg</t>
        </is>
      </c>
      <c r="J42" s="212" t="n"/>
      <c r="K42" s="212" t="n"/>
    </row>
    <row r="43">
      <c r="A43" s="218" t="n">
        <v>5782</v>
      </c>
      <c r="B43" s="218" t="n">
        <v>70</v>
      </c>
      <c r="C43" s="219" t="inlineStr">
        <is>
          <t>M.G</t>
        </is>
      </c>
      <c r="D43" s="219" t="inlineStr">
        <is>
          <t>BASE COAT</t>
        </is>
      </c>
      <c r="E43" s="219" t="n">
        <v>170</v>
      </c>
      <c r="F43" s="219" t="inlineStr">
        <is>
          <t>WHITE 5711200001</t>
        </is>
      </c>
      <c r="G43" s="219" t="n">
        <v>3595</v>
      </c>
      <c r="H43" s="219" t="inlineStr">
        <is>
          <t>POLYSTER BASE COAT WHITE 234</t>
        </is>
      </c>
      <c r="I43" s="219" t="inlineStr">
        <is>
          <t>0.78 kg</t>
        </is>
      </c>
      <c r="J43" s="219" t="n"/>
      <c r="K43" s="219" t="n"/>
    </row>
    <row r="44">
      <c r="A44" s="211" t="n">
        <v>5782</v>
      </c>
      <c r="B44" s="211" t="n">
        <v>70</v>
      </c>
      <c r="C44" s="212" t="inlineStr">
        <is>
          <t>M.G</t>
        </is>
      </c>
      <c r="D44" s="212" t="inlineStr">
        <is>
          <t>LACQUER</t>
        </is>
      </c>
      <c r="E44" s="212" t="n">
        <v>184</v>
      </c>
      <c r="F44" s="212" t="inlineStr">
        <is>
          <t>LACQUER IMP 49989</t>
        </is>
      </c>
      <c r="G44" s="212" t="n">
        <v>185</v>
      </c>
      <c r="H44" s="212" t="inlineStr">
        <is>
          <t>EPOXY LACQUER (1500)</t>
        </is>
      </c>
      <c r="I44" s="212" t="inlineStr">
        <is>
          <t>0.1785 kg</t>
        </is>
      </c>
      <c r="J44" s="212" t="n"/>
      <c r="K44" s="212" t="n"/>
    </row>
    <row r="45">
      <c r="A45" s="218" t="n">
        <v>3447</v>
      </c>
      <c r="B45" s="218" t="n">
        <v>34</v>
      </c>
      <c r="C45" s="219" t="inlineStr">
        <is>
          <t>S 43 25MM</t>
        </is>
      </c>
      <c r="D45" s="219" t="inlineStr">
        <is>
          <t>BASE COAT</t>
        </is>
      </c>
      <c r="E45" s="219" t="n">
        <v>4156</v>
      </c>
      <c r="F45" s="219" t="inlineStr">
        <is>
          <t>BEIGE 5711200007</t>
        </is>
      </c>
      <c r="G45" s="219" t="n">
        <v>3595</v>
      </c>
      <c r="H45" s="219" t="inlineStr">
        <is>
          <t>POLYSTER BASE COAT WHITE 234</t>
        </is>
      </c>
      <c r="I45" s="219" t="inlineStr">
        <is>
          <t>0.61 kg</t>
        </is>
      </c>
      <c r="J45" s="219" t="n"/>
      <c r="K45" s="219" t="n"/>
    </row>
    <row r="46">
      <c r="A46" s="211" t="n">
        <v>3447</v>
      </c>
      <c r="B46" s="211" t="n">
        <v>34</v>
      </c>
      <c r="C46" s="212" t="inlineStr">
        <is>
          <t>S 43 25MM</t>
        </is>
      </c>
      <c r="D46" s="212" t="inlineStr">
        <is>
          <t>CAP</t>
        </is>
      </c>
      <c r="E46" s="212" t="n">
        <v>3866</v>
      </c>
      <c r="F46" s="212" t="inlineStr">
        <is>
          <t>M-11 SPR BEIGE DIA 25</t>
        </is>
      </c>
      <c r="G46" s="212" t="n">
        <v>68</v>
      </c>
      <c r="H46" s="212" t="inlineStr">
        <is>
          <t>M-11 SPR WHITE DIA 25MM</t>
        </is>
      </c>
      <c r="I46" s="212" t="inlineStr">
        <is>
          <t>1,000 PCS</t>
        </is>
      </c>
      <c r="J46" s="212" t="n"/>
      <c r="K46" s="212" t="n"/>
    </row>
    <row r="47">
      <c r="A47" s="218" t="n">
        <v>3447</v>
      </c>
      <c r="B47" s="218" t="n">
        <v>34</v>
      </c>
      <c r="C47" s="219" t="inlineStr">
        <is>
          <t>S 43 25MM</t>
        </is>
      </c>
      <c r="D47" s="219" t="inlineStr">
        <is>
          <t>LACQUER</t>
        </is>
      </c>
      <c r="E47" s="219" t="n">
        <v>184</v>
      </c>
      <c r="F47" s="219" t="inlineStr">
        <is>
          <t>LACQUER IMP 49989</t>
        </is>
      </c>
      <c r="G47" s="219" t="n">
        <v>185</v>
      </c>
      <c r="H47" s="219" t="inlineStr">
        <is>
          <t>EPOXY LACQUER (1500)</t>
        </is>
      </c>
      <c r="I47" s="219" t="inlineStr">
        <is>
          <t>0.3737 kg</t>
        </is>
      </c>
      <c r="J47" s="219" t="n"/>
      <c r="K47" s="219" t="n"/>
    </row>
    <row r="48">
      <c r="A48" s="211" t="n">
        <v>5732</v>
      </c>
      <c r="B48" s="211" t="n">
        <v>33</v>
      </c>
      <c r="C48" s="212" t="inlineStr">
        <is>
          <t>SAMSOL HC 43 20.5MM</t>
        </is>
      </c>
      <c r="D48" s="212" t="inlineStr">
        <is>
          <t>BASE COAT</t>
        </is>
      </c>
      <c r="E48" s="212" t="n">
        <v>4156</v>
      </c>
      <c r="F48" s="212" t="inlineStr">
        <is>
          <t>BEIGE 5711200007</t>
        </is>
      </c>
      <c r="G48" s="212" t="n">
        <v>3595</v>
      </c>
      <c r="H48" s="212" t="inlineStr">
        <is>
          <t>POLYSTER BASE COAT WHITE 234</t>
        </is>
      </c>
      <c r="I48" s="212" t="inlineStr">
        <is>
          <t>0.385 kg</t>
        </is>
      </c>
      <c r="J48" s="212" t="n"/>
      <c r="K48" s="212" t="n"/>
    </row>
    <row r="49">
      <c r="A49" s="218" t="n">
        <v>5732</v>
      </c>
      <c r="B49" s="218" t="n">
        <v>33</v>
      </c>
      <c r="C49" s="219" t="inlineStr">
        <is>
          <t>SAMSOL HC 43 20.5MM</t>
        </is>
      </c>
      <c r="D49" s="219" t="inlineStr">
        <is>
          <t>CAP</t>
        </is>
      </c>
      <c r="E49" s="219" t="n">
        <v>4044</v>
      </c>
      <c r="F49" s="219" t="inlineStr">
        <is>
          <t>M-9 SPR BEIGE DIA 20.5</t>
        </is>
      </c>
      <c r="G49" s="219" t="n">
        <v>6971</v>
      </c>
      <c r="H49" s="219" t="inlineStr">
        <is>
          <t>M-9 SPR WHITE DIA 20.5MM</t>
        </is>
      </c>
      <c r="I49" s="219" t="inlineStr">
        <is>
          <t>1,000 PCS</t>
        </is>
      </c>
      <c r="J49" s="219" t="n"/>
      <c r="K49" s="219" t="n"/>
    </row>
    <row r="50">
      <c r="A50" s="211" t="n">
        <v>5732</v>
      </c>
      <c r="B50" s="211" t="n">
        <v>33</v>
      </c>
      <c r="C50" s="212" t="inlineStr">
        <is>
          <t>SAMSOL HC 43 20.5MM</t>
        </is>
      </c>
      <c r="D50" s="212" t="inlineStr">
        <is>
          <t>LACQUER</t>
        </is>
      </c>
      <c r="E50" s="212" t="n">
        <v>184</v>
      </c>
      <c r="F50" s="212" t="inlineStr">
        <is>
          <t>LACQUER IMP 49989</t>
        </is>
      </c>
      <c r="G50" s="212" t="n">
        <v>185</v>
      </c>
      <c r="H50" s="212" t="inlineStr">
        <is>
          <t>EPOXY LACQUER (1500)</t>
        </is>
      </c>
      <c r="I50" s="212" t="inlineStr">
        <is>
          <t>0.24 kg</t>
        </is>
      </c>
      <c r="J50" s="212" t="n"/>
      <c r="K50" s="212" t="n"/>
    </row>
    <row r="51">
      <c r="A51" s="218" t="n">
        <v>5731</v>
      </c>
      <c r="B51" s="218" t="n">
        <v>32</v>
      </c>
      <c r="C51" s="219" t="inlineStr">
        <is>
          <t>SAMSOL HC 45 20.5MM</t>
        </is>
      </c>
      <c r="D51" s="219" t="inlineStr">
        <is>
          <t>BASE COAT</t>
        </is>
      </c>
      <c r="E51" s="219" t="n">
        <v>4156</v>
      </c>
      <c r="F51" s="219" t="inlineStr">
        <is>
          <t>BEIGE 5711200007</t>
        </is>
      </c>
      <c r="G51" s="219" t="n">
        <v>3595</v>
      </c>
      <c r="H51" s="219" t="inlineStr">
        <is>
          <t>POLYSTER BASE COAT WHITE 234</t>
        </is>
      </c>
      <c r="I51" s="219" t="inlineStr">
        <is>
          <t>0.385 kg</t>
        </is>
      </c>
      <c r="J51" s="219" t="n"/>
      <c r="K51" s="219" t="n"/>
    </row>
    <row r="52">
      <c r="A52" s="211" t="n">
        <v>5731</v>
      </c>
      <c r="B52" s="211" t="n">
        <v>32</v>
      </c>
      <c r="C52" s="212" t="inlineStr">
        <is>
          <t>SAMSOL HC 45 20.5MM</t>
        </is>
      </c>
      <c r="D52" s="212" t="inlineStr">
        <is>
          <t>CAP</t>
        </is>
      </c>
      <c r="E52" s="212" t="n">
        <v>4044</v>
      </c>
      <c r="F52" s="212" t="inlineStr">
        <is>
          <t>M-9 SPR BEIGE DIA 20.5</t>
        </is>
      </c>
      <c r="G52" s="212" t="n">
        <v>6971</v>
      </c>
      <c r="H52" s="212" t="inlineStr">
        <is>
          <t>M-9 SPR WHITE DIA 20.5MM</t>
        </is>
      </c>
      <c r="I52" s="212" t="inlineStr">
        <is>
          <t>1,000 PCS</t>
        </is>
      </c>
      <c r="J52" s="212" t="n"/>
      <c r="K52" s="212" t="n"/>
    </row>
    <row r="53">
      <c r="A53" s="218" t="n">
        <v>5731</v>
      </c>
      <c r="B53" s="218" t="n">
        <v>32</v>
      </c>
      <c r="C53" s="219" t="inlineStr">
        <is>
          <t>SAMSOL HC 45 20.5MM</t>
        </is>
      </c>
      <c r="D53" s="219" t="inlineStr">
        <is>
          <t>LACQUER</t>
        </is>
      </c>
      <c r="E53" s="219" t="n">
        <v>184</v>
      </c>
      <c r="F53" s="219" t="inlineStr">
        <is>
          <t>LACQUER IMP 49989</t>
        </is>
      </c>
      <c r="G53" s="219" t="n">
        <v>185</v>
      </c>
      <c r="H53" s="219" t="inlineStr">
        <is>
          <t>EPOXY LACQUER (1500)</t>
        </is>
      </c>
      <c r="I53" s="219" t="inlineStr">
        <is>
          <t>0.24 kg</t>
        </is>
      </c>
      <c r="J53" s="219" t="n"/>
      <c r="K53" s="219" t="n"/>
    </row>
    <row r="54">
      <c r="A54" s="211" t="n">
        <v>6532</v>
      </c>
      <c r="B54" s="211" t="n">
        <v>181</v>
      </c>
      <c r="C54" s="212" t="inlineStr">
        <is>
          <t>TUBE COMMON PURPLE</t>
        </is>
      </c>
      <c r="D54" s="212" t="inlineStr">
        <is>
          <t>BASE COAT</t>
        </is>
      </c>
      <c r="E54" s="212" t="n">
        <v>170</v>
      </c>
      <c r="F54" s="212" t="inlineStr">
        <is>
          <t>WHITE 5711200001</t>
        </is>
      </c>
      <c r="G54" s="212" t="n">
        <v>3595</v>
      </c>
      <c r="H54" s="212" t="inlineStr">
        <is>
          <t>POLYSTER BASE COAT WHITE 234</t>
        </is>
      </c>
      <c r="I54" s="212" t="inlineStr">
        <is>
          <t>0.612 kg</t>
        </is>
      </c>
      <c r="J54" s="212" t="n"/>
      <c r="K54" s="212" t="n"/>
    </row>
    <row r="55">
      <c r="A55" s="218" t="n">
        <v>6532</v>
      </c>
      <c r="B55" s="218" t="n">
        <v>181</v>
      </c>
      <c r="C55" s="219" t="inlineStr">
        <is>
          <t>TUBE COMMON PURPLE</t>
        </is>
      </c>
      <c r="D55" s="219" t="inlineStr">
        <is>
          <t>LACQUER</t>
        </is>
      </c>
      <c r="E55" s="219" t="n">
        <v>184</v>
      </c>
      <c r="F55" s="219" t="inlineStr">
        <is>
          <t>LACQUER IMP 49989</t>
        </is>
      </c>
      <c r="G55" s="219" t="n">
        <v>185</v>
      </c>
      <c r="H55" s="219" t="inlineStr">
        <is>
          <t>EPOXY LACQUER (1500)</t>
        </is>
      </c>
      <c r="I55" s="219" t="inlineStr">
        <is>
          <t>0.292 kg</t>
        </is>
      </c>
      <c r="J55" s="219" t="n"/>
      <c r="K55" s="219" t="n"/>
    </row>
    <row r="56">
      <c r="A56" s="211" t="n">
        <v>3726</v>
      </c>
      <c r="B56" s="211" t="n">
        <v>9</v>
      </c>
      <c r="C56" s="212" t="inlineStr">
        <is>
          <t>TUBES</t>
        </is>
      </c>
      <c r="D56" s="212" t="inlineStr">
        <is>
          <t>BASE COAT</t>
        </is>
      </c>
      <c r="E56" s="212" t="n">
        <v>170</v>
      </c>
      <c r="F56" s="212" t="inlineStr">
        <is>
          <t>WHITE 5711200001</t>
        </is>
      </c>
      <c r="G56" s="212" t="n">
        <v>3595</v>
      </c>
      <c r="H56" s="212" t="inlineStr">
        <is>
          <t>POLYSTER BASE COAT WHITE 234</t>
        </is>
      </c>
      <c r="I56" s="212" t="inlineStr">
        <is>
          <t>0.612 kg</t>
        </is>
      </c>
      <c r="J56" s="212" t="n"/>
      <c r="K56" s="212" t="n"/>
    </row>
    <row r="57">
      <c r="A57" s="218" t="n">
        <v>3726</v>
      </c>
      <c r="B57" s="218" t="n">
        <v>9</v>
      </c>
      <c r="C57" s="219" t="inlineStr">
        <is>
          <t>TUBES</t>
        </is>
      </c>
      <c r="D57" s="219" t="inlineStr">
        <is>
          <t>LACQUER</t>
        </is>
      </c>
      <c r="E57" s="219" t="n">
        <v>184</v>
      </c>
      <c r="F57" s="219" t="inlineStr">
        <is>
          <t>LACQUER IMP 49989</t>
        </is>
      </c>
      <c r="G57" s="219" t="n">
        <v>185</v>
      </c>
      <c r="H57" s="219" t="inlineStr">
        <is>
          <t>EPOXY LACQUER (1500)</t>
        </is>
      </c>
      <c r="I57" s="219" t="inlineStr">
        <is>
          <t>0.292 kg</t>
        </is>
      </c>
      <c r="J57" s="219" t="n"/>
      <c r="K57" s="219" t="n"/>
    </row>
    <row r="58">
      <c r="A58" s="211" t="n">
        <v>6077</v>
      </c>
      <c r="B58" s="211" t="n">
        <v>138</v>
      </c>
      <c r="C58" s="212" t="inlineStr">
        <is>
          <t>VINCE HIS</t>
        </is>
      </c>
      <c r="D58" s="212" t="inlineStr">
        <is>
          <t>BASE COAT</t>
        </is>
      </c>
      <c r="E58" s="212" t="n">
        <v>170</v>
      </c>
      <c r="F58" s="212" t="inlineStr">
        <is>
          <t>WHITE 5711200001</t>
        </is>
      </c>
      <c r="G58" s="212" t="n">
        <v>3595</v>
      </c>
      <c r="H58" s="212" t="inlineStr">
        <is>
          <t>POLYSTER BASE COAT WHITE 234</t>
        </is>
      </c>
      <c r="I58" s="212" t="inlineStr">
        <is>
          <t>0.31 kg</t>
        </is>
      </c>
      <c r="J58" s="212" t="n"/>
      <c r="K58" s="212" t="n"/>
    </row>
    <row r="59">
      <c r="A59" s="218" t="n">
        <v>5814</v>
      </c>
      <c r="B59" s="218" t="n">
        <v>95</v>
      </c>
      <c r="C59" s="219" t="inlineStr">
        <is>
          <t>VINCE NURTURAL</t>
        </is>
      </c>
      <c r="D59" s="219" t="inlineStr">
        <is>
          <t>BASE COAT</t>
        </is>
      </c>
      <c r="E59" s="219" t="n">
        <v>170</v>
      </c>
      <c r="F59" s="219" t="inlineStr">
        <is>
          <t>WHITE 5711200001</t>
        </is>
      </c>
      <c r="G59" s="219" t="n">
        <v>3595</v>
      </c>
      <c r="H59" s="219" t="inlineStr">
        <is>
          <t>POLYSTER BASE COAT WHITE 234</t>
        </is>
      </c>
      <c r="I59" s="219" t="inlineStr">
        <is>
          <t>0.6684 kg</t>
        </is>
      </c>
      <c r="J59" s="219" t="n"/>
      <c r="K59" s="219" t="n"/>
    </row>
    <row r="60">
      <c r="A60" s="211" t="n">
        <v>5814</v>
      </c>
      <c r="B60" s="211" t="n">
        <v>95</v>
      </c>
      <c r="C60" s="212" t="inlineStr">
        <is>
          <t>VINCE NURTURAL</t>
        </is>
      </c>
      <c r="D60" s="212" t="inlineStr">
        <is>
          <t>LACQUER</t>
        </is>
      </c>
      <c r="E60" s="212" t="n">
        <v>1065</v>
      </c>
      <c r="F60" s="212" t="inlineStr">
        <is>
          <t>PIGMENTED LACQUER 57300</t>
        </is>
      </c>
      <c r="G60" s="212" t="n">
        <v>4155</v>
      </c>
      <c r="H60" s="212" t="inlineStr">
        <is>
          <t>E/P LACQUER 4000 A/R</t>
        </is>
      </c>
      <c r="I60" s="212" t="inlineStr">
        <is>
          <t>0.2959 kg</t>
        </is>
      </c>
      <c r="J60" s="212" t="n"/>
      <c r="K60" s="212" t="n"/>
    </row>
    <row r="61">
      <c r="A61" s="218" t="n">
        <v>9002</v>
      </c>
      <c r="B61" s="218" t="n">
        <v>901</v>
      </c>
      <c r="C61" s="219" t="inlineStr">
        <is>
          <t>VINCE NURTURAL (Varnish)</t>
        </is>
      </c>
      <c r="D61" s="219" t="inlineStr">
        <is>
          <t>BASE COAT</t>
        </is>
      </c>
      <c r="E61" s="219" t="n">
        <v>170</v>
      </c>
      <c r="F61" s="219" t="inlineStr">
        <is>
          <t>WHITE 5711200001</t>
        </is>
      </c>
      <c r="G61" s="219" t="n">
        <v>3595</v>
      </c>
      <c r="H61" s="219" t="inlineStr">
        <is>
          <t>POLYSTER BASE COAT WHITE 234</t>
        </is>
      </c>
      <c r="I61" s="219" t="inlineStr">
        <is>
          <t>0.67 kg</t>
        </is>
      </c>
      <c r="J61" s="219" t="n"/>
      <c r="K61" s="219" t="n"/>
    </row>
    <row r="62">
      <c r="A62" s="211" t="n">
        <v>9002</v>
      </c>
      <c r="B62" s="211" t="n">
        <v>901</v>
      </c>
      <c r="C62" s="212" t="inlineStr">
        <is>
          <t>VINCE NURTURAL (Varnish)</t>
        </is>
      </c>
      <c r="D62" s="212" t="inlineStr">
        <is>
          <t>LACQUER</t>
        </is>
      </c>
      <c r="E62" s="212" t="n">
        <v>1065</v>
      </c>
      <c r="F62" s="212" t="inlineStr">
        <is>
          <t>PIGMENTED LACQUER 57300</t>
        </is>
      </c>
      <c r="G62" s="212" t="n">
        <v>4155</v>
      </c>
      <c r="H62" s="212" t="inlineStr">
        <is>
          <t>E/P LACQUER 4000 A/R</t>
        </is>
      </c>
      <c r="I62" s="212" t="inlineStr">
        <is>
          <t>0.28 kg</t>
        </is>
      </c>
      <c r="J62" s="212" t="n"/>
      <c r="K62" s="212" t="n"/>
    </row>
    <row r="63">
      <c r="A63" s="218" t="n">
        <v>9002</v>
      </c>
      <c r="B63" s="218" t="n">
        <v>901</v>
      </c>
      <c r="C63" s="219" t="inlineStr">
        <is>
          <t>VINCE NURTURAL (Varnish)</t>
        </is>
      </c>
      <c r="D63" s="219" t="inlineStr">
        <is>
          <t>CARTON</t>
        </is>
      </c>
      <c r="E63" s="219" t="n">
        <v>3988</v>
      </c>
      <c r="F63" s="219" t="inlineStr">
        <is>
          <t>35x180 5ply</t>
        </is>
      </c>
      <c r="G63" s="219" t="n">
        <v>3598</v>
      </c>
      <c r="H63" s="219" t="inlineStr">
        <is>
          <t>25x336 5Ply</t>
        </is>
      </c>
      <c r="I63" s="219" t="inlineStr">
        <is>
          <t>6.06 PCS</t>
        </is>
      </c>
      <c r="J63" s="219" t="n"/>
      <c r="K63" s="219" t="n"/>
    </row>
    <row r="64" ht="6" customHeight="1" s="249">
      <c r="A64" s="227" t="n"/>
      <c r="B64" s="213" t="n"/>
      <c r="C64" s="213" t="n"/>
      <c r="D64" s="213" t="n"/>
      <c r="E64" s="213" t="n"/>
      <c r="F64" s="213" t="n"/>
      <c r="G64" s="213" t="n"/>
      <c r="H64" s="213" t="n"/>
      <c r="I64" s="213" t="n"/>
      <c r="J64" s="228" t="n"/>
      <c r="K64" s="228" t="n"/>
    </row>
    <row r="65" ht="21.95" customHeight="1" s="249">
      <c r="A65" s="273" t="inlineStr">
        <is>
          <t>S6 — ITEM ID QUERIES: Confirm with Rehan before finalising</t>
        </is>
      </c>
    </row>
    <row r="66" ht="18" customHeight="1" s="249">
      <c r="A66" s="214" t="inlineStr">
        <is>
          <t>Category</t>
        </is>
      </c>
      <c r="B66" s="214" t="inlineStr">
        <is>
          <t>Detail</t>
        </is>
      </c>
      <c r="C66" s="215" t="inlineStr">
        <is>
          <t>Item / ID 1</t>
        </is>
      </c>
      <c r="D66" s="215" t="inlineStr">
        <is>
          <t>Item / ID 2</t>
        </is>
      </c>
      <c r="E66" s="215" t="inlineStr">
        <is>
          <t>Question / Issue</t>
        </is>
      </c>
      <c r="F66" s="215" t="inlineStr">
        <is>
          <t>Status</t>
        </is>
      </c>
      <c r="G66" s="215" t="inlineStr">
        <is>
          <t>Priority</t>
        </is>
      </c>
      <c r="H66" s="215" t="n"/>
      <c r="I66" s="215" t="n"/>
      <c r="J66" s="215" t="n"/>
      <c r="K66" s="215" t="n"/>
    </row>
    <row r="67" ht="18" customHeight="1" s="249">
      <c r="A67" s="214" t="inlineStr">
        <is>
          <t>PID 6624 Carton</t>
        </is>
      </c>
      <c r="B67" s="214" t="inlineStr">
        <is>
          <t>S-43 DIA 19 (19mm product)</t>
        </is>
      </c>
      <c r="C67" s="215" t="inlineStr">
        <is>
          <t>3619 = 20.5mm carton</t>
        </is>
      </c>
      <c r="D67" s="215" t="inlineStr">
        <is>
          <t>39 = 19mm carton (expected)</t>
        </is>
      </c>
      <c r="E67" s="215" t="inlineStr">
        <is>
          <t>BOM originally had 20.5mm carton for 19mm product — likely Rehan data entry error. Which is correct?</t>
        </is>
      </c>
      <c r="F67" s="215" t="inlineStr">
        <is>
          <t>OPEN</t>
        </is>
      </c>
      <c r="G67" s="215" t="inlineStr">
        <is>
          <t>HIGH</t>
        </is>
      </c>
      <c r="H67" s="215" t="n"/>
      <c r="I67" s="215" t="n"/>
      <c r="J67" s="215" t="n"/>
      <c r="K67" s="215" t="n"/>
    </row>
    <row r="68" ht="120" customHeight="1" s="249">
      <c r="A68" s="211" t="inlineStr">
        <is>
          <t>Gold Inks</t>
        </is>
      </c>
      <c r="B68" s="211" t="inlineStr">
        <is>
          <t>Item IDs 7094 vs 6935</t>
        </is>
      </c>
      <c r="C68" s="212" t="inlineStr">
        <is>
          <t>ID 7094 = INK GOLD IMP V0221267AT</t>
        </is>
      </c>
      <c r="D68" s="212" t="inlineStr">
        <is>
          <t>ID 6935 = GOLD V0221267-RF</t>
        </is>
      </c>
      <c r="E68" s="212" t="inlineStr">
        <is>
          <t>Same material or different? 7094 has 20 kg consumption; 6935 has zero. Possible duplicate.</t>
        </is>
      </c>
      <c r="F68" s="212" t="inlineStr">
        <is>
          <t>Verify</t>
        </is>
      </c>
      <c r="G68" s="212" t="inlineStr">
        <is>
          <t>LOW</t>
        </is>
      </c>
      <c r="H68" s="212" t="n"/>
      <c r="I68" s="212" t="n"/>
      <c r="J68" s="212" t="n"/>
      <c r="K68" s="212" t="n"/>
    </row>
    <row r="69" ht="72" customHeight="1" s="249">
      <c r="A69" s="218" t="inlineStr">
        <is>
          <t>PID 5698 vs 5731</t>
        </is>
      </c>
      <c r="B69" s="218" t="inlineStr">
        <is>
          <t>S-45 DIA 20.5 (Samsol)</t>
        </is>
      </c>
      <c r="C69" s="219" t="inlineStr">
        <is>
          <t>5698 BOM#22 (old)</t>
        </is>
      </c>
      <c r="D69" s="219" t="inlineStr">
        <is>
          <t>5731 BOM#32 (newer)</t>
        </is>
      </c>
      <c r="E69" s="219" t="inlineStr">
        <is>
          <t>Is PID 5698 obsolete, superseded by 5731? Confirm ERP.</t>
        </is>
      </c>
      <c r="F69" s="219" t="inlineStr">
        <is>
          <t>Confirm</t>
        </is>
      </c>
      <c r="G69" s="225" t="inlineStr">
        <is>
          <t>MEDIUM</t>
        </is>
      </c>
      <c r="H69" s="219" t="n"/>
      <c r="I69" s="219" t="n"/>
      <c r="J69" s="219" t="n"/>
      <c r="K69" s="219" t="n"/>
    </row>
    <row r="70" ht="72" customHeight="1" s="249">
      <c r="A70" s="211" t="inlineStr">
        <is>
          <t>PID 6077</t>
        </is>
      </c>
      <c r="B70" s="211" t="inlineStr">
        <is>
          <t>VINCE HIS BOM#138</t>
        </is>
      </c>
      <c r="C70" s="212" t="inlineStr">
        <is>
          <t>ERP BOM#138</t>
        </is>
      </c>
      <c r="D70" s="212" t="inlineStr">
        <is>
          <t>—</t>
        </is>
      </c>
      <c r="E70" s="212" t="inlineStr">
        <is>
          <t>BOM#138 not in ERP BOMs file provided. Does it exist in ERP?</t>
        </is>
      </c>
      <c r="F70" s="212" t="inlineStr">
        <is>
          <t>Confirm</t>
        </is>
      </c>
      <c r="G70" s="226" t="inlineStr">
        <is>
          <t>MEDIUM</t>
        </is>
      </c>
      <c r="H70" s="212" t="n"/>
      <c r="I70" s="212" t="n"/>
      <c r="J70" s="212" t="n"/>
      <c r="K70" s="212" t="n"/>
    </row>
    <row r="71" ht="132" customHeight="1" s="249">
      <c r="A71" s="218" t="inlineStr">
        <is>
          <t>Zinc Archimate</t>
        </is>
      </c>
      <c r="B71" s="218" t="inlineStr">
        <is>
          <t>PIDs 6337/6416/6312</t>
        </is>
      </c>
      <c r="C71" s="219" t="inlineStr">
        <is>
          <t>ZINC ARCHIMATE (Item 4165)</t>
        </is>
      </c>
      <c r="D71" s="219" t="inlineStr">
        <is>
          <t>ZINC STEARATE (Item 194)</t>
        </is>
      </c>
      <c r="E71" s="219" t="inlineStr">
        <is>
          <t>4165 is obsolete — replaced by 194. Local BOM fixed. ERP BOM# 157/166/171 must remove 4165, add 194.</t>
        </is>
      </c>
      <c r="F71" s="219" t="inlineStr">
        <is>
          <t>Local Fixed — ERP Pending</t>
        </is>
      </c>
      <c r="G71" s="225" t="inlineStr">
        <is>
          <t>MEDIUM</t>
        </is>
      </c>
      <c r="H71" s="219" t="n"/>
      <c r="I71" s="219" t="n"/>
      <c r="J71" s="219" t="n"/>
      <c r="K71" s="219" t="n"/>
    </row>
    <row r="72" ht="108" customHeight="1" s="249">
      <c r="A72" s="211" t="inlineStr">
        <is>
          <t>Anvil Yellow BC</t>
        </is>
      </c>
      <c r="B72" s="211" t="inlineStr">
        <is>
          <t>PID 6020/6021</t>
        </is>
      </c>
      <c r="C72" s="212" t="inlineStr">
        <is>
          <t>Item 177 = YELLOW IMP 5711200008</t>
        </is>
      </c>
      <c r="D72" s="212" t="inlineStr">
        <is>
          <t>—</t>
        </is>
      </c>
      <c r="E72" s="212" t="inlineStr">
        <is>
          <t>Confirm Item ID 177 is correct for Yellow Base Coat. Rate 0.78 kg/1000 is estimated (red font).</t>
        </is>
      </c>
      <c r="F72" s="217" t="inlineStr">
        <is>
          <t>OPEN</t>
        </is>
      </c>
      <c r="G72" s="216" t="inlineStr">
        <is>
          <t>CRITICAL</t>
        </is>
      </c>
      <c r="H72" s="212" t="n"/>
      <c r="I72" s="212" t="n"/>
      <c r="J72" s="212" t="n"/>
      <c r="K72" s="212" t="n"/>
    </row>
    <row r="73" ht="132" customHeight="1" s="249">
      <c r="A73" s="218" t="inlineStr">
        <is>
          <t>Bahadur Lacquer</t>
        </is>
      </c>
      <c r="B73" s="218" t="inlineStr">
        <is>
          <t>PID 9004</t>
        </is>
      </c>
      <c r="C73" s="219" t="inlineStr">
        <is>
          <t>Item 185 (est)</t>
        </is>
      </c>
      <c r="D73" s="219" t="inlineStr">
        <is>
          <t>—</t>
        </is>
      </c>
      <c r="E73" s="219" t="inlineStr">
        <is>
          <t>Lacquer line added to local BOM at 0.17 kg (same as 16mm). Confirm actual rate with Aurangzeb.</t>
        </is>
      </c>
      <c r="F73" s="219" t="inlineStr">
        <is>
          <t>Local Fixed — ERP Pending</t>
        </is>
      </c>
      <c r="G73" s="225" t="inlineStr">
        <is>
          <t>MEDIUM</t>
        </is>
      </c>
      <c r="H73" s="219" t="n"/>
      <c r="I73" s="219" t="n"/>
      <c r="J73" s="219" t="n"/>
      <c r="K73" s="219" t="n"/>
    </row>
    <row r="74" ht="6" customHeight="1" s="249">
      <c r="A74" s="213" t="n"/>
      <c r="B74" s="213" t="n"/>
      <c r="C74" s="213" t="n"/>
      <c r="D74" s="213" t="n"/>
      <c r="E74" s="213" t="n"/>
      <c r="F74" s="213" t="n"/>
      <c r="G74" s="213" t="n"/>
      <c r="H74" s="213" t="n"/>
      <c r="I74" s="213" t="n"/>
      <c r="J74" s="213" t="n"/>
      <c r="K74" s="213" t="n"/>
    </row>
    <row r="75" ht="21.95" customHeight="1" s="249">
      <c r="A75" s="273" t="inlineStr">
        <is>
          <t>S7 — ERP ITEM NAME CORRECTIONS: LACQUER spelling (LACQUAR → LACQUER). Fixed in local BOM. ERP item master still incorrect.</t>
        </is>
      </c>
    </row>
    <row r="76" ht="18" customHeight="1" s="249">
      <c r="A76" s="214" t="inlineStr">
        <is>
          <t>Item ID</t>
        </is>
      </c>
      <c r="B76" s="214" t="inlineStr">
        <is>
          <t>Old ERP Name (wrong)</t>
        </is>
      </c>
      <c r="C76" s="215" t="n"/>
      <c r="D76" s="215" t="inlineStr">
        <is>
          <t>Correct Name</t>
        </is>
      </c>
      <c r="E76" s="215" t="inlineStr">
        <is>
          <t>Affected Products</t>
        </is>
      </c>
      <c r="F76" s="215" t="n"/>
      <c r="G76" s="215" t="n"/>
      <c r="H76" s="215" t="inlineStr">
        <is>
          <t>Priority</t>
        </is>
      </c>
      <c r="I76" s="215" t="n"/>
      <c r="J76" s="215" t="n"/>
      <c r="K76" s="215" t="n"/>
    </row>
    <row r="77" ht="132" customHeight="1" s="249">
      <c r="A77" s="211" t="n">
        <v>4155</v>
      </c>
      <c r="B77" s="211" t="inlineStr">
        <is>
          <t>E/P LACQUAR 4000 A/R</t>
        </is>
      </c>
      <c r="C77" s="212" t="inlineStr">
        <is>
          <t>→</t>
        </is>
      </c>
      <c r="D77" s="212" t="inlineStr">
        <is>
          <t>E/P LACQUER 4000 A/R</t>
        </is>
      </c>
      <c r="E77" s="212" t="inlineStr">
        <is>
          <t>ACTIVE PRO, SIGNATURE, HELLO HC, VINCE NURTURAL, VINCE NURTURAL (Varnish), HIBA HC, VINCE HIS</t>
        </is>
      </c>
      <c r="F77" s="212" t="n"/>
      <c r="G77" s="212" t="n"/>
      <c r="H77" s="216" t="inlineStr">
        <is>
          <t>HIGH</t>
        </is>
      </c>
      <c r="I77" s="212" t="n"/>
      <c r="J77" s="212" t="n"/>
      <c r="K77" s="212" t="n"/>
    </row>
    <row r="78" ht="96" customHeight="1" s="249">
      <c r="A78" s="218" t="n">
        <v>1065</v>
      </c>
      <c r="B78" s="218" t="inlineStr">
        <is>
          <t>PIGMENTED LACQUAR 57300</t>
        </is>
      </c>
      <c r="C78" s="219" t="inlineStr">
        <is>
          <t>→</t>
        </is>
      </c>
      <c r="D78" s="219" t="inlineStr">
        <is>
          <t>PIGMENTED LACQUER 57300</t>
        </is>
      </c>
      <c r="E78" s="219" t="inlineStr">
        <is>
          <t>Obsolete in local BOM (replaced by 4155). May still appear in old ERP BOMs.</t>
        </is>
      </c>
      <c r="F78" s="219" t="n"/>
      <c r="G78" s="219" t="n"/>
      <c r="H78" s="225" t="inlineStr">
        <is>
          <t>MEDIUM</t>
        </is>
      </c>
      <c r="I78" s="219" t="n"/>
      <c r="J78" s="219" t="n"/>
      <c r="K78" s="219" t="n"/>
    </row>
    <row r="79" ht="96" customHeight="1" s="249">
      <c r="A79" s="211" t="n">
        <v>184</v>
      </c>
      <c r="B79" s="211" t="inlineStr">
        <is>
          <t>LACQUAR IMP 49989</t>
        </is>
      </c>
      <c r="C79" s="212" t="inlineStr">
        <is>
          <t>→</t>
        </is>
      </c>
      <c r="D79" s="212" t="inlineStr">
        <is>
          <t>LACQUER IMP 49989</t>
        </is>
      </c>
      <c r="E79" s="212" t="inlineStr">
        <is>
          <t>Obsolete in local BOM (replaced by 185). May still appear in old ERP BOMs.</t>
        </is>
      </c>
      <c r="F79" s="212" t="n"/>
      <c r="G79" s="212" t="n"/>
      <c r="H79" s="226" t="inlineStr">
        <is>
          <t>MEDIUM</t>
        </is>
      </c>
      <c r="I79" s="212" t="n"/>
      <c r="J79" s="212" t="n"/>
      <c r="K79" s="212" t="n"/>
    </row>
    <row r="80" ht="6" customHeight="1" s="249">
      <c r="A80" s="213" t="n"/>
      <c r="B80" s="213" t="n"/>
      <c r="C80" s="213" t="n"/>
      <c r="D80" s="213" t="n"/>
      <c r="E80" s="213" t="n"/>
      <c r="F80" s="213" t="n"/>
      <c r="G80" s="213" t="n"/>
      <c r="H80" s="213" t="n"/>
      <c r="I80" s="213" t="n"/>
      <c r="J80" s="213" t="n"/>
      <c r="K80" s="213" t="n"/>
    </row>
    <row r="81" ht="21.95" customHeight="1" s="249">
      <c r="A81" s="273" t="inlineStr">
        <is>
          <t>S8 — SLUG CHANGE: 30mm diameter products — 30×4.3 (Item 2) → 30×4.5 S/M (Item 406). Effective 21-Apr-2026. Local BOM updated. ERP pending.</t>
        </is>
      </c>
    </row>
    <row r="82" ht="18" customHeight="1" s="249">
      <c r="A82" s="214" t="inlineStr">
        <is>
          <t>PID</t>
        </is>
      </c>
      <c r="B82" s="214" t="inlineStr">
        <is>
          <t>BOM#</t>
        </is>
      </c>
      <c r="C82" s="215" t="inlineStr">
        <is>
          <t>Product</t>
        </is>
      </c>
      <c r="D82" s="215" t="inlineStr">
        <is>
          <t>Old Slug</t>
        </is>
      </c>
      <c r="E82" s="215" t="inlineStr">
        <is>
          <t>New Slug</t>
        </is>
      </c>
      <c r="F82" s="215" t="inlineStr">
        <is>
          <t>ERP Action Required</t>
        </is>
      </c>
      <c r="G82" s="215" t="n"/>
      <c r="H82" s="215" t="inlineStr">
        <is>
          <t>Priority</t>
        </is>
      </c>
      <c r="I82" s="215" t="n"/>
      <c r="J82" s="215" t="n"/>
      <c r="K82" s="215" t="n"/>
    </row>
    <row r="83" ht="24" customHeight="1" s="249">
      <c r="A83" s="211" t="n">
        <v>6337</v>
      </c>
      <c r="B83" s="211" t="n">
        <v>166</v>
      </c>
      <c r="C83" s="212" t="inlineStr">
        <is>
          <t>ACTIVE PRO HAIR COLOR CREAM 60ML</t>
        </is>
      </c>
      <c r="D83" s="212" t="inlineStr">
        <is>
          <t>30×4.3 (Item 2)</t>
        </is>
      </c>
      <c r="E83" s="212" t="inlineStr">
        <is>
          <t>30×4.5 S/M (Item 406)</t>
        </is>
      </c>
      <c r="F83" s="212" t="inlineStr">
        <is>
          <t>Replace slug line in ERP BOM</t>
        </is>
      </c>
      <c r="G83" s="212" t="n"/>
      <c r="H83" s="216" t="inlineStr">
        <is>
          <t>HIGH</t>
        </is>
      </c>
      <c r="I83" s="212" t="n"/>
      <c r="J83" s="212" t="n"/>
      <c r="K83" s="212" t="n"/>
    </row>
    <row r="84" ht="24" customHeight="1" s="249">
      <c r="A84" s="218" t="n">
        <v>6416</v>
      </c>
      <c r="B84" s="218" t="n">
        <v>171</v>
      </c>
      <c r="C84" s="219" t="inlineStr">
        <is>
          <t>SIGNATURE HAIR COLOR CREAM 60ML</t>
        </is>
      </c>
      <c r="D84" s="219" t="inlineStr">
        <is>
          <t>30×4.3 (Item 2)</t>
        </is>
      </c>
      <c r="E84" s="219" t="inlineStr">
        <is>
          <t>30×4.5 S/M (Item 406)</t>
        </is>
      </c>
      <c r="F84" s="219" t="inlineStr">
        <is>
          <t>Replace slug line in ERP BOM</t>
        </is>
      </c>
      <c r="G84" s="219" t="n"/>
      <c r="H84" s="220" t="inlineStr">
        <is>
          <t>HIGH</t>
        </is>
      </c>
      <c r="I84" s="219" t="n"/>
      <c r="J84" s="219" t="n"/>
      <c r="K84" s="219" t="n"/>
    </row>
    <row r="85" ht="24" customHeight="1" s="249">
      <c r="A85" s="211" t="n">
        <v>6206</v>
      </c>
      <c r="B85" s="211" t="n">
        <v>120</v>
      </c>
      <c r="C85" s="212" t="inlineStr">
        <is>
          <t>HELLO HAIR COLOR</t>
        </is>
      </c>
      <c r="D85" s="212" t="inlineStr">
        <is>
          <t>30×4.3 (Item 2)</t>
        </is>
      </c>
      <c r="E85" s="212" t="inlineStr">
        <is>
          <t>30×4.5 S/M (Item 406)</t>
        </is>
      </c>
      <c r="F85" s="212" t="inlineStr">
        <is>
          <t>Replace slug line in ERP BOM</t>
        </is>
      </c>
      <c r="G85" s="212" t="n"/>
      <c r="H85" s="216" t="inlineStr">
        <is>
          <t>HIGH</t>
        </is>
      </c>
      <c r="I85" s="212" t="n"/>
      <c r="J85" s="212" t="n"/>
      <c r="K85" s="212" t="n"/>
    </row>
    <row r="86" ht="24" customHeight="1" s="249">
      <c r="A86" s="218" t="n">
        <v>5814</v>
      </c>
      <c r="B86" s="218" t="n">
        <v>95</v>
      </c>
      <c r="C86" s="219" t="inlineStr">
        <is>
          <t>VINCE NURTURAL</t>
        </is>
      </c>
      <c r="D86" s="219" t="inlineStr">
        <is>
          <t>30×4.3 (Item 2)</t>
        </is>
      </c>
      <c r="E86" s="219" t="inlineStr">
        <is>
          <t>30×4.5 S/M (Item 406)</t>
        </is>
      </c>
      <c r="F86" s="219" t="inlineStr">
        <is>
          <t>Replace slug line in ERP BOM</t>
        </is>
      </c>
      <c r="G86" s="219" t="n"/>
      <c r="H86" s="220" t="inlineStr">
        <is>
          <t>HIGH</t>
        </is>
      </c>
      <c r="I86" s="219" t="n"/>
      <c r="J86" s="219" t="n"/>
      <c r="K86" s="219" t="n"/>
    </row>
    <row r="87" ht="24" customHeight="1" s="249">
      <c r="A87" s="211" t="n">
        <v>9002</v>
      </c>
      <c r="B87" s="211" t="n">
        <v>901</v>
      </c>
      <c r="C87" s="212" t="inlineStr">
        <is>
          <t>VINCE NURTURAL (Varnish)</t>
        </is>
      </c>
      <c r="D87" s="212" t="inlineStr">
        <is>
          <t>30×4.3 (Item 2)</t>
        </is>
      </c>
      <c r="E87" s="212" t="inlineStr">
        <is>
          <t>30×4.5 S/M (Item 406)</t>
        </is>
      </c>
      <c r="F87" s="212" t="inlineStr">
        <is>
          <t>Replace slug line in ERP BOM</t>
        </is>
      </c>
      <c r="G87" s="212" t="n"/>
      <c r="H87" s="216" t="inlineStr">
        <is>
          <t>HIGH</t>
        </is>
      </c>
      <c r="I87" s="212" t="n"/>
      <c r="J87" s="212" t="n"/>
      <c r="K87" s="212" t="n"/>
    </row>
    <row r="88" ht="24" customHeight="1" s="249">
      <c r="A88" s="218" t="n">
        <v>4050</v>
      </c>
      <c r="B88" s="218" t="n">
        <v>142</v>
      </c>
      <c r="C88" s="219" t="inlineStr">
        <is>
          <t>EAZICOLOR PREMIUM HAIR COLOUR 60ML</t>
        </is>
      </c>
      <c r="D88" s="219" t="inlineStr">
        <is>
          <t>30×4.3 (Item 2)</t>
        </is>
      </c>
      <c r="E88" s="219" t="inlineStr">
        <is>
          <t>30×4.5 S/M (Item 406)</t>
        </is>
      </c>
      <c r="F88" s="219" t="inlineStr">
        <is>
          <t>Replace slug line in ERP BOM</t>
        </is>
      </c>
      <c r="G88" s="219" t="n"/>
      <c r="H88" s="220" t="inlineStr">
        <is>
          <t>HIGH</t>
        </is>
      </c>
      <c r="I88" s="219" t="n"/>
      <c r="J88" s="219" t="n"/>
      <c r="K88" s="219" t="n"/>
    </row>
    <row r="89" ht="24" customHeight="1" s="249">
      <c r="A89" s="211" t="n">
        <v>6312</v>
      </c>
      <c r="B89" s="211" t="n">
        <v>157</v>
      </c>
      <c r="C89" s="212" t="inlineStr">
        <is>
          <t>HIBA S HAIR COLOR 60ML</t>
        </is>
      </c>
      <c r="D89" s="212" t="inlineStr">
        <is>
          <t>30×4.3 (Item 2)</t>
        </is>
      </c>
      <c r="E89" s="212" t="inlineStr">
        <is>
          <t>30×4.5 S/M (Item 406)</t>
        </is>
      </c>
      <c r="F89" s="212" t="inlineStr">
        <is>
          <t>Replace slug line in ERP BOM</t>
        </is>
      </c>
      <c r="G89" s="212" t="n"/>
      <c r="H89" s="216" t="inlineStr">
        <is>
          <t>HIGH</t>
        </is>
      </c>
      <c r="I89" s="212" t="n"/>
      <c r="J89" s="212" t="n"/>
      <c r="K89" s="212" t="n"/>
    </row>
    <row r="90" ht="24" customHeight="1" s="249">
      <c r="A90" s="218" t="n">
        <v>6595</v>
      </c>
      <c r="B90" s="218" t="n">
        <v>192</v>
      </c>
      <c r="C90" s="219" t="inlineStr">
        <is>
          <t>DOWFEN GEL 50G</t>
        </is>
      </c>
      <c r="D90" s="219" t="inlineStr">
        <is>
          <t>30×4.3 (Item 2)</t>
        </is>
      </c>
      <c r="E90" s="219" t="inlineStr">
        <is>
          <t>30×4.5 S/M (Item 406)</t>
        </is>
      </c>
      <c r="F90" s="219" t="inlineStr">
        <is>
          <t>Replace slug line in ERP BOM</t>
        </is>
      </c>
      <c r="G90" s="219" t="n"/>
      <c r="H90" s="220" t="inlineStr">
        <is>
          <t>HIGH</t>
        </is>
      </c>
      <c r="I90" s="219" t="n"/>
      <c r="J90" s="219" t="n"/>
      <c r="K90" s="219" t="n"/>
    </row>
    <row r="91" ht="6" customHeight="1" s="249">
      <c r="A91" s="222" t="n"/>
      <c r="B91" s="213" t="n"/>
      <c r="C91" s="213" t="n"/>
      <c r="D91" s="213" t="n"/>
      <c r="E91" s="213" t="n"/>
      <c r="F91" s="213" t="n"/>
      <c r="G91" s="213" t="n"/>
      <c r="H91" s="213" t="n"/>
      <c r="I91" s="213" t="n"/>
      <c r="J91" s="213" t="n"/>
      <c r="K91" s="213" t="n"/>
    </row>
    <row r="92" ht="21.95" customHeight="1" s="249">
      <c r="A92" s="273" t="inlineStr">
        <is>
          <t>S9 — INK MANAGEMENT (Historical Average Method — BOM-based tracking not applicable)</t>
        </is>
      </c>
    </row>
    <row r="93">
      <c r="A93" s="211" t="inlineStr">
        <is>
          <t>Ink consumption tracked via MRP sheet ink section using 12-month ERP averages (May 2025–Apr 2026). DO NOT create ink BOMs in ERP — Aurangzeb's team custom-mixes every batch. Refresh quarterly.</t>
        </is>
      </c>
      <c r="B93" s="211" t="n"/>
      <c r="C93" s="212" t="n"/>
      <c r="D93" s="212" t="n"/>
      <c r="E93" s="212" t="n"/>
      <c r="F93" s="212" t="n"/>
      <c r="G93" s="212" t="n"/>
      <c r="H93" s="212" t="n"/>
      <c r="I93" s="212" t="n"/>
      <c r="J93" s="212" t="n"/>
      <c r="K93" s="212" t="n"/>
    </row>
    <row r="94" ht="18" customHeight="1" s="249">
      <c r="A94" s="214" t="inlineStr">
        <is>
          <t>Rule</t>
        </is>
      </c>
      <c r="B94" s="214" t="n"/>
      <c r="C94" s="215" t="inlineStr">
        <is>
          <t>Detail</t>
        </is>
      </c>
      <c r="D94" s="215" t="n"/>
      <c r="E94" s="215" t="n"/>
      <c r="F94" s="215" t="n"/>
      <c r="G94" s="215" t="n"/>
      <c r="H94" s="215" t="n"/>
      <c r="I94" s="215" t="n"/>
      <c r="J94" s="215" t="n"/>
      <c r="K94" s="215" t="n"/>
    </row>
    <row r="95" ht="24" customHeight="1" s="249">
      <c r="A95" s="211" t="inlineStr">
        <is>
          <t>Order trigger</t>
        </is>
      </c>
      <c r="B95" s="211" t="n"/>
      <c r="C95" s="212" t="inlineStr">
        <is>
          <t>Order when Days of Stock &lt; 30 (under 1 month supply)</t>
        </is>
      </c>
      <c r="D95" s="212" t="n"/>
      <c r="E95" s="212" t="n"/>
      <c r="F95" s="212" t="n"/>
      <c r="G95" s="212" t="n"/>
      <c r="H95" s="212" t="n"/>
      <c r="I95" s="212" t="n"/>
      <c r="J95" s="212" t="n"/>
      <c r="K95" s="212" t="n"/>
    </row>
    <row r="96" ht="24" customHeight="1" s="249">
      <c r="A96" s="218" t="inlineStr">
        <is>
          <t>Safety stock</t>
        </is>
      </c>
      <c r="B96" s="218" t="n"/>
      <c r="C96" s="219" t="inlineStr">
        <is>
          <t>≥ 2 months stock for high-volume inks (avg &gt; 1 kg/mo)</t>
        </is>
      </c>
      <c r="D96" s="219" t="n"/>
      <c r="E96" s="219" t="n"/>
      <c r="F96" s="219" t="n"/>
      <c r="G96" s="219" t="n"/>
      <c r="H96" s="219" t="n"/>
      <c r="I96" s="219" t="n"/>
      <c r="J96" s="219" t="n"/>
      <c r="K96" s="219" t="n"/>
    </row>
    <row r="97">
      <c r="A97" s="211" t="inlineStr">
        <is>
          <t>Min order qty</t>
        </is>
      </c>
      <c r="B97" s="211" t="n"/>
      <c r="C97" s="212" t="inlineStr">
        <is>
          <t>High-vol (&gt;1 kg/mo): 5 kg. Low-vol: 2 kg.</t>
        </is>
      </c>
      <c r="D97" s="212" t="n"/>
      <c r="E97" s="212" t="n"/>
      <c r="F97" s="212" t="n"/>
      <c r="G97" s="212" t="n"/>
      <c r="H97" s="212" t="n"/>
      <c r="I97" s="212" t="n"/>
      <c r="J97" s="212" t="n"/>
      <c r="K97" s="212" t="n"/>
    </row>
    <row r="98" ht="24" customHeight="1" s="249">
      <c r="A98" s="218" t="inlineStr">
        <is>
          <t>Mixing buffer</t>
        </is>
      </c>
      <c r="B98" s="218" t="n"/>
      <c r="C98" s="219" t="inlineStr">
        <is>
          <t>30% uplift on avg — manual mixing causes ±20-30% monthly variance.</t>
        </is>
      </c>
      <c r="D98" s="219" t="n"/>
      <c r="E98" s="219" t="n"/>
      <c r="F98" s="219" t="n"/>
      <c r="G98" s="219" t="n"/>
      <c r="H98" s="219" t="n"/>
      <c r="I98" s="219" t="n"/>
      <c r="J98" s="219" t="n"/>
      <c r="K98" s="219" t="n"/>
    </row>
    <row r="99" ht="24" customHeight="1" s="249">
      <c r="A99" s="211" t="inlineStr">
        <is>
          <t>Dormant stock</t>
        </is>
      </c>
      <c r="B99" s="211" t="n"/>
      <c r="C99" s="212" t="inlineStr">
        <is>
          <t>avg=0 but stock on hand: review with Aurangzeb before writing off.</t>
        </is>
      </c>
      <c r="D99" s="212" t="n"/>
      <c r="E99" s="212" t="n"/>
      <c r="F99" s="212" t="n"/>
      <c r="G99" s="212" t="n"/>
      <c r="H99" s="212" t="n"/>
      <c r="I99" s="212" t="n"/>
      <c r="J99" s="212" t="n"/>
      <c r="K99" s="212" t="n"/>
    </row>
    <row r="100" ht="36" customHeight="1" s="249">
      <c r="A100" s="218" t="inlineStr">
        <is>
          <t>Quarterly refresh</t>
        </is>
      </c>
      <c r="B100" s="218" t="n"/>
      <c r="C100" s="219" t="inlineStr">
        <is>
          <t>Each quarter (Aug/Nov/Feb/May): pull ERP stock report → update col E in MRP ink section.</t>
        </is>
      </c>
      <c r="D100" s="219" t="n"/>
      <c r="E100" s="219" t="n"/>
      <c r="F100" s="219" t="n"/>
      <c r="G100" s="219" t="n"/>
      <c r="H100" s="219" t="n"/>
      <c r="I100" s="219" t="n"/>
      <c r="J100" s="219" t="n"/>
      <c r="K100" s="219" t="n"/>
    </row>
    <row r="101" ht="6" customHeight="1" s="249">
      <c r="A101" s="213" t="n"/>
      <c r="B101" s="213" t="n"/>
      <c r="C101" s="213" t="n"/>
      <c r="D101" s="213" t="n"/>
      <c r="E101" s="213" t="n"/>
      <c r="F101" s="213" t="n"/>
      <c r="G101" s="213" t="n"/>
      <c r="H101" s="213" t="n"/>
      <c r="I101" s="213" t="n"/>
      <c r="J101" s="213" t="n"/>
      <c r="K101" s="213" t="n"/>
    </row>
    <row r="102" ht="18" customHeight="1" s="249">
      <c r="A102" s="214" t="inlineStr">
        <is>
          <t>Open Query</t>
        </is>
      </c>
      <c r="B102" s="214" t="inlineStr">
        <is>
          <t>Item ID(s)</t>
        </is>
      </c>
      <c r="C102" s="215" t="inlineStr">
        <is>
          <t>Question / Action</t>
        </is>
      </c>
      <c r="D102" s="215" t="n"/>
      <c r="E102" s="215" t="n"/>
      <c r="F102" s="215" t="n"/>
      <c r="G102" s="215" t="n"/>
      <c r="H102" s="215" t="inlineStr">
        <is>
          <t>Priority</t>
        </is>
      </c>
      <c r="I102" s="215" t="n"/>
      <c r="J102" s="215" t="n"/>
      <c r="K102" s="215" t="n"/>
    </row>
    <row r="103" ht="36" customHeight="1" s="249">
      <c r="A103" s="211" t="inlineStr">
        <is>
          <t>Gold Inks</t>
        </is>
      </c>
      <c r="B103" s="211" t="inlineStr">
        <is>
          <t>7094 / 6935</t>
        </is>
      </c>
      <c r="C103" s="212" t="inlineStr">
        <is>
          <t>ID 7094 consumed 20 kg in 12mo. ID 6935 = zero. Same material under two IDs? Ask Rehan to consolidate.</t>
        </is>
      </c>
      <c r="D103" s="212" t="n"/>
      <c r="E103" s="212" t="n"/>
      <c r="F103" s="212" t="n"/>
      <c r="G103" s="212" t="n"/>
      <c r="H103" s="216" t="inlineStr">
        <is>
          <t>HIGH</t>
        </is>
      </c>
      <c r="I103" s="212" t="n"/>
      <c r="J103" s="212" t="n"/>
      <c r="K103" s="212" t="n"/>
    </row>
    <row r="104" ht="24" customHeight="1" s="249">
      <c r="A104" s="218" t="inlineStr">
        <is>
          <t>Violet 400484</t>
        </is>
      </c>
      <c r="B104" s="218" t="inlineStr">
        <is>
          <t>3800</t>
        </is>
      </c>
      <c r="C104" s="219" t="inlineStr">
        <is>
          <t>Zero consumption 12 months. ~1 kg in stock. Still needed? If not → write off.</t>
        </is>
      </c>
      <c r="D104" s="219" t="n"/>
      <c r="E104" s="219" t="n"/>
      <c r="F104" s="219" t="n"/>
      <c r="G104" s="219" t="n"/>
      <c r="H104" s="225" t="inlineStr">
        <is>
          <t>MEDIUM</t>
        </is>
      </c>
      <c r="I104" s="219" t="n"/>
      <c r="J104" s="219" t="n"/>
      <c r="K104" s="219" t="n"/>
    </row>
    <row r="105" ht="24" customHeight="1" s="249">
      <c r="A105" s="211" t="inlineStr">
        <is>
          <t>Pink Fluorescent</t>
        </is>
      </c>
      <c r="B105" s="211" t="inlineStr">
        <is>
          <t>4216</t>
        </is>
      </c>
      <c r="C105" s="212" t="inlineStr">
        <is>
          <t>Zero consumption 12 months. ~1 kg in stock. Occasional job or obsolete?</t>
        </is>
      </c>
      <c r="D105" s="212" t="n"/>
      <c r="E105" s="212" t="n"/>
      <c r="F105" s="212" t="n"/>
      <c r="G105" s="212" t="n"/>
      <c r="H105" s="226" t="inlineStr">
        <is>
          <t>MEDIUM</t>
        </is>
      </c>
      <c r="I105" s="212" t="n"/>
      <c r="J105" s="212" t="n"/>
      <c r="K105" s="212" t="n"/>
    </row>
    <row r="106" ht="24" customHeight="1" s="249">
      <c r="A106" s="218" t="inlineStr">
        <is>
          <t>Ink Jet Black</t>
        </is>
      </c>
      <c r="B106" s="218" t="inlineStr">
        <is>
          <t>3642</t>
        </is>
      </c>
      <c r="C106" s="219" t="inlineStr">
        <is>
          <t>Only 1 kg consumed (Apr 2026). One-off or recurring? Avg set to 0.08 — confirm.</t>
        </is>
      </c>
      <c r="D106" s="219" t="n"/>
      <c r="E106" s="219" t="n"/>
      <c r="F106" s="219" t="n"/>
      <c r="G106" s="219" t="n"/>
      <c r="H106" s="219" t="inlineStr">
        <is>
          <t>LOW</t>
        </is>
      </c>
      <c r="I106" s="219" t="n"/>
      <c r="J106" s="219" t="n"/>
      <c r="K106" s="219" t="n"/>
    </row>
    <row r="107" ht="6" customHeight="1" s="249">
      <c r="A107" s="222" t="n"/>
      <c r="B107" s="213" t="n"/>
      <c r="C107" s="222" t="n"/>
      <c r="D107" s="213" t="n"/>
      <c r="E107" s="222" t="n"/>
      <c r="F107" s="213" t="n"/>
      <c r="G107" s="222" t="n"/>
      <c r="H107" s="213" t="n"/>
      <c r="I107" s="222" t="n"/>
      <c r="J107" s="222" t="n"/>
      <c r="K107" s="213" t="n"/>
    </row>
    <row r="108" ht="18" customHeight="1" s="249">
      <c r="A108" s="214" t="inlineStr">
        <is>
          <t>Rank</t>
        </is>
      </c>
      <c r="B108" s="214" t="inlineStr">
        <is>
          <t>Item ID</t>
        </is>
      </c>
      <c r="C108" s="215" t="inlineStr">
        <is>
          <t>Ink Name</t>
        </is>
      </c>
      <c r="D108" s="215" t="n"/>
      <c r="E108" s="215" t="inlineStr">
        <is>
          <t>12mo kg</t>
        </is>
      </c>
      <c r="F108" s="215" t="n"/>
      <c r="G108" s="215" t="inlineStr">
        <is>
          <t>Avg/mo kg</t>
        </is>
      </c>
      <c r="H108" s="215" t="inlineStr">
        <is>
          <t>g/1000 tubes</t>
        </is>
      </c>
      <c r="I108" s="215" t="inlineStr">
        <is>
          <t>% of Total</t>
        </is>
      </c>
      <c r="J108" s="215" t="n"/>
      <c r="K108" s="215" t="n"/>
    </row>
    <row r="109">
      <c r="A109" s="211" t="n">
        <v>1</v>
      </c>
      <c r="B109" s="211" t="n">
        <v>3734</v>
      </c>
      <c r="C109" s="212" t="inlineStr">
        <is>
          <t>MAGENTA (LOCAL) 32500</t>
        </is>
      </c>
      <c r="D109" s="212" t="n"/>
      <c r="E109" s="212" t="n">
        <v>55</v>
      </c>
      <c r="F109" s="212" t="n"/>
      <c r="G109" s="212" t="n">
        <v>4.58</v>
      </c>
      <c r="H109" s="212" t="n">
        <v>6.38</v>
      </c>
      <c r="I109" s="212" t="inlineStr">
        <is>
          <t>20.2%</t>
        </is>
      </c>
      <c r="J109" s="212" t="n"/>
      <c r="K109" s="212" t="n"/>
    </row>
    <row r="110">
      <c r="A110" s="218" t="n">
        <v>2</v>
      </c>
      <c r="B110" s="218" t="n">
        <v>6038</v>
      </c>
      <c r="C110" s="219" t="inlineStr">
        <is>
          <t>INK BLUE PC</t>
        </is>
      </c>
      <c r="D110" s="219" t="n"/>
      <c r="E110" s="219" t="n">
        <v>25</v>
      </c>
      <c r="F110" s="219" t="n"/>
      <c r="G110" s="219" t="n">
        <v>2.08</v>
      </c>
      <c r="H110" s="219" t="n">
        <v>2.9</v>
      </c>
      <c r="I110" s="219" t="inlineStr">
        <is>
          <t>9.2%</t>
        </is>
      </c>
      <c r="J110" s="219" t="n"/>
      <c r="K110" s="219" t="n"/>
    </row>
    <row r="111">
      <c r="A111" s="211" t="n">
        <v>3</v>
      </c>
      <c r="B111" s="211" t="n">
        <v>3858</v>
      </c>
      <c r="C111" s="212" t="inlineStr">
        <is>
          <t>GOLD (LOCAL) 97035</t>
        </is>
      </c>
      <c r="D111" s="212" t="n"/>
      <c r="E111" s="229" t="n">
        <v>24.1</v>
      </c>
      <c r="F111" s="212" t="n"/>
      <c r="G111" s="229" t="n">
        <v>2.01</v>
      </c>
      <c r="H111" s="212" t="n">
        <v>2.8</v>
      </c>
      <c r="I111" s="212" t="inlineStr">
        <is>
          <t>8.9%</t>
        </is>
      </c>
      <c r="J111" s="212" t="n"/>
      <c r="K111" s="212" t="n"/>
    </row>
    <row r="112">
      <c r="A112" s="218" t="n">
        <v>4</v>
      </c>
      <c r="B112" s="218" t="n">
        <v>3754</v>
      </c>
      <c r="C112" s="219" t="inlineStr">
        <is>
          <t>RED BRONZE (LOCAL) 32519</t>
        </is>
      </c>
      <c r="D112" s="219" t="n"/>
      <c r="E112" s="230" t="n">
        <v>23</v>
      </c>
      <c r="F112" s="219" t="n"/>
      <c r="G112" s="230" t="n">
        <v>1.92</v>
      </c>
      <c r="H112" s="219" t="n">
        <v>2.67</v>
      </c>
      <c r="I112" s="219" t="inlineStr">
        <is>
          <t>8.5%</t>
        </is>
      </c>
      <c r="J112" s="219" t="n"/>
      <c r="K112" s="219" t="n"/>
    </row>
    <row r="113">
      <c r="A113" s="211" t="n">
        <v>5</v>
      </c>
      <c r="B113" s="211" t="n">
        <v>3755</v>
      </c>
      <c r="C113" s="212" t="inlineStr">
        <is>
          <t>INK BLUE ES 164</t>
        </is>
      </c>
      <c r="D113" s="212" t="n"/>
      <c r="E113" s="229" t="n">
        <v>21</v>
      </c>
      <c r="F113" s="212" t="n"/>
      <c r="G113" s="229" t="n">
        <v>1.75</v>
      </c>
      <c r="H113" s="212" t="n">
        <v>2.44</v>
      </c>
      <c r="I113" s="212" t="inlineStr">
        <is>
          <t>7.7%</t>
        </is>
      </c>
      <c r="J113" s="212" t="n"/>
      <c r="K113" s="212" t="n"/>
    </row>
    <row r="114">
      <c r="A114" s="218" t="n">
        <v>6</v>
      </c>
      <c r="B114" s="218" t="n">
        <v>1928</v>
      </c>
      <c r="C114" s="219" t="inlineStr">
        <is>
          <t>BLACK (LOCAL) 77842</t>
        </is>
      </c>
      <c r="D114" s="219" t="n"/>
      <c r="E114" s="230" t="n">
        <v>20</v>
      </c>
      <c r="F114" s="219" t="n"/>
      <c r="G114" s="230" t="n">
        <v>1.67</v>
      </c>
      <c r="H114" s="219" t="n">
        <v>2.32</v>
      </c>
      <c r="I114" s="219" t="inlineStr">
        <is>
          <t>7.4%</t>
        </is>
      </c>
      <c r="J114" s="219" t="n"/>
      <c r="K114" s="219" t="n"/>
    </row>
    <row r="115">
      <c r="A115" s="211" t="n">
        <v>7</v>
      </c>
      <c r="B115" s="211" t="n">
        <v>7094</v>
      </c>
      <c r="C115" s="212" t="inlineStr">
        <is>
          <t>INK GOLD IMP V0221267AT</t>
        </is>
      </c>
      <c r="D115" s="212" t="n"/>
      <c r="E115" s="229" t="n">
        <v>20</v>
      </c>
      <c r="F115" s="212" t="n"/>
      <c r="G115" s="229" t="n">
        <v>1.67</v>
      </c>
      <c r="H115" s="212" t="n">
        <v>2.32</v>
      </c>
      <c r="I115" s="212" t="inlineStr">
        <is>
          <t>7.4%</t>
        </is>
      </c>
      <c r="J115" s="212" t="n"/>
      <c r="K115" s="212" t="n"/>
    </row>
    <row r="116">
      <c r="A116" s="218" t="n">
        <v>8</v>
      </c>
      <c r="B116" s="218" t="n">
        <v>3736</v>
      </c>
      <c r="C116" s="219" t="inlineStr">
        <is>
          <t>WHITE (LOCAL) 07094</t>
        </is>
      </c>
      <c r="D116" s="219" t="n"/>
      <c r="E116" s="230" t="n">
        <v>13.8</v>
      </c>
      <c r="F116" s="219" t="n"/>
      <c r="G116" s="230" t="n">
        <v>1.15</v>
      </c>
      <c r="H116" s="219" t="n">
        <v>1.6</v>
      </c>
      <c r="I116" s="219" t="inlineStr">
        <is>
          <t>5.1%</t>
        </is>
      </c>
      <c r="J116" s="219" t="n"/>
      <c r="K116" s="219" t="n"/>
    </row>
    <row r="117">
      <c r="A117" s="211" t="n">
        <v>9</v>
      </c>
      <c r="B117" s="211" t="n">
        <v>3955</v>
      </c>
      <c r="C117" s="212" t="inlineStr">
        <is>
          <t>GERANIUM (EVER SHINE) ES-130</t>
        </is>
      </c>
      <c r="D117" s="212" t="n"/>
      <c r="E117" s="229" t="n">
        <v>11</v>
      </c>
      <c r="F117" s="212" t="n"/>
      <c r="G117" s="229" t="n">
        <v>0.92</v>
      </c>
      <c r="H117" s="212" t="n">
        <v>1.28</v>
      </c>
      <c r="I117" s="212" t="inlineStr">
        <is>
          <t>4.0%</t>
        </is>
      </c>
      <c r="J117" s="212" t="n"/>
      <c r="K117" s="212" t="n"/>
    </row>
    <row r="118">
      <c r="A118" s="218" t="n">
        <v>10</v>
      </c>
      <c r="B118" s="218" t="n">
        <v>7398</v>
      </c>
      <c r="C118" s="219" t="inlineStr">
        <is>
          <t>PURPLE 48054</t>
        </is>
      </c>
      <c r="D118" s="219" t="n"/>
      <c r="E118" s="230" t="n">
        <v>9</v>
      </c>
      <c r="F118" s="219" t="n"/>
      <c r="G118" s="230" t="n">
        <v>0.75</v>
      </c>
      <c r="H118" s="219" t="n">
        <v>1.04</v>
      </c>
      <c r="I118" s="219" t="inlineStr">
        <is>
          <t>3.3%</t>
        </is>
      </c>
      <c r="J118" s="219" t="n"/>
      <c r="K118" s="219" t="n"/>
    </row>
    <row r="119">
      <c r="A119" s="211" t="inlineStr">
        <is>
          <t>Top 10 inks = 81.7% of all consumption. Remaining 15 inks share 18.3%.  Source: ERP ST_Stk_Cons_YFI.rpt · May 2025–Apr 2026 · 8,617,293 pcs produced.</t>
        </is>
      </c>
      <c r="B119" s="211" t="n"/>
      <c r="C119" s="212" t="n"/>
      <c r="D119" s="212" t="n"/>
      <c r="E119" s="229" t="n"/>
      <c r="F119" s="212" t="n"/>
      <c r="G119" s="229" t="n"/>
      <c r="H119" s="212" t="n"/>
      <c r="I119" s="212" t="n"/>
      <c r="J119" s="212" t="n"/>
      <c r="K119" s="212" t="n"/>
    </row>
    <row r="120" ht="6" customHeight="1" s="249">
      <c r="A120" s="222" t="n"/>
      <c r="B120" s="222" t="n"/>
      <c r="C120" s="222" t="n"/>
      <c r="D120" s="213" t="n"/>
      <c r="E120" s="231" t="n"/>
      <c r="F120" s="213" t="n"/>
      <c r="G120" s="231" t="n"/>
      <c r="H120" s="213" t="n"/>
      <c r="I120" s="222" t="n"/>
      <c r="J120" s="222" t="n"/>
      <c r="K120" s="213" t="n"/>
    </row>
    <row r="121" ht="6" customHeight="1" s="249">
      <c r="A121" s="222" t="n"/>
      <c r="B121" s="222" t="n"/>
      <c r="C121" s="222" t="n"/>
      <c r="D121" s="213" t="n"/>
      <c r="E121" s="231" t="n"/>
      <c r="F121" s="213" t="n"/>
      <c r="G121" s="231" t="n"/>
      <c r="H121" s="213" t="n"/>
      <c r="I121" s="222" t="n"/>
      <c r="J121" s="222" t="n"/>
      <c r="K121" s="213" t="n"/>
    </row>
    <row r="122" ht="6" customHeight="1" s="249">
      <c r="A122" s="222" t="n"/>
      <c r="B122" s="222" t="n"/>
      <c r="C122" s="222" t="n"/>
      <c r="D122" s="213" t="n"/>
      <c r="E122" s="231" t="n"/>
      <c r="F122" s="213" t="n"/>
      <c r="G122" s="231" t="n"/>
      <c r="H122" s="213" t="n"/>
      <c r="I122" s="222" t="n"/>
      <c r="J122" s="222" t="n"/>
      <c r="K122" s="213" t="n"/>
    </row>
    <row r="123" ht="6" customHeight="1" s="249">
      <c r="A123" s="222" t="n"/>
      <c r="B123" s="222" t="n"/>
      <c r="C123" s="222" t="n"/>
      <c r="D123" s="213" t="n"/>
      <c r="E123" s="231" t="n"/>
      <c r="F123" s="213" t="n"/>
      <c r="G123" s="231" t="n"/>
      <c r="H123" s="213" t="n"/>
      <c r="I123" s="222" t="n"/>
      <c r="J123" s="222" t="n"/>
      <c r="K123" s="213" t="n"/>
    </row>
    <row r="124" ht="6" customHeight="1" s="249">
      <c r="A124" s="222" t="n"/>
      <c r="B124" s="222" t="n"/>
      <c r="C124" s="222" t="n"/>
      <c r="D124" s="213" t="n"/>
      <c r="E124" s="231" t="n"/>
      <c r="F124" s="213" t="n"/>
      <c r="G124" s="231" t="n"/>
      <c r="H124" s="213" t="n"/>
      <c r="I124" s="222" t="n"/>
      <c r="J124" s="222" t="n"/>
      <c r="K124" s="213" t="n"/>
    </row>
    <row r="125" ht="6" customHeight="1" s="249">
      <c r="A125" s="232" t="n"/>
      <c r="B125" s="213" t="n"/>
      <c r="C125" s="213" t="n"/>
      <c r="D125" s="213" t="n"/>
      <c r="E125" s="213" t="n"/>
      <c r="F125" s="213" t="n"/>
      <c r="G125" s="213" t="n"/>
      <c r="H125" s="213" t="n"/>
      <c r="I125" s="213" t="n"/>
      <c r="J125" s="213" t="n"/>
      <c r="K125" s="213" t="n"/>
    </row>
    <row r="126" ht="6" customHeight="1" s="249">
      <c r="A126" s="232" t="n"/>
      <c r="B126" s="213" t="n"/>
      <c r="C126" s="222" t="n"/>
      <c r="D126" s="213" t="n"/>
      <c r="E126" s="213" t="n"/>
      <c r="F126" s="213" t="n"/>
      <c r="G126" s="213" t="n"/>
      <c r="H126" s="213" t="n"/>
      <c r="I126" s="213" t="n"/>
      <c r="J126" s="213" t="n"/>
      <c r="K126" s="213" t="n"/>
    </row>
    <row r="127" ht="6" customHeight="1" s="249">
      <c r="A127" s="232" t="n"/>
      <c r="B127" s="213" t="n"/>
      <c r="C127" s="222" t="n"/>
      <c r="D127" s="213" t="n"/>
      <c r="E127" s="213" t="n"/>
      <c r="F127" s="213" t="n"/>
      <c r="G127" s="213" t="n"/>
      <c r="H127" s="213" t="n"/>
      <c r="I127" s="213" t="n"/>
      <c r="J127" s="213" t="n"/>
      <c r="K127" s="213" t="n"/>
    </row>
    <row r="128" ht="6" customHeight="1" s="249">
      <c r="A128" s="232" t="n"/>
      <c r="B128" s="213" t="n"/>
      <c r="C128" s="222" t="n"/>
      <c r="D128" s="213" t="n"/>
      <c r="E128" s="213" t="n"/>
      <c r="F128" s="213" t="n"/>
      <c r="G128" s="213" t="n"/>
      <c r="H128" s="213" t="n"/>
      <c r="I128" s="213" t="n"/>
      <c r="J128" s="213" t="n"/>
      <c r="K128" s="213" t="n"/>
    </row>
    <row r="129" ht="6" customHeight="1" s="249">
      <c r="A129" s="232" t="n"/>
      <c r="B129" s="213" t="n"/>
      <c r="C129" s="222" t="n"/>
      <c r="D129" s="213" t="n"/>
      <c r="E129" s="213" t="n"/>
      <c r="F129" s="213" t="n"/>
      <c r="G129" s="213" t="n"/>
      <c r="H129" s="213" t="n"/>
      <c r="I129" s="213" t="n"/>
      <c r="J129" s="213" t="n"/>
      <c r="K129" s="213" t="n"/>
    </row>
    <row r="130" ht="6" customHeight="1" s="249">
      <c r="A130" s="232" t="n"/>
      <c r="B130" s="213" t="n"/>
      <c r="C130" s="222" t="n"/>
      <c r="D130" s="213" t="n"/>
      <c r="E130" s="213" t="n"/>
      <c r="F130" s="213" t="n"/>
      <c r="G130" s="213" t="n"/>
      <c r="H130" s="213" t="n"/>
      <c r="I130" s="213" t="n"/>
      <c r="J130" s="213" t="n"/>
      <c r="K130" s="213" t="n"/>
    </row>
    <row r="131" ht="6" customHeight="1" s="249">
      <c r="A131" s="232" t="n"/>
      <c r="B131" s="213" t="n"/>
      <c r="C131" s="213" t="n"/>
      <c r="D131" s="213" t="n"/>
      <c r="E131" s="213" t="n"/>
      <c r="F131" s="213" t="n"/>
      <c r="G131" s="213" t="n"/>
      <c r="H131" s="213" t="n"/>
      <c r="I131" s="213" t="n"/>
      <c r="J131" s="213" t="n"/>
      <c r="K131" s="213" t="n"/>
    </row>
    <row r="132" ht="6" customHeight="1" s="249">
      <c r="A132" s="233" t="n"/>
      <c r="B132" s="233" t="n"/>
      <c r="C132" s="233" t="n"/>
      <c r="D132" s="213" t="n"/>
      <c r="E132" s="213" t="n"/>
      <c r="F132" s="213" t="n"/>
      <c r="G132" s="213" t="n"/>
      <c r="H132" s="213" t="n"/>
      <c r="I132" s="233" t="n"/>
      <c r="J132" s="213" t="n"/>
      <c r="K132" s="213" t="n"/>
    </row>
    <row r="133" ht="6" customHeight="1" s="249">
      <c r="A133" s="232" t="n"/>
      <c r="B133" s="233" t="n"/>
      <c r="C133" s="222" t="n"/>
      <c r="D133" s="213" t="n"/>
      <c r="E133" s="213" t="n"/>
      <c r="F133" s="213" t="n"/>
      <c r="G133" s="213" t="n"/>
      <c r="H133" s="213" t="n"/>
      <c r="I133" s="233" t="n"/>
      <c r="J133" s="213" t="n"/>
      <c r="K133" s="213" t="n"/>
    </row>
    <row r="134" ht="6" customHeight="1" s="249">
      <c r="A134" s="232" t="n"/>
      <c r="B134" s="233" t="n"/>
      <c r="C134" s="222" t="n"/>
      <c r="D134" s="213" t="n"/>
      <c r="E134" s="213" t="n"/>
      <c r="F134" s="213" t="n"/>
      <c r="G134" s="213" t="n"/>
      <c r="H134" s="213" t="n"/>
      <c r="I134" s="233" t="n"/>
      <c r="J134" s="213" t="n"/>
      <c r="K134" s="213" t="n"/>
    </row>
    <row r="135" ht="6" customHeight="1" s="249">
      <c r="A135" s="232" t="n"/>
      <c r="B135" s="233" t="n"/>
      <c r="C135" s="222" t="n"/>
      <c r="D135" s="213" t="n"/>
      <c r="E135" s="213" t="n"/>
      <c r="F135" s="213" t="n"/>
      <c r="G135" s="213" t="n"/>
      <c r="H135" s="213" t="n"/>
      <c r="I135" s="233" t="n"/>
      <c r="J135" s="213" t="n"/>
      <c r="K135" s="213" t="n"/>
    </row>
    <row r="136" ht="6" customHeight="1" s="249">
      <c r="A136" s="232" t="n"/>
      <c r="B136" s="233" t="n"/>
      <c r="C136" s="222" t="n"/>
      <c r="D136" s="213" t="n"/>
      <c r="E136" s="213" t="n"/>
      <c r="F136" s="213" t="n"/>
      <c r="G136" s="213" t="n"/>
      <c r="H136" s="213" t="n"/>
      <c r="I136" s="233" t="n"/>
      <c r="J136" s="213" t="n"/>
      <c r="K136" s="213" t="n"/>
    </row>
    <row r="137" ht="6" customHeight="1" s="249">
      <c r="A137" s="232" t="n"/>
      <c r="B137" s="233" t="n"/>
      <c r="C137" s="222" t="n"/>
      <c r="D137" s="213" t="n"/>
      <c r="E137" s="213" t="n"/>
      <c r="F137" s="213" t="n"/>
      <c r="G137" s="213" t="n"/>
      <c r="H137" s="213" t="n"/>
      <c r="I137" s="233" t="n"/>
      <c r="J137" s="213" t="n"/>
      <c r="K137" s="213" t="n"/>
    </row>
    <row r="138" ht="6" customHeight="1" s="249">
      <c r="A138" s="232" t="n"/>
      <c r="B138" s="213" t="n"/>
      <c r="C138" s="213" t="n"/>
      <c r="D138" s="213" t="n"/>
      <c r="E138" s="213" t="n"/>
      <c r="F138" s="213" t="n"/>
      <c r="G138" s="213" t="n"/>
      <c r="H138" s="213" t="n"/>
      <c r="I138" s="213" t="n"/>
      <c r="J138" s="213" t="n"/>
      <c r="K138" s="213" t="n"/>
    </row>
    <row r="139" ht="6" customHeight="1" s="249">
      <c r="A139" s="233" t="n"/>
      <c r="B139" s="233" t="n"/>
      <c r="C139" s="233" t="n"/>
      <c r="D139" s="213" t="n"/>
      <c r="E139" s="233" t="n"/>
      <c r="F139" s="213" t="n"/>
      <c r="G139" s="233" t="n"/>
      <c r="H139" s="213" t="n"/>
      <c r="I139" s="233" t="n"/>
      <c r="J139" s="213" t="n"/>
      <c r="K139" s="233" t="n"/>
    </row>
    <row r="140" ht="6" customHeight="1" s="249">
      <c r="A140" s="233" t="n"/>
      <c r="B140" s="233" t="n"/>
      <c r="C140" s="233" t="n"/>
      <c r="D140" s="213" t="n"/>
      <c r="E140" s="234" t="n"/>
      <c r="F140" s="213" t="n"/>
      <c r="G140" s="235" t="n"/>
      <c r="H140" s="213" t="n"/>
      <c r="I140" s="235" t="n"/>
      <c r="J140" s="213" t="n"/>
      <c r="K140" s="233" t="n"/>
    </row>
    <row r="141" ht="6" customHeight="1" s="249">
      <c r="A141" s="233" t="n"/>
      <c r="B141" s="233" t="n"/>
      <c r="C141" s="233" t="n"/>
      <c r="D141" s="213" t="n"/>
      <c r="E141" s="234" t="n"/>
      <c r="F141" s="213" t="n"/>
      <c r="G141" s="235" t="n"/>
      <c r="H141" s="213" t="n"/>
      <c r="I141" s="235" t="n"/>
      <c r="J141" s="213" t="n"/>
      <c r="K141" s="233" t="n"/>
    </row>
    <row r="142" ht="6" customHeight="1" s="249">
      <c r="A142" s="233" t="n"/>
      <c r="B142" s="233" t="n"/>
      <c r="C142" s="233" t="n"/>
      <c r="D142" s="213" t="n"/>
      <c r="E142" s="234" t="n"/>
      <c r="F142" s="213" t="n"/>
      <c r="G142" s="235" t="n"/>
      <c r="H142" s="213" t="n"/>
      <c r="I142" s="235" t="n"/>
      <c r="J142" s="213" t="n"/>
      <c r="K142" s="233" t="n"/>
    </row>
    <row r="143" ht="6" customHeight="1" s="249">
      <c r="A143" s="233" t="n"/>
      <c r="B143" s="233" t="n"/>
      <c r="C143" s="233" t="n"/>
      <c r="D143" s="213" t="n"/>
      <c r="E143" s="234" t="n"/>
      <c r="F143" s="213" t="n"/>
      <c r="G143" s="235" t="n"/>
      <c r="H143" s="213" t="n"/>
      <c r="I143" s="235" t="n"/>
      <c r="J143" s="213" t="n"/>
      <c r="K143" s="233" t="n"/>
    </row>
    <row r="144" ht="6" customHeight="1" s="249">
      <c r="A144" s="233" t="n"/>
      <c r="B144" s="233" t="n"/>
      <c r="C144" s="233" t="n"/>
      <c r="D144" s="213" t="n"/>
      <c r="E144" s="234" t="n"/>
      <c r="F144" s="213" t="n"/>
      <c r="G144" s="235" t="n"/>
      <c r="H144" s="213" t="n"/>
      <c r="I144" s="235" t="n"/>
      <c r="J144" s="213" t="n"/>
      <c r="K144" s="233" t="n"/>
    </row>
    <row r="145" ht="6" customHeight="1" s="249">
      <c r="A145" s="233" t="n"/>
      <c r="B145" s="233" t="n"/>
      <c r="C145" s="233" t="n"/>
      <c r="D145" s="213" t="n"/>
      <c r="E145" s="234" t="n"/>
      <c r="F145" s="213" t="n"/>
      <c r="G145" s="235" t="n"/>
      <c r="H145" s="213" t="n"/>
      <c r="I145" s="235" t="n"/>
      <c r="J145" s="213" t="n"/>
      <c r="K145" s="233" t="n"/>
    </row>
    <row r="146" ht="6" customHeight="1" s="249">
      <c r="A146" s="233" t="n"/>
      <c r="B146" s="233" t="n"/>
      <c r="C146" s="233" t="n"/>
      <c r="D146" s="213" t="n"/>
      <c r="E146" s="234" t="n"/>
      <c r="F146" s="213" t="n"/>
      <c r="G146" s="235" t="n"/>
      <c r="H146" s="213" t="n"/>
      <c r="I146" s="235" t="n"/>
      <c r="J146" s="213" t="n"/>
      <c r="K146" s="233" t="n"/>
    </row>
    <row r="147" ht="6" customHeight="1" s="249">
      <c r="A147" s="233" t="n"/>
      <c r="B147" s="233" t="n"/>
      <c r="C147" s="233" t="n"/>
      <c r="D147" s="213" t="n"/>
      <c r="E147" s="234" t="n"/>
      <c r="F147" s="213" t="n"/>
      <c r="G147" s="235" t="n"/>
      <c r="H147" s="213" t="n"/>
      <c r="I147" s="235" t="n"/>
      <c r="J147" s="213" t="n"/>
      <c r="K147" s="233" t="n"/>
    </row>
    <row r="148" ht="6" customHeight="1" s="249">
      <c r="A148" s="233" t="n"/>
      <c r="B148" s="233" t="n"/>
      <c r="C148" s="233" t="n"/>
      <c r="D148" s="213" t="n"/>
      <c r="E148" s="234" t="n"/>
      <c r="F148" s="213" t="n"/>
      <c r="G148" s="235" t="n"/>
      <c r="H148" s="213" t="n"/>
      <c r="I148" s="235" t="n"/>
      <c r="J148" s="213" t="n"/>
      <c r="K148" s="233" t="n"/>
    </row>
    <row r="149" ht="6" customHeight="1" s="249">
      <c r="A149" s="233" t="n"/>
      <c r="B149" s="233" t="n"/>
      <c r="C149" s="233" t="n"/>
      <c r="D149" s="213" t="n"/>
      <c r="E149" s="234" t="n"/>
      <c r="F149" s="213" t="n"/>
      <c r="G149" s="235" t="n"/>
      <c r="H149" s="213" t="n"/>
      <c r="I149" s="235" t="n"/>
      <c r="J149" s="213" t="n"/>
      <c r="K149" s="233" t="n"/>
    </row>
    <row r="150" ht="6" customHeight="1" s="249">
      <c r="A150" s="222" t="n"/>
      <c r="B150" s="213" t="n"/>
      <c r="C150" s="213" t="n"/>
      <c r="D150" s="213" t="n"/>
      <c r="E150" s="213" t="n"/>
      <c r="F150" s="213" t="n"/>
      <c r="G150" s="213" t="n"/>
      <c r="H150" s="213" t="n"/>
      <c r="I150" s="213" t="n"/>
      <c r="J150" s="213" t="n"/>
      <c r="K150" s="213" t="n"/>
    </row>
    <row r="151" ht="6" customHeight="1" s="249">
      <c r="A151" s="213" t="n"/>
      <c r="B151" s="213" t="n"/>
      <c r="C151" s="213" t="n"/>
      <c r="D151" s="213" t="n"/>
      <c r="E151" s="213" t="n"/>
      <c r="F151" s="213" t="n"/>
      <c r="G151" s="213" t="n"/>
      <c r="H151" s="213" t="n"/>
      <c r="I151" s="213" t="n"/>
      <c r="J151" s="213" t="n"/>
      <c r="K151" s="213" t="n"/>
    </row>
    <row r="152" ht="6" customHeight="1" s="249">
      <c r="A152" s="213" t="n"/>
      <c r="B152" s="213" t="n"/>
      <c r="C152" s="213" t="n"/>
      <c r="D152" s="213" t="n"/>
      <c r="E152" s="213" t="n"/>
      <c r="F152" s="213" t="n"/>
      <c r="G152" s="213" t="n"/>
      <c r="H152" s="213" t="n"/>
      <c r="I152" s="213" t="n"/>
      <c r="J152" s="213" t="n"/>
      <c r="K152" s="213" t="n"/>
    </row>
    <row r="153" ht="6" customHeight="1" s="249">
      <c r="A153" s="213" t="n"/>
      <c r="B153" s="213" t="n"/>
      <c r="C153" s="213" t="n"/>
      <c r="D153" s="213" t="n"/>
      <c r="E153" s="213" t="n"/>
      <c r="F153" s="213" t="n"/>
      <c r="G153" s="213" t="n"/>
      <c r="H153" s="213" t="n"/>
      <c r="I153" s="213" t="n"/>
      <c r="J153" s="213" t="n"/>
      <c r="K153" s="213" t="n"/>
    </row>
    <row r="154" ht="6" customHeight="1" s="249">
      <c r="A154" s="213" t="n"/>
      <c r="B154" s="213" t="n"/>
      <c r="C154" s="213" t="n"/>
      <c r="D154" s="213" t="n"/>
      <c r="E154" s="213" t="n"/>
      <c r="F154" s="213" t="n"/>
      <c r="G154" s="213" t="n"/>
      <c r="H154" s="213" t="n"/>
      <c r="I154" s="213" t="n"/>
      <c r="J154" s="213" t="n"/>
      <c r="K154" s="213" t="n"/>
    </row>
    <row r="155" ht="6" customHeight="1" s="249">
      <c r="A155" s="213" t="n"/>
      <c r="B155" s="213" t="n"/>
      <c r="C155" s="213" t="n"/>
      <c r="D155" s="213" t="n"/>
      <c r="E155" s="213" t="n"/>
      <c r="F155" s="213" t="n"/>
      <c r="G155" s="213" t="n"/>
      <c r="H155" s="213" t="n"/>
      <c r="I155" s="213" t="n"/>
      <c r="J155" s="213" t="n"/>
      <c r="K155" s="213" t="n"/>
    </row>
    <row r="156" ht="6" customHeight="1" s="249">
      <c r="A156" s="213" t="n"/>
      <c r="B156" s="213" t="n"/>
      <c r="C156" s="213" t="n"/>
      <c r="D156" s="213" t="n"/>
      <c r="E156" s="213" t="n"/>
      <c r="F156" s="213" t="n"/>
      <c r="G156" s="213" t="n"/>
      <c r="H156" s="213" t="n"/>
      <c r="I156" s="213" t="n"/>
      <c r="J156" s="213" t="n"/>
      <c r="K156" s="213" t="n"/>
    </row>
    <row r="157" ht="6" customHeight="1" s="249">
      <c r="A157" s="213" t="n"/>
      <c r="B157" s="213" t="n"/>
      <c r="C157" s="213" t="n"/>
      <c r="D157" s="213" t="n"/>
      <c r="E157" s="213" t="n"/>
      <c r="F157" s="213" t="n"/>
      <c r="G157" s="213" t="n"/>
      <c r="H157" s="213" t="n"/>
      <c r="I157" s="213" t="n"/>
      <c r="J157" s="213" t="n"/>
      <c r="K157" s="213" t="n"/>
    </row>
    <row r="158" ht="6" customHeight="1" s="249">
      <c r="A158" s="213" t="n"/>
      <c r="B158" s="213" t="n"/>
      <c r="C158" s="213" t="n"/>
      <c r="D158" s="213" t="n"/>
      <c r="E158" s="213" t="n"/>
      <c r="F158" s="213" t="n"/>
      <c r="G158" s="213" t="n"/>
      <c r="H158" s="213" t="n"/>
      <c r="I158" s="213" t="n"/>
      <c r="J158" s="213" t="n"/>
      <c r="K158" s="213" t="n"/>
    </row>
    <row r="159" ht="6" customHeight="1" s="249">
      <c r="A159" s="213" t="n"/>
      <c r="B159" s="213" t="n"/>
      <c r="C159" s="213" t="n"/>
      <c r="D159" s="213" t="n"/>
      <c r="E159" s="213" t="n"/>
      <c r="F159" s="213" t="n"/>
      <c r="G159" s="213" t="n"/>
      <c r="H159" s="213" t="n"/>
      <c r="I159" s="213" t="n"/>
      <c r="J159" s="213" t="n"/>
      <c r="K159" s="213" t="n"/>
    </row>
    <row r="160" ht="3.75" customHeight="1" s="249"/>
    <row r="161" ht="15.75" customHeight="1" s="249"/>
    <row r="162" ht="30" customHeight="1" s="249"/>
    <row r="163" ht="30" customHeight="1" s="249"/>
    <row r="164" ht="30" customHeight="1" s="249"/>
  </sheetData>
  <autoFilter ref="A52:J64">
    <sortState ref="A53:J64">
      <sortCondition ref="A53:A64"/>
    </sortState>
  </autoFilter>
  <mergeCells count="9">
    <mergeCell ref="A34:K34"/>
    <mergeCell ref="A12:K12"/>
    <mergeCell ref="A4:K4"/>
    <mergeCell ref="A92:K92"/>
    <mergeCell ref="A23:K23"/>
    <mergeCell ref="A65:K65"/>
    <mergeCell ref="A81:K81"/>
    <mergeCell ref="A1:K1"/>
    <mergeCell ref="A75:K75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topLeftCell="C1" zoomScaleNormal="100" workbookViewId="0">
      <pane ySplit="3" topLeftCell="A4" activePane="bottomLeft" state="frozen"/>
      <selection pane="bottomLeft" activeCell="I1" sqref="I1:I1048576"/>
    </sheetView>
  </sheetViews>
  <sheetFormatPr baseColWidth="8" defaultColWidth="8.7109375" defaultRowHeight="15"/>
  <cols>
    <col width="5" customWidth="1" style="249" min="1" max="1"/>
    <col width="8" customWidth="1" style="249" min="2" max="2"/>
    <col width="38.140625" customWidth="1" style="249" min="3" max="3"/>
    <col width="38" customWidth="1" style="249" min="4" max="4"/>
    <col width="10" customWidth="1" style="249" min="5" max="5"/>
    <col width="14" customWidth="1" style="249" min="6" max="7"/>
    <col width="36" customWidth="1" style="249" min="8" max="8"/>
    <col width="36" customWidth="1" style="252" min="9" max="9"/>
  </cols>
  <sheetData>
    <row r="1" ht="30" customHeight="1" s="249">
      <c r="A1" s="287" t="inlineStr">
        <is>
          <t>FG STOCK IN HAND — Last Updated: 19-May-2026</t>
        </is>
      </c>
    </row>
    <row r="2" ht="15.75" customHeight="1" s="249">
      <c r="A2" s="288" t="inlineStr">
        <is>
          <t>Shows latest date only from FG Stock In hand (Production.xlsx). Older dates are discarded. Re-run update_production.py to refresh.</t>
        </is>
      </c>
    </row>
    <row r="3" ht="19.5" customHeight="1" s="249">
      <c r="A3" s="175" t="inlineStr">
        <is>
          <t>Sr.</t>
        </is>
      </c>
      <c r="B3" s="175" t="inlineStr">
        <is>
          <t>PID</t>
        </is>
      </c>
      <c r="C3" s="175" t="inlineStr">
        <is>
          <t>Customer</t>
        </is>
      </c>
      <c r="D3" s="175" t="inlineStr">
        <is>
          <t>Product (Catalog Name)</t>
        </is>
      </c>
      <c r="E3" s="175" t="inlineStr">
        <is>
          <t>Dia / Vol</t>
        </is>
      </c>
      <c r="F3" s="175" t="inlineStr">
        <is>
          <t>FG Qty (pcs)</t>
        </is>
      </c>
      <c r="G3" s="175" t="inlineStr">
        <is>
          <t>Status</t>
        </is>
      </c>
      <c r="H3" s="175" t="inlineStr">
        <is>
          <t>Dispatch Remarks</t>
        </is>
      </c>
      <c r="I3" s="175" t="inlineStr">
        <is>
          <t>Cap Item ID (auto)</t>
        </is>
      </c>
    </row>
    <row r="4" ht="15" customHeight="1" s="249">
      <c r="A4" s="295" t="n">
        <v>1</v>
      </c>
      <c r="B4" s="295" t="n"/>
      <c r="C4" s="296" t="inlineStr">
        <is>
          <t>Alpha Lab</t>
        </is>
      </c>
      <c r="D4" s="296" t="inlineStr">
        <is>
          <t>Trp Bottle</t>
        </is>
      </c>
      <c r="E4" s="295" t="inlineStr">
        <is>
          <t>130ml</t>
        </is>
      </c>
      <c r="F4" s="297" t="n">
        <v>12765</v>
      </c>
      <c r="G4" s="295" t="inlineStr">
        <is>
          <t>OK</t>
        </is>
      </c>
      <c r="H4" s="298" t="inlineStr">
        <is>
          <t>Ready for dispatch</t>
        </is>
      </c>
      <c r="I4" s="206">
        <f>IFERROR(SUMPRODUCT((TableBOM[Product ID]=B4)*(TableBOM[Material Category]="CAP")*TableBOM[Item ID]),0)</f>
        <v/>
      </c>
    </row>
    <row r="5" ht="15" customHeight="1" s="249">
      <c r="A5" s="295" t="n">
        <v>2</v>
      </c>
      <c r="B5" s="295" t="n">
        <v>3447</v>
      </c>
      <c r="C5" s="296" t="inlineStr">
        <is>
          <t>Samsol International Private Limited</t>
        </is>
      </c>
      <c r="D5" s="296" t="inlineStr">
        <is>
          <t>S 43 25MM</t>
        </is>
      </c>
      <c r="E5" s="295" t="inlineStr">
        <is>
          <t>25</t>
        </is>
      </c>
      <c r="F5" s="297" t="n">
        <v>90000</v>
      </c>
      <c r="G5" s="295" t="inlineStr">
        <is>
          <t>OK</t>
        </is>
      </c>
      <c r="H5" s="298" t="inlineStr">
        <is>
          <t>Ready for dispatch</t>
        </is>
      </c>
      <c r="I5" s="206">
        <f>IFERROR(SUMPRODUCT((TableBOM[Product ID]=B5)*(TableBOM[Material Category]="CAP")*TableBOM[Item ID]),0)</f>
        <v/>
      </c>
    </row>
    <row r="6" ht="15" customHeight="1" s="249">
      <c r="A6" s="295" t="n">
        <v>3</v>
      </c>
      <c r="B6" s="295" t="n">
        <v>3726</v>
      </c>
      <c r="C6" s="296" t="inlineStr">
        <is>
          <t>Samsol International Private Limited</t>
        </is>
      </c>
      <c r="D6" s="296" t="inlineStr">
        <is>
          <t>TUBES</t>
        </is>
      </c>
      <c r="E6" s="295" t="inlineStr">
        <is>
          <t>25</t>
        </is>
      </c>
      <c r="F6" s="297" t="n">
        <v>2688</v>
      </c>
      <c r="G6" s="295" t="inlineStr">
        <is>
          <t>OK</t>
        </is>
      </c>
      <c r="H6" s="298" t="inlineStr">
        <is>
          <t>Ready for dispatch</t>
        </is>
      </c>
      <c r="I6" s="206">
        <f>IFERROR(SUMPRODUCT((TableBOM[Product ID]=B6)*(TableBOM[Material Category]="CAP")*TableBOM[Item ID]),0)</f>
        <v/>
      </c>
    </row>
    <row r="7" ht="15" customHeight="1" s="249">
      <c r="A7" s="295" t="n">
        <v>4</v>
      </c>
      <c r="B7" s="295" t="n">
        <v>6470</v>
      </c>
      <c r="C7" s="296" t="inlineStr">
        <is>
          <t>Samsol International Private Limited</t>
        </is>
      </c>
      <c r="D7" s="296" t="inlineStr">
        <is>
          <t>TUBES COMMON RED</t>
        </is>
      </c>
      <c r="E7" s="295" t="inlineStr">
        <is>
          <t>25</t>
        </is>
      </c>
      <c r="F7" s="297" t="n">
        <v>7056</v>
      </c>
      <c r="G7" s="295" t="inlineStr">
        <is>
          <t>OK</t>
        </is>
      </c>
      <c r="H7" s="298" t="inlineStr">
        <is>
          <t>Ready for dispatch</t>
        </is>
      </c>
      <c r="I7" s="206">
        <f>IFERROR(SUMPRODUCT((TableBOM[Product ID]=B7)*(TableBOM[Material Category]="CAP")*TableBOM[Item ID]),0)</f>
        <v/>
      </c>
    </row>
    <row r="8" ht="15" customHeight="1" s="249">
      <c r="A8" s="295" t="n">
        <v>5</v>
      </c>
      <c r="B8" s="295" t="n">
        <v>4050</v>
      </c>
      <c r="C8" s="296" t="inlineStr">
        <is>
          <t>Professional Beauty Solution (PVT) LTD.Pakistan</t>
        </is>
      </c>
      <c r="D8" s="296" t="inlineStr">
        <is>
          <t>EAZICOLOR PREMIUM HAIR COLOUR 60ML</t>
        </is>
      </c>
      <c r="E8" s="295" t="inlineStr">
        <is>
          <t>30</t>
        </is>
      </c>
      <c r="F8" s="297" t="n">
        <v>9450</v>
      </c>
      <c r="G8" s="295" t="inlineStr">
        <is>
          <t>OK</t>
        </is>
      </c>
      <c r="H8" s="298" t="inlineStr">
        <is>
          <t>Ready for dispatch</t>
        </is>
      </c>
      <c r="I8" s="206">
        <f>IFERROR(SUMPRODUCT((TableBOM[Product ID]=B8)*(TableBOM[Material Category]="CAP")*TableBOM[Item ID]),0)</f>
        <v/>
      </c>
    </row>
    <row r="9" ht="15" customHeight="1" s="249">
      <c r="A9" s="295" t="n">
        <v>6</v>
      </c>
      <c r="B9" s="295" t="n">
        <v>6337</v>
      </c>
      <c r="C9" s="296" t="inlineStr">
        <is>
          <t>Al-Rehman Group</t>
        </is>
      </c>
      <c r="D9" s="296" t="inlineStr">
        <is>
          <t>ACTIVE PRO HAIR COLOR CREAM 60ML</t>
        </is>
      </c>
      <c r="E9" s="295" t="inlineStr">
        <is>
          <t>30</t>
        </is>
      </c>
      <c r="F9" s="297" t="n">
        <v>15680</v>
      </c>
      <c r="G9" s="295" t="inlineStr">
        <is>
          <t>OK</t>
        </is>
      </c>
      <c r="H9" s="298" t="inlineStr">
        <is>
          <t>Ready for dispatch</t>
        </is>
      </c>
      <c r="I9" s="206">
        <f>IFERROR(SUMPRODUCT((TableBOM[Product ID]=B9)*(TableBOM[Material Category]="CAP")*TableBOM[Item ID]),0)</f>
        <v/>
      </c>
    </row>
    <row r="10" ht="15" customHeight="1" s="249">
      <c r="A10" s="295" t="n">
        <v>7</v>
      </c>
      <c r="B10" s="295" t="n">
        <v>6416</v>
      </c>
      <c r="C10" s="296" t="inlineStr">
        <is>
          <t>Al-Rehman Group</t>
        </is>
      </c>
      <c r="D10" s="296" t="inlineStr">
        <is>
          <t>SIGNATURE HAIR COLOR CREAM 60ML</t>
        </is>
      </c>
      <c r="E10" s="295" t="inlineStr">
        <is>
          <t>30</t>
        </is>
      </c>
      <c r="F10" s="297" t="n">
        <v>15435</v>
      </c>
      <c r="G10" s="295" t="inlineStr">
        <is>
          <t>OK</t>
        </is>
      </c>
      <c r="H10" s="298" t="inlineStr">
        <is>
          <t>Ready for dispatch</t>
        </is>
      </c>
      <c r="I10" s="206">
        <f>IFERROR(SUMPRODUCT((TableBOM[Product ID]=B10)*(TableBOM[Material Category]="CAP")*TableBOM[Item ID]),0)</f>
        <v/>
      </c>
    </row>
    <row r="11" ht="15" customHeight="1" s="249">
      <c r="A11" s="295" t="n">
        <v>8</v>
      </c>
      <c r="B11" s="295" t="n">
        <v>6515</v>
      </c>
      <c r="C11" s="296" t="inlineStr">
        <is>
          <t>Samsol International Private Limited</t>
        </is>
      </c>
      <c r="D11" s="296" t="inlineStr">
        <is>
          <t>H.H 100GM</t>
        </is>
      </c>
      <c r="E11" s="295" t="inlineStr">
        <is>
          <t>32</t>
        </is>
      </c>
      <c r="F11" s="297" t="n">
        <v>43888</v>
      </c>
      <c r="G11" s="295" t="inlineStr">
        <is>
          <t>OK</t>
        </is>
      </c>
      <c r="H11" s="298" t="inlineStr">
        <is>
          <t>Ready for dispatch</t>
        </is>
      </c>
      <c r="I11" s="206">
        <f>IFERROR(SUMPRODUCT((TableBOM[Product ID]=B11)*(TableBOM[Material Category]="CAP")*TableBOM[Item ID]),0)</f>
        <v/>
      </c>
    </row>
    <row r="12" ht="15" customHeight="1" s="249">
      <c r="A12" s="295" t="n">
        <v>9</v>
      </c>
      <c r="B12" s="295" t="n">
        <v>6228</v>
      </c>
      <c r="C12" s="296" t="inlineStr">
        <is>
          <t>Mablay Beauty PVT LTD.</t>
        </is>
      </c>
      <c r="D12" s="296" t="inlineStr">
        <is>
          <t>HIS ONLY HAIR COLOR CREAM 40GM</t>
        </is>
      </c>
      <c r="E12" s="295" t="inlineStr">
        <is>
          <t>25</t>
        </is>
      </c>
      <c r="F12" s="297" t="n">
        <v>11592</v>
      </c>
      <c r="G12" s="295" t="inlineStr">
        <is>
          <t>OK</t>
        </is>
      </c>
      <c r="H12" s="298" t="inlineStr">
        <is>
          <t>Ready for dispatch</t>
        </is>
      </c>
      <c r="I12" s="206">
        <f>IFERROR(SUMPRODUCT((TableBOM[Product ID]=B12)*(TableBOM[Material Category]="CAP")*TableBOM[Item ID]),0)</f>
        <v/>
      </c>
    </row>
    <row r="13" ht="15" customHeight="1" s="249">
      <c r="A13" s="295" t="n">
        <v>10</v>
      </c>
      <c r="B13" s="295" t="n">
        <v>5782</v>
      </c>
      <c r="C13" s="296" t="inlineStr">
        <is>
          <t>Mega Grey</t>
        </is>
      </c>
      <c r="D13" s="296" t="inlineStr">
        <is>
          <t>M.G</t>
        </is>
      </c>
      <c r="E13" s="295" t="inlineStr">
        <is>
          <t>32</t>
        </is>
      </c>
      <c r="F13" s="297" t="n">
        <v>63648</v>
      </c>
      <c r="G13" s="295" t="inlineStr">
        <is>
          <t>OK</t>
        </is>
      </c>
      <c r="H13" s="298" t="inlineStr">
        <is>
          <t>Ready for dispatch</t>
        </is>
      </c>
      <c r="I13" s="206">
        <f>IFERROR(SUMPRODUCT((TableBOM[Product ID]=B13)*(TableBOM[Material Category]="CAP")*TableBOM[Item ID]),0)</f>
        <v/>
      </c>
    </row>
    <row r="14" ht="15" customHeight="1" s="249">
      <c r="A14" s="299" t="n">
        <v>11</v>
      </c>
      <c r="B14" s="299" t="n">
        <v>6470</v>
      </c>
      <c r="C14" s="300" t="inlineStr">
        <is>
          <t>Samsol International Private Limited</t>
        </is>
      </c>
      <c r="D14" s="300" t="inlineStr">
        <is>
          <t>TUBES COMMON RED</t>
        </is>
      </c>
      <c r="E14" s="299" t="inlineStr">
        <is>
          <t>25</t>
        </is>
      </c>
      <c r="F14" s="301" t="n">
        <v>11760</v>
      </c>
      <c r="G14" s="299" t="inlineStr">
        <is>
          <t>Not Ready</t>
        </is>
      </c>
      <c r="H14" s="302" t="inlineStr">
        <is>
          <t>To be dispatch after packing</t>
        </is>
      </c>
      <c r="I14" s="207">
        <f>IFERROR(SUMPRODUCT((TableBOM[Product ID]=B14)*(TableBOM[Material Category]="CAP")*TableBOM[Item ID]),0)</f>
        <v/>
      </c>
    </row>
    <row r="15" ht="15" customHeight="1" s="249">
      <c r="A15" s="299" t="n">
        <v>12</v>
      </c>
      <c r="B15" s="299" t="n">
        <v>6206</v>
      </c>
      <c r="C15" s="300" t="inlineStr">
        <is>
          <t>Golden Pearl Cosmetics (PVT) LTD</t>
        </is>
      </c>
      <c r="D15" s="300" t="inlineStr">
        <is>
          <t>HELLO HAIR COLOR</t>
        </is>
      </c>
      <c r="E15" s="299" t="inlineStr">
        <is>
          <t>30</t>
        </is>
      </c>
      <c r="F15" s="301" t="n">
        <v>17280</v>
      </c>
      <c r="G15" s="299" t="inlineStr">
        <is>
          <t>Not Ready</t>
        </is>
      </c>
      <c r="H15" s="302" t="inlineStr">
        <is>
          <t>To be dispatch after packing</t>
        </is>
      </c>
      <c r="I15" s="207">
        <f>IFERROR(SUMPRODUCT((TableBOM[Product ID]=B15)*(TableBOM[Material Category]="CAP")*TableBOM[Item ID]),0)</f>
        <v/>
      </c>
    </row>
    <row r="16" ht="15" customHeight="1" s="249">
      <c r="A16" s="299" t="n">
        <v>13</v>
      </c>
      <c r="B16" s="299" t="n">
        <v>3726</v>
      </c>
      <c r="C16" s="300" t="inlineStr">
        <is>
          <t>Samsol International Private Limited</t>
        </is>
      </c>
      <c r="D16" s="300" t="inlineStr">
        <is>
          <t>TUBES</t>
        </is>
      </c>
      <c r="E16" s="299" t="inlineStr">
        <is>
          <t>25</t>
        </is>
      </c>
      <c r="F16" s="301" t="n">
        <v>19824</v>
      </c>
      <c r="G16" s="299" t="inlineStr">
        <is>
          <t>Not Ready</t>
        </is>
      </c>
      <c r="H16" s="302" t="inlineStr">
        <is>
          <t>To be dispatch after packing</t>
        </is>
      </c>
      <c r="I16" s="207">
        <f>IFERROR(SUMPRODUCT((TableBOM[Product ID]=B16)*(TableBOM[Material Category]="CAP")*TableBOM[Item ID]),0)</f>
        <v/>
      </c>
    </row>
    <row r="17" ht="15" customHeight="1" s="249">
      <c r="A17" s="299" t="n">
        <v>14</v>
      </c>
      <c r="B17" s="299" t="n">
        <v>3447</v>
      </c>
      <c r="C17" s="300" t="inlineStr">
        <is>
          <t>Samsol International Private Limited</t>
        </is>
      </c>
      <c r="D17" s="300" t="inlineStr">
        <is>
          <t>S 43 25MM</t>
        </is>
      </c>
      <c r="E17" s="299" t="inlineStr">
        <is>
          <t>25</t>
        </is>
      </c>
      <c r="F17" s="301" t="n">
        <v>64160</v>
      </c>
      <c r="G17" s="299" t="inlineStr">
        <is>
          <t>Not Ready</t>
        </is>
      </c>
      <c r="H17" s="302" t="inlineStr">
        <is>
          <t>To be dispatch after packing</t>
        </is>
      </c>
      <c r="I17" s="207">
        <f>IFERROR(SUMPRODUCT((TableBOM[Product ID]=B17)*(TableBOM[Material Category]="CAP")*TableBOM[Item ID]),0)</f>
        <v/>
      </c>
    </row>
    <row r="18" ht="15" customHeight="1" s="249">
      <c r="A18" s="299" t="n">
        <v>15</v>
      </c>
      <c r="B18" s="299" t="n">
        <v>6515</v>
      </c>
      <c r="C18" s="300" t="inlineStr">
        <is>
          <t>Samsol International Private Limited</t>
        </is>
      </c>
      <c r="D18" s="300" t="inlineStr">
        <is>
          <t>H.H 100GM</t>
        </is>
      </c>
      <c r="E18" s="299" t="inlineStr">
        <is>
          <t>32</t>
        </is>
      </c>
      <c r="F18" s="301" t="n">
        <v>47424</v>
      </c>
      <c r="G18" s="299" t="inlineStr">
        <is>
          <t>Not Ready</t>
        </is>
      </c>
      <c r="H18" s="302" t="inlineStr">
        <is>
          <t>To be dispatch after packing</t>
        </is>
      </c>
      <c r="I18" s="207">
        <f>IFERROR(SUMPRODUCT((TableBOM[Product ID]=B18)*(TableBOM[Material Category]="CAP")*TableBOM[Item ID]),0)</f>
        <v/>
      </c>
    </row>
    <row r="19" ht="15" customHeight="1" s="249">
      <c r="A19" s="299" t="n">
        <v>16</v>
      </c>
      <c r="B19" s="299" t="n">
        <v>6531</v>
      </c>
      <c r="C19" s="300" t="inlineStr">
        <is>
          <t>Adore</t>
        </is>
      </c>
      <c r="D19" s="300" t="inlineStr">
        <is>
          <t>V-HC BLACK</t>
        </is>
      </c>
      <c r="E19" s="299" t="inlineStr">
        <is>
          <t>35</t>
        </is>
      </c>
      <c r="F19" s="301" t="n">
        <v>10500</v>
      </c>
      <c r="G19" s="299" t="inlineStr">
        <is>
          <t>Not Ready</t>
        </is>
      </c>
      <c r="H19" s="302" t="inlineStr">
        <is>
          <t>To be dispatch after packing</t>
        </is>
      </c>
      <c r="I19" s="207">
        <f>IFERROR(SUMPRODUCT((TableBOM[Product ID]=B19)*(TableBOM[Material Category]="CAP")*TableBOM[Item ID]),0)</f>
        <v/>
      </c>
    </row>
    <row r="20" ht="15" customHeight="1" s="249">
      <c r="A20" s="299" t="n">
        <v>17</v>
      </c>
      <c r="B20" s="299" t="n">
        <v>6530</v>
      </c>
      <c r="C20" s="300" t="inlineStr">
        <is>
          <t>Adore</t>
        </is>
      </c>
      <c r="D20" s="300" t="inlineStr">
        <is>
          <t>V- HC BROWN</t>
        </is>
      </c>
      <c r="E20" s="299" t="inlineStr">
        <is>
          <t>35</t>
        </is>
      </c>
      <c r="F20" s="301" t="n">
        <v>15000</v>
      </c>
      <c r="G20" s="299" t="inlineStr">
        <is>
          <t>Not Ready</t>
        </is>
      </c>
      <c r="H20" s="302" t="inlineStr">
        <is>
          <t>To be dispatch after packing</t>
        </is>
      </c>
      <c r="I20" s="207">
        <f>IFERROR(SUMPRODUCT((TableBOM[Product ID]=B20)*(TableBOM[Material Category]="CAP")*TableBOM[Item ID]),0)</f>
        <v/>
      </c>
    </row>
    <row r="21" ht="15" customHeight="1" s="249">
      <c r="A21" s="299" t="n">
        <v>18</v>
      </c>
      <c r="B21" s="299" t="n">
        <v>6206</v>
      </c>
      <c r="C21" s="300" t="inlineStr">
        <is>
          <t>Golden Pearl Cosmetics (PVT) LTD</t>
        </is>
      </c>
      <c r="D21" s="300" t="inlineStr">
        <is>
          <t>HELLO HAIR COLOR</t>
        </is>
      </c>
      <c r="E21" s="299" t="inlineStr">
        <is>
          <t>30</t>
        </is>
      </c>
      <c r="F21" s="301" t="n">
        <v>18088</v>
      </c>
      <c r="G21" s="299" t="inlineStr">
        <is>
          <t>Not Ready</t>
        </is>
      </c>
      <c r="H21" s="302" t="inlineStr">
        <is>
          <t>Inprogress on Latex</t>
        </is>
      </c>
      <c r="I21" s="207">
        <f>IFERROR(SUMPRODUCT((TableBOM[Product ID]=B21)*(TableBOM[Material Category]="CAP")*TableBOM[Item ID]),0)</f>
        <v/>
      </c>
    </row>
    <row r="22" ht="15" customHeight="1" s="249">
      <c r="A22" s="299" t="n">
        <v>19</v>
      </c>
      <c r="B22" s="299" t="n">
        <v>5814</v>
      </c>
      <c r="C22" s="300" t="inlineStr">
        <is>
          <t>Mablay Beauty PVT LTD.</t>
        </is>
      </c>
      <c r="D22" s="300" t="inlineStr">
        <is>
          <t>VINCE NURTURAL</t>
        </is>
      </c>
      <c r="E22" s="299" t="inlineStr">
        <is>
          <t>30</t>
        </is>
      </c>
      <c r="F22" s="301" t="n">
        <v>23562</v>
      </c>
      <c r="G22" s="299" t="inlineStr">
        <is>
          <t>Not Ready</t>
        </is>
      </c>
      <c r="H22" s="302" t="inlineStr">
        <is>
          <t>Inprogress on Latex</t>
        </is>
      </c>
      <c r="I22" s="207">
        <f>IFERROR(SUMPRODUCT((TableBOM[Product ID]=B22)*(TableBOM[Material Category]="CAP")*TableBOM[Item ID]),0)</f>
        <v/>
      </c>
    </row>
    <row r="23" ht="15" customHeight="1" s="249">
      <c r="A23" s="299" t="n">
        <v>20</v>
      </c>
      <c r="B23" s="299" t="n">
        <v>5782</v>
      </c>
      <c r="C23" s="300" t="inlineStr">
        <is>
          <t>Mega Grey</t>
        </is>
      </c>
      <c r="D23" s="300" t="inlineStr">
        <is>
          <t>M.G</t>
        </is>
      </c>
      <c r="E23" s="299" t="inlineStr">
        <is>
          <t>32</t>
        </is>
      </c>
      <c r="F23" s="301" t="n">
        <v>10500</v>
      </c>
      <c r="G23" s="299" t="inlineStr">
        <is>
          <t>Not Ready</t>
        </is>
      </c>
      <c r="H23" s="302" t="inlineStr">
        <is>
          <t>Cap Not Available</t>
        </is>
      </c>
      <c r="I23" s="207">
        <f>IFERROR(SUMPRODUCT((TableBOM[Product ID]=B23)*(TableBOM[Material Category]="CAP")*TableBOM[Item ID]),0)</f>
        <v/>
      </c>
    </row>
    <row r="24" ht="15" customHeight="1" s="249">
      <c r="A24" s="299" t="n">
        <v>21</v>
      </c>
      <c r="B24" s="299" t="n">
        <v>6624</v>
      </c>
      <c r="C24" s="300" t="inlineStr">
        <is>
          <t>Samsol International Private Limited</t>
        </is>
      </c>
      <c r="D24" s="300" t="inlineStr">
        <is>
          <t>S-45 DIA 19MM</t>
        </is>
      </c>
      <c r="E24" s="299" t="inlineStr">
        <is>
          <t>19</t>
        </is>
      </c>
      <c r="F24" s="301" t="n">
        <v>5292</v>
      </c>
      <c r="G24" s="299" t="inlineStr">
        <is>
          <t>Not Ready</t>
        </is>
      </c>
      <c r="H24" s="302" t="inlineStr">
        <is>
          <t>Cap Not Available</t>
        </is>
      </c>
      <c r="I24" s="207">
        <f>IFERROR(SUMPRODUCT((TableBOM[Product ID]=B24)*(TableBOM[Material Category]="CAP")*TableBOM[Item ID]),0)</f>
        <v/>
      </c>
    </row>
    <row r="25" ht="15" customHeight="1" s="249">
      <c r="A25" s="299" t="n">
        <v>22</v>
      </c>
      <c r="B25" s="299" t="n">
        <v>5699</v>
      </c>
      <c r="C25" s="300" t="inlineStr">
        <is>
          <t>Samsol International Private Limited</t>
        </is>
      </c>
      <c r="D25" s="300" t="inlineStr">
        <is>
          <t>S-43 DIA 20.5</t>
        </is>
      </c>
      <c r="E25" s="299" t="inlineStr">
        <is>
          <t>20.5</t>
        </is>
      </c>
      <c r="F25" s="301" t="n">
        <v>52230</v>
      </c>
      <c r="G25" s="299" t="inlineStr">
        <is>
          <t>Not Ready</t>
        </is>
      </c>
      <c r="H25" s="302" t="inlineStr">
        <is>
          <t>Cap Not Available</t>
        </is>
      </c>
      <c r="I25" s="207">
        <f>IFERROR(SUMPRODUCT((TableBOM[Product ID]=B25)*(TableBOM[Material Category]="CAP")*TableBOM[Item ID]),0)</f>
        <v/>
      </c>
    </row>
    <row r="26" ht="15" customHeight="1" s="249">
      <c r="A26" s="299" t="n">
        <v>23</v>
      </c>
      <c r="B26" s="299" t="n">
        <v>5731</v>
      </c>
      <c r="C26" s="300" t="inlineStr">
        <is>
          <t>Samsol International Private Limited</t>
        </is>
      </c>
      <c r="D26" s="300" t="inlineStr">
        <is>
          <t>SAMSOL HAIR COLOR 45 DIA 20.5 MM</t>
        </is>
      </c>
      <c r="E26" s="299" t="inlineStr">
        <is>
          <t>20.5</t>
        </is>
      </c>
      <c r="F26" s="301" t="n">
        <v>58000</v>
      </c>
      <c r="G26" s="299" t="inlineStr">
        <is>
          <t>Not Ready</t>
        </is>
      </c>
      <c r="H26" s="302" t="inlineStr">
        <is>
          <t>Cap Not Available</t>
        </is>
      </c>
      <c r="I26" s="207">
        <f>IFERROR(SUMPRODUCT((TableBOM[Product ID]=B26)*(TableBOM[Material Category]="CAP")*TableBOM[Item ID]),0)</f>
        <v/>
      </c>
    </row>
    <row r="27" ht="15" customHeight="1" s="249">
      <c r="A27" s="303" t="n"/>
      <c r="B27" s="303" t="n"/>
      <c r="C27" s="304" t="n"/>
      <c r="D27" s="304" t="n"/>
      <c r="E27" s="303" t="n"/>
      <c r="F27" s="305" t="n"/>
      <c r="G27" s="303" t="n"/>
      <c r="H27" s="306" t="n"/>
      <c r="I27" s="208">
        <f>IFERROR(SUMPRODUCT((TableBOM[Product ID]=B27)*(TableBOM[Material Category]="CAP")*TableBOM[Item ID]),0)</f>
        <v/>
      </c>
    </row>
    <row r="28" ht="15" customHeight="1" s="249">
      <c r="A28" s="307" t="n"/>
      <c r="B28" s="307" t="n"/>
      <c r="C28" s="307" t="n"/>
      <c r="D28" s="307" t="n"/>
      <c r="E28" s="307" t="n"/>
      <c r="F28" s="307" t="n"/>
      <c r="G28" s="307" t="n"/>
      <c r="H28" s="307" t="n"/>
      <c r="I28" s="209">
        <f>IFERROR(SUMPRODUCT((TableBOM[Product ID]=B28)*(TableBOM[Material Category]="CAP")*TableBOM[Item ID]),0)</f>
        <v/>
      </c>
    </row>
    <row r="29" ht="15" customHeight="1" s="249">
      <c r="A29" s="307" t="n"/>
      <c r="B29" s="307" t="n"/>
      <c r="C29" s="307" t="n"/>
      <c r="D29" s="307" t="n"/>
      <c r="E29" s="307" t="n"/>
      <c r="F29" s="307" t="n"/>
      <c r="G29" s="307" t="n"/>
      <c r="H29" s="307" t="n"/>
      <c r="I29" s="209">
        <f>IFERROR(SUMPRODUCT((TableBOM[Product ID]=B29)*(TableBOM[Material Category]="CAP")*TableBOM[Item ID]),0)</f>
        <v/>
      </c>
    </row>
    <row r="30" ht="15" customHeight="1" s="249">
      <c r="A30" s="307" t="n"/>
      <c r="B30" s="307" t="n"/>
      <c r="C30" s="307" t="n"/>
      <c r="D30" s="307" t="n"/>
      <c r="E30" s="307" t="n"/>
      <c r="F30" s="307" t="n"/>
      <c r="G30" s="307" t="n"/>
      <c r="H30" s="307" t="n"/>
      <c r="I30" s="209">
        <f>IFERROR(SUMPRODUCT((TableBOM[Product ID]=B30)*(TableBOM[Material Category]="CAP")*TableBOM[Item ID]),0)</f>
        <v/>
      </c>
    </row>
    <row r="31" ht="15" customHeight="1" s="249">
      <c r="A31" s="307" t="n"/>
      <c r="B31" s="307" t="n"/>
      <c r="C31" s="307" t="n"/>
      <c r="D31" s="307" t="n"/>
      <c r="E31" s="307" t="n"/>
      <c r="F31" s="307" t="n"/>
      <c r="G31" s="307" t="n"/>
      <c r="H31" s="307" t="n"/>
      <c r="I31" s="209">
        <f>IFERROR(SUMPRODUCT((TableBOM[Product ID]=B31)*(TableBOM[Material Category]="CAP")*TableBOM[Item ID]),0)</f>
        <v/>
      </c>
    </row>
    <row r="32" ht="15" customHeight="1" s="249">
      <c r="A32" s="307" t="n"/>
      <c r="B32" s="307" t="n"/>
      <c r="C32" s="307" t="n"/>
      <c r="D32" s="307" t="n"/>
      <c r="E32" s="307" t="n"/>
      <c r="F32" s="307" t="n"/>
      <c r="G32" s="307" t="n"/>
      <c r="H32" s="307" t="n"/>
      <c r="I32" s="209">
        <f>IFERROR(SUMPRODUCT((TableBOM[Product ID]=B32)*(TableBOM[Material Category]="CAP")*TableBOM[Item ID]),0)</f>
        <v/>
      </c>
    </row>
    <row r="33" ht="15" customHeight="1" s="249">
      <c r="A33" s="307" t="n"/>
      <c r="B33" s="307" t="n"/>
      <c r="C33" s="307" t="n"/>
      <c r="D33" s="307" t="n"/>
      <c r="E33" s="307" t="n"/>
      <c r="F33" s="307" t="n"/>
      <c r="G33" s="307" t="n"/>
      <c r="H33" s="307" t="n"/>
      <c r="I33" s="209">
        <f>IFERROR(SUMPRODUCT((TableBOM[Product ID]=B33)*(TableBOM[Material Category]="CAP")*TableBOM[Item ID]),0)</f>
        <v/>
      </c>
    </row>
    <row r="34" ht="15" customHeight="1" s="249">
      <c r="A34" s="307" t="n"/>
      <c r="B34" s="307" t="n"/>
      <c r="C34" s="307" t="n"/>
      <c r="D34" s="307" t="n"/>
      <c r="E34" s="307" t="n"/>
      <c r="F34" s="307" t="n"/>
      <c r="G34" s="307" t="n"/>
      <c r="H34" s="307" t="n"/>
      <c r="I34" s="209">
        <f>IFERROR(SUMPRODUCT((TableBOM[Product ID]=B34)*(TableBOM[Material Category]="CAP")*TableBOM[Item ID]),0)</f>
        <v/>
      </c>
    </row>
    <row r="35" ht="15" customHeight="1" s="249">
      <c r="A35" s="307" t="n"/>
      <c r="B35" s="307" t="n"/>
      <c r="C35" s="307" t="n"/>
      <c r="D35" s="307" t="n"/>
      <c r="E35" s="307" t="n"/>
      <c r="F35" s="307" t="n"/>
      <c r="G35" s="307" t="n"/>
      <c r="H35" s="307" t="n"/>
      <c r="I35" s="209">
        <f>IFERROR(SUMPRODUCT((TableBOM[Product ID]=B35)*(TableBOM[Material Category]="CAP")*TableBOM[Item ID]),0)</f>
        <v/>
      </c>
    </row>
    <row r="36" ht="15" customHeight="1" s="249">
      <c r="A36" s="307" t="n"/>
      <c r="B36" s="307" t="n"/>
      <c r="C36" s="307" t="n"/>
      <c r="D36" s="307" t="n"/>
      <c r="E36" s="307" t="n"/>
      <c r="F36" s="307" t="n"/>
      <c r="G36" s="307" t="n"/>
      <c r="H36" s="307" t="n"/>
      <c r="I36" s="209">
        <f>IFERROR(SUMPRODUCT((TableBOM[Product ID]=B36)*(TableBOM[Material Category]="CAP")*TableBOM[Item ID]),0)</f>
        <v/>
      </c>
    </row>
    <row r="37" ht="15" customHeight="1" s="249">
      <c r="A37" s="307" t="n"/>
      <c r="B37" s="307" t="n"/>
      <c r="C37" s="307" t="n"/>
      <c r="D37" s="307" t="n"/>
      <c r="E37" s="307" t="n"/>
      <c r="F37" s="307" t="n"/>
      <c r="G37" s="307" t="n"/>
      <c r="H37" s="307" t="n"/>
      <c r="I37" s="209">
        <f>IFERROR(SUMPRODUCT((TableBOM[Product ID]=B37)*(TableBOM[Material Category]="CAP")*TableBOM[Item ID]),0)</f>
        <v/>
      </c>
    </row>
    <row r="38" ht="15" customHeight="1" s="249">
      <c r="A38" s="307" t="n"/>
      <c r="B38" s="307" t="n"/>
      <c r="C38" s="307" t="n"/>
      <c r="D38" s="307" t="n"/>
      <c r="E38" s="307" t="n"/>
      <c r="F38" s="307" t="n"/>
      <c r="G38" s="307" t="n"/>
      <c r="H38" s="307" t="n"/>
      <c r="I38" s="209">
        <f>IFERROR(SUMPRODUCT((TableBOM[Product ID]=B38)*(TableBOM[Material Category]="CAP")*TableBOM[Item ID]),0)</f>
        <v/>
      </c>
    </row>
    <row r="39" ht="15" customHeight="1" s="249">
      <c r="A39" s="307" t="n"/>
      <c r="B39" s="307" t="n"/>
      <c r="C39" s="307" t="n"/>
      <c r="D39" s="307" t="n"/>
      <c r="E39" s="307" t="n"/>
      <c r="F39" s="307" t="n"/>
      <c r="G39" s="307" t="n"/>
      <c r="H39" s="307" t="n"/>
      <c r="I39" s="209">
        <f>IFERROR(SUMPRODUCT((TableBOM[Product ID]=B39)*(TableBOM[Material Category]="CAP")*TableBOM[Item ID]),0)</f>
        <v/>
      </c>
    </row>
    <row r="40" ht="15" customHeight="1" s="249">
      <c r="A40" s="307" t="n"/>
      <c r="B40" s="307" t="n"/>
      <c r="C40" s="307" t="n"/>
      <c r="D40" s="307" t="n"/>
      <c r="E40" s="307" t="n"/>
      <c r="F40" s="307" t="n"/>
      <c r="G40" s="307" t="n"/>
      <c r="H40" s="307" t="n"/>
      <c r="I40" s="209">
        <f>IFERROR(SUMPRODUCT((TableBOM[Product ID]=B40)*(TableBOM[Material Category]="CAP")*TableBOM[Item ID]),0)</f>
        <v/>
      </c>
    </row>
    <row r="41" ht="15" customHeight="1" s="249">
      <c r="A41" s="307" t="n"/>
      <c r="B41" s="307" t="n"/>
      <c r="C41" s="307" t="n"/>
      <c r="D41" s="307" t="n"/>
      <c r="E41" s="307" t="n"/>
      <c r="F41" s="307" t="n"/>
      <c r="G41" s="307" t="n"/>
      <c r="H41" s="307" t="n"/>
      <c r="I41" s="209">
        <f>IFERROR(SUMPRODUCT((TableBOM[Product ID]=B41)*(TableBOM[Material Category]="CAP")*TableBOM[Item ID]),0)</f>
        <v/>
      </c>
    </row>
    <row r="42" ht="15" customHeight="1" s="249">
      <c r="A42" s="307" t="n"/>
      <c r="B42" s="307" t="n"/>
      <c r="C42" s="307" t="n"/>
      <c r="D42" s="307" t="n"/>
      <c r="E42" s="307" t="n"/>
      <c r="F42" s="307" t="n"/>
      <c r="G42" s="307" t="n"/>
      <c r="H42" s="307" t="n"/>
      <c r="I42" s="209">
        <f>IFERROR(SUMPRODUCT((TableBOM[Product ID]=B42)*(TableBOM[Material Category]="CAP")*TableBOM[Item ID]),0)</f>
        <v/>
      </c>
    </row>
    <row r="43" ht="15" customHeight="1" s="249">
      <c r="A43" s="307" t="n"/>
      <c r="B43" s="307" t="n"/>
      <c r="C43" s="307" t="n"/>
      <c r="D43" s="307" t="n"/>
      <c r="E43" s="307" t="n"/>
      <c r="F43" s="307" t="n"/>
      <c r="G43" s="307" t="n"/>
      <c r="H43" s="307" t="n"/>
      <c r="I43" s="209">
        <f>IFERROR(SUMPRODUCT((TableBOM[Product ID]=B43)*(TableBOM[Material Category]="CAP")*TableBOM[Item ID]),0)</f>
        <v/>
      </c>
    </row>
    <row r="44" ht="15" customHeight="1" s="249">
      <c r="A44" s="307" t="n"/>
      <c r="B44" s="307" t="n"/>
      <c r="C44" s="307" t="n"/>
      <c r="D44" s="307" t="n"/>
      <c r="E44" s="307" t="n"/>
      <c r="F44" s="307" t="n"/>
      <c r="G44" s="307" t="n"/>
      <c r="H44" s="307" t="n"/>
      <c r="I44" s="209">
        <f>IFERROR(SUMPRODUCT((TableBOM[Product ID]=B44)*(TableBOM[Material Category]="CAP")*TableBOM[Item ID]),0)</f>
        <v/>
      </c>
    </row>
    <row r="45" ht="15" customHeight="1" s="249">
      <c r="A45" s="307" t="n"/>
      <c r="B45" s="307" t="n"/>
      <c r="C45" s="307" t="n"/>
      <c r="D45" s="307" t="n"/>
      <c r="E45" s="307" t="n"/>
      <c r="F45" s="307" t="n"/>
      <c r="G45" s="307" t="n"/>
      <c r="H45" s="307" t="n"/>
      <c r="I45" s="209">
        <f>IFERROR(SUMPRODUCT((TableBOM[Product ID]=B45)*(TableBOM[Material Category]="CAP")*TableBOM[Item ID]),0)</f>
        <v/>
      </c>
    </row>
    <row r="46" ht="15" customHeight="1" s="249">
      <c r="A46" s="307" t="n"/>
      <c r="B46" s="307" t="n"/>
      <c r="C46" s="307" t="n"/>
      <c r="D46" s="307" t="n"/>
      <c r="E46" s="307" t="n"/>
      <c r="F46" s="307" t="n"/>
      <c r="G46" s="307" t="n"/>
      <c r="H46" s="307" t="n"/>
      <c r="I46" s="209">
        <f>IFERROR(SUMPRODUCT((TableBOM[Product ID]=B46)*(TableBOM[Material Category]="CAP")*TableBOM[Item ID]),0)</f>
        <v/>
      </c>
    </row>
    <row r="47" ht="15" customHeight="1" s="249">
      <c r="A47" s="307" t="n"/>
      <c r="B47" s="307" t="n"/>
      <c r="C47" s="307" t="n"/>
      <c r="D47" s="307" t="n"/>
      <c r="E47" s="307" t="n"/>
      <c r="F47" s="307" t="n"/>
      <c r="G47" s="307" t="n"/>
      <c r="H47" s="307" t="n"/>
      <c r="I47" s="209">
        <f>IFERROR(SUMPRODUCT((TableBOM[Product ID]=B47)*(TableBOM[Material Category]="CAP")*TableBOM[Item ID]),0)</f>
        <v/>
      </c>
    </row>
    <row r="48" ht="15" customHeight="1" s="249">
      <c r="A48" s="307" t="n"/>
      <c r="B48" s="307" t="n"/>
      <c r="C48" s="307" t="n"/>
      <c r="D48" s="307" t="n"/>
      <c r="E48" s="307" t="n"/>
      <c r="F48" s="307" t="n"/>
      <c r="G48" s="307" t="n"/>
      <c r="H48" s="307" t="n"/>
      <c r="I48" s="209">
        <f>IFERROR(SUMPRODUCT((TableBOM[Product ID]=B48)*(TableBOM[Material Category]="CAP")*TableBOM[Item ID]),0)</f>
        <v/>
      </c>
    </row>
    <row r="49" ht="15" customHeight="1" s="249">
      <c r="A49" s="307" t="n"/>
      <c r="B49" s="307" t="n"/>
      <c r="C49" s="307" t="n"/>
      <c r="D49" s="307" t="n"/>
      <c r="E49" s="307" t="n"/>
      <c r="F49" s="307" t="n"/>
      <c r="G49" s="307" t="n"/>
      <c r="H49" s="307" t="n"/>
      <c r="I49" s="209">
        <f>IFERROR(SUMPRODUCT((TableBOM[Product ID]=B49)*(TableBOM[Material Category]="CAP")*TableBOM[Item ID]),0)</f>
        <v/>
      </c>
    </row>
    <row r="50" ht="15" customHeight="1" s="249">
      <c r="A50" s="307" t="n"/>
      <c r="B50" s="307" t="n"/>
      <c r="C50" s="307" t="n"/>
      <c r="D50" s="307" t="n"/>
      <c r="E50" s="307" t="n"/>
      <c r="F50" s="307" t="n"/>
      <c r="G50" s="307" t="n"/>
      <c r="H50" s="307" t="n"/>
      <c r="I50" s="209">
        <f>IFERROR(SUMPRODUCT((TableBOM[Product ID]=B50)*(TableBOM[Material Category]="CAP")*TableBOM[Item ID]),0)</f>
        <v/>
      </c>
    </row>
    <row r="51" ht="15" customHeight="1" s="249">
      <c r="A51" s="307" t="n"/>
      <c r="B51" s="307" t="n"/>
      <c r="C51" s="307" t="n"/>
      <c r="D51" s="307" t="n"/>
      <c r="E51" s="307" t="n"/>
      <c r="F51" s="307" t="n"/>
      <c r="G51" s="307" t="n"/>
      <c r="H51" s="307" t="n"/>
      <c r="I51" s="209">
        <f>IFERROR(SUMPRODUCT((TableBOM[Product ID]=B51)*(TableBOM[Material Category]="CAP")*TableBOM[Item ID]),0)</f>
        <v/>
      </c>
    </row>
    <row r="52" ht="15" customHeight="1" s="249">
      <c r="A52" s="307" t="n"/>
      <c r="B52" s="307" t="n"/>
      <c r="C52" s="307" t="n"/>
      <c r="D52" s="307" t="n"/>
      <c r="E52" s="307" t="n"/>
      <c r="F52" s="307" t="n"/>
      <c r="G52" s="307" t="n"/>
      <c r="H52" s="307" t="n"/>
      <c r="I52" s="209">
        <f>IFERROR(SUMPRODUCT((TableBOM[Product ID]=B52)*(TableBOM[Material Category]="CAP")*TableBOM[Item ID]),0)</f>
        <v/>
      </c>
    </row>
    <row r="53" ht="15" customHeight="1" s="249">
      <c r="A53" s="307" t="n"/>
      <c r="B53" s="307" t="n"/>
      <c r="C53" s="307" t="n"/>
      <c r="D53" s="307" t="n"/>
      <c r="E53" s="307" t="n"/>
      <c r="F53" s="307" t="n"/>
      <c r="G53" s="307" t="n"/>
      <c r="H53" s="307" t="n"/>
      <c r="I53" s="209">
        <f>IFERROR(SUMPRODUCT((TableBOM[Product ID]=B53)*(TableBOM[Material Category]="CAP")*TableBOM[Item ID]),0)</f>
        <v/>
      </c>
    </row>
    <row r="54" ht="15" customHeight="1" s="249">
      <c r="A54" s="307" t="n"/>
      <c r="B54" s="307" t="n"/>
      <c r="C54" s="307" t="n"/>
      <c r="D54" s="307" t="n"/>
      <c r="E54" s="307" t="n"/>
      <c r="F54" s="307" t="n"/>
      <c r="G54" s="307" t="n"/>
      <c r="H54" s="307" t="n"/>
      <c r="I54" s="209">
        <f>IFERROR(SUMPRODUCT((TableBOM[Product ID]=B54)*(TableBOM[Material Category]="CAP")*TableBOM[Item ID]),0)</f>
        <v/>
      </c>
    </row>
    <row r="55" ht="15" customHeight="1" s="249">
      <c r="A55" s="307" t="n"/>
      <c r="B55" s="307" t="n"/>
      <c r="C55" s="307" t="n"/>
      <c r="D55" s="307" t="n"/>
      <c r="E55" s="307" t="n"/>
      <c r="F55" s="307" t="n"/>
      <c r="G55" s="307" t="n"/>
      <c r="H55" s="307" t="n"/>
      <c r="I55" s="209">
        <f>IFERROR(SUMPRODUCT((TableBOM[Product ID]=B55)*(TableBOM[Material Category]="CAP")*TableBOM[Item ID]),0)</f>
        <v/>
      </c>
    </row>
    <row r="56" ht="15" customHeight="1" s="249">
      <c r="A56" s="307" t="n"/>
      <c r="B56" s="307" t="n"/>
      <c r="C56" s="307" t="n"/>
      <c r="D56" s="307" t="n"/>
      <c r="E56" s="307" t="n"/>
      <c r="F56" s="307" t="n"/>
      <c r="G56" s="307" t="n"/>
      <c r="H56" s="307" t="n"/>
      <c r="I56" s="209">
        <f>IFERROR(SUMPRODUCT((TableBOM[Product ID]=B56)*(TableBOM[Material Category]="CAP")*TableBOM[Item ID]),0)</f>
        <v/>
      </c>
    </row>
    <row r="57" ht="15" customHeight="1" s="249">
      <c r="A57" s="307" t="n"/>
      <c r="B57" s="307" t="n"/>
      <c r="C57" s="307" t="n"/>
      <c r="D57" s="307" t="n"/>
      <c r="E57" s="307" t="n"/>
      <c r="F57" s="307" t="n"/>
      <c r="G57" s="307" t="n"/>
      <c r="H57" s="307" t="n"/>
      <c r="I57" s="209">
        <f>IFERROR(SUMPRODUCT((TableBOM[Product ID]=B57)*(TableBOM[Material Category]="CAP")*TableBOM[Item ID]),0)</f>
        <v/>
      </c>
    </row>
    <row r="58" ht="15" customHeight="1" s="249">
      <c r="A58" s="307" t="n"/>
      <c r="B58" s="307" t="n"/>
      <c r="C58" s="307" t="n"/>
      <c r="D58" s="307" t="n"/>
      <c r="E58" s="307" t="n"/>
      <c r="F58" s="307" t="n"/>
      <c r="G58" s="307" t="n"/>
      <c r="H58" s="307" t="n"/>
      <c r="I58" s="209">
        <f>IFERROR(SUMPRODUCT((TableBOM[Product ID]=B58)*(TableBOM[Material Category]="CAP")*TableBOM[Item ID]),0)</f>
        <v/>
      </c>
    </row>
    <row r="59" ht="15" customHeight="1" s="249">
      <c r="A59" s="307" t="n"/>
      <c r="B59" s="307" t="n"/>
      <c r="C59" s="307" t="n"/>
      <c r="D59" s="307" t="n"/>
      <c r="E59" s="307" t="n"/>
      <c r="F59" s="307" t="n"/>
      <c r="G59" s="307" t="n"/>
      <c r="H59" s="307" t="n"/>
      <c r="I59" s="209">
        <f>IFERROR(SUMPRODUCT((TableBOM[Product ID]=B59)*(TableBOM[Material Category]="CAP")*TableBOM[Item ID]),0)</f>
        <v/>
      </c>
    </row>
    <row r="60" ht="15" customHeight="1" s="249">
      <c r="A60" s="307" t="n"/>
      <c r="B60" s="307" t="n"/>
      <c r="C60" s="307" t="n"/>
      <c r="D60" s="307" t="n"/>
      <c r="E60" s="307" t="n"/>
      <c r="F60" s="307" t="n"/>
      <c r="G60" s="307" t="n"/>
      <c r="H60" s="307" t="n"/>
      <c r="I60" s="209">
        <f>IFERROR(SUMPRODUCT((TableBOM[Product ID]=B60)*(TableBOM[Material Category]="CAP")*TableBOM[Item ID]),0)</f>
        <v/>
      </c>
    </row>
    <row r="61" ht="15" customHeight="1" s="249">
      <c r="A61" s="307" t="n"/>
      <c r="B61" s="307" t="n"/>
      <c r="C61" s="307" t="n"/>
      <c r="D61" s="307" t="n"/>
      <c r="E61" s="307" t="n"/>
      <c r="F61" s="307" t="n"/>
      <c r="G61" s="307" t="n"/>
      <c r="H61" s="307" t="n"/>
      <c r="I61" s="209">
        <f>IFERROR(SUMPRODUCT((TableBOM[Product ID]=B61)*(TableBOM[Material Category]="CAP")*TableBOM[Item ID]),0)</f>
        <v/>
      </c>
    </row>
    <row r="62" ht="15" customHeight="1" s="249">
      <c r="A62" s="307" t="n"/>
      <c r="B62" s="307" t="n"/>
      <c r="C62" s="307" t="n"/>
      <c r="D62" s="307" t="n"/>
      <c r="E62" s="307" t="n"/>
      <c r="F62" s="307" t="n"/>
      <c r="G62" s="307" t="n"/>
      <c r="H62" s="307" t="n"/>
      <c r="I62" s="209">
        <f>IFERROR(SUMPRODUCT((TableBOM[Product ID]=B62)*(TableBOM[Material Category]="CAP")*TableBOM[Item ID]),0)</f>
        <v/>
      </c>
    </row>
    <row r="63" ht="15" customHeight="1" s="249">
      <c r="A63" s="307" t="n"/>
      <c r="B63" s="307" t="n"/>
      <c r="C63" s="307" t="n"/>
      <c r="D63" s="307" t="n"/>
      <c r="E63" s="307" t="n"/>
      <c r="F63" s="307" t="n"/>
      <c r="G63" s="307" t="n"/>
      <c r="H63" s="307" t="n"/>
      <c r="I63" s="209">
        <f>IFERROR(SUMPRODUCT((TableBOM[Product ID]=B63)*(TableBOM[Material Category]="CAP")*TableBOM[Item ID]),0)</f>
        <v/>
      </c>
    </row>
    <row r="64" ht="15" customHeight="1" s="249">
      <c r="A64" s="307" t="n"/>
      <c r="B64" s="307" t="n"/>
      <c r="C64" s="307" t="n"/>
      <c r="D64" s="307" t="n"/>
      <c r="E64" s="307" t="n"/>
      <c r="F64" s="307" t="n"/>
      <c r="G64" s="307" t="n"/>
      <c r="H64" s="307" t="n"/>
      <c r="I64" s="209">
        <f>IFERROR(SUMPRODUCT((TableBOM[Product ID]=B64)*(TableBOM[Material Category]="CAP")*TableBOM[Item ID]),0)</f>
        <v/>
      </c>
    </row>
    <row r="65" ht="15" customHeight="1" s="249">
      <c r="A65" s="307" t="n"/>
      <c r="B65" s="307" t="n"/>
      <c r="C65" s="307" t="n"/>
      <c r="D65" s="307" t="n"/>
      <c r="E65" s="307" t="n"/>
      <c r="F65" s="307" t="n"/>
      <c r="G65" s="307" t="n"/>
      <c r="H65" s="307" t="n"/>
      <c r="I65" s="209">
        <f>IFERROR(SUMPRODUCT((TableBOM[Product ID]=B65)*(TableBOM[Material Category]="CAP")*TableBOM[Item ID]),0)</f>
        <v/>
      </c>
    </row>
    <row r="66" ht="15" customHeight="1" s="249">
      <c r="A66" s="307" t="n"/>
      <c r="B66" s="307" t="n"/>
      <c r="C66" s="307" t="n"/>
      <c r="D66" s="307" t="n"/>
      <c r="E66" s="307" t="n"/>
      <c r="F66" s="307" t="n"/>
      <c r="G66" s="307" t="n"/>
      <c r="H66" s="307" t="n"/>
      <c r="I66" s="209">
        <f>IFERROR(SUMPRODUCT((TableBOM[Product ID]=B66)*(TableBOM[Material Category]="CAP")*TableBOM[Item ID]),0)</f>
        <v/>
      </c>
    </row>
    <row r="67" ht="15" customHeight="1" s="249">
      <c r="A67" s="307" t="n"/>
      <c r="B67" s="307" t="n"/>
      <c r="C67" s="307" t="n"/>
      <c r="D67" s="307" t="n"/>
      <c r="E67" s="307" t="n"/>
      <c r="F67" s="307" t="n"/>
      <c r="G67" s="307" t="n"/>
      <c r="H67" s="307" t="n"/>
      <c r="I67" s="209">
        <f>IFERROR(SUMPRODUCT((TableBOM[Product ID]=B67)*(TableBOM[Material Category]="CAP")*TableBOM[Item ID]),0)</f>
        <v/>
      </c>
    </row>
    <row r="68" ht="15" customHeight="1" s="249">
      <c r="A68" s="307" t="n"/>
      <c r="B68" s="307" t="n"/>
      <c r="C68" s="307" t="n"/>
      <c r="D68" s="307" t="n"/>
      <c r="E68" s="307" t="n"/>
      <c r="F68" s="307" t="n"/>
      <c r="G68" s="307" t="n"/>
      <c r="H68" s="307" t="n"/>
      <c r="I68" s="209">
        <f>IFERROR(SUMPRODUCT((TableBOM[Product ID]=B68)*(TableBOM[Material Category]="CAP")*TableBOM[Item ID]),0)</f>
        <v/>
      </c>
    </row>
    <row r="69" ht="15" customHeight="1" s="249">
      <c r="A69" s="307" t="n"/>
      <c r="B69" s="307" t="n"/>
      <c r="C69" s="307" t="n"/>
      <c r="D69" s="307" t="n"/>
      <c r="E69" s="307" t="n"/>
      <c r="F69" s="307" t="n"/>
      <c r="G69" s="307" t="n"/>
      <c r="H69" s="307" t="n"/>
      <c r="I69" s="209">
        <f>IFERROR(SUMPRODUCT((TableBOM[Product ID]=B69)*(TableBOM[Material Category]="CAP")*TableBOM[Item ID]),0)</f>
        <v/>
      </c>
    </row>
    <row r="70" ht="15" customHeight="1" s="249">
      <c r="A70" s="307" t="n"/>
      <c r="B70" s="307" t="n"/>
      <c r="C70" s="307" t="n"/>
      <c r="D70" s="307" t="n"/>
      <c r="E70" s="307" t="n"/>
      <c r="F70" s="307" t="n"/>
      <c r="G70" s="307" t="n"/>
      <c r="H70" s="307" t="n"/>
      <c r="I70" s="209">
        <f>IFERROR(SUMPRODUCT((TableBOM[Product ID]=B70)*(TableBOM[Material Category]="CAP")*TableBOM[Item ID]),0)</f>
        <v/>
      </c>
    </row>
    <row r="71" ht="15" customHeight="1" s="249">
      <c r="A71" s="307" t="n"/>
      <c r="B71" s="307" t="n"/>
      <c r="C71" s="307" t="n"/>
      <c r="D71" s="307" t="n"/>
      <c r="E71" s="307" t="n"/>
      <c r="F71" s="307" t="n"/>
      <c r="G71" s="307" t="n"/>
      <c r="H71" s="307" t="n"/>
      <c r="I71" s="209">
        <f>IFERROR(SUMPRODUCT((TableBOM[Product ID]=B71)*(TableBOM[Material Category]="CAP")*TableBOM[Item ID]),0)</f>
        <v/>
      </c>
    </row>
    <row r="72" ht="15" customHeight="1" s="249">
      <c r="A72" s="307" t="n"/>
      <c r="B72" s="307" t="n"/>
      <c r="C72" s="307" t="n"/>
      <c r="D72" s="307" t="n"/>
      <c r="E72" s="307" t="n"/>
      <c r="F72" s="307" t="n"/>
      <c r="G72" s="307" t="n"/>
      <c r="H72" s="307" t="n"/>
      <c r="I72" s="209">
        <f>IFERROR(SUMPRODUCT((TableBOM[Product ID]=B72)*(TableBOM[Material Category]="CAP")*TableBOM[Item ID]),0)</f>
        <v/>
      </c>
    </row>
    <row r="73" ht="15" customHeight="1" s="249">
      <c r="A73" s="307" t="n"/>
      <c r="B73" s="307" t="n"/>
      <c r="C73" s="307" t="n"/>
      <c r="D73" s="307" t="n"/>
      <c r="E73" s="307" t="n"/>
      <c r="F73" s="307" t="n"/>
      <c r="G73" s="307" t="n"/>
      <c r="H73" s="307" t="n"/>
      <c r="I73" s="209">
        <f>IFERROR(SUMPRODUCT((TableBOM[Product ID]=B73)*(TableBOM[Material Category]="CAP")*TableBOM[Item ID]),0)</f>
        <v/>
      </c>
    </row>
    <row r="74" ht="15" customHeight="1" s="249">
      <c r="A74" s="307" t="n"/>
      <c r="B74" s="307" t="n"/>
      <c r="C74" s="307" t="n"/>
      <c r="D74" s="307" t="n"/>
      <c r="E74" s="307" t="n"/>
      <c r="F74" s="307" t="n"/>
      <c r="G74" s="307" t="n"/>
      <c r="H74" s="307" t="n"/>
      <c r="I74" s="209">
        <f>IFERROR(SUMPRODUCT((TableBOM[Product ID]=B74)*(TableBOM[Material Category]="CAP")*TableBOM[Item ID]),0)</f>
        <v/>
      </c>
    </row>
    <row r="75" ht="15" customHeight="1" s="249">
      <c r="A75" s="307" t="n"/>
      <c r="B75" s="307" t="n"/>
      <c r="C75" s="307" t="n"/>
      <c r="D75" s="307" t="n"/>
      <c r="E75" s="307" t="n"/>
      <c r="F75" s="307" t="n"/>
      <c r="G75" s="307" t="n"/>
      <c r="H75" s="307" t="n"/>
      <c r="I75" s="209">
        <f>IFERROR(SUMPRODUCT((TableBOM[Product ID]=B75)*(TableBOM[Material Category]="CAP")*TableBOM[Item ID]),0)</f>
        <v/>
      </c>
    </row>
    <row r="76" ht="15" customHeight="1" s="249">
      <c r="A76" s="307" t="n"/>
      <c r="B76" s="307" t="n"/>
      <c r="C76" s="307" t="n"/>
      <c r="D76" s="307" t="n"/>
      <c r="E76" s="307" t="n"/>
      <c r="F76" s="307" t="n"/>
      <c r="G76" s="307" t="n"/>
      <c r="H76" s="307" t="n"/>
      <c r="I76" s="209">
        <f>IFERROR(SUMPRODUCT((TableBOM[Product ID]=B76)*(TableBOM[Material Category]="CAP")*TableBOM[Item ID]),0)</f>
        <v/>
      </c>
    </row>
    <row r="77" ht="15" customHeight="1" s="249">
      <c r="A77" s="307" t="n"/>
      <c r="B77" s="307" t="n"/>
      <c r="C77" s="307" t="n"/>
      <c r="D77" s="307" t="n"/>
      <c r="E77" s="307" t="n"/>
      <c r="F77" s="307" t="n"/>
      <c r="G77" s="307" t="n"/>
      <c r="H77" s="307" t="n"/>
      <c r="I77" s="209">
        <f>IFERROR(SUMPRODUCT((TableBOM[Product ID]=B77)*(TableBOM[Material Category]="CAP")*TableBOM[Item ID]),0)</f>
        <v/>
      </c>
    </row>
    <row r="78" ht="15" customHeight="1" s="249">
      <c r="A78" s="307" t="n"/>
      <c r="B78" s="307" t="n"/>
      <c r="C78" s="307" t="n"/>
      <c r="D78" s="307" t="n"/>
      <c r="E78" s="307" t="n"/>
      <c r="F78" s="307" t="n"/>
      <c r="G78" s="307" t="n"/>
      <c r="H78" s="307" t="n"/>
      <c r="I78" s="209">
        <f>IFERROR(SUMPRODUCT((TableBOM[Product ID]=B78)*(TableBOM[Material Category]="CAP")*TableBOM[Item ID]),0)</f>
        <v/>
      </c>
    </row>
    <row r="79" ht="15" customHeight="1" s="249">
      <c r="A79" s="307" t="n"/>
      <c r="B79" s="307" t="n"/>
      <c r="C79" s="307" t="n"/>
      <c r="D79" s="307" t="n"/>
      <c r="E79" s="307" t="n"/>
      <c r="F79" s="307" t="n"/>
      <c r="G79" s="307" t="n"/>
      <c r="H79" s="307" t="n"/>
      <c r="I79" s="209">
        <f>IFERROR(SUMPRODUCT((TableBOM[Product ID]=B79)*(TableBOM[Material Category]="CAP")*TableBOM[Item ID]),0)</f>
        <v/>
      </c>
    </row>
    <row r="80" ht="15" customHeight="1" s="249">
      <c r="A80" s="307" t="n"/>
      <c r="B80" s="307" t="n"/>
      <c r="C80" s="307" t="n"/>
      <c r="D80" s="307" t="n"/>
      <c r="E80" s="307" t="n"/>
      <c r="F80" s="307" t="n"/>
      <c r="G80" s="307" t="n"/>
      <c r="H80" s="307" t="n"/>
      <c r="I80" s="209">
        <f>IFERROR(SUMPRODUCT((TableBOM[Product ID]=B80)*(TableBOM[Material Category]="CAP")*TableBOM[Item ID]),0)</f>
        <v/>
      </c>
    </row>
    <row r="81" ht="15" customHeight="1" s="249">
      <c r="A81" s="307" t="n"/>
      <c r="B81" s="307" t="n"/>
      <c r="C81" s="307" t="n"/>
      <c r="D81" s="307" t="n"/>
      <c r="E81" s="307" t="n"/>
      <c r="F81" s="307" t="n"/>
      <c r="G81" s="307" t="n"/>
      <c r="H81" s="307" t="n"/>
      <c r="I81" s="209">
        <f>IFERROR(SUMPRODUCT((TableBOM[Product ID]=B81)*(TableBOM[Material Category]="CAP")*TableBOM[Item ID]),0)</f>
        <v/>
      </c>
    </row>
    <row r="82" ht="15" customHeight="1" s="249">
      <c r="A82" s="307" t="n"/>
      <c r="B82" s="307" t="n"/>
      <c r="C82" s="307" t="n"/>
      <c r="D82" s="307" t="n"/>
      <c r="E82" s="307" t="n"/>
      <c r="F82" s="307" t="n"/>
      <c r="G82" s="307" t="n"/>
      <c r="H82" s="307" t="n"/>
      <c r="I82" s="209">
        <f>IFERROR(SUMPRODUCT((TableBOM[Product ID]=B82)*(TableBOM[Material Category]="CAP")*TableBOM[Item ID]),0)</f>
        <v/>
      </c>
    </row>
    <row r="83" ht="15" customHeight="1" s="249">
      <c r="A83" s="307" t="n"/>
      <c r="B83" s="307" t="n"/>
      <c r="C83" s="307" t="n"/>
      <c r="D83" s="307" t="n"/>
      <c r="E83" s="307" t="n"/>
      <c r="F83" s="307" t="n"/>
      <c r="G83" s="307" t="n"/>
      <c r="H83" s="307" t="n"/>
      <c r="I83" s="209">
        <f>IFERROR(SUMPRODUCT((TableBOM[Product ID]=B83)*(TableBOM[Material Category]="CAP")*TableBOM[Item ID]),0)</f>
        <v/>
      </c>
    </row>
    <row r="84" ht="15" customHeight="1" s="249">
      <c r="A84" s="307" t="n"/>
      <c r="B84" s="307" t="n"/>
      <c r="C84" s="307" t="n"/>
      <c r="D84" s="307" t="n"/>
      <c r="E84" s="307" t="n"/>
      <c r="F84" s="307" t="n"/>
      <c r="G84" s="307" t="n"/>
      <c r="H84" s="307" t="n"/>
      <c r="I84" s="209">
        <f>IFERROR(SUMPRODUCT((TableBOM[Product ID]=B84)*(TableBOM[Material Category]="CAP")*TableBOM[Item ID]),0)</f>
        <v/>
      </c>
    </row>
    <row r="85" ht="15" customHeight="1" s="249">
      <c r="A85" s="307" t="n"/>
      <c r="B85" s="307" t="n"/>
      <c r="C85" s="307" t="n"/>
      <c r="D85" s="307" t="n"/>
      <c r="E85" s="307" t="n"/>
      <c r="F85" s="307" t="n"/>
      <c r="G85" s="307" t="n"/>
      <c r="H85" s="307" t="n"/>
      <c r="I85" s="209">
        <f>IFERROR(SUMPRODUCT((TableBOM[Product ID]=B85)*(TableBOM[Material Category]="CAP")*TableBOM[Item ID]),0)</f>
        <v/>
      </c>
    </row>
    <row r="86" ht="15" customHeight="1" s="249">
      <c r="A86" s="307" t="n"/>
      <c r="B86" s="307" t="n"/>
      <c r="C86" s="307" t="n"/>
      <c r="D86" s="307" t="n"/>
      <c r="E86" s="307" t="n"/>
      <c r="F86" s="307" t="n"/>
      <c r="G86" s="307" t="n"/>
      <c r="H86" s="307" t="n"/>
      <c r="I86" s="209">
        <f>IFERROR(SUMPRODUCT((TableBOM[Product ID]=B86)*(TableBOM[Material Category]="CAP")*TableBOM[Item ID]),0)</f>
        <v/>
      </c>
    </row>
    <row r="87" ht="15" customHeight="1" s="249">
      <c r="A87" s="307" t="n"/>
      <c r="B87" s="307" t="n"/>
      <c r="C87" s="307" t="n"/>
      <c r="D87" s="307" t="n"/>
      <c r="E87" s="307" t="n"/>
      <c r="F87" s="307" t="n"/>
      <c r="G87" s="307" t="n"/>
      <c r="H87" s="307" t="n"/>
      <c r="I87" s="209">
        <f>IFERROR(SUMPRODUCT((TableBOM[Product ID]=B87)*(TableBOM[Material Category]="CAP")*TableBOM[Item ID]),0)</f>
        <v/>
      </c>
    </row>
    <row r="88" ht="15" customHeight="1" s="249">
      <c r="A88" s="307" t="n"/>
      <c r="B88" s="307" t="n"/>
      <c r="C88" s="307" t="n"/>
      <c r="D88" s="307" t="n"/>
      <c r="E88" s="307" t="n"/>
      <c r="F88" s="307" t="n"/>
      <c r="G88" s="307" t="n"/>
      <c r="H88" s="307" t="n"/>
      <c r="I88" s="209">
        <f>IFERROR(SUMPRODUCT((TableBOM[Product ID]=B88)*(TableBOM[Material Category]="CAP")*TableBOM[Item ID]),0)</f>
        <v/>
      </c>
    </row>
    <row r="89" ht="15" customHeight="1" s="249">
      <c r="A89" s="307" t="n"/>
      <c r="B89" s="307" t="n"/>
      <c r="C89" s="307" t="n"/>
      <c r="D89" s="307" t="n"/>
      <c r="E89" s="307" t="n"/>
      <c r="F89" s="307" t="n"/>
      <c r="G89" s="307" t="n"/>
      <c r="H89" s="307" t="n"/>
      <c r="I89" s="209">
        <f>IFERROR(SUMPRODUCT((TableBOM[Product ID]=B89)*(TableBOM[Material Category]="CAP")*TableBOM[Item ID]),0)</f>
        <v/>
      </c>
    </row>
    <row r="90" ht="15" customHeight="1" s="249">
      <c r="A90" s="307" t="n"/>
      <c r="B90" s="307" t="n"/>
      <c r="C90" s="307" t="n"/>
      <c r="D90" s="307" t="n"/>
      <c r="E90" s="307" t="n"/>
      <c r="F90" s="307" t="n"/>
      <c r="G90" s="307" t="n"/>
      <c r="H90" s="307" t="n"/>
      <c r="I90" s="209">
        <f>IFERROR(SUMPRODUCT((TableBOM[Product ID]=B90)*(TableBOM[Material Category]="CAP")*TableBOM[Item ID]),0)</f>
        <v/>
      </c>
    </row>
    <row r="91" ht="15" customHeight="1" s="249">
      <c r="A91" s="307" t="n"/>
      <c r="B91" s="307" t="n"/>
      <c r="C91" s="307" t="n"/>
      <c r="D91" s="307" t="n"/>
      <c r="E91" s="307" t="n"/>
      <c r="F91" s="307" t="n"/>
      <c r="G91" s="307" t="n"/>
      <c r="H91" s="307" t="n"/>
      <c r="I91" s="209">
        <f>IFERROR(SUMPRODUCT((TableBOM[Product ID]=B91)*(TableBOM[Material Category]="CAP")*TableBOM[Item ID]),0)</f>
        <v/>
      </c>
    </row>
    <row r="92" ht="15" customHeight="1" s="249">
      <c r="A92" s="307" t="n"/>
      <c r="B92" s="307" t="n"/>
      <c r="C92" s="307" t="n"/>
      <c r="D92" s="307" t="n"/>
      <c r="E92" s="307" t="n"/>
      <c r="F92" s="307" t="n"/>
      <c r="G92" s="307" t="n"/>
      <c r="H92" s="307" t="n"/>
      <c r="I92" s="209">
        <f>IFERROR(SUMPRODUCT((TableBOM[Product ID]=B92)*(TableBOM[Material Category]="CAP")*TableBOM[Item ID]),0)</f>
        <v/>
      </c>
    </row>
    <row r="93" ht="15" customHeight="1" s="249">
      <c r="A93" s="307" t="n"/>
      <c r="B93" s="307" t="n"/>
      <c r="C93" s="307" t="n"/>
      <c r="D93" s="307" t="n"/>
      <c r="E93" s="307" t="n"/>
      <c r="F93" s="307" t="n"/>
      <c r="G93" s="307" t="n"/>
      <c r="H93" s="307" t="n"/>
      <c r="I93" s="209">
        <f>IFERROR(SUMPRODUCT((TableBOM[Product ID]=B93)*(TableBOM[Material Category]="CAP")*TableBOM[Item ID]),0)</f>
        <v/>
      </c>
    </row>
    <row r="94" ht="15" customHeight="1" s="249">
      <c r="A94" s="307" t="n"/>
      <c r="B94" s="307" t="n"/>
      <c r="C94" s="307" t="n"/>
      <c r="D94" s="307" t="n"/>
      <c r="E94" s="307" t="n"/>
      <c r="F94" s="307" t="n"/>
      <c r="G94" s="307" t="n"/>
      <c r="H94" s="307" t="n"/>
      <c r="I94" s="209">
        <f>IFERROR(SUMPRODUCT((TableBOM[Product ID]=B94)*(TableBOM[Material Category]="CAP")*TableBOM[Item ID]),0)</f>
        <v/>
      </c>
    </row>
    <row r="95" ht="15" customHeight="1" s="249">
      <c r="A95" s="307" t="n"/>
      <c r="B95" s="307" t="n"/>
      <c r="C95" s="307" t="n"/>
      <c r="D95" s="307" t="n"/>
      <c r="E95" s="307" t="n"/>
      <c r="F95" s="307" t="n"/>
      <c r="G95" s="307" t="n"/>
      <c r="H95" s="307" t="n"/>
      <c r="I95" s="209">
        <f>IFERROR(SUMPRODUCT((TableBOM[Product ID]=B95)*(TableBOM[Material Category]="CAP")*TableBOM[Item ID]),0)</f>
        <v/>
      </c>
    </row>
    <row r="96" ht="15" customHeight="1" s="249">
      <c r="A96" s="307" t="n"/>
      <c r="B96" s="307" t="n"/>
      <c r="C96" s="307" t="n"/>
      <c r="D96" s="307" t="n"/>
      <c r="E96" s="307" t="n"/>
      <c r="F96" s="307" t="n"/>
      <c r="G96" s="307" t="n"/>
      <c r="H96" s="307" t="n"/>
      <c r="I96" s="209">
        <f>IFERROR(SUMPRODUCT((TableBOM[Product ID]=B96)*(TableBOM[Material Category]="CAP")*TableBOM[Item ID]),0)</f>
        <v/>
      </c>
    </row>
    <row r="97" ht="15" customHeight="1" s="249">
      <c r="A97" s="307" t="n"/>
      <c r="B97" s="307" t="n"/>
      <c r="C97" s="307" t="n"/>
      <c r="D97" s="307" t="n"/>
      <c r="E97" s="307" t="n"/>
      <c r="F97" s="307" t="n"/>
      <c r="G97" s="307" t="n"/>
      <c r="H97" s="307" t="n"/>
      <c r="I97" s="209">
        <f>IFERROR(SUMPRODUCT((TableBOM[Product ID]=B97)*(TableBOM[Material Category]="CAP")*TableBOM[Item ID]),0)</f>
        <v/>
      </c>
    </row>
    <row r="98" ht="15" customHeight="1" s="249">
      <c r="A98" s="307" t="n"/>
      <c r="B98" s="307" t="n"/>
      <c r="C98" s="307" t="n"/>
      <c r="D98" s="307" t="n"/>
      <c r="E98" s="307" t="n"/>
      <c r="F98" s="307" t="n"/>
      <c r="G98" s="307" t="n"/>
      <c r="H98" s="307" t="n"/>
      <c r="I98" s="209">
        <f>IFERROR(SUMPRODUCT((TableBOM[Product ID]=B98)*(TableBOM[Material Category]="CAP")*TableBOM[Item ID]),0)</f>
        <v/>
      </c>
    </row>
    <row r="99" ht="15" customHeight="1" s="249">
      <c r="A99" s="307" t="n"/>
      <c r="B99" s="307" t="n"/>
      <c r="C99" s="307" t="n"/>
      <c r="D99" s="307" t="n"/>
      <c r="E99" s="307" t="n"/>
      <c r="F99" s="307" t="n"/>
      <c r="G99" s="307" t="n"/>
      <c r="H99" s="307" t="n"/>
      <c r="I99" s="209">
        <f>IFERROR(SUMPRODUCT((TableBOM[Product ID]=B99)*(TableBOM[Material Category]="CAP")*TableBOM[Item ID]),0)</f>
        <v/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2"/>
  <sheetViews>
    <sheetView showGridLines="0" tabSelected="1" topLeftCell="A34" zoomScaleNormal="100" workbookViewId="0">
      <pane ySplit="2" topLeftCell="A146" activePane="bottomLeft" state="frozen"/>
      <selection pane="bottomLeft" activeCell="A152" sqref="A152:F152"/>
    </sheetView>
  </sheetViews>
  <sheetFormatPr baseColWidth="8" defaultColWidth="8.7109375" defaultRowHeight="15"/>
  <cols>
    <col width="35.5703125" bestFit="1" customWidth="1" style="249" min="1" max="1"/>
    <col width="38" customWidth="1" style="249" min="2" max="2"/>
    <col width="50" customWidth="1" style="249" min="3" max="4"/>
    <col width="28" customWidth="1" style="249" min="5" max="5"/>
    <col width="40" customWidth="1" style="249" min="6" max="10"/>
  </cols>
  <sheetData>
    <row r="1" ht="32.1" customHeight="1" s="249">
      <c r="A1" s="277" t="inlineStr">
        <is>
          <t>ALPHA CONTAINERS — PROJECT REFERENCE GUIDE</t>
        </is>
      </c>
    </row>
    <row r="2" ht="18" customHeight="1" s="249">
      <c r="A2" s="276" t="inlineStr">
        <is>
          <t>Last Updated: 19-May-2026 | File: AlphaContainers_v10_28.xlsx | 9 sheets</t>
        </is>
      </c>
    </row>
    <row r="3" ht="8.1" customHeight="1" s="249">
      <c r="A3" s="236" t="n"/>
      <c r="B3" s="236" t="n"/>
      <c r="C3" s="237" t="n"/>
      <c r="D3" s="237" t="n"/>
      <c r="E3" s="237" t="n"/>
      <c r="F3" s="237" t="n"/>
    </row>
    <row r="4" ht="24" customHeight="1" s="249">
      <c r="A4" s="273" t="inlineStr">
        <is>
          <t>S0 — DAILY WORKFLOW</t>
        </is>
      </c>
    </row>
    <row r="5" ht="15.95" customHeight="1" s="249">
      <c r="A5" s="275" t="inlineStr">
        <is>
          <t>Automated pipeline via Run_All_Updates.bat or individual scripts.</t>
        </is>
      </c>
    </row>
    <row r="6" ht="18" customHeight="1" s="249">
      <c r="A6" s="214" t="inlineStr">
        <is>
          <t>#</t>
        </is>
      </c>
      <c r="B6" s="215" t="inlineStr">
        <is>
          <t>Step</t>
        </is>
      </c>
      <c r="C6" s="215" t="inlineStr">
        <is>
          <t>Script</t>
        </is>
      </c>
      <c r="D6" s="215" t="inlineStr">
        <is>
          <t>Input</t>
        </is>
      </c>
      <c r="E6" s="215" t="inlineStr">
        <is>
          <t>Output</t>
        </is>
      </c>
      <c r="F6" s="215" t="inlineStr">
        <is>
          <t>Notes</t>
        </is>
      </c>
    </row>
    <row r="7" ht="24" customHeight="1" s="249">
      <c r="A7" s="238" t="inlineStr">
        <is>
          <t>1</t>
        </is>
      </c>
      <c r="B7" s="212" t="inlineStr">
        <is>
          <t>Download ERP files</t>
        </is>
      </c>
      <c r="C7" s="212" t="inlineStr">
        <is>
          <t>(manual)</t>
        </is>
      </c>
      <c r="D7" s="212" t="inlineStr">
        <is>
          <t>ERP browser</t>
        </is>
      </c>
      <c r="E7" s="212" t="inlineStr">
        <is>
          <t>dispatch.xls, inventory.xls</t>
        </is>
      </c>
      <c r="F7" s="212" t="inlineStr">
        <is>
          <t>Click download, rename, move to D:\Alpha. Takes ~10 seconds.</t>
        </is>
      </c>
    </row>
    <row r="8" customFormat="1" s="176">
      <c r="A8" s="239" t="inlineStr">
        <is>
          <t>2</t>
        </is>
      </c>
      <c r="B8" s="219" t="inlineStr">
        <is>
          <t>Download Production file</t>
        </is>
      </c>
      <c r="C8" s="219" t="inlineStr">
        <is>
          <t>(manual)</t>
        </is>
      </c>
      <c r="D8" s="219" t="inlineStr">
        <is>
          <t>WhatsApp</t>
        </is>
      </c>
      <c r="E8" s="219" t="inlineStr">
        <is>
          <t>Production.xlsx</t>
        </is>
      </c>
      <c r="F8" s="219" t="inlineStr">
        <is>
          <t>Imran sends daily. Rename and move to D:\Alpha.</t>
        </is>
      </c>
    </row>
    <row r="9" customFormat="1" s="176">
      <c r="A9" s="238" t="inlineStr">
        <is>
          <t>3</t>
        </is>
      </c>
      <c r="B9" s="212" t="inlineStr">
        <is>
          <t>Run update pipeline</t>
        </is>
      </c>
      <c r="C9" s="212" t="inlineStr">
        <is>
          <t>Run_All_Updates.bat</t>
        </is>
      </c>
      <c r="D9" s="212" t="inlineStr">
        <is>
          <t>All source files</t>
        </is>
      </c>
      <c r="E9" s="212" t="inlineStr">
        <is>
          <t>Updated Excel + HTML</t>
        </is>
      </c>
      <c r="F9" s="212" t="inlineStr">
        <is>
          <t>Double-click to run all 5 steps automatically.</t>
        </is>
      </c>
    </row>
    <row r="10" ht="24" customFormat="1" customHeight="1" s="176">
      <c r="A10" s="218" t="n"/>
      <c r="B10" s="219" t="inlineStr">
        <is>
          <t xml:space="preserve">  Step 1/5</t>
        </is>
      </c>
      <c r="C10" s="219" t="inlineStr">
        <is>
          <t>update_production.py</t>
        </is>
      </c>
      <c r="D10" s="219" t="inlineStr">
        <is>
          <t>Production.xlsx</t>
        </is>
      </c>
      <c r="E10" s="219" t="inlineStr">
        <is>
          <t>Production_Log + FG Stock sheets</t>
        </is>
      </c>
      <c r="F10" s="219" t="inlineStr">
        <is>
          <t>Clears and rewrites from scratch. Logs mismatches.</t>
        </is>
      </c>
    </row>
    <row r="11">
      <c r="A11" s="211" t="n"/>
      <c r="B11" s="212" t="inlineStr">
        <is>
          <t xml:space="preserve">  Step 2/5</t>
        </is>
      </c>
      <c r="C11" s="212" t="inlineStr">
        <is>
          <t>update_inventory.py</t>
        </is>
      </c>
      <c r="D11" s="212" t="inlineStr">
        <is>
          <t>inventory.xls</t>
        </is>
      </c>
      <c r="E11" s="212" t="inlineStr">
        <is>
          <t>Inventory sheet</t>
        </is>
      </c>
      <c r="F11" s="212" t="inlineStr">
        <is>
          <t>Maps ERP items to BOM items.</t>
        </is>
      </c>
    </row>
    <row r="12">
      <c r="A12" s="218" t="n"/>
      <c r="B12" s="219" t="inlineStr">
        <is>
          <t xml:space="preserve">  Step 3/5</t>
        </is>
      </c>
      <c r="C12" s="219" t="inlineStr">
        <is>
          <t>update_dispatch.py</t>
        </is>
      </c>
      <c r="D12" s="219" t="inlineStr">
        <is>
          <t>dispatch.xls + dispatch_pet.xls</t>
        </is>
      </c>
      <c r="E12" s="219" t="inlineStr">
        <is>
          <t>Dashboard col K (Dispatch)</t>
        </is>
      </c>
      <c r="F12" s="219" t="inlineStr">
        <is>
          <t>Matches product names to PIDs.</t>
        </is>
      </c>
    </row>
    <row r="13" ht="24" customHeight="1" s="249">
      <c r="A13" s="211" t="n"/>
      <c r="B13" s="212" t="inlineStr">
        <is>
          <t xml:space="preserve">  Step 4/5</t>
        </is>
      </c>
      <c r="C13" s="212" t="inlineStr">
        <is>
          <t>sort_dashboard.py</t>
        </is>
      </c>
      <c r="D13" s="212" t="inlineStr">
        <is>
          <t>Dashboard data</t>
        </is>
      </c>
      <c r="E13" s="212" t="inlineStr">
        <is>
          <t>Sorted Tubex_Dashboard</t>
        </is>
      </c>
      <c r="F13" s="212" t="inlineStr">
        <is>
          <t>Active rows on top (sorted by dia), inactive below. Dynamic sizing.</t>
        </is>
      </c>
    </row>
    <row r="14">
      <c r="A14" s="218" t="n"/>
      <c r="B14" s="219" t="inlineStr">
        <is>
          <t xml:space="preserve">  Step 5/5</t>
        </is>
      </c>
      <c r="C14" s="219" t="inlineStr">
        <is>
          <t>update_html.py</t>
        </is>
      </c>
      <c r="D14" s="219" t="inlineStr">
        <is>
          <t>All Excel sheets</t>
        </is>
      </c>
      <c r="E14" s="219" t="inlineStr">
        <is>
          <t>AlphaContainers_App.html</t>
        </is>
      </c>
      <c r="F14" s="219" t="inlineStr">
        <is>
          <t>Generates the web dashboard for GitHub Pages.</t>
        </is>
      </c>
    </row>
    <row r="15" ht="24" customFormat="1" customHeight="1" s="176">
      <c r="A15" s="238" t="inlineStr">
        <is>
          <t>4</t>
        </is>
      </c>
      <c r="B15" s="212" t="inlineStr">
        <is>
          <t>Git push</t>
        </is>
      </c>
      <c r="C15" s="212" t="inlineStr">
        <is>
          <t>Push.bat (auto)</t>
        </is>
      </c>
      <c r="D15" s="212" t="n"/>
      <c r="E15" s="212" t="inlineStr">
        <is>
          <t>GitHub backup</t>
        </is>
      </c>
      <c r="F15" s="212" t="inlineStr">
        <is>
          <t>Included in Run_All_Updates.bat. Also runs hourly via scheduled task.</t>
        </is>
      </c>
    </row>
    <row r="16" ht="24" customHeight="1" s="249">
      <c r="A16" s="239" t="inlineStr">
        <is>
          <t>5</t>
        </is>
      </c>
      <c r="B16" s="219" t="inlineStr">
        <is>
          <t>Screenshot Dashboard</t>
        </is>
      </c>
      <c r="C16" s="219" t="inlineStr">
        <is>
          <t>(manual)</t>
        </is>
      </c>
      <c r="D16" s="219" t="inlineStr">
        <is>
          <t>Excel</t>
        </is>
      </c>
      <c r="E16" s="219" t="inlineStr">
        <is>
          <t>WhatsApp group</t>
        </is>
      </c>
      <c r="F16" s="219" t="inlineStr">
        <is>
          <t>Open Excel, Ctrl+Shift+F9, screenshot Tubex_Dashboard.</t>
        </is>
      </c>
    </row>
    <row r="17" ht="8.1" customFormat="1" customHeight="1" s="176">
      <c r="A17" s="240" t="n"/>
      <c r="B17" s="241" t="n"/>
      <c r="C17" s="241" t="n"/>
      <c r="D17" s="241" t="n"/>
      <c r="E17" s="237" t="n"/>
      <c r="F17" s="237" t="n"/>
    </row>
    <row r="18" ht="15.95" customFormat="1" customHeight="1" s="176">
      <c r="A18" s="275" t="inlineStr">
        <is>
          <t>Individual scripts: update_production.py also runs sort_dashboard automatically at the end.</t>
        </is>
      </c>
    </row>
    <row r="19" ht="15.95" customFormat="1" customHeight="1" s="176">
      <c r="A19" s="275" t="inlineStr">
        <is>
          <t>Safety: All scripts check if Excel file is open (lock guard) and warn if source files are stale (&gt;26 hours).</t>
        </is>
      </c>
    </row>
    <row r="20" ht="15.95" customFormat="1" customHeight="1" s="176">
      <c r="A20" s="275" t="inlineStr">
        <is>
          <t>Logging: All output saved to Logs/ folder with timestamps. Mismatches logged to Logs/mismatches.log.</t>
        </is>
      </c>
    </row>
    <row r="21" ht="8.1" customHeight="1" s="249">
      <c r="A21" s="242" t="n"/>
      <c r="B21" s="242" t="n"/>
      <c r="C21" s="242" t="n"/>
      <c r="D21" s="240" t="n"/>
      <c r="E21" s="237" t="n"/>
      <c r="F21" s="237" t="n"/>
    </row>
    <row r="22" ht="24" customHeight="1" s="249">
      <c r="A22" s="273" t="inlineStr">
        <is>
          <t>S1 — PEOPLE</t>
        </is>
      </c>
    </row>
    <row r="23" ht="18" customHeight="1" s="249">
      <c r="A23" s="214" t="inlineStr">
        <is>
          <t>Name</t>
        </is>
      </c>
      <c r="B23" s="215" t="inlineStr">
        <is>
          <t>Role</t>
        </is>
      </c>
      <c r="C23" s="215" t="inlineStr">
        <is>
          <t>Notes</t>
        </is>
      </c>
      <c r="D23" s="215" t="inlineStr">
        <is>
          <t>Since</t>
        </is>
      </c>
      <c r="E23" s="215" t="n"/>
      <c r="F23" s="215" t="n"/>
    </row>
    <row r="24" ht="24" customHeight="1" s="249">
      <c r="A24" s="211" t="inlineStr">
        <is>
          <t>Sikander</t>
        </is>
      </c>
      <c r="B24" s="212" t="inlineStr">
        <is>
          <t>Planning &amp; Procurement Lead — both plants (Aerosol base, Tubex weekly visits)</t>
        </is>
      </c>
      <c r="C24" s="212" t="inlineStr">
        <is>
          <t>Reports to Saqib. ~10 yrs supply chain: BOPET film, SAP ERP, export logistics.</t>
        </is>
      </c>
      <c r="D24" s="212" t="inlineStr">
        <is>
          <t>Mar 2026</t>
        </is>
      </c>
      <c r="E24" s="212" t="n"/>
      <c r="F24" s="212" t="n"/>
    </row>
    <row r="25" ht="24" customHeight="1" s="249">
      <c r="A25" s="218" t="inlineStr">
        <is>
          <t>Saqib</t>
        </is>
      </c>
      <c r="B25" s="219" t="inlineStr">
        <is>
          <t>Production Manager, Tubex</t>
        </is>
      </c>
      <c r="C25" s="219" t="inlineStr">
        <is>
          <t>Reviews AlphaContainers. Approves plan changes. Roman Urdu voice notes.</t>
        </is>
      </c>
      <c r="D25" s="219" t="inlineStr">
        <is>
          <t>Tubex</t>
        </is>
      </c>
      <c r="E25" s="219" t="n"/>
      <c r="F25" s="219" t="n"/>
    </row>
    <row r="26">
      <c r="A26" s="211" t="inlineStr">
        <is>
          <t>Aurangzeb</t>
        </is>
      </c>
      <c r="B26" s="212" t="inlineStr">
        <is>
          <t>Production Engineer / Floor Supervisor</t>
        </is>
      </c>
      <c r="C26" s="212" t="inlineStr">
        <is>
          <t>Floor measurements, physical data. Hindi voice notes.</t>
        </is>
      </c>
      <c r="D26" s="212" t="inlineStr">
        <is>
          <t>Tubex</t>
        </is>
      </c>
      <c r="E26" s="212" t="n"/>
      <c r="F26" s="212" t="n"/>
    </row>
    <row r="27" ht="24" customHeight="1" s="249">
      <c r="A27" s="218" t="inlineStr">
        <is>
          <t>Rehan</t>
        </is>
      </c>
      <c r="B27" s="219" t="inlineStr">
        <is>
          <t>Store Manager</t>
        </is>
      </c>
      <c r="C27" s="219" t="inlineStr">
        <is>
          <t>Manages inventory, ERP store reports, ERP Item IDs and BOM confirmations.</t>
        </is>
      </c>
      <c r="D27" s="219" t="inlineStr">
        <is>
          <t>Tubex</t>
        </is>
      </c>
      <c r="E27" s="219" t="n"/>
      <c r="F27" s="219" t="n"/>
    </row>
    <row r="28">
      <c r="A28" s="211" t="inlineStr">
        <is>
          <t>Imran</t>
        </is>
      </c>
      <c r="B28" s="212" t="inlineStr">
        <is>
          <t>Data Entry — maintains daily Production.xlsx</t>
        </is>
      </c>
      <c r="C28" s="212" t="inlineStr">
        <is>
          <t>Naming differs from catalog. Tracks by Job Order number.</t>
        </is>
      </c>
      <c r="D28" s="212" t="inlineStr">
        <is>
          <t>Tubex</t>
        </is>
      </c>
      <c r="E28" s="212" t="n"/>
      <c r="F28" s="212" t="n"/>
    </row>
    <row r="29">
      <c r="A29" s="218" t="inlineStr">
        <is>
          <t>Seth</t>
        </is>
      </c>
      <c r="B29" s="219" t="inlineStr">
        <is>
          <t>Senior Stakeholder</t>
        </is>
      </c>
      <c r="C29" s="219" t="inlineStr">
        <is>
          <t>Reviews file periodically.</t>
        </is>
      </c>
      <c r="D29" s="219" t="n"/>
      <c r="E29" s="219" t="n"/>
      <c r="F29" s="219" t="n"/>
    </row>
    <row r="30" ht="8.1" customHeight="1" s="249">
      <c r="A30" s="242" t="n"/>
      <c r="B30" s="242" t="n"/>
      <c r="C30" s="242" t="n"/>
      <c r="D30" s="240" t="n"/>
      <c r="E30" s="237" t="n"/>
      <c r="F30" s="237" t="n"/>
    </row>
    <row r="31" ht="24" customHeight="1" s="249">
      <c r="A31" s="273" t="inlineStr">
        <is>
          <t>S2 — PLANTS &amp; MACHINES</t>
        </is>
      </c>
    </row>
    <row r="32" ht="18" customHeight="1" s="249">
      <c r="A32" s="214" t="inlineStr">
        <is>
          <t>Plant</t>
        </is>
      </c>
      <c r="B32" s="215" t="inlineStr">
        <is>
          <t>Status</t>
        </is>
      </c>
      <c r="C32" s="215" t="inlineStr">
        <is>
          <t>Capacity / Notes</t>
        </is>
      </c>
      <c r="D32" s="215" t="n"/>
      <c r="E32" s="215" t="n"/>
      <c r="F32" s="215" t="n"/>
    </row>
    <row r="33" ht="24" customHeight="1" s="249">
      <c r="A33" s="211" t="inlineStr">
        <is>
          <t>Tubex</t>
        </is>
      </c>
      <c r="B33" s="212" t="inlineStr">
        <is>
          <t>Running — aluminum collapsible tube manufacturing</t>
        </is>
      </c>
      <c r="C33" s="212" t="inlineStr">
        <is>
          <t>Pline-03 and Pline-04: 22,500 pcs/day each. Mon-Sat (26 days/month typical).</t>
        </is>
      </c>
      <c r="D33" s="212" t="n"/>
      <c r="E33" s="212" t="n"/>
      <c r="F33" s="212" t="n"/>
    </row>
    <row r="34">
      <c r="A34" s="218" t="inlineStr">
        <is>
          <t>PET Line</t>
        </is>
      </c>
      <c r="B34" s="219" t="inlineStr">
        <is>
          <t>Running — PET bottle line</t>
        </is>
      </c>
      <c r="C34" s="219" t="inlineStr">
        <is>
          <t>PF Machine. Separate KPI card in dashboard.</t>
        </is>
      </c>
      <c r="D34" s="219" t="n"/>
      <c r="E34" s="219" t="n"/>
      <c r="F34" s="219" t="n"/>
    </row>
    <row r="35">
      <c r="A35" s="211" t="inlineStr">
        <is>
          <t>Aerosol</t>
        </is>
      </c>
      <c r="B35" s="212" t="inlineStr">
        <is>
          <t>Not installed yet</t>
        </is>
      </c>
      <c r="C35" s="212" t="inlineStr">
        <is>
          <t>Sikander's primary base.</t>
        </is>
      </c>
      <c r="D35" s="212" t="n"/>
      <c r="E35" s="212" t="n"/>
      <c r="F35" s="212" t="n"/>
    </row>
    <row r="36" ht="8.1" customHeight="1" s="249">
      <c r="A36" s="242" t="n"/>
      <c r="B36" s="242" t="n"/>
      <c r="C36" s="242" t="n"/>
      <c r="D36" s="240" t="n"/>
      <c r="E36" s="237" t="n"/>
      <c r="F36" s="237" t="n"/>
    </row>
    <row r="37" ht="18" customHeight="1" s="249">
      <c r="A37" s="214" t="inlineStr">
        <is>
          <t>Rule</t>
        </is>
      </c>
      <c r="B37" s="215" t="inlineStr">
        <is>
          <t>Detail</t>
        </is>
      </c>
      <c r="C37" s="215" t="n"/>
      <c r="D37" s="215" t="n"/>
      <c r="E37" s="215" t="n"/>
      <c r="F37" s="215" t="n"/>
    </row>
    <row r="38" ht="24" customHeight="1" s="249">
      <c r="A38" s="211" t="inlineStr">
        <is>
          <t>Diameter conflict</t>
        </is>
      </c>
      <c r="B38" s="212" t="inlineStr">
        <is>
          <t>Both machines MUST run different diameters on the same day.</t>
        </is>
      </c>
      <c r="C38" s="212" t="n"/>
      <c r="D38" s="212" t="n"/>
      <c r="E38" s="212" t="n"/>
      <c r="F38" s="212" t="n"/>
    </row>
    <row r="39" ht="36" customHeight="1" s="249">
      <c r="A39" s="218" t="inlineStr">
        <is>
          <t>Changeover cost</t>
        </is>
      </c>
      <c r="B39" s="219" t="inlineStr">
        <is>
          <t>5,000 pcs deduction on the day the outgoing product finishes (not next day). Same-dia plate swap = no deduction.</t>
        </is>
      </c>
      <c r="C39" s="219" t="n"/>
      <c r="D39" s="219" t="n"/>
      <c r="E39" s="219" t="n"/>
      <c r="F39" s="219" t="n"/>
    </row>
    <row r="40" ht="24" customHeight="1" s="249">
      <c r="A40" s="211" t="inlineStr">
        <is>
          <t>Scrap factor</t>
        </is>
      </c>
      <c r="B40" s="212" t="inlineStr">
        <is>
          <t>10% built into BOM formulas. Covers rejected tubes only — NOT solvent evaporation.</t>
        </is>
      </c>
      <c r="C40" s="212" t="n"/>
      <c r="D40" s="212" t="n"/>
      <c r="E40" s="212" t="n"/>
      <c r="F40" s="212" t="n"/>
    </row>
    <row r="41" ht="24" customHeight="1" s="249">
      <c r="A41" s="218" t="inlineStr">
        <is>
          <t>Priority</t>
        </is>
      </c>
      <c r="B41" s="219" t="inlineStr">
        <is>
          <t>Confirmed orders run before Expected orders unless Saqib overrides.</t>
        </is>
      </c>
      <c r="C41" s="219" t="n"/>
      <c r="D41" s="219" t="n"/>
      <c r="E41" s="219" t="n"/>
      <c r="F41" s="219" t="n"/>
    </row>
    <row r="42" ht="24" customHeight="1" s="249">
      <c r="A42" s="211" t="inlineStr">
        <is>
          <t>Exact quantities</t>
        </is>
      </c>
      <c r="B42" s="212" t="inlineStr">
        <is>
          <t>Plan exactly the ordered amount. No rounding up without approval.</t>
        </is>
      </c>
      <c r="C42" s="212" t="n"/>
      <c r="D42" s="212" t="n"/>
      <c r="E42" s="212" t="n"/>
      <c r="F42" s="212" t="n"/>
    </row>
    <row r="43" ht="8.1" customHeight="1" s="249">
      <c r="A43" s="242" t="n"/>
      <c r="B43" s="242" t="n"/>
      <c r="C43" s="242" t="n"/>
      <c r="D43" s="240" t="n"/>
      <c r="E43" s="237" t="n"/>
      <c r="F43" s="237" t="n"/>
    </row>
    <row r="44" ht="24" customHeight="1" s="249">
      <c r="A44" s="273" t="inlineStr">
        <is>
          <t>S3 — SHEET MAP (9 sheets)</t>
        </is>
      </c>
    </row>
    <row r="45" ht="18" customHeight="1" s="249">
      <c r="A45" s="214" t="inlineStr">
        <is>
          <t>Sheet</t>
        </is>
      </c>
      <c r="B45" s="215" t="inlineStr">
        <is>
          <t>Purpose</t>
        </is>
      </c>
      <c r="C45" s="215" t="inlineStr">
        <is>
          <t>Key Details</t>
        </is>
      </c>
      <c r="D45" s="215" t="n"/>
      <c r="E45" s="215" t="n"/>
      <c r="F45" s="215" t="n"/>
    </row>
    <row r="46" ht="36" customHeight="1" s="249">
      <c r="A46" s="211" t="inlineStr">
        <is>
          <t>Tubex_Dashboard</t>
        </is>
      </c>
      <c r="B46" s="212" t="inlineStr">
        <is>
          <t>KPIs: Tube (Printing only, no Varnish) + PET. Downtime. Active orders sorted by dia with MTD compliance.</t>
        </is>
      </c>
      <c r="C46" s="212" t="inlineStr">
        <is>
          <t>Active/inactive auto-sorted by sort_dashboard.py. Dynamic row count — no empty gaps. TOTAL rows separate sections.</t>
        </is>
      </c>
      <c r="D46" s="212" t="n"/>
      <c r="E46" s="212" t="n"/>
      <c r="F46" s="212" t="n"/>
    </row>
    <row r="47" ht="36" customHeight="1" s="249">
      <c r="A47" s="218" t="inlineStr">
        <is>
          <t>MRP</t>
        </is>
      </c>
      <c r="B47" s="219" t="inlineStr">
        <is>
          <t>Active orders + Material Requirement Plan. Tube orders rows 3-10, PET rows 101-106. Ink section rows 122-150.</t>
        </is>
      </c>
      <c r="C47" s="219" t="inlineStr">
        <is>
          <t>MRP D column (Product ID) MUST be hardcoded — if blank, all SUMIF material reqs = 0 (silent failure).</t>
        </is>
      </c>
      <c r="D47" s="219" t="n"/>
      <c r="E47" s="219" t="n"/>
      <c r="F47" s="219" t="n"/>
    </row>
    <row r="48" ht="48" customHeight="1" s="249">
      <c r="A48" s="211" t="inlineStr">
        <is>
          <t>BOM</t>
        </is>
      </c>
      <c r="B48" s="212" t="inlineStr">
        <is>
          <t>All product BOMs. TableBOM = A2:M345. Cols: PID|BOM|Customer|Product|Dia|MatCat|ItemID|ItemName|UOM|Per1000|MatGroup|Scrap%|ChangeNote</t>
        </is>
      </c>
      <c r="C48" s="212" t="n"/>
      <c r="D48" s="212" t="n"/>
      <c r="E48" s="212" t="n"/>
      <c r="F48" s="212" t="n"/>
    </row>
    <row r="49" ht="24" customHeight="1" s="249">
      <c r="A49" s="218" t="inlineStr">
        <is>
          <t>Inventory</t>
        </is>
      </c>
      <c r="B49" s="219" t="inlineStr">
        <is>
          <t>Latest ERP stock positions. Updated by update_inventory.py from inventory.xls.</t>
        </is>
      </c>
      <c r="C49" s="219" t="n"/>
      <c r="D49" s="219" t="n"/>
      <c r="E49" s="219" t="n"/>
      <c r="F49" s="219" t="n"/>
    </row>
    <row r="50" ht="24" customHeight="1" s="249">
      <c r="A50" s="211" t="inlineStr">
        <is>
          <t>Product_Catalog</t>
        </is>
      </c>
      <c r="B50" s="212" t="inlineStr">
        <is>
          <t>Single source of truth for product names and PIDs. To rename: update col C only.</t>
        </is>
      </c>
      <c r="C50" s="212" t="n"/>
      <c r="D50" s="212" t="n"/>
      <c r="E50" s="212" t="n"/>
      <c r="F50" s="212" t="n"/>
    </row>
    <row r="51" ht="24" customHeight="1" s="249">
      <c r="A51" s="218" t="inlineStr">
        <is>
          <t>Production_Log</t>
        </is>
      </c>
      <c r="B51" s="219" t="inlineStr">
        <is>
          <t>Daily production data. Rewritten from scratch by update_production.py each run.</t>
        </is>
      </c>
      <c r="C51" s="219" t="inlineStr">
        <is>
          <t>Only current month data kept. Old months removed manually.</t>
        </is>
      </c>
      <c r="D51" s="219" t="n"/>
      <c r="E51" s="219" t="n"/>
      <c r="F51" s="219" t="n"/>
    </row>
    <row r="52" ht="24" customHeight="1" s="249">
      <c r="A52" s="211" t="inlineStr">
        <is>
          <t>BOM Issues</t>
        </is>
      </c>
      <c r="B52" s="212" t="inlineStr">
        <is>
          <t>Tracks ERP BOM discrepancies, Item ID queries, and pending corrections.</t>
        </is>
      </c>
      <c r="C52" s="212" t="inlineStr">
        <is>
          <t>See BOM Issues sheet for full details.</t>
        </is>
      </c>
      <c r="D52" s="212" t="n"/>
      <c r="E52" s="212" t="n"/>
      <c r="F52" s="212" t="n"/>
    </row>
    <row r="53" ht="36" customHeight="1" s="249">
      <c r="A53" s="218" t="inlineStr">
        <is>
          <t>FG Stock</t>
        </is>
      </c>
      <c r="B53" s="219" t="inlineStr">
        <is>
          <t>Finished Goods stock in hand. Updated by update_production.py from FG Stock In hand sheet in Production.xlsx.</t>
        </is>
      </c>
      <c r="C53" s="219" t="n"/>
      <c r="D53" s="219" t="n"/>
      <c r="E53" s="219" t="n"/>
      <c r="F53" s="219" t="n"/>
    </row>
    <row r="54" ht="24" customHeight="1" s="249">
      <c r="A54" s="211" t="inlineStr">
        <is>
          <t>Notes &amp; Guide</t>
        </is>
      </c>
      <c r="B54" s="212" t="inlineStr">
        <is>
          <t>This sheet. Project reference, workflow, people, rules, action items.</t>
        </is>
      </c>
      <c r="C54" s="212" t="n"/>
      <c r="D54" s="212" t="n"/>
      <c r="E54" s="212" t="n"/>
      <c r="F54" s="212" t="n"/>
    </row>
    <row r="55" ht="8.1" customHeight="1" s="249">
      <c r="A55" s="242" t="n"/>
      <c r="B55" s="242" t="n"/>
      <c r="C55" s="242" t="n"/>
      <c r="D55" s="240" t="n"/>
      <c r="E55" s="237" t="n"/>
      <c r="F55" s="237" t="n"/>
    </row>
    <row r="56" ht="24" customHeight="1" s="249">
      <c r="A56" s="273" t="inlineStr">
        <is>
          <t>S4 — AUTOMATION SCRIPTS</t>
        </is>
      </c>
    </row>
    <row r="57" ht="18" customHeight="1" s="249">
      <c r="A57" s="214" t="inlineStr">
        <is>
          <t>Script</t>
        </is>
      </c>
      <c r="B57" s="215" t="inlineStr">
        <is>
          <t>Location</t>
        </is>
      </c>
      <c r="C57" s="215" t="inlineStr">
        <is>
          <t>Purpose</t>
        </is>
      </c>
      <c r="D57" s="215" t="inlineStr">
        <is>
          <t>Dependencies</t>
        </is>
      </c>
      <c r="E57" s="215" t="n"/>
      <c r="F57" s="215" t="n"/>
    </row>
    <row r="58" ht="24" customHeight="1" s="249">
      <c r="A58" s="211" t="inlineStr">
        <is>
          <t>update_production.py</t>
        </is>
      </c>
      <c r="B58" s="212" t="inlineStr">
        <is>
          <t>Scripts/</t>
        </is>
      </c>
      <c r="C58" s="212" t="inlineStr">
        <is>
          <t>Reads Production.xlsx, rewrites Production_Log + FG Stock. Auto-runs sort_dashboard at end.</t>
        </is>
      </c>
      <c r="D58" s="212" t="inlineStr">
        <is>
          <t>pandas, openpyxl</t>
        </is>
      </c>
      <c r="E58" s="212" t="n"/>
      <c r="F58" s="212" t="n"/>
    </row>
    <row r="59" ht="24" customHeight="1" s="249">
      <c r="A59" s="218" t="inlineStr">
        <is>
          <t>update_inventory.py</t>
        </is>
      </c>
      <c r="B59" s="219" t="inlineStr">
        <is>
          <t>Scripts/</t>
        </is>
      </c>
      <c r="C59" s="219" t="inlineStr">
        <is>
          <t>Reads inventory.xls, updates Inventory sheet with latest ERP stock levels.</t>
        </is>
      </c>
      <c r="D59" s="219" t="inlineStr">
        <is>
          <t>pandas, openpyxl</t>
        </is>
      </c>
      <c r="E59" s="219" t="n"/>
      <c r="F59" s="219" t="n"/>
    </row>
    <row r="60">
      <c r="A60" s="211" t="inlineStr">
        <is>
          <t>update_dispatch.py</t>
        </is>
      </c>
      <c r="B60" s="212" t="inlineStr">
        <is>
          <t>Scripts/</t>
        </is>
      </c>
      <c r="C60" s="212" t="inlineStr">
        <is>
          <t>Reads dispatch.xls + dispatch_pet.xls, writes Dashboard col K.</t>
        </is>
      </c>
      <c r="D60" s="212" t="inlineStr">
        <is>
          <t>pandas, openpyxl</t>
        </is>
      </c>
      <c r="E60" s="212" t="n"/>
      <c r="F60" s="212" t="n"/>
    </row>
    <row r="61" ht="24" customHeight="1" s="249">
      <c r="A61" s="218" t="inlineStr">
        <is>
          <t>sort_dashboard.py</t>
        </is>
      </c>
      <c r="B61" s="219" t="inlineStr">
        <is>
          <t>Scripts/</t>
        </is>
      </c>
      <c r="C61" s="219" t="inlineStr">
        <is>
          <t>Sorts Dashboard: active rows on top (by dia low-to-high), inactive below. Dynamic TOTAL row positions.</t>
        </is>
      </c>
      <c r="D61" s="219" t="inlineStr">
        <is>
          <t>openpyxl</t>
        </is>
      </c>
      <c r="E61" s="219" t="n"/>
      <c r="F61" s="219" t="n"/>
    </row>
    <row r="62" ht="24" customHeight="1" s="249">
      <c r="A62" s="211" t="inlineStr">
        <is>
          <t>update_html.py</t>
        </is>
      </c>
      <c r="B62" s="212" t="inlineStr">
        <is>
          <t>Scripts/</t>
        </is>
      </c>
      <c r="C62" s="212" t="inlineStr">
        <is>
          <t>Generates AlphaContainers_App.html web dashboard for GitHub Pages.</t>
        </is>
      </c>
      <c r="D62" s="212" t="inlineStr">
        <is>
          <t>openpyxl</t>
        </is>
      </c>
      <c r="E62" s="212" t="n"/>
      <c r="F62" s="212" t="n"/>
    </row>
    <row r="63" ht="24" customHeight="1" s="249">
      <c r="A63" s="218" t="inlineStr">
        <is>
          <t>alpha_checks.py</t>
        </is>
      </c>
      <c r="B63" s="219" t="inlineStr">
        <is>
          <t>Scripts/</t>
        </is>
      </c>
      <c r="C63" s="219" t="inlineStr">
        <is>
          <t>Shared safety module: file lock guard, freshness check, mismatch logging.</t>
        </is>
      </c>
      <c r="D63" s="219" t="inlineStr">
        <is>
          <t>openpyxl</t>
        </is>
      </c>
      <c r="E63" s="219" t="n"/>
      <c r="F63" s="219" t="n"/>
    </row>
    <row r="64">
      <c r="A64" s="211" t="inlineStr">
        <is>
          <t>Run_All_Updates.bat</t>
        </is>
      </c>
      <c r="B64" s="212" t="inlineStr">
        <is>
          <t>Scripts/</t>
        </is>
      </c>
      <c r="C64" s="212" t="inlineStr">
        <is>
          <t>Runs all 5 steps + git push. Logs output to Logs/ folder.</t>
        </is>
      </c>
      <c r="D64" s="212" t="n"/>
      <c r="E64" s="212" t="n"/>
      <c r="F64" s="212" t="n"/>
    </row>
    <row r="65" ht="24" customHeight="1" s="249">
      <c r="A65" s="218" t="inlineStr">
        <is>
          <t>Push.bat</t>
        </is>
      </c>
      <c r="B65" s="219" t="inlineStr">
        <is>
          <t>Scripts/</t>
        </is>
      </c>
      <c r="C65" s="219" t="inlineStr">
        <is>
          <t>Git commit + push + OneDrive copy. Also used by hourly scheduled task.</t>
        </is>
      </c>
      <c r="D65" s="219" t="n"/>
      <c r="E65" s="219" t="n"/>
      <c r="F65" s="219" t="n"/>
    </row>
    <row r="66">
      <c r="A66" s="211" t="inlineStr">
        <is>
          <t>Pull.bat</t>
        </is>
      </c>
      <c r="B66" s="212" t="inlineStr">
        <is>
          <t>Scripts/</t>
        </is>
      </c>
      <c r="C66" s="212" t="inlineStr">
        <is>
          <t>Git pull to sync between work and home PCs.</t>
        </is>
      </c>
      <c r="D66" s="212" t="n"/>
      <c r="E66" s="212" t="n"/>
      <c r="F66" s="212" t="n"/>
    </row>
    <row r="67" ht="8.1" customHeight="1" s="249">
      <c r="A67" s="242" t="n"/>
      <c r="B67" s="242" t="n"/>
      <c r="C67" s="242" t="n"/>
      <c r="D67" s="240" t="n"/>
      <c r="E67" s="237" t="n"/>
      <c r="F67" s="237" t="n"/>
    </row>
    <row r="68" ht="24" customHeight="1" s="249">
      <c r="A68" s="273" t="inlineStr">
        <is>
          <t>S5 — DASHBOARD SORT RULES (sort_dashboard.py)</t>
        </is>
      </c>
    </row>
    <row r="69" ht="18" customHeight="1" s="249">
      <c r="A69" s="214" t="inlineStr">
        <is>
          <t>Rule</t>
        </is>
      </c>
      <c r="B69" s="215" t="inlineStr">
        <is>
          <t>Detail</t>
        </is>
      </c>
      <c r="C69" s="215" t="n"/>
      <c r="D69" s="215" t="n"/>
      <c r="E69" s="215" t="n"/>
      <c r="F69" s="215" t="n"/>
    </row>
    <row r="70" ht="24" customHeight="1" s="249">
      <c r="A70" s="211" t="inlineStr">
        <is>
          <t>Active criteria</t>
        </is>
      </c>
      <c r="B70" s="212" t="inlineStr">
        <is>
          <t>A product is ACTIVE if: Orders (G) &gt; 0 OR MTD Produced &gt; 0 OR Dispatched (K) &gt; 0.</t>
        </is>
      </c>
      <c r="C70" s="212" t="n"/>
      <c r="D70" s="212" t="n"/>
      <c r="E70" s="212" t="n"/>
      <c r="F70" s="212" t="n"/>
    </row>
    <row r="71" ht="36" customHeight="1" s="249">
      <c r="A71" s="218" t="inlineStr">
        <is>
          <t>Sort order</t>
        </is>
      </c>
      <c r="B71" s="219" t="inlineStr">
        <is>
          <t>Within active and inactive sections: sorted by diameter (low to high). PETs sorted by ml (low to high).</t>
        </is>
      </c>
      <c r="C71" s="219" t="n"/>
      <c r="D71" s="219" t="n"/>
      <c r="E71" s="219" t="n"/>
      <c r="F71" s="219" t="n"/>
    </row>
    <row r="72" ht="36" customHeight="1" s="249">
      <c r="A72" s="211" t="inlineStr">
        <is>
          <t>Dynamic sizing</t>
        </is>
      </c>
      <c r="B72" s="212" t="inlineStr">
        <is>
          <t>No fixed row count. Active section expands/shrinks. TOTAL row sits right after last active product. No blank gaps.</t>
        </is>
      </c>
      <c r="C72" s="212" t="n"/>
      <c r="D72" s="212" t="n"/>
      <c r="E72" s="212" t="n"/>
      <c r="F72" s="212" t="n"/>
    </row>
    <row r="73" ht="36" customHeight="1" s="249">
      <c r="A73" s="218" t="inlineStr">
        <is>
          <t>Formatting</t>
        </is>
      </c>
      <c r="B73" s="219" t="inlineStr">
        <is>
          <t>Product rows: Arial 10pt. TOTAL rows: Segoe UI 9pt bold navy. Applied explicitly every run — never inherits stale formatting.</t>
        </is>
      </c>
      <c r="C73" s="219" t="n"/>
      <c r="D73" s="219" t="n"/>
      <c r="E73" s="219" t="n"/>
      <c r="F73" s="219" t="n"/>
    </row>
    <row r="74" ht="36" customHeight="1" s="249">
      <c r="A74" s="211" t="inlineStr">
        <is>
          <t>Formulas rebuilt</t>
        </is>
      </c>
      <c r="B74" s="212" t="inlineStr">
        <is>
          <t>H (SUMPRODUCT), I (Remaining), J (Compliance) formulas rebuilt with correct row references after every sort.</t>
        </is>
      </c>
      <c r="C74" s="212" t="n"/>
      <c r="D74" s="212" t="n"/>
      <c r="E74" s="212" t="n"/>
      <c r="F74" s="212" t="n"/>
    </row>
    <row r="75" ht="24" customHeight="1" s="249">
      <c r="A75" s="218" t="inlineStr">
        <is>
          <t>TOTAL formulas</t>
        </is>
      </c>
      <c r="B75" s="219" t="inlineStr">
        <is>
          <t>SUM ranges adjusted dynamically to cover exactly the active rows above.</t>
        </is>
      </c>
      <c r="C75" s="219" t="n"/>
      <c r="D75" s="219" t="n"/>
      <c r="E75" s="219" t="n"/>
      <c r="F75" s="219" t="n"/>
    </row>
    <row r="76" ht="24" customHeight="1" s="249">
      <c r="A76" s="211" t="inlineStr">
        <is>
          <t>KPI formulas</t>
        </is>
      </c>
      <c r="B76" s="212" t="inlineStr">
        <is>
          <t>Rows 6 and 8 SUMIF formulas updated to cover full data range (all active + inactive rows).</t>
        </is>
      </c>
      <c r="C76" s="212" t="n"/>
      <c r="D76" s="212" t="n"/>
      <c r="E76" s="212" t="n"/>
      <c r="F76" s="212" t="n"/>
    </row>
    <row r="77" ht="24" customHeight="1" s="249">
      <c r="A77" s="218" t="inlineStr">
        <is>
          <t>Idempotent</t>
        </is>
      </c>
      <c r="B77" s="219" t="inlineStr">
        <is>
          <t>Running twice produces identical results. Safe to run any number of times.</t>
        </is>
      </c>
      <c r="C77" s="219" t="n"/>
      <c r="D77" s="219" t="n"/>
      <c r="E77" s="219" t="n"/>
      <c r="F77" s="219" t="n"/>
    </row>
    <row r="78" ht="24" customHeight="1" s="249">
      <c r="A78" s="211" t="inlineStr">
        <is>
          <t>Integration</t>
        </is>
      </c>
      <c r="B78" s="212" t="inlineStr">
        <is>
          <t>Runs as Step 4/5 in Run_All_Updates.bat. Also auto-runs at end of update_production.py.</t>
        </is>
      </c>
      <c r="C78" s="212" t="n"/>
      <c r="D78" s="212" t="n"/>
      <c r="E78" s="212" t="n"/>
      <c r="F78" s="212" t="n"/>
    </row>
    <row r="79" ht="8.1" customHeight="1" s="249">
      <c r="A79" s="242" t="n"/>
      <c r="B79" s="242" t="n"/>
      <c r="C79" s="242" t="n"/>
      <c r="D79" s="240" t="n"/>
      <c r="E79" s="237" t="n"/>
      <c r="F79" s="237" t="n"/>
    </row>
    <row r="80" ht="24" customHeight="1" s="249">
      <c r="A80" s="273" t="inlineStr">
        <is>
          <t>S6 — CRITICAL RULES (DO NOT BREAK)</t>
        </is>
      </c>
    </row>
    <row r="81" ht="18" customHeight="1" s="249">
      <c r="A81" s="214" t="inlineStr">
        <is>
          <t>Rule</t>
        </is>
      </c>
      <c r="B81" s="215" t="inlineStr">
        <is>
          <t>Detail</t>
        </is>
      </c>
      <c r="C81" s="215" t="n"/>
      <c r="D81" s="215" t="n"/>
      <c r="E81" s="215" t="n"/>
      <c r="F81" s="215" t="n"/>
    </row>
    <row r="82" ht="36" customHeight="1" s="249">
      <c r="A82" s="211" t="inlineStr">
        <is>
          <t>ERP ITEM IDs</t>
        </is>
      </c>
      <c r="B82" s="212" t="inlineStr">
        <is>
          <t>NEVER alter ERP Item IDs without Rehan confirmation. Equivalencies: ID 170=3595 (White BC), 4156=3869 (Beige BC).</t>
        </is>
      </c>
      <c r="C82" s="212" t="n"/>
      <c r="D82" s="212" t="n"/>
      <c r="E82" s="212" t="n"/>
      <c r="F82" s="212" t="n"/>
    </row>
    <row r="83" ht="24" customHeight="1" s="249">
      <c r="A83" s="218" t="inlineStr">
        <is>
          <t>LACQUER SPELLING</t>
        </is>
      </c>
      <c r="B83" s="219" t="inlineStr">
        <is>
          <t>Correct: LACQUER. If LACQUAR appears anywhere it is a new error — fix immediately.</t>
        </is>
      </c>
      <c r="C83" s="219" t="n"/>
      <c r="D83" s="219" t="n"/>
      <c r="E83" s="219" t="n"/>
      <c r="F83" s="219" t="n"/>
    </row>
    <row r="84" ht="36" customHeight="1" s="249">
      <c r="A84" s="211" t="inlineStr">
        <is>
          <t>VARNISH TAGS</t>
        </is>
      </c>
      <c r="B84" s="212" t="inlineStr">
        <is>
          <t>Never strip '(Varnish)' from product names. Dashboard and KPI formulas depend on SEARCH('(Varnish)') filter.</t>
        </is>
      </c>
      <c r="C84" s="212" t="n"/>
      <c r="D84" s="212" t="n"/>
      <c r="E84" s="212" t="n"/>
      <c r="F84" s="212" t="n"/>
    </row>
    <row r="85" ht="36" customHeight="1" s="249">
      <c r="A85" s="218" t="inlineStr">
        <is>
          <t>INVENTORY RULE</t>
        </is>
      </c>
      <c r="B85" s="219" t="inlineStr">
        <is>
          <t>NEVER add items from ERP PDF unless asked. Only BOM-relevant items belong. Confirm which items and date range before executing.</t>
        </is>
      </c>
      <c r="C85" s="219" t="n"/>
      <c r="D85" s="219" t="n"/>
      <c r="E85" s="219" t="n"/>
      <c r="F85" s="219" t="n"/>
    </row>
    <row r="86" ht="36" customHeight="1" s="249">
      <c r="A86" s="211" t="inlineStr">
        <is>
          <t>JALI ITEMS</t>
        </is>
      </c>
      <c r="B86" s="212" t="inlineStr">
        <is>
          <t>Items 52, 54, 57 (Jali cartons), 199 (19mm 5Ply), 495 (Carton Label), 3621 (Master Carton) — in BOM but intentionally excluded from Inventory.</t>
        </is>
      </c>
      <c r="C86" s="212" t="n"/>
      <c r="D86" s="212" t="n"/>
      <c r="E86" s="212" t="n"/>
      <c r="F86" s="212" t="n"/>
    </row>
    <row r="87" ht="24" customHeight="1" s="249">
      <c r="A87" s="218" t="inlineStr">
        <is>
          <t>PRODUCT CATALOG</t>
        </is>
      </c>
      <c r="B87" s="219" t="inlineStr">
        <is>
          <t>Single source of truth. To rename: update col C only. All other sheets derive by PID.</t>
        </is>
      </c>
      <c r="C87" s="219" t="n"/>
      <c r="D87" s="219" t="n"/>
      <c r="E87" s="219" t="n"/>
      <c r="F87" s="219" t="n"/>
    </row>
    <row r="88" ht="36" customHeight="1" s="249">
      <c r="A88" s="211" t="inlineStr">
        <is>
          <t>MHK ACCOUNT</t>
        </is>
      </c>
      <c r="B88" s="212" t="inlineStr">
        <is>
          <t>Muhammad Hashim Khan = cash/no-GST ERP placeholder. Not a real customer. See S7 for brand mappings.</t>
        </is>
      </c>
      <c r="C88" s="212" t="n"/>
      <c r="D88" s="212" t="n"/>
      <c r="E88" s="212" t="n"/>
      <c r="F88" s="212" t="n"/>
    </row>
    <row r="89" ht="36" customHeight="1" s="249">
      <c r="A89" s="218" t="inlineStr">
        <is>
          <t>NEGATIVE INVENTORY</t>
        </is>
      </c>
      <c r="B89" s="219" t="inlineStr">
        <is>
          <t>Negative issued quantities = legitimate ERP reversal (WIP material returned to store). Not an error.</t>
        </is>
      </c>
      <c r="C89" s="219" t="n"/>
      <c r="D89" s="219" t="n"/>
      <c r="E89" s="219" t="n"/>
      <c r="F89" s="219" t="n"/>
    </row>
    <row r="90" ht="24" customHeight="1" s="249">
      <c r="A90" s="211" t="inlineStr">
        <is>
          <t>COATING BUFFER</t>
        </is>
      </c>
      <c r="B90" s="212" t="inlineStr">
        <is>
          <t>Interim until drum testing: order all lacquers and base coats with 50% buffer.</t>
        </is>
      </c>
      <c r="C90" s="212" t="n"/>
      <c r="D90" s="212" t="n"/>
      <c r="E90" s="212" t="n"/>
      <c r="F90" s="212" t="n"/>
    </row>
    <row r="91" ht="36" customHeight="1" s="249">
      <c r="A91" s="218" t="inlineStr">
        <is>
          <t>OVER-PRODUCTION</t>
        </is>
      </c>
      <c r="B91" s="219" t="inlineStr">
        <is>
          <t>Acceptable for commodity products. Never exceed targets on rare/custom orders without Saqib approval.</t>
        </is>
      </c>
      <c r="C91" s="219" t="n"/>
      <c r="D91" s="219" t="n"/>
      <c r="E91" s="219" t="n"/>
      <c r="F91" s="219" t="n"/>
    </row>
    <row r="92" ht="24" customHeight="1" s="249">
      <c r="A92" s="211" t="inlineStr">
        <is>
          <t>openpyxl insert_rows</t>
        </is>
      </c>
      <c r="B92" s="212" t="inlineStr">
        <is>
          <t>Does NOT auto-update formula references below insertion. Always fix manually.</t>
        </is>
      </c>
      <c r="C92" s="212" t="n"/>
      <c r="D92" s="212" t="n"/>
      <c r="E92" s="212" t="n"/>
      <c r="F92" s="212" t="n"/>
    </row>
    <row r="93" ht="8.1" customHeight="1" s="249">
      <c r="A93" s="236" t="n"/>
      <c r="B93" s="241" t="n"/>
      <c r="C93" s="241" t="n"/>
      <c r="D93" s="241" t="n"/>
      <c r="E93" s="237" t="n"/>
      <c r="F93" s="237" t="n"/>
    </row>
    <row r="94" ht="24" customHeight="1" s="249">
      <c r="A94" s="273" t="inlineStr">
        <is>
          <t>S7 — CUSTOMER &amp; ERP CONTEXT</t>
        </is>
      </c>
    </row>
    <row r="95" ht="18" customHeight="1" s="249">
      <c r="A95" s="214" t="inlineStr">
        <is>
          <t>Topic</t>
        </is>
      </c>
      <c r="B95" s="215" t="inlineStr">
        <is>
          <t>Detail</t>
        </is>
      </c>
      <c r="C95" s="215" t="inlineStr">
        <is>
          <t>Notes</t>
        </is>
      </c>
      <c r="D95" s="215" t="n"/>
      <c r="E95" s="215" t="n"/>
      <c r="F95" s="215" t="n"/>
    </row>
    <row r="96">
      <c r="A96" s="211" t="inlineStr">
        <is>
          <t>MHK Mapping — PIDs 3447, 5699, 6515</t>
        </is>
      </c>
      <c r="B96" s="212" t="inlineStr">
        <is>
          <t>Samsol International Private Limited</t>
        </is>
      </c>
      <c r="C96" s="212" t="inlineStr">
        <is>
          <t>ERP cash/no-GST placeholder</t>
        </is>
      </c>
      <c r="D96" s="212" t="n"/>
      <c r="E96" s="212" t="n"/>
      <c r="F96" s="212" t="n"/>
    </row>
    <row r="97">
      <c r="A97" s="218" t="inlineStr">
        <is>
          <t>MHK Mapping — PIDs 6020, 6021, 6530, 6531</t>
        </is>
      </c>
      <c r="B97" s="219" t="inlineStr">
        <is>
          <t>Adore</t>
        </is>
      </c>
      <c r="C97" s="219" t="n"/>
      <c r="D97" s="219" t="n"/>
      <c r="E97" s="219" t="n"/>
      <c r="F97" s="219" t="n"/>
    </row>
    <row r="98">
      <c r="A98" s="211" t="inlineStr">
        <is>
          <t>MHK Mapping — PID 5782</t>
        </is>
      </c>
      <c r="B98" s="212" t="inlineStr">
        <is>
          <t>Mega Grey</t>
        </is>
      </c>
      <c r="C98" s="212" t="n"/>
      <c r="D98" s="212" t="n"/>
      <c r="E98" s="212" t="n"/>
      <c r="F98" s="212" t="n"/>
    </row>
    <row r="99">
      <c r="A99" s="218" t="inlineStr">
        <is>
          <t>MHK Mapping — PID 6338</t>
        </is>
      </c>
      <c r="B99" s="219" t="inlineStr">
        <is>
          <t>DTM</t>
        </is>
      </c>
      <c r="C99" s="219" t="n"/>
      <c r="D99" s="219" t="n"/>
      <c r="E99" s="219" t="n"/>
      <c r="F99" s="219" t="n"/>
    </row>
    <row r="100">
      <c r="A100" s="211" t="inlineStr">
        <is>
          <t>MHK Mapping — PID 6470</t>
        </is>
      </c>
      <c r="B100" s="212" t="inlineStr">
        <is>
          <t>Customer unknown — confirm</t>
        </is>
      </c>
      <c r="C100" s="212" t="n"/>
      <c r="D100" s="212" t="n"/>
      <c r="E100" s="212" t="n"/>
      <c r="F100" s="212" t="n"/>
    </row>
    <row r="101" ht="24" customHeight="1" s="249">
      <c r="A101" s="218" t="inlineStr">
        <is>
          <t>Varnish Pass Logic</t>
        </is>
      </c>
      <c r="B101" s="219" t="inlineStr">
        <is>
          <t>Products with 2 passes: Vince Nurtural, H.H 100GM, Vince His, Hiba HC.</t>
        </is>
      </c>
      <c r="C101" s="219" t="inlineStr">
        <is>
          <t>Pass 1 = print (counted in KPIs). Pass 2 = (Varnish) in name (excluded from tube KPI counts).</t>
        </is>
      </c>
      <c r="D101" s="219" t="n"/>
      <c r="E101" s="219" t="n"/>
      <c r="F101" s="219" t="n"/>
    </row>
    <row r="102" ht="24" customHeight="1" s="249">
      <c r="A102" s="211" t="inlineStr">
        <is>
          <t>PIDs — Vince Nurtural</t>
        </is>
      </c>
      <c r="B102" s="212" t="inlineStr">
        <is>
          <t>5814 = print pass. 9002 = varnish pass (placeholder PID, no ERP BOM).</t>
        </is>
      </c>
      <c r="C102" s="212" t="n"/>
      <c r="D102" s="212" t="n"/>
      <c r="E102" s="212" t="n"/>
      <c r="F102" s="212" t="n"/>
    </row>
    <row r="103" ht="24" customHeight="1" s="249">
      <c r="A103" s="211" t="inlineStr">
        <is>
          <t>S-43 / S-45 19mm Split</t>
        </is>
      </c>
      <c r="B103" s="212" t="n"/>
      <c r="C103" s="212" t="n"/>
      <c r="D103" s="212" t="n"/>
      <c r="E103" s="212" t="n"/>
      <c r="F103" s="212" t="n"/>
    </row>
    <row r="104" ht="24" customHeight="1" s="249">
      <c r="A104" s="211" t="inlineStr">
        <is>
          <t>S-43 / S-45 20.5mm Split</t>
        </is>
      </c>
      <c r="B104" s="212" t="n"/>
      <c r="C104" s="212" t="n"/>
      <c r="D104" s="212" t="n"/>
      <c r="E104" s="212" t="n"/>
      <c r="F104" s="212" t="n"/>
    </row>
    <row r="105" ht="36" customHeight="1" s="249">
      <c r="A105" s="211" t="inlineStr">
        <is>
          <t>Alpha Lab</t>
        </is>
      </c>
      <c r="B105" s="212" t="inlineStr">
        <is>
          <t>Alpha Containers' Karachi subsidiary. Buys PET bottles for internal redistribution. PIDs 8001 (150ml), 8010 (130ml).</t>
        </is>
      </c>
      <c r="C105" s="212" t="n"/>
      <c r="D105" s="212" t="n"/>
      <c r="E105" s="212" t="n"/>
      <c r="F105" s="212" t="n"/>
    </row>
    <row r="106">
      <c r="A106" s="218" t="inlineStr">
        <is>
          <t>PET Resin</t>
        </is>
      </c>
      <c r="B106" s="219" t="inlineStr">
        <is>
          <t>ERP Item ID: 2680</t>
        </is>
      </c>
      <c r="C106" s="219" t="n"/>
      <c r="D106" s="219" t="n"/>
      <c r="E106" s="219" t="n"/>
      <c r="F106" s="219" t="n"/>
    </row>
    <row r="107" ht="24" customHeight="1" s="249">
      <c r="A107" s="211" t="inlineStr">
        <is>
          <t>Masterbatch IDs</t>
        </is>
      </c>
      <c r="B107" s="212" t="inlineStr">
        <is>
          <t>Yellow=4070 (ONCOLOR YELLOW, 5%), White=5816 (5%), Black=7412 (3%).</t>
        </is>
      </c>
      <c r="C107" s="212" t="inlineStr">
        <is>
          <t>Open: confirm Yellow MB — 4070 vs 4002.</t>
        </is>
      </c>
      <c r="D107" s="212" t="n"/>
      <c r="E107" s="212" t="n"/>
      <c r="F107" s="212" t="n"/>
    </row>
    <row r="108" ht="36" customHeight="1" s="249">
      <c r="A108" s="218" t="inlineStr">
        <is>
          <t>PET Bottle Weights</t>
        </is>
      </c>
      <c r="B108" s="219" t="inlineStr">
        <is>
          <t>120ml: 15g est (unconfirmed). 130ml: 18g confirmed. 150ml: unknown. 200ml: 25g confirmed. 300ml: 25g. 500ml: 50g.</t>
        </is>
      </c>
      <c r="C108" s="219" t="n"/>
      <c r="D108" s="219" t="n"/>
      <c r="E108" s="219" t="n"/>
      <c r="F108" s="219" t="n"/>
    </row>
    <row r="109" ht="8.1" customHeight="1" s="249">
      <c r="A109" s="242" t="n"/>
      <c r="B109" s="242" t="n"/>
      <c r="C109" s="242" t="n"/>
      <c r="D109" s="240" t="n"/>
      <c r="E109" s="237" t="n"/>
      <c r="F109" s="237" t="n"/>
    </row>
    <row r="110" ht="24" customHeight="1" s="249">
      <c r="A110" s="273" t="inlineStr">
        <is>
          <t>S8 — COATING CONSUMPTION STUDY</t>
        </is>
      </c>
    </row>
    <row r="111" ht="18" customHeight="1" s="249">
      <c r="A111" s="214" t="inlineStr">
        <is>
          <t>Item</t>
        </is>
      </c>
      <c r="B111" s="215" t="inlineStr">
        <is>
          <t>Detail</t>
        </is>
      </c>
      <c r="C111" s="215" t="inlineStr">
        <is>
          <t>Notes</t>
        </is>
      </c>
      <c r="D111" s="215" t="n"/>
      <c r="E111" s="215" t="n"/>
      <c r="F111" s="215" t="n"/>
    </row>
    <row r="112" ht="24" customHeight="1" s="249">
      <c r="A112" s="211" t="inlineStr">
        <is>
          <t>Why old sheet removed</t>
        </is>
      </c>
      <c r="B112" s="212" t="inlineStr">
        <is>
          <t>Jan-Mar 2026 data (3 months) too short. BOMs were wrong during that period. Removed v9.32.</t>
        </is>
      </c>
      <c r="C112" s="212" t="n"/>
      <c r="D112" s="212" t="n"/>
      <c r="E112" s="212" t="n"/>
      <c r="F112" s="212" t="n"/>
    </row>
    <row r="113" ht="48" customHeight="1" s="249">
      <c r="A113" s="218" t="inlineStr">
        <is>
          <t>Method</t>
        </is>
      </c>
      <c r="B113" s="219" t="inlineStr">
        <is>
          <t>6+ months ERP issuance (Inventory col G) vs Production_Log output by material category. Ratio = Actual / BOM Theoretical. Ratio &gt;1 = BOM understates.</t>
        </is>
      </c>
      <c r="C113" s="219" t="inlineStr">
        <is>
          <t>12-month preferred for ink.</t>
        </is>
      </c>
      <c r="D113" s="219" t="n"/>
      <c r="E113" s="219" t="n"/>
      <c r="F113" s="219" t="n"/>
    </row>
    <row r="114" ht="24" customHeight="1" s="249">
      <c r="A114" s="211" t="inlineStr">
        <is>
          <t>Recommended period</t>
        </is>
      </c>
      <c r="B114" s="212" t="inlineStr">
        <is>
          <t>Jun 2025-Nov 2025 (pre-Sikander, avoids transition noise).</t>
        </is>
      </c>
      <c r="C114" s="212" t="n"/>
      <c r="D114" s="212" t="n"/>
      <c r="E114" s="212" t="n"/>
      <c r="F114" s="212" t="n"/>
    </row>
    <row r="115" ht="24" customHeight="1" s="249">
      <c r="A115" s="218" t="inlineStr">
        <is>
          <t>Interim rule</t>
        </is>
      </c>
      <c r="B115" s="219" t="inlineStr">
        <is>
          <t>Order 50% buffer on ALL lacquers and base coats until drum testing confirms actual rates.</t>
        </is>
      </c>
      <c r="C115" s="219" t="inlineStr">
        <is>
          <t>White BC ~25% understated. Epoxy Lacquer ~123% understated.</t>
        </is>
      </c>
      <c r="D115" s="219" t="n"/>
      <c r="E115" s="219" t="n"/>
      <c r="F115" s="219" t="n"/>
    </row>
    <row r="116" ht="36" customHeight="1" s="249">
      <c r="A116" s="211" t="inlineStr">
        <is>
          <t>Drum testing issue</t>
        </is>
      </c>
      <c r="B116" s="212" t="inlineStr">
        <is>
          <t>Drums get partially refilled. Simple weigh-before/after method proposed to Saqib. Pending approval.</t>
        </is>
      </c>
      <c r="C116" s="212" t="n"/>
      <c r="D116" s="212" t="n"/>
      <c r="E116" s="212" t="n"/>
      <c r="F116" s="212" t="n"/>
    </row>
    <row r="117" ht="8.1" customHeight="1" s="249">
      <c r="A117" s="242" t="n"/>
      <c r="B117" s="242" t="n"/>
      <c r="C117" s="242" t="n"/>
      <c r="D117" s="240" t="n"/>
      <c r="E117" s="237" t="n"/>
      <c r="F117" s="237" t="n"/>
    </row>
    <row r="118" ht="24" customHeight="1" s="249">
      <c r="A118" s="273" t="inlineStr">
        <is>
          <t>S9 — INK MANAGEMENT (Historical Average Method)</t>
        </is>
      </c>
    </row>
    <row r="119" ht="15.95" customHeight="1" s="249">
      <c r="A119" s="275" t="inlineStr">
        <is>
          <t>Ink consumption tracked via MRP sheet ink section using 12-month ERP averages (May 2025-Apr 2026). DO NOT create ink BOMs in ERP — Aurangzeb custom-mixes every batch. Refresh quarterly.</t>
        </is>
      </c>
    </row>
    <row r="120" ht="18" customHeight="1" s="249">
      <c r="A120" s="214" t="inlineStr">
        <is>
          <t>Rule</t>
        </is>
      </c>
      <c r="B120" s="215" t="inlineStr">
        <is>
          <t>Detail</t>
        </is>
      </c>
      <c r="C120" s="215" t="n"/>
      <c r="D120" s="215" t="n"/>
      <c r="E120" s="215" t="n"/>
      <c r="F120" s="215" t="n"/>
    </row>
    <row r="121" ht="24" customHeight="1" s="249">
      <c r="A121" s="211" t="inlineStr">
        <is>
          <t>Order trigger</t>
        </is>
      </c>
      <c r="B121" s="212" t="inlineStr">
        <is>
          <t>Order when Days of Stock &lt; 30 (under 1 month supply)</t>
        </is>
      </c>
      <c r="C121" s="212" t="n"/>
      <c r="D121" s="212" t="n"/>
      <c r="E121" s="212" t="n"/>
      <c r="F121" s="212" t="n"/>
    </row>
    <row r="122" ht="24" customHeight="1" s="249">
      <c r="A122" s="218" t="inlineStr">
        <is>
          <t>Safety stock</t>
        </is>
      </c>
      <c r="B122" s="219" t="inlineStr">
        <is>
          <t>&gt;= 2 months stock for high-volume inks (avg &gt; 1 kg/mo)</t>
        </is>
      </c>
      <c r="C122" s="219" t="n"/>
      <c r="D122" s="219" t="n"/>
      <c r="E122" s="219" t="n"/>
      <c r="F122" s="219" t="n"/>
    </row>
    <row r="123">
      <c r="A123" s="211" t="inlineStr">
        <is>
          <t>Min order qty</t>
        </is>
      </c>
      <c r="B123" s="212" t="inlineStr">
        <is>
          <t>High-vol (&gt;1 kg/mo): 5 kg. Low-vol: 2 kg.</t>
        </is>
      </c>
      <c r="C123" s="212" t="n"/>
      <c r="D123" s="212" t="n"/>
      <c r="E123" s="212" t="n"/>
      <c r="F123" s="212" t="n"/>
    </row>
    <row r="124" ht="24" customHeight="1" s="249">
      <c r="A124" s="218" t="inlineStr">
        <is>
          <t>Mixing buffer</t>
        </is>
      </c>
      <c r="B124" s="219" t="inlineStr">
        <is>
          <t>30% uplift on avg — manual mixing causes +/-20-30% monthly variance.</t>
        </is>
      </c>
      <c r="C124" s="219" t="n"/>
      <c r="D124" s="219" t="n"/>
      <c r="E124" s="219" t="n"/>
      <c r="F124" s="219" t="n"/>
    </row>
    <row r="125" ht="24" customHeight="1" s="249">
      <c r="A125" s="211" t="inlineStr">
        <is>
          <t>Dormant stock</t>
        </is>
      </c>
      <c r="B125" s="212" t="inlineStr">
        <is>
          <t>avg=0 but stock on hand: review with Aurangzeb before writing off.</t>
        </is>
      </c>
      <c r="C125" s="212" t="n"/>
      <c r="D125" s="212" t="n"/>
      <c r="E125" s="212" t="n"/>
      <c r="F125" s="212" t="n"/>
    </row>
    <row r="126" ht="24" customHeight="1" s="249">
      <c r="A126" s="218" t="inlineStr">
        <is>
          <t>Quarterly refresh</t>
        </is>
      </c>
      <c r="B126" s="219" t="inlineStr">
        <is>
          <t>Each quarter (Aug/Nov/Feb/May): pull ERP stock report, update col E in MRP ink section.</t>
        </is>
      </c>
      <c r="C126" s="219" t="n"/>
      <c r="D126" s="219" t="n"/>
      <c r="E126" s="219" t="n"/>
      <c r="F126" s="219" t="n"/>
    </row>
    <row r="127" ht="8.1" customHeight="1" s="249">
      <c r="A127" s="237" t="n"/>
      <c r="B127" s="237" t="n"/>
      <c r="C127" s="237" t="n"/>
      <c r="D127" s="237" t="n"/>
      <c r="E127" s="237" t="n"/>
      <c r="F127" s="237" t="n"/>
    </row>
    <row r="128" ht="24" customHeight="1" s="249">
      <c r="A128" s="273" t="inlineStr">
        <is>
          <t>S10 — OPEN ACTION ITEMS</t>
        </is>
      </c>
    </row>
    <row r="129" ht="18" customHeight="1" s="249">
      <c r="A129" s="214" t="inlineStr">
        <is>
          <t>#</t>
        </is>
      </c>
      <c r="B129" s="215" t="inlineStr">
        <is>
          <t>Task</t>
        </is>
      </c>
      <c r="C129" s="215" t="inlineStr">
        <is>
          <t>Owner</t>
        </is>
      </c>
      <c r="D129" s="215" t="inlineStr">
        <is>
          <t>Priority</t>
        </is>
      </c>
      <c r="E129" s="215" t="n"/>
      <c r="F129" s="215" t="n"/>
    </row>
    <row r="130" ht="24" customHeight="1" s="249">
      <c r="A130" s="238" t="inlineStr">
        <is>
          <t>1</t>
        </is>
      </c>
      <c r="B130" s="212" t="inlineStr">
        <is>
          <t>Apply Item ID changes from BOM Issues to ERP system</t>
        </is>
      </c>
      <c r="C130" s="212" t="inlineStr">
        <is>
          <t>ERP team</t>
        </is>
      </c>
      <c r="D130" s="216" t="inlineStr">
        <is>
          <t>HIGH</t>
        </is>
      </c>
      <c r="E130" s="212" t="n"/>
      <c r="F130" s="212" t="n"/>
    </row>
    <row r="131" ht="24" customHeight="1" s="249">
      <c r="A131" s="239" t="inlineStr">
        <is>
          <t>2</t>
        </is>
      </c>
      <c r="B131" s="219" t="inlineStr">
        <is>
          <t>Confirm Anvil Yellow BC Item ID (likely Item 177). Rate 0.78 kg/1000 est.</t>
        </is>
      </c>
      <c r="C131" s="219" t="inlineStr">
        <is>
          <t>Rehan</t>
        </is>
      </c>
      <c r="D131" s="220" t="inlineStr">
        <is>
          <t>CRITICAL</t>
        </is>
      </c>
      <c r="E131" s="219" t="n"/>
      <c r="F131" s="219" t="n"/>
    </row>
    <row r="132" ht="24" customHeight="1" s="249">
      <c r="A132" s="238" t="inlineStr">
        <is>
          <t>3</t>
        </is>
      </c>
      <c r="B132" s="212" t="inlineStr">
        <is>
          <t>Fix Anvil 43/45 lacquer ERP rate: 0.16 -&gt; 0.50 kg/1000</t>
        </is>
      </c>
      <c r="C132" s="212" t="inlineStr">
        <is>
          <t>ERP team</t>
        </is>
      </c>
      <c r="D132" s="216" t="inlineStr">
        <is>
          <t>HIGH</t>
        </is>
      </c>
      <c r="E132" s="212" t="n"/>
      <c r="F132" s="212" t="n"/>
    </row>
    <row r="133" ht="24" customHeight="1" s="249">
      <c r="A133" s="239" t="inlineStr">
        <is>
          <t>4</t>
        </is>
      </c>
      <c r="B133" s="219" t="inlineStr">
        <is>
          <t>Fix DTM base coat ERP: 5,600,000 -&gt; 0.56 kg (magnitude error)</t>
        </is>
      </c>
      <c r="C133" s="219" t="inlineStr">
        <is>
          <t>ERP team</t>
        </is>
      </c>
      <c r="D133" s="220" t="inlineStr">
        <is>
          <t>HIGH</t>
        </is>
      </c>
      <c r="E133" s="219" t="n"/>
      <c r="F133" s="219" t="n"/>
    </row>
    <row r="134" ht="24" customHeight="1" s="249">
      <c r="A134" s="238" t="inlineStr">
        <is>
          <t>5</t>
        </is>
      </c>
      <c r="B134" s="212" t="inlineStr">
        <is>
          <t>Add cap (Item 578) to HIBA S HAIR COLOR ERP BOM (6312)</t>
        </is>
      </c>
      <c r="C134" s="212" t="inlineStr">
        <is>
          <t>Rehan</t>
        </is>
      </c>
      <c r="D134" s="216" t="inlineStr">
        <is>
          <t>HIGH</t>
        </is>
      </c>
      <c r="E134" s="212" t="n"/>
      <c r="F134" s="212" t="n"/>
    </row>
    <row r="135" ht="24" customHeight="1" s="249">
      <c r="A135" s="239" t="inlineStr">
        <is>
          <t>6</t>
        </is>
      </c>
      <c r="B135" s="219" t="inlineStr">
        <is>
          <t>Add carton line to VINCE NURTURAL ERP BOM#95</t>
        </is>
      </c>
      <c r="C135" s="219" t="inlineStr">
        <is>
          <t>Rehan</t>
        </is>
      </c>
      <c r="D135" s="225" t="inlineStr">
        <is>
          <t>MEDIUM</t>
        </is>
      </c>
      <c r="E135" s="219" t="n"/>
      <c r="F135" s="219" t="n"/>
    </row>
    <row r="136" ht="36" customHeight="1" s="249">
      <c r="A136" s="238" t="inlineStr">
        <is>
          <t>7</t>
        </is>
      </c>
      <c r="B136" s="212" t="inlineStr">
        <is>
          <t>Create ERP BOMs: placeholders 9004 (BAHADUR 12.5MM) and 9006 (SAMSOL RED 25MM)</t>
        </is>
      </c>
      <c r="C136" s="212" t="inlineStr">
        <is>
          <t>Rehan</t>
        </is>
      </c>
      <c r="D136" s="226" t="inlineStr">
        <is>
          <t>MEDIUM</t>
        </is>
      </c>
      <c r="E136" s="212" t="n"/>
      <c r="F136" s="212" t="n"/>
    </row>
    <row r="137" ht="24" customHeight="1" s="249">
      <c r="A137" s="239" t="inlineStr">
        <is>
          <t>8</t>
        </is>
      </c>
      <c r="B137" s="219" t="inlineStr">
        <is>
          <t>Create ERP BOMs: all 11 PET products (8001-8014)</t>
        </is>
      </c>
      <c r="C137" s="219" t="inlineStr">
        <is>
          <t>Rehan</t>
        </is>
      </c>
      <c r="D137" s="220" t="inlineStr">
        <is>
          <t>HIGH</t>
        </is>
      </c>
      <c r="E137" s="219" t="n"/>
      <c r="F137" s="219" t="n"/>
    </row>
    <row r="138" ht="24" customHeight="1" s="249">
      <c r="A138" s="238" t="inlineStr">
        <is>
          <t>9</t>
        </is>
      </c>
      <c r="B138" s="212" t="inlineStr">
        <is>
          <t>Confirm carton for PID 6624 (S-45 DIA 19MM, BOM 192). 3619=20.5mm vs 39=19mm carton.</t>
        </is>
      </c>
      <c r="C138" s="212" t="inlineStr">
        <is>
          <t>Rehan</t>
        </is>
      </c>
      <c r="D138" s="216" t="inlineStr">
        <is>
          <t>HIGH</t>
        </is>
      </c>
      <c r="E138" s="212" t="n"/>
      <c r="F138" s="212" t="n"/>
    </row>
    <row r="139" ht="24" customHeight="1" s="249">
      <c r="A139" s="239" t="inlineStr">
        <is>
          <t>10</t>
        </is>
      </c>
      <c r="B139" s="219" t="inlineStr">
        <is>
          <t>Confirm TUBES COMMON RED (PID 6470) real customer</t>
        </is>
      </c>
      <c r="C139" s="219" t="inlineStr">
        <is>
          <t>Sikander</t>
        </is>
      </c>
      <c r="D139" s="219" t="inlineStr">
        <is>
          <t>LOW</t>
        </is>
      </c>
      <c r="E139" s="219" t="n"/>
      <c r="F139" s="219" t="n"/>
    </row>
    <row r="140" ht="24" customHeight="1" s="249">
      <c r="A140" s="238" t="inlineStr">
        <is>
          <t>11</t>
        </is>
      </c>
      <c r="B140" s="212" t="inlineStr">
        <is>
          <t>Fix tape rate Samsol HC 43/45: 2.996 -&gt; 0.059 PCS in ERP (50x error)</t>
        </is>
      </c>
      <c r="C140" s="212" t="inlineStr">
        <is>
          <t>ERP team</t>
        </is>
      </c>
      <c r="D140" s="216" t="inlineStr">
        <is>
          <t>HIGH</t>
        </is>
      </c>
      <c r="E140" s="212" t="n"/>
      <c r="F140" s="212" t="n"/>
    </row>
    <row r="141" ht="24" customHeight="1" s="249">
      <c r="A141" s="239" t="inlineStr">
        <is>
          <t>12</t>
        </is>
      </c>
      <c r="B141" s="219" t="inlineStr">
        <is>
          <t>Confirm PID 5698 vs 5731 (S-45 20.5mm) — is 5698 obsolete?</t>
        </is>
      </c>
      <c r="C141" s="219" t="inlineStr">
        <is>
          <t>Rehan</t>
        </is>
      </c>
      <c r="D141" s="225" t="inlineStr">
        <is>
          <t>MEDIUM</t>
        </is>
      </c>
      <c r="E141" s="219" t="n"/>
      <c r="F141" s="219" t="n"/>
    </row>
    <row r="142" ht="24" customHeight="1" s="249">
      <c r="A142" s="238" t="inlineStr">
        <is>
          <t>13</t>
        </is>
      </c>
      <c r="B142" s="212" t="inlineStr">
        <is>
          <t>Confirm PID 6077 VINCE HIS BOM#138 exists in ERP</t>
        </is>
      </c>
      <c r="C142" s="212" t="inlineStr">
        <is>
          <t>Rehan</t>
        </is>
      </c>
      <c r="D142" s="226" t="inlineStr">
        <is>
          <t>MEDIUM</t>
        </is>
      </c>
      <c r="E142" s="212" t="n"/>
      <c r="F142" s="212" t="n"/>
    </row>
    <row r="143" ht="24" customHeight="1" s="249">
      <c r="A143" s="239" t="inlineStr">
        <is>
          <t>14</t>
        </is>
      </c>
      <c r="B143" s="219" t="inlineStr">
        <is>
          <t>ERP item names: LACQUAR -&gt; LACQUER (Items 4155, 1065, 184)</t>
        </is>
      </c>
      <c r="C143" s="219" t="inlineStr">
        <is>
          <t>ERP team</t>
        </is>
      </c>
      <c r="D143" s="225" t="inlineStr">
        <is>
          <t>MEDIUM</t>
        </is>
      </c>
      <c r="E143" s="219" t="n"/>
      <c r="F143" s="219" t="n"/>
    </row>
    <row r="144" ht="24" customHeight="1" s="249">
      <c r="A144" s="238" t="inlineStr">
        <is>
          <t>15</t>
        </is>
      </c>
      <c r="B144" s="212" t="inlineStr">
        <is>
          <t>V-HC BROWN/BLACK (6530/6531): local BOM lacquer rate may be wrong</t>
        </is>
      </c>
      <c r="C144" s="212" t="inlineStr">
        <is>
          <t>ERP team</t>
        </is>
      </c>
      <c r="D144" s="226" t="inlineStr">
        <is>
          <t>MEDIUM</t>
        </is>
      </c>
      <c r="E144" s="212" t="n"/>
      <c r="F144" s="212" t="n"/>
    </row>
    <row r="145" ht="24" customHeight="1" s="249">
      <c r="A145" s="239" t="inlineStr">
        <is>
          <t>16</t>
        </is>
      </c>
      <c r="B145" s="219" t="inlineStr">
        <is>
          <t>Create ERP BOM for PID 8014 (BT-200ML MUSTARD OIL) — new product May 2026</t>
        </is>
      </c>
      <c r="C145" s="219" t="inlineStr">
        <is>
          <t>Rehan</t>
        </is>
      </c>
      <c r="D145" s="220" t="inlineStr">
        <is>
          <t>HIGH</t>
        </is>
      </c>
      <c r="E145" s="219" t="n"/>
      <c r="F145" s="219" t="n"/>
    </row>
    <row r="146" ht="36" customHeight="1" s="249">
      <c r="A146" s="238" t="inlineStr">
        <is>
          <t>17</t>
        </is>
      </c>
      <c r="B146" s="212" t="inlineStr">
        <is>
          <t>Ghost inventory: Item 170 (WHITE BC) and Item 3869 (BEIGE BC) — stale ERP aliases, safe to archive</t>
        </is>
      </c>
      <c r="C146" s="212" t="inlineStr">
        <is>
          <t>Rehan</t>
        </is>
      </c>
      <c r="D146" s="212" t="inlineStr">
        <is>
          <t>LOW</t>
        </is>
      </c>
      <c r="E146" s="212" t="n"/>
      <c r="F146" s="212" t="n"/>
    </row>
    <row r="147" ht="36" customHeight="1" s="249">
      <c r="A147" s="239" t="inlineStr">
        <is>
          <t>18</t>
        </is>
      </c>
      <c r="B147" s="219" t="inlineStr">
        <is>
          <t>Item 2 (30x4.3 slug) still in BOM for inactive PIDs 2909, 6151. Update to Item 406 if they resume.</t>
        </is>
      </c>
      <c r="C147" s="219" t="inlineStr">
        <is>
          <t>Sikander</t>
        </is>
      </c>
      <c r="D147" s="219" t="inlineStr">
        <is>
          <t>LOW</t>
        </is>
      </c>
      <c r="E147" s="219" t="n"/>
      <c r="F147" s="219" t="n"/>
    </row>
    <row r="148" ht="24" customHeight="1" s="249">
      <c r="A148" s="238" t="inlineStr">
        <is>
          <t>19</t>
        </is>
      </c>
      <c r="B148" s="212" t="inlineStr">
        <is>
          <t>Weigh 120ml PET bottles (PIDs 8005/8011/8012) — 15g is unconfirmed</t>
        </is>
      </c>
      <c r="C148" s="212" t="inlineStr">
        <is>
          <t>Aurangzeb</t>
        </is>
      </c>
      <c r="D148" s="226" t="inlineStr">
        <is>
          <t>MEDIUM</t>
        </is>
      </c>
      <c r="E148" s="212" t="n"/>
      <c r="F148" s="212" t="n"/>
    </row>
    <row r="149" ht="24" customHeight="1" s="249">
      <c r="A149" s="239" t="inlineStr">
        <is>
          <t>20</t>
        </is>
      </c>
      <c r="B149" s="219" t="inlineStr">
        <is>
          <t>Confirm Yellow Masterbatch: Item 4070 vs Item 4002</t>
        </is>
      </c>
      <c r="C149" s="219" t="inlineStr">
        <is>
          <t>Rehan</t>
        </is>
      </c>
      <c r="D149" s="225" t="inlineStr">
        <is>
          <t>MEDIUM</t>
        </is>
      </c>
      <c r="E149" s="219" t="n"/>
      <c r="F149" s="219" t="n"/>
    </row>
    <row r="150" ht="24" customHeight="1" s="249">
      <c r="A150" s="238" t="inlineStr">
        <is>
          <t>21</t>
        </is>
      </c>
      <c r="B150" s="212" t="inlineStr">
        <is>
          <t>Confirm Gold Ink IDs: 7094 vs 6935 — same material or different?</t>
        </is>
      </c>
      <c r="C150" s="212" t="inlineStr">
        <is>
          <t>Rehan</t>
        </is>
      </c>
      <c r="D150" s="216" t="inlineStr">
        <is>
          <t>HIGH</t>
        </is>
      </c>
      <c r="E150" s="212" t="n"/>
      <c r="F150" s="212" t="n"/>
    </row>
    <row r="151" ht="8.1" customHeight="1" s="249">
      <c r="A151" s="237" t="n"/>
      <c r="B151" s="237" t="n"/>
      <c r="C151" s="237" t="n"/>
      <c r="D151" s="237" t="n"/>
      <c r="E151" s="237" t="n"/>
      <c r="F151" s="237" t="n"/>
    </row>
    <row r="152" ht="24" customHeight="1" s="249">
      <c r="A152" s="273" t="inlineStr">
        <is>
          <t>S11 — FUTURE TASKS (Sikander)</t>
        </is>
      </c>
    </row>
    <row r="153" ht="18" customHeight="1" s="249">
      <c r="A153" s="214" t="inlineStr">
        <is>
          <t>#</t>
        </is>
      </c>
      <c r="B153" s="215" t="inlineStr">
        <is>
          <t>Task</t>
        </is>
      </c>
      <c r="C153" s="215" t="inlineStr">
        <is>
          <t>Detail</t>
        </is>
      </c>
      <c r="D153" s="215" t="inlineStr">
        <is>
          <t>Priority</t>
        </is>
      </c>
      <c r="E153" s="215" t="n"/>
      <c r="F153" s="215" t="n"/>
    </row>
    <row r="154" ht="48" customHeight="1" s="249">
      <c r="A154" s="243" t="inlineStr">
        <is>
          <t>1</t>
        </is>
      </c>
      <c r="B154" s="244" t="inlineStr">
        <is>
          <t>Base Coat Consumption Study (1-year)</t>
        </is>
      </c>
      <c r="C154" s="244" t="inlineStr">
        <is>
          <t>Extract 1-year base coat issuance from ERP (Inventory issued qty). Compare with 1-year production output to calculate actual consumption rate vs BOM theoretical rate. Confirms if 50% buffer is correct or needs adjustment.</t>
        </is>
      </c>
      <c r="D154" s="245" t="inlineStr">
        <is>
          <t>HIGH</t>
        </is>
      </c>
      <c r="E154" s="244" t="n"/>
      <c r="F154" s="244" t="n"/>
    </row>
    <row r="155" ht="48" customHeight="1" s="249">
      <c r="A155" s="243" t="inlineStr">
        <is>
          <t>2</t>
        </is>
      </c>
      <c r="B155" s="244" t="inlineStr">
        <is>
          <t>Download all active BOMs from ERP</t>
        </is>
      </c>
      <c r="C155" s="244" t="inlineStr">
        <is>
          <t>Download fresh ERP BOMs for all active products. Compare ERP BOM rates with Excel BOM sheet rates line-by-line. Identify any new discrepancies since last review. Ensures Excel BOM stays synchronized with ERP master.</t>
        </is>
      </c>
      <c r="D155" s="245" t="inlineStr">
        <is>
          <t>HIGH</t>
        </is>
      </c>
      <c r="E155" s="244" t="n"/>
      <c r="F155" s="244" t="n"/>
    </row>
    <row r="156" ht="24" customHeight="1" s="249">
      <c r="A156" s="273" t="inlineStr">
        <is>
          <t>S12 — RESOLVED ITEMS (for reference)</t>
        </is>
      </c>
    </row>
    <row r="157" ht="18" customHeight="1" s="249">
      <c r="A157" s="214" t="inlineStr">
        <is>
          <t>Item</t>
        </is>
      </c>
      <c r="B157" s="215" t="inlineStr">
        <is>
          <t>Resolution</t>
        </is>
      </c>
      <c r="C157" s="215" t="inlineStr">
        <is>
          <t>Date</t>
        </is>
      </c>
      <c r="D157" s="215" t="n"/>
      <c r="E157" s="215" t="n"/>
      <c r="F157" s="215" t="n"/>
    </row>
    <row r="158" ht="36" customHeight="1" s="249">
      <c r="A158" s="246" t="inlineStr">
        <is>
          <t>PID 6624 ERP BOM#</t>
        </is>
      </c>
      <c r="B158" s="247" t="inlineStr">
        <is>
          <t>BOM# = 192 (S-45 DIA 19MM, confirmed from BOM sheet). PID 6623 BOM# = 193 (S-43 DIA 19MM).</t>
        </is>
      </c>
      <c r="C158" s="247" t="inlineStr">
        <is>
          <t>May 2026</t>
        </is>
      </c>
      <c r="D158" s="247" t="n"/>
      <c r="E158" s="247" t="n"/>
      <c r="F158" s="247" t="n"/>
    </row>
    <row r="159" ht="36" customHeight="1" s="249">
      <c r="A159" s="246" t="inlineStr">
        <is>
          <t>Varnish-only BOMs</t>
        </is>
      </c>
      <c r="B159" s="247" t="inlineStr">
        <is>
          <t>No varnish-only BOMs or PIDs needed. Varnish passes logged with (Varnish) tag and PID=None. PID 9002 BOM rows deleted.</t>
        </is>
      </c>
      <c r="C159" s="247" t="inlineStr">
        <is>
          <t>May 2026</t>
        </is>
      </c>
      <c r="D159" s="247" t="n"/>
      <c r="E159" s="247" t="n"/>
      <c r="F159" s="247" t="n"/>
    </row>
    <row r="160" ht="48" customHeight="1" s="249">
      <c r="A160" s="246" t="inlineStr">
        <is>
          <t>Dashboard auto-sort</t>
        </is>
      </c>
      <c r="B160" s="247" t="inlineStr">
        <is>
          <t>sort_dashboard.py created. Integrated into Run_All_Updates.bat (step 4/5) and update_production.py. Sorts by dia, dynamic sizing, formats preserved.</t>
        </is>
      </c>
      <c r="C160" s="247" t="inlineStr">
        <is>
          <t>May 2026</t>
        </is>
      </c>
      <c r="D160" s="247" t="n"/>
      <c r="E160" s="247" t="n"/>
      <c r="F160" s="247" t="n"/>
    </row>
    <row r="161" ht="36" customHeight="1" s="249">
      <c r="A161" s="218" t="inlineStr">
        <is>
          <t>Safety checks</t>
        </is>
      </c>
      <c r="B161" s="219" t="inlineStr">
        <is>
          <t>alpha_checks.py: lock guard prevents running while Excel open, freshness check warns on stale files, mismatch logging to Logs/.</t>
        </is>
      </c>
      <c r="C161" s="219" t="inlineStr">
        <is>
          <t>May 2026</t>
        </is>
      </c>
      <c r="D161" s="219" t="n"/>
      <c r="E161" s="219" t="n"/>
      <c r="F161" s="219" t="n"/>
    </row>
    <row r="162" ht="36" customHeight="1" s="249">
      <c r="A162" s="211" t="inlineStr">
        <is>
          <t>Slug change 30mm</t>
        </is>
      </c>
      <c r="B162" s="212" t="inlineStr">
        <is>
          <t>Item 2 (30x4.3) replaced by Item 406 (30x4.5 S/M) for all active 30mm products. Effective 21-Apr-2026.</t>
        </is>
      </c>
      <c r="C162" s="212" t="inlineStr">
        <is>
          <t>Apr 2026</t>
        </is>
      </c>
      <c r="D162" s="212" t="n"/>
      <c r="E162" s="212" t="n"/>
      <c r="F162" s="212" t="n"/>
    </row>
  </sheetData>
  <mergeCells count="20">
    <mergeCell ref="A128:F128"/>
    <mergeCell ref="A80:F80"/>
    <mergeCell ref="A118:F118"/>
    <mergeCell ref="A56:F56"/>
    <mergeCell ref="A18:F18"/>
    <mergeCell ref="A2:F2"/>
    <mergeCell ref="A5:F5"/>
    <mergeCell ref="A22:F22"/>
    <mergeCell ref="A4:F4"/>
    <mergeCell ref="A20:F20"/>
    <mergeCell ref="A156:F156"/>
    <mergeCell ref="A152:F152"/>
    <mergeCell ref="A19:F19"/>
    <mergeCell ref="A68:F68"/>
    <mergeCell ref="A44:F44"/>
    <mergeCell ref="A31:F31"/>
    <mergeCell ref="A94:F94"/>
    <mergeCell ref="A1:F1"/>
    <mergeCell ref="A110:F110"/>
    <mergeCell ref="A119:F119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Sikander</dc:creator>
  <dc:title xmlns:dc="http://purl.org/dc/elements/1.1/">Alpha Containers Planning System v7.2</dc:title>
  <dc:description xmlns:dc="http://purl.org/dc/elements/1.1/">Production &amp; Inventory Planning System — Alpha Containers (Pvt.) Ltd</dc:description>
  <dc:subject xmlns:dc="http://purl.org/dc/elements/1.1/">Planning &amp; Supply Chain — Tubex / Aerosol Plants</dc:subject>
  <dc:language xmlns:dc="http://purl.org/dc/elements/1.1/">en-US</dc:language>
  <dcterms:created xmlns:dcterms="http://purl.org/dc/terms/" xmlns:xsi="http://www.w3.org/2001/XMLSchema-instance" xsi:type="dcterms:W3CDTF">2026-03-01T07:48:13Z</dcterms:created>
  <dcterms:modified xmlns:dcterms="http://purl.org/dc/terms/" xmlns:xsi="http://www.w3.org/2001/XMLSchema-instance" xsi:type="dcterms:W3CDTF">2026-05-20T09:15:15Z</dcterms:modified>
  <cp:lastModifiedBy>Sikander Shahjahan</cp:lastModifiedBy>
  <cp:category>Operations</cp:category>
  <cp:revision>37</cp:revision>
  <cp:keywords>production inventory planning procurement</cp:keywords>
</cp:coreProperties>
</file>