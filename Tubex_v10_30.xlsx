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0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2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9" zoomScaleNormal="100" workbookViewId="0">
      <selection activeCell="B2" sqref="B2:O26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4"/>
    <col width="8.7109375" customWidth="1" style="227" min="55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PET BOTTLE LARGE (200 ML)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>
        <v>35040</v>
      </c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E8" sqref="E8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7"/>
        <filter val="183"/>
        <filter val="188"/>
        <filter val="194"/>
        <filter val="2"/>
        <filter val="25"/>
        <filter val="25,500"/>
        <filter val="3"/>
        <filter val="36,006"/>
        <filter val="364"/>
        <filter val="59,135"/>
        <filter val="69"/>
        <filter val="7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TUBES COMMON RED</t>
        </is>
      </c>
      <c r="E60" s="265" t="n">
        <v>25</v>
      </c>
      <c r="F60" s="265" t="n">
        <v>6470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TUBES COMMON RED</t>
        </is>
      </c>
      <c r="E64" s="265" t="n">
        <v>25</v>
      </c>
      <c r="F64" s="265" t="n">
        <v>6470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TUBES COMMON RED</t>
        </is>
      </c>
      <c r="E65" s="265" t="n">
        <v>25</v>
      </c>
      <c r="F65" s="265" t="n">
        <v>6470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268" t="n">
        <v>46184</v>
      </c>
      <c r="B67" s="265" t="inlineStr">
        <is>
          <t>Lacquer-02</t>
        </is>
      </c>
      <c r="C67" s="265" t="inlineStr"/>
      <c r="D67" s="265" t="inlineStr"/>
      <c r="E67" s="265" t="inlineStr"/>
      <c r="F67" s="265" t="n"/>
      <c r="G67" s="266" t="n">
        <v>0</v>
      </c>
      <c r="H67" s="266" t="n">
        <v>0</v>
      </c>
      <c r="I67" s="266" t="n">
        <v>0</v>
      </c>
      <c r="J67" s="267">
        <f>IFERROR(I67/(H67+I67),"")</f>
        <v/>
      </c>
      <c r="K67" s="265" t="n"/>
      <c r="L67" s="265" t="n"/>
      <c r="M67" s="265" t="n"/>
      <c r="N67" s="265" t="n"/>
      <c r="O67" s="265" t="n"/>
      <c r="P67" s="265" t="n"/>
      <c r="Q67" s="265" t="n"/>
      <c r="R67" s="265" t="n"/>
      <c r="S67" s="265" t="n"/>
    </row>
    <row r="68" ht="15" customHeight="1" s="237">
      <c r="A68" s="268" t="n">
        <v>46184</v>
      </c>
      <c r="B68" s="265" t="inlineStr">
        <is>
          <t>Lacquer-04</t>
        </is>
      </c>
      <c r="C68" s="265" t="inlineStr">
        <is>
          <t>Samsol International Private Limited</t>
        </is>
      </c>
      <c r="D68" s="265" t="inlineStr">
        <is>
          <t>TUBE COMMON PURPLE</t>
        </is>
      </c>
      <c r="E68" s="265" t="n">
        <v>25</v>
      </c>
      <c r="F68" s="265" t="n">
        <v>6532</v>
      </c>
      <c r="G68" s="266" t="n">
        <v>20000</v>
      </c>
      <c r="H68" s="266" t="n">
        <v>19715</v>
      </c>
      <c r="I68" s="266" t="n">
        <v>285</v>
      </c>
      <c r="J68" s="267">
        <f>IFERROR(I68/(H68+I68),"")</f>
        <v/>
      </c>
      <c r="K68" s="265" t="n"/>
      <c r="L68" s="265" t="n"/>
      <c r="M68" s="265" t="n"/>
      <c r="N68" s="265" t="n"/>
      <c r="O68" s="265" t="n"/>
      <c r="P68" s="265" t="n">
        <v>80</v>
      </c>
      <c r="Q68" s="265" t="n"/>
      <c r="R68" s="265" t="n"/>
      <c r="S68" s="265" t="n"/>
    </row>
    <row r="69" ht="15" customHeight="1" s="237">
      <c r="A69" s="268" t="n">
        <v>46184</v>
      </c>
      <c r="B69" s="265" t="inlineStr">
        <is>
          <t>Latex-01</t>
        </is>
      </c>
      <c r="C69" s="265" t="inlineStr"/>
      <c r="D69" s="265" t="inlineStr"/>
      <c r="E69" s="265" t="inlineStr"/>
      <c r="F69" s="265" t="n"/>
      <c r="G69" s="266" t="n">
        <v>0</v>
      </c>
      <c r="H69" s="266" t="n">
        <v>0</v>
      </c>
      <c r="I69" s="266" t="n">
        <v>0</v>
      </c>
      <c r="J69" s="267">
        <f>IFERROR(I69/(H69+I69),"")</f>
        <v/>
      </c>
      <c r="K69" s="265" t="n"/>
      <c r="L69" s="265" t="n"/>
      <c r="M69" s="265" t="n"/>
      <c r="N69" s="265" t="n"/>
      <c r="O69" s="265" t="n"/>
      <c r="P69" s="265" t="n"/>
      <c r="Q69" s="265" t="n"/>
      <c r="R69" s="265" t="n"/>
      <c r="S69" s="265" t="n"/>
    </row>
    <row r="70" ht="15" customHeight="1" s="237">
      <c r="A70" s="268" t="n">
        <v>46184</v>
      </c>
      <c r="B70" s="265" t="inlineStr">
        <is>
          <t>PF Machine</t>
        </is>
      </c>
      <c r="C70" s="265" t="inlineStr">
        <is>
          <t>Alpha Labs PVT LTD</t>
        </is>
      </c>
      <c r="D70" s="265" t="inlineStr">
        <is>
          <t>TRANSPARENT BOTTLE 150ML</t>
        </is>
      </c>
      <c r="E70" s="265" t="inlineStr">
        <is>
          <t>150 ml</t>
        </is>
      </c>
      <c r="F70" s="265" t="n">
        <v>8001</v>
      </c>
      <c r="G70" s="266" t="n">
        <v>0</v>
      </c>
      <c r="H70" s="266" t="n">
        <v>0</v>
      </c>
      <c r="I70" s="266" t="n">
        <v>0</v>
      </c>
      <c r="J70" s="267">
        <f>IFERROR(I70/(H70+I70),"")</f>
        <v/>
      </c>
      <c r="K70" s="265" t="n"/>
      <c r="L70" s="265" t="n"/>
      <c r="M70" s="265" t="n"/>
      <c r="N70" s="265" t="n"/>
      <c r="O70" s="265" t="n"/>
      <c r="P70" s="265" t="n">
        <v>480</v>
      </c>
      <c r="Q70" s="265" t="n"/>
      <c r="R70" s="265" t="n"/>
      <c r="S70" s="265" t="n"/>
    </row>
    <row r="71" ht="15" customHeight="1" s="237">
      <c r="A71" s="268" t="n">
        <v>46184</v>
      </c>
      <c r="B71" s="265" t="inlineStr">
        <is>
          <t>Press-04</t>
        </is>
      </c>
      <c r="C71" s="265" t="inlineStr"/>
      <c r="D71" s="265" t="inlineStr"/>
      <c r="E71" s="265" t="inlineStr"/>
      <c r="F71" s="265" t="n"/>
      <c r="G71" s="266" t="n">
        <v>0</v>
      </c>
      <c r="H71" s="266" t="n">
        <v>0</v>
      </c>
      <c r="I71" s="266" t="n">
        <v>0</v>
      </c>
      <c r="J71" s="267">
        <f>IFERROR(I71/(H71+I71),"")</f>
        <v/>
      </c>
      <c r="K71" s="265" t="n"/>
      <c r="L71" s="265" t="n"/>
      <c r="M71" s="265" t="n"/>
      <c r="N71" s="265" t="n"/>
      <c r="O71" s="265" t="n"/>
      <c r="P71" s="265" t="n"/>
      <c r="Q71" s="265" t="n"/>
      <c r="R71" s="265" t="n"/>
      <c r="S71" s="265" t="n"/>
    </row>
    <row r="72" ht="15" customHeight="1" s="237">
      <c r="A72" s="268" t="n">
        <v>46184</v>
      </c>
      <c r="B72" s="265" t="inlineStr">
        <is>
          <t>Press-06</t>
        </is>
      </c>
      <c r="C72" s="265" t="inlineStr">
        <is>
          <t>Samsol International Private Limited</t>
        </is>
      </c>
      <c r="D72" s="265" t="inlineStr">
        <is>
          <t>TUBE COMMON PURPLE</t>
        </is>
      </c>
      <c r="E72" s="265" t="n">
        <v>25</v>
      </c>
      <c r="F72" s="265" t="n">
        <v>6532</v>
      </c>
      <c r="G72" s="266" t="n">
        <v>22000</v>
      </c>
      <c r="H72" s="266" t="n">
        <v>21845</v>
      </c>
      <c r="I72" s="266" t="n">
        <v>155</v>
      </c>
      <c r="J72" s="267">
        <f>IFERROR(I72/(H72+I72),"")</f>
        <v/>
      </c>
      <c r="K72" s="265" t="n"/>
      <c r="L72" s="265" t="n"/>
      <c r="M72" s="265" t="n"/>
      <c r="N72" s="265" t="n"/>
      <c r="O72" s="265" t="n"/>
      <c r="P72" s="265" t="n">
        <v>80</v>
      </c>
      <c r="Q72" s="265" t="n"/>
      <c r="R72" s="265" t="n"/>
      <c r="S72" s="265" t="n"/>
    </row>
    <row r="73" ht="15" customHeight="1" s="237">
      <c r="A73" s="268" t="n">
        <v>46184</v>
      </c>
      <c r="B73" s="265" t="inlineStr">
        <is>
          <t>Printing-03</t>
        </is>
      </c>
      <c r="C73" s="265" t="inlineStr">
        <is>
          <t>Samsol International Private Limited</t>
        </is>
      </c>
      <c r="D73" s="265" t="inlineStr">
        <is>
          <t>TUBE COMMON PURPLE</t>
        </is>
      </c>
      <c r="E73" s="265" t="n">
        <v>25</v>
      </c>
      <c r="F73" s="265" t="n">
        <v>6532</v>
      </c>
      <c r="G73" s="266" t="n">
        <v>15149</v>
      </c>
      <c r="H73" s="266" t="n">
        <v>14784</v>
      </c>
      <c r="I73" s="266" t="n">
        <v>365</v>
      </c>
      <c r="J73" s="267">
        <f>IFERROR(I73/(H73+I73),"")</f>
        <v/>
      </c>
      <c r="K73" s="265" t="n"/>
      <c r="L73" s="265" t="n"/>
      <c r="M73" s="265" t="n"/>
      <c r="N73" s="265" t="n"/>
      <c r="O73" s="265" t="n"/>
      <c r="P73" s="265" t="n">
        <v>80</v>
      </c>
      <c r="Q73" s="265" t="n"/>
      <c r="R73" s="265" t="n"/>
      <c r="S73" s="265" t="n"/>
    </row>
    <row r="74" ht="15" customHeight="1" s="237">
      <c r="A74" s="268" t="n">
        <v>46184</v>
      </c>
      <c r="B74" s="265" t="inlineStr">
        <is>
          <t>Printing-04</t>
        </is>
      </c>
      <c r="C74" s="265" t="inlineStr">
        <is>
          <t>Samsol International Private Limited</t>
        </is>
      </c>
      <c r="D74" s="265" t="inlineStr">
        <is>
          <t>TUBES COMMON RED</t>
        </is>
      </c>
      <c r="E74" s="265" t="n">
        <v>25</v>
      </c>
      <c r="F74" s="265" t="n">
        <v>6470</v>
      </c>
      <c r="G74" s="266" t="n">
        <v>2783</v>
      </c>
      <c r="H74" s="266" t="n">
        <v>2688</v>
      </c>
      <c r="I74" s="266" t="n">
        <v>95</v>
      </c>
      <c r="J74" s="267">
        <f>IFERROR(I74/(H74+I74),"")</f>
        <v/>
      </c>
      <c r="K74" s="265" t="n"/>
      <c r="L74" s="265" t="n"/>
      <c r="M74" s="265" t="n"/>
      <c r="N74" s="265" t="n">
        <v>30</v>
      </c>
      <c r="O74" s="265" t="n"/>
      <c r="P74" s="265" t="n"/>
      <c r="Q74" s="265" t="n"/>
      <c r="R74" s="265" t="n"/>
      <c r="S74" s="265" t="n"/>
    </row>
    <row r="75" ht="15" customHeight="1" s="237">
      <c r="A75" s="268" t="n">
        <v>46184</v>
      </c>
      <c r="B75" s="265" t="inlineStr">
        <is>
          <t>Printing-04</t>
        </is>
      </c>
      <c r="C75" s="265" t="inlineStr"/>
      <c r="D75" s="265" t="inlineStr"/>
      <c r="E75" s="265" t="inlineStr"/>
      <c r="F75" s="265" t="n"/>
      <c r="G75" s="266" t="n">
        <v>0</v>
      </c>
      <c r="H75" s="266" t="n">
        <v>0</v>
      </c>
      <c r="I75" s="266" t="n">
        <v>0</v>
      </c>
      <c r="J75" s="267">
        <f>IFERROR(I75/(H75+I75),"")</f>
        <v/>
      </c>
      <c r="K75" s="265" t="n"/>
      <c r="L75" s="265" t="n"/>
      <c r="M75" s="265" t="n"/>
      <c r="N75" s="265" t="n"/>
      <c r="O75" s="265" t="n"/>
      <c r="P75" s="265" t="n"/>
      <c r="Q75" s="265" t="n"/>
      <c r="R75" s="265" t="n"/>
      <c r="S75" s="265" t="n"/>
    </row>
    <row r="76" ht="15" customHeight="1" s="237">
      <c r="A76" s="268" t="n">
        <v>46185</v>
      </c>
      <c r="B76" s="265" t="inlineStr">
        <is>
          <t>Lacquer-02</t>
        </is>
      </c>
      <c r="C76" s="265" t="inlineStr"/>
      <c r="D76" s="265" t="inlineStr"/>
      <c r="E76" s="265" t="inlineStr"/>
      <c r="F76" s="265" t="n"/>
      <c r="G76" s="266" t="n">
        <v>0</v>
      </c>
      <c r="H76" s="266" t="n">
        <v>0</v>
      </c>
      <c r="I76" s="266" t="n">
        <v>0</v>
      </c>
      <c r="J76" s="267">
        <f>IFERROR(I76/(H76+I76),"")</f>
        <v/>
      </c>
      <c r="K76" s="265" t="n"/>
      <c r="L76" s="265" t="n"/>
      <c r="M76" s="265" t="n"/>
      <c r="N76" s="265" t="n"/>
      <c r="O76" s="265" t="n"/>
      <c r="P76" s="265" t="n"/>
      <c r="Q76" s="265" t="n"/>
      <c r="R76" s="265" t="n"/>
      <c r="S76" s="265" t="n"/>
    </row>
    <row r="77" ht="15" customHeight="1" s="237">
      <c r="A77" s="268" t="n">
        <v>46185</v>
      </c>
      <c r="B77" s="265" t="inlineStr">
        <is>
          <t>Lacquer-04</t>
        </is>
      </c>
      <c r="C77" s="265" t="inlineStr">
        <is>
          <t>Samsol International Private Limited</t>
        </is>
      </c>
      <c r="D77" s="265" t="inlineStr">
        <is>
          <t>TUBE COMMON PURPLE</t>
        </is>
      </c>
      <c r="E77" s="265" t="n">
        <v>25</v>
      </c>
      <c r="F77" s="265" t="n">
        <v>6532</v>
      </c>
      <c r="G77" s="266" t="n">
        <v>15000</v>
      </c>
      <c r="H77" s="266" t="n">
        <v>14735</v>
      </c>
      <c r="I77" s="266" t="n">
        <v>265</v>
      </c>
      <c r="J77" s="267">
        <f>IFERROR(I77/(H77+I77),"")</f>
        <v/>
      </c>
      <c r="K77" s="265" t="n"/>
      <c r="L77" s="265" t="n"/>
      <c r="M77" s="265" t="n"/>
      <c r="N77" s="265" t="n"/>
      <c r="O77" s="265" t="n"/>
      <c r="P77" s="265" t="n">
        <v>180</v>
      </c>
      <c r="Q77" s="265" t="n"/>
      <c r="R77" s="265" t="n"/>
      <c r="S77" s="265" t="n"/>
    </row>
    <row r="78" ht="15" customHeight="1" s="237">
      <c r="A78" s="268" t="n">
        <v>46185</v>
      </c>
      <c r="B78" s="265" t="inlineStr">
        <is>
          <t>Latex-01</t>
        </is>
      </c>
      <c r="C78" s="265" t="inlineStr"/>
      <c r="D78" s="265" t="inlineStr"/>
      <c r="E78" s="265" t="inlineStr"/>
      <c r="F78" s="265" t="n"/>
      <c r="G78" s="266" t="n">
        <v>0</v>
      </c>
      <c r="H78" s="266" t="n">
        <v>0</v>
      </c>
      <c r="I78" s="266" t="n">
        <v>0</v>
      </c>
      <c r="J78" s="267">
        <f>IFERROR(I78/(H78+I78),"")</f>
        <v/>
      </c>
      <c r="K78" s="265" t="n"/>
      <c r="L78" s="265" t="n"/>
      <c r="M78" s="265" t="n"/>
      <c r="N78" s="265" t="n"/>
      <c r="O78" s="265" t="n"/>
      <c r="P78" s="265" t="n"/>
      <c r="Q78" s="265" t="n"/>
      <c r="R78" s="265" t="n"/>
      <c r="S78" s="265" t="n"/>
    </row>
    <row r="79" ht="15" customHeight="1" s="237">
      <c r="A79" s="268" t="n">
        <v>46185</v>
      </c>
      <c r="B79" s="265" t="inlineStr">
        <is>
          <t>PF Machine</t>
        </is>
      </c>
      <c r="C79" s="265" t="inlineStr">
        <is>
          <t>Alpha Labs PVT LTD</t>
        </is>
      </c>
      <c r="D79" s="265" t="inlineStr">
        <is>
          <t>TRANSPARENT BOTTLE 150ML</t>
        </is>
      </c>
      <c r="E79" s="265" t="inlineStr">
        <is>
          <t>150 ml</t>
        </is>
      </c>
      <c r="F79" s="265" t="n">
        <v>8001</v>
      </c>
      <c r="G79" s="266" t="n">
        <v>0</v>
      </c>
      <c r="H79" s="266" t="n">
        <v>0</v>
      </c>
      <c r="I79" s="266" t="n">
        <v>0</v>
      </c>
      <c r="J79" s="267">
        <f>IFERROR(I79/(H79+I79),"")</f>
        <v/>
      </c>
      <c r="K79" s="265" t="n"/>
      <c r="L79" s="265" t="n"/>
      <c r="M79" s="265" t="n"/>
      <c r="N79" s="265" t="n"/>
      <c r="O79" s="265" t="n"/>
      <c r="P79" s="265" t="n">
        <v>480</v>
      </c>
      <c r="Q79" s="265" t="n"/>
      <c r="R79" s="265" t="n"/>
      <c r="S79" s="265" t="n"/>
    </row>
    <row r="80" ht="15" customHeight="1" s="237">
      <c r="A80" s="268" t="n">
        <v>46185</v>
      </c>
      <c r="B80" s="265" t="inlineStr">
        <is>
          <t>Press-04</t>
        </is>
      </c>
      <c r="C80" s="265" t="inlineStr"/>
      <c r="D80" s="265" t="inlineStr"/>
      <c r="E80" s="265" t="inlineStr"/>
      <c r="F80" s="265" t="n"/>
      <c r="G80" s="266" t="n">
        <v>0</v>
      </c>
      <c r="H80" s="266" t="n">
        <v>0</v>
      </c>
      <c r="I80" s="266" t="n">
        <v>0</v>
      </c>
      <c r="J80" s="267">
        <f>IFERROR(I80/(H80+I80),"")</f>
        <v/>
      </c>
      <c r="K80" s="265" t="n"/>
      <c r="L80" s="265" t="n"/>
      <c r="M80" s="265" t="n"/>
      <c r="N80" s="265" t="n"/>
      <c r="O80" s="265" t="n"/>
      <c r="P80" s="265" t="n"/>
      <c r="Q80" s="265" t="n"/>
      <c r="R80" s="265" t="n"/>
      <c r="S80" s="265" t="n"/>
    </row>
    <row r="81" ht="15" customHeight="1" s="237">
      <c r="A81" s="268" t="n">
        <v>46185</v>
      </c>
      <c r="B81" s="265" t="inlineStr">
        <is>
          <t>Press-06</t>
        </is>
      </c>
      <c r="C81" s="265" t="inlineStr">
        <is>
          <t>Samsol International Private Limited</t>
        </is>
      </c>
      <c r="D81" s="265" t="inlineStr">
        <is>
          <t>TUBE COMMON PURPLE</t>
        </is>
      </c>
      <c r="E81" s="265" t="n">
        <v>25</v>
      </c>
      <c r="F81" s="265" t="n">
        <v>6532</v>
      </c>
      <c r="G81" s="266" t="n">
        <v>11500</v>
      </c>
      <c r="H81" s="266" t="n">
        <v>11360</v>
      </c>
      <c r="I81" s="266" t="n">
        <v>140</v>
      </c>
      <c r="J81" s="267">
        <f>IFERROR(I81/(H81+I81),"")</f>
        <v/>
      </c>
      <c r="K81" s="265" t="n"/>
      <c r="L81" s="265" t="n"/>
      <c r="M81" s="265" t="n"/>
      <c r="N81" s="265" t="n"/>
      <c r="O81" s="265" t="n"/>
      <c r="P81" s="265" t="n">
        <v>180</v>
      </c>
      <c r="Q81" s="265" t="n"/>
      <c r="R81" s="265" t="n"/>
      <c r="S81" s="265" t="n"/>
    </row>
    <row r="82" ht="15" customHeight="1" s="237">
      <c r="A82" s="268" t="n">
        <v>46185</v>
      </c>
      <c r="B82" s="265" t="inlineStr">
        <is>
          <t>Printing-03</t>
        </is>
      </c>
      <c r="C82" s="265" t="inlineStr">
        <is>
          <t>Samsol International Private Limited</t>
        </is>
      </c>
      <c r="D82" s="265" t="inlineStr">
        <is>
          <t>TUBE COMMON PURPLE</t>
        </is>
      </c>
      <c r="E82" s="265" t="n">
        <v>25</v>
      </c>
      <c r="F82" s="265" t="n">
        <v>6532</v>
      </c>
      <c r="G82" s="266" t="n">
        <v>15134</v>
      </c>
      <c r="H82" s="266" t="n">
        <v>14784</v>
      </c>
      <c r="I82" s="266" t="n">
        <v>350</v>
      </c>
      <c r="J82" s="267">
        <f>IFERROR(I82/(H82+I82),"")</f>
        <v/>
      </c>
      <c r="K82" s="265" t="n"/>
      <c r="L82" s="265" t="n"/>
      <c r="M82" s="265" t="n"/>
      <c r="N82" s="265" t="n"/>
      <c r="O82" s="265" t="n"/>
      <c r="P82" s="265" t="n">
        <v>180</v>
      </c>
      <c r="Q82" s="265" t="n"/>
      <c r="R82" s="265" t="n"/>
      <c r="S82" s="265" t="n"/>
    </row>
    <row r="83" ht="15" customHeight="1" s="237">
      <c r="A83" s="268" t="n">
        <v>46185</v>
      </c>
      <c r="B83" s="265" t="inlineStr">
        <is>
          <t>Printing-04</t>
        </is>
      </c>
      <c r="C83" s="265" t="inlineStr">
        <is>
          <t>Samsol International Private Limited</t>
        </is>
      </c>
      <c r="D83" s="265" t="inlineStr"/>
      <c r="E83" s="265" t="inlineStr"/>
      <c r="F83" s="265" t="n"/>
      <c r="G83" s="266" t="n">
        <v>0</v>
      </c>
      <c r="H83" s="266" t="n">
        <v>0</v>
      </c>
      <c r="I83" s="266" t="n">
        <v>0</v>
      </c>
      <c r="J83" s="267">
        <f>IFERROR(I83/(H83+I83),"")</f>
        <v/>
      </c>
      <c r="K83" s="265" t="n"/>
      <c r="L83" s="265" t="n"/>
      <c r="M83" s="265" t="n"/>
      <c r="N83" s="265" t="n"/>
      <c r="O83" s="265" t="n"/>
      <c r="P83" s="265" t="n"/>
      <c r="Q83" s="265" t="n"/>
      <c r="R83" s="265" t="n"/>
      <c r="S83" s="265" t="n"/>
    </row>
    <row r="84" ht="15" customHeight="1" s="237">
      <c r="A84" s="268" t="n">
        <v>46186</v>
      </c>
      <c r="B84" s="265" t="inlineStr">
        <is>
          <t>Lacquer-02</t>
        </is>
      </c>
      <c r="C84" s="265" t="inlineStr"/>
      <c r="D84" s="265" t="inlineStr"/>
      <c r="E84" s="265" t="inlineStr"/>
      <c r="F84" s="265" t="n"/>
      <c r="G84" s="266" t="n">
        <v>0</v>
      </c>
      <c r="H84" s="266" t="n">
        <v>0</v>
      </c>
      <c r="I84" s="266" t="n">
        <v>0</v>
      </c>
      <c r="J84" s="267">
        <f>IFERROR(I84/(H84+I84),"")</f>
        <v/>
      </c>
      <c r="K84" s="265" t="n"/>
      <c r="L84" s="265" t="n"/>
      <c r="M84" s="265" t="n"/>
      <c r="N84" s="265" t="n"/>
      <c r="O84" s="265" t="n"/>
      <c r="P84" s="265" t="n"/>
      <c r="Q84" s="265" t="n"/>
      <c r="R84" s="265" t="n"/>
      <c r="S84" s="265" t="n"/>
    </row>
    <row r="85" ht="15" customHeight="1" s="237">
      <c r="A85" s="268" t="n">
        <v>46186</v>
      </c>
      <c r="B85" s="265" t="inlineStr">
        <is>
          <t>Lacquer-04</t>
        </is>
      </c>
      <c r="C85" s="265" t="inlineStr">
        <is>
          <t>Samsol International Private Limited</t>
        </is>
      </c>
      <c r="D85" s="265" t="inlineStr">
        <is>
          <t>S-45</t>
        </is>
      </c>
      <c r="E85" s="265" t="n">
        <v>25</v>
      </c>
      <c r="F85" s="265" t="n">
        <v>5389</v>
      </c>
      <c r="G85" s="266" t="n">
        <v>15000</v>
      </c>
      <c r="H85" s="266" t="n">
        <v>14775</v>
      </c>
      <c r="I85" s="266" t="n">
        <v>225</v>
      </c>
      <c r="J85" s="267">
        <f>IFERROR(I85/(H85+I85),"")</f>
        <v/>
      </c>
      <c r="K85" s="265" t="n"/>
      <c r="L85" s="265" t="n"/>
      <c r="M85" s="265" t="n"/>
      <c r="N85" s="265" t="n"/>
      <c r="O85" s="265" t="n"/>
      <c r="P85" s="265" t="n"/>
      <c r="Q85" s="265" t="n"/>
      <c r="R85" s="265" t="n"/>
      <c r="S85" s="265" t="n"/>
    </row>
    <row r="86" ht="15" customHeight="1" s="237">
      <c r="A86" s="268" t="n">
        <v>46186</v>
      </c>
      <c r="B86" s="265" t="inlineStr">
        <is>
          <t>Latex-01</t>
        </is>
      </c>
      <c r="C86" s="265" t="inlineStr"/>
      <c r="D86" s="265" t="inlineStr"/>
      <c r="E86" s="265" t="inlineStr"/>
      <c r="F86" s="265" t="n"/>
      <c r="G86" s="266" t="n">
        <v>0</v>
      </c>
      <c r="H86" s="266" t="n">
        <v>0</v>
      </c>
      <c r="I86" s="266" t="n">
        <v>0</v>
      </c>
      <c r="J86" s="267">
        <f>IFERROR(I86/(H86+I86),"")</f>
        <v/>
      </c>
      <c r="K86" s="265" t="n"/>
      <c r="L86" s="265" t="n"/>
      <c r="M86" s="265" t="n"/>
      <c r="N86" s="265" t="n"/>
      <c r="O86" s="265" t="n"/>
      <c r="P86" s="265" t="n"/>
      <c r="Q86" s="265" t="n"/>
      <c r="R86" s="265" t="n"/>
      <c r="S86" s="265" t="n"/>
    </row>
    <row r="87" ht="15" customHeight="1" s="237">
      <c r="A87" s="268" t="n">
        <v>46186</v>
      </c>
      <c r="B87" s="265" t="inlineStr">
        <is>
          <t>PF Machine</t>
        </is>
      </c>
      <c r="C87" s="265" t="inlineStr">
        <is>
          <t>Alpha Labs PVT LTD</t>
        </is>
      </c>
      <c r="D87" s="265" t="inlineStr">
        <is>
          <t>TRANSPARENT BOTTLE 150ML</t>
        </is>
      </c>
      <c r="E87" s="265" t="inlineStr">
        <is>
          <t>150 ml</t>
        </is>
      </c>
      <c r="F87" s="265" t="n">
        <v>8001</v>
      </c>
      <c r="G87" s="266" t="n">
        <v>9030</v>
      </c>
      <c r="H87" s="266" t="n">
        <v>8280</v>
      </c>
      <c r="I87" s="266" t="n">
        <v>750</v>
      </c>
      <c r="J87" s="267">
        <f>IFERROR(I87/(H87+I87),"")</f>
        <v/>
      </c>
      <c r="K87" s="265" t="n"/>
      <c r="L87" s="265" t="n"/>
      <c r="M87" s="265" t="n"/>
      <c r="N87" s="265" t="n"/>
      <c r="O87" s="265" t="n"/>
      <c r="P87" s="265" t="n">
        <v>25</v>
      </c>
      <c r="Q87" s="265" t="n"/>
      <c r="R87" s="265" t="n"/>
      <c r="S87" s="265" t="n"/>
    </row>
    <row r="88" ht="15" customHeight="1" s="237">
      <c r="A88" s="268" t="n">
        <v>46186</v>
      </c>
      <c r="B88" s="265" t="inlineStr">
        <is>
          <t>Press-04</t>
        </is>
      </c>
      <c r="C88" s="265" t="inlineStr"/>
      <c r="D88" s="265" t="inlineStr"/>
      <c r="E88" s="265" t="inlineStr"/>
      <c r="F88" s="265" t="n"/>
      <c r="G88" s="266" t="n">
        <v>0</v>
      </c>
      <c r="H88" s="266" t="n">
        <v>0</v>
      </c>
      <c r="I88" s="266" t="n">
        <v>0</v>
      </c>
      <c r="J88" s="267">
        <f>IFERROR(I88/(H88+I88),"")</f>
        <v/>
      </c>
      <c r="K88" s="265" t="n"/>
      <c r="L88" s="265" t="n"/>
      <c r="M88" s="265" t="n"/>
      <c r="N88" s="265" t="n"/>
      <c r="O88" s="265" t="n"/>
      <c r="P88" s="265" t="n"/>
      <c r="Q88" s="265" t="n"/>
      <c r="R88" s="265" t="n"/>
      <c r="S88" s="265" t="n"/>
    </row>
    <row r="89" ht="15" customHeight="1" s="237">
      <c r="A89" s="268" t="n">
        <v>46186</v>
      </c>
      <c r="B89" s="265" t="inlineStr">
        <is>
          <t>Press-06</t>
        </is>
      </c>
      <c r="C89" s="265" t="inlineStr">
        <is>
          <t>Samsol International Private Limited</t>
        </is>
      </c>
      <c r="D89" s="265" t="inlineStr">
        <is>
          <t>S-45</t>
        </is>
      </c>
      <c r="E89" s="265" t="n">
        <v>25</v>
      </c>
      <c r="F89" s="265" t="n">
        <v>5389</v>
      </c>
      <c r="G89" s="266" t="n">
        <v>19500</v>
      </c>
      <c r="H89" s="266" t="n">
        <v>19345</v>
      </c>
      <c r="I89" s="266" t="n">
        <v>155</v>
      </c>
      <c r="J89" s="267">
        <f>IFERROR(I89/(H89+I89),"")</f>
        <v/>
      </c>
      <c r="K89" s="265" t="n"/>
      <c r="L89" s="265" t="n"/>
      <c r="M89" s="265" t="n"/>
      <c r="N89" s="265" t="n"/>
      <c r="O89" s="265" t="n"/>
      <c r="P89" s="265" t="n"/>
      <c r="Q89" s="265" t="n"/>
      <c r="R89" s="265" t="n"/>
      <c r="S89" s="265" t="n"/>
    </row>
    <row r="90" ht="15" customHeight="1" s="237">
      <c r="A90" s="268" t="n">
        <v>46186</v>
      </c>
      <c r="B90" s="265" t="inlineStr">
        <is>
          <t>Printing-03</t>
        </is>
      </c>
      <c r="C90" s="265" t="inlineStr">
        <is>
          <t>Samsol International Private Limited</t>
        </is>
      </c>
      <c r="D90" s="265" t="inlineStr">
        <is>
          <t>TUBE COMMON PURPLE</t>
        </is>
      </c>
      <c r="E90" s="265" t="n">
        <v>25</v>
      </c>
      <c r="F90" s="265" t="n">
        <v>6532</v>
      </c>
      <c r="G90" s="266" t="n">
        <v>3188</v>
      </c>
      <c r="H90" s="266" t="n">
        <v>3024</v>
      </c>
      <c r="I90" s="266" t="n">
        <v>164</v>
      </c>
      <c r="J90" s="267">
        <f>IFERROR(I90/(H90+I90),"")</f>
        <v/>
      </c>
      <c r="K90" s="265" t="n"/>
      <c r="L90" s="265" t="n"/>
      <c r="M90" s="265" t="n"/>
      <c r="N90" s="265" t="n">
        <v>20</v>
      </c>
      <c r="O90" s="265" t="n"/>
      <c r="P90" s="265" t="n"/>
      <c r="Q90" s="265" t="n"/>
      <c r="R90" s="265" t="n"/>
      <c r="S90" s="265" t="n"/>
    </row>
    <row r="91" ht="15" customHeight="1" s="237">
      <c r="A91" s="268" t="n">
        <v>46186</v>
      </c>
      <c r="B91" s="265" t="inlineStr">
        <is>
          <t>Printing-03</t>
        </is>
      </c>
      <c r="C91" s="265" t="inlineStr">
        <is>
          <t>Samsol International Private Limited</t>
        </is>
      </c>
      <c r="D91" s="265" t="inlineStr">
        <is>
          <t>S-45</t>
        </is>
      </c>
      <c r="E91" s="265" t="n">
        <v>25</v>
      </c>
      <c r="F91" s="265" t="n">
        <v>5389</v>
      </c>
      <c r="G91" s="266" t="n">
        <v>12762</v>
      </c>
      <c r="H91" s="266" t="n">
        <v>12432</v>
      </c>
      <c r="I91" s="266" t="n">
        <v>330</v>
      </c>
      <c r="J91" s="267">
        <f>IFERROR(I91/(H91+I91),"")</f>
        <v/>
      </c>
      <c r="K91" s="265" t="n"/>
      <c r="L91" s="265" t="n"/>
      <c r="M91" s="265" t="n"/>
      <c r="N91" s="265" t="n"/>
      <c r="O91" s="265" t="n"/>
      <c r="P91" s="265" t="n"/>
      <c r="Q91" s="265" t="n"/>
      <c r="R91" s="265" t="n"/>
      <c r="S91" s="265" t="n"/>
    </row>
    <row r="92" ht="15" customHeight="1" s="237">
      <c r="A92" s="268" t="n">
        <v>46186</v>
      </c>
      <c r="B92" s="265" t="inlineStr">
        <is>
          <t>Printing-04</t>
        </is>
      </c>
      <c r="C92" s="265" t="inlineStr">
        <is>
          <t>Samsol International Private Limited</t>
        </is>
      </c>
      <c r="D92" s="265" t="inlineStr"/>
      <c r="E92" s="265" t="inlineStr"/>
      <c r="F92" s="265" t="n"/>
      <c r="G92" s="266" t="n">
        <v>0</v>
      </c>
      <c r="H92" s="266" t="n">
        <v>0</v>
      </c>
      <c r="I92" s="266" t="n">
        <v>0</v>
      </c>
      <c r="J92" s="267">
        <f>IFERROR(I92/(H92+I92),"")</f>
        <v/>
      </c>
      <c r="K92" s="265" t="n"/>
      <c r="L92" s="265" t="n"/>
      <c r="M92" s="265" t="n"/>
      <c r="N92" s="265" t="n"/>
      <c r="O92" s="265" t="n"/>
      <c r="P92" s="265" t="n"/>
      <c r="Q92" s="265" t="n"/>
      <c r="R92" s="265" t="n"/>
      <c r="S92" s="265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H14" sqref="H14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1050</v>
      </c>
      <c r="H7" s="38">
        <f>E7+F7-G7</f>
        <v/>
      </c>
      <c r="I7" s="37" t="n">
        <v>70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90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15-Jun-2026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301" t="n">
        <v>1</v>
      </c>
      <c r="B4" s="301" t="n">
        <v>8001</v>
      </c>
      <c r="C4" s="302" t="inlineStr">
        <is>
          <t>Alpha Labs PVT LTD</t>
        </is>
      </c>
      <c r="D4" s="302" t="inlineStr">
        <is>
          <t>TRANSPARENT BOTTLE 150ML</t>
        </is>
      </c>
      <c r="E4" s="301" t="inlineStr">
        <is>
          <t>150ml</t>
        </is>
      </c>
      <c r="F4" s="303" t="n">
        <v>18860</v>
      </c>
      <c r="G4" s="301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301" t="n">
        <v>2</v>
      </c>
      <c r="B5" s="301" t="n">
        <v>5699</v>
      </c>
      <c r="C5" s="302" t="inlineStr">
        <is>
          <t>Samsol International Private Limited</t>
        </is>
      </c>
      <c r="D5" s="302" t="inlineStr">
        <is>
          <t>S-43 DIA 20.5</t>
        </is>
      </c>
      <c r="E5" s="301" t="inlineStr">
        <is>
          <t>20.5</t>
        </is>
      </c>
      <c r="F5" s="303" t="n">
        <v>14790</v>
      </c>
      <c r="G5" s="301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301" t="n">
        <v>3</v>
      </c>
      <c r="B6" s="301" t="n">
        <v>5731</v>
      </c>
      <c r="C6" s="302" t="inlineStr">
        <is>
          <t>Samsol International Private Limited</t>
        </is>
      </c>
      <c r="D6" s="302" t="inlineStr">
        <is>
          <t>SAMSOL HAIR COLOR 45 DIA 20.5 MM</t>
        </is>
      </c>
      <c r="E6" s="301" t="inlineStr">
        <is>
          <t>20.5</t>
        </is>
      </c>
      <c r="F6" s="303" t="n">
        <v>13770</v>
      </c>
      <c r="G6" s="301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301" t="n">
        <v>4</v>
      </c>
      <c r="B7" s="301" t="n">
        <v>5389</v>
      </c>
      <c r="C7" s="302" t="inlineStr">
        <is>
          <t>Samsol International Private Limited</t>
        </is>
      </c>
      <c r="D7" s="302" t="inlineStr">
        <is>
          <t>S-45</t>
        </is>
      </c>
      <c r="E7" s="301" t="inlineStr">
        <is>
          <t>25</t>
        </is>
      </c>
      <c r="F7" s="303" t="n">
        <v>11088</v>
      </c>
      <c r="G7" s="301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301" t="n">
        <v>5</v>
      </c>
      <c r="B8" s="301" t="n">
        <v>4050</v>
      </c>
      <c r="C8" s="302" t="inlineStr">
        <is>
          <t>Professional Beauty Solution (PVT) LTD.Pakistan</t>
        </is>
      </c>
      <c r="D8" s="302" t="inlineStr">
        <is>
          <t>EAZICOLOR PREMIUM HAIR COLOUR 60ML</t>
        </is>
      </c>
      <c r="E8" s="301" t="inlineStr">
        <is>
          <t>30</t>
        </is>
      </c>
      <c r="F8" s="303" t="n">
        <v>9450</v>
      </c>
      <c r="G8" s="301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301" t="n">
        <v>6</v>
      </c>
      <c r="B9" s="301" t="n">
        <v>6337</v>
      </c>
      <c r="C9" s="302" t="inlineStr">
        <is>
          <t>Al-Rehman Group</t>
        </is>
      </c>
      <c r="D9" s="302" t="inlineStr">
        <is>
          <t>ACTIVE PRO HAIR COLOR CREAM 60ML</t>
        </is>
      </c>
      <c r="E9" s="301" t="inlineStr">
        <is>
          <t>30</t>
        </is>
      </c>
      <c r="F9" s="303" t="n">
        <v>15680</v>
      </c>
      <c r="G9" s="301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301" t="n">
        <v>7</v>
      </c>
      <c r="B10" s="301" t="n">
        <v>6416</v>
      </c>
      <c r="C10" s="302" t="inlineStr">
        <is>
          <t>Al-Rehman Group</t>
        </is>
      </c>
      <c r="D10" s="302" t="inlineStr">
        <is>
          <t>SIGNATURE HAIR COLOR CREAM 60ML</t>
        </is>
      </c>
      <c r="E10" s="301" t="inlineStr">
        <is>
          <t>30</t>
        </is>
      </c>
      <c r="F10" s="303" t="n">
        <v>15435</v>
      </c>
      <c r="G10" s="301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301" t="n">
        <v>8</v>
      </c>
      <c r="B11" s="301" t="n">
        <v>5782</v>
      </c>
      <c r="C11" s="302" t="inlineStr">
        <is>
          <t>Mega Grey</t>
        </is>
      </c>
      <c r="D11" s="302" t="inlineStr">
        <is>
          <t>M.G</t>
        </is>
      </c>
      <c r="E11" s="301" t="inlineStr">
        <is>
          <t>32</t>
        </is>
      </c>
      <c r="F11" s="303" t="n">
        <v>63648</v>
      </c>
      <c r="G11" s="301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301" t="n">
        <v>9</v>
      </c>
      <c r="B12" s="301" t="n">
        <v>6531</v>
      </c>
      <c r="C12" s="302" t="inlineStr">
        <is>
          <t>Adore</t>
        </is>
      </c>
      <c r="D12" s="302" t="inlineStr">
        <is>
          <t>V-HC BLACK</t>
        </is>
      </c>
      <c r="E12" s="301" t="inlineStr">
        <is>
          <t>35</t>
        </is>
      </c>
      <c r="F12" s="303" t="n">
        <v>4380</v>
      </c>
      <c r="G12" s="301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301" t="n">
        <v>10</v>
      </c>
      <c r="B13" s="301" t="n">
        <v>6206</v>
      </c>
      <c r="C13" s="302" t="inlineStr">
        <is>
          <t>Golden Pearl Cosmetics (PVT) LTD</t>
        </is>
      </c>
      <c r="D13" s="302" t="inlineStr">
        <is>
          <t>HELLO HAIR COLOR</t>
        </is>
      </c>
      <c r="E13" s="301" t="inlineStr">
        <is>
          <t>30</t>
        </is>
      </c>
      <c r="F13" s="303" t="n">
        <v>100674</v>
      </c>
      <c r="G13" s="301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304" t="n">
        <v>11</v>
      </c>
      <c r="B14" s="304" t="n">
        <v>6515</v>
      </c>
      <c r="C14" s="305" t="inlineStr">
        <is>
          <t>Samsol International Private Limited</t>
        </is>
      </c>
      <c r="D14" s="305" t="inlineStr">
        <is>
          <t>H.H 100GM</t>
        </is>
      </c>
      <c r="E14" s="304" t="inlineStr">
        <is>
          <t>32</t>
        </is>
      </c>
      <c r="F14" s="306" t="n">
        <v>38896</v>
      </c>
      <c r="G14" s="304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304" t="n">
        <v>12</v>
      </c>
      <c r="B15" s="304" t="n">
        <v>6530</v>
      </c>
      <c r="C15" s="305" t="inlineStr">
        <is>
          <t>Adore</t>
        </is>
      </c>
      <c r="D15" s="305" t="inlineStr">
        <is>
          <t>V- HC BROWN</t>
        </is>
      </c>
      <c r="E15" s="304" t="inlineStr">
        <is>
          <t>35</t>
        </is>
      </c>
      <c r="F15" s="306" t="n">
        <v>15000</v>
      </c>
      <c r="G15" s="304" t="inlineStr">
        <is>
          <t>Not Ready</t>
        </is>
      </c>
      <c r="H15" s="276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37">
      <c r="A16" s="304" t="n">
        <v>13</v>
      </c>
      <c r="B16" s="304" t="n">
        <v>5782</v>
      </c>
      <c r="C16" s="305" t="inlineStr">
        <is>
          <t>Mega Grey</t>
        </is>
      </c>
      <c r="D16" s="305" t="inlineStr">
        <is>
          <t>M.G</t>
        </is>
      </c>
      <c r="E16" s="304" t="inlineStr">
        <is>
          <t>32</t>
        </is>
      </c>
      <c r="F16" s="306" t="n">
        <v>10500</v>
      </c>
      <c r="G16" s="304" t="inlineStr">
        <is>
          <t>Not Ready</t>
        </is>
      </c>
      <c r="H16" s="276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37">
      <c r="A17" s="304" t="n">
        <v>14</v>
      </c>
      <c r="B17" s="304" t="n">
        <v>6624</v>
      </c>
      <c r="C17" s="305" t="inlineStr">
        <is>
          <t>Samsol International Private Limited</t>
        </is>
      </c>
      <c r="D17" s="305" t="inlineStr">
        <is>
          <t>S-45 DIA 19MM</t>
        </is>
      </c>
      <c r="E17" s="304" t="inlineStr">
        <is>
          <t>19</t>
        </is>
      </c>
      <c r="F17" s="306" t="n">
        <v>15288</v>
      </c>
      <c r="G17" s="304" t="inlineStr">
        <is>
          <t>Not Ready</t>
        </is>
      </c>
      <c r="H17" s="276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304" t="n">
        <v>15</v>
      </c>
      <c r="B18" s="304" t="n">
        <v>5731</v>
      </c>
      <c r="C18" s="305" t="inlineStr">
        <is>
          <t>Samsol International Private Limited</t>
        </is>
      </c>
      <c r="D18" s="305" t="inlineStr">
        <is>
          <t>SAMSOL HAIR COLOR 45 DIA 20.5 MM</t>
        </is>
      </c>
      <c r="E18" s="304" t="inlineStr">
        <is>
          <t>20.5</t>
        </is>
      </c>
      <c r="F18" s="306" t="n">
        <v>37030</v>
      </c>
      <c r="G18" s="304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7" t="n"/>
      <c r="B19" s="277" t="n"/>
      <c r="C19" s="278" t="n"/>
      <c r="D19" s="278" t="n"/>
      <c r="E19" s="277" t="n"/>
      <c r="F19" s="279" t="n"/>
      <c r="G19" s="277" t="n"/>
      <c r="H19" s="280" t="n"/>
      <c r="I19" s="95">
        <f>IFERROR(SUMPRODUCT((TableBOM[Product ID]=B19)*(TableBOM[Material Category]="CAP")*TableBOM[Item ID]),0)</f>
        <v/>
      </c>
    </row>
    <row r="20" ht="15" customHeight="1" s="237">
      <c r="A20" s="277" t="n"/>
      <c r="B20" s="277" t="n"/>
      <c r="C20" s="278" t="n"/>
      <c r="D20" s="278" t="n"/>
      <c r="E20" s="277" t="n"/>
      <c r="F20" s="279" t="n"/>
      <c r="G20" s="277" t="n"/>
      <c r="H20" s="280" t="n"/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2026-06-15T05:20:37Z</dcterms:modified>
  <cp:lastModifiedBy>Sikander Shahjahan</cp:lastModifiedBy>
  <cp:category>Operations</cp:category>
  <cp:revision>37</cp:revision>
  <cp:keywords>production inventory planning procurement</cp:keywords>
</cp:coreProperties>
</file>