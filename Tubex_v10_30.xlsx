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4" hidden="1">'Product_Catalog'!$A$2:$S$53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1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6" pivotButton="0" quotePrefix="0" xfId="0"/>
    <xf numFmtId="169" fontId="35" fillId="0" borderId="16" pivotButton="0" quotePrefix="0" xfId="0"/>
    <xf numFmtId="0" fontId="34" fillId="2" borderId="17" pivotButton="0" quotePrefix="0" xfId="0"/>
    <xf numFmtId="0" fontId="35" fillId="0" borderId="17" pivotButton="0" quotePrefix="0" xfId="0"/>
    <xf numFmtId="0" fontId="35" fillId="2" borderId="17" pivotButton="0" quotePrefix="0" xfId="0"/>
    <xf numFmtId="169" fontId="35" fillId="0" borderId="17" pivotButton="0" quotePrefix="0" xfId="0"/>
    <xf numFmtId="0" fontId="37" fillId="3" borderId="17" applyAlignment="1" pivotButton="0" quotePrefix="0" xfId="0">
      <alignment vertical="center"/>
    </xf>
    <xf numFmtId="167" fontId="24" fillId="0" borderId="17" pivotButton="0" quotePrefix="0" xfId="0"/>
    <xf numFmtId="0" fontId="24" fillId="0" borderId="17" pivotButton="0" quotePrefix="0" xfId="0"/>
    <xf numFmtId="3" fontId="24" fillId="0" borderId="17" pivotButton="0" quotePrefix="0" xfId="0"/>
    <xf numFmtId="168" fontId="24" fillId="0" borderId="17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2" fontId="10" fillId="7" borderId="1" applyAlignment="1" pivotButton="0" quotePrefix="0" xfId="0">
      <alignment horizontal="center" vertical="center"/>
    </xf>
    <xf numFmtId="3" fontId="10" fillId="8" borderId="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8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0" fontId="46" fillId="12" borderId="22" applyAlignment="1" pivotButton="0" quotePrefix="0" xfId="0">
      <alignment horizontal="center" vertical="center"/>
    </xf>
    <xf numFmtId="0" fontId="46" fillId="12" borderId="22" applyAlignment="1" pivotButton="0" quotePrefix="0" xfId="0">
      <alignment horizontal="left" vertical="center"/>
    </xf>
    <xf numFmtId="3" fontId="47" fillId="12" borderId="22" applyAlignment="1" pivotButton="0" quotePrefix="0" xfId="0">
      <alignment horizontal="center" vertical="center"/>
    </xf>
    <xf numFmtId="0" fontId="46" fillId="12" borderId="22" applyAlignment="1" pivotButton="0" quotePrefix="0" xfId="0">
      <alignment horizontal="left" vertical="center" wrapText="1"/>
    </xf>
    <xf numFmtId="0" fontId="46" fillId="13" borderId="22" applyAlignment="1" pivotButton="0" quotePrefix="0" xfId="0">
      <alignment horizontal="center" vertical="center"/>
    </xf>
    <xf numFmtId="0" fontId="46" fillId="13" borderId="22" applyAlignment="1" pivotButton="0" quotePrefix="0" xfId="0">
      <alignment horizontal="left" vertical="center"/>
    </xf>
    <xf numFmtId="3" fontId="47" fillId="13" borderId="22" applyAlignment="1" pivotButton="0" quotePrefix="0" xfId="0">
      <alignment horizontal="center" vertical="center"/>
    </xf>
    <xf numFmtId="0" fontId="46" fillId="13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1" pivotButton="0" quotePrefix="0" xfId="0"/>
    <xf numFmtId="0" fontId="37" fillId="3" borderId="20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0" applyAlignment="1" pivotButton="0" quotePrefix="0" xfId="0">
      <alignment horizontal="center" vertical="center"/>
    </xf>
    <xf numFmtId="167" fontId="38" fillId="3" borderId="20" applyAlignment="1" pivotButton="0" quotePrefix="0" xfId="0">
      <alignment horizontal="center"/>
    </xf>
    <xf numFmtId="0" fontId="42" fillId="5" borderId="20" applyAlignment="1" pivotButton="0" quotePrefix="0" xfId="0">
      <alignment vertical="center"/>
    </xf>
    <xf numFmtId="0" fontId="37" fillId="3" borderId="20" applyAlignment="1" pivotButton="0" quotePrefix="0" xfId="0">
      <alignment vertical="center"/>
    </xf>
    <xf numFmtId="0" fontId="36" fillId="3" borderId="20" applyAlignment="1" pivotButton="0" quotePrefix="0" xfId="0">
      <alignment horizontal="center" vertical="center"/>
    </xf>
    <xf numFmtId="3" fontId="36" fillId="5" borderId="20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3" fillId="3" borderId="2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0" applyAlignment="1" pivotButton="0" quotePrefix="0" xfId="0">
      <alignment horizontal="left" vertical="center"/>
    </xf>
    <xf numFmtId="0" fontId="21" fillId="11" borderId="20" applyAlignment="1" pivotButton="0" quotePrefix="0" xfId="0">
      <alignment horizontal="left" vertical="center" indent="1"/>
    </xf>
    <xf numFmtId="0" fontId="8" fillId="3" borderId="20" applyAlignment="1" pivotButton="0" quotePrefix="0" xfId="0">
      <alignment horizontal="left" vertical="center" indent="1"/>
    </xf>
    <xf numFmtId="0" fontId="29" fillId="0" borderId="2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0" applyAlignment="1" pivotButton="0" quotePrefix="0" xfId="0">
      <alignment horizontal="left" vertical="center"/>
    </xf>
    <xf numFmtId="0" fontId="26" fillId="14" borderId="20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5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11" borderId="21" applyAlignment="1" pivotButton="0" quotePrefix="0" xfId="0">
      <alignment horizontal="left" vertical="center" indent="1"/>
    </xf>
    <xf numFmtId="0" fontId="26" fillId="14" borderId="21" applyAlignment="1" pivotButton="0" quotePrefix="0" xfId="0">
      <alignment horizontal="left" vertical="center"/>
    </xf>
    <xf numFmtId="0" fontId="27" fillId="14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2" borderId="27" applyAlignment="1" pivotButton="0" quotePrefix="0" xfId="0">
      <alignment horizontal="center" vertical="center"/>
    </xf>
    <xf numFmtId="0" fontId="46" fillId="12" borderId="27" applyAlignment="1" pivotButton="0" quotePrefix="0" xfId="0">
      <alignment horizontal="left" vertical="center"/>
    </xf>
    <xf numFmtId="3" fontId="47" fillId="12" borderId="27" applyAlignment="1" pivotButton="0" quotePrefix="0" xfId="0">
      <alignment horizontal="center" vertical="center"/>
    </xf>
    <xf numFmtId="0" fontId="46" fillId="12" borderId="27" applyAlignment="1" pivotButton="0" quotePrefix="0" xfId="0">
      <alignment horizontal="left" vertical="center" wrapText="1"/>
    </xf>
    <xf numFmtId="0" fontId="46" fillId="13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left" vertical="center"/>
    </xf>
    <xf numFmtId="3" fontId="47" fillId="13" borderId="27" applyAlignment="1" pivotButton="0" quotePrefix="0" xfId="0">
      <alignment horizontal="center" vertical="center"/>
    </xf>
    <xf numFmtId="0" fontId="46" fillId="13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8" zoomScaleNormal="100" workbookViewId="0">
      <selection activeCell="A2" sqref="A2:O25"/>
    </sheetView>
  </sheetViews>
  <sheetFormatPr baseColWidth="8" defaultColWidth="8.7109375" defaultRowHeight="16.5"/>
  <cols>
    <col width="1.5703125" customWidth="1" style="239" min="1" max="1"/>
    <col width="7" customWidth="1" style="239" min="2" max="2"/>
    <col width="32.7109375" customWidth="1" style="239" min="3" max="3"/>
    <col width="38.7109375" customWidth="1" style="239" min="4" max="4"/>
    <col width="8.85546875" customWidth="1" style="240" min="5" max="5"/>
    <col width="9.140625" customWidth="1" style="239" min="6" max="6"/>
    <col width="11" customWidth="1" style="241" min="7" max="7"/>
    <col width="11.140625" customWidth="1" style="239" min="8" max="8"/>
    <col width="10.28515625" customWidth="1" style="239" min="9" max="9"/>
    <col width="10.5703125" customWidth="1" style="239" min="10" max="10"/>
    <col width="9.28515625" customWidth="1" style="239" min="11" max="11"/>
    <col width="33.85546875" customWidth="1" style="239" min="12" max="12"/>
    <col width="14.7109375" customWidth="1" style="239" min="13" max="13"/>
    <col width="13.28515625" customWidth="1" style="239" min="14" max="14"/>
    <col width="9.5703125" customWidth="1" style="239" min="15" max="15"/>
    <col width="8.7109375" customWidth="1" style="239" min="16" max="48"/>
    <col width="8.7109375" customWidth="1" style="239" min="49" max="16384"/>
  </cols>
  <sheetData>
    <row r="1" ht="6" customHeight="1" s="254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54">
      <c r="A2" s="151" t="n"/>
      <c r="B2" s="266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54">
      <c r="A3" s="151" t="n"/>
      <c r="B3" s="267" t="inlineStr">
        <is>
          <t>Report Date (Yesterday's Production):</t>
        </is>
      </c>
      <c r="H3" s="26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54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54">
      <c r="A5" s="151" t="n"/>
      <c r="B5" s="269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69" t="inlineStr">
        <is>
          <t>TUBE — REJECT %</t>
        </is>
      </c>
      <c r="I5" s="158" t="n"/>
      <c r="J5" s="269" t="inlineStr">
        <is>
          <t>Dispatch — MTD</t>
        </is>
      </c>
      <c r="L5" s="190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54">
      <c r="A6" s="151" t="n"/>
      <c r="B6" s="270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SUMIF($B$11:$B$63,"TUBE",$H$11:$H$63)</f>
        <v/>
      </c>
      <c r="E6" s="270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70">
        <f>SUMIF($B$11:$B$63,"TUBE",$K$11:$K$63)</f>
        <v/>
      </c>
      <c r="L6" s="162" t="n"/>
      <c r="M6" s="195" t="inlineStr">
        <is>
          <t>Category</t>
        </is>
      </c>
      <c r="N6" s="195" t="inlineStr">
        <is>
          <t>Hours (MTD)</t>
        </is>
      </c>
      <c r="O6" s="195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54">
      <c r="A7" s="151" t="n"/>
      <c r="B7" s="271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71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2">
        <f>IFERROR(INDEX($S$9:$S$23,MATCH(LARGE($U$9:$U$23,1),$U$9:$U$23,0)),"")</f>
        <v/>
      </c>
      <c r="N7" s="173">
        <f>(IFERROR(INDEX($T$9:$T$23,MATCH(LARGE($U$9:$U$23,1),$U$9:$U$23,0)),""))/60</f>
        <v/>
      </c>
      <c r="O7" s="174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54">
      <c r="A8" s="151" t="n"/>
      <c r="B8" s="272">
        <f>SUMPRODUCT((Production_Log!$A$3:$A$8963=MAX(Production_Log!$A$3:$A$8963))*(Production_Log!$B$3:$B$8963="PF Machine")*Production_Log!$H$3:$H$8963)</f>
        <v/>
      </c>
      <c r="D8" s="166">
        <f>SUMIF($B$11:$B$63,"PET",$H$11:$H$63)</f>
        <v/>
      </c>
      <c r="E8" s="27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72">
        <f>SUMIF($B$11:$B$63,"PET",$K$11:$K$63)</f>
        <v/>
      </c>
      <c r="L8" s="168" t="n"/>
      <c r="M8" s="172">
        <f>IFERROR(INDEX($S$9:$S$23,MATCH(LARGE($U$9:$U$23,2),$U$9:$U$23,0)),"")</f>
        <v/>
      </c>
      <c r="N8" s="173">
        <f>IFERROR(INDEX($T$9:$T$23,MATCH(LARGE($U$9:$U$23,2),$U$9:$U$23,0)),"")/60</f>
        <v/>
      </c>
      <c r="O8" s="174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54">
      <c r="A9" s="151" t="n"/>
      <c r="B9" s="248" t="inlineStr">
        <is>
          <t>Summary of Production &amp; Dispatch - MTD</t>
        </is>
      </c>
      <c r="C9" s="249" t="n"/>
      <c r="D9" s="249" t="n"/>
      <c r="E9" s="249" t="n"/>
      <c r="F9" s="249" t="n"/>
      <c r="G9" s="249" t="n"/>
      <c r="H9" s="249" t="n"/>
      <c r="I9" s="249" t="n"/>
      <c r="J9" s="249" t="n"/>
      <c r="K9" s="249" t="n"/>
      <c r="L9" s="249" t="n"/>
      <c r="M9" s="172">
        <f>IFERROR(INDEX($S$9:$S$23,MATCH(LARGE($U$9:$U$23,3),$U$9:$U$23,0)),"")</f>
        <v/>
      </c>
      <c r="N9" s="173">
        <f>IFERROR(INDEX($T$9:$T$23,MATCH(LARGE($U$9:$U$23,3),$U$9:$U$23,0)),"")/60</f>
        <v/>
      </c>
      <c r="O9" s="174">
        <f>IFERROR(N9/$N$14,"")</f>
        <v/>
      </c>
      <c r="P9" s="151" t="n"/>
      <c r="Q9" s="151" t="n"/>
      <c r="R9" s="153" t="n"/>
      <c r="S9" s="184" t="inlineStr">
        <is>
          <t>Mechanical</t>
        </is>
      </c>
      <c r="T9" s="185">
        <f>SUMPRODUCT(((LEFT(Production_Log!$B$3:$B$8963,5)="Press")+(LEFT(Production_Log!$B$3:$B$8963,5)="Print"))*Production_Log!$K$3:$K$8963)</f>
        <v/>
      </c>
      <c r="U9" s="184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54">
      <c r="A10" s="151" t="n"/>
      <c r="B10" s="175" t="inlineStr">
        <is>
          <t>Type</t>
        </is>
      </c>
      <c r="C10" s="175" t="inlineStr">
        <is>
          <t>Customer</t>
        </is>
      </c>
      <c r="D10" s="175" t="inlineStr">
        <is>
          <t>Product Name</t>
        </is>
      </c>
      <c r="E10" s="175" t="inlineStr">
        <is>
          <t>Dia</t>
        </is>
      </c>
      <c r="F10" s="175" t="inlineStr">
        <is>
          <t>Prod ID</t>
        </is>
      </c>
      <c r="G10" s="175" t="inlineStr">
        <is>
          <t>Orders</t>
        </is>
      </c>
      <c r="H10" s="175" t="inlineStr">
        <is>
          <t>MTD Produced</t>
        </is>
      </c>
      <c r="I10" s="175" t="inlineStr">
        <is>
          <t>Remaining</t>
        </is>
      </c>
      <c r="J10" s="176" t="inlineStr">
        <is>
          <t>Compliance</t>
        </is>
      </c>
      <c r="K10" s="177" t="inlineStr">
        <is>
          <t>Dispatch</t>
        </is>
      </c>
      <c r="L10" s="177" t="inlineStr">
        <is>
          <t>Remarks</t>
        </is>
      </c>
      <c r="M10" s="172">
        <f>IFERROR(INDEX($S$9:$S$23,MATCH(LARGE($U$9:$U$23,4),$U$9:$U$23,0)),"")</f>
        <v/>
      </c>
      <c r="N10" s="173">
        <f>IFERROR(INDEX($T$9:$T$23,MATCH(LARGE($U$9:$U$23,4),$U$9:$U$23,0)),"")/60</f>
        <v/>
      </c>
      <c r="O10" s="174">
        <f>IFERROR(N10/$N$14,"")</f>
        <v/>
      </c>
      <c r="P10" s="151" t="n"/>
      <c r="Q10" s="151" t="n"/>
      <c r="R10" s="153" t="n"/>
      <c r="S10" s="184" t="inlineStr">
        <is>
          <t>Electrical</t>
        </is>
      </c>
      <c r="T10" s="185">
        <f>SUMPRODUCT(((LEFT(Production_Log!$B$3:$B$8963,5)="Press")+(LEFT(Production_Log!$B$3:$B$8963,5)="Print"))*Production_Log!$L$3:$L$8963)</f>
        <v/>
      </c>
      <c r="U10" s="184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7">
      <c r="A11" s="186" t="n"/>
      <c r="B11" s="299" t="inlineStr">
        <is>
          <t>TUBE</t>
        </is>
      </c>
      <c r="C11" s="300" t="inlineStr">
        <is>
          <t>Brookes Pharma Private Limited</t>
        </is>
      </c>
      <c r="D11" s="301" t="inlineStr">
        <is>
          <t>ECZEMUS OINTMENT 0.03% 10G</t>
        </is>
      </c>
      <c r="E11" s="302" t="n">
        <v>16</v>
      </c>
      <c r="F11" s="303" t="n">
        <v>6561</v>
      </c>
      <c r="G11" s="303">
        <f>IFERROR(INDEX(MRP!$F$3:$F$9,MATCH(Tubex_Dashboard!F11,MRP!$D$3:$D$9,0)),0)</f>
        <v/>
      </c>
      <c r="H11" s="304">
        <f>SUMPRODUCT((Production_Log!$F$3:$F$8963=F11)*(LEFT(Production_Log!$B$3:$B$8963,5)="Print")*(ISERROR(SEARCH("(Varnish)",Production_Log!$D$3:$D$8963)))*Production_Log!$H$3:$H$8963)</f>
        <v/>
      </c>
      <c r="I11" s="303">
        <f>G11-H11</f>
        <v/>
      </c>
      <c r="J11" s="305">
        <f>IF(G11=0,"-",H11/G11)</f>
        <v/>
      </c>
      <c r="K11" s="304" t="n"/>
      <c r="L11" s="306" t="inlineStr">
        <is>
          <t>Hold (Caps Not Approved)</t>
        </is>
      </c>
      <c r="M11" s="172">
        <f>IFERROR(INDEX($S$9:$S$23,MATCH(LARGE($U$9:$U$23,5),$U$9:$U$23,0)),"")</f>
        <v/>
      </c>
      <c r="N11" s="173">
        <f>IFERROR(INDEX($T$9:$T$23,MATCH(LARGE($U$9:$U$23,5),$U$9:$U$23,0)),"")/60</f>
        <v/>
      </c>
      <c r="O11" s="174">
        <f>IFERROR(N11/$N$14,"")</f>
        <v/>
      </c>
      <c r="P11" s="186" t="n"/>
      <c r="Q11" s="186" t="n"/>
      <c r="R11" s="186" t="n"/>
      <c r="T11" s="189" t="n"/>
      <c r="V11" s="188" t="n"/>
      <c r="W11" s="188" t="n"/>
      <c r="X11" s="188" t="n"/>
      <c r="Y11" s="188" t="n"/>
      <c r="Z11" s="188" t="n"/>
      <c r="AA11" s="188" t="n"/>
      <c r="AB11" s="188" t="n"/>
      <c r="AC11" s="188" t="n"/>
    </row>
    <row r="12" ht="16.5" customHeight="1" s="254">
      <c r="A12" s="151" t="n"/>
      <c r="B12" s="299" t="inlineStr">
        <is>
          <t>TUBE</t>
        </is>
      </c>
      <c r="C12" s="300" t="inlineStr">
        <is>
          <t>Samsol International Private Limited</t>
        </is>
      </c>
      <c r="D12" s="301" t="inlineStr">
        <is>
          <t>S 43 25MM</t>
        </is>
      </c>
      <c r="E12" s="302" t="n">
        <v>25</v>
      </c>
      <c r="F12" s="303" t="n">
        <v>3447</v>
      </c>
      <c r="G12" s="303" t="n">
        <v>30000</v>
      </c>
      <c r="H12" s="304">
        <f>SUMPRODUCT((Production_Log!$F$3:$F$8963=F12)*(LEFT(Production_Log!$B$3:$B$8963,5)="Print")*(ISERROR(SEARCH("(Varnish)",Production_Log!$D$3:$D$8963)))*Production_Log!$H$3:$H$8963)</f>
        <v/>
      </c>
      <c r="I12" s="303">
        <f>G12-H12</f>
        <v/>
      </c>
      <c r="J12" s="305">
        <f>IF(G12=0,"-",H12/G12)</f>
        <v/>
      </c>
      <c r="K12" s="304" t="n">
        <v>90048</v>
      </c>
      <c r="L12" s="306" t="inlineStr">
        <is>
          <t>120k Order, 89k Advance Production</t>
        </is>
      </c>
      <c r="M12" s="172">
        <f>IFERROR(INDEX($S$9:$S$23,MATCH(LARGE($U$9:$U$23,6),$U$9:$U$23,0)),"")</f>
        <v/>
      </c>
      <c r="N12" s="173">
        <f>IFERROR(INDEX($T$9:$T$23,MATCH(LARGE($U$9:$U$23,6),$U$9:$U$23,0)),"")/60</f>
        <v/>
      </c>
      <c r="O12" s="174">
        <f>IFERROR(N12/$N$14,"")</f>
        <v/>
      </c>
      <c r="P12" s="151" t="n"/>
      <c r="Q12" s="151" t="n"/>
      <c r="R12" s="153" t="n"/>
      <c r="S12" s="184" t="inlineStr">
        <is>
          <t>Material Shortage</t>
        </is>
      </c>
      <c r="T12" s="185">
        <f>SUMPRODUCT(((LEFT(Production_Log!$B$3:$B$8963,5)="Press")+(LEFT(Production_Log!$B$3:$B$8963,5)="Print"))*Production_Log!$M$3:$M$8963)</f>
        <v/>
      </c>
      <c r="U12" s="184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54">
      <c r="A13" s="151" t="n"/>
      <c r="B13" s="299" t="inlineStr">
        <is>
          <t>TUBE</t>
        </is>
      </c>
      <c r="C13" s="300" t="inlineStr">
        <is>
          <t>Samsol International Private Limited</t>
        </is>
      </c>
      <c r="D13" s="301" t="inlineStr">
        <is>
          <t>TUBES COMMON RED</t>
        </is>
      </c>
      <c r="E13" s="302" t="n">
        <v>25</v>
      </c>
      <c r="F13" s="303" t="n">
        <v>6470</v>
      </c>
      <c r="G13" s="303" t="n">
        <v>62000</v>
      </c>
      <c r="H13" s="304">
        <f>SUMPRODUCT((Production_Log!$F$3:$F$8963=F13)*(LEFT(Production_Log!$B$3:$B$8963,5)="Print")*(ISERROR(SEARCH("(Varnish)",Production_Log!$D$3:$D$8963)))*Production_Log!$H$3:$H$8963)</f>
        <v/>
      </c>
      <c r="I13" s="303">
        <f>G13-H13</f>
        <v/>
      </c>
      <c r="J13" s="305">
        <f>IF(G13=0,"-",H13/G13)</f>
        <v/>
      </c>
      <c r="K13" s="304" t="n"/>
      <c r="L13" s="306" t="n"/>
      <c r="M13" s="172">
        <f>IFERROR(INDEX($S$9:$S$23,MATCH(LARGE($U$9:$U$23,7),$U$9:$U$23,0)),"")</f>
        <v/>
      </c>
      <c r="N13" s="173">
        <f>IFERROR(INDEX($T$9:$T$23,MATCH(LARGE($U$9:$U$23,7),$U$9:$U$23,0)),"")/60</f>
        <v/>
      </c>
      <c r="O13" s="174">
        <f>IFERROR(N13/$N$14,"")</f>
        <v/>
      </c>
      <c r="P13" s="151" t="n"/>
      <c r="Q13" s="151" t="n"/>
      <c r="R13" s="153" t="n"/>
      <c r="S13" s="184" t="inlineStr">
        <is>
          <t>Changeover</t>
        </is>
      </c>
      <c r="T13" s="185">
        <f>SUMPRODUCT(((LEFT(Production_Log!$B$3:$B$8963,5)="Press")+(LEFT(Production_Log!$B$3:$B$8963,5)="Print"))*Production_Log!$N$3:$N$8963)</f>
        <v/>
      </c>
      <c r="U13" s="184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54">
      <c r="A14" s="151" t="n"/>
      <c r="B14" s="299" t="inlineStr">
        <is>
          <t>TUBE</t>
        </is>
      </c>
      <c r="C14" s="300" t="inlineStr">
        <is>
          <t>Samsol International Private Limited</t>
        </is>
      </c>
      <c r="D14" s="301" t="inlineStr">
        <is>
          <t>TUBE COMMON PURPLE</t>
        </is>
      </c>
      <c r="E14" s="302" t="n">
        <v>25</v>
      </c>
      <c r="F14" s="303" t="n">
        <v>6532</v>
      </c>
      <c r="G14" s="303" t="n">
        <v>30000</v>
      </c>
      <c r="H14" s="304">
        <f>SUMPRODUCT((Production_Log!$F$3:$F$8963=F14)*(LEFT(Production_Log!$B$3:$B$8963,5)="Print")*(ISERROR(SEARCH("(Varnish)",Production_Log!$D$3:$D$8963)))*Production_Log!$H$3:$H$8963)</f>
        <v/>
      </c>
      <c r="I14" s="303">
        <f>G14-H14</f>
        <v/>
      </c>
      <c r="J14" s="305">
        <f>IF(G14=0,"-",H14/G14)</f>
        <v/>
      </c>
      <c r="K14" s="304" t="n"/>
      <c r="L14" s="306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4" t="inlineStr">
        <is>
          <t>Operations</t>
        </is>
      </c>
      <c r="T14" s="185">
        <f>SUMPRODUCT(((LEFT(Production_Log!$B$3:$B$8963,5)="Press")+(LEFT(Production_Log!$B$3:$B$8963,5)="Print"))*Production_Log!$O$3:$O$8963)</f>
        <v/>
      </c>
      <c r="U14" s="184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54">
      <c r="A15" s="151" t="n"/>
      <c r="B15" s="299" t="inlineStr">
        <is>
          <t>TUBE</t>
        </is>
      </c>
      <c r="C15" s="300" t="inlineStr">
        <is>
          <t>Habib Hanif Inc</t>
        </is>
      </c>
      <c r="D15" s="301" t="inlineStr">
        <is>
          <t>S-45</t>
        </is>
      </c>
      <c r="E15" s="302" t="n">
        <v>25</v>
      </c>
      <c r="F15" s="303" t="n">
        <v>5389</v>
      </c>
      <c r="G15" s="303" t="n">
        <v>48176</v>
      </c>
      <c r="H15" s="304">
        <f>SUMPRODUCT((Production_Log!$F$3:$F$8963=F15)*(LEFT(Production_Log!$B$3:$B$8963,5)="Print")*(ISERROR(SEARCH("(Varnish)",Production_Log!$D$3:$D$8963)))*Production_Log!$H$3:$H$8963)</f>
        <v/>
      </c>
      <c r="I15" s="303">
        <f>G15-H15</f>
        <v/>
      </c>
      <c r="J15" s="305">
        <f>IF(G15=0,"-",H15/G15)</f>
        <v/>
      </c>
      <c r="K15" s="304" t="n">
        <v>44352</v>
      </c>
      <c r="L15" s="306" t="inlineStr">
        <is>
          <t>70k Order, 44k Advance Production</t>
        </is>
      </c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54">
      <c r="A16" s="151" t="n"/>
      <c r="B16" s="299" t="inlineStr">
        <is>
          <t>TUBE</t>
        </is>
      </c>
      <c r="C16" s="300" t="inlineStr">
        <is>
          <t>Golden Pearl Cosmetics (PVT) LTD</t>
        </is>
      </c>
      <c r="D16" s="301" t="inlineStr">
        <is>
          <t>HELLO HAIR COLOR</t>
        </is>
      </c>
      <c r="E16" s="302" t="n">
        <v>30</v>
      </c>
      <c r="F16" s="303" t="n">
        <v>6206</v>
      </c>
      <c r="G16" s="303">
        <f>IFERROR(INDEX(MRP!$F$3:$F$9,MATCH(Tubex_Dashboard!F16,MRP!$D$3:$D$9,0)),0)</f>
        <v/>
      </c>
      <c r="H16" s="304">
        <f>SUMPRODUCT((Production_Log!$F$3:$F$8963=F16)*(LEFT(Production_Log!$B$3:$B$8963,5)="Print")*(ISERROR(SEARCH("(Varnish)",Production_Log!$D$3:$D$8963)))*Production_Log!$H$3:$H$8963)</f>
        <v/>
      </c>
      <c r="I16" s="303">
        <f>G16-H16</f>
        <v/>
      </c>
      <c r="J16" s="305">
        <f>IF(G16=0,"-",H16/G16)</f>
        <v/>
      </c>
      <c r="K16" s="304" t="n"/>
      <c r="L16" s="306" t="inlineStr">
        <is>
          <t>Advance Production</t>
        </is>
      </c>
      <c r="M16" s="151" t="n"/>
      <c r="N16" s="151" t="n"/>
      <c r="O16" s="151" t="n"/>
      <c r="P16" s="151" t="n"/>
      <c r="Q16" s="151" t="n"/>
      <c r="R16" s="151" t="n"/>
      <c r="S16" s="184" t="inlineStr">
        <is>
          <t>Power Shutdown</t>
        </is>
      </c>
      <c r="T16" s="185">
        <f>SUMPRODUCT(((LEFT(Production_Log!$B$3:$B$8963,5)="Press")+(LEFT(Production_Log!$B$3:$B$8963,5)="Print"))*Production_Log!$P$3:$P$8963)</f>
        <v/>
      </c>
      <c r="U16" s="184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54">
      <c r="A17" s="151" t="n"/>
      <c r="B17" s="299" t="inlineStr">
        <is>
          <t>TUBE</t>
        </is>
      </c>
      <c r="C17" s="300" t="inlineStr">
        <is>
          <t>Mablay Beauty PVT LTD.</t>
        </is>
      </c>
      <c r="D17" s="301" t="inlineStr">
        <is>
          <t>VINCE NURTURAL</t>
        </is>
      </c>
      <c r="E17" s="302" t="n">
        <v>30</v>
      </c>
      <c r="F17" s="303" t="n">
        <v>5814</v>
      </c>
      <c r="G17" s="303">
        <f>IFERROR(INDEX(MRP!$F$3:$F$9,MATCH(Tubex_Dashboard!F17,MRP!$D$3:$D$9,0)),0)</f>
        <v/>
      </c>
      <c r="H17" s="304">
        <f>SUMPRODUCT((Production_Log!$F$3:$F$8963=F17)*(LEFT(Production_Log!$B$3:$B$8963,5)="Print")*(ISERROR(SEARCH("(Varnish)",Production_Log!$D$3:$D$8963)))*Production_Log!$H$3:$H$8963)</f>
        <v/>
      </c>
      <c r="I17" s="303">
        <f>G17-H17</f>
        <v/>
      </c>
      <c r="J17" s="305">
        <f>IF(G17=0,"-",H17/G17)</f>
        <v/>
      </c>
      <c r="K17" s="304" t="n"/>
      <c r="L17" s="306" t="n"/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54">
      <c r="A18" s="151" t="n"/>
      <c r="B18" s="299" t="inlineStr">
        <is>
          <t>TUBE</t>
        </is>
      </c>
      <c r="C18" s="300" t="inlineStr">
        <is>
          <t>Adore</t>
        </is>
      </c>
      <c r="D18" s="301" t="inlineStr">
        <is>
          <t>V- HC BROWN</t>
        </is>
      </c>
      <c r="E18" s="302" t="n">
        <v>35</v>
      </c>
      <c r="F18" s="303" t="n">
        <v>6530</v>
      </c>
      <c r="G18" s="303">
        <f>IFERROR(INDEX(MRP!$F$3:$F$9,MATCH(Tubex_Dashboard!F18,MRP!$D$3:$D$9,0)),0)</f>
        <v/>
      </c>
      <c r="H18" s="304">
        <f>SUMPRODUCT((Production_Log!$F$3:$F$8963=F18)*(LEFT(Production_Log!$B$3:$B$8963,5)="Print")*(ISERROR(SEARCH("(Varnish)",Production_Log!$D$3:$D$8963)))*Production_Log!$H$3:$H$8963)</f>
        <v/>
      </c>
      <c r="I18" s="303">
        <f>G18-H18</f>
        <v/>
      </c>
      <c r="J18" s="305">
        <f>IF(G18=0,"-",H18/G18)</f>
        <v/>
      </c>
      <c r="K18" s="304" t="n"/>
      <c r="L18" s="306" t="inlineStr">
        <is>
          <t xml:space="preserve">Hold </t>
        </is>
      </c>
      <c r="P18" s="151" t="n"/>
      <c r="Q18" s="151" t="n"/>
      <c r="R18" s="151" t="n"/>
      <c r="S18" s="184" t="inlineStr">
        <is>
          <t>Gas Shutdown</t>
        </is>
      </c>
      <c r="T18" s="185">
        <f>SUMPRODUCT(((LEFT(Production_Log!$B$3:$B$8963,5)="Press")+(LEFT(Production_Log!$B$3:$B$8963,5)="Print"))*Production_Log!$Q$3:$Q$8963)</f>
        <v/>
      </c>
      <c r="U18" s="184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54">
      <c r="A19" s="151" t="n"/>
      <c r="B19" s="307" t="n"/>
      <c r="C19" s="308" t="n"/>
      <c r="D19" s="309" t="inlineStr">
        <is>
          <t>TOTAL</t>
        </is>
      </c>
      <c r="E19" s="307" t="n"/>
      <c r="F19" s="308" t="n"/>
      <c r="G19" s="310">
        <f>SUM(G11:G18)</f>
        <v/>
      </c>
      <c r="H19" s="310">
        <f>SUM(H11:H18)</f>
        <v/>
      </c>
      <c r="I19" s="310">
        <f>SUMIF(I11:I18,"&gt;"&amp;0)</f>
        <v/>
      </c>
      <c r="J19" s="310" t="n"/>
      <c r="K19" s="310">
        <f>SUM(K11:K18)</f>
        <v/>
      </c>
      <c r="L19" s="310" t="n"/>
      <c r="M19" s="151" t="n"/>
      <c r="N19" s="151" t="n"/>
      <c r="O19" s="151" t="n"/>
      <c r="P19" s="151" t="n"/>
      <c r="Q19" s="151" t="n"/>
      <c r="R19" s="153" t="n"/>
      <c r="S19" s="184" t="inlineStr">
        <is>
          <t>Workers Shortage</t>
        </is>
      </c>
      <c r="T19" s="185">
        <f>SUMPRODUCT(((LEFT(Production_Log!$B$3:$B$8963,5)="Press")+(LEFT(Production_Log!$B$3:$B$8963,5)="Print"))*Production_Log!$R$3:$R$8963)</f>
        <v/>
      </c>
      <c r="U19" s="184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54">
      <c r="A20" s="151" t="n"/>
      <c r="B20" s="299" t="inlineStr">
        <is>
          <t>PET</t>
        </is>
      </c>
      <c r="C20" s="300" t="inlineStr">
        <is>
          <t>Samsol International Private Limited</t>
        </is>
      </c>
      <c r="D20" s="301" t="inlineStr">
        <is>
          <t>PET BOTTLE SMALL (120ML) YELLOW</t>
        </is>
      </c>
      <c r="E20" s="302" t="inlineStr">
        <is>
          <t>120 ml</t>
        </is>
      </c>
      <c r="F20" s="303" t="n">
        <v>8005</v>
      </c>
      <c r="G20" s="303" t="n">
        <v>19840</v>
      </c>
      <c r="H20" s="304">
        <f>SUMPRODUCT((Production_Log!$F$3:$F$8963=F20)*Production_Log!$H$3:$H$8963)</f>
        <v/>
      </c>
      <c r="I20" s="303">
        <f>G20-H20</f>
        <v/>
      </c>
      <c r="J20" s="305">
        <f>IF(G20=0,"-",H20/G20)</f>
        <v/>
      </c>
      <c r="K20" s="304" t="n"/>
      <c r="L20" s="306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54">
      <c r="A21" s="151" t="n"/>
      <c r="B21" s="299" t="inlineStr">
        <is>
          <t>PET</t>
        </is>
      </c>
      <c r="C21" s="300" t="inlineStr">
        <is>
          <t>Alpha Labs PVT LTD</t>
        </is>
      </c>
      <c r="D21" s="301" t="inlineStr">
        <is>
          <t>TRANSPARENT BOTTLE 150ML</t>
        </is>
      </c>
      <c r="E21" s="302" t="inlineStr">
        <is>
          <t>150 ml</t>
        </is>
      </c>
      <c r="F21" s="303" t="n">
        <v>8001</v>
      </c>
      <c r="G21" s="303" t="n">
        <v>249997</v>
      </c>
      <c r="H21" s="304">
        <f>SUMPRODUCT((Production_Log!$F$3:$F$8963=F21)*Production_Log!$H$3:$H$8963)</f>
        <v/>
      </c>
      <c r="I21" s="303">
        <f>G21-H21</f>
        <v/>
      </c>
      <c r="J21" s="305">
        <f>IF(G21=0,"-",H21/G21)</f>
        <v/>
      </c>
      <c r="K21" s="304" t="n">
        <v>63480</v>
      </c>
      <c r="L21" s="306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54">
      <c r="A22" s="151" t="n"/>
      <c r="B22" s="299" t="inlineStr">
        <is>
          <t>PET</t>
        </is>
      </c>
      <c r="C22" s="300" t="inlineStr">
        <is>
          <t>Samsol International Private Limited</t>
        </is>
      </c>
      <c r="D22" s="301" t="inlineStr">
        <is>
          <t>PET BOTTLE LARGE 200ML WHITE</t>
        </is>
      </c>
      <c r="E22" s="302" t="inlineStr">
        <is>
          <t>200 ml</t>
        </is>
      </c>
      <c r="F22" s="303" t="n">
        <v>8007</v>
      </c>
      <c r="G22" s="303" t="n">
        <v>10000</v>
      </c>
      <c r="H22" s="304">
        <f>SUMPRODUCT((Production_Log!$F$3:$F$8963=F22)*Production_Log!$H$3:$H$8963)</f>
        <v/>
      </c>
      <c r="I22" s="303">
        <f>G22-H22</f>
        <v/>
      </c>
      <c r="J22" s="305">
        <f>IF(G22=0,"-",H22/G22)</f>
        <v/>
      </c>
      <c r="K22" s="304" t="n"/>
      <c r="L22" s="306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54">
      <c r="A23" s="151" t="n"/>
      <c r="B23" s="299" t="inlineStr">
        <is>
          <t>PET</t>
        </is>
      </c>
      <c r="C23" s="300" t="inlineStr">
        <is>
          <t>Samsol International Private Limited</t>
        </is>
      </c>
      <c r="D23" s="301" t="inlineStr">
        <is>
          <t>BT-200 ML YELLOW</t>
        </is>
      </c>
      <c r="E23" s="302" t="inlineStr">
        <is>
          <t>200 ml</t>
        </is>
      </c>
      <c r="F23" s="303" t="n">
        <v>8006</v>
      </c>
      <c r="G23" s="303" t="n">
        <v>42400</v>
      </c>
      <c r="H23" s="304">
        <f>SUMPRODUCT((Production_Log!$F$3:$F$8963=F23)*Production_Log!$H$3:$H$8963)</f>
        <v/>
      </c>
      <c r="I23" s="303">
        <f>G23-H23</f>
        <v/>
      </c>
      <c r="J23" s="305">
        <f>IF(G23=0,"-",H23/G23)</f>
        <v/>
      </c>
      <c r="K23" s="304" t="n"/>
      <c r="L23" s="306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54">
      <c r="A24" s="151" t="n"/>
      <c r="B24" s="299" t="inlineStr">
        <is>
          <t>PET</t>
        </is>
      </c>
      <c r="C24" s="300" t="inlineStr">
        <is>
          <t>Samsol International Private Limited</t>
        </is>
      </c>
      <c r="D24" s="301" t="inlineStr">
        <is>
          <t>BT-200ML MUSTARD OIL (TRANSPARENT)</t>
        </is>
      </c>
      <c r="E24" s="302" t="inlineStr">
        <is>
          <t>200 ml</t>
        </is>
      </c>
      <c r="F24" s="303" t="n">
        <v>8014</v>
      </c>
      <c r="G24" s="303" t="n">
        <v>10000</v>
      </c>
      <c r="H24" s="304">
        <f>SUMPRODUCT((Production_Log!$F$3:$F$8963=F24)*Production_Log!$H$3:$H$8963)</f>
        <v/>
      </c>
      <c r="I24" s="303">
        <f>G24-H24</f>
        <v/>
      </c>
      <c r="J24" s="305">
        <f>IF(G24=0,"-",H24/G24)</f>
        <v/>
      </c>
      <c r="K24" s="304" t="n"/>
      <c r="L24" s="306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54">
      <c r="A25" s="151" t="n"/>
      <c r="B25" s="307" t="n"/>
      <c r="C25" s="308" t="n"/>
      <c r="D25" s="309" t="inlineStr">
        <is>
          <t>TOTAL</t>
        </is>
      </c>
      <c r="E25" s="307" t="n"/>
      <c r="F25" s="308" t="n"/>
      <c r="G25" s="310">
        <f>SUM(G20:G24)</f>
        <v/>
      </c>
      <c r="H25" s="310">
        <f>SUM(H20:H24)</f>
        <v/>
      </c>
      <c r="I25" s="310">
        <f>SUMIF(I20:I24,"&gt;"&amp;0)</f>
        <v/>
      </c>
      <c r="J25" s="310" t="n"/>
      <c r="K25" s="310">
        <f>SUM(K20:K24)</f>
        <v/>
      </c>
      <c r="L25" s="310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54">
      <c r="A26" s="151" t="n"/>
      <c r="B26" s="299" t="inlineStr">
        <is>
          <t>TUBE</t>
        </is>
      </c>
      <c r="C26" s="300" t="inlineStr">
        <is>
          <t>Bahadur</t>
        </is>
      </c>
      <c r="D26" s="301" t="inlineStr">
        <is>
          <t>BAHADUR TUBE 12.5MM</t>
        </is>
      </c>
      <c r="E26" s="302" t="n">
        <v>12.5</v>
      </c>
      <c r="F26" s="303" t="n">
        <v>9004</v>
      </c>
      <c r="G26" s="303" t="n">
        <v>0</v>
      </c>
      <c r="H26" s="304">
        <f>SUMPRODUCT((Production_Log!$F$3:$F$8963=F26)*(LEFT(Production_Log!$B$3:$B$8963,5)="Print")*(ISERROR(SEARCH("(Varnish)",Production_Log!$D$3:$D$8963)))*Production_Log!$H$3:$H$8963)</f>
        <v/>
      </c>
      <c r="I26" s="303">
        <f>G26-H26</f>
        <v/>
      </c>
      <c r="J26" s="305">
        <f>IF(G26=0,"-",H26/G26)</f>
        <v/>
      </c>
      <c r="K26" s="304" t="n"/>
      <c r="L26" s="306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54">
      <c r="A27" s="151" t="n"/>
      <c r="B27" s="299" t="inlineStr">
        <is>
          <t>TUBE</t>
        </is>
      </c>
      <c r="C27" s="300" t="inlineStr">
        <is>
          <t>Samsol International Private Limited</t>
        </is>
      </c>
      <c r="D27" s="301" t="inlineStr">
        <is>
          <t>S-45 DIA 19MM</t>
        </is>
      </c>
      <c r="E27" s="302" t="n">
        <v>19</v>
      </c>
      <c r="F27" s="303" t="n">
        <v>6624</v>
      </c>
      <c r="G27" s="303" t="n">
        <v>0</v>
      </c>
      <c r="H27" s="304">
        <f>SUMPRODUCT((Production_Log!$F$3:$F$8963=F27)*(LEFT(Production_Log!$B$3:$B$8963,5)="Print")*(ISERROR(SEARCH("(Varnish)",Production_Log!$D$3:$D$8963)))*Production_Log!$H$3:$H$8963)</f>
        <v/>
      </c>
      <c r="I27" s="303">
        <f>G27-H27</f>
        <v/>
      </c>
      <c r="J27" s="305">
        <f>IF(G27=0,"-",H27/G27)</f>
        <v/>
      </c>
      <c r="K27" s="304" t="n"/>
      <c r="L27" s="306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54">
      <c r="A28" s="151" t="n"/>
      <c r="B28" s="299" t="inlineStr">
        <is>
          <t>TUBE</t>
        </is>
      </c>
      <c r="C28" s="300" t="inlineStr">
        <is>
          <t>Samsol International Private Limited</t>
        </is>
      </c>
      <c r="D28" s="301" t="inlineStr">
        <is>
          <t>S-43 DIA 19MM</t>
        </is>
      </c>
      <c r="E28" s="302" t="n">
        <v>19</v>
      </c>
      <c r="F28" s="303" t="n">
        <v>6623</v>
      </c>
      <c r="G28" s="303" t="n">
        <v>0</v>
      </c>
      <c r="H28" s="304">
        <f>SUMPRODUCT((Production_Log!$F$3:$F$8963=F28)*(LEFT(Production_Log!$B$3:$B$8963,5)="Print")*(ISERROR(SEARCH("(Varnish)",Production_Log!$D$3:$D$8963)))*Production_Log!$H$3:$H$8963)</f>
        <v/>
      </c>
      <c r="I28" s="303">
        <f>G28-H28</f>
        <v/>
      </c>
      <c r="J28" s="305">
        <f>IF(G28=0,"-",H28/G28)</f>
        <v/>
      </c>
      <c r="K28" s="304" t="n"/>
      <c r="L28" s="306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54">
      <c r="A29" s="151" t="n"/>
      <c r="B29" s="299" t="inlineStr">
        <is>
          <t>TUBE</t>
        </is>
      </c>
      <c r="C29" s="300" t="inlineStr">
        <is>
          <t>Brookes Pharma Private Limited</t>
        </is>
      </c>
      <c r="D29" s="301" t="inlineStr">
        <is>
          <t>PHLOGIN GEL 20G</t>
        </is>
      </c>
      <c r="E29" s="302" t="n">
        <v>19</v>
      </c>
      <c r="F29" s="303" t="n">
        <v>6559</v>
      </c>
      <c r="G29" s="303" t="n">
        <v>0</v>
      </c>
      <c r="H29" s="304">
        <f>SUMPRODUCT((Production_Log!$F$3:$F$8963=F29)*(LEFT(Production_Log!$B$3:$B$8963,5)="Print")*(ISERROR(SEARCH("(Varnish)",Production_Log!$D$3:$D$8963)))*Production_Log!$H$3:$H$8963)</f>
        <v/>
      </c>
      <c r="I29" s="303">
        <f>G29-H29</f>
        <v/>
      </c>
      <c r="J29" s="305">
        <f>IF(G29=0,"-",H29/G29)</f>
        <v/>
      </c>
      <c r="K29" s="304" t="n"/>
      <c r="L29" s="306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54">
      <c r="A30" s="151" t="n"/>
      <c r="B30" s="299" t="inlineStr">
        <is>
          <t>TUBE</t>
        </is>
      </c>
      <c r="C30" s="300" t="inlineStr">
        <is>
          <t>Brookes Pharma Private Limited</t>
        </is>
      </c>
      <c r="D30" s="301" t="inlineStr">
        <is>
          <t>PYODINE GEL 20GM</t>
        </is>
      </c>
      <c r="E30" s="302" t="n">
        <v>19</v>
      </c>
      <c r="F30" s="303" t="n">
        <v>1085</v>
      </c>
      <c r="G30" s="303" t="n">
        <v>0</v>
      </c>
      <c r="H30" s="304">
        <f>SUMPRODUCT((Production_Log!$F$3:$F$8963=F30)*(LEFT(Production_Log!$B$3:$B$8963,5)="Print")*(ISERROR(SEARCH("(Varnish)",Production_Log!$D$3:$D$8963)))*Production_Log!$H$3:$H$8963)</f>
        <v/>
      </c>
      <c r="I30" s="303">
        <f>G30-H30</f>
        <v/>
      </c>
      <c r="J30" s="305">
        <f>IF(G30=0,"-",H30/G30)</f>
        <v/>
      </c>
      <c r="K30" s="304" t="n"/>
      <c r="L30" s="306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54">
      <c r="A31" s="151" t="n"/>
      <c r="B31" s="299" t="inlineStr">
        <is>
          <t>TUBE</t>
        </is>
      </c>
      <c r="C31" s="300" t="inlineStr">
        <is>
          <t>Brookes Pharma Private Limited</t>
        </is>
      </c>
      <c r="D31" s="301" t="inlineStr">
        <is>
          <t>CONTRATUBEX GEL 20G</t>
        </is>
      </c>
      <c r="E31" s="302" t="n">
        <v>19</v>
      </c>
      <c r="F31" s="303" t="n">
        <v>6560</v>
      </c>
      <c r="G31" s="303" t="n">
        <v>0</v>
      </c>
      <c r="H31" s="304">
        <f>SUMPRODUCT((Production_Log!$F$3:$F$8963=F31)*(LEFT(Production_Log!$B$3:$B$8963,5)="Print")*(ISERROR(SEARCH("(Varnish)",Production_Log!$D$3:$D$8963)))*Production_Log!$H$3:$H$8963)</f>
        <v/>
      </c>
      <c r="I31" s="303">
        <f>G31-H31</f>
        <v/>
      </c>
      <c r="J31" s="305">
        <f>IF(G31=0,"-",H31/G31)</f>
        <v/>
      </c>
      <c r="K31" s="304" t="n"/>
      <c r="L31" s="306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54">
      <c r="A32" s="151" t="n"/>
      <c r="B32" s="299" t="inlineStr">
        <is>
          <t>TUBE</t>
        </is>
      </c>
      <c r="C32" s="300" t="inlineStr">
        <is>
          <t>Samsol International Private Limited</t>
        </is>
      </c>
      <c r="D32" s="301" t="inlineStr">
        <is>
          <t>S-43 DIA 20.5</t>
        </is>
      </c>
      <c r="E32" s="302" t="n">
        <v>20.5</v>
      </c>
      <c r="F32" s="303" t="n">
        <v>5699</v>
      </c>
      <c r="G32" s="303" t="n">
        <v>0</v>
      </c>
      <c r="H32" s="304">
        <f>SUMPRODUCT((Production_Log!$F$3:$F$8963=F32)*(LEFT(Production_Log!$B$3:$B$8963,5)="Print")*(ISERROR(SEARCH("(Varnish)",Production_Log!$D$3:$D$8963)))*Production_Log!$H$3:$H$8963)</f>
        <v/>
      </c>
      <c r="I32" s="303">
        <f>G32-H32</f>
        <v/>
      </c>
      <c r="J32" s="305">
        <f>IF(G32=0,"-",H32/G32)</f>
        <v/>
      </c>
      <c r="K32" s="304" t="n"/>
      <c r="L32" s="306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54">
      <c r="A33" s="151" t="n"/>
      <c r="B33" s="299" t="inlineStr">
        <is>
          <t>TUBE</t>
        </is>
      </c>
      <c r="C33" s="300" t="inlineStr">
        <is>
          <t>Mablay Beauty PVT LTD.</t>
        </is>
      </c>
      <c r="D33" s="301" t="inlineStr">
        <is>
          <t>VINCE HIS ONLY BEARD &amp; MUSTACHE COLOR CREAM</t>
        </is>
      </c>
      <c r="E33" s="302" t="n">
        <v>20.5</v>
      </c>
      <c r="F33" s="303" t="n">
        <v>6077</v>
      </c>
      <c r="G33" s="303" t="n">
        <v>0</v>
      </c>
      <c r="H33" s="304">
        <f>SUMPRODUCT((Production_Log!$F$3:$F$8963=F33)*(LEFT(Production_Log!$B$3:$B$8963,5)="Print")*(ISERROR(SEARCH("(Varnish)",Production_Log!$D$3:$D$8963)))*Production_Log!$H$3:$H$8963)</f>
        <v/>
      </c>
      <c r="I33" s="303">
        <f>G33-H33</f>
        <v/>
      </c>
      <c r="J33" s="305">
        <f>IF(G33=0,"-",H33/G33)</f>
        <v/>
      </c>
      <c r="K33" s="304" t="n"/>
      <c r="L33" s="306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54">
      <c r="A34" s="151" t="n"/>
      <c r="B34" s="299" t="inlineStr">
        <is>
          <t>TUBE</t>
        </is>
      </c>
      <c r="C34" s="300" t="inlineStr">
        <is>
          <t>Samsol International Private Limited</t>
        </is>
      </c>
      <c r="D34" s="301" t="inlineStr">
        <is>
          <t>S-45 DIA 20.5</t>
        </is>
      </c>
      <c r="E34" s="302" t="n">
        <v>20.5</v>
      </c>
      <c r="F34" s="303" t="n">
        <v>5698</v>
      </c>
      <c r="G34" s="303" t="n">
        <v>0</v>
      </c>
      <c r="H34" s="304">
        <f>SUMPRODUCT((Production_Log!$F$3:$F$8963=F34)*(LEFT(Production_Log!$B$3:$B$8963,5)="Print")*(ISERROR(SEARCH("(Varnish)",Production_Log!$D$3:$D$8963)))*Production_Log!$H$3:$H$8963)</f>
        <v/>
      </c>
      <c r="I34" s="303">
        <f>G34-H34</f>
        <v/>
      </c>
      <c r="J34" s="305">
        <f>IF(G34=0,"-",H34/G34)</f>
        <v/>
      </c>
      <c r="K34" s="304" t="n"/>
      <c r="L34" s="306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54">
      <c r="A35" s="151" t="n"/>
      <c r="B35" s="299" t="inlineStr">
        <is>
          <t>TUBE</t>
        </is>
      </c>
      <c r="C35" s="300" t="inlineStr">
        <is>
          <t>Samsol International Private Limited</t>
        </is>
      </c>
      <c r="D35" s="301" t="inlineStr">
        <is>
          <t>SAMSOL HAIR COLOR 45 DIA 20.5 MM</t>
        </is>
      </c>
      <c r="E35" s="302" t="n">
        <v>20.5</v>
      </c>
      <c r="F35" s="303" t="n">
        <v>5731</v>
      </c>
      <c r="G35" s="303" t="n">
        <v>0</v>
      </c>
      <c r="H35" s="304">
        <f>SUMPRODUCT((Production_Log!$F$3:$F$8963=F35)*(LEFT(Production_Log!$B$3:$B$8963,5)="Print")*(ISERROR(SEARCH("(Varnish)",Production_Log!$D$3:$D$8963)))*Production_Log!$H$3:$H$8963)</f>
        <v/>
      </c>
      <c r="I35" s="303">
        <f>G35-H35</f>
        <v/>
      </c>
      <c r="J35" s="305">
        <f>IF(G35=0,"-",H35/G35)</f>
        <v/>
      </c>
      <c r="K35" s="304" t="n"/>
      <c r="L35" s="306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54">
      <c r="A36" s="151" t="n"/>
      <c r="B36" s="299" t="inlineStr">
        <is>
          <t>TUBE</t>
        </is>
      </c>
      <c r="C36" s="300" t="inlineStr">
        <is>
          <t>Samsol International Private Limited</t>
        </is>
      </c>
      <c r="D36" s="301" t="inlineStr">
        <is>
          <t>SAMSOL HAIR COLOR 43 DIA 20.5 MM</t>
        </is>
      </c>
      <c r="E36" s="302" t="n">
        <v>20.5</v>
      </c>
      <c r="F36" s="303" t="n">
        <v>5732</v>
      </c>
      <c r="G36" s="303" t="n">
        <v>0</v>
      </c>
      <c r="H36" s="304">
        <f>SUMPRODUCT((Production_Log!$F$3:$F$8963=F36)*(LEFT(Production_Log!$B$3:$B$8963,5)="Print")*(ISERROR(SEARCH("(Varnish)",Production_Log!$D$3:$D$8963)))*Production_Log!$H$3:$H$8963)</f>
        <v/>
      </c>
      <c r="I36" s="303">
        <f>G36-H36</f>
        <v/>
      </c>
      <c r="J36" s="305">
        <f>IF(G36=0,"-",H36/G36)</f>
        <v/>
      </c>
      <c r="K36" s="304" t="n"/>
      <c r="L36" s="306" t="n"/>
      <c r="P36" s="151" t="n"/>
      <c r="Q36" s="151" t="n"/>
      <c r="R36" s="151" t="n"/>
      <c r="S36" s="239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39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54">
      <c r="A37" s="151" t="n"/>
      <c r="B37" s="299" t="inlineStr">
        <is>
          <t>TUBE</t>
        </is>
      </c>
      <c r="C37" s="300" t="inlineStr">
        <is>
          <t>Samsol International Private Limited</t>
        </is>
      </c>
      <c r="D37" s="301" t="inlineStr">
        <is>
          <t>SAMSOL HAIR COLOR 39 SMALL PURPLE</t>
        </is>
      </c>
      <c r="E37" s="302" t="n">
        <v>20.5</v>
      </c>
      <c r="F37" s="303" t="n">
        <v>6556</v>
      </c>
      <c r="G37" s="303" t="n">
        <v>0</v>
      </c>
      <c r="H37" s="304">
        <f>SUMPRODUCT((Production_Log!$F$3:$F$8963=F37)*(LEFT(Production_Log!$B$3:$B$8963,5)="Print")*(ISERROR(SEARCH("(Varnish)",Production_Log!$D$3:$D$8963)))*Production_Log!$H$3:$H$8963)</f>
        <v/>
      </c>
      <c r="I37" s="303">
        <f>G37-H37</f>
        <v/>
      </c>
      <c r="J37" s="305">
        <f>IF(G37=0,"-",H37/G37)</f>
        <v/>
      </c>
      <c r="K37" s="304" t="n"/>
      <c r="L37" s="306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54">
      <c r="A38" s="151" t="n"/>
      <c r="B38" s="299" t="inlineStr">
        <is>
          <t>TUBE</t>
        </is>
      </c>
      <c r="C38" s="300" t="inlineStr">
        <is>
          <t>Samsol International Private Limited</t>
        </is>
      </c>
      <c r="D38" s="301" t="inlineStr">
        <is>
          <t>SAMSOL HAIR COLOR 41 SMALL PURPLE</t>
        </is>
      </c>
      <c r="E38" s="302" t="n">
        <v>20.5</v>
      </c>
      <c r="F38" s="303" t="n">
        <v>6557</v>
      </c>
      <c r="G38" s="303" t="n">
        <v>0</v>
      </c>
      <c r="H38" s="304">
        <f>SUMPRODUCT((Production_Log!$F$3:$F$8963=F38)*(LEFT(Production_Log!$B$3:$B$8963,5)="Print")*(ISERROR(SEARCH("(Varnish)",Production_Log!$D$3:$D$8963)))*Production_Log!$H$3:$H$8963)</f>
        <v/>
      </c>
      <c r="I38" s="303">
        <f>G38-H38</f>
        <v/>
      </c>
      <c r="J38" s="305">
        <f>IF(G38=0,"-",H38/G38)</f>
        <v/>
      </c>
      <c r="K38" s="304" t="n"/>
      <c r="L38" s="306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54">
      <c r="A39" s="151" t="n"/>
      <c r="B39" s="299" t="inlineStr">
        <is>
          <t>TUBE</t>
        </is>
      </c>
      <c r="C39" s="300" t="inlineStr">
        <is>
          <t>Samsol International Private Limited</t>
        </is>
      </c>
      <c r="D39" s="301" t="inlineStr">
        <is>
          <t>TUBES</t>
        </is>
      </c>
      <c r="E39" s="302" t="n">
        <v>25</v>
      </c>
      <c r="F39" s="303" t="n">
        <v>3726</v>
      </c>
      <c r="G39" s="303" t="n">
        <v>0</v>
      </c>
      <c r="H39" s="304">
        <f>SUMPRODUCT((Production_Log!$F$3:$F$8963=F39)*(LEFT(Production_Log!$B$3:$B$8963,5)="Print")*(ISERROR(SEARCH("(Varnish)",Production_Log!$D$3:$D$8963)))*Production_Log!$H$3:$H$8963)</f>
        <v/>
      </c>
      <c r="I39" s="303">
        <f>G39-H39</f>
        <v/>
      </c>
      <c r="J39" s="305">
        <f>IF(G39=0,"-",H39/G39)</f>
        <v/>
      </c>
      <c r="K39" s="304" t="n"/>
      <c r="L39" s="306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54">
      <c r="A40" s="151" t="n"/>
      <c r="B40" s="299" t="inlineStr">
        <is>
          <t>TUBE</t>
        </is>
      </c>
      <c r="C40" s="300" t="inlineStr">
        <is>
          <t>Mablay Beauty PVT LTD.</t>
        </is>
      </c>
      <c r="D40" s="301" t="inlineStr">
        <is>
          <t>HIS ONLY HAIR COLOR CREAM 40GM</t>
        </is>
      </c>
      <c r="E40" s="302" t="n">
        <v>25</v>
      </c>
      <c r="F40" s="303" t="n">
        <v>6228</v>
      </c>
      <c r="G40" s="303" t="n">
        <v>0</v>
      </c>
      <c r="H40" s="304">
        <f>SUMPRODUCT((Production_Log!$F$3:$F$8963=F40)*(LEFT(Production_Log!$B$3:$B$8963,5)="Print")*(ISERROR(SEARCH("(Varnish)",Production_Log!$D$3:$D$8963)))*Production_Log!$H$3:$H$8963)</f>
        <v/>
      </c>
      <c r="I40" s="303">
        <f>G40-H40</f>
        <v/>
      </c>
      <c r="J40" s="305">
        <f>IF(G40=0,"-",H40/G40)</f>
        <v/>
      </c>
      <c r="K40" s="304" t="n"/>
      <c r="L40" s="306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54">
      <c r="A41" s="151" t="n"/>
      <c r="B41" s="299" t="inlineStr">
        <is>
          <t>TUBE</t>
        </is>
      </c>
      <c r="C41" s="300" t="inlineStr">
        <is>
          <t>DTM</t>
        </is>
      </c>
      <c r="D41" s="301" t="inlineStr">
        <is>
          <t>DTM DIA 25MM</t>
        </is>
      </c>
      <c r="E41" s="302" t="n">
        <v>25</v>
      </c>
      <c r="F41" s="303" t="n">
        <v>6338</v>
      </c>
      <c r="G41" s="303" t="n">
        <v>0</v>
      </c>
      <c r="H41" s="304">
        <f>SUMPRODUCT((Production_Log!$F$3:$F$8963=F41)*(LEFT(Production_Log!$B$3:$B$8963,5)="Print")*(ISERROR(SEARCH("(Varnish)",Production_Log!$D$3:$D$8963)))*Production_Log!$H$3:$H$8963)</f>
        <v/>
      </c>
      <c r="I41" s="303">
        <f>G41-H41</f>
        <v/>
      </c>
      <c r="J41" s="305">
        <f>IF(G41=0,"-",H41/G41)</f>
        <v/>
      </c>
      <c r="K41" s="304" t="n"/>
      <c r="L41" s="306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54">
      <c r="A42" s="151" t="n"/>
      <c r="B42" s="299" t="inlineStr">
        <is>
          <t>TUBE</t>
        </is>
      </c>
      <c r="C42" s="300" t="inlineStr">
        <is>
          <t>Samsol International Private Limited</t>
        </is>
      </c>
      <c r="D42" s="301" t="inlineStr">
        <is>
          <t>TUBES MEN BLUE</t>
        </is>
      </c>
      <c r="E42" s="302" t="n">
        <v>25</v>
      </c>
      <c r="F42" s="303" t="n">
        <v>6506</v>
      </c>
      <c r="G42" s="303" t="n">
        <v>0</v>
      </c>
      <c r="H42" s="304">
        <f>SUMPRODUCT((Production_Log!$F$3:$F$8963=F42)*(LEFT(Production_Log!$B$3:$B$8963,5)="Print")*(ISERROR(SEARCH("(Varnish)",Production_Log!$D$3:$D$8963)))*Production_Log!$H$3:$H$8963)</f>
        <v/>
      </c>
      <c r="I42" s="303">
        <f>G42-H42</f>
        <v/>
      </c>
      <c r="J42" s="305">
        <f>IF(G42=0,"-",H42/G42)</f>
        <v/>
      </c>
      <c r="K42" s="304" t="n"/>
      <c r="L42" s="306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54">
      <c r="A43" s="151" t="n"/>
      <c r="B43" s="299" t="inlineStr">
        <is>
          <t>TUBE</t>
        </is>
      </c>
      <c r="C43" s="300" t="inlineStr">
        <is>
          <t>Samsol International Private Limited</t>
        </is>
      </c>
      <c r="D43" s="301" t="inlineStr">
        <is>
          <t>SAMSOL RED 25MM</t>
        </is>
      </c>
      <c r="E43" s="302" t="n">
        <v>25</v>
      </c>
      <c r="F43" s="303" t="n">
        <v>9006</v>
      </c>
      <c r="G43" s="303" t="n">
        <v>0</v>
      </c>
      <c r="H43" s="304">
        <f>SUMPRODUCT((Production_Log!$F$3:$F$8963=F43)*(LEFT(Production_Log!$B$3:$B$8963,5)="Print")*(ISERROR(SEARCH("(Varnish)",Production_Log!$D$3:$D$8963)))*Production_Log!$H$3:$H$8963)</f>
        <v/>
      </c>
      <c r="I43" s="303">
        <f>G43-H43</f>
        <v/>
      </c>
      <c r="J43" s="305">
        <f>IF(G43=0,"-",H43/G43)</f>
        <v/>
      </c>
      <c r="K43" s="304" t="n"/>
      <c r="L43" s="306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54">
      <c r="A44" s="151" t="n"/>
      <c r="B44" s="299" t="inlineStr">
        <is>
          <t>TUBE</t>
        </is>
      </c>
      <c r="C44" s="300" t="inlineStr">
        <is>
          <t>Professional Beauty Solution (Pvt) Ltd</t>
        </is>
      </c>
      <c r="D44" s="301" t="inlineStr">
        <is>
          <t>BELINI HAIR COLOR 50ML</t>
        </is>
      </c>
      <c r="E44" s="302" t="n">
        <v>25</v>
      </c>
      <c r="F44" s="303" t="n">
        <v>4227</v>
      </c>
      <c r="G44" s="303" t="n">
        <v>0</v>
      </c>
      <c r="H44" s="304">
        <f>SUMPRODUCT((Production_Log!$F$3:$F$8963=F44)*(LEFT(Production_Log!$B$3:$B$8963,5)="Print")*(ISERROR(SEARCH("(Varnish)",Production_Log!$D$3:$D$8963)))*Production_Log!$H$3:$H$8963)</f>
        <v/>
      </c>
      <c r="I44" s="303">
        <f>G44-H44</f>
        <v/>
      </c>
      <c r="J44" s="305">
        <f>IF(G44=0,"-",H44/G44)</f>
        <v/>
      </c>
      <c r="K44" s="304" t="n"/>
      <c r="L44" s="306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54">
      <c r="A45" s="151" t="n"/>
      <c r="B45" s="299" t="inlineStr">
        <is>
          <t>TUBE</t>
        </is>
      </c>
      <c r="C45" s="300" t="inlineStr">
        <is>
          <t>Seatle (Private) Limited</t>
        </is>
      </c>
      <c r="D45" s="301" t="inlineStr">
        <is>
          <t>DOWFEN GEL 50G</t>
        </is>
      </c>
      <c r="E45" s="302" t="n">
        <v>30</v>
      </c>
      <c r="F45" s="303" t="n">
        <v>6595</v>
      </c>
      <c r="G45" s="303" t="n">
        <v>0</v>
      </c>
      <c r="H45" s="304">
        <f>SUMPRODUCT((Production_Log!$F$3:$F$8963=F45)*(LEFT(Production_Log!$B$3:$B$8963,5)="Print")*(ISERROR(SEARCH("(Varnish)",Production_Log!$D$3:$D$8963)))*Production_Log!$H$3:$H$8963)</f>
        <v/>
      </c>
      <c r="I45" s="303">
        <f>G45-H45</f>
        <v/>
      </c>
      <c r="J45" s="305">
        <f>IF(G45=0,"-",H45/G45)</f>
        <v/>
      </c>
      <c r="K45" s="304" t="n"/>
      <c r="L45" s="306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54">
      <c r="A46" s="151" t="n"/>
      <c r="B46" s="299" t="inlineStr">
        <is>
          <t>TUBE</t>
        </is>
      </c>
      <c r="C46" s="300" t="inlineStr">
        <is>
          <t>Al-Rehman Group</t>
        </is>
      </c>
      <c r="D46" s="301" t="inlineStr">
        <is>
          <t>SIGNATURE HAIR COLOR CREAM 60ML</t>
        </is>
      </c>
      <c r="E46" s="302" t="n">
        <v>30</v>
      </c>
      <c r="F46" s="303" t="n">
        <v>6416</v>
      </c>
      <c r="G46" s="303" t="n">
        <v>0</v>
      </c>
      <c r="H46" s="304">
        <f>SUMPRODUCT((Production_Log!$F$3:$F$8963=F46)*(LEFT(Production_Log!$B$3:$B$8963,5)="Print")*(ISERROR(SEARCH("(Varnish)",Production_Log!$D$3:$D$8963)))*Production_Log!$H$3:$H$8963)</f>
        <v/>
      </c>
      <c r="I46" s="303">
        <f>G46-H46</f>
        <v/>
      </c>
      <c r="J46" s="305">
        <f>IF(G46=0,"-",H46/G46)</f>
        <v/>
      </c>
      <c r="K46" s="304" t="n"/>
      <c r="L46" s="306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54">
      <c r="A47" s="151" t="n"/>
      <c r="B47" s="299" t="inlineStr">
        <is>
          <t>TUBE</t>
        </is>
      </c>
      <c r="C47" s="300" t="inlineStr">
        <is>
          <t>Al-Rehman Group</t>
        </is>
      </c>
      <c r="D47" s="301" t="inlineStr">
        <is>
          <t>ACTIVE PRO HAIR COLOR CREAM 60ML</t>
        </is>
      </c>
      <c r="E47" s="302" t="n">
        <v>30</v>
      </c>
      <c r="F47" s="303" t="n">
        <v>6337</v>
      </c>
      <c r="G47" s="303" t="n">
        <v>0</v>
      </c>
      <c r="H47" s="304">
        <f>SUMPRODUCT((Production_Log!$F$3:$F$8963=F47)*(LEFT(Production_Log!$B$3:$B$8963,5)="Print")*(ISERROR(SEARCH("(Varnish)",Production_Log!$D$3:$D$8963)))*Production_Log!$H$3:$H$8963)</f>
        <v/>
      </c>
      <c r="I47" s="303">
        <f>G47-H47</f>
        <v/>
      </c>
      <c r="J47" s="305">
        <f>IF(G47=0,"-",H47/G47)</f>
        <v/>
      </c>
      <c r="K47" s="304" t="n"/>
      <c r="L47" s="306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54">
      <c r="A48" s="151" t="n"/>
      <c r="B48" s="299" t="inlineStr">
        <is>
          <t>TUBE</t>
        </is>
      </c>
      <c r="C48" s="300" t="inlineStr">
        <is>
          <t>Mablay Beauty PVT LTD.</t>
        </is>
      </c>
      <c r="D48" s="301" t="inlineStr">
        <is>
          <t>VINCE NURTURAL (Varnish)</t>
        </is>
      </c>
      <c r="E48" s="302" t="n">
        <v>30</v>
      </c>
      <c r="F48" s="303" t="n">
        <v>9002</v>
      </c>
      <c r="G48" s="303" t="n">
        <v>0</v>
      </c>
      <c r="H48" s="304">
        <f>SUMPRODUCT((Production_Log!$F$3:$F$8963=F48)*(LEFT(Production_Log!$B$3:$B$8963,5)="Print")*(ISERROR(SEARCH("(Varnish)",Production_Log!$D$3:$D$8963)))*Production_Log!$H$3:$H$8963)</f>
        <v/>
      </c>
      <c r="I48" s="303">
        <f>G48-H48</f>
        <v/>
      </c>
      <c r="J48" s="305">
        <f>IF(G48=0,"-",H48/G48)</f>
        <v/>
      </c>
      <c r="K48" s="304" t="n"/>
      <c r="L48" s="306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54">
      <c r="A49" s="151" t="n"/>
      <c r="B49" s="299" t="inlineStr">
        <is>
          <t>TUBE</t>
        </is>
      </c>
      <c r="C49" s="300" t="inlineStr">
        <is>
          <t>Professional Beauty Solution (PVT) LTD.Pakistan</t>
        </is>
      </c>
      <c r="D49" s="301" t="inlineStr">
        <is>
          <t>EAZICOLOR PREMIUM HAIR COLOUR 60ML</t>
        </is>
      </c>
      <c r="E49" s="302" t="n">
        <v>30</v>
      </c>
      <c r="F49" s="303" t="n">
        <v>4050</v>
      </c>
      <c r="G49" s="303" t="n">
        <v>0</v>
      </c>
      <c r="H49" s="304">
        <f>SUMPRODUCT((Production_Log!$F$3:$F$8963=F49)*(LEFT(Production_Log!$B$3:$B$8963,5)="Print")*(ISERROR(SEARCH("(Varnish)",Production_Log!$D$3:$D$8963)))*Production_Log!$H$3:$H$8963)</f>
        <v/>
      </c>
      <c r="I49" s="303">
        <f>G49-H49</f>
        <v/>
      </c>
      <c r="J49" s="305">
        <f>IF(G49=0,"-",H49/G49)</f>
        <v/>
      </c>
      <c r="K49" s="304" t="n"/>
      <c r="L49" s="306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54">
      <c r="A50" s="151" t="n"/>
      <c r="B50" s="299" t="inlineStr">
        <is>
          <t>TUBE</t>
        </is>
      </c>
      <c r="C50" s="300" t="inlineStr">
        <is>
          <t>Professional Beauty Solution (PVT) LTD.Pakistan</t>
        </is>
      </c>
      <c r="D50" s="301" t="inlineStr">
        <is>
          <t>HIBA S HAIR COLOR 60ML</t>
        </is>
      </c>
      <c r="E50" s="302" t="n">
        <v>30</v>
      </c>
      <c r="F50" s="303" t="n">
        <v>6312</v>
      </c>
      <c r="G50" s="303" t="n">
        <v>0</v>
      </c>
      <c r="H50" s="304">
        <f>SUMPRODUCT((Production_Log!$F$3:$F$8963=F50)*(LEFT(Production_Log!$B$3:$B$8963,5)="Print")*(ISERROR(SEARCH("(Varnish)",Production_Log!$D$3:$D$8963)))*Production_Log!$H$3:$H$8963)</f>
        <v/>
      </c>
      <c r="I50" s="303">
        <f>G50-H50</f>
        <v/>
      </c>
      <c r="J50" s="305">
        <f>IF(G50=0,"-",H50/G50)</f>
        <v/>
      </c>
      <c r="K50" s="304" t="n"/>
      <c r="L50" s="306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54">
      <c r="A51" s="151" t="n"/>
      <c r="B51" s="299" t="inlineStr">
        <is>
          <t>TUBE</t>
        </is>
      </c>
      <c r="C51" s="300" t="inlineStr">
        <is>
          <t>Professional Beauty Solution (PVT) LTD.Pakistan</t>
        </is>
      </c>
      <c r="D51" s="301" t="inlineStr">
        <is>
          <t>EAZI COLOR PERMANENT HAIR COLOUR 60ML</t>
        </is>
      </c>
      <c r="E51" s="302" t="n">
        <v>30</v>
      </c>
      <c r="F51" s="303" t="n">
        <v>2909</v>
      </c>
      <c r="G51" s="303" t="n">
        <v>0</v>
      </c>
      <c r="H51" s="304">
        <f>SUMPRODUCT((Production_Log!$F$3:$F$8963=F51)*(LEFT(Production_Log!$B$3:$B$8963,5)="Print")*(ISERROR(SEARCH("(Varnish)",Production_Log!$D$3:$D$8963)))*Production_Log!$H$3:$H$8963)</f>
        <v/>
      </c>
      <c r="I51" s="303">
        <f>G51-H51</f>
        <v/>
      </c>
      <c r="J51" s="305">
        <f>IF(G51=0,"-",H51/G51)</f>
        <v/>
      </c>
      <c r="K51" s="304" t="n"/>
      <c r="L51" s="306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54">
      <c r="A52" s="151" t="n"/>
      <c r="B52" s="299" t="inlineStr">
        <is>
          <t>TUBE</t>
        </is>
      </c>
      <c r="C52" s="300" t="inlineStr">
        <is>
          <t>Mateen Sons</t>
        </is>
      </c>
      <c r="D52" s="301" t="inlineStr">
        <is>
          <t>GP DIA 30MM</t>
        </is>
      </c>
      <c r="E52" s="302" t="n">
        <v>30</v>
      </c>
      <c r="F52" s="303" t="n">
        <v>6151</v>
      </c>
      <c r="G52" s="303" t="n">
        <v>0</v>
      </c>
      <c r="H52" s="304">
        <f>SUMPRODUCT((Production_Log!$F$3:$F$8963=F52)*(LEFT(Production_Log!$B$3:$B$8963,5)="Print")*(ISERROR(SEARCH("(Varnish)",Production_Log!$D$3:$D$8963)))*Production_Log!$H$3:$H$8963)</f>
        <v/>
      </c>
      <c r="I52" s="303">
        <f>G52-H52</f>
        <v/>
      </c>
      <c r="J52" s="305">
        <f>IF(G52=0,"-",H52/G52)</f>
        <v/>
      </c>
      <c r="K52" s="304" t="n"/>
      <c r="L52" s="306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54">
      <c r="A53" s="151" t="n"/>
      <c r="B53" s="299" t="inlineStr">
        <is>
          <t>TUBE</t>
        </is>
      </c>
      <c r="C53" s="300" t="inlineStr">
        <is>
          <t>Hola Hair</t>
        </is>
      </c>
      <c r="D53" s="301" t="inlineStr">
        <is>
          <t>H.H 100GM</t>
        </is>
      </c>
      <c r="E53" s="302" t="n">
        <v>32</v>
      </c>
      <c r="F53" s="303" t="n">
        <v>6515</v>
      </c>
      <c r="G53" s="303" t="n">
        <v>0</v>
      </c>
      <c r="H53" s="304">
        <f>SUMPRODUCT((Production_Log!$F$3:$F$8963=F53)*(LEFT(Production_Log!$B$3:$B$8963,5)="Print")*(ISERROR(SEARCH("(Varnish)",Production_Log!$D$3:$D$8963)))*Production_Log!$H$3:$H$8963)</f>
        <v/>
      </c>
      <c r="I53" s="303">
        <f>G53-H53</f>
        <v/>
      </c>
      <c r="J53" s="305">
        <f>IF(G53=0,"-",H53/G53)</f>
        <v/>
      </c>
      <c r="K53" s="304" t="n"/>
      <c r="L53" s="306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54">
      <c r="A54" s="151" t="n"/>
      <c r="B54" s="299" t="inlineStr">
        <is>
          <t>TUBE</t>
        </is>
      </c>
      <c r="C54" s="300" t="inlineStr">
        <is>
          <t>Mega Grey</t>
        </is>
      </c>
      <c r="D54" s="301" t="inlineStr">
        <is>
          <t>M.G</t>
        </is>
      </c>
      <c r="E54" s="302" t="n">
        <v>32</v>
      </c>
      <c r="F54" s="303" t="n">
        <v>5782</v>
      </c>
      <c r="G54" s="303" t="n">
        <v>0</v>
      </c>
      <c r="H54" s="304">
        <f>SUMPRODUCT((Production_Log!$F$3:$F$8963=F54)*(LEFT(Production_Log!$B$3:$B$8963,5)="Print")*(ISERROR(SEARCH("(Varnish)",Production_Log!$D$3:$D$8963)))*Production_Log!$H$3:$H$8963)</f>
        <v/>
      </c>
      <c r="I54" s="303">
        <f>G54-H54</f>
        <v/>
      </c>
      <c r="J54" s="305">
        <f>IF(G54=0,"-",H54/G54)</f>
        <v/>
      </c>
      <c r="K54" s="304" t="n"/>
      <c r="L54" s="306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54">
      <c r="A55" s="151" t="n"/>
      <c r="B55" s="299" t="inlineStr">
        <is>
          <t>TUBE</t>
        </is>
      </c>
      <c r="C55" s="300" t="inlineStr">
        <is>
          <t>Adore</t>
        </is>
      </c>
      <c r="D55" s="301" t="inlineStr">
        <is>
          <t>V-HC BLACK</t>
        </is>
      </c>
      <c r="E55" s="302" t="n">
        <v>35</v>
      </c>
      <c r="F55" s="303" t="n">
        <v>6531</v>
      </c>
      <c r="G55" s="303" t="n">
        <v>0</v>
      </c>
      <c r="H55" s="304">
        <f>SUMPRODUCT((Production_Log!$F$3:$F$8963=F55)*(LEFT(Production_Log!$B$3:$B$8963,5)="Print")*(ISERROR(SEARCH("(Varnish)",Production_Log!$D$3:$D$8963)))*Production_Log!$H$3:$H$8963)</f>
        <v/>
      </c>
      <c r="I55" s="303">
        <f>G55-H55</f>
        <v/>
      </c>
      <c r="J55" s="305">
        <f>IF(G55=0,"-",H55/G55)</f>
        <v/>
      </c>
      <c r="K55" s="304" t="n"/>
      <c r="L55" s="306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54">
      <c r="A56" s="151" t="n"/>
      <c r="B56" s="299" t="inlineStr">
        <is>
          <t>TUBE</t>
        </is>
      </c>
      <c r="C56" s="300" t="inlineStr">
        <is>
          <t>Adore</t>
        </is>
      </c>
      <c r="D56" s="301" t="inlineStr">
        <is>
          <t>ANVIL 43</t>
        </is>
      </c>
      <c r="E56" s="302" t="n">
        <v>35</v>
      </c>
      <c r="F56" s="303" t="n">
        <v>6020</v>
      </c>
      <c r="G56" s="303" t="n">
        <v>0</v>
      </c>
      <c r="H56" s="304">
        <f>SUMPRODUCT((Production_Log!$F$3:$F$8963=F56)*(LEFT(Production_Log!$B$3:$B$8963,5)="Print")*(ISERROR(SEARCH("(Varnish)",Production_Log!$D$3:$D$8963)))*Production_Log!$H$3:$H$8963)</f>
        <v/>
      </c>
      <c r="I56" s="303">
        <f>G56-H56</f>
        <v/>
      </c>
      <c r="J56" s="305">
        <f>IF(G56=0,"-",H56/G56)</f>
        <v/>
      </c>
      <c r="K56" s="304" t="n"/>
      <c r="L56" s="306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54">
      <c r="A57" s="151" t="n"/>
      <c r="B57" s="299" t="inlineStr">
        <is>
          <t>TUBE</t>
        </is>
      </c>
      <c r="C57" s="300" t="inlineStr">
        <is>
          <t>Adore</t>
        </is>
      </c>
      <c r="D57" s="301" t="inlineStr">
        <is>
          <t>ANVIL 45</t>
        </is>
      </c>
      <c r="E57" s="302" t="n">
        <v>35</v>
      </c>
      <c r="F57" s="303" t="n">
        <v>6021</v>
      </c>
      <c r="G57" s="303" t="n">
        <v>0</v>
      </c>
      <c r="H57" s="304">
        <f>SUMPRODUCT((Production_Log!$F$3:$F$8963=F57)*(LEFT(Production_Log!$B$3:$B$8963,5)="Print")*(ISERROR(SEARCH("(Varnish)",Production_Log!$D$3:$D$8963)))*Production_Log!$H$3:$H$8963)</f>
        <v/>
      </c>
      <c r="I57" s="303">
        <f>G57-H57</f>
        <v/>
      </c>
      <c r="J57" s="305">
        <f>IF(G57=0,"-",H57/G57)</f>
        <v/>
      </c>
      <c r="K57" s="304" t="n"/>
      <c r="L57" s="306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54">
      <c r="A58" s="151" t="n"/>
      <c r="B58" s="299" t="inlineStr">
        <is>
          <t>PET</t>
        </is>
      </c>
      <c r="C58" s="300" t="inlineStr">
        <is>
          <t>Samsol International Private Limited</t>
        </is>
      </c>
      <c r="D58" s="301" t="inlineStr">
        <is>
          <t>BLACK SMALL BOTTLE 120ML</t>
        </is>
      </c>
      <c r="E58" s="302" t="inlineStr">
        <is>
          <t>120 ml</t>
        </is>
      </c>
      <c r="F58" s="303" t="n">
        <v>8011</v>
      </c>
      <c r="G58" s="303" t="n">
        <v>0</v>
      </c>
      <c r="H58" s="304">
        <f>SUMPRODUCT((Production_Log!$F$3:$F$8963=F58)*Production_Log!$H$3:$H$8963)</f>
        <v/>
      </c>
      <c r="I58" s="303">
        <f>G58-H58</f>
        <v/>
      </c>
      <c r="J58" s="305">
        <f>IF(G58=0,"-",H58/G58)</f>
        <v/>
      </c>
      <c r="K58" s="304" t="n"/>
      <c r="L58" s="306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54">
      <c r="A59" s="151" t="n"/>
      <c r="B59" s="299" t="inlineStr">
        <is>
          <t>PET</t>
        </is>
      </c>
      <c r="C59" s="300" t="inlineStr">
        <is>
          <t>Samsol International Private Limited</t>
        </is>
      </c>
      <c r="D59" s="301" t="inlineStr">
        <is>
          <t>WHITE SMALL BOTTLE 120ML</t>
        </is>
      </c>
      <c r="E59" s="302" t="inlineStr">
        <is>
          <t>120 ml</t>
        </is>
      </c>
      <c r="F59" s="303" t="n">
        <v>8012</v>
      </c>
      <c r="G59" s="303" t="n">
        <v>0</v>
      </c>
      <c r="H59" s="304">
        <f>SUMPRODUCT((Production_Log!$F$3:$F$8963=F59)*Production_Log!$H$3:$H$8963)</f>
        <v/>
      </c>
      <c r="I59" s="303">
        <f>G59-H59</f>
        <v/>
      </c>
      <c r="J59" s="305">
        <f>IF(G59=0,"-",H59/G59)</f>
        <v/>
      </c>
      <c r="K59" s="304" t="n"/>
      <c r="L59" s="306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54">
      <c r="A60" s="151" t="n"/>
      <c r="B60" s="299" t="inlineStr">
        <is>
          <t>PET</t>
        </is>
      </c>
      <c r="C60" s="300" t="inlineStr">
        <is>
          <t>Alpha Labs PVT LTD</t>
        </is>
      </c>
      <c r="D60" s="301" t="inlineStr">
        <is>
          <t>PET BOTTLE SMALL (130ML) TRANSPARENT</t>
        </is>
      </c>
      <c r="E60" s="302" t="inlineStr">
        <is>
          <t>130 ml</t>
        </is>
      </c>
      <c r="F60" s="303" t="n">
        <v>8010</v>
      </c>
      <c r="G60" s="303" t="n">
        <v>0</v>
      </c>
      <c r="H60" s="304">
        <f>SUMPRODUCT((Production_Log!$F$3:$F$8963=F60)*Production_Log!$H$3:$H$8963)</f>
        <v/>
      </c>
      <c r="I60" s="303">
        <f>G60-H60</f>
        <v/>
      </c>
      <c r="J60" s="305">
        <f>IF(G60=0,"-",H60/G60)</f>
        <v/>
      </c>
      <c r="K60" s="304" t="n"/>
      <c r="L60" s="306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299" t="inlineStr">
        <is>
          <t>PET</t>
        </is>
      </c>
      <c r="C61" s="300" t="inlineStr">
        <is>
          <t>Samsol International Private Limited</t>
        </is>
      </c>
      <c r="D61" s="301" t="inlineStr">
        <is>
          <t>BLACK BOTTLE 200ML</t>
        </is>
      </c>
      <c r="E61" s="302" t="inlineStr">
        <is>
          <t>200 ml</t>
        </is>
      </c>
      <c r="F61" s="303" t="n">
        <v>8008</v>
      </c>
      <c r="G61" s="303" t="n">
        <v>0</v>
      </c>
      <c r="H61" s="304">
        <f>SUMPRODUCT((Production_Log!$F$3:$F$8963=F61)*Production_Log!$H$3:$H$8963)</f>
        <v/>
      </c>
      <c r="I61" s="303">
        <f>G61-H61</f>
        <v/>
      </c>
      <c r="J61" s="305">
        <f>IF(G61=0,"-",H61/G61)</f>
        <v/>
      </c>
      <c r="K61" s="304" t="n"/>
      <c r="L61" s="306" t="n"/>
    </row>
    <row r="62">
      <c r="B62" s="299" t="inlineStr">
        <is>
          <t>PET</t>
        </is>
      </c>
      <c r="C62" s="300" t="inlineStr">
        <is>
          <t>Mablay Beauty PVT LTD.</t>
        </is>
      </c>
      <c r="D62" s="301" t="inlineStr">
        <is>
          <t>TRANSPARENT BOTTLE 300ML</t>
        </is>
      </c>
      <c r="E62" s="302" t="inlineStr">
        <is>
          <t>300 ml</t>
        </is>
      </c>
      <c r="F62" s="303" t="n">
        <v>8009</v>
      </c>
      <c r="G62" s="303" t="n">
        <v>0</v>
      </c>
      <c r="H62" s="304">
        <f>SUMPRODUCT((Production_Log!$F$3:$F$8963=F62)*Production_Log!$H$3:$H$8963)</f>
        <v/>
      </c>
      <c r="I62" s="303">
        <f>G62-H62</f>
        <v/>
      </c>
      <c r="J62" s="305">
        <f>IF(G62=0,"-",H62/G62)</f>
        <v/>
      </c>
      <c r="K62" s="304" t="n"/>
      <c r="L62" s="306" t="n"/>
    </row>
    <row r="63">
      <c r="B63" s="299" t="inlineStr">
        <is>
          <t>PET</t>
        </is>
      </c>
      <c r="C63" s="300" t="inlineStr">
        <is>
          <t>Mablay Beauty PVT LTD.</t>
        </is>
      </c>
      <c r="D63" s="301" t="inlineStr">
        <is>
          <t>TRANSPARENT JAR 500ML</t>
        </is>
      </c>
      <c r="E63" s="302" t="inlineStr">
        <is>
          <t>500 ml</t>
        </is>
      </c>
      <c r="F63" s="303" t="n">
        <v>8013</v>
      </c>
      <c r="G63" s="303" t="n">
        <v>0</v>
      </c>
      <c r="H63" s="304">
        <f>SUMPRODUCT((Production_Log!$F$3:$F$8963=F63)*Production_Log!$H$3:$H$8963)</f>
        <v/>
      </c>
      <c r="I63" s="303">
        <f>G63-H63</f>
        <v/>
      </c>
      <c r="J63" s="305">
        <f>IF(G63=0,"-",H63/G63)</f>
        <v/>
      </c>
      <c r="K63" s="304" t="n"/>
      <c r="L63" s="306" t="n"/>
    </row>
    <row r="64">
      <c r="B64" s="311" t="n"/>
      <c r="C64" s="311" t="n"/>
      <c r="D64" s="311" t="n"/>
      <c r="E64" s="311" t="n"/>
      <c r="F64" s="311" t="n"/>
      <c r="G64" s="311" t="n"/>
      <c r="H64" s="311" t="n"/>
      <c r="I64" s="311" t="n"/>
      <c r="J64" s="311" t="n"/>
      <c r="K64" s="311" t="n"/>
      <c r="L64" s="311" t="n"/>
    </row>
    <row r="65">
      <c r="B65" s="311" t="n"/>
      <c r="C65" s="311" t="n"/>
      <c r="D65" s="311" t="n"/>
      <c r="E65" s="311" t="n"/>
      <c r="F65" s="311" t="n"/>
      <c r="G65" s="311" t="n"/>
      <c r="H65" s="311" t="n"/>
      <c r="I65" s="311" t="n"/>
      <c r="J65" s="311" t="n"/>
      <c r="K65" s="311" t="n"/>
      <c r="L65" s="311" t="n"/>
    </row>
    <row r="66">
      <c r="B66" s="311" t="n"/>
      <c r="C66" s="311" t="n"/>
      <c r="D66" s="311" t="n"/>
      <c r="E66" s="311" t="n"/>
      <c r="F66" s="311" t="n"/>
      <c r="G66" s="311" t="n"/>
      <c r="H66" s="311" t="n"/>
      <c r="I66" s="311" t="n"/>
      <c r="J66" s="311" t="n"/>
      <c r="K66" s="311" t="n"/>
      <c r="L66" s="311" t="n"/>
    </row>
    <row r="67" ht="15" customHeight="1" s="254">
      <c r="B67" s="311" t="n"/>
      <c r="C67" s="311" t="n"/>
      <c r="D67" s="311" t="n"/>
      <c r="E67" s="311" t="n"/>
      <c r="F67" s="311" t="n"/>
      <c r="G67" s="311" t="n"/>
      <c r="H67" s="311" t="n"/>
      <c r="I67" s="311" t="n"/>
      <c r="J67" s="311" t="n"/>
      <c r="K67" s="311" t="n"/>
      <c r="L67" s="311" t="n"/>
    </row>
    <row r="68" ht="15" customHeight="1" s="254">
      <c r="B68" s="311" t="n"/>
      <c r="C68" s="311" t="n"/>
      <c r="D68" s="311" t="n"/>
      <c r="E68" s="311" t="n"/>
      <c r="F68" s="311" t="n"/>
      <c r="G68" s="311" t="n"/>
      <c r="H68" s="311" t="n"/>
      <c r="I68" s="311" t="n"/>
      <c r="J68" s="311" t="n"/>
      <c r="K68" s="311" t="n"/>
      <c r="L68" s="311" t="n"/>
    </row>
    <row r="69" ht="15" customHeight="1" s="254">
      <c r="B69" s="311" t="n"/>
      <c r="C69" s="311" t="n"/>
      <c r="D69" s="311" t="n"/>
      <c r="E69" s="311" t="n"/>
      <c r="F69" s="311" t="n"/>
      <c r="G69" s="311" t="n"/>
      <c r="H69" s="311" t="n"/>
      <c r="I69" s="311" t="n"/>
      <c r="J69" s="311" t="n"/>
      <c r="K69" s="311" t="n"/>
      <c r="L69" s="311" t="n"/>
    </row>
    <row r="70" ht="15" customHeight="1" s="254">
      <c r="B70" s="311" t="n"/>
      <c r="C70" s="311" t="n"/>
      <c r="D70" s="311" t="n"/>
      <c r="E70" s="311" t="n"/>
      <c r="F70" s="311" t="n"/>
      <c r="G70" s="311" t="n"/>
      <c r="H70" s="311" t="n"/>
      <c r="I70" s="311" t="n"/>
      <c r="J70" s="311" t="n"/>
      <c r="K70" s="311" t="n"/>
      <c r="L70" s="311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tabSelected="1" zoomScaleNormal="100" workbookViewId="0">
      <selection activeCell="F8" sqref="F8"/>
    </sheetView>
  </sheetViews>
  <sheetFormatPr baseColWidth="8" defaultColWidth="8.7109375" defaultRowHeight="15"/>
  <cols>
    <col width="9" customWidth="1" style="254" min="1" max="1"/>
    <col width="30.5703125" customWidth="1" style="254" min="2" max="2"/>
    <col width="31.7109375" customWidth="1" style="255" min="3" max="3"/>
    <col width="9.85546875" customWidth="1" style="254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55" min="9" max="9"/>
    <col width="14" customWidth="1" style="254" min="10" max="10"/>
    <col width="12" customWidth="1" style="254" min="11" max="11"/>
    <col width="24" customWidth="1" style="254" min="12" max="13"/>
    <col width="12" customWidth="1" style="254" min="14" max="14"/>
    <col width="24" customWidth="1" style="254" min="15" max="15"/>
  </cols>
  <sheetData>
    <row r="1" ht="30" customHeight="1" s="254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8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54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54">
      <c r="A4" s="198" t="n">
        <v>25</v>
      </c>
      <c r="B4" s="198" t="inlineStr">
        <is>
          <t>Samsol International Private Limited</t>
        </is>
      </c>
      <c r="C4" s="199" t="inlineStr">
        <is>
          <t>S-45</t>
        </is>
      </c>
      <c r="D4" s="198" t="n">
        <v>5389</v>
      </c>
      <c r="E4" s="200" t="n">
        <v>6892</v>
      </c>
      <c r="F4" s="200" t="n">
        <v>48176</v>
      </c>
      <c r="G4" s="19">
        <f>INDEX(Tubex_Dashboard!$H$11:$H$58,MATCH(MRP!D4,Tubex_Dashboard!$F$11:$F$58,0))</f>
        <v/>
      </c>
      <c r="H4" s="201">
        <f>F4-G4</f>
        <v/>
      </c>
      <c r="I4" s="201" t="inlineStr">
        <is>
          <t>50k Approved, 20k Not Approved. 
44k already in FG Stock</t>
        </is>
      </c>
    </row>
    <row r="5" ht="20.25" customHeight="1" s="254">
      <c r="A5" s="198" t="n">
        <v>25</v>
      </c>
      <c r="B5" s="198" t="inlineStr">
        <is>
          <t>Samsol International Private Limited</t>
        </is>
      </c>
      <c r="C5" s="199" t="inlineStr">
        <is>
          <t>S 43 25MM</t>
        </is>
      </c>
      <c r="D5" s="198" t="n">
        <v>3447</v>
      </c>
      <c r="E5" s="200" t="n">
        <v>6891</v>
      </c>
      <c r="F5" s="200" t="n">
        <v>30000</v>
      </c>
      <c r="G5" s="19">
        <f>INDEX(Tubex_Dashboard!$H$11:$H$58,MATCH(MRP!D5,Tubex_Dashboard!$F$11:$F$58,0))</f>
        <v/>
      </c>
      <c r="H5" s="201">
        <f>F5-G5</f>
        <v/>
      </c>
      <c r="I5" s="201" t="inlineStr">
        <is>
          <t>120k Order, 89k already in FG Stock</t>
        </is>
      </c>
    </row>
    <row r="6" ht="20.25" customHeight="1" s="254">
      <c r="A6" s="198" t="n">
        <v>25</v>
      </c>
      <c r="B6" s="198" t="inlineStr">
        <is>
          <t>Samsol International Private Limited</t>
        </is>
      </c>
      <c r="C6" s="199" t="inlineStr">
        <is>
          <t>TUBE COMMON PURPLE</t>
        </is>
      </c>
      <c r="D6" s="198" t="n">
        <v>6532</v>
      </c>
      <c r="E6" s="200" t="n">
        <v>6894</v>
      </c>
      <c r="F6" s="200" t="n">
        <v>30000</v>
      </c>
      <c r="G6" s="19">
        <f>INDEX(Tubex_Dashboard!$H$11:$H$58,MATCH(MRP!D6,Tubex_Dashboard!$F$11:$F$58,0))</f>
        <v/>
      </c>
      <c r="H6" s="201">
        <f>F6-G6</f>
        <v/>
      </c>
      <c r="I6" s="201" t="n"/>
    </row>
    <row r="7" ht="20.25" customHeight="1" s="254">
      <c r="A7" s="198" t="n">
        <v>25</v>
      </c>
      <c r="B7" s="198" t="inlineStr">
        <is>
          <t>Samsol International Private Limited</t>
        </is>
      </c>
      <c r="C7" s="199" t="inlineStr">
        <is>
          <t>TUBES COMMON RED</t>
        </is>
      </c>
      <c r="D7" s="198" t="n">
        <v>6470</v>
      </c>
      <c r="E7" s="200" t="n">
        <v>6893</v>
      </c>
      <c r="F7" s="200" t="n">
        <v>62000</v>
      </c>
      <c r="G7" s="19">
        <f>INDEX(Tubex_Dashboard!$H$11:$H$58,MATCH(MRP!D7,Tubex_Dashboard!$F$11:$F$58,0))</f>
        <v/>
      </c>
      <c r="H7" s="201">
        <f>F7-G7</f>
        <v/>
      </c>
      <c r="I7" s="201" t="n"/>
    </row>
    <row r="8" ht="20.25" customHeight="1" s="254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54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54">
      <c r="A10" s="12" t="n"/>
      <c r="B10" s="12" t="n"/>
      <c r="C10" s="13" t="n"/>
      <c r="D10" s="13" t="n"/>
      <c r="E10" s="14" t="inlineStr">
        <is>
          <t>TOTAL:</t>
        </is>
      </c>
      <c r="F10" s="171">
        <f>SUM(F3:F9)</f>
        <v/>
      </c>
      <c r="G10" s="171">
        <f>SUM(G3:G9)</f>
        <v/>
      </c>
      <c r="H10" s="171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54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54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54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54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54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8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54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81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54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54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54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54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54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54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8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54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54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54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54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54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54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54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54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54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54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54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54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54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54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54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54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54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54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54">
      <c r="A47" s="34" t="n">
        <v>99</v>
      </c>
      <c r="B47" s="34" t="inlineStr">
        <is>
          <t>CAP</t>
        </is>
      </c>
      <c r="C47" s="34" t="inlineStr">
        <is>
          <t>M-7 OPHTHALMIC  PINK</t>
        </is>
      </c>
      <c r="D47" s="34" t="inlineStr">
        <is>
          <t>PCS</t>
        </is>
      </c>
      <c r="E47" s="35">
        <f>SUMPRODUCT((TableBOM[Item ID]=A47)*TableBOM[Per 1000 Units]*(1+TableBOM[Scrap %])*SUMIF($D$3:$D$9,TableBOM[Product ID],$H$3:$H$9)/1000)</f>
        <v/>
      </c>
      <c r="F47" s="35">
        <f>IFERROR(INDEX(TableInventory[Store Balance],MATCH(A47,TableInventory[Item ID],0)),0)+IFERROR(INDEX(TableInventory[Work In Process],MATCH(A47,TableInventory[Item ID],0)),0)</f>
        <v/>
      </c>
      <c r="G47" s="42">
        <f>F47-E47</f>
        <v/>
      </c>
      <c r="H47" s="36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7">
        <f>IF(E47=0,"Not needed",IF(G47&lt;0,"SHORTAGE",IF(G47&lt;F47*0.1,"LOW","OK")))</f>
        <v/>
      </c>
      <c r="J47" s="37">
        <f>IF(B47&lt;&gt;"CAP","",SUMPRODUCT((ISNUMBER(SEARCH("Cap Not Available",'FG Stock'!$H$4:$H$100)))*('FG Stock'!$I$4:$I$100=A47)*'FG Stock'!$F$4:$F$100))</f>
        <v/>
      </c>
      <c r="K47" s="3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54">
      <c r="A48" s="38" t="n">
        <v>72</v>
      </c>
      <c r="B48" s="38" t="inlineStr">
        <is>
          <t>CAP</t>
        </is>
      </c>
      <c r="C48" s="38" t="inlineStr">
        <is>
          <t>M-9 S/M SPR BLACK DIA 16MM</t>
        </is>
      </c>
      <c r="D48" s="38" t="inlineStr">
        <is>
          <t>PCS</t>
        </is>
      </c>
      <c r="E48" s="39">
        <f>SUMPRODUCT((TableBOM[Item ID]=A48)*TableBOM[Per 1000 Units]*(1+TableBOM[Scrap %])*SUMIF($D$3:$D$9,TableBOM[Product ID],$H$3:$H$9)/1000)</f>
        <v/>
      </c>
      <c r="F48" s="39">
        <f>IFERROR(INDEX(TableInventory[Store Balance],MATCH(A48,TableInventory[Item ID],0)),0)+IFERROR(INDEX(TableInventory[Work In Process],MATCH(A48,TableInventory[Item ID],0)),0)</f>
        <v/>
      </c>
      <c r="G48" s="44">
        <f>F48-E48</f>
        <v/>
      </c>
      <c r="H48" s="40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41">
        <f>IF(E48=0,"Not needed",IF(G48&lt;0,"SHORTAGE",IF(G48&lt;F48*0.1,"LOW","OK")))</f>
        <v/>
      </c>
      <c r="J48" s="41">
        <f>IF(B48&lt;&gt;"CAP","",SUMPRODUCT((ISNUMBER(SEARCH("Cap Not Available",'FG Stock'!$H$4:$H$100)))*('FG Stock'!$I$4:$I$100=A48)*'FG Stock'!$F$4:$F$100))</f>
        <v/>
      </c>
      <c r="K48" s="41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54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54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54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54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54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8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54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54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54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54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54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54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54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s="254">
      <c r="A61" s="34" t="n">
        <v>102</v>
      </c>
      <c r="B61" s="34" t="inlineStr">
        <is>
          <t>CAP</t>
        </is>
      </c>
      <c r="C61" s="34" t="inlineStr">
        <is>
          <t>M-11 S/M SPR ORANGE DIA 25</t>
        </is>
      </c>
      <c r="D61" s="34" t="inlineStr">
        <is>
          <t>PCS</t>
        </is>
      </c>
      <c r="E61" s="35">
        <f>SUMPRODUCT((TableBOM[Item ID]=A61)*TableBOM[Per 1000 Units]*(1+TableBOM[Scrap %])*SUMIF($D$3:$D$9,TableBOM[Product ID],$H$3:$H$9)/1000)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42">
        <f>F61-E61</f>
        <v/>
      </c>
      <c r="H61" s="36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 hidden="1" s="254">
      <c r="A62" s="34" t="n">
        <v>1073</v>
      </c>
      <c r="B62" s="34" t="inlineStr">
        <is>
          <t>CAP</t>
        </is>
      </c>
      <c r="C62" s="34" t="inlineStr">
        <is>
          <t>M-11 S/M F/P BLACK</t>
        </is>
      </c>
      <c r="D62" s="34" t="inlineStr">
        <is>
          <t>PCS</t>
        </is>
      </c>
      <c r="E62" s="35">
        <f>SUMPRODUCT((TableBOM[Item ID]=A62)*TableBOM[Per 1000 Units]*(1+TableBOM[Scrap %])*SUMIF($D$3:$D$9,TableBOM[Product ID],$H$3:$H$9)/1000)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42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 hidden="1" s="254">
      <c r="A63" s="34" t="n">
        <v>1285</v>
      </c>
      <c r="B63" s="34" t="inlineStr">
        <is>
          <t>CAP</t>
        </is>
      </c>
      <c r="C63" s="34" t="inlineStr">
        <is>
          <t>M-11 S/M F/P WHITE (LARGE)</t>
        </is>
      </c>
      <c r="D63" s="34" t="inlineStr">
        <is>
          <t>PCS</t>
        </is>
      </c>
      <c r="E63" s="43">
        <f>SUMPRODUCT((TableBOM[Item ID]=A63)*TableBOM[Per 1000 Units]*(1+TableBOM[Scrap %])*SUMIF($D$3:$D$9,TableBOM[Product ID],$H$3:$H$9)/1000)</f>
        <v/>
      </c>
      <c r="F63" s="43">
        <f>IFERROR(INDEX(TableInventory[Store Balance],MATCH(A63,TableInventory[Item ID],0)),0)+IFERROR(INDEX(TableInventory[Work In Process],MATCH(A63,TableInventory[Item ID],0)),0)</f>
        <v/>
      </c>
      <c r="G63" s="203">
        <f>F63-E63</f>
        <v/>
      </c>
      <c r="H63" s="36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7">
        <f>IF(E63=0,"Not needed",IF(G63&lt;0,"SHORTAGE",IF(G63&lt;F63*0.1,"LOW","OK")))</f>
        <v/>
      </c>
      <c r="J63" s="37">
        <f>IF(B63&lt;&gt;"CAP","",SUMPRODUCT((ISNUMBER(SEARCH("Cap Not Available",'FG Stock'!$H$4:$H$100)))*('FG Stock'!$I$4:$I$100=A63)*'FG Stock'!$F$4:$F$100))</f>
        <v/>
      </c>
      <c r="K63" s="37">
        <f>IF(E63=0,"",MAX(0,E63+IFERROR(J63*1,0)-F63))</f>
        <v/>
      </c>
    </row>
    <row r="64" hidden="1" s="254">
      <c r="A64" s="34" t="n">
        <v>3522</v>
      </c>
      <c r="B64" s="34" t="inlineStr">
        <is>
          <t>CAP</t>
        </is>
      </c>
      <c r="C64" s="34" t="inlineStr">
        <is>
          <t>M-11 S/M SPR DARK BLUE DIA 25MM</t>
        </is>
      </c>
      <c r="D64" s="34" t="inlineStr">
        <is>
          <t>PCS</t>
        </is>
      </c>
      <c r="E64" s="35">
        <f>SUMPRODUCT((TableBOM[Item ID]=A64)*TableBOM[Per 1000 Units]*(1+TableBOM[Scrap %])*SUMIF($D$3:$D$9,TableBOM[Product ID],$H$3:$H$9)/1000)</f>
        <v/>
      </c>
      <c r="F64" s="35">
        <f>IFERROR(INDEX(TableInventory[Store Balance],MATCH(A64,TableInventory[Item ID],0)),0)+IFERROR(INDEX(TableInventory[Work In Process],MATCH(A64,TableInventory[Item ID],0)),0)</f>
        <v/>
      </c>
      <c r="G64" s="42">
        <f>F64-E64</f>
        <v/>
      </c>
      <c r="H64" s="36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7">
        <f>IF(E64=0,"Not needed",IF(G64&lt;0,"SHORTAGE",IF(G64&lt;F64*0.1,"LOW","OK")))</f>
        <v/>
      </c>
      <c r="J64" s="37">
        <f>IF(B64&lt;&gt;"CAP","",SUMPRODUCT((ISNUMBER(SEARCH("Cap Not Available",'FG Stock'!$H$4:$H$100)))*('FG Stock'!$I$4:$I$100=A64)*'FG Stock'!$F$4:$F$100))</f>
        <v/>
      </c>
      <c r="K64" s="37">
        <f>IF(E64=0,"",MAX(0,E64+IFERROR(J64*1,0)-F64))</f>
        <v/>
      </c>
    </row>
    <row r="65" hidden="1" s="254">
      <c r="A65" s="34" t="n">
        <v>3866</v>
      </c>
      <c r="B65" s="34" t="inlineStr">
        <is>
          <t>CAP</t>
        </is>
      </c>
      <c r="C65" s="34" t="inlineStr">
        <is>
          <t>M-11 S/M SPR BEIGE DIA 25</t>
        </is>
      </c>
      <c r="D65" s="34" t="inlineStr">
        <is>
          <t>PCS</t>
        </is>
      </c>
      <c r="E65" s="35">
        <f>SUMPRODUCT((TableBOM[Item ID]=A65)*TableBOM[Per 1000 Units]*(1+TableBOM[Scrap %])*SUMIF($D$3:$D$9,TableBOM[Product ID],$H$3:$H$9)/1000)</f>
        <v/>
      </c>
      <c r="F65" s="35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36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7">
        <f>IF(E65=0,"Not needed",IF(G65&lt;0,"SHORTAGE",IF(G65&lt;F65*0.1,"LOW","OK")))</f>
        <v/>
      </c>
      <c r="J65" s="37">
        <f>IF(B65&lt;&gt;"CAP","",SUMPRODUCT((ISNUMBER(SEARCH("Cap Not Available",'FG Stock'!$H$4:$H$100)))*('FG Stock'!$I$4:$I$100=A65)*'FG Stock'!$F$4:$F$100))</f>
        <v/>
      </c>
      <c r="K65" s="37">
        <f>IF(E65=0,"",MAX(0,E65+IFERROR(J65*1,0)-F65))</f>
        <v/>
      </c>
    </row>
    <row r="66">
      <c r="A66" s="38" t="n">
        <v>578</v>
      </c>
      <c r="B66" s="38" t="inlineStr">
        <is>
          <t>CAP</t>
        </is>
      </c>
      <c r="C66" s="38" t="inlineStr">
        <is>
          <t>M-12 S/M SPR WHITE DIA 30</t>
        </is>
      </c>
      <c r="D66" s="38" t="inlineStr">
        <is>
          <t>PCS</t>
        </is>
      </c>
      <c r="E66" s="39">
        <f>SUMPRODUCT((TableBOM[Item ID]=A66)*TableBOM[Per 1000 Units]*(1+TableBOM[Scrap %])*SUMIF($D$3:$D$9,TableBOM[Product ID],$H$3:$H$9)/1000)</f>
        <v/>
      </c>
      <c r="F66" s="39">
        <f>IFERROR(INDEX(TableInventory[Store Balance],MATCH(A66,TableInventory[Item ID],0)),0)+IFERROR(INDEX(TableInventory[Work In Process],MATCH(A66,TableInventory[Item ID],0)),0)</f>
        <v/>
      </c>
      <c r="G66" s="44">
        <f>F66-E66</f>
        <v/>
      </c>
      <c r="H66" s="40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 s="41">
        <f>IF(B66&lt;&gt;"CAP","",SUMPRODUCT((ISNUMBER(SEARCH("Cap Not Available",'FG Stock'!$H$4:$H$100)))*('FG Stock'!$I$4:$I$100=A66)*'FG Stock'!$F$4:$F$100))</f>
        <v/>
      </c>
      <c r="K66" s="41">
        <f>IF(E66=0,"",MAX(0,E66+IFERROR(J66*1,0)-F66))</f>
        <v/>
      </c>
    </row>
    <row r="67" hidden="1" s="254">
      <c r="A67" s="45" t="n">
        <v>9902</v>
      </c>
      <c r="B67" s="45" t="inlineStr">
        <is>
          <t>CAP</t>
        </is>
      </c>
      <c r="C67" s="45" t="inlineStr">
        <is>
          <t>CAP 12.5MM (est)</t>
        </is>
      </c>
      <c r="D67" s="45" t="inlineStr">
        <is>
          <t>PCS</t>
        </is>
      </c>
      <c r="E67" s="46">
        <f>SUMPRODUCT((TableBOM[Item ID]=A67)*TableBOM[Per 1000 Units]*(1+TableBOM[Scrap %])*SUMIF($D$3:$D$9,TableBOM[Product ID],$H$3:$H$9)/1000)</f>
        <v/>
      </c>
      <c r="F67" s="46">
        <f>IFERROR(INDEX(TableInventory[Store Balance],MATCH(A67,TableInventory[Item ID],0)),0)+IFERROR(INDEX(TableInventory[Work In Process],MATCH(A67,TableInventory[Item ID],0)),0)</f>
        <v/>
      </c>
      <c r="G67" s="204">
        <f>F67-E67</f>
        <v/>
      </c>
      <c r="H67" s="47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48">
        <f>IF(E67=0,"Not needed",IF(G67&lt;0,"SHORTAGE",IF(G67&lt;F67*0.1,"LOW","OK")))</f>
        <v/>
      </c>
      <c r="J67" s="48">
        <f>IF(B67&lt;&gt;"CAP","",SUMPRODUCT((ISNUMBER(SEARCH("Cap Not Available",'FG Stock'!$H$4:$H$100)))*('FG Stock'!$I$4:$I$100=A67)*'FG Stock'!$F$4:$F$100))</f>
        <v/>
      </c>
      <c r="K67" s="48">
        <f>IF(E67=0,"",MAX(0,E67+IFERROR(J67*1,0)-F67))</f>
        <v/>
      </c>
    </row>
    <row r="68" hidden="1" s="254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54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54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54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54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54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54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54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54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54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54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54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54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54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54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54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54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54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54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54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54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54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54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54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54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54">
      <c r="A97" s="206" t="inlineStr">
        <is>
          <t>June 2026 PET Required Pet Orders</t>
        </is>
      </c>
      <c r="B97" s="251" t="n"/>
      <c r="C97" s="251" t="n"/>
      <c r="D97" s="251" t="n"/>
      <c r="E97" s="251" t="n"/>
      <c r="F97" s="251" t="n"/>
      <c r="G97" s="205" t="n"/>
      <c r="H97" s="251" t="n"/>
      <c r="I97" s="252" t="n"/>
    </row>
    <row r="98" ht="15" customHeight="1" s="254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54">
      <c r="A99" s="50" t="inlineStr">
        <is>
          <t>120 ml</t>
        </is>
      </c>
      <c r="B99" s="50" t="inlineStr">
        <is>
          <t>Samsol International Private Limited</t>
        </is>
      </c>
      <c r="C99" s="51" t="inlineStr">
        <is>
          <t>PET BOTTLE SMALL (120ML) YELLOW</t>
        </is>
      </c>
      <c r="D99" s="50" t="n">
        <v>8005</v>
      </c>
      <c r="E99" s="52" t="inlineStr">
        <is>
          <t>336 &amp; 337</t>
        </is>
      </c>
      <c r="F99" s="52" t="n">
        <v>20000</v>
      </c>
      <c r="G99" s="53" t="n">
        <v>0</v>
      </c>
      <c r="H99" s="54">
        <f>F95-G95</f>
        <v/>
      </c>
      <c r="I99" s="29" t="n">
        <v>5</v>
      </c>
    </row>
    <row r="100" ht="15" customHeight="1" s="254">
      <c r="A100" s="50" t="inlineStr">
        <is>
          <t>150 ml</t>
        </is>
      </c>
      <c r="B100" s="50" t="inlineStr">
        <is>
          <t>Alpha Labs PVT LTD</t>
        </is>
      </c>
      <c r="C100" s="51" t="inlineStr">
        <is>
          <t>TRANSPARENT BOTTLE 150ML</t>
        </is>
      </c>
      <c r="D100" s="50" t="n">
        <v>8001</v>
      </c>
      <c r="E100" s="52" t="n">
        <v>319</v>
      </c>
      <c r="F100" s="52" t="n">
        <v>220000</v>
      </c>
      <c r="G100" s="53" t="n">
        <v>0</v>
      </c>
      <c r="H100" s="54">
        <f>F96-G96</f>
        <v/>
      </c>
      <c r="I100" s="29" t="n">
        <v>1</v>
      </c>
    </row>
    <row r="101" ht="15" customHeight="1" s="254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PET BOTTLE LARGE 200ML WHITE</t>
        </is>
      </c>
      <c r="D101" s="50" t="n">
        <v>8007</v>
      </c>
      <c r="E101" s="52" t="inlineStr">
        <is>
          <t>334 &amp; 338</t>
        </is>
      </c>
      <c r="F101" s="52" t="n">
        <v>10000</v>
      </c>
      <c r="G101" s="53">
        <f>SUMPRODUCT((Production_Log!$F$3:$F$8963=D97)*(MONTH(Production_Log!$A$3:$A$8963)=MONTH($H$1))*(YEAR(Production_Log!$A$3:$A$8963)=YEAR($H$1))*Production_Log!$H$3:$H$8963)</f>
        <v/>
      </c>
      <c r="H101" s="54">
        <f>F97-G97</f>
        <v/>
      </c>
      <c r="I101" s="29" t="n">
        <v>3</v>
      </c>
    </row>
    <row r="102" ht="36" customHeight="1" s="254">
      <c r="A102" s="50" t="inlineStr">
        <is>
          <t>200 ml</t>
        </is>
      </c>
      <c r="B102" s="50" t="inlineStr">
        <is>
          <t>Samsol International Private Limited</t>
        </is>
      </c>
      <c r="C102" s="51" t="inlineStr">
        <is>
          <t>BT-200ML MUSTARD OIL (TRANSPARENT)</t>
        </is>
      </c>
      <c r="D102" s="50" t="n">
        <v>8014</v>
      </c>
      <c r="E102" s="52" t="inlineStr">
        <is>
          <t>339</t>
        </is>
      </c>
      <c r="F102" s="52" t="n">
        <v>10000</v>
      </c>
      <c r="G102" s="53">
        <f>SUMPRODUCT((Production_Log!$F$3:$F$8963=D99)*(MONTH(Production_Log!$A$3:$A$8963)=MONTH($H$1))*(YEAR(Production_Log!$A$3:$A$8963)=YEAR($H$1))*Production_Log!$H$3:$H$8963)</f>
        <v/>
      </c>
      <c r="H102" s="54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54">
      <c r="A104" s="16" t="n"/>
      <c r="B104" s="16" t="n"/>
      <c r="C104" s="17" t="n"/>
      <c r="D104" s="16" t="n"/>
      <c r="E104" s="18" t="n"/>
      <c r="F104" s="18" t="n"/>
      <c r="G104" s="55" t="n"/>
      <c r="H104" s="18" t="n"/>
      <c r="I104" s="29" t="n"/>
    </row>
    <row r="105" ht="15" customHeight="1" s="254">
      <c r="A105" s="207" t="inlineStr">
        <is>
          <t>JUNE PET MATERIAL REQUIREMENT PLAN</t>
        </is>
      </c>
      <c r="B105" s="251" t="n"/>
      <c r="C105" s="251" t="n"/>
      <c r="D105" s="251" t="n"/>
      <c r="E105" s="251" t="n"/>
      <c r="F105" s="251" t="n"/>
      <c r="G105" s="205" t="n"/>
      <c r="H105" s="251" t="n"/>
      <c r="I105" s="251" t="n"/>
    </row>
    <row r="106" ht="15" customHeight="1" s="254">
      <c r="A106" s="56" t="inlineStr">
        <is>
          <t>Item ID</t>
        </is>
      </c>
      <c r="B106" s="56" t="inlineStr">
        <is>
          <t>Category</t>
        </is>
      </c>
      <c r="C106" s="57" t="inlineStr">
        <is>
          <t>Item Name</t>
        </is>
      </c>
      <c r="D106" s="56" t="inlineStr">
        <is>
          <t>UOM</t>
        </is>
      </c>
      <c r="E106" s="58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58" t="inlineStr">
        <is>
          <t>Product Name(s)</t>
        </is>
      </c>
      <c r="I106" s="59" t="inlineStr">
        <is>
          <t>Status</t>
        </is>
      </c>
      <c r="K106" s="59" t="inlineStr">
        <is>
          <t>ORDER QTY</t>
        </is>
      </c>
    </row>
    <row r="107" ht="15" customHeight="1" s="254">
      <c r="A107" s="21" t="n">
        <v>2680</v>
      </c>
      <c r="B107" s="21" t="inlineStr">
        <is>
          <t>PET RESIN</t>
        </is>
      </c>
      <c r="C107" s="60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61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62">
        <f>IF(E103=0,"Not needed",IF(G103&lt;0,"SHORTAGE",IF(G103&lt;F103*0.1,"LOW","OK")))</f>
        <v/>
      </c>
      <c r="K107" s="62">
        <f>IF(E103=0,"",MAX(0,E103-F103))</f>
        <v/>
      </c>
    </row>
    <row r="108" ht="15" customHeight="1" s="254">
      <c r="A108" s="21" t="n">
        <v>4070</v>
      </c>
      <c r="B108" s="21" t="inlineStr">
        <is>
          <t>MASTER BATCH</t>
        </is>
      </c>
      <c r="C108" s="60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61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62">
        <f>IF(E104=0,"Not needed",IF(G104&lt;0,"SHORTAGE",IF(G104&lt;F104*0.1,"LOW","OK")))</f>
        <v/>
      </c>
      <c r="K108" s="62">
        <f>IF(E104=0,"",MAX(0,E104-F104))</f>
        <v/>
      </c>
    </row>
    <row r="109" ht="15" customHeight="1" s="254">
      <c r="A109" s="21" t="n">
        <v>5816</v>
      </c>
      <c r="B109" s="21" t="inlineStr">
        <is>
          <t>MASTER BATCH</t>
        </is>
      </c>
      <c r="C109" s="60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61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62">
        <f>IF(E105=0,"Not needed",IF(G105&lt;0,"SHORTAGE",IF(G105&lt;F105*0.1,"LOW","OK")))</f>
        <v/>
      </c>
      <c r="K109" s="62">
        <f>IF(E105=0,"",MAX(0,E105-F105))</f>
        <v/>
      </c>
    </row>
    <row r="110" ht="15" customHeight="1" s="254">
      <c r="A110" s="21" t="n">
        <v>5977</v>
      </c>
      <c r="B110" s="21" t="inlineStr">
        <is>
          <t>MASTER CARTON</t>
        </is>
      </c>
      <c r="C110" s="60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61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62">
        <f>IF(E106=0,"Not needed",IF(G106&lt;0,"SHORTAGE",IF(G106&lt;F106*0.1,"LOW","OK")))</f>
        <v/>
      </c>
      <c r="K110" s="62">
        <f>IF(E106=0,"",MAX(0,E106-F106))</f>
        <v/>
      </c>
    </row>
    <row r="111" ht="18" customHeight="1" s="254">
      <c r="A111" s="273" t="n">
        <v>2267</v>
      </c>
      <c r="B111" s="251" t="n"/>
      <c r="C111" s="251" t="n"/>
      <c r="D111" s="251" t="n"/>
      <c r="E111" s="251" t="n"/>
      <c r="F111" s="251" t="n"/>
      <c r="G111" s="251" t="n"/>
      <c r="H111" s="251" t="n"/>
      <c r="I111" s="252" t="n"/>
      <c r="K111" s="63">
        <f>IF(E107=0,"",MAX(0,E107-F107))</f>
        <v/>
      </c>
    </row>
    <row r="112" ht="30" customHeight="1" s="254">
      <c r="A112" s="21" t="n">
        <v>3006</v>
      </c>
      <c r="B112" s="21" t="inlineStr">
        <is>
          <t>POLY BAG</t>
        </is>
      </c>
      <c r="C112" s="60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61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63">
        <f>IF(E108=0,"Not needed",IF(G108&lt;0,"SHORTAGE",IF(G108&lt;F108*0.1,"LOW","OK")))</f>
        <v/>
      </c>
      <c r="K112" s="63">
        <f>IF(E108=0,"",MAX(0,E108-F108))</f>
        <v/>
      </c>
    </row>
    <row r="113" ht="15" customHeight="1" s="254">
      <c r="A113" s="21" t="n">
        <v>3635</v>
      </c>
      <c r="B113" s="21" t="inlineStr">
        <is>
          <t>TAPE</t>
        </is>
      </c>
      <c r="C113" s="60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61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63">
        <f>IF(E109=0,"Not needed",IF(G109&lt;0,"SHORTAGE",IF(G109&lt;F109*0.1,"LOW","OK")))</f>
        <v/>
      </c>
      <c r="K113" s="63">
        <f>IF(E109=0,"",MAX(0,E109-F109))</f>
        <v/>
      </c>
    </row>
    <row r="114" ht="15" customHeight="1" s="254">
      <c r="A114" s="21" t="n">
        <v>3043</v>
      </c>
      <c r="B114" s="21" t="inlineStr">
        <is>
          <t>PACKING</t>
        </is>
      </c>
      <c r="C114" s="60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61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63">
        <f>IF(E110=0,"Not needed",IF(G110&lt;0,"SHORTAGE",IF(G110&lt;F110*0.1,"LOW","OK")))</f>
        <v/>
      </c>
      <c r="K114" s="63">
        <f>IF(E110=0,"",MAX(0,E110-F110))</f>
        <v/>
      </c>
    </row>
    <row r="115" ht="15" customHeight="1" s="254">
      <c r="A115" s="202" t="n"/>
      <c r="B115" s="251" t="n"/>
      <c r="C115" s="251" t="n"/>
      <c r="D115" s="251" t="n"/>
      <c r="E115" s="251" t="n"/>
      <c r="F115" s="251" t="n"/>
      <c r="G115" s="205" t="n"/>
      <c r="H115" s="251" t="n"/>
      <c r="I115" s="252" t="n"/>
    </row>
    <row r="116" ht="15" customHeight="1" s="254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49" t="n"/>
      <c r="I116" s="49" t="n"/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</row>
    <row r="117" ht="15" customHeight="1" s="254">
      <c r="A117" s="56" t="inlineStr">
        <is>
          <t>Item ID</t>
        </is>
      </c>
      <c r="B117" s="56" t="inlineStr">
        <is>
          <t>Category</t>
        </is>
      </c>
      <c r="C117" s="57" t="inlineStr">
        <is>
          <t>Item Name</t>
        </is>
      </c>
      <c r="D117" s="56" t="inlineStr">
        <is>
          <t>UOM</t>
        </is>
      </c>
      <c r="E117" s="179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79" t="inlineStr">
        <is>
          <t>Current Stock
(Store + WIP)</t>
        </is>
      </c>
      <c r="I117" s="56" t="inlineStr">
        <is>
          <t>g / 1,000
tubes (ref)</t>
        </is>
      </c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54">
      <c r="A118" s="21" t="n">
        <v>3734</v>
      </c>
      <c r="B118" s="21" t="inlineStr">
        <is>
          <t>INK</t>
        </is>
      </c>
      <c r="C118" s="60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80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81" t="n">
        <v>6.38</v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54">
      <c r="A119" s="21" t="n">
        <v>6038</v>
      </c>
      <c r="B119" s="21" t="inlineStr">
        <is>
          <t>INK</t>
        </is>
      </c>
      <c r="C119" s="60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80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81" t="n">
        <v>2.9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54">
      <c r="A120" s="21" t="n">
        <v>3858</v>
      </c>
      <c r="B120" s="21" t="inlineStr">
        <is>
          <t>INK</t>
        </is>
      </c>
      <c r="C120" s="60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80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81" t="n">
        <v>2.8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54">
      <c r="A121" s="21" t="n">
        <v>3754</v>
      </c>
      <c r="B121" s="21" t="inlineStr">
        <is>
          <t>INK</t>
        </is>
      </c>
      <c r="C121" s="60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80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81" t="n">
        <v>2.67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8.75" customHeight="1" s="254">
      <c r="A122" s="21" t="n">
        <v>3755</v>
      </c>
      <c r="B122" s="21" t="inlineStr">
        <is>
          <t>INK</t>
        </is>
      </c>
      <c r="C122" s="60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80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81" t="n">
        <v>2.44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54">
      <c r="A123" s="21" t="n">
        <v>1928</v>
      </c>
      <c r="B123" s="21" t="inlineStr">
        <is>
          <t>INK</t>
        </is>
      </c>
      <c r="C123" s="60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80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81" t="n">
        <v>2.32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8.75" customHeight="1" s="254">
      <c r="A124" s="21" t="n">
        <v>7094</v>
      </c>
      <c r="B124" s="21" t="inlineStr">
        <is>
          <t>INK</t>
        </is>
      </c>
      <c r="C124" s="60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80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81" t="n">
        <v>2.32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54">
      <c r="A125" s="21" t="n">
        <v>3736</v>
      </c>
      <c r="B125" s="21" t="inlineStr">
        <is>
          <t>INK</t>
        </is>
      </c>
      <c r="C125" s="60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80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81" t="n">
        <v>1.6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8.75" customHeight="1" s="254">
      <c r="A126" s="21" t="n">
        <v>3955</v>
      </c>
      <c r="B126" s="21" t="inlineStr">
        <is>
          <t>INK</t>
        </is>
      </c>
      <c r="C126" s="60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80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81" t="n">
        <v>1.28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54">
      <c r="A127" s="21" t="n">
        <v>7398</v>
      </c>
      <c r="B127" s="21" t="inlineStr">
        <is>
          <t>INK</t>
        </is>
      </c>
      <c r="C127" s="60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80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81" t="n">
        <v>1.04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54">
      <c r="A128" s="21" t="n">
        <v>3857</v>
      </c>
      <c r="B128" s="21" t="inlineStr">
        <is>
          <t>INK</t>
        </is>
      </c>
      <c r="C128" s="60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80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81" t="n">
        <v>0.8100000000000001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54">
      <c r="A129" s="21" t="n">
        <v>6040</v>
      </c>
      <c r="B129" s="21" t="inlineStr">
        <is>
          <t>INK</t>
        </is>
      </c>
      <c r="C129" s="60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80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81" t="n">
        <v>0.7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5" customHeight="1" s="254">
      <c r="A130" s="21" t="n">
        <v>5107</v>
      </c>
      <c r="B130" s="21" t="inlineStr">
        <is>
          <t>INK</t>
        </is>
      </c>
      <c r="C130" s="60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80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81" t="n">
        <v>0.7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5" customHeight="1" s="254">
      <c r="A131" s="21" t="n">
        <v>7152</v>
      </c>
      <c r="B131" s="21" t="inlineStr">
        <is>
          <t>INK</t>
        </is>
      </c>
      <c r="C131" s="60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80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81" t="n">
        <v>0.58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8.75" customHeight="1" s="254">
      <c r="A132" s="21" t="n">
        <v>7095</v>
      </c>
      <c r="B132" s="21" t="inlineStr">
        <is>
          <t>INK</t>
        </is>
      </c>
      <c r="C132" s="60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80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81" t="n">
        <v>0.46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36" customHeight="1" s="254">
      <c r="A133" s="21" t="n">
        <v>118</v>
      </c>
      <c r="B133" s="21" t="inlineStr">
        <is>
          <t>INK</t>
        </is>
      </c>
      <c r="C133" s="60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80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81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54">
      <c r="A134" s="21" t="n">
        <v>2284</v>
      </c>
      <c r="B134" s="21" t="inlineStr">
        <is>
          <t>INK</t>
        </is>
      </c>
      <c r="C134" s="60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80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81" t="n">
        <v>0.46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5" customHeight="1" s="254">
      <c r="A135" s="21" t="n">
        <v>110</v>
      </c>
      <c r="B135" s="21" t="inlineStr">
        <is>
          <t>INK</t>
        </is>
      </c>
      <c r="C135" s="60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80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81" t="n">
        <v>0.35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15" customHeight="1" s="254">
      <c r="A136" s="21" t="n">
        <v>129</v>
      </c>
      <c r="B136" s="21" t="inlineStr">
        <is>
          <t>INK</t>
        </is>
      </c>
      <c r="C136" s="60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80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81" t="n">
        <v>0.35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54">
      <c r="A137" s="21" t="n">
        <v>6049</v>
      </c>
      <c r="B137" s="21" t="inlineStr">
        <is>
          <t>INK</t>
        </is>
      </c>
      <c r="C137" s="60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80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81" t="n">
        <v>0.23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54">
      <c r="A138" s="21" t="n">
        <v>3770</v>
      </c>
      <c r="B138" s="21" t="inlineStr">
        <is>
          <t>INK</t>
        </is>
      </c>
      <c r="C138" s="60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80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81" t="n">
        <v>0.23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54">
      <c r="A139" s="21" t="n">
        <v>130</v>
      </c>
      <c r="B139" s="21" t="inlineStr">
        <is>
          <t>INK</t>
        </is>
      </c>
      <c r="C139" s="60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80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81" t="n">
        <v>0.12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54">
      <c r="A140" s="21" t="n">
        <v>124</v>
      </c>
      <c r="B140" s="21" t="inlineStr">
        <is>
          <t>INK</t>
        </is>
      </c>
      <c r="C140" s="60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80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81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54">
      <c r="A141" s="21" t="n">
        <v>3968</v>
      </c>
      <c r="B141" s="21" t="inlineStr">
        <is>
          <t>INK</t>
        </is>
      </c>
      <c r="C141" s="60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80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81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54">
      <c r="A142" s="21" t="n">
        <v>3642</v>
      </c>
      <c r="B142" s="21" t="inlineStr">
        <is>
          <t>INK</t>
        </is>
      </c>
      <c r="C142" s="60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80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81" t="n">
        <v>0.12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54">
      <c r="A143" s="21" t="n">
        <v>104</v>
      </c>
      <c r="B143" s="21" t="inlineStr">
        <is>
          <t>INK</t>
        </is>
      </c>
      <c r="C143" s="60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80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81" t="n">
        <v>0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54">
      <c r="A144" s="21" t="n">
        <v>105</v>
      </c>
      <c r="B144" s="21" t="inlineStr">
        <is>
          <t>INK</t>
        </is>
      </c>
      <c r="C144" s="60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80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81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>
      <c r="A145" s="21" t="n">
        <v>127</v>
      </c>
      <c r="B145" s="21" t="inlineStr">
        <is>
          <t>INK</t>
        </is>
      </c>
      <c r="C145" s="60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80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81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>
      <c r="A146" s="21" t="n">
        <v>3800</v>
      </c>
      <c r="B146" s="21" t="inlineStr">
        <is>
          <t>INK</t>
        </is>
      </c>
      <c r="C146" s="60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80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81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54">
      <c r="A147" s="21" t="n">
        <v>4216</v>
      </c>
      <c r="B147" s="21" t="inlineStr">
        <is>
          <t>INK</t>
        </is>
      </c>
      <c r="C147" s="60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80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81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 ht="15" customHeight="1" s="254">
      <c r="A148" s="21" t="n">
        <v>4306</v>
      </c>
      <c r="B148" s="21" t="inlineStr">
        <is>
          <t>INK</t>
        </is>
      </c>
      <c r="C148" s="60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80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81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49" ht="15" customHeight="1" s="254">
      <c r="A149" s="21" t="n">
        <v>6935</v>
      </c>
      <c r="B149" s="21" t="inlineStr">
        <is>
          <t>INK</t>
        </is>
      </c>
      <c r="C149" s="60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80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81" t="n">
        <v>0</v>
      </c>
      <c r="J149" s="64" t="n"/>
      <c r="K149" s="64" t="n"/>
      <c r="L149" s="64" t="n"/>
      <c r="M149" s="64" t="n"/>
      <c r="N149" s="64" t="n"/>
      <c r="O149" s="64" t="n"/>
      <c r="P149" s="64" t="n"/>
      <c r="Q149" s="64" t="n"/>
      <c r="R149" s="64" t="n"/>
      <c r="S149" s="64" t="n"/>
      <c r="T149" s="64" t="n"/>
      <c r="U149" s="64" t="n"/>
    </row>
    <row r="150" ht="15" customHeight="1" s="254"/>
    <row r="151" ht="15" customHeight="1" s="254"/>
    <row r="152" ht="15" customHeight="1" s="254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54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54">
      <c r="A154" s="56" t="inlineStr">
        <is>
          <t>PID</t>
        </is>
      </c>
      <c r="B154" s="56" t="inlineStr">
        <is>
          <t>Customer</t>
        </is>
      </c>
      <c r="C154" s="57" t="inlineStr">
        <is>
          <t>Product Name</t>
        </is>
      </c>
      <c r="D154" s="56" t="inlineStr">
        <is>
          <t>Cap Item ID</t>
        </is>
      </c>
      <c r="E154" s="179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60">
        <f>IFERROR(VLOOKUP(A151,Product_Catalog!$A$3:$D$100,3,0),"-")</f>
        <v/>
      </c>
      <c r="C155" s="60">
        <f>IFERROR(VLOOKUP(A151,Product_Catalog!$A$3:$D$100,4,0),"-")</f>
        <v/>
      </c>
      <c r="D155" s="21" t="n">
        <v>1285</v>
      </c>
      <c r="E155" s="182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83" t="inlineStr">
        <is>
          <t>Included in ORDER QTY above</t>
        </is>
      </c>
    </row>
    <row r="156">
      <c r="A156" s="21" t="n">
        <v>6624</v>
      </c>
      <c r="B156" s="60">
        <f>IFERROR(VLOOKUP(A152,Product_Catalog!$A$3:$D$100,3,0),"-")</f>
        <v/>
      </c>
      <c r="C156" s="60">
        <f>IFERROR(VLOOKUP(A152,Product_Catalog!$A$3:$D$100,4,0),"-")</f>
        <v/>
      </c>
      <c r="D156" s="21" t="n">
        <v>80</v>
      </c>
      <c r="E156" s="182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83" t="inlineStr">
        <is>
          <t>Included in ORDER QTY above</t>
        </is>
      </c>
    </row>
    <row r="157">
      <c r="A157" s="21" t="n">
        <v>5699</v>
      </c>
      <c r="B157" s="60">
        <f>IFERROR(VLOOKUP(A153,Product_Catalog!$A$3:$D$100,3,0),"-")</f>
        <v/>
      </c>
      <c r="C157" s="60">
        <f>IFERROR(VLOOKUP(A153,Product_Catalog!$A$3:$D$100,4,0),"-")</f>
        <v/>
      </c>
      <c r="D157" s="21" t="n">
        <v>6971</v>
      </c>
      <c r="E157" s="182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83" t="inlineStr">
        <is>
          <t>Included in ORDER QTY above</t>
        </is>
      </c>
    </row>
    <row r="158">
      <c r="A158" s="21" t="n">
        <v>5731</v>
      </c>
      <c r="B158" s="60">
        <f>IFERROR(VLOOKUP(A154,Product_Catalog!$A$3:$D$100,3,0),"-")</f>
        <v/>
      </c>
      <c r="C158" s="60">
        <f>IFERROR(VLOOKUP(A154,Product_Catalog!$A$3:$D$100,4,0),"-")</f>
        <v/>
      </c>
      <c r="D158" s="21" t="n">
        <v>6971</v>
      </c>
      <c r="E158" s="182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83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25"/>
        <filter val="135,195"/>
        <filter val="138"/>
        <filter val="15"/>
        <filter val="174"/>
        <filter val="188"/>
        <filter val="194"/>
        <filter val="2"/>
        <filter val="25,500"/>
        <filter val="3"/>
        <filter val="36,006"/>
        <filter val="434"/>
        <filter val="50"/>
        <filter val="69"/>
        <filter val="86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306" activePane="bottomLeft" state="frozen"/>
      <selection activeCell="C1" sqref="C1"/>
      <selection pane="bottomLeft" activeCell="C312" sqref="C312"/>
    </sheetView>
  </sheetViews>
  <sheetFormatPr baseColWidth="8" defaultColWidth="8.7109375" defaultRowHeight="15"/>
  <cols>
    <col width="10" customWidth="1" style="254" min="1" max="1"/>
    <col width="8" customWidth="1" style="254" min="2" max="2"/>
    <col width="37.7109375" customWidth="1" style="255" min="3" max="3"/>
    <col width="39" customWidth="1" style="255" min="4" max="4"/>
    <col width="6" customWidth="1" style="254" min="5" max="5"/>
    <col width="16" customWidth="1" style="254" min="6" max="6"/>
    <col width="8" customWidth="1" style="254" min="7" max="7"/>
    <col width="30" customWidth="1" style="255" min="8" max="8"/>
    <col width="6" customWidth="1" style="254" min="9" max="9"/>
    <col width="14" customWidth="1" style="256" min="10" max="10"/>
    <col width="16" customWidth="1" style="255" min="11" max="11"/>
    <col width="8" customWidth="1" style="257" min="12" max="12"/>
    <col width="68.28515625" customWidth="1" style="67" min="13" max="13"/>
  </cols>
  <sheetData>
    <row r="1" ht="20.25" customHeight="1" s="254">
      <c r="A1" s="274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54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54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54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54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54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54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54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54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54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54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54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54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54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54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54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54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54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54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54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54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54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54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54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54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54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54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54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54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54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54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54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54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54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54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54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54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54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54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54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54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54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54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54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54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54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54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54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54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54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54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54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54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54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54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54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54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54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54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54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54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54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54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54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54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54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54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54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54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54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54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54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54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54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54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54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54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54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54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54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54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54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54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54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54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54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54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54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54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54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54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54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54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54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54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54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54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54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54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54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54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54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54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54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54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54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54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54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54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54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54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54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54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54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54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54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54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54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54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54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54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54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54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54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54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54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54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54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54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54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54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54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54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54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54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54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54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54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54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54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54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54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54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54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54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54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54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54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54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54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54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54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54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54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54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54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54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54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54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54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54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54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54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54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54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54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54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54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54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54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54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54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54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54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54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54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54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54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54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54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54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54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54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54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54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54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54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54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54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54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54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54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54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54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54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54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54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54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54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54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54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54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54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54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54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54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54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54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54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54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54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54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54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54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54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54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54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54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54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54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54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54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54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54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54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54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54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54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54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54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54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54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54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54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54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54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54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54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54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54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54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54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54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54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54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54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54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54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54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54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54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54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54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54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54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54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54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54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54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54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54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54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54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54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54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54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54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54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54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54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54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54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54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54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54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54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54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54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54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54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54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54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54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54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54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54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54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54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54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54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54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54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54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54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54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54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54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54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54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54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54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54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54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54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54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54">
      <c r="A308" s="75" t="n">
        <v>5389</v>
      </c>
      <c r="B308" s="75" t="n">
        <v>35</v>
      </c>
      <c r="C308" s="75" t="inlineStr">
        <is>
          <t>Samsol International Private Limited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54">
      <c r="A309" s="75" t="n">
        <v>5389</v>
      </c>
      <c r="B309" s="75" t="n">
        <v>35</v>
      </c>
      <c r="C309" s="75" t="inlineStr">
        <is>
          <t>Samsol International Private Limited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54">
      <c r="A310" s="75" t="n">
        <v>5389</v>
      </c>
      <c r="B310" s="75" t="n">
        <v>35</v>
      </c>
      <c r="C310" s="75" t="inlineStr">
        <is>
          <t>Samsol International Private Limited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54">
      <c r="A311" s="75" t="n">
        <v>5389</v>
      </c>
      <c r="B311" s="75" t="n">
        <v>35</v>
      </c>
      <c r="C311" s="75" t="inlineStr">
        <is>
          <t>Samsol International Private Limited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54">
      <c r="A312" s="75" t="n">
        <v>5389</v>
      </c>
      <c r="B312" s="75" t="n">
        <v>35</v>
      </c>
      <c r="C312" s="75" t="inlineStr">
        <is>
          <t>Samsol International Private Limited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54">
      <c r="A313" s="75" t="n">
        <v>5389</v>
      </c>
      <c r="B313" s="75" t="n">
        <v>35</v>
      </c>
      <c r="C313" s="75" t="inlineStr">
        <is>
          <t>Samsol International Private Limited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54">
      <c r="A314" s="75" t="n">
        <v>5389</v>
      </c>
      <c r="B314" s="75" t="n">
        <v>35</v>
      </c>
      <c r="C314" s="75" t="inlineStr">
        <is>
          <t>Samsol International Private Limited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54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54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54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54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54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54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54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54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54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54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54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54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54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54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54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54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54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54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54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54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54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54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54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54"/>
    <row r="339" ht="15" customHeight="1" s="254"/>
    <row r="340" ht="15" customHeight="1" s="254"/>
    <row r="341" ht="15" customHeight="1" s="254"/>
    <row r="342" ht="15" customHeight="1" s="254"/>
    <row r="343" ht="15" customHeight="1" s="254"/>
    <row r="344" ht="15" customHeight="1" s="254"/>
    <row r="345" ht="15" customHeight="1" s="254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55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54" min="1" max="1"/>
    <col width="15.28515625" customWidth="1" style="254" min="2" max="2"/>
    <col width="34.140625" customWidth="1" style="254" min="3" max="3"/>
    <col width="6" customWidth="1" style="254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54" min="11" max="11"/>
  </cols>
  <sheetData>
    <row r="1" ht="19.5" customHeight="1" s="254">
      <c r="A1" s="258" t="inlineStr">
        <is>
          <t>Slugs Inventory — June 2026 MONTH TO DATE</t>
        </is>
      </c>
      <c r="B1" s="249" t="n"/>
      <c r="C1" s="249" t="n"/>
      <c r="D1" s="249" t="n"/>
      <c r="E1" s="249" t="n"/>
      <c r="F1" s="249" t="n"/>
      <c r="G1" s="249" t="n"/>
      <c r="H1" s="249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4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54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54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54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625</v>
      </c>
      <c r="H7" s="53">
        <f>E7+F7-G7</f>
        <v/>
      </c>
      <c r="I7" s="52" t="n">
        <v>35</v>
      </c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54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0</v>
      </c>
      <c r="F8" s="52" t="n">
        <v>0</v>
      </c>
      <c r="G8" s="52" t="n">
        <v>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54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54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54"/>
    <row r="12" ht="18.75" customHeight="1" s="254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54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54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54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54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54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100</v>
      </c>
      <c r="G18" s="52" t="n">
        <v>25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54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54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54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54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210</v>
      </c>
      <c r="G22" s="52" t="n">
        <v>60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54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54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54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54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54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54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54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54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54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54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54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54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54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54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54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54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54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54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54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54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54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54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52000</v>
      </c>
      <c r="G44" s="52" t="n">
        <v>52000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54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54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50000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54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54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95000</v>
      </c>
      <c r="G48" s="52" t="n">
        <v>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54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54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54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54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54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54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54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54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54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54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54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301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54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54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54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35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54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24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54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25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54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25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54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54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54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54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54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54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54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54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54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54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54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54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54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2</v>
      </c>
      <c r="G78" s="52" t="n">
        <v>1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54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54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54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54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7</v>
      </c>
      <c r="G82" s="52" t="n">
        <v>4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54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0</v>
      </c>
      <c r="F83" s="52" t="n">
        <v>2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54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54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54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54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54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54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54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54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54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54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54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54"/>
    <row r="96" ht="15" customHeight="1" s="254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54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4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1400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54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54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54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54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54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54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54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54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54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54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54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54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54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54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54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2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D52" sqref="D52"/>
    </sheetView>
  </sheetViews>
  <sheetFormatPr baseColWidth="8" defaultColWidth="8.7109375" defaultRowHeight="15"/>
  <cols>
    <col width="10" customWidth="1" style="254" min="1" max="1"/>
    <col width="36.85546875" customWidth="1" style="254" min="2" max="2"/>
    <col width="37.7109375" customWidth="1" style="254" min="3" max="3"/>
    <col width="40" customWidth="1" style="254" min="4" max="4"/>
    <col width="10" customWidth="1" style="254" min="5" max="5"/>
    <col width="11.42578125" customWidth="1" style="254" min="6" max="6"/>
    <col width="8" customWidth="1" style="254" min="7" max="7"/>
    <col width="12" customWidth="1" style="254" min="8" max="19"/>
  </cols>
  <sheetData>
    <row r="1" ht="20.25" customHeight="1" s="254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54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54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54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54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54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54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54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4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54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54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54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54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54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54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54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54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54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54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54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54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54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54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54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54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54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54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54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54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54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54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54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54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54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54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54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54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54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54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54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54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54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54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54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54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54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54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54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54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54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54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54">
      <c r="A52" s="75" t="n">
        <v>5389</v>
      </c>
      <c r="B52" s="75" t="n">
        <v>35</v>
      </c>
      <c r="C52" s="75" t="inlineStr">
        <is>
          <t>Samsol International Private Limited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54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54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47"/>
  <sheetViews>
    <sheetView zoomScaleNormal="100" workbookViewId="0">
      <selection activeCell="D2" sqref="D2"/>
    </sheetView>
  </sheetViews>
  <sheetFormatPr baseColWidth="8" defaultColWidth="8.7109375" defaultRowHeight="15"/>
  <cols>
    <col width="20.85546875" customWidth="1" style="254" min="1" max="1"/>
    <col width="14" customWidth="1" style="254" min="2" max="2"/>
    <col width="34" customWidth="1" style="255" min="3" max="3"/>
    <col width="21.7109375" customWidth="1" style="255" min="4" max="4"/>
    <col width="12" customWidth="1" style="254" min="5" max="6"/>
    <col width="14" customWidth="1" style="254" min="7" max="7"/>
    <col width="20" customWidth="1" style="254" min="8" max="8"/>
    <col width="12.85546875" customWidth="1" style="254" min="9" max="9"/>
    <col width="10" customWidth="1" style="254" min="10" max="10"/>
    <col width="14" customWidth="1" style="254" min="11" max="12"/>
    <col width="18" customWidth="1" style="254" min="13" max="13"/>
    <col width="14" customWidth="1" style="254" min="14" max="15"/>
    <col width="18" customWidth="1" style="254" min="16" max="16"/>
    <col width="17.140625" customWidth="1" style="254" min="17" max="17"/>
    <col width="16" customWidth="1" style="254" min="18" max="18"/>
  </cols>
  <sheetData>
    <row r="1" ht="15" customHeight="1" s="254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54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t="15" customHeight="1" s="254">
      <c r="A3" s="285" t="n">
        <v>46174</v>
      </c>
      <c r="B3" s="282" t="inlineStr">
        <is>
          <t>Lacquer-02</t>
        </is>
      </c>
      <c r="C3" s="282" t="inlineStr">
        <is>
          <t>Samsol International Private Limited</t>
        </is>
      </c>
      <c r="D3" s="282" t="inlineStr">
        <is>
          <t>S-45</t>
        </is>
      </c>
      <c r="E3" s="282" t="n">
        <v>25</v>
      </c>
      <c r="F3" s="282" t="n">
        <v>5389</v>
      </c>
      <c r="G3" s="283" t="n">
        <v>14000</v>
      </c>
      <c r="H3" s="283" t="n">
        <v>13770</v>
      </c>
      <c r="I3" s="283" t="n">
        <v>230</v>
      </c>
      <c r="J3" s="284">
        <f>IFERROR(I3/(H3+I3),"")</f>
        <v/>
      </c>
      <c r="K3" s="282" t="n"/>
      <c r="L3" s="282" t="n"/>
      <c r="M3" s="282" t="n">
        <v>120</v>
      </c>
      <c r="N3" s="282" t="n"/>
      <c r="O3" s="282" t="n"/>
      <c r="P3" s="282" t="n"/>
      <c r="Q3" s="282" t="n"/>
      <c r="R3" s="282" t="n"/>
      <c r="S3" s="282" t="n"/>
    </row>
    <row r="4" ht="15" customHeight="1" s="254">
      <c r="A4" s="285" t="n">
        <v>46174</v>
      </c>
      <c r="B4" s="282" t="inlineStr">
        <is>
          <t>Lacquer-04</t>
        </is>
      </c>
      <c r="C4" s="282" t="inlineStr">
        <is>
          <t>Golden Pearl Cosmetics (PVT) LTD</t>
        </is>
      </c>
      <c r="D4" s="282" t="inlineStr">
        <is>
          <t>HELLO HAIR COLOR</t>
        </is>
      </c>
      <c r="E4" s="282" t="n">
        <v>30</v>
      </c>
      <c r="F4" s="282" t="n">
        <v>6206</v>
      </c>
      <c r="G4" s="283" t="n">
        <v>3000</v>
      </c>
      <c r="H4" s="283" t="n">
        <v>2940</v>
      </c>
      <c r="I4" s="283" t="n">
        <v>60</v>
      </c>
      <c r="J4" s="284">
        <f>IFERROR(I4/(H4+I4),"")</f>
        <v/>
      </c>
      <c r="K4" s="282" t="n"/>
      <c r="L4" s="282" t="n"/>
      <c r="M4" s="282" t="n"/>
      <c r="N4" s="282" t="n"/>
      <c r="O4" s="282" t="n"/>
      <c r="P4" s="282" t="n"/>
      <c r="Q4" s="282" t="n"/>
      <c r="R4" s="282" t="n"/>
      <c r="S4" s="282" t="n"/>
    </row>
    <row r="5" ht="15" customHeight="1" s="254">
      <c r="A5" s="285" t="n">
        <v>46174</v>
      </c>
      <c r="B5" s="282" t="inlineStr">
        <is>
          <t>Latex-01</t>
        </is>
      </c>
      <c r="C5" s="282" t="inlineStr">
        <is>
          <t>Golden Pearl Cosmetics (PVT) LTD</t>
        </is>
      </c>
      <c r="D5" s="282" t="inlineStr">
        <is>
          <t>HELLO HAIR COLOR</t>
        </is>
      </c>
      <c r="E5" s="282" t="n">
        <v>30</v>
      </c>
      <c r="F5" s="282" t="n">
        <v>6206</v>
      </c>
      <c r="G5" s="283" t="n">
        <v>26000</v>
      </c>
      <c r="H5" s="283" t="n">
        <v>25990</v>
      </c>
      <c r="I5" s="283" t="n">
        <v>10</v>
      </c>
      <c r="J5" s="284">
        <f>IFERROR(I5/(H5+I5),"")</f>
        <v/>
      </c>
      <c r="K5" s="282" t="n"/>
      <c r="L5" s="282" t="n"/>
      <c r="M5" s="282" t="n"/>
      <c r="N5" s="282" t="n"/>
      <c r="O5" s="282" t="n"/>
      <c r="P5" s="282" t="n"/>
      <c r="Q5" s="282" t="n"/>
      <c r="R5" s="282" t="n"/>
      <c r="S5" s="282" t="n"/>
    </row>
    <row r="6" ht="15" customHeight="1" s="254">
      <c r="A6" s="285" t="n">
        <v>46174</v>
      </c>
      <c r="B6" s="282" t="inlineStr">
        <is>
          <t>PF Machine</t>
        </is>
      </c>
      <c r="C6" s="282" t="inlineStr">
        <is>
          <t>Alpha Labs PVT LTD</t>
        </is>
      </c>
      <c r="D6" s="282" t="inlineStr">
        <is>
          <t>TRANSPARENT BOTTLE 150ML</t>
        </is>
      </c>
      <c r="E6" s="282" t="inlineStr">
        <is>
          <t>150 ml</t>
        </is>
      </c>
      <c r="F6" s="282" t="n">
        <v>8001</v>
      </c>
      <c r="G6" s="283" t="n">
        <v>0</v>
      </c>
      <c r="H6" s="283" t="n">
        <v>0</v>
      </c>
      <c r="I6" s="283" t="n">
        <v>0</v>
      </c>
      <c r="J6" s="284">
        <f>IFERROR(I6/(H6+I6),"")</f>
        <v/>
      </c>
      <c r="K6" s="282" t="n"/>
      <c r="L6" s="282" t="n"/>
      <c r="M6" s="282" t="n"/>
      <c r="N6" s="282" t="n"/>
      <c r="O6" s="282" t="n">
        <v>480</v>
      </c>
      <c r="P6" s="282" t="n"/>
      <c r="Q6" s="282" t="n"/>
      <c r="R6" s="282" t="n"/>
      <c r="S6" s="282" t="n"/>
    </row>
    <row r="7" ht="15" customHeight="1" s="254">
      <c r="A7" s="285" t="n">
        <v>46174</v>
      </c>
      <c r="B7" s="282" t="inlineStr">
        <is>
          <t>Press-04</t>
        </is>
      </c>
      <c r="C7" s="282" t="inlineStr">
        <is>
          <t>Mablay Beauty PVT LTD.</t>
        </is>
      </c>
      <c r="D7" s="282" t="inlineStr">
        <is>
          <t>VINCE NURTURAL</t>
        </is>
      </c>
      <c r="E7" s="282" t="n">
        <v>30</v>
      </c>
      <c r="F7" s="282" t="n">
        <v>5814</v>
      </c>
      <c r="G7" s="283" t="n">
        <v>0</v>
      </c>
      <c r="H7" s="283" t="n">
        <v>0</v>
      </c>
      <c r="I7" s="283" t="n">
        <v>0</v>
      </c>
      <c r="J7" s="284">
        <f>IFERROR(I7/(H7+I7),"")</f>
        <v/>
      </c>
      <c r="K7" s="282" t="n"/>
      <c r="L7" s="282" t="n"/>
      <c r="M7" s="282" t="n"/>
      <c r="N7" s="282" t="n"/>
      <c r="O7" s="282" t="n"/>
      <c r="P7" s="282" t="n"/>
      <c r="Q7" s="282" t="n"/>
      <c r="R7" s="282" t="n"/>
      <c r="S7" s="282" t="n"/>
    </row>
    <row r="8" ht="15" customHeight="1" s="254">
      <c r="A8" s="285" t="n">
        <v>46174</v>
      </c>
      <c r="B8" s="282" t="inlineStr">
        <is>
          <t>Press-06</t>
        </is>
      </c>
      <c r="C8" s="282" t="inlineStr">
        <is>
          <t>Samsol International Private Limited</t>
        </is>
      </c>
      <c r="D8" s="282" t="inlineStr">
        <is>
          <t>S-45</t>
        </is>
      </c>
      <c r="E8" s="282" t="n">
        <v>25</v>
      </c>
      <c r="F8" s="282" t="n">
        <v>5389</v>
      </c>
      <c r="G8" s="283" t="n">
        <v>20000</v>
      </c>
      <c r="H8" s="283" t="n">
        <v>19890</v>
      </c>
      <c r="I8" s="283" t="n">
        <v>110</v>
      </c>
      <c r="J8" s="284">
        <f>IFERROR(I8/(H8+I8),"")</f>
        <v/>
      </c>
      <c r="K8" s="282" t="n"/>
      <c r="L8" s="282" t="n"/>
      <c r="M8" s="282" t="n"/>
      <c r="N8" s="282" t="n"/>
      <c r="O8" s="282" t="n"/>
      <c r="P8" s="282" t="n"/>
      <c r="Q8" s="282" t="n"/>
      <c r="R8" s="282" t="n"/>
      <c r="S8" s="282" t="n"/>
    </row>
    <row r="9" ht="15" customHeight="1" s="254">
      <c r="A9" s="285" t="n">
        <v>46174</v>
      </c>
      <c r="B9" s="282" t="inlineStr">
        <is>
          <t>Printing-03</t>
        </is>
      </c>
      <c r="C9" s="282" t="inlineStr">
        <is>
          <t>Samsol International Private Limited</t>
        </is>
      </c>
      <c r="D9" s="282" t="inlineStr">
        <is>
          <t>S-45</t>
        </is>
      </c>
      <c r="E9" s="282" t="n">
        <v>25</v>
      </c>
      <c r="F9" s="282" t="n">
        <v>5389</v>
      </c>
      <c r="G9" s="283" t="n">
        <v>9999</v>
      </c>
      <c r="H9" s="283" t="n">
        <v>9744</v>
      </c>
      <c r="I9" s="283" t="n">
        <v>255</v>
      </c>
      <c r="J9" s="284">
        <f>IFERROR(I9/(H9+I9),"")</f>
        <v/>
      </c>
      <c r="K9" s="282" t="n"/>
      <c r="L9" s="282" t="n">
        <v>60</v>
      </c>
      <c r="M9" s="282" t="n">
        <v>180</v>
      </c>
      <c r="N9" s="282" t="n"/>
      <c r="O9" s="282" t="n"/>
      <c r="P9" s="282" t="n"/>
      <c r="Q9" s="282" t="n"/>
      <c r="R9" s="282" t="n"/>
      <c r="S9" s="282" t="n"/>
    </row>
    <row r="10" ht="15" customHeight="1" s="254">
      <c r="A10" s="285" t="n">
        <v>46174</v>
      </c>
      <c r="B10" s="282" t="inlineStr">
        <is>
          <t>Printing-04</t>
        </is>
      </c>
      <c r="C10" s="282" t="inlineStr">
        <is>
          <t>Golden Pearl Cosmetics (PVT) LTD</t>
        </is>
      </c>
      <c r="D10" s="282" t="inlineStr">
        <is>
          <t>HELLO HAIR COLOR</t>
        </is>
      </c>
      <c r="E10" s="282" t="n">
        <v>30</v>
      </c>
      <c r="F10" s="282" t="n">
        <v>6206</v>
      </c>
      <c r="G10" s="283" t="n">
        <v>2728</v>
      </c>
      <c r="H10" s="283" t="n">
        <v>2618</v>
      </c>
      <c r="I10" s="283" t="n">
        <v>110</v>
      </c>
      <c r="J10" s="284">
        <f>IFERROR(I10/(H10+I10),"")</f>
        <v/>
      </c>
      <c r="K10" s="282" t="n"/>
      <c r="L10" s="282" t="n"/>
      <c r="M10" s="282" t="n"/>
      <c r="N10" s="282" t="n"/>
      <c r="O10" s="282" t="n"/>
      <c r="P10" s="282" t="n"/>
      <c r="Q10" s="282" t="n"/>
      <c r="R10" s="282" t="n"/>
      <c r="S10" s="282" t="n"/>
    </row>
    <row r="11" ht="15" customHeight="1" s="254">
      <c r="A11" s="285" t="n">
        <v>46175</v>
      </c>
      <c r="B11" s="282" t="inlineStr">
        <is>
          <t>Lacquer-02</t>
        </is>
      </c>
      <c r="C11" s="282" t="inlineStr">
        <is>
          <t>Samsol International Private Limited</t>
        </is>
      </c>
      <c r="D11" s="282" t="inlineStr">
        <is>
          <t>S-45</t>
        </is>
      </c>
      <c r="E11" s="282" t="n">
        <v>25</v>
      </c>
      <c r="F11" s="282" t="n">
        <v>5389</v>
      </c>
      <c r="G11" s="283" t="n">
        <v>8000</v>
      </c>
      <c r="H11" s="283" t="n">
        <v>7880</v>
      </c>
      <c r="I11" s="283" t="n">
        <v>120</v>
      </c>
      <c r="J11" s="284">
        <f>IFERROR(I11/(H11+I11),"")</f>
        <v/>
      </c>
      <c r="K11" s="282" t="n"/>
      <c r="L11" s="282" t="n"/>
      <c r="M11" s="282" t="n"/>
      <c r="N11" s="282" t="n"/>
      <c r="O11" s="282" t="n"/>
      <c r="P11" s="282" t="n">
        <v>60</v>
      </c>
      <c r="Q11" s="282" t="n"/>
      <c r="R11" s="282" t="n"/>
      <c r="S11" s="282" t="n"/>
    </row>
    <row r="12" ht="15" customHeight="1" s="254">
      <c r="A12" s="285" t="n">
        <v>46175</v>
      </c>
      <c r="B12" s="282" t="inlineStr">
        <is>
          <t>Lacquer-04</t>
        </is>
      </c>
      <c r="C12" s="282" t="inlineStr">
        <is>
          <t>Golden Pearl Cosmetics (PVT) LTD</t>
        </is>
      </c>
      <c r="D12" s="282" t="inlineStr">
        <is>
          <t>HELLO HAIR COLOR</t>
        </is>
      </c>
      <c r="E12" s="282" t="n">
        <v>30</v>
      </c>
      <c r="F12" s="282" t="n">
        <v>6206</v>
      </c>
      <c r="G12" s="283" t="n">
        <v>4000</v>
      </c>
      <c r="H12" s="283" t="n">
        <v>3905</v>
      </c>
      <c r="I12" s="283" t="n">
        <v>95</v>
      </c>
      <c r="J12" s="284">
        <f>IFERROR(I12/(H12+I12),"")</f>
        <v/>
      </c>
      <c r="K12" s="282" t="n"/>
      <c r="L12" s="282" t="n"/>
      <c r="M12" s="282" t="n"/>
      <c r="N12" s="282" t="n"/>
      <c r="O12" s="282" t="n"/>
      <c r="P12" s="282" t="n"/>
      <c r="Q12" s="282" t="n"/>
      <c r="R12" s="282" t="n"/>
      <c r="S12" s="282" t="n"/>
    </row>
    <row r="13" ht="15" customHeight="1" s="254">
      <c r="A13" s="285" t="n">
        <v>46175</v>
      </c>
      <c r="B13" s="282" t="inlineStr">
        <is>
          <t>Latex-01</t>
        </is>
      </c>
      <c r="C13" s="282" t="inlineStr">
        <is>
          <t>Golden Pearl Cosmetics (PVT) LTD</t>
        </is>
      </c>
      <c r="D13" s="282" t="inlineStr">
        <is>
          <t>HELLO HAIR COLOR</t>
        </is>
      </c>
      <c r="E13" s="282" t="n">
        <v>30</v>
      </c>
      <c r="F13" s="282" t="n">
        <v>6206</v>
      </c>
      <c r="G13" s="283" t="n">
        <v>22134</v>
      </c>
      <c r="H13" s="283" t="n">
        <v>22124</v>
      </c>
      <c r="I13" s="283" t="n">
        <v>10</v>
      </c>
      <c r="J13" s="284">
        <f>IFERROR(I13/(H13+I13),"")</f>
        <v/>
      </c>
      <c r="K13" s="282" t="n"/>
      <c r="L13" s="282" t="n"/>
      <c r="M13" s="282" t="n"/>
      <c r="N13" s="282" t="n"/>
      <c r="O13" s="282" t="n"/>
      <c r="P13" s="282" t="n">
        <v>60</v>
      </c>
      <c r="Q13" s="282" t="n"/>
      <c r="R13" s="282" t="n"/>
      <c r="S13" s="282" t="n"/>
    </row>
    <row r="14" ht="15" customHeight="1" s="254">
      <c r="A14" s="285" t="n">
        <v>46175</v>
      </c>
      <c r="B14" s="282" t="inlineStr">
        <is>
          <t>PF Machine</t>
        </is>
      </c>
      <c r="C14" s="282" t="inlineStr">
        <is>
          <t>Alpha Labs PVT LTD</t>
        </is>
      </c>
      <c r="D14" s="282" t="inlineStr">
        <is>
          <t>TRANSPARENT BOTTLE 150ML</t>
        </is>
      </c>
      <c r="E14" s="282" t="inlineStr">
        <is>
          <t>150 ml</t>
        </is>
      </c>
      <c r="F14" s="282" t="n">
        <v>8001</v>
      </c>
      <c r="G14" s="283" t="n">
        <v>0</v>
      </c>
      <c r="H14" s="283" t="n">
        <v>0</v>
      </c>
      <c r="I14" s="283" t="n">
        <v>0</v>
      </c>
      <c r="J14" s="284">
        <f>IFERROR(I14/(H14+I14),"")</f>
        <v/>
      </c>
      <c r="K14" s="282" t="n"/>
      <c r="L14" s="282" t="n"/>
      <c r="M14" s="282" t="n"/>
      <c r="N14" s="282" t="n"/>
      <c r="O14" s="282" t="n">
        <v>480</v>
      </c>
      <c r="P14" s="282" t="n"/>
      <c r="Q14" s="282" t="n"/>
      <c r="R14" s="282" t="n"/>
      <c r="S14" s="282" t="n"/>
    </row>
    <row r="15" ht="15" customHeight="1" s="254">
      <c r="A15" s="285" t="n">
        <v>46175</v>
      </c>
      <c r="B15" s="282" t="inlineStr">
        <is>
          <t>Press-04</t>
        </is>
      </c>
      <c r="C15" s="282" t="inlineStr">
        <is>
          <t>Mablay Beauty PVT LTD.</t>
        </is>
      </c>
      <c r="D15" s="282" t="inlineStr">
        <is>
          <t>VINCE NURTURAL</t>
        </is>
      </c>
      <c r="E15" s="282" t="n">
        <v>30</v>
      </c>
      <c r="F15" s="282" t="n">
        <v>5814</v>
      </c>
      <c r="G15" s="283" t="n">
        <v>0</v>
      </c>
      <c r="H15" s="283" t="n">
        <v>0</v>
      </c>
      <c r="I15" s="283" t="n">
        <v>0</v>
      </c>
      <c r="J15" s="284">
        <f>IFERROR(I15/(H15+I15),"")</f>
        <v/>
      </c>
      <c r="K15" s="282" t="n"/>
      <c r="L15" s="282" t="n"/>
      <c r="M15" s="282" t="n"/>
      <c r="N15" s="282" t="n"/>
      <c r="O15" s="282" t="n"/>
      <c r="P15" s="282" t="n"/>
      <c r="Q15" s="282" t="n"/>
      <c r="R15" s="282" t="n"/>
      <c r="S15" s="282" t="n"/>
    </row>
    <row r="16" ht="15" customHeight="1" s="254">
      <c r="A16" s="285" t="n">
        <v>46175</v>
      </c>
      <c r="B16" s="282" t="inlineStr">
        <is>
          <t>Press-06</t>
        </is>
      </c>
      <c r="C16" s="282" t="inlineStr">
        <is>
          <t>Samsol International Private Limited</t>
        </is>
      </c>
      <c r="D16" s="282" t="inlineStr">
        <is>
          <t>S-45</t>
        </is>
      </c>
      <c r="E16" s="282" t="n">
        <v>25</v>
      </c>
      <c r="F16" s="282" t="n">
        <v>5389</v>
      </c>
      <c r="G16" s="283" t="n">
        <v>1000</v>
      </c>
      <c r="H16" s="283" t="n">
        <v>980</v>
      </c>
      <c r="I16" s="283" t="n">
        <v>20</v>
      </c>
      <c r="J16" s="284">
        <f>IFERROR(I16/(H16+I16),"")</f>
        <v/>
      </c>
      <c r="K16" s="282" t="n"/>
      <c r="L16" s="282" t="n"/>
      <c r="M16" s="282" t="n"/>
      <c r="N16" s="282" t="n"/>
      <c r="O16" s="282" t="n"/>
      <c r="P16" s="282" t="n"/>
      <c r="Q16" s="282" t="n"/>
      <c r="R16" s="282" t="n"/>
      <c r="S16" s="282" t="n"/>
    </row>
    <row r="17" ht="15" customHeight="1" s="254">
      <c r="A17" s="285" t="n">
        <v>46175</v>
      </c>
      <c r="B17" s="282" t="inlineStr">
        <is>
          <t>Printing-03</t>
        </is>
      </c>
      <c r="C17" s="282" t="inlineStr">
        <is>
          <t>Samsol International Private Limited</t>
        </is>
      </c>
      <c r="D17" s="282" t="inlineStr">
        <is>
          <t>S-45</t>
        </is>
      </c>
      <c r="E17" s="282" t="n">
        <v>25</v>
      </c>
      <c r="F17" s="282" t="n">
        <v>5389</v>
      </c>
      <c r="G17" s="283" t="n">
        <v>12687</v>
      </c>
      <c r="H17" s="283" t="n">
        <v>12432</v>
      </c>
      <c r="I17" s="283" t="n">
        <v>255</v>
      </c>
      <c r="J17" s="284">
        <f>IFERROR(I17/(H17+I17),"")</f>
        <v/>
      </c>
      <c r="K17" s="282" t="n"/>
      <c r="L17" s="282" t="n"/>
      <c r="M17" s="282" t="n"/>
      <c r="N17" s="282" t="n"/>
      <c r="O17" s="282" t="n"/>
      <c r="P17" s="282" t="n">
        <v>60</v>
      </c>
      <c r="Q17" s="282" t="n"/>
      <c r="R17" s="282" t="n"/>
      <c r="S17" s="282" t="n"/>
    </row>
    <row r="18" ht="15" customHeight="1" s="254">
      <c r="A18" s="285" t="n">
        <v>46175</v>
      </c>
      <c r="B18" s="282" t="inlineStr">
        <is>
          <t>Printing-04</t>
        </is>
      </c>
      <c r="C18" s="282" t="inlineStr">
        <is>
          <t>Golden Pearl Cosmetics (PVT) LTD</t>
        </is>
      </c>
      <c r="D18" s="282" t="inlineStr">
        <is>
          <t>HELLO HAIR COLOR</t>
        </is>
      </c>
      <c r="E18" s="282" t="n">
        <v>30</v>
      </c>
      <c r="F18" s="282" t="n">
        <v>6206</v>
      </c>
      <c r="G18" s="283" t="n">
        <v>0</v>
      </c>
      <c r="H18" s="283" t="n">
        <v>0</v>
      </c>
      <c r="I18" s="283" t="n">
        <v>0</v>
      </c>
      <c r="J18" s="284">
        <f>IFERROR(I18/(H18+I18),"")</f>
        <v/>
      </c>
      <c r="K18" s="282" t="n"/>
      <c r="L18" s="282" t="n"/>
      <c r="M18" s="282" t="n"/>
      <c r="N18" s="282" t="n"/>
      <c r="O18" s="282" t="n"/>
      <c r="P18" s="282" t="n"/>
      <c r="Q18" s="282" t="n"/>
      <c r="R18" s="282" t="n"/>
      <c r="S18" s="282" t="n"/>
    </row>
    <row r="19" ht="15" customHeight="1" s="254">
      <c r="A19" s="285" t="n">
        <v>46177</v>
      </c>
      <c r="B19" s="282" t="inlineStr">
        <is>
          <t>Lacquer-02</t>
        </is>
      </c>
      <c r="C19" s="282" t="inlineStr"/>
      <c r="D19" s="282" t="inlineStr"/>
      <c r="E19" s="282" t="inlineStr"/>
      <c r="F19" s="282" t="n"/>
      <c r="G19" s="283" t="n">
        <v>0</v>
      </c>
      <c r="H19" s="283" t="n">
        <v>0</v>
      </c>
      <c r="I19" s="283" t="n">
        <v>0</v>
      </c>
      <c r="J19" s="284">
        <f>IFERROR(I19/(H19+I19),"")</f>
        <v/>
      </c>
      <c r="K19" s="282" t="n"/>
      <c r="L19" s="282" t="n"/>
      <c r="M19" s="282" t="n"/>
      <c r="N19" s="282" t="n"/>
      <c r="O19" s="282" t="n"/>
      <c r="P19" s="282" t="n"/>
      <c r="Q19" s="282" t="n"/>
      <c r="R19" s="282" t="n"/>
      <c r="S19" s="282" t="n"/>
    </row>
    <row r="20" ht="15" customHeight="1" s="254">
      <c r="A20" s="285" t="n">
        <v>46177</v>
      </c>
      <c r="B20" s="282" t="inlineStr">
        <is>
          <t>Lacquer-04</t>
        </is>
      </c>
      <c r="C20" s="282" t="inlineStr"/>
      <c r="D20" s="282" t="inlineStr"/>
      <c r="E20" s="282" t="inlineStr"/>
      <c r="F20" s="282" t="n"/>
      <c r="G20" s="283" t="n">
        <v>0</v>
      </c>
      <c r="H20" s="283" t="n">
        <v>0</v>
      </c>
      <c r="I20" s="283" t="n">
        <v>0</v>
      </c>
      <c r="J20" s="284">
        <f>IFERROR(I20/(H20+I20),"")</f>
        <v/>
      </c>
      <c r="K20" s="282" t="n"/>
      <c r="L20" s="282" t="n"/>
      <c r="M20" s="282" t="n"/>
      <c r="N20" s="282" t="n"/>
      <c r="O20" s="282" t="n"/>
      <c r="P20" s="282" t="n"/>
      <c r="Q20" s="282" t="n"/>
      <c r="R20" s="282" t="n"/>
      <c r="S20" s="282" t="n"/>
    </row>
    <row r="21" ht="15" customHeight="1" s="254">
      <c r="A21" s="285" t="n">
        <v>46177</v>
      </c>
      <c r="B21" s="282" t="inlineStr">
        <is>
          <t>Latex-01</t>
        </is>
      </c>
      <c r="C21" s="282" t="inlineStr"/>
      <c r="D21" s="282" t="inlineStr"/>
      <c r="E21" s="282" t="inlineStr"/>
      <c r="F21" s="282" t="n"/>
      <c r="G21" s="283" t="n">
        <v>0</v>
      </c>
      <c r="H21" s="283" t="n">
        <v>0</v>
      </c>
      <c r="I21" s="283" t="n">
        <v>0</v>
      </c>
      <c r="J21" s="284">
        <f>IFERROR(I21/(H21+I21),"")</f>
        <v/>
      </c>
      <c r="K21" s="282" t="n"/>
      <c r="L21" s="282" t="n"/>
      <c r="M21" s="282" t="n"/>
      <c r="N21" s="282" t="n"/>
      <c r="O21" s="282" t="n"/>
      <c r="P21" s="282" t="n"/>
      <c r="Q21" s="282" t="n"/>
      <c r="R21" s="282" t="n"/>
      <c r="S21" s="282" t="n"/>
    </row>
    <row r="22" ht="15" customHeight="1" s="254">
      <c r="A22" s="285" t="n">
        <v>46177</v>
      </c>
      <c r="B22" s="282" t="inlineStr">
        <is>
          <t>PF Machine</t>
        </is>
      </c>
      <c r="C22" s="282" t="inlineStr">
        <is>
          <t>Alpha Labs PVT LTD</t>
        </is>
      </c>
      <c r="D22" s="282" t="inlineStr">
        <is>
          <t>TRANSPARENT BOTTLE 150ML</t>
        </is>
      </c>
      <c r="E22" s="282" t="inlineStr">
        <is>
          <t>150 ml</t>
        </is>
      </c>
      <c r="F22" s="282" t="n">
        <v>8001</v>
      </c>
      <c r="G22" s="283" t="n">
        <v>4525</v>
      </c>
      <c r="H22" s="283" t="n">
        <v>4025</v>
      </c>
      <c r="I22" s="283" t="n">
        <v>500</v>
      </c>
      <c r="J22" s="284">
        <f>IFERROR(I22/(H22+I22),"")</f>
        <v/>
      </c>
      <c r="K22" s="282" t="n"/>
      <c r="L22" s="282" t="n">
        <v>580</v>
      </c>
      <c r="M22" s="282" t="n"/>
      <c r="N22" s="282" t="n"/>
      <c r="O22" s="282" t="n"/>
      <c r="P22" s="282" t="n">
        <v>80</v>
      </c>
      <c r="Q22" s="282" t="n"/>
      <c r="R22" s="282" t="n"/>
      <c r="S22" s="282" t="n"/>
    </row>
    <row r="23" ht="15" customHeight="1" s="254">
      <c r="A23" s="285" t="n">
        <v>46177</v>
      </c>
      <c r="B23" s="282" t="inlineStr">
        <is>
          <t>Press-04</t>
        </is>
      </c>
      <c r="C23" s="282" t="inlineStr"/>
      <c r="D23" s="282" t="inlineStr"/>
      <c r="E23" s="282" t="inlineStr"/>
      <c r="F23" s="282" t="n"/>
      <c r="G23" s="283" t="n">
        <v>0</v>
      </c>
      <c r="H23" s="283" t="n">
        <v>0</v>
      </c>
      <c r="I23" s="283" t="n">
        <v>0</v>
      </c>
      <c r="J23" s="284">
        <f>IFERROR(I23/(H23+I23),"")</f>
        <v/>
      </c>
      <c r="K23" s="282" t="n"/>
      <c r="L23" s="282" t="n"/>
      <c r="M23" s="282" t="n"/>
      <c r="N23" s="282" t="n"/>
      <c r="O23" s="282" t="n"/>
      <c r="P23" s="282" t="n"/>
      <c r="Q23" s="282" t="n"/>
      <c r="R23" s="282" t="n"/>
      <c r="S23" s="282" t="n"/>
    </row>
    <row r="24" ht="15" customHeight="1" s="254">
      <c r="A24" s="285" t="n">
        <v>46177</v>
      </c>
      <c r="B24" s="282" t="inlineStr">
        <is>
          <t>Press-06</t>
        </is>
      </c>
      <c r="C24" s="282" t="inlineStr"/>
      <c r="D24" s="282" t="inlineStr"/>
      <c r="E24" s="282" t="inlineStr"/>
      <c r="F24" s="282" t="n"/>
      <c r="G24" s="283" t="n">
        <v>0</v>
      </c>
      <c r="H24" s="283" t="n">
        <v>0</v>
      </c>
      <c r="I24" s="283" t="n">
        <v>0</v>
      </c>
      <c r="J24" s="284">
        <f>IFERROR(I24/(H24+I24),"")</f>
        <v/>
      </c>
      <c r="K24" s="282" t="n"/>
      <c r="L24" s="282" t="n"/>
      <c r="M24" s="282" t="n"/>
      <c r="N24" s="282" t="n"/>
      <c r="O24" s="282" t="n"/>
      <c r="P24" s="282" t="n"/>
      <c r="Q24" s="282" t="n"/>
      <c r="R24" s="282" t="n"/>
      <c r="S24" s="282" t="n"/>
    </row>
    <row r="25" ht="15" customHeight="1" s="254">
      <c r="A25" s="285" t="n">
        <v>46177</v>
      </c>
      <c r="B25" s="282" t="inlineStr">
        <is>
          <t>Printing-03</t>
        </is>
      </c>
      <c r="C25" s="282" t="inlineStr"/>
      <c r="D25" s="282" t="inlineStr"/>
      <c r="E25" s="282" t="inlineStr"/>
      <c r="F25" s="282" t="n"/>
      <c r="G25" s="283" t="n">
        <v>0</v>
      </c>
      <c r="H25" s="283" t="n">
        <v>0</v>
      </c>
      <c r="I25" s="283" t="n">
        <v>0</v>
      </c>
      <c r="J25" s="284">
        <f>IFERROR(I25/(H25+I25),"")</f>
        <v/>
      </c>
      <c r="K25" s="282" t="n"/>
      <c r="L25" s="282" t="n"/>
      <c r="M25" s="282" t="n"/>
      <c r="N25" s="282" t="n"/>
      <c r="O25" s="282" t="n"/>
      <c r="P25" s="282" t="n"/>
      <c r="Q25" s="282" t="n"/>
      <c r="R25" s="282" t="n"/>
      <c r="S25" s="282" t="n"/>
    </row>
    <row r="26" ht="15" customHeight="1" s="254">
      <c r="A26" s="285" t="n">
        <v>46177</v>
      </c>
      <c r="B26" s="282" t="inlineStr">
        <is>
          <t>Printing-04</t>
        </is>
      </c>
      <c r="C26" s="282" t="inlineStr"/>
      <c r="D26" s="282" t="inlineStr"/>
      <c r="E26" s="282" t="inlineStr"/>
      <c r="F26" s="282" t="n"/>
      <c r="G26" s="283" t="n">
        <v>0</v>
      </c>
      <c r="H26" s="283" t="n">
        <v>0</v>
      </c>
      <c r="I26" s="283" t="n">
        <v>0</v>
      </c>
      <c r="J26" s="284">
        <f>IFERROR(I26/(H26+I26),"")</f>
        <v/>
      </c>
      <c r="K26" s="282" t="n"/>
      <c r="L26" s="282" t="n"/>
      <c r="M26" s="282" t="n"/>
      <c r="N26" s="282" t="n"/>
      <c r="O26" s="282" t="n"/>
      <c r="P26" s="282" t="n"/>
      <c r="Q26" s="282" t="n"/>
      <c r="R26" s="282" t="n"/>
      <c r="S26" s="282" t="n"/>
    </row>
    <row r="27" ht="15" customHeight="1" s="254">
      <c r="A27" s="285" t="n">
        <v>46178</v>
      </c>
      <c r="B27" s="282" t="inlineStr">
        <is>
          <t>Lacquer-02</t>
        </is>
      </c>
      <c r="C27" s="282" t="inlineStr"/>
      <c r="D27" s="282" t="inlineStr"/>
      <c r="E27" s="282" t="inlineStr"/>
      <c r="F27" s="282" t="n"/>
      <c r="G27" s="283" t="n">
        <v>0</v>
      </c>
      <c r="H27" s="283" t="n">
        <v>0</v>
      </c>
      <c r="I27" s="283" t="n">
        <v>0</v>
      </c>
      <c r="J27" s="284">
        <f>IFERROR(I27/(H27+I27),"")</f>
        <v/>
      </c>
      <c r="K27" s="282" t="n"/>
      <c r="L27" s="282" t="n"/>
      <c r="M27" s="282" t="n"/>
      <c r="N27" s="282" t="n"/>
      <c r="O27" s="282" t="n"/>
      <c r="P27" s="282" t="n"/>
      <c r="Q27" s="282" t="n"/>
      <c r="R27" s="282" t="n"/>
      <c r="S27" s="282" t="n"/>
    </row>
    <row r="28" ht="15" customHeight="1" s="254">
      <c r="A28" s="285" t="n">
        <v>46178</v>
      </c>
      <c r="B28" s="282" t="inlineStr">
        <is>
          <t>Lacquer-04</t>
        </is>
      </c>
      <c r="C28" s="282" t="inlineStr"/>
      <c r="D28" s="282" t="inlineStr"/>
      <c r="E28" s="282" t="inlineStr"/>
      <c r="F28" s="282" t="n"/>
      <c r="G28" s="283" t="n">
        <v>0</v>
      </c>
      <c r="H28" s="283" t="n">
        <v>0</v>
      </c>
      <c r="I28" s="283" t="n">
        <v>0</v>
      </c>
      <c r="J28" s="284">
        <f>IFERROR(I28/(H28+I28),"")</f>
        <v/>
      </c>
      <c r="K28" s="282" t="n"/>
      <c r="L28" s="282" t="n"/>
      <c r="M28" s="282" t="n"/>
      <c r="N28" s="282" t="n"/>
      <c r="O28" s="282" t="n"/>
      <c r="P28" s="282" t="n"/>
      <c r="Q28" s="282" t="n"/>
      <c r="R28" s="282" t="n"/>
      <c r="S28" s="282" t="n"/>
    </row>
    <row r="29" ht="15" customHeight="1" s="254">
      <c r="A29" s="285" t="n">
        <v>46178</v>
      </c>
      <c r="B29" s="282" t="inlineStr">
        <is>
          <t>Latex-01</t>
        </is>
      </c>
      <c r="C29" s="282" t="inlineStr"/>
      <c r="D29" s="282" t="inlineStr"/>
      <c r="E29" s="282" t="inlineStr"/>
      <c r="F29" s="282" t="n"/>
      <c r="G29" s="283" t="n">
        <v>0</v>
      </c>
      <c r="H29" s="283" t="n">
        <v>0</v>
      </c>
      <c r="I29" s="283" t="n">
        <v>0</v>
      </c>
      <c r="J29" s="284">
        <f>IFERROR(I29/(H29+I29),"")</f>
        <v/>
      </c>
      <c r="K29" s="282" t="n"/>
      <c r="L29" s="282" t="n"/>
      <c r="M29" s="282" t="n"/>
      <c r="N29" s="282" t="n"/>
      <c r="O29" s="282" t="n"/>
      <c r="P29" s="282" t="n"/>
      <c r="Q29" s="282" t="n"/>
      <c r="R29" s="282" t="n"/>
      <c r="S29" s="282" t="n"/>
    </row>
    <row r="30" ht="15" customHeight="1" s="254">
      <c r="A30" s="285" t="n">
        <v>46178</v>
      </c>
      <c r="B30" s="282" t="inlineStr">
        <is>
          <t>PF Machine</t>
        </is>
      </c>
      <c r="C30" s="282" t="inlineStr">
        <is>
          <t>Alpha Labs PVT LTD</t>
        </is>
      </c>
      <c r="D30" s="282" t="inlineStr">
        <is>
          <t>TRANSPARENT BOTTLE 150ML</t>
        </is>
      </c>
      <c r="E30" s="282" t="inlineStr">
        <is>
          <t>150 ml</t>
        </is>
      </c>
      <c r="F30" s="282" t="n">
        <v>8001</v>
      </c>
      <c r="G30" s="283" t="n">
        <v>14005</v>
      </c>
      <c r="H30" s="283" t="n">
        <v>12535</v>
      </c>
      <c r="I30" s="283" t="n">
        <v>1470</v>
      </c>
      <c r="J30" s="284">
        <f>IFERROR(I30/(H30+I30),"")</f>
        <v/>
      </c>
      <c r="K30" s="282" t="n">
        <v>140</v>
      </c>
      <c r="L30" s="282" t="n"/>
      <c r="M30" s="282" t="n"/>
      <c r="N30" s="282" t="n"/>
      <c r="O30" s="282" t="n"/>
      <c r="P30" s="282" t="n">
        <v>80</v>
      </c>
      <c r="Q30" s="282" t="n"/>
      <c r="R30" s="282" t="n"/>
      <c r="S30" s="282" t="n"/>
    </row>
    <row r="31" ht="15" customHeight="1" s="254">
      <c r="A31" s="285" t="n">
        <v>46178</v>
      </c>
      <c r="B31" s="282" t="inlineStr">
        <is>
          <t>Press-04</t>
        </is>
      </c>
      <c r="C31" s="282" t="inlineStr"/>
      <c r="D31" s="282" t="inlineStr"/>
      <c r="E31" s="282" t="inlineStr"/>
      <c r="F31" s="282" t="n"/>
      <c r="G31" s="283" t="n">
        <v>0</v>
      </c>
      <c r="H31" s="283" t="n">
        <v>0</v>
      </c>
      <c r="I31" s="283" t="n">
        <v>0</v>
      </c>
      <c r="J31" s="284">
        <f>IFERROR(I31/(H31+I31),"")</f>
        <v/>
      </c>
      <c r="K31" s="282" t="n"/>
      <c r="L31" s="282" t="n"/>
      <c r="M31" s="282" t="n"/>
      <c r="N31" s="282" t="n"/>
      <c r="O31" s="282" t="n"/>
      <c r="P31" s="282" t="n"/>
      <c r="Q31" s="282" t="n"/>
      <c r="R31" s="282" t="n"/>
      <c r="S31" s="282" t="n"/>
    </row>
    <row r="32" ht="15" customHeight="1" s="254">
      <c r="A32" s="285" t="n">
        <v>46178</v>
      </c>
      <c r="B32" s="282" t="inlineStr">
        <is>
          <t>Press-06</t>
        </is>
      </c>
      <c r="C32" s="282" t="inlineStr"/>
      <c r="D32" s="282" t="inlineStr"/>
      <c r="E32" s="282" t="inlineStr"/>
      <c r="F32" s="282" t="n"/>
      <c r="G32" s="283" t="n">
        <v>0</v>
      </c>
      <c r="H32" s="283" t="n">
        <v>0</v>
      </c>
      <c r="I32" s="283" t="n">
        <v>0</v>
      </c>
      <c r="J32" s="284">
        <f>IFERROR(I32/(H32+I32),"")</f>
        <v/>
      </c>
      <c r="K32" s="282" t="n"/>
      <c r="L32" s="282" t="n"/>
      <c r="M32" s="282" t="n"/>
      <c r="N32" s="282" t="n"/>
      <c r="O32" s="282" t="n"/>
      <c r="P32" s="282" t="n"/>
      <c r="Q32" s="282" t="n"/>
      <c r="R32" s="282" t="n"/>
      <c r="S32" s="282" t="n"/>
    </row>
    <row r="33" ht="15" customHeight="1" s="254">
      <c r="A33" s="285" t="n">
        <v>46178</v>
      </c>
      <c r="B33" s="282" t="inlineStr">
        <is>
          <t>Printing-03</t>
        </is>
      </c>
      <c r="C33" s="282" t="inlineStr"/>
      <c r="D33" s="282" t="inlineStr"/>
      <c r="E33" s="282" t="inlineStr"/>
      <c r="F33" s="282" t="n"/>
      <c r="G33" s="283" t="n">
        <v>0</v>
      </c>
      <c r="H33" s="283" t="n">
        <v>0</v>
      </c>
      <c r="I33" s="283" t="n">
        <v>0</v>
      </c>
      <c r="J33" s="284">
        <f>IFERROR(I33/(H33+I33),"")</f>
        <v/>
      </c>
      <c r="K33" s="282" t="n"/>
      <c r="L33" s="282" t="n"/>
      <c r="M33" s="282" t="n"/>
      <c r="N33" s="282" t="n"/>
      <c r="O33" s="282" t="n"/>
      <c r="P33" s="282" t="n"/>
      <c r="Q33" s="282" t="n"/>
      <c r="R33" s="282" t="n"/>
      <c r="S33" s="282" t="n"/>
    </row>
    <row r="34" ht="15" customHeight="1" s="254">
      <c r="A34" s="285" t="n">
        <v>46178</v>
      </c>
      <c r="B34" s="282" t="inlineStr">
        <is>
          <t>Printing-04</t>
        </is>
      </c>
      <c r="C34" s="282" t="inlineStr"/>
      <c r="D34" s="282" t="inlineStr"/>
      <c r="E34" s="282" t="inlineStr"/>
      <c r="F34" s="282" t="n"/>
      <c r="G34" s="283" t="n">
        <v>0</v>
      </c>
      <c r="H34" s="283" t="n">
        <v>0</v>
      </c>
      <c r="I34" s="283" t="n">
        <v>0</v>
      </c>
      <c r="J34" s="284">
        <f>IFERROR(I34/(H34+I34),"")</f>
        <v/>
      </c>
      <c r="K34" s="282" t="n"/>
      <c r="L34" s="282" t="n"/>
      <c r="M34" s="282" t="n"/>
      <c r="N34" s="282" t="n"/>
      <c r="O34" s="282" t="n"/>
      <c r="P34" s="282" t="n"/>
      <c r="Q34" s="282" t="n"/>
      <c r="R34" s="282" t="n"/>
      <c r="S34" s="282" t="n"/>
    </row>
    <row r="35" ht="15" customHeight="1" s="254">
      <c r="A35" s="285" t="n">
        <v>46179</v>
      </c>
      <c r="B35" s="282" t="inlineStr">
        <is>
          <t>Lacquer-02</t>
        </is>
      </c>
      <c r="C35" s="282" t="inlineStr"/>
      <c r="D35" s="282" t="inlineStr"/>
      <c r="E35" s="282" t="inlineStr"/>
      <c r="F35" s="282" t="n"/>
      <c r="G35" s="283" t="n">
        <v>0</v>
      </c>
      <c r="H35" s="283" t="n">
        <v>0</v>
      </c>
      <c r="I35" s="283" t="n">
        <v>0</v>
      </c>
      <c r="J35" s="284">
        <f>IFERROR(I35/(H35+I35),"")</f>
        <v/>
      </c>
      <c r="K35" s="282" t="n"/>
      <c r="L35" s="282" t="n"/>
      <c r="M35" s="282" t="n"/>
      <c r="N35" s="282" t="n"/>
      <c r="O35" s="282" t="n"/>
      <c r="P35" s="282" t="n"/>
      <c r="Q35" s="282" t="n"/>
      <c r="R35" s="282" t="n"/>
      <c r="S35" s="282" t="n"/>
    </row>
    <row r="36" ht="15" customHeight="1" s="254">
      <c r="A36" s="285" t="n">
        <v>46179</v>
      </c>
      <c r="B36" s="282" t="inlineStr">
        <is>
          <t>Lacquer-04</t>
        </is>
      </c>
      <c r="C36" s="282" t="inlineStr"/>
      <c r="D36" s="282" t="inlineStr"/>
      <c r="E36" s="282" t="inlineStr"/>
      <c r="F36" s="282" t="n"/>
      <c r="G36" s="283" t="n">
        <v>0</v>
      </c>
      <c r="H36" s="283" t="n">
        <v>0</v>
      </c>
      <c r="I36" s="283" t="n">
        <v>0</v>
      </c>
      <c r="J36" s="284">
        <f>IFERROR(I36/(H36+I36),"")</f>
        <v/>
      </c>
      <c r="K36" s="282" t="n"/>
      <c r="L36" s="282" t="n"/>
      <c r="M36" s="282" t="n"/>
      <c r="N36" s="282" t="n"/>
      <c r="O36" s="282" t="n"/>
      <c r="P36" s="282" t="n"/>
      <c r="Q36" s="282" t="n"/>
      <c r="R36" s="282" t="n"/>
      <c r="S36" s="282" t="n"/>
    </row>
    <row r="37" ht="15" customHeight="1" s="254">
      <c r="A37" s="285" t="n">
        <v>46179</v>
      </c>
      <c r="B37" s="282" t="inlineStr">
        <is>
          <t>Latex-01</t>
        </is>
      </c>
      <c r="C37" s="282" t="inlineStr"/>
      <c r="D37" s="282" t="inlineStr"/>
      <c r="E37" s="282" t="inlineStr"/>
      <c r="F37" s="282" t="n"/>
      <c r="G37" s="283" t="n">
        <v>0</v>
      </c>
      <c r="H37" s="283" t="n">
        <v>0</v>
      </c>
      <c r="I37" s="283" t="n">
        <v>0</v>
      </c>
      <c r="J37" s="284">
        <f>IFERROR(I37/(H37+I37),"")</f>
        <v/>
      </c>
      <c r="K37" s="282" t="n"/>
      <c r="L37" s="282" t="n"/>
      <c r="M37" s="282" t="n"/>
      <c r="N37" s="282" t="n"/>
      <c r="O37" s="282" t="n"/>
      <c r="P37" s="282" t="n"/>
      <c r="Q37" s="282" t="n"/>
      <c r="R37" s="282" t="n"/>
      <c r="S37" s="282" t="n"/>
    </row>
    <row r="38" ht="15" customHeight="1" s="254">
      <c r="A38" s="285" t="n">
        <v>46179</v>
      </c>
      <c r="B38" s="282" t="inlineStr">
        <is>
          <t>PF Machine</t>
        </is>
      </c>
      <c r="C38" s="282" t="inlineStr">
        <is>
          <t>Alpha Labs PVT LTD</t>
        </is>
      </c>
      <c r="D38" s="282" t="inlineStr">
        <is>
          <t>TRANSPARENT BOTTLE 150ML</t>
        </is>
      </c>
      <c r="E38" s="282" t="inlineStr">
        <is>
          <t>150 ml</t>
        </is>
      </c>
      <c r="F38" s="282" t="n">
        <v>8001</v>
      </c>
      <c r="G38" s="283" t="n">
        <v>12550</v>
      </c>
      <c r="H38" s="283" t="n">
        <v>11500</v>
      </c>
      <c r="I38" s="283" t="n">
        <v>1050</v>
      </c>
      <c r="J38" s="284">
        <f>IFERROR(I38/(H38+I38),"")</f>
        <v/>
      </c>
      <c r="K38" s="282" t="n">
        <v>70</v>
      </c>
      <c r="L38" s="282" t="n">
        <v>180</v>
      </c>
      <c r="M38" s="282" t="n"/>
      <c r="N38" s="282" t="n"/>
      <c r="O38" s="282" t="n"/>
      <c r="P38" s="282" t="n">
        <v>50</v>
      </c>
      <c r="Q38" s="282" t="n"/>
      <c r="R38" s="282" t="n"/>
      <c r="S38" s="282" t="n"/>
    </row>
    <row r="39" ht="15" customHeight="1" s="254">
      <c r="A39" s="285" t="n">
        <v>46179</v>
      </c>
      <c r="B39" s="282" t="inlineStr">
        <is>
          <t>Press-04</t>
        </is>
      </c>
      <c r="C39" s="282" t="inlineStr"/>
      <c r="D39" s="282" t="inlineStr"/>
      <c r="E39" s="282" t="inlineStr"/>
      <c r="F39" s="282" t="n"/>
      <c r="G39" s="283" t="n">
        <v>0</v>
      </c>
      <c r="H39" s="283" t="n">
        <v>0</v>
      </c>
      <c r="I39" s="283" t="n">
        <v>0</v>
      </c>
      <c r="J39" s="284">
        <f>IFERROR(I39/(H39+I39),"")</f>
        <v/>
      </c>
      <c r="K39" s="282" t="n"/>
      <c r="L39" s="282" t="n"/>
      <c r="M39" s="282" t="n"/>
      <c r="N39" s="282" t="n"/>
      <c r="O39" s="282" t="n"/>
      <c r="P39" s="282" t="n"/>
      <c r="Q39" s="282" t="n"/>
      <c r="R39" s="282" t="n"/>
      <c r="S39" s="282" t="n"/>
    </row>
    <row r="40" ht="15" customHeight="1" s="254">
      <c r="A40" s="285" t="n">
        <v>46179</v>
      </c>
      <c r="B40" s="282" t="inlineStr">
        <is>
          <t>Press-06</t>
        </is>
      </c>
      <c r="C40" s="282" t="inlineStr"/>
      <c r="D40" s="282" t="inlineStr"/>
      <c r="E40" s="282" t="inlineStr"/>
      <c r="F40" s="282" t="n"/>
      <c r="G40" s="283" t="n">
        <v>0</v>
      </c>
      <c r="H40" s="283" t="n">
        <v>0</v>
      </c>
      <c r="I40" s="283" t="n">
        <v>0</v>
      </c>
      <c r="J40" s="284">
        <f>IFERROR(I40/(H40+I40),"")</f>
        <v/>
      </c>
      <c r="K40" s="282" t="n"/>
      <c r="L40" s="282" t="n"/>
      <c r="M40" s="282" t="n"/>
      <c r="N40" s="282" t="n"/>
      <c r="O40" s="282" t="n"/>
      <c r="P40" s="282" t="n"/>
      <c r="Q40" s="282" t="n"/>
      <c r="R40" s="282" t="n"/>
      <c r="S40" s="282" t="n"/>
    </row>
    <row r="41" ht="15" customHeight="1" s="254">
      <c r="A41" s="285" t="n">
        <v>46179</v>
      </c>
      <c r="B41" s="282" t="inlineStr">
        <is>
          <t>Printing-03</t>
        </is>
      </c>
      <c r="C41" s="282" t="inlineStr"/>
      <c r="D41" s="282" t="inlineStr"/>
      <c r="E41" s="282" t="inlineStr"/>
      <c r="F41" s="282" t="n"/>
      <c r="G41" s="283" t="n">
        <v>0</v>
      </c>
      <c r="H41" s="283" t="n">
        <v>0</v>
      </c>
      <c r="I41" s="283" t="n">
        <v>0</v>
      </c>
      <c r="J41" s="284">
        <f>IFERROR(I41/(H41+I41),"")</f>
        <v/>
      </c>
      <c r="K41" s="282" t="n"/>
      <c r="L41" s="282" t="n"/>
      <c r="M41" s="282" t="n"/>
      <c r="N41" s="282" t="n"/>
      <c r="O41" s="282" t="n"/>
      <c r="P41" s="282" t="n"/>
      <c r="Q41" s="282" t="n"/>
      <c r="R41" s="282" t="n"/>
      <c r="S41" s="282" t="n"/>
    </row>
    <row r="42" ht="15" customHeight="1" s="254">
      <c r="A42" s="285" t="n">
        <v>46179</v>
      </c>
      <c r="B42" s="282" t="inlineStr">
        <is>
          <t>Printing-04</t>
        </is>
      </c>
      <c r="C42" s="282" t="inlineStr"/>
      <c r="D42" s="282" t="inlineStr"/>
      <c r="E42" s="282" t="inlineStr"/>
      <c r="F42" s="282" t="n"/>
      <c r="G42" s="283" t="n">
        <v>0</v>
      </c>
      <c r="H42" s="283" t="n">
        <v>0</v>
      </c>
      <c r="I42" s="283" t="n">
        <v>0</v>
      </c>
      <c r="J42" s="284">
        <f>IFERROR(I42/(H42+I42),"")</f>
        <v/>
      </c>
      <c r="K42" s="282" t="n"/>
      <c r="L42" s="282" t="n"/>
      <c r="M42" s="282" t="n"/>
      <c r="N42" s="282" t="n"/>
      <c r="O42" s="282" t="n"/>
      <c r="P42" s="282" t="n"/>
      <c r="Q42" s="282" t="n"/>
      <c r="R42" s="282" t="n"/>
      <c r="S42" s="282" t="n"/>
    </row>
    <row r="43" ht="15" customHeight="1" s="254">
      <c r="A43" s="285" t="n">
        <v>46181</v>
      </c>
      <c r="B43" s="282" t="inlineStr">
        <is>
          <t>Lacquer-02</t>
        </is>
      </c>
      <c r="C43" s="282" t="inlineStr"/>
      <c r="D43" s="282" t="inlineStr"/>
      <c r="E43" s="282" t="inlineStr"/>
      <c r="F43" s="282" t="n"/>
      <c r="G43" s="283" t="n">
        <v>0</v>
      </c>
      <c r="H43" s="283" t="n">
        <v>0</v>
      </c>
      <c r="I43" s="283" t="n">
        <v>0</v>
      </c>
      <c r="J43" s="284">
        <f>IFERROR(I43/(H43+I43),"")</f>
        <v/>
      </c>
      <c r="K43" s="282" t="n"/>
      <c r="L43" s="282" t="n"/>
      <c r="M43" s="282" t="n"/>
      <c r="N43" s="282" t="n"/>
      <c r="O43" s="282" t="n"/>
      <c r="P43" s="282" t="n"/>
      <c r="Q43" s="282" t="n"/>
      <c r="R43" s="282" t="n"/>
      <c r="S43" s="282" t="n"/>
    </row>
    <row r="44" ht="15" customHeight="1" s="254">
      <c r="A44" s="285" t="n">
        <v>46181</v>
      </c>
      <c r="B44" s="282" t="inlineStr">
        <is>
          <t>Lacquer-04</t>
        </is>
      </c>
      <c r="C44" s="282" t="inlineStr">
        <is>
          <t>Samsol International Private Limited</t>
        </is>
      </c>
      <c r="D44" s="282" t="inlineStr">
        <is>
          <t>TUBES COMMON RED</t>
        </is>
      </c>
      <c r="E44" s="282" t="n">
        <v>25</v>
      </c>
      <c r="F44" s="282" t="n">
        <v>6470</v>
      </c>
      <c r="G44" s="283" t="n">
        <v>21000</v>
      </c>
      <c r="H44" s="283" t="n">
        <v>20735</v>
      </c>
      <c r="I44" s="283" t="n">
        <v>265</v>
      </c>
      <c r="J44" s="284">
        <f>IFERROR(I44/(H44+I44),"")</f>
        <v/>
      </c>
      <c r="K44" s="282" t="n"/>
      <c r="L44" s="282" t="n"/>
      <c r="M44" s="282" t="n"/>
      <c r="N44" s="282" t="n"/>
      <c r="O44" s="282" t="n"/>
      <c r="P44" s="282" t="n"/>
      <c r="Q44" s="282" t="n"/>
      <c r="R44" s="282" t="n"/>
      <c r="S44" s="282" t="n"/>
    </row>
    <row r="45" ht="15" customHeight="1" s="254">
      <c r="A45" s="285" t="n">
        <v>46181</v>
      </c>
      <c r="B45" s="282" t="inlineStr">
        <is>
          <t>Latex-01</t>
        </is>
      </c>
      <c r="C45" s="282" t="inlineStr"/>
      <c r="D45" s="282" t="inlineStr"/>
      <c r="E45" s="282" t="inlineStr"/>
      <c r="F45" s="282" t="n"/>
      <c r="G45" s="283" t="n">
        <v>0</v>
      </c>
      <c r="H45" s="283" t="n">
        <v>0</v>
      </c>
      <c r="I45" s="283" t="n">
        <v>0</v>
      </c>
      <c r="J45" s="284">
        <f>IFERROR(I45/(H45+I45),"")</f>
        <v/>
      </c>
      <c r="K45" s="282" t="n"/>
      <c r="L45" s="282" t="n"/>
      <c r="M45" s="282" t="n"/>
      <c r="N45" s="282" t="n"/>
      <c r="O45" s="282" t="n"/>
      <c r="P45" s="282" t="n"/>
      <c r="Q45" s="282" t="n"/>
      <c r="R45" s="282" t="n"/>
      <c r="S45" s="282" t="n"/>
    </row>
    <row r="46" ht="15" customHeight="1" s="254">
      <c r="A46" s="285" t="n">
        <v>46181</v>
      </c>
      <c r="B46" s="282" t="inlineStr">
        <is>
          <t>PF Machine</t>
        </is>
      </c>
      <c r="C46" s="282" t="inlineStr">
        <is>
          <t>Alpha Labs PVT LTD</t>
        </is>
      </c>
      <c r="D46" s="282" t="inlineStr">
        <is>
          <t>TRANSPARENT BOTTLE 150ML</t>
        </is>
      </c>
      <c r="E46" s="282" t="inlineStr">
        <is>
          <t>150 ml</t>
        </is>
      </c>
      <c r="F46" s="282" t="n">
        <v>8001</v>
      </c>
      <c r="G46" s="283" t="n">
        <v>4080</v>
      </c>
      <c r="H46" s="283" t="n">
        <v>3680</v>
      </c>
      <c r="I46" s="283" t="n">
        <v>400</v>
      </c>
      <c r="J46" s="284">
        <f>IFERROR(I46/(H46+I46),"")</f>
        <v/>
      </c>
      <c r="K46" s="282" t="n">
        <v>150</v>
      </c>
      <c r="L46" s="282" t="n">
        <v>210</v>
      </c>
      <c r="M46" s="282" t="n"/>
      <c r="N46" s="282" t="n"/>
      <c r="O46" s="282" t="n"/>
      <c r="P46" s="282" t="n"/>
      <c r="Q46" s="282" t="n"/>
      <c r="R46" s="282" t="n"/>
      <c r="S46" s="282" t="n"/>
    </row>
    <row r="47" ht="15" customHeight="1" s="254">
      <c r="A47" s="285" t="n">
        <v>46181</v>
      </c>
      <c r="B47" s="282" t="inlineStr">
        <is>
          <t>Press-04</t>
        </is>
      </c>
      <c r="C47" s="282" t="inlineStr"/>
      <c r="D47" s="282" t="inlineStr"/>
      <c r="E47" s="282" t="inlineStr"/>
      <c r="F47" s="282" t="n"/>
      <c r="G47" s="283" t="n">
        <v>0</v>
      </c>
      <c r="H47" s="283" t="n">
        <v>0</v>
      </c>
      <c r="I47" s="283" t="n">
        <v>0</v>
      </c>
      <c r="J47" s="284">
        <f>IFERROR(I47/(H47+I47),"")</f>
        <v/>
      </c>
      <c r="K47" s="282" t="n"/>
      <c r="L47" s="282" t="n"/>
      <c r="M47" s="282" t="n"/>
      <c r="N47" s="282" t="n"/>
      <c r="O47" s="282" t="n"/>
      <c r="P47" s="282" t="n"/>
      <c r="Q47" s="282" t="n"/>
      <c r="R47" s="282" t="n"/>
      <c r="S47" s="282" t="n"/>
    </row>
    <row r="48" ht="15" customHeight="1" s="254">
      <c r="A48" s="285" t="n">
        <v>46181</v>
      </c>
      <c r="B48" s="282" t="inlineStr">
        <is>
          <t>Press-06</t>
        </is>
      </c>
      <c r="C48" s="282" t="inlineStr">
        <is>
          <t>Samsol International Private Limited</t>
        </is>
      </c>
      <c r="D48" s="282" t="inlineStr">
        <is>
          <t>TUBES COMMON RED</t>
        </is>
      </c>
      <c r="E48" s="282" t="n">
        <v>25</v>
      </c>
      <c r="F48" s="282" t="n">
        <v>6470</v>
      </c>
      <c r="G48" s="283" t="n">
        <v>24000</v>
      </c>
      <c r="H48" s="283" t="n">
        <v>23850</v>
      </c>
      <c r="I48" s="283" t="n">
        <v>150</v>
      </c>
      <c r="J48" s="284">
        <f>IFERROR(I48/(H48+I48),"")</f>
        <v/>
      </c>
      <c r="K48" s="282" t="n"/>
      <c r="L48" s="282" t="n"/>
      <c r="M48" s="282" t="n"/>
      <c r="N48" s="282" t="n"/>
      <c r="O48" s="282" t="n"/>
      <c r="P48" s="282" t="n"/>
      <c r="Q48" s="282" t="n"/>
      <c r="R48" s="282" t="n"/>
      <c r="S48" s="282" t="n"/>
    </row>
    <row r="49" ht="15" customHeight="1" s="254">
      <c r="A49" s="285" t="n">
        <v>46181</v>
      </c>
      <c r="B49" s="282" t="inlineStr">
        <is>
          <t>Printing-03</t>
        </is>
      </c>
      <c r="C49" s="282" t="inlineStr">
        <is>
          <t>Samsol International Private Limited</t>
        </is>
      </c>
      <c r="D49" s="282" t="inlineStr">
        <is>
          <t>TUBES COMMON RED</t>
        </is>
      </c>
      <c r="E49" s="282" t="n">
        <v>25</v>
      </c>
      <c r="F49" s="282" t="n">
        <v>6470</v>
      </c>
      <c r="G49" s="283" t="n">
        <v>15816</v>
      </c>
      <c r="H49" s="283" t="n">
        <v>15456</v>
      </c>
      <c r="I49" s="283" t="n">
        <v>360</v>
      </c>
      <c r="J49" s="284">
        <f>IFERROR(I49/(H49+I49),"")</f>
        <v/>
      </c>
      <c r="K49" s="282" t="n"/>
      <c r="L49" s="282" t="n"/>
      <c r="M49" s="282" t="n">
        <v>120</v>
      </c>
      <c r="N49" s="282" t="n"/>
      <c r="O49" s="282" t="n"/>
      <c r="P49" s="282" t="n"/>
      <c r="Q49" s="282" t="n"/>
      <c r="R49" s="282" t="n"/>
      <c r="S49" s="282" t="n"/>
    </row>
    <row r="50" ht="15" customHeight="1" s="254">
      <c r="A50" s="285" t="n">
        <v>46181</v>
      </c>
      <c r="B50" s="282" t="inlineStr">
        <is>
          <t>Printing-04</t>
        </is>
      </c>
      <c r="C50" s="282" t="inlineStr"/>
      <c r="D50" s="282" t="inlineStr"/>
      <c r="E50" s="282" t="inlineStr"/>
      <c r="F50" s="282" t="n"/>
      <c r="G50" s="283" t="n">
        <v>0</v>
      </c>
      <c r="H50" s="283" t="n">
        <v>0</v>
      </c>
      <c r="I50" s="283" t="n">
        <v>0</v>
      </c>
      <c r="J50" s="284">
        <f>IFERROR(I50/(H50+I50),"")</f>
        <v/>
      </c>
      <c r="K50" s="282" t="n"/>
      <c r="L50" s="282" t="n"/>
      <c r="M50" s="282" t="n"/>
      <c r="N50" s="282" t="n"/>
      <c r="O50" s="282" t="n"/>
      <c r="P50" s="282" t="n"/>
      <c r="Q50" s="282" t="n"/>
      <c r="R50" s="282" t="n"/>
      <c r="S50" s="282" t="n"/>
    </row>
    <row r="51" ht="15" customHeight="1" s="254">
      <c r="A51" s="285" t="n">
        <v>46182</v>
      </c>
      <c r="B51" s="282" t="inlineStr">
        <is>
          <t>Lacquer-02</t>
        </is>
      </c>
      <c r="C51" s="282" t="inlineStr"/>
      <c r="D51" s="282" t="inlineStr"/>
      <c r="E51" s="282" t="inlineStr"/>
      <c r="F51" s="282" t="n"/>
      <c r="G51" s="283" t="n">
        <v>0</v>
      </c>
      <c r="H51" s="283" t="n">
        <v>0</v>
      </c>
      <c r="I51" s="283" t="n">
        <v>0</v>
      </c>
      <c r="J51" s="284">
        <f>IFERROR(I51/(H51+I51),"")</f>
        <v/>
      </c>
      <c r="K51" s="282" t="n"/>
      <c r="L51" s="282" t="n"/>
      <c r="M51" s="282" t="n"/>
      <c r="N51" s="282" t="n"/>
      <c r="O51" s="282" t="n"/>
      <c r="P51" s="282" t="n"/>
      <c r="Q51" s="282" t="n"/>
      <c r="R51" s="282" t="n"/>
      <c r="S51" s="282" t="n"/>
    </row>
    <row r="52" ht="15" customHeight="1" s="254">
      <c r="A52" s="285" t="n">
        <v>46182</v>
      </c>
      <c r="B52" s="282" t="inlineStr">
        <is>
          <t>Lacquer-04</t>
        </is>
      </c>
      <c r="C52" s="282" t="inlineStr">
        <is>
          <t>Samsol International Private Limited</t>
        </is>
      </c>
      <c r="D52" s="282" t="inlineStr">
        <is>
          <t>TUBES COMMON RED</t>
        </is>
      </c>
      <c r="E52" s="282" t="n">
        <v>25</v>
      </c>
      <c r="F52" s="282" t="n">
        <v>6470</v>
      </c>
      <c r="G52" s="283" t="n">
        <v>21000</v>
      </c>
      <c r="H52" s="283" t="n">
        <v>20690</v>
      </c>
      <c r="I52" s="283" t="n">
        <v>310</v>
      </c>
      <c r="J52" s="284">
        <f>IFERROR(I52/(H52+I52),"")</f>
        <v/>
      </c>
      <c r="K52" s="282" t="n"/>
      <c r="L52" s="282" t="n"/>
      <c r="M52" s="282" t="n"/>
      <c r="N52" s="282" t="n"/>
      <c r="O52" s="282" t="n"/>
      <c r="P52" s="282" t="n"/>
      <c r="Q52" s="282" t="n"/>
      <c r="R52" s="282" t="n"/>
      <c r="S52" s="282" t="n"/>
    </row>
    <row r="53" ht="15" customHeight="1" s="254">
      <c r="A53" s="285" t="n">
        <v>46182</v>
      </c>
      <c r="B53" s="282" t="inlineStr">
        <is>
          <t>Latex-01</t>
        </is>
      </c>
      <c r="C53" s="282" t="inlineStr"/>
      <c r="D53" s="282" t="inlineStr"/>
      <c r="E53" s="282" t="inlineStr"/>
      <c r="F53" s="282" t="n"/>
      <c r="G53" s="283" t="n">
        <v>0</v>
      </c>
      <c r="H53" s="283" t="n">
        <v>0</v>
      </c>
      <c r="I53" s="283" t="n">
        <v>0</v>
      </c>
      <c r="J53" s="284">
        <f>IFERROR(I53/(H53+I53),"")</f>
        <v/>
      </c>
      <c r="K53" s="282" t="n"/>
      <c r="L53" s="282" t="n"/>
      <c r="M53" s="282" t="n"/>
      <c r="N53" s="282" t="n"/>
      <c r="O53" s="282" t="n"/>
      <c r="P53" s="282" t="n"/>
      <c r="Q53" s="282" t="n"/>
      <c r="R53" s="282" t="n"/>
      <c r="S53" s="282" t="n"/>
    </row>
    <row r="54" ht="15" customHeight="1" s="254">
      <c r="A54" s="285" t="n">
        <v>46182</v>
      </c>
      <c r="B54" s="282" t="inlineStr">
        <is>
          <t>PF Machine</t>
        </is>
      </c>
      <c r="C54" s="282" t="inlineStr">
        <is>
          <t>Alpha Labs PVT LTD</t>
        </is>
      </c>
      <c r="D54" s="282" t="inlineStr">
        <is>
          <t>TRANSPARENT BOTTLE 150ML</t>
        </is>
      </c>
      <c r="E54" s="282" t="inlineStr">
        <is>
          <t>150 ml</t>
        </is>
      </c>
      <c r="F54" s="282" t="n">
        <v>8001</v>
      </c>
      <c r="G54" s="283" t="n">
        <v>10900</v>
      </c>
      <c r="H54" s="283" t="n">
        <v>10120</v>
      </c>
      <c r="I54" s="283" t="n">
        <v>780</v>
      </c>
      <c r="J54" s="284">
        <f>IFERROR(I54/(H54+I54),"")</f>
        <v/>
      </c>
      <c r="K54" s="282" t="n">
        <v>40</v>
      </c>
      <c r="L54" s="282" t="n"/>
      <c r="M54" s="282" t="n"/>
      <c r="N54" s="282" t="n"/>
      <c r="O54" s="282" t="n"/>
      <c r="P54" s="282" t="n">
        <v>80</v>
      </c>
      <c r="Q54" s="282" t="n"/>
      <c r="R54" s="282" t="n"/>
      <c r="S54" s="282" t="n"/>
    </row>
    <row r="55" ht="15" customHeight="1" s="254">
      <c r="A55" s="285" t="n">
        <v>46182</v>
      </c>
      <c r="B55" s="282" t="inlineStr">
        <is>
          <t>Press-04</t>
        </is>
      </c>
      <c r="C55" s="282" t="inlineStr"/>
      <c r="D55" s="282" t="inlineStr"/>
      <c r="E55" s="282" t="inlineStr"/>
      <c r="F55" s="282" t="n"/>
      <c r="G55" s="283" t="n">
        <v>0</v>
      </c>
      <c r="H55" s="283" t="n">
        <v>0</v>
      </c>
      <c r="I55" s="283" t="n">
        <v>0</v>
      </c>
      <c r="J55" s="284">
        <f>IFERROR(I55/(H55+I55),"")</f>
        <v/>
      </c>
      <c r="K55" s="282" t="n"/>
      <c r="L55" s="282" t="n"/>
      <c r="M55" s="282" t="n"/>
      <c r="N55" s="282" t="n"/>
      <c r="O55" s="282" t="n"/>
      <c r="P55" s="282" t="n"/>
      <c r="Q55" s="282" t="n"/>
      <c r="R55" s="282" t="n"/>
      <c r="S55" s="282" t="n"/>
    </row>
    <row r="56" ht="15" customHeight="1" s="254">
      <c r="A56" s="285" t="n">
        <v>46182</v>
      </c>
      <c r="B56" s="282" t="inlineStr">
        <is>
          <t>Press-06</t>
        </is>
      </c>
      <c r="C56" s="282" t="inlineStr">
        <is>
          <t>Samsol International Private Limited</t>
        </is>
      </c>
      <c r="D56" s="282" t="inlineStr">
        <is>
          <t>TUBES COMMON RED</t>
        </is>
      </c>
      <c r="E56" s="282" t="n">
        <v>25</v>
      </c>
      <c r="F56" s="282" t="n">
        <v>6470</v>
      </c>
      <c r="G56" s="283" t="n">
        <v>23000</v>
      </c>
      <c r="H56" s="283" t="n">
        <v>22835</v>
      </c>
      <c r="I56" s="283" t="n">
        <v>165</v>
      </c>
      <c r="J56" s="284">
        <f>IFERROR(I56/(H56+I56),"")</f>
        <v/>
      </c>
      <c r="K56" s="282" t="n"/>
      <c r="L56" s="282" t="n"/>
      <c r="M56" s="282" t="n"/>
      <c r="N56" s="282" t="n"/>
      <c r="O56" s="282" t="n"/>
      <c r="P56" s="282" t="n"/>
      <c r="Q56" s="282" t="n"/>
      <c r="R56" s="282" t="n"/>
      <c r="S56" s="282" t="n"/>
    </row>
    <row r="57" ht="15" customHeight="1" s="254">
      <c r="A57" s="285" t="n">
        <v>46182</v>
      </c>
      <c r="B57" s="282" t="inlineStr">
        <is>
          <t>Printing-03</t>
        </is>
      </c>
      <c r="C57" s="282" t="inlineStr">
        <is>
          <t>Samsol International Private Limited</t>
        </is>
      </c>
      <c r="D57" s="282" t="inlineStr">
        <is>
          <t>TUBES COMMON RED</t>
        </is>
      </c>
      <c r="E57" s="282" t="n">
        <v>25</v>
      </c>
      <c r="F57" s="282" t="n">
        <v>6470</v>
      </c>
      <c r="G57" s="283" t="n">
        <v>22556</v>
      </c>
      <c r="H57" s="283" t="n">
        <v>22176</v>
      </c>
      <c r="I57" s="283" t="n">
        <v>380</v>
      </c>
      <c r="J57" s="284">
        <f>IFERROR(I57/(H57+I57),"")</f>
        <v/>
      </c>
      <c r="K57" s="282" t="n"/>
      <c r="L57" s="282" t="n"/>
      <c r="M57" s="282" t="n"/>
      <c r="N57" s="282" t="n"/>
      <c r="O57" s="282" t="n"/>
      <c r="P57" s="282" t="n"/>
      <c r="Q57" s="282" t="n"/>
      <c r="R57" s="282" t="n"/>
      <c r="S57" s="282" t="n"/>
    </row>
    <row r="58" ht="15" customHeight="1" s="254">
      <c r="A58" s="285" t="n">
        <v>46182</v>
      </c>
      <c r="B58" s="282" t="inlineStr">
        <is>
          <t>Printing-04</t>
        </is>
      </c>
      <c r="C58" s="282" t="inlineStr"/>
      <c r="D58" s="282" t="inlineStr"/>
      <c r="E58" s="282" t="inlineStr"/>
      <c r="F58" s="282" t="n"/>
      <c r="G58" s="283" t="n">
        <v>0</v>
      </c>
      <c r="H58" s="283" t="n">
        <v>0</v>
      </c>
      <c r="I58" s="283" t="n">
        <v>0</v>
      </c>
      <c r="J58" s="284">
        <f>IFERROR(I58/(H58+I58),"")</f>
        <v/>
      </c>
      <c r="K58" s="282" t="n"/>
      <c r="L58" s="282" t="n"/>
      <c r="M58" s="282" t="n"/>
      <c r="N58" s="282" t="n"/>
      <c r="O58" s="282" t="n"/>
      <c r="P58" s="282" t="n"/>
      <c r="Q58" s="282" t="n"/>
      <c r="R58" s="282" t="n"/>
      <c r="S58" s="282" t="n"/>
    </row>
    <row r="59" ht="15" customHeight="1" s="254">
      <c r="A59" s="191" t="n"/>
      <c r="B59" s="192" t="n"/>
      <c r="C59" s="192" t="n"/>
      <c r="D59" s="192" t="n"/>
      <c r="E59" s="192" t="n"/>
      <c r="F59" s="192" t="n"/>
      <c r="G59" s="193" t="n"/>
      <c r="H59" s="193" t="n"/>
      <c r="I59" s="193" t="n"/>
      <c r="J59" s="194" t="n"/>
      <c r="K59" s="192" t="n"/>
      <c r="L59" s="192" t="n"/>
      <c r="M59" s="192" t="n"/>
      <c r="N59" s="192" t="n"/>
      <c r="O59" s="192" t="n"/>
      <c r="P59" s="192" t="n"/>
      <c r="Q59" s="192" t="n"/>
      <c r="R59" s="192" t="n"/>
      <c r="S59" s="192" t="n"/>
    </row>
    <row r="60" ht="15" customHeight="1" s="254">
      <c r="A60" s="191" t="n"/>
      <c r="B60" s="192" t="n"/>
      <c r="C60" s="192" t="n"/>
      <c r="D60" s="192" t="n"/>
      <c r="E60" s="192" t="n"/>
      <c r="F60" s="192" t="n"/>
      <c r="G60" s="193" t="n"/>
      <c r="H60" s="193" t="n"/>
      <c r="I60" s="193" t="n"/>
      <c r="J60" s="194" t="n"/>
      <c r="K60" s="192" t="n"/>
      <c r="L60" s="192" t="n"/>
      <c r="M60" s="192" t="n"/>
      <c r="N60" s="192" t="n"/>
      <c r="O60" s="192" t="n"/>
      <c r="P60" s="192" t="n"/>
      <c r="Q60" s="192" t="n"/>
      <c r="R60" s="192" t="n"/>
      <c r="S60" s="192" t="n"/>
    </row>
    <row r="61" ht="15" customHeight="1" s="254">
      <c r="A61" s="191" t="n"/>
      <c r="B61" s="192" t="n"/>
      <c r="C61" s="192" t="n"/>
      <c r="D61" s="192" t="n"/>
      <c r="E61" s="192" t="n"/>
      <c r="F61" s="192" t="n"/>
      <c r="G61" s="193" t="n"/>
      <c r="H61" s="193" t="n"/>
      <c r="I61" s="193" t="n"/>
      <c r="J61" s="194" t="n"/>
      <c r="K61" s="192" t="n"/>
      <c r="L61" s="192" t="n"/>
      <c r="M61" s="192" t="n"/>
      <c r="N61" s="192" t="n"/>
      <c r="O61" s="192" t="n"/>
      <c r="P61" s="192" t="n"/>
      <c r="Q61" s="192" t="n"/>
      <c r="R61" s="192" t="n"/>
      <c r="S61" s="192" t="n"/>
    </row>
    <row r="62" ht="15" customHeight="1" s="254">
      <c r="A62" s="191" t="n"/>
      <c r="B62" s="192" t="n"/>
      <c r="C62" s="192" t="n"/>
      <c r="D62" s="192" t="n"/>
      <c r="E62" s="192" t="n"/>
      <c r="F62" s="192" t="n"/>
      <c r="G62" s="193" t="n"/>
      <c r="H62" s="193" t="n"/>
      <c r="I62" s="193" t="n"/>
      <c r="J62" s="194" t="n"/>
      <c r="K62" s="192" t="n"/>
      <c r="L62" s="192" t="n"/>
      <c r="M62" s="192" t="n"/>
      <c r="N62" s="192" t="n"/>
      <c r="O62" s="192" t="n"/>
      <c r="P62" s="192" t="n"/>
      <c r="Q62" s="192" t="n"/>
      <c r="R62" s="192" t="n"/>
      <c r="S62" s="192" t="n"/>
    </row>
    <row r="63" ht="15" customHeight="1" s="254">
      <c r="A63" s="191" t="n"/>
      <c r="B63" s="192" t="n"/>
      <c r="C63" s="192" t="n"/>
      <c r="D63" s="192" t="n"/>
      <c r="E63" s="192" t="n"/>
      <c r="F63" s="192" t="n"/>
      <c r="G63" s="193" t="n"/>
      <c r="H63" s="193" t="n"/>
      <c r="I63" s="193" t="n"/>
      <c r="J63" s="194" t="n"/>
      <c r="K63" s="192" t="n"/>
      <c r="L63" s="192" t="n"/>
      <c r="M63" s="192" t="n"/>
      <c r="N63" s="192" t="n"/>
      <c r="O63" s="192" t="n"/>
      <c r="P63" s="192" t="n"/>
      <c r="Q63" s="192" t="n"/>
      <c r="R63" s="192" t="n"/>
      <c r="S63" s="192" t="n"/>
    </row>
    <row r="64" ht="15" customHeight="1" s="254">
      <c r="A64" s="191" t="n"/>
      <c r="B64" s="192" t="n"/>
      <c r="C64" s="192" t="n"/>
      <c r="D64" s="192" t="n"/>
      <c r="E64" s="192" t="n"/>
      <c r="F64" s="192" t="n"/>
      <c r="G64" s="193" t="n"/>
      <c r="H64" s="193" t="n"/>
      <c r="I64" s="193" t="n"/>
      <c r="J64" s="194" t="n"/>
      <c r="K64" s="192" t="n"/>
      <c r="L64" s="192" t="n"/>
      <c r="M64" s="192" t="n"/>
      <c r="N64" s="192" t="n"/>
      <c r="O64" s="192" t="n"/>
      <c r="P64" s="192" t="n"/>
      <c r="Q64" s="192" t="n"/>
      <c r="R64" s="192" t="n"/>
      <c r="S64" s="192" t="n"/>
    </row>
    <row r="65" ht="15" customHeight="1" s="254">
      <c r="A65" s="191" t="n"/>
      <c r="B65" s="192" t="n"/>
      <c r="C65" s="192" t="n"/>
      <c r="D65" s="192" t="n"/>
      <c r="E65" s="192" t="n"/>
      <c r="F65" s="192" t="n"/>
      <c r="G65" s="193" t="n"/>
      <c r="H65" s="193" t="n"/>
      <c r="I65" s="193" t="n"/>
      <c r="J65" s="194" t="n"/>
      <c r="K65" s="192" t="n"/>
      <c r="L65" s="192" t="n"/>
      <c r="M65" s="192" t="n"/>
      <c r="N65" s="192" t="n"/>
      <c r="O65" s="192" t="n"/>
      <c r="P65" s="192" t="n"/>
      <c r="Q65" s="192" t="n"/>
      <c r="R65" s="192" t="n"/>
      <c r="S65" s="192" t="n"/>
    </row>
    <row r="66" ht="15" customHeight="1" s="254">
      <c r="A66" s="191" t="n"/>
      <c r="B66" s="192" t="n"/>
      <c r="C66" s="192" t="n"/>
      <c r="D66" s="192" t="n"/>
      <c r="E66" s="192" t="n"/>
      <c r="F66" s="192" t="n"/>
      <c r="G66" s="193" t="n"/>
      <c r="H66" s="193" t="n"/>
      <c r="I66" s="193" t="n"/>
      <c r="J66" s="194" t="n"/>
      <c r="K66" s="192" t="n"/>
      <c r="L66" s="192" t="n"/>
      <c r="M66" s="192" t="n"/>
      <c r="N66" s="192" t="n"/>
      <c r="O66" s="192" t="n"/>
      <c r="P66" s="192" t="n"/>
      <c r="Q66" s="192" t="n"/>
      <c r="R66" s="192" t="n"/>
      <c r="S66" s="192" t="n"/>
    </row>
    <row r="67" ht="15" customHeight="1" s="254">
      <c r="A67" s="191" t="n"/>
      <c r="B67" s="192" t="n"/>
      <c r="C67" s="192" t="n"/>
      <c r="D67" s="192" t="n"/>
      <c r="E67" s="192" t="n"/>
      <c r="F67" s="192" t="n"/>
      <c r="G67" s="193" t="n"/>
      <c r="H67" s="193" t="n"/>
      <c r="I67" s="193" t="n"/>
      <c r="J67" s="194" t="n"/>
      <c r="K67" s="192" t="n"/>
      <c r="L67" s="192" t="n"/>
      <c r="M67" s="192" t="n"/>
      <c r="N67" s="192" t="n"/>
      <c r="O67" s="192" t="n"/>
      <c r="P67" s="192" t="n"/>
      <c r="Q67" s="192" t="n"/>
      <c r="R67" s="192" t="n"/>
      <c r="S67" s="192" t="n"/>
    </row>
    <row r="68" ht="15" customHeight="1" s="254">
      <c r="A68" s="191" t="n"/>
      <c r="B68" s="192" t="n"/>
      <c r="C68" s="192" t="n"/>
      <c r="D68" s="192" t="n"/>
      <c r="E68" s="192" t="n"/>
      <c r="F68" s="192" t="n"/>
      <c r="G68" s="193" t="n"/>
      <c r="H68" s="193" t="n"/>
      <c r="I68" s="193" t="n"/>
      <c r="J68" s="194" t="n"/>
      <c r="K68" s="192" t="n"/>
      <c r="L68" s="192" t="n"/>
      <c r="M68" s="192" t="n"/>
      <c r="N68" s="192" t="n"/>
      <c r="O68" s="192" t="n"/>
      <c r="P68" s="192" t="n"/>
      <c r="Q68" s="192" t="n"/>
      <c r="R68" s="192" t="n"/>
      <c r="S68" s="192" t="n"/>
    </row>
    <row r="69" ht="15" customHeight="1" s="254">
      <c r="A69" s="191" t="n"/>
      <c r="B69" s="192" t="n"/>
      <c r="C69" s="192" t="n"/>
      <c r="D69" s="192" t="n"/>
      <c r="E69" s="192" t="n"/>
      <c r="F69" s="192" t="n"/>
      <c r="G69" s="193" t="n"/>
      <c r="H69" s="193" t="n"/>
      <c r="I69" s="193" t="n"/>
      <c r="J69" s="194" t="n"/>
      <c r="K69" s="192" t="n"/>
      <c r="L69" s="192" t="n"/>
      <c r="M69" s="192" t="n"/>
      <c r="N69" s="192" t="n"/>
      <c r="O69" s="192" t="n"/>
      <c r="P69" s="192" t="n"/>
      <c r="Q69" s="192" t="n"/>
      <c r="R69" s="192" t="n"/>
      <c r="S69" s="192" t="n"/>
    </row>
    <row r="70" ht="15" customHeight="1" s="254">
      <c r="A70" s="191" t="n"/>
      <c r="B70" s="192" t="n"/>
      <c r="C70" s="192" t="n"/>
      <c r="D70" s="192" t="n"/>
      <c r="E70" s="192" t="n"/>
      <c r="F70" s="192" t="n"/>
      <c r="G70" s="193" t="n"/>
      <c r="H70" s="193" t="n"/>
      <c r="I70" s="193" t="n"/>
      <c r="J70" s="194" t="n"/>
      <c r="K70" s="192" t="n"/>
      <c r="L70" s="192" t="n"/>
      <c r="M70" s="192" t="n"/>
      <c r="N70" s="192" t="n"/>
      <c r="O70" s="192" t="n"/>
      <c r="P70" s="192" t="n"/>
      <c r="Q70" s="192" t="n"/>
      <c r="R70" s="192" t="n"/>
      <c r="S70" s="192" t="n"/>
    </row>
    <row r="71" ht="15" customHeight="1" s="254">
      <c r="A71" s="191" t="n"/>
      <c r="B71" s="192" t="n"/>
      <c r="C71" s="192" t="n"/>
      <c r="D71" s="192" t="n"/>
      <c r="E71" s="192" t="n"/>
      <c r="F71" s="192" t="n"/>
      <c r="G71" s="193" t="n"/>
      <c r="H71" s="193" t="n"/>
      <c r="I71" s="193" t="n"/>
      <c r="J71" s="194" t="n"/>
      <c r="K71" s="192" t="n"/>
      <c r="L71" s="192" t="n"/>
      <c r="M71" s="192" t="n"/>
      <c r="N71" s="192" t="n"/>
      <c r="O71" s="192" t="n"/>
      <c r="P71" s="192" t="n"/>
      <c r="Q71" s="192" t="n"/>
      <c r="R71" s="192" t="n"/>
      <c r="S71" s="192" t="n"/>
    </row>
    <row r="72" ht="15" customHeight="1" s="254">
      <c r="A72" s="191" t="n"/>
      <c r="B72" s="192" t="n"/>
      <c r="C72" s="192" t="n"/>
      <c r="D72" s="192" t="n"/>
      <c r="E72" s="192" t="n"/>
      <c r="F72" s="192" t="n"/>
      <c r="G72" s="193" t="n"/>
      <c r="H72" s="193" t="n"/>
      <c r="I72" s="193" t="n"/>
      <c r="J72" s="194" t="n"/>
      <c r="K72" s="192" t="n"/>
      <c r="L72" s="192" t="n"/>
      <c r="M72" s="192" t="n"/>
      <c r="N72" s="192" t="n"/>
      <c r="O72" s="192" t="n"/>
      <c r="P72" s="192" t="n"/>
      <c r="Q72" s="192" t="n"/>
      <c r="R72" s="192" t="n"/>
      <c r="S72" s="192" t="n"/>
    </row>
    <row r="73" ht="15" customHeight="1" s="254">
      <c r="A73" s="191" t="n"/>
      <c r="B73" s="192" t="n"/>
      <c r="C73" s="192" t="n"/>
      <c r="D73" s="192" t="n"/>
      <c r="E73" s="192" t="n"/>
      <c r="F73" s="192" t="n"/>
      <c r="G73" s="193" t="n"/>
      <c r="H73" s="193" t="n"/>
      <c r="I73" s="193" t="n"/>
      <c r="J73" s="194" t="n"/>
      <c r="K73" s="192" t="n"/>
      <c r="L73" s="192" t="n"/>
      <c r="M73" s="192" t="n"/>
      <c r="N73" s="192" t="n"/>
      <c r="O73" s="192" t="n"/>
      <c r="P73" s="192" t="n"/>
      <c r="Q73" s="192" t="n"/>
      <c r="R73" s="192" t="n"/>
      <c r="S73" s="192" t="n"/>
    </row>
    <row r="74" ht="15" customHeight="1" s="254">
      <c r="A74" s="191" t="n"/>
      <c r="B74" s="192" t="n"/>
      <c r="C74" s="192" t="n"/>
      <c r="D74" s="192" t="n"/>
      <c r="E74" s="192" t="n"/>
      <c r="F74" s="192" t="n"/>
      <c r="G74" s="193" t="n"/>
      <c r="H74" s="193" t="n"/>
      <c r="I74" s="193" t="n"/>
      <c r="J74" s="194" t="n"/>
      <c r="K74" s="192" t="n"/>
      <c r="L74" s="192" t="n"/>
      <c r="M74" s="192" t="n"/>
      <c r="N74" s="192" t="n"/>
      <c r="O74" s="192" t="n"/>
      <c r="P74" s="192" t="n"/>
      <c r="Q74" s="192" t="n"/>
      <c r="R74" s="192" t="n"/>
      <c r="S74" s="192" t="n"/>
    </row>
    <row r="75" ht="15" customHeight="1" s="254">
      <c r="A75" s="191" t="n"/>
      <c r="B75" s="192" t="n"/>
      <c r="C75" s="192" t="n"/>
      <c r="D75" s="192" t="n"/>
      <c r="E75" s="192" t="n"/>
      <c r="F75" s="192" t="n"/>
      <c r="G75" s="193" t="n"/>
      <c r="H75" s="193" t="n"/>
      <c r="I75" s="193" t="n"/>
      <c r="J75" s="194" t="n"/>
      <c r="K75" s="192" t="n"/>
      <c r="L75" s="192" t="n"/>
      <c r="M75" s="192" t="n"/>
      <c r="N75" s="192" t="n"/>
      <c r="O75" s="192" t="n"/>
      <c r="P75" s="192" t="n"/>
      <c r="Q75" s="192" t="n"/>
      <c r="R75" s="192" t="n"/>
      <c r="S75" s="192" t="n"/>
    </row>
    <row r="76" ht="15" customHeight="1" s="254">
      <c r="A76" s="191" t="n"/>
      <c r="B76" s="192" t="n"/>
      <c r="C76" s="192" t="n"/>
      <c r="D76" s="192" t="n"/>
      <c r="E76" s="192" t="n"/>
      <c r="F76" s="192" t="n"/>
      <c r="G76" s="193" t="n"/>
      <c r="H76" s="193" t="n"/>
      <c r="I76" s="193" t="n"/>
      <c r="J76" s="194" t="n"/>
      <c r="K76" s="192" t="n"/>
      <c r="L76" s="192" t="n"/>
      <c r="M76" s="192" t="n"/>
      <c r="N76" s="192" t="n"/>
      <c r="O76" s="192" t="n"/>
      <c r="P76" s="192" t="n"/>
      <c r="Q76" s="192" t="n"/>
      <c r="R76" s="192" t="n"/>
      <c r="S76" s="192" t="n"/>
    </row>
    <row r="77" ht="15" customHeight="1" s="254">
      <c r="A77" s="191" t="n"/>
      <c r="B77" s="192" t="n"/>
      <c r="C77" s="192" t="n"/>
      <c r="D77" s="192" t="n"/>
      <c r="E77" s="192" t="n"/>
      <c r="F77" s="192" t="n"/>
      <c r="G77" s="193" t="n"/>
      <c r="H77" s="193" t="n"/>
      <c r="I77" s="193" t="n"/>
      <c r="J77" s="194" t="n"/>
      <c r="K77" s="192" t="n"/>
      <c r="L77" s="192" t="n"/>
      <c r="M77" s="192" t="n"/>
      <c r="N77" s="192" t="n"/>
      <c r="O77" s="192" t="n"/>
      <c r="P77" s="192" t="n"/>
      <c r="Q77" s="192" t="n"/>
      <c r="R77" s="192" t="n"/>
      <c r="S77" s="192" t="n"/>
    </row>
    <row r="78" ht="15" customHeight="1" s="254">
      <c r="A78" s="191" t="n"/>
      <c r="B78" s="192" t="n"/>
      <c r="C78" s="192" t="n"/>
      <c r="D78" s="192" t="n"/>
      <c r="E78" s="192" t="n"/>
      <c r="F78" s="192" t="n"/>
      <c r="G78" s="193" t="n"/>
      <c r="H78" s="193" t="n"/>
      <c r="I78" s="193" t="n"/>
      <c r="J78" s="194" t="n"/>
      <c r="K78" s="192" t="n"/>
      <c r="L78" s="192" t="n"/>
      <c r="M78" s="192" t="n"/>
      <c r="N78" s="192" t="n"/>
      <c r="O78" s="192" t="n"/>
      <c r="P78" s="192" t="n"/>
      <c r="Q78" s="192" t="n"/>
      <c r="R78" s="192" t="n"/>
      <c r="S78" s="192" t="n"/>
    </row>
    <row r="79" ht="15" customHeight="1" s="254">
      <c r="A79" s="191" t="n"/>
      <c r="B79" s="192" t="n"/>
      <c r="C79" s="192" t="n"/>
      <c r="D79" s="192" t="n"/>
      <c r="E79" s="192" t="n"/>
      <c r="F79" s="192" t="n"/>
      <c r="G79" s="193" t="n"/>
      <c r="H79" s="193" t="n"/>
      <c r="I79" s="193" t="n"/>
      <c r="J79" s="194" t="n"/>
      <c r="K79" s="192" t="n"/>
      <c r="L79" s="192" t="n"/>
      <c r="M79" s="192" t="n"/>
      <c r="N79" s="192" t="n"/>
      <c r="O79" s="192" t="n"/>
      <c r="P79" s="192" t="n"/>
      <c r="Q79" s="192" t="n"/>
      <c r="R79" s="192" t="n"/>
      <c r="S79" s="192" t="n"/>
    </row>
    <row r="80" ht="15" customHeight="1" s="254">
      <c r="A80" s="191" t="n"/>
      <c r="B80" s="192" t="n"/>
      <c r="C80" s="192" t="n"/>
      <c r="D80" s="192" t="n"/>
      <c r="E80" s="192" t="n"/>
      <c r="F80" s="192" t="n"/>
      <c r="G80" s="193" t="n"/>
      <c r="H80" s="193" t="n"/>
      <c r="I80" s="193" t="n"/>
      <c r="J80" s="194" t="n"/>
      <c r="K80" s="192" t="n"/>
      <c r="L80" s="192" t="n"/>
      <c r="M80" s="192" t="n"/>
      <c r="N80" s="192" t="n"/>
      <c r="O80" s="192" t="n"/>
      <c r="P80" s="192" t="n"/>
      <c r="Q80" s="192" t="n"/>
      <c r="R80" s="192" t="n"/>
      <c r="S80" s="192" t="n"/>
    </row>
    <row r="81" ht="15" customHeight="1" s="254">
      <c r="A81" s="191" t="n"/>
      <c r="B81" s="192" t="n"/>
      <c r="C81" s="192" t="n"/>
      <c r="D81" s="192" t="n"/>
      <c r="E81" s="192" t="n"/>
      <c r="F81" s="192" t="n"/>
      <c r="G81" s="193" t="n"/>
      <c r="H81" s="193" t="n"/>
      <c r="I81" s="193" t="n"/>
      <c r="J81" s="194" t="n"/>
      <c r="K81" s="192" t="n"/>
      <c r="L81" s="192" t="n"/>
      <c r="M81" s="192" t="n"/>
      <c r="N81" s="192" t="n"/>
      <c r="O81" s="192" t="n"/>
      <c r="P81" s="192" t="n"/>
      <c r="Q81" s="192" t="n"/>
      <c r="R81" s="192" t="n"/>
      <c r="S81" s="192" t="n"/>
    </row>
    <row r="82" ht="15" customHeight="1" s="254">
      <c r="A82" s="191" t="n"/>
      <c r="B82" s="192" t="n"/>
      <c r="C82" s="192" t="n"/>
      <c r="D82" s="192" t="n"/>
      <c r="E82" s="192" t="n"/>
      <c r="F82" s="192" t="n"/>
      <c r="G82" s="193" t="n"/>
      <c r="H82" s="193" t="n"/>
      <c r="I82" s="193" t="n"/>
      <c r="J82" s="194" t="n"/>
      <c r="K82" s="192" t="n"/>
      <c r="L82" s="192" t="n"/>
      <c r="M82" s="192" t="n"/>
      <c r="N82" s="192" t="n"/>
      <c r="O82" s="192" t="n"/>
      <c r="P82" s="192" t="n"/>
      <c r="Q82" s="192" t="n"/>
      <c r="R82" s="192" t="n"/>
      <c r="S82" s="192" t="n"/>
    </row>
    <row r="83" ht="15" customHeight="1" s="254">
      <c r="A83" s="191" t="n"/>
      <c r="B83" s="192" t="n"/>
      <c r="C83" s="192" t="n"/>
      <c r="D83" s="192" t="n"/>
      <c r="E83" s="192" t="n"/>
      <c r="F83" s="192" t="n"/>
      <c r="G83" s="193" t="n"/>
      <c r="H83" s="193" t="n"/>
      <c r="I83" s="193" t="n"/>
      <c r="J83" s="194" t="n"/>
      <c r="K83" s="192" t="n"/>
      <c r="L83" s="192" t="n"/>
      <c r="M83" s="192" t="n"/>
      <c r="N83" s="192" t="n"/>
      <c r="O83" s="192" t="n"/>
      <c r="P83" s="192" t="n"/>
      <c r="Q83" s="192" t="n"/>
      <c r="R83" s="192" t="n"/>
      <c r="S83" s="192" t="n"/>
    </row>
    <row r="84" ht="15" customHeight="1" s="254">
      <c r="A84" s="191" t="n"/>
      <c r="B84" s="192" t="n"/>
      <c r="C84" s="192" t="n"/>
      <c r="D84" s="192" t="n"/>
      <c r="E84" s="192" t="n"/>
      <c r="F84" s="192" t="n"/>
      <c r="G84" s="193" t="n"/>
      <c r="H84" s="193" t="n"/>
      <c r="I84" s="193" t="n"/>
      <c r="J84" s="194" t="n"/>
      <c r="K84" s="192" t="n"/>
      <c r="L84" s="192" t="n"/>
      <c r="M84" s="192" t="n"/>
      <c r="N84" s="192" t="n"/>
      <c r="O84" s="192" t="n"/>
      <c r="P84" s="192" t="n"/>
      <c r="Q84" s="192" t="n"/>
      <c r="R84" s="192" t="n"/>
      <c r="S84" s="192" t="n"/>
    </row>
    <row r="85" ht="15" customHeight="1" s="254">
      <c r="A85" s="191" t="n"/>
      <c r="B85" s="192" t="n"/>
      <c r="C85" s="192" t="n"/>
      <c r="D85" s="192" t="n"/>
      <c r="E85" s="192" t="n"/>
      <c r="F85" s="192" t="n"/>
      <c r="G85" s="193" t="n"/>
      <c r="H85" s="193" t="n"/>
      <c r="I85" s="193" t="n"/>
      <c r="J85" s="194" t="n"/>
      <c r="K85" s="192" t="n"/>
      <c r="L85" s="192" t="n"/>
      <c r="M85" s="192" t="n"/>
      <c r="N85" s="192" t="n"/>
      <c r="O85" s="192" t="n"/>
      <c r="P85" s="192" t="n"/>
      <c r="Q85" s="192" t="n"/>
      <c r="R85" s="192" t="n"/>
      <c r="S85" s="192" t="n"/>
    </row>
    <row r="86" ht="15" customHeight="1" s="254">
      <c r="A86" s="191" t="n"/>
      <c r="B86" s="192" t="n"/>
      <c r="C86" s="192" t="n"/>
      <c r="D86" s="192" t="n"/>
      <c r="E86" s="192" t="n"/>
      <c r="F86" s="192" t="n"/>
      <c r="G86" s="193" t="n"/>
      <c r="H86" s="193" t="n"/>
      <c r="I86" s="193" t="n"/>
      <c r="J86" s="194" t="n"/>
      <c r="K86" s="192" t="n"/>
      <c r="L86" s="192" t="n"/>
      <c r="M86" s="192" t="n"/>
      <c r="N86" s="192" t="n"/>
      <c r="O86" s="192" t="n"/>
      <c r="P86" s="192" t="n"/>
      <c r="Q86" s="192" t="n"/>
      <c r="R86" s="192" t="n"/>
      <c r="S86" s="192" t="n"/>
    </row>
    <row r="87" ht="15" customHeight="1" s="254">
      <c r="A87" s="191" t="n"/>
      <c r="B87" s="192" t="n"/>
      <c r="C87" s="192" t="n"/>
      <c r="D87" s="192" t="n"/>
      <c r="E87" s="192" t="n"/>
      <c r="F87" s="192" t="n"/>
      <c r="G87" s="193" t="n"/>
      <c r="H87" s="193" t="n"/>
      <c r="I87" s="193" t="n"/>
      <c r="J87" s="194" t="n"/>
      <c r="K87" s="192" t="n"/>
      <c r="L87" s="192" t="n"/>
      <c r="M87" s="192" t="n"/>
      <c r="N87" s="192" t="n"/>
      <c r="O87" s="192" t="n"/>
      <c r="P87" s="192" t="n"/>
      <c r="Q87" s="192" t="n"/>
      <c r="R87" s="192" t="n"/>
      <c r="S87" s="192" t="n"/>
    </row>
    <row r="88" ht="15" customHeight="1" s="254">
      <c r="A88" s="191" t="n"/>
      <c r="B88" s="192" t="n"/>
      <c r="C88" s="192" t="n"/>
      <c r="D88" s="192" t="n"/>
      <c r="E88" s="192" t="n"/>
      <c r="F88" s="192" t="n"/>
      <c r="G88" s="193" t="n"/>
      <c r="H88" s="193" t="n"/>
      <c r="I88" s="193" t="n"/>
      <c r="J88" s="194" t="n"/>
      <c r="K88" s="192" t="n"/>
      <c r="L88" s="192" t="n"/>
      <c r="M88" s="192" t="n"/>
      <c r="N88" s="192" t="n"/>
      <c r="O88" s="192" t="n"/>
      <c r="P88" s="192" t="n"/>
      <c r="Q88" s="192" t="n"/>
      <c r="R88" s="192" t="n"/>
      <c r="S88" s="192" t="n"/>
    </row>
    <row r="89" ht="15" customHeight="1" s="254">
      <c r="A89" s="191" t="n"/>
      <c r="B89" s="192" t="n"/>
      <c r="C89" s="192" t="n"/>
      <c r="D89" s="192" t="n"/>
      <c r="E89" s="192" t="n"/>
      <c r="F89" s="192" t="n"/>
      <c r="G89" s="193" t="n"/>
      <c r="H89" s="193" t="n"/>
      <c r="I89" s="193" t="n"/>
      <c r="J89" s="194" t="n"/>
      <c r="K89" s="192" t="n"/>
      <c r="L89" s="192" t="n"/>
      <c r="M89" s="192" t="n"/>
      <c r="N89" s="192" t="n"/>
      <c r="O89" s="192" t="n"/>
      <c r="P89" s="192" t="n"/>
      <c r="Q89" s="192" t="n"/>
      <c r="R89" s="192" t="n"/>
      <c r="S89" s="192" t="n"/>
    </row>
    <row r="90" ht="15" customHeight="1" s="254">
      <c r="A90" s="191" t="n"/>
      <c r="B90" s="192" t="n"/>
      <c r="C90" s="192" t="n"/>
      <c r="D90" s="192" t="n"/>
      <c r="E90" s="192" t="n"/>
      <c r="F90" s="192" t="n"/>
      <c r="G90" s="193" t="n"/>
      <c r="H90" s="193" t="n"/>
      <c r="I90" s="193" t="n"/>
      <c r="J90" s="194" t="n"/>
      <c r="K90" s="192" t="n"/>
      <c r="L90" s="192" t="n"/>
      <c r="M90" s="192" t="n"/>
      <c r="N90" s="192" t="n"/>
      <c r="O90" s="192" t="n"/>
      <c r="P90" s="192" t="n"/>
      <c r="Q90" s="192" t="n"/>
      <c r="R90" s="192" t="n"/>
      <c r="S90" s="192" t="n"/>
    </row>
    <row r="91" ht="15" customHeight="1" s="254">
      <c r="A91" s="191" t="n"/>
      <c r="B91" s="192" t="n"/>
      <c r="C91" s="192" t="n"/>
      <c r="D91" s="192" t="n"/>
      <c r="E91" s="192" t="n"/>
      <c r="F91" s="192" t="n"/>
      <c r="G91" s="193" t="n"/>
      <c r="H91" s="193" t="n"/>
      <c r="I91" s="193" t="n"/>
      <c r="J91" s="194" t="n"/>
      <c r="K91" s="192" t="n"/>
      <c r="L91" s="192" t="n"/>
      <c r="M91" s="192" t="n"/>
      <c r="N91" s="192" t="n"/>
      <c r="O91" s="192" t="n"/>
      <c r="P91" s="192" t="n"/>
      <c r="Q91" s="192" t="n"/>
      <c r="R91" s="192" t="n"/>
      <c r="S91" s="192" t="n"/>
    </row>
    <row r="92" ht="15" customHeight="1" s="254">
      <c r="A92" s="191" t="n"/>
      <c r="B92" s="192" t="n"/>
      <c r="C92" s="192" t="n"/>
      <c r="D92" s="192" t="n"/>
      <c r="E92" s="192" t="n"/>
      <c r="F92" s="192" t="n"/>
      <c r="G92" s="193" t="n"/>
      <c r="H92" s="193" t="n"/>
      <c r="I92" s="193" t="n"/>
      <c r="J92" s="194" t="n"/>
      <c r="K92" s="192" t="n"/>
      <c r="L92" s="192" t="n"/>
      <c r="M92" s="192" t="n"/>
      <c r="N92" s="192" t="n"/>
      <c r="O92" s="192" t="n"/>
      <c r="P92" s="192" t="n"/>
      <c r="Q92" s="192" t="n"/>
      <c r="R92" s="192" t="n"/>
      <c r="S92" s="192" t="n"/>
    </row>
    <row r="93" ht="15" customHeight="1" s="254">
      <c r="A93" s="191" t="n"/>
      <c r="B93" s="192" t="n"/>
      <c r="C93" s="192" t="n"/>
      <c r="D93" s="192" t="n"/>
      <c r="E93" s="192" t="n"/>
      <c r="F93" s="192" t="n"/>
      <c r="G93" s="193" t="n"/>
      <c r="H93" s="193" t="n"/>
      <c r="I93" s="193" t="n"/>
      <c r="J93" s="194" t="n"/>
      <c r="K93" s="192" t="n"/>
      <c r="L93" s="192" t="n"/>
      <c r="M93" s="192" t="n"/>
      <c r="N93" s="192" t="n"/>
      <c r="O93" s="192" t="n"/>
      <c r="P93" s="192" t="n"/>
      <c r="Q93" s="192" t="n"/>
      <c r="R93" s="192" t="n"/>
      <c r="S93" s="192" t="n"/>
    </row>
    <row r="94" ht="15" customHeight="1" s="254">
      <c r="A94" s="191" t="n"/>
      <c r="B94" s="192" t="n"/>
      <c r="C94" s="192" t="n"/>
      <c r="D94" s="192" t="n"/>
      <c r="E94" s="192" t="n"/>
      <c r="F94" s="192" t="n"/>
      <c r="G94" s="193" t="n"/>
      <c r="H94" s="193" t="n"/>
      <c r="I94" s="193" t="n"/>
      <c r="J94" s="194" t="n"/>
      <c r="K94" s="192" t="n"/>
      <c r="L94" s="192" t="n"/>
      <c r="M94" s="192" t="n"/>
      <c r="N94" s="192" t="n"/>
      <c r="O94" s="192" t="n"/>
      <c r="P94" s="192" t="n"/>
      <c r="Q94" s="192" t="n"/>
      <c r="R94" s="192" t="n"/>
      <c r="S94" s="192" t="n"/>
    </row>
    <row r="95" ht="15" customHeight="1" s="254">
      <c r="A95" s="191" t="n"/>
      <c r="B95" s="192" t="n"/>
      <c r="C95" s="192" t="n"/>
      <c r="D95" s="192" t="n"/>
      <c r="E95" s="192" t="n"/>
      <c r="F95" s="192" t="n"/>
      <c r="G95" s="193" t="n"/>
      <c r="H95" s="193" t="n"/>
      <c r="I95" s="193" t="n"/>
      <c r="J95" s="194" t="n"/>
      <c r="K95" s="192" t="n"/>
      <c r="L95" s="192" t="n"/>
      <c r="M95" s="192" t="n"/>
      <c r="N95" s="192" t="n"/>
      <c r="O95" s="192" t="n"/>
      <c r="P95" s="192" t="n"/>
      <c r="Q95" s="192" t="n"/>
      <c r="R95" s="192" t="n"/>
      <c r="S95" s="192" t="n"/>
    </row>
    <row r="96" ht="15" customHeight="1" s="254">
      <c r="A96" s="191" t="n"/>
      <c r="B96" s="192" t="n"/>
      <c r="C96" s="192" t="n"/>
      <c r="D96" s="192" t="n"/>
      <c r="E96" s="192" t="n"/>
      <c r="F96" s="192" t="n"/>
      <c r="G96" s="193" t="n"/>
      <c r="H96" s="193" t="n"/>
      <c r="I96" s="193" t="n"/>
      <c r="J96" s="194" t="n"/>
      <c r="K96" s="192" t="n"/>
      <c r="L96" s="192" t="n"/>
      <c r="M96" s="192" t="n"/>
      <c r="N96" s="192" t="n"/>
      <c r="O96" s="192" t="n"/>
      <c r="P96" s="192" t="n"/>
      <c r="Q96" s="192" t="n"/>
      <c r="R96" s="192" t="n"/>
      <c r="S96" s="192" t="n"/>
    </row>
    <row r="97" ht="15" customHeight="1" s="254">
      <c r="A97" s="191" t="n"/>
      <c r="B97" s="192" t="n"/>
      <c r="C97" s="192" t="n"/>
      <c r="D97" s="192" t="n"/>
      <c r="E97" s="192" t="n"/>
      <c r="F97" s="192" t="n"/>
      <c r="G97" s="193" t="n"/>
      <c r="H97" s="193" t="n"/>
      <c r="I97" s="193" t="n"/>
      <c r="J97" s="194" t="n"/>
      <c r="K97" s="192" t="n"/>
      <c r="L97" s="192" t="n"/>
      <c r="M97" s="192" t="n"/>
      <c r="N97" s="192" t="n"/>
      <c r="O97" s="192" t="n"/>
      <c r="P97" s="192" t="n"/>
      <c r="Q97" s="192" t="n"/>
      <c r="R97" s="192" t="n"/>
      <c r="S97" s="192" t="n"/>
    </row>
    <row r="98" ht="15" customHeight="1" s="254">
      <c r="A98" s="191" t="n"/>
      <c r="B98" s="192" t="n"/>
      <c r="C98" s="192" t="n"/>
      <c r="D98" s="192" t="n"/>
      <c r="E98" s="192" t="n"/>
      <c r="F98" s="192" t="n"/>
      <c r="G98" s="193" t="n"/>
      <c r="H98" s="193" t="n"/>
      <c r="I98" s="193" t="n"/>
      <c r="J98" s="194" t="n"/>
      <c r="K98" s="192" t="n"/>
      <c r="L98" s="192" t="n"/>
      <c r="M98" s="192" t="n"/>
      <c r="N98" s="192" t="n"/>
      <c r="O98" s="192" t="n"/>
      <c r="P98" s="192" t="n"/>
      <c r="Q98" s="192" t="n"/>
      <c r="R98" s="192" t="n"/>
      <c r="S98" s="192" t="n"/>
    </row>
    <row r="99" ht="15" customHeight="1" s="254">
      <c r="A99" s="191" t="n"/>
      <c r="B99" s="192" t="n"/>
      <c r="C99" s="192" t="n"/>
      <c r="D99" s="192" t="n"/>
      <c r="E99" s="192" t="n"/>
      <c r="F99" s="192" t="n"/>
      <c r="G99" s="193" t="n"/>
      <c r="H99" s="193" t="n"/>
      <c r="I99" s="193" t="n"/>
      <c r="J99" s="194" t="n"/>
      <c r="K99" s="192" t="n"/>
      <c r="L99" s="192" t="n"/>
      <c r="M99" s="192" t="n"/>
      <c r="N99" s="192" t="n"/>
      <c r="O99" s="192" t="n"/>
      <c r="P99" s="192" t="n"/>
      <c r="Q99" s="192" t="n"/>
      <c r="R99" s="192" t="n"/>
      <c r="S99" s="192" t="n"/>
    </row>
    <row r="100" ht="15" customHeight="1" s="254">
      <c r="A100" s="191" t="n"/>
      <c r="B100" s="192" t="n"/>
      <c r="C100" s="192" t="n"/>
      <c r="D100" s="192" t="n"/>
      <c r="E100" s="192" t="n"/>
      <c r="F100" s="192" t="n"/>
      <c r="G100" s="193" t="n"/>
      <c r="H100" s="193" t="n"/>
      <c r="I100" s="193" t="n"/>
      <c r="J100" s="194" t="n"/>
      <c r="K100" s="192" t="n"/>
      <c r="L100" s="192" t="n"/>
      <c r="M100" s="192" t="n"/>
      <c r="N100" s="192" t="n"/>
      <c r="O100" s="192" t="n"/>
      <c r="P100" s="192" t="n"/>
      <c r="Q100" s="192" t="n"/>
      <c r="R100" s="192" t="n"/>
      <c r="S100" s="192" t="n"/>
    </row>
    <row r="101" ht="15" customHeight="1" s="254">
      <c r="A101" s="191" t="n"/>
      <c r="B101" s="192" t="n"/>
      <c r="C101" s="192" t="n"/>
      <c r="D101" s="192" t="n"/>
      <c r="E101" s="192" t="n"/>
      <c r="F101" s="192" t="n"/>
      <c r="G101" s="193" t="n"/>
      <c r="H101" s="193" t="n"/>
      <c r="I101" s="193" t="n"/>
      <c r="J101" s="194" t="n"/>
      <c r="K101" s="192" t="n"/>
      <c r="L101" s="192" t="n"/>
      <c r="M101" s="192" t="n"/>
      <c r="N101" s="192" t="n"/>
      <c r="O101" s="192" t="n"/>
      <c r="P101" s="192" t="n"/>
      <c r="Q101" s="192" t="n"/>
      <c r="R101" s="192" t="n"/>
      <c r="S101" s="192" t="n"/>
    </row>
    <row r="102" ht="15" customHeight="1" s="254">
      <c r="A102" s="191" t="n"/>
      <c r="B102" s="192" t="n"/>
      <c r="C102" s="192" t="n"/>
      <c r="D102" s="192" t="n"/>
      <c r="E102" s="192" t="n"/>
      <c r="F102" s="192" t="n"/>
      <c r="G102" s="193" t="n"/>
      <c r="H102" s="193" t="n"/>
      <c r="I102" s="193" t="n"/>
      <c r="J102" s="194" t="n"/>
      <c r="K102" s="192" t="n"/>
      <c r="L102" s="192" t="n"/>
      <c r="M102" s="192" t="n"/>
      <c r="N102" s="192" t="n"/>
      <c r="O102" s="192" t="n"/>
      <c r="P102" s="192" t="n"/>
      <c r="Q102" s="192" t="n"/>
      <c r="R102" s="192" t="n"/>
      <c r="S102" s="192" t="n"/>
    </row>
    <row r="103" ht="15" customHeight="1" s="254">
      <c r="A103" s="191" t="n"/>
      <c r="B103" s="192" t="n"/>
      <c r="C103" s="192" t="n"/>
      <c r="D103" s="192" t="n"/>
      <c r="E103" s="192" t="n"/>
      <c r="F103" s="192" t="n"/>
      <c r="G103" s="193" t="n"/>
      <c r="H103" s="193" t="n"/>
      <c r="I103" s="193" t="n"/>
      <c r="J103" s="194" t="n"/>
      <c r="K103" s="192" t="n"/>
      <c r="L103" s="192" t="n"/>
      <c r="M103" s="192" t="n"/>
      <c r="N103" s="192" t="n"/>
      <c r="O103" s="192" t="n"/>
      <c r="P103" s="192" t="n"/>
      <c r="Q103" s="192" t="n"/>
      <c r="R103" s="192" t="n"/>
      <c r="S103" s="192" t="n"/>
    </row>
    <row r="104" ht="15" customHeight="1" s="254">
      <c r="A104" s="191" t="n"/>
      <c r="B104" s="192" t="n"/>
      <c r="C104" s="192" t="n"/>
      <c r="D104" s="192" t="n"/>
      <c r="E104" s="192" t="n"/>
      <c r="F104" s="192" t="n"/>
      <c r="G104" s="193" t="n"/>
      <c r="H104" s="193" t="n"/>
      <c r="I104" s="193" t="n"/>
      <c r="J104" s="194" t="n"/>
      <c r="K104" s="192" t="n"/>
      <c r="L104" s="192" t="n"/>
      <c r="M104" s="192" t="n"/>
      <c r="N104" s="192" t="n"/>
      <c r="O104" s="192" t="n"/>
      <c r="P104" s="192" t="n"/>
      <c r="Q104" s="192" t="n"/>
      <c r="R104" s="192" t="n"/>
      <c r="S104" s="192" t="n"/>
    </row>
    <row r="105" ht="15" customHeight="1" s="254">
      <c r="A105" s="191" t="n"/>
      <c r="B105" s="192" t="n"/>
      <c r="C105" s="192" t="n"/>
      <c r="D105" s="192" t="n"/>
      <c r="E105" s="192" t="n"/>
      <c r="F105" s="192" t="n"/>
      <c r="G105" s="193" t="n"/>
      <c r="H105" s="193" t="n"/>
      <c r="I105" s="193" t="n"/>
      <c r="J105" s="194" t="n"/>
      <c r="K105" s="192" t="n"/>
      <c r="L105" s="192" t="n"/>
      <c r="M105" s="192" t="n"/>
      <c r="N105" s="192" t="n"/>
      <c r="O105" s="192" t="n"/>
      <c r="P105" s="192" t="n"/>
      <c r="Q105" s="192" t="n"/>
      <c r="R105" s="192" t="n"/>
      <c r="S105" s="192" t="n"/>
    </row>
    <row r="106" ht="15" customHeight="1" s="254">
      <c r="A106" s="191" t="n"/>
      <c r="B106" s="192" t="n"/>
      <c r="C106" s="192" t="n"/>
      <c r="D106" s="192" t="n"/>
      <c r="E106" s="192" t="n"/>
      <c r="F106" s="192" t="n"/>
      <c r="G106" s="193" t="n"/>
      <c r="H106" s="193" t="n"/>
      <c r="I106" s="193" t="n"/>
      <c r="J106" s="194" t="n"/>
      <c r="K106" s="192" t="n"/>
      <c r="L106" s="192" t="n"/>
      <c r="M106" s="192" t="n"/>
      <c r="N106" s="192" t="n"/>
      <c r="O106" s="192" t="n"/>
      <c r="P106" s="192" t="n"/>
      <c r="Q106" s="192" t="n"/>
      <c r="R106" s="192" t="n"/>
      <c r="S106" s="192" t="n"/>
    </row>
    <row r="107" ht="15" customHeight="1" s="254">
      <c r="A107" s="191" t="n"/>
      <c r="B107" s="192" t="n"/>
      <c r="C107" s="192" t="n"/>
      <c r="D107" s="192" t="n"/>
      <c r="E107" s="192" t="n"/>
      <c r="F107" s="192" t="n"/>
      <c r="G107" s="193" t="n"/>
      <c r="H107" s="193" t="n"/>
      <c r="I107" s="193" t="n"/>
      <c r="J107" s="194" t="n"/>
      <c r="K107" s="192" t="n"/>
      <c r="L107" s="192" t="n"/>
      <c r="M107" s="192" t="n"/>
      <c r="N107" s="192" t="n"/>
      <c r="O107" s="192" t="n"/>
      <c r="P107" s="192" t="n"/>
      <c r="Q107" s="192" t="n"/>
      <c r="R107" s="192" t="n"/>
      <c r="S107" s="192" t="n"/>
    </row>
    <row r="108" ht="15" customHeight="1" s="254">
      <c r="A108" s="191" t="n"/>
      <c r="B108" s="192" t="n"/>
      <c r="C108" s="192" t="n"/>
      <c r="D108" s="192" t="n"/>
      <c r="E108" s="192" t="n"/>
      <c r="F108" s="192" t="n"/>
      <c r="G108" s="193" t="n"/>
      <c r="H108" s="193" t="n"/>
      <c r="I108" s="193" t="n"/>
      <c r="J108" s="194" t="n"/>
      <c r="K108" s="192" t="n"/>
      <c r="L108" s="192" t="n"/>
      <c r="M108" s="192" t="n"/>
      <c r="N108" s="192" t="n"/>
      <c r="O108" s="192" t="n"/>
      <c r="P108" s="192" t="n"/>
      <c r="Q108" s="192" t="n"/>
      <c r="R108" s="192" t="n"/>
      <c r="S108" s="192" t="n"/>
    </row>
    <row r="109" ht="15" customHeight="1" s="254">
      <c r="A109" s="191" t="n"/>
      <c r="B109" s="192" t="n"/>
      <c r="C109" s="192" t="n"/>
      <c r="D109" s="192" t="n"/>
      <c r="E109" s="192" t="n"/>
      <c r="F109" s="192" t="n"/>
      <c r="G109" s="193" t="n"/>
      <c r="H109" s="193" t="n"/>
      <c r="I109" s="193" t="n"/>
      <c r="J109" s="194" t="n"/>
      <c r="K109" s="192" t="n"/>
      <c r="L109" s="192" t="n"/>
      <c r="M109" s="192" t="n"/>
      <c r="N109" s="192" t="n"/>
      <c r="O109" s="192" t="n"/>
      <c r="P109" s="192" t="n"/>
      <c r="Q109" s="192" t="n"/>
      <c r="R109" s="192" t="n"/>
      <c r="S109" s="192" t="n"/>
    </row>
    <row r="110" ht="15" customHeight="1" s="254">
      <c r="A110" s="191" t="n"/>
      <c r="B110" s="192" t="n"/>
      <c r="C110" s="192" t="n"/>
      <c r="D110" s="192" t="n"/>
      <c r="E110" s="192" t="n"/>
      <c r="F110" s="192" t="n"/>
      <c r="G110" s="193" t="n"/>
      <c r="H110" s="193" t="n"/>
      <c r="I110" s="193" t="n"/>
      <c r="J110" s="194" t="n"/>
      <c r="K110" s="192" t="n"/>
      <c r="L110" s="192" t="n"/>
      <c r="M110" s="192" t="n"/>
      <c r="N110" s="192" t="n"/>
      <c r="O110" s="192" t="n"/>
      <c r="P110" s="192" t="n"/>
      <c r="Q110" s="192" t="n"/>
      <c r="R110" s="192" t="n"/>
      <c r="S110" s="192" t="n"/>
    </row>
    <row r="111" ht="15" customHeight="1" s="254">
      <c r="A111" s="191" t="n"/>
      <c r="B111" s="192" t="n"/>
      <c r="C111" s="192" t="n"/>
      <c r="D111" s="192" t="n"/>
      <c r="E111" s="192" t="n"/>
      <c r="F111" s="192" t="n"/>
      <c r="G111" s="193" t="n"/>
      <c r="H111" s="193" t="n"/>
      <c r="I111" s="193" t="n"/>
      <c r="J111" s="194" t="n"/>
      <c r="K111" s="192" t="n"/>
      <c r="L111" s="192" t="n"/>
      <c r="M111" s="192" t="n"/>
      <c r="N111" s="192" t="n"/>
      <c r="O111" s="192" t="n"/>
      <c r="P111" s="192" t="n"/>
      <c r="Q111" s="192" t="n"/>
      <c r="R111" s="192" t="n"/>
      <c r="S111" s="192" t="n"/>
    </row>
    <row r="112" ht="15" customHeight="1" s="254">
      <c r="A112" s="191" t="n"/>
      <c r="B112" s="192" t="n"/>
      <c r="C112" s="192" t="n"/>
      <c r="D112" s="192" t="n"/>
      <c r="E112" s="192" t="n"/>
      <c r="F112" s="192" t="n"/>
      <c r="G112" s="193" t="n"/>
      <c r="H112" s="193" t="n"/>
      <c r="I112" s="193" t="n"/>
      <c r="J112" s="194" t="n"/>
      <c r="K112" s="192" t="n"/>
      <c r="L112" s="192" t="n"/>
      <c r="M112" s="192" t="n"/>
      <c r="N112" s="192" t="n"/>
      <c r="O112" s="192" t="n"/>
      <c r="P112" s="192" t="n"/>
      <c r="Q112" s="192" t="n"/>
      <c r="R112" s="192" t="n"/>
      <c r="S112" s="192" t="n"/>
    </row>
    <row r="113" ht="15" customHeight="1" s="254">
      <c r="A113" s="191" t="n"/>
      <c r="B113" s="192" t="n"/>
      <c r="C113" s="192" t="n"/>
      <c r="D113" s="192" t="n"/>
      <c r="E113" s="192" t="n"/>
      <c r="F113" s="192" t="n"/>
      <c r="G113" s="193" t="n"/>
      <c r="H113" s="193" t="n"/>
      <c r="I113" s="193" t="n"/>
      <c r="J113" s="194" t="n"/>
      <c r="K113" s="192" t="n"/>
      <c r="L113" s="192" t="n"/>
      <c r="M113" s="192" t="n"/>
      <c r="N113" s="192" t="n"/>
      <c r="O113" s="192" t="n"/>
      <c r="P113" s="192" t="n"/>
      <c r="Q113" s="192" t="n"/>
      <c r="R113" s="192" t="n"/>
      <c r="S113" s="192" t="n"/>
    </row>
    <row r="114" ht="15" customHeight="1" s="254">
      <c r="A114" s="191" t="n"/>
      <c r="B114" s="192" t="n"/>
      <c r="C114" s="192" t="n"/>
      <c r="D114" s="192" t="n"/>
      <c r="E114" s="192" t="n"/>
      <c r="F114" s="192" t="n"/>
      <c r="G114" s="193" t="n"/>
      <c r="H114" s="193" t="n"/>
      <c r="I114" s="193" t="n"/>
      <c r="J114" s="194" t="n"/>
      <c r="K114" s="192" t="n"/>
      <c r="L114" s="192" t="n"/>
      <c r="M114" s="192" t="n"/>
      <c r="N114" s="192" t="n"/>
      <c r="O114" s="192" t="n"/>
      <c r="P114" s="192" t="n"/>
      <c r="Q114" s="192" t="n"/>
      <c r="R114" s="192" t="n"/>
      <c r="S114" s="192" t="n"/>
    </row>
    <row r="115" ht="15" customHeight="1" s="254">
      <c r="A115" s="191" t="n"/>
      <c r="B115" s="192" t="n"/>
      <c r="C115" s="192" t="n"/>
      <c r="D115" s="192" t="n"/>
      <c r="E115" s="192" t="n"/>
      <c r="F115" s="192" t="n"/>
      <c r="G115" s="193" t="n"/>
      <c r="H115" s="193" t="n"/>
      <c r="I115" s="193" t="n"/>
      <c r="J115" s="194" t="n"/>
      <c r="K115" s="192" t="n"/>
      <c r="L115" s="192" t="n"/>
      <c r="M115" s="192" t="n"/>
      <c r="N115" s="192" t="n"/>
      <c r="O115" s="192" t="n"/>
      <c r="P115" s="192" t="n"/>
      <c r="Q115" s="192" t="n"/>
      <c r="R115" s="192" t="n"/>
      <c r="S115" s="192" t="n"/>
    </row>
    <row r="116" ht="15" customHeight="1" s="254">
      <c r="A116" s="191" t="n"/>
      <c r="B116" s="192" t="n"/>
      <c r="C116" s="192" t="n"/>
      <c r="D116" s="192" t="n"/>
      <c r="E116" s="192" t="n"/>
      <c r="F116" s="192" t="n"/>
      <c r="G116" s="193" t="n"/>
      <c r="H116" s="193" t="n"/>
      <c r="I116" s="193" t="n"/>
      <c r="J116" s="194" t="n"/>
      <c r="K116" s="192" t="n"/>
      <c r="L116" s="192" t="n"/>
      <c r="M116" s="192" t="n"/>
      <c r="N116" s="192" t="n"/>
      <c r="O116" s="192" t="n"/>
      <c r="P116" s="192" t="n"/>
      <c r="Q116" s="192" t="n"/>
      <c r="R116" s="192" t="n"/>
      <c r="S116" s="192" t="n"/>
    </row>
    <row r="117" ht="15" customHeight="1" s="254">
      <c r="A117" s="191" t="n"/>
      <c r="B117" s="192" t="n"/>
      <c r="C117" s="192" t="n"/>
      <c r="D117" s="192" t="n"/>
      <c r="E117" s="192" t="n"/>
      <c r="F117" s="192" t="n"/>
      <c r="G117" s="193" t="n"/>
      <c r="H117" s="193" t="n"/>
      <c r="I117" s="193" t="n"/>
      <c r="J117" s="194" t="n"/>
      <c r="K117" s="192" t="n"/>
      <c r="L117" s="192" t="n"/>
      <c r="M117" s="192" t="n"/>
      <c r="N117" s="192" t="n"/>
      <c r="O117" s="192" t="n"/>
      <c r="P117" s="192" t="n"/>
      <c r="Q117" s="192" t="n"/>
      <c r="R117" s="192" t="n"/>
      <c r="S117" s="192" t="n"/>
    </row>
    <row r="118" ht="15" customHeight="1" s="254">
      <c r="A118" s="191" t="n"/>
      <c r="B118" s="192" t="n"/>
      <c r="C118" s="192" t="n"/>
      <c r="D118" s="192" t="n"/>
      <c r="E118" s="192" t="n"/>
      <c r="F118" s="192" t="n"/>
      <c r="G118" s="193" t="n"/>
      <c r="H118" s="193" t="n"/>
      <c r="I118" s="193" t="n"/>
      <c r="J118" s="194" t="n"/>
      <c r="K118" s="192" t="n"/>
      <c r="L118" s="192" t="n"/>
      <c r="M118" s="192" t="n"/>
      <c r="N118" s="192" t="n"/>
      <c r="O118" s="192" t="n"/>
      <c r="P118" s="192" t="n"/>
      <c r="Q118" s="192" t="n"/>
      <c r="R118" s="192" t="n"/>
      <c r="S118" s="192" t="n"/>
    </row>
    <row r="119" ht="15" customHeight="1" s="254">
      <c r="A119" s="191" t="n"/>
      <c r="B119" s="192" t="n"/>
      <c r="C119" s="192" t="n"/>
      <c r="D119" s="192" t="n"/>
      <c r="E119" s="192" t="n"/>
      <c r="F119" s="192" t="n"/>
      <c r="G119" s="193" t="n"/>
      <c r="H119" s="193" t="n"/>
      <c r="I119" s="193" t="n"/>
      <c r="J119" s="194" t="n"/>
      <c r="K119" s="192" t="n"/>
      <c r="L119" s="192" t="n"/>
      <c r="M119" s="192" t="n"/>
      <c r="N119" s="192" t="n"/>
      <c r="O119" s="192" t="n"/>
      <c r="P119" s="192" t="n"/>
      <c r="Q119" s="192" t="n"/>
      <c r="R119" s="192" t="n"/>
      <c r="S119" s="192" t="n"/>
    </row>
    <row r="120" ht="15" customHeight="1" s="254">
      <c r="A120" s="191" t="n"/>
      <c r="B120" s="192" t="n"/>
      <c r="C120" s="192" t="n"/>
      <c r="D120" s="192" t="n"/>
      <c r="E120" s="192" t="n"/>
      <c r="F120" s="192" t="n"/>
      <c r="G120" s="193" t="n"/>
      <c r="H120" s="193" t="n"/>
      <c r="I120" s="193" t="n"/>
      <c r="J120" s="194" t="n"/>
      <c r="K120" s="192" t="n"/>
      <c r="L120" s="192" t="n"/>
      <c r="M120" s="192" t="n"/>
      <c r="N120" s="192" t="n"/>
      <c r="O120" s="192" t="n"/>
      <c r="P120" s="192" t="n"/>
      <c r="Q120" s="192" t="n"/>
      <c r="R120" s="192" t="n"/>
      <c r="S120" s="192" t="n"/>
    </row>
    <row r="121" ht="15" customHeight="1" s="254">
      <c r="A121" s="191" t="n"/>
      <c r="B121" s="192" t="n"/>
      <c r="C121" s="192" t="n"/>
      <c r="D121" s="192" t="n"/>
      <c r="E121" s="192" t="n"/>
      <c r="F121" s="192" t="n"/>
      <c r="G121" s="193" t="n"/>
      <c r="H121" s="193" t="n"/>
      <c r="I121" s="193" t="n"/>
      <c r="J121" s="194" t="n"/>
      <c r="K121" s="192" t="n"/>
      <c r="L121" s="192" t="n"/>
      <c r="M121" s="192" t="n"/>
      <c r="N121" s="192" t="n"/>
      <c r="O121" s="192" t="n"/>
      <c r="P121" s="192" t="n"/>
      <c r="Q121" s="192" t="n"/>
      <c r="R121" s="192" t="n"/>
      <c r="S121" s="192" t="n"/>
    </row>
    <row r="122" ht="15" customHeight="1" s="254">
      <c r="A122" s="191" t="n"/>
      <c r="B122" s="192" t="n"/>
      <c r="C122" s="192" t="n"/>
      <c r="D122" s="192" t="n"/>
      <c r="E122" s="192" t="n"/>
      <c r="F122" s="192" t="n"/>
      <c r="G122" s="193" t="n"/>
      <c r="H122" s="193" t="n"/>
      <c r="I122" s="193" t="n"/>
      <c r="J122" s="194" t="n"/>
      <c r="K122" s="192" t="n"/>
      <c r="L122" s="192" t="n"/>
      <c r="M122" s="192" t="n"/>
      <c r="N122" s="192" t="n"/>
      <c r="O122" s="192" t="n"/>
      <c r="P122" s="192" t="n"/>
      <c r="Q122" s="192" t="n"/>
      <c r="R122" s="192" t="n"/>
      <c r="S122" s="192" t="n"/>
    </row>
    <row r="123" ht="15" customHeight="1" s="254">
      <c r="A123" s="191" t="n"/>
      <c r="B123" s="192" t="n"/>
      <c r="C123" s="192" t="n"/>
      <c r="D123" s="192" t="n"/>
      <c r="E123" s="192" t="n"/>
      <c r="F123" s="192" t="n"/>
      <c r="G123" s="193" t="n"/>
      <c r="H123" s="193" t="n"/>
      <c r="I123" s="193" t="n"/>
      <c r="J123" s="194" t="n"/>
      <c r="K123" s="192" t="n"/>
      <c r="L123" s="192" t="n"/>
      <c r="M123" s="192" t="n"/>
      <c r="N123" s="192" t="n"/>
      <c r="O123" s="192" t="n"/>
      <c r="P123" s="192" t="n"/>
      <c r="Q123" s="192" t="n"/>
      <c r="R123" s="192" t="n"/>
      <c r="S123" s="192" t="n"/>
    </row>
    <row r="124" ht="15" customHeight="1" s="254">
      <c r="A124" s="191" t="n"/>
      <c r="B124" s="192" t="n"/>
      <c r="C124" s="192" t="n"/>
      <c r="D124" s="192" t="n"/>
      <c r="E124" s="192" t="n"/>
      <c r="F124" s="192" t="n"/>
      <c r="G124" s="193" t="n"/>
      <c r="H124" s="193" t="n"/>
      <c r="I124" s="193" t="n"/>
      <c r="J124" s="194" t="n"/>
      <c r="K124" s="192" t="n"/>
      <c r="L124" s="192" t="n"/>
      <c r="M124" s="192" t="n"/>
      <c r="N124" s="192" t="n"/>
      <c r="O124" s="192" t="n"/>
      <c r="P124" s="192" t="n"/>
      <c r="Q124" s="192" t="n"/>
      <c r="R124" s="192" t="n"/>
      <c r="S124" s="192" t="n"/>
    </row>
    <row r="125" ht="15" customHeight="1" s="254">
      <c r="A125" s="191" t="n"/>
      <c r="B125" s="192" t="n"/>
      <c r="C125" s="192" t="n"/>
      <c r="D125" s="192" t="n"/>
      <c r="E125" s="192" t="n"/>
      <c r="F125" s="192" t="n"/>
      <c r="G125" s="193" t="n"/>
      <c r="H125" s="193" t="n"/>
      <c r="I125" s="193" t="n"/>
      <c r="J125" s="194" t="n"/>
      <c r="K125" s="192" t="n"/>
      <c r="L125" s="192" t="n"/>
      <c r="M125" s="192" t="n"/>
      <c r="N125" s="192" t="n"/>
      <c r="O125" s="192" t="n"/>
      <c r="P125" s="192" t="n"/>
      <c r="Q125" s="192" t="n"/>
      <c r="R125" s="192" t="n"/>
      <c r="S125" s="192" t="n"/>
    </row>
    <row r="126" ht="15" customHeight="1" s="254">
      <c r="A126" s="191" t="n"/>
      <c r="B126" s="192" t="n"/>
      <c r="C126" s="192" t="n"/>
      <c r="D126" s="192" t="n"/>
      <c r="E126" s="192" t="n"/>
      <c r="F126" s="192" t="n"/>
      <c r="G126" s="193" t="n"/>
      <c r="H126" s="193" t="n"/>
      <c r="I126" s="193" t="n"/>
      <c r="J126" s="194" t="n"/>
      <c r="K126" s="192" t="n"/>
      <c r="L126" s="192" t="n"/>
      <c r="M126" s="192" t="n"/>
      <c r="N126" s="192" t="n"/>
      <c r="O126" s="192" t="n"/>
      <c r="P126" s="192" t="n"/>
      <c r="Q126" s="192" t="n"/>
      <c r="R126" s="192" t="n"/>
      <c r="S126" s="192" t="n"/>
    </row>
    <row r="127" ht="15" customHeight="1" s="254">
      <c r="A127" s="191" t="n"/>
      <c r="B127" s="192" t="n"/>
      <c r="C127" s="192" t="n"/>
      <c r="D127" s="192" t="n"/>
      <c r="E127" s="192" t="n"/>
      <c r="F127" s="192" t="n"/>
      <c r="G127" s="193" t="n"/>
      <c r="H127" s="193" t="n"/>
      <c r="I127" s="193" t="n"/>
      <c r="J127" s="194" t="n"/>
      <c r="K127" s="192" t="n"/>
      <c r="L127" s="192" t="n"/>
      <c r="M127" s="192" t="n"/>
      <c r="N127" s="192" t="n"/>
      <c r="O127" s="192" t="n"/>
      <c r="P127" s="192" t="n"/>
      <c r="Q127" s="192" t="n"/>
      <c r="R127" s="192" t="n"/>
      <c r="S127" s="192" t="n"/>
    </row>
    <row r="128" ht="15" customHeight="1" s="254">
      <c r="A128" s="191" t="n"/>
      <c r="B128" s="192" t="n"/>
      <c r="C128" s="192" t="n"/>
      <c r="D128" s="192" t="n"/>
      <c r="E128" s="192" t="n"/>
      <c r="F128" s="192" t="n"/>
      <c r="G128" s="193" t="n"/>
      <c r="H128" s="193" t="n"/>
      <c r="I128" s="193" t="n"/>
      <c r="J128" s="194" t="n"/>
      <c r="K128" s="192" t="n"/>
      <c r="L128" s="192" t="n"/>
      <c r="M128" s="192" t="n"/>
      <c r="N128" s="192" t="n"/>
      <c r="O128" s="192" t="n"/>
      <c r="P128" s="192" t="n"/>
      <c r="Q128" s="192" t="n"/>
      <c r="R128" s="192" t="n"/>
      <c r="S128" s="192" t="n"/>
    </row>
    <row r="129" ht="15" customHeight="1" s="254">
      <c r="A129" s="191" t="n"/>
      <c r="B129" s="192" t="n"/>
      <c r="C129" s="192" t="n"/>
      <c r="D129" s="192" t="n"/>
      <c r="E129" s="192" t="n"/>
      <c r="F129" s="192" t="n"/>
      <c r="G129" s="193" t="n"/>
      <c r="H129" s="193" t="n"/>
      <c r="I129" s="193" t="n"/>
      <c r="J129" s="194" t="n"/>
      <c r="K129" s="192" t="n"/>
      <c r="L129" s="192" t="n"/>
      <c r="M129" s="192" t="n"/>
      <c r="N129" s="192" t="n"/>
      <c r="O129" s="192" t="n"/>
      <c r="P129" s="192" t="n"/>
      <c r="Q129" s="192" t="n"/>
      <c r="R129" s="192" t="n"/>
      <c r="S129" s="192" t="n"/>
    </row>
    <row r="130" ht="15" customHeight="1" s="254">
      <c r="A130" s="191" t="n"/>
      <c r="B130" s="192" t="n"/>
      <c r="C130" s="192" t="n"/>
      <c r="D130" s="192" t="n"/>
      <c r="E130" s="192" t="n"/>
      <c r="F130" s="192" t="n"/>
      <c r="G130" s="193" t="n"/>
      <c r="H130" s="193" t="n"/>
      <c r="I130" s="193" t="n"/>
      <c r="J130" s="194" t="n"/>
      <c r="K130" s="192" t="n"/>
      <c r="L130" s="192" t="n"/>
      <c r="M130" s="192" t="n"/>
      <c r="N130" s="192" t="n"/>
      <c r="O130" s="192" t="n"/>
      <c r="P130" s="192" t="n"/>
      <c r="Q130" s="192" t="n"/>
      <c r="R130" s="192" t="n"/>
      <c r="S130" s="192" t="n"/>
    </row>
    <row r="131" ht="15" customHeight="1" s="254">
      <c r="A131" s="191" t="n"/>
      <c r="B131" s="192" t="n"/>
      <c r="C131" s="192" t="n"/>
      <c r="D131" s="192" t="n"/>
      <c r="E131" s="192" t="n"/>
      <c r="F131" s="192" t="n"/>
      <c r="G131" s="193" t="n"/>
      <c r="H131" s="193" t="n"/>
      <c r="I131" s="193" t="n"/>
      <c r="J131" s="194" t="n"/>
      <c r="K131" s="192" t="n"/>
      <c r="L131" s="192" t="n"/>
      <c r="M131" s="192" t="n"/>
      <c r="N131" s="192" t="n"/>
      <c r="O131" s="192" t="n"/>
      <c r="P131" s="192" t="n"/>
      <c r="Q131" s="192" t="n"/>
      <c r="R131" s="192" t="n"/>
      <c r="S131" s="192" t="n"/>
    </row>
    <row r="132" ht="15" customHeight="1" s="254">
      <c r="A132" s="191" t="n"/>
      <c r="B132" s="192" t="n"/>
      <c r="C132" s="192" t="n"/>
      <c r="D132" s="192" t="n"/>
      <c r="E132" s="192" t="n"/>
      <c r="F132" s="192" t="n"/>
      <c r="G132" s="193" t="n"/>
      <c r="H132" s="193" t="n"/>
      <c r="I132" s="193" t="n"/>
      <c r="J132" s="194" t="n"/>
      <c r="K132" s="192" t="n"/>
      <c r="L132" s="192" t="n"/>
      <c r="M132" s="192" t="n"/>
      <c r="N132" s="192" t="n"/>
      <c r="O132" s="192" t="n"/>
      <c r="P132" s="192" t="n"/>
      <c r="Q132" s="192" t="n"/>
      <c r="R132" s="192" t="n"/>
      <c r="S132" s="192" t="n"/>
    </row>
    <row r="133" ht="15" customHeight="1" s="254">
      <c r="A133" s="191" t="n"/>
      <c r="B133" s="192" t="n"/>
      <c r="C133" s="192" t="n"/>
      <c r="D133" s="192" t="n"/>
      <c r="E133" s="192" t="n"/>
      <c r="F133" s="192" t="n"/>
      <c r="G133" s="193" t="n"/>
      <c r="H133" s="193" t="n"/>
      <c r="I133" s="193" t="n"/>
      <c r="J133" s="194" t="n"/>
      <c r="K133" s="192" t="n"/>
      <c r="L133" s="192" t="n"/>
      <c r="M133" s="192" t="n"/>
      <c r="N133" s="192" t="n"/>
      <c r="O133" s="192" t="n"/>
      <c r="P133" s="192" t="n"/>
      <c r="Q133" s="192" t="n"/>
      <c r="R133" s="192" t="n"/>
      <c r="S133" s="192" t="n"/>
    </row>
    <row r="134" ht="15" customHeight="1" s="254">
      <c r="A134" s="191" t="n"/>
      <c r="B134" s="192" t="n"/>
      <c r="C134" s="192" t="n"/>
      <c r="D134" s="192" t="n"/>
      <c r="E134" s="192" t="n"/>
      <c r="F134" s="192" t="n"/>
      <c r="G134" s="193" t="n"/>
      <c r="H134" s="193" t="n"/>
      <c r="I134" s="193" t="n"/>
      <c r="J134" s="194" t="n"/>
      <c r="K134" s="192" t="n"/>
      <c r="L134" s="192" t="n"/>
      <c r="M134" s="192" t="n"/>
      <c r="N134" s="192" t="n"/>
      <c r="O134" s="192" t="n"/>
      <c r="P134" s="192" t="n"/>
      <c r="Q134" s="192" t="n"/>
      <c r="R134" s="192" t="n"/>
      <c r="S134" s="192" t="n"/>
    </row>
    <row r="135" ht="15" customHeight="1" s="254">
      <c r="A135" s="191" t="n"/>
      <c r="B135" s="192" t="n"/>
      <c r="C135" s="192" t="n"/>
      <c r="D135" s="192" t="n"/>
      <c r="E135" s="192" t="n"/>
      <c r="F135" s="192" t="n"/>
      <c r="G135" s="193" t="n"/>
      <c r="H135" s="193" t="n"/>
      <c r="I135" s="193" t="n"/>
      <c r="J135" s="194" t="n"/>
      <c r="K135" s="192" t="n"/>
      <c r="L135" s="192" t="n"/>
      <c r="M135" s="192" t="n"/>
      <c r="N135" s="192" t="n"/>
      <c r="O135" s="192" t="n"/>
      <c r="P135" s="192" t="n"/>
      <c r="Q135" s="192" t="n"/>
      <c r="R135" s="192" t="n"/>
      <c r="S135" s="192" t="n"/>
    </row>
    <row r="136" ht="15" customHeight="1" s="254">
      <c r="A136" s="191" t="n"/>
      <c r="B136" s="192" t="n"/>
      <c r="C136" s="192" t="n"/>
      <c r="D136" s="192" t="n"/>
      <c r="E136" s="192" t="n"/>
      <c r="F136" s="192" t="n"/>
      <c r="G136" s="193" t="n"/>
      <c r="H136" s="193" t="n"/>
      <c r="I136" s="193" t="n"/>
      <c r="J136" s="194" t="n"/>
      <c r="K136" s="192" t="n"/>
      <c r="L136" s="192" t="n"/>
      <c r="M136" s="192" t="n"/>
      <c r="N136" s="192" t="n"/>
      <c r="O136" s="192" t="n"/>
      <c r="P136" s="192" t="n"/>
      <c r="Q136" s="192" t="n"/>
      <c r="R136" s="192" t="n"/>
      <c r="S136" s="192" t="n"/>
    </row>
    <row r="137" ht="15" customHeight="1" s="254">
      <c r="A137" s="191" t="n"/>
      <c r="B137" s="192" t="n"/>
      <c r="C137" s="192" t="n"/>
      <c r="D137" s="192" t="n"/>
      <c r="E137" s="192" t="n"/>
      <c r="F137" s="192" t="n"/>
      <c r="G137" s="193" t="n"/>
      <c r="H137" s="193" t="n"/>
      <c r="I137" s="193" t="n"/>
      <c r="J137" s="194" t="n"/>
      <c r="K137" s="192" t="n"/>
      <c r="L137" s="192" t="n"/>
      <c r="M137" s="192" t="n"/>
      <c r="N137" s="192" t="n"/>
      <c r="O137" s="192" t="n"/>
      <c r="P137" s="192" t="n"/>
      <c r="Q137" s="192" t="n"/>
      <c r="R137" s="192" t="n"/>
      <c r="S137" s="192" t="n"/>
    </row>
    <row r="138" ht="15" customHeight="1" s="254">
      <c r="A138" s="191" t="n"/>
      <c r="B138" s="192" t="n"/>
      <c r="C138" s="192" t="n"/>
      <c r="D138" s="192" t="n"/>
      <c r="E138" s="192" t="n"/>
      <c r="F138" s="192" t="n"/>
      <c r="G138" s="193" t="n"/>
      <c r="H138" s="193" t="n"/>
      <c r="I138" s="193" t="n"/>
      <c r="J138" s="194" t="n"/>
      <c r="K138" s="192" t="n"/>
      <c r="L138" s="192" t="n"/>
      <c r="M138" s="192" t="n"/>
      <c r="N138" s="192" t="n"/>
      <c r="O138" s="192" t="n"/>
      <c r="P138" s="192" t="n"/>
      <c r="Q138" s="192" t="n"/>
      <c r="R138" s="192" t="n"/>
      <c r="S138" s="192" t="n"/>
    </row>
    <row r="139" ht="15" customHeight="1" s="254">
      <c r="A139" s="191" t="n"/>
      <c r="B139" s="192" t="n"/>
      <c r="C139" s="192" t="n"/>
      <c r="D139" s="192" t="n"/>
      <c r="E139" s="192" t="n"/>
      <c r="F139" s="192" t="n"/>
      <c r="G139" s="193" t="n"/>
      <c r="H139" s="193" t="n"/>
      <c r="I139" s="193" t="n"/>
      <c r="J139" s="194" t="n"/>
      <c r="K139" s="192" t="n"/>
      <c r="L139" s="192" t="n"/>
      <c r="M139" s="192" t="n"/>
      <c r="N139" s="192" t="n"/>
      <c r="O139" s="192" t="n"/>
      <c r="P139" s="192" t="n"/>
      <c r="Q139" s="192" t="n"/>
      <c r="R139" s="192" t="n"/>
      <c r="S139" s="192" t="n"/>
    </row>
    <row r="140" ht="15" customHeight="1" s="254">
      <c r="A140" s="191" t="n"/>
      <c r="B140" s="192" t="n"/>
      <c r="C140" s="192" t="n"/>
      <c r="D140" s="192" t="n"/>
      <c r="E140" s="192" t="n"/>
      <c r="F140" s="192" t="n"/>
      <c r="G140" s="193" t="n"/>
      <c r="H140" s="193" t="n"/>
      <c r="I140" s="193" t="n"/>
      <c r="J140" s="194" t="n"/>
      <c r="K140" s="192" t="n"/>
      <c r="L140" s="192" t="n"/>
      <c r="M140" s="192" t="n"/>
      <c r="N140" s="192" t="n"/>
      <c r="O140" s="192" t="n"/>
      <c r="P140" s="192" t="n"/>
      <c r="Q140" s="192" t="n"/>
      <c r="R140" s="192" t="n"/>
      <c r="S140" s="192" t="n"/>
    </row>
    <row r="141" ht="15" customHeight="1" s="254">
      <c r="A141" s="191" t="n"/>
      <c r="B141" s="192" t="n"/>
      <c r="C141" s="192" t="n"/>
      <c r="D141" s="192" t="n"/>
      <c r="E141" s="192" t="n"/>
      <c r="F141" s="192" t="n"/>
      <c r="G141" s="193" t="n"/>
      <c r="H141" s="193" t="n"/>
      <c r="I141" s="193" t="n"/>
      <c r="J141" s="194" t="n"/>
      <c r="K141" s="192" t="n"/>
      <c r="L141" s="192" t="n"/>
      <c r="M141" s="192" t="n"/>
      <c r="N141" s="192" t="n"/>
      <c r="O141" s="192" t="n"/>
      <c r="P141" s="192" t="n"/>
      <c r="Q141" s="192" t="n"/>
      <c r="R141" s="192" t="n"/>
      <c r="S141" s="192" t="n"/>
    </row>
    <row r="142" ht="15" customHeight="1" s="254">
      <c r="A142" s="191" t="n"/>
      <c r="B142" s="192" t="n"/>
      <c r="C142" s="192" t="n"/>
      <c r="D142" s="192" t="n"/>
      <c r="E142" s="192" t="n"/>
      <c r="F142" s="192" t="n"/>
      <c r="G142" s="193" t="n"/>
      <c r="H142" s="193" t="n"/>
      <c r="I142" s="193" t="n"/>
      <c r="J142" s="194" t="n"/>
      <c r="K142" s="192" t="n"/>
      <c r="L142" s="192" t="n"/>
      <c r="M142" s="192" t="n"/>
      <c r="N142" s="192" t="n"/>
      <c r="O142" s="192" t="n"/>
      <c r="P142" s="192" t="n"/>
      <c r="Q142" s="192" t="n"/>
      <c r="R142" s="192" t="n"/>
      <c r="S142" s="192" t="n"/>
    </row>
    <row r="143" ht="15" customHeight="1" s="254">
      <c r="A143" s="191" t="n"/>
      <c r="B143" s="192" t="n"/>
      <c r="C143" s="192" t="n"/>
      <c r="D143" s="192" t="n"/>
      <c r="E143" s="192" t="n"/>
      <c r="F143" s="192" t="n"/>
      <c r="G143" s="193" t="n"/>
      <c r="H143" s="193" t="n"/>
      <c r="I143" s="193" t="n"/>
      <c r="J143" s="194" t="n"/>
      <c r="K143" s="192" t="n"/>
      <c r="L143" s="192" t="n"/>
      <c r="M143" s="192" t="n"/>
      <c r="N143" s="192" t="n"/>
      <c r="O143" s="192" t="n"/>
      <c r="P143" s="192" t="n"/>
      <c r="Q143" s="192" t="n"/>
      <c r="R143" s="192" t="n"/>
      <c r="S143" s="192" t="n"/>
    </row>
    <row r="144" ht="15" customHeight="1" s="254">
      <c r="A144" s="191" t="n"/>
      <c r="B144" s="192" t="n"/>
      <c r="C144" s="192" t="n"/>
      <c r="D144" s="192" t="n"/>
      <c r="E144" s="192" t="n"/>
      <c r="F144" s="192" t="n"/>
      <c r="G144" s="193" t="n"/>
      <c r="H144" s="193" t="n"/>
      <c r="I144" s="193" t="n"/>
      <c r="J144" s="194" t="n"/>
      <c r="K144" s="192" t="n"/>
      <c r="L144" s="192" t="n"/>
      <c r="M144" s="192" t="n"/>
      <c r="N144" s="192" t="n"/>
      <c r="O144" s="192" t="n"/>
      <c r="P144" s="192" t="n"/>
      <c r="Q144" s="192" t="n"/>
      <c r="R144" s="192" t="n"/>
      <c r="S144" s="192" t="n"/>
    </row>
    <row r="145" ht="15" customHeight="1" s="254">
      <c r="A145" s="191" t="n"/>
      <c r="B145" s="192" t="n"/>
      <c r="C145" s="192" t="n"/>
      <c r="D145" s="192" t="n"/>
      <c r="E145" s="192" t="n"/>
      <c r="F145" s="192" t="n"/>
      <c r="G145" s="193" t="n"/>
      <c r="H145" s="193" t="n"/>
      <c r="I145" s="193" t="n"/>
      <c r="J145" s="194" t="n"/>
      <c r="K145" s="192" t="n"/>
      <c r="L145" s="192" t="n"/>
      <c r="M145" s="192" t="n"/>
      <c r="N145" s="192" t="n"/>
      <c r="O145" s="192" t="n"/>
      <c r="P145" s="192" t="n"/>
      <c r="Q145" s="192" t="n"/>
      <c r="R145" s="192" t="n"/>
      <c r="S145" s="192" t="n"/>
    </row>
    <row r="146" ht="15" customHeight="1" s="254">
      <c r="A146" s="191" t="n"/>
      <c r="B146" s="192" t="n"/>
      <c r="C146" s="192" t="n"/>
      <c r="D146" s="192" t="n"/>
      <c r="E146" s="192" t="n"/>
      <c r="F146" s="192" t="n"/>
      <c r="G146" s="193" t="n"/>
      <c r="H146" s="193" t="n"/>
      <c r="I146" s="193" t="n"/>
      <c r="J146" s="194" t="n"/>
      <c r="K146" s="192" t="n"/>
      <c r="L146" s="192" t="n"/>
      <c r="M146" s="192" t="n"/>
      <c r="N146" s="192" t="n"/>
      <c r="O146" s="192" t="n"/>
      <c r="P146" s="192" t="n"/>
      <c r="Q146" s="192" t="n"/>
      <c r="R146" s="192" t="n"/>
      <c r="S146" s="192" t="n"/>
    </row>
    <row r="147" ht="15" customHeight="1" s="254">
      <c r="A147" s="191" t="n"/>
      <c r="B147" s="192" t="n"/>
      <c r="C147" s="192" t="n"/>
      <c r="D147" s="192" t="n"/>
      <c r="E147" s="192" t="n"/>
      <c r="F147" s="192" t="n"/>
      <c r="G147" s="193" t="n"/>
      <c r="H147" s="193" t="n"/>
      <c r="I147" s="193" t="n"/>
      <c r="J147" s="194" t="n"/>
      <c r="K147" s="192" t="n"/>
      <c r="L147" s="192" t="n"/>
      <c r="M147" s="192" t="n"/>
      <c r="N147" s="192" t="n"/>
      <c r="O147" s="192" t="n"/>
      <c r="P147" s="192" t="n"/>
      <c r="Q147" s="192" t="n"/>
      <c r="R147" s="192" t="n"/>
      <c r="S147" s="192" t="n"/>
    </row>
    <row r="148" ht="15" customHeight="1" s="254">
      <c r="A148" s="191" t="n"/>
      <c r="B148" s="192" t="n"/>
      <c r="C148" s="192" t="n"/>
      <c r="D148" s="192" t="n"/>
      <c r="E148" s="192" t="n"/>
      <c r="F148" s="192" t="n"/>
      <c r="G148" s="193" t="n"/>
      <c r="H148" s="193" t="n"/>
      <c r="I148" s="193" t="n"/>
      <c r="J148" s="194" t="n"/>
      <c r="K148" s="192" t="n"/>
      <c r="L148" s="192" t="n"/>
      <c r="M148" s="192" t="n"/>
      <c r="N148" s="192" t="n"/>
      <c r="O148" s="192" t="n"/>
      <c r="P148" s="192" t="n"/>
      <c r="Q148" s="192" t="n"/>
      <c r="R148" s="192" t="n"/>
      <c r="S148" s="192" t="n"/>
    </row>
    <row r="149" ht="15" customHeight="1" s="254">
      <c r="A149" s="191" t="n"/>
      <c r="B149" s="192" t="n"/>
      <c r="C149" s="192" t="n"/>
      <c r="D149" s="192" t="n"/>
      <c r="E149" s="192" t="n"/>
      <c r="F149" s="192" t="n"/>
      <c r="G149" s="193" t="n"/>
      <c r="H149" s="193" t="n"/>
      <c r="I149" s="193" t="n"/>
      <c r="J149" s="194" t="n"/>
      <c r="K149" s="192" t="n"/>
      <c r="L149" s="192" t="n"/>
      <c r="M149" s="192" t="n"/>
      <c r="N149" s="192" t="n"/>
      <c r="O149" s="192" t="n"/>
      <c r="P149" s="192" t="n"/>
      <c r="Q149" s="192" t="n"/>
      <c r="R149" s="192" t="n"/>
      <c r="S149" s="192" t="n"/>
    </row>
    <row r="150" ht="15" customHeight="1" s="254">
      <c r="A150" s="191" t="n"/>
      <c r="B150" s="192" t="n"/>
      <c r="C150" s="192" t="n"/>
      <c r="D150" s="192" t="n"/>
      <c r="E150" s="192" t="n"/>
      <c r="F150" s="192" t="n"/>
      <c r="G150" s="193" t="n"/>
      <c r="H150" s="193" t="n"/>
      <c r="I150" s="193" t="n"/>
      <c r="J150" s="194" t="n"/>
      <c r="K150" s="192" t="n"/>
      <c r="L150" s="192" t="n"/>
      <c r="M150" s="192" t="n"/>
      <c r="N150" s="192" t="n"/>
      <c r="O150" s="192" t="n"/>
      <c r="P150" s="192" t="n"/>
      <c r="Q150" s="192" t="n"/>
      <c r="R150" s="192" t="n"/>
      <c r="S150" s="192" t="n"/>
    </row>
    <row r="151" ht="15" customHeight="1" s="254">
      <c r="A151" s="191" t="n"/>
      <c r="B151" s="192" t="n"/>
      <c r="C151" s="192" t="n"/>
      <c r="D151" s="192" t="n"/>
      <c r="E151" s="192" t="n"/>
      <c r="F151" s="192" t="n"/>
      <c r="G151" s="193" t="n"/>
      <c r="H151" s="193" t="n"/>
      <c r="I151" s="193" t="n"/>
      <c r="J151" s="194" t="n"/>
      <c r="K151" s="192" t="n"/>
      <c r="L151" s="192" t="n"/>
      <c r="M151" s="192" t="n"/>
      <c r="N151" s="192" t="n"/>
      <c r="O151" s="192" t="n"/>
      <c r="P151" s="192" t="n"/>
      <c r="Q151" s="192" t="n"/>
      <c r="R151" s="192" t="n"/>
      <c r="S151" s="192" t="n"/>
    </row>
    <row r="152" ht="15" customHeight="1" s="254">
      <c r="A152" s="191" t="n"/>
      <c r="B152" s="192" t="n"/>
      <c r="C152" s="192" t="n"/>
      <c r="D152" s="192" t="n"/>
      <c r="E152" s="192" t="n"/>
      <c r="F152" s="192" t="n"/>
      <c r="G152" s="193" t="n"/>
      <c r="H152" s="193" t="n"/>
      <c r="I152" s="193" t="n"/>
      <c r="J152" s="194" t="n"/>
      <c r="K152" s="192" t="n"/>
      <c r="L152" s="192" t="n"/>
      <c r="M152" s="192" t="n"/>
      <c r="N152" s="192" t="n"/>
      <c r="O152" s="192" t="n"/>
      <c r="P152" s="192" t="n"/>
      <c r="Q152" s="192" t="n"/>
      <c r="R152" s="192" t="n"/>
      <c r="S152" s="192" t="n"/>
    </row>
    <row r="153" ht="15" customHeight="1" s="254">
      <c r="A153" s="191" t="n"/>
      <c r="B153" s="192" t="n"/>
      <c r="C153" s="192" t="n"/>
      <c r="D153" s="192" t="n"/>
      <c r="E153" s="192" t="n"/>
      <c r="F153" s="192" t="n"/>
      <c r="G153" s="193" t="n"/>
      <c r="H153" s="193" t="n"/>
      <c r="I153" s="193" t="n"/>
      <c r="J153" s="194" t="n"/>
      <c r="K153" s="192" t="n"/>
      <c r="L153" s="192" t="n"/>
      <c r="M153" s="192" t="n"/>
      <c r="N153" s="192" t="n"/>
      <c r="O153" s="192" t="n"/>
      <c r="P153" s="192" t="n"/>
      <c r="Q153" s="192" t="n"/>
      <c r="R153" s="192" t="n"/>
      <c r="S153" s="192" t="n"/>
    </row>
    <row r="154" ht="15" customHeight="1" s="254">
      <c r="A154" s="191" t="n"/>
      <c r="B154" s="192" t="n"/>
      <c r="C154" s="192" t="n"/>
      <c r="D154" s="192" t="n"/>
      <c r="E154" s="192" t="n"/>
      <c r="F154" s="192" t="n"/>
      <c r="G154" s="193" t="n"/>
      <c r="H154" s="193" t="n"/>
      <c r="I154" s="193" t="n"/>
      <c r="J154" s="194" t="n"/>
      <c r="K154" s="192" t="n"/>
      <c r="L154" s="192" t="n"/>
      <c r="M154" s="192" t="n"/>
      <c r="N154" s="192" t="n"/>
      <c r="O154" s="192" t="n"/>
      <c r="P154" s="192" t="n"/>
      <c r="Q154" s="192" t="n"/>
      <c r="R154" s="192" t="n"/>
      <c r="S154" s="192" t="n"/>
    </row>
    <row r="155" ht="15" customHeight="1" s="254">
      <c r="A155" s="191" t="n"/>
      <c r="B155" s="192" t="n"/>
      <c r="C155" s="192" t="n"/>
      <c r="D155" s="192" t="n"/>
      <c r="E155" s="192" t="n"/>
      <c r="F155" s="192" t="n"/>
      <c r="G155" s="193" t="n"/>
      <c r="H155" s="193" t="n"/>
      <c r="I155" s="193" t="n"/>
      <c r="J155" s="194" t="n"/>
      <c r="K155" s="192" t="n"/>
      <c r="L155" s="192" t="n"/>
      <c r="M155" s="192" t="n"/>
      <c r="N155" s="192" t="n"/>
      <c r="O155" s="192" t="n"/>
      <c r="P155" s="192" t="n"/>
      <c r="Q155" s="192" t="n"/>
      <c r="R155" s="192" t="n"/>
      <c r="S155" s="192" t="n"/>
    </row>
    <row r="156" ht="15" customHeight="1" s="254">
      <c r="A156" s="191" t="n"/>
      <c r="B156" s="192" t="n"/>
      <c r="C156" s="192" t="n"/>
      <c r="D156" s="192" t="n"/>
      <c r="E156" s="192" t="n"/>
      <c r="F156" s="192" t="n"/>
      <c r="G156" s="193" t="n"/>
      <c r="H156" s="193" t="n"/>
      <c r="I156" s="193" t="n"/>
      <c r="J156" s="194" t="n"/>
      <c r="K156" s="192" t="n"/>
      <c r="L156" s="192" t="n"/>
      <c r="M156" s="192" t="n"/>
      <c r="N156" s="192" t="n"/>
      <c r="O156" s="192" t="n"/>
      <c r="P156" s="192" t="n"/>
      <c r="Q156" s="192" t="n"/>
      <c r="R156" s="192" t="n"/>
      <c r="S156" s="192" t="n"/>
    </row>
    <row r="157" ht="15" customHeight="1" s="254">
      <c r="A157" s="191" t="n"/>
      <c r="B157" s="192" t="n"/>
      <c r="C157" s="192" t="n"/>
      <c r="D157" s="192" t="n"/>
      <c r="E157" s="192" t="n"/>
      <c r="F157" s="192" t="n"/>
      <c r="G157" s="193" t="n"/>
      <c r="H157" s="193" t="n"/>
      <c r="I157" s="193" t="n"/>
      <c r="J157" s="194" t="n"/>
      <c r="K157" s="192" t="n"/>
      <c r="L157" s="192" t="n"/>
      <c r="M157" s="192" t="n"/>
      <c r="N157" s="192" t="n"/>
      <c r="O157" s="192" t="n"/>
      <c r="P157" s="192" t="n"/>
      <c r="Q157" s="192" t="n"/>
      <c r="R157" s="192" t="n"/>
      <c r="S157" s="192" t="n"/>
    </row>
    <row r="158" ht="15" customHeight="1" s="254">
      <c r="A158" s="191" t="n"/>
      <c r="B158" s="192" t="n"/>
      <c r="C158" s="192" t="n"/>
      <c r="D158" s="192" t="n"/>
      <c r="E158" s="192" t="n"/>
      <c r="F158" s="192" t="n"/>
      <c r="G158" s="193" t="n"/>
      <c r="H158" s="193" t="n"/>
      <c r="I158" s="193" t="n"/>
      <c r="J158" s="194" t="n"/>
      <c r="K158" s="192" t="n"/>
      <c r="L158" s="192" t="n"/>
      <c r="M158" s="192" t="n"/>
      <c r="N158" s="192" t="n"/>
      <c r="O158" s="192" t="n"/>
      <c r="P158" s="192" t="n"/>
      <c r="Q158" s="192" t="n"/>
      <c r="R158" s="192" t="n"/>
      <c r="S158" s="192" t="n"/>
    </row>
    <row r="159" ht="15" customHeight="1" s="254">
      <c r="A159" s="191" t="n"/>
      <c r="B159" s="192" t="n"/>
      <c r="C159" s="192" t="n"/>
      <c r="D159" s="192" t="n"/>
      <c r="E159" s="192" t="n"/>
      <c r="F159" s="192" t="n"/>
      <c r="G159" s="193" t="n"/>
      <c r="H159" s="193" t="n"/>
      <c r="I159" s="193" t="n"/>
      <c r="J159" s="194" t="n"/>
      <c r="K159" s="192" t="n"/>
      <c r="L159" s="192" t="n"/>
      <c r="M159" s="192" t="n"/>
      <c r="N159" s="192" t="n"/>
      <c r="O159" s="192" t="n"/>
      <c r="P159" s="192" t="n"/>
      <c r="Q159" s="192" t="n"/>
      <c r="R159" s="192" t="n"/>
      <c r="S159" s="192" t="n"/>
    </row>
    <row r="160" ht="15" customHeight="1" s="254">
      <c r="A160" s="191" t="n"/>
      <c r="B160" s="192" t="n"/>
      <c r="C160" s="192" t="n"/>
      <c r="D160" s="192" t="n"/>
      <c r="E160" s="192" t="n"/>
      <c r="F160" s="192" t="n"/>
      <c r="G160" s="193" t="n"/>
      <c r="H160" s="193" t="n"/>
      <c r="I160" s="193" t="n"/>
      <c r="J160" s="194" t="n"/>
      <c r="K160" s="192" t="n"/>
      <c r="L160" s="192" t="n"/>
      <c r="M160" s="192" t="n"/>
      <c r="N160" s="192" t="n"/>
      <c r="O160" s="192" t="n"/>
      <c r="P160" s="192" t="n"/>
      <c r="Q160" s="192" t="n"/>
      <c r="R160" s="192" t="n"/>
      <c r="S160" s="192" t="n"/>
    </row>
    <row r="161" ht="15" customHeight="1" s="254">
      <c r="A161" s="191" t="n"/>
      <c r="B161" s="192" t="n"/>
      <c r="C161" s="192" t="n"/>
      <c r="D161" s="192" t="n"/>
      <c r="E161" s="192" t="n"/>
      <c r="F161" s="192" t="n"/>
      <c r="G161" s="193" t="n"/>
      <c r="H161" s="193" t="n"/>
      <c r="I161" s="193" t="n"/>
      <c r="J161" s="194" t="n"/>
      <c r="K161" s="192" t="n"/>
      <c r="L161" s="192" t="n"/>
      <c r="M161" s="192" t="n"/>
      <c r="N161" s="192" t="n"/>
      <c r="O161" s="192" t="n"/>
      <c r="P161" s="192" t="n"/>
      <c r="Q161" s="192" t="n"/>
      <c r="R161" s="192" t="n"/>
      <c r="S161" s="192" t="n"/>
    </row>
    <row r="162" ht="15" customHeight="1" s="254">
      <c r="A162" s="191" t="n"/>
      <c r="B162" s="192" t="n"/>
      <c r="C162" s="192" t="n"/>
      <c r="D162" s="192" t="n"/>
      <c r="E162" s="192" t="n"/>
      <c r="F162" s="192" t="n"/>
      <c r="G162" s="193" t="n"/>
      <c r="H162" s="193" t="n"/>
      <c r="I162" s="193" t="n"/>
      <c r="J162" s="194" t="n"/>
      <c r="K162" s="192" t="n"/>
      <c r="L162" s="192" t="n"/>
      <c r="M162" s="192" t="n"/>
      <c r="N162" s="192" t="n"/>
      <c r="O162" s="192" t="n"/>
      <c r="P162" s="192" t="n"/>
      <c r="Q162" s="192" t="n"/>
      <c r="R162" s="192" t="n"/>
      <c r="S162" s="192" t="n"/>
    </row>
    <row r="163" ht="15" customHeight="1" s="254">
      <c r="A163" s="191" t="n"/>
      <c r="B163" s="192" t="n"/>
      <c r="C163" s="192" t="n"/>
      <c r="D163" s="192" t="n"/>
      <c r="E163" s="192" t="n"/>
      <c r="F163" s="192" t="n"/>
      <c r="G163" s="193" t="n"/>
      <c r="H163" s="193" t="n"/>
      <c r="I163" s="193" t="n"/>
      <c r="J163" s="194" t="n"/>
      <c r="K163" s="192" t="n"/>
      <c r="L163" s="192" t="n"/>
      <c r="M163" s="192" t="n"/>
      <c r="N163" s="192" t="n"/>
      <c r="O163" s="192" t="n"/>
      <c r="P163" s="192" t="n"/>
      <c r="Q163" s="192" t="n"/>
      <c r="R163" s="192" t="n"/>
      <c r="S163" s="192" t="n"/>
    </row>
    <row r="164" ht="15" customHeight="1" s="254">
      <c r="A164" s="191" t="n"/>
      <c r="B164" s="192" t="n"/>
      <c r="C164" s="192" t="n"/>
      <c r="D164" s="192" t="n"/>
      <c r="E164" s="192" t="n"/>
      <c r="F164" s="192" t="n"/>
      <c r="G164" s="193" t="n"/>
      <c r="H164" s="193" t="n"/>
      <c r="I164" s="193" t="n"/>
      <c r="J164" s="194" t="n"/>
      <c r="K164" s="192" t="n"/>
      <c r="L164" s="192" t="n"/>
      <c r="M164" s="192" t="n"/>
      <c r="N164" s="192" t="n"/>
      <c r="O164" s="192" t="n"/>
      <c r="P164" s="192" t="n"/>
      <c r="Q164" s="192" t="n"/>
      <c r="R164" s="192" t="n"/>
      <c r="S164" s="192" t="n"/>
    </row>
    <row r="165" ht="15" customHeight="1" s="254">
      <c r="A165" s="191" t="n"/>
      <c r="B165" s="192" t="n"/>
      <c r="C165" s="192" t="n"/>
      <c r="D165" s="192" t="n"/>
      <c r="E165" s="192" t="n"/>
      <c r="F165" s="192" t="n"/>
      <c r="G165" s="193" t="n"/>
      <c r="H165" s="193" t="n"/>
      <c r="I165" s="193" t="n"/>
      <c r="J165" s="194" t="n"/>
      <c r="K165" s="192" t="n"/>
      <c r="L165" s="192" t="n"/>
      <c r="M165" s="192" t="n"/>
      <c r="N165" s="192" t="n"/>
      <c r="O165" s="192" t="n"/>
      <c r="P165" s="192" t="n"/>
      <c r="Q165" s="192" t="n"/>
      <c r="R165" s="192" t="n"/>
      <c r="S165" s="192" t="n"/>
    </row>
    <row r="166" ht="15" customHeight="1" s="254">
      <c r="A166" s="191" t="n"/>
      <c r="B166" s="192" t="n"/>
      <c r="C166" s="192" t="n"/>
      <c r="D166" s="192" t="n"/>
      <c r="E166" s="192" t="n"/>
      <c r="F166" s="192" t="n"/>
      <c r="G166" s="193" t="n"/>
      <c r="H166" s="193" t="n"/>
      <c r="I166" s="193" t="n"/>
      <c r="J166" s="194" t="n"/>
      <c r="K166" s="192" t="n"/>
      <c r="L166" s="192" t="n"/>
      <c r="M166" s="192" t="n"/>
      <c r="N166" s="192" t="n"/>
      <c r="O166" s="192" t="n"/>
      <c r="P166" s="192" t="n"/>
      <c r="Q166" s="192" t="n"/>
      <c r="R166" s="192" t="n"/>
      <c r="S166" s="192" t="n"/>
    </row>
    <row r="167" ht="15" customHeight="1" s="254">
      <c r="A167" s="191" t="n"/>
      <c r="B167" s="192" t="n"/>
      <c r="C167" s="192" t="n"/>
      <c r="D167" s="192" t="n"/>
      <c r="E167" s="192" t="n"/>
      <c r="F167" s="192" t="n"/>
      <c r="G167" s="193" t="n"/>
      <c r="H167" s="193" t="n"/>
      <c r="I167" s="193" t="n"/>
      <c r="J167" s="194" t="n"/>
      <c r="K167" s="192" t="n"/>
      <c r="L167" s="192" t="n"/>
      <c r="M167" s="192" t="n"/>
      <c r="N167" s="192" t="n"/>
      <c r="O167" s="192" t="n"/>
      <c r="P167" s="192" t="n"/>
      <c r="Q167" s="192" t="n"/>
      <c r="R167" s="192" t="n"/>
      <c r="S167" s="192" t="n"/>
    </row>
    <row r="168" ht="15" customHeight="1" s="254">
      <c r="A168" s="191" t="n"/>
      <c r="B168" s="192" t="n"/>
      <c r="C168" s="192" t="n"/>
      <c r="D168" s="192" t="n"/>
      <c r="E168" s="192" t="n"/>
      <c r="F168" s="192" t="n"/>
      <c r="G168" s="193" t="n"/>
      <c r="H168" s="193" t="n"/>
      <c r="I168" s="193" t="n"/>
      <c r="J168" s="194" t="n"/>
      <c r="K168" s="192" t="n"/>
      <c r="L168" s="192" t="n"/>
      <c r="M168" s="192" t="n"/>
      <c r="N168" s="192" t="n"/>
      <c r="O168" s="192" t="n"/>
      <c r="P168" s="192" t="n"/>
      <c r="Q168" s="192" t="n"/>
      <c r="R168" s="192" t="n"/>
      <c r="S168" s="192" t="n"/>
    </row>
    <row r="169" ht="15" customHeight="1" s="254">
      <c r="A169" s="104" t="n"/>
      <c r="G169" s="105" t="n"/>
      <c r="H169" s="105" t="n"/>
      <c r="I169" s="105" t="n"/>
      <c r="J169" s="106" t="n"/>
    </row>
    <row r="170" ht="15" customHeight="1" s="254">
      <c r="A170" s="104" t="n"/>
      <c r="G170" s="105" t="n"/>
      <c r="H170" s="105" t="n"/>
      <c r="I170" s="105" t="n"/>
      <c r="J170" s="106" t="n"/>
    </row>
    <row r="171" ht="15" customHeight="1" s="254">
      <c r="A171" s="104" t="n"/>
      <c r="G171" s="105" t="n"/>
      <c r="H171" s="105" t="n"/>
      <c r="I171" s="105" t="n"/>
      <c r="J171" s="106" t="n"/>
    </row>
    <row r="172" ht="15" customHeight="1" s="254">
      <c r="A172" s="104" t="n"/>
      <c r="G172" s="105" t="n"/>
      <c r="H172" s="105" t="n"/>
      <c r="I172" s="105" t="n"/>
      <c r="J172" s="106" t="n"/>
    </row>
    <row r="173" ht="15" customHeight="1" s="254">
      <c r="A173" s="104" t="n"/>
      <c r="G173" s="105" t="n"/>
      <c r="H173" s="105" t="n"/>
      <c r="I173" s="105" t="n"/>
      <c r="J173" s="106" t="n"/>
    </row>
    <row r="174" ht="15" customHeight="1" s="254">
      <c r="A174" s="104" t="n"/>
      <c r="G174" s="105" t="n"/>
      <c r="H174" s="105" t="n"/>
      <c r="I174" s="105" t="n"/>
      <c r="J174" s="106" t="n"/>
    </row>
    <row r="175" ht="15" customHeight="1" s="254">
      <c r="A175" s="104" t="n"/>
      <c r="G175" s="105" t="n"/>
      <c r="H175" s="105" t="n"/>
      <c r="I175" s="105" t="n"/>
      <c r="J175" s="106" t="n"/>
    </row>
    <row r="176" ht="15" customHeight="1" s="254">
      <c r="A176" s="104" t="n"/>
      <c r="G176" s="105" t="n"/>
      <c r="H176" s="105" t="n"/>
      <c r="I176" s="105" t="n"/>
      <c r="J176" s="106" t="n"/>
    </row>
    <row r="177" ht="15" customHeight="1" s="254">
      <c r="A177" s="104" t="n"/>
      <c r="G177" s="105" t="n"/>
      <c r="H177" s="105" t="n"/>
      <c r="I177" s="105" t="n"/>
      <c r="J177" s="106" t="n"/>
    </row>
    <row r="178" ht="15" customHeight="1" s="254">
      <c r="A178" s="104" t="n"/>
      <c r="G178" s="105" t="n"/>
      <c r="H178" s="105" t="n"/>
      <c r="I178" s="105" t="n"/>
      <c r="J178" s="106" t="n"/>
    </row>
    <row r="179" ht="15" customHeight="1" s="254">
      <c r="A179" s="104" t="n"/>
      <c r="G179" s="105" t="n"/>
      <c r="H179" s="105" t="n"/>
      <c r="I179" s="105" t="n"/>
      <c r="J179" s="106" t="n"/>
    </row>
    <row r="180" ht="15" customHeight="1" s="254">
      <c r="A180" s="104" t="n"/>
      <c r="G180" s="105" t="n"/>
      <c r="H180" s="105" t="n"/>
      <c r="I180" s="105" t="n"/>
      <c r="J180" s="106" t="n"/>
    </row>
    <row r="181" ht="15" customHeight="1" s="254">
      <c r="A181" s="104" t="n"/>
      <c r="G181" s="105" t="n"/>
      <c r="H181" s="105" t="n"/>
      <c r="I181" s="105" t="n"/>
      <c r="J181" s="106" t="n"/>
    </row>
    <row r="182" ht="15" customHeight="1" s="254">
      <c r="A182" s="104" t="n"/>
      <c r="G182" s="105" t="n"/>
      <c r="H182" s="105" t="n"/>
      <c r="I182" s="105" t="n"/>
      <c r="J182" s="106" t="n"/>
    </row>
    <row r="183" ht="15" customHeight="1" s="254">
      <c r="A183" s="104" t="n"/>
      <c r="G183" s="105" t="n"/>
      <c r="H183" s="105" t="n"/>
      <c r="I183" s="105" t="n"/>
      <c r="J183" s="106" t="n"/>
    </row>
    <row r="184" ht="15" customHeight="1" s="254">
      <c r="A184" s="104" t="n"/>
      <c r="G184" s="105" t="n"/>
      <c r="H184" s="105" t="n"/>
      <c r="I184" s="105" t="n"/>
      <c r="J184" s="106" t="n"/>
    </row>
    <row r="185" ht="15" customHeight="1" s="254">
      <c r="A185" s="104" t="n"/>
      <c r="G185" s="105" t="n"/>
      <c r="H185" s="105" t="n"/>
      <c r="I185" s="105" t="n"/>
      <c r="J185" s="106" t="n"/>
    </row>
    <row r="186" ht="15" customHeight="1" s="254">
      <c r="A186" s="104" t="n"/>
      <c r="G186" s="105" t="n"/>
      <c r="H186" s="105" t="n"/>
      <c r="I186" s="105" t="n"/>
      <c r="J186" s="106" t="n"/>
    </row>
    <row r="187" ht="15" customHeight="1" s="254">
      <c r="A187" s="104" t="n"/>
      <c r="G187" s="105" t="n"/>
      <c r="H187" s="105" t="n"/>
      <c r="I187" s="105" t="n"/>
      <c r="J187" s="106" t="n"/>
    </row>
    <row r="188" ht="15" customHeight="1" s="254">
      <c r="A188" s="104" t="n"/>
      <c r="G188" s="105" t="n"/>
      <c r="H188" s="105" t="n"/>
      <c r="I188" s="105" t="n"/>
      <c r="J188" s="106" t="n"/>
    </row>
    <row r="189" ht="15" customHeight="1" s="254">
      <c r="A189" s="104" t="n"/>
      <c r="G189" s="105" t="n"/>
      <c r="H189" s="105" t="n"/>
      <c r="I189" s="105" t="n"/>
      <c r="J189" s="106" t="n"/>
    </row>
    <row r="190" ht="15" customHeight="1" s="254">
      <c r="A190" s="104" t="n"/>
      <c r="G190" s="105" t="n"/>
      <c r="H190" s="105" t="n"/>
      <c r="I190" s="105" t="n"/>
      <c r="J190" s="106" t="n"/>
    </row>
    <row r="191" ht="15" customHeight="1" s="254">
      <c r="A191" s="104" t="n"/>
      <c r="G191" s="105" t="n"/>
      <c r="H191" s="105" t="n"/>
      <c r="I191" s="105" t="n"/>
      <c r="J191" s="106" t="n"/>
    </row>
    <row r="192" ht="15" customHeight="1" s="254">
      <c r="A192" s="104" t="n"/>
      <c r="G192" s="105" t="n"/>
      <c r="H192" s="105" t="n"/>
      <c r="I192" s="105" t="n"/>
      <c r="J192" s="106" t="n"/>
    </row>
    <row r="193" ht="15" customHeight="1" s="254">
      <c r="A193" s="104" t="n"/>
      <c r="G193" s="105" t="n"/>
      <c r="H193" s="105" t="n"/>
      <c r="I193" s="105" t="n"/>
      <c r="J193" s="106" t="n"/>
    </row>
    <row r="194" ht="15" customHeight="1" s="254">
      <c r="A194" s="104" t="n"/>
      <c r="G194" s="105" t="n"/>
      <c r="H194" s="105" t="n"/>
      <c r="I194" s="105" t="n"/>
      <c r="J194" s="106" t="n"/>
    </row>
    <row r="195" ht="15" customHeight="1" s="254">
      <c r="A195" s="104" t="n"/>
      <c r="G195" s="105" t="n"/>
      <c r="H195" s="105" t="n"/>
      <c r="I195" s="105" t="n"/>
      <c r="J195" s="106" t="n"/>
    </row>
    <row r="196" ht="15" customHeight="1" s="254">
      <c r="A196" s="104" t="n"/>
      <c r="G196" s="105" t="n"/>
      <c r="H196" s="105" t="n"/>
      <c r="I196" s="105" t="n"/>
      <c r="J196" s="106" t="n"/>
    </row>
    <row r="197" ht="15" customHeight="1" s="254">
      <c r="A197" s="104" t="n"/>
      <c r="G197" s="105" t="n"/>
      <c r="H197" s="105" t="n"/>
      <c r="I197" s="105" t="n"/>
      <c r="J197" s="106" t="n"/>
    </row>
    <row r="198" ht="15" customHeight="1" s="254">
      <c r="A198" s="104" t="n"/>
      <c r="G198" s="105" t="n"/>
      <c r="H198" s="105" t="n"/>
      <c r="I198" s="105" t="n"/>
      <c r="J198" s="106" t="n"/>
    </row>
    <row r="199" ht="15" customHeight="1" s="254">
      <c r="A199" s="104" t="n"/>
      <c r="G199" s="105" t="n"/>
      <c r="H199" s="105" t="n"/>
      <c r="I199" s="105" t="n"/>
      <c r="J199" s="106" t="n"/>
    </row>
    <row r="200" ht="15" customHeight="1" s="254">
      <c r="A200" s="104" t="n"/>
      <c r="G200" s="105" t="n"/>
      <c r="H200" s="105" t="n"/>
      <c r="I200" s="105" t="n"/>
      <c r="J200" s="106" t="n"/>
    </row>
    <row r="201" ht="15" customHeight="1" s="254">
      <c r="A201" s="104" t="n"/>
      <c r="G201" s="105" t="n"/>
      <c r="H201" s="105" t="n"/>
      <c r="I201" s="105" t="n"/>
      <c r="J201" s="106" t="n"/>
    </row>
    <row r="202" ht="15" customHeight="1" s="254">
      <c r="A202" s="104" t="n"/>
      <c r="G202" s="105" t="n"/>
      <c r="H202" s="105" t="n"/>
      <c r="I202" s="105" t="n"/>
      <c r="J202" s="106" t="n"/>
    </row>
    <row r="203" ht="15" customHeight="1" s="254">
      <c r="A203" s="104" t="n"/>
      <c r="G203" s="105" t="n"/>
      <c r="H203" s="105" t="n"/>
      <c r="I203" s="105" t="n"/>
      <c r="J203" s="106" t="n"/>
    </row>
    <row r="204" ht="15" customHeight="1" s="254">
      <c r="A204" s="104" t="n"/>
      <c r="G204" s="105" t="n"/>
      <c r="H204" s="105" t="n"/>
      <c r="I204" s="105" t="n"/>
      <c r="J204" s="106" t="n"/>
    </row>
    <row r="205" ht="15" customHeight="1" s="254">
      <c r="A205" s="104" t="n"/>
      <c r="G205" s="105" t="n"/>
      <c r="H205" s="105" t="n"/>
      <c r="I205" s="105" t="n"/>
      <c r="J205" s="106" t="n"/>
    </row>
    <row r="206" ht="15" customHeight="1" s="254">
      <c r="A206" s="104" t="n"/>
      <c r="G206" s="105" t="n"/>
      <c r="H206" s="105" t="n"/>
      <c r="I206" s="105" t="n"/>
      <c r="J206" s="106" t="n"/>
    </row>
    <row r="207" ht="15" customHeight="1" s="254">
      <c r="A207" s="104" t="n"/>
      <c r="G207" s="105" t="n"/>
      <c r="H207" s="105" t="n"/>
      <c r="I207" s="105" t="n"/>
      <c r="J207" s="106" t="n"/>
    </row>
    <row r="208" ht="15" customHeight="1" s="254">
      <c r="A208" s="104" t="n"/>
      <c r="G208" s="105" t="n"/>
      <c r="H208" s="105" t="n"/>
      <c r="I208" s="105" t="n"/>
      <c r="J208" s="106" t="n"/>
    </row>
    <row r="209" ht="15" customHeight="1" s="254">
      <c r="A209" s="104" t="n"/>
      <c r="G209" s="105" t="n"/>
      <c r="H209" s="105" t="n"/>
      <c r="I209" s="105" t="n"/>
      <c r="J209" s="106" t="n"/>
    </row>
    <row r="210" ht="15" customHeight="1" s="254">
      <c r="A210" s="104" t="n"/>
      <c r="G210" s="105" t="n"/>
      <c r="H210" s="105" t="n"/>
      <c r="I210" s="105" t="n"/>
      <c r="J210" s="106" t="n"/>
    </row>
    <row r="211" ht="15" customHeight="1" s="254">
      <c r="A211" s="104" t="n"/>
      <c r="G211" s="105" t="n"/>
      <c r="H211" s="105" t="n"/>
      <c r="I211" s="105" t="n"/>
      <c r="J211" s="106" t="n"/>
    </row>
    <row r="212" ht="15" customHeight="1" s="254">
      <c r="A212" s="104" t="n"/>
      <c r="G212" s="105" t="n"/>
      <c r="H212" s="105" t="n"/>
      <c r="I212" s="105" t="n"/>
      <c r="J212" s="106" t="n"/>
    </row>
    <row r="213" ht="15" customHeight="1" s="254">
      <c r="A213" s="104" t="n"/>
      <c r="G213" s="105" t="n"/>
      <c r="H213" s="105" t="n"/>
      <c r="I213" s="105" t="n"/>
      <c r="J213" s="106" t="n"/>
    </row>
    <row r="214" ht="15" customHeight="1" s="254">
      <c r="A214" s="104" t="n"/>
      <c r="G214" s="105" t="n"/>
      <c r="H214" s="105" t="n"/>
      <c r="I214" s="105" t="n"/>
      <c r="J214" s="106" t="n"/>
    </row>
    <row r="215" ht="15" customHeight="1" s="254">
      <c r="A215" s="104" t="n"/>
      <c r="G215" s="105" t="n"/>
      <c r="H215" s="105" t="n"/>
      <c r="I215" s="105" t="n"/>
      <c r="J215" s="106" t="n"/>
    </row>
    <row r="216" ht="15" customHeight="1" s="254">
      <c r="A216" s="104" t="n"/>
      <c r="G216" s="105" t="n"/>
      <c r="H216" s="105" t="n"/>
      <c r="I216" s="105" t="n"/>
      <c r="J216" s="106" t="n"/>
    </row>
    <row r="217" ht="15" customHeight="1" s="254">
      <c r="A217" s="104" t="n"/>
      <c r="G217" s="105" t="n"/>
      <c r="H217" s="105" t="n"/>
      <c r="I217" s="105" t="n"/>
      <c r="J217" s="106" t="n"/>
    </row>
    <row r="218" ht="15" customHeight="1" s="254">
      <c r="A218" s="104" t="n"/>
      <c r="G218" s="105" t="n"/>
      <c r="H218" s="105" t="n"/>
      <c r="I218" s="105" t="n"/>
      <c r="J218" s="106" t="n"/>
    </row>
    <row r="219" ht="15" customHeight="1" s="254">
      <c r="A219" s="104" t="n"/>
      <c r="G219" s="105" t="n"/>
      <c r="H219" s="105" t="n"/>
      <c r="I219" s="105" t="n"/>
      <c r="J219" s="106" t="n"/>
    </row>
    <row r="220" ht="15" customHeight="1" s="254">
      <c r="A220" s="104" t="n"/>
      <c r="G220" s="105" t="n"/>
      <c r="H220" s="105" t="n"/>
      <c r="I220" s="105" t="n"/>
      <c r="J220" s="106" t="n"/>
    </row>
    <row r="221" ht="15" customHeight="1" s="254">
      <c r="A221" s="104" t="n"/>
      <c r="G221" s="105" t="n"/>
      <c r="H221" s="105" t="n"/>
      <c r="I221" s="105" t="n"/>
      <c r="J221" s="106" t="n"/>
    </row>
    <row r="222" ht="15" customHeight="1" s="254">
      <c r="A222" s="104" t="n"/>
      <c r="G222" s="105" t="n"/>
      <c r="H222" s="105" t="n"/>
      <c r="I222" s="105" t="n"/>
      <c r="J222" s="106" t="n"/>
    </row>
    <row r="223" ht="15" customHeight="1" s="254">
      <c r="A223" s="104" t="n"/>
      <c r="G223" s="105" t="n"/>
      <c r="H223" s="105" t="n"/>
      <c r="I223" s="105" t="n"/>
      <c r="J223" s="106" t="n"/>
    </row>
    <row r="224" ht="15" customHeight="1" s="254">
      <c r="A224" s="104" t="n"/>
      <c r="G224" s="105" t="n"/>
      <c r="H224" s="105" t="n"/>
      <c r="I224" s="105" t="n"/>
      <c r="J224" s="106" t="n"/>
    </row>
    <row r="225" ht="15" customHeight="1" s="254">
      <c r="A225" s="104" t="n"/>
      <c r="G225" s="105" t="n"/>
      <c r="H225" s="105" t="n"/>
      <c r="I225" s="105" t="n"/>
      <c r="J225" s="106" t="n"/>
    </row>
    <row r="226" ht="15" customHeight="1" s="254">
      <c r="A226" s="104" t="n"/>
      <c r="G226" s="105" t="n"/>
      <c r="H226" s="105" t="n"/>
      <c r="I226" s="105" t="n"/>
      <c r="J226" s="106" t="n"/>
    </row>
    <row r="227" ht="15" customHeight="1" s="254">
      <c r="A227" s="104" t="n"/>
      <c r="G227" s="105" t="n"/>
      <c r="H227" s="105" t="n"/>
      <c r="I227" s="105" t="n"/>
      <c r="J227" s="106" t="n"/>
    </row>
    <row r="228" ht="15" customHeight="1" s="254">
      <c r="A228" s="104" t="n"/>
      <c r="G228" s="105" t="n"/>
      <c r="H228" s="105" t="n"/>
      <c r="I228" s="105" t="n"/>
      <c r="J228" s="106" t="n"/>
    </row>
    <row r="229" ht="15" customHeight="1" s="254">
      <c r="A229" s="104" t="n"/>
      <c r="G229" s="105" t="n"/>
      <c r="H229" s="105" t="n"/>
      <c r="I229" s="105" t="n"/>
      <c r="J229" s="106" t="n"/>
    </row>
    <row r="230" ht="15" customHeight="1" s="254">
      <c r="A230" s="104" t="n"/>
      <c r="G230" s="105" t="n"/>
      <c r="H230" s="105" t="n"/>
      <c r="I230" s="105" t="n"/>
      <c r="J230" s="106" t="n"/>
    </row>
    <row r="231" ht="15" customHeight="1" s="254">
      <c r="A231" s="104" t="n"/>
      <c r="G231" s="105" t="n"/>
      <c r="H231" s="105" t="n"/>
      <c r="I231" s="105" t="n"/>
      <c r="J231" s="106" t="n"/>
    </row>
    <row r="232" ht="15" customHeight="1" s="254">
      <c r="A232" s="104" t="n"/>
      <c r="G232" s="105" t="n"/>
      <c r="H232" s="105" t="n"/>
      <c r="I232" s="105" t="n"/>
      <c r="J232" s="106" t="n"/>
    </row>
    <row r="233" ht="15" customHeight="1" s="254">
      <c r="A233" s="104" t="n"/>
      <c r="G233" s="105" t="n"/>
      <c r="H233" s="105" t="n"/>
      <c r="I233" s="105" t="n"/>
      <c r="J233" s="106" t="n"/>
    </row>
    <row r="234" ht="15" customHeight="1" s="254">
      <c r="A234" s="104" t="n"/>
      <c r="G234" s="105" t="n"/>
      <c r="H234" s="105" t="n"/>
      <c r="I234" s="105" t="n"/>
      <c r="J234" s="106" t="n"/>
    </row>
    <row r="235" ht="15" customHeight="1" s="254">
      <c r="A235" s="104" t="n"/>
      <c r="G235" s="105" t="n"/>
      <c r="H235" s="105" t="n"/>
      <c r="I235" s="105" t="n"/>
      <c r="J235" s="106" t="n"/>
    </row>
    <row r="236" ht="15" customHeight="1" s="254">
      <c r="A236" s="104" t="n"/>
      <c r="G236" s="105" t="n"/>
      <c r="H236" s="105" t="n"/>
      <c r="I236" s="105" t="n"/>
      <c r="J236" s="106" t="n"/>
    </row>
    <row r="237" ht="15" customHeight="1" s="254">
      <c r="A237" s="104" t="n"/>
      <c r="G237" s="105" t="n"/>
      <c r="H237" s="105" t="n"/>
      <c r="I237" s="105" t="n"/>
      <c r="J237" s="106" t="n"/>
    </row>
    <row r="238" ht="15" customHeight="1" s="254">
      <c r="A238" s="104" t="n"/>
      <c r="G238" s="105" t="n"/>
      <c r="H238" s="105" t="n"/>
      <c r="I238" s="105" t="n"/>
      <c r="J238" s="106" t="n"/>
    </row>
    <row r="239" ht="15" customHeight="1" s="254">
      <c r="A239" s="104" t="n"/>
      <c r="G239" s="105" t="n"/>
      <c r="H239" s="105" t="n"/>
      <c r="I239" s="105" t="n"/>
      <c r="J239" s="106" t="n"/>
    </row>
    <row r="240" ht="15" customHeight="1" s="254">
      <c r="A240" s="104" t="n"/>
      <c r="G240" s="105" t="n"/>
      <c r="H240" s="105" t="n"/>
      <c r="I240" s="105" t="n"/>
      <c r="J240" s="106" t="n"/>
    </row>
    <row r="241" ht="15" customHeight="1" s="254">
      <c r="A241" s="104" t="n"/>
      <c r="G241" s="105" t="n"/>
      <c r="H241" s="105" t="n"/>
      <c r="I241" s="105" t="n"/>
      <c r="J241" s="106" t="n"/>
    </row>
    <row r="242" ht="15" customHeight="1" s="254">
      <c r="A242" s="104" t="n"/>
      <c r="G242" s="105" t="n"/>
      <c r="H242" s="105" t="n"/>
      <c r="I242" s="105" t="n"/>
      <c r="J242" s="106" t="n"/>
    </row>
    <row r="243" ht="15" customHeight="1" s="254">
      <c r="A243" s="104" t="n"/>
      <c r="G243" s="105" t="n"/>
      <c r="H243" s="105" t="n"/>
      <c r="I243" s="105" t="n"/>
      <c r="J243" s="106" t="n"/>
    </row>
    <row r="244" ht="15" customHeight="1" s="254">
      <c r="A244" s="104" t="n"/>
      <c r="G244" s="105" t="n"/>
      <c r="H244" s="105" t="n"/>
      <c r="I244" s="105" t="n"/>
      <c r="J244" s="106" t="n"/>
    </row>
    <row r="245" ht="15" customHeight="1" s="254">
      <c r="A245" s="104" t="n"/>
      <c r="G245" s="105" t="n"/>
      <c r="H245" s="105" t="n"/>
      <c r="I245" s="105" t="n"/>
      <c r="J245" s="106" t="n"/>
    </row>
    <row r="246" ht="15" customHeight="1" s="254">
      <c r="A246" s="104" t="n"/>
      <c r="G246" s="105" t="n"/>
      <c r="H246" s="105" t="n"/>
      <c r="I246" s="105" t="n"/>
      <c r="J246" s="106" t="n"/>
    </row>
    <row r="247" ht="15" customHeight="1" s="254">
      <c r="A247" s="104" t="n"/>
      <c r="G247" s="105" t="n"/>
      <c r="H247" s="105" t="n"/>
      <c r="I247" s="105" t="n"/>
      <c r="J247" s="106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4" min="1" max="2"/>
    <col width="35" customWidth="1" style="254" min="3" max="3"/>
    <col width="15" customWidth="1" style="254" min="4" max="4"/>
    <col width="10" customWidth="1" style="254" min="5" max="5"/>
    <col width="30" customWidth="1" style="254" min="6" max="6"/>
    <col width="10" customWidth="1" style="254" min="7" max="7"/>
    <col width="30" customWidth="1" style="254" min="8" max="8"/>
    <col width="12" customWidth="1" style="254" min="9" max="15"/>
  </cols>
  <sheetData>
    <row r="1" ht="21.95" customHeight="1" s="254">
      <c r="A1" s="275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5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54">
      <c r="A4" s="275" t="inlineStr">
        <is>
          <t>S1 — NEW ERP BOMs REQUIRED: TUBE PRODUCTS</t>
        </is>
      </c>
    </row>
    <row r="5" ht="18" customHeight="1" s="254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54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54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54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54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54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54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54">
      <c r="A12" s="275" t="inlineStr">
        <is>
          <t>S3 — BOM RATE CORRECTIONS: Fix quantities in existing ERP BOMs</t>
        </is>
      </c>
    </row>
    <row r="13" ht="18" customHeight="1" s="254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54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54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54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54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54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54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54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54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54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54">
      <c r="A23" s="275" t="inlineStr">
        <is>
          <t>S4 — MISSING MATERIAL LINES: Add to existing ERP BOMs</t>
        </is>
      </c>
    </row>
    <row r="24" ht="18" customHeight="1" s="254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54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54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54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54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54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54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54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54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54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54">
      <c r="A34" s="275" t="inlineStr">
        <is>
          <t>S5 — ITEM ID CHANGES: Applied in local BOM. Must be replicated in ERP (delete old line, add new line)</t>
        </is>
      </c>
    </row>
    <row r="35" ht="18" customHeight="1" s="254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54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54">
      <c r="A65" s="275" t="inlineStr">
        <is>
          <t>S6 — ITEM ID QUERIES: Confirm with Rehan before finalising</t>
        </is>
      </c>
    </row>
    <row r="66" ht="18" customHeight="1" s="254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54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54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54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54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54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54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54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54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54">
      <c r="A75" s="275" t="inlineStr">
        <is>
          <t>S7 — ERP ITEM NAME CORRECTIONS: LACQUER spelling (LACQUAR → LACQUER). Fixed in local BOM. ERP item master still incorrect.</t>
        </is>
      </c>
    </row>
    <row r="76" ht="18" customHeight="1" s="254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54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54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54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54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54">
      <c r="A81" s="275" t="inlineStr">
        <is>
          <t>S8 — SLUG CHANGE: 30mm diameter products — 30×4.3 (Item 2) → 30×4.5 S/M (Item 406). Effective 21-Apr-2026. Local BOM updated. ERP pending.</t>
        </is>
      </c>
    </row>
    <row r="82" ht="18" customHeight="1" s="254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54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54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54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54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54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54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54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54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54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54">
      <c r="A92" s="275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54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54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54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54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54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54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54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54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54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54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54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54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54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54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54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54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54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54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54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54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54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54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54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54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54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54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54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54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54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54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54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54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54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54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54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54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54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54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54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54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54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54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54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54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54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54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54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54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54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54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54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54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54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54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54"/>
    <row r="161" ht="15.75" customHeight="1" s="254"/>
    <row r="162" ht="30" customHeight="1" s="254"/>
    <row r="163" ht="30" customHeight="1" s="254"/>
    <row r="164" ht="30" customHeight="1" s="254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54" min="1" max="1"/>
    <col width="8" customWidth="1" style="254" min="2" max="2"/>
    <col width="38.140625" customWidth="1" style="254" min="3" max="3"/>
    <col width="38" customWidth="1" style="254" min="4" max="4"/>
    <col width="10" customWidth="1" style="254" min="5" max="5"/>
    <col width="14" customWidth="1" style="254" min="6" max="7"/>
    <col width="36" customWidth="1" style="254" min="8" max="8"/>
    <col width="36" customWidth="1" style="1" min="9" max="9"/>
  </cols>
  <sheetData>
    <row r="1" ht="30" customHeight="1" s="254">
      <c r="A1" s="276" t="inlineStr">
        <is>
          <t>FG STOCK IN HAND — Last Updated: 10-Jun-2026</t>
        </is>
      </c>
    </row>
    <row r="2" ht="15.75" customHeight="1" s="254">
      <c r="A2" s="277" t="inlineStr">
        <is>
          <t>Shows latest date only from FG Stock In hand (Production.xlsx). Older dates are discarded. Re-run update_production.py to refresh.</t>
        </is>
      </c>
    </row>
    <row r="3" ht="19.5" customHeight="1" s="254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54">
      <c r="A4" s="286" t="n">
        <v>1</v>
      </c>
      <c r="B4" s="286" t="n">
        <v>8001</v>
      </c>
      <c r="C4" s="287" t="inlineStr">
        <is>
          <t>Alpha Labs PVT LTD</t>
        </is>
      </c>
      <c r="D4" s="287" t="inlineStr">
        <is>
          <t>TRANSPARENT BOTTLE 150ML</t>
        </is>
      </c>
      <c r="E4" s="286" t="inlineStr">
        <is>
          <t>150ml</t>
        </is>
      </c>
      <c r="F4" s="288" t="n">
        <v>10580</v>
      </c>
      <c r="G4" s="286" t="inlineStr">
        <is>
          <t>OK</t>
        </is>
      </c>
      <c r="H4" s="289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54">
      <c r="A5" s="286" t="n">
        <v>2</v>
      </c>
      <c r="B5" s="286" t="n">
        <v>5699</v>
      </c>
      <c r="C5" s="287" t="inlineStr">
        <is>
          <t>Samsol International Private Limited</t>
        </is>
      </c>
      <c r="D5" s="287" t="inlineStr">
        <is>
          <t>S-43 DIA 20.5</t>
        </is>
      </c>
      <c r="E5" s="286" t="inlineStr">
        <is>
          <t>20.5</t>
        </is>
      </c>
      <c r="F5" s="288" t="n">
        <v>14790</v>
      </c>
      <c r="G5" s="286" t="inlineStr">
        <is>
          <t>OK</t>
        </is>
      </c>
      <c r="H5" s="289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54">
      <c r="A6" s="286" t="n">
        <v>3</v>
      </c>
      <c r="B6" s="286" t="n">
        <v>5731</v>
      </c>
      <c r="C6" s="287" t="inlineStr">
        <is>
          <t>Samsol International Private Limited</t>
        </is>
      </c>
      <c r="D6" s="287" t="inlineStr">
        <is>
          <t>SAMSOL HAIR COLOR 45 DIA 20.5 MM</t>
        </is>
      </c>
      <c r="E6" s="286" t="inlineStr">
        <is>
          <t>20.5</t>
        </is>
      </c>
      <c r="F6" s="288" t="n">
        <v>13770</v>
      </c>
      <c r="G6" s="286" t="inlineStr">
        <is>
          <t>OK</t>
        </is>
      </c>
      <c r="H6" s="289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54">
      <c r="A7" s="286" t="n">
        <v>4</v>
      </c>
      <c r="B7" s="286" t="n">
        <v>6470</v>
      </c>
      <c r="C7" s="287" t="inlineStr">
        <is>
          <t>Samsol International Private Limited</t>
        </is>
      </c>
      <c r="D7" s="287" t="inlineStr">
        <is>
          <t>TUBES COMMON RED</t>
        </is>
      </c>
      <c r="E7" s="286" t="inlineStr">
        <is>
          <t>25</t>
        </is>
      </c>
      <c r="F7" s="288" t="n">
        <v>30000</v>
      </c>
      <c r="G7" s="286" t="inlineStr">
        <is>
          <t>OK</t>
        </is>
      </c>
      <c r="H7" s="289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54">
      <c r="A8" s="286" t="n">
        <v>5</v>
      </c>
      <c r="B8" s="286" t="n">
        <v>4050</v>
      </c>
      <c r="C8" s="287" t="inlineStr">
        <is>
          <t>Professional Beauty Solution (PVT) LTD.Pakistan</t>
        </is>
      </c>
      <c r="D8" s="287" t="inlineStr">
        <is>
          <t>EAZICOLOR PREMIUM HAIR COLOUR 60ML</t>
        </is>
      </c>
      <c r="E8" s="286" t="inlineStr">
        <is>
          <t>30</t>
        </is>
      </c>
      <c r="F8" s="288" t="n">
        <v>9450</v>
      </c>
      <c r="G8" s="286" t="inlineStr">
        <is>
          <t>OK</t>
        </is>
      </c>
      <c r="H8" s="289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54">
      <c r="A9" s="286" t="n">
        <v>6</v>
      </c>
      <c r="B9" s="286" t="n">
        <v>6337</v>
      </c>
      <c r="C9" s="287" t="inlineStr">
        <is>
          <t>Al-Rehman Group</t>
        </is>
      </c>
      <c r="D9" s="287" t="inlineStr">
        <is>
          <t>ACTIVE PRO HAIR COLOR CREAM 60ML</t>
        </is>
      </c>
      <c r="E9" s="286" t="inlineStr">
        <is>
          <t>30</t>
        </is>
      </c>
      <c r="F9" s="288" t="n">
        <v>15680</v>
      </c>
      <c r="G9" s="286" t="inlineStr">
        <is>
          <t>OK</t>
        </is>
      </c>
      <c r="H9" s="289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54">
      <c r="A10" s="286" t="n">
        <v>7</v>
      </c>
      <c r="B10" s="286" t="n">
        <v>6416</v>
      </c>
      <c r="C10" s="287" t="inlineStr">
        <is>
          <t>Al-Rehman Group</t>
        </is>
      </c>
      <c r="D10" s="287" t="inlineStr">
        <is>
          <t>SIGNATURE HAIR COLOR CREAM 60ML</t>
        </is>
      </c>
      <c r="E10" s="286" t="inlineStr">
        <is>
          <t>30</t>
        </is>
      </c>
      <c r="F10" s="288" t="n">
        <v>15435</v>
      </c>
      <c r="G10" s="286" t="inlineStr">
        <is>
          <t>OK</t>
        </is>
      </c>
      <c r="H10" s="289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54">
      <c r="A11" s="286" t="n">
        <v>8</v>
      </c>
      <c r="B11" s="286" t="n">
        <v>5782</v>
      </c>
      <c r="C11" s="287" t="inlineStr">
        <is>
          <t>Mega Grey</t>
        </is>
      </c>
      <c r="D11" s="287" t="inlineStr">
        <is>
          <t>M.G</t>
        </is>
      </c>
      <c r="E11" s="286" t="inlineStr">
        <is>
          <t>32</t>
        </is>
      </c>
      <c r="F11" s="288" t="n">
        <v>63648</v>
      </c>
      <c r="G11" s="286" t="inlineStr">
        <is>
          <t>OK</t>
        </is>
      </c>
      <c r="H11" s="289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54">
      <c r="A12" s="286" t="n">
        <v>9</v>
      </c>
      <c r="B12" s="286" t="n">
        <v>6531</v>
      </c>
      <c r="C12" s="287" t="inlineStr">
        <is>
          <t>Adore</t>
        </is>
      </c>
      <c r="D12" s="287" t="inlineStr">
        <is>
          <t>V-HC BLACK</t>
        </is>
      </c>
      <c r="E12" s="286" t="inlineStr">
        <is>
          <t>35</t>
        </is>
      </c>
      <c r="F12" s="288" t="n">
        <v>4380</v>
      </c>
      <c r="G12" s="286" t="inlineStr">
        <is>
          <t>OK</t>
        </is>
      </c>
      <c r="H12" s="289" t="inlineStr">
        <is>
          <t>Ready for dispatch</t>
        </is>
      </c>
      <c r="I12" s="109">
        <f>IFERROR(SUMPRODUCT((TableBOM[Product ID]=B12)*(TableBOM[Material Category]="CAP")*TableBOM[Item ID]),0)</f>
        <v/>
      </c>
    </row>
    <row r="13" ht="15" customHeight="1" s="254">
      <c r="A13" s="286" t="n">
        <v>10</v>
      </c>
      <c r="B13" s="286" t="n">
        <v>6206</v>
      </c>
      <c r="C13" s="287" t="inlineStr">
        <is>
          <t>Golden Pearl Cosmetics (PVT) LTD</t>
        </is>
      </c>
      <c r="D13" s="287" t="inlineStr">
        <is>
          <t>HELLO HAIR COLOR</t>
        </is>
      </c>
      <c r="E13" s="286" t="inlineStr">
        <is>
          <t>30</t>
        </is>
      </c>
      <c r="F13" s="288" t="n">
        <v>95000</v>
      </c>
      <c r="G13" s="286" t="inlineStr">
        <is>
          <t>OK</t>
        </is>
      </c>
      <c r="H13" s="289" t="inlineStr">
        <is>
          <t>No JOF</t>
        </is>
      </c>
      <c r="I13" s="109">
        <f>IFERROR(SUMPRODUCT((TableBOM[Product ID]=B13)*(TableBOM[Material Category]="CAP")*TableBOM[Item ID]),0)</f>
        <v/>
      </c>
    </row>
    <row r="14" ht="15" customHeight="1" s="254">
      <c r="A14" s="290" t="n">
        <v>11</v>
      </c>
      <c r="B14" s="290" t="n">
        <v>6470</v>
      </c>
      <c r="C14" s="291" t="inlineStr">
        <is>
          <t>Samsol International Private Limited</t>
        </is>
      </c>
      <c r="D14" s="291" t="inlineStr">
        <is>
          <t>TUBES COMMON RED</t>
        </is>
      </c>
      <c r="E14" s="290" t="inlineStr">
        <is>
          <t>25</t>
        </is>
      </c>
      <c r="F14" s="292" t="n">
        <v>7632</v>
      </c>
      <c r="G14" s="290" t="inlineStr">
        <is>
          <t>Not Ready</t>
        </is>
      </c>
      <c r="H14" s="293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54">
      <c r="A15" s="290" t="n">
        <v>12</v>
      </c>
      <c r="B15" s="290" t="n">
        <v>6515</v>
      </c>
      <c r="C15" s="291" t="inlineStr">
        <is>
          <t>Samsol International Private Limited</t>
        </is>
      </c>
      <c r="D15" s="291" t="inlineStr">
        <is>
          <t>H.H 100GM</t>
        </is>
      </c>
      <c r="E15" s="290" t="inlineStr">
        <is>
          <t>32</t>
        </is>
      </c>
      <c r="F15" s="292" t="n">
        <v>38896</v>
      </c>
      <c r="G15" s="290" t="inlineStr">
        <is>
          <t>Not Ready</t>
        </is>
      </c>
      <c r="H15" s="293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54">
      <c r="A16" s="290" t="n">
        <v>13</v>
      </c>
      <c r="B16" s="290" t="n">
        <v>6530</v>
      </c>
      <c r="C16" s="291" t="inlineStr">
        <is>
          <t>Adore</t>
        </is>
      </c>
      <c r="D16" s="291" t="inlineStr">
        <is>
          <t>V- HC BROWN</t>
        </is>
      </c>
      <c r="E16" s="290" t="inlineStr">
        <is>
          <t>35</t>
        </is>
      </c>
      <c r="F16" s="292" t="n">
        <v>15000</v>
      </c>
      <c r="G16" s="290" t="inlineStr">
        <is>
          <t>Not Ready</t>
        </is>
      </c>
      <c r="H16" s="293" t="inlineStr">
        <is>
          <t>To be dispatch after packing</t>
        </is>
      </c>
      <c r="I16" s="110">
        <f>IFERROR(SUMPRODUCT((TableBOM[Product ID]=B16)*(TableBOM[Material Category]="CAP")*TableBOM[Item ID]),0)</f>
        <v/>
      </c>
    </row>
    <row r="17" ht="15" customHeight="1" s="254">
      <c r="A17" s="290" t="n">
        <v>14</v>
      </c>
      <c r="B17" s="290" t="n">
        <v>6206</v>
      </c>
      <c r="C17" s="291" t="inlineStr">
        <is>
          <t>Golden Pearl Cosmetics (PVT) LTD</t>
        </is>
      </c>
      <c r="D17" s="291" t="inlineStr">
        <is>
          <t>HELLO HAIR COLOR</t>
        </is>
      </c>
      <c r="E17" s="290" t="inlineStr">
        <is>
          <t>30</t>
        </is>
      </c>
      <c r="F17" s="292" t="n">
        <v>3674</v>
      </c>
      <c r="G17" s="290" t="inlineStr">
        <is>
          <t>Not Ready</t>
        </is>
      </c>
      <c r="H17" s="293" t="inlineStr">
        <is>
          <t>To be dispatch after packing</t>
        </is>
      </c>
      <c r="I17" s="110">
        <f>IFERROR(SUMPRODUCT((TableBOM[Product ID]=B17)*(TableBOM[Material Category]="CAP")*TableBOM[Item ID]),0)</f>
        <v/>
      </c>
    </row>
    <row r="18" ht="15" customHeight="1" s="254">
      <c r="A18" s="290" t="n">
        <v>15</v>
      </c>
      <c r="B18" s="290" t="n">
        <v>5782</v>
      </c>
      <c r="C18" s="291" t="inlineStr">
        <is>
          <t>Mega Grey</t>
        </is>
      </c>
      <c r="D18" s="291" t="inlineStr">
        <is>
          <t>M.G</t>
        </is>
      </c>
      <c r="E18" s="290" t="inlineStr">
        <is>
          <t>32</t>
        </is>
      </c>
      <c r="F18" s="292" t="n">
        <v>10500</v>
      </c>
      <c r="G18" s="290" t="inlineStr">
        <is>
          <t>Not Ready</t>
        </is>
      </c>
      <c r="H18" s="293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54">
      <c r="A19" s="290" t="n">
        <v>16</v>
      </c>
      <c r="B19" s="290" t="n">
        <v>6624</v>
      </c>
      <c r="C19" s="291" t="inlineStr">
        <is>
          <t>Samsol International Private Limited</t>
        </is>
      </c>
      <c r="D19" s="291" t="inlineStr">
        <is>
          <t>S-45 DIA 19MM</t>
        </is>
      </c>
      <c r="E19" s="290" t="inlineStr">
        <is>
          <t>19</t>
        </is>
      </c>
      <c r="F19" s="292" t="n">
        <v>15288</v>
      </c>
      <c r="G19" s="290" t="inlineStr">
        <is>
          <t>Not Ready</t>
        </is>
      </c>
      <c r="H19" s="293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54">
      <c r="A20" s="290" t="n">
        <v>17</v>
      </c>
      <c r="B20" s="290" t="n">
        <v>5731</v>
      </c>
      <c r="C20" s="291" t="inlineStr">
        <is>
          <t>Samsol International Private Limited</t>
        </is>
      </c>
      <c r="D20" s="291" t="inlineStr">
        <is>
          <t>SAMSOL HAIR COLOR 45 DIA 20.5 MM</t>
        </is>
      </c>
      <c r="E20" s="290" t="inlineStr">
        <is>
          <t>20.5</t>
        </is>
      </c>
      <c r="F20" s="292" t="n">
        <v>37030</v>
      </c>
      <c r="G20" s="290" t="inlineStr">
        <is>
          <t>Not Ready</t>
        </is>
      </c>
      <c r="H20" s="293" t="inlineStr">
        <is>
          <t>Cap Not Available</t>
        </is>
      </c>
      <c r="I20" s="110">
        <f>IFERROR(SUMPRODUCT((TableBOM[Product ID]=B20)*(TableBOM[Material Category]="CAP")*TableBOM[Item ID]),0)</f>
        <v/>
      </c>
    </row>
    <row r="21" ht="15" customHeight="1" s="254">
      <c r="A21" s="294" t="n"/>
      <c r="B21" s="294" t="n"/>
      <c r="C21" s="295" t="n"/>
      <c r="D21" s="295" t="n"/>
      <c r="E21" s="294" t="n"/>
      <c r="F21" s="296" t="n"/>
      <c r="G21" s="294" t="n"/>
      <c r="H21" s="297" t="n"/>
      <c r="I21" s="110">
        <f>IFERROR(SUMPRODUCT((TableBOM[Product ID]=B21)*(TableBOM[Material Category]="CAP")*TableBOM[Item ID]),0)</f>
        <v/>
      </c>
    </row>
    <row r="22" ht="15" customHeight="1" s="254">
      <c r="A22" s="294" t="n"/>
      <c r="B22" s="294" t="n"/>
      <c r="C22" s="295" t="n"/>
      <c r="D22" s="295" t="n"/>
      <c r="E22" s="294" t="n"/>
      <c r="F22" s="296" t="n"/>
      <c r="G22" s="294" t="n"/>
      <c r="H22" s="297" t="n"/>
      <c r="I22" s="110">
        <f>IFERROR(SUMPRODUCT((TableBOM[Product ID]=B22)*(TableBOM[Material Category]="CAP")*TableBOM[Item ID]),0)</f>
        <v/>
      </c>
    </row>
    <row r="23" ht="15" customHeight="1" s="254">
      <c r="A23" s="294" t="n"/>
      <c r="B23" s="294" t="n"/>
      <c r="C23" s="295" t="n"/>
      <c r="D23" s="295" t="n"/>
      <c r="E23" s="294" t="n"/>
      <c r="F23" s="296" t="n"/>
      <c r="G23" s="294" t="n"/>
      <c r="H23" s="297" t="n"/>
      <c r="I23" s="110">
        <f>IFERROR(SUMPRODUCT((TableBOM[Product ID]=B23)*(TableBOM[Material Category]="CAP")*TableBOM[Item ID]),0)</f>
        <v/>
      </c>
    </row>
    <row r="24" ht="15" customHeight="1" s="254">
      <c r="A24" s="294" t="n"/>
      <c r="B24" s="294" t="n"/>
      <c r="C24" s="295" t="n"/>
      <c r="D24" s="295" t="n"/>
      <c r="E24" s="294" t="n"/>
      <c r="F24" s="296" t="n"/>
      <c r="G24" s="294" t="n"/>
      <c r="H24" s="297" t="n"/>
      <c r="I24" s="110">
        <f>IFERROR(SUMPRODUCT((TableBOM[Product ID]=B24)*(TableBOM[Material Category]="CAP")*TableBOM[Item ID]),0)</f>
        <v/>
      </c>
    </row>
    <row r="25" ht="15" customHeight="1" s="254">
      <c r="A25" s="294" t="n"/>
      <c r="B25" s="294" t="n"/>
      <c r="C25" s="295" t="n"/>
      <c r="D25" s="295" t="n"/>
      <c r="E25" s="294" t="n"/>
      <c r="F25" s="296" t="n"/>
      <c r="G25" s="294" t="n"/>
      <c r="H25" s="297" t="n"/>
      <c r="I25" s="110">
        <f>IFERROR(SUMPRODUCT((TableBOM[Product ID]=B25)*(TableBOM[Material Category]="CAP")*TableBOM[Item ID]),0)</f>
        <v/>
      </c>
    </row>
    <row r="26" ht="15" customHeight="1" s="254">
      <c r="A26" s="294" t="n"/>
      <c r="B26" s="294" t="n"/>
      <c r="C26" s="295" t="n"/>
      <c r="D26" s="295" t="n"/>
      <c r="E26" s="294" t="n"/>
      <c r="F26" s="296" t="n"/>
      <c r="G26" s="294" t="n"/>
      <c r="H26" s="297" t="n"/>
      <c r="I26" s="110">
        <f>IFERROR(SUMPRODUCT((TableBOM[Product ID]=B26)*(TableBOM[Material Category]="CAP")*TableBOM[Item ID]),0)</f>
        <v/>
      </c>
    </row>
    <row r="27" ht="15" customHeight="1" s="254">
      <c r="A27" s="294" t="n"/>
      <c r="B27" s="294" t="n"/>
      <c r="C27" s="295" t="n"/>
      <c r="D27" s="295" t="n"/>
      <c r="E27" s="294" t="n"/>
      <c r="F27" s="296" t="n"/>
      <c r="G27" s="294" t="n"/>
      <c r="H27" s="297" t="n"/>
      <c r="I27" s="111">
        <f>IFERROR(SUMPRODUCT((TableBOM[Product ID]=B27)*(TableBOM[Material Category]="CAP")*TableBOM[Item ID]),0)</f>
        <v/>
      </c>
    </row>
    <row r="28" ht="15" customHeight="1" s="254">
      <c r="A28" s="298" t="n"/>
      <c r="B28" s="298" t="n"/>
      <c r="C28" s="298" t="n"/>
      <c r="D28" s="298" t="n"/>
      <c r="E28" s="298" t="n"/>
      <c r="F28" s="298" t="n"/>
      <c r="G28" s="298" t="n"/>
      <c r="H28" s="298" t="n"/>
      <c r="I28" s="112">
        <f>IFERROR(SUMPRODUCT((TableBOM[Product ID]=B28)*(TableBOM[Material Category]="CAP")*TableBOM[Item ID]),0)</f>
        <v/>
      </c>
    </row>
    <row r="29" ht="15" customHeight="1" s="254">
      <c r="A29" s="298" t="n"/>
      <c r="B29" s="298" t="n"/>
      <c r="C29" s="298" t="n"/>
      <c r="D29" s="298" t="n"/>
      <c r="E29" s="298" t="n"/>
      <c r="F29" s="298" t="n"/>
      <c r="G29" s="298" t="n"/>
      <c r="H29" s="298" t="n"/>
      <c r="I29" s="112">
        <f>IFERROR(SUMPRODUCT((TableBOM[Product ID]=B29)*(TableBOM[Material Category]="CAP")*TableBOM[Item ID]),0)</f>
        <v/>
      </c>
    </row>
    <row r="30" ht="15" customHeight="1" s="254">
      <c r="A30" s="298" t="n"/>
      <c r="B30" s="298" t="n"/>
      <c r="C30" s="298" t="n"/>
      <c r="D30" s="298" t="n"/>
      <c r="E30" s="298" t="n"/>
      <c r="F30" s="298" t="n"/>
      <c r="G30" s="298" t="n"/>
      <c r="H30" s="298" t="n"/>
      <c r="I30" s="112">
        <f>IFERROR(SUMPRODUCT((TableBOM[Product ID]=B30)*(TableBOM[Material Category]="CAP")*TableBOM[Item ID]),0)</f>
        <v/>
      </c>
    </row>
    <row r="31" ht="15" customHeight="1" s="254">
      <c r="A31" s="298" t="n"/>
      <c r="B31" s="298" t="n"/>
      <c r="C31" s="298" t="n"/>
      <c r="D31" s="298" t="n"/>
      <c r="E31" s="298" t="n"/>
      <c r="F31" s="298" t="n"/>
      <c r="G31" s="298" t="n"/>
      <c r="H31" s="298" t="n"/>
      <c r="I31" s="112">
        <f>IFERROR(SUMPRODUCT((TableBOM[Product ID]=B31)*(TableBOM[Material Category]="CAP")*TableBOM[Item ID]),0)</f>
        <v/>
      </c>
    </row>
    <row r="32" ht="15" customHeight="1" s="254">
      <c r="A32" s="298" t="n"/>
      <c r="B32" s="298" t="n"/>
      <c r="C32" s="298" t="n"/>
      <c r="D32" s="298" t="n"/>
      <c r="E32" s="298" t="n"/>
      <c r="F32" s="298" t="n"/>
      <c r="G32" s="298" t="n"/>
      <c r="H32" s="298" t="n"/>
      <c r="I32" s="112">
        <f>IFERROR(SUMPRODUCT((TableBOM[Product ID]=B32)*(TableBOM[Material Category]="CAP")*TableBOM[Item ID]),0)</f>
        <v/>
      </c>
    </row>
    <row r="33" ht="15" customHeight="1" s="254">
      <c r="A33" s="298" t="n"/>
      <c r="B33" s="298" t="n"/>
      <c r="C33" s="298" t="n"/>
      <c r="D33" s="298" t="n"/>
      <c r="E33" s="298" t="n"/>
      <c r="F33" s="298" t="n"/>
      <c r="G33" s="298" t="n"/>
      <c r="H33" s="298" t="n"/>
      <c r="I33" s="112">
        <f>IFERROR(SUMPRODUCT((TableBOM[Product ID]=B33)*(TableBOM[Material Category]="CAP")*TableBOM[Item ID]),0)</f>
        <v/>
      </c>
    </row>
    <row r="34" ht="15" customHeight="1" s="254">
      <c r="A34" s="298" t="n"/>
      <c r="B34" s="298" t="n"/>
      <c r="C34" s="298" t="n"/>
      <c r="D34" s="298" t="n"/>
      <c r="E34" s="298" t="n"/>
      <c r="F34" s="298" t="n"/>
      <c r="G34" s="298" t="n"/>
      <c r="H34" s="298" t="n"/>
      <c r="I34" s="112">
        <f>IFERROR(SUMPRODUCT((TableBOM[Product ID]=B34)*(TableBOM[Material Category]="CAP")*TableBOM[Item ID]),0)</f>
        <v/>
      </c>
    </row>
    <row r="35" ht="15" customHeight="1" s="254">
      <c r="A35" s="298" t="n"/>
      <c r="B35" s="298" t="n"/>
      <c r="C35" s="298" t="n"/>
      <c r="D35" s="298" t="n"/>
      <c r="E35" s="298" t="n"/>
      <c r="F35" s="298" t="n"/>
      <c r="G35" s="298" t="n"/>
      <c r="H35" s="298" t="n"/>
      <c r="I35" s="112">
        <f>IFERROR(SUMPRODUCT((TableBOM[Product ID]=B35)*(TableBOM[Material Category]="CAP")*TableBOM[Item ID]),0)</f>
        <v/>
      </c>
    </row>
    <row r="36" ht="15" customHeight="1" s="254">
      <c r="A36" s="298" t="n"/>
      <c r="B36" s="298" t="n"/>
      <c r="C36" s="298" t="n"/>
      <c r="D36" s="298" t="n"/>
      <c r="E36" s="298" t="n"/>
      <c r="F36" s="298" t="n"/>
      <c r="G36" s="298" t="n"/>
      <c r="H36" s="298" t="n"/>
      <c r="I36" s="112">
        <f>IFERROR(SUMPRODUCT((TableBOM[Product ID]=B36)*(TableBOM[Material Category]="CAP")*TableBOM[Item ID]),0)</f>
        <v/>
      </c>
    </row>
    <row r="37" ht="15" customHeight="1" s="254">
      <c r="A37" s="298" t="n"/>
      <c r="B37" s="298" t="n"/>
      <c r="C37" s="298" t="n"/>
      <c r="D37" s="298" t="n"/>
      <c r="E37" s="298" t="n"/>
      <c r="F37" s="298" t="n"/>
      <c r="G37" s="298" t="n"/>
      <c r="H37" s="298" t="n"/>
      <c r="I37" s="112">
        <f>IFERROR(SUMPRODUCT((TableBOM[Product ID]=B37)*(TableBOM[Material Category]="CAP")*TableBOM[Item ID]),0)</f>
        <v/>
      </c>
    </row>
    <row r="38" ht="15" customHeight="1" s="254">
      <c r="A38" s="298" t="n"/>
      <c r="B38" s="298" t="n"/>
      <c r="C38" s="298" t="n"/>
      <c r="D38" s="298" t="n"/>
      <c r="E38" s="298" t="n"/>
      <c r="F38" s="298" t="n"/>
      <c r="G38" s="298" t="n"/>
      <c r="H38" s="298" t="n"/>
      <c r="I38" s="112">
        <f>IFERROR(SUMPRODUCT((TableBOM[Product ID]=B38)*(TableBOM[Material Category]="CAP")*TableBOM[Item ID]),0)</f>
        <v/>
      </c>
    </row>
    <row r="39" ht="15" customHeight="1" s="254">
      <c r="A39" s="298" t="n"/>
      <c r="B39" s="298" t="n"/>
      <c r="C39" s="298" t="n"/>
      <c r="D39" s="298" t="n"/>
      <c r="E39" s="298" t="n"/>
      <c r="F39" s="298" t="n"/>
      <c r="G39" s="298" t="n"/>
      <c r="H39" s="298" t="n"/>
      <c r="I39" s="112">
        <f>IFERROR(SUMPRODUCT((TableBOM[Product ID]=B39)*(TableBOM[Material Category]="CAP")*TableBOM[Item ID]),0)</f>
        <v/>
      </c>
    </row>
    <row r="40" ht="15" customHeight="1" s="254">
      <c r="A40" s="298" t="n"/>
      <c r="B40" s="298" t="n"/>
      <c r="C40" s="298" t="n"/>
      <c r="D40" s="298" t="n"/>
      <c r="E40" s="298" t="n"/>
      <c r="F40" s="298" t="n"/>
      <c r="G40" s="298" t="n"/>
      <c r="H40" s="298" t="n"/>
      <c r="I40" s="112">
        <f>IFERROR(SUMPRODUCT((TableBOM[Product ID]=B40)*(TableBOM[Material Category]="CAP")*TableBOM[Item ID]),0)</f>
        <v/>
      </c>
    </row>
    <row r="41" ht="15" customHeight="1" s="254">
      <c r="A41" s="298" t="n"/>
      <c r="B41" s="298" t="n"/>
      <c r="C41" s="298" t="n"/>
      <c r="D41" s="298" t="n"/>
      <c r="E41" s="298" t="n"/>
      <c r="F41" s="298" t="n"/>
      <c r="G41" s="298" t="n"/>
      <c r="H41" s="298" t="n"/>
      <c r="I41" s="112">
        <f>IFERROR(SUMPRODUCT((TableBOM[Product ID]=B41)*(TableBOM[Material Category]="CAP")*TableBOM[Item ID]),0)</f>
        <v/>
      </c>
    </row>
    <row r="42" ht="15" customHeight="1" s="254">
      <c r="A42" s="298" t="n"/>
      <c r="B42" s="298" t="n"/>
      <c r="C42" s="298" t="n"/>
      <c r="D42" s="298" t="n"/>
      <c r="E42" s="298" t="n"/>
      <c r="F42" s="298" t="n"/>
      <c r="G42" s="298" t="n"/>
      <c r="H42" s="298" t="n"/>
      <c r="I42" s="112">
        <f>IFERROR(SUMPRODUCT((TableBOM[Product ID]=B42)*(TableBOM[Material Category]="CAP")*TableBOM[Item ID]),0)</f>
        <v/>
      </c>
    </row>
    <row r="43" ht="15" customHeight="1" s="254">
      <c r="A43" s="298" t="n"/>
      <c r="B43" s="298" t="n"/>
      <c r="C43" s="298" t="n"/>
      <c r="D43" s="298" t="n"/>
      <c r="E43" s="298" t="n"/>
      <c r="F43" s="298" t="n"/>
      <c r="G43" s="298" t="n"/>
      <c r="H43" s="298" t="n"/>
      <c r="I43" s="112">
        <f>IFERROR(SUMPRODUCT((TableBOM[Product ID]=B43)*(TableBOM[Material Category]="CAP")*TableBOM[Item ID]),0)</f>
        <v/>
      </c>
    </row>
    <row r="44" ht="15" customHeight="1" s="254">
      <c r="A44" s="298" t="n"/>
      <c r="B44" s="298" t="n"/>
      <c r="C44" s="298" t="n"/>
      <c r="D44" s="298" t="n"/>
      <c r="E44" s="298" t="n"/>
      <c r="F44" s="298" t="n"/>
      <c r="G44" s="298" t="n"/>
      <c r="H44" s="298" t="n"/>
      <c r="I44" s="112">
        <f>IFERROR(SUMPRODUCT((TableBOM[Product ID]=B44)*(TableBOM[Material Category]="CAP")*TableBOM[Item ID]),0)</f>
        <v/>
      </c>
    </row>
    <row r="45" ht="15" customHeight="1" s="254">
      <c r="A45" s="298" t="n"/>
      <c r="B45" s="298" t="n"/>
      <c r="C45" s="298" t="n"/>
      <c r="D45" s="298" t="n"/>
      <c r="E45" s="298" t="n"/>
      <c r="F45" s="298" t="n"/>
      <c r="G45" s="298" t="n"/>
      <c r="H45" s="298" t="n"/>
      <c r="I45" s="112">
        <f>IFERROR(SUMPRODUCT((TableBOM[Product ID]=B45)*(TableBOM[Material Category]="CAP")*TableBOM[Item ID]),0)</f>
        <v/>
      </c>
    </row>
    <row r="46" ht="15" customHeight="1" s="254">
      <c r="A46" s="298" t="n"/>
      <c r="B46" s="298" t="n"/>
      <c r="C46" s="298" t="n"/>
      <c r="D46" s="298" t="n"/>
      <c r="E46" s="298" t="n"/>
      <c r="F46" s="298" t="n"/>
      <c r="G46" s="298" t="n"/>
      <c r="H46" s="298" t="n"/>
      <c r="I46" s="112">
        <f>IFERROR(SUMPRODUCT((TableBOM[Product ID]=B46)*(TableBOM[Material Category]="CAP")*TableBOM[Item ID]),0)</f>
        <v/>
      </c>
    </row>
    <row r="47" ht="15" customHeight="1" s="254">
      <c r="A47" s="298" t="n"/>
      <c r="B47" s="298" t="n"/>
      <c r="C47" s="298" t="n"/>
      <c r="D47" s="298" t="n"/>
      <c r="E47" s="298" t="n"/>
      <c r="F47" s="298" t="n"/>
      <c r="G47" s="298" t="n"/>
      <c r="H47" s="298" t="n"/>
      <c r="I47" s="112">
        <f>IFERROR(SUMPRODUCT((TableBOM[Product ID]=B47)*(TableBOM[Material Category]="CAP")*TableBOM[Item ID]),0)</f>
        <v/>
      </c>
    </row>
    <row r="48" ht="15" customHeight="1" s="254">
      <c r="A48" s="298" t="n"/>
      <c r="B48" s="298" t="n"/>
      <c r="C48" s="298" t="n"/>
      <c r="D48" s="298" t="n"/>
      <c r="E48" s="298" t="n"/>
      <c r="F48" s="298" t="n"/>
      <c r="G48" s="298" t="n"/>
      <c r="H48" s="298" t="n"/>
      <c r="I48" s="112">
        <f>IFERROR(SUMPRODUCT((TableBOM[Product ID]=B48)*(TableBOM[Material Category]="CAP")*TableBOM[Item ID]),0)</f>
        <v/>
      </c>
    </row>
    <row r="49" ht="15" customHeight="1" s="254">
      <c r="A49" s="298" t="n"/>
      <c r="B49" s="298" t="n"/>
      <c r="C49" s="298" t="n"/>
      <c r="D49" s="298" t="n"/>
      <c r="E49" s="298" t="n"/>
      <c r="F49" s="298" t="n"/>
      <c r="G49" s="298" t="n"/>
      <c r="H49" s="298" t="n"/>
      <c r="I49" s="112">
        <f>IFERROR(SUMPRODUCT((TableBOM[Product ID]=B49)*(TableBOM[Material Category]="CAP")*TableBOM[Item ID]),0)</f>
        <v/>
      </c>
    </row>
    <row r="50" ht="15" customHeight="1" s="254">
      <c r="A50" s="298" t="n"/>
      <c r="B50" s="298" t="n"/>
      <c r="C50" s="298" t="n"/>
      <c r="D50" s="298" t="n"/>
      <c r="E50" s="298" t="n"/>
      <c r="F50" s="298" t="n"/>
      <c r="G50" s="298" t="n"/>
      <c r="H50" s="298" t="n"/>
      <c r="I50" s="112">
        <f>IFERROR(SUMPRODUCT((TableBOM[Product ID]=B50)*(TableBOM[Material Category]="CAP")*TableBOM[Item ID]),0)</f>
        <v/>
      </c>
    </row>
    <row r="51" ht="15" customHeight="1" s="254">
      <c r="A51" s="298" t="n"/>
      <c r="B51" s="298" t="n"/>
      <c r="C51" s="298" t="n"/>
      <c r="D51" s="298" t="n"/>
      <c r="E51" s="298" t="n"/>
      <c r="F51" s="298" t="n"/>
      <c r="G51" s="298" t="n"/>
      <c r="H51" s="298" t="n"/>
      <c r="I51" s="112">
        <f>IFERROR(SUMPRODUCT((TableBOM[Product ID]=B51)*(TableBOM[Material Category]="CAP")*TableBOM[Item ID]),0)</f>
        <v/>
      </c>
    </row>
    <row r="52" ht="15" customHeight="1" s="254">
      <c r="A52" s="298" t="n"/>
      <c r="B52" s="298" t="n"/>
      <c r="C52" s="298" t="n"/>
      <c r="D52" s="298" t="n"/>
      <c r="E52" s="298" t="n"/>
      <c r="F52" s="298" t="n"/>
      <c r="G52" s="298" t="n"/>
      <c r="H52" s="298" t="n"/>
      <c r="I52" s="112">
        <f>IFERROR(SUMPRODUCT((TableBOM[Product ID]=B52)*(TableBOM[Material Category]="CAP")*TableBOM[Item ID]),0)</f>
        <v/>
      </c>
    </row>
    <row r="53" ht="15" customHeight="1" s="254">
      <c r="A53" s="298" t="n"/>
      <c r="B53" s="298" t="n"/>
      <c r="C53" s="298" t="n"/>
      <c r="D53" s="298" t="n"/>
      <c r="E53" s="298" t="n"/>
      <c r="F53" s="298" t="n"/>
      <c r="G53" s="298" t="n"/>
      <c r="H53" s="298" t="n"/>
      <c r="I53" s="112">
        <f>IFERROR(SUMPRODUCT((TableBOM[Product ID]=B53)*(TableBOM[Material Category]="CAP")*TableBOM[Item ID]),0)</f>
        <v/>
      </c>
    </row>
    <row r="54" ht="15" customHeight="1" s="254">
      <c r="A54" s="298" t="n"/>
      <c r="B54" s="298" t="n"/>
      <c r="C54" s="298" t="n"/>
      <c r="D54" s="298" t="n"/>
      <c r="E54" s="298" t="n"/>
      <c r="F54" s="298" t="n"/>
      <c r="G54" s="298" t="n"/>
      <c r="H54" s="298" t="n"/>
      <c r="I54" s="112">
        <f>IFERROR(SUMPRODUCT((TableBOM[Product ID]=B54)*(TableBOM[Material Category]="CAP")*TableBOM[Item ID]),0)</f>
        <v/>
      </c>
    </row>
    <row r="55" ht="15" customHeight="1" s="254">
      <c r="A55" s="298" t="n"/>
      <c r="B55" s="298" t="n"/>
      <c r="C55" s="298" t="n"/>
      <c r="D55" s="298" t="n"/>
      <c r="E55" s="298" t="n"/>
      <c r="F55" s="298" t="n"/>
      <c r="G55" s="298" t="n"/>
      <c r="H55" s="298" t="n"/>
      <c r="I55" s="112">
        <f>IFERROR(SUMPRODUCT((TableBOM[Product ID]=B55)*(TableBOM[Material Category]="CAP")*TableBOM[Item ID]),0)</f>
        <v/>
      </c>
    </row>
    <row r="56" ht="15" customHeight="1" s="254">
      <c r="A56" s="298" t="n"/>
      <c r="B56" s="298" t="n"/>
      <c r="C56" s="298" t="n"/>
      <c r="D56" s="298" t="n"/>
      <c r="E56" s="298" t="n"/>
      <c r="F56" s="298" t="n"/>
      <c r="G56" s="298" t="n"/>
      <c r="H56" s="298" t="n"/>
      <c r="I56" s="112">
        <f>IFERROR(SUMPRODUCT((TableBOM[Product ID]=B56)*(TableBOM[Material Category]="CAP")*TableBOM[Item ID]),0)</f>
        <v/>
      </c>
    </row>
    <row r="57" ht="15" customHeight="1" s="254">
      <c r="A57" s="298" t="n"/>
      <c r="B57" s="298" t="n"/>
      <c r="C57" s="298" t="n"/>
      <c r="D57" s="298" t="n"/>
      <c r="E57" s="298" t="n"/>
      <c r="F57" s="298" t="n"/>
      <c r="G57" s="298" t="n"/>
      <c r="H57" s="298" t="n"/>
      <c r="I57" s="112">
        <f>IFERROR(SUMPRODUCT((TableBOM[Product ID]=B57)*(TableBOM[Material Category]="CAP")*TableBOM[Item ID]),0)</f>
        <v/>
      </c>
    </row>
    <row r="58" ht="15" customHeight="1" s="254">
      <c r="A58" s="298" t="n"/>
      <c r="B58" s="298" t="n"/>
      <c r="C58" s="298" t="n"/>
      <c r="D58" s="298" t="n"/>
      <c r="E58" s="298" t="n"/>
      <c r="F58" s="298" t="n"/>
      <c r="G58" s="298" t="n"/>
      <c r="H58" s="298" t="n"/>
      <c r="I58" s="112">
        <f>IFERROR(SUMPRODUCT((TableBOM[Product ID]=B58)*(TableBOM[Material Category]="CAP")*TableBOM[Item ID]),0)</f>
        <v/>
      </c>
    </row>
    <row r="59" ht="15" customHeight="1" s="254">
      <c r="A59" s="298" t="n"/>
      <c r="B59" s="298" t="n"/>
      <c r="C59" s="298" t="n"/>
      <c r="D59" s="298" t="n"/>
      <c r="E59" s="298" t="n"/>
      <c r="F59" s="298" t="n"/>
      <c r="G59" s="298" t="n"/>
      <c r="H59" s="298" t="n"/>
      <c r="I59" s="112">
        <f>IFERROR(SUMPRODUCT((TableBOM[Product ID]=B59)*(TableBOM[Material Category]="CAP")*TableBOM[Item ID]),0)</f>
        <v/>
      </c>
    </row>
    <row r="60" ht="15" customHeight="1" s="254">
      <c r="A60" s="298" t="n"/>
      <c r="B60" s="298" t="n"/>
      <c r="C60" s="298" t="n"/>
      <c r="D60" s="298" t="n"/>
      <c r="E60" s="298" t="n"/>
      <c r="F60" s="298" t="n"/>
      <c r="G60" s="298" t="n"/>
      <c r="H60" s="298" t="n"/>
      <c r="I60" s="112">
        <f>IFERROR(SUMPRODUCT((TableBOM[Product ID]=B60)*(TableBOM[Material Category]="CAP")*TableBOM[Item ID]),0)</f>
        <v/>
      </c>
    </row>
    <row r="61" ht="15" customHeight="1" s="254">
      <c r="A61" s="298" t="n"/>
      <c r="B61" s="298" t="n"/>
      <c r="C61" s="298" t="n"/>
      <c r="D61" s="298" t="n"/>
      <c r="E61" s="298" t="n"/>
      <c r="F61" s="298" t="n"/>
      <c r="G61" s="298" t="n"/>
      <c r="H61" s="298" t="n"/>
      <c r="I61" s="112">
        <f>IFERROR(SUMPRODUCT((TableBOM[Product ID]=B61)*(TableBOM[Material Category]="CAP")*TableBOM[Item ID]),0)</f>
        <v/>
      </c>
    </row>
    <row r="62" ht="15" customHeight="1" s="254">
      <c r="A62" s="298" t="n"/>
      <c r="B62" s="298" t="n"/>
      <c r="C62" s="298" t="n"/>
      <c r="D62" s="298" t="n"/>
      <c r="E62" s="298" t="n"/>
      <c r="F62" s="298" t="n"/>
      <c r="G62" s="298" t="n"/>
      <c r="H62" s="298" t="n"/>
      <c r="I62" s="112">
        <f>IFERROR(SUMPRODUCT((TableBOM[Product ID]=B62)*(TableBOM[Material Category]="CAP")*TableBOM[Item ID]),0)</f>
        <v/>
      </c>
    </row>
    <row r="63" ht="15" customHeight="1" s="254">
      <c r="A63" s="298" t="n"/>
      <c r="B63" s="298" t="n"/>
      <c r="C63" s="298" t="n"/>
      <c r="D63" s="298" t="n"/>
      <c r="E63" s="298" t="n"/>
      <c r="F63" s="298" t="n"/>
      <c r="G63" s="298" t="n"/>
      <c r="H63" s="298" t="n"/>
      <c r="I63" s="112">
        <f>IFERROR(SUMPRODUCT((TableBOM[Product ID]=B63)*(TableBOM[Material Category]="CAP")*TableBOM[Item ID]),0)</f>
        <v/>
      </c>
    </row>
    <row r="64" ht="15" customHeight="1" s="254">
      <c r="A64" s="298" t="n"/>
      <c r="B64" s="298" t="n"/>
      <c r="C64" s="298" t="n"/>
      <c r="D64" s="298" t="n"/>
      <c r="E64" s="298" t="n"/>
      <c r="F64" s="298" t="n"/>
      <c r="G64" s="298" t="n"/>
      <c r="H64" s="298" t="n"/>
      <c r="I64" s="112">
        <f>IFERROR(SUMPRODUCT((TableBOM[Product ID]=B64)*(TableBOM[Material Category]="CAP")*TableBOM[Item ID]),0)</f>
        <v/>
      </c>
    </row>
    <row r="65" ht="15" customHeight="1" s="254">
      <c r="A65" s="298" t="n"/>
      <c r="B65" s="298" t="n"/>
      <c r="C65" s="298" t="n"/>
      <c r="D65" s="298" t="n"/>
      <c r="E65" s="298" t="n"/>
      <c r="F65" s="298" t="n"/>
      <c r="G65" s="298" t="n"/>
      <c r="H65" s="298" t="n"/>
      <c r="I65" s="112">
        <f>IFERROR(SUMPRODUCT((TableBOM[Product ID]=B65)*(TableBOM[Material Category]="CAP")*TableBOM[Item ID]),0)</f>
        <v/>
      </c>
    </row>
    <row r="66" ht="15" customHeight="1" s="254">
      <c r="A66" s="298" t="n"/>
      <c r="B66" s="298" t="n"/>
      <c r="C66" s="298" t="n"/>
      <c r="D66" s="298" t="n"/>
      <c r="E66" s="298" t="n"/>
      <c r="F66" s="298" t="n"/>
      <c r="G66" s="298" t="n"/>
      <c r="H66" s="298" t="n"/>
      <c r="I66" s="112">
        <f>IFERROR(SUMPRODUCT((TableBOM[Product ID]=B66)*(TableBOM[Material Category]="CAP")*TableBOM[Item ID]),0)</f>
        <v/>
      </c>
    </row>
    <row r="67" ht="15" customHeight="1" s="254">
      <c r="A67" s="298" t="n"/>
      <c r="B67" s="298" t="n"/>
      <c r="C67" s="298" t="n"/>
      <c r="D67" s="298" t="n"/>
      <c r="E67" s="298" t="n"/>
      <c r="F67" s="298" t="n"/>
      <c r="G67" s="298" t="n"/>
      <c r="H67" s="298" t="n"/>
      <c r="I67" s="112">
        <f>IFERROR(SUMPRODUCT((TableBOM[Product ID]=B67)*(TableBOM[Material Category]="CAP")*TableBOM[Item ID]),0)</f>
        <v/>
      </c>
    </row>
    <row r="68" ht="15" customHeight="1" s="254">
      <c r="A68" s="298" t="n"/>
      <c r="B68" s="298" t="n"/>
      <c r="C68" s="298" t="n"/>
      <c r="D68" s="298" t="n"/>
      <c r="E68" s="298" t="n"/>
      <c r="F68" s="298" t="n"/>
      <c r="G68" s="298" t="n"/>
      <c r="H68" s="298" t="n"/>
      <c r="I68" s="112">
        <f>IFERROR(SUMPRODUCT((TableBOM[Product ID]=B68)*(TableBOM[Material Category]="CAP")*TableBOM[Item ID]),0)</f>
        <v/>
      </c>
    </row>
    <row r="69" ht="15" customHeight="1" s="254">
      <c r="A69" s="298" t="n"/>
      <c r="B69" s="298" t="n"/>
      <c r="C69" s="298" t="n"/>
      <c r="D69" s="298" t="n"/>
      <c r="E69" s="298" t="n"/>
      <c r="F69" s="298" t="n"/>
      <c r="G69" s="298" t="n"/>
      <c r="H69" s="298" t="n"/>
      <c r="I69" s="112">
        <f>IFERROR(SUMPRODUCT((TableBOM[Product ID]=B69)*(TableBOM[Material Category]="CAP")*TableBOM[Item ID]),0)</f>
        <v/>
      </c>
    </row>
    <row r="70" ht="15" customHeight="1" s="254">
      <c r="A70" s="298" t="n"/>
      <c r="B70" s="298" t="n"/>
      <c r="C70" s="298" t="n"/>
      <c r="D70" s="298" t="n"/>
      <c r="E70" s="298" t="n"/>
      <c r="F70" s="298" t="n"/>
      <c r="G70" s="298" t="n"/>
      <c r="H70" s="298" t="n"/>
      <c r="I70" s="112">
        <f>IFERROR(SUMPRODUCT((TableBOM[Product ID]=B70)*(TableBOM[Material Category]="CAP")*TableBOM[Item ID]),0)</f>
        <v/>
      </c>
    </row>
    <row r="71" ht="15" customHeight="1" s="254">
      <c r="A71" s="298" t="n"/>
      <c r="B71" s="298" t="n"/>
      <c r="C71" s="298" t="n"/>
      <c r="D71" s="298" t="n"/>
      <c r="E71" s="298" t="n"/>
      <c r="F71" s="298" t="n"/>
      <c r="G71" s="298" t="n"/>
      <c r="H71" s="298" t="n"/>
      <c r="I71" s="112">
        <f>IFERROR(SUMPRODUCT((TableBOM[Product ID]=B71)*(TableBOM[Material Category]="CAP")*TableBOM[Item ID]),0)</f>
        <v/>
      </c>
    </row>
    <row r="72" ht="15" customHeight="1" s="254">
      <c r="A72" s="298" t="n"/>
      <c r="B72" s="298" t="n"/>
      <c r="C72" s="298" t="n"/>
      <c r="D72" s="298" t="n"/>
      <c r="E72" s="298" t="n"/>
      <c r="F72" s="298" t="n"/>
      <c r="G72" s="298" t="n"/>
      <c r="H72" s="298" t="n"/>
      <c r="I72" s="112">
        <f>IFERROR(SUMPRODUCT((TableBOM[Product ID]=B72)*(TableBOM[Material Category]="CAP")*TableBOM[Item ID]),0)</f>
        <v/>
      </c>
    </row>
    <row r="73" ht="15" customHeight="1" s="254">
      <c r="A73" s="298" t="n"/>
      <c r="B73" s="298" t="n"/>
      <c r="C73" s="298" t="n"/>
      <c r="D73" s="298" t="n"/>
      <c r="E73" s="298" t="n"/>
      <c r="F73" s="298" t="n"/>
      <c r="G73" s="298" t="n"/>
      <c r="H73" s="298" t="n"/>
      <c r="I73" s="112">
        <f>IFERROR(SUMPRODUCT((TableBOM[Product ID]=B73)*(TableBOM[Material Category]="CAP")*TableBOM[Item ID]),0)</f>
        <v/>
      </c>
    </row>
    <row r="74" ht="15" customHeight="1" s="254">
      <c r="A74" s="298" t="n"/>
      <c r="B74" s="298" t="n"/>
      <c r="C74" s="298" t="n"/>
      <c r="D74" s="298" t="n"/>
      <c r="E74" s="298" t="n"/>
      <c r="F74" s="298" t="n"/>
      <c r="G74" s="298" t="n"/>
      <c r="H74" s="298" t="n"/>
      <c r="I74" s="112">
        <f>IFERROR(SUMPRODUCT((TableBOM[Product ID]=B74)*(TableBOM[Material Category]="CAP")*TableBOM[Item ID]),0)</f>
        <v/>
      </c>
    </row>
    <row r="75" ht="15" customHeight="1" s="254">
      <c r="A75" s="298" t="n"/>
      <c r="B75" s="298" t="n"/>
      <c r="C75" s="298" t="n"/>
      <c r="D75" s="298" t="n"/>
      <c r="E75" s="298" t="n"/>
      <c r="F75" s="298" t="n"/>
      <c r="G75" s="298" t="n"/>
      <c r="H75" s="298" t="n"/>
      <c r="I75" s="112">
        <f>IFERROR(SUMPRODUCT((TableBOM[Product ID]=B75)*(TableBOM[Material Category]="CAP")*TableBOM[Item ID]),0)</f>
        <v/>
      </c>
    </row>
    <row r="76" ht="15" customHeight="1" s="254">
      <c r="A76" s="298" t="n"/>
      <c r="B76" s="298" t="n"/>
      <c r="C76" s="298" t="n"/>
      <c r="D76" s="298" t="n"/>
      <c r="E76" s="298" t="n"/>
      <c r="F76" s="298" t="n"/>
      <c r="G76" s="298" t="n"/>
      <c r="H76" s="298" t="n"/>
      <c r="I76" s="112">
        <f>IFERROR(SUMPRODUCT((TableBOM[Product ID]=B76)*(TableBOM[Material Category]="CAP")*TableBOM[Item ID]),0)</f>
        <v/>
      </c>
    </row>
    <row r="77" ht="15" customHeight="1" s="254">
      <c r="A77" s="298" t="n"/>
      <c r="B77" s="298" t="n"/>
      <c r="C77" s="298" t="n"/>
      <c r="D77" s="298" t="n"/>
      <c r="E77" s="298" t="n"/>
      <c r="F77" s="298" t="n"/>
      <c r="G77" s="298" t="n"/>
      <c r="H77" s="298" t="n"/>
      <c r="I77" s="112">
        <f>IFERROR(SUMPRODUCT((TableBOM[Product ID]=B77)*(TableBOM[Material Category]="CAP")*TableBOM[Item ID]),0)</f>
        <v/>
      </c>
    </row>
    <row r="78" ht="15" customHeight="1" s="254">
      <c r="A78" s="298" t="n"/>
      <c r="B78" s="298" t="n"/>
      <c r="C78" s="298" t="n"/>
      <c r="D78" s="298" t="n"/>
      <c r="E78" s="298" t="n"/>
      <c r="F78" s="298" t="n"/>
      <c r="G78" s="298" t="n"/>
      <c r="H78" s="298" t="n"/>
      <c r="I78" s="112">
        <f>IFERROR(SUMPRODUCT((TableBOM[Product ID]=B78)*(TableBOM[Material Category]="CAP")*TableBOM[Item ID]),0)</f>
        <v/>
      </c>
    </row>
    <row r="79" ht="15" customHeight="1" s="254">
      <c r="A79" s="298" t="n"/>
      <c r="B79" s="298" t="n"/>
      <c r="C79" s="298" t="n"/>
      <c r="D79" s="298" t="n"/>
      <c r="E79" s="298" t="n"/>
      <c r="F79" s="298" t="n"/>
      <c r="G79" s="298" t="n"/>
      <c r="H79" s="298" t="n"/>
      <c r="I79" s="112">
        <f>IFERROR(SUMPRODUCT((TableBOM[Product ID]=B79)*(TableBOM[Material Category]="CAP")*TableBOM[Item ID]),0)</f>
        <v/>
      </c>
    </row>
    <row r="80" ht="15" customHeight="1" s="254">
      <c r="A80" s="298" t="n"/>
      <c r="B80" s="298" t="n"/>
      <c r="C80" s="298" t="n"/>
      <c r="D80" s="298" t="n"/>
      <c r="E80" s="298" t="n"/>
      <c r="F80" s="298" t="n"/>
      <c r="G80" s="298" t="n"/>
      <c r="H80" s="298" t="n"/>
      <c r="I80" s="112">
        <f>IFERROR(SUMPRODUCT((TableBOM[Product ID]=B80)*(TableBOM[Material Category]="CAP")*TableBOM[Item ID]),0)</f>
        <v/>
      </c>
    </row>
    <row r="81" ht="15" customHeight="1" s="254">
      <c r="A81" s="298" t="n"/>
      <c r="B81" s="298" t="n"/>
      <c r="C81" s="298" t="n"/>
      <c r="D81" s="298" t="n"/>
      <c r="E81" s="298" t="n"/>
      <c r="F81" s="298" t="n"/>
      <c r="G81" s="298" t="n"/>
      <c r="H81" s="298" t="n"/>
      <c r="I81" s="112">
        <f>IFERROR(SUMPRODUCT((TableBOM[Product ID]=B81)*(TableBOM[Material Category]="CAP")*TableBOM[Item ID]),0)</f>
        <v/>
      </c>
    </row>
    <row r="82" ht="15" customHeight="1" s="254">
      <c r="A82" s="298" t="n"/>
      <c r="B82" s="298" t="n"/>
      <c r="C82" s="298" t="n"/>
      <c r="D82" s="298" t="n"/>
      <c r="E82" s="298" t="n"/>
      <c r="F82" s="298" t="n"/>
      <c r="G82" s="298" t="n"/>
      <c r="H82" s="298" t="n"/>
      <c r="I82" s="112">
        <f>IFERROR(SUMPRODUCT((TableBOM[Product ID]=B82)*(TableBOM[Material Category]="CAP")*TableBOM[Item ID]),0)</f>
        <v/>
      </c>
    </row>
    <row r="83" ht="15" customHeight="1" s="254">
      <c r="A83" s="298" t="n"/>
      <c r="B83" s="298" t="n"/>
      <c r="C83" s="298" t="n"/>
      <c r="D83" s="298" t="n"/>
      <c r="E83" s="298" t="n"/>
      <c r="F83" s="298" t="n"/>
      <c r="G83" s="298" t="n"/>
      <c r="H83" s="298" t="n"/>
      <c r="I83" s="112">
        <f>IFERROR(SUMPRODUCT((TableBOM[Product ID]=B83)*(TableBOM[Material Category]="CAP")*TableBOM[Item ID]),0)</f>
        <v/>
      </c>
    </row>
    <row r="84" ht="15" customHeight="1" s="254">
      <c r="A84" s="298" t="n"/>
      <c r="B84" s="298" t="n"/>
      <c r="C84" s="298" t="n"/>
      <c r="D84" s="298" t="n"/>
      <c r="E84" s="298" t="n"/>
      <c r="F84" s="298" t="n"/>
      <c r="G84" s="298" t="n"/>
      <c r="H84" s="298" t="n"/>
      <c r="I84" s="112">
        <f>IFERROR(SUMPRODUCT((TableBOM[Product ID]=B84)*(TableBOM[Material Category]="CAP")*TableBOM[Item ID]),0)</f>
        <v/>
      </c>
    </row>
    <row r="85" ht="15" customHeight="1" s="254">
      <c r="A85" s="298" t="n"/>
      <c r="B85" s="298" t="n"/>
      <c r="C85" s="298" t="n"/>
      <c r="D85" s="298" t="n"/>
      <c r="E85" s="298" t="n"/>
      <c r="F85" s="298" t="n"/>
      <c r="G85" s="298" t="n"/>
      <c r="H85" s="298" t="n"/>
      <c r="I85" s="112">
        <f>IFERROR(SUMPRODUCT((TableBOM[Product ID]=B85)*(TableBOM[Material Category]="CAP")*TableBOM[Item ID]),0)</f>
        <v/>
      </c>
    </row>
    <row r="86" ht="15" customHeight="1" s="254">
      <c r="A86" s="298" t="n"/>
      <c r="B86" s="298" t="n"/>
      <c r="C86" s="298" t="n"/>
      <c r="D86" s="298" t="n"/>
      <c r="E86" s="298" t="n"/>
      <c r="F86" s="298" t="n"/>
      <c r="G86" s="298" t="n"/>
      <c r="H86" s="298" t="n"/>
      <c r="I86" s="112">
        <f>IFERROR(SUMPRODUCT((TableBOM[Product ID]=B86)*(TableBOM[Material Category]="CAP")*TableBOM[Item ID]),0)</f>
        <v/>
      </c>
    </row>
    <row r="87" ht="15" customHeight="1" s="254">
      <c r="A87" s="298" t="n"/>
      <c r="B87" s="298" t="n"/>
      <c r="C87" s="298" t="n"/>
      <c r="D87" s="298" t="n"/>
      <c r="E87" s="298" t="n"/>
      <c r="F87" s="298" t="n"/>
      <c r="G87" s="298" t="n"/>
      <c r="H87" s="298" t="n"/>
      <c r="I87" s="112">
        <f>IFERROR(SUMPRODUCT((TableBOM[Product ID]=B87)*(TableBOM[Material Category]="CAP")*TableBOM[Item ID]),0)</f>
        <v/>
      </c>
    </row>
    <row r="88" ht="15" customHeight="1" s="254">
      <c r="A88" s="298" t="n"/>
      <c r="B88" s="298" t="n"/>
      <c r="C88" s="298" t="n"/>
      <c r="D88" s="298" t="n"/>
      <c r="E88" s="298" t="n"/>
      <c r="F88" s="298" t="n"/>
      <c r="G88" s="298" t="n"/>
      <c r="H88" s="298" t="n"/>
      <c r="I88" s="112">
        <f>IFERROR(SUMPRODUCT((TableBOM[Product ID]=B88)*(TableBOM[Material Category]="CAP")*TableBOM[Item ID]),0)</f>
        <v/>
      </c>
    </row>
    <row r="89" ht="15" customHeight="1" s="254">
      <c r="A89" s="298" t="n"/>
      <c r="B89" s="298" t="n"/>
      <c r="C89" s="298" t="n"/>
      <c r="D89" s="298" t="n"/>
      <c r="E89" s="298" t="n"/>
      <c r="F89" s="298" t="n"/>
      <c r="G89" s="298" t="n"/>
      <c r="H89" s="298" t="n"/>
      <c r="I89" s="112">
        <f>IFERROR(SUMPRODUCT((TableBOM[Product ID]=B89)*(TableBOM[Material Category]="CAP")*TableBOM[Item ID]),0)</f>
        <v/>
      </c>
    </row>
    <row r="90" ht="15" customHeight="1" s="254">
      <c r="A90" s="298" t="n"/>
      <c r="B90" s="298" t="n"/>
      <c r="C90" s="298" t="n"/>
      <c r="D90" s="298" t="n"/>
      <c r="E90" s="298" t="n"/>
      <c r="F90" s="298" t="n"/>
      <c r="G90" s="298" t="n"/>
      <c r="H90" s="298" t="n"/>
      <c r="I90" s="112">
        <f>IFERROR(SUMPRODUCT((TableBOM[Product ID]=B90)*(TableBOM[Material Category]="CAP")*TableBOM[Item ID]),0)</f>
        <v/>
      </c>
    </row>
    <row r="91" ht="15" customHeight="1" s="254">
      <c r="A91" s="298" t="n"/>
      <c r="B91" s="298" t="n"/>
      <c r="C91" s="298" t="n"/>
      <c r="D91" s="298" t="n"/>
      <c r="E91" s="298" t="n"/>
      <c r="F91" s="298" t="n"/>
      <c r="G91" s="298" t="n"/>
      <c r="H91" s="298" t="n"/>
      <c r="I91" s="112">
        <f>IFERROR(SUMPRODUCT((TableBOM[Product ID]=B91)*(TableBOM[Material Category]="CAP")*TableBOM[Item ID]),0)</f>
        <v/>
      </c>
    </row>
    <row r="92" ht="15" customHeight="1" s="254">
      <c r="A92" s="298" t="n"/>
      <c r="B92" s="298" t="n"/>
      <c r="C92" s="298" t="n"/>
      <c r="D92" s="298" t="n"/>
      <c r="E92" s="298" t="n"/>
      <c r="F92" s="298" t="n"/>
      <c r="G92" s="298" t="n"/>
      <c r="H92" s="298" t="n"/>
      <c r="I92" s="112">
        <f>IFERROR(SUMPRODUCT((TableBOM[Product ID]=B92)*(TableBOM[Material Category]="CAP")*TableBOM[Item ID]),0)</f>
        <v/>
      </c>
    </row>
    <row r="93" ht="15" customHeight="1" s="254">
      <c r="A93" s="298" t="n"/>
      <c r="B93" s="298" t="n"/>
      <c r="C93" s="298" t="n"/>
      <c r="D93" s="298" t="n"/>
      <c r="E93" s="298" t="n"/>
      <c r="F93" s="298" t="n"/>
      <c r="G93" s="298" t="n"/>
      <c r="H93" s="298" t="n"/>
      <c r="I93" s="112">
        <f>IFERROR(SUMPRODUCT((TableBOM[Product ID]=B93)*(TableBOM[Material Category]="CAP")*TableBOM[Item ID]),0)</f>
        <v/>
      </c>
    </row>
    <row r="94" ht="15" customHeight="1" s="254">
      <c r="A94" s="298" t="n"/>
      <c r="B94" s="298" t="n"/>
      <c r="C94" s="298" t="n"/>
      <c r="D94" s="298" t="n"/>
      <c r="E94" s="298" t="n"/>
      <c r="F94" s="298" t="n"/>
      <c r="G94" s="298" t="n"/>
      <c r="H94" s="298" t="n"/>
      <c r="I94" s="112">
        <f>IFERROR(SUMPRODUCT((TableBOM[Product ID]=B94)*(TableBOM[Material Category]="CAP")*TableBOM[Item ID]),0)</f>
        <v/>
      </c>
    </row>
    <row r="95" ht="15" customHeight="1" s="254">
      <c r="A95" s="298" t="n"/>
      <c r="B95" s="298" t="n"/>
      <c r="C95" s="298" t="n"/>
      <c r="D95" s="298" t="n"/>
      <c r="E95" s="298" t="n"/>
      <c r="F95" s="298" t="n"/>
      <c r="G95" s="298" t="n"/>
      <c r="H95" s="298" t="n"/>
      <c r="I95" s="112">
        <f>IFERROR(SUMPRODUCT((TableBOM[Product ID]=B95)*(TableBOM[Material Category]="CAP")*TableBOM[Item ID]),0)</f>
        <v/>
      </c>
    </row>
    <row r="96" ht="15" customHeight="1" s="254">
      <c r="A96" s="298" t="n"/>
      <c r="B96" s="298" t="n"/>
      <c r="C96" s="298" t="n"/>
      <c r="D96" s="298" t="n"/>
      <c r="E96" s="298" t="n"/>
      <c r="F96" s="298" t="n"/>
      <c r="G96" s="298" t="n"/>
      <c r="H96" s="298" t="n"/>
      <c r="I96" s="112">
        <f>IFERROR(SUMPRODUCT((TableBOM[Product ID]=B96)*(TableBOM[Material Category]="CAP")*TableBOM[Item ID]),0)</f>
        <v/>
      </c>
    </row>
    <row r="97" ht="15" customHeight="1" s="254">
      <c r="A97" s="298" t="n"/>
      <c r="B97" s="298" t="n"/>
      <c r="C97" s="298" t="n"/>
      <c r="D97" s="298" t="n"/>
      <c r="E97" s="298" t="n"/>
      <c r="F97" s="298" t="n"/>
      <c r="G97" s="298" t="n"/>
      <c r="H97" s="298" t="n"/>
      <c r="I97" s="112">
        <f>IFERROR(SUMPRODUCT((TableBOM[Product ID]=B97)*(TableBOM[Material Category]="CAP")*TableBOM[Item ID]),0)</f>
        <v/>
      </c>
    </row>
    <row r="98" ht="15" customHeight="1" s="254">
      <c r="A98" s="298" t="n"/>
      <c r="B98" s="298" t="n"/>
      <c r="C98" s="298" t="n"/>
      <c r="D98" s="298" t="n"/>
      <c r="E98" s="298" t="n"/>
      <c r="F98" s="298" t="n"/>
      <c r="G98" s="298" t="n"/>
      <c r="H98" s="298" t="n"/>
      <c r="I98" s="112">
        <f>IFERROR(SUMPRODUCT((TableBOM[Product ID]=B98)*(TableBOM[Material Category]="CAP")*TableBOM[Item ID]),0)</f>
        <v/>
      </c>
    </row>
    <row r="99" ht="15" customHeight="1" s="254">
      <c r="A99" s="298" t="n"/>
      <c r="B99" s="298" t="n"/>
      <c r="C99" s="298" t="n"/>
      <c r="D99" s="298" t="n"/>
      <c r="E99" s="298" t="n"/>
      <c r="F99" s="298" t="n"/>
      <c r="G99" s="298" t="n"/>
      <c r="H99" s="298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54" min="1" max="1"/>
    <col width="38" customWidth="1" style="254" min="2" max="2"/>
    <col width="50" customWidth="1" style="254" min="3" max="4"/>
    <col width="28" customWidth="1" style="254" min="5" max="5"/>
    <col width="40" customWidth="1" style="254" min="6" max="10"/>
  </cols>
  <sheetData>
    <row r="1" ht="32.1" customHeight="1" s="254">
      <c r="A1" s="278" t="inlineStr">
        <is>
          <t>ALPHA CONTAINERS — PROJECT REFERENCE GUIDE</t>
        </is>
      </c>
    </row>
    <row r="2" ht="18" customHeight="1" s="254">
      <c r="A2" s="279" t="inlineStr">
        <is>
          <t>Last Updated: 16-May-2026 | File: AlphaContainers_v10_27.xlsx | 9 sheets</t>
        </is>
      </c>
    </row>
    <row r="3" ht="8.1" customHeight="1" s="254">
      <c r="A3" s="139" t="n"/>
      <c r="B3" s="139" t="n"/>
      <c r="C3" s="140" t="n"/>
      <c r="D3" s="140" t="n"/>
      <c r="E3" s="140" t="n"/>
      <c r="F3" s="140" t="n"/>
    </row>
    <row r="4" ht="24" customHeight="1" s="254">
      <c r="A4" s="275" t="inlineStr">
        <is>
          <t>S0 — DAILY WORKFLOW</t>
        </is>
      </c>
    </row>
    <row r="5" ht="15.95" customHeight="1" s="254">
      <c r="A5" s="280" t="inlineStr">
        <is>
          <t>Automated pipeline via Run_All_Updates.bat or individual scripts.</t>
        </is>
      </c>
    </row>
    <row r="6" ht="18" customHeight="1" s="254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54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63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63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63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54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63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54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63">
      <c r="A17" s="143" t="n"/>
      <c r="B17" s="144" t="n"/>
      <c r="C17" s="144" t="n"/>
      <c r="D17" s="144" t="n"/>
      <c r="E17" s="140" t="n"/>
      <c r="F17" s="140" t="n"/>
    </row>
    <row r="18" ht="15.95" customFormat="1" customHeight="1" s="263">
      <c r="A18" s="280" t="inlineStr">
        <is>
          <t>Individual scripts: update_production.py also runs sort_dashboard automatically at the end.</t>
        </is>
      </c>
    </row>
    <row r="19" ht="15.95" customFormat="1" customHeight="1" s="263">
      <c r="A19" s="280" t="inlineStr">
        <is>
          <t>Safety: All scripts check if Excel file is open (lock guard) and warn if source files are stale (&gt;26 hours).</t>
        </is>
      </c>
    </row>
    <row r="20" ht="15.95" customFormat="1" customHeight="1" s="263">
      <c r="A20" s="280" t="inlineStr">
        <is>
          <t>Logging: All output saved to Logs/ folder with timestamps. Mismatches logged to Logs/mismatches.log.</t>
        </is>
      </c>
    </row>
    <row r="21" ht="8.1" customHeight="1" s="254">
      <c r="A21" s="145" t="n"/>
      <c r="B21" s="145" t="n"/>
      <c r="C21" s="145" t="n"/>
      <c r="D21" s="143" t="n"/>
      <c r="E21" s="140" t="n"/>
      <c r="F21" s="140" t="n"/>
    </row>
    <row r="22" ht="24" customHeight="1" s="254">
      <c r="A22" s="275" t="inlineStr">
        <is>
          <t>S1 — PEOPLE</t>
        </is>
      </c>
    </row>
    <row r="23" ht="18" customHeight="1" s="254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54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54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54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54">
      <c r="A30" s="145" t="n"/>
      <c r="B30" s="145" t="n"/>
      <c r="C30" s="145" t="n"/>
      <c r="D30" s="143" t="n"/>
      <c r="E30" s="140" t="n"/>
      <c r="F30" s="140" t="n"/>
    </row>
    <row r="31" ht="24" customHeight="1" s="254">
      <c r="A31" s="275" t="inlineStr">
        <is>
          <t>S2 — PLANTS &amp; MACHINES</t>
        </is>
      </c>
    </row>
    <row r="32" ht="18" customHeight="1" s="254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54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54">
      <c r="A36" s="145" t="n"/>
      <c r="B36" s="145" t="n"/>
      <c r="C36" s="145" t="n"/>
      <c r="D36" s="143" t="n"/>
      <c r="E36" s="140" t="n"/>
      <c r="F36" s="140" t="n"/>
    </row>
    <row r="37" ht="18" customHeight="1" s="254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54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54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54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54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54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54">
      <c r="A43" s="145" t="n"/>
      <c r="B43" s="145" t="n"/>
      <c r="C43" s="145" t="n"/>
      <c r="D43" s="143" t="n"/>
      <c r="E43" s="140" t="n"/>
      <c r="F43" s="140" t="n"/>
    </row>
    <row r="44" ht="24" customHeight="1" s="254">
      <c r="A44" s="275" t="inlineStr">
        <is>
          <t>S3 — SHEET MAP (9 sheets)</t>
        </is>
      </c>
    </row>
    <row r="45" ht="18" customHeight="1" s="254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54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54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54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54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54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54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54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54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54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54">
      <c r="A55" s="145" t="n"/>
      <c r="B55" s="145" t="n"/>
      <c r="C55" s="145" t="n"/>
      <c r="D55" s="143" t="n"/>
      <c r="E55" s="140" t="n"/>
      <c r="F55" s="140" t="n"/>
    </row>
    <row r="56" ht="24" customHeight="1" s="254">
      <c r="A56" s="275" t="inlineStr">
        <is>
          <t>S4 — AUTOMATION SCRIPTS</t>
        </is>
      </c>
    </row>
    <row r="57" ht="18" customHeight="1" s="254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54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54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54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54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54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54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54">
      <c r="A67" s="145" t="n"/>
      <c r="B67" s="145" t="n"/>
      <c r="C67" s="145" t="n"/>
      <c r="D67" s="143" t="n"/>
      <c r="E67" s="140" t="n"/>
      <c r="F67" s="140" t="n"/>
    </row>
    <row r="68" ht="24" customHeight="1" s="254">
      <c r="A68" s="275" t="inlineStr">
        <is>
          <t>S5 — DASHBOARD SORT RULES (sort_dashboard.py)</t>
        </is>
      </c>
    </row>
    <row r="69" ht="18" customHeight="1" s="254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54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54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54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54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54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54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54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54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54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54">
      <c r="A79" s="145" t="n"/>
      <c r="B79" s="145" t="n"/>
      <c r="C79" s="145" t="n"/>
      <c r="D79" s="143" t="n"/>
      <c r="E79" s="140" t="n"/>
      <c r="F79" s="140" t="n"/>
    </row>
    <row r="80" ht="24" customHeight="1" s="254">
      <c r="A80" s="275" t="inlineStr">
        <is>
          <t>S6 — CRITICAL RULES (DO NOT BREAK)</t>
        </is>
      </c>
    </row>
    <row r="81" ht="18" customHeight="1" s="254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54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54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54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54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54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54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54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54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54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54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54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54">
      <c r="A93" s="139" t="n"/>
      <c r="B93" s="144" t="n"/>
      <c r="C93" s="144" t="n"/>
      <c r="D93" s="144" t="n"/>
      <c r="E93" s="140" t="n"/>
      <c r="F93" s="140" t="n"/>
    </row>
    <row r="94" ht="24" customHeight="1" s="254">
      <c r="A94" s="275" t="inlineStr">
        <is>
          <t>S7 — CUSTOMER &amp; ERP CONTEXT</t>
        </is>
      </c>
    </row>
    <row r="95" ht="18" customHeight="1" s="254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54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54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54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54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54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54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54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54">
      <c r="A109" s="145" t="n"/>
      <c r="B109" s="145" t="n"/>
      <c r="C109" s="145" t="n"/>
      <c r="D109" s="143" t="n"/>
      <c r="E109" s="140" t="n"/>
      <c r="F109" s="140" t="n"/>
    </row>
    <row r="110" ht="24" customHeight="1" s="254">
      <c r="A110" s="275" t="inlineStr">
        <is>
          <t>S8 — COATING CONSUMPTION STUDY</t>
        </is>
      </c>
    </row>
    <row r="111" ht="18" customHeight="1" s="254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54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54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54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54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54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54">
      <c r="A117" s="145" t="n"/>
      <c r="B117" s="145" t="n"/>
      <c r="C117" s="145" t="n"/>
      <c r="D117" s="143" t="n"/>
      <c r="E117" s="140" t="n"/>
      <c r="F117" s="140" t="n"/>
    </row>
    <row r="118" ht="24" customHeight="1" s="254">
      <c r="A118" s="275" t="inlineStr">
        <is>
          <t>S9 — INK MANAGEMENT (Historical Average Method)</t>
        </is>
      </c>
    </row>
    <row r="119" ht="15.95" customHeight="1" s="254">
      <c r="A119" s="280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4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54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54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54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54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54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54">
      <c r="A127" s="140" t="n"/>
      <c r="B127" s="140" t="n"/>
      <c r="C127" s="140" t="n"/>
      <c r="D127" s="140" t="n"/>
      <c r="E127" s="140" t="n"/>
      <c r="F127" s="140" t="n"/>
    </row>
    <row r="128" ht="24" customHeight="1" s="254">
      <c r="A128" s="275" t="inlineStr">
        <is>
          <t>S10 — OPEN ACTION ITEMS</t>
        </is>
      </c>
    </row>
    <row r="129" ht="18" customHeight="1" s="254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54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54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54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54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54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54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54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54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54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54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54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54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54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54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54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54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54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54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54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54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54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54">
      <c r="A151" s="140" t="n"/>
      <c r="B151" s="140" t="n"/>
      <c r="C151" s="140" t="n"/>
      <c r="D151" s="140" t="n"/>
      <c r="E151" s="140" t="n"/>
      <c r="F151" s="140" t="n"/>
    </row>
    <row r="152" ht="24" customHeight="1" s="254">
      <c r="A152" s="275" t="inlineStr">
        <is>
          <t>S11 — FUTURE TASKS (Sikander)</t>
        </is>
      </c>
    </row>
    <row r="153" ht="18" customHeight="1" s="254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54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54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54">
      <c r="A156" s="275" t="inlineStr">
        <is>
          <t>S12 — RESOLVED ITEMS (for reference)</t>
        </is>
      </c>
    </row>
    <row r="157" ht="18" customHeight="1" s="254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54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54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54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54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54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2026-06-10T09:49:36Z</dcterms:modified>
  <cp:lastModifiedBy>Sikander Shahjahan</cp:lastModifiedBy>
  <cp:category>Operations</cp:category>
  <cp:revision>37</cp:revision>
  <cp:keywords>production inventory planning procurement</cp:keywords>
</cp:coreProperties>
</file>